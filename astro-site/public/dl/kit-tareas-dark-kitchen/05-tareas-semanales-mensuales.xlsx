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'Instrucciones'!$A$1:$B$39</definedName>
    <definedName name="_xlnm.Print_Titles" localSheetId="1">'Inventario Diario'!$4:$4</definedName>
    <definedName name="_xlnm.Print_Area" localSheetId="1">'Inventario Diario'!$A$1:$F$45</definedName>
    <definedName name="_xlnm.Print_Titles" localSheetId="2">'Limpieza Semanal'!$4:$4</definedName>
    <definedName name="_xlnm.Print_Area" localSheetId="2">'Limpieza Semanal'!$A$1:$G$26</definedName>
    <definedName name="_xlnm.Print_Titles" localSheetId="3">'FIFO Semanal'!$4:$4</definedName>
    <definedName name="_xlnm.Print_Area" localSheetId="3">'FIFO Semanal'!$A$1:$G$36</definedName>
    <definedName name="_xlnm.Print_Titles" localSheetId="4">'Mantenimiento Mensual'!$4:$4</definedName>
    <definedName name="_xlnm.Print_Area" localSheetId="4">'Mantenimiento Mensual'!$A$1:$G$29</definedName>
    <definedName name="_xlnm.Print_Titles" localSheetId="5">'Trimestral y Anual'!$4:$4</definedName>
    <definedName name="_xlnm.Print_Area" localSheetId="5">'Trimestral y Anual'!$A$1:$G$29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2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2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Dark Kitchen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extracción, extintores y BIE, instalación de gas, legionela, frigorista, retirada del aceite usado y del cartón de packaging, seguro y facturación.</t>
        </is>
      </c>
    </row>
    <row r="7" ht="32" customHeight="1">
      <c r="B7" s="24" t="inlineStr">
        <is>
          <t>▸ Anota el número de parte en la columna verde y firma cuando la empresa haya venido; en la columna «Cadencia» tienes cada cuánto toca cada revisión.</t>
        </is>
      </c>
    </row>
    <row r="8" ht="32" customHeight="1">
      <c r="B8" s="24" t="inlineStr">
        <is>
          <t>▸ Al pie de «FIFO Semanal» tienes una tabla editable de vida útil en congelación por familia: una regla única para todo el congelador o tiras producto bueno o das por bueno producto pasado.</t>
        </is>
      </c>
    </row>
    <row r="9">
      <c r="B9" s="3" t="n"/>
    </row>
    <row r="10" ht="18" customHeight="1">
      <c r="B10" s="23" t="inlineStr">
        <is>
          <t>Cómo cuenta el contador</t>
        </is>
      </c>
    </row>
    <row r="11">
      <c r="B11" s="3" t="n"/>
    </row>
    <row r="12" ht="32" customHeight="1">
      <c r="B12" s="24" t="inlineStr">
        <is>
          <t>▸ Marca con ✓ en la columna «✓ Completada» (desplegable): es la que cuenta el total de tareas completadas.</t>
        </is>
      </c>
    </row>
    <row r="13" ht="32" customHeight="1">
      <c r="B13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24" t="inlineStr">
        <is>
          <t>▸ El denominador cuenta las tareas escritas en la columna «Tarea», no un número fijo: si añades o borras tareas, el total se ajusta solo.</t>
        </is>
      </c>
    </row>
    <row r="15"/>
    <row r="16" ht="18" customHeight="1">
      <c r="B16" s="23" t="inlineStr">
        <is>
          <t>Filas libres</t>
        </is>
      </c>
    </row>
    <row r="17"/>
    <row r="18" ht="32" customHeight="1">
      <c r="B18" s="24" t="inlineStr">
        <is>
          <t>▸ Al final de cada tabla hay 5 filas verdes libres DENTRO del rango que cuenta el contador: escribe ahí tus tareas propias.</t>
        </is>
      </c>
    </row>
    <row r="19" ht="32" customHeight="1">
      <c r="B19" s="24" t="inlineStr">
        <is>
          <t>▸ Si necesitas más, inserta filas DENTRO de la tabla (clic derecho → Insertar), nunca por debajo de la última: lo que se escriba fuera del rango no lo cuenta nadie.</t>
        </is>
      </c>
    </row>
    <row r="21" ht="18" customHeight="1">
      <c r="B21" s="23" t="inlineStr">
        <is>
          <t>Protección de la hoja</t>
        </is>
      </c>
    </row>
    <row r="23" ht="32" customHeight="1">
      <c r="B23" s="24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24" t="inlineStr">
        <is>
          <t>▸ Puedes insertar y borrar filas con la protección puesta. Para cambiar la estructura: Revisar → Desproteger hoja.</t>
        </is>
      </c>
    </row>
    <row r="26" ht="18" customHeight="1">
      <c r="B26" s="23" t="inlineStr">
        <is>
          <t>Se conecta con</t>
        </is>
      </c>
    </row>
    <row r="28" ht="16" customHeight="1">
      <c r="B28" s="24" t="inlineStr">
        <is>
          <t>▸ 08-apertura-cierre-negocio.xlsx — checklist del LOCAL completo: es el MARCO del día.</t>
        </is>
      </c>
    </row>
    <row r="29" ht="16" customHeight="1">
      <c r="B29" s="24" t="inlineStr">
        <is>
          <t>▸ 01-apertura-cierre.xlsx — el mismo día con el DETALLE por área (cocina).</t>
        </is>
      </c>
    </row>
    <row r="30" ht="16" customHeight="1">
      <c r="B30" s="24" t="inlineStr">
        <is>
          <t>▸ 09-apertura-cierre-caja.xlsx — la CAJA: fondo, recuento por denominaciones, Z del TPV y descuadre.</t>
        </is>
      </c>
    </row>
    <row r="31" ht="48" customHeight="1">
      <c r="B31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2" ht="32" customHeight="1">
      <c r="B32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4" ht="18" customHeight="1">
      <c r="B34" s="23" t="inlineStr">
        <is>
          <t>— Kit de Tareas Recurrentes · Dark Kitchen · AI Chef Pro · aichef.pro</t>
        </is>
      </c>
    </row>
    <row r="36" ht="35" customHeight="1">
      <c r="B36" s="23" t="inlineStr">
        <is>
          <t>Diseñado por John Guerrero — chef y consultor gastronómico desde 2010, en cocina desde los 17 años · johnguerrero.es</t>
        </is>
      </c>
    </row>
    <row r="37" ht="18" customHeight="1">
      <c r="B37" s="23" t="inlineStr">
        <is>
          <t>Contacto: info@aichef.pro</t>
        </is>
      </c>
    </row>
    <row r="39" ht="18" customHeight="1">
      <c r="B39" s="23" t="inlineStr">
        <is>
          <t>Versión 2.0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Dark Kitchen Multi-Marca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PROTEÍNAS</t>
        </is>
      </c>
    </row>
    <row r="6">
      <c r="A6" s="7" t="inlineStr">
        <is>
          <t>Pollo (pechuga, muslo)</t>
        </is>
      </c>
      <c r="B6" s="8" t="n"/>
      <c r="C6" s="9" t="inlineStr">
        <is>
          <t>kg</t>
        </is>
      </c>
      <c r="D6" s="9" t="inlineStr">
        <is>
          <t>5</t>
        </is>
      </c>
      <c r="E6" s="10">
        <f>IF(B6="","",IF(B6&lt;D6,"⚠️ PEDIR","OK"))</f>
        <v/>
      </c>
      <c r="F6" s="8" t="n"/>
    </row>
    <row r="7">
      <c r="A7" s="11" t="inlineStr">
        <is>
          <t>Carne picada / patties</t>
        </is>
      </c>
      <c r="B7" s="12" t="n"/>
      <c r="C7" s="13" t="inlineStr">
        <is>
          <t>kg</t>
        </is>
      </c>
      <c r="D7" s="13" t="inlineStr">
        <is>
          <t>3</t>
        </is>
      </c>
      <c r="E7" s="14">
        <f>IF(B7="","",IF(B7&lt;D7,"⚠️ PEDIR","OK"))</f>
        <v/>
      </c>
      <c r="F7" s="12" t="n"/>
    </row>
    <row r="8">
      <c r="A8" s="7" t="inlineStr">
        <is>
          <t>Salmón / pescado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Tofu / proteína vegetal</t>
        </is>
      </c>
      <c r="B9" s="12" t="n"/>
      <c r="C9" s="13" t="inlineStr">
        <is>
          <t>kg</t>
        </is>
      </c>
      <c r="D9" s="13" t="inlineStr">
        <is>
          <t>1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BASES Y CARBOHIDRATOS</t>
        </is>
      </c>
    </row>
    <row r="11">
      <c r="A11" s="11" t="inlineStr">
        <is>
          <t>Arroz (blanco, sushi, integral)</t>
        </is>
      </c>
      <c r="B11" s="12" t="n"/>
      <c r="C11" s="13" t="inlineStr">
        <is>
          <t>kg</t>
        </is>
      </c>
      <c r="D11" s="13" t="inlineStr">
        <is>
          <t>5</t>
        </is>
      </c>
      <c r="E11" s="14">
        <f>IF(B11="","",IF(B11&lt;D11,"⚠️ PEDIR","OK"))</f>
        <v/>
      </c>
      <c r="F11" s="12" t="n"/>
    </row>
    <row r="12">
      <c r="A12" s="7" t="inlineStr">
        <is>
          <t>Pasta (spaghetti, penne)</t>
        </is>
      </c>
      <c r="B12" s="8" t="n"/>
      <c r="C12" s="9" t="inlineStr">
        <is>
          <t>kg</t>
        </is>
      </c>
      <c r="D12" s="9" t="inlineStr">
        <is>
          <t>3</t>
        </is>
      </c>
      <c r="E12" s="10">
        <f>IF(B12="","",IF(B12&lt;D12,"⚠️ PEDIR","OK"))</f>
        <v/>
      </c>
      <c r="F12" s="8" t="n"/>
    </row>
    <row r="13">
      <c r="A13" s="11" t="inlineStr">
        <is>
          <t>Pan burger / wraps / pita</t>
        </is>
      </c>
      <c r="B13" s="12" t="n"/>
      <c r="C13" s="13" t="inlineStr">
        <is>
          <t>uds</t>
        </is>
      </c>
      <c r="D13" s="13" t="inlineStr">
        <is>
          <t>30</t>
        </is>
      </c>
      <c r="E13" s="14">
        <f>IF(B13="","",IF(B13&lt;D13,"⚠️ PEDIR","OK"))</f>
        <v/>
      </c>
      <c r="F13" s="12" t="n"/>
    </row>
    <row r="14">
      <c r="A14" s="7" t="inlineStr">
        <is>
          <t>Quinoa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6" t="inlineStr">
        <is>
          <t xml:space="preserve">  VEGETALES Y FRESCOS</t>
        </is>
      </c>
    </row>
    <row r="16">
      <c r="A16" s="7" t="inlineStr">
        <is>
          <t>Lechuga / mix hojas</t>
        </is>
      </c>
      <c r="B16" s="8" t="n"/>
      <c r="C16" s="9" t="inlineStr">
        <is>
          <t>kg</t>
        </is>
      </c>
      <c r="D16" s="9" t="inlineStr">
        <is>
          <t>2</t>
        </is>
      </c>
      <c r="E16" s="10">
        <f>IF(B16="","",IF(B16&lt;D16,"⚠️ PEDIR","OK"))</f>
        <v/>
      </c>
      <c r="F16" s="8" t="n"/>
    </row>
    <row r="17">
      <c r="A17" s="11" t="inlineStr">
        <is>
          <t>Tomate</t>
        </is>
      </c>
      <c r="B17" s="12" t="n"/>
      <c r="C17" s="13" t="inlineStr">
        <is>
          <t>kg</t>
        </is>
      </c>
      <c r="D17" s="13" t="inlineStr">
        <is>
          <t>2</t>
        </is>
      </c>
      <c r="E17" s="14">
        <f>IF(B17="","",IF(B17&lt;D17,"⚠️ PEDIR","OK"))</f>
        <v/>
      </c>
      <c r="F17" s="12" t="n"/>
    </row>
    <row r="18">
      <c r="A18" s="7" t="inlineStr">
        <is>
          <t>Cebolla</t>
        </is>
      </c>
      <c r="B18" s="8" t="n"/>
      <c r="C18" s="9" t="inlineStr">
        <is>
          <t>kg</t>
        </is>
      </c>
      <c r="D18" s="9" t="inlineStr">
        <is>
          <t>2</t>
        </is>
      </c>
      <c r="E18" s="10">
        <f>IF(B18="","",IF(B18&lt;D18,"⚠️ PEDIR","OK"))</f>
        <v/>
      </c>
      <c r="F18" s="8" t="n"/>
    </row>
    <row r="19">
      <c r="A19" s="11" t="inlineStr">
        <is>
          <t>Aguacate</t>
        </is>
      </c>
      <c r="B19" s="12" t="n"/>
      <c r="C19" s="13" t="inlineStr">
        <is>
          <t>uds</t>
        </is>
      </c>
      <c r="D19" s="13" t="inlineStr">
        <is>
          <t>8</t>
        </is>
      </c>
      <c r="E19" s="14">
        <f>IF(B19="","",IF(B19&lt;D19,"⚠️ PEDIR","OK"))</f>
        <v/>
      </c>
      <c r="F19" s="12" t="n"/>
    </row>
    <row r="20">
      <c r="A20" s="7" t="inlineStr">
        <is>
          <t>Pepino</t>
        </is>
      </c>
      <c r="B20" s="8" t="n"/>
      <c r="C20" s="9" t="inlineStr">
        <is>
          <t>kg</t>
        </is>
      </c>
      <c r="D20" s="9" t="inlineStr">
        <is>
          <t>1</t>
        </is>
      </c>
      <c r="E20" s="10">
        <f>IF(B20="","",IF(B20&lt;D20,"⚠️ PEDIR","OK"))</f>
        <v/>
      </c>
      <c r="F20" s="8" t="n"/>
    </row>
    <row r="21">
      <c r="A21" s="11" t="inlineStr">
        <is>
          <t>Edamame</t>
        </is>
      </c>
      <c r="B21" s="12" t="n"/>
      <c r="C21" s="13" t="inlineStr">
        <is>
          <t>kg</t>
        </is>
      </c>
      <c r="D21" s="13" t="inlineStr">
        <is>
          <t>0.5</t>
        </is>
      </c>
      <c r="E21" s="14">
        <f>IF(B21="","",IF(B21&lt;D21,"⚠️ PEDIR","OK"))</f>
        <v/>
      </c>
      <c r="F21" s="12" t="n"/>
    </row>
    <row r="22">
      <c r="A22" s="6" t="inlineStr">
        <is>
          <t xml:space="preserve">  SALSAS Y CONDIMENTOS</t>
        </is>
      </c>
    </row>
    <row r="23">
      <c r="A23" s="11" t="inlineStr">
        <is>
          <t>Salsa soja</t>
        </is>
      </c>
      <c r="B23" s="12" t="n"/>
      <c r="C23" s="13" t="inlineStr">
        <is>
          <t>L</t>
        </is>
      </c>
      <c r="D23" s="13" t="inlineStr">
        <is>
          <t>1</t>
        </is>
      </c>
      <c r="E23" s="14">
        <f>IF(B23="","",IF(B23&lt;D23,"⚠️ PEDIR","OK"))</f>
        <v/>
      </c>
      <c r="F23" s="12" t="n"/>
    </row>
    <row r="24">
      <c r="A24" s="7" t="inlineStr">
        <is>
          <t>Teriyaki</t>
        </is>
      </c>
      <c r="B24" s="8" t="n"/>
      <c r="C24" s="9" t="inlineStr">
        <is>
          <t>L</t>
        </is>
      </c>
      <c r="D24" s="9" t="inlineStr">
        <is>
          <t>0.5</t>
        </is>
      </c>
      <c r="E24" s="10">
        <f>IF(B24="","",IF(B24&lt;D24,"⚠️ PEDIR","OK"))</f>
        <v/>
      </c>
      <c r="F24" s="8" t="n"/>
    </row>
    <row r="25">
      <c r="A25" s="11" t="inlineStr">
        <is>
          <t>Sriracha</t>
        </is>
      </c>
      <c r="B25" s="12" t="n"/>
      <c r="C25" s="13" t="inlineStr">
        <is>
          <t>L</t>
        </is>
      </c>
      <c r="D25" s="13" t="inlineStr">
        <is>
          <t>0.5</t>
        </is>
      </c>
      <c r="E25" s="14">
        <f>IF(B25="","",IF(B25&lt;D25,"⚠️ PEDIR","OK"))</f>
        <v/>
      </c>
      <c r="F25" s="12" t="n"/>
    </row>
    <row r="26">
      <c r="A26" s="7" t="inlineStr">
        <is>
          <t>Mayo casera</t>
        </is>
      </c>
      <c r="B26" s="8" t="n"/>
      <c r="C26" s="9" t="inlineStr">
        <is>
          <t>L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Salsa BBQ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Aceite oliva</t>
        </is>
      </c>
      <c r="B28" s="8" t="n"/>
      <c r="C28" s="9" t="inlineStr">
        <is>
          <t>L</t>
        </is>
      </c>
      <c r="D28" s="9" t="inlineStr">
        <is>
          <t>2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PACKAGING — MARCA 1</t>
        </is>
      </c>
    </row>
    <row r="30">
      <c r="A30" s="7" t="inlineStr">
        <is>
          <t>Envases principales (bowls/cajas)</t>
        </is>
      </c>
      <c r="B30" s="8" t="n"/>
      <c r="C30" s="9" t="inlineStr">
        <is>
          <t>uds</t>
        </is>
      </c>
      <c r="D30" s="9" t="inlineStr">
        <is>
          <t>50</t>
        </is>
      </c>
      <c r="E30" s="10">
        <f>IF(B30="","",IF(B30&lt;D30,"⚠️ PEDIR","OK"))</f>
        <v/>
      </c>
      <c r="F30" s="8" t="n"/>
    </row>
    <row r="31">
      <c r="A31" s="11" t="inlineStr">
        <is>
          <t>Bolsas con logo</t>
        </is>
      </c>
      <c r="B31" s="12" t="n"/>
      <c r="C31" s="13" t="inlineStr">
        <is>
          <t>uds</t>
        </is>
      </c>
      <c r="D31" s="13" t="inlineStr">
        <is>
          <t>50</t>
        </is>
      </c>
      <c r="E31" s="14">
        <f>IF(B31="","",IF(B31&lt;D31,"⚠️ PEDIR","OK"))</f>
        <v/>
      </c>
      <c r="F31" s="12" t="n"/>
    </row>
    <row r="32">
      <c r="A32" s="7" t="inlineStr">
        <is>
          <t>Stickers marca</t>
        </is>
      </c>
      <c r="B32" s="8" t="n"/>
      <c r="C32" s="9" t="inlineStr">
        <is>
          <t>uds</t>
        </is>
      </c>
      <c r="D32" s="9" t="inlineStr">
        <is>
          <t>50</t>
        </is>
      </c>
      <c r="E32" s="10">
        <f>IF(B32="","",IF(B32&lt;D32,"⚠️ PEDIR","OK"))</f>
        <v/>
      </c>
      <c r="F32" s="8" t="n"/>
    </row>
    <row r="33">
      <c r="A33" s="11" t="inlineStr">
        <is>
          <t>Precintos seguridad</t>
        </is>
      </c>
      <c r="B33" s="12" t="n"/>
      <c r="C33" s="13" t="inlineStr">
        <is>
          <t>uds</t>
        </is>
      </c>
      <c r="D33" s="13" t="inlineStr">
        <is>
          <t>50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 — MARCA 2</t>
        </is>
      </c>
    </row>
    <row r="35">
      <c r="A35" s="11" t="inlineStr">
        <is>
          <t>Envases principales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Bolsas con logo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Stickers marca</t>
        </is>
      </c>
      <c r="B37" s="12" t="n"/>
      <c r="C37" s="13" t="inlineStr">
        <is>
          <t>uds</t>
        </is>
      </c>
      <c r="D37" s="13" t="inlineStr">
        <is>
          <t>40</t>
        </is>
      </c>
      <c r="E37" s="14">
        <f>IF(B37="","",IF(B37&lt;D37,"⚠️ PEDIR","OK"))</f>
        <v/>
      </c>
      <c r="F37" s="12" t="n"/>
    </row>
    <row r="38">
      <c r="A38" s="7" t="inlineStr">
        <is>
          <t>Precintos seguridad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6" t="inlineStr">
        <is>
          <t xml:space="preserve">  PACKAGING GENÉRICO</t>
        </is>
      </c>
    </row>
    <row r="40">
      <c r="A40" s="7" t="inlineStr">
        <is>
          <t>Cubiertos desechables</t>
        </is>
      </c>
      <c r="B40" s="8" t="n"/>
      <c r="C40" s="9" t="inlineStr">
        <is>
          <t>sets</t>
        </is>
      </c>
      <c r="D40" s="9" t="inlineStr">
        <is>
          <t>60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Salsas en sobre</t>
        </is>
      </c>
      <c r="B42" s="8" t="n"/>
      <c r="C42" s="9" t="inlineStr">
        <is>
          <t>uds</t>
        </is>
      </c>
      <c r="D42" s="9" t="inlineStr">
        <is>
          <t>60</t>
        </is>
      </c>
      <c r="E42" s="10">
        <f>IF(B42="","",IF(B42&lt;D42,"⚠️ PEDIR","OK"))</f>
        <v/>
      </c>
      <c r="F42" s="8" t="n"/>
    </row>
    <row r="43">
      <c r="A43" s="11" t="inlineStr">
        <is>
          <t>Bolsas extra grandes</t>
        </is>
      </c>
      <c r="B43" s="12" t="n"/>
      <c r="C43" s="13" t="inlineStr">
        <is>
          <t>uds</t>
        </is>
      </c>
      <c r="D43" s="13" t="inlineStr">
        <is>
          <t>20</t>
        </is>
      </c>
      <c r="E43" s="14">
        <f>IF(B43="","",IF(B43&lt;D43,"⚠️ PEDIR","OK"))</f>
        <v/>
      </c>
      <c r="F43" s="12" t="n"/>
    </row>
    <row r="45">
      <c r="A45" s="15" t="inlineStr">
        <is>
          <t>— Kit de Tareas Recurrentes: Dark Kitchen · AI Chef Pro · aichef.pro —</t>
        </is>
      </c>
    </row>
  </sheetData>
  <mergeCells count="10">
    <mergeCell ref="A2:F2"/>
    <mergeCell ref="A34:F34"/>
    <mergeCell ref="A39:F39"/>
    <mergeCell ref="A5:F5"/>
    <mergeCell ref="A29:F29"/>
    <mergeCell ref="A10:F10"/>
    <mergeCell ref="A22:F22"/>
    <mergeCell ref="A45:F45"/>
    <mergeCell ref="A1:F1"/>
    <mergeCell ref="A15:F1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COCINA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Limpiar interior cámaras frigoríficas</t>
        </is>
      </c>
      <c r="C6" s="29" t="inlineStr">
        <is>
          <t>Cámara</t>
        </is>
      </c>
      <c r="D6" s="29" t="inlineStr">
        <is>
          <t>Auxiliar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Desmontar y limpiar campana y filtros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detrás y debajo de equipos</t>
        </is>
      </c>
      <c r="C8" s="29" t="inlineStr">
        <is>
          <t>Cocina</t>
        </is>
      </c>
      <c r="D8" s="29" t="inlineStr">
        <is>
          <t>Auxiliar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Desinfectar tablas de corte</t>
        </is>
      </c>
      <c r="C9" s="29" t="inlineStr">
        <is>
          <t>Cocina</t>
        </is>
      </c>
      <c r="D9" s="29" t="inlineStr">
        <is>
          <t>Auxiliar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Limpiar freidora a fondo</t>
        </is>
      </c>
      <c r="C10" s="29" t="inlineStr">
        <is>
          <t>Cocina</t>
        </is>
      </c>
      <c r="D10" s="29" t="inlineStr">
        <is>
          <t>Auxiliar</t>
        </is>
      </c>
      <c r="E10" s="29" t="inlineStr">
        <is>
          <t>Lunes</t>
        </is>
      </c>
      <c r="F10" s="30" t="n"/>
      <c r="G10" s="30" t="n"/>
    </row>
    <row r="11">
      <c r="A11" s="31" t="n">
        <v>6</v>
      </c>
      <c r="B11" s="32" t="inlineStr">
        <is>
          <t>Fregar suelos con desengrasante</t>
        </is>
      </c>
      <c r="C11" s="29" t="inlineStr">
        <is>
          <t>Cocina</t>
        </is>
      </c>
      <c r="D11" s="29" t="inlineStr">
        <is>
          <t>Auxiliar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PACKAGING Y ALMACÉN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Organizar almacén de packaging por marca</t>
        </is>
      </c>
      <c r="C13" s="29" t="inlineStr">
        <is>
          <t>Almacén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Limpiar estanterías de expedición</t>
        </is>
      </c>
      <c r="C14" s="29" t="inlineStr">
        <is>
          <t>Packaging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1" t="n">
        <v>9</v>
      </c>
      <c r="B15" s="32" t="inlineStr">
        <is>
          <t>Verificar que no hay packaging dañado o caducado</t>
        </is>
      </c>
      <c r="C15" s="29" t="inlineStr">
        <is>
          <t>Almacén</t>
        </is>
      </c>
      <c r="D15" s="29" t="inlineStr">
        <is>
          <t>Manager</t>
        </is>
      </c>
      <c r="E15" s="29" t="inlineStr">
        <is>
          <t>Lunes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2:G12"/>
    <mergeCell ref="A22:C22"/>
    <mergeCell ref="A1:G1"/>
    <mergeCell ref="A2:G2"/>
    <mergeCell ref="A24:G24"/>
    <mergeCell ref="A5:G5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1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fechas de proteínas (fresco max 3 días)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salsas caseras abiertas (max 5 días)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vegetales cortados (max 2 días)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5" t="inlineStr">
        <is>
          <t xml:space="preserve">  ALMACÉN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Revisar arroces y pasta: fecha, humedad</t>
        </is>
      </c>
      <c r="C12" s="29" t="inlineStr">
        <is>
          <t>Almacén</t>
        </is>
      </c>
      <c r="D12" s="29" t="inlineStr">
        <is>
          <t>Cocinero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Revisar salsas industriales: fecha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Verificar el estado del aceite de la freidora (color, olor, humo) y anotar la fecha del último cambio; si hay que cambiarlo, en frío: por debajo de 40 °C, nunca en caliente</t>
        </is>
      </c>
      <c r="C14" s="29" t="inlineStr">
        <is>
          <t>Cocina</t>
        </is>
      </c>
      <c r="D14" s="29" t="inlineStr">
        <is>
          <t>Manager</t>
        </is>
      </c>
      <c r="E14" s="29" t="inlineStr">
        <is>
          <t>Lunes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6" t="inlineStr">
        <is>
          <t>VIDA ÚTIL ORIENTATIVA EN CONGELACIÓN A −18 °C — ajústala a tu producto y a tu proveedor</t>
        </is>
      </c>
    </row>
    <row r="26">
      <c r="A26" s="5" t="n"/>
      <c r="B26" s="5" t="inlineStr">
        <is>
          <t>Familia</t>
        </is>
      </c>
      <c r="C26" s="5" t="inlineStr">
        <is>
          <t>Vida útil</t>
        </is>
      </c>
      <c r="D26" s="5" t="inlineStr">
        <is>
          <t>Notas</t>
        </is>
      </c>
      <c r="E26" s="35" t="n"/>
      <c r="F26" s="35" t="n"/>
      <c r="G26" s="36" t="n"/>
    </row>
    <row r="27">
      <c r="A27" s="20" t="n"/>
      <c r="B27" s="34" t="inlineStr">
        <is>
          <t>Pollo y pavo crudos en piezas</t>
        </is>
      </c>
      <c r="C27" s="29" t="inlineStr">
        <is>
          <t>6-9 meses</t>
        </is>
      </c>
      <c r="D27" s="29" t="inlineStr">
        <is>
          <t>Congélalos el día que llegan, no el día que caducan en fresco</t>
        </is>
      </c>
      <c r="E27" s="35" t="n"/>
      <c r="F27" s="35" t="n"/>
      <c r="G27" s="36" t="n"/>
    </row>
    <row r="28">
      <c r="A28" s="20" t="n"/>
      <c r="B28" s="34" t="inlineStr">
        <is>
          <t>Carne picada y patties de hamburguesa</t>
        </is>
      </c>
      <c r="C28" s="29" t="inlineStr">
        <is>
          <t>2-3 meses</t>
        </is>
      </c>
      <c r="D28" s="29" t="inlineStr">
        <is>
          <t>Toda la superficie está expuesta: se enrancia mucho antes que una pieza entera</t>
        </is>
      </c>
      <c r="E28" s="35" t="n"/>
      <c r="F28" s="35" t="n"/>
      <c r="G28" s="36" t="n"/>
    </row>
    <row r="29">
      <c r="A29" s="20" t="n"/>
      <c r="B29" s="34" t="inlineStr">
        <is>
          <t>Pescado azul (salmón, atún)</t>
        </is>
      </c>
      <c r="C29" s="29" t="inlineStr">
        <is>
          <t>2-3 meses</t>
        </is>
      </c>
      <c r="D29" s="29" t="inlineStr">
        <is>
          <t>La grasa se enrancia aunque esté congelado; si es para servir crudo, la congelación cuenta además como tratamiento anti-ANISAKIS</t>
        </is>
      </c>
      <c r="E29" s="35" t="n"/>
      <c r="F29" s="35" t="n"/>
      <c r="G29" s="36" t="n"/>
    </row>
    <row r="30">
      <c r="A30" s="20" t="n"/>
      <c r="B30" s="34" t="inlineStr">
        <is>
          <t>Pescado blanco y marisco ya cocido</t>
        </is>
      </c>
      <c r="C30" s="29" t="inlineStr">
        <is>
          <t>3-6 meses</t>
        </is>
      </c>
      <c r="D30" s="29" t="inlineStr">
        <is>
          <t>Congélalo en porciones planas: se descongela antes y con menos pérdida</t>
        </is>
      </c>
      <c r="E30" s="35" t="n"/>
      <c r="F30" s="35" t="n"/>
      <c r="G30" s="36" t="n"/>
    </row>
    <row r="31">
      <c r="A31" s="20" t="n"/>
      <c r="B31" s="34" t="inlineStr">
        <is>
          <t>Salsas, fondos y caldos propios</t>
        </is>
      </c>
      <c r="C31" s="29" t="inlineStr">
        <is>
          <t>3 meses</t>
        </is>
      </c>
      <c r="D31" s="29" t="inlineStr">
        <is>
          <t>Etiquetar con fecha de producción Y de congelación: la vida útil de esta tabla se cuenta desde la de congelación</t>
        </is>
      </c>
      <c r="E31" s="35" t="n"/>
      <c r="F31" s="35" t="n"/>
      <c r="G31" s="36" t="n"/>
    </row>
    <row r="32">
      <c r="A32" s="20" t="n"/>
      <c r="B32" s="34" t="inlineStr">
        <is>
          <t>Arroz y pasta ya cocidos</t>
        </is>
      </c>
      <c r="C32" s="29" t="inlineStr">
        <is>
          <t>1 mes</t>
        </is>
      </c>
      <c r="D32" s="29" t="inlineStr">
        <is>
          <t>Congelar el mismo día en porciones planas y regenerar por encima de 75 °C: el arroz cocido templado es el clásico de la toxiinfección</t>
        </is>
      </c>
      <c r="E32" s="35" t="n"/>
      <c r="F32" s="35" t="n"/>
      <c r="G32" s="36" t="n"/>
    </row>
    <row r="33">
      <c r="A33" s="20" t="n"/>
      <c r="B33" s="34" t="inlineStr">
        <is>
          <t>Pan de burger, wraps y pita</t>
        </is>
      </c>
      <c r="C33" s="29" t="inlineStr">
        <is>
          <t>1-3 meses</t>
        </is>
      </c>
      <c r="D33" s="29" t="inlineStr">
        <is>
          <t>Pierde textura antes que seguridad; descongela y regenera en horno</t>
        </is>
      </c>
      <c r="E33" s="35" t="n"/>
      <c r="F33" s="35" t="n"/>
      <c r="G33" s="36" t="n"/>
    </row>
    <row r="34">
      <c r="A34" s="20" t="n"/>
      <c r="B34" s="34" t="inlineStr">
        <is>
          <t>Vegetales que se sirven crudos (aguacate, pepino, lechuga)</t>
        </is>
      </c>
      <c r="C34" s="29" t="inlineStr">
        <is>
          <t>No congelar</t>
        </is>
      </c>
      <c r="D34" s="29" t="inlineStr">
        <is>
          <t>Se deshacen al descongelar: en un bowl se ven, así que se piden frescos y se rota con FIFO</t>
        </is>
      </c>
      <c r="E34" s="35" t="n"/>
      <c r="F34" s="35" t="n"/>
      <c r="G34" s="36" t="n"/>
    </row>
    <row r="35"/>
    <row r="36">
      <c r="A36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7">
    <mergeCell ref="D28:G28"/>
    <mergeCell ref="A36:G36"/>
    <mergeCell ref="D31:G31"/>
    <mergeCell ref="A1:G1"/>
    <mergeCell ref="D26:G26"/>
    <mergeCell ref="D33:G33"/>
    <mergeCell ref="D32:G32"/>
    <mergeCell ref="A2:G2"/>
    <mergeCell ref="D29:G29"/>
    <mergeCell ref="D27:G27"/>
    <mergeCell ref="A25:G25"/>
    <mergeCell ref="A23:G23"/>
    <mergeCell ref="D30:G30"/>
    <mergeCell ref="D34:G34"/>
    <mergeCell ref="A21:C21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EQUIPOS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Revisión plancha/grill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Cambio completo del aceite de la freidora, SIEMPRE por debajo de 40 °C y nunca en caliente; el usado se entrega al gestor autorizado y se archiva el documento</t>
        </is>
      </c>
      <c r="C7" s="29" t="inlineStr">
        <is>
          <t>Cocina</t>
        </is>
      </c>
      <c r="D7" s="29" t="inlineStr">
        <is>
          <t>Manager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Lavavajillas: filtros, sal</t>
        </is>
      </c>
      <c r="C8" s="29" t="inlineStr">
        <is>
          <t>Cocina</t>
        </is>
      </c>
      <c r="D8" s="29" t="inlineStr">
        <is>
          <t>Manager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Campana: motor, filtros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7" t="n">
        <v>5</v>
      </c>
      <c r="B10" s="28" t="inlineStr">
        <is>
          <t>Cámaras: juntas, termostato</t>
        </is>
      </c>
      <c r="C10" s="29" t="inlineStr">
        <is>
          <t>Cocina</t>
        </is>
      </c>
      <c r="D10" s="29" t="inlineStr">
        <is>
          <t>Técnico</t>
        </is>
      </c>
      <c r="E10" s="29" t="inlineStr">
        <is>
          <t>Mensual</t>
        </is>
      </c>
      <c r="F10" s="30" t="n"/>
      <c r="G10" s="30" t="n"/>
    </row>
    <row r="11">
      <c r="A11" s="25" t="inlineStr">
        <is>
          <t xml:space="preserve">  TECNOLOGÍA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Actualizar apps de plataformas en tablets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Verificar estado de tablets (batería, pantalla)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Verificar impresora de tickets (tinta, papel)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1" t="n">
        <v>9</v>
      </c>
      <c r="B15" s="32" t="inlineStr">
        <is>
          <t>Verificar wifi: velocidad, estabilidad</t>
        </is>
      </c>
      <c r="C15" s="29" t="inlineStr">
        <is>
          <t>Office</t>
        </is>
      </c>
      <c r="D15" s="29" t="inlineStr">
        <is>
          <t>Manager</t>
        </is>
      </c>
      <c r="E15" s="29" t="inlineStr">
        <is>
          <t>Mensual</t>
        </is>
      </c>
      <c r="F15" s="30" t="n"/>
      <c r="G15" s="30" t="n"/>
    </row>
    <row r="16">
      <c r="A16" s="25" t="inlineStr">
        <is>
          <t xml:space="preserve">  SEGURIDAD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Extintor: presión, caducidad</t>
        </is>
      </c>
      <c r="C17" s="29" t="inlineStr">
        <is>
          <t>General</t>
        </is>
      </c>
      <c r="D17" s="29" t="inlineStr">
        <is>
          <t>Manager</t>
        </is>
      </c>
      <c r="E17" s="29" t="inlineStr">
        <is>
          <t>Mensual</t>
        </is>
      </c>
      <c r="F17" s="30" t="n"/>
      <c r="G17" s="30" t="n"/>
    </row>
    <row r="18">
      <c r="A18" s="27" t="n">
        <v>11</v>
      </c>
      <c r="B18" s="28" t="inlineStr">
        <is>
          <t>Botiquín: stock, caducidades</t>
        </is>
      </c>
      <c r="C18" s="29" t="inlineStr">
        <is>
          <t>General</t>
        </is>
      </c>
      <c r="D18" s="29" t="inlineStr">
        <is>
          <t>Manager</t>
        </is>
      </c>
      <c r="E18" s="29" t="inlineStr">
        <is>
          <t>Mensual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8" t="inlineStr">
        <is>
          <t>Tareas completadas:</t>
        </is>
      </c>
      <c r="D25" s="19">
        <f>COUNTIFS(B5:B23,"?*",F5:F23,"✓")</f>
        <v>0.0</v>
      </c>
      <c r="E25" s="18" t="inlineStr">
        <is>
          <t>de</t>
        </is>
      </c>
      <c r="F25">
        <f>COUNTIF(B5:B23,"?*")-COUNTIF(F5:F23,"N/A")</f>
        <v>11.0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7:G27"/>
    <mergeCell ref="A16:G16"/>
    <mergeCell ref="A2:G2"/>
    <mergeCell ref="A25:C25"/>
    <mergeCell ref="A11:G11"/>
    <mergeCell ref="A5:G5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campana y conductos de extracción por empresa homologada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Revisión de extintores y BIE por empresa mantenedora (etiqueta y acta de revisión)</t>
        </is>
      </c>
      <c r="C8" s="29" t="n"/>
      <c r="D8" s="29" t="inlineStr">
        <is>
          <t>Mantenedor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Revisión periódica de la instalación de gas por empresa habilitada, si el local tiene gas</t>
        </is>
      </c>
      <c r="C9" s="29" t="n"/>
      <c r="D9" s="29" t="inlineStr">
        <is>
          <t>Instalador gas</t>
        </is>
      </c>
      <c r="E9" s="29" t="inlineStr">
        <is>
          <t>Cada 5 años</t>
        </is>
      </c>
      <c r="F9" s="30" t="n"/>
      <c r="G9" s="30" t="n"/>
    </row>
    <row r="10">
      <c r="A10" s="27" t="n">
        <v>5</v>
      </c>
      <c r="B10" s="28" t="inlineStr">
        <is>
          <t>Prevención de legionela si hay agua caliente sanitaria de riesgo o torre de refrigeración</t>
        </is>
      </c>
      <c r="C10" s="29" t="n"/>
      <c r="D10" s="29" t="inlineStr">
        <is>
          <t>Empresa autorizada</t>
        </is>
      </c>
      <c r="E10" s="29" t="inlineStr">
        <is>
          <t>Anual</t>
        </is>
      </c>
      <c r="F10" s="30" t="n"/>
      <c r="G10" s="30" t="n"/>
    </row>
    <row r="11">
      <c r="A11" s="25" t="inlineStr">
        <is>
          <t xml:space="preserve">  FRÍO, ACEITE Y RESIDUOS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Revisión de cámaras y abatidor por frigorista: estanqueidad, juntas y gas refrigerante</t>
        </is>
      </c>
      <c r="C12" s="29" t="n"/>
      <c r="D12" s="29" t="inlineStr">
        <is>
          <t>Frigorista</t>
        </is>
      </c>
      <c r="E12" s="29" t="inlineStr">
        <is>
          <t>Anual</t>
        </is>
      </c>
      <c r="F12" s="30" t="n"/>
      <c r="G12" s="30" t="n"/>
    </row>
    <row r="13">
      <c r="A13" s="31" t="n">
        <v>7</v>
      </c>
      <c r="B13" s="32" t="inlineStr">
        <is>
          <t>Retirada del aceite usado de la freidora por gestor autorizado y archivo del documento de entrega</t>
        </is>
      </c>
      <c r="C13" s="29" t="n"/>
      <c r="D13" s="29" t="inlineStr">
        <is>
          <t>Gestor autorizado</t>
        </is>
      </c>
      <c r="E13" s="29" t="inlineStr">
        <is>
          <t>Trimestral</t>
        </is>
      </c>
      <c r="F13" s="30" t="n"/>
      <c r="G13" s="30" t="n"/>
    </row>
    <row r="14">
      <c r="A14" s="27" t="n">
        <v>8</v>
      </c>
      <c r="B14" s="28" t="inlineStr">
        <is>
          <t>Retirada de cartón y plástico de packaging por gestor autorizado: contrato en vigor y albaranes archivados (un dark kitchen genera más envase que un restaurante de sala)</t>
        </is>
      </c>
      <c r="C14" s="29" t="n"/>
      <c r="D14" s="29" t="inlineStr">
        <is>
          <t>Gestor autorizado</t>
        </is>
      </c>
      <c r="E14" s="29" t="inlineStr">
        <is>
          <t>Trimestral</t>
        </is>
      </c>
      <c r="F14" s="30" t="n"/>
      <c r="G14" s="30" t="n"/>
    </row>
    <row r="15">
      <c r="A15" s="31" t="n">
        <v>9</v>
      </c>
      <c r="B15" s="32" t="inlineStr">
        <is>
          <t>Calibrar los termómetros y las sondas contra un patrón conocido (agua con hielo, 0 °C)</t>
        </is>
      </c>
      <c r="C15" s="29" t="n"/>
      <c r="D15" s="29" t="inlineStr">
        <is>
          <t>Manager</t>
        </is>
      </c>
      <c r="E15" s="29" t="inlineStr">
        <is>
          <t>Anual</t>
        </is>
      </c>
      <c r="F15" s="30" t="n"/>
      <c r="G15" s="30" t="n"/>
    </row>
    <row r="16">
      <c r="A16" s="25" t="inlineStr">
        <is>
          <t xml:space="preserve">  ADMINISTRACIÓN Y PLATAFORMAS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Revisar la póliza del local y la responsabilidad civil POR PRODUCTO: en delivery el plato se consume fuera y el seguro de sala no siempre lo cubre</t>
        </is>
      </c>
      <c r="C17" s="29" t="n"/>
      <c r="D17" s="29" t="inlineStr">
        <is>
          <t>Manager</t>
        </is>
      </c>
      <c r="E17" s="29" t="inlineStr">
        <is>
          <t>Anual</t>
        </is>
      </c>
      <c r="F17" s="30" t="n"/>
      <c r="G17" s="30" t="n"/>
    </row>
    <row r="18">
      <c r="A18" s="27" t="n">
        <v>11</v>
      </c>
      <c r="B18" s="28" t="inlineStr">
        <is>
          <t>Revisar los contratos y las comisiones de cada plataforma y el software de facturación (requisitos antifraude / Verifactu)</t>
        </is>
      </c>
      <c r="C18" s="29" t="n"/>
      <c r="D18" s="29" t="inlineStr">
        <is>
          <t>Manager</t>
        </is>
      </c>
      <c r="E18" s="29" t="inlineStr">
        <is>
          <t>Anual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8" t="inlineStr">
        <is>
          <t>Tareas completadas:</t>
        </is>
      </c>
      <c r="D25" s="19">
        <f>COUNTIFS(B5:B23,"?*",F5:F23,"✓")</f>
        <v>0.0</v>
      </c>
      <c r="E25" s="18" t="inlineStr">
        <is>
          <t>de</t>
        </is>
      </c>
      <c r="F25">
        <f>COUNTIF(B5:B23,"?*")-COUNTIF(F5:F23,"N/A")</f>
        <v>11.0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7:G27"/>
    <mergeCell ref="A16:G16"/>
    <mergeCell ref="A2:G2"/>
    <mergeCell ref="A25:C25"/>
    <mergeCell ref="A5:G5"/>
    <mergeCell ref="A11:G11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v2.0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2026-08-23T15:45:21Z</dcterms:modified>
  <cp:lastModifiedBy>AI Chef Pro</cp:lastModifiedBy>
  <cp:category>AI Chef Pro · Productos digitales</cp:category>
  <cp:keywords>kit tareas dark kitchen, AI Chef Pro</cp:keywords>
</cp:coreProperties>
</file>