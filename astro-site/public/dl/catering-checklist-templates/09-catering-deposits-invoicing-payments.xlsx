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efore the Event" sheetId="2" state="visible" r:id="rId2"/>
    <sheet xmlns:r="http://schemas.openxmlformats.org/officeDocument/2006/relationships" name="After the Event" sheetId="3" state="visible" r:id="rId3"/>
    <sheet xmlns:r="http://schemas.openxmlformats.org/officeDocument/2006/relationships" name="Event Settlement" sheetId="4" state="visible" r:id="rId4"/>
    <sheet xmlns:r="http://schemas.openxmlformats.org/officeDocument/2006/relationships" name="Event Billing Log" sheetId="5" state="visible" r:id="rId5"/>
  </sheets>
  <definedNames>
    <definedName name="_xlnm.Print_Area" localSheetId="0">'Instructions'!$A$1:$B$60</definedName>
    <definedName name="_xlnm.Print_Titles" localSheetId="1">'Before the Event'!$4:$4</definedName>
    <definedName name="_xlnm.Print_Area" localSheetId="1">'Before the Event'!$A$1:$G$26</definedName>
    <definedName name="_xlnm.Print_Titles" localSheetId="2">'After the Event'!$4:$4</definedName>
    <definedName name="_xlnm.Print_Area" localSheetId="2">'After the Event'!$A$1:$G$26</definedName>
    <definedName name="_xlnm.Print_Area" localSheetId="3">'Event Settlement'!$A$1:$D$51</definedName>
    <definedName name="_xlnm.Print_Titles" localSheetId="4">'Event Billing Log'!$5:$5</definedName>
    <definedName name="_xlnm.Print_Area" localSheetId="4">'Event Billing Log'!$A$1:$K$37</definedName>
  </definedNames>
  <calcPr calcId="124519" fullCalcOnLoad="1"/>
</workbook>
</file>

<file path=xl/styles.xml><?xml version="1.0" encoding="utf-8"?>
<styleSheet xmlns="http://schemas.openxmlformats.org/spreadsheetml/2006/main">
  <numFmts count="4">
    <numFmt numFmtId="164" formatCode="MM/DD/YYYY;@"/>
    <numFmt numFmtId="165" formatCode="#,##0.00"/>
    <numFmt numFmtId="166" formatCode="0.00%"/>
    <numFmt numFmtId="167" formatCode="MM/DD/YYYY"/>
  </numFmts>
  <fonts count="12">
    <font>
      <name val="Calibri"/>
      <family val="2"/>
      <color theme="1"/>
      <sz val="11"/>
      <scheme val="minor"/>
    </font>
    <font>
      <b val="1"/>
      <color rgb="00FFD700"/>
      <sz val="18"/>
    </font>
    <font>
      <b val="1"/>
      <color rgb="00333333"/>
      <sz val="12"/>
    </font>
    <font>
      <color rgb="00555555"/>
      <sz val="11"/>
    </font>
    <font>
      <name val="Calibri"/>
      <b val="1"/>
      <color rgb="00FFFFFF"/>
      <sz val="16"/>
    </font>
    <font>
      <name val="Calibri"/>
      <b val="1"/>
      <color rgb="001A1A1A"/>
      <sz val="10"/>
    </font>
    <font>
      <name val="Calibri"/>
      <b val="1"/>
      <color rgb="00FFFFFF"/>
      <sz val="11"/>
    </font>
    <font>
      <name val="Calibri"/>
      <color rgb="001A1A1A"/>
      <sz val="10"/>
    </font>
    <font>
      <name val="Calibri"/>
      <color rgb="00888888"/>
      <sz val="9"/>
    </font>
    <font>
      <name val="Calibri"/>
      <color rgb="00666666"/>
      <sz val="9"/>
    </font>
    <font>
      <name val="Calibri"/>
      <b val="1"/>
      <color rgb="001A1A1A"/>
      <sz val="13"/>
    </font>
    <font>
      <name val="Calibri"/>
      <b val="1"/>
      <color rgb="001A1A1A"/>
      <sz val="11"/>
    </font>
  </fonts>
  <fills count="8">
    <fill>
      <patternFill/>
    </fill>
    <fill>
      <patternFill patternType="gray125"/>
    </fill>
    <fill>
      <patternFill patternType="solid">
        <fgColor rgb="001A1A1A"/>
      </patternFill>
    </fill>
    <fill>
      <patternFill patternType="solid">
        <fgColor rgb="00FFD700"/>
      </patternFill>
    </fill>
    <fill>
      <patternFill patternType="solid">
        <fgColor rgb="002D2D2D"/>
      </patternFill>
    </fill>
    <fill>
      <patternFill patternType="solid">
        <fgColor rgb="00F5F5F5"/>
      </patternFill>
    </fill>
    <fill>
      <patternFill patternType="solid">
        <fgColor rgb="00E8F5E9"/>
      </patternFill>
    </fill>
    <fill>
      <patternFill patternType="solid">
        <fgColor rgb="00FFFFFF"/>
      </patternFill>
    </fill>
  </fills>
  <borders count="5">
    <border>
      <left/>
      <right/>
      <top/>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style="thin">
        <color rgb="00E0E0E0"/>
      </right>
      <top style="thin">
        <color rgb="00E0E0E0"/>
      </top>
      <bottom style="thin">
        <color rgb="00E0E0E0"/>
      </bottom>
      <diagonal/>
    </border>
  </borders>
  <cellStyleXfs count="1">
    <xf numFmtId="0" fontId="0" fillId="0" borderId="0"/>
  </cellStyleXfs>
  <cellXfs count="6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left" vertical="center" wrapText="1"/>
    </xf>
    <xf numFmtId="0" fontId="0" fillId="3"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5" fillId="0" borderId="0" applyAlignment="1" pivotButton="0" quotePrefix="0" xfId="0">
      <alignment horizontal="left" vertical="center" wrapText="1"/>
    </xf>
    <xf numFmtId="0" fontId="8" fillId="0" borderId="0" applyAlignment="1" pivotButton="0" quotePrefix="0" xfId="0">
      <alignment horizontal="left" vertical="center" wrapText="1"/>
    </xf>
    <xf numFmtId="0" fontId="0" fillId="0" borderId="4" pivotButton="0" quotePrefix="0" xfId="0"/>
    <xf numFmtId="0" fontId="0" fillId="5" borderId="1" pivotButton="0" quotePrefix="0" xfId="0"/>
    <xf numFmtId="0" fontId="9" fillId="5" borderId="1" applyAlignment="1" pivotButton="0" quotePrefix="0" xfId="0">
      <alignment horizontal="left" vertical="center" wrapText="1"/>
    </xf>
    <xf numFmtId="0" fontId="0" fillId="7" borderId="1" pivotButton="0" quotePrefix="0" xfId="0"/>
    <xf numFmtId="164" fontId="7" fillId="6" borderId="1" applyAlignment="1" pivotButton="0" quotePrefix="0" xfId="0">
      <alignment horizontal="right" vertical="center" wrapText="1"/>
    </xf>
    <xf numFmtId="0" fontId="9" fillId="7" borderId="1" applyAlignment="1" pivotButton="0" quotePrefix="0" xfId="0">
      <alignment horizontal="left" vertical="center" wrapText="1"/>
    </xf>
    <xf numFmtId="1" fontId="7" fillId="6" borderId="1" applyAlignment="1" pivotButton="0" quotePrefix="0" xfId="0">
      <alignment horizontal="right" vertical="center" wrapText="1"/>
    </xf>
    <xf numFmtId="0" fontId="10" fillId="3" borderId="0" applyAlignment="1" pivotButton="0" quotePrefix="0" xfId="0">
      <alignment horizontal="left" vertical="center" wrapText="1"/>
    </xf>
    <xf numFmtId="165" fontId="7" fillId="6" borderId="1" applyAlignment="1" pivotButton="0" quotePrefix="0" xfId="0">
      <alignment horizontal="right" vertical="center" wrapText="1"/>
    </xf>
    <xf numFmtId="165" fontId="7" fillId="5" borderId="1" applyAlignment="1" pivotButton="0" quotePrefix="0" xfId="0">
      <alignment horizontal="right" vertical="center" wrapText="1"/>
    </xf>
    <xf numFmtId="165" fontId="7" fillId="7" borderId="1" applyAlignment="1" pivotButton="0" quotePrefix="0" xfId="0">
      <alignment horizontal="right" vertical="center" wrapText="1"/>
    </xf>
    <xf numFmtId="0" fontId="5" fillId="3" borderId="1" applyAlignment="1" pivotButton="0" quotePrefix="0" xfId="0">
      <alignment horizontal="left" vertical="center" wrapText="1"/>
    </xf>
    <xf numFmtId="0" fontId="0" fillId="3" borderId="1" pivotButton="0" quotePrefix="0" xfId="0"/>
    <xf numFmtId="165" fontId="5" fillId="3" borderId="1" applyAlignment="1" pivotButton="0" quotePrefix="0" xfId="0">
      <alignment horizontal="right" vertical="center" wrapText="1"/>
    </xf>
    <xf numFmtId="0" fontId="5" fillId="3" borderId="1" applyAlignment="1" pivotButton="0" quotePrefix="0" xfId="0">
      <alignment horizontal="center" vertical="center" wrapText="1"/>
    </xf>
    <xf numFmtId="0" fontId="9" fillId="0" borderId="0" applyAlignment="1" pivotButton="0" quotePrefix="0" xfId="0">
      <alignment horizontal="left" vertical="center" wrapText="1"/>
    </xf>
    <xf numFmtId="0" fontId="11" fillId="3" borderId="0" applyAlignment="1" pivotButton="0" quotePrefix="0" xfId="0">
      <alignment horizontal="left" vertical="center" wrapText="1"/>
    </xf>
    <xf numFmtId="0" fontId="5" fillId="7" borderId="1" applyAlignment="1" pivotButton="0" quotePrefix="0" xfId="0">
      <alignment horizontal="left" vertical="center" wrapText="1"/>
    </xf>
    <xf numFmtId="0" fontId="5" fillId="5" borderId="1" applyAlignment="1" pivotButton="0" quotePrefix="0" xfId="0">
      <alignment horizontal="left" vertical="center" wrapText="1"/>
    </xf>
    <xf numFmtId="0" fontId="6" fillId="2" borderId="0" applyAlignment="1" pivotButton="0" quotePrefix="0" xfId="0">
      <alignment horizontal="left" vertical="center" wrapText="1"/>
    </xf>
    <xf numFmtId="0" fontId="0" fillId="2" borderId="0" pivotButton="0" quotePrefix="0" xfId="0"/>
    <xf numFmtId="165" fontId="6" fillId="2" borderId="0" applyAlignment="1" pivotButton="0" quotePrefix="0" xfId="0">
      <alignment horizontal="right" vertical="center" wrapText="1"/>
    </xf>
    <xf numFmtId="0" fontId="7" fillId="0" borderId="0" applyAlignment="1" pivotButton="0" quotePrefix="0" xfId="0">
      <alignment horizontal="left" vertical="center" wrapText="1"/>
    </xf>
    <xf numFmtId="166" fontId="7" fillId="6" borderId="1" applyAlignment="1" pivotButton="0" quotePrefix="0" xfId="0">
      <alignment horizontal="center" vertical="center" wrapText="1"/>
    </xf>
    <xf numFmtId="164"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1" fontId="7" fillId="6" borderId="1" applyAlignment="1" pivotButton="0" quotePrefix="0" xfId="0">
      <alignment horizontal="center" vertical="center" wrapText="1"/>
    </xf>
    <xf numFmtId="0" fontId="6" fillId="2" borderId="0" applyAlignment="1" pivotButton="0" quotePrefix="0" xfId="0">
      <alignment horizontal="right" vertical="center" wrapText="1"/>
    </xf>
    <xf numFmtId="1" fontId="5" fillId="5" borderId="1" applyAlignment="1" pivotButton="0" quotePrefix="0" xfId="0">
      <alignment horizontal="center" vertical="center" wrapText="1"/>
    </xf>
    <xf numFmtId="1" fontId="5" fillId="3" borderId="1" applyAlignment="1" pivotButton="0" quotePrefix="0" xfId="0">
      <alignment horizontal="center" vertical="center" wrapText="1"/>
    </xf>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7" fillId="5" borderId="1" applyAlignment="1" applyProtection="1" pivotButton="0" quotePrefix="0" xfId="0">
      <alignment horizontal="center" vertical="center" wrapText="1"/>
      <protection locked="0" hidden="0"/>
    </xf>
    <xf numFmtId="0" fontId="7" fillId="5" borderId="1" applyAlignment="1" applyProtection="1" pivotButton="0" quotePrefix="0" xfId="0">
      <alignment horizontal="left" vertical="center" wrapText="1"/>
      <protection locked="0" hidden="0"/>
    </xf>
    <xf numFmtId="0" fontId="7" fillId="6" borderId="1"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7" borderId="1" applyAlignment="1" applyProtection="1" pivotButton="0" quotePrefix="0" xfId="0">
      <alignment horizontal="left" vertical="center" wrapText="1"/>
      <protection locked="0" hidden="0"/>
    </xf>
    <xf numFmtId="0" fontId="7" fillId="6" borderId="1" applyAlignment="1" applyProtection="1" pivotButton="0" quotePrefix="0" xfId="0">
      <alignment horizontal="left" vertical="center" wrapText="1"/>
      <protection locked="0" hidden="0"/>
    </xf>
    <xf numFmtId="164" fontId="7" fillId="6" borderId="1" applyAlignment="1" applyProtection="1" pivotButton="0" quotePrefix="0" xfId="0">
      <alignment horizontal="right" vertical="center" wrapText="1"/>
      <protection locked="0" hidden="0"/>
    </xf>
    <xf numFmtId="1" fontId="7" fillId="6" borderId="1" applyAlignment="1" applyProtection="1" pivotButton="0" quotePrefix="0" xfId="0">
      <alignment horizontal="right" vertical="center" wrapText="1"/>
      <protection locked="0" hidden="0"/>
    </xf>
    <xf numFmtId="165" fontId="7" fillId="6" borderId="1" applyAlignment="1" applyProtection="1" pivotButton="0" quotePrefix="0" xfId="0">
      <alignment horizontal="right" vertical="center" wrapText="1"/>
      <protection locked="0" hidden="0"/>
    </xf>
    <xf numFmtId="166" fontId="7" fillId="6" borderId="1" applyAlignment="1" applyProtection="1" pivotButton="0" quotePrefix="0" xfId="0">
      <alignment horizontal="center" vertical="center" wrapText="1"/>
      <protection locked="0" hidden="0"/>
    </xf>
    <xf numFmtId="164" fontId="7" fillId="6" borderId="1" applyAlignment="1" applyProtection="1" pivotButton="0" quotePrefix="0" xfId="0">
      <alignment horizontal="center" vertical="center" wrapText="1"/>
      <protection locked="0" hidden="0"/>
    </xf>
    <xf numFmtId="1" fontId="7" fillId="6" borderId="1" applyAlignment="1" applyProtection="1" pivotButton="0" quotePrefix="0" xfId="0">
      <alignment horizontal="center" vertical="center" wrapText="1"/>
      <protection locked="0" hidden="0"/>
    </xf>
    <xf numFmtId="167" fontId="7" fillId="6" borderId="1" applyAlignment="1" applyProtection="1" pivotButton="0" quotePrefix="0" xfId="0">
      <alignment horizontal="right" vertical="center" wrapText="1"/>
      <protection locked="0" hidden="0"/>
    </xf>
    <xf numFmtId="4" fontId="7" fillId="6" borderId="1" applyAlignment="1" applyProtection="1" pivotButton="0" quotePrefix="0" xfId="0">
      <alignment horizontal="right" vertical="center" wrapText="1"/>
      <protection locked="0" hidden="0"/>
    </xf>
    <xf numFmtId="4" fontId="7" fillId="5" borderId="1" applyAlignment="1" pivotButton="0" quotePrefix="0" xfId="0">
      <alignment horizontal="right" vertical="center" wrapText="1"/>
    </xf>
    <xf numFmtId="4" fontId="7" fillId="7" borderId="1" applyAlignment="1" pivotButton="0" quotePrefix="0" xfId="0">
      <alignment horizontal="right" vertical="center" wrapText="1"/>
    </xf>
    <xf numFmtId="4" fontId="5" fillId="3" borderId="1" applyAlignment="1" pivotButton="0" quotePrefix="0" xfId="0">
      <alignment horizontal="right" vertical="center" wrapText="1"/>
    </xf>
    <xf numFmtId="4" fontId="6" fillId="2" borderId="0" applyAlignment="1" pivotButton="0" quotePrefix="0" xfId="0">
      <alignment horizontal="right" vertical="center" wrapText="1"/>
    </xf>
    <xf numFmtId="10" fontId="7" fillId="6" borderId="1" applyAlignment="1" applyProtection="1" pivotButton="0" quotePrefix="0" xfId="0">
      <alignment horizontal="center" vertical="center" wrapText="1"/>
      <protection locked="0" hidden="0"/>
    </xf>
    <xf numFmtId="167" fontId="7" fillId="6" borderId="1" applyAlignment="1" applyProtection="1" pivotButton="0" quotePrefix="0" xfId="0">
      <alignment horizontal="center" vertical="center" wrapText="1"/>
      <protection locked="0" hidden="0"/>
    </xf>
  </cellXfs>
  <cellStyles count="1">
    <cellStyle name="Normal" xfId="0" builtinId="0" hidden="0"/>
  </cellStyles>
  <dxfs count="4">
    <dxf>
      <fill>
        <patternFill patternType="solid">
          <fgColor rgb="00FFF3CD"/>
          <bgColor rgb="00FFF3CD"/>
        </patternFill>
      </fill>
    </dxf>
    <dxf>
      <font>
        <b val="1"/>
        <color rgb="00721C24"/>
      </font>
      <fill>
        <patternFill patternType="solid">
          <fgColor rgb="00F8D7DA"/>
          <bgColor rgb="00F8D7DA"/>
        </patternFill>
      </fill>
    </dxf>
    <dxf>
      <fill>
        <patternFill patternType="solid">
          <fgColor rgb="00F8D7DA"/>
          <bgColor rgb="00F8D7DA"/>
        </patternFill>
      </fill>
    </dxf>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60"/>
  <sheetViews>
    <sheetView workbookViewId="0">
      <selection activeCell="A1" sqref="A1"/>
    </sheetView>
  </sheetViews>
  <sheetFormatPr baseColWidth="8" defaultRowHeight="15"/>
  <cols>
    <col width="3" customWidth="1" min="1" max="1"/>
    <col width="100" customWidth="1" min="2" max="2"/>
  </cols>
  <sheetData>
    <row r="2" ht="50.5" customHeight="1">
      <c r="B2" s="45" t="inlineStr">
        <is>
          <t>09 · Catering Deposits, Invoicing &amp; Payments: Event Settlement &amp; Billing Log</t>
        </is>
      </c>
    </row>
    <row r="4" ht="18" customHeight="1">
      <c r="B4" s="46" t="inlineStr">
        <is>
          <t>What it solves</t>
        </is>
      </c>
    </row>
    <row r="6" ht="48" customHeight="1">
      <c r="B6" s="47" t="inlineStr">
        <is>
          <t>▸ The money for each EVENT from start to finish: what must be closed beforehand (signed quote, deposit collected, billing details), what to do afterwards (actual count, extras, invoice, balance) and how much is left to collect.</t>
        </is>
      </c>
    </row>
    <row r="7" ht="48" customHeight="1">
      <c r="B7" s="47" t="inlineStr">
        <is>
          <t>▸ This is not a cash count: a catering business has no counter or POS shift. It gets paid per event, almost always by check, ACH (bank transfer) or card, so what to watch is the outstanding BALANCE and its due date, not the drawer over/short.</t>
        </is>
      </c>
    </row>
    <row r="8">
      <c r="B8" s="2" t="n"/>
    </row>
    <row r="9" ht="18" customHeight="1">
      <c r="B9" s="46" t="inlineStr">
        <is>
          <t>How to Use — Before the Event</t>
        </is>
      </c>
    </row>
    <row r="10">
      <c r="B10" s="2" t="n"/>
    </row>
    <row r="11" ht="48" customHeight="1">
      <c r="B11" s="47" t="inlineStr">
        <is>
          <t>▸ Go through it with the calendar in hand: the "When" column counts DAYS before the event (By 15 days out, By 7 days out, By 3 days out, Day before: deadlines), not hours. Nothing leaves here without a quote accepted in writing and the deposit collected and logged.</t>
        </is>
      </c>
    </row>
    <row r="13" ht="18" customHeight="1">
      <c r="B13" s="46" t="inlineStr">
        <is>
          <t>How to Use — After the Event</t>
        </is>
      </c>
    </row>
    <row r="15" ht="47" customHeight="1">
      <c r="B15" s="47" t="inlineStr">
        <is>
          <t>▸ The days that follow (event day, day after, 7 days after, 30 days after): actual count vs. guaranteed count, extras used, invoice sent, balance communicated, payment logged and reconciled with the bank.</t>
        </is>
      </c>
    </row>
    <row r="17" ht="18" customHeight="1">
      <c r="B17" s="46" t="inlineStr">
        <is>
          <t>How to Use — Event Settlement</t>
        </is>
      </c>
    </row>
    <row r="19" ht="63" customHeight="1">
      <c r="B19" s="47" t="inlineStr">
        <is>
          <t>▸ Fill in only the GREEN cells: quote and extras BEFORE sales tax, how that base splits between "Taxable subtotal" and "Non-taxable subtotal", the deposit already collected, what was paid after the event and the balance due date. The total, the sales tax, the balance, the amount outstanding and the STATUS are formulas. The sales tax comes from the rate in cell C3 of the "Event Billing Log".</t>
        </is>
      </c>
    </row>
    <row r="20" ht="108" customHeight="1">
      <c r="B20" s="47" t="inlineStr">
        <is>
          <t>▸ What carries sales tax is decided by your state (check with your CPA or the department of revenue): in many states food, drinks, rentals and the mandatory service charge. A mandatory service charge is NOT a tip: it is your revenue, and whatever part of it you pay to staff is wages on payroll for the IRS, not tips (Rev. Rul. 2012-18). Some states (e.g., NY, MA) presume an undisclosed service charge belongs to staff: state your policy in the contract. The gratuity is the client's choice, goes on a separate line and belongs to the team. A tax-exempt client needs their exemption certificate on file. If the two subtotals don't add up to quote + extras, the sheet warns you.</t>
        </is>
      </c>
    </row>
    <row r="21" ht="32" customHeight="1">
      <c r="B21" s="47" t="inlineStr">
        <is>
          <t>▸ BALANCE DUE turns AMBER while any balance remains, and the STATUS changes to "OVERDUE" only once the due date has passed: it is the signal to chase the payment.</t>
        </is>
      </c>
    </row>
    <row r="22" ht="93" customHeight="1">
      <c r="B22" s="47" t="inlineStr">
        <is>
          <t>▸ If the event had a bar with CASH payment, count the money in the optional table at the bottom (denominations, minus the starting bank) and, if you like, add that net cash to "Paid after the event" yourself. It is not linked on purpose: most events have no cash, and a fixed formula would leave a 0 subtracting where it shouldn't. The cash table has US bills and coins ($100 … 1¢; a "25¢ roll" counts $10 and a "10¢ roll" $5); in the UK, Canada or Australia, unprotect the sheet (no password) and change each row's label and the multiplier in its Subtotal formula.</t>
        </is>
      </c>
    </row>
    <row r="24" ht="18" customHeight="1">
      <c r="B24" s="46" t="inlineStr">
        <is>
          <t>Event Billing Log</t>
        </is>
      </c>
    </row>
    <row r="26" ht="32" customHeight="1">
      <c r="B26" s="47" t="inlineStr">
        <is>
          <t>▸ One row per event: at a glance you see how much was invoiced, which deposits came in, what is pending and how many events are OVERDUE. The TOTALS row adds up the year and counts the pending ones.</t>
        </is>
      </c>
    </row>
    <row r="28" ht="18" customHeight="1">
      <c r="B28" s="46" t="inlineStr">
        <is>
          <t>Editable cells</t>
        </is>
      </c>
    </row>
    <row r="30" ht="32" customHeight="1">
      <c r="B30" s="47" t="inlineStr">
        <is>
          <t>▸ Everything you fill in is GREEN: Assigned to, When, ✓ Done, Initials, the settlement amounts and the Event Billing Log rows.</t>
        </is>
      </c>
    </row>
    <row r="32" ht="18" customHeight="1">
      <c r="B32" s="46" t="inlineStr">
        <is>
          <t>How the counter works</t>
        </is>
      </c>
    </row>
    <row r="34" ht="32" customHeight="1">
      <c r="B34" s="47" t="inlineStr">
        <is>
          <t>▸ Mark ✓ in the "✓ Done" column (dropdown): that is the column that counts completed tasks.</t>
        </is>
      </c>
    </row>
    <row r="35" ht="47" customHeight="1">
      <c r="B35" s="47" t="inlineStr">
        <is>
          <t>▸ "N/A" = doesn't apply (to this event, or to your commissary): that task comes OUT of the total (don't delete it, mark it N/A). "—" = not done: it still counts as pending and lowers the percentage, which is the point.</t>
        </is>
      </c>
    </row>
    <row r="36" ht="32" customHeight="1">
      <c r="B36" s="47" t="inlineStr">
        <is>
          <t>▸ The denominator counts the tasks written in the "Task" column, not a fixed number: if you add or delete tasks, the total adjusts by itself.</t>
        </is>
      </c>
    </row>
    <row r="38" ht="18" customHeight="1">
      <c r="B38" s="46" t="inlineStr">
        <is>
          <t>Free rows</t>
        </is>
      </c>
    </row>
    <row r="40" ht="32" customHeight="1">
      <c r="B40" s="47" t="inlineStr">
        <is>
          <t>▸ At the end of each table there are 5 free green rows INSIDE the range the counter covers: write your own tasks there.</t>
        </is>
      </c>
    </row>
    <row r="41" ht="32" customHeight="1">
      <c r="B41" s="47" t="inlineStr">
        <is>
          <t>▸ If you need more, insert rows INSIDE the table (right-click → Insert), never below the last one: anything typed outside the range is not counted.</t>
        </is>
      </c>
    </row>
    <row r="43" ht="18" customHeight="1">
      <c r="B43" s="46" t="inlineStr">
        <is>
          <t>Sheet protection</t>
        </is>
      </c>
    </row>
    <row r="45" ht="32" customHeight="1">
      <c r="B45" s="47" t="inlineStr">
        <is>
          <t>▸ Sheets with formulas are protected WITHOUT a password: the input cells (the green ones) are unlocked, so calculations never get overwritten by accident.</t>
        </is>
      </c>
    </row>
    <row r="46" ht="32" customHeight="1">
      <c r="B46" s="47" t="inlineStr">
        <is>
          <t>▸ You can insert and delete rows with protection on. To change the structure: Review → Unprotect Sheet.</t>
        </is>
      </c>
    </row>
    <row r="48" ht="18" customHeight="1">
      <c r="B48" s="46" t="inlineStr">
        <is>
          <t>Works with</t>
        </is>
      </c>
    </row>
    <row r="50" ht="31" customHeight="1">
      <c r="B50" s="47" t="inlineStr">
        <is>
          <t>▸ 08-catering-commissary-opening-closing-checklist.xlsx — checklist for the WHOLE COMMISSARY: it is the BACKBONE of the day.</t>
        </is>
      </c>
    </row>
    <row r="51" ht="32" customHeight="1">
      <c r="B51" s="47" t="inlineStr">
        <is>
          <t>▸ 09-catering-deposits-invoicing-payments.xlsx — the INVOICING: deposits, settlement and payment for each event.</t>
        </is>
      </c>
    </row>
    <row r="52" ht="63" customHeight="1">
      <c r="B52" s="47" t="inlineStr">
        <is>
          <t>▸ Order of use: commissary → events. Each file covers one level: the business file marks the MILESTONE (open, load, close) and the payments file tracks the MONEY of each event (deposit, invoice and balance). If a task shows up in both, that is on purpose: one is the milestone and the other the detail.</t>
        </is>
      </c>
    </row>
    <row r="53" ht="48" customHeight="1">
      <c r="B53" s="47" t="inlineStr">
        <is>
          <t>▸ You are in 09-catering-deposits-invoicing-payments.xlsx: this is the INVOICING — the MONEY of each event (deposit, settlement, invoice and balance due); the frame of the day is in 08-catering-commissary-opening-closing-checklist.xlsx.</t>
        </is>
      </c>
    </row>
    <row r="55" ht="18" customHeight="1">
      <c r="B55" s="46" t="inlineStr">
        <is>
          <t>— Catering Checklists Kit Pro · AI Chef Pro · aichef.pro</t>
        </is>
      </c>
    </row>
    <row r="57" ht="35" customHeight="1">
      <c r="B57" s="46" t="inlineStr">
        <is>
          <t>Designed by John Guerrero — chef and restaurant consultant since 2010, in professional kitchens since age 17 · johnguerrero.es</t>
        </is>
      </c>
    </row>
    <row r="58" ht="18" customHeight="1">
      <c r="B58" s="46" t="inlineStr">
        <is>
          <t>Contact: info@aichef.pro</t>
        </is>
      </c>
    </row>
    <row r="60" ht="34.5" customHeight="1">
      <c r="B60" s="46" t="inlineStr">
        <is>
          <t>Version 2.0 · October 2026 · aichef.pro/en/digital-products/catering-checklist-templates · info@aichef.pro</t>
        </is>
      </c>
    </row>
  </sheetData>
  <pageMargins left="0.75" right="0.75" top="1" bottom="1" header="0.5" footer="0.5"/>
  <pageSetup orientation="portrait" paperSize="1"/>
</worksheet>
</file>

<file path=xl/worksheets/sheet2.xml><?xml version="1.0" encoding="utf-8"?>
<worksheet xmlns="http://schemas.openxmlformats.org/spreadsheetml/2006/main">
  <sheetPr>
    <outlinePr summaryBelow="1" summaryRight="1"/>
    <pageSetUpPr fitToPage="1"/>
  </sheetPr>
  <dimension ref="A1:G26"/>
  <sheetViews>
    <sheetView workbookViewId="0">
      <pane ySplit="4" topLeftCell="A5" activePane="bottomLeft" state="frozen"/>
      <selection pane="bottomLeft" activeCell="A1" sqref="A1"/>
    </sheetView>
  </sheetViews>
  <sheetFormatPr baseColWidth="8" defaultRowHeight="15"/>
  <cols>
    <col width="10" customWidth="1" min="1" max="1"/>
    <col width="50" customWidth="1" min="2" max="2"/>
    <col width="20" customWidth="1" min="3" max="3"/>
    <col width="13" customWidth="1" min="4" max="4"/>
    <col width="14" customWidth="1" min="5" max="5"/>
    <col width="14" customWidth="1" min="6" max="6"/>
    <col width="25" customWidth="1" min="7" max="7"/>
  </cols>
  <sheetData>
    <row r="1" ht="40" customHeight="1">
      <c r="A1" s="4" t="inlineStr">
        <is>
          <t>Before the Event</t>
        </is>
      </c>
    </row>
    <row r="2" ht="28" customHeight="1">
      <c r="A2" s="5" t="inlineStr">
        <is>
          <t>Event / client: _________________________</t>
        </is>
      </c>
      <c r="D2" s="5" t="inlineStr">
        <is>
          <t>Event date: ____/____/________    Manager: _________________________</t>
        </is>
      </c>
    </row>
    <row r="3" ht="8" customHeight="1"/>
    <row r="4" ht="28" customHeight="1">
      <c r="A4" s="7" t="inlineStr">
        <is>
          <t>#</t>
        </is>
      </c>
      <c r="B4" s="7" t="inlineStr">
        <is>
          <t>Task</t>
        </is>
      </c>
      <c r="C4" s="7" t="inlineStr">
        <is>
          <t>Assigned to</t>
        </is>
      </c>
      <c r="D4" s="7" t="inlineStr">
        <is>
          <t>When</t>
        </is>
      </c>
      <c r="E4" s="7" t="inlineStr">
        <is>
          <t>✓ Done</t>
        </is>
      </c>
      <c r="F4" s="7" t="inlineStr">
        <is>
          <t>Initials</t>
        </is>
      </c>
      <c r="G4" s="7" t="inlineStr">
        <is>
          <t>Notes</t>
        </is>
      </c>
    </row>
    <row r="5">
      <c r="A5" s="48" t="n">
        <v>1</v>
      </c>
      <c r="B5" s="49" t="inlineStr">
        <is>
          <t>Event quote signed or accepted in writing (an email or a signed PDF counts; a verbal confirmation doesn't)</t>
        </is>
      </c>
      <c r="C5" s="50" t="inlineStr">
        <is>
          <t>Sales</t>
        </is>
      </c>
      <c r="D5" s="50" t="inlineStr">
        <is>
          <t>By 15 days out</t>
        </is>
      </c>
      <c r="E5" s="50" t="n"/>
      <c r="F5" s="50" t="n"/>
      <c r="G5" s="50" t="n"/>
    </row>
    <row r="6">
      <c r="A6" s="51" t="n">
        <v>2</v>
      </c>
      <c r="B6" s="52" t="inlineStr">
        <is>
          <t>Deadline for the guaranteed count (final headcount) sent to the client in writing; the count locks on that date, per your contract</t>
        </is>
      </c>
      <c r="C6" s="50" t="inlineStr">
        <is>
          <t>Sales</t>
        </is>
      </c>
      <c r="D6" s="50" t="inlineStr">
        <is>
          <t>By 15 days out</t>
        </is>
      </c>
      <c r="E6" s="50" t="n"/>
      <c r="F6" s="50" t="n"/>
      <c r="G6" s="50" t="n"/>
    </row>
    <row r="7">
      <c r="A7" s="48" t="n">
        <v>3</v>
      </c>
      <c r="B7" s="49" t="inlineStr">
        <is>
          <t>Deposit (retainer) of 30–50% per your contract collected and logged: date, amount and payment method</t>
        </is>
      </c>
      <c r="C7" s="50" t="inlineStr">
        <is>
          <t>Accounting</t>
        </is>
      </c>
      <c r="D7" s="50" t="inlineStr">
        <is>
          <t>By 15 days out</t>
        </is>
      </c>
      <c r="E7" s="50" t="n"/>
      <c r="F7" s="50" t="n"/>
      <c r="G7" s="50" t="n"/>
    </row>
    <row r="8">
      <c r="A8" s="51" t="n">
        <v>4</v>
      </c>
      <c r="B8" s="52" t="inlineStr">
        <is>
          <t>Payment method for the balance agreed (check, ACH, card or cash) and payment terms in writing</t>
        </is>
      </c>
      <c r="C8" s="50" t="inlineStr">
        <is>
          <t>Accounting</t>
        </is>
      </c>
      <c r="D8" s="50" t="inlineStr">
        <is>
          <t>By 15 days out</t>
        </is>
      </c>
      <c r="E8" s="50" t="n"/>
      <c r="F8" s="50" t="n"/>
      <c r="G8" s="50" t="n"/>
    </row>
    <row r="9">
      <c r="A9" s="48" t="n">
        <v>5</v>
      </c>
      <c r="B9" s="49" t="inlineStr">
        <is>
          <t>Complete billing details: legal name, address and billing email and, if the client is tax-exempt, their exemption certificate</t>
        </is>
      </c>
      <c r="C9" s="50" t="inlineStr">
        <is>
          <t>Accounting</t>
        </is>
      </c>
      <c r="D9" s="50" t="inlineStr">
        <is>
          <t>By 15 days out</t>
        </is>
      </c>
      <c r="E9" s="50" t="n"/>
      <c r="F9" s="50" t="n"/>
      <c r="G9" s="50" t="n"/>
    </row>
    <row r="10">
      <c r="A10" s="51" t="n">
        <v>6</v>
      </c>
      <c r="B10" s="52" t="inlineStr">
        <is>
          <t>Checked that the client has no earlier unpaid invoices (look in the "Event Billing Log")</t>
        </is>
      </c>
      <c r="C10" s="50" t="inlineStr">
        <is>
          <t>Accounting</t>
        </is>
      </c>
      <c r="D10" s="50" t="inlineStr">
        <is>
          <t>By 15 days out</t>
        </is>
      </c>
      <c r="E10" s="50" t="n"/>
      <c r="F10" s="50" t="n"/>
      <c r="G10" s="50" t="n"/>
    </row>
    <row r="11">
      <c r="A11" s="48" t="n">
        <v>7</v>
      </c>
      <c r="B11" s="49" t="inlineStr">
        <is>
          <t>Cancellation and change terms sent in writing and accepted</t>
        </is>
      </c>
      <c r="C11" s="50" t="inlineStr">
        <is>
          <t>Sales</t>
        </is>
      </c>
      <c r="D11" s="50" t="inlineStr">
        <is>
          <t>By 7 days out</t>
        </is>
      </c>
      <c r="E11" s="50" t="n"/>
      <c r="F11" s="50" t="n"/>
      <c r="G11" s="50" t="n"/>
    </row>
    <row r="12">
      <c r="A12" s="51" t="n">
        <v>8</v>
      </c>
      <c r="B12" s="52" t="inlineStr">
        <is>
          <t>Outside vendors for the event (tent, sound, smallwares rental) with the order closed and their payment or deposit made</t>
        </is>
      </c>
      <c r="C12" s="50" t="inlineStr">
        <is>
          <t>Event manager</t>
        </is>
      </c>
      <c r="D12" s="50" t="inlineStr">
        <is>
          <t>By 7 days out</t>
        </is>
      </c>
      <c r="E12" s="50" t="n"/>
      <c r="F12" s="50" t="n"/>
      <c r="G12" s="50" t="n"/>
    </row>
    <row r="13">
      <c r="A13" s="48" t="n">
        <v>9</v>
      </c>
      <c r="B13" s="49" t="inlineStr">
        <is>
          <t>Event costing closed and margin checked before producing</t>
        </is>
      </c>
      <c r="C13" s="50" t="inlineStr">
        <is>
          <t>Owner / GM</t>
        </is>
      </c>
      <c r="D13" s="50" t="inlineStr">
        <is>
          <t>By 7 days out</t>
        </is>
      </c>
      <c r="E13" s="50" t="n"/>
      <c r="F13" s="50" t="n"/>
      <c r="G13" s="50" t="n"/>
    </row>
    <row r="14">
      <c r="A14" s="51" t="n">
        <v>10</v>
      </c>
      <c r="B14" s="52" t="inlineStr">
        <is>
          <t>COI (certificate of insurance) for general liability (and liquor liability if you serve alcohol) in force, with the venue as additional insured if it asks</t>
        </is>
      </c>
      <c r="C14" s="50" t="inlineStr">
        <is>
          <t>Owner / GM</t>
        </is>
      </c>
      <c r="D14" s="50" t="inlineStr">
        <is>
          <t>By 7 days out</t>
        </is>
      </c>
      <c r="E14" s="50" t="n"/>
      <c r="F14" s="50" t="n"/>
      <c r="G14" s="50" t="n"/>
    </row>
    <row r="15">
      <c r="A15" s="48" t="n">
        <v>11</v>
      </c>
      <c r="B15" s="49" t="inlineStr">
        <is>
          <t>Allergies and intolerances received from the client in writing and passed to the kitchen</t>
        </is>
      </c>
      <c r="C15" s="50" t="inlineStr">
        <is>
          <t>Event manager</t>
        </is>
      </c>
      <c r="D15" s="50" t="inlineStr">
        <is>
          <t>By 3 days out</t>
        </is>
      </c>
      <c r="E15" s="50" t="n"/>
      <c r="F15" s="50" t="n"/>
      <c r="G15" s="50" t="n"/>
    </row>
    <row r="16">
      <c r="A16" s="51" t="n">
        <v>12</v>
      </c>
      <c r="B16" s="52" t="inlineStr">
        <is>
          <t>Only if there will be a cash bar: starting bank prepared and logged in the optional section of "Event Settlement"</t>
        </is>
      </c>
      <c r="C16" s="50" t="inlineStr">
        <is>
          <t>Accounting</t>
        </is>
      </c>
      <c r="D16" s="50" t="inlineStr">
        <is>
          <t>Day before</t>
        </is>
      </c>
      <c r="E16" s="50" t="n"/>
      <c r="F16" s="50" t="n"/>
      <c r="G16" s="50" t="n"/>
    </row>
    <row r="17">
      <c r="A17" s="50" t="n"/>
      <c r="B17" s="53" t="n"/>
      <c r="C17" s="50" t="n"/>
      <c r="D17" s="50" t="n"/>
      <c r="E17" s="50" t="n"/>
      <c r="F17" s="50" t="n"/>
      <c r="G17" s="50" t="n"/>
    </row>
    <row r="18">
      <c r="A18" s="50" t="n"/>
      <c r="B18" s="53" t="n"/>
      <c r="C18" s="50" t="n"/>
      <c r="D18" s="50" t="n"/>
      <c r="E18" s="50" t="n"/>
      <c r="F18" s="50" t="n"/>
      <c r="G18" s="50" t="n"/>
    </row>
    <row r="19">
      <c r="A19" s="50" t="n"/>
      <c r="B19" s="53" t="n"/>
      <c r="C19" s="50" t="n"/>
      <c r="D19" s="50" t="n"/>
      <c r="E19" s="50" t="n"/>
      <c r="F19" s="50" t="n"/>
      <c r="G19" s="50" t="n"/>
    </row>
    <row r="20">
      <c r="A20" s="50" t="n"/>
      <c r="B20" s="53" t="n"/>
      <c r="C20" s="50" t="n"/>
      <c r="D20" s="50" t="n"/>
      <c r="E20" s="50" t="n"/>
      <c r="F20" s="50" t="n"/>
      <c r="G20" s="50" t="n"/>
    </row>
    <row r="21">
      <c r="A21" s="50" t="n"/>
      <c r="B21" s="53" t="n"/>
      <c r="C21" s="50" t="n"/>
      <c r="D21" s="50" t="n"/>
      <c r="E21" s="50" t="n"/>
      <c r="F21" s="50" t="n"/>
      <c r="G21" s="50" t="n"/>
    </row>
    <row r="23" ht="22" customHeight="1">
      <c r="A23" s="13" t="inlineStr">
        <is>
          <t>Tasks done:</t>
        </is>
      </c>
      <c r="C23">
        <f>COUNTIFS(B5:B21,"?*",E5:E21,"✓")</f>
        <v>0.0</v>
      </c>
      <c r="D23" t="inlineStr">
        <is>
          <t>of</t>
        </is>
      </c>
      <c r="E23">
        <f>COUNTIF(B5:B21,"?*")-COUNTIF(E5:E21,"N/A")</f>
        <v>12.0</v>
      </c>
    </row>
    <row r="25" ht="30" customHeight="1">
      <c r="A25" s="5" t="inlineStr">
        <is>
          <t>Signed off by: _________________________     Date: ____/____/________</t>
        </is>
      </c>
    </row>
    <row r="26">
      <c r="A26" s="14" t="inlineStr">
        <is>
          <t>— Catering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6">
    <mergeCell ref="A1:G1"/>
    <mergeCell ref="A23:B23"/>
    <mergeCell ref="A26:G26"/>
    <mergeCell ref="A25:G25"/>
    <mergeCell ref="D2:G2"/>
    <mergeCell ref="A2:C2"/>
  </mergeCells>
  <conditionalFormatting sqref="A5:G21">
    <cfRule type="expression" priority="1" dxfId="3">
      <formula>$E5="✓"</formula>
    </cfRule>
  </conditionalFormatting>
  <dataValidations count="1">
    <dataValidation sqref="E5 E6 E7 E8 E9 E10 E11 E12 E13 E14 E15 E16 E17 E18 E19 E20 E21"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26"/>
  <sheetViews>
    <sheetView workbookViewId="0">
      <pane ySplit="4" topLeftCell="A5" activePane="bottomLeft" state="frozen"/>
      <selection pane="bottomLeft" activeCell="A1" sqref="A1"/>
    </sheetView>
  </sheetViews>
  <sheetFormatPr baseColWidth="8" defaultRowHeight="15"/>
  <cols>
    <col width="10" customWidth="1" min="1" max="1"/>
    <col width="50" customWidth="1" min="2" max="2"/>
    <col width="20" customWidth="1" min="3" max="3"/>
    <col width="13" customWidth="1" min="4" max="4"/>
    <col width="14" customWidth="1" min="5" max="5"/>
    <col width="14" customWidth="1" min="6" max="6"/>
    <col width="25" customWidth="1" min="7" max="7"/>
  </cols>
  <sheetData>
    <row r="1" ht="40" customHeight="1">
      <c r="A1" s="4" t="inlineStr">
        <is>
          <t>After the Event</t>
        </is>
      </c>
    </row>
    <row r="2" ht="28" customHeight="1">
      <c r="A2" s="5" t="inlineStr">
        <is>
          <t>Event / client: _________________________</t>
        </is>
      </c>
      <c r="D2" s="5" t="inlineStr">
        <is>
          <t>Event date: ____/____/________    Manager: _________________________</t>
        </is>
      </c>
    </row>
    <row r="3" ht="8" customHeight="1"/>
    <row r="4" ht="28" customHeight="1">
      <c r="A4" s="7" t="inlineStr">
        <is>
          <t>#</t>
        </is>
      </c>
      <c r="B4" s="7" t="inlineStr">
        <is>
          <t>Task</t>
        </is>
      </c>
      <c r="C4" s="7" t="inlineStr">
        <is>
          <t>Assigned to</t>
        </is>
      </c>
      <c r="D4" s="7" t="inlineStr">
        <is>
          <t>When</t>
        </is>
      </c>
      <c r="E4" s="7" t="inlineStr">
        <is>
          <t>✓ Done</t>
        </is>
      </c>
      <c r="F4" s="7" t="inlineStr">
        <is>
          <t>Initials</t>
        </is>
      </c>
      <c r="G4" s="7" t="inlineStr">
        <is>
          <t>Notes</t>
        </is>
      </c>
    </row>
    <row r="5">
      <c r="A5" s="48" t="n">
        <v>1</v>
      </c>
      <c r="B5" s="49" t="inlineStr">
        <is>
          <t>Actual count of guests vs. the guaranteed count, logged the same day; bill what your contract says (normally the greater of the two)</t>
        </is>
      </c>
      <c r="C5" s="50" t="inlineStr">
        <is>
          <t>Event manager</t>
        </is>
      </c>
      <c r="D5" s="50" t="inlineStr">
        <is>
          <t>Event day</t>
        </is>
      </c>
      <c r="E5" s="50" t="n"/>
      <c r="F5" s="50" t="n"/>
      <c r="G5" s="50" t="n"/>
    </row>
    <row r="6">
      <c r="A6" s="51" t="n">
        <v>2</v>
      </c>
      <c r="B6" s="52" t="inlineStr">
        <is>
          <t>Extras used logged: extra staff hours, drinks, add-ons and breakage</t>
        </is>
      </c>
      <c r="C6" s="50" t="inlineStr">
        <is>
          <t>Event manager</t>
        </is>
      </c>
      <c r="D6" s="50" t="inlineStr">
        <is>
          <t>Event day</t>
        </is>
      </c>
      <c r="E6" s="50" t="n"/>
      <c r="F6" s="50" t="n"/>
      <c r="G6" s="50" t="n"/>
    </row>
    <row r="7">
      <c r="A7" s="48" t="n">
        <v>3</v>
      </c>
      <c r="B7" s="49" t="inlineStr">
        <is>
          <t>Only if there was a cash bar: cash count in the optional section of "Event Settlement"</t>
        </is>
      </c>
      <c r="C7" s="50" t="inlineStr">
        <is>
          <t>Accounting</t>
        </is>
      </c>
      <c r="D7" s="50" t="inlineStr">
        <is>
          <t>Event day</t>
        </is>
      </c>
      <c r="E7" s="50" t="n"/>
      <c r="F7" s="50" t="n"/>
      <c r="G7" s="50" t="n"/>
    </row>
    <row r="8">
      <c r="A8" s="51" t="n">
        <v>4</v>
      </c>
      <c r="B8" s="52" t="inlineStr">
        <is>
          <t>Breakage or incident charges communicated to the client before the invoice goes out, so they never show up on it as a surprise</t>
        </is>
      </c>
      <c r="C8" s="50" t="inlineStr">
        <is>
          <t>Event manager</t>
        </is>
      </c>
      <c r="D8" s="50" t="inlineStr">
        <is>
          <t>Day after</t>
        </is>
      </c>
      <c r="E8" s="50" t="n"/>
      <c r="F8" s="50" t="n"/>
      <c r="G8" s="50" t="n"/>
    </row>
    <row r="9">
      <c r="A9" s="48" t="n">
        <v>5</v>
      </c>
      <c r="B9" s="49" t="inlineStr">
        <is>
          <t>Invoice issued with the sales tax on what your state taxes and, on separate lines, the service charge and any gratuity</t>
        </is>
      </c>
      <c r="C9" s="50" t="inlineStr">
        <is>
          <t>Accounting</t>
        </is>
      </c>
      <c r="D9" s="50" t="inlineStr">
        <is>
          <t>Day after</t>
        </is>
      </c>
      <c r="E9" s="50" t="n"/>
      <c r="F9" s="50" t="n"/>
      <c r="G9" s="50" t="n"/>
    </row>
    <row r="10">
      <c r="A10" s="51" t="n">
        <v>6</v>
      </c>
      <c r="B10" s="52" t="inlineStr">
        <is>
          <t>Balance (total − deposit) communicated to the client with its due date</t>
        </is>
      </c>
      <c r="C10" s="50" t="inlineStr">
        <is>
          <t>Accounting</t>
        </is>
      </c>
      <c r="D10" s="50" t="inlineStr">
        <is>
          <t>Day after</t>
        </is>
      </c>
      <c r="E10" s="50" t="n"/>
      <c r="F10" s="50" t="n"/>
      <c r="G10" s="50" t="n"/>
    </row>
    <row r="11">
      <c r="A11" s="48" t="n">
        <v>7</v>
      </c>
      <c r="B11" s="49" t="inlineStr">
        <is>
          <t>"Event Settlement" filled in and logged as a row in the "Event Billing Log"</t>
        </is>
      </c>
      <c r="C11" s="50" t="inlineStr">
        <is>
          <t>Accounting</t>
        </is>
      </c>
      <c r="D11" s="50" t="inlineStr">
        <is>
          <t>Day after</t>
        </is>
      </c>
      <c r="E11" s="50" t="n"/>
      <c r="F11" s="50" t="n"/>
      <c r="G11" s="50" t="n"/>
    </row>
    <row r="12">
      <c r="A12" s="51" t="n">
        <v>8</v>
      </c>
      <c r="B12" s="52" t="inlineStr">
        <is>
          <t>Balance payment logged: date, payment method and reference</t>
        </is>
      </c>
      <c r="C12" s="50" t="inlineStr">
        <is>
          <t>Accounting</t>
        </is>
      </c>
      <c r="D12" s="50" t="inlineStr">
        <is>
          <t>7 days after</t>
        </is>
      </c>
      <c r="E12" s="50" t="n"/>
      <c r="F12" s="50" t="n"/>
      <c r="G12" s="50" t="n"/>
    </row>
    <row r="13">
      <c r="A13" s="48" t="n">
        <v>9</v>
      </c>
      <c r="B13" s="49" t="inlineStr">
        <is>
          <t>Payment reconciled with the bank statement (the money is in the account, not just promised)</t>
        </is>
      </c>
      <c r="C13" s="50" t="inlineStr">
        <is>
          <t>Accounting</t>
        </is>
      </c>
      <c r="D13" s="50" t="inlineStr">
        <is>
          <t>7 days after</t>
        </is>
      </c>
      <c r="E13" s="50" t="n"/>
      <c r="F13" s="50" t="n"/>
      <c r="G13" s="50" t="n"/>
    </row>
    <row r="14">
      <c r="A14" s="51" t="n">
        <v>10</v>
      </c>
      <c r="B14" s="52" t="inlineStr">
        <is>
          <t>Review or rating requested from the client while the event is fresh</t>
        </is>
      </c>
      <c r="C14" s="50" t="inlineStr">
        <is>
          <t>Sales</t>
        </is>
      </c>
      <c r="D14" s="50" t="inlineStr">
        <is>
          <t>7 days after</t>
        </is>
      </c>
      <c r="E14" s="50" t="n"/>
      <c r="F14" s="50" t="n"/>
      <c r="G14" s="50" t="n"/>
    </row>
    <row r="15">
      <c r="A15" s="48" t="n">
        <v>11</v>
      </c>
      <c r="B15" s="49" t="inlineStr">
        <is>
          <t>Event file archived: quote, invoice, BEO and incidents</t>
        </is>
      </c>
      <c r="C15" s="50" t="inlineStr">
        <is>
          <t>Accounting</t>
        </is>
      </c>
      <c r="D15" s="50" t="inlineStr">
        <is>
          <t>30 days after</t>
        </is>
      </c>
      <c r="E15" s="50" t="n"/>
      <c r="F15" s="50" t="n"/>
      <c r="G15" s="50" t="n"/>
    </row>
    <row r="16">
      <c r="A16" s="51" t="n">
        <v>12</v>
      </c>
      <c r="B16" s="52" t="inlineStr">
        <is>
          <t>OVERDUE balances in the "Event Billing Log" reviewed and chased one by one</t>
        </is>
      </c>
      <c r="C16" s="50" t="inlineStr">
        <is>
          <t>Owner / GM</t>
        </is>
      </c>
      <c r="D16" s="50" t="inlineStr">
        <is>
          <t>30 days after</t>
        </is>
      </c>
      <c r="E16" s="50" t="n"/>
      <c r="F16" s="50" t="n"/>
      <c r="G16" s="50" t="n"/>
    </row>
    <row r="17">
      <c r="A17" s="50" t="n"/>
      <c r="B17" s="53" t="n"/>
      <c r="C17" s="50" t="n"/>
      <c r="D17" s="50" t="n"/>
      <c r="E17" s="50" t="n"/>
      <c r="F17" s="50" t="n"/>
      <c r="G17" s="50" t="n"/>
    </row>
    <row r="18">
      <c r="A18" s="50" t="n"/>
      <c r="B18" s="53" t="n"/>
      <c r="C18" s="50" t="n"/>
      <c r="D18" s="50" t="n"/>
      <c r="E18" s="50" t="n"/>
      <c r="F18" s="50" t="n"/>
      <c r="G18" s="50" t="n"/>
    </row>
    <row r="19">
      <c r="A19" s="50" t="n"/>
      <c r="B19" s="53" t="n"/>
      <c r="C19" s="50" t="n"/>
      <c r="D19" s="50" t="n"/>
      <c r="E19" s="50" t="n"/>
      <c r="F19" s="50" t="n"/>
      <c r="G19" s="50" t="n"/>
    </row>
    <row r="20">
      <c r="A20" s="50" t="n"/>
      <c r="B20" s="53" t="n"/>
      <c r="C20" s="50" t="n"/>
      <c r="D20" s="50" t="n"/>
      <c r="E20" s="50" t="n"/>
      <c r="F20" s="50" t="n"/>
      <c r="G20" s="50" t="n"/>
    </row>
    <row r="21">
      <c r="A21" s="50" t="n"/>
      <c r="B21" s="53" t="n"/>
      <c r="C21" s="50" t="n"/>
      <c r="D21" s="50" t="n"/>
      <c r="E21" s="50" t="n"/>
      <c r="F21" s="50" t="n"/>
      <c r="G21" s="50" t="n"/>
    </row>
    <row r="23" ht="22" customHeight="1">
      <c r="A23" s="13" t="inlineStr">
        <is>
          <t>Tasks done:</t>
        </is>
      </c>
      <c r="C23">
        <f>COUNTIFS(B5:B21,"?*",E5:E21,"✓")</f>
        <v>0.0</v>
      </c>
      <c r="D23" t="inlineStr">
        <is>
          <t>of</t>
        </is>
      </c>
      <c r="E23">
        <f>COUNTIF(B5:B21,"?*")-COUNTIF(E5:E21,"N/A")</f>
        <v>12.0</v>
      </c>
    </row>
    <row r="25" ht="30" customHeight="1">
      <c r="A25" s="5" t="inlineStr">
        <is>
          <t>Signed off by: _________________________     Date: ____/____/________</t>
        </is>
      </c>
    </row>
    <row r="26">
      <c r="A26" s="14" t="inlineStr">
        <is>
          <t>— Catering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6">
    <mergeCell ref="A1:G1"/>
    <mergeCell ref="A23:B23"/>
    <mergeCell ref="A26:G26"/>
    <mergeCell ref="A25:G25"/>
    <mergeCell ref="D2:G2"/>
    <mergeCell ref="A2:C2"/>
  </mergeCells>
  <conditionalFormatting sqref="A5:G21">
    <cfRule type="expression" priority="1" dxfId="3">
      <formula>$E5="✓"</formula>
    </cfRule>
  </conditionalFormatting>
  <dataValidations count="1">
    <dataValidation sqref="E5 E6 E7 E8 E9 E10 E11 E12 E13 E14 E15 E16 E17 E18 E19 E20 E21"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51"/>
  <sheetViews>
    <sheetView workbookViewId="0">
      <pane ySplit="4" topLeftCell="A5" activePane="bottomLeft" state="frozen"/>
      <selection pane="bottomLeft" activeCell="A1" sqref="A1"/>
    </sheetView>
  </sheetViews>
  <sheetFormatPr baseColWidth="8" defaultRowHeight="15"/>
  <cols>
    <col width="34" customWidth="1" min="1" max="1"/>
    <col width="22" customWidth="1" min="2" max="2"/>
    <col width="18" customWidth="1" min="3" max="3"/>
    <col width="46" customWidth="1" min="4" max="4"/>
  </cols>
  <sheetData>
    <row r="1" ht="40" customHeight="1">
      <c r="A1" s="4" t="inlineStr">
        <is>
          <t>Event Settlement</t>
        </is>
      </c>
    </row>
    <row r="2" ht="28" customHeight="1">
      <c r="A2" s="5" t="inlineStr">
        <is>
          <t>Fill in ONLY the green cells</t>
        </is>
      </c>
      <c r="C2" s="5" t="inlineStr">
        <is>
          <t>Invoice #: ______________</t>
        </is>
      </c>
    </row>
    <row r="3" ht="8" customHeight="1"/>
    <row r="4" ht="28" customHeight="1">
      <c r="A4" s="7" t="inlineStr">
        <is>
          <t>Item</t>
        </is>
      </c>
      <c r="B4" s="15" t="n"/>
      <c r="C4" s="7" t="inlineStr">
        <is>
          <t>Amount ($)</t>
        </is>
      </c>
      <c r="D4" s="7" t="inlineStr">
        <is>
          <t>What to enter</t>
        </is>
      </c>
    </row>
    <row r="5" ht="22" customHeight="1">
      <c r="A5" s="9" t="inlineStr">
        <is>
          <t>Event / client</t>
        </is>
      </c>
      <c r="B5" s="15" t="n"/>
      <c r="C5" s="50" t="n"/>
      <c r="D5" s="17" t="inlineStr">
        <is>
          <t>Name of the event and of the client being invoiced.</t>
        </is>
      </c>
    </row>
    <row r="6" ht="22" customHeight="1">
      <c r="A6" s="12" t="inlineStr">
        <is>
          <t>Event date</t>
        </is>
      </c>
      <c r="B6" s="15" t="n"/>
      <c r="C6" s="60" t="n"/>
      <c r="D6" s="20" t="inlineStr">
        <is>
          <t>The day of service, not the day the quote was signed.</t>
        </is>
      </c>
    </row>
    <row r="7" ht="22" customHeight="1">
      <c r="A7" s="9" t="inlineStr">
        <is>
          <t>Guaranteed count</t>
        </is>
      </c>
      <c r="B7" s="15" t="n"/>
      <c r="C7" s="55" t="n"/>
      <c r="D7" s="17" t="inlineStr">
        <is>
          <t>The guaranteed count on the accepted quote.</t>
        </is>
      </c>
    </row>
    <row r="8" ht="22" customHeight="1">
      <c r="A8" s="12" t="inlineStr">
        <is>
          <t>Actual count</t>
        </is>
      </c>
      <c r="B8" s="15" t="n"/>
      <c r="C8" s="55" t="n"/>
      <c r="D8" s="20" t="inlineStr">
        <is>
          <t>The actual count. The difference is what gets argued over at invoicing: log it the same day.</t>
        </is>
      </c>
    </row>
    <row r="9" ht="26" customHeight="1">
      <c r="A9" s="22" t="inlineStr">
        <is>
          <t>🧾 Subtotals &amp; sales tax</t>
        </is>
      </c>
    </row>
    <row r="10" ht="30.5" customHeight="1">
      <c r="A10" s="12" t="inlineStr">
        <is>
          <t>Accepted quote (before tax)</t>
        </is>
      </c>
      <c r="B10" s="15" t="n"/>
      <c r="C10" s="61" t="n">
        <v>0</v>
      </c>
      <c r="D10" s="20" t="inlineStr">
        <is>
          <t>The accepted amount BEFORE sales tax, mandatory service charge included if your quote has one.</t>
        </is>
      </c>
    </row>
    <row r="11" ht="22" customHeight="1">
      <c r="A11" s="9" t="inlineStr">
        <is>
          <t>Extras (before tax)</t>
        </is>
      </c>
      <c r="B11" s="15" t="n"/>
      <c r="C11" s="61" t="n">
        <v>0</v>
      </c>
      <c r="D11" s="17" t="inlineStr">
        <is>
          <t>Extra staff hours, extra drinks, add-ons and breakage charges; before sales tax.</t>
        </is>
      </c>
    </row>
    <row r="12" ht="36.75" customHeight="1">
      <c r="A12" s="12" t="inlineStr">
        <is>
          <t>Taxable subtotal</t>
        </is>
      </c>
      <c r="B12" s="15" t="n"/>
      <c r="C12" s="61" t="n">
        <v>0</v>
      </c>
      <c r="D12" s="20" t="inlineStr">
        <is>
          <t>What your state taxes: in many states food, drinks, rentals and the mandatory service charge (ask your CPA or the department of revenue).</t>
        </is>
      </c>
    </row>
    <row r="13" ht="42.75" customHeight="1">
      <c r="A13" s="9" t="inlineStr">
        <is>
          <t>Non-taxable subtotal</t>
        </is>
      </c>
      <c r="B13" s="15" t="n"/>
      <c r="C13" s="61" t="n">
        <v>0</v>
      </c>
      <c r="D13" s="17" t="inlineStr">
        <is>
          <t>What is exempt in your state, or everything if the client is tax-exempt with their certificate; 0 if everything carries sales tax. The gratuity doesn't go here.</t>
        </is>
      </c>
    </row>
    <row r="14" ht="30" customHeight="1">
      <c r="A14" s="12" t="inlineStr">
        <is>
          <t>Check: the two subtotals must add up to quote + extras</t>
        </is>
      </c>
      <c r="B14" s="15" t="n"/>
      <c r="C14" s="11">
        <f>IF(C10+C11+C12+C13=0,"",IF(ABS(C12+C13-C10-C11)&lt;=0.01,"OK: the two subtotals add up to quote + extras","CHECK: the two subtotals do not add up to quote + extras"))</f>
        <v/>
      </c>
      <c r="D14" s="20" t="inlineStr">
        <is>
          <t>If it doesn't add up, check the split: the invoice total comes from these two subtotals, not from the quote.</t>
        </is>
      </c>
    </row>
    <row r="15" ht="30.5" customHeight="1">
      <c r="A15" s="9" t="inlineStr">
        <is>
          <t>Sales tax (rate set in Event Billing Log C3)</t>
        </is>
      </c>
      <c r="B15" s="15" t="n"/>
      <c r="C15" s="62">
        <f>IFERROR(ROUND(C12*'Event Billing Log'!$C$3,2),0)</f>
        <v>0.0</v>
      </c>
      <c r="D15" s="17" t="inlineStr">
        <is>
          <t>Formula: taxable subtotal × the rate in Event Billing Log C3. It stays at $0 until you enter your rate there.</t>
        </is>
      </c>
    </row>
    <row r="16" ht="30.5" customHeight="1">
      <c r="A16" s="12" t="inlineStr">
        <is>
          <t>Non-taxable subtotal: no sales tax</t>
        </is>
      </c>
      <c r="B16" s="15" t="n"/>
      <c r="C16" s="63">
        <f>IFERROR(ROUND(C13*0,2),0)</f>
        <v>0.0</v>
      </c>
      <c r="D16" s="20" t="inlineStr">
        <is>
          <t>Always $0: exempt items and tax-exempt clients carry no sales tax. Nothing to enter.</t>
        </is>
      </c>
    </row>
    <row r="17" ht="22" customHeight="1">
      <c r="A17" s="26" t="inlineStr">
        <is>
          <t>INVOICE TOTAL</t>
        </is>
      </c>
      <c r="B17" s="15" t="n"/>
      <c r="C17" s="64">
        <f>IFERROR(C12+C13+C15+C16,0)</f>
        <v>0.0</v>
      </c>
      <c r="D17" s="17" t="inlineStr">
        <is>
          <t>The two subtotals plus the sales tax: what the invoice says.</t>
        </is>
      </c>
    </row>
    <row r="18" ht="26" customHeight="1">
      <c r="A18" s="22" t="inlineStr">
        <is>
          <t>💰 Deposit, balance &amp; payment</t>
        </is>
      </c>
    </row>
    <row r="19" ht="22" customHeight="1">
      <c r="A19" s="9" t="inlineStr">
        <is>
          <t>Deposit received (−)</t>
        </is>
      </c>
      <c r="B19" s="15" t="n"/>
      <c r="C19" s="61" t="n">
        <v>0</v>
      </c>
      <c r="D19" s="17" t="inlineStr">
        <is>
          <t>What was collected at signing (the deposit, usually 30–50%); it is subtracted from the total.</t>
        </is>
      </c>
    </row>
    <row r="20" ht="22" customHeight="1">
      <c r="A20" s="12" t="inlineStr">
        <is>
          <t>Balance after deposit</t>
        </is>
      </c>
      <c r="B20" s="15" t="n"/>
      <c r="C20" s="63">
        <f>IFERROR(C17-C19,0)</f>
        <v>0.0</v>
      </c>
      <c r="D20" s="20" t="inlineStr">
        <is>
          <t>Formula: total − deposit. This is what gets invoiced at the end.</t>
        </is>
      </c>
    </row>
    <row r="21" ht="22" customHeight="1">
      <c r="A21" s="9" t="inlineStr">
        <is>
          <t>Paid after the event</t>
        </is>
      </c>
      <c r="B21" s="15" t="n"/>
      <c r="C21" s="61" t="n">
        <v>0</v>
      </c>
      <c r="D21" s="17" t="inlineStr">
        <is>
          <t>What came in AFTER the event and is reconciled with the bank.</t>
        </is>
      </c>
    </row>
    <row r="22" ht="22" customHeight="1">
      <c r="A22" s="26" t="inlineStr">
        <is>
          <t>BALANCE DUE</t>
        </is>
      </c>
      <c r="B22" s="15" t="n"/>
      <c r="C22" s="64">
        <f>IFERROR(C20-C21,0)</f>
        <v>0.0</v>
      </c>
      <c r="D22" s="20" t="inlineStr">
        <is>
          <t>Formula: balance − paid. Amber while anything is left to collect.</t>
        </is>
      </c>
    </row>
    <row r="23" ht="22" customHeight="1">
      <c r="A23" s="9" t="inlineStr">
        <is>
          <t>Balance due date</t>
        </is>
      </c>
      <c r="B23" s="15" t="n"/>
      <c r="C23" s="60" t="n"/>
      <c r="D23" s="17" t="inlineStr">
        <is>
          <t>The date you agreed with the client. Without it, the status can never say OVERDUE.</t>
        </is>
      </c>
    </row>
    <row r="24" ht="38.25" customHeight="1">
      <c r="A24" s="26" t="inlineStr">
        <is>
          <t>STATUS</t>
        </is>
      </c>
      <c r="B24" s="15" t="n"/>
      <c r="C24" s="29">
        <f>IF(C17&lt;=0,"",IF(C22&lt;=0.01,"Paid",IF(C23="","Pending",IF(TODAY()&gt;C23,"OVERDUE","Pending"))))</f>
        <v/>
      </c>
      <c r="D24" s="20" t="inlineStr">
        <is>
          <t>"Paid" if not a cent is left · "Pending" while there is still a balance · "OVERDUE" if the due date has also passed.</t>
        </is>
      </c>
    </row>
    <row r="26" ht="26" customHeight="1">
      <c r="A26" s="22" t="inlineStr">
        <is>
          <t>💰 Only if there was a CASH bar</t>
        </is>
      </c>
    </row>
    <row r="27" ht="30" customHeight="1">
      <c r="A27" s="30" t="inlineStr">
        <is>
          <t>Count the cash in dollars and, if you like, add the "Net cash from the event" to "Paid after the event" yourself. It is NOT linked automatically: most events have no cash bar, and a fixed formula would leave a 0 subtracting where it shouldn't.</t>
        </is>
      </c>
    </row>
    <row r="28" ht="28" customHeight="1">
      <c r="A28" s="7" t="inlineStr">
        <is>
          <t>Denomination</t>
        </is>
      </c>
      <c r="B28" s="7" t="inlineStr">
        <is>
          <t>Quantity</t>
        </is>
      </c>
      <c r="C28" s="7" t="inlineStr">
        <is>
          <t>Subtotal ($)</t>
        </is>
      </c>
      <c r="D28" s="7" t="inlineStr">
        <is>
          <t>Enter only what is in the drawer</t>
        </is>
      </c>
    </row>
    <row r="29" ht="20" customHeight="1">
      <c r="A29" s="31" t="inlineStr">
        <is>
          <t>BILLS</t>
        </is>
      </c>
    </row>
    <row r="30" ht="20" customHeight="1">
      <c r="A30" s="32" t="inlineStr">
        <is>
          <t>$100</t>
        </is>
      </c>
      <c r="B30" s="55" t="n">
        <v>0</v>
      </c>
      <c r="C30" s="63">
        <f>IFERROR(B30*100,0)</f>
        <v>0.0</v>
      </c>
      <c r="D30" s="18" t="n"/>
    </row>
    <row r="31" ht="20" customHeight="1">
      <c r="A31" s="33" t="inlineStr">
        <is>
          <t>$50</t>
        </is>
      </c>
      <c r="B31" s="55" t="n">
        <v>0</v>
      </c>
      <c r="C31" s="62">
        <f>IFERROR(B31*50,0)</f>
        <v>0.0</v>
      </c>
      <c r="D31" s="16" t="n"/>
    </row>
    <row r="32" ht="20" customHeight="1">
      <c r="A32" s="32" t="inlineStr">
        <is>
          <t>$20</t>
        </is>
      </c>
      <c r="B32" s="55" t="n">
        <v>0</v>
      </c>
      <c r="C32" s="63">
        <f>IFERROR(B32*20,0)</f>
        <v>0.0</v>
      </c>
      <c r="D32" s="18" t="n"/>
    </row>
    <row r="33" ht="20" customHeight="1">
      <c r="A33" s="33" t="inlineStr">
        <is>
          <t>$10</t>
        </is>
      </c>
      <c r="B33" s="55" t="n">
        <v>0</v>
      </c>
      <c r="C33" s="62">
        <f>IFERROR(B33*10,0)</f>
        <v>0.0</v>
      </c>
      <c r="D33" s="16" t="n"/>
    </row>
    <row r="34" ht="20" customHeight="1">
      <c r="A34" s="32" t="inlineStr">
        <is>
          <t>$5</t>
        </is>
      </c>
      <c r="B34" s="55" t="n">
        <v>0</v>
      </c>
      <c r="C34" s="63">
        <f>IFERROR(B34*5,0)</f>
        <v>0.0</v>
      </c>
      <c r="D34" s="18" t="n"/>
    </row>
    <row r="35" ht="20" customHeight="1">
      <c r="A35" s="33" t="inlineStr">
        <is>
          <t>$2</t>
        </is>
      </c>
      <c r="B35" s="55" t="n">
        <v>0</v>
      </c>
      <c r="C35" s="62">
        <f>IFERROR(B35*2,0)</f>
        <v>0.0</v>
      </c>
      <c r="D35" s="16" t="n"/>
    </row>
    <row r="36" ht="20" customHeight="1">
      <c r="A36" s="32" t="inlineStr">
        <is>
          <t>$1</t>
        </is>
      </c>
      <c r="B36" s="55" t="n">
        <v>0</v>
      </c>
      <c r="C36" s="63">
        <f>IFERROR(B36*1,0)</f>
        <v>0.0</v>
      </c>
      <c r="D36" s="18" t="n"/>
    </row>
    <row r="37" ht="20" customHeight="1">
      <c r="A37" s="31" t="inlineStr">
        <is>
          <t>COINS</t>
        </is>
      </c>
    </row>
    <row r="38" ht="20" customHeight="1">
      <c r="A38" s="32" t="inlineStr">
        <is>
          <t>$1 coin</t>
        </is>
      </c>
      <c r="B38" s="55" t="n">
        <v>0</v>
      </c>
      <c r="C38" s="63">
        <f>IFERROR(B38*1,0)</f>
        <v>0.0</v>
      </c>
      <c r="D38" s="18" t="n"/>
    </row>
    <row r="39" ht="20" customHeight="1">
      <c r="A39" s="33" t="inlineStr">
        <is>
          <t>50¢</t>
        </is>
      </c>
      <c r="B39" s="55" t="n">
        <v>0</v>
      </c>
      <c r="C39" s="62">
        <f>IFERROR(B39*0.5,0)</f>
        <v>0.0</v>
      </c>
      <c r="D39" s="16" t="n"/>
    </row>
    <row r="40" ht="20" customHeight="1">
      <c r="A40" s="32" t="inlineStr">
        <is>
          <t>25¢</t>
        </is>
      </c>
      <c r="B40" s="55" t="n">
        <v>0</v>
      </c>
      <c r="C40" s="63">
        <f>IFERROR(B40*0.25,0)</f>
        <v>0.0</v>
      </c>
      <c r="D40" s="18" t="n"/>
    </row>
    <row r="41" ht="20" customHeight="1">
      <c r="A41" s="33" t="inlineStr">
        <is>
          <t>10¢</t>
        </is>
      </c>
      <c r="B41" s="55" t="n">
        <v>0</v>
      </c>
      <c r="C41" s="62">
        <f>IFERROR(B41*0.1,0)</f>
        <v>0.0</v>
      </c>
      <c r="D41" s="16" t="n"/>
    </row>
    <row r="42" ht="20" customHeight="1">
      <c r="A42" s="32" t="inlineStr">
        <is>
          <t>5¢</t>
        </is>
      </c>
      <c r="B42" s="55" t="n">
        <v>0</v>
      </c>
      <c r="C42" s="63">
        <f>IFERROR(B42*0.05,0)</f>
        <v>0.0</v>
      </c>
      <c r="D42" s="18" t="n"/>
    </row>
    <row r="43" ht="20" customHeight="1">
      <c r="A43" s="33" t="inlineStr">
        <is>
          <t>1¢</t>
        </is>
      </c>
      <c r="B43" s="55" t="n">
        <v>0</v>
      </c>
      <c r="C43" s="62">
        <f>IFERROR(B43*0.01,0)</f>
        <v>0.0</v>
      </c>
      <c r="D43" s="16" t="n"/>
    </row>
    <row r="44" ht="20" customHeight="1">
      <c r="A44" s="32" t="inlineStr">
        <is>
          <t>25¢ roll</t>
        </is>
      </c>
      <c r="B44" s="55" t="n">
        <v>0</v>
      </c>
      <c r="C44" s="63">
        <f>IFERROR(B44*10,0)</f>
        <v>0.0</v>
      </c>
      <c r="D44" s="18" t="n"/>
    </row>
    <row r="45" ht="20" customHeight="1">
      <c r="A45" s="33" t="inlineStr">
        <is>
          <t>10¢ roll</t>
        </is>
      </c>
      <c r="B45" s="55" t="n">
        <v>0</v>
      </c>
      <c r="C45" s="62">
        <f>IFERROR(B45*5,0)</f>
        <v>0.0</v>
      </c>
      <c r="D45" s="16" t="n"/>
    </row>
    <row r="46" ht="24" customHeight="1">
      <c r="A46" s="34" t="inlineStr">
        <is>
          <t>TOTAL CASH</t>
        </is>
      </c>
      <c r="C46" s="65">
        <f>IFERROR(SUM(C30:C45),0)</f>
        <v>0.0</v>
      </c>
      <c r="D46" s="35" t="n"/>
    </row>
    <row r="47" ht="22" customHeight="1">
      <c r="A47" s="9" t="inlineStr">
        <is>
          <t>Cash bar starting bank (−)</t>
        </is>
      </c>
      <c r="B47" s="15" t="n"/>
      <c r="C47" s="61" t="n">
        <v>0</v>
      </c>
      <c r="D47" s="17" t="inlineStr">
        <is>
          <t>The change the bar started with. It is not a sale.</t>
        </is>
      </c>
    </row>
    <row r="48" ht="22" customHeight="1">
      <c r="A48" s="26" t="inlineStr">
        <is>
          <t>Net cash from the event</t>
        </is>
      </c>
      <c r="B48" s="15" t="n"/>
      <c r="C48" s="64">
        <f>IFERROR(C46-C47,0)</f>
        <v>0.0</v>
      </c>
      <c r="D48" s="20" t="inlineStr">
        <is>
          <t>Formula: total counted − starting bank. This one does count as event payment.</t>
        </is>
      </c>
    </row>
    <row r="50" ht="30" customHeight="1">
      <c r="A50" s="5" t="inlineStr">
        <is>
          <t>Signed off by: _________________________     Date: ____/____/________</t>
        </is>
      </c>
    </row>
    <row r="51">
      <c r="A51" s="14" t="inlineStr">
        <is>
          <t>— Catering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33">
    <mergeCell ref="A48:B48"/>
    <mergeCell ref="A24:B24"/>
    <mergeCell ref="A15:B15"/>
    <mergeCell ref="A11:B11"/>
    <mergeCell ref="A29:D29"/>
    <mergeCell ref="A6:B6"/>
    <mergeCell ref="A9:D9"/>
    <mergeCell ref="A16:B16"/>
    <mergeCell ref="A7:B7"/>
    <mergeCell ref="A46:B46"/>
    <mergeCell ref="A51:D51"/>
    <mergeCell ref="A12:B12"/>
    <mergeCell ref="A1:D1"/>
    <mergeCell ref="A21:B21"/>
    <mergeCell ref="A2:B2"/>
    <mergeCell ref="C2:D2"/>
    <mergeCell ref="A47:B47"/>
    <mergeCell ref="A5:B5"/>
    <mergeCell ref="A14:B14"/>
    <mergeCell ref="A23:B23"/>
    <mergeCell ref="A17:B17"/>
    <mergeCell ref="A8:B8"/>
    <mergeCell ref="A22:B22"/>
    <mergeCell ref="A4:B4"/>
    <mergeCell ref="A37:D37"/>
    <mergeCell ref="A18:D18"/>
    <mergeCell ref="A27:D27"/>
    <mergeCell ref="A20:B20"/>
    <mergeCell ref="A50:D50"/>
    <mergeCell ref="A19:B19"/>
    <mergeCell ref="A26:D26"/>
    <mergeCell ref="A10:B10"/>
    <mergeCell ref="A13:B13"/>
  </mergeCells>
  <conditionalFormatting sqref="C22">
    <cfRule type="cellIs" priority="1" operator="greaterThan" dxfId="0">
      <formula>0.01</formula>
    </cfRule>
  </conditionalFormatting>
  <conditionalFormatting sqref="C24">
    <cfRule type="cellIs" priority="2" operator="equal" dxfId="1">
      <formula>"OVERDUE"</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K37"/>
  <sheetViews>
    <sheetView workbookViewId="0">
      <pane ySplit="5" topLeftCell="A6" activePane="bottomLeft" state="frozen"/>
      <selection pane="bottomLeft" activeCell="A1" sqref="A1"/>
    </sheetView>
  </sheetViews>
  <sheetFormatPr baseColWidth="8" defaultRowHeight="15"/>
  <cols>
    <col width="12" customWidth="1" min="1" max="1"/>
    <col width="32" customWidth="1" min="2" max="2"/>
    <col width="12" customWidth="1" min="3" max="3"/>
    <col width="22" customWidth="1" min="4" max="4"/>
    <col width="16" customWidth="1" min="5" max="5"/>
    <col width="14" customWidth="1" min="6" max="6"/>
    <col width="14" customWidth="1" min="7" max="7"/>
    <col width="14" customWidth="1" min="8" max="8"/>
    <col width="18" customWidth="1" min="9" max="9"/>
    <col width="14" customWidth="1" min="10" max="10"/>
    <col width="14" customWidth="1" min="11" max="11"/>
  </cols>
  <sheetData>
    <row r="1" ht="40" customHeight="1">
      <c r="A1" s="4" t="inlineStr">
        <is>
          <t>Event Billing Log</t>
        </is>
      </c>
    </row>
    <row r="2" ht="28" customHeight="1">
      <c r="A2" s="5" t="inlineStr">
        <is>
          <t>Year: ________</t>
        </is>
      </c>
      <c r="G2" s="5" t="inlineStr">
        <is>
          <t>Billing manager: ______________</t>
        </is>
      </c>
    </row>
    <row r="3" ht="30.5" customHeight="1">
      <c r="A3" s="37" t="inlineStr">
        <is>
          <t>Sales tax rate (state + local) — set it first</t>
        </is>
      </c>
      <c r="C3" s="66" t="n">
        <v>0</v>
      </c>
      <c r="D3" s="30" t="inlineStr">
        <is>
          <t>0 = no sales tax until you enter your combined rate (state + local), e.g. 0.0825 for 8.25%. "Event Settlement" applies it to the taxable subtotal; here it is applied to the whole base, so "Invoice total" is an estimate if part of the event is exempt: the exact figure is in "Event Settlement".</t>
        </is>
      </c>
    </row>
    <row r="4" ht="8" customHeight="1"/>
    <row r="5" ht="28" customHeight="1">
      <c r="A5" s="7" t="inlineStr">
        <is>
          <t>Date</t>
        </is>
      </c>
      <c r="B5" s="7" t="inlineStr">
        <is>
          <t>Event / client</t>
        </is>
      </c>
      <c r="C5" s="7" t="inlineStr">
        <is>
          <t>Guests</t>
        </is>
      </c>
      <c r="D5" s="7" t="inlineStr">
        <is>
          <t>Pre-tax (quote + extras)</t>
        </is>
      </c>
      <c r="E5" s="7" t="inlineStr">
        <is>
          <t>Invoice total</t>
        </is>
      </c>
      <c r="F5" s="7" t="inlineStr">
        <is>
          <t>Deposit</t>
        </is>
      </c>
      <c r="G5" s="7" t="inlineStr">
        <is>
          <t>Paid</t>
        </is>
      </c>
      <c r="H5" s="7" t="inlineStr">
        <is>
          <t>Balance due</t>
        </is>
      </c>
      <c r="I5" s="7" t="inlineStr">
        <is>
          <t>Payment method</t>
        </is>
      </c>
      <c r="J5" s="7" t="inlineStr">
        <is>
          <t>Due date</t>
        </is>
      </c>
      <c r="K5" s="7" t="inlineStr">
        <is>
          <t>Status</t>
        </is>
      </c>
    </row>
    <row r="6" ht="22" customHeight="1">
      <c r="A6" s="67" t="n"/>
      <c r="B6" s="53" t="n"/>
      <c r="C6" s="59" t="n"/>
      <c r="D6" s="61" t="n">
        <v>0</v>
      </c>
      <c r="E6" s="63">
        <f>IFERROR(IF(D6=0,0,ROUND(D6*(1+$C$3),2)),0)</f>
        <v>0.0</v>
      </c>
      <c r="F6" s="61" t="n">
        <v>0</v>
      </c>
      <c r="G6" s="61" t="n">
        <v>0</v>
      </c>
      <c r="H6" s="63">
        <f>IFERROR(IF(E6=0,0,E6-F6-G6),0)</f>
        <v>0.0</v>
      </c>
      <c r="I6" s="50" t="n"/>
      <c r="J6" s="67" t="n"/>
      <c r="K6" s="11">
        <f>IF(E6=0,"",IF(H6&lt;=0.01,"Paid",IF(J6="","Pending",IF(TODAY()&gt;J6,"OVERDUE","Pending"))))</f>
        <v/>
      </c>
    </row>
    <row r="7" ht="22" customHeight="1">
      <c r="A7" s="67" t="n"/>
      <c r="B7" s="53" t="n"/>
      <c r="C7" s="59" t="n"/>
      <c r="D7" s="61" t="n">
        <v>0</v>
      </c>
      <c r="E7" s="62">
        <f>IFERROR(IF(D7=0,0,ROUND(D7*(1+$C$3),2)),0)</f>
        <v>0.0</v>
      </c>
      <c r="F7" s="61" t="n">
        <v>0</v>
      </c>
      <c r="G7" s="61" t="n">
        <v>0</v>
      </c>
      <c r="H7" s="62">
        <f>IFERROR(IF(E7=0,0,E7-F7-G7),0)</f>
        <v>0.0</v>
      </c>
      <c r="I7" s="50" t="n"/>
      <c r="J7" s="67" t="n"/>
      <c r="K7" s="8">
        <f>IF(E7=0,"",IF(H7&lt;=0.01,"Paid",IF(J7="","Pending",IF(TODAY()&gt;J7,"OVERDUE","Pending"))))</f>
        <v/>
      </c>
    </row>
    <row r="8" ht="22" customHeight="1">
      <c r="A8" s="67" t="n"/>
      <c r="B8" s="53" t="n"/>
      <c r="C8" s="59" t="n"/>
      <c r="D8" s="61" t="n">
        <v>0</v>
      </c>
      <c r="E8" s="63">
        <f>IFERROR(IF(D8=0,0,ROUND(D8*(1+$C$3),2)),0)</f>
        <v>0.0</v>
      </c>
      <c r="F8" s="61" t="n">
        <v>0</v>
      </c>
      <c r="G8" s="61" t="n">
        <v>0</v>
      </c>
      <c r="H8" s="63">
        <f>IFERROR(IF(E8=0,0,E8-F8-G8),0)</f>
        <v>0.0</v>
      </c>
      <c r="I8" s="50" t="n"/>
      <c r="J8" s="67" t="n"/>
      <c r="K8" s="11">
        <f>IF(E8=0,"",IF(H8&lt;=0.01,"Paid",IF(J8="","Pending",IF(TODAY()&gt;J8,"OVERDUE","Pending"))))</f>
        <v/>
      </c>
    </row>
    <row r="9" ht="22" customHeight="1">
      <c r="A9" s="67" t="n"/>
      <c r="B9" s="53" t="n"/>
      <c r="C9" s="59" t="n"/>
      <c r="D9" s="61" t="n">
        <v>0</v>
      </c>
      <c r="E9" s="62">
        <f>IFERROR(IF(D9=0,0,ROUND(D9*(1+$C$3),2)),0)</f>
        <v>0.0</v>
      </c>
      <c r="F9" s="61" t="n">
        <v>0</v>
      </c>
      <c r="G9" s="61" t="n">
        <v>0</v>
      </c>
      <c r="H9" s="62">
        <f>IFERROR(IF(E9=0,0,E9-F9-G9),0)</f>
        <v>0.0</v>
      </c>
      <c r="I9" s="50" t="n"/>
      <c r="J9" s="67" t="n"/>
      <c r="K9" s="8">
        <f>IF(E9=0,"",IF(H9&lt;=0.01,"Paid",IF(J9="","Pending",IF(TODAY()&gt;J9,"OVERDUE","Pending"))))</f>
        <v/>
      </c>
    </row>
    <row r="10" ht="22" customHeight="1">
      <c r="A10" s="67" t="n"/>
      <c r="B10" s="53" t="n"/>
      <c r="C10" s="59" t="n"/>
      <c r="D10" s="61" t="n">
        <v>0</v>
      </c>
      <c r="E10" s="63">
        <f>IFERROR(IF(D10=0,0,ROUND(D10*(1+$C$3),2)),0)</f>
        <v>0.0</v>
      </c>
      <c r="F10" s="61" t="n">
        <v>0</v>
      </c>
      <c r="G10" s="61" t="n">
        <v>0</v>
      </c>
      <c r="H10" s="63">
        <f>IFERROR(IF(E10=0,0,E10-F10-G10),0)</f>
        <v>0.0</v>
      </c>
      <c r="I10" s="50" t="n"/>
      <c r="J10" s="67" t="n"/>
      <c r="K10" s="11">
        <f>IF(E10=0,"",IF(H10&lt;=0.01,"Paid",IF(J10="","Pending",IF(TODAY()&gt;J10,"OVERDUE","Pending"))))</f>
        <v/>
      </c>
    </row>
    <row r="11" ht="22" customHeight="1">
      <c r="A11" s="67" t="n"/>
      <c r="B11" s="53" t="n"/>
      <c r="C11" s="59" t="n"/>
      <c r="D11" s="61" t="n">
        <v>0</v>
      </c>
      <c r="E11" s="62">
        <f>IFERROR(IF(D11=0,0,ROUND(D11*(1+$C$3),2)),0)</f>
        <v>0.0</v>
      </c>
      <c r="F11" s="61" t="n">
        <v>0</v>
      </c>
      <c r="G11" s="61" t="n">
        <v>0</v>
      </c>
      <c r="H11" s="62">
        <f>IFERROR(IF(E11=0,0,E11-F11-G11),0)</f>
        <v>0.0</v>
      </c>
      <c r="I11" s="50" t="n"/>
      <c r="J11" s="67" t="n"/>
      <c r="K11" s="8">
        <f>IF(E11=0,"",IF(H11&lt;=0.01,"Paid",IF(J11="","Pending",IF(TODAY()&gt;J11,"OVERDUE","Pending"))))</f>
        <v/>
      </c>
    </row>
    <row r="12" ht="22" customHeight="1">
      <c r="A12" s="67" t="n"/>
      <c r="B12" s="53" t="n"/>
      <c r="C12" s="59" t="n"/>
      <c r="D12" s="61" t="n">
        <v>0</v>
      </c>
      <c r="E12" s="63">
        <f>IFERROR(IF(D12=0,0,ROUND(D12*(1+$C$3),2)),0)</f>
        <v>0.0</v>
      </c>
      <c r="F12" s="61" t="n">
        <v>0</v>
      </c>
      <c r="G12" s="61" t="n">
        <v>0</v>
      </c>
      <c r="H12" s="63">
        <f>IFERROR(IF(E12=0,0,E12-F12-G12),0)</f>
        <v>0.0</v>
      </c>
      <c r="I12" s="50" t="n"/>
      <c r="J12" s="67" t="n"/>
      <c r="K12" s="11">
        <f>IF(E12=0,"",IF(H12&lt;=0.01,"Paid",IF(J12="","Pending",IF(TODAY()&gt;J12,"OVERDUE","Pending"))))</f>
        <v/>
      </c>
    </row>
    <row r="13" ht="22" customHeight="1">
      <c r="A13" s="67" t="n"/>
      <c r="B13" s="53" t="n"/>
      <c r="C13" s="59" t="n"/>
      <c r="D13" s="61" t="n">
        <v>0</v>
      </c>
      <c r="E13" s="62">
        <f>IFERROR(IF(D13=0,0,ROUND(D13*(1+$C$3),2)),0)</f>
        <v>0.0</v>
      </c>
      <c r="F13" s="61" t="n">
        <v>0</v>
      </c>
      <c r="G13" s="61" t="n">
        <v>0</v>
      </c>
      <c r="H13" s="62">
        <f>IFERROR(IF(E13=0,0,E13-F13-G13),0)</f>
        <v>0.0</v>
      </c>
      <c r="I13" s="50" t="n"/>
      <c r="J13" s="67" t="n"/>
      <c r="K13" s="8">
        <f>IF(E13=0,"",IF(H13&lt;=0.01,"Paid",IF(J13="","Pending",IF(TODAY()&gt;J13,"OVERDUE","Pending"))))</f>
        <v/>
      </c>
    </row>
    <row r="14" ht="22" customHeight="1">
      <c r="A14" s="67" t="n"/>
      <c r="B14" s="53" t="n"/>
      <c r="C14" s="59" t="n"/>
      <c r="D14" s="61" t="n">
        <v>0</v>
      </c>
      <c r="E14" s="63">
        <f>IFERROR(IF(D14=0,0,ROUND(D14*(1+$C$3),2)),0)</f>
        <v>0.0</v>
      </c>
      <c r="F14" s="61" t="n">
        <v>0</v>
      </c>
      <c r="G14" s="61" t="n">
        <v>0</v>
      </c>
      <c r="H14" s="63">
        <f>IFERROR(IF(E14=0,0,E14-F14-G14),0)</f>
        <v>0.0</v>
      </c>
      <c r="I14" s="50" t="n"/>
      <c r="J14" s="67" t="n"/>
      <c r="K14" s="11">
        <f>IF(E14=0,"",IF(H14&lt;=0.01,"Paid",IF(J14="","Pending",IF(TODAY()&gt;J14,"OVERDUE","Pending"))))</f>
        <v/>
      </c>
    </row>
    <row r="15" ht="22" customHeight="1">
      <c r="A15" s="67" t="n"/>
      <c r="B15" s="53" t="n"/>
      <c r="C15" s="59" t="n"/>
      <c r="D15" s="61" t="n">
        <v>0</v>
      </c>
      <c r="E15" s="62">
        <f>IFERROR(IF(D15=0,0,ROUND(D15*(1+$C$3),2)),0)</f>
        <v>0.0</v>
      </c>
      <c r="F15" s="61" t="n">
        <v>0</v>
      </c>
      <c r="G15" s="61" t="n">
        <v>0</v>
      </c>
      <c r="H15" s="62">
        <f>IFERROR(IF(E15=0,0,E15-F15-G15),0)</f>
        <v>0.0</v>
      </c>
      <c r="I15" s="50" t="n"/>
      <c r="J15" s="67" t="n"/>
      <c r="K15" s="8">
        <f>IF(E15=0,"",IF(H15&lt;=0.01,"Paid",IF(J15="","Pending",IF(TODAY()&gt;J15,"OVERDUE","Pending"))))</f>
        <v/>
      </c>
    </row>
    <row r="16" ht="22" customHeight="1">
      <c r="A16" s="67" t="n"/>
      <c r="B16" s="53" t="n"/>
      <c r="C16" s="59" t="n"/>
      <c r="D16" s="61" t="n">
        <v>0</v>
      </c>
      <c r="E16" s="63">
        <f>IFERROR(IF(D16=0,0,ROUND(D16*(1+$C$3),2)),0)</f>
        <v>0.0</v>
      </c>
      <c r="F16" s="61" t="n">
        <v>0</v>
      </c>
      <c r="G16" s="61" t="n">
        <v>0</v>
      </c>
      <c r="H16" s="63">
        <f>IFERROR(IF(E16=0,0,E16-F16-G16),0)</f>
        <v>0.0</v>
      </c>
      <c r="I16" s="50" t="n"/>
      <c r="J16" s="67" t="n"/>
      <c r="K16" s="11">
        <f>IF(E16=0,"",IF(H16&lt;=0.01,"Paid",IF(J16="","Pending",IF(TODAY()&gt;J16,"OVERDUE","Pending"))))</f>
        <v/>
      </c>
    </row>
    <row r="17" ht="22" customHeight="1">
      <c r="A17" s="67" t="n"/>
      <c r="B17" s="53" t="n"/>
      <c r="C17" s="59" t="n"/>
      <c r="D17" s="61" t="n">
        <v>0</v>
      </c>
      <c r="E17" s="62">
        <f>IFERROR(IF(D17=0,0,ROUND(D17*(1+$C$3),2)),0)</f>
        <v>0.0</v>
      </c>
      <c r="F17" s="61" t="n">
        <v>0</v>
      </c>
      <c r="G17" s="61" t="n">
        <v>0</v>
      </c>
      <c r="H17" s="62">
        <f>IFERROR(IF(E17=0,0,E17-F17-G17),0)</f>
        <v>0.0</v>
      </c>
      <c r="I17" s="50" t="n"/>
      <c r="J17" s="67" t="n"/>
      <c r="K17" s="8">
        <f>IF(E17=0,"",IF(H17&lt;=0.01,"Paid",IF(J17="","Pending",IF(TODAY()&gt;J17,"OVERDUE","Pending"))))</f>
        <v/>
      </c>
    </row>
    <row r="18" ht="22" customHeight="1">
      <c r="A18" s="67" t="n"/>
      <c r="B18" s="53" t="n"/>
      <c r="C18" s="59" t="n"/>
      <c r="D18" s="61" t="n">
        <v>0</v>
      </c>
      <c r="E18" s="63">
        <f>IFERROR(IF(D18=0,0,ROUND(D18*(1+$C$3),2)),0)</f>
        <v>0.0</v>
      </c>
      <c r="F18" s="61" t="n">
        <v>0</v>
      </c>
      <c r="G18" s="61" t="n">
        <v>0</v>
      </c>
      <c r="H18" s="63">
        <f>IFERROR(IF(E18=0,0,E18-F18-G18),0)</f>
        <v>0.0</v>
      </c>
      <c r="I18" s="50" t="n"/>
      <c r="J18" s="67" t="n"/>
      <c r="K18" s="11">
        <f>IF(E18=0,"",IF(H18&lt;=0.01,"Paid",IF(J18="","Pending",IF(TODAY()&gt;J18,"OVERDUE","Pending"))))</f>
        <v/>
      </c>
    </row>
    <row r="19" ht="22" customHeight="1">
      <c r="A19" s="67" t="n"/>
      <c r="B19" s="53" t="n"/>
      <c r="C19" s="59" t="n"/>
      <c r="D19" s="61" t="n">
        <v>0</v>
      </c>
      <c r="E19" s="62">
        <f>IFERROR(IF(D19=0,0,ROUND(D19*(1+$C$3),2)),0)</f>
        <v>0.0</v>
      </c>
      <c r="F19" s="61" t="n">
        <v>0</v>
      </c>
      <c r="G19" s="61" t="n">
        <v>0</v>
      </c>
      <c r="H19" s="62">
        <f>IFERROR(IF(E19=0,0,E19-F19-G19),0)</f>
        <v>0.0</v>
      </c>
      <c r="I19" s="50" t="n"/>
      <c r="J19" s="67" t="n"/>
      <c r="K19" s="8">
        <f>IF(E19=0,"",IF(H19&lt;=0.01,"Paid",IF(J19="","Pending",IF(TODAY()&gt;J19,"OVERDUE","Pending"))))</f>
        <v/>
      </c>
    </row>
    <row r="20" ht="22" customHeight="1">
      <c r="A20" s="67" t="n"/>
      <c r="B20" s="53" t="n"/>
      <c r="C20" s="59" t="n"/>
      <c r="D20" s="61" t="n">
        <v>0</v>
      </c>
      <c r="E20" s="63">
        <f>IFERROR(IF(D20=0,0,ROUND(D20*(1+$C$3),2)),0)</f>
        <v>0.0</v>
      </c>
      <c r="F20" s="61" t="n">
        <v>0</v>
      </c>
      <c r="G20" s="61" t="n">
        <v>0</v>
      </c>
      <c r="H20" s="63">
        <f>IFERROR(IF(E20=0,0,E20-F20-G20),0)</f>
        <v>0.0</v>
      </c>
      <c r="I20" s="50" t="n"/>
      <c r="J20" s="67" t="n"/>
      <c r="K20" s="11">
        <f>IF(E20=0,"",IF(H20&lt;=0.01,"Paid",IF(J20="","Pending",IF(TODAY()&gt;J20,"OVERDUE","Pending"))))</f>
        <v/>
      </c>
    </row>
    <row r="21" ht="22" customHeight="1">
      <c r="A21" s="67" t="n"/>
      <c r="B21" s="53" t="n"/>
      <c r="C21" s="59" t="n"/>
      <c r="D21" s="61" t="n">
        <v>0</v>
      </c>
      <c r="E21" s="62">
        <f>IFERROR(IF(D21=0,0,ROUND(D21*(1+$C$3),2)),0)</f>
        <v>0.0</v>
      </c>
      <c r="F21" s="61" t="n">
        <v>0</v>
      </c>
      <c r="G21" s="61" t="n">
        <v>0</v>
      </c>
      <c r="H21" s="62">
        <f>IFERROR(IF(E21=0,0,E21-F21-G21),0)</f>
        <v>0.0</v>
      </c>
      <c r="I21" s="50" t="n"/>
      <c r="J21" s="67" t="n"/>
      <c r="K21" s="8">
        <f>IF(E21=0,"",IF(H21&lt;=0.01,"Paid",IF(J21="","Pending",IF(TODAY()&gt;J21,"OVERDUE","Pending"))))</f>
        <v/>
      </c>
    </row>
    <row r="22" ht="22" customHeight="1">
      <c r="A22" s="67" t="n"/>
      <c r="B22" s="53" t="n"/>
      <c r="C22" s="59" t="n"/>
      <c r="D22" s="61" t="n">
        <v>0</v>
      </c>
      <c r="E22" s="63">
        <f>IFERROR(IF(D22=0,0,ROUND(D22*(1+$C$3),2)),0)</f>
        <v>0.0</v>
      </c>
      <c r="F22" s="61" t="n">
        <v>0</v>
      </c>
      <c r="G22" s="61" t="n">
        <v>0</v>
      </c>
      <c r="H22" s="63">
        <f>IFERROR(IF(E22=0,0,E22-F22-G22),0)</f>
        <v>0.0</v>
      </c>
      <c r="I22" s="50" t="n"/>
      <c r="J22" s="67" t="n"/>
      <c r="K22" s="11">
        <f>IF(E22=0,"",IF(H22&lt;=0.01,"Paid",IF(J22="","Pending",IF(TODAY()&gt;J22,"OVERDUE","Pending"))))</f>
        <v/>
      </c>
    </row>
    <row r="23" ht="22" customHeight="1">
      <c r="A23" s="67" t="n"/>
      <c r="B23" s="53" t="n"/>
      <c r="C23" s="59" t="n"/>
      <c r="D23" s="61" t="n">
        <v>0</v>
      </c>
      <c r="E23" s="62">
        <f>IFERROR(IF(D23=0,0,ROUND(D23*(1+$C$3),2)),0)</f>
        <v>0.0</v>
      </c>
      <c r="F23" s="61" t="n">
        <v>0</v>
      </c>
      <c r="G23" s="61" t="n">
        <v>0</v>
      </c>
      <c r="H23" s="62">
        <f>IFERROR(IF(E23=0,0,E23-F23-G23),0)</f>
        <v>0.0</v>
      </c>
      <c r="I23" s="50" t="n"/>
      <c r="J23" s="67" t="n"/>
      <c r="K23" s="8">
        <f>IF(E23=0,"",IF(H23&lt;=0.01,"Paid",IF(J23="","Pending",IF(TODAY()&gt;J23,"OVERDUE","Pending"))))</f>
        <v/>
      </c>
    </row>
    <row r="24" ht="22" customHeight="1">
      <c r="A24" s="67" t="n"/>
      <c r="B24" s="53" t="n"/>
      <c r="C24" s="59" t="n"/>
      <c r="D24" s="61" t="n">
        <v>0</v>
      </c>
      <c r="E24" s="63">
        <f>IFERROR(IF(D24=0,0,ROUND(D24*(1+$C$3),2)),0)</f>
        <v>0.0</v>
      </c>
      <c r="F24" s="61" t="n">
        <v>0</v>
      </c>
      <c r="G24" s="61" t="n">
        <v>0</v>
      </c>
      <c r="H24" s="63">
        <f>IFERROR(IF(E24=0,0,E24-F24-G24),0)</f>
        <v>0.0</v>
      </c>
      <c r="I24" s="50" t="n"/>
      <c r="J24" s="67" t="n"/>
      <c r="K24" s="11">
        <f>IF(E24=0,"",IF(H24&lt;=0.01,"Paid",IF(J24="","Pending",IF(TODAY()&gt;J24,"OVERDUE","Pending"))))</f>
        <v/>
      </c>
    </row>
    <row r="25" ht="22" customHeight="1">
      <c r="A25" s="67" t="n"/>
      <c r="B25" s="53" t="n"/>
      <c r="C25" s="59" t="n"/>
      <c r="D25" s="61" t="n">
        <v>0</v>
      </c>
      <c r="E25" s="62">
        <f>IFERROR(IF(D25=0,0,ROUND(D25*(1+$C$3),2)),0)</f>
        <v>0.0</v>
      </c>
      <c r="F25" s="61" t="n">
        <v>0</v>
      </c>
      <c r="G25" s="61" t="n">
        <v>0</v>
      </c>
      <c r="H25" s="62">
        <f>IFERROR(IF(E25=0,0,E25-F25-G25),0)</f>
        <v>0.0</v>
      </c>
      <c r="I25" s="50" t="n"/>
      <c r="J25" s="67" t="n"/>
      <c r="K25" s="8">
        <f>IF(E25=0,"",IF(H25&lt;=0.01,"Paid",IF(J25="","Pending",IF(TODAY()&gt;J25,"OVERDUE","Pending"))))</f>
        <v/>
      </c>
    </row>
    <row r="26" ht="22" customHeight="1">
      <c r="A26" s="67" t="n"/>
      <c r="B26" s="53" t="n"/>
      <c r="C26" s="59" t="n"/>
      <c r="D26" s="61" t="n">
        <v>0</v>
      </c>
      <c r="E26" s="63">
        <f>IFERROR(IF(D26=0,0,ROUND(D26*(1+$C$3),2)),0)</f>
        <v>0.0</v>
      </c>
      <c r="F26" s="61" t="n">
        <v>0</v>
      </c>
      <c r="G26" s="61" t="n">
        <v>0</v>
      </c>
      <c r="H26" s="63">
        <f>IFERROR(IF(E26=0,0,E26-F26-G26),0)</f>
        <v>0.0</v>
      </c>
      <c r="I26" s="50" t="n"/>
      <c r="J26" s="67" t="n"/>
      <c r="K26" s="11">
        <f>IF(E26=0,"",IF(H26&lt;=0.01,"Paid",IF(J26="","Pending",IF(TODAY()&gt;J26,"OVERDUE","Pending"))))</f>
        <v/>
      </c>
    </row>
    <row r="27" ht="22" customHeight="1">
      <c r="A27" s="67" t="n"/>
      <c r="B27" s="53" t="n"/>
      <c r="C27" s="59" t="n"/>
      <c r="D27" s="61" t="n">
        <v>0</v>
      </c>
      <c r="E27" s="62">
        <f>IFERROR(IF(D27=0,0,ROUND(D27*(1+$C$3),2)),0)</f>
        <v>0.0</v>
      </c>
      <c r="F27" s="61" t="n">
        <v>0</v>
      </c>
      <c r="G27" s="61" t="n">
        <v>0</v>
      </c>
      <c r="H27" s="62">
        <f>IFERROR(IF(E27=0,0,E27-F27-G27),0)</f>
        <v>0.0</v>
      </c>
      <c r="I27" s="50" t="n"/>
      <c r="J27" s="67" t="n"/>
      <c r="K27" s="8">
        <f>IF(E27=0,"",IF(H27&lt;=0.01,"Paid",IF(J27="","Pending",IF(TODAY()&gt;J27,"OVERDUE","Pending"))))</f>
        <v/>
      </c>
    </row>
    <row r="28" ht="22" customHeight="1">
      <c r="A28" s="67" t="n"/>
      <c r="B28" s="53" t="n"/>
      <c r="C28" s="59" t="n"/>
      <c r="D28" s="61" t="n">
        <v>0</v>
      </c>
      <c r="E28" s="63">
        <f>IFERROR(IF(D28=0,0,ROUND(D28*(1+$C$3),2)),0)</f>
        <v>0.0</v>
      </c>
      <c r="F28" s="61" t="n">
        <v>0</v>
      </c>
      <c r="G28" s="61" t="n">
        <v>0</v>
      </c>
      <c r="H28" s="63">
        <f>IFERROR(IF(E28=0,0,E28-F28-G28),0)</f>
        <v>0.0</v>
      </c>
      <c r="I28" s="50" t="n"/>
      <c r="J28" s="67" t="n"/>
      <c r="K28" s="11">
        <f>IF(E28=0,"",IF(H28&lt;=0.01,"Paid",IF(J28="","Pending",IF(TODAY()&gt;J28,"OVERDUE","Pending"))))</f>
        <v/>
      </c>
    </row>
    <row r="29" ht="22" customHeight="1">
      <c r="A29" s="67" t="n"/>
      <c r="B29" s="53" t="n"/>
      <c r="C29" s="59" t="n"/>
      <c r="D29" s="61" t="n">
        <v>0</v>
      </c>
      <c r="E29" s="62">
        <f>IFERROR(IF(D29=0,0,ROUND(D29*(1+$C$3),2)),0)</f>
        <v>0.0</v>
      </c>
      <c r="F29" s="61" t="n">
        <v>0</v>
      </c>
      <c r="G29" s="61" t="n">
        <v>0</v>
      </c>
      <c r="H29" s="62">
        <f>IFERROR(IF(E29=0,0,E29-F29-G29),0)</f>
        <v>0.0</v>
      </c>
      <c r="I29" s="50" t="n"/>
      <c r="J29" s="67" t="n"/>
      <c r="K29" s="8">
        <f>IF(E29=0,"",IF(H29&lt;=0.01,"Paid",IF(J29="","Pending",IF(TODAY()&gt;J29,"OVERDUE","Pending"))))</f>
        <v/>
      </c>
    </row>
    <row r="30" ht="22" customHeight="1">
      <c r="A30" s="67" t="n"/>
      <c r="B30" s="53" t="n"/>
      <c r="C30" s="59" t="n"/>
      <c r="D30" s="61" t="n">
        <v>0</v>
      </c>
      <c r="E30" s="63">
        <f>IFERROR(IF(D30=0,0,ROUND(D30*(1+$C$3),2)),0)</f>
        <v>0.0</v>
      </c>
      <c r="F30" s="61" t="n">
        <v>0</v>
      </c>
      <c r="G30" s="61" t="n">
        <v>0</v>
      </c>
      <c r="H30" s="63">
        <f>IFERROR(IF(E30=0,0,E30-F30-G30),0)</f>
        <v>0.0</v>
      </c>
      <c r="I30" s="50" t="n"/>
      <c r="J30" s="67" t="n"/>
      <c r="K30" s="11">
        <f>IF(E30=0,"",IF(H30&lt;=0.01,"Paid",IF(J30="","Pending",IF(TODAY()&gt;J30,"OVERDUE","Pending"))))</f>
        <v/>
      </c>
    </row>
    <row r="31" ht="28" customHeight="1">
      <c r="A31" s="34" t="inlineStr">
        <is>
          <t>TOTALS</t>
        </is>
      </c>
      <c r="D31" s="65">
        <f>IFERROR(SUM(D6:D30),0)</f>
        <v>0.0</v>
      </c>
      <c r="E31" s="65">
        <f>IFERROR(SUM(E6:E30),0)</f>
        <v>0.0</v>
      </c>
      <c r="F31" s="65">
        <f>IFERROR(SUM(F6:F30),0)</f>
        <v>0.0</v>
      </c>
      <c r="G31" s="65">
        <f>IFERROR(SUM(G6:G30),0)</f>
        <v>0.0</v>
      </c>
      <c r="H31" s="65">
        <f>IFERROR(SUM(H6:H30),0)</f>
        <v>0.0</v>
      </c>
      <c r="I31" s="42" t="n"/>
      <c r="J31" s="42" t="n"/>
      <c r="K31" s="42" t="n"/>
    </row>
    <row r="33" ht="22" customHeight="1">
      <c r="A33" s="13" t="inlineStr">
        <is>
          <t>Events with a balance PENDING</t>
        </is>
      </c>
      <c r="D33" s="43">
        <f>COUNTIF(K6:K30,"Pending")</f>
        <v>0.0</v>
      </c>
      <c r="E33" s="30" t="inlineStr">
        <is>
          <t>With a balance due and still within terms.</t>
        </is>
      </c>
    </row>
    <row r="34" ht="22" customHeight="1">
      <c r="A34" s="13" t="inlineStr">
        <is>
          <t>OVERDUE events</t>
        </is>
      </c>
      <c r="D34" s="44">
        <f>COUNTIF(K6:K30,"OVERDUE")</f>
        <v>0.0</v>
      </c>
      <c r="E34" s="30" t="inlineStr">
        <is>
          <t>Past due and unpaid: chase them today.</t>
        </is>
      </c>
    </row>
    <row r="36" ht="30" customHeight="1">
      <c r="A36" s="5" t="inlineStr">
        <is>
          <t>Signed off by: _________________________     Date: ____/____/________</t>
        </is>
      </c>
    </row>
    <row r="37">
      <c r="A37" s="14" t="inlineStr">
        <is>
          <t>— Catering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12">
    <mergeCell ref="A2:F2"/>
    <mergeCell ref="D3:K3"/>
    <mergeCell ref="A33:C33"/>
    <mergeCell ref="A36:K36"/>
    <mergeCell ref="A31:C31"/>
    <mergeCell ref="G2:K2"/>
    <mergeCell ref="E34:K34"/>
    <mergeCell ref="A1:K1"/>
    <mergeCell ref="E33:K33"/>
    <mergeCell ref="A34:C34"/>
    <mergeCell ref="A3:B3"/>
    <mergeCell ref="A37:K37"/>
  </mergeCells>
  <conditionalFormatting sqref="H6:H30">
    <cfRule type="cellIs" priority="1" operator="greaterThan" dxfId="0">
      <formula>0.01</formula>
    </cfRule>
  </conditionalFormatting>
  <conditionalFormatting sqref="A6:K30">
    <cfRule type="expression" priority="2" dxfId="2">
      <formula>$K6="OVERDUE"</formula>
    </cfRule>
  </conditionalFormatting>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Catering Deposits, Invoicing &amp; Payments: Event Settlement &amp; Billing Log</dc:title>
  <dc:description xmlns:dc="http://purl.org/dc/elements/1.1/">aichef.pro/en/digital-products/catering-checklist-templates</dc:description>
  <dc:subject xmlns:dc="http://purl.org/dc/elements/1.1/">Catering Checklists Kit Pro · v2.0</dc:subject>
  <dcterms:created xmlns:dcterms="http://purl.org/dc/terms/" xmlns:xsi="http://www.w3.org/2001/XMLSchema-instance" xsi:type="dcterms:W3CDTF">2026-08-23T00:00:00Z</dcterms:created>
  <dcterms:modified xmlns:dcterms="http://purl.org/dc/terms/" xmlns:xsi="http://www.w3.org/2001/XMLSchema-instance" xsi:type="dcterms:W3CDTF">2026-10-18T00:48:35Z</dcterms:modified>
  <cp:lastModifiedBy>AI Chef Pro</cp:lastModifiedBy>
  <cp:category>AI Chef Pro · Digital products</cp:category>
  <cp:keywords>catering checklist, catering event checklist, catering checklist template, off-site catering, catering setup checklist, BEO, AI Chef Pro</cp:keywords>
</cp:coreProperties>
</file>