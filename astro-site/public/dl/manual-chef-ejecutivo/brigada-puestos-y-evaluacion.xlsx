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Organigrama" sheetId="2" state="visible" r:id="rId2"/>
    <sheet xmlns:r="http://schemas.openxmlformats.org/officeDocument/2006/relationships" name="Fichas de Puesto" sheetId="3" state="visible" r:id="rId3"/>
    <sheet xmlns:r="http://schemas.openxmlformats.org/officeDocument/2006/relationships" name="Matriz RACI" sheetId="4" state="visible" r:id="rId4"/>
    <sheet xmlns:r="http://schemas.openxmlformats.org/officeDocument/2006/relationships" name="Rúbrica de Competencias" sheetId="5" state="visible" r:id="rId5"/>
    <sheet xmlns:r="http://schemas.openxmlformats.org/officeDocument/2006/relationships" name="Prueba Práctica" sheetId="6" state="visible" r:id="rId6"/>
    <sheet xmlns:r="http://schemas.openxmlformats.org/officeDocument/2006/relationships" name="Plan de Desarrollo Individual" sheetId="7" state="visible" r:id="rId7"/>
    <sheet xmlns:r="http://schemas.openxmlformats.org/officeDocument/2006/relationships" name="Histórico" sheetId="8" state="visible" r:id="rId8"/>
  </sheets>
  <definedNames>
    <definedName name="_xlnm.Print_Titles" localSheetId="1">'Organigrama'!$9:$9</definedName>
    <definedName name="_xlnm.Print_Area" localSheetId="1">'Organigrama'!$A$1:$J$44</definedName>
    <definedName name="_xlnm.Print_Titles" localSheetId="2">'Fichas de Puesto'!$5:$5</definedName>
    <definedName name="_xlnm.Print_Area" localSheetId="2">'Fichas de Puesto'!$A$1:$G$41</definedName>
    <definedName name="_xlnm.Print_Titles" localSheetId="3">'Matriz RACI'!$12:$12</definedName>
    <definedName name="_xlnm.Print_Area" localSheetId="3">'Matriz RACI'!$A$1:$J$38</definedName>
    <definedName name="_xlnm.Print_Titles" localSheetId="4">'Rúbrica de Competencias'!$33:$33</definedName>
    <definedName name="_xlnm.Print_Area" localSheetId="4">'Rúbrica de Competencias'!$A$1:$P$58</definedName>
    <definedName name="_xlnm.Print_Titles" localSheetId="5">'Prueba Práctica'!$10:$10</definedName>
    <definedName name="_xlnm.Print_Area" localSheetId="5">'Prueba Práctica'!$A$1:$H$24</definedName>
    <definedName name="_xlnm.Print_Titles" localSheetId="6">'Plan de Desarrollo Individual'!$8:$8</definedName>
    <definedName name="_xlnm.Print_Area" localSheetId="6">'Plan de Desarrollo Individual'!$A$1:$K$32</definedName>
    <definedName name="_xlnm.Print_Titles" localSheetId="7">'Histórico'!$5:$5</definedName>
    <definedName name="_xlnm.Print_Area" localSheetId="7">'Histórico'!$A$1:$H$32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8">
    <font>
      <name val="Calibri"/>
      <family val="2"/>
      <color theme="1"/>
      <sz val="11"/>
      <scheme val="minor"/>
    </font>
    <font>
      <b val="1"/>
      <color rgb="00FFD700"/>
      <sz val="16"/>
    </font>
    <font>
      <i val="1"/>
      <sz val="9"/>
    </font>
    <font>
      <b val="1"/>
      <color theme="1"/>
      <sz val="11"/>
    </font>
    <font>
      <b val="1"/>
      <sz val="12"/>
    </font>
    <font>
      <b val="1"/>
      <color rgb="00FFFFFF"/>
    </font>
    <font>
      <i val="1"/>
      <sz val="8"/>
    </font>
    <font>
      <color theme="1"/>
      <sz val="11"/>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
      <patternFill patternType="solid">
        <fgColor rgb="00F2F2F2"/>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3" fillId="0" borderId="0" applyAlignment="1" pivotButton="0" quotePrefix="0" xfId="0">
      <alignment horizontal="general" vertical="top" wrapText="1"/>
    </xf>
    <xf numFmtId="0" fontId="2" fillId="0" borderId="0" applyAlignment="1" pivotButton="0" quotePrefix="0" xfId="0">
      <alignment horizontal="general" vertical="top" wrapText="1"/>
    </xf>
    <xf numFmtId="0" fontId="3" fillId="0" borderId="0" pivotButton="0" quotePrefix="0" xfId="0"/>
    <xf numFmtId="3" fontId="0" fillId="2" borderId="0" applyProtection="1" pivotButton="0" quotePrefix="0" xfId="0">
      <protection locked="0" hidden="0"/>
    </xf>
    <xf numFmtId="3" fontId="0" fillId="0" borderId="0" applyAlignment="1" pivotButton="0" quotePrefix="0" xfId="0">
      <alignment horizontal="center" vertical="top"/>
    </xf>
    <xf numFmtId="0" fontId="0" fillId="2" borderId="0" applyAlignment="1" applyProtection="1" pivotButton="0" quotePrefix="0" xfId="0">
      <alignment horizontal="general" vertical="top" wrapText="1"/>
      <protection locked="0" hidden="0"/>
    </xf>
    <xf numFmtId="0" fontId="0" fillId="2" borderId="0" applyAlignment="1" applyProtection="1" pivotButton="0" quotePrefix="0" xfId="0">
      <alignment horizontal="center" vertical="top"/>
      <protection locked="0" hidden="0"/>
    </xf>
    <xf numFmtId="3" fontId="0" fillId="0" borderId="0" pivotButton="0" quotePrefix="0" xfId="0"/>
    <xf numFmtId="3" fontId="0" fillId="2" borderId="0" applyAlignment="1" applyProtection="1" pivotButton="0" quotePrefix="0" xfId="0">
      <alignment horizontal="center" vertical="top"/>
      <protection locked="0" hidden="0"/>
    </xf>
    <xf numFmtId="3" fontId="3" fillId="4" borderId="0" pivotButton="0" quotePrefix="0" xfId="0"/>
    <xf numFmtId="0" fontId="0" fillId="0" borderId="0" applyAlignment="1" pivotButton="0" quotePrefix="0" xfId="0">
      <alignment horizontal="center" vertical="top"/>
    </xf>
    <xf numFmtId="0" fontId="0" fillId="3" borderId="0" pivotButton="0" quotePrefix="0" xfId="0"/>
    <xf numFmtId="0" fontId="6" fillId="0" borderId="0" pivotButton="0" quotePrefix="0" xfId="0"/>
    <xf numFmtId="0" fontId="3" fillId="0" borderId="0" applyAlignment="1" pivotButton="0" quotePrefix="0" xfId="0">
      <alignment horizontal="center" vertical="top"/>
    </xf>
    <xf numFmtId="4" fontId="0" fillId="2" borderId="0" applyProtection="1" pivotButton="0" quotePrefix="0" xfId="0">
      <protection locked="0" hidden="0"/>
    </xf>
    <xf numFmtId="165" fontId="0" fillId="2" borderId="0" applyProtection="1" pivotButton="0" quotePrefix="0" xfId="0">
      <protection locked="0" hidden="0"/>
    </xf>
    <xf numFmtId="4" fontId="0" fillId="0" borderId="0" pivotButton="0" quotePrefix="0" xfId="0"/>
    <xf numFmtId="4" fontId="3" fillId="4" borderId="0" pivotButton="0" quotePrefix="0" xfId="0"/>
    <xf numFmtId="3" fontId="0" fillId="5" borderId="0" pivotButton="0" quotePrefix="0" xfId="0"/>
    <xf numFmtId="0" fontId="7"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7"/>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Brigada, puestos y evaluación técnica</t>
        </is>
      </c>
    </row>
    <row r="2">
      <c r="A2" t="inlineStr">
        <is>
          <t>AI Chef Pro · aichef.pro — Manual del Chef Ejecutivo</t>
        </is>
      </c>
    </row>
    <row r="3">
      <c r="A3" s="2" t="inlineStr">
        <is>
          <t>Para qué sirve: decidir a quién promocionar, a quién formar en qué y quién decide qué.</t>
        </is>
      </c>
    </row>
    <row r="4"/>
    <row r="5">
      <c r="A5" s="3" t="inlineStr">
        <is>
          <t>Instrucciones de uso</t>
        </is>
      </c>
    </row>
    <row r="6" ht="58" customHeight="1">
      <c r="A6" s="4" t="inlineStr">
        <is>
          <t>1. Hoja «Organigrama»: declara cuántas partidas (estaciones, en el vocabulario de la matriz de polivalencia del Manual del Manager) tiene tu cocina, ponles nombre y di quién es el titular de cada una. Debajo va la brigada: una fila por persona, con su puesto del convenio y su partida principal. Es la hoja que alimenta a todas las demás.</t>
        </is>
      </c>
    </row>
    <row r="7" ht="58" customHeight="1">
      <c r="A7" s="4" t="inlineStr">
        <is>
          <t>2. Hoja «Fichas de Puesto»: los diez puestos de cocina del convenio con sus funciones LITERALES. Esa columna no se toca: es lo que pone el ALEH VI, y es lo que un inspector o un abogado va a leer. Lo que sí escribes es la columna verde de al lado, con lo que en TU casa hace ese puesto y el convenio no dice: cerrar la cámara, pasar el pedido del pescado, llevar el registro de temperaturas.</t>
        </is>
      </c>
    </row>
    <row r="8" ht="58" customHeight="1">
      <c r="A8" s="4" t="inlineStr">
        <is>
          <t>3. Hoja «Matriz RACI»: quince decisiones que cruzan cocina, sala y dirección. Para cada una, marca quién hace (R), quién responde (A), a quién se consulta antes (C) y a quién se informa después (I). La hoja te avisa si una decisión se ha quedado sin A o con dos: es el fallo que hace que un plato se retire de la carta dos veces y ninguna.</t>
        </is>
      </c>
    </row>
    <row r="9" ht="58" customHeight="1">
      <c r="A9" s="4" t="inlineStr">
        <is>
          <t>4. Hoja «Rúbrica de Competencias»: siete competencias técnicas con los cinco niveles descritos, los pesos de cada una POR PUESTO y la evaluación de tu gente. Puntúa de 1 a 5 y deja en blanco lo que no aplique. La media ponderada ignora los blancos: un ayudante que no hace fondos no baja nota por no hacerlos.</t>
        </is>
      </c>
    </row>
    <row r="10" ht="58" customHeight="1">
      <c r="A10" s="4" t="inlineStr">
        <is>
          <t>5. Hoja «Prueba Práctica»: el guion de la prueba, una por competencia, con lo que es un 5 y lo que es un 1. Sin esto, la rúbrica es una opinión; con esto, es una nota que se puede defender delante de quien la recibe.</t>
        </is>
      </c>
    </row>
    <row r="11" ht="58" customHeight="1">
      <c r="A11" s="4" t="inlineStr">
        <is>
          <t>6. Hoja «Plan de Desarrollo Individual»: qué va a trabajar cada persona, con quién, para cuándo y en qué estado está. La columna «próxima partida a aprender» es la que enlaza con el plan de cross-training del Manual del Manager: no se repite aquí, se cita.</t>
        </is>
      </c>
    </row>
    <row r="12" ht="58" customHeight="1">
      <c r="A12" s="4" t="inlineStr">
        <is>
          <t>7. Hoja «Histórico»: una línea por evaluación y por persona. La primera ronda no dice nada; la segunda es la que enseña quién ha crecido y quién lleva año y medio en el mismo sitio.</t>
        </is>
      </c>
    </row>
    <row r="13"/>
    <row r="14">
      <c r="A14" s="5" t="inlineStr">
        <is>
          <t>Celdas verdes = campos editables</t>
        </is>
      </c>
    </row>
    <row r="15"/>
    <row r="16">
      <c r="A16" s="3" t="inlineStr">
        <is>
          <t>QUÉ SE COPIA DE DÓNDE Y QUÉ NO HAY QUE VOLVER A TECLEAR</t>
        </is>
      </c>
    </row>
    <row r="17" ht="26" customHeight="1">
      <c r="A17" s="6" t="inlineStr">
        <is>
          <t>Producto</t>
        </is>
      </c>
      <c r="B17" s="6" t="inlineStr">
        <is>
          <t>Qué aporta</t>
        </is>
      </c>
      <c r="C17" s="6" t="inlineStr">
        <is>
          <t>Qué NO hay que volver a teclear</t>
        </is>
      </c>
    </row>
    <row r="18" ht="58" customHeight="1">
      <c r="A18" s="7" t="inlineStr">
        <is>
          <t>Manual del Manager de Restaurante</t>
        </is>
      </c>
      <c r="B18" s="4" t="inlineStr">
        <is>
          <t>Las 12 personas de la plantilla, las 6 unidades (aquí «partidas»), la matriz de polivalencia y las 52 semanas ISO con sus cubiertos</t>
        </is>
      </c>
      <c r="C18" s="4" t="inlineStr">
        <is>
          <t>No vuelvas a teclear la plantilla ni los cubiertos: si ya tienes el Manager, copia y pega de su cuadro semanal</t>
        </is>
      </c>
    </row>
    <row r="19" ht="58" customHeight="1">
      <c r="A19" s="7" t="inlineStr">
        <is>
          <t>Guía Food Cost + Ingeniería de Menú</t>
        </is>
      </c>
      <c r="B19" s="4" t="inlineStr">
        <is>
          <t>La carta de 20 platos, el mix de venta de los 12 de ejemplo y el coste por ración de la ficha de escandallo</t>
        </is>
      </c>
      <c r="C19" s="4" t="inlineStr">
        <is>
          <t>El coste por ración de la ficha técnica de proceso se COPIA del escandallo (celda verde); este pack no lo recalcula</t>
        </is>
      </c>
    </row>
    <row r="20" ht="58" customHeight="1">
      <c r="A20" s="7" t="inlineStr">
        <is>
          <t>Este manual</t>
        </is>
      </c>
      <c r="B20" s="4" t="inlineStr">
        <is>
          <t>Producción y merma por partida, tiempos de pase, incidencias de alérgenos, horas de cocina, evaluación técnica, banquetes y auditoría de cocina</t>
        </is>
      </c>
      <c r="C20" s="4" t="inlineStr">
        <is>
          <t>Es la capa que no cubre ninguno de los dos anteriores</t>
        </is>
      </c>
    </row>
    <row r="21" ht="40" customHeight="1">
      <c r="A21" s="8" t="inlineStr">
        <is>
          <t>Es COPIA declarada, no vínculo: en todo este pack no hay ni una fórmula que apunte a otro fichero. Un enlace entre libros se rompe en cuanto alguien mueve una carpeta o renombra un fichero, y entonces el libro miente sin avisar de nada.</t>
        </is>
      </c>
    </row>
    <row r="22"/>
    <row r="23">
      <c r="A23" s="3" t="inlineStr">
        <is>
          <t>Lo que conviene saber antes de empezar</t>
        </is>
      </c>
    </row>
    <row r="24" ht="58" customHeight="1">
      <c r="A24" s="4" t="inlineStr">
        <is>
          <t>COBERTURA NO ES COMPETENCIA, y es la confusión que más caro sale. La matriz de polivalencia del «Manual del Manager de Restaurante» responde a «¿puede sostener esta partida en un servicio?». Esta rúbrica responde a «¿con qué nivel técnico?». La columna «nivel en cocina» de la hoja «Rúbrica de Competencias» es una COPIA de aquella matriz, puesta ahí para poder contrastarlas: quien cubre el pase un viernes no necesariamente lo domina.</t>
        </is>
      </c>
    </row>
    <row r="25" ht="58" customHeight="1">
      <c r="A25" s="4" t="inlineStr">
        <is>
          <t>N/A NO ES CERO. Una competencia que no aplica a un puesto se deja en blanco y sale de la media; un cero dice que se hizo la prueba y salió mal. Las cuatro personas de sala pura del ejemplo tienen las siete casillas en blanco: su evaluación genérica vive en el Kit de Gestión de Personal, no aquí.</t>
        </is>
      </c>
    </row>
    <row r="26" ht="58" customHeight="1">
      <c r="A26" s="4" t="inlineStr">
        <is>
          <t>Las funciones de los diez puestos son las del convenio, palabra por palabra. «Chef ejecutivo», «chef corporativo» y «sous chef» NO son categorías del ALEH VI: son denominaciones de uso, y quien las lleva se clasifica por las funciones que hace. La tabla de equivalencias está en la hoja «Fichas de Puesto».</t>
        </is>
      </c>
    </row>
    <row r="27" ht="58" customHeight="1">
      <c r="A27" s="4" t="inlineStr">
        <is>
          <t>La evaluación se puntúa POR PRUEBA PRÁCTICA, nunca por impresión ni por autoevaluación. Si no ha habido prueba, la casilla se queda en blanco: una nota sin prueba detrás no se sostiene el día que hay que explicar por qué asciende uno y no otro.</t>
        </is>
      </c>
    </row>
    <row r="28" ht="58" customHeight="1">
      <c r="A28" s="4" t="inlineStr">
        <is>
          <t>Este libro no calcula nóminas, ni cuadrantes, ni coste laboral: eso es el Kit de Gestión de Personal y el cuadro de mando del Manual del Manager. Aquí se decide quién hace qué, con qué nivel y qué le falta.</t>
        </is>
      </c>
    </row>
    <row r="29"/>
    <row r="30">
      <c r="A30" s="3" t="inlineStr">
        <is>
          <t>Cada cuánto se usa este libro</t>
        </is>
      </c>
    </row>
    <row r="31" ht="40" customHeight="1">
      <c r="A31" s="4" t="inlineStr">
        <is>
          <t>Cadencia: el organigrama y las fichas de puesto, AL ABRIR TEMPORADA o cuando entra o sale alguien. La rúbrica y la prueba práctica, DOS VECES AL AÑO. El plan de desarrollo individual se repasa cada mes. La matriz RACI se escribe UNA VEZ y se toca cuando cambia la estructura.</t>
        </is>
      </c>
    </row>
    <row r="32"/>
    <row r="33">
      <c r="A33" s="4" t="inlineStr">
        <is>
          <t>Para editar la estructura o una celda que no este en verde, desprotege la hoja (sin contraseña).</t>
        </is>
      </c>
    </row>
    <row r="34">
      <c r="A34" s="4" t="inlineStr">
        <is>
          <t>Ruta en Excel: Revisar &gt; Desproteger hoja. La protección no tiene contraseña; sirve para no pisar una fórmula sin querer.</t>
        </is>
      </c>
    </row>
    <row r="35"/>
    <row r="36">
      <c r="A36" t="inlineStr">
        <is>
          <t>Diseñado por John Guerrero — chef y consultor gastronómico desde 2010 · johnguerrero.es</t>
        </is>
      </c>
    </row>
    <row r="37">
      <c r="A37"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26:C26"/>
    <mergeCell ref="A21:C21"/>
    <mergeCell ref="A27:C27"/>
    <mergeCell ref="A9:C9"/>
    <mergeCell ref="A7:C7"/>
    <mergeCell ref="A25:C25"/>
    <mergeCell ref="A31:C31"/>
    <mergeCell ref="A34:C34"/>
    <mergeCell ref="A8:C8"/>
    <mergeCell ref="A24:C24"/>
    <mergeCell ref="A11:C11"/>
    <mergeCell ref="A33:C33"/>
    <mergeCell ref="A12:C12"/>
    <mergeCell ref="A28:C2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57"/>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46" customWidth="1" min="4" max="4"/>
    <col width="24" customWidth="1" min="5" max="5"/>
    <col width="24" customWidth="1" min="6" max="6"/>
    <col width="12" customWidth="1" min="7" max="7"/>
    <col width="17" customWidth="1" min="8" max="8"/>
    <col width="26" customWidth="1" min="9" max="9"/>
    <col width="14" customWidth="1" min="10" max="10"/>
  </cols>
  <sheetData>
    <row r="1" ht="30" customHeight="1">
      <c r="A1" s="1" t="inlineStr">
        <is>
          <t>Organigrama de cocina</t>
        </is>
      </c>
    </row>
    <row r="2">
      <c r="A2" t="inlineStr">
        <is>
          <t>AI Chef Pro · aichef.pro — Manual del Chef Ejecutivo</t>
        </is>
      </c>
    </row>
    <row r="3" ht="26" customHeight="1">
      <c r="A3" s="8" t="inlineStr">
        <is>
          <t>Las partidas de arriba y la brigada de abajo son la misma cocina vista de dos maneras. Todo lo demás en este libro se lee de aquí.</t>
        </is>
      </c>
    </row>
    <row r="4"/>
    <row r="5" ht="26" customHeight="1">
      <c r="A5" s="9" t="inlineStr">
        <is>
          <t>Partidas activas (de 3 a 8)</t>
        </is>
      </c>
      <c r="C5" s="10" t="n">
        <v>6</v>
      </c>
      <c r="D5" s="8" t="inlineStr">
        <is>
          <t>La tabla trae ocho filas fijas. Las que pases de este número se marcan «Fuera del alcance» y dejan de avisarte: una cocina de tres partidas usa este libro igual que una de ocho.</t>
        </is>
      </c>
    </row>
    <row r="6" ht="30" customHeight="1">
      <c r="A6" s="9" t="inlineStr">
        <is>
          <t>Área funcional de la brigada de cocina</t>
        </is>
      </c>
      <c r="C6" s="5" t="inlineStr">
        <is>
          <t>Área 2ª</t>
        </is>
      </c>
      <c r="D6" s="8" t="inlineStr">
        <is>
          <t>El ALEH VI tipifica seis áreas funcionales y tres grupos profesionales; cocina y economato son la segunda. Verificado el 06-09-2026 · Arts. 11.2, 15 y 16 del ALEH VI (BOE-A-2023-6344), con la modificación de BOE-A-2026-18630 · https://www.boe.es/buscar/act.php?id=BOE-A-2023-6344</t>
        </is>
      </c>
    </row>
    <row r="7"/>
    <row r="8">
      <c r="A8" s="3" t="inlineStr">
        <is>
          <t>LAS PARTIDAS DE TU COCINA</t>
        </is>
      </c>
    </row>
    <row r="9" ht="44" customHeight="1">
      <c r="A9" s="6" t="inlineStr">
        <is>
          <t>Nº</t>
        </is>
      </c>
      <c r="B9" s="6" t="inlineStr">
        <is>
          <t>Partida</t>
        </is>
      </c>
      <c r="C9" s="6" t="inlineStr">
        <is>
          <t>¿Produce raciones?</t>
        </is>
      </c>
      <c r="D9" s="6" t="inlineStr">
        <is>
          <t>Qué produce</t>
        </is>
      </c>
      <c r="E9" s="6" t="inlineStr">
        <is>
          <t>Responsable (titular)</t>
        </is>
      </c>
      <c r="F9" s="6" t="inlineStr">
        <is>
          <t>Quién la cubre si falta</t>
        </is>
      </c>
      <c r="G9" s="6" t="inlineStr">
        <is>
          <t>Personas asignadas</t>
        </is>
      </c>
      <c r="H9" s="6" t="inlineStr">
        <is>
          <t>Alcance</t>
        </is>
      </c>
      <c r="I9" s="6" t="inlineStr">
        <is>
          <t>Aviso</t>
        </is>
      </c>
    </row>
    <row r="10" ht="32" customHeight="1">
      <c r="A10" s="11" t="n">
        <v>1</v>
      </c>
      <c r="B10" s="12" t="inlineStr">
        <is>
          <t>Pase y caliente</t>
        </is>
      </c>
      <c r="C10" s="13" t="inlineStr">
        <is>
          <t>Sí</t>
        </is>
      </c>
      <c r="D10" s="12" t="inlineStr">
        <is>
          <t>Principales calientes: plancha, brasa, horno, arroces y salsas del pase</t>
        </is>
      </c>
      <c r="E10" s="12" t="inlineStr">
        <is>
          <t>Iván R. (P02)</t>
        </is>
      </c>
      <c r="F10" s="12" t="inlineStr"/>
      <c r="G10" s="14">
        <f>IFERROR(IF($B10="","",COUNTIF($H$23:$H$38,$B10&amp;"")),"")</f>
        <v>4.0</v>
      </c>
      <c r="H10" t="str">
        <f>IF($B10="","",IF(OR(NOT(ISNUMBER($C$5)),$A10&lt;=$C$5),"Activa","Fuera del alcance"))</f>
        <v>Activa</v>
      </c>
      <c r="I10" t="str">
        <f>IF(OR($B10="",$H10&lt;&gt;"Activa"),"",IF($E10="","FALTA RESPONSABLE",IF(AND(ISNUMBER($G10),$G10=0),"SIN PERSONAL ASIGNADO","Correcto")))</f>
        <v>Correcto</v>
      </c>
    </row>
    <row r="11" ht="32" customHeight="1">
      <c r="A11" s="11" t="n">
        <v>2</v>
      </c>
      <c r="B11" s="12" t="inlineStr">
        <is>
          <t>Fríos y entrantes</t>
        </is>
      </c>
      <c r="C11" s="13" t="inlineStr">
        <is>
          <t>Sí</t>
        </is>
      </c>
      <c r="D11" s="12" t="inlineStr">
        <is>
          <t>Entrantes fríos y calientes de entrada: ensaladas, cazuelas, fritos y raciones</t>
        </is>
      </c>
      <c r="E11" s="12" t="inlineStr">
        <is>
          <t>Laura S. (P05)</t>
        </is>
      </c>
      <c r="F11" s="12" t="inlineStr"/>
      <c r="G11" s="14">
        <f>IFERROR(IF($B11="","",COUNTIF($H$23:$H$38,$B11&amp;"")),"")</f>
        <v>1.0</v>
      </c>
      <c r="H11" t="str">
        <f>IF($B11="","",IF(OR(NOT(ISNUMBER($C$5)),$A11&lt;=$C$5),"Activa","Fuera del alcance"))</f>
        <v>Activa</v>
      </c>
      <c r="I11" t="str">
        <f>IF(OR($B11="",$H11&lt;&gt;"Activa"),"",IF($E11="","FALTA RESPONSABLE",IF(AND(ISNUMBER($G11),$G11=0),"SIN PERSONAL ASIGNADO","Correcto")))</f>
        <v>Correcto</v>
      </c>
    </row>
    <row r="12" ht="32" customHeight="1">
      <c r="A12" s="11" t="n">
        <v>3</v>
      </c>
      <c r="B12" s="12" t="inlineStr">
        <is>
          <t>Postres y panadería</t>
        </is>
      </c>
      <c r="C12" s="13" t="inlineStr">
        <is>
          <t>Sí</t>
        </is>
      </c>
      <c r="D12" s="12" t="inlineStr">
        <is>
          <t>Postres de plato, masas y pan de la casa</t>
        </is>
      </c>
      <c r="E12" s="12" t="inlineStr">
        <is>
          <t>Rocío F. (P07)</t>
        </is>
      </c>
      <c r="F12" s="12" t="inlineStr"/>
      <c r="G12" s="14">
        <f>IFERROR(IF($B12="","",COUNTIF($H$23:$H$38,$B12&amp;"")),"")</f>
        <v>1.0</v>
      </c>
      <c r="H12" t="str">
        <f>IF($B12="","",IF(OR(NOT(ISNUMBER($C$5)),$A12&lt;=$C$5),"Activa","Fuera del alcance"))</f>
        <v>Activa</v>
      </c>
      <c r="I12" t="str">
        <f>IF(OR($B12="",$H12&lt;&gt;"Activa"),"",IF($E12="","FALTA RESPONSABLE",IF(AND(ISNUMBER($G12),$G12=0),"SIN PERSONAL ASIGNADO","Correcto")))</f>
        <v>Correcto</v>
      </c>
    </row>
    <row r="13" ht="32" customHeight="1">
      <c r="A13" s="11" t="n">
        <v>4</v>
      </c>
      <c r="B13" s="12" t="inlineStr">
        <is>
          <t>Barra y bebidas</t>
        </is>
      </c>
      <c r="C13" s="13" t="inlineStr">
        <is>
          <t>Sí</t>
        </is>
      </c>
      <c r="D13" s="12" t="inlineStr">
        <is>
          <t>Elaboraciones de barra: zumos naturales, vermut, coctelería y aperitivo</t>
        </is>
      </c>
      <c r="E13" s="12" t="inlineStr">
        <is>
          <t>Elena T. (P09)</t>
        </is>
      </c>
      <c r="F13" s="12" t="inlineStr"/>
      <c r="G13" s="14">
        <f>IFERROR(IF($B13="","",COUNTIF($H$23:$H$38,$B13&amp;"")),"")</f>
        <v>2.0</v>
      </c>
      <c r="H13" t="str">
        <f>IF($B13="","",IF(OR(NOT(ISNUMBER($C$5)),$A13&lt;=$C$5),"Activa","Fuera del alcance"))</f>
        <v>Activa</v>
      </c>
      <c r="I13" t="str">
        <f>IF(OR($B13="",$H13&lt;&gt;"Activa"),"",IF($E13="","FALTA RESPONSABLE",IF(AND(ISNUMBER($G13),$G13=0),"SIN PERSONAL ASIGNADO","Correcto")))</f>
        <v>Correcto</v>
      </c>
    </row>
    <row r="14" ht="32" customHeight="1">
      <c r="A14" s="11" t="n">
        <v>5</v>
      </c>
      <c r="B14" s="12" t="inlineStr">
        <is>
          <t>Sala y servicio</t>
        </is>
      </c>
      <c r="C14" s="13" t="inlineStr">
        <is>
          <t>No</t>
        </is>
      </c>
      <c r="D14" s="12" t="inlineStr">
        <is>
          <t>Servicio de sala: no produce raciones, por eso su columna va vacía</t>
        </is>
      </c>
      <c r="E14" s="12" t="inlineStr">
        <is>
          <t>Nuria C. (P03)</t>
        </is>
      </c>
      <c r="F14" s="12" t="inlineStr"/>
      <c r="G14" s="14">
        <f>IFERROR(IF($B14="","",COUNTIF($H$23:$H$38,$B14&amp;"")),"")</f>
        <v>3.0</v>
      </c>
      <c r="H14" t="str">
        <f>IF($B14="","",IF(OR(NOT(ISNUMBER($C$5)),$A14&lt;=$C$5),"Activa","Fuera del alcance"))</f>
        <v>Activa</v>
      </c>
      <c r="I14" t="str">
        <f>IF(OR($B14="",$H14&lt;&gt;"Activa"),"",IF($E14="","FALTA RESPONSABLE",IF(AND(ISNUMBER($G14),$G14=0),"SIN PERSONAL ASIGNADO","Correcto")))</f>
        <v>Correcto</v>
      </c>
    </row>
    <row r="15" ht="32" customHeight="1">
      <c r="A15" s="11" t="n">
        <v>6</v>
      </c>
      <c r="B15" s="12" t="inlineStr">
        <is>
          <t>Caja y cierre</t>
        </is>
      </c>
      <c r="C15" s="13" t="inlineStr">
        <is>
          <t>No</t>
        </is>
      </c>
      <c r="D15" s="12" t="inlineStr">
        <is>
          <t>Caja y cierre: no produce raciones, por eso su columna va vacía</t>
        </is>
      </c>
      <c r="E15" s="12" t="inlineStr">
        <is>
          <t>Marta L. (P01)</t>
        </is>
      </c>
      <c r="F15" s="12" t="inlineStr"/>
      <c r="G15" s="14">
        <f>IFERROR(IF($B15="","",COUNTIF($H$23:$H$38,$B15&amp;"")),"")</f>
        <v>1.0</v>
      </c>
      <c r="H15" t="str">
        <f>IF($B15="","",IF(OR(NOT(ISNUMBER($C$5)),$A15&lt;=$C$5),"Activa","Fuera del alcance"))</f>
        <v>Activa</v>
      </c>
      <c r="I15" t="str">
        <f>IF(OR($B15="",$H15&lt;&gt;"Activa"),"",IF($E15="","FALTA RESPONSABLE",IF(AND(ISNUMBER($G15),$G15=0),"SIN PERSONAL ASIGNADO","Correcto")))</f>
        <v>Correcto</v>
      </c>
    </row>
    <row r="16" ht="32" customHeight="1">
      <c r="A16" s="11" t="n">
        <v>7</v>
      </c>
      <c r="B16" s="12" t="inlineStr"/>
      <c r="C16" s="13" t="inlineStr"/>
      <c r="D16" s="12" t="inlineStr"/>
      <c r="E16" s="12" t="inlineStr"/>
      <c r="F16" s="12" t="inlineStr"/>
      <c r="G16" s="14">
        <f>IFERROR(IF($B16="","",COUNTIF($H$23:$H$38,$B16&amp;"")),"")</f>
        <v/>
      </c>
      <c r="H16">
        <f>IF($B16="","",IF(OR(NOT(ISNUMBER($C$5)),$A16&lt;=$C$5),"Activa","Fuera del alcance"))</f>
        <v/>
      </c>
      <c r="I16">
        <f>IF(OR($B16="",$H16&lt;&gt;"Activa"),"",IF($E16="","FALTA RESPONSABLE",IF(AND(ISNUMBER($G16),$G16=0),"SIN PERSONAL ASIGNADO","Correcto")))</f>
        <v/>
      </c>
    </row>
    <row r="17" ht="32" customHeight="1">
      <c r="A17" s="11" t="n">
        <v>8</v>
      </c>
      <c r="B17" s="12" t="inlineStr"/>
      <c r="C17" s="13" t="inlineStr"/>
      <c r="D17" s="12" t="inlineStr"/>
      <c r="E17" s="12" t="inlineStr"/>
      <c r="F17" s="12" t="inlineStr"/>
      <c r="G17" s="14">
        <f>IFERROR(IF($B17="","",COUNTIF($H$23:$H$38,$B17&amp;"")),"")</f>
        <v/>
      </c>
      <c r="H17">
        <f>IF($B17="","",IF(OR(NOT(ISNUMBER($C$5)),$A17&lt;=$C$5),"Activa","Fuera del alcance"))</f>
        <v/>
      </c>
      <c r="I17">
        <f>IF(OR($B17="",$H17&lt;&gt;"Activa"),"",IF($E17="","FALTA RESPONSABLE",IF(AND(ISNUMBER($G17),$G17=0),"SIN PERSONAL ASIGNADO","Correcto")))</f>
        <v/>
      </c>
    </row>
    <row r="18" ht="32" customHeight="1">
      <c r="A18" s="8" t="inlineStr">
        <is>
          <t>La columna «quién la cubre si falta» se deja en blanco a propósito: quién puede sostener una partida en un servicio no se decide aquí, se mide en la matriz de polivalencia del «Manual del Manager de Restaurante». Escribe aquí el nombre que salga de allí.</t>
        </is>
      </c>
    </row>
    <row r="19" ht="26" customHeight="1">
      <c r="A19" s="8" t="inlineStr">
        <is>
          <t>Dos partidas del ejemplo no producen raciones (sala y caja): existen en el negocio y en la matriz del Manager, pero no entran en la producción ni en la merma del cuadro de mando de cocina.</t>
        </is>
      </c>
    </row>
    <row r="20"/>
    <row r="21">
      <c r="A21" s="3" t="inlineStr">
        <is>
          <t>LA BRIGADA: QUIÉN ESTÁ HOY EN CADA PARTIDA</t>
        </is>
      </c>
    </row>
    <row r="22" ht="44" customHeight="1">
      <c r="A22" s="6" t="inlineStr">
        <is>
          <t>Id</t>
        </is>
      </c>
      <c r="B22" s="6" t="inlineStr">
        <is>
          <t>Nombre</t>
        </is>
      </c>
      <c r="C22" s="6" t="inlineStr">
        <is>
          <t>Grupo</t>
        </is>
      </c>
      <c r="D22" s="6" t="inlineStr">
        <is>
          <t>Puesto en tu organigrama</t>
        </is>
      </c>
      <c r="E22" s="6" t="inlineStr">
        <is>
          <t>Puesto del convenio (ALEH VI)</t>
        </is>
      </c>
      <c r="F22" s="6" t="inlineStr">
        <is>
          <t>Área funcional</t>
        </is>
      </c>
      <c r="G22" s="6" t="inlineStr">
        <is>
          <t>Nivel de delegación</t>
        </is>
      </c>
      <c r="H22" s="6" t="inlineStr">
        <is>
          <t>Partida principal</t>
        </is>
      </c>
      <c r="I22" s="6" t="inlineStr">
        <is>
          <t>Contrato y jornada</t>
        </is>
      </c>
      <c r="J22" s="6" t="inlineStr">
        <is>
          <t>Nivel en cocina</t>
        </is>
      </c>
    </row>
    <row r="23" ht="30" customHeight="1">
      <c r="A23" s="5" t="inlineStr">
        <is>
          <t>P01</t>
        </is>
      </c>
      <c r="B23" s="5" t="inlineStr">
        <is>
          <t>Marta L.</t>
        </is>
      </c>
      <c r="C23" s="13" t="inlineStr">
        <is>
          <t>Grupo I</t>
        </is>
      </c>
      <c r="D23" s="12" t="inlineStr">
        <is>
          <t>Gerente / encargada general (manager; administrador, en el uso de otros países)</t>
        </is>
      </c>
      <c r="E23" s="12" t="inlineStr"/>
      <c r="F23" s="13" t="inlineStr">
        <is>
          <t>Área 1ª</t>
        </is>
      </c>
      <c r="G23" s="12" t="inlineStr"/>
      <c r="H23" s="12" t="inlineStr">
        <is>
          <t>Caja y cierre</t>
        </is>
      </c>
      <c r="I23" s="12" t="inlineStr">
        <is>
          <t>Indefinido · 40 h/semana</t>
        </is>
      </c>
      <c r="J23" s="15" t="n">
        <v>1</v>
      </c>
    </row>
    <row r="24" ht="30" customHeight="1">
      <c r="A24" s="5" t="inlineStr">
        <is>
          <t>P02</t>
        </is>
      </c>
      <c r="B24" s="5" t="inlineStr">
        <is>
          <t>Iván R.</t>
        </is>
      </c>
      <c r="C24" s="13" t="inlineStr">
        <is>
          <t>Grupo I</t>
        </is>
      </c>
      <c r="D24" s="12" t="inlineStr">
        <is>
          <t>Jefe de cocina</t>
        </is>
      </c>
      <c r="E24" s="12" t="inlineStr">
        <is>
          <t>Jefe/a de cocina</t>
        </is>
      </c>
      <c r="F24" s="13" t="inlineStr">
        <is>
          <t>Área 2ª</t>
        </is>
      </c>
      <c r="G24" s="12" t="inlineStr">
        <is>
          <t>Cualificado, autónomo y responsable</t>
        </is>
      </c>
      <c r="H24" s="12" t="inlineStr">
        <is>
          <t>Pase y caliente</t>
        </is>
      </c>
      <c r="I24" s="12" t="inlineStr">
        <is>
          <t>Indefinido · 40 h/semana</t>
        </is>
      </c>
      <c r="J24" s="15" t="n">
        <v>3</v>
      </c>
    </row>
    <row r="25" ht="30" customHeight="1">
      <c r="A25" s="5" t="inlineStr">
        <is>
          <t>P03</t>
        </is>
      </c>
      <c r="B25" s="5" t="inlineStr">
        <is>
          <t>Nuria C.</t>
        </is>
      </c>
      <c r="C25" s="13" t="inlineStr">
        <is>
          <t>Grupo I</t>
        </is>
      </c>
      <c r="D25" s="12" t="inlineStr">
        <is>
          <t>Jefa de sala (salón, en el uso de otros países)</t>
        </is>
      </c>
      <c r="E25" s="12" t="inlineStr"/>
      <c r="F25" s="13" t="inlineStr">
        <is>
          <t>Área 3ª</t>
        </is>
      </c>
      <c r="G25" s="12" t="inlineStr"/>
      <c r="H25" s="12" t="inlineStr">
        <is>
          <t>Sala y servicio</t>
        </is>
      </c>
      <c r="I25" s="12" t="inlineStr">
        <is>
          <t>Indefinido · 40 h/semana</t>
        </is>
      </c>
      <c r="J25" s="15" t="n">
        <v>1</v>
      </c>
    </row>
    <row r="26" ht="30" customHeight="1">
      <c r="A26" s="5" t="inlineStr">
        <is>
          <t>P04</t>
        </is>
      </c>
      <c r="B26" s="5" t="inlineStr">
        <is>
          <t>Diego M.</t>
        </is>
      </c>
      <c r="C26" s="13" t="inlineStr">
        <is>
          <t>Grupo II</t>
        </is>
      </c>
      <c r="D26" s="12" t="inlineStr">
        <is>
          <t>Cocinero (partida caliente)</t>
        </is>
      </c>
      <c r="E26" s="12" t="inlineStr">
        <is>
          <t>Cocinero/a</t>
        </is>
      </c>
      <c r="F26" s="13" t="inlineStr">
        <is>
          <t>Área 2ª</t>
        </is>
      </c>
      <c r="G26" s="12" t="inlineStr">
        <is>
          <t>Cualificado, autónomo y responsable</t>
        </is>
      </c>
      <c r="H26" s="12" t="inlineStr">
        <is>
          <t>Pase y caliente</t>
        </is>
      </c>
      <c r="I26" s="12" t="inlineStr">
        <is>
          <t>Indefinido · 40 h/semana</t>
        </is>
      </c>
      <c r="J26" s="15" t="n">
        <v>3</v>
      </c>
    </row>
    <row r="27" ht="30" customHeight="1">
      <c r="A27" s="5" t="inlineStr">
        <is>
          <t>P05</t>
        </is>
      </c>
      <c r="B27" s="5" t="inlineStr">
        <is>
          <t>Laura S.</t>
        </is>
      </c>
      <c r="C27" s="13" t="inlineStr">
        <is>
          <t>Grupo II</t>
        </is>
      </c>
      <c r="D27" s="12" t="inlineStr">
        <is>
          <t>Cocinera (partida fría)</t>
        </is>
      </c>
      <c r="E27" s="12" t="inlineStr">
        <is>
          <t>Cocinero/a</t>
        </is>
      </c>
      <c r="F27" s="13" t="inlineStr">
        <is>
          <t>Área 2ª</t>
        </is>
      </c>
      <c r="G27" s="12" t="inlineStr">
        <is>
          <t>Cualificado, autónomo y responsable</t>
        </is>
      </c>
      <c r="H27" s="12" t="inlineStr">
        <is>
          <t>Fríos y entrantes</t>
        </is>
      </c>
      <c r="I27" s="12" t="inlineStr">
        <is>
          <t>Indefinido · 40 h/semana</t>
        </is>
      </c>
      <c r="J27" s="15" t="n">
        <v>3</v>
      </c>
    </row>
    <row r="28" ht="30" customHeight="1">
      <c r="A28" s="5" t="inlineStr">
        <is>
          <t>P06</t>
        </is>
      </c>
      <c r="B28" s="5" t="inlineStr">
        <is>
          <t>Omar B.</t>
        </is>
      </c>
      <c r="C28" s="13" t="inlineStr">
        <is>
          <t>Grupo III</t>
        </is>
      </c>
      <c r="D28" s="12" t="inlineStr">
        <is>
          <t>Ayudante de cocina</t>
        </is>
      </c>
      <c r="E28" s="12" t="inlineStr">
        <is>
          <t>Ayudante/a de cocina</t>
        </is>
      </c>
      <c r="F28" s="13" t="inlineStr">
        <is>
          <t>Área 2ª</t>
        </is>
      </c>
      <c r="G28" s="12" t="inlineStr">
        <is>
          <t>Con alguna autonomía, bajo supervisión</t>
        </is>
      </c>
      <c r="H28" s="12" t="inlineStr">
        <is>
          <t>Pase y caliente</t>
        </is>
      </c>
      <c r="I28" s="12" t="inlineStr">
        <is>
          <t>Indefinido · 40 h/semana</t>
        </is>
      </c>
      <c r="J28" s="15" t="n">
        <v>2</v>
      </c>
    </row>
    <row r="29" ht="30" customHeight="1">
      <c r="A29" s="5" t="inlineStr">
        <is>
          <t>P07</t>
        </is>
      </c>
      <c r="B29" s="5" t="inlineStr">
        <is>
          <t>Rocío F.</t>
        </is>
      </c>
      <c r="C29" s="13" t="inlineStr">
        <is>
          <t>Grupo III</t>
        </is>
      </c>
      <c r="D29" s="12" t="inlineStr">
        <is>
          <t>Ayudante de cocina y postres</t>
        </is>
      </c>
      <c r="E29" s="12" t="inlineStr">
        <is>
          <t>Ayudante/a de cocina</t>
        </is>
      </c>
      <c r="F29" s="13" t="inlineStr">
        <is>
          <t>Área 2ª</t>
        </is>
      </c>
      <c r="G29" s="12" t="inlineStr">
        <is>
          <t>Con alguna autonomía, bajo supervisión</t>
        </is>
      </c>
      <c r="H29" s="12" t="inlineStr">
        <is>
          <t>Postres y panadería</t>
        </is>
      </c>
      <c r="I29" s="12" t="inlineStr">
        <is>
          <t>Fijo-discontinuo (campaña de marzo a noviembre) · 40 h/semana</t>
        </is>
      </c>
      <c r="J29" s="15" t="n">
        <v>3</v>
      </c>
    </row>
    <row r="30" ht="30" customHeight="1">
      <c r="A30" s="5" t="inlineStr">
        <is>
          <t>P08</t>
        </is>
      </c>
      <c r="B30" s="5" t="inlineStr">
        <is>
          <t>Carlos V.</t>
        </is>
      </c>
      <c r="C30" s="13" t="inlineStr">
        <is>
          <t>Grupo II</t>
        </is>
      </c>
      <c r="D30" s="12" t="inlineStr">
        <is>
          <t>Camarero, jefe de rango</t>
        </is>
      </c>
      <c r="E30" s="12" t="inlineStr"/>
      <c r="F30" s="13" t="inlineStr">
        <is>
          <t>Área 3ª</t>
        </is>
      </c>
      <c r="G30" s="12" t="inlineStr"/>
      <c r="H30" s="12" t="inlineStr">
        <is>
          <t>Sala y servicio</t>
        </is>
      </c>
      <c r="I30" s="12" t="inlineStr">
        <is>
          <t>Indefinido · 40 h/semana</t>
        </is>
      </c>
      <c r="J30" s="15" t="n">
        <v>0</v>
      </c>
    </row>
    <row r="31" ht="30" customHeight="1">
      <c r="A31" s="5" t="inlineStr">
        <is>
          <t>P09</t>
        </is>
      </c>
      <c r="B31" s="5" t="inlineStr">
        <is>
          <t>Elena T.</t>
        </is>
      </c>
      <c r="C31" s="13" t="inlineStr">
        <is>
          <t>Grupo II</t>
        </is>
      </c>
      <c r="D31" s="12" t="inlineStr">
        <is>
          <t>Camarera</t>
        </is>
      </c>
      <c r="E31" s="12" t="inlineStr"/>
      <c r="F31" s="13" t="inlineStr">
        <is>
          <t>Área 3ª</t>
        </is>
      </c>
      <c r="G31" s="12" t="inlineStr"/>
      <c r="H31" s="12" t="inlineStr">
        <is>
          <t>Barra y bebidas</t>
        </is>
      </c>
      <c r="I31" s="12" t="inlineStr">
        <is>
          <t>Indefinido · 40 h/semana</t>
        </is>
      </c>
      <c r="J31" s="15" t="n">
        <v>0</v>
      </c>
    </row>
    <row r="32" ht="30" customHeight="1">
      <c r="A32" s="5" t="inlineStr">
        <is>
          <t>P10</t>
        </is>
      </c>
      <c r="B32" s="5" t="inlineStr">
        <is>
          <t>Youssef A.</t>
        </is>
      </c>
      <c r="C32" s="13" t="inlineStr">
        <is>
          <t>Grupo II</t>
        </is>
      </c>
      <c r="D32" s="12" t="inlineStr">
        <is>
          <t>Camarero</t>
        </is>
      </c>
      <c r="E32" s="12" t="inlineStr"/>
      <c r="F32" s="13" t="inlineStr">
        <is>
          <t>Área 3ª</t>
        </is>
      </c>
      <c r="G32" s="12" t="inlineStr"/>
      <c r="H32" s="12" t="inlineStr">
        <is>
          <t>Sala y servicio</t>
        </is>
      </c>
      <c r="I32" s="12" t="inlineStr">
        <is>
          <t>Indefinido · 40 h/semana</t>
        </is>
      </c>
      <c r="J32" s="15" t="n">
        <v>0</v>
      </c>
    </row>
    <row r="33" ht="30" customHeight="1">
      <c r="A33" s="5" t="inlineStr">
        <is>
          <t>P11</t>
        </is>
      </c>
      <c r="B33" s="5" t="inlineStr">
        <is>
          <t>Paula G.</t>
        </is>
      </c>
      <c r="C33" s="13" t="inlineStr">
        <is>
          <t>Grupo III</t>
        </is>
      </c>
      <c r="D33" s="12" t="inlineStr">
        <is>
          <t>Ayudante de camarera</t>
        </is>
      </c>
      <c r="E33" s="12" t="inlineStr"/>
      <c r="F33" s="13" t="inlineStr">
        <is>
          <t>Área 3ª</t>
        </is>
      </c>
      <c r="G33" s="12" t="inlineStr"/>
      <c r="H33" s="12" t="inlineStr">
        <is>
          <t>Barra y bebidas</t>
        </is>
      </c>
      <c r="I33" s="12" t="inlineStr">
        <is>
          <t>Formativo en alternancia · 25 h/semana</t>
        </is>
      </c>
      <c r="J33" s="15" t="n">
        <v>0</v>
      </c>
    </row>
    <row r="34" ht="30" customHeight="1">
      <c r="A34" s="5" t="inlineStr">
        <is>
          <t>P12</t>
        </is>
      </c>
      <c r="B34" s="5" t="inlineStr">
        <is>
          <t>Andrés P.</t>
        </is>
      </c>
      <c r="C34" s="13" t="inlineStr">
        <is>
          <t>Grupo III</t>
        </is>
      </c>
      <c r="D34" s="12" t="inlineStr">
        <is>
          <t>Friegaplatos y office</t>
        </is>
      </c>
      <c r="E34" s="12" t="inlineStr">
        <is>
          <t>Auxiliar de cocina y economato</t>
        </is>
      </c>
      <c r="F34" s="13" t="inlineStr">
        <is>
          <t>Área 2ª</t>
        </is>
      </c>
      <c r="G34" s="12" t="inlineStr">
        <is>
          <t>Sin cualificación, bajo supervisión</t>
        </is>
      </c>
      <c r="H34" s="12" t="inlineStr">
        <is>
          <t>Pase y caliente</t>
        </is>
      </c>
      <c r="I34" s="12" t="inlineStr">
        <is>
          <t>Indefinido a tiempo parcial · 30 h/semana</t>
        </is>
      </c>
      <c r="J34" s="15" t="n">
        <v>1</v>
      </c>
    </row>
    <row r="35" ht="30" customHeight="1">
      <c r="A35" s="5" t="inlineStr"/>
      <c r="B35" s="5" t="inlineStr"/>
      <c r="C35" s="13" t="inlineStr"/>
      <c r="D35" s="12" t="inlineStr"/>
      <c r="E35" s="12" t="inlineStr"/>
      <c r="F35" s="13" t="inlineStr"/>
      <c r="G35" s="12" t="inlineStr"/>
      <c r="H35" s="12" t="inlineStr"/>
      <c r="I35" s="12" t="inlineStr"/>
      <c r="J35" s="15" t="inlineStr"/>
    </row>
    <row r="36" ht="30" customHeight="1">
      <c r="A36" s="5" t="inlineStr"/>
      <c r="B36" s="5" t="inlineStr"/>
      <c r="C36" s="13" t="inlineStr"/>
      <c r="D36" s="12" t="inlineStr"/>
      <c r="E36" s="12" t="inlineStr"/>
      <c r="F36" s="13" t="inlineStr"/>
      <c r="G36" s="12" t="inlineStr"/>
      <c r="H36" s="12" t="inlineStr"/>
      <c r="I36" s="12" t="inlineStr"/>
      <c r="J36" s="15" t="inlineStr"/>
    </row>
    <row r="37" ht="30" customHeight="1">
      <c r="A37" s="5" t="inlineStr"/>
      <c r="B37" s="5" t="inlineStr"/>
      <c r="C37" s="13" t="inlineStr"/>
      <c r="D37" s="12" t="inlineStr"/>
      <c r="E37" s="12" t="inlineStr"/>
      <c r="F37" s="13" t="inlineStr"/>
      <c r="G37" s="12" t="inlineStr"/>
      <c r="H37" s="12" t="inlineStr"/>
      <c r="I37" s="12" t="inlineStr"/>
      <c r="J37" s="15" t="inlineStr"/>
    </row>
    <row r="38" ht="30" customHeight="1">
      <c r="A38" s="5" t="inlineStr"/>
      <c r="B38" s="5" t="inlineStr"/>
      <c r="C38" s="13" t="inlineStr"/>
      <c r="D38" s="12" t="inlineStr"/>
      <c r="E38" s="12" t="inlineStr"/>
      <c r="F38" s="13" t="inlineStr"/>
      <c r="G38" s="12" t="inlineStr"/>
      <c r="H38" s="12" t="inlineStr"/>
      <c r="I38" s="12" t="inlineStr"/>
      <c r="J38" s="15" t="inlineStr"/>
    </row>
    <row r="39">
      <c r="A39" s="9" t="inlineStr">
        <is>
          <t>Personas de la brigada de cocina</t>
        </is>
      </c>
      <c r="F39" s="16">
        <f>IFERROR(COUNTIF($F$23:$F$38,$C$6),"")</f>
        <v>6.0</v>
      </c>
    </row>
    <row r="40">
      <c r="A40" s="9" t="inlineStr">
        <is>
          <t>Personas de la casa dadas de alta en esta hoja</t>
        </is>
      </c>
      <c r="F40" s="16">
        <f>IF(COUNT($J$23:$J$38)=0,"",COUNT($J$23:$J$38))</f>
        <v>12.0</v>
      </c>
    </row>
    <row r="41"/>
    <row r="42" ht="40" customHeight="1">
      <c r="A42" s="8" t="inlineStr">
        <is>
          <t>La columna «nivel en cocina» es el nivel MÁXIMO de polivalencia de esa persona en las tres partidas de cocina, copiado de la matriz del «Manual del Manager de Restaurante». Está aquí para poder contrastarlo con la nota técnica de la hoja «Rúbrica de Competencias»: son dos preguntas distintas y a menudo dan respuestas distintas.</t>
        </is>
      </c>
    </row>
    <row r="43" ht="32" customHeight="1">
      <c r="A43" s="8" t="inlineStr">
        <is>
          <t>El puesto del convenio sólo se rellena para el área funcional de cocina y economato: quien está en sala o en administración se clasifica en otra área del mismo convenio, y sus funciones no son las del artículo 17.B.</t>
        </is>
      </c>
    </row>
    <row r="44" ht="32" customHeight="1">
      <c r="A44" s="8" t="inlineStr">
        <is>
          <t>Ojo con los fijos-discontinuos: en el ejemplo, una de las seis personas de cocina sólo está de campaña, así que las horas contratadas de la brigada no son las mismas en febrero que en agosto.</t>
        </is>
      </c>
    </row>
    <row r="45"/>
    <row r="46">
      <c r="A46" s="3" t="inlineStr">
        <is>
          <t>LISTAS DE REFERENCIA DE LOS DESPLEGABLES (fuera del área de impresión)</t>
        </is>
      </c>
    </row>
    <row r="47" ht="20" customHeight="1">
      <c r="A47" s="6" t="inlineStr">
        <is>
          <t>Sí / No</t>
        </is>
      </c>
      <c r="B47" s="6" t="inlineStr">
        <is>
          <t>Partidas</t>
        </is>
      </c>
      <c r="C47" s="6" t="inlineStr">
        <is>
          <t>Puestos del convenio</t>
        </is>
      </c>
    </row>
    <row r="48">
      <c r="A48" t="inlineStr">
        <is>
          <t>Sí</t>
        </is>
      </c>
      <c r="B48" t="inlineStr">
        <is>
          <t>Pase y caliente</t>
        </is>
      </c>
      <c r="C48" t="inlineStr">
        <is>
          <t>Jefe/a de cocina</t>
        </is>
      </c>
    </row>
    <row r="49">
      <c r="A49" t="inlineStr">
        <is>
          <t>No</t>
        </is>
      </c>
      <c r="B49" t="inlineStr">
        <is>
          <t>Fríos y entrantes</t>
        </is>
      </c>
      <c r="C49" t="inlineStr">
        <is>
          <t>Segundo/a jefe/a de cocina</t>
        </is>
      </c>
    </row>
    <row r="50">
      <c r="B50" t="inlineStr">
        <is>
          <t>Postres y panadería</t>
        </is>
      </c>
      <c r="C50" t="inlineStr">
        <is>
          <t>Jefe/a de catering</t>
        </is>
      </c>
    </row>
    <row r="51">
      <c r="B51" t="inlineStr">
        <is>
          <t>Barra y bebidas</t>
        </is>
      </c>
      <c r="C51" t="inlineStr">
        <is>
          <t>Jefe/a de partida</t>
        </is>
      </c>
    </row>
    <row r="52">
      <c r="B52" t="inlineStr">
        <is>
          <t>Sala y servicio</t>
        </is>
      </c>
      <c r="C52" t="inlineStr">
        <is>
          <t>Cocinero/a</t>
        </is>
      </c>
    </row>
    <row r="53">
      <c r="B53" t="inlineStr">
        <is>
          <t>Caja y cierre</t>
        </is>
      </c>
      <c r="C53" t="inlineStr">
        <is>
          <t>Repostero/a</t>
        </is>
      </c>
    </row>
    <row r="54">
      <c r="C54" t="inlineStr">
        <is>
          <t>Encargado/a de economato</t>
        </is>
      </c>
    </row>
    <row r="55">
      <c r="C55" t="inlineStr">
        <is>
          <t>Ayudante/a de cocina</t>
        </is>
      </c>
    </row>
    <row r="56">
      <c r="C56" t="inlineStr">
        <is>
          <t>Ayudante/a de economato</t>
        </is>
      </c>
    </row>
    <row r="57">
      <c r="C57" t="inlineStr">
        <is>
          <t>Auxiliar de cocina y economato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A42:J42"/>
    <mergeCell ref="A39:E39"/>
    <mergeCell ref="A3:J3"/>
    <mergeCell ref="D5:J5"/>
    <mergeCell ref="A19:J19"/>
    <mergeCell ref="A43:J43"/>
    <mergeCell ref="A40:E40"/>
    <mergeCell ref="A5:B5"/>
    <mergeCell ref="A18:J18"/>
    <mergeCell ref="A6:B6"/>
    <mergeCell ref="D6:J6"/>
    <mergeCell ref="A44:J44"/>
  </mergeCells>
  <conditionalFormatting sqref="I10:I17">
    <cfRule type="cellIs" priority="1" operator="equal" dxfId="0" stopIfTrue="1">
      <formula>"Correcto"</formula>
    </cfRule>
    <cfRule type="cellIs" priority="2" operator="equal" dxfId="1" stopIfTrue="1">
      <formula>"FALTA RESPONSABLE"</formula>
    </cfRule>
    <cfRule type="cellIs" priority="3" operator="equal" dxfId="1" stopIfTrue="1">
      <formula>"SIN PERSONAL ASIGNADO"</formula>
    </cfRule>
  </conditionalFormatting>
  <conditionalFormatting sqref="H10:H17">
    <cfRule type="cellIs" priority="4" operator="equal" dxfId="2" stopIfTrue="1">
      <formula>"Fuera del alcance"</formula>
    </cfRule>
  </conditionalFormatting>
  <dataValidations count="5">
    <dataValidation sqref="C10 C11 C12 C13 C14 C15 C16 C17" showDropDown="0" showInputMessage="0" showErrorMessage="1" allowBlank="1" errorTitle="Sí o No" error="Marca Sí si esa partida produce raciones de comida." type="list">
      <formula1>'Organigrama'!$A$48:$A$49</formula1>
    </dataValidation>
    <dataValidation sqref="H23 H24 H25 H26 H27 H28 H29 H30 H31 H32 H33 H34 H35 H36 H37 H38" showDropDown="0" showInputMessage="0" showErrorMessage="1" allowBlank="1" errorTitle="Partida" error="Elige una de las partidas declaradas arriba." type="list">
      <formula1>'Organigrama'!$B$48:$B$53</formula1>
    </dataValidation>
    <dataValidation sqref="E23 E24 E25 E26 E27 E28 E29 E30 E31 E32 E33 E34 E35 E36 E37 E38" showDropDown="0" showInputMessage="0" showErrorMessage="1" allowBlank="1" errorTitle="Puesto del convenio" error="Elige uno de los diez puestos del área de cocina y economato del ALEH VI. Déjalo vacío para el personal de otra área." type="list">
      <formula1>'Organigrama'!$C$48:$C$57</formula1>
    </dataValidation>
    <dataValidation sqref="C5" showDropDown="0" showInputMessage="0" showErrorMessage="1" allowBlank="1" errorTitle="Partidas activas" error="Escribe cuántas partidas tiene tu cocina, de 3 a 8." type="decimal" operator="between">
      <formula1>3</formula1>
      <formula2>8</formula2>
    </dataValidation>
    <dataValidation sqref="J23 J24 J25 J26 J27 J28 J29 J30 J31 J32 J33 J34 J35 J36 J37 J38" showDropDown="0" showInputMessage="0" showErrorMessage="1" allowBlank="1" errorTitle="Nivel de polivalencia" error="De 0 a 3, copiado de la matriz de polivalencia del Manual del Manager." type="decimal" operator="between">
      <formula1>0</formula1>
      <formula2>3</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41"/>
  <sheetViews>
    <sheetView workbookViewId="0">
      <pane ySplit="5" topLeftCell="A6" activePane="bottomLeft" state="frozen"/>
      <selection pane="bottomLeft" activeCell="A1" sqref="A1"/>
    </sheetView>
  </sheetViews>
  <sheetFormatPr baseColWidth="8" defaultRowHeight="15"/>
  <cols>
    <col width="26" customWidth="1" min="1" max="1"/>
    <col width="12" customWidth="1" min="2" max="2"/>
    <col width="78" customWidth="1" min="3" max="3"/>
    <col width="46" customWidth="1" min="4" max="4"/>
    <col width="26" customWidth="1" min="5" max="5"/>
    <col width="20" customWidth="1" min="6" max="6"/>
    <col width="12" customWidth="1" min="7" max="7"/>
  </cols>
  <sheetData>
    <row r="1" ht="30" customHeight="1">
      <c r="A1" s="1" t="inlineStr">
        <is>
          <t>Fichas de puesto de cocina</t>
        </is>
      </c>
    </row>
    <row r="2">
      <c r="A2" t="inlineStr">
        <is>
          <t>AI Chef Pro · aichef.pro — Manual del Chef Ejecutivo</t>
        </is>
      </c>
    </row>
    <row r="3" ht="26" customHeight="1">
      <c r="A3" s="8" t="inlineStr">
        <is>
          <t>La columna de funciones del convenio es LITERAL: es lo que pone el ALEH VI. Lo que escribes tú es la columna verde de al lado.</t>
        </is>
      </c>
    </row>
    <row r="4"/>
    <row r="5" ht="44" customHeight="1">
      <c r="A5" s="6" t="inlineStr">
        <is>
          <t>Puesto (denominación del art. 17.B)</t>
        </is>
      </c>
      <c r="B5" s="6" t="inlineStr">
        <is>
          <t>Grupo</t>
        </is>
      </c>
      <c r="C5" s="6" t="inlineStr">
        <is>
          <t>Funciones del convenio (literal, art. 17.B)</t>
        </is>
      </c>
      <c r="D5" s="6" t="inlineStr">
        <is>
          <t>Funciones propias de tu casa</t>
        </is>
      </c>
      <c r="E5" s="6" t="inlineStr">
        <is>
          <t>Nivel de delegación</t>
        </is>
      </c>
      <c r="F5" s="6" t="inlineStr">
        <is>
          <t>Quién lo ocupa hoy</t>
        </is>
      </c>
      <c r="G5" s="6" t="inlineStr">
        <is>
          <t>Personas</t>
        </is>
      </c>
    </row>
    <row r="6" ht="96" customHeight="1">
      <c r="A6" s="7" t="inlineStr">
        <is>
          <t>Jefe/a de cocina</t>
        </is>
      </c>
      <c r="B6" s="17" t="inlineStr">
        <is>
          <t>Grupo I</t>
        </is>
      </c>
      <c r="C6" s="4" t="inlineStr">
        <is>
          <t>Realizar de manera cualificada, funciones de planificación, organización y control de todas las tareas propias del departamento de cocina y repostería. Organizar, dirigir y coordinar el trabajo del personal a su cargo. Dirigir y planificar el conjunto de actividades de su área. Realizar inventarios y controles de materiales, mercancías, etc. Diseñar platos y participar en su elaboración. Realizar propuestas de pedidos de mercancías y materias primas y gestionar su conservación, almacenamiento y rendimiento. Supervisar y controlar el mantenimiento y uso de maquinaria, materiales, utillaje, etc. Colaborar en la instrucción del personal a su cargo</t>
        </is>
      </c>
      <c r="D6" s="12" t="inlineStr"/>
      <c r="E6" s="4" t="inlineStr">
        <is>
          <t>Cualificado, autónomo y responsable</t>
        </is>
      </c>
      <c r="F6" s="12" t="inlineStr">
        <is>
          <t>P02</t>
        </is>
      </c>
      <c r="G6" s="14">
        <f>IFERROR(COUNTIF('Organigrama'!$E$23:$E$38,$A6),"")</f>
        <v>1.0</v>
      </c>
    </row>
    <row r="7" ht="96" customHeight="1">
      <c r="A7" s="7" t="inlineStr">
        <is>
          <t>Segundo/a jefe/a de cocina</t>
        </is>
      </c>
      <c r="B7" s="17" t="inlineStr">
        <is>
          <t>Grupo I</t>
        </is>
      </c>
      <c r="C7" s="4" t="inlineStr">
        <is>
          <t>Realizar de manera cualificada las funciones de planificación, organización y control de todas las tareas propias del departamento de cocina y repostería. Colaborar y sustituir al jefe/a de cocina en las tareas propias del mismo</t>
        </is>
      </c>
      <c r="D7" s="12" t="inlineStr"/>
      <c r="E7" s="4" t="inlineStr">
        <is>
          <t>Cualificado, autónomo y responsable</t>
        </is>
      </c>
      <c r="F7" s="12" t="inlineStr"/>
      <c r="G7" s="14">
        <f>IFERROR(COUNTIF('Organigrama'!$E$23:$E$38,$A7),"")</f>
        <v>0.0</v>
      </c>
    </row>
    <row r="8" ht="96" customHeight="1">
      <c r="A8" s="7" t="inlineStr">
        <is>
          <t>Jefe/a de catering</t>
        </is>
      </c>
      <c r="B8" s="17" t="inlineStr">
        <is>
          <t>Grupo I</t>
        </is>
      </c>
      <c r="C8" s="4" t="inlineStr">
        <is>
          <t>Realizar de manera cualificada y responsable de la dirección, control y seguimiento del proceso de elaboración y distribución de comidas. Organizar, controlar y coordinar todo el proceso de preparación y distribución de la producción a su cargo. Cuidar de que la producción reuna las condiciones exigidas, tanto higiénicas como de montaje. Organizar, instruir y evaluar al personal a su cargo</t>
        </is>
      </c>
      <c r="D8" s="12" t="inlineStr"/>
      <c r="E8" s="4" t="inlineStr">
        <is>
          <t>Cualificado, autónomo y responsable</t>
        </is>
      </c>
      <c r="F8" s="12" t="inlineStr"/>
      <c r="G8" s="14">
        <f>IFERROR(COUNTIF('Organigrama'!$E$23:$E$38,$A8),"")</f>
        <v>0.0</v>
      </c>
    </row>
    <row r="9" ht="96" customHeight="1">
      <c r="A9" s="7" t="inlineStr">
        <is>
          <t>Jefe/a de partida</t>
        </is>
      </c>
      <c r="B9" s="17" t="inlineStr">
        <is>
          <t>Grupo II</t>
        </is>
      </c>
      <c r="C9" s="4" t="inlineStr">
        <is>
          <t>Realizar de manera cualificada las funciones de control y supervisión de la partida y/o servicio que le sea asignado bajo la dirección del jefe/a de cocina. Las mismas del cocinero/a, y además: participar en el control de aprovisionamientos, conservación y almacenamiento de mercancías. Elaborar informes sobre la gestión de los recursos y procesos de su partida y/o servicio. Colaborar en la instrucción del personal a su cargo</t>
        </is>
      </c>
      <c r="D9" s="12" t="inlineStr"/>
      <c r="E9" s="4" t="inlineStr">
        <is>
          <t>Cualificado, autónomo y responsable</t>
        </is>
      </c>
      <c r="F9" s="12" t="inlineStr"/>
      <c r="G9" s="14">
        <f>IFERROR(COUNTIF('Organigrama'!$E$23:$E$38,$A9),"")</f>
        <v>0.0</v>
      </c>
    </row>
    <row r="10" ht="96" customHeight="1">
      <c r="A10" s="7" t="inlineStr">
        <is>
          <t>Cocinero/a</t>
        </is>
      </c>
      <c r="B10" s="17" t="inlineStr">
        <is>
          <t>Grupo II</t>
        </is>
      </c>
      <c r="C10" s="4" t="inlineStr">
        <is>
          <t>Realizar de manera cualificada, autónoma y responsable, la preparación, aderezo y presentación de platos utilizando las técnicas más idóneas. Colaborar en los pedidos y conservación de materias primas. Colaborar en la planificación de menús y cartas. Colaborar en la gestión de costes e inventarios, así como en las compras</t>
        </is>
      </c>
      <c r="D10" s="12" t="inlineStr"/>
      <c r="E10" s="4" t="inlineStr">
        <is>
          <t>Cualificado, autónomo y responsable</t>
        </is>
      </c>
      <c r="F10" s="12" t="inlineStr">
        <is>
          <t>P04, P05</t>
        </is>
      </c>
      <c r="G10" s="14">
        <f>IFERROR(COUNTIF('Organigrama'!$E$23:$E$38,$A10),"")</f>
        <v>2.0</v>
      </c>
    </row>
    <row r="11" ht="96" customHeight="1">
      <c r="A11" s="7" t="inlineStr">
        <is>
          <t>Repostero/a</t>
        </is>
      </c>
      <c r="B11" s="17" t="inlineStr">
        <is>
          <t>Grupo II</t>
        </is>
      </c>
      <c r="C11" s="4" t="inlineStr">
        <is>
          <t>Realizar de manera cualificada y autónoma, la preparación y presentación de postres y dulces en general, así como bollería y masas. Realizar el cálculo de costes, relacionados con sus cometidos. Organizar y controlar el personal a su cargo</t>
        </is>
      </c>
      <c r="D11" s="12" t="inlineStr"/>
      <c r="E11" s="4" t="inlineStr">
        <is>
          <t>Cualificado, autónomo y responsable</t>
        </is>
      </c>
      <c r="F11" s="12" t="inlineStr"/>
      <c r="G11" s="14">
        <f>IFERROR(COUNTIF('Organigrama'!$E$23:$E$38,$A11),"")</f>
        <v>0.0</v>
      </c>
    </row>
    <row r="12" ht="96" customHeight="1">
      <c r="A12" s="7" t="inlineStr">
        <is>
          <t>Encargado/a de economato</t>
        </is>
      </c>
      <c r="B12" s="17" t="inlineStr">
        <is>
          <t>Grupo II</t>
        </is>
      </c>
      <c r="C12" s="4" t="inlineStr">
        <is>
          <t>Realizar de forma cualificada la dirección, control y supervisión del conjunto de tareas que se desarrollan en su departamento. Establecer las necesidades de mercancías y material. Elaborar las peticiones de ofertas, evaluación y recomendación de las adjudicaciones. Controlar y planificar las existencias, en coordinación con otras secciones del establecimiento</t>
        </is>
      </c>
      <c r="D12" s="12" t="inlineStr"/>
      <c r="E12" s="4" t="inlineStr">
        <is>
          <t>Cualificado, autónomo y responsable</t>
        </is>
      </c>
      <c r="F12" s="12" t="inlineStr"/>
      <c r="G12" s="14">
        <f>IFERROR(COUNTIF('Organigrama'!$E$23:$E$38,$A12),"")</f>
        <v>0.0</v>
      </c>
    </row>
    <row r="13" ht="96" customHeight="1">
      <c r="A13" s="7" t="inlineStr">
        <is>
          <t>Ayudante/a de cocina</t>
        </is>
      </c>
      <c r="B13" s="17" t="inlineStr">
        <is>
          <t>Grupo II</t>
        </is>
      </c>
      <c r="C13" s="4" t="inlineStr">
        <is>
          <t>Participar con alguna autonomía y responsabilidad en las elaboraciones de cocina bajo supervisión. Realizar las preparaciones básicas, así como cualquier otra relacionada con las elaboraciones culinarias que le sean encomendadas</t>
        </is>
      </c>
      <c r="D13" s="12" t="inlineStr"/>
      <c r="E13" s="4" t="inlineStr">
        <is>
          <t>Con alguna autonomía, bajo supervisión</t>
        </is>
      </c>
      <c r="F13" s="12" t="inlineStr">
        <is>
          <t>P06, P07</t>
        </is>
      </c>
      <c r="G13" s="14">
        <f>IFERROR(COUNTIF('Organigrama'!$E$23:$E$38,$A13),"")</f>
        <v>2.0</v>
      </c>
    </row>
    <row r="14" ht="96" customHeight="1">
      <c r="A14" s="7" t="inlineStr">
        <is>
          <t>Ayudante/a de economato</t>
        </is>
      </c>
      <c r="B14" s="17" t="inlineStr">
        <is>
          <t>Grupo II</t>
        </is>
      </c>
      <c r="C14" s="4" t="inlineStr">
        <is>
          <t>Realizar de manera cualificada, autónoma y responsable, la compra y gestión de mercancías y materiales. Recibir las mercancías y material pedidos y controlar las fechas de caducidad. Vigilar y controlar las existencias</t>
        </is>
      </c>
      <c r="D14" s="12" t="inlineStr"/>
      <c r="E14" s="4" t="inlineStr">
        <is>
          <t>Con alguna autonomía, bajo supervisión</t>
        </is>
      </c>
      <c r="F14" s="12" t="inlineStr"/>
      <c r="G14" s="14">
        <f>IFERROR(COUNTIF('Organigrama'!$E$23:$E$38,$A14),"")</f>
        <v>0.0</v>
      </c>
    </row>
    <row r="15" ht="96" customHeight="1">
      <c r="A15" s="7" t="inlineStr">
        <is>
          <t>Auxiliar de cocina y economato</t>
        </is>
      </c>
      <c r="B15" s="17" t="inlineStr">
        <is>
          <t>Grupo III</t>
        </is>
      </c>
      <c r="C15" s="4" t="inlineStr">
        <is>
          <t>Realizar sin cualificación las tareas de limpieza de útiles, maquinaria y menaje del restaurante y cocina, para lo cual no requiere una formación específica y que trabaja bajo supervisión. Preparar e higienizar los alimentos. Transportar pedidos</t>
        </is>
      </c>
      <c r="D15" s="12" t="inlineStr"/>
      <c r="E15" s="4" t="inlineStr">
        <is>
          <t>Sin cualificación, bajo supervisión</t>
        </is>
      </c>
      <c r="F15" s="12" t="inlineStr">
        <is>
          <t>P12</t>
        </is>
      </c>
      <c r="G15" s="14">
        <f>IFERROR(COUNTIF('Organigrama'!$E$23:$E$38,$A15),"")</f>
        <v>1.0</v>
      </c>
    </row>
    <row r="16">
      <c r="A16" s="9" t="inlineStr">
        <is>
          <t>TOTAL de personas encuadradas</t>
        </is>
      </c>
      <c r="G16" s="16">
        <f>IF(COUNT($G$6:$G$15)=0,"",SUM($G$6:$G$15))</f>
        <v>6.0</v>
      </c>
    </row>
    <row r="17"/>
    <row r="18" ht="26" customHeight="1">
      <c r="A18" s="8" t="inlineStr">
        <is>
          <t>ALEH VI, art. 17.B (BOE-A-2023-6344) - las FUNCIONES de esta columna no las toca la Resolución de 25-08-2026 (BOE-A-2026-18630, BOE de 04-09-2026), que solo normaliza el lenguaje de género en los NOMBRES de los puestos de los arts. 15 a 17. Verificado el 06-09-2026 - consolidado (art. 17.B): https://www.boe.es/buscar/act.php?id=BOE-A-2023-6344 - resolución de 2026: https://www.boe.es/diario_boe/txt.php?id=BOE-A-2026-18630</t>
        </is>
      </c>
    </row>
    <row r="19" ht="40" customHeight="1">
      <c r="A19" s="8" t="inlineStr">
        <is>
          <t>La columna «Personas» cuenta cuántas filas de la hoja «Organigrama» tienen ese puesto del convenio. Si el total no cuadra con tu plantilla de cocina, es que alguien está sin encuadrar: el grupo profesional y la ocupación tienen que constar en el contrato y en el recibo de salario. Verificado el 06-09-2026 · Arts. 11.2, 15 y 16 del ALEH VI (BOE-A-2023-6344), con la modificación de BOE-A-2026-18630 · https://www.boe.es/buscar/act.php?id=BOE-A-2023-6344</t>
        </is>
      </c>
    </row>
    <row r="20" ht="44" customHeight="1">
      <c r="A20" s="8" t="inlineStr">
        <is>
          <t>La columna A es una denominación de TRABAJO, no la lista literal del art. 15: la Resolución de 25-08-2026 solo cambió el nombre de 5 de los 10 puestos (invirtiendo el orden de género) y dejó los otros cuatro como en 2023, y el propio BOE es incoherente con «Ayudante/a economato» (sin cambiar en el art. 15, «Ayudanta/e economato» en los arts. 16 y 17). Lo literal es la columna C.</t>
        </is>
      </c>
    </row>
    <row r="21">
      <c r="A21" s="3" t="inlineStr">
        <is>
          <t>LOS TRES NIVELES DE DELEGACIÓN QUE YA ESTÁN EN EL CONVENIO</t>
        </is>
      </c>
    </row>
    <row r="22" ht="26" customHeight="1">
      <c r="A22" s="6" t="inlineStr">
        <is>
          <t>Nivel</t>
        </is>
      </c>
      <c r="B22" s="18" t="n"/>
      <c r="C22" s="6" t="inlineStr">
        <is>
          <t>Puestos</t>
        </is>
      </c>
      <c r="D22" s="18" t="n"/>
      <c r="E22" s="6" t="inlineStr">
        <is>
          <t>Cómo se manda en ese nivel</t>
        </is>
      </c>
      <c r="F22" s="18" t="n"/>
      <c r="G22" s="18" t="n"/>
    </row>
    <row r="23" ht="40" customHeight="1">
      <c r="A23" s="7" t="inlineStr">
        <is>
          <t>Cualificado, autónomo y responsable</t>
        </is>
      </c>
      <c r="C23" s="4" t="inlineStr">
        <is>
          <t>Jefe/a de cocina, segundo/a, jefe/a de catering, jefe/a de partida, cocinero/a, repostero/a y encargado/a de economato</t>
        </is>
      </c>
      <c r="E23" s="4" t="inlineStr">
        <is>
          <t>Se le encarga el RESULTADO. No se supervisa el cómo</t>
        </is>
      </c>
    </row>
    <row r="24" ht="40" customHeight="1">
      <c r="A24" s="7" t="inlineStr">
        <is>
          <t>Con alguna autonomía, bajo supervisión</t>
        </is>
      </c>
      <c r="C24" s="4" t="inlineStr">
        <is>
          <t>Ayudante/a de cocina y ayudante/a de economato</t>
        </is>
      </c>
      <c r="E24" s="4" t="inlineStr">
        <is>
          <t>Se le encarga la TAREA con el estándar escrito delante, y se comprueba</t>
        </is>
      </c>
    </row>
    <row r="25" ht="40" customHeight="1">
      <c r="A25" s="7" t="inlineStr">
        <is>
          <t>Sin cualificación, bajo supervisión</t>
        </is>
      </c>
      <c r="C25" s="4" t="inlineStr">
        <is>
          <t>Auxiliar de cocina y economato</t>
        </is>
      </c>
      <c r="E25" s="4" t="inlineStr">
        <is>
          <t>Se le enseña la tarea, se hace con el la primera vez y se comprueba siempre</t>
        </is>
      </c>
    </row>
    <row r="26"/>
    <row r="27">
      <c r="A27" s="3" t="inlineStr">
        <is>
          <t>DENOMINACIONES DE USO Y SU EQUIVALENCIA EN EL CONVENIO</t>
        </is>
      </c>
    </row>
    <row r="28" ht="26" customHeight="1">
      <c r="A28" s="6" t="inlineStr">
        <is>
          <t>Denominación de uso</t>
        </is>
      </c>
      <c r="B28" s="6" t="inlineStr">
        <is>
          <t>¿Está en el ALEH VI?</t>
        </is>
      </c>
      <c r="C28" s="6" t="inlineStr">
        <is>
          <t>Puesto equivalente por las funciones que hace</t>
        </is>
      </c>
      <c r="D28" s="18" t="n"/>
      <c r="E28" s="18" t="n"/>
      <c r="F28" s="18" t="n"/>
      <c r="G28" s="18" t="n"/>
    </row>
    <row r="29" ht="32" customHeight="1">
      <c r="A29" s="9" t="inlineStr">
        <is>
          <t>Chef ejecutivo</t>
        </is>
      </c>
      <c r="B29" s="17" t="inlineStr">
        <is>
          <t>No</t>
        </is>
      </c>
      <c r="C29" s="4" t="inlineStr">
        <is>
          <t>Jefe/a de cocina (Grupo I, área 2.ª)</t>
        </is>
      </c>
    </row>
    <row r="30" ht="32" customHeight="1">
      <c r="A30" s="9" t="inlineStr">
        <is>
          <t>Chef corporativo</t>
        </is>
      </c>
      <c r="B30" s="17" t="inlineStr">
        <is>
          <t>No</t>
        </is>
      </c>
      <c r="C30" s="4" t="inlineStr">
        <is>
          <t>No existe en el ALEH VI. Quien dirige varias cocinas se encuadra por las funciones que hace: normalmente jefe/a de cocina del Grupo I, y su relación con cada unidad se define en el contrato, no en el convenio</t>
        </is>
      </c>
    </row>
    <row r="31" ht="32" customHeight="1">
      <c r="A31" s="9" t="inlineStr">
        <is>
          <t>Sous chef</t>
        </is>
      </c>
      <c r="B31" s="17" t="inlineStr">
        <is>
          <t>No</t>
        </is>
      </c>
      <c r="C31" s="4" t="inlineStr">
        <is>
          <t>Segundo/a jefe/a de cocina (Grupo I, área 2.ª)</t>
        </is>
      </c>
    </row>
    <row r="32" ht="32" customHeight="1">
      <c r="A32" s="9" t="inlineStr">
        <is>
          <t>Chef de partie</t>
        </is>
      </c>
      <c r="B32" s="17" t="inlineStr">
        <is>
          <t>No</t>
        </is>
      </c>
      <c r="C32" s="4" t="inlineStr">
        <is>
          <t>Jefe/a de partida (Grupo II, área 2.ª)</t>
        </is>
      </c>
    </row>
    <row r="33" ht="32" customHeight="1">
      <c r="A33" s="9" t="inlineStr">
        <is>
          <t>Commis</t>
        </is>
      </c>
      <c r="B33" s="17" t="inlineStr">
        <is>
          <t>No</t>
        </is>
      </c>
      <c r="C33" s="4" t="inlineStr">
        <is>
          <t>Ayudante/a de cocina (Grupo II, área 2.ª)</t>
        </is>
      </c>
    </row>
    <row r="34" ht="32" customHeight="1">
      <c r="A34" s="9" t="inlineStr">
        <is>
          <t>Marmitón o pinche</t>
        </is>
      </c>
      <c r="B34" s="17" t="inlineStr">
        <is>
          <t>No</t>
        </is>
      </c>
      <c r="C34" s="4" t="inlineStr">
        <is>
          <t>Auxiliar de cocina y economato (Grupo III, área 2.ª)</t>
        </is>
      </c>
    </row>
    <row r="35" ht="26" customHeight="1">
      <c r="A35" s="8" t="inlineStr">
        <is>
          <t>Esto no es una discusión de nombres: el grupo profesional decide el salario del convenio, el periodo de prueba y la clasificación que consta en el contrato. Llamarse «chef ejecutivo» no cambia ninguna de las tres.</t>
        </is>
      </c>
    </row>
    <row r="36"/>
    <row r="37">
      <c r="A37" s="3" t="inlineStr">
        <is>
          <t>FORMACIÓN: LO QUE OBLIGA, POR PUESTO</t>
        </is>
      </c>
    </row>
    <row r="38" ht="26" customHeight="1">
      <c r="A38" s="8" t="inlineStr">
        <is>
          <t>La formación en higiene se da de acuerdo con la actividad laboral de CADA PUESTO, no de forma genérica para toda la casa. Verificado el 06-09-2026 · Reglamento (CE) 852/2004, Anexo II, Cap. XII, punto 1 · https://eur-lex.europa.eu/legal-content/ES/TXT/HTML/?uri=CELEX:02004R0852-20210324</t>
        </is>
      </c>
    </row>
    <row r="39" ht="26" customHeight="1">
      <c r="A39" s="8" t="inlineStr">
        <is>
          <t>Y la formación en prevención es teórica y práctica, suficiente y adecuada al puesto, dentro de la jornada, y su coste no puede recaer nunca sobre el trabajador. Verificado el 06-09-2026 · Ley 31/1995 de Prevención de Riesgos Laborales, art. 19 · https://www.boe.es/buscar/act.php?id=BOE-A-1995-24292</t>
        </is>
      </c>
    </row>
    <row r="40"/>
    <row r="41">
      <c r="A41"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6">
    <mergeCell ref="C34:G34"/>
    <mergeCell ref="E25:G25"/>
    <mergeCell ref="C24:D24"/>
    <mergeCell ref="A3:G3"/>
    <mergeCell ref="C32:G32"/>
    <mergeCell ref="A25:B25"/>
    <mergeCell ref="C31:G31"/>
    <mergeCell ref="A39:G39"/>
    <mergeCell ref="E23:G23"/>
    <mergeCell ref="C28:G28"/>
    <mergeCell ref="A19:G19"/>
    <mergeCell ref="A20:G20"/>
    <mergeCell ref="C25:D25"/>
    <mergeCell ref="C29:G29"/>
    <mergeCell ref="A23:B23"/>
    <mergeCell ref="C30:G30"/>
    <mergeCell ref="E22:G22"/>
    <mergeCell ref="A35:G35"/>
    <mergeCell ref="C22:D22"/>
    <mergeCell ref="E24:G24"/>
    <mergeCell ref="A38:G38"/>
    <mergeCell ref="C23:D23"/>
    <mergeCell ref="C33:G33"/>
    <mergeCell ref="A24:B24"/>
    <mergeCell ref="A18:G18"/>
    <mergeCell ref="A22:B22"/>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38"/>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66" customWidth="1" min="1" max="1"/>
    <col width="14" customWidth="1" min="2" max="2"/>
    <col width="14" customWidth="1" min="3" max="3"/>
    <col width="14" customWidth="1" min="4" max="4"/>
    <col width="14" customWidth="1" min="5" max="5"/>
    <col width="14" customWidth="1" min="6" max="6"/>
    <col width="14" customWidth="1" min="7" max="7"/>
    <col width="10" customWidth="1" min="8" max="8"/>
    <col width="10" customWidth="1" min="9" max="9"/>
    <col width="24" customWidth="1" min="10" max="10"/>
  </cols>
  <sheetData>
    <row r="1" ht="30" customHeight="1">
      <c r="A1" s="1" t="inlineStr">
        <is>
          <t>Matriz RACI: cocina, sala y dirección</t>
        </is>
      </c>
    </row>
    <row r="2">
      <c r="A2" t="inlineStr">
        <is>
          <t>AI Chef Pro · aichef.pro — Manual del Chef Ejecutivo</t>
        </is>
      </c>
    </row>
    <row r="3" ht="26" customHeight="1">
      <c r="A3" s="8" t="inlineStr">
        <is>
          <t>Quince decisiones que cruzan los tres. La hoja no opina sobre quién debe decidir: comprueba que alguien lo haga, y sólo uno.</t>
        </is>
      </c>
    </row>
    <row r="4"/>
    <row r="5" ht="20" customHeight="1">
      <c r="A5" s="6" t="inlineStr">
        <is>
          <t>Letra</t>
        </is>
      </c>
      <c r="B5" s="6" t="inlineStr">
        <is>
          <t>Qué quiere decir</t>
        </is>
      </c>
      <c r="C5" s="18" t="n"/>
      <c r="D5" s="18" t="n"/>
      <c r="E5" s="18" t="n"/>
      <c r="F5" s="18" t="n"/>
      <c r="G5" s="18" t="n"/>
      <c r="H5" s="18" t="n"/>
      <c r="I5" s="18" t="n"/>
      <c r="J5" s="18" t="n"/>
    </row>
    <row r="6" ht="20" customHeight="1">
      <c r="A6" s="20" t="inlineStr">
        <is>
          <t>R</t>
        </is>
      </c>
      <c r="B6" s="4" t="inlineStr">
        <is>
          <t>Hace el trabajo. Puede haber varios.</t>
        </is>
      </c>
    </row>
    <row r="7" ht="20" customHeight="1">
      <c r="A7" s="20" t="inlineStr">
        <is>
          <t>A</t>
        </is>
      </c>
      <c r="B7" s="4" t="inlineStr">
        <is>
          <t>Responde del resultado. Uno y sólo uno por decisión.</t>
        </is>
      </c>
    </row>
    <row r="8" ht="20" customHeight="1">
      <c r="A8" s="20" t="inlineStr">
        <is>
          <t>C</t>
        </is>
      </c>
      <c r="B8" s="4" t="inlineStr">
        <is>
          <t>Se le consulta ANTES de decidir.</t>
        </is>
      </c>
    </row>
    <row r="9" ht="20" customHeight="1">
      <c r="A9" s="20" t="inlineStr">
        <is>
          <t>I</t>
        </is>
      </c>
      <c r="B9" s="4" t="inlineStr">
        <is>
          <t>Se le informa DESPUÉS de decidir.</t>
        </is>
      </c>
    </row>
    <row r="10"/>
    <row r="11"/>
    <row r="12" ht="44" customHeight="1">
      <c r="A12" s="6" t="inlineStr">
        <is>
          <t>Decisión</t>
        </is>
      </c>
      <c r="B12" s="6" t="inlineStr">
        <is>
          <t>Chef ejecutivo</t>
        </is>
      </c>
      <c r="C12" s="6" t="inlineStr">
        <is>
          <t>Segundo/a de cocina</t>
        </is>
      </c>
      <c r="D12" s="6" t="inlineStr">
        <is>
          <t>Jefe/a de partida</t>
        </is>
      </c>
      <c r="E12" s="6" t="inlineStr">
        <is>
          <t>Jefe/a de sala</t>
        </is>
      </c>
      <c r="F12" s="6" t="inlineStr">
        <is>
          <t>Gerencia</t>
        </is>
      </c>
      <c r="G12" s="6" t="inlineStr">
        <is>
          <t>Propiedad</t>
        </is>
      </c>
      <c r="H12" s="6" t="inlineStr">
        <is>
          <t>Nº de A</t>
        </is>
      </c>
      <c r="I12" s="6" t="inlineStr">
        <is>
          <t>Nº de R</t>
        </is>
      </c>
      <c r="J12" s="6" t="inlineStr">
        <is>
          <t>Comprobación</t>
        </is>
      </c>
    </row>
    <row r="13" ht="30" customHeight="1">
      <c r="A13" s="12" t="inlineStr">
        <is>
          <t>Autorizar un 86: retirar un plato de la carta en mitad del servicio</t>
        </is>
      </c>
      <c r="B13" s="13" t="inlineStr">
        <is>
          <t>A</t>
        </is>
      </c>
      <c r="C13" s="13" t="inlineStr">
        <is>
          <t>R</t>
        </is>
      </c>
      <c r="D13" s="13" t="inlineStr">
        <is>
          <t>C</t>
        </is>
      </c>
      <c r="E13" s="13" t="inlineStr">
        <is>
          <t>I</t>
        </is>
      </c>
      <c r="F13" s="13" t="inlineStr">
        <is>
          <t>I</t>
        </is>
      </c>
      <c r="G13" s="13" t="inlineStr"/>
      <c r="H13" s="14">
        <f>IFERROR(IF($A13="","",COUNTIF($B13:$G13,$A$7)),"")</f>
        <v>1.0</v>
      </c>
      <c r="I13" s="14">
        <f>IFERROR(IF($A13="","",COUNTIF($B13:$G13,$A$6)),"")</f>
        <v>1.0</v>
      </c>
      <c r="J13" t="str">
        <f>IF($A13="","",IF($H13=0,"Falta la A",IF($H13&gt;1,"Más de una A",IF($I13=0,"Falta la R","Correcta"))))</f>
        <v>Correcta</v>
      </c>
    </row>
    <row r="14" ht="30" customHeight="1">
      <c r="A14" s="12" t="inlineStr">
        <is>
          <t>Aprobar una ficha técnica nueva antes de subir el plato a la carta</t>
        </is>
      </c>
      <c r="B14" s="13" t="inlineStr">
        <is>
          <t>A</t>
        </is>
      </c>
      <c r="C14" s="13" t="inlineStr">
        <is>
          <t>R</t>
        </is>
      </c>
      <c r="D14" s="13" t="inlineStr">
        <is>
          <t>C</t>
        </is>
      </c>
      <c r="E14" s="13" t="inlineStr">
        <is>
          <t>I</t>
        </is>
      </c>
      <c r="F14" s="13" t="inlineStr">
        <is>
          <t>I</t>
        </is>
      </c>
      <c r="G14" s="13" t="inlineStr"/>
      <c r="H14" s="14">
        <f>IFERROR(IF($A14="","",COUNTIF($B14:$G14,$A$7)),"")</f>
        <v>1.0</v>
      </c>
      <c r="I14" s="14">
        <f>IFERROR(IF($A14="","",COUNTIF($B14:$G14,$A$6)),"")</f>
        <v>1.0</v>
      </c>
      <c r="J14" t="str">
        <f>IF($A14="","",IF($H14=0,"Falta la A",IF($H14&gt;1,"Más de una A",IF($I14=0,"Falta la R","Correcta"))))</f>
        <v>Correcta</v>
      </c>
    </row>
    <row r="15" ht="30" customHeight="1">
      <c r="A15" s="12" t="inlineStr">
        <is>
          <t>Fijar el PVP de un plato nuevo</t>
        </is>
      </c>
      <c r="B15" s="13" t="inlineStr">
        <is>
          <t>C</t>
        </is>
      </c>
      <c r="C15" s="13" t="inlineStr"/>
      <c r="D15" s="13" t="inlineStr"/>
      <c r="E15" s="13" t="inlineStr">
        <is>
          <t>I</t>
        </is>
      </c>
      <c r="F15" s="13" t="inlineStr">
        <is>
          <t>R</t>
        </is>
      </c>
      <c r="G15" s="13" t="inlineStr">
        <is>
          <t>A</t>
        </is>
      </c>
      <c r="H15" s="14">
        <f>IFERROR(IF($A15="","",COUNTIF($B15:$G15,$A$7)),"")</f>
        <v>1.0</v>
      </c>
      <c r="I15" s="14">
        <f>IFERROR(IF($A15="","",COUNTIF($B15:$G15,$A$6)),"")</f>
        <v>1.0</v>
      </c>
      <c r="J15" t="str">
        <f>IF($A15="","",IF($H15=0,"Falta la A",IF($H15&gt;1,"Más de una A",IF($I15=0,"Falta la R","Correcta"))))</f>
        <v>Correcta</v>
      </c>
    </row>
    <row r="16" ht="30" customHeight="1">
      <c r="A16" s="12" t="inlineStr">
        <is>
          <t>Aceptar un encargo de grupo de más de 40 comensales</t>
        </is>
      </c>
      <c r="B16" s="13" t="inlineStr">
        <is>
          <t>C</t>
        </is>
      </c>
      <c r="C16" s="13" t="inlineStr">
        <is>
          <t>I</t>
        </is>
      </c>
      <c r="D16" s="13" t="inlineStr"/>
      <c r="E16" s="13" t="inlineStr">
        <is>
          <t>R</t>
        </is>
      </c>
      <c r="F16" s="13" t="inlineStr">
        <is>
          <t>A</t>
        </is>
      </c>
      <c r="G16" s="13" t="inlineStr">
        <is>
          <t>I</t>
        </is>
      </c>
      <c r="H16" s="14">
        <f>IFERROR(IF($A16="","",COUNTIF($B16:$G16,$A$7)),"")</f>
        <v>1.0</v>
      </c>
      <c r="I16" s="14">
        <f>IFERROR(IF($A16="","",COUNTIF($B16:$G16,$A$6)),"")</f>
        <v>1.0</v>
      </c>
      <c r="J16" t="str">
        <f>IF($A16="","",IF($H16=0,"Falta la A",IF($H16&gt;1,"Más de una A",IF($I16=0,"Falta la R","Correcta"))))</f>
        <v>Correcta</v>
      </c>
    </row>
    <row r="17" ht="30" customHeight="1">
      <c r="A17" s="12" t="inlineStr">
        <is>
          <t>Gestionar una incidencia de alérgeno detectada en el pase</t>
        </is>
      </c>
      <c r="B17" s="13" t="inlineStr">
        <is>
          <t>A</t>
        </is>
      </c>
      <c r="C17" s="13" t="inlineStr">
        <is>
          <t>R</t>
        </is>
      </c>
      <c r="D17" s="13" t="inlineStr">
        <is>
          <t>R</t>
        </is>
      </c>
      <c r="E17" s="13" t="inlineStr">
        <is>
          <t>R</t>
        </is>
      </c>
      <c r="F17" s="13" t="inlineStr">
        <is>
          <t>I</t>
        </is>
      </c>
      <c r="G17" s="13" t="inlineStr"/>
      <c r="H17" s="14">
        <f>IFERROR(IF($A17="","",COUNTIF($B17:$G17,$A$7)),"")</f>
        <v>1.0</v>
      </c>
      <c r="I17" s="14">
        <f>IFERROR(IF($A17="","",COUNTIF($B17:$G17,$A$6)),"")</f>
        <v>3.0</v>
      </c>
      <c r="J17" t="str">
        <f>IF($A17="","",IF($H17=0,"Falta la A",IF($H17&gt;1,"Más de una A",IF($I17=0,"Falta la R","Correcta"))))</f>
        <v>Correcta</v>
      </c>
    </row>
    <row r="18" ht="30" customHeight="1">
      <c r="A18" s="12" t="inlineStr">
        <is>
          <t>Comprar fuera de escandallo un producto de temporada sin precio cerrado</t>
        </is>
      </c>
      <c r="B18" s="13" t="inlineStr">
        <is>
          <t>R</t>
        </is>
      </c>
      <c r="C18" s="13" t="inlineStr">
        <is>
          <t>I</t>
        </is>
      </c>
      <c r="D18" s="13" t="inlineStr">
        <is>
          <t>C</t>
        </is>
      </c>
      <c r="E18" s="13" t="inlineStr"/>
      <c r="F18" s="13" t="inlineStr">
        <is>
          <t>A</t>
        </is>
      </c>
      <c r="G18" s="13" t="inlineStr">
        <is>
          <t>I</t>
        </is>
      </c>
      <c r="H18" s="14">
        <f>IFERROR(IF($A18="","",COUNTIF($B18:$G18,$A$7)),"")</f>
        <v>1.0</v>
      </c>
      <c r="I18" s="14">
        <f>IFERROR(IF($A18="","",COUNTIF($B18:$G18,$A$6)),"")</f>
        <v>1.0</v>
      </c>
      <c r="J18" t="str">
        <f>IF($A18="","",IF($H18=0,"Falta la A",IF($H18&gt;1,"Más de una A",IF($I18=0,"Falta la R","Correcta"))))</f>
        <v>Correcta</v>
      </c>
    </row>
    <row r="19" ht="30" customHeight="1">
      <c r="A19" s="12" t="inlineStr">
        <is>
          <t>Cambiar de proveedor en una familia de producto</t>
        </is>
      </c>
      <c r="B19" s="13" t="inlineStr">
        <is>
          <t>R</t>
        </is>
      </c>
      <c r="C19" s="13" t="inlineStr">
        <is>
          <t>C</t>
        </is>
      </c>
      <c r="D19" s="13" t="inlineStr">
        <is>
          <t>C</t>
        </is>
      </c>
      <c r="E19" s="13" t="inlineStr"/>
      <c r="F19" s="13" t="inlineStr">
        <is>
          <t>A</t>
        </is>
      </c>
      <c r="G19" s="13" t="inlineStr">
        <is>
          <t>I</t>
        </is>
      </c>
      <c r="H19" s="14">
        <f>IFERROR(IF($A19="","",COUNTIF($B19:$G19,$A$7)),"")</f>
        <v>1.0</v>
      </c>
      <c r="I19" s="14">
        <f>IFERROR(IF($A19="","",COUNTIF($B19:$G19,$A$6)),"")</f>
        <v>1.0</v>
      </c>
      <c r="J19" t="str">
        <f>IF($A19="","",IF($H19=0,"Falta la A",IF($H19&gt;1,"Más de una A",IF($I19=0,"Falta la R","Correcta"))))</f>
        <v>Correcta</v>
      </c>
    </row>
    <row r="20" ht="30" customHeight="1">
      <c r="A20" s="12" t="inlineStr">
        <is>
          <t>Retirar de la carta un plato con margen bajo pero muy vendido</t>
        </is>
      </c>
      <c r="B20" s="13" t="inlineStr">
        <is>
          <t>R</t>
        </is>
      </c>
      <c r="C20" s="13" t="inlineStr">
        <is>
          <t>C</t>
        </is>
      </c>
      <c r="D20" s="13" t="inlineStr">
        <is>
          <t>I</t>
        </is>
      </c>
      <c r="E20" s="13" t="inlineStr">
        <is>
          <t>C</t>
        </is>
      </c>
      <c r="F20" s="13" t="inlineStr">
        <is>
          <t>A</t>
        </is>
      </c>
      <c r="G20" s="13" t="inlineStr">
        <is>
          <t>I</t>
        </is>
      </c>
      <c r="H20" s="14">
        <f>IFERROR(IF($A20="","",COUNTIF($B20:$G20,$A$7)),"")</f>
        <v>1.0</v>
      </c>
      <c r="I20" s="14">
        <f>IFERROR(IF($A20="","",COUNTIF($B20:$G20,$A$6)),"")</f>
        <v>1.0</v>
      </c>
      <c r="J20" t="str">
        <f>IF($A20="","",IF($H20=0,"Falta la A",IF($H20&gt;1,"Más de una A",IF($I20=0,"Falta la R","Correcta"))))</f>
        <v>Correcta</v>
      </c>
    </row>
    <row r="21" ht="30" customHeight="1">
      <c r="A21" s="12" t="inlineStr">
        <is>
          <t>Parar el pase por una avería de frío</t>
        </is>
      </c>
      <c r="B21" s="13" t="inlineStr">
        <is>
          <t>A</t>
        </is>
      </c>
      <c r="C21" s="13" t="inlineStr">
        <is>
          <t>R</t>
        </is>
      </c>
      <c r="D21" s="13" t="inlineStr">
        <is>
          <t>C</t>
        </is>
      </c>
      <c r="E21" s="13" t="inlineStr">
        <is>
          <t>I</t>
        </is>
      </c>
      <c r="F21" s="13" t="inlineStr">
        <is>
          <t>I</t>
        </is>
      </c>
      <c r="G21" s="13" t="inlineStr"/>
      <c r="H21" s="14">
        <f>IFERROR(IF($A21="","",COUNTIF($B21:$G21,$A$7)),"")</f>
        <v>1.0</v>
      </c>
      <c r="I21" s="14">
        <f>IFERROR(IF($A21="","",COUNTIF($B21:$G21,$A$6)),"")</f>
        <v>1.0</v>
      </c>
      <c r="J21" t="str">
        <f>IF($A21="","",IF($H21=0,"Falta la A",IF($H21&gt;1,"Más de una A",IF($I21=0,"Falta la R","Correcta"))))</f>
        <v>Correcta</v>
      </c>
    </row>
    <row r="22" ht="30" customHeight="1">
      <c r="A22" s="12" t="inlineStr">
        <is>
          <t>Autorizar horas extraordinarias en cocina un fin de semana</t>
        </is>
      </c>
      <c r="B22" s="13" t="inlineStr">
        <is>
          <t>R</t>
        </is>
      </c>
      <c r="C22" s="13" t="inlineStr">
        <is>
          <t>C</t>
        </is>
      </c>
      <c r="D22" s="13" t="inlineStr">
        <is>
          <t>I</t>
        </is>
      </c>
      <c r="E22" s="13" t="inlineStr"/>
      <c r="F22" s="13" t="inlineStr">
        <is>
          <t>A</t>
        </is>
      </c>
      <c r="G22" s="13" t="inlineStr">
        <is>
          <t>I</t>
        </is>
      </c>
      <c r="H22" s="14">
        <f>IFERROR(IF($A22="","",COUNTIF($B22:$G22,$A$7)),"")</f>
        <v>1.0</v>
      </c>
      <c r="I22" s="14">
        <f>IFERROR(IF($A22="","",COUNTIF($B22:$G22,$A$6)),"")</f>
        <v>1.0</v>
      </c>
      <c r="J22" t="str">
        <f>IF($A22="","",IF($H22=0,"Falta la A",IF($H22&gt;1,"Más de una A",IF($I22=0,"Falta la R","Correcta"))))</f>
        <v>Correcta</v>
      </c>
    </row>
    <row r="23" ht="30" customHeight="1">
      <c r="A23" s="12" t="inlineStr">
        <is>
          <t>Contratar a un cocinero o cocinera</t>
        </is>
      </c>
      <c r="B23" s="13" t="inlineStr">
        <is>
          <t>R</t>
        </is>
      </c>
      <c r="C23" s="13" t="inlineStr">
        <is>
          <t>C</t>
        </is>
      </c>
      <c r="D23" s="13" t="inlineStr">
        <is>
          <t>C</t>
        </is>
      </c>
      <c r="E23" s="13" t="inlineStr"/>
      <c r="F23" s="13" t="inlineStr">
        <is>
          <t>A</t>
        </is>
      </c>
      <c r="G23" s="13" t="inlineStr">
        <is>
          <t>I</t>
        </is>
      </c>
      <c r="H23" s="14">
        <f>IFERROR(IF($A23="","",COUNTIF($B23:$G23,$A$7)),"")</f>
        <v>1.0</v>
      </c>
      <c r="I23" s="14">
        <f>IFERROR(IF($A23="","",COUNTIF($B23:$G23,$A$6)),"")</f>
        <v>1.0</v>
      </c>
      <c r="J23" t="str">
        <f>IF($A23="","",IF($H23=0,"Falta la A",IF($H23&gt;1,"Más de una A",IF($I23=0,"Falta la R","Correcta"))))</f>
        <v>Correcta</v>
      </c>
    </row>
    <row r="24" ht="30" customHeight="1">
      <c r="A24" s="12" t="inlineStr">
        <is>
          <t>Aprobar el menú de un banquete y su producción</t>
        </is>
      </c>
      <c r="B24" s="13" t="inlineStr">
        <is>
          <t>A</t>
        </is>
      </c>
      <c r="C24" s="13" t="inlineStr">
        <is>
          <t>R</t>
        </is>
      </c>
      <c r="D24" s="13" t="inlineStr">
        <is>
          <t>C</t>
        </is>
      </c>
      <c r="E24" s="13" t="inlineStr">
        <is>
          <t>C</t>
        </is>
      </c>
      <c r="F24" s="13" t="inlineStr">
        <is>
          <t>C</t>
        </is>
      </c>
      <c r="G24" s="13" t="inlineStr">
        <is>
          <t>I</t>
        </is>
      </c>
      <c r="H24" s="14">
        <f>IFERROR(IF($A24="","",COUNTIF($B24:$G24,$A$7)),"")</f>
        <v>1.0</v>
      </c>
      <c r="I24" s="14">
        <f>IFERROR(IF($A24="","",COUNTIF($B24:$G24,$A$6)),"")</f>
        <v>1.0</v>
      </c>
      <c r="J24" t="str">
        <f>IF($A24="","",IF($H24=0,"Falta la A",IF($H24&gt;1,"Más de una A",IF($I24=0,"Falta la R","Correcta"))))</f>
        <v>Correcta</v>
      </c>
    </row>
    <row r="25" ht="30" customHeight="1">
      <c r="A25" s="12" t="inlineStr">
        <is>
          <t>Responder a una reseña que critica un plato</t>
        </is>
      </c>
      <c r="B25" s="13" t="inlineStr">
        <is>
          <t>C</t>
        </is>
      </c>
      <c r="C25" s="13" t="inlineStr"/>
      <c r="D25" s="13" t="inlineStr"/>
      <c r="E25" s="13" t="inlineStr">
        <is>
          <t>R</t>
        </is>
      </c>
      <c r="F25" s="13" t="inlineStr">
        <is>
          <t>A</t>
        </is>
      </c>
      <c r="G25" s="13" t="inlineStr">
        <is>
          <t>I</t>
        </is>
      </c>
      <c r="H25" s="14">
        <f>IFERROR(IF($A25="","",COUNTIF($B25:$G25,$A$7)),"")</f>
        <v>1.0</v>
      </c>
      <c r="I25" s="14">
        <f>IFERROR(IF($A25="","",COUNTIF($B25:$G25,$A$6)),"")</f>
        <v>1.0</v>
      </c>
      <c r="J25" t="str">
        <f>IF($A25="","",IF($H25=0,"Falta la A",IF($H25&gt;1,"Más de una A",IF($I25=0,"Falta la R","Correcta"))))</f>
        <v>Correcta</v>
      </c>
    </row>
    <row r="26" ht="30" customHeight="1">
      <c r="A26" s="12" t="inlineStr">
        <is>
          <t>Decidir el destino del excedente de un servicio (donación o doggy bag)</t>
        </is>
      </c>
      <c r="B26" s="13" t="inlineStr">
        <is>
          <t>A</t>
        </is>
      </c>
      <c r="C26" s="13" t="inlineStr">
        <is>
          <t>R</t>
        </is>
      </c>
      <c r="D26" s="13" t="inlineStr">
        <is>
          <t>C</t>
        </is>
      </c>
      <c r="E26" s="13" t="inlineStr">
        <is>
          <t>I</t>
        </is>
      </c>
      <c r="F26" s="13" t="inlineStr">
        <is>
          <t>C</t>
        </is>
      </c>
      <c r="G26" s="13" t="inlineStr">
        <is>
          <t>I</t>
        </is>
      </c>
      <c r="H26" s="14">
        <f>IFERROR(IF($A26="","",COUNTIF($B26:$G26,$A$7)),"")</f>
        <v>1.0</v>
      </c>
      <c r="I26" s="14">
        <f>IFERROR(IF($A26="","",COUNTIF($B26:$G26,$A$6)),"")</f>
        <v>1.0</v>
      </c>
      <c r="J26" t="str">
        <f>IF($A26="","",IF($H26=0,"Falta la A",IF($H26&gt;1,"Más de una A",IF($I26=0,"Falta la R","Correcta"))))</f>
        <v>Correcta</v>
      </c>
    </row>
    <row r="27" ht="30" customHeight="1">
      <c r="A27" s="12" t="inlineStr">
        <is>
          <t>Modificar el gramaje de un plato que ya está en carta</t>
        </is>
      </c>
      <c r="B27" s="13" t="inlineStr">
        <is>
          <t>A</t>
        </is>
      </c>
      <c r="C27" s="13" t="inlineStr">
        <is>
          <t>R</t>
        </is>
      </c>
      <c r="D27" s="13" t="inlineStr">
        <is>
          <t>C</t>
        </is>
      </c>
      <c r="E27" s="13" t="inlineStr">
        <is>
          <t>I</t>
        </is>
      </c>
      <c r="F27" s="13" t="inlineStr">
        <is>
          <t>C</t>
        </is>
      </c>
      <c r="G27" s="13" t="inlineStr"/>
      <c r="H27" s="14">
        <f>IFERROR(IF($A27="","",COUNTIF($B27:$G27,$A$7)),"")</f>
        <v>1.0</v>
      </c>
      <c r="I27" s="14">
        <f>IFERROR(IF($A27="","",COUNTIF($B27:$G27,$A$6)),"")</f>
        <v>1.0</v>
      </c>
      <c r="J27" t="str">
        <f>IF($A27="","",IF($H27=0,"Falta la A",IF($H27&gt;1,"Más de una A",IF($I27=0,"Falta la R","Correcta"))))</f>
        <v>Correcta</v>
      </c>
    </row>
    <row r="28" ht="30" customHeight="1">
      <c r="A28" s="12" t="inlineStr"/>
      <c r="B28" s="13" t="inlineStr"/>
      <c r="C28" s="13" t="inlineStr"/>
      <c r="D28" s="13" t="inlineStr"/>
      <c r="E28" s="13" t="inlineStr"/>
      <c r="F28" s="13" t="inlineStr"/>
      <c r="G28" s="13" t="inlineStr"/>
      <c r="H28" s="14">
        <f>IFERROR(IF($A28="","",COUNTIF($B28:$G28,$A$7)),"")</f>
        <v/>
      </c>
      <c r="I28" s="14">
        <f>IFERROR(IF($A28="","",COUNTIF($B28:$G28,$A$6)),"")</f>
        <v/>
      </c>
      <c r="J28">
        <f>IF($A28="","",IF($H28=0,"Falta la A",IF($H28&gt;1,"Más de una A",IF($I28=0,"Falta la R","Correcta"))))</f>
        <v/>
      </c>
    </row>
    <row r="29" ht="30" customHeight="1">
      <c r="A29" s="12" t="inlineStr"/>
      <c r="B29" s="13" t="inlineStr"/>
      <c r="C29" s="13" t="inlineStr"/>
      <c r="D29" s="13" t="inlineStr"/>
      <c r="E29" s="13" t="inlineStr"/>
      <c r="F29" s="13" t="inlineStr"/>
      <c r="G29" s="13" t="inlineStr"/>
      <c r="H29" s="14">
        <f>IFERROR(IF($A29="","",COUNTIF($B29:$G29,$A$7)),"")</f>
        <v/>
      </c>
      <c r="I29" s="14">
        <f>IFERROR(IF($A29="","",COUNTIF($B29:$G29,$A$6)),"")</f>
        <v/>
      </c>
      <c r="J29">
        <f>IF($A29="","",IF($H29=0,"Falta la A",IF($H29&gt;1,"Más de una A",IF($I29=0,"Falta la R","Correcta"))))</f>
        <v/>
      </c>
    </row>
    <row r="30" ht="30" customHeight="1">
      <c r="A30" s="12" t="inlineStr"/>
      <c r="B30" s="13" t="inlineStr"/>
      <c r="C30" s="13" t="inlineStr"/>
      <c r="D30" s="13" t="inlineStr"/>
      <c r="E30" s="13" t="inlineStr"/>
      <c r="F30" s="13" t="inlineStr"/>
      <c r="G30" s="13" t="inlineStr"/>
      <c r="H30" s="14">
        <f>IFERROR(IF($A30="","",COUNTIF($B30:$G30,$A$7)),"")</f>
        <v/>
      </c>
      <c r="I30" s="14">
        <f>IFERROR(IF($A30="","",COUNTIF($B30:$G30,$A$6)),"")</f>
        <v/>
      </c>
      <c r="J30">
        <f>IF($A30="","",IF($H30=0,"Falta la A",IF($H30&gt;1,"Más de una A",IF($I30=0,"Falta la R","Correcta"))))</f>
        <v/>
      </c>
    </row>
    <row r="31" ht="30" customHeight="1">
      <c r="A31" s="12" t="inlineStr"/>
      <c r="B31" s="13" t="inlineStr"/>
      <c r="C31" s="13" t="inlineStr"/>
      <c r="D31" s="13" t="inlineStr"/>
      <c r="E31" s="13" t="inlineStr"/>
      <c r="F31" s="13" t="inlineStr"/>
      <c r="G31" s="13" t="inlineStr"/>
      <c r="H31" s="14">
        <f>IFERROR(IF($A31="","",COUNTIF($B31:$G31,$A$7)),"")</f>
        <v/>
      </c>
      <c r="I31" s="14">
        <f>IFERROR(IF($A31="","",COUNTIF($B31:$G31,$A$6)),"")</f>
        <v/>
      </c>
      <c r="J31">
        <f>IF($A31="","",IF($H31=0,"Falta la A",IF($H31&gt;1,"Más de una A",IF($I31=0,"Falta la R","Correcta"))))</f>
        <v/>
      </c>
    </row>
    <row r="32" ht="30" customHeight="1">
      <c r="A32" s="12" t="inlineStr"/>
      <c r="B32" s="13" t="inlineStr"/>
      <c r="C32" s="13" t="inlineStr"/>
      <c r="D32" s="13" t="inlineStr"/>
      <c r="E32" s="13" t="inlineStr"/>
      <c r="F32" s="13" t="inlineStr"/>
      <c r="G32" s="13" t="inlineStr"/>
      <c r="H32" s="14">
        <f>IFERROR(IF($A32="","",COUNTIF($B32:$G32,$A$7)),"")</f>
        <v/>
      </c>
      <c r="I32" s="14">
        <f>IFERROR(IF($A32="","",COUNTIF($B32:$G32,$A$6)),"")</f>
        <v/>
      </c>
      <c r="J32">
        <f>IF($A32="","",IF($H32=0,"Falta la A",IF($H32&gt;1,"Más de una A",IF($I32=0,"Falta la R","Correcta"))))</f>
        <v/>
      </c>
    </row>
    <row r="33"/>
    <row r="34" ht="30" customHeight="1">
      <c r="A34" s="8" t="inlineStr">
        <is>
          <t>Una sola A por decisión. Dos personas que responden de lo mismo es la forma más fiable de que un plato se retire de la carta dos veces y ninguna, y de que la incidencia de un alérgeno se quede esperando a que la coja alguien.</t>
        </is>
      </c>
    </row>
    <row r="35" ht="32" customHeight="1">
      <c r="A35" s="8" t="inlineStr">
        <is>
          <t>Esta matriz dice QUIÉN decide. Cómo se lleva una discusión entre cocina y sala sin que acabe en el pase está en el capítulo 18 del «Manual del Manager de Restaurante»; y cómo se lleva una propuesta al gerente con la cifra de la semana delante, en el capítulo 19 de este manual.</t>
        </is>
      </c>
    </row>
    <row r="36" ht="30" customHeight="1">
      <c r="A36" s="8" t="inlineStr">
        <is>
          <t>Las filas son un punto de partida, no un dogma: en una casa con propiedad presente, el PVP puede ser A de propiedad; en un grupo con dirección de operaciones, no. Cámbialas. Lo que no se cambia es la regla de la A única.</t>
        </is>
      </c>
    </row>
    <row r="37"/>
    <row r="38">
      <c r="A38"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9">
    <mergeCell ref="A36:J36"/>
    <mergeCell ref="B8:J8"/>
    <mergeCell ref="A3:J3"/>
    <mergeCell ref="A35:J35"/>
    <mergeCell ref="B6:J6"/>
    <mergeCell ref="A34:J34"/>
    <mergeCell ref="B5:J5"/>
    <mergeCell ref="B7:J7"/>
    <mergeCell ref="B9:J9"/>
  </mergeCells>
  <conditionalFormatting sqref="J13:J32">
    <cfRule type="cellIs" priority="1" operator="equal" dxfId="0" stopIfTrue="1">
      <formula>"Correcta"</formula>
    </cfRule>
    <cfRule type="cellIs" priority="2" operator="equal" dxfId="1" stopIfTrue="1">
      <formula>"Falta la A"</formula>
    </cfRule>
    <cfRule type="cellIs" priority="3" operator="equal" dxfId="1" stopIfTrue="1">
      <formula>"Más de una A"</formula>
    </cfRule>
    <cfRule type="cellIs" priority="4" operator="equal" dxfId="3" stopIfTrue="1">
      <formula>"Falta la R"</formula>
    </cfRule>
  </conditionalFormatting>
  <dataValidations count="1">
    <dataValidation sqref="B13 B14 B15 B16 B17 B18 B19 B20 B21 B22 B23 B24 B25 B26 B27 B28 B29 B30 B31 B32 C13 C14 C15 C16 C17 C18 C19 C20 C21 C22 C23 C24 C25 C26 C27 C28 C29 C30 C31 C32 D13 D14 D15 D16 D17 D18 D19 D20 D21 D22 D23 D24 D25 D26 D27 D28 D29 D30 D31 D32 E13 E14 E15 E16 E17 E18 E19 E20 E21 E22 E23 E24 E25 E26 E27 E28 E29 E30 E31 E32 F13 F14 F15 F16 F17 F18 F19 F20 F21 F22 F23 F24 F25 F26 F27 F28 F29 F30 F31 F32 G13 G14 G15 G16 G17 G18 G19 G20 G21 G22 G23 G24 G25 G26 G27 G28 G29 G30 G31 G32" showDropDown="0" showInputMessage="0" showErrorMessage="1" allowBlank="1" errorTitle="Letra RACI" error="Escribe R, A, C o I. Deja la celda vacía si ese rol no interviene en la decisión." type="list">
      <formula1>'Matriz RACI'!$A$6:$A$9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E58"/>
  <sheetViews>
    <sheetView workbookViewId="0">
      <pane xSplit="1" ySplit="33" topLeftCell="B34"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34" customWidth="1" min="3" max="3"/>
    <col width="34" customWidth="1" min="4" max="4"/>
    <col width="34" customWidth="1" min="5" max="5"/>
    <col width="34" customWidth="1" min="6" max="6"/>
    <col width="8" customWidth="1" min="7" max="7"/>
    <col width="8" customWidth="1" min="8" max="8"/>
    <col width="8" customWidth="1" min="9" max="9"/>
    <col width="8" customWidth="1" min="10" max="10"/>
    <col width="8" customWidth="1" min="11" max="11"/>
    <col width="8" customWidth="1" min="12" max="12"/>
    <col width="11" customWidth="1" min="13" max="13"/>
    <col width="10" customWidth="1" min="14" max="14"/>
    <col width="10" customWidth="1" min="15" max="15"/>
    <col width="30" customWidth="1" min="16" max="16"/>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1" ht="30" customHeight="1">
      <c r="A1" s="1" t="inlineStr">
        <is>
          <t>Rúbrica de competencias técnicas</t>
        </is>
      </c>
    </row>
    <row r="2">
      <c r="A2" t="inlineStr">
        <is>
          <t>AI Chef Pro · aichef.pro — Manual del Chef Ejecutivo</t>
        </is>
      </c>
    </row>
    <row r="3" ht="26" customHeight="1">
      <c r="A3" s="8" t="inlineStr">
        <is>
          <t>Siete competencias, cinco niveles descritos y pesos por puesto. Se puntúa por prueba práctica; lo que no aplica se deja en blanco y sale de la media.</t>
        </is>
      </c>
    </row>
    <row r="4"/>
    <row r="5" ht="22" customHeight="1">
      <c r="A5" s="6" t="inlineStr">
        <is>
          <t>Competencia</t>
        </is>
      </c>
      <c r="B5" s="6" t="inlineStr">
        <is>
          <t>Nivel 1</t>
        </is>
      </c>
      <c r="C5" s="6" t="inlineStr">
        <is>
          <t>Nivel 2</t>
        </is>
      </c>
      <c r="D5" s="6" t="inlineStr">
        <is>
          <t>Nivel 3</t>
        </is>
      </c>
      <c r="E5" s="6" t="inlineStr">
        <is>
          <t>Nivel 4</t>
        </is>
      </c>
      <c r="F5" s="6" t="inlineStr">
        <is>
          <t>Nivel 5</t>
        </is>
      </c>
    </row>
    <row r="6" ht="46" customHeight="1">
      <c r="A6" s="7" t="inlineStr">
        <is>
          <t>Cortes y manejo de cuchillo</t>
        </is>
      </c>
      <c r="B6" s="4" t="inlineStr">
        <is>
          <t>Corta con inseguridad, tamaño irregular y merma alta; no afila</t>
        </is>
      </c>
      <c r="C6" s="4" t="inlineStr">
        <is>
          <t>Corta los formatos básicos con lentitud y regularidad justa</t>
        </is>
      </c>
      <c r="D6" s="4" t="inlineStr">
        <is>
          <t>Corta con regularidad y a ritmo de servicio los formatos de su partida</t>
        </is>
      </c>
      <c r="E6" s="4" t="inlineStr">
        <is>
          <t>Corta todos los formatos de la carta con merma baja y mantiene el filo</t>
        </is>
      </c>
      <c r="F6" s="4" t="inlineStr">
        <is>
          <t>Enseña a cortar, corrige la postura de otros y fija el estándar de corte</t>
        </is>
      </c>
    </row>
    <row r="7" ht="46" customHeight="1">
      <c r="A7" s="7" t="inlineStr">
        <is>
          <t>Cocciones y puntos</t>
        </is>
      </c>
      <c r="B7" s="4" t="inlineStr">
        <is>
          <t>Necesita que le digan el punto y el tiempo en cada pieza</t>
        </is>
      </c>
      <c r="C7" s="4" t="inlineStr">
        <is>
          <t>Acierta el punto en las piezas fáciles; falla con las gruesas</t>
        </is>
      </c>
      <c r="D7" s="4" t="inlineStr">
        <is>
          <t>Acierta el punto de las piezas de su partida de forma repetible</t>
        </is>
      </c>
      <c r="E7" s="4" t="inlineStr">
        <is>
          <t>Acierta el punto de toda la carta y corrige sobre la marcha</t>
        </is>
      </c>
      <c r="F7" s="4" t="inlineStr">
        <is>
          <t>Define puntos y tiempos de un plato nuevo y los deja escritos en la ficha</t>
        </is>
      </c>
    </row>
    <row r="8" ht="46" customHeight="1">
      <c r="A8" s="7" t="inlineStr">
        <is>
          <t>Fondos, salsas y bases</t>
        </is>
      </c>
      <c r="B8" s="4" t="inlineStr">
        <is>
          <t>No los elabora</t>
        </is>
      </c>
      <c r="C8" s="4" t="inlineStr">
        <is>
          <t>Elabora fondos siguiendo la ficha, con supervisión</t>
        </is>
      </c>
      <c r="D8" s="4" t="inlineStr">
        <is>
          <t>Elabora y conserva los fondos y salsas de su partida sin supervisión</t>
        </is>
      </c>
      <c r="E8" s="4" t="inlineStr">
        <is>
          <t>Ajusta ligazón, sazón y acidez sin receta y aprovecha recortes</t>
        </is>
      </c>
      <c r="F8" s="4" t="inlineStr">
        <is>
          <t>Diseña bases nuevas, las escandalla con el jefe de cocina y las documenta</t>
        </is>
      </c>
    </row>
    <row r="9" ht="46" customHeight="1">
      <c r="A9" s="7" t="inlineStr">
        <is>
          <t>Emplatado y montaje</t>
        </is>
      </c>
      <c r="B9" s="4" t="inlineStr">
        <is>
          <t>El plato no se parece a la foto de la ficha</t>
        </is>
      </c>
      <c r="C9" s="4" t="inlineStr">
        <is>
          <t>Reproduce el montaje con la foto delante y despacio</t>
        </is>
      </c>
      <c r="D9" s="4" t="inlineStr">
        <is>
          <t>Reproduce el montaje de memoria y a ritmo de pase</t>
        </is>
      </c>
      <c r="E9" s="4" t="inlineStr">
        <is>
          <t>Mantiene el montaje idéntico en un servicio de 120 cubiertos</t>
        </is>
      </c>
      <c r="F9" s="4" t="inlineStr">
        <is>
          <t>Diseña el montaje de un plato nuevo y hace la foto de la ficha</t>
        </is>
      </c>
    </row>
    <row r="10" ht="46" customHeight="1">
      <c r="A10" s="7" t="inlineStr">
        <is>
          <t>Higiene de manipulación y APPCC en el puesto</t>
        </is>
      </c>
      <c r="B10" s="4" t="inlineStr">
        <is>
          <t>Hay que recordarle los básicos de higiene y de registro</t>
        </is>
      </c>
      <c r="C10" s="4" t="inlineStr">
        <is>
          <t>Cumple cuando se le supervisa; olvida registros</t>
        </is>
      </c>
      <c r="D10" s="4" t="inlineStr">
        <is>
          <t>Cumple y registra sin que se lo recuerden</t>
        </is>
      </c>
      <c r="E10" s="4" t="inlineStr">
        <is>
          <t>Detecta y corrige desviaciones de otros en su partida</t>
        </is>
      </c>
      <c r="F10" s="4" t="inlineStr">
        <is>
          <t>Forma a los nuevos en higiene del puesto y prepara la visita de Sanidad</t>
        </is>
      </c>
    </row>
    <row r="11" ht="46" customHeight="1">
      <c r="A11" s="7" t="inlineStr">
        <is>
          <t>Conocimiento y aplicación de la ficha técnica</t>
        </is>
      </c>
      <c r="B11" s="4" t="inlineStr">
        <is>
          <t>No consulta la ficha</t>
        </is>
      </c>
      <c r="C11" s="4" t="inlineStr">
        <is>
          <t>Consulta la ficha pero se aparta de gramajes y tiempos</t>
        </is>
      </c>
      <c r="D11" s="4" t="inlineStr">
        <is>
          <t>Aplica la ficha de los platos de su partida sin desviaciones</t>
        </is>
      </c>
      <c r="E11" s="4" t="inlineStr">
        <is>
          <t>Aplica la ficha de toda la carta y avisa cuando la ficha está mal</t>
        </is>
      </c>
      <c r="F11" s="4" t="inlineStr">
        <is>
          <t>Escribe y revisa fichas y forma al equipo en el cambio de carta</t>
        </is>
      </c>
    </row>
    <row r="12" ht="46" customHeight="1">
      <c r="A12" s="7" t="inlineStr">
        <is>
          <t>Gestión de la merma de su partida</t>
        </is>
      </c>
      <c r="B12" s="4" t="inlineStr">
        <is>
          <t>No mide la merma de su partida</t>
        </is>
      </c>
      <c r="C12" s="4" t="inlineStr">
        <is>
          <t>Anota la merma cuando se le pide</t>
        </is>
      </c>
      <c r="D12" s="4" t="inlineStr">
        <is>
          <t>Anota la merma a diario y conoce el objetivo de su partida</t>
        </is>
      </c>
      <c r="E12" s="4" t="inlineStr">
        <is>
          <t>Ajusta la producción para bajar la merma y propone aprovechamientos</t>
        </is>
      </c>
      <c r="F12" s="4" t="inlineStr">
        <is>
          <t>Analiza la serie de merma de su partida y presenta el plan de corrección</t>
        </is>
      </c>
    </row>
    <row r="13"/>
    <row r="14">
      <c r="A14" s="3" t="inlineStr">
        <is>
          <t>PESO DE CADA COMPETENCIA POR PUESTO (0 a 3)</t>
        </is>
      </c>
    </row>
    <row r="15" ht="58" customHeight="1">
      <c r="A15" s="6" t="inlineStr">
        <is>
          <t>Puesto</t>
        </is>
      </c>
      <c r="B15" s="6" t="inlineStr">
        <is>
          <t>Cortes y manejo de cuchillo</t>
        </is>
      </c>
      <c r="C15" s="6" t="inlineStr">
        <is>
          <t>Cocciones y puntos</t>
        </is>
      </c>
      <c r="D15" s="6" t="inlineStr">
        <is>
          <t>Fondos, salsas y bases</t>
        </is>
      </c>
      <c r="E15" s="6" t="inlineStr">
        <is>
          <t>Emplatado y montaje</t>
        </is>
      </c>
      <c r="F15" s="6" t="inlineStr">
        <is>
          <t>Higiene de manipulación y APPCC en el puesto</t>
        </is>
      </c>
      <c r="G15" s="6" t="inlineStr">
        <is>
          <t>Conocimiento y aplicación de la ficha técnica</t>
        </is>
      </c>
      <c r="H15" s="6" t="inlineStr">
        <is>
          <t>Gestión de la merma de su partida</t>
        </is>
      </c>
    </row>
    <row r="16" ht="26" customHeight="1">
      <c r="A16" s="7" t="inlineStr">
        <is>
          <t>Jefe/a de cocina</t>
        </is>
      </c>
      <c r="B16" s="15" t="n">
        <v>2</v>
      </c>
      <c r="C16" s="15" t="n">
        <v>3</v>
      </c>
      <c r="D16" s="15" t="n">
        <v>3</v>
      </c>
      <c r="E16" s="15" t="n">
        <v>3</v>
      </c>
      <c r="F16" s="15" t="n">
        <v>3</v>
      </c>
      <c r="G16" s="15" t="n">
        <v>3</v>
      </c>
      <c r="H16" s="15" t="n">
        <v>3</v>
      </c>
    </row>
    <row r="17" ht="26" customHeight="1">
      <c r="A17" s="7" t="inlineStr">
        <is>
          <t>Segundo/a jefe/a de cocina</t>
        </is>
      </c>
      <c r="B17" s="15" t="n">
        <v>2</v>
      </c>
      <c r="C17" s="15" t="n">
        <v>3</v>
      </c>
      <c r="D17" s="15" t="n">
        <v>3</v>
      </c>
      <c r="E17" s="15" t="n">
        <v>3</v>
      </c>
      <c r="F17" s="15" t="n">
        <v>3</v>
      </c>
      <c r="G17" s="15" t="n">
        <v>3</v>
      </c>
      <c r="H17" s="15" t="n">
        <v>3</v>
      </c>
    </row>
    <row r="18" ht="26" customHeight="1">
      <c r="A18" s="7" t="inlineStr">
        <is>
          <t>Jefe/a de partida</t>
        </is>
      </c>
      <c r="B18" s="15" t="n">
        <v>3</v>
      </c>
      <c r="C18" s="15" t="n">
        <v>3</v>
      </c>
      <c r="D18" s="15" t="n">
        <v>3</v>
      </c>
      <c r="E18" s="15" t="n">
        <v>3</v>
      </c>
      <c r="F18" s="15" t="n">
        <v>3</v>
      </c>
      <c r="G18" s="15" t="n">
        <v>3</v>
      </c>
      <c r="H18" s="15" t="n">
        <v>3</v>
      </c>
    </row>
    <row r="19" ht="26" customHeight="1">
      <c r="A19" s="7" t="inlineStr">
        <is>
          <t>Cocinero/a</t>
        </is>
      </c>
      <c r="B19" s="15" t="n">
        <v>3</v>
      </c>
      <c r="C19" s="15" t="n">
        <v>3</v>
      </c>
      <c r="D19" s="15" t="n">
        <v>3</v>
      </c>
      <c r="E19" s="15" t="n">
        <v>2</v>
      </c>
      <c r="F19" s="15" t="n">
        <v>3</v>
      </c>
      <c r="G19" s="15" t="n">
        <v>3</v>
      </c>
      <c r="H19" s="15" t="n">
        <v>2</v>
      </c>
    </row>
    <row r="20" ht="26" customHeight="1">
      <c r="A20" s="7" t="inlineStr">
        <is>
          <t>Repostero/a</t>
        </is>
      </c>
      <c r="B20" s="15" t="n">
        <v>2</v>
      </c>
      <c r="C20" s="15" t="n">
        <v>3</v>
      </c>
      <c r="D20" s="15" t="n">
        <v>3</v>
      </c>
      <c r="E20" s="15" t="n">
        <v>3</v>
      </c>
      <c r="F20" s="15" t="n">
        <v>3</v>
      </c>
      <c r="G20" s="15" t="n">
        <v>3</v>
      </c>
      <c r="H20" s="15" t="n">
        <v>2</v>
      </c>
    </row>
    <row r="21" ht="26" customHeight="1">
      <c r="A21" s="7" t="inlineStr">
        <is>
          <t>Ayudante/a de cocina</t>
        </is>
      </c>
      <c r="B21" s="15" t="n">
        <v>3</v>
      </c>
      <c r="C21" s="15" t="n">
        <v>2</v>
      </c>
      <c r="D21" s="15" t="n">
        <v>2</v>
      </c>
      <c r="E21" s="15" t="n">
        <v>2</v>
      </c>
      <c r="F21" s="15" t="n">
        <v>3</v>
      </c>
      <c r="G21" s="15" t="n">
        <v>2</v>
      </c>
      <c r="H21" s="15" t="n">
        <v>2</v>
      </c>
    </row>
    <row r="22" ht="26" customHeight="1">
      <c r="A22" s="7" t="inlineStr">
        <is>
          <t>Auxiliar de cocina y economato</t>
        </is>
      </c>
      <c r="B22" s="15" t="n">
        <v>2</v>
      </c>
      <c r="C22" s="15" t="n">
        <v>1</v>
      </c>
      <c r="D22" s="15" t="n">
        <v>1</v>
      </c>
      <c r="E22" s="15" t="n">
        <v>1</v>
      </c>
      <c r="F22" s="15" t="n">
        <v>3</v>
      </c>
      <c r="G22" s="15" t="n">
        <v>1</v>
      </c>
      <c r="H22" s="15" t="n">
        <v>1</v>
      </c>
    </row>
    <row r="23" ht="26" customHeight="1">
      <c r="A23" s="7" t="inlineStr">
        <is>
          <t>No evaluado en la rúbrica de cocina</t>
        </is>
      </c>
    </row>
    <row r="24" ht="30" customHeight="1">
      <c r="A24" s="8" t="inlineStr">
        <is>
          <t>Un peso 0 quiere decir que esa competencia no cuenta para ese puesto y sale de la media. La última fila no tiene pesos a propósito: es la que se elige para quien no pisa cocina, y deja toda su evaluación en blanco.</t>
        </is>
      </c>
    </row>
    <row r="25"/>
    <row r="26">
      <c r="A26" s="3" t="inlineStr">
        <is>
          <t>BANDAS: DE LA MEDIA PONDERADA AL NIVEL TÉCNICO</t>
        </is>
      </c>
    </row>
    <row r="27" ht="20" customHeight="1">
      <c r="A27" s="6" t="inlineStr">
        <is>
          <t>Nivel técnico</t>
        </is>
      </c>
      <c r="B27" s="6" t="inlineStr">
        <is>
          <t>Media desde</t>
        </is>
      </c>
      <c r="C27" s="6" t="inlineStr">
        <is>
          <t>Media hasta</t>
        </is>
      </c>
    </row>
    <row r="28">
      <c r="A28" s="11" t="n">
        <v>3</v>
      </c>
      <c r="B28" s="21" t="n">
        <v>3.8</v>
      </c>
      <c r="C28" s="21" t="n">
        <v>5</v>
      </c>
    </row>
    <row r="29">
      <c r="A29" s="11" t="n">
        <v>2</v>
      </c>
      <c r="B29" s="21" t="n">
        <v>3</v>
      </c>
      <c r="C29" s="21" t="n">
        <v>3.79</v>
      </c>
    </row>
    <row r="30">
      <c r="A30" s="11" t="n">
        <v>1</v>
      </c>
      <c r="B30" s="21" t="n">
        <v>1.8</v>
      </c>
      <c r="C30" s="21" t="n">
        <v>2.99</v>
      </c>
    </row>
    <row r="31"/>
    <row r="32">
      <c r="A32" s="3" t="inlineStr">
        <is>
          <t>EVALUACIÓN TÉCNICA DE LA BRIGADA</t>
        </is>
      </c>
    </row>
    <row r="33" ht="76" customHeight="1">
      <c r="A33" s="6" t="inlineStr">
        <is>
          <t>Id</t>
        </is>
      </c>
      <c r="B33" s="6" t="inlineStr">
        <is>
          <t>Nombre</t>
        </is>
      </c>
      <c r="C33" s="6" t="inlineStr">
        <is>
          <t>Puesto de la rúbrica</t>
        </is>
      </c>
      <c r="D33" s="6" t="inlineStr">
        <is>
          <t>Fecha</t>
        </is>
      </c>
      <c r="E33" s="6" t="inlineStr">
        <is>
          <t>Evaluador</t>
        </is>
      </c>
      <c r="F33" s="6" t="inlineStr">
        <is>
          <t>Cortes y manejo de cuchillo</t>
        </is>
      </c>
      <c r="G33" s="6" t="inlineStr">
        <is>
          <t>Cocciones y puntos</t>
        </is>
      </c>
      <c r="H33" s="6" t="inlineStr">
        <is>
          <t>Fondos, salsas y bases</t>
        </is>
      </c>
      <c r="I33" s="6" t="inlineStr">
        <is>
          <t>Emplatado y montaje</t>
        </is>
      </c>
      <c r="J33" s="6" t="inlineStr">
        <is>
          <t>Higiene de manipulación y APPCC en el puesto</t>
        </is>
      </c>
      <c r="K33" s="6" t="inlineStr">
        <is>
          <t>Conocimiento y aplicación de la ficha técnica</t>
        </is>
      </c>
      <c r="L33" s="6" t="inlineStr">
        <is>
          <t>Gestión de la merma de su partida</t>
        </is>
      </c>
      <c r="M33" s="6" t="inlineStr">
        <is>
          <t>Media ponderada</t>
        </is>
      </c>
      <c r="N33" s="6" t="inlineStr">
        <is>
          <t>Nivel técnico</t>
        </is>
      </c>
      <c r="O33" s="6" t="inlineStr">
        <is>
          <t>Nivel en cocina</t>
        </is>
      </c>
      <c r="P33" s="6" t="inlineStr">
        <is>
          <t>Lectura</t>
        </is>
      </c>
      <c r="R33" s="6" t="inlineStr">
        <is>
          <t>Peso aplicado 1</t>
        </is>
      </c>
      <c r="S33" s="6" t="inlineStr">
        <is>
          <t>Peso aplicado 2</t>
        </is>
      </c>
      <c r="T33" s="6" t="inlineStr">
        <is>
          <t>Peso aplicado 3</t>
        </is>
      </c>
      <c r="U33" s="6" t="inlineStr">
        <is>
          <t>Peso aplicado 4</t>
        </is>
      </c>
      <c r="V33" s="6" t="inlineStr">
        <is>
          <t>Peso aplicado 5</t>
        </is>
      </c>
      <c r="W33" s="6" t="inlineStr">
        <is>
          <t>Peso aplicado 6</t>
        </is>
      </c>
      <c r="X33" s="6" t="inlineStr">
        <is>
          <t>Peso aplicado 7</t>
        </is>
      </c>
      <c r="Y33" s="6" t="inlineStr">
        <is>
          <t>Puntos 1</t>
        </is>
      </c>
      <c r="Z33" s="6" t="inlineStr">
        <is>
          <t>Puntos 2</t>
        </is>
      </c>
      <c r="AA33" s="6" t="inlineStr">
        <is>
          <t>Puntos 3</t>
        </is>
      </c>
      <c r="AB33" s="6" t="inlineStr">
        <is>
          <t>Puntos 4</t>
        </is>
      </c>
      <c r="AC33" s="6" t="inlineStr">
        <is>
          <t>Puntos 5</t>
        </is>
      </c>
      <c r="AD33" s="6" t="inlineStr">
        <is>
          <t>Puntos 6</t>
        </is>
      </c>
      <c r="AE33" s="6" t="inlineStr">
        <is>
          <t>Puntos 7</t>
        </is>
      </c>
    </row>
    <row r="34" ht="22" customHeight="1">
      <c r="A34" s="5" t="inlineStr">
        <is>
          <t>P01</t>
        </is>
      </c>
      <c r="B34" s="5" t="inlineStr">
        <is>
          <t>Marta L.</t>
        </is>
      </c>
      <c r="C34" s="12" t="inlineStr">
        <is>
          <t>Ayudante/a de cocina</t>
        </is>
      </c>
      <c r="D34" s="22" t="n">
        <v>46267</v>
      </c>
      <c r="E34" s="13" t="inlineStr">
        <is>
          <t>P02</t>
        </is>
      </c>
      <c r="F34" s="15" t="n">
        <v>2</v>
      </c>
      <c r="G34" s="15" t="n">
        <v>2</v>
      </c>
      <c r="H34" s="15" t="inlineStr"/>
      <c r="I34" s="15" t="n">
        <v>2</v>
      </c>
      <c r="J34" s="15" t="n">
        <v>4</v>
      </c>
      <c r="K34" s="15" t="n">
        <v>3</v>
      </c>
      <c r="L34" s="15" t="inlineStr"/>
      <c r="M34" s="23">
        <f>IFERROR(IF(SUM($R34:$X34)=0,"",SUM($Y34:$AE34)/SUM($R34:$X34)),"")</f>
        <v>2.6666666666666665</v>
      </c>
      <c r="N34" s="14">
        <f>IF(NOT(ISNUMBER($M34)),"",IF($M34&gt;=$B$28,$A$28,IF($M34&gt;=$B$29,$A$29,IF($M34&gt;=$B$30,$A$30,""))))</f>
        <v>1.0</v>
      </c>
      <c r="O34" s="15" t="n">
        <v>1</v>
      </c>
      <c r="P34" t="str">
        <f>IF(OR(NOT(ISNUMBER($N34)),NOT(ISNUMBER($O34))),"",IF($N34&gt;$O34,$A$56,IF($N34=$O34,$A$54,$A$55)))</f>
        <v>Coherente</v>
      </c>
      <c r="R34" s="14">
        <f>IFERROR(IF(NOT(ISNUMBER($F34)),"",INDEX($B$16:$H$23,MATCH($C34,$A$16:$A$23,0),1)),"")</f>
        <v>3.0</v>
      </c>
      <c r="S34" s="14">
        <f>IFERROR(IF(NOT(ISNUMBER($G34)),"",INDEX($B$16:$H$23,MATCH($C34,$A$16:$A$23,0),2)),"")</f>
        <v>2.0</v>
      </c>
      <c r="T34" s="14">
        <f>IFERROR(IF(NOT(ISNUMBER($H34)),"",INDEX($B$16:$H$23,MATCH($C34,$A$16:$A$23,0),3)),"")</f>
        <v/>
      </c>
      <c r="U34" s="14">
        <f>IFERROR(IF(NOT(ISNUMBER($I34)),"",INDEX($B$16:$H$23,MATCH($C34,$A$16:$A$23,0),4)),"")</f>
        <v>2.0</v>
      </c>
      <c r="V34" s="14">
        <f>IFERROR(IF(NOT(ISNUMBER($J34)),"",INDEX($B$16:$H$23,MATCH($C34,$A$16:$A$23,0),5)),"")</f>
        <v>3.0</v>
      </c>
      <c r="W34" s="14">
        <f>IFERROR(IF(NOT(ISNUMBER($K34)),"",INDEX($B$16:$H$23,MATCH($C34,$A$16:$A$23,0),6)),"")</f>
        <v>2.0</v>
      </c>
      <c r="X34" s="14">
        <f>IFERROR(IF(NOT(ISNUMBER($L34)),"",INDEX($B$16:$H$23,MATCH($C34,$A$16:$A$23,0),7)),"")</f>
        <v/>
      </c>
      <c r="Y34" s="14">
        <f>IFERROR(IF(NOT(ISNUMBER($R34)),"",$F34*$R34),"")</f>
        <v>6.0</v>
      </c>
      <c r="Z34" s="14">
        <f>IFERROR(IF(NOT(ISNUMBER($S34)),"",$G34*$S34),"")</f>
        <v>4.0</v>
      </c>
      <c r="AA34" s="14">
        <f>IFERROR(IF(NOT(ISNUMBER($T34)),"",$H34*$T34),"")</f>
        <v/>
      </c>
      <c r="AB34" s="14">
        <f>IFERROR(IF(NOT(ISNUMBER($U34)),"",$I34*$U34),"")</f>
        <v>4.0</v>
      </c>
      <c r="AC34" s="14">
        <f>IFERROR(IF(NOT(ISNUMBER($V34)),"",$J34*$V34),"")</f>
        <v>12.0</v>
      </c>
      <c r="AD34" s="14">
        <f>IFERROR(IF(NOT(ISNUMBER($W34)),"",$K34*$W34),"")</f>
        <v>6.0</v>
      </c>
      <c r="AE34" s="14">
        <f>IFERROR(IF(NOT(ISNUMBER($X34)),"",$L34*$X34),"")</f>
        <v/>
      </c>
    </row>
    <row r="35" ht="22" customHeight="1">
      <c r="A35" s="5" t="inlineStr">
        <is>
          <t>P02</t>
        </is>
      </c>
      <c r="B35" s="5" t="inlineStr">
        <is>
          <t>Iván R.</t>
        </is>
      </c>
      <c r="C35" s="12" t="inlineStr">
        <is>
          <t>Jefe/a de cocina</t>
        </is>
      </c>
      <c r="D35" s="22" t="n">
        <v>46266</v>
      </c>
      <c r="E35" s="13" t="inlineStr">
        <is>
          <t>Dirección</t>
        </is>
      </c>
      <c r="F35" s="15" t="n">
        <v>4</v>
      </c>
      <c r="G35" s="15" t="n">
        <v>5</v>
      </c>
      <c r="H35" s="15" t="n">
        <v>5</v>
      </c>
      <c r="I35" s="15" t="n">
        <v>4</v>
      </c>
      <c r="J35" s="15" t="n">
        <v>5</v>
      </c>
      <c r="K35" s="15" t="n">
        <v>5</v>
      </c>
      <c r="L35" s="15" t="n">
        <v>4</v>
      </c>
      <c r="M35" s="23">
        <f>IFERROR(IF(SUM($R35:$X35)=0,"",SUM($Y35:$AE35)/SUM($R35:$X35)),"")</f>
        <v>4.6</v>
      </c>
      <c r="N35" s="14">
        <f>IF(NOT(ISNUMBER($M35)),"",IF($M35&gt;=$B$28,$A$28,IF($M35&gt;=$B$29,$A$29,IF($M35&gt;=$B$30,$A$30,""))))</f>
        <v>3.0</v>
      </c>
      <c r="O35" s="15" t="n">
        <v>3</v>
      </c>
      <c r="P35" t="str">
        <f>IF(OR(NOT(ISNUMBER($N35)),NOT(ISNUMBER($O35))),"",IF($N35&gt;$O35,$A$56,IF($N35=$O35,$A$54,$A$55)))</f>
        <v>Coherente</v>
      </c>
      <c r="R35" s="14">
        <f>IFERROR(IF(NOT(ISNUMBER($F35)),"",INDEX($B$16:$H$23,MATCH($C35,$A$16:$A$23,0),1)),"")</f>
        <v>2.0</v>
      </c>
      <c r="S35" s="14">
        <f>IFERROR(IF(NOT(ISNUMBER($G35)),"",INDEX($B$16:$H$23,MATCH($C35,$A$16:$A$23,0),2)),"")</f>
        <v>3.0</v>
      </c>
      <c r="T35" s="14">
        <f>IFERROR(IF(NOT(ISNUMBER($H35)),"",INDEX($B$16:$H$23,MATCH($C35,$A$16:$A$23,0),3)),"")</f>
        <v>3.0</v>
      </c>
      <c r="U35" s="14">
        <f>IFERROR(IF(NOT(ISNUMBER($I35)),"",INDEX($B$16:$H$23,MATCH($C35,$A$16:$A$23,0),4)),"")</f>
        <v>3.0</v>
      </c>
      <c r="V35" s="14">
        <f>IFERROR(IF(NOT(ISNUMBER($J35)),"",INDEX($B$16:$H$23,MATCH($C35,$A$16:$A$23,0),5)),"")</f>
        <v>3.0</v>
      </c>
      <c r="W35" s="14">
        <f>IFERROR(IF(NOT(ISNUMBER($K35)),"",INDEX($B$16:$H$23,MATCH($C35,$A$16:$A$23,0),6)),"")</f>
        <v>3.0</v>
      </c>
      <c r="X35" s="14">
        <f>IFERROR(IF(NOT(ISNUMBER($L35)),"",INDEX($B$16:$H$23,MATCH($C35,$A$16:$A$23,0),7)),"")</f>
        <v>3.0</v>
      </c>
      <c r="Y35" s="14">
        <f>IFERROR(IF(NOT(ISNUMBER($R35)),"",$F35*$R35),"")</f>
        <v>8.0</v>
      </c>
      <c r="Z35" s="14">
        <f>IFERROR(IF(NOT(ISNUMBER($S35)),"",$G35*$S35),"")</f>
        <v>15.0</v>
      </c>
      <c r="AA35" s="14">
        <f>IFERROR(IF(NOT(ISNUMBER($T35)),"",$H35*$T35),"")</f>
        <v>15.0</v>
      </c>
      <c r="AB35" s="14">
        <f>IFERROR(IF(NOT(ISNUMBER($U35)),"",$I35*$U35),"")</f>
        <v>12.0</v>
      </c>
      <c r="AC35" s="14">
        <f>IFERROR(IF(NOT(ISNUMBER($V35)),"",$J35*$V35),"")</f>
        <v>15.0</v>
      </c>
      <c r="AD35" s="14">
        <f>IFERROR(IF(NOT(ISNUMBER($W35)),"",$K35*$W35),"")</f>
        <v>15.0</v>
      </c>
      <c r="AE35" s="14">
        <f>IFERROR(IF(NOT(ISNUMBER($X35)),"",$L35*$X35),"")</f>
        <v>12.0</v>
      </c>
    </row>
    <row r="36" ht="22" customHeight="1">
      <c r="A36" s="5" t="inlineStr">
        <is>
          <t>P03</t>
        </is>
      </c>
      <c r="B36" s="5" t="inlineStr">
        <is>
          <t>Nuria C.</t>
        </is>
      </c>
      <c r="C36" s="12" t="inlineStr">
        <is>
          <t>Ayudante/a de cocina</t>
        </is>
      </c>
      <c r="D36" s="22" t="n">
        <v>46267</v>
      </c>
      <c r="E36" s="13" t="inlineStr">
        <is>
          <t>P02</t>
        </is>
      </c>
      <c r="F36" s="15" t="n">
        <v>2</v>
      </c>
      <c r="G36" s="15" t="n">
        <v>2</v>
      </c>
      <c r="H36" s="15" t="inlineStr"/>
      <c r="I36" s="15" t="n">
        <v>3</v>
      </c>
      <c r="J36" s="15" t="n">
        <v>4</v>
      </c>
      <c r="K36" s="15" t="n">
        <v>2</v>
      </c>
      <c r="L36" s="15" t="inlineStr"/>
      <c r="M36" s="23">
        <f>IFERROR(IF(SUM($R36:$X36)=0,"",SUM($Y36:$AE36)/SUM($R36:$X36)),"")</f>
        <v>2.6666666666666665</v>
      </c>
      <c r="N36" s="14">
        <f>IF(NOT(ISNUMBER($M36)),"",IF($M36&gt;=$B$28,$A$28,IF($M36&gt;=$B$29,$A$29,IF($M36&gt;=$B$30,$A$30,""))))</f>
        <v>1.0</v>
      </c>
      <c r="O36" s="15" t="n">
        <v>1</v>
      </c>
      <c r="P36" t="str">
        <f>IF(OR(NOT(ISNUMBER($N36)),NOT(ISNUMBER($O36))),"",IF($N36&gt;$O36,$A$56,IF($N36=$O36,$A$54,$A$55)))</f>
        <v>Coherente</v>
      </c>
      <c r="R36" s="14">
        <f>IFERROR(IF(NOT(ISNUMBER($F36)),"",INDEX($B$16:$H$23,MATCH($C36,$A$16:$A$23,0),1)),"")</f>
        <v>3.0</v>
      </c>
      <c r="S36" s="14">
        <f>IFERROR(IF(NOT(ISNUMBER($G36)),"",INDEX($B$16:$H$23,MATCH($C36,$A$16:$A$23,0),2)),"")</f>
        <v>2.0</v>
      </c>
      <c r="T36" s="14">
        <f>IFERROR(IF(NOT(ISNUMBER($H36)),"",INDEX($B$16:$H$23,MATCH($C36,$A$16:$A$23,0),3)),"")</f>
        <v/>
      </c>
      <c r="U36" s="14">
        <f>IFERROR(IF(NOT(ISNUMBER($I36)),"",INDEX($B$16:$H$23,MATCH($C36,$A$16:$A$23,0),4)),"")</f>
        <v>2.0</v>
      </c>
      <c r="V36" s="14">
        <f>IFERROR(IF(NOT(ISNUMBER($J36)),"",INDEX($B$16:$H$23,MATCH($C36,$A$16:$A$23,0),5)),"")</f>
        <v>3.0</v>
      </c>
      <c r="W36" s="14">
        <f>IFERROR(IF(NOT(ISNUMBER($K36)),"",INDEX($B$16:$H$23,MATCH($C36,$A$16:$A$23,0),6)),"")</f>
        <v>2.0</v>
      </c>
      <c r="X36" s="14">
        <f>IFERROR(IF(NOT(ISNUMBER($L36)),"",INDEX($B$16:$H$23,MATCH($C36,$A$16:$A$23,0),7)),"")</f>
        <v/>
      </c>
      <c r="Y36" s="14">
        <f>IFERROR(IF(NOT(ISNUMBER($R36)),"",$F36*$R36),"")</f>
        <v>6.0</v>
      </c>
      <c r="Z36" s="14">
        <f>IFERROR(IF(NOT(ISNUMBER($S36)),"",$G36*$S36),"")</f>
        <v>4.0</v>
      </c>
      <c r="AA36" s="14">
        <f>IFERROR(IF(NOT(ISNUMBER($T36)),"",$H36*$T36),"")</f>
        <v/>
      </c>
      <c r="AB36" s="14">
        <f>IFERROR(IF(NOT(ISNUMBER($U36)),"",$I36*$U36),"")</f>
        <v>6.0</v>
      </c>
      <c r="AC36" s="14">
        <f>IFERROR(IF(NOT(ISNUMBER($V36)),"",$J36*$V36),"")</f>
        <v>12.0</v>
      </c>
      <c r="AD36" s="14">
        <f>IFERROR(IF(NOT(ISNUMBER($W36)),"",$K36*$W36),"")</f>
        <v>4.0</v>
      </c>
      <c r="AE36" s="14">
        <f>IFERROR(IF(NOT(ISNUMBER($X36)),"",$L36*$X36),"")</f>
        <v/>
      </c>
    </row>
    <row r="37" ht="22" customHeight="1">
      <c r="A37" s="5" t="inlineStr">
        <is>
          <t>P04</t>
        </is>
      </c>
      <c r="B37" s="5" t="inlineStr">
        <is>
          <t>Diego M.</t>
        </is>
      </c>
      <c r="C37" s="12" t="inlineStr">
        <is>
          <t>Cocinero/a</t>
        </is>
      </c>
      <c r="D37" s="22" t="n">
        <v>46266</v>
      </c>
      <c r="E37" s="13" t="inlineStr">
        <is>
          <t>P02</t>
        </is>
      </c>
      <c r="F37" s="15" t="n">
        <v>4</v>
      </c>
      <c r="G37" s="15" t="n">
        <v>4</v>
      </c>
      <c r="H37" s="15" t="n">
        <v>4</v>
      </c>
      <c r="I37" s="15" t="n">
        <v>4</v>
      </c>
      <c r="J37" s="15" t="n">
        <v>4</v>
      </c>
      <c r="K37" s="15" t="n">
        <v>4</v>
      </c>
      <c r="L37" s="15" t="n">
        <v>3</v>
      </c>
      <c r="M37" s="23">
        <f>IFERROR(IF(SUM($R37:$X37)=0,"",SUM($Y37:$AE37)/SUM($R37:$X37)),"")</f>
        <v>3.8947368421052633</v>
      </c>
      <c r="N37" s="14">
        <f>IF(NOT(ISNUMBER($M37)),"",IF($M37&gt;=$B$28,$A$28,IF($M37&gt;=$B$29,$A$29,IF($M37&gt;=$B$30,$A$30,""))))</f>
        <v>3.0</v>
      </c>
      <c r="O37" s="15" t="n">
        <v>3</v>
      </c>
      <c r="P37" t="str">
        <f>IF(OR(NOT(ISNUMBER($N37)),NOT(ISNUMBER($O37))),"",IF($N37&gt;$O37,$A$56,IF($N37=$O37,$A$54,$A$55)))</f>
        <v>Coherente</v>
      </c>
      <c r="R37" s="14">
        <f>IFERROR(IF(NOT(ISNUMBER($F37)),"",INDEX($B$16:$H$23,MATCH($C37,$A$16:$A$23,0),1)),"")</f>
        <v>3.0</v>
      </c>
      <c r="S37" s="14">
        <f>IFERROR(IF(NOT(ISNUMBER($G37)),"",INDEX($B$16:$H$23,MATCH($C37,$A$16:$A$23,0),2)),"")</f>
        <v>3.0</v>
      </c>
      <c r="T37" s="14">
        <f>IFERROR(IF(NOT(ISNUMBER($H37)),"",INDEX($B$16:$H$23,MATCH($C37,$A$16:$A$23,0),3)),"")</f>
        <v>3.0</v>
      </c>
      <c r="U37" s="14">
        <f>IFERROR(IF(NOT(ISNUMBER($I37)),"",INDEX($B$16:$H$23,MATCH($C37,$A$16:$A$23,0),4)),"")</f>
        <v>2.0</v>
      </c>
      <c r="V37" s="14">
        <f>IFERROR(IF(NOT(ISNUMBER($J37)),"",INDEX($B$16:$H$23,MATCH($C37,$A$16:$A$23,0),5)),"")</f>
        <v>3.0</v>
      </c>
      <c r="W37" s="14">
        <f>IFERROR(IF(NOT(ISNUMBER($K37)),"",INDEX($B$16:$H$23,MATCH($C37,$A$16:$A$23,0),6)),"")</f>
        <v>3.0</v>
      </c>
      <c r="X37" s="14">
        <f>IFERROR(IF(NOT(ISNUMBER($L37)),"",INDEX($B$16:$H$23,MATCH($C37,$A$16:$A$23,0),7)),"")</f>
        <v>2.0</v>
      </c>
      <c r="Y37" s="14">
        <f>IFERROR(IF(NOT(ISNUMBER($R37)),"",$F37*$R37),"")</f>
        <v>12.0</v>
      </c>
      <c r="Z37" s="14">
        <f>IFERROR(IF(NOT(ISNUMBER($S37)),"",$G37*$S37),"")</f>
        <v>12.0</v>
      </c>
      <c r="AA37" s="14">
        <f>IFERROR(IF(NOT(ISNUMBER($T37)),"",$H37*$T37),"")</f>
        <v>12.0</v>
      </c>
      <c r="AB37" s="14">
        <f>IFERROR(IF(NOT(ISNUMBER($U37)),"",$I37*$U37),"")</f>
        <v>8.0</v>
      </c>
      <c r="AC37" s="14">
        <f>IFERROR(IF(NOT(ISNUMBER($V37)),"",$J37*$V37),"")</f>
        <v>12.0</v>
      </c>
      <c r="AD37" s="14">
        <f>IFERROR(IF(NOT(ISNUMBER($W37)),"",$K37*$W37),"")</f>
        <v>12.0</v>
      </c>
      <c r="AE37" s="14">
        <f>IFERROR(IF(NOT(ISNUMBER($X37)),"",$L37*$X37),"")</f>
        <v>6.0</v>
      </c>
    </row>
    <row r="38" ht="22" customHeight="1">
      <c r="A38" s="5" t="inlineStr">
        <is>
          <t>P05</t>
        </is>
      </c>
      <c r="B38" s="5" t="inlineStr">
        <is>
          <t>Laura S.</t>
        </is>
      </c>
      <c r="C38" s="12" t="inlineStr">
        <is>
          <t>Cocinero/a</t>
        </is>
      </c>
      <c r="D38" s="22" t="n">
        <v>46266</v>
      </c>
      <c r="E38" s="13" t="inlineStr">
        <is>
          <t>P02</t>
        </is>
      </c>
      <c r="F38" s="15" t="n">
        <v>5</v>
      </c>
      <c r="G38" s="15" t="n">
        <v>4</v>
      </c>
      <c r="H38" s="15" t="n">
        <v>4</v>
      </c>
      <c r="I38" s="15" t="n">
        <v>5</v>
      </c>
      <c r="J38" s="15" t="n">
        <v>4</v>
      </c>
      <c r="K38" s="15" t="n">
        <v>5</v>
      </c>
      <c r="L38" s="15" t="n">
        <v>3</v>
      </c>
      <c r="M38" s="23">
        <f>IFERROR(IF(SUM($R38:$X38)=0,"",SUM($Y38:$AE38)/SUM($R38:$X38)),"")</f>
        <v>4.315789473684211</v>
      </c>
      <c r="N38" s="14">
        <f>IF(NOT(ISNUMBER($M38)),"",IF($M38&gt;=$B$28,$A$28,IF($M38&gt;=$B$29,$A$29,IF($M38&gt;=$B$30,$A$30,""))))</f>
        <v>3.0</v>
      </c>
      <c r="O38" s="15" t="n">
        <v>3</v>
      </c>
      <c r="P38" t="str">
        <f>IF(OR(NOT(ISNUMBER($N38)),NOT(ISNUMBER($O38))),"",IF($N38&gt;$O38,$A$56,IF($N38=$O38,$A$54,$A$55)))</f>
        <v>Coherente</v>
      </c>
      <c r="R38" s="14">
        <f>IFERROR(IF(NOT(ISNUMBER($F38)),"",INDEX($B$16:$H$23,MATCH($C38,$A$16:$A$23,0),1)),"")</f>
        <v>3.0</v>
      </c>
      <c r="S38" s="14">
        <f>IFERROR(IF(NOT(ISNUMBER($G38)),"",INDEX($B$16:$H$23,MATCH($C38,$A$16:$A$23,0),2)),"")</f>
        <v>3.0</v>
      </c>
      <c r="T38" s="14">
        <f>IFERROR(IF(NOT(ISNUMBER($H38)),"",INDEX($B$16:$H$23,MATCH($C38,$A$16:$A$23,0),3)),"")</f>
        <v>3.0</v>
      </c>
      <c r="U38" s="14">
        <f>IFERROR(IF(NOT(ISNUMBER($I38)),"",INDEX($B$16:$H$23,MATCH($C38,$A$16:$A$23,0),4)),"")</f>
        <v>2.0</v>
      </c>
      <c r="V38" s="14">
        <f>IFERROR(IF(NOT(ISNUMBER($J38)),"",INDEX($B$16:$H$23,MATCH($C38,$A$16:$A$23,0),5)),"")</f>
        <v>3.0</v>
      </c>
      <c r="W38" s="14">
        <f>IFERROR(IF(NOT(ISNUMBER($K38)),"",INDEX($B$16:$H$23,MATCH($C38,$A$16:$A$23,0),6)),"")</f>
        <v>3.0</v>
      </c>
      <c r="X38" s="14">
        <f>IFERROR(IF(NOT(ISNUMBER($L38)),"",INDEX($B$16:$H$23,MATCH($C38,$A$16:$A$23,0),7)),"")</f>
        <v>2.0</v>
      </c>
      <c r="Y38" s="14">
        <f>IFERROR(IF(NOT(ISNUMBER($R38)),"",$F38*$R38),"")</f>
        <v>15.0</v>
      </c>
      <c r="Z38" s="14">
        <f>IFERROR(IF(NOT(ISNUMBER($S38)),"",$G38*$S38),"")</f>
        <v>12.0</v>
      </c>
      <c r="AA38" s="14">
        <f>IFERROR(IF(NOT(ISNUMBER($T38)),"",$H38*$T38),"")</f>
        <v>12.0</v>
      </c>
      <c r="AB38" s="14">
        <f>IFERROR(IF(NOT(ISNUMBER($U38)),"",$I38*$U38),"")</f>
        <v>10.0</v>
      </c>
      <c r="AC38" s="14">
        <f>IFERROR(IF(NOT(ISNUMBER($V38)),"",$J38*$V38),"")</f>
        <v>12.0</v>
      </c>
      <c r="AD38" s="14">
        <f>IFERROR(IF(NOT(ISNUMBER($W38)),"",$K38*$W38),"")</f>
        <v>15.0</v>
      </c>
      <c r="AE38" s="14">
        <f>IFERROR(IF(NOT(ISNUMBER($X38)),"",$L38*$X38),"")</f>
        <v>6.0</v>
      </c>
    </row>
    <row r="39" ht="22" customHeight="1">
      <c r="A39" s="5" t="inlineStr">
        <is>
          <t>P06</t>
        </is>
      </c>
      <c r="B39" s="5" t="inlineStr">
        <is>
          <t>Omar B.</t>
        </is>
      </c>
      <c r="C39" s="12" t="inlineStr">
        <is>
          <t>Ayudante/a de cocina</t>
        </is>
      </c>
      <c r="D39" s="22" t="n">
        <v>46267</v>
      </c>
      <c r="E39" s="13" t="inlineStr">
        <is>
          <t>P02</t>
        </is>
      </c>
      <c r="F39" s="15" t="n">
        <v>3</v>
      </c>
      <c r="G39" s="15" t="n">
        <v>3</v>
      </c>
      <c r="H39" s="15" t="n">
        <v>3</v>
      </c>
      <c r="I39" s="15" t="n">
        <v>4</v>
      </c>
      <c r="J39" s="15" t="n">
        <v>4</v>
      </c>
      <c r="K39" s="15" t="n">
        <v>3</v>
      </c>
      <c r="L39" s="15" t="n">
        <v>3</v>
      </c>
      <c r="M39" s="23">
        <f>IFERROR(IF(SUM($R39:$X39)=0,"",SUM($Y39:$AE39)/SUM($R39:$X39)),"")</f>
        <v>3.3125</v>
      </c>
      <c r="N39" s="14">
        <f>IF(NOT(ISNUMBER($M39)),"",IF($M39&gt;=$B$28,$A$28,IF($M39&gt;=$B$29,$A$29,IF($M39&gt;=$B$30,$A$30,""))))</f>
        <v>2.0</v>
      </c>
      <c r="O39" s="15" t="n">
        <v>2</v>
      </c>
      <c r="P39" t="str">
        <f>IF(OR(NOT(ISNUMBER($N39)),NOT(ISNUMBER($O39))),"",IF($N39&gt;$O39,$A$56,IF($N39=$O39,$A$54,$A$55)))</f>
        <v>Coherente</v>
      </c>
      <c r="R39" s="14">
        <f>IFERROR(IF(NOT(ISNUMBER($F39)),"",INDEX($B$16:$H$23,MATCH($C39,$A$16:$A$23,0),1)),"")</f>
        <v>3.0</v>
      </c>
      <c r="S39" s="14">
        <f>IFERROR(IF(NOT(ISNUMBER($G39)),"",INDEX($B$16:$H$23,MATCH($C39,$A$16:$A$23,0),2)),"")</f>
        <v>2.0</v>
      </c>
      <c r="T39" s="14">
        <f>IFERROR(IF(NOT(ISNUMBER($H39)),"",INDEX($B$16:$H$23,MATCH($C39,$A$16:$A$23,0),3)),"")</f>
        <v>2.0</v>
      </c>
      <c r="U39" s="14">
        <f>IFERROR(IF(NOT(ISNUMBER($I39)),"",INDEX($B$16:$H$23,MATCH($C39,$A$16:$A$23,0),4)),"")</f>
        <v>2.0</v>
      </c>
      <c r="V39" s="14">
        <f>IFERROR(IF(NOT(ISNUMBER($J39)),"",INDEX($B$16:$H$23,MATCH($C39,$A$16:$A$23,0),5)),"")</f>
        <v>3.0</v>
      </c>
      <c r="W39" s="14">
        <f>IFERROR(IF(NOT(ISNUMBER($K39)),"",INDEX($B$16:$H$23,MATCH($C39,$A$16:$A$23,0),6)),"")</f>
        <v>2.0</v>
      </c>
      <c r="X39" s="14">
        <f>IFERROR(IF(NOT(ISNUMBER($L39)),"",INDEX($B$16:$H$23,MATCH($C39,$A$16:$A$23,0),7)),"")</f>
        <v>2.0</v>
      </c>
      <c r="Y39" s="14">
        <f>IFERROR(IF(NOT(ISNUMBER($R39)),"",$F39*$R39),"")</f>
        <v>9.0</v>
      </c>
      <c r="Z39" s="14">
        <f>IFERROR(IF(NOT(ISNUMBER($S39)),"",$G39*$S39),"")</f>
        <v>6.0</v>
      </c>
      <c r="AA39" s="14">
        <f>IFERROR(IF(NOT(ISNUMBER($T39)),"",$H39*$T39),"")</f>
        <v>6.0</v>
      </c>
      <c r="AB39" s="14">
        <f>IFERROR(IF(NOT(ISNUMBER($U39)),"",$I39*$U39),"")</f>
        <v>8.0</v>
      </c>
      <c r="AC39" s="14">
        <f>IFERROR(IF(NOT(ISNUMBER($V39)),"",$J39*$V39),"")</f>
        <v>12.0</v>
      </c>
      <c r="AD39" s="14">
        <f>IFERROR(IF(NOT(ISNUMBER($W39)),"",$K39*$W39),"")</f>
        <v>6.0</v>
      </c>
      <c r="AE39" s="14">
        <f>IFERROR(IF(NOT(ISNUMBER($X39)),"",$L39*$X39),"")</f>
        <v>6.0</v>
      </c>
    </row>
    <row r="40" ht="22" customHeight="1">
      <c r="A40" s="5" t="inlineStr">
        <is>
          <t>P07</t>
        </is>
      </c>
      <c r="B40" s="5" t="inlineStr">
        <is>
          <t>Rocío F.</t>
        </is>
      </c>
      <c r="C40" s="12" t="inlineStr">
        <is>
          <t>Ayudante/a de cocina</t>
        </is>
      </c>
      <c r="D40" s="22" t="n">
        <v>46267</v>
      </c>
      <c r="E40" s="13" t="inlineStr">
        <is>
          <t>P02</t>
        </is>
      </c>
      <c r="F40" s="15" t="n">
        <v>4</v>
      </c>
      <c r="G40" s="15" t="n">
        <v>4</v>
      </c>
      <c r="H40" s="15" t="n">
        <v>4</v>
      </c>
      <c r="I40" s="15" t="n">
        <v>5</v>
      </c>
      <c r="J40" s="15" t="n">
        <v>4</v>
      </c>
      <c r="K40" s="15" t="n">
        <v>4</v>
      </c>
      <c r="L40" s="15" t="n">
        <v>3</v>
      </c>
      <c r="M40" s="23">
        <f>IFERROR(IF(SUM($R40:$X40)=0,"",SUM($Y40:$AE40)/SUM($R40:$X40)),"")</f>
        <v>4.0</v>
      </c>
      <c r="N40" s="14">
        <f>IF(NOT(ISNUMBER($M40)),"",IF($M40&gt;=$B$28,$A$28,IF($M40&gt;=$B$29,$A$29,IF($M40&gt;=$B$30,$A$30,""))))</f>
        <v>3.0</v>
      </c>
      <c r="O40" s="15" t="n">
        <v>3</v>
      </c>
      <c r="P40" t="str">
        <f>IF(OR(NOT(ISNUMBER($N40)),NOT(ISNUMBER($O40))),"",IF($N40&gt;$O40,$A$56,IF($N40=$O40,$A$54,$A$55)))</f>
        <v>Coherente</v>
      </c>
      <c r="R40" s="14">
        <f>IFERROR(IF(NOT(ISNUMBER($F40)),"",INDEX($B$16:$H$23,MATCH($C40,$A$16:$A$23,0),1)),"")</f>
        <v>3.0</v>
      </c>
      <c r="S40" s="14">
        <f>IFERROR(IF(NOT(ISNUMBER($G40)),"",INDEX($B$16:$H$23,MATCH($C40,$A$16:$A$23,0),2)),"")</f>
        <v>2.0</v>
      </c>
      <c r="T40" s="14">
        <f>IFERROR(IF(NOT(ISNUMBER($H40)),"",INDEX($B$16:$H$23,MATCH($C40,$A$16:$A$23,0),3)),"")</f>
        <v>2.0</v>
      </c>
      <c r="U40" s="14">
        <f>IFERROR(IF(NOT(ISNUMBER($I40)),"",INDEX($B$16:$H$23,MATCH($C40,$A$16:$A$23,0),4)),"")</f>
        <v>2.0</v>
      </c>
      <c r="V40" s="14">
        <f>IFERROR(IF(NOT(ISNUMBER($J40)),"",INDEX($B$16:$H$23,MATCH($C40,$A$16:$A$23,0),5)),"")</f>
        <v>3.0</v>
      </c>
      <c r="W40" s="14">
        <f>IFERROR(IF(NOT(ISNUMBER($K40)),"",INDEX($B$16:$H$23,MATCH($C40,$A$16:$A$23,0),6)),"")</f>
        <v>2.0</v>
      </c>
      <c r="X40" s="14">
        <f>IFERROR(IF(NOT(ISNUMBER($L40)),"",INDEX($B$16:$H$23,MATCH($C40,$A$16:$A$23,0),7)),"")</f>
        <v>2.0</v>
      </c>
      <c r="Y40" s="14">
        <f>IFERROR(IF(NOT(ISNUMBER($R40)),"",$F40*$R40),"")</f>
        <v>12.0</v>
      </c>
      <c r="Z40" s="14">
        <f>IFERROR(IF(NOT(ISNUMBER($S40)),"",$G40*$S40),"")</f>
        <v>8.0</v>
      </c>
      <c r="AA40" s="14">
        <f>IFERROR(IF(NOT(ISNUMBER($T40)),"",$H40*$T40),"")</f>
        <v>8.0</v>
      </c>
      <c r="AB40" s="14">
        <f>IFERROR(IF(NOT(ISNUMBER($U40)),"",$I40*$U40),"")</f>
        <v>10.0</v>
      </c>
      <c r="AC40" s="14">
        <f>IFERROR(IF(NOT(ISNUMBER($V40)),"",$J40*$V40),"")</f>
        <v>12.0</v>
      </c>
      <c r="AD40" s="14">
        <f>IFERROR(IF(NOT(ISNUMBER($W40)),"",$K40*$W40),"")</f>
        <v>8.0</v>
      </c>
      <c r="AE40" s="14">
        <f>IFERROR(IF(NOT(ISNUMBER($X40)),"",$L40*$X40),"")</f>
        <v>6.0</v>
      </c>
    </row>
    <row r="41" ht="22" customHeight="1">
      <c r="A41" s="5" t="inlineStr">
        <is>
          <t>P08</t>
        </is>
      </c>
      <c r="B41" s="5" t="inlineStr">
        <is>
          <t>Carlos V.</t>
        </is>
      </c>
      <c r="C41" s="12" t="inlineStr">
        <is>
          <t>No evaluado en la rúbrica de cocina</t>
        </is>
      </c>
      <c r="D41" s="22" t="inlineStr"/>
      <c r="E41" s="13" t="inlineStr"/>
      <c r="F41" s="15" t="inlineStr"/>
      <c r="G41" s="15" t="inlineStr"/>
      <c r="H41" s="15" t="inlineStr"/>
      <c r="I41" s="15" t="inlineStr"/>
      <c r="J41" s="15" t="inlineStr"/>
      <c r="K41" s="15" t="inlineStr"/>
      <c r="L41" s="15" t="inlineStr"/>
      <c r="M41" s="23">
        <f>IFERROR(IF(SUM($R41:$X41)=0,"",SUM($Y41:$AE41)/SUM($R41:$X41)),"")</f>
        <v/>
      </c>
      <c r="N41" s="14">
        <f>IF(NOT(ISNUMBER($M41)),"",IF($M41&gt;=$B$28,$A$28,IF($M41&gt;=$B$29,$A$29,IF($M41&gt;=$B$30,$A$30,""))))</f>
        <v/>
      </c>
      <c r="O41" s="15" t="n">
        <v>0</v>
      </c>
      <c r="P41">
        <f>IF(OR(NOT(ISNUMBER($N41)),NOT(ISNUMBER($O41))),"",IF($N41&gt;$O41,$A$56,IF($N41=$O41,$A$54,$A$55)))</f>
        <v/>
      </c>
      <c r="R41" s="14">
        <f>IFERROR(IF(NOT(ISNUMBER($F41)),"",INDEX($B$16:$H$23,MATCH($C41,$A$16:$A$23,0),1)),"")</f>
        <v/>
      </c>
      <c r="S41" s="14">
        <f>IFERROR(IF(NOT(ISNUMBER($G41)),"",INDEX($B$16:$H$23,MATCH($C41,$A$16:$A$23,0),2)),"")</f>
        <v/>
      </c>
      <c r="T41" s="14">
        <f>IFERROR(IF(NOT(ISNUMBER($H41)),"",INDEX($B$16:$H$23,MATCH($C41,$A$16:$A$23,0),3)),"")</f>
        <v/>
      </c>
      <c r="U41" s="14">
        <f>IFERROR(IF(NOT(ISNUMBER($I41)),"",INDEX($B$16:$H$23,MATCH($C41,$A$16:$A$23,0),4)),"")</f>
        <v/>
      </c>
      <c r="V41" s="14">
        <f>IFERROR(IF(NOT(ISNUMBER($J41)),"",INDEX($B$16:$H$23,MATCH($C41,$A$16:$A$23,0),5)),"")</f>
        <v/>
      </c>
      <c r="W41" s="14">
        <f>IFERROR(IF(NOT(ISNUMBER($K41)),"",INDEX($B$16:$H$23,MATCH($C41,$A$16:$A$23,0),6)),"")</f>
        <v/>
      </c>
      <c r="X41" s="14">
        <f>IFERROR(IF(NOT(ISNUMBER($L41)),"",INDEX($B$16:$H$23,MATCH($C41,$A$16:$A$23,0),7)),"")</f>
        <v/>
      </c>
      <c r="Y41" s="14">
        <f>IFERROR(IF(NOT(ISNUMBER($R41)),"",$F41*$R41),"")</f>
        <v/>
      </c>
      <c r="Z41" s="14">
        <f>IFERROR(IF(NOT(ISNUMBER($S41)),"",$G41*$S41),"")</f>
        <v/>
      </c>
      <c r="AA41" s="14">
        <f>IFERROR(IF(NOT(ISNUMBER($T41)),"",$H41*$T41),"")</f>
        <v/>
      </c>
      <c r="AB41" s="14">
        <f>IFERROR(IF(NOT(ISNUMBER($U41)),"",$I41*$U41),"")</f>
        <v/>
      </c>
      <c r="AC41" s="14">
        <f>IFERROR(IF(NOT(ISNUMBER($V41)),"",$J41*$V41),"")</f>
        <v/>
      </c>
      <c r="AD41" s="14">
        <f>IFERROR(IF(NOT(ISNUMBER($W41)),"",$K41*$W41),"")</f>
        <v/>
      </c>
      <c r="AE41" s="14">
        <f>IFERROR(IF(NOT(ISNUMBER($X41)),"",$L41*$X41),"")</f>
        <v/>
      </c>
    </row>
    <row r="42" ht="22" customHeight="1">
      <c r="A42" s="5" t="inlineStr">
        <is>
          <t>P09</t>
        </is>
      </c>
      <c r="B42" s="5" t="inlineStr">
        <is>
          <t>Elena T.</t>
        </is>
      </c>
      <c r="C42" s="12" t="inlineStr">
        <is>
          <t>No evaluado en la rúbrica de cocina</t>
        </is>
      </c>
      <c r="D42" s="22" t="inlineStr"/>
      <c r="E42" s="13" t="inlineStr"/>
      <c r="F42" s="15" t="inlineStr"/>
      <c r="G42" s="15" t="inlineStr"/>
      <c r="H42" s="15" t="inlineStr"/>
      <c r="I42" s="15" t="inlineStr"/>
      <c r="J42" s="15" t="inlineStr"/>
      <c r="K42" s="15" t="inlineStr"/>
      <c r="L42" s="15" t="inlineStr"/>
      <c r="M42" s="23">
        <f>IFERROR(IF(SUM($R42:$X42)=0,"",SUM($Y42:$AE42)/SUM($R42:$X42)),"")</f>
        <v/>
      </c>
      <c r="N42" s="14">
        <f>IF(NOT(ISNUMBER($M42)),"",IF($M42&gt;=$B$28,$A$28,IF($M42&gt;=$B$29,$A$29,IF($M42&gt;=$B$30,$A$30,""))))</f>
        <v/>
      </c>
      <c r="O42" s="15" t="n">
        <v>0</v>
      </c>
      <c r="P42">
        <f>IF(OR(NOT(ISNUMBER($N42)),NOT(ISNUMBER($O42))),"",IF($N42&gt;$O42,$A$56,IF($N42=$O42,$A$54,$A$55)))</f>
        <v/>
      </c>
      <c r="R42" s="14">
        <f>IFERROR(IF(NOT(ISNUMBER($F42)),"",INDEX($B$16:$H$23,MATCH($C42,$A$16:$A$23,0),1)),"")</f>
        <v/>
      </c>
      <c r="S42" s="14">
        <f>IFERROR(IF(NOT(ISNUMBER($G42)),"",INDEX($B$16:$H$23,MATCH($C42,$A$16:$A$23,0),2)),"")</f>
        <v/>
      </c>
      <c r="T42" s="14">
        <f>IFERROR(IF(NOT(ISNUMBER($H42)),"",INDEX($B$16:$H$23,MATCH($C42,$A$16:$A$23,0),3)),"")</f>
        <v/>
      </c>
      <c r="U42" s="14">
        <f>IFERROR(IF(NOT(ISNUMBER($I42)),"",INDEX($B$16:$H$23,MATCH($C42,$A$16:$A$23,0),4)),"")</f>
        <v/>
      </c>
      <c r="V42" s="14">
        <f>IFERROR(IF(NOT(ISNUMBER($J42)),"",INDEX($B$16:$H$23,MATCH($C42,$A$16:$A$23,0),5)),"")</f>
        <v/>
      </c>
      <c r="W42" s="14">
        <f>IFERROR(IF(NOT(ISNUMBER($K42)),"",INDEX($B$16:$H$23,MATCH($C42,$A$16:$A$23,0),6)),"")</f>
        <v/>
      </c>
      <c r="X42" s="14">
        <f>IFERROR(IF(NOT(ISNUMBER($L42)),"",INDEX($B$16:$H$23,MATCH($C42,$A$16:$A$23,0),7)),"")</f>
        <v/>
      </c>
      <c r="Y42" s="14">
        <f>IFERROR(IF(NOT(ISNUMBER($R42)),"",$F42*$R42),"")</f>
        <v/>
      </c>
      <c r="Z42" s="14">
        <f>IFERROR(IF(NOT(ISNUMBER($S42)),"",$G42*$S42),"")</f>
        <v/>
      </c>
      <c r="AA42" s="14">
        <f>IFERROR(IF(NOT(ISNUMBER($T42)),"",$H42*$T42),"")</f>
        <v/>
      </c>
      <c r="AB42" s="14">
        <f>IFERROR(IF(NOT(ISNUMBER($U42)),"",$I42*$U42),"")</f>
        <v/>
      </c>
      <c r="AC42" s="14">
        <f>IFERROR(IF(NOT(ISNUMBER($V42)),"",$J42*$V42),"")</f>
        <v/>
      </c>
      <c r="AD42" s="14">
        <f>IFERROR(IF(NOT(ISNUMBER($W42)),"",$K42*$W42),"")</f>
        <v/>
      </c>
      <c r="AE42" s="14">
        <f>IFERROR(IF(NOT(ISNUMBER($X42)),"",$L42*$X42),"")</f>
        <v/>
      </c>
    </row>
    <row r="43" ht="22" customHeight="1">
      <c r="A43" s="5" t="inlineStr">
        <is>
          <t>P10</t>
        </is>
      </c>
      <c r="B43" s="5" t="inlineStr">
        <is>
          <t>Youssef A.</t>
        </is>
      </c>
      <c r="C43" s="12" t="inlineStr">
        <is>
          <t>No evaluado en la rúbrica de cocina</t>
        </is>
      </c>
      <c r="D43" s="22" t="inlineStr"/>
      <c r="E43" s="13" t="inlineStr"/>
      <c r="F43" s="15" t="inlineStr"/>
      <c r="G43" s="15" t="inlineStr"/>
      <c r="H43" s="15" t="inlineStr"/>
      <c r="I43" s="15" t="inlineStr"/>
      <c r="J43" s="15" t="inlineStr"/>
      <c r="K43" s="15" t="inlineStr"/>
      <c r="L43" s="15" t="inlineStr"/>
      <c r="M43" s="23">
        <f>IFERROR(IF(SUM($R43:$X43)=0,"",SUM($Y43:$AE43)/SUM($R43:$X43)),"")</f>
        <v/>
      </c>
      <c r="N43" s="14">
        <f>IF(NOT(ISNUMBER($M43)),"",IF($M43&gt;=$B$28,$A$28,IF($M43&gt;=$B$29,$A$29,IF($M43&gt;=$B$30,$A$30,""))))</f>
        <v/>
      </c>
      <c r="O43" s="15" t="n">
        <v>0</v>
      </c>
      <c r="P43">
        <f>IF(OR(NOT(ISNUMBER($N43)),NOT(ISNUMBER($O43))),"",IF($N43&gt;$O43,$A$56,IF($N43=$O43,$A$54,$A$55)))</f>
        <v/>
      </c>
      <c r="R43" s="14">
        <f>IFERROR(IF(NOT(ISNUMBER($F43)),"",INDEX($B$16:$H$23,MATCH($C43,$A$16:$A$23,0),1)),"")</f>
        <v/>
      </c>
      <c r="S43" s="14">
        <f>IFERROR(IF(NOT(ISNUMBER($G43)),"",INDEX($B$16:$H$23,MATCH($C43,$A$16:$A$23,0),2)),"")</f>
        <v/>
      </c>
      <c r="T43" s="14">
        <f>IFERROR(IF(NOT(ISNUMBER($H43)),"",INDEX($B$16:$H$23,MATCH($C43,$A$16:$A$23,0),3)),"")</f>
        <v/>
      </c>
      <c r="U43" s="14">
        <f>IFERROR(IF(NOT(ISNUMBER($I43)),"",INDEX($B$16:$H$23,MATCH($C43,$A$16:$A$23,0),4)),"")</f>
        <v/>
      </c>
      <c r="V43" s="14">
        <f>IFERROR(IF(NOT(ISNUMBER($J43)),"",INDEX($B$16:$H$23,MATCH($C43,$A$16:$A$23,0),5)),"")</f>
        <v/>
      </c>
      <c r="W43" s="14">
        <f>IFERROR(IF(NOT(ISNUMBER($K43)),"",INDEX($B$16:$H$23,MATCH($C43,$A$16:$A$23,0),6)),"")</f>
        <v/>
      </c>
      <c r="X43" s="14">
        <f>IFERROR(IF(NOT(ISNUMBER($L43)),"",INDEX($B$16:$H$23,MATCH($C43,$A$16:$A$23,0),7)),"")</f>
        <v/>
      </c>
      <c r="Y43" s="14">
        <f>IFERROR(IF(NOT(ISNUMBER($R43)),"",$F43*$R43),"")</f>
        <v/>
      </c>
      <c r="Z43" s="14">
        <f>IFERROR(IF(NOT(ISNUMBER($S43)),"",$G43*$S43),"")</f>
        <v/>
      </c>
      <c r="AA43" s="14">
        <f>IFERROR(IF(NOT(ISNUMBER($T43)),"",$H43*$T43),"")</f>
        <v/>
      </c>
      <c r="AB43" s="14">
        <f>IFERROR(IF(NOT(ISNUMBER($U43)),"",$I43*$U43),"")</f>
        <v/>
      </c>
      <c r="AC43" s="14">
        <f>IFERROR(IF(NOT(ISNUMBER($V43)),"",$J43*$V43),"")</f>
        <v/>
      </c>
      <c r="AD43" s="14">
        <f>IFERROR(IF(NOT(ISNUMBER($W43)),"",$K43*$W43),"")</f>
        <v/>
      </c>
      <c r="AE43" s="14">
        <f>IFERROR(IF(NOT(ISNUMBER($X43)),"",$L43*$X43),"")</f>
        <v/>
      </c>
    </row>
    <row r="44" ht="22" customHeight="1">
      <c r="A44" s="5" t="inlineStr">
        <is>
          <t>P11</t>
        </is>
      </c>
      <c r="B44" s="5" t="inlineStr">
        <is>
          <t>Paula G.</t>
        </is>
      </c>
      <c r="C44" s="12" t="inlineStr">
        <is>
          <t>No evaluado en la rúbrica de cocina</t>
        </is>
      </c>
      <c r="D44" s="22" t="inlineStr"/>
      <c r="E44" s="13" t="inlineStr"/>
      <c r="F44" s="15" t="inlineStr"/>
      <c r="G44" s="15" t="inlineStr"/>
      <c r="H44" s="15" t="inlineStr"/>
      <c r="I44" s="15" t="inlineStr"/>
      <c r="J44" s="15" t="inlineStr"/>
      <c r="K44" s="15" t="inlineStr"/>
      <c r="L44" s="15" t="inlineStr"/>
      <c r="M44" s="23">
        <f>IFERROR(IF(SUM($R44:$X44)=0,"",SUM($Y44:$AE44)/SUM($R44:$X44)),"")</f>
        <v/>
      </c>
      <c r="N44" s="14">
        <f>IF(NOT(ISNUMBER($M44)),"",IF($M44&gt;=$B$28,$A$28,IF($M44&gt;=$B$29,$A$29,IF($M44&gt;=$B$30,$A$30,""))))</f>
        <v/>
      </c>
      <c r="O44" s="15" t="n">
        <v>0</v>
      </c>
      <c r="P44">
        <f>IF(OR(NOT(ISNUMBER($N44)),NOT(ISNUMBER($O44))),"",IF($N44&gt;$O44,$A$56,IF($N44=$O44,$A$54,$A$55)))</f>
        <v/>
      </c>
      <c r="R44" s="14">
        <f>IFERROR(IF(NOT(ISNUMBER($F44)),"",INDEX($B$16:$H$23,MATCH($C44,$A$16:$A$23,0),1)),"")</f>
        <v/>
      </c>
      <c r="S44" s="14">
        <f>IFERROR(IF(NOT(ISNUMBER($G44)),"",INDEX($B$16:$H$23,MATCH($C44,$A$16:$A$23,0),2)),"")</f>
        <v/>
      </c>
      <c r="T44" s="14">
        <f>IFERROR(IF(NOT(ISNUMBER($H44)),"",INDEX($B$16:$H$23,MATCH($C44,$A$16:$A$23,0),3)),"")</f>
        <v/>
      </c>
      <c r="U44" s="14">
        <f>IFERROR(IF(NOT(ISNUMBER($I44)),"",INDEX($B$16:$H$23,MATCH($C44,$A$16:$A$23,0),4)),"")</f>
        <v/>
      </c>
      <c r="V44" s="14">
        <f>IFERROR(IF(NOT(ISNUMBER($J44)),"",INDEX($B$16:$H$23,MATCH($C44,$A$16:$A$23,0),5)),"")</f>
        <v/>
      </c>
      <c r="W44" s="14">
        <f>IFERROR(IF(NOT(ISNUMBER($K44)),"",INDEX($B$16:$H$23,MATCH($C44,$A$16:$A$23,0),6)),"")</f>
        <v/>
      </c>
      <c r="X44" s="14">
        <f>IFERROR(IF(NOT(ISNUMBER($L44)),"",INDEX($B$16:$H$23,MATCH($C44,$A$16:$A$23,0),7)),"")</f>
        <v/>
      </c>
      <c r="Y44" s="14">
        <f>IFERROR(IF(NOT(ISNUMBER($R44)),"",$F44*$R44),"")</f>
        <v/>
      </c>
      <c r="Z44" s="14">
        <f>IFERROR(IF(NOT(ISNUMBER($S44)),"",$G44*$S44),"")</f>
        <v/>
      </c>
      <c r="AA44" s="14">
        <f>IFERROR(IF(NOT(ISNUMBER($T44)),"",$H44*$T44),"")</f>
        <v/>
      </c>
      <c r="AB44" s="14">
        <f>IFERROR(IF(NOT(ISNUMBER($U44)),"",$I44*$U44),"")</f>
        <v/>
      </c>
      <c r="AC44" s="14">
        <f>IFERROR(IF(NOT(ISNUMBER($V44)),"",$J44*$V44),"")</f>
        <v/>
      </c>
      <c r="AD44" s="14">
        <f>IFERROR(IF(NOT(ISNUMBER($W44)),"",$K44*$W44),"")</f>
        <v/>
      </c>
      <c r="AE44" s="14">
        <f>IFERROR(IF(NOT(ISNUMBER($X44)),"",$L44*$X44),"")</f>
        <v/>
      </c>
    </row>
    <row r="45" ht="22" customHeight="1">
      <c r="A45" s="5" t="inlineStr">
        <is>
          <t>P12</t>
        </is>
      </c>
      <c r="B45" s="5" t="inlineStr">
        <is>
          <t>Andrés P.</t>
        </is>
      </c>
      <c r="C45" s="12" t="inlineStr">
        <is>
          <t>Auxiliar de cocina y economato</t>
        </is>
      </c>
      <c r="D45" s="22" t="n">
        <v>46268</v>
      </c>
      <c r="E45" s="13" t="inlineStr">
        <is>
          <t>P02</t>
        </is>
      </c>
      <c r="F45" s="15" t="n">
        <v>2</v>
      </c>
      <c r="G45" s="15" t="n">
        <v>2</v>
      </c>
      <c r="H45" s="15" t="inlineStr"/>
      <c r="I45" s="15" t="n">
        <v>2</v>
      </c>
      <c r="J45" s="15" t="n">
        <v>4</v>
      </c>
      <c r="K45" s="15" t="n">
        <v>2</v>
      </c>
      <c r="L45" s="15" t="inlineStr"/>
      <c r="M45" s="23">
        <f>IFERROR(IF(SUM($R45:$X45)=0,"",SUM($Y45:$AE45)/SUM($R45:$X45)),"")</f>
        <v>2.75</v>
      </c>
      <c r="N45" s="14">
        <f>IF(NOT(ISNUMBER($M45)),"",IF($M45&gt;=$B$28,$A$28,IF($M45&gt;=$B$29,$A$29,IF($M45&gt;=$B$30,$A$30,""))))</f>
        <v>1.0</v>
      </c>
      <c r="O45" s="15" t="n">
        <v>1</v>
      </c>
      <c r="P45" t="str">
        <f>IF(OR(NOT(ISNUMBER($N45)),NOT(ISNUMBER($O45))),"",IF($N45&gt;$O45,$A$56,IF($N45=$O45,$A$54,$A$55)))</f>
        <v>Coherente</v>
      </c>
      <c r="R45" s="14">
        <f>IFERROR(IF(NOT(ISNUMBER($F45)),"",INDEX($B$16:$H$23,MATCH($C45,$A$16:$A$23,0),1)),"")</f>
        <v>2.0</v>
      </c>
      <c r="S45" s="14">
        <f>IFERROR(IF(NOT(ISNUMBER($G45)),"",INDEX($B$16:$H$23,MATCH($C45,$A$16:$A$23,0),2)),"")</f>
        <v>1.0</v>
      </c>
      <c r="T45" s="14">
        <f>IFERROR(IF(NOT(ISNUMBER($H45)),"",INDEX($B$16:$H$23,MATCH($C45,$A$16:$A$23,0),3)),"")</f>
        <v/>
      </c>
      <c r="U45" s="14">
        <f>IFERROR(IF(NOT(ISNUMBER($I45)),"",INDEX($B$16:$H$23,MATCH($C45,$A$16:$A$23,0),4)),"")</f>
        <v>1.0</v>
      </c>
      <c r="V45" s="14">
        <f>IFERROR(IF(NOT(ISNUMBER($J45)),"",INDEX($B$16:$H$23,MATCH($C45,$A$16:$A$23,0),5)),"")</f>
        <v>3.0</v>
      </c>
      <c r="W45" s="14">
        <f>IFERROR(IF(NOT(ISNUMBER($K45)),"",INDEX($B$16:$H$23,MATCH($C45,$A$16:$A$23,0),6)),"")</f>
        <v>1.0</v>
      </c>
      <c r="X45" s="14">
        <f>IFERROR(IF(NOT(ISNUMBER($L45)),"",INDEX($B$16:$H$23,MATCH($C45,$A$16:$A$23,0),7)),"")</f>
        <v/>
      </c>
      <c r="Y45" s="14">
        <f>IFERROR(IF(NOT(ISNUMBER($R45)),"",$F45*$R45),"")</f>
        <v>4.0</v>
      </c>
      <c r="Z45" s="14">
        <f>IFERROR(IF(NOT(ISNUMBER($S45)),"",$G45*$S45),"")</f>
        <v>2.0</v>
      </c>
      <c r="AA45" s="14">
        <f>IFERROR(IF(NOT(ISNUMBER($T45)),"",$H45*$T45),"")</f>
        <v/>
      </c>
      <c r="AB45" s="14">
        <f>IFERROR(IF(NOT(ISNUMBER($U45)),"",$I45*$U45),"")</f>
        <v>2.0</v>
      </c>
      <c r="AC45" s="14">
        <f>IFERROR(IF(NOT(ISNUMBER($V45)),"",$J45*$V45),"")</f>
        <v>12.0</v>
      </c>
      <c r="AD45" s="14">
        <f>IFERROR(IF(NOT(ISNUMBER($W45)),"",$K45*$W45),"")</f>
        <v>2.0</v>
      </c>
      <c r="AE45" s="14">
        <f>IFERROR(IF(NOT(ISNUMBER($X45)),"",$L45*$X45),"")</f>
        <v/>
      </c>
    </row>
    <row r="46">
      <c r="A46" s="9" t="inlineStr">
        <is>
          <t>Personas evaluadas</t>
        </is>
      </c>
      <c r="M46" s="16">
        <f>IF(COUNT($M$34:$M$45)=0,"",COUNT($M$34:$M$45))</f>
        <v>8.0</v>
      </c>
    </row>
    <row r="47">
      <c r="A47" s="9" t="inlineStr">
        <is>
          <t>Media ponderada de la brigada evaluada</t>
        </is>
      </c>
      <c r="M47" s="24">
        <f>IFERROR(IF(COUNT($M$34:$M$45)=0,"",AVERAGE($M$34:$M$45)),"")</f>
        <v>3.5257949561403508</v>
      </c>
    </row>
    <row r="48"/>
    <row r="49" ht="32" customHeight="1">
      <c r="A49" s="8" t="inlineStr">
        <is>
          <t>Las columnas de la derecha («peso aplicado» y «puntos») son el cálculo a la vista: el peso sólo entra cuando la competencia se ha puntuado, y la media es la división de las dos sumas. Están ahí para que una nota se pueda explicar delante de quien la recibe, no para tocarlas.</t>
        </is>
      </c>
    </row>
    <row r="50" ht="32" customHeight="1">
      <c r="A50" s="8" t="inlineStr">
        <is>
          <t>La columna «nivel en cocina» es una COPIA de la matriz de polivalencia del «Manual del Manager de Restaurante» (nivel máximo en las tres partidas de cocina). La matriz completa vive allí y no se duplica aquí.</t>
        </is>
      </c>
    </row>
    <row r="51" ht="30" customHeight="1">
      <c r="A51" s="8" t="inlineStr">
        <is>
          <t>Y ésa es la lectura del capítulo 18: cobertura no es competencia. Que alguien pueda sostener una partida en un servicio no quiere decir que la domine, y al revés: la mejor técnica de la casa puede estar cubriendo una sola partida.</t>
        </is>
      </c>
    </row>
    <row r="52"/>
    <row r="53" ht="20" customHeight="1">
      <c r="A53" s="6" t="inlineStr">
        <is>
          <t>Lectura</t>
        </is>
      </c>
      <c r="B53" s="6" t="inlineStr">
        <is>
          <t>Qué quiere decir</t>
        </is>
      </c>
    </row>
    <row r="54" ht="26" customHeight="1">
      <c r="A54" s="7" t="inlineStr">
        <is>
          <t>Coherente</t>
        </is>
      </c>
      <c r="B54" s="4" t="inlineStr">
        <is>
          <t>El nivel técnico y el de cobertura coinciden.</t>
        </is>
      </c>
    </row>
    <row r="55" ht="26" customHeight="1">
      <c r="A55" s="7" t="inlineStr">
        <is>
          <t>Cubre por encima de lo que domina</t>
        </is>
      </c>
      <c r="B55" s="4" t="inlineStr">
        <is>
          <t>Sostiene la partida en un servicio con más soltura de la que le da la prueba técnica: mírale la nota antes de darle una partida nueva.</t>
        </is>
      </c>
    </row>
    <row r="56" ht="26" customHeight="1">
      <c r="A56" s="7" t="inlineStr">
        <is>
          <t>Domina más de lo que cubre</t>
        </is>
      </c>
      <c r="B56" s="4" t="inlineStr">
        <is>
          <t>Tiene más nivel técnico del que la matriz le reconoce en cobertura: es un candidato a ampliar partida, y probablemente a promocionar.</t>
        </is>
      </c>
    </row>
    <row r="57"/>
    <row r="58">
      <c r="A58"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0">
    <mergeCell ref="B56:P56"/>
    <mergeCell ref="A50:P50"/>
    <mergeCell ref="A3:P3"/>
    <mergeCell ref="A51:P51"/>
    <mergeCell ref="A24:P24"/>
    <mergeCell ref="A47:E47"/>
    <mergeCell ref="B55:P55"/>
    <mergeCell ref="A49:P49"/>
    <mergeCell ref="B54:P54"/>
    <mergeCell ref="A46:E46"/>
  </mergeCells>
  <conditionalFormatting sqref="P34:P45">
    <cfRule type="cellIs" priority="1" operator="equal" dxfId="0" stopIfTrue="1">
      <formula>"Coherente"</formula>
    </cfRule>
    <cfRule type="cellIs" priority="2" operator="equal" dxfId="3" stopIfTrue="1">
      <formula>"Cubre por encima de lo que domina"</formula>
    </cfRule>
    <cfRule type="cellIs" priority="3" operator="equal" dxfId="2" stopIfTrue="1">
      <formula>"Domina más de lo que cubre"</formula>
    </cfRule>
  </conditionalFormatting>
  <dataValidations count="6">
    <dataValidation sqref="C34 C35 C36 C37 C38 C39 C40 C41 C42 C43 C44 C45" showDropDown="0" showInputMessage="0" showErrorMessage="1" allowBlank="1" errorTitle="Puesto de la rúbrica" error="Elige el puesto por el que se le evalúa (el que hace en la partida, no el del contrato)." type="list">
      <formula1>'Rúbrica de Competencias'!$A$16:$A$23</formula1>
    </dataValidation>
    <dataValidation sqref="F34 F35 F36 F37 F38 F39 F40 F41 F42 F43 F44 F45 G34 G35 G36 G37 G38 G39 G40 G41 G42 G43 G44 G45 H34 H35 H36 H37 H38 H39 H40 H41 H42 H43 H44 H45 I34 I35 I36 I37 I38 I39 I40 I41 I42 I43 I44 I45 J34 J35 J36 J37 J38 J39 J40 J41 J42 J43 J44 J45 K34 K35 K36 K37 K38 K39 K40 K41 K42 K43 K44 K45 L34 L35 L36 L37 L38 L39 L40 L41 L42 L43 L44 L45" showDropDown="0" showInputMessage="0" showErrorMessage="1" allowBlank="1" errorTitle="Puntuación" error="Puntúa de 1 a 5 con la prueba práctica delante. Deja la celda vacía si la competencia no aplica: en blanco no es un cero." type="decimal" operator="between">
      <formula1>1</formula1>
      <formula2>5</formula2>
    </dataValidation>
    <dataValidation sqref="O34 O35 O36 O37 O38 O39 O40 O41 O42 O43 O44 O45" showDropDown="0" showInputMessage="0" showErrorMessage="1" allowBlank="1" errorTitle="Nivel de polivalencia" error="De 0 a 3, copiado de la matriz de polivalencia del Manual del Manager." type="decimal" operator="between">
      <formula1>0</formula1>
      <formula2>3</formula2>
    </dataValidation>
    <dataValidation sqref="B16 B17 B18 B19 B20 B21 B22 C16 C17 C18 C19 C20 C21 C22 D16 D17 D18 D19 D20 D21 D22 E16 E17 E18 E19 E20 E21 E22 F16 F17 F18 F19 F20 F21 F22 G16 G17 G18 G19 G20 G21 G22 H16 H17 H18 H19 H20 H21 H22" showDropDown="0" showInputMessage="0" showErrorMessage="1" allowBlank="1" errorTitle="Peso" error="De 0 a 3. Un 0 saca la competencia de la media de ese puesto." type="decimal" operator="between">
      <formula1>0</formula1>
      <formula2>3</formula2>
    </dataValidation>
    <dataValidation sqref="B28 B29 B30 C28 C29 C30" showDropDown="0" showInputMessage="0" showErrorMessage="1" allowBlank="1" errorTitle="Media" error="La media va de 1 a 5." type="decimal" operator="between">
      <formula1>0</formula1>
      <formula2>5</formula2>
    </dataValidation>
    <dataValidation sqref="D34 D35 D36 D37 D38 D39 D40 D41 D42 D43 D44 D45"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24"/>
  <sheetViews>
    <sheetView workbookViewId="0">
      <pane ySplit="10" topLeftCell="A11" activePane="bottomLeft" state="frozen"/>
      <selection pane="bottomLeft" activeCell="A1" sqref="A1"/>
    </sheetView>
  </sheetViews>
  <sheetFormatPr baseColWidth="8" defaultRowHeight="15"/>
  <cols>
    <col width="30" customWidth="1" min="1" max="1"/>
    <col width="54" customWidth="1" min="2" max="2"/>
    <col width="11" customWidth="1" min="3" max="3"/>
    <col width="32" customWidth="1" min="4" max="4"/>
    <col width="46" customWidth="1" min="5" max="5"/>
    <col width="46" customWidth="1" min="6" max="6"/>
    <col width="12" customWidth="1" min="7" max="7"/>
    <col width="34" customWidth="1" min="8" max="8"/>
  </cols>
  <sheetData>
    <row r="1" ht="30" customHeight="1">
      <c r="A1" s="1" t="inlineStr">
        <is>
          <t>Prueba práctica de competencias</t>
        </is>
      </c>
    </row>
    <row r="2">
      <c r="A2" t="inlineStr">
        <is>
          <t>AI Chef Pro · aichef.pro — Manual del Chef Ejecutivo</t>
        </is>
      </c>
    </row>
    <row r="3" ht="26" customHeight="1">
      <c r="A3" s="8" t="inlineStr">
        <is>
          <t>El guion de la prueba: una por competencia, con lo que es un 5 y lo que es un 1. Sin esto, la rúbrica es una opinión.</t>
        </is>
      </c>
    </row>
    <row r="4"/>
    <row r="5">
      <c r="A5" s="9" t="inlineStr">
        <is>
          <t>Persona evaluada</t>
        </is>
      </c>
      <c r="B5" s="5" t="inlineStr"/>
      <c r="D5" s="8" t="inlineStr">
        <is>
          <t>Imprime una copia por persona: la prueba se apunta mientras se hace, no después.</t>
        </is>
      </c>
    </row>
    <row r="6">
      <c r="A6" s="9" t="inlineStr">
        <is>
          <t>Fecha de la prueba</t>
        </is>
      </c>
      <c r="B6" s="22" t="inlineStr"/>
    </row>
    <row r="7">
      <c r="A7" s="9" t="inlineStr">
        <is>
          <t>Evaluador</t>
        </is>
      </c>
      <c r="B7" s="5" t="inlineStr"/>
    </row>
    <row r="8"/>
    <row r="9"/>
    <row r="10" ht="32" customHeight="1">
      <c r="A10" s="6" t="inlineStr">
        <is>
          <t>Competencia</t>
        </is>
      </c>
      <c r="B10" s="6" t="inlineStr">
        <is>
          <t>Prueba</t>
        </is>
      </c>
      <c r="C10" s="6" t="inlineStr">
        <is>
          <t>Minutos</t>
        </is>
      </c>
      <c r="D10" s="6" t="inlineStr">
        <is>
          <t>Material</t>
        </is>
      </c>
      <c r="E10" s="6" t="inlineStr">
        <is>
          <t>Qué es un 5</t>
        </is>
      </c>
      <c r="F10" s="6" t="inlineStr">
        <is>
          <t>Qué es un 1</t>
        </is>
      </c>
      <c r="G10" s="6" t="inlineStr">
        <is>
          <t>Puntuación</t>
        </is>
      </c>
      <c r="H10" s="6" t="inlineStr">
        <is>
          <t>Observaciones</t>
        </is>
      </c>
    </row>
    <row r="11" ht="58" customHeight="1">
      <c r="A11" s="7" t="inlineStr">
        <is>
          <t>Cortes y manejo de cuchillo</t>
        </is>
      </c>
      <c r="B11" s="4" t="inlineStr">
        <is>
          <t>Brunoise de 200 g de cebolla, juliana de 200 g de puerro y racionado de un solomillo de cerdo en medallones de 110 g</t>
        </is>
      </c>
      <c r="C11" s="11" t="n">
        <v>20</v>
      </c>
      <c r="D11" s="4" t="inlineStr">
        <is>
          <t>Tabla, cuchillo cebollero, puntilla, báscula</t>
        </is>
      </c>
      <c r="E11" s="4" t="inlineStr">
        <is>
          <t>Corte regular, dentro de peso en los seis medallones y merma por debajo del objetivo de la partida, a ritmo</t>
        </is>
      </c>
      <c r="F11" s="4" t="inlineStr">
        <is>
          <t>Corte irregular, medallones fuera de peso y merma por encima del doble del objetivo</t>
        </is>
      </c>
      <c r="G11" s="15" t="inlineStr"/>
      <c r="H11" s="12" t="inlineStr"/>
    </row>
    <row r="12" ht="58" customHeight="1">
      <c r="A12" s="7" t="inlineStr">
        <is>
          <t>Cocciones y puntos</t>
        </is>
      </c>
      <c r="B12" s="4" t="inlineStr">
        <is>
          <t>Marcar y terminar dos solomillos: uno al punto y otro poco hecho, con sonda a la vista del evaluador</t>
        </is>
      </c>
      <c r="C12" s="11" t="n">
        <v>25</v>
      </c>
      <c r="D12" s="4" t="inlineStr">
        <is>
          <t>Plancha, horno, sonda calibrada</t>
        </is>
      </c>
      <c r="E12" s="4" t="inlineStr">
        <is>
          <t>Los dos puntos clavados con menos de 2 °C de desviación y reposo respetado</t>
        </is>
      </c>
      <c r="F12" s="4" t="inlineStr">
        <is>
          <t>Los dos puntos fuera y sin usar la sonda</t>
        </is>
      </c>
      <c r="G12" s="15" t="inlineStr"/>
      <c r="H12" s="12" t="inlineStr"/>
    </row>
    <row r="13" ht="58" customHeight="1">
      <c r="A13" s="7" t="inlineStr">
        <is>
          <t>Fondos, salsas y bases</t>
        </is>
      </c>
      <c r="B13" s="4" t="inlineStr">
        <is>
          <t>Elaborar la salsa de Pedro Ximénez de la ficha de P1 a partir del fondo del día</t>
        </is>
      </c>
      <c r="C13" s="11" t="n">
        <v>30</v>
      </c>
      <c r="D13" s="4" t="inlineStr">
        <is>
          <t>Rondon, chino, ficha técnica del plato</t>
        </is>
      </c>
      <c r="E13" s="4" t="inlineStr">
        <is>
          <t>Ligazón, sazón y acidez de la ficha, colada y enfriada según conservación</t>
        </is>
      </c>
      <c r="F13" s="4" t="inlineStr">
        <is>
          <t>Salsa desligada o quemada, o sin enfriar según el procedimiento</t>
        </is>
      </c>
      <c r="G13" s="15" t="inlineStr"/>
      <c r="H13" s="12" t="inlineStr"/>
    </row>
    <row r="14" ht="58" customHeight="1">
      <c r="A14" s="7" t="inlineStr">
        <is>
          <t>Emplatado y montaje</t>
        </is>
      </c>
      <c r="B14" s="4" t="inlineStr">
        <is>
          <t>Montar tres raciones seguidas del plato P1 con la foto de la ficha tapada</t>
        </is>
      </c>
      <c r="C14" s="11" t="n">
        <v>15</v>
      </c>
      <c r="D14" s="4" t="inlineStr">
        <is>
          <t>Vajilla de servicio, ficha con la foto tapada</t>
        </is>
      </c>
      <c r="E14" s="4" t="inlineStr">
        <is>
          <t>Los tres platos idénticos entre si y a la foto, en menos de 3 minutos cada uno</t>
        </is>
      </c>
      <c r="F14" s="4" t="inlineStr">
        <is>
          <t>Los tres platos distintos entre si o fuera del montaje de la ficha</t>
        </is>
      </c>
      <c r="G14" s="15" t="inlineStr"/>
      <c r="H14" s="12" t="inlineStr"/>
    </row>
    <row r="15" ht="58" customHeight="1">
      <c r="A15" s="7" t="inlineStr">
        <is>
          <t>Higiene de manipulación y APPCC en el puesto</t>
        </is>
      </c>
      <c r="B15" s="4" t="inlineStr">
        <is>
          <t>Recepción simulada de un pedido de pescado y carne: comprobación, etiquetado y registro hasta cámara</t>
        </is>
      </c>
      <c r="C15" s="11" t="n">
        <v>20</v>
      </c>
      <c r="D15" s="4" t="inlineStr">
        <is>
          <t>Termómetro, etiquetas, hojas de registro del plan APPCC</t>
        </is>
      </c>
      <c r="E15" s="4" t="inlineStr">
        <is>
          <t>Comprueba temperatura y etiquetado, rechaza lo que procede, registra y coloca por orden de caducidad</t>
        </is>
      </c>
      <c r="F15" s="4" t="inlineStr">
        <is>
          <t>No mide temperatura, no registra o rompe el orden de caducidad</t>
        </is>
      </c>
      <c r="G15" s="15" t="inlineStr"/>
      <c r="H15" s="12" t="inlineStr"/>
    </row>
    <row r="16" ht="58" customHeight="1">
      <c r="A16" s="7" t="inlineStr">
        <is>
          <t>Conocimiento y aplicación de la ficha técnica</t>
        </is>
      </c>
      <c r="B16" s="4" t="inlineStr">
        <is>
          <t>Ejecutar un plato de otra partida solo con la ficha delante</t>
        </is>
      </c>
      <c r="C16" s="11" t="n">
        <v>30</v>
      </c>
      <c r="D16" s="4" t="inlineStr">
        <is>
          <t>Ficha técnica del plato, mise en place estándar</t>
        </is>
      </c>
      <c r="E16" s="4" t="inlineStr">
        <is>
          <t>Sale igual que el de la partida titular, con gramajes y tiempos de la ficha</t>
        </is>
      </c>
      <c r="F16" s="4" t="inlineStr">
        <is>
          <t>Se aparta de gramajes o tiempos sin darse cuenta</t>
        </is>
      </c>
      <c r="G16" s="15" t="inlineStr"/>
      <c r="H16" s="12" t="inlineStr"/>
    </row>
    <row r="17" ht="58" customHeight="1">
      <c r="A17" s="7" t="inlineStr">
        <is>
          <t>Gestión de la merma de su partida</t>
        </is>
      </c>
      <c r="B17" s="4" t="inlineStr">
        <is>
          <t>Analizar la serie de cuatro semanas de merma de su partida y proponer dos acciones con su ahorro estimado</t>
        </is>
      </c>
      <c r="C17" s="11" t="n">
        <v>20</v>
      </c>
      <c r="D17" s="4" t="inlineStr">
        <is>
          <t>Cuadro de mando de cocina, hoja de la partida</t>
        </is>
      </c>
      <c r="E17" s="4" t="inlineStr">
        <is>
          <t>Identifica la causa real, propone dos acciones concretas y estima el ahorro con la herramienta</t>
        </is>
      </c>
      <c r="F17" s="4" t="inlineStr">
        <is>
          <t>No sabe cuál es el objetivo de su partida ni de dónde sale su merma</t>
        </is>
      </c>
      <c r="G17" s="15" t="inlineStr"/>
      <c r="H17" s="12" t="inlineStr"/>
    </row>
    <row r="18">
      <c r="A18" s="9" t="inlineStr">
        <is>
          <t>Duración total de la prueba (minutos)</t>
        </is>
      </c>
      <c r="C18" s="16">
        <f>IF(COUNT($C$11:$C$17)=0,"",SUM($C$11:$C$17))</f>
        <v>160.0</v>
      </c>
    </row>
    <row r="19">
      <c r="A19" s="9" t="inlineStr">
        <is>
          <t>Media SIMPLE de la prueba (sin pesos)</t>
        </is>
      </c>
      <c r="G19" s="24">
        <f>IFERROR(IF(COUNT($G$11:$G$17)=0,"",AVERAGE($G$11:$G$17)),"")</f>
        <v/>
      </c>
    </row>
    <row r="20"/>
    <row r="21" ht="30" customHeight="1">
      <c r="A21" s="8" t="inlineStr">
        <is>
          <t>Esta media es SIMPLE y sólo sirve para verla de un vistazo al terminar. La nota que cuenta es la ponderada de la hoja «Rúbrica de Competencias», que pesa cada competencia según el puesto: para un ayudante, los cortes pesan más que las salsas.</t>
        </is>
      </c>
    </row>
    <row r="22" ht="30" customHeight="1">
      <c r="A22" s="8" t="inlineStr">
        <is>
          <t>Las puntuaciones de esta hoja se pasan A MANO a la hoja de evaluación. Es a propósito: la prueba se hace con una persona delante y la evaluación se cierra después, revisando lo que se apuntó.</t>
        </is>
      </c>
    </row>
    <row r="23"/>
    <row r="24">
      <c r="A24"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2:H22"/>
    <mergeCell ref="A3:H3"/>
    <mergeCell ref="A21:H21"/>
  </mergeCells>
  <dataValidations count="2">
    <dataValidation sqref="G11 G12 G13 G14 G15 G16 G17" showDropDown="0" showInputMessage="0" showErrorMessage="1" allowBlank="1" errorTitle="Puntuación" error="Puntúa de 1 a 5. Deja la celda vacía si la competencia no aplica." type="decimal" operator="between">
      <formula1>1</formula1>
      <formula2>5</formula2>
    </dataValidation>
    <dataValidation sqref="B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2"/>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46" customWidth="1" min="3" max="3"/>
    <col width="40" customWidth="1" min="4" max="4"/>
    <col width="54" customWidth="1" min="5" max="5"/>
    <col width="14" customWidth="1" min="6" max="6"/>
    <col width="15" customWidth="1" min="7" max="7"/>
    <col width="14" customWidth="1" min="8" max="8"/>
    <col width="13" customWidth="1" min="9" max="9"/>
    <col width="24" customWidth="1" min="10" max="10"/>
    <col width="46" customWidth="1" min="11" max="11"/>
  </cols>
  <sheetData>
    <row r="1" ht="30" customHeight="1">
      <c r="A1" s="1" t="inlineStr">
        <is>
          <t>Plan de desarrollo individual</t>
        </is>
      </c>
    </row>
    <row r="2">
      <c r="A2" t="inlineStr">
        <is>
          <t>AI Chef Pro · aichef.pro — Manual del Chef Ejecutivo</t>
        </is>
      </c>
    </row>
    <row r="3" ht="26" customHeight="1">
      <c r="A3" s="8" t="inlineStr">
        <is>
          <t>Qué va a trabajar cada persona, con quién y para cuándo. Sale de la evaluación técnica, no de una conversación de pasillo.</t>
        </is>
      </c>
    </row>
    <row r="4"/>
    <row r="5">
      <c r="A5" s="9" t="inlineStr">
        <is>
          <t>Fecha de control</t>
        </is>
      </c>
      <c r="C5" s="22" t="n">
        <v>46271</v>
      </c>
      <c r="D5" s="8" t="inlineStr">
        <is>
          <t>Cámbiala y se recalculan los días que quedan para cada fecha objetivo.</t>
        </is>
      </c>
    </row>
    <row r="6"/>
    <row r="7"/>
    <row r="8" ht="44" customHeight="1">
      <c r="A8" s="6" t="inlineStr">
        <is>
          <t>Id</t>
        </is>
      </c>
      <c r="B8" s="6" t="inlineStr">
        <is>
          <t>Persona</t>
        </is>
      </c>
      <c r="C8" s="6" t="inlineStr">
        <is>
          <t>Objetivo</t>
        </is>
      </c>
      <c r="D8" s="6" t="inlineStr">
        <is>
          <t>Competencias a trabajar</t>
        </is>
      </c>
      <c r="E8" s="6" t="inlineStr">
        <is>
          <t>Acciones</t>
        </is>
      </c>
      <c r="F8" s="6" t="inlineStr">
        <is>
          <t>Responsable</t>
        </is>
      </c>
      <c r="G8" s="6" t="inlineStr">
        <is>
          <t>Fecha objetivo</t>
        </is>
      </c>
      <c r="H8" s="6" t="inlineStr">
        <is>
          <t>Estado</t>
        </is>
      </c>
      <c r="I8" s="6" t="inlineStr">
        <is>
          <t>Días restantes</t>
        </is>
      </c>
      <c r="J8" s="6" t="inlineStr">
        <is>
          <t>Próxima partida a aprender</t>
        </is>
      </c>
      <c r="K8" s="6" t="inlineStr">
        <is>
          <t>Remite a</t>
        </is>
      </c>
    </row>
    <row r="9" ht="54" customHeight="1">
      <c r="A9" s="5" t="inlineStr">
        <is>
          <t>P06</t>
        </is>
      </c>
      <c r="B9" s="5" t="inlineStr">
        <is>
          <t>Omar B.</t>
        </is>
      </c>
      <c r="C9" s="12" t="inlineStr">
        <is>
          <t>Sostener la partida de fríos en un servicio de 75 cubiertos (nivel 2)</t>
        </is>
      </c>
      <c r="D9" s="12" t="inlineStr">
        <is>
          <t>Cortes y manejo de cuchillo; Conocimiento y aplicación de la ficha técnica; Gestión de la merma de su partida</t>
        </is>
      </c>
      <c r="E9" s="12" t="inlineStr">
        <is>
          <t>Dos servicios por semana en fríos con P05 al lado; ejecutar los cuatro entrantes con la ficha delante; anotar merma a diario durante seis semanas</t>
        </is>
      </c>
      <c r="F9" s="13" t="inlineStr">
        <is>
          <t>P05</t>
        </is>
      </c>
      <c r="G9" s="22" t="n">
        <v>46310</v>
      </c>
      <c r="H9" s="13" t="inlineStr">
        <is>
          <t>En curso</t>
        </is>
      </c>
      <c r="I9" s="14">
        <f>IFERROR(IF(OR($G9="",$C$5=""),"",$G9-$C$5),"")</f>
        <v>39.0</v>
      </c>
      <c r="J9" s="12" t="inlineStr">
        <is>
          <t>Fríos y entrantes</t>
        </is>
      </c>
      <c r="K9" s="12" t="inlineStr">
        <is>
          <t>Plan de Cross-Training del Manual del Manager, fila 1</t>
        </is>
      </c>
    </row>
    <row r="10" ht="54" customHeight="1">
      <c r="A10" s="5" t="inlineStr">
        <is>
          <t>P12</t>
        </is>
      </c>
      <c r="B10" s="5" t="inlineStr">
        <is>
          <t>Andrés P.</t>
        </is>
      </c>
      <c r="C10" s="12" t="inlineStr">
        <is>
          <t>Cubrir el pase en caliente a nivel 2 antes de la temporada alta</t>
        </is>
      </c>
      <c r="D10" s="12" t="inlineStr">
        <is>
          <t>Cortes y manejo de cuchillo; Cocciones y puntos; Higiene de manipulación y APPCC en el puesto</t>
        </is>
      </c>
      <c r="E10" s="12" t="inlineStr">
        <is>
          <t>Rotación de dos servicios por semana en pase; prueba práctica de cortes y de puntos en enero</t>
        </is>
      </c>
      <c r="F10" s="13" t="inlineStr">
        <is>
          <t>P04</t>
        </is>
      </c>
      <c r="G10" s="22" t="n">
        <v>46418</v>
      </c>
      <c r="H10" s="13" t="inlineStr">
        <is>
          <t>Planificado</t>
        </is>
      </c>
      <c r="I10" s="14">
        <f>IFERROR(IF(OR($G10="",$C$5=""),"",$G10-$C$5),"")</f>
        <v>147.0</v>
      </c>
      <c r="J10" s="12" t="inlineStr">
        <is>
          <t>Pase y caliente</t>
        </is>
      </c>
      <c r="K10" s="12" t="inlineStr">
        <is>
          <t>Plan de Cross-Training del Manual del Manager, fila 7</t>
        </is>
      </c>
    </row>
    <row r="11" ht="54" customHeight="1">
      <c r="A11" s="5" t="inlineStr">
        <is>
          <t>P05</t>
        </is>
      </c>
      <c r="B11" s="5" t="inlineStr">
        <is>
          <t>Laura S.</t>
        </is>
      </c>
      <c r="C11" s="12" t="inlineStr">
        <is>
          <t>Subir de 3 a 4 en gestión de la merma de su partida tras el verano</t>
        </is>
      </c>
      <c r="D11" s="12" t="inlineStr">
        <is>
          <t>Gestión de la merma de su partida</t>
        </is>
      </c>
      <c r="E11" s="12" t="inlineStr">
        <is>
          <t>Analizar las semanas 33, 34 y 35 con el cuadro de mando; fijar producción diaria de fríos con la lista de producción; revisión quincenal con el jefe de cocina</t>
        </is>
      </c>
      <c r="F11" s="13" t="inlineStr">
        <is>
          <t>P02</t>
        </is>
      </c>
      <c r="G11" s="22" t="n">
        <v>46356</v>
      </c>
      <c r="H11" s="13" t="inlineStr">
        <is>
          <t>En curso</t>
        </is>
      </c>
      <c r="I11" s="14">
        <f>IFERROR(IF(OR($G11="",$C$5=""),"",$G11-$C$5),"")</f>
        <v>85.0</v>
      </c>
      <c r="J11" s="12" t="inlineStr"/>
      <c r="K11" s="12" t="inlineStr">
        <is>
          <t>Cuadro de mando de cocina, hoja Semana</t>
        </is>
      </c>
    </row>
    <row r="12" ht="54" customHeight="1">
      <c r="A12" s="5" t="inlineStr">
        <is>
          <t>P04</t>
        </is>
      </c>
      <c r="B12" s="5" t="inlineStr">
        <is>
          <t>Diego M.</t>
        </is>
      </c>
      <c r="C12" s="12" t="inlineStr">
        <is>
          <t>Preparar el paso a jefe de partida de caliente</t>
        </is>
      </c>
      <c r="D12" s="12" t="inlineStr">
        <is>
          <t>Emplatado y montaje; Gestión de la merma de su partida</t>
        </is>
      </c>
      <c r="E12" s="12" t="inlineStr">
        <is>
          <t>Llevar el pase de los viernes y sábados; escribir dos fichas técnicas nuevas de la carta de otoño; presentar el informe de merma de su partida en la reunión mensual</t>
        </is>
      </c>
      <c r="F12" s="13" t="inlineStr">
        <is>
          <t>P02</t>
        </is>
      </c>
      <c r="G12" s="22" t="n">
        <v>46477</v>
      </c>
      <c r="H12" s="13" t="inlineStr">
        <is>
          <t>Planificado</t>
        </is>
      </c>
      <c r="I12" s="14">
        <f>IFERROR(IF(OR($G12="",$C$5=""),"",$G12-$C$5),"")</f>
        <v>206.0</v>
      </c>
      <c r="J12" s="12" t="inlineStr">
        <is>
          <t>Fríos y entrantes</t>
        </is>
      </c>
      <c r="K12" s="12" t="inlineStr">
        <is>
          <t>Fichas de puesto del libro de brigada, «Jefe/a de partida»</t>
        </is>
      </c>
    </row>
    <row r="13" ht="54" customHeight="1">
      <c r="A13" s="5" t="inlineStr"/>
      <c r="B13" s="5" t="inlineStr"/>
      <c r="C13" s="12" t="inlineStr"/>
      <c r="D13" s="12" t="inlineStr"/>
      <c r="E13" s="12" t="inlineStr"/>
      <c r="F13" s="13" t="inlineStr"/>
      <c r="G13" s="22" t="inlineStr"/>
      <c r="H13" s="13" t="inlineStr"/>
      <c r="I13" s="14">
        <f>IFERROR(IF(OR($G13="",$C$5=""),"",$G13-$C$5),"")</f>
        <v/>
      </c>
      <c r="J13" s="12" t="inlineStr"/>
      <c r="K13" s="12" t="inlineStr"/>
    </row>
    <row r="14" ht="54" customHeight="1">
      <c r="A14" s="5" t="inlineStr"/>
      <c r="B14" s="5" t="inlineStr"/>
      <c r="C14" s="12" t="inlineStr"/>
      <c r="D14" s="12" t="inlineStr"/>
      <c r="E14" s="12" t="inlineStr"/>
      <c r="F14" s="13" t="inlineStr"/>
      <c r="G14" s="22" t="inlineStr"/>
      <c r="H14" s="13" t="inlineStr"/>
      <c r="I14" s="14">
        <f>IFERROR(IF(OR($G14="",$C$5=""),"",$G14-$C$5),"")</f>
        <v/>
      </c>
      <c r="J14" s="12" t="inlineStr"/>
      <c r="K14" s="12" t="inlineStr"/>
    </row>
    <row r="15" ht="54" customHeight="1">
      <c r="A15" s="5" t="inlineStr"/>
      <c r="B15" s="5" t="inlineStr"/>
      <c r="C15" s="12" t="inlineStr"/>
      <c r="D15" s="12" t="inlineStr"/>
      <c r="E15" s="12" t="inlineStr"/>
      <c r="F15" s="13" t="inlineStr"/>
      <c r="G15" s="22" t="inlineStr"/>
      <c r="H15" s="13" t="inlineStr"/>
      <c r="I15" s="14">
        <f>IFERROR(IF(OR($G15="",$C$5=""),"",$G15-$C$5),"")</f>
        <v/>
      </c>
      <c r="J15" s="12" t="inlineStr"/>
      <c r="K15" s="12" t="inlineStr"/>
    </row>
    <row r="16" ht="54" customHeight="1">
      <c r="A16" s="5" t="inlineStr"/>
      <c r="B16" s="5" t="inlineStr"/>
      <c r="C16" s="12" t="inlineStr"/>
      <c r="D16" s="12" t="inlineStr"/>
      <c r="E16" s="12" t="inlineStr"/>
      <c r="F16" s="13" t="inlineStr"/>
      <c r="G16" s="22" t="inlineStr"/>
      <c r="H16" s="13" t="inlineStr"/>
      <c r="I16" s="14">
        <f>IFERROR(IF(OR($G16="",$C$5=""),"",$G16-$C$5),"")</f>
        <v/>
      </c>
      <c r="J16" s="12" t="inlineStr"/>
      <c r="K16" s="12" t="inlineStr"/>
    </row>
    <row r="17" ht="54" customHeight="1">
      <c r="A17" s="5" t="inlineStr"/>
      <c r="B17" s="5" t="inlineStr"/>
      <c r="C17" s="12" t="inlineStr"/>
      <c r="D17" s="12" t="inlineStr"/>
      <c r="E17" s="12" t="inlineStr"/>
      <c r="F17" s="13" t="inlineStr"/>
      <c r="G17" s="22" t="inlineStr"/>
      <c r="H17" s="13" t="inlineStr"/>
      <c r="I17" s="14">
        <f>IFERROR(IF(OR($G17="",$C$5=""),"",$G17-$C$5),"")</f>
        <v/>
      </c>
      <c r="J17" s="12" t="inlineStr"/>
      <c r="K17" s="12" t="inlineStr"/>
    </row>
    <row r="18" ht="54" customHeight="1">
      <c r="A18" s="5" t="inlineStr"/>
      <c r="B18" s="5" t="inlineStr"/>
      <c r="C18" s="12" t="inlineStr"/>
      <c r="D18" s="12" t="inlineStr"/>
      <c r="E18" s="12" t="inlineStr"/>
      <c r="F18" s="13" t="inlineStr"/>
      <c r="G18" s="22" t="inlineStr"/>
      <c r="H18" s="13" t="inlineStr"/>
      <c r="I18" s="14">
        <f>IFERROR(IF(OR($G18="",$C$5=""),"",$G18-$C$5),"")</f>
        <v/>
      </c>
      <c r="J18" s="12" t="inlineStr"/>
      <c r="K18" s="12" t="inlineStr"/>
    </row>
    <row r="19"/>
    <row r="20" ht="20" customHeight="1">
      <c r="A20" s="6" t="inlineStr">
        <is>
          <t>Estado</t>
        </is>
      </c>
      <c r="B20" s="18" t="n"/>
      <c r="C20" s="6" t="inlineStr">
        <is>
          <t>Cuándo se marca</t>
        </is>
      </c>
      <c r="D20" s="18" t="n"/>
      <c r="E20" s="18" t="n"/>
      <c r="F20" s="18" t="n"/>
      <c r="G20" s="18" t="n"/>
      <c r="H20" s="18" t="n"/>
      <c r="I20" s="18" t="n"/>
      <c r="J20" s="18" t="n"/>
      <c r="K20" s="18" t="n"/>
    </row>
    <row r="21" ht="22" customHeight="1">
      <c r="A21" s="9" t="inlineStr">
        <is>
          <t>Planificado</t>
        </is>
      </c>
      <c r="C21" s="4" t="inlineStr">
        <is>
          <t>Está escrito y tiene fecha, pero todavía no ha empezado.</t>
        </is>
      </c>
    </row>
    <row r="22" ht="22" customHeight="1">
      <c r="A22" s="9" t="inlineStr">
        <is>
          <t>En curso</t>
        </is>
      </c>
      <c r="C22" s="4" t="inlineStr">
        <is>
          <t>Ya se está trabajando: hay rotaciones hechas o formación en marcha.</t>
        </is>
      </c>
    </row>
    <row r="23" ht="22" customHeight="1">
      <c r="A23" s="9" t="inlineStr">
        <is>
          <t>Cerrado</t>
        </is>
      </c>
      <c r="C23" s="4" t="inlineStr">
        <is>
          <t>Se ha alcanzado el objetivo y hay una prueba práctica que lo respalda.</t>
        </is>
      </c>
    </row>
    <row r="24"/>
    <row r="25">
      <c r="A25" s="9" t="inlineStr">
        <is>
          <t>Planes en estado «Planificado»</t>
        </is>
      </c>
      <c r="C25" s="25">
        <f>IFERROR(COUNTIF($H$9:$H$18,$A$21),"")</f>
        <v>2.0</v>
      </c>
    </row>
    <row r="26">
      <c r="A26" s="26" t="inlineStr">
        <is>
          <t>Planes en estado «En curso»</t>
        </is>
      </c>
      <c r="C26" s="25">
        <f>IFERROR(COUNTIF($H$9:$H$18,$A$22),"")</f>
        <v>2.0</v>
      </c>
    </row>
    <row r="27">
      <c r="A27" s="26" t="inlineStr">
        <is>
          <t>Planes en estado «Cerrado»</t>
        </is>
      </c>
      <c r="C27" s="25">
        <f>IFERROR(COUNTIF($H$9:$H$18,$A$23),"")</f>
        <v>0.0</v>
      </c>
    </row>
    <row r="28"/>
    <row r="29" ht="32" customHeight="1">
      <c r="A29" s="8" t="inlineStr">
        <is>
          <t>La columna «Remite a» es texto a propósito: este libro NO enlaza con el Plan de Cross-Training del «Manual del Manager de Restaurante», lo cita con su fila. Un enlace entre ficheros se rompe en cuanto alguien mueve una carpeta, y entonces el plan miente sin avisar.</t>
        </is>
      </c>
    </row>
    <row r="30" ht="32" customHeight="1">
      <c r="A30" s="8" t="inlineStr">
        <is>
          <t>«Próxima partida a aprender» es la partida que esa persona tiene en marcha en el plan de cross-training. Si la celda va vacía es que esa persona no tiene ninguna rotación abierta, no que no pueda aprender.</t>
        </is>
      </c>
    </row>
    <row r="31"/>
    <row r="32">
      <c r="A32"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C21:K21"/>
    <mergeCell ref="A23:B23"/>
    <mergeCell ref="A25:B25"/>
    <mergeCell ref="A30:K30"/>
    <mergeCell ref="C23:K23"/>
    <mergeCell ref="A5:B5"/>
    <mergeCell ref="C20:K20"/>
    <mergeCell ref="A3:K3"/>
    <mergeCell ref="A21:B21"/>
    <mergeCell ref="A27:B27"/>
    <mergeCell ref="C22:K22"/>
    <mergeCell ref="A20:B20"/>
    <mergeCell ref="A29:K29"/>
    <mergeCell ref="A22:B22"/>
    <mergeCell ref="A26:B26"/>
    <mergeCell ref="D5:K5"/>
  </mergeCells>
  <conditionalFormatting sqref="I9:I18">
    <cfRule type="expression" priority="1" dxfId="1" stopIfTrue="1">
      <formula>=AND(ISNUMBER($I9),$I9&lt;0)</formula>
    </cfRule>
  </conditionalFormatting>
  <dataValidations count="2">
    <dataValidation sqref="H9 H10 H11 H12 H13 H14 H15 H16 H17 H18" showDropDown="0" showInputMessage="0" showErrorMessage="1" allowBlank="1" errorTitle="Estado del plan" error="Elige un estado de la lista." type="list">
      <formula1>'Plan de Desarrollo Individual'!$A$21:$A$23</formula1>
    </dataValidation>
    <dataValidation sqref="C5 G9 G10 G11 G12 G13 G14 G15 G16 G17 G18"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32"/>
  <sheetViews>
    <sheetView workbookViewId="0">
      <pane ySplit="5" topLeftCell="A6" activePane="bottomLeft" state="frozen"/>
      <selection pane="bottomLeft" activeCell="A1" sqref="A1"/>
    </sheetView>
  </sheetViews>
  <sheetFormatPr baseColWidth="8" defaultRowHeight="15"/>
  <cols>
    <col width="15" customWidth="1" min="1" max="1"/>
    <col width="8" customWidth="1" min="2" max="2"/>
    <col width="16" customWidth="1" min="3" max="3"/>
    <col width="30" customWidth="1" min="4" max="4"/>
    <col width="15" customWidth="1" min="5" max="5"/>
    <col width="12" customWidth="1" min="6" max="6"/>
    <col width="14" customWidth="1" min="7" max="7"/>
    <col width="54" customWidth="1" min="8" max="8"/>
  </cols>
  <sheetData>
    <row r="1" ht="30" customHeight="1">
      <c r="A1" s="1" t="inlineStr">
        <is>
          <t>Histórico de evaluaciones</t>
        </is>
      </c>
    </row>
    <row r="2">
      <c r="A2" t="inlineStr">
        <is>
          <t>AI Chef Pro · aichef.pro — Manual del Chef Ejecutivo</t>
        </is>
      </c>
    </row>
    <row r="3" ht="26" customHeight="1">
      <c r="A3" s="8" t="inlineStr">
        <is>
          <t>Una línea por evaluación y por persona. La primera ronda no dice nada; la segunda enseña quién ha crecido y quién lleva año y medio en el mismo sitio.</t>
        </is>
      </c>
    </row>
    <row r="4"/>
    <row r="5" ht="32" customHeight="1">
      <c r="A5" s="6" t="inlineStr">
        <is>
          <t>Fecha</t>
        </is>
      </c>
      <c r="B5" s="6" t="inlineStr">
        <is>
          <t>Id</t>
        </is>
      </c>
      <c r="C5" s="6" t="inlineStr">
        <is>
          <t>Persona</t>
        </is>
      </c>
      <c r="D5" s="6" t="inlineStr">
        <is>
          <t>Puesto de la rúbrica</t>
        </is>
      </c>
      <c r="E5" s="6" t="inlineStr">
        <is>
          <t>Media ponderada</t>
        </is>
      </c>
      <c r="F5" s="6" t="inlineStr">
        <is>
          <t>Nivel técnico</t>
        </is>
      </c>
      <c r="G5" s="6" t="inlineStr">
        <is>
          <t>Evaluador</t>
        </is>
      </c>
      <c r="H5" s="6" t="inlineStr">
        <is>
          <t>Qué se acordó</t>
        </is>
      </c>
    </row>
    <row r="6" ht="26" customHeight="1">
      <c r="A6" s="22" t="n">
        <v>46267</v>
      </c>
      <c r="B6" s="13" t="inlineStr">
        <is>
          <t>P01</t>
        </is>
      </c>
      <c r="C6" s="5" t="inlineStr">
        <is>
          <t>Marta L.</t>
        </is>
      </c>
      <c r="D6" s="12" t="inlineStr">
        <is>
          <t>Ayudante/a de cocina</t>
        </is>
      </c>
      <c r="E6" s="23">
        <f>IFERROR(IF('Rúbrica de Competencias'!$M34="","",'Rúbrica de Competencias'!$M34),"")</f>
        <v>2.6666666666666665</v>
      </c>
      <c r="F6" s="14">
        <f>IFERROR(IF('Rúbrica de Competencias'!$N34="","",'Rúbrica de Competencias'!$N34),"")</f>
        <v>1.0</v>
      </c>
      <c r="G6" s="13" t="inlineStr">
        <is>
          <t>P02</t>
        </is>
      </c>
      <c r="H6" s="12" t="inlineStr"/>
    </row>
    <row r="7" ht="26" customHeight="1">
      <c r="A7" s="22" t="n">
        <v>46266</v>
      </c>
      <c r="B7" s="13" t="inlineStr">
        <is>
          <t>P02</t>
        </is>
      </c>
      <c r="C7" s="5" t="inlineStr">
        <is>
          <t>Iván R.</t>
        </is>
      </c>
      <c r="D7" s="12" t="inlineStr">
        <is>
          <t>Jefe/a de cocina</t>
        </is>
      </c>
      <c r="E7" s="23">
        <f>IFERROR(IF('Rúbrica de Competencias'!$M35="","",'Rúbrica de Competencias'!$M35),"")</f>
        <v>4.6</v>
      </c>
      <c r="F7" s="14">
        <f>IFERROR(IF('Rúbrica de Competencias'!$N35="","",'Rúbrica de Competencias'!$N35),"")</f>
        <v>3.0</v>
      </c>
      <c r="G7" s="13" t="inlineStr">
        <is>
          <t>Dirección</t>
        </is>
      </c>
      <c r="H7" s="12" t="inlineStr"/>
    </row>
    <row r="8" ht="26" customHeight="1">
      <c r="A8" s="22" t="n">
        <v>46267</v>
      </c>
      <c r="B8" s="13" t="inlineStr">
        <is>
          <t>P03</t>
        </is>
      </c>
      <c r="C8" s="5" t="inlineStr">
        <is>
          <t>Nuria C.</t>
        </is>
      </c>
      <c r="D8" s="12" t="inlineStr">
        <is>
          <t>Ayudante/a de cocina</t>
        </is>
      </c>
      <c r="E8" s="23">
        <f>IFERROR(IF('Rúbrica de Competencias'!$M36="","",'Rúbrica de Competencias'!$M36),"")</f>
        <v>2.6666666666666665</v>
      </c>
      <c r="F8" s="14">
        <f>IFERROR(IF('Rúbrica de Competencias'!$N36="","",'Rúbrica de Competencias'!$N36),"")</f>
        <v>1.0</v>
      </c>
      <c r="G8" s="13" t="inlineStr">
        <is>
          <t>P02</t>
        </is>
      </c>
      <c r="H8" s="12" t="inlineStr"/>
    </row>
    <row r="9" ht="26" customHeight="1">
      <c r="A9" s="22" t="n">
        <v>46266</v>
      </c>
      <c r="B9" s="13" t="inlineStr">
        <is>
          <t>P04</t>
        </is>
      </c>
      <c r="C9" s="5" t="inlineStr">
        <is>
          <t>Diego M.</t>
        </is>
      </c>
      <c r="D9" s="12" t="inlineStr">
        <is>
          <t>Cocinero/a</t>
        </is>
      </c>
      <c r="E9" s="23">
        <f>IFERROR(IF('Rúbrica de Competencias'!$M37="","",'Rúbrica de Competencias'!$M37),"")</f>
        <v>3.8947368421052633</v>
      </c>
      <c r="F9" s="14">
        <f>IFERROR(IF('Rúbrica de Competencias'!$N37="","",'Rúbrica de Competencias'!$N37),"")</f>
        <v>3.0</v>
      </c>
      <c r="G9" s="13" t="inlineStr">
        <is>
          <t>P02</t>
        </is>
      </c>
      <c r="H9" s="12" t="inlineStr"/>
    </row>
    <row r="10" ht="26" customHeight="1">
      <c r="A10" s="22" t="n">
        <v>46266</v>
      </c>
      <c r="B10" s="13" t="inlineStr">
        <is>
          <t>P05</t>
        </is>
      </c>
      <c r="C10" s="5" t="inlineStr">
        <is>
          <t>Laura S.</t>
        </is>
      </c>
      <c r="D10" s="12" t="inlineStr">
        <is>
          <t>Cocinero/a</t>
        </is>
      </c>
      <c r="E10" s="23">
        <f>IFERROR(IF('Rúbrica de Competencias'!$M38="","",'Rúbrica de Competencias'!$M38),"")</f>
        <v>4.315789473684211</v>
      </c>
      <c r="F10" s="14">
        <f>IFERROR(IF('Rúbrica de Competencias'!$N38="","",'Rúbrica de Competencias'!$N38),"")</f>
        <v>3.0</v>
      </c>
      <c r="G10" s="13" t="inlineStr">
        <is>
          <t>P02</t>
        </is>
      </c>
      <c r="H10" s="12" t="inlineStr"/>
    </row>
    <row r="11" ht="26" customHeight="1">
      <c r="A11" s="22" t="n">
        <v>46267</v>
      </c>
      <c r="B11" s="13" t="inlineStr">
        <is>
          <t>P06</t>
        </is>
      </c>
      <c r="C11" s="5" t="inlineStr">
        <is>
          <t>Omar B.</t>
        </is>
      </c>
      <c r="D11" s="12" t="inlineStr">
        <is>
          <t>Ayudante/a de cocina</t>
        </is>
      </c>
      <c r="E11" s="23">
        <f>IFERROR(IF('Rúbrica de Competencias'!$M39="","",'Rúbrica de Competencias'!$M39),"")</f>
        <v>3.3125</v>
      </c>
      <c r="F11" s="14">
        <f>IFERROR(IF('Rúbrica de Competencias'!$N39="","",'Rúbrica de Competencias'!$N39),"")</f>
        <v>2.0</v>
      </c>
      <c r="G11" s="13" t="inlineStr">
        <is>
          <t>P02</t>
        </is>
      </c>
      <c r="H11" s="12" t="inlineStr"/>
    </row>
    <row r="12" ht="26" customHeight="1">
      <c r="A12" s="22" t="n">
        <v>46267</v>
      </c>
      <c r="B12" s="13" t="inlineStr">
        <is>
          <t>P07</t>
        </is>
      </c>
      <c r="C12" s="5" t="inlineStr">
        <is>
          <t>Rocío F.</t>
        </is>
      </c>
      <c r="D12" s="12" t="inlineStr">
        <is>
          <t>Ayudante/a de cocina</t>
        </is>
      </c>
      <c r="E12" s="23">
        <f>IFERROR(IF('Rúbrica de Competencias'!$M40="","",'Rúbrica de Competencias'!$M40),"")</f>
        <v>4.0</v>
      </c>
      <c r="F12" s="14">
        <f>IFERROR(IF('Rúbrica de Competencias'!$N40="","",'Rúbrica de Competencias'!$N40),"")</f>
        <v>3.0</v>
      </c>
      <c r="G12" s="13" t="inlineStr">
        <is>
          <t>P02</t>
        </is>
      </c>
      <c r="H12" s="12" t="inlineStr"/>
    </row>
    <row r="13" ht="26" customHeight="1">
      <c r="A13" s="22" t="n">
        <v>46268</v>
      </c>
      <c r="B13" s="13" t="inlineStr">
        <is>
          <t>P12</t>
        </is>
      </c>
      <c r="C13" s="5" t="inlineStr">
        <is>
          <t>Andrés P.</t>
        </is>
      </c>
      <c r="D13" s="12" t="inlineStr">
        <is>
          <t>Auxiliar de cocina y economato</t>
        </is>
      </c>
      <c r="E13" s="23">
        <f>IFERROR(IF('Rúbrica de Competencias'!$M45="","",'Rúbrica de Competencias'!$M45),"")</f>
        <v>2.75</v>
      </c>
      <c r="F13" s="14">
        <f>IFERROR(IF('Rúbrica de Competencias'!$N45="","",'Rúbrica de Competencias'!$N45),"")</f>
        <v>1.0</v>
      </c>
      <c r="G13" s="13" t="inlineStr">
        <is>
          <t>P02</t>
        </is>
      </c>
      <c r="H13" s="12" t="inlineStr"/>
    </row>
    <row r="14" ht="26" customHeight="1">
      <c r="A14" s="22" t="inlineStr"/>
      <c r="B14" s="5" t="inlineStr"/>
      <c r="C14" s="5" t="inlineStr"/>
      <c r="D14" s="12" t="inlineStr"/>
      <c r="E14" s="21" t="inlineStr"/>
      <c r="F14" s="10" t="inlineStr"/>
      <c r="G14" s="5" t="inlineStr"/>
      <c r="H14" s="12" t="inlineStr"/>
    </row>
    <row r="15" ht="26" customHeight="1">
      <c r="A15" s="22" t="inlineStr"/>
      <c r="B15" s="5" t="inlineStr"/>
      <c r="C15" s="5" t="inlineStr"/>
      <c r="D15" s="12" t="inlineStr"/>
      <c r="E15" s="21" t="inlineStr"/>
      <c r="F15" s="10" t="inlineStr"/>
      <c r="G15" s="5" t="inlineStr"/>
      <c r="H15" s="12" t="inlineStr"/>
    </row>
    <row r="16" ht="26" customHeight="1">
      <c r="A16" s="22" t="inlineStr"/>
      <c r="B16" s="5" t="inlineStr"/>
      <c r="C16" s="5" t="inlineStr"/>
      <c r="D16" s="12" t="inlineStr"/>
      <c r="E16" s="21" t="inlineStr"/>
      <c r="F16" s="10" t="inlineStr"/>
      <c r="G16" s="5" t="inlineStr"/>
      <c r="H16" s="12" t="inlineStr"/>
    </row>
    <row r="17" ht="26" customHeight="1">
      <c r="A17" s="22" t="inlineStr"/>
      <c r="B17" s="5" t="inlineStr"/>
      <c r="C17" s="5" t="inlineStr"/>
      <c r="D17" s="12" t="inlineStr"/>
      <c r="E17" s="21" t="inlineStr"/>
      <c r="F17" s="10" t="inlineStr"/>
      <c r="G17" s="5" t="inlineStr"/>
      <c r="H17" s="12" t="inlineStr"/>
    </row>
    <row r="18" ht="26" customHeight="1">
      <c r="A18" s="22" t="inlineStr"/>
      <c r="B18" s="5" t="inlineStr"/>
      <c r="C18" s="5" t="inlineStr"/>
      <c r="D18" s="12" t="inlineStr"/>
      <c r="E18" s="21" t="inlineStr"/>
      <c r="F18" s="10" t="inlineStr"/>
      <c r="G18" s="5" t="inlineStr"/>
      <c r="H18" s="12" t="inlineStr"/>
    </row>
    <row r="19" ht="26" customHeight="1">
      <c r="A19" s="22" t="inlineStr"/>
      <c r="B19" s="5" t="inlineStr"/>
      <c r="C19" s="5" t="inlineStr"/>
      <c r="D19" s="12" t="inlineStr"/>
      <c r="E19" s="21" t="inlineStr"/>
      <c r="F19" s="10" t="inlineStr"/>
      <c r="G19" s="5" t="inlineStr"/>
      <c r="H19" s="12" t="inlineStr"/>
    </row>
    <row r="20" ht="26" customHeight="1">
      <c r="A20" s="22" t="inlineStr"/>
      <c r="B20" s="5" t="inlineStr"/>
      <c r="C20" s="5" t="inlineStr"/>
      <c r="D20" s="12" t="inlineStr"/>
      <c r="E20" s="21" t="inlineStr"/>
      <c r="F20" s="10" t="inlineStr"/>
      <c r="G20" s="5" t="inlineStr"/>
      <c r="H20" s="12" t="inlineStr"/>
    </row>
    <row r="21" ht="26" customHeight="1">
      <c r="A21" s="22" t="inlineStr"/>
      <c r="B21" s="5" t="inlineStr"/>
      <c r="C21" s="5" t="inlineStr"/>
      <c r="D21" s="12" t="inlineStr"/>
      <c r="E21" s="21" t="inlineStr"/>
      <c r="F21" s="10" t="inlineStr"/>
      <c r="G21" s="5" t="inlineStr"/>
      <c r="H21" s="12" t="inlineStr"/>
    </row>
    <row r="22" ht="26" customHeight="1">
      <c r="A22" s="22" t="inlineStr"/>
      <c r="B22" s="5" t="inlineStr"/>
      <c r="C22" s="5" t="inlineStr"/>
      <c r="D22" s="12" t="inlineStr"/>
      <c r="E22" s="21" t="inlineStr"/>
      <c r="F22" s="10" t="inlineStr"/>
      <c r="G22" s="5" t="inlineStr"/>
      <c r="H22" s="12" t="inlineStr"/>
    </row>
    <row r="23" ht="26" customHeight="1">
      <c r="A23" s="22" t="inlineStr"/>
      <c r="B23" s="5" t="inlineStr"/>
      <c r="C23" s="5" t="inlineStr"/>
      <c r="D23" s="12" t="inlineStr"/>
      <c r="E23" s="21" t="inlineStr"/>
      <c r="F23" s="10" t="inlineStr"/>
      <c r="G23" s="5" t="inlineStr"/>
      <c r="H23" s="12" t="inlineStr"/>
    </row>
    <row r="24" ht="26" customHeight="1">
      <c r="A24" s="22" t="inlineStr"/>
      <c r="B24" s="5" t="inlineStr"/>
      <c r="C24" s="5" t="inlineStr"/>
      <c r="D24" s="12" t="inlineStr"/>
      <c r="E24" s="21" t="inlineStr"/>
      <c r="F24" s="10" t="inlineStr"/>
      <c r="G24" s="5" t="inlineStr"/>
      <c r="H24" s="12" t="inlineStr"/>
    </row>
    <row r="25" ht="26" customHeight="1">
      <c r="A25" s="22" t="inlineStr"/>
      <c r="B25" s="5" t="inlineStr"/>
      <c r="C25" s="5" t="inlineStr"/>
      <c r="D25" s="12" t="inlineStr"/>
      <c r="E25" s="21" t="inlineStr"/>
      <c r="F25" s="10" t="inlineStr"/>
      <c r="G25" s="5" t="inlineStr"/>
      <c r="H25" s="12" t="inlineStr"/>
    </row>
    <row r="26">
      <c r="A26" s="9" t="inlineStr">
        <is>
          <t>Evaluaciones registradas</t>
        </is>
      </c>
      <c r="E26" s="16">
        <f>IF(COUNT($E$6:$E$25)=0,"",COUNT($E$6:$E$25))</f>
        <v>8.0</v>
      </c>
    </row>
    <row r="27">
      <c r="A27" s="9" t="inlineStr">
        <is>
          <t>Media ponderada de la ronda</t>
        </is>
      </c>
      <c r="E27" s="24">
        <f>IFERROR(IF(COUNT($E$6:$E$25)=0,"",AVERAGE($E$6:$E$25)),"")</f>
        <v>3.5257949561403508</v>
      </c>
    </row>
    <row r="28"/>
    <row r="29" ht="40" customHeight="1">
      <c r="A29" s="8" t="inlineStr">
        <is>
          <t>Las filas de la primera ronda leen la media y el nivel de la hoja «Rúbrica de Competencias» de este mismo libro: si corriges una puntuación allí, aquí cambia sola. Las filas vacías de abajo son para las rondas siguientes, y ahí la media se escribe a mano cuando cierres la ronda y quieras conservar la anterior.</t>
        </is>
      </c>
    </row>
    <row r="30" ht="26" customHeight="1">
      <c r="A30" s="8" t="inlineStr">
        <is>
          <t>Guarda también lo que se acordó en la conversación: sin eso, la evaluación siguiente empieza discutiendo qué se dijo en la anterior.</t>
        </is>
      </c>
    </row>
    <row r="31"/>
    <row r="32">
      <c r="A32" s="19"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5">
    <mergeCell ref="A27:D27"/>
    <mergeCell ref="A30:H30"/>
    <mergeCell ref="A26:D26"/>
    <mergeCell ref="A29:H29"/>
    <mergeCell ref="A3:H3"/>
  </mergeCells>
  <dataValidations count="3">
    <dataValidation sqref="A6 A7 A8 A9 A10 A11 A12 A13 A14 A15 A16 A17 A18 A19 A20 A21 A22 A23 A24 A25" showDropDown="0" showInputMessage="0" showErrorMessage="1" allowBlank="1" errorTitle="Fecha no válida" error="Escribe una fecha (dd/mm/aaaa) entre 2020 y 2040." type="date" operator="between">
      <formula1>DATE(2020,1,1)</formula1>
      <formula2>DATE(2040,12,31)</formula2>
    </dataValidation>
    <dataValidation sqref="E14 E15 E16 E17 E18 E19 E20 E21 E22 E23 E24 E25" showDropDown="0" showInputMessage="0" showErrorMessage="1" allowBlank="1" errorTitle="Media" error="La media ponderada va de 1 a 5." type="decimal" operator="between">
      <formula1>0</formula1>
      <formula2>5</formula2>
    </dataValidation>
    <dataValidation sqref="F14 F15 F16 F17 F18 F19 F20 F21 F22 F23 F24 F25" showDropDown="0" showInputMessage="0" showErrorMessage="1" allowBlank="1" errorTitle="Nivel técnico" error="El nivel técnico va de 1 a 3." type="decimal" operator="between">
      <formula1>1</formula1>
      <formula2>3</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Brigada, puestos y evaluación técnica</dc:title>
  <dc:subject xmlns:dc="http://purl.org/dc/elements/1.1/">Manual del Chef Ejecutivo · v1.0</dc:subject>
  <dcterms:created xmlns:dcterms="http://purl.org/dc/terms/" xmlns:xsi="http://www.w3.org/2001/XMLSchema-instance" xsi:type="dcterms:W3CDTF">2026-09-06T16:13:33Z</dcterms:created>
  <dcterms:modified xmlns:dcterms="http://purl.org/dc/terms/" xmlns:xsi="http://www.w3.org/2001/XMLSchema-instance" xsi:type="dcterms:W3CDTF">2026-09-06T16:13:33Z</dcterms:modified>
  <cp:lastModifiedBy>AI Chef Pro</cp:lastModifiedBy>
</cp:coreProperties>
</file>