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evisión de Cubiertos" sheetId="2" state="visible" r:id="rId2"/>
    <sheet xmlns:r="http://schemas.openxmlformats.org/officeDocument/2006/relationships" name="Producción por Partida" sheetId="3" state="visible" r:id="rId3"/>
    <sheet xmlns:r="http://schemas.openxmlformats.org/officeDocument/2006/relationships" name="Lista de Producción Diaria" sheetId="4" state="visible" r:id="rId4"/>
    <sheet xmlns:r="http://schemas.openxmlformats.org/officeDocument/2006/relationships" name="Ajuste por Desviación" sheetId="5" state="visible" r:id="rId5"/>
  </sheets>
  <definedNames>
    <definedName name="_xlnm.Print_Titles" localSheetId="1">'Previsión de Cubiertos'!$14:$14</definedName>
    <definedName name="_xlnm.Print_Titles" localSheetId="2">'Producción por Partida'!$23:$23</definedName>
    <definedName name="_xlnm.Print_Area" localSheetId="3">'Lista de Producción Diaria'!$A$1:$I$40</definedName>
    <definedName name="_xlnm.Print_Titles" localSheetId="4">'Ajuste por Desviación'!$9:$9</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7">
    <font>
      <name val="Calibri"/>
      <family val="2"/>
      <color theme="1"/>
      <sz val="11"/>
      <scheme val="minor"/>
    </font>
    <font>
      <b val="1"/>
      <color rgb="00FFD700"/>
      <sz val="16"/>
    </font>
    <font>
      <i val="1"/>
      <sz val="9"/>
    </font>
    <font>
      <b val="1"/>
      <color theme="1"/>
      <sz val="11"/>
    </font>
    <font>
      <b val="1"/>
      <sz val="12"/>
    </font>
    <font>
      <b val="1"/>
      <color rgb="00FFFFFF"/>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3" fillId="0" borderId="0" applyAlignment="1" pivotButton="0" quotePrefix="0" xfId="0">
      <alignment horizontal="general" vertical="top" wrapText="1"/>
    </xf>
    <xf numFmtId="0" fontId="3" fillId="0" borderId="0" pivotButton="0" quotePrefix="0" xfId="0"/>
    <xf numFmtId="3" fontId="0" fillId="2" borderId="0" applyProtection="1" pivotButton="0" quotePrefix="0" xfId="0">
      <protection locked="0" hidden="0"/>
    </xf>
    <xf numFmtId="165" fontId="0" fillId="2" borderId="0" applyProtection="1" pivotButton="0" quotePrefix="0" xfId="0">
      <protection locked="0" hidden="0"/>
    </xf>
    <xf numFmtId="165" fontId="0" fillId="4" borderId="0" pivotButton="0" quotePrefix="0" xfId="0"/>
    <xf numFmtId="166" fontId="0" fillId="2" borderId="0" applyProtection="1" pivotButton="0" quotePrefix="0" xfId="0">
      <protection locked="0" hidden="0"/>
    </xf>
    <xf numFmtId="3" fontId="0" fillId="0" borderId="0" pivotButton="0" quotePrefix="0" xfId="0"/>
    <xf numFmtId="167" fontId="0" fillId="0" borderId="0" pivotButton="0" quotePrefix="0" xfId="0"/>
    <xf numFmtId="0" fontId="6" fillId="5" borderId="0" pivotButton="0" quotePrefix="0" xfId="0"/>
    <xf numFmtId="3" fontId="6" fillId="5" borderId="0" pivotButton="0" quotePrefix="0" xfId="0"/>
    <xf numFmtId="166" fontId="6" fillId="5" borderId="0" pivotButton="0" quotePrefix="0" xfId="0"/>
    <xf numFmtId="167" fontId="6" fillId="5" borderId="0" pivotButton="0" quotePrefix="0" xfId="0"/>
    <xf numFmtId="3" fontId="0" fillId="4" borderId="0" pivotButton="0" quotePrefix="0" xfId="0"/>
    <xf numFmtId="0" fontId="0" fillId="2" borderId="0" applyAlignment="1" applyProtection="1" pivotButton="0" quotePrefix="0" xfId="0">
      <alignment horizontal="center" vertical="top"/>
      <protection locked="0" hidden="0"/>
    </xf>
    <xf numFmtId="0" fontId="0" fillId="2" borderId="0" applyAlignment="1" applyProtection="1" pivotButton="0" quotePrefix="0" xfId="0">
      <alignment horizontal="general" vertical="top" wrapText="1"/>
      <protection locked="0" hidden="0"/>
    </xf>
    <xf numFmtId="167" fontId="0" fillId="2" borderId="0" applyProtection="1" pivotButton="0" quotePrefix="0" xfId="0">
      <protection locked="0" hidden="0"/>
    </xf>
    <xf numFmtId="165" fontId="0"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5"/>
  <sheetViews>
    <sheetView workbookViewId="0">
      <selection activeCell="A1" sqref="A1"/>
    </sheetView>
  </sheetViews>
  <sheetFormatPr baseColWidth="8" defaultRowHeight="15"/>
  <cols>
    <col width="38" customWidth="1" min="1" max="1"/>
    <col width="52" customWidth="1" min="2" max="2"/>
    <col width="52" customWidth="1" min="3" max="3"/>
  </cols>
  <sheetData>
    <row r="1" ht="30" customHeight="1">
      <c r="A1" s="1" t="inlineStr">
        <is>
          <t>Planificación de producción semanal</t>
        </is>
      </c>
    </row>
    <row r="2">
      <c r="A2" t="inlineStr">
        <is>
          <t>AI Chef Pro · aichef.pro — Manual del Chef Ejecutivo</t>
        </is>
      </c>
    </row>
    <row r="3">
      <c r="A3" s="2" t="inlineStr">
        <is>
          <t>Para qué sirve: producir lo que se va a vender, ni una ración más.</t>
        </is>
      </c>
    </row>
    <row r="4"/>
    <row r="5">
      <c r="A5" s="3" t="inlineStr">
        <is>
          <t>Instrucciones de uso</t>
        </is>
      </c>
    </row>
    <row r="6" ht="44" customHeight="1">
      <c r="A6" s="4" t="inlineStr">
        <is>
          <t>1. Hoja «Previsión de Cubiertos»: pon la semana ISO, el lunes que la abre y cuántos días abres. Después, por cada día y servicio, las reservas confirmadas y el histórico de ese mismo servicio (la media de las cuatro semanas anteriores). El libro te sugiere una previsión; la que manda es la que escribas tú en la columna verde.</t>
        </is>
      </c>
    </row>
    <row r="7" ht="44" customHeight="1">
      <c r="A7" s="4" t="inlineStr">
        <is>
          <t>2. Hoja «Producción por Partida»: escribe tus partidas (estaciones, en el vocabulario de la matriz de polivalencia del Manual del Manager) y cuántas tienes activas. Después, plato a plato: la partida que lo produce, la unidad de ración, el mix de venta y lo que ya tienes elaborado en cámara.</t>
        </is>
      </c>
    </row>
    <row r="8" ht="44" customHeight="1">
      <c r="A8" s="4" t="inlineStr">
        <is>
          <t>3. Esa hoja hace la única cuenta que importa: cantidad a producir = cubiertos previstos x mix de venta - stock ya elaborado. Si te sale cero, no produces; si el stock supera la demanda de toda la semana, la columna «Alerta» te lo dice con todas las letras.</t>
        </is>
      </c>
    </row>
    <row r="9" ht="44" customHeight="1">
      <c r="A9" s="4" t="inlineStr">
        <is>
          <t>4. El bloque «Resumen por partida» del final te dice cuántas raciones le tocan esta semana a cada partida. Es lo que se lee en la reunión de los lunes y lo que decide si hace falta una mano más en fríos.</t>
        </is>
      </c>
    </row>
    <row r="10" ht="44" customHeight="1">
      <c r="A10" s="4" t="inlineStr">
        <is>
          <t>5. Hoja «Lista de Producción Diaria»: elige el día y IMPRÍMELA. Sale en A4 vertical con las cantidades del día ya calculadas, y con las columnas en blanco para que el equipo anote lo producido, la hora, la conservación y quién lo hizo. Es el checklist de este manual.</t>
        </is>
      </c>
    </row>
    <row r="11" ht="44" customHeight="1">
      <c r="A11" s="4" t="inlineStr">
        <is>
          <t>6. Hoja «Ajuste por Desviación»: se rellena al CERRAR la semana, no antes. Se apuntan los cubiertos reales y lo que de verdad se produjo y se vendió, y la hoja te dice de cuánto te has desviado y qué histórico llevarte a la semana siguiente. Viene vacía a propósito.</t>
        </is>
      </c>
    </row>
    <row r="12" ht="44" customHeight="1">
      <c r="A12" s="4" t="inlineStr">
        <is>
          <t>7. Cadencia de uso: la previsión y la producción, UNA VEZ POR SEMANA (el viernes o el sábado, para la semana siguiente). La lista diaria, todos los días. El ajuste, al cerrar la semana.</t>
        </is>
      </c>
    </row>
    <row r="13"/>
    <row r="14">
      <c r="A14" s="5" t="inlineStr">
        <is>
          <t>Celdas verdes = campos editables</t>
        </is>
      </c>
    </row>
    <row r="15"/>
    <row r="16">
      <c r="A16" s="3" t="inlineStr">
        <is>
          <t>De dónde sale cada dato</t>
        </is>
      </c>
    </row>
    <row r="17" ht="32" customHeight="1">
      <c r="A17" s="6" t="inlineStr">
        <is>
          <t>Dato</t>
        </is>
      </c>
      <c r="B17" s="6" t="inlineStr">
        <is>
          <t>De dónde sale</t>
        </is>
      </c>
      <c r="C17" s="6" t="inlineStr">
        <is>
          <t>Qué no hay que volver a teclear</t>
        </is>
      </c>
    </row>
    <row r="18" ht="62" customHeight="1">
      <c r="A18" s="7" t="inlineStr">
        <is>
          <t>Cubiertos previstos por día y servicio</t>
        </is>
      </c>
      <c r="B18" s="4" t="inlineStr">
        <is>
          <t>Del histórico de tu TPV y de las reservas confirmadas. Si tienes el Manual del Manager, la columna de cubiertos de su cuadro de mando semanal ya lleva el histórico de las 52 semanas</t>
        </is>
      </c>
      <c r="C18" s="4" t="inlineStr">
        <is>
          <t>El histórico: cópialo de una semana a otra con la última columna de la hoja «Ajuste por Desviación»</t>
        </is>
      </c>
    </row>
    <row r="19" ht="62" customHeight="1">
      <c r="A19" s="7" t="inlineStr">
        <is>
          <t>Mix de venta de cada plato</t>
        </is>
      </c>
      <c r="B19" s="4" t="inlineStr">
        <is>
          <t>Del TPV o de la ingeniería de menú de la «Guía Food Cost + Ingeniería de Menú»</t>
        </is>
      </c>
      <c r="C19" s="4" t="inlineStr">
        <is>
          <t>El mix se teclea una vez por temporada, no cada semana</t>
        </is>
      </c>
    </row>
    <row r="20" ht="62" customHeight="1">
      <c r="A20" s="7" t="inlineStr">
        <is>
          <t>Partidas de la cocina</t>
        </is>
      </c>
      <c r="B20" s="4" t="inlineStr">
        <is>
          <t>Las mismas del cuadro de mando de cocina (libro 1 de este pack)</t>
        </is>
      </c>
      <c r="C20" s="4" t="inlineStr">
        <is>
          <t>Cópialas del libro 1: son copia declarada, no vínculo</t>
        </is>
      </c>
    </row>
    <row r="21" ht="30" customHeight="1">
      <c r="A21" s="4" t="inlineStr">
        <is>
          <t>Ninguna hoja de este libro lee una celda de otro fichero: es copia declarada. Si mueves un fichero de carpeta, nada se rompe.</t>
        </is>
      </c>
    </row>
    <row r="22"/>
    <row r="23">
      <c r="A23" s="3" t="inlineStr">
        <is>
          <t>Lo que conviene saber antes de empezar</t>
        </is>
      </c>
    </row>
    <row r="24" ht="58" customHeight="1">
      <c r="A24" s="4" t="inlineStr">
        <is>
          <t>ESTE LIBRO NO ES UN CHECKLIST DE TAREAS. Los «Kit de Tareas» preguntan «¿se hizo la tarea de apertura?»; éste responde «cuántas raciones hay que producir hoy en cada partida». La «Lista de Producción Diaria» es la única hoja que se imprime y se firma, y lo que registra son cantidades, no tareas.</t>
        </is>
      </c>
    </row>
    <row r="25" ht="58" customHeight="1">
      <c r="A25" s="4" t="inlineStr">
        <is>
          <t>La merma NO se mide aquí. Lo que esta hoja mide al cerrar la semana es el SOBRANTE: raciones producidas menos raciones vendidas. La merma por partida (kilos que se van a la basura sobre kilos producidos) se registra en el cuadro de mando de cocina, que es el libro 1 de este pack. No son lo mismo y no se suman.</t>
        </is>
      </c>
    </row>
    <row r="26" ht="58" customHeight="1">
      <c r="A26" s="4" t="inlineStr">
        <is>
          <t>El coste de una ración no se calcula aquí: se copia del escandallo. Este pack no recalcula ningún coste, y por eso ninguna hoja lleva una columna de euros. El escandallo vive en el «Kit de Escandallos» y en la «Guía Food Cost + Ingeniería de Menú».</t>
        </is>
      </c>
    </row>
    <row r="27" ht="58" customHeight="1">
      <c r="A27" s="4" t="inlineStr">
        <is>
          <t>El mix de venta es el porcentaje de cubiertos que pide cada plato: si de cada 100 comensales 11 piden croquetas, el mix de las croquetas es el 11 %. Sale del TPV, del histórico de la carta o de la ingeniería de menú, y se revisa cuando cambia la carta.</t>
        </is>
      </c>
    </row>
    <row r="28" ht="58" customHeight="1">
      <c r="A28" s="4" t="inlineStr">
        <is>
          <t>La previsión sugerida es el MAYOR entre las reservas confirmadas y el histórico, redondeado hacia arriba. Es una sugerencia mecánica: el que sabe que el sábado hay partido, o que llueve toda la semana, eres tú.</t>
        </is>
      </c>
    </row>
    <row r="29" ht="58" customHeight="1">
      <c r="A29" s="4" t="inlineStr">
        <is>
          <t>Un dato que falta se deja EN BLANCO, nunca a cero. Un cero es una medida («no hay stock de este plato») y un blanco es la ausencia de medida: el libro los trata distinto.</t>
        </is>
      </c>
    </row>
    <row r="30"/>
    <row r="31">
      <c r="A31" s="4" t="inlineStr">
        <is>
          <t>Para editar la estructura o una celda que no este en verde, desprotege la hoja (sin contraseña).</t>
        </is>
      </c>
    </row>
    <row r="32">
      <c r="A32" s="4" t="inlineStr">
        <is>
          <t>Ruta en Excel: Revisar &gt; Desproteger hoja. La protección no tiene contraseña; sirve para no pisar una fórmula sin querer.</t>
        </is>
      </c>
    </row>
    <row r="33"/>
    <row r="34">
      <c r="A34" t="inlineStr">
        <is>
          <t>Diseñado por John Guerrero — chef y consultor gastronómico desde 2010 · johnguerrero.es</t>
        </is>
      </c>
    </row>
    <row r="35">
      <c r="A35"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26:C26"/>
    <mergeCell ref="A32:C32"/>
    <mergeCell ref="A21:C21"/>
    <mergeCell ref="A27:C27"/>
    <mergeCell ref="A9:C9"/>
    <mergeCell ref="A7:C7"/>
    <mergeCell ref="A25:C25"/>
    <mergeCell ref="A31:C31"/>
    <mergeCell ref="A29:C29"/>
    <mergeCell ref="A8:C8"/>
    <mergeCell ref="A24:C24"/>
    <mergeCell ref="A11:C11"/>
    <mergeCell ref="A12:C12"/>
    <mergeCell ref="A28:C2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33"/>
  <sheetViews>
    <sheetView workbookViewId="0">
      <pane xSplit="2" ySplit="14" topLeftCell="C15"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2" customWidth="1" min="3" max="3"/>
    <col width="26" customWidth="1" min="4" max="4"/>
    <col width="20" customWidth="1" min="5" max="5"/>
    <col width="22" customWidth="1" min="6" max="6"/>
    <col width="24" customWidth="1" min="7" max="7"/>
    <col width="60" customWidth="1" min="8" max="8"/>
  </cols>
  <sheetData>
    <row r="1" ht="30" customHeight="1">
      <c r="A1" s="1" t="inlineStr">
        <is>
          <t>Previsión de cubiertos de la semana</t>
        </is>
      </c>
    </row>
    <row r="2">
      <c r="A2" t="inlineStr">
        <is>
          <t>AI Chef Pro · aichef.pro — Manual del Chef Ejecutivo</t>
        </is>
      </c>
    </row>
    <row r="3">
      <c r="A3" s="2" t="inlineStr">
        <is>
          <t>La previsión que manda es la tuya. La sugerida es una cuenta mecánica sobre reservas e histórico.</t>
        </is>
      </c>
    </row>
    <row r="4"/>
    <row r="5">
      <c r="A5" s="3" t="inlineStr">
        <is>
          <t>LA SEMANA QUE SE PLANIFICA</t>
        </is>
      </c>
    </row>
    <row r="6">
      <c r="A6" s="8" t="inlineStr">
        <is>
          <t>Semana ISO</t>
        </is>
      </c>
      <c r="B6" s="9" t="n">
        <v>37</v>
      </c>
    </row>
    <row r="7">
      <c r="A7" s="8" t="inlineStr">
        <is>
          <t>Lunes de la semana</t>
        </is>
      </c>
      <c r="B7" s="10" t="n">
        <v>46272</v>
      </c>
    </row>
    <row r="8">
      <c r="A8" s="8" t="inlineStr">
        <is>
          <t>Días que cubre la planificación</t>
        </is>
      </c>
      <c r="B8" s="9" t="n">
        <v>7</v>
      </c>
    </row>
    <row r="9">
      <c r="A9" s="8" t="inlineStr">
        <is>
          <t>Último día de la semana</t>
        </is>
      </c>
      <c r="B9" s="11">
        <f>IF(OR($B$7="",$B$8=""),"",$B$7+$B$8-1)</f>
        <v>46278.0</v>
      </c>
    </row>
    <row r="10">
      <c r="A10" t="inlineStr">
        <is>
          <t>La semana ISO empieza en lunes y la semana 1 del año es la que contiene el primer jueves de enero. Los días que cubre la planificación son SIETE aunque cierres uno o dos: los días de cierre se dejan en blanco y no suman.</t>
        </is>
      </c>
    </row>
    <row r="11">
      <c r="A11" t="inlineStr">
        <is>
          <t>El último día de la semana lo calcula el libro y es el que usa la hoja «Producción por Partida» para avisar de un stock que caduca antes de consumirse.</t>
        </is>
      </c>
    </row>
    <row r="12"/>
    <row r="13">
      <c r="A13" s="3" t="inlineStr">
        <is>
          <t>PREVISIÓN POR DÍA Y SERVICIO</t>
        </is>
      </c>
    </row>
    <row r="14" ht="60" customHeight="1">
      <c r="A14" s="6" t="inlineStr">
        <is>
          <t>Día</t>
        </is>
      </c>
      <c r="B14" s="6" t="inlineStr">
        <is>
          <t>Servicio</t>
        </is>
      </c>
      <c r="C14" s="6" t="inlineStr">
        <is>
          <t>Reservas confirmadas</t>
        </is>
      </c>
      <c r="D14" s="6" t="inlineStr">
        <is>
          <t>Histórico del mismo servicio (media de 4 semanas)</t>
        </is>
      </c>
      <c r="E14" s="6" t="inlineStr">
        <is>
          <t>Previsión sugerida</t>
        </is>
      </c>
      <c r="F14" s="6" t="inlineStr">
        <is>
          <t>Previsión de cubiertos (la tuya)</t>
        </is>
      </c>
      <c r="G14" s="6" t="inlineStr">
        <is>
          <t>Diferencia con la sugerida</t>
        </is>
      </c>
    </row>
    <row r="15">
      <c r="A15" s="8" t="inlineStr">
        <is>
          <t>Lunes</t>
        </is>
      </c>
      <c r="B15" t="inlineStr">
        <is>
          <t>Comida</t>
        </is>
      </c>
      <c r="C15" s="9" t="n"/>
      <c r="D15" s="12" t="n"/>
      <c r="E15" s="13">
        <f>IFERROR(IF(AND($C15="",$D15=""),"",ROUNDUP(MAX(IF($C15="",0,$C15),IF($D15="",0,$D15)),0)),"")</f>
        <v/>
      </c>
      <c r="F15" s="9" t="n"/>
      <c r="G15" s="14">
        <f>IFERROR(IF(OR(NOT(ISNUMBER($F15)),NOT(ISNUMBER($E15)),$E15=0),"",($F15-$E15)/$E15),"")</f>
        <v/>
      </c>
    </row>
    <row r="16">
      <c r="A16" s="8" t="inlineStr">
        <is>
          <t>Lunes</t>
        </is>
      </c>
      <c r="B16" t="inlineStr">
        <is>
          <t>Cena</t>
        </is>
      </c>
      <c r="C16" s="9" t="n"/>
      <c r="D16" s="12" t="n"/>
      <c r="E16" s="13">
        <f>IFERROR(IF(AND($C16="",$D16=""),"",ROUNDUP(MAX(IF($C16="",0,$C16),IF($D16="",0,$D16)),0)),"")</f>
        <v/>
      </c>
      <c r="F16" s="9" t="n"/>
      <c r="G16" s="14">
        <f>IFERROR(IF(OR(NOT(ISNUMBER($F16)),NOT(ISNUMBER($E16)),$E16=0),"",($F16-$E16)/$E16),"")</f>
        <v/>
      </c>
    </row>
    <row r="17">
      <c r="A17" s="8" t="inlineStr">
        <is>
          <t>Martes</t>
        </is>
      </c>
      <c r="B17" t="inlineStr">
        <is>
          <t>Comida</t>
        </is>
      </c>
      <c r="C17" s="9" t="n">
        <v>34</v>
      </c>
      <c r="D17" s="12" t="n">
        <v>58</v>
      </c>
      <c r="E17" s="13">
        <f>IFERROR(IF(AND($C17="",$D17=""),"",ROUNDUP(MAX(IF($C17="",0,$C17),IF($D17="",0,$D17)),0)),"")</f>
        <v>58.0</v>
      </c>
      <c r="F17" s="9" t="n">
        <v>60</v>
      </c>
      <c r="G17" s="14">
        <f>IFERROR(IF(OR(NOT(ISNUMBER($F17)),NOT(ISNUMBER($E17)),$E17=0),"",($F17-$E17)/$E17),"")</f>
        <v>0.034482758620689655</v>
      </c>
    </row>
    <row r="18">
      <c r="A18" s="8" t="inlineStr">
        <is>
          <t>Martes</t>
        </is>
      </c>
      <c r="B18" t="inlineStr">
        <is>
          <t>Cena</t>
        </is>
      </c>
      <c r="C18" s="9" t="n">
        <v>22</v>
      </c>
      <c r="D18" s="12" t="n">
        <v>41</v>
      </c>
      <c r="E18" s="13">
        <f>IFERROR(IF(AND($C18="",$D18=""),"",ROUNDUP(MAX(IF($C18="",0,$C18),IF($D18="",0,$D18)),0)),"")</f>
        <v>41.0</v>
      </c>
      <c r="F18" s="9" t="n">
        <v>40</v>
      </c>
      <c r="G18" s="14">
        <f>IFERROR(IF(OR(NOT(ISNUMBER($F18)),NOT(ISNUMBER($E18)),$E18=0),"",($F18-$E18)/$E18),"")</f>
        <v>-0.024390243902439025</v>
      </c>
    </row>
    <row r="19">
      <c r="A19" s="8" t="inlineStr">
        <is>
          <t>Miércoles</t>
        </is>
      </c>
      <c r="B19" t="inlineStr">
        <is>
          <t>Comida</t>
        </is>
      </c>
      <c r="C19" s="9" t="n">
        <v>38</v>
      </c>
      <c r="D19" s="12" t="n">
        <v>62</v>
      </c>
      <c r="E19" s="13">
        <f>IFERROR(IF(AND($C19="",$D19=""),"",ROUNDUP(MAX(IF($C19="",0,$C19),IF($D19="",0,$D19)),0)),"")</f>
        <v>62.0</v>
      </c>
      <c r="F19" s="9" t="n">
        <v>64</v>
      </c>
      <c r="G19" s="14">
        <f>IFERROR(IF(OR(NOT(ISNUMBER($F19)),NOT(ISNUMBER($E19)),$E19=0),"",($F19-$E19)/$E19),"")</f>
        <v>0.03225806451612903</v>
      </c>
    </row>
    <row r="20">
      <c r="A20" s="8" t="inlineStr">
        <is>
          <t>Miércoles</t>
        </is>
      </c>
      <c r="B20" t="inlineStr">
        <is>
          <t>Cena</t>
        </is>
      </c>
      <c r="C20" s="9" t="n">
        <v>26</v>
      </c>
      <c r="D20" s="12" t="n">
        <v>45</v>
      </c>
      <c r="E20" s="13">
        <f>IFERROR(IF(AND($C20="",$D20=""),"",ROUNDUP(MAX(IF($C20="",0,$C20),IF($D20="",0,$D20)),0)),"")</f>
        <v>45.0</v>
      </c>
      <c r="F20" s="9" t="n">
        <v>46</v>
      </c>
      <c r="G20" s="14">
        <f>IFERROR(IF(OR(NOT(ISNUMBER($F20)),NOT(ISNUMBER($E20)),$E20=0),"",($F20-$E20)/$E20),"")</f>
        <v>0.022222222222222223</v>
      </c>
    </row>
    <row r="21">
      <c r="A21" s="8" t="inlineStr">
        <is>
          <t>Jueves</t>
        </is>
      </c>
      <c r="B21" t="inlineStr">
        <is>
          <t>Comida</t>
        </is>
      </c>
      <c r="C21" s="9" t="n">
        <v>41</v>
      </c>
      <c r="D21" s="12" t="n">
        <v>68</v>
      </c>
      <c r="E21" s="13">
        <f>IFERROR(IF(AND($C21="",$D21=""),"",ROUNDUP(MAX(IF($C21="",0,$C21),IF($D21="",0,$D21)),0)),"")</f>
        <v>68.0</v>
      </c>
      <c r="F21" s="9" t="n">
        <v>70</v>
      </c>
      <c r="G21" s="14">
        <f>IFERROR(IF(OR(NOT(ISNUMBER($F21)),NOT(ISNUMBER($E21)),$E21=0),"",($F21-$E21)/$E21),"")</f>
        <v>0.029411764705882353</v>
      </c>
    </row>
    <row r="22">
      <c r="A22" s="8" t="inlineStr">
        <is>
          <t>Jueves</t>
        </is>
      </c>
      <c r="B22" t="inlineStr">
        <is>
          <t>Cena</t>
        </is>
      </c>
      <c r="C22" s="9" t="n">
        <v>34</v>
      </c>
      <c r="D22" s="12" t="n">
        <v>56</v>
      </c>
      <c r="E22" s="13">
        <f>IFERROR(IF(AND($C22="",$D22=""),"",ROUNDUP(MAX(IF($C22="",0,$C22),IF($D22="",0,$D22)),0)),"")</f>
        <v>56.0</v>
      </c>
      <c r="F22" s="9" t="n">
        <v>58</v>
      </c>
      <c r="G22" s="14">
        <f>IFERROR(IF(OR(NOT(ISNUMBER($F22)),NOT(ISNUMBER($E22)),$E22=0),"",($F22-$E22)/$E22),"")</f>
        <v>0.03571428571428571</v>
      </c>
    </row>
    <row r="23">
      <c r="A23" s="8" t="inlineStr">
        <is>
          <t>Viernes</t>
        </is>
      </c>
      <c r="B23" t="inlineStr">
        <is>
          <t>Comida</t>
        </is>
      </c>
      <c r="C23" s="9" t="n">
        <v>46</v>
      </c>
      <c r="D23" s="12" t="n">
        <v>76</v>
      </c>
      <c r="E23" s="13">
        <f>IFERROR(IF(AND($C23="",$D23=""),"",ROUNDUP(MAX(IF($C23="",0,$C23),IF($D23="",0,$D23)),0)),"")</f>
        <v>76.0</v>
      </c>
      <c r="F23" s="9" t="n">
        <v>78</v>
      </c>
      <c r="G23" s="14">
        <f>IFERROR(IF(OR(NOT(ISNUMBER($F23)),NOT(ISNUMBER($E23)),$E23=0),"",($F23-$E23)/$E23),"")</f>
        <v>0.02631578947368421</v>
      </c>
    </row>
    <row r="24">
      <c r="A24" s="8" t="inlineStr">
        <is>
          <t>Viernes</t>
        </is>
      </c>
      <c r="B24" t="inlineStr">
        <is>
          <t>Cena</t>
        </is>
      </c>
      <c r="C24" s="9" t="n">
        <v>68</v>
      </c>
      <c r="D24" s="12" t="n">
        <v>102</v>
      </c>
      <c r="E24" s="13">
        <f>IFERROR(IF(AND($C24="",$D24=""),"",ROUNDUP(MAX(IF($C24="",0,$C24),IF($D24="",0,$D24)),0)),"")</f>
        <v>102.0</v>
      </c>
      <c r="F24" s="9" t="n">
        <v>105</v>
      </c>
      <c r="G24" s="14">
        <f>IFERROR(IF(OR(NOT(ISNUMBER($F24)),NOT(ISNUMBER($E24)),$E24=0),"",($F24-$E24)/$E24),"")</f>
        <v>0.029411764705882353</v>
      </c>
    </row>
    <row r="25">
      <c r="A25" s="8" t="inlineStr">
        <is>
          <t>Sábado</t>
        </is>
      </c>
      <c r="B25" t="inlineStr">
        <is>
          <t>Comida</t>
        </is>
      </c>
      <c r="C25" s="9" t="n">
        <v>55</v>
      </c>
      <c r="D25" s="12" t="n">
        <v>89</v>
      </c>
      <c r="E25" s="13">
        <f>IFERROR(IF(AND($C25="",$D25=""),"",ROUNDUP(MAX(IF($C25="",0,$C25),IF($D25="",0,$D25)),0)),"")</f>
        <v>89.0</v>
      </c>
      <c r="F25" s="9" t="n">
        <v>92</v>
      </c>
      <c r="G25" s="14">
        <f>IFERROR(IF(OR(NOT(ISNUMBER($F25)),NOT(ISNUMBER($E25)),$E25=0),"",($F25-$E25)/$E25),"")</f>
        <v>0.033707865168539325</v>
      </c>
    </row>
    <row r="26">
      <c r="A26" s="8" t="inlineStr">
        <is>
          <t>Sábado</t>
        </is>
      </c>
      <c r="B26" t="inlineStr">
        <is>
          <t>Cena</t>
        </is>
      </c>
      <c r="C26" s="9" t="n">
        <v>79</v>
      </c>
      <c r="D26" s="12" t="n">
        <v>115</v>
      </c>
      <c r="E26" s="13">
        <f>IFERROR(IF(AND($C26="",$D26=""),"",ROUNDUP(MAX(IF($C26="",0,$C26),IF($D26="",0,$D26)),0)),"")</f>
        <v>115.0</v>
      </c>
      <c r="F26" s="9" t="n">
        <v>118</v>
      </c>
      <c r="G26" s="14">
        <f>IFERROR(IF(OR(NOT(ISNUMBER($F26)),NOT(ISNUMBER($E26)),$E26=0),"",($F26-$E26)/$E26),"")</f>
        <v>0.02608695652173913</v>
      </c>
    </row>
    <row r="27">
      <c r="A27" s="8" t="inlineStr">
        <is>
          <t>Domingo</t>
        </is>
      </c>
      <c r="B27" t="inlineStr">
        <is>
          <t>Comida</t>
        </is>
      </c>
      <c r="C27" s="9" t="n">
        <v>88</v>
      </c>
      <c r="D27" s="12" t="n">
        <v>128</v>
      </c>
      <c r="E27" s="13">
        <f>IFERROR(IF(AND($C27="",$D27=""),"",ROUNDUP(MAX(IF($C27="",0,$C27),IF($D27="",0,$D27)),0)),"")</f>
        <v>128.0</v>
      </c>
      <c r="F27" s="9" t="n">
        <v>132</v>
      </c>
      <c r="G27" s="14">
        <f>IFERROR(IF(OR(NOT(ISNUMBER($F27)),NOT(ISNUMBER($E27)),$E27=0),"",($F27-$E27)/$E27),"")</f>
        <v>0.03125</v>
      </c>
    </row>
    <row r="28">
      <c r="A28" s="8" t="inlineStr">
        <is>
          <t>Domingo</t>
        </is>
      </c>
      <c r="B28" t="inlineStr">
        <is>
          <t>Cena</t>
        </is>
      </c>
      <c r="C28" s="9" t="n">
        <v>56</v>
      </c>
      <c r="D28" s="12" t="n">
        <v>93</v>
      </c>
      <c r="E28" s="13">
        <f>IFERROR(IF(AND($C28="",$D28=""),"",ROUNDUP(MAX(IF($C28="",0,$C28),IF($D28="",0,$D28)),0)),"")</f>
        <v>93.0</v>
      </c>
      <c r="F28" s="9" t="n">
        <v>95</v>
      </c>
      <c r="G28" s="14">
        <f>IFERROR(IF(OR(NOT(ISNUMBER($F28)),NOT(ISNUMBER($E28)),$E28=0),"",($F28-$E28)/$E28),"")</f>
        <v>0.021505376344086023</v>
      </c>
    </row>
    <row r="29">
      <c r="A29" s="15" t="inlineStr">
        <is>
          <t>TOTAL DE LA SEMANA</t>
        </is>
      </c>
      <c r="B29" s="15" t="n"/>
      <c r="C29" s="16">
        <f>IF(COUNT(C15:C28)=0,"",SUM(C15:C28))</f>
        <v>587.0</v>
      </c>
      <c r="D29" s="17">
        <f>IF(COUNT(D15:D28)=0,"",SUM(D15:D28))</f>
        <v>933.0</v>
      </c>
      <c r="E29" s="16">
        <f>IF(COUNT(E15:E28)=0,"",SUM(E15:E28))</f>
        <v>933.0</v>
      </c>
      <c r="F29" s="16">
        <f>IF(COUNT(F15:F28)=0,"",SUM(F15:F28))</f>
        <v>958.0</v>
      </c>
      <c r="G29" s="18">
        <f>IFERROR(IF(OR(NOT(ISNUMBER($F$29)),NOT(ISNUMBER($E$29)),$E$29=0),"",($F$29-$E$29)/$E$29),"")</f>
        <v>0.02679528403001072</v>
      </c>
    </row>
    <row r="30"/>
    <row r="31">
      <c r="A31" t="inlineStr">
        <is>
          <t>El total de la columna «Previsión de cubiertos (la tuya)» es el que alimenta la hoja «Producción por Partida». Si cambias un solo día, la producción de toda la semana se recalcula sola.</t>
        </is>
      </c>
    </row>
    <row r="32">
      <c r="A32" t="inlineStr">
        <is>
          <t>En el restaurante de ejemplo el lunes está cerrado: sus dos filas van en blanco y no suman. Si tú abres los lunes, rellénalas.</t>
        </is>
      </c>
    </row>
    <row r="33">
      <c r="A33" t="inlineStr">
        <is>
          <t>La diferencia con la sugerida no es un error: es tu criterio. Lo que sí conviene mirar es si SIEMPRE vas por encima o SIEMPRE por debajo, porque entonces el que está mal calibrado es el histórico.</t>
        </is>
      </c>
    </row>
  </sheetData>
  <sheetProtection selectLockedCells="0" selectUnlockedCells="0" sheet="1" objects="0" insertRows="0" insertHyperlinks="1" autoFilter="1" scenarios="0" formatColumns="0" deleteColumns="1" insertColumns="1" pivotTables="1" deleteRows="1" formatCells="1" formatRows="0" sort="0"/>
  <dataValidations count="5">
    <dataValidation sqref="C15 C16 C17 C18 C19 C20 C21 C22 C23 C24 C25 C26 C27 C28 F15 F16 F17 F18 F19 F20 F21 F22 F23 F24 F25 F26 F27 F28" showDropDown="0" showInputMessage="0" showErrorMessage="1" allowBlank="1" errorTitle="Cubiertos" error="Número de comensales de ese servicio." type="decimal" operator="between">
      <formula1>0</formula1>
      <formula2>10000</formula2>
    </dataValidation>
    <dataValidation sqref="D15 D16 D17 D18 D19 D20 D21 D22 D23 D24 D25 D26 D27 D28" showDropDown="0" showInputMessage="0" showErrorMessage="1" allowBlank="1" errorTitle="Histórico" error="Media de cubiertos de ese mismo servicio en las cuatro semanas anteriores." type="decimal" operator="between">
      <formula1>0</formula1>
      <formula2>10000</formula2>
    </dataValidation>
    <dataValidation sqref="B6" showDropDown="0" showInputMessage="0" showErrorMessage="1" allowBlank="1" errorTitle="Semana ISO" error="La semana ISO va de 1 a 53." type="decimal" operator="between">
      <formula1>1</formula1>
      <formula2>53</formula2>
    </dataValidation>
    <dataValidation sqref="B8" showDropDown="0" showInputMessage="0" showErrorMessage="1" allowBlank="1" errorTitle="Días de la semana" error="Cuántos días cubre la planificación (1 a 7)." type="decimal" operator="between">
      <formula1>1</formula1>
      <formula2>7</formula2>
    </dataValidation>
    <dataValidation sqref="B7"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62"/>
  <sheetViews>
    <sheetView workbookViewId="0">
      <pane xSplit="2" ySplit="23" topLeftCell="C24"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38" customWidth="1" min="3" max="3"/>
    <col width="22" customWidth="1" min="4" max="4"/>
    <col width="26" customWidth="1" min="5" max="5"/>
    <col width="13" customWidth="1" min="6" max="6"/>
    <col width="14" customWidth="1" min="7" max="7"/>
    <col width="13" customWidth="1" min="8" max="8"/>
    <col width="26" customWidth="1" min="9" max="9"/>
    <col width="14" customWidth="1" min="10" max="10"/>
    <col width="11" customWidth="1" min="11" max="11"/>
    <col width="15" customWidth="1" min="12" max="12"/>
    <col width="14" customWidth="1" min="13" max="13"/>
    <col width="46" customWidth="1" min="14" max="14"/>
  </cols>
  <sheetData>
    <row r="1" ht="30" customHeight="1">
      <c r="A1" s="1" t="inlineStr">
        <is>
          <t>Producción de la semana, partida por partida</t>
        </is>
      </c>
    </row>
    <row r="2">
      <c r="A2" t="inlineStr">
        <is>
          <t>AI Chef Pro · aichef.pro — Manual del Chef Ejecutivo</t>
        </is>
      </c>
    </row>
    <row r="3">
      <c r="A3" s="2" t="inlineStr">
        <is>
          <t>Cantidad a producir = cubiertos previstos x mix de venta - stock ya elaborado.</t>
        </is>
      </c>
    </row>
    <row r="4"/>
    <row r="5">
      <c r="A5" s="3" t="inlineStr">
        <is>
          <t>PARÁMETROS DE LA SEMANA</t>
        </is>
      </c>
    </row>
    <row r="6">
      <c r="A6" s="8" t="inlineStr">
        <is>
          <t>Cubiertos previstos de la semana</t>
        </is>
      </c>
      <c r="B6" s="19">
        <f>IF('Previsión de Cubiertos'!$F$29="","",'Previsión de Cubiertos'!$F$29)</f>
        <v>958.0</v>
      </c>
    </row>
    <row r="7">
      <c r="A7" s="8" t="inlineStr">
        <is>
          <t>Partidas activas (de 3 a 8)</t>
        </is>
      </c>
      <c r="B7" s="9" t="n">
        <v>6</v>
      </c>
    </row>
    <row r="8">
      <c r="A8" t="inlineStr">
        <is>
          <t>Los cubiertos de la semana los trae la hoja «Previsión de Cubiertos»: no se teclean aquí.</t>
        </is>
      </c>
    </row>
    <row r="9">
      <c r="A9" t="inlineStr">
        <is>
          <t>Las partidas activas gobiernan el «Resumen por partida» del final de la hoja: si pones 4, las ranuras 5 a 8 se quedan en blanco.</t>
        </is>
      </c>
    </row>
    <row r="10"/>
    <row r="11" ht="24" customHeight="1">
      <c r="A11" s="6" t="inlineStr">
        <is>
          <t>Partidas de tu cocina</t>
        </is>
      </c>
    </row>
    <row r="12">
      <c r="A12" s="5" t="inlineStr">
        <is>
          <t>Pase y caliente</t>
        </is>
      </c>
    </row>
    <row r="13">
      <c r="A13" s="5" t="inlineStr">
        <is>
          <t>Fríos y entrantes</t>
        </is>
      </c>
    </row>
    <row r="14">
      <c r="A14" s="5" t="inlineStr">
        <is>
          <t>Postres y panadería</t>
        </is>
      </c>
    </row>
    <row r="15">
      <c r="A15" s="5" t="inlineStr">
        <is>
          <t>Barra y bebidas</t>
        </is>
      </c>
    </row>
    <row r="16">
      <c r="A16" s="5" t="inlineStr">
        <is>
          <t>Sala y servicio</t>
        </is>
      </c>
    </row>
    <row r="17">
      <c r="A17" s="5" t="inlineStr">
        <is>
          <t>Caja y cierre</t>
        </is>
      </c>
    </row>
    <row r="18">
      <c r="A18" s="5" t="n"/>
    </row>
    <row r="19">
      <c r="A19" s="5" t="n"/>
    </row>
    <row r="20">
      <c r="A20" t="inlineStr">
        <is>
          <t>Son las mismas partidas del cuadro de mando de cocina (libro 1). Cópialas de allí: este libro no lee ningún fichero ajeno. Las dos últimas ranuras están libres para cocinas con más partidas.</t>
        </is>
      </c>
    </row>
    <row r="21"/>
    <row r="22">
      <c r="A22" s="3" t="inlineStr">
        <is>
          <t>PLATOS DE LA CARTA</t>
        </is>
      </c>
    </row>
    <row r="23" ht="60" customHeight="1">
      <c r="A23" s="6" t="inlineStr">
        <is>
          <t>Id</t>
        </is>
      </c>
      <c r="B23" s="6" t="inlineStr">
        <is>
          <t>Plato</t>
        </is>
      </c>
      <c r="C23" s="6" t="inlineStr">
        <is>
          <t>Elaboración previa (mise en place)</t>
        </is>
      </c>
      <c r="D23" s="6" t="inlineStr">
        <is>
          <t>Partida</t>
        </is>
      </c>
      <c r="E23" s="6" t="inlineStr">
        <is>
          <t>Unidad de ración</t>
        </is>
      </c>
      <c r="F23" s="6" t="inlineStr">
        <is>
          <t>Mix de venta (% de los cubiertos)</t>
        </is>
      </c>
      <c r="G23" s="6" t="inlineStr">
        <is>
          <t>Raciones previstas en la semana</t>
        </is>
      </c>
      <c r="H23" s="6" t="inlineStr">
        <is>
          <t>Stock ya elaborado (raciones)</t>
        </is>
      </c>
      <c r="I23" s="6" t="inlineStr">
        <is>
          <t>Conservación del stock</t>
        </is>
      </c>
      <c r="J23" s="6" t="inlineStr">
        <is>
          <t>Fecha de elaboración del stock</t>
        </is>
      </c>
      <c r="K23" s="6" t="inlineStr">
        <is>
          <t>Vida útil (días)</t>
        </is>
      </c>
      <c r="L23" s="6" t="inlineStr">
        <is>
          <t>Consumir antes del</t>
        </is>
      </c>
      <c r="M23" s="6" t="inlineStr">
        <is>
          <t>Cantidad a producir (raciones)</t>
        </is>
      </c>
      <c r="N23" s="6" t="inlineStr">
        <is>
          <t>Alerta</t>
        </is>
      </c>
    </row>
    <row r="24" ht="30" customHeight="1">
      <c r="A24" s="20" t="inlineStr">
        <is>
          <t>E1</t>
        </is>
      </c>
      <c r="B24" s="21" t="inlineStr">
        <is>
          <t>Croquetas de jamón ibérico (6 ud)</t>
        </is>
      </c>
      <c r="C24" s="21" t="inlineStr">
        <is>
          <t>Masa de croqueta ya formada y empanada</t>
        </is>
      </c>
      <c r="D24" s="21" t="inlineStr">
        <is>
          <t>Fríos y entrantes</t>
        </is>
      </c>
      <c r="E24" s="21" t="inlineStr">
        <is>
          <t>6 croquetas</t>
        </is>
      </c>
      <c r="F24" s="22" t="n">
        <v>0.1076923076923077</v>
      </c>
      <c r="G24" s="13">
        <f>IFERROR(IF(OR(NOT(ISNUMBER($F24)),NOT(ISNUMBER($B$6))),"",ROUNDUP($F24*$B$6,0)),"")</f>
        <v>104.0</v>
      </c>
      <c r="H24" s="9" t="n">
        <v>140</v>
      </c>
      <c r="I24" s="21" t="inlineStr">
        <is>
          <t>Refrigeración a 4 °C</t>
        </is>
      </c>
      <c r="J24" s="10" t="n">
        <v>46270</v>
      </c>
      <c r="K24" s="9" t="n">
        <v>3</v>
      </c>
      <c r="L24" s="23">
        <f>IF(OR(NOT(ISNUMBER($J24)),NOT(ISNUMBER($K24))),"",$J24+$K24)</f>
        <v>46273.0</v>
      </c>
      <c r="M24" s="13">
        <f>IFERROR(IF($G24="","",MAX(0,$G24-IF($H24="",0,$H24))),"")</f>
        <v>0.0</v>
      </c>
      <c r="N24" t="str">
        <f>IFERROR(IF($G24="","",TRIM(IF(AND(ISNUMBER($H24),$H24&gt;$G24),"Sobreproducción: el stock ya cubre toda la semana, no produzcas","")&amp;IF(AND(AND(ISNUMBER($H24),$H24&gt;$G24),AND(ISNUMBER($L24),ISNUMBER($H24),$H24&gt;0,ISNUMBER('Previsión de Cubiertos'!$B$7),ISNUMBER('Previsión de Cubiertos'!$B$8),$G24&gt;0,$L24&lt;'Previsión de Cubiertos'!$B$7+$H24*'Previsión de Cubiertos'!$B$8/$G24)),". ","")&amp;IF(AND(ISNUMBER($L24),ISNUMBER($H24),$H24&gt;0,ISNUMBER('Previsión de Cubiertos'!$B$7),ISNUMBER('Previsión de Cubiertos'!$B$8),$G24&gt;0,$L24&lt;'Previsión de Cubiertos'!$B$7+$H24*'Previsión de Cubiertos'!$B$8/$G24),"El stock caduca antes de consumirse al ritmo previsto: prográmalo en los primeros días",""))),"")</f>
        <v>Sobreproducción: el stock ya cubre toda la semana, no produzcas. El stock caduca antes de consumirse al ritmo previsto: prográmalo en los primeros días</v>
      </c>
    </row>
    <row r="25" ht="30" customHeight="1">
      <c r="A25" s="20" t="inlineStr">
        <is>
          <t>E2</t>
        </is>
      </c>
      <c r="B25" s="21" t="inlineStr">
        <is>
          <t>Ensalada de tomate rosa, ventresca y cebolleta</t>
        </is>
      </c>
      <c r="C25" s="21" t="inlineStr"/>
      <c r="D25" s="21" t="inlineStr">
        <is>
          <t>Fríos y entrantes</t>
        </is>
      </c>
      <c r="E25" s="21" t="inlineStr">
        <is>
          <t>1 ración de ensalada</t>
        </is>
      </c>
      <c r="F25" s="22" t="n">
        <v>0.07948717948717948</v>
      </c>
      <c r="G25" s="13">
        <f>IFERROR(IF(OR(NOT(ISNUMBER($F25)),NOT(ISNUMBER($B$6))),"",ROUNDUP($F25*$B$6,0)),"")</f>
        <v>77.0</v>
      </c>
      <c r="H25" s="9" t="n">
        <v>0</v>
      </c>
      <c r="I25" s="21" t="inlineStr">
        <is>
          <t>No aplica</t>
        </is>
      </c>
      <c r="J25" s="10" t="n"/>
      <c r="K25" s="9" t="n"/>
      <c r="L25" s="23">
        <f>IF(OR(NOT(ISNUMBER($J25)),NOT(ISNUMBER($K25))),"",$J25+$K25)</f>
        <v/>
      </c>
      <c r="M25" s="13">
        <f>IFERROR(IF($G25="","",MAX(0,$G25-IF($H25="",0,$H25))),"")</f>
        <v>77.0</v>
      </c>
      <c r="N25">
        <f>IFERROR(IF($G25="","",TRIM(IF(AND(ISNUMBER($H25),$H25&gt;$G25),"Sobreproducción: el stock ya cubre toda la semana, no produzcas","")&amp;IF(AND(AND(ISNUMBER($H25),$H25&gt;$G25),AND(ISNUMBER($L25),ISNUMBER($H25),$H25&gt;0,ISNUMBER('Previsión de Cubiertos'!$B$7),ISNUMBER('Previsión de Cubiertos'!$B$8),$G25&gt;0,$L25&lt;'Previsión de Cubiertos'!$B$7+$H25*'Previsión de Cubiertos'!$B$8/$G25)),". ","")&amp;IF(AND(ISNUMBER($L25),ISNUMBER($H25),$H25&gt;0,ISNUMBER('Previsión de Cubiertos'!$B$7),ISNUMBER('Previsión de Cubiertos'!$B$8),$G25&gt;0,$L25&lt;'Previsión de Cubiertos'!$B$7+$H25*'Previsión de Cubiertos'!$B$8/$G25),"El stock caduca antes de consumirse al ritmo previsto: prográmalo en los primeros días",""))),"")</f>
        <v/>
      </c>
    </row>
    <row r="26" ht="30" customHeight="1">
      <c r="A26" s="20" t="inlineStr">
        <is>
          <t>E3</t>
        </is>
      </c>
      <c r="B26" s="21" t="inlineStr">
        <is>
          <t>Gambas al ajillo</t>
        </is>
      </c>
      <c r="C26" s="21" t="inlineStr">
        <is>
          <t>Gamba pelada y racionada</t>
        </is>
      </c>
      <c r="D26" s="21" t="inlineStr">
        <is>
          <t>Fríos y entrantes</t>
        </is>
      </c>
      <c r="E26" s="21" t="inlineStr">
        <is>
          <t>1 cazuela</t>
        </is>
      </c>
      <c r="F26" s="22" t="n">
        <v>0.06666666666666667</v>
      </c>
      <c r="G26" s="13">
        <f>IFERROR(IF(OR(NOT(ISNUMBER($F26)),NOT(ISNUMBER($B$6))),"",ROUNDUP($F26*$B$6,0)),"")</f>
        <v>64.0</v>
      </c>
      <c r="H26" s="9" t="n">
        <v>32</v>
      </c>
      <c r="I26" s="21" t="inlineStr">
        <is>
          <t>Refrigeración a 4 °C</t>
        </is>
      </c>
      <c r="J26" s="10" t="n">
        <v>46271</v>
      </c>
      <c r="K26" s="9" t="n">
        <v>1</v>
      </c>
      <c r="L26" s="23">
        <f>IF(OR(NOT(ISNUMBER($J26)),NOT(ISNUMBER($K26))),"",$J26+$K26)</f>
        <v>46272.0</v>
      </c>
      <c r="M26" s="13">
        <f>IFERROR(IF($G26="","",MAX(0,$G26-IF($H26="",0,$H26))),"")</f>
        <v>32.0</v>
      </c>
      <c r="N26" t="str">
        <f>IFERROR(IF($G26="","",TRIM(IF(AND(ISNUMBER($H26),$H26&gt;$G26),"Sobreproducción: el stock ya cubre toda la semana, no produzcas","")&amp;IF(AND(AND(ISNUMBER($H26),$H26&gt;$G26),AND(ISNUMBER($L26),ISNUMBER($H26),$H26&gt;0,ISNUMBER('Previsión de Cubiertos'!$B$7),ISNUMBER('Previsión de Cubiertos'!$B$8),$G26&gt;0,$L26&lt;'Previsión de Cubiertos'!$B$7+$H26*'Previsión de Cubiertos'!$B$8/$G26)),". ","")&amp;IF(AND(ISNUMBER($L26),ISNUMBER($H26),$H26&gt;0,ISNUMBER('Previsión de Cubiertos'!$B$7),ISNUMBER('Previsión de Cubiertos'!$B$8),$G26&gt;0,$L26&lt;'Previsión de Cubiertos'!$B$7+$H26*'Previsión de Cubiertos'!$B$8/$G26),"El stock caduca antes de consumirse al ritmo previsto: prográmalo en los primeros días",""))),"")</f>
        <v>El stock caduca antes de consumirse al ritmo previsto: prográmalo en los primeros días</v>
      </c>
    </row>
    <row r="27" ht="30" customHeight="1">
      <c r="A27" s="20" t="inlineStr">
        <is>
          <t>E4</t>
        </is>
      </c>
      <c r="B27" s="21" t="inlineStr">
        <is>
          <t>Huevos rotos con patatas y chistorra</t>
        </is>
      </c>
      <c r="C27" s="21" t="inlineStr">
        <is>
          <t>Patata confitada</t>
        </is>
      </c>
      <c r="D27" s="21" t="inlineStr">
        <is>
          <t>Fríos y entrantes</t>
        </is>
      </c>
      <c r="E27" s="21" t="inlineStr">
        <is>
          <t>1 ración para compartir</t>
        </is>
      </c>
      <c r="F27" s="22" t="n">
        <v>0.09743589743589744</v>
      </c>
      <c r="G27" s="13">
        <f>IFERROR(IF(OR(NOT(ISNUMBER($F27)),NOT(ISNUMBER($B$6))),"",ROUNDUP($F27*$B$6,0)),"")</f>
        <v>94.0</v>
      </c>
      <c r="H27" s="9" t="n">
        <v>90</v>
      </c>
      <c r="I27" s="21" t="inlineStr">
        <is>
          <t>Refrigeración a 4 °C</t>
        </is>
      </c>
      <c r="J27" s="10" t="n">
        <v>46270</v>
      </c>
      <c r="K27" s="9" t="n">
        <v>4</v>
      </c>
      <c r="L27" s="23">
        <f>IF(OR(NOT(ISNUMBER($J27)),NOT(ISNUMBER($K27))),"",$J27+$K27)</f>
        <v>46274.0</v>
      </c>
      <c r="M27" s="13">
        <f>IFERROR(IF($G27="","",MAX(0,$G27-IF($H27="",0,$H27))),"")</f>
        <v>4.0</v>
      </c>
      <c r="N27" t="str">
        <f>IFERROR(IF($G27="","",TRIM(IF(AND(ISNUMBER($H27),$H27&gt;$G27),"Sobreproducción: el stock ya cubre toda la semana, no produzcas","")&amp;IF(AND(AND(ISNUMBER($H27),$H27&gt;$G27),AND(ISNUMBER($L27),ISNUMBER($H27),$H27&gt;0,ISNUMBER('Previsión de Cubiertos'!$B$7),ISNUMBER('Previsión de Cubiertos'!$B$8),$G27&gt;0,$L27&lt;'Previsión de Cubiertos'!$B$7+$H27*'Previsión de Cubiertos'!$B$8/$G27)),". ","")&amp;IF(AND(ISNUMBER($L27),ISNUMBER($H27),$H27&gt;0,ISNUMBER('Previsión de Cubiertos'!$B$7),ISNUMBER('Previsión de Cubiertos'!$B$8),$G27&gt;0,$L27&lt;'Previsión de Cubiertos'!$B$7+$H27*'Previsión de Cubiertos'!$B$8/$G27),"El stock caduca antes de consumirse al ritmo previsto: prográmalo en los primeros días",""))),"")</f>
        <v>El stock caduca antes de consumirse al ritmo previsto: prográmalo en los primeros días</v>
      </c>
    </row>
    <row r="28" ht="30" customHeight="1">
      <c r="A28" s="20" t="inlineStr">
        <is>
          <t>P1</t>
        </is>
      </c>
      <c r="B28" s="21" t="inlineStr">
        <is>
          <t>Solomillo de cerdo ibérico con puré de boniato</t>
        </is>
      </c>
      <c r="C28" s="21" t="inlineStr">
        <is>
          <t>Puré de boniato</t>
        </is>
      </c>
      <c r="D28" s="21" t="inlineStr">
        <is>
          <t>Pase y caliente</t>
        </is>
      </c>
      <c r="E28" s="21" t="inlineStr">
        <is>
          <t>1 ración (solomillo y puré)</t>
        </is>
      </c>
      <c r="F28" s="22" t="n">
        <v>0.08717948717948718</v>
      </c>
      <c r="G28" s="13">
        <f>IFERROR(IF(OR(NOT(ISNUMBER($F28)),NOT(ISNUMBER($B$6))),"",ROUNDUP($F28*$B$6,0)),"")</f>
        <v>84.0</v>
      </c>
      <c r="H28" s="9" t="n">
        <v>60</v>
      </c>
      <c r="I28" s="21" t="inlineStr">
        <is>
          <t>Refrigeración a 4 °C</t>
        </is>
      </c>
      <c r="J28" s="10" t="n">
        <v>46271</v>
      </c>
      <c r="K28" s="9" t="n">
        <v>3</v>
      </c>
      <c r="L28" s="23">
        <f>IF(OR(NOT(ISNUMBER($J28)),NOT(ISNUMBER($K28))),"",$J28+$K28)</f>
        <v>46274.0</v>
      </c>
      <c r="M28" s="13">
        <f>IFERROR(IF($G28="","",MAX(0,$G28-IF($H28="",0,$H28))),"")</f>
        <v>24.0</v>
      </c>
      <c r="N28" t="str">
        <f>IFERROR(IF($G28="","",TRIM(IF(AND(ISNUMBER($H28),$H28&gt;$G28),"Sobreproducción: el stock ya cubre toda la semana, no produzcas","")&amp;IF(AND(AND(ISNUMBER($H28),$H28&gt;$G28),AND(ISNUMBER($L28),ISNUMBER($H28),$H28&gt;0,ISNUMBER('Previsión de Cubiertos'!$B$7),ISNUMBER('Previsión de Cubiertos'!$B$8),$G28&gt;0,$L28&lt;'Previsión de Cubiertos'!$B$7+$H28*'Previsión de Cubiertos'!$B$8/$G28)),". ","")&amp;IF(AND(ISNUMBER($L28),ISNUMBER($H28),$H28&gt;0,ISNUMBER('Previsión de Cubiertos'!$B$7),ISNUMBER('Previsión de Cubiertos'!$B$8),$G28&gt;0,$L28&lt;'Previsión de Cubiertos'!$B$7+$H28*'Previsión de Cubiertos'!$B$8/$G28),"El stock caduca antes de consumirse al ritmo previsto: prográmalo en los primeros días",""))),"")</f>
        <v>El stock caduca antes de consumirse al ritmo previsto: prográmalo en los primeros días</v>
      </c>
    </row>
    <row r="29" ht="30" customHeight="1">
      <c r="A29" s="20" t="inlineStr">
        <is>
          <t>P2</t>
        </is>
      </c>
      <c r="B29" s="21" t="inlineStr">
        <is>
          <t>Bacalao confitado al pil-pil</t>
        </is>
      </c>
      <c r="C29" s="21" t="inlineStr">
        <is>
          <t>Bacalao desalado y porcionado</t>
        </is>
      </c>
      <c r="D29" s="21" t="inlineStr">
        <is>
          <t>Pase y caliente</t>
        </is>
      </c>
      <c r="E29" s="21" t="inlineStr">
        <is>
          <t>1 lomo confitado</t>
        </is>
      </c>
      <c r="F29" s="22" t="n">
        <v>0.04871794871794872</v>
      </c>
      <c r="G29" s="13">
        <f>IFERROR(IF(OR(NOT(ISNUMBER($F29)),NOT(ISNUMBER($B$6))),"",ROUNDUP($F29*$B$6,0)),"")</f>
        <v>47.0</v>
      </c>
      <c r="H29" s="9" t="n">
        <v>24</v>
      </c>
      <c r="I29" s="21" t="inlineStr">
        <is>
          <t>Refrigeración a 4 °C</t>
        </is>
      </c>
      <c r="J29" s="10" t="n">
        <v>46270</v>
      </c>
      <c r="K29" s="9" t="n">
        <v>2</v>
      </c>
      <c r="L29" s="23">
        <f>IF(OR(NOT(ISNUMBER($J29)),NOT(ISNUMBER($K29))),"",$J29+$K29)</f>
        <v>46272.0</v>
      </c>
      <c r="M29" s="13">
        <f>IFERROR(IF($G29="","",MAX(0,$G29-IF($H29="",0,$H29))),"")</f>
        <v>23.0</v>
      </c>
      <c r="N29" t="str">
        <f>IFERROR(IF($G29="","",TRIM(IF(AND(ISNUMBER($H29),$H29&gt;$G29),"Sobreproducción: el stock ya cubre toda la semana, no produzcas","")&amp;IF(AND(AND(ISNUMBER($H29),$H29&gt;$G29),AND(ISNUMBER($L29),ISNUMBER($H29),$H29&gt;0,ISNUMBER('Previsión de Cubiertos'!$B$7),ISNUMBER('Previsión de Cubiertos'!$B$8),$G29&gt;0,$L29&lt;'Previsión de Cubiertos'!$B$7+$H29*'Previsión de Cubiertos'!$B$8/$G29)),". ","")&amp;IF(AND(ISNUMBER($L29),ISNUMBER($H29),$H29&gt;0,ISNUMBER('Previsión de Cubiertos'!$B$7),ISNUMBER('Previsión de Cubiertos'!$B$8),$G29&gt;0,$L29&lt;'Previsión de Cubiertos'!$B$7+$H29*'Previsión de Cubiertos'!$B$8/$G29),"El stock caduca antes de consumirse al ritmo previsto: prográmalo en los primeros días",""))),"")</f>
        <v>El stock caduca antes de consumirse al ritmo previsto: prográmalo en los primeros días</v>
      </c>
    </row>
    <row r="30" ht="30" customHeight="1">
      <c r="A30" s="20" t="inlineStr">
        <is>
          <t>P3</t>
        </is>
      </c>
      <c r="B30" s="21" t="inlineStr">
        <is>
          <t>Hamburguesa de vaca madurada con patatas</t>
        </is>
      </c>
      <c r="C30" s="21" t="inlineStr">
        <is>
          <t>Hamburguesa formada</t>
        </is>
      </c>
      <c r="D30" s="21" t="inlineStr">
        <is>
          <t>Pase y caliente</t>
        </is>
      </c>
      <c r="E30" s="21" t="inlineStr">
        <is>
          <t>1 hamburguesa con guarnición</t>
        </is>
      </c>
      <c r="F30" s="22" t="n">
        <v>0.1179487179487179</v>
      </c>
      <c r="G30" s="13">
        <f>IFERROR(IF(OR(NOT(ISNUMBER($F30)),NOT(ISNUMBER($B$6))),"",ROUNDUP($F30*$B$6,0)),"")</f>
        <v>113.0</v>
      </c>
      <c r="H30" s="9" t="n">
        <v>80</v>
      </c>
      <c r="I30" s="21" t="inlineStr">
        <is>
          <t>Refrigeración a 4 °C</t>
        </is>
      </c>
      <c r="J30" s="10" t="n">
        <v>46271</v>
      </c>
      <c r="K30" s="9" t="n">
        <v>2</v>
      </c>
      <c r="L30" s="23">
        <f>IF(OR(NOT(ISNUMBER($J30)),NOT(ISNUMBER($K30))),"",$J30+$K30)</f>
        <v>46273.0</v>
      </c>
      <c r="M30" s="13">
        <f>IFERROR(IF($G30="","",MAX(0,$G30-IF($H30="",0,$H30))),"")</f>
        <v>33.0</v>
      </c>
      <c r="N30" t="str">
        <f>IFERROR(IF($G30="","",TRIM(IF(AND(ISNUMBER($H30),$H30&gt;$G30),"Sobreproducción: el stock ya cubre toda la semana, no produzcas","")&amp;IF(AND(AND(ISNUMBER($H30),$H30&gt;$G30),AND(ISNUMBER($L30),ISNUMBER($H30),$H30&gt;0,ISNUMBER('Previsión de Cubiertos'!$B$7),ISNUMBER('Previsión de Cubiertos'!$B$8),$G30&gt;0,$L30&lt;'Previsión de Cubiertos'!$B$7+$H30*'Previsión de Cubiertos'!$B$8/$G30)),". ","")&amp;IF(AND(ISNUMBER($L30),ISNUMBER($H30),$H30&gt;0,ISNUMBER('Previsión de Cubiertos'!$B$7),ISNUMBER('Previsión de Cubiertos'!$B$8),$G30&gt;0,$L30&lt;'Previsión de Cubiertos'!$B$7+$H30*'Previsión de Cubiertos'!$B$8/$G30),"El stock caduca antes de consumirse al ritmo previsto: prográmalo en los primeros días",""))),"")</f>
        <v>El stock caduca antes de consumirse al ritmo previsto: prográmalo en los primeros días</v>
      </c>
    </row>
    <row r="31" ht="30" customHeight="1">
      <c r="A31" s="20" t="inlineStr">
        <is>
          <t>P4</t>
        </is>
      </c>
      <c r="B31" s="21" t="inlineStr">
        <is>
          <t>Arroz meloso de secreto ibérico y setas</t>
        </is>
      </c>
      <c r="C31" s="21" t="inlineStr">
        <is>
          <t>Fondo de arroz y sofrito</t>
        </is>
      </c>
      <c r="D31" s="21" t="inlineStr">
        <is>
          <t>Pase y caliente</t>
        </is>
      </c>
      <c r="E31" s="21" t="inlineStr">
        <is>
          <t>1 ración de arroz (mínimo 2 pax)</t>
        </is>
      </c>
      <c r="F31" s="22" t="n">
        <v>0.06923076923076923</v>
      </c>
      <c r="G31" s="13">
        <f>IFERROR(IF(OR(NOT(ISNUMBER($F31)),NOT(ISNUMBER($B$6))),"",ROUNDUP($F31*$B$6,0)),"")</f>
        <v>67.0</v>
      </c>
      <c r="H31" s="9" t="n">
        <v>110</v>
      </c>
      <c r="I31" s="21" t="inlineStr">
        <is>
          <t>Refrigeración a 4 °C</t>
        </is>
      </c>
      <c r="J31" s="10" t="n">
        <v>46269</v>
      </c>
      <c r="K31" s="9" t="n">
        <v>5</v>
      </c>
      <c r="L31" s="23">
        <f>IF(OR(NOT(ISNUMBER($J31)),NOT(ISNUMBER($K31))),"",$J31+$K31)</f>
        <v>46274.0</v>
      </c>
      <c r="M31" s="13">
        <f>IFERROR(IF($G31="","",MAX(0,$G31-IF($H31="",0,$H31))),"")</f>
        <v>0.0</v>
      </c>
      <c r="N31" t="str">
        <f>IFERROR(IF($G31="","",TRIM(IF(AND(ISNUMBER($H31),$H31&gt;$G31),"Sobreproducción: el stock ya cubre toda la semana, no produzcas","")&amp;IF(AND(AND(ISNUMBER($H31),$H31&gt;$G31),AND(ISNUMBER($L31),ISNUMBER($H31),$H31&gt;0,ISNUMBER('Previsión de Cubiertos'!$B$7),ISNUMBER('Previsión de Cubiertos'!$B$8),$G31&gt;0,$L31&lt;'Previsión de Cubiertos'!$B$7+$H31*'Previsión de Cubiertos'!$B$8/$G31)),". ","")&amp;IF(AND(ISNUMBER($L31),ISNUMBER($H31),$H31&gt;0,ISNUMBER('Previsión de Cubiertos'!$B$7),ISNUMBER('Previsión de Cubiertos'!$B$8),$G31&gt;0,$L31&lt;'Previsión de Cubiertos'!$B$7+$H31*'Previsión de Cubiertos'!$B$8/$G31),"El stock caduca antes de consumirse al ritmo previsto: prográmalo en los primeros días",""))),"")</f>
        <v>Sobreproducción: el stock ya cubre toda la semana, no produzcas. El stock caduca antes de consumirse al ritmo previsto: prográmalo en los primeros días</v>
      </c>
    </row>
    <row r="32" ht="30" customHeight="1">
      <c r="A32" s="20" t="inlineStr">
        <is>
          <t>P5</t>
        </is>
      </c>
      <c r="B32" s="21" t="inlineStr">
        <is>
          <t>Chuletón de vaca madurada (500 g)</t>
        </is>
      </c>
      <c r="C32" s="21" t="inlineStr"/>
      <c r="D32" s="21" t="inlineStr">
        <is>
          <t>Pase y caliente</t>
        </is>
      </c>
      <c r="E32" s="21" t="inlineStr">
        <is>
          <t>1 chuletón de 500 g</t>
        </is>
      </c>
      <c r="F32" s="22" t="n">
        <v>0.02820512820512821</v>
      </c>
      <c r="G32" s="13">
        <f>IFERROR(IF(OR(NOT(ISNUMBER($F32)),NOT(ISNUMBER($B$6))),"",ROUNDUP($F32*$B$6,0)),"")</f>
        <v>28.0</v>
      </c>
      <c r="H32" s="9" t="n">
        <v>0</v>
      </c>
      <c r="I32" s="21" t="inlineStr">
        <is>
          <t>No aplica</t>
        </is>
      </c>
      <c r="J32" s="10" t="n"/>
      <c r="K32" s="9" t="n"/>
      <c r="L32" s="23">
        <f>IF(OR(NOT(ISNUMBER($J32)),NOT(ISNUMBER($K32))),"",$J32+$K32)</f>
        <v/>
      </c>
      <c r="M32" s="13">
        <f>IFERROR(IF($G32="","",MAX(0,$G32-IF($H32="",0,$H32))),"")</f>
        <v>28.0</v>
      </c>
      <c r="N32">
        <f>IFERROR(IF($G32="","",TRIM(IF(AND(ISNUMBER($H32),$H32&gt;$G32),"Sobreproducción: el stock ya cubre toda la semana, no produzcas","")&amp;IF(AND(AND(ISNUMBER($H32),$H32&gt;$G32),AND(ISNUMBER($L32),ISNUMBER($H32),$H32&gt;0,ISNUMBER('Previsión de Cubiertos'!$B$7),ISNUMBER('Previsión de Cubiertos'!$B$8),$G32&gt;0,$L32&lt;'Previsión de Cubiertos'!$B$7+$H32*'Previsión de Cubiertos'!$B$8/$G32)),". ","")&amp;IF(AND(ISNUMBER($L32),ISNUMBER($H32),$H32&gt;0,ISNUMBER('Previsión de Cubiertos'!$B$7),ISNUMBER('Previsión de Cubiertos'!$B$8),$G32&gt;0,$L32&lt;'Previsión de Cubiertos'!$B$7+$H32*'Previsión de Cubiertos'!$B$8/$G32),"El stock caduca antes de consumirse al ritmo previsto: prográmalo en los primeros días",""))),"")</f>
        <v/>
      </c>
    </row>
    <row r="33" ht="30" customHeight="1">
      <c r="A33" s="20" t="inlineStr">
        <is>
          <t>D1</t>
        </is>
      </c>
      <c r="B33" s="21" t="inlineStr">
        <is>
          <t>Tarta de queso cremosa</t>
        </is>
      </c>
      <c r="C33" s="21" t="inlineStr">
        <is>
          <t>Tarta de queso cuajada</t>
        </is>
      </c>
      <c r="D33" s="21" t="inlineStr">
        <is>
          <t>Postres y panadería</t>
        </is>
      </c>
      <c r="E33" s="21" t="inlineStr">
        <is>
          <t>1 porción</t>
        </is>
      </c>
      <c r="F33" s="22" t="n">
        <v>0.1333333333333333</v>
      </c>
      <c r="G33" s="13">
        <f>IFERROR(IF(OR(NOT(ISNUMBER($F33)),NOT(ISNUMBER($B$6))),"",ROUNDUP($F33*$B$6,0)),"")</f>
        <v>128.0</v>
      </c>
      <c r="H33" s="9" t="n">
        <v>46</v>
      </c>
      <c r="I33" s="21" t="inlineStr">
        <is>
          <t>Refrigeración a 4 °C</t>
        </is>
      </c>
      <c r="J33" s="10" t="n">
        <v>46271</v>
      </c>
      <c r="K33" s="9" t="n">
        <v>4</v>
      </c>
      <c r="L33" s="23">
        <f>IF(OR(NOT(ISNUMBER($J33)),NOT(ISNUMBER($K33))),"",$J33+$K33)</f>
        <v>46275.0</v>
      </c>
      <c r="M33" s="13">
        <f>IFERROR(IF($G33="","",MAX(0,$G33-IF($H33="",0,$H33))),"")</f>
        <v>82.0</v>
      </c>
      <c r="N33">
        <f>IFERROR(IF($G33="","",TRIM(IF(AND(ISNUMBER($H33),$H33&gt;$G33),"Sobreproducción: el stock ya cubre toda la semana, no produzcas","")&amp;IF(AND(AND(ISNUMBER($H33),$H33&gt;$G33),AND(ISNUMBER($L33),ISNUMBER($H33),$H33&gt;0,ISNUMBER('Previsión de Cubiertos'!$B$7),ISNUMBER('Previsión de Cubiertos'!$B$8),$G33&gt;0,$L33&lt;'Previsión de Cubiertos'!$B$7+$H33*'Previsión de Cubiertos'!$B$8/$G33)),". ","")&amp;IF(AND(ISNUMBER($L33),ISNUMBER($H33),$H33&gt;0,ISNUMBER('Previsión de Cubiertos'!$B$7),ISNUMBER('Previsión de Cubiertos'!$B$8),$G33&gt;0,$L33&lt;'Previsión de Cubiertos'!$B$7+$H33*'Previsión de Cubiertos'!$B$8/$G33),"El stock caduca antes de consumirse al ritmo previsto: prográmalo en los primeros días",""))),"")</f>
        <v/>
      </c>
    </row>
    <row r="34" ht="30" customHeight="1">
      <c r="A34" s="20" t="inlineStr">
        <is>
          <t>D2</t>
        </is>
      </c>
      <c r="B34" s="21" t="inlineStr">
        <is>
          <t>Torrija caramelizada con helado</t>
        </is>
      </c>
      <c r="C34" s="21" t="inlineStr">
        <is>
          <t>Torrija empapada, sin caramelizar</t>
        </is>
      </c>
      <c r="D34" s="21" t="inlineStr">
        <is>
          <t>Postres y panadería</t>
        </is>
      </c>
      <c r="E34" s="21" t="inlineStr">
        <is>
          <t>1 torrija con helado</t>
        </is>
      </c>
      <c r="F34" s="22" t="n">
        <v>0.05384615384615385</v>
      </c>
      <c r="G34" s="13">
        <f>IFERROR(IF(OR(NOT(ISNUMBER($F34)),NOT(ISNUMBER($B$6))),"",ROUNDUP($F34*$B$6,0)),"")</f>
        <v>52.0</v>
      </c>
      <c r="H34" s="9" t="n">
        <v>32</v>
      </c>
      <c r="I34" s="21" t="inlineStr">
        <is>
          <t>Refrigeración a 4 °C</t>
        </is>
      </c>
      <c r="J34" s="10" t="n">
        <v>46270</v>
      </c>
      <c r="K34" s="9" t="n">
        <v>3</v>
      </c>
      <c r="L34" s="23">
        <f>IF(OR(NOT(ISNUMBER($J34)),NOT(ISNUMBER($K34))),"",$J34+$K34)</f>
        <v>46273.0</v>
      </c>
      <c r="M34" s="13">
        <f>IFERROR(IF($G34="","",MAX(0,$G34-IF($H34="",0,$H34))),"")</f>
        <v>20.0</v>
      </c>
      <c r="N34" t="str">
        <f>IFERROR(IF($G34="","",TRIM(IF(AND(ISNUMBER($H34),$H34&gt;$G34),"Sobreproducción: el stock ya cubre toda la semana, no produzcas","")&amp;IF(AND(AND(ISNUMBER($H34),$H34&gt;$G34),AND(ISNUMBER($L34),ISNUMBER($H34),$H34&gt;0,ISNUMBER('Previsión de Cubiertos'!$B$7),ISNUMBER('Previsión de Cubiertos'!$B$8),$G34&gt;0,$L34&lt;'Previsión de Cubiertos'!$B$7+$H34*'Previsión de Cubiertos'!$B$8/$G34)),". ","")&amp;IF(AND(ISNUMBER($L34),ISNUMBER($H34),$H34&gt;0,ISNUMBER('Previsión de Cubiertos'!$B$7),ISNUMBER('Previsión de Cubiertos'!$B$8),$G34&gt;0,$L34&lt;'Previsión de Cubiertos'!$B$7+$H34*'Previsión de Cubiertos'!$B$8/$G34),"El stock caduca antes de consumirse al ritmo previsto: prográmalo en los primeros días",""))),"")</f>
        <v>El stock caduca antes de consumirse al ritmo previsto: prográmalo en los primeros días</v>
      </c>
    </row>
    <row r="35" ht="30" customHeight="1">
      <c r="A35" s="20" t="inlineStr">
        <is>
          <t>D3</t>
        </is>
      </c>
      <c r="B35" s="21" t="inlineStr">
        <is>
          <t>Coulant de chocolate</t>
        </is>
      </c>
      <c r="C35" s="21" t="inlineStr">
        <is>
          <t>Coulant crudo congelado</t>
        </is>
      </c>
      <c r="D35" s="21" t="inlineStr">
        <is>
          <t>Postres y panadería</t>
        </is>
      </c>
      <c r="E35" s="21" t="inlineStr">
        <is>
          <t>1 coulant</t>
        </is>
      </c>
      <c r="F35" s="22" t="n">
        <v>0.08461538461538462</v>
      </c>
      <c r="G35" s="13">
        <f>IFERROR(IF(OR(NOT(ISNUMBER($F35)),NOT(ISNUMBER($B$6))),"",ROUNDUP($F35*$B$6,0)),"")</f>
        <v>82.0</v>
      </c>
      <c r="H35" s="9" t="n">
        <v>120</v>
      </c>
      <c r="I35" s="21" t="inlineStr">
        <is>
          <t>Congelación a -18 °C</t>
        </is>
      </c>
      <c r="J35" s="10" t="n">
        <v>46262</v>
      </c>
      <c r="K35" s="9" t="n">
        <v>60</v>
      </c>
      <c r="L35" s="23">
        <f>IF(OR(NOT(ISNUMBER($J35)),NOT(ISNUMBER($K35))),"",$J35+$K35)</f>
        <v>46322.0</v>
      </c>
      <c r="M35" s="13">
        <f>IFERROR(IF($G35="","",MAX(0,$G35-IF($H35="",0,$H35))),"")</f>
        <v>0.0</v>
      </c>
      <c r="N35" t="str">
        <f>IFERROR(IF($G35="","",TRIM(IF(AND(ISNUMBER($H35),$H35&gt;$G35),"Sobreproducción: el stock ya cubre toda la semana, no produzcas","")&amp;IF(AND(AND(ISNUMBER($H35),$H35&gt;$G35),AND(ISNUMBER($L35),ISNUMBER($H35),$H35&gt;0,ISNUMBER('Previsión de Cubiertos'!$B$7),ISNUMBER('Previsión de Cubiertos'!$B$8),$G35&gt;0,$L35&lt;'Previsión de Cubiertos'!$B$7+$H35*'Previsión de Cubiertos'!$B$8/$G35)),". ","")&amp;IF(AND(ISNUMBER($L35),ISNUMBER($H35),$H35&gt;0,ISNUMBER('Previsión de Cubiertos'!$B$7),ISNUMBER('Previsión de Cubiertos'!$B$8),$G35&gt;0,$L35&lt;'Previsión de Cubiertos'!$B$7+$H35*'Previsión de Cubiertos'!$B$8/$G35),"El stock caduca antes de consumirse al ritmo previsto: prográmalo en los primeros días",""))),"")</f>
        <v>Sobreproducción: el stock ya cubre toda la semana, no produzcas</v>
      </c>
    </row>
    <row r="36">
      <c r="A36" s="5" t="n"/>
      <c r="B36" s="5" t="n"/>
      <c r="C36" s="5" t="n"/>
      <c r="D36" s="5" t="n"/>
      <c r="E36" s="5" t="n"/>
      <c r="F36" s="22" t="n"/>
      <c r="G36" s="13">
        <f>IFERROR(IF(OR(NOT(ISNUMBER($F36)),NOT(ISNUMBER($B$6))),"",ROUNDUP($F36*$B$6,0)),"")</f>
        <v/>
      </c>
      <c r="H36" s="9" t="n"/>
      <c r="I36" s="5" t="n"/>
      <c r="J36" s="10" t="n"/>
      <c r="K36" s="9" t="n"/>
      <c r="L36" s="23">
        <f>IF(OR(NOT(ISNUMBER($J36)),NOT(ISNUMBER($K36))),"",$J36+$K36)</f>
        <v/>
      </c>
      <c r="M36" s="13">
        <f>IFERROR(IF($G36="","",MAX(0,$G36-IF($H36="",0,$H36))),"")</f>
        <v/>
      </c>
      <c r="N36">
        <f>IFERROR(IF($G36="","",TRIM(IF(AND(ISNUMBER($H36),$H36&gt;$G36),"Sobreproducción: el stock ya cubre toda la semana, no produzcas","")&amp;IF(AND(AND(ISNUMBER($H36),$H36&gt;$G36),AND(ISNUMBER($L36),ISNUMBER($H36),$H36&gt;0,ISNUMBER('Previsión de Cubiertos'!$B$7),ISNUMBER('Previsión de Cubiertos'!$B$8),$G36&gt;0,$L36&lt;'Previsión de Cubiertos'!$B$7+$H36*'Previsión de Cubiertos'!$B$8/$G36)),". ","")&amp;IF(AND(ISNUMBER($L36),ISNUMBER($H36),$H36&gt;0,ISNUMBER('Previsión de Cubiertos'!$B$7),ISNUMBER('Previsión de Cubiertos'!$B$8),$G36&gt;0,$L36&lt;'Previsión de Cubiertos'!$B$7+$H36*'Previsión de Cubiertos'!$B$8/$G36),"El stock caduca antes de consumirse al ritmo previsto: prográmalo en los primeros días",""))),"")</f>
        <v/>
      </c>
    </row>
    <row r="37">
      <c r="A37" s="5" t="n"/>
      <c r="B37" s="5" t="n"/>
      <c r="C37" s="5" t="n"/>
      <c r="D37" s="5" t="n"/>
      <c r="E37" s="5" t="n"/>
      <c r="F37" s="22" t="n"/>
      <c r="G37" s="13">
        <f>IFERROR(IF(OR(NOT(ISNUMBER($F37)),NOT(ISNUMBER($B$6))),"",ROUNDUP($F37*$B$6,0)),"")</f>
        <v/>
      </c>
      <c r="H37" s="9" t="n"/>
      <c r="I37" s="5" t="n"/>
      <c r="J37" s="10" t="n"/>
      <c r="K37" s="9" t="n"/>
      <c r="L37" s="23">
        <f>IF(OR(NOT(ISNUMBER($J37)),NOT(ISNUMBER($K37))),"",$J37+$K37)</f>
        <v/>
      </c>
      <c r="M37" s="13">
        <f>IFERROR(IF($G37="","",MAX(0,$G37-IF($H37="",0,$H37))),"")</f>
        <v/>
      </c>
      <c r="N37">
        <f>IFERROR(IF($G37="","",TRIM(IF(AND(ISNUMBER($H37),$H37&gt;$G37),"Sobreproducción: el stock ya cubre toda la semana, no produzcas","")&amp;IF(AND(AND(ISNUMBER($H37),$H37&gt;$G37),AND(ISNUMBER($L37),ISNUMBER($H37),$H37&gt;0,ISNUMBER('Previsión de Cubiertos'!$B$7),ISNUMBER('Previsión de Cubiertos'!$B$8),$G37&gt;0,$L37&lt;'Previsión de Cubiertos'!$B$7+$H37*'Previsión de Cubiertos'!$B$8/$G37)),". ","")&amp;IF(AND(ISNUMBER($L37),ISNUMBER($H37),$H37&gt;0,ISNUMBER('Previsión de Cubiertos'!$B$7),ISNUMBER('Previsión de Cubiertos'!$B$8),$G37&gt;0,$L37&lt;'Previsión de Cubiertos'!$B$7+$H37*'Previsión de Cubiertos'!$B$8/$G37),"El stock caduca antes de consumirse al ritmo previsto: prográmalo en los primeros días",""))),"")</f>
        <v/>
      </c>
    </row>
    <row r="38">
      <c r="A38" s="5" t="n"/>
      <c r="B38" s="5" t="n"/>
      <c r="C38" s="5" t="n"/>
      <c r="D38" s="5" t="n"/>
      <c r="E38" s="5" t="n"/>
      <c r="F38" s="22" t="n"/>
      <c r="G38" s="13">
        <f>IFERROR(IF(OR(NOT(ISNUMBER($F38)),NOT(ISNUMBER($B$6))),"",ROUNDUP($F38*$B$6,0)),"")</f>
        <v/>
      </c>
      <c r="H38" s="9" t="n"/>
      <c r="I38" s="5" t="n"/>
      <c r="J38" s="10" t="n"/>
      <c r="K38" s="9" t="n"/>
      <c r="L38" s="23">
        <f>IF(OR(NOT(ISNUMBER($J38)),NOT(ISNUMBER($K38))),"",$J38+$K38)</f>
        <v/>
      </c>
      <c r="M38" s="13">
        <f>IFERROR(IF($G38="","",MAX(0,$G38-IF($H38="",0,$H38))),"")</f>
        <v/>
      </c>
      <c r="N38">
        <f>IFERROR(IF($G38="","",TRIM(IF(AND(ISNUMBER($H38),$H38&gt;$G38),"Sobreproducción: el stock ya cubre toda la semana, no produzcas","")&amp;IF(AND(AND(ISNUMBER($H38),$H38&gt;$G38),AND(ISNUMBER($L38),ISNUMBER($H38),$H38&gt;0,ISNUMBER('Previsión de Cubiertos'!$B$7),ISNUMBER('Previsión de Cubiertos'!$B$8),$G38&gt;0,$L38&lt;'Previsión de Cubiertos'!$B$7+$H38*'Previsión de Cubiertos'!$B$8/$G38)),". ","")&amp;IF(AND(ISNUMBER($L38),ISNUMBER($H38),$H38&gt;0,ISNUMBER('Previsión de Cubiertos'!$B$7),ISNUMBER('Previsión de Cubiertos'!$B$8),$G38&gt;0,$L38&lt;'Previsión de Cubiertos'!$B$7+$H38*'Previsión de Cubiertos'!$B$8/$G38),"El stock caduca antes de consumirse al ritmo previsto: prográmalo en los primeros días",""))),"")</f>
        <v/>
      </c>
    </row>
    <row r="39">
      <c r="A39" s="5" t="n"/>
      <c r="B39" s="5" t="n"/>
      <c r="C39" s="5" t="n"/>
      <c r="D39" s="5" t="n"/>
      <c r="E39" s="5" t="n"/>
      <c r="F39" s="22" t="n"/>
      <c r="G39" s="13">
        <f>IFERROR(IF(OR(NOT(ISNUMBER($F39)),NOT(ISNUMBER($B$6))),"",ROUNDUP($F39*$B$6,0)),"")</f>
        <v/>
      </c>
      <c r="H39" s="9" t="n"/>
      <c r="I39" s="5" t="n"/>
      <c r="J39" s="10" t="n"/>
      <c r="K39" s="9" t="n"/>
      <c r="L39" s="23">
        <f>IF(OR(NOT(ISNUMBER($J39)),NOT(ISNUMBER($K39))),"",$J39+$K39)</f>
        <v/>
      </c>
      <c r="M39" s="13">
        <f>IFERROR(IF($G39="","",MAX(0,$G39-IF($H39="",0,$H39))),"")</f>
        <v/>
      </c>
      <c r="N39">
        <f>IFERROR(IF($G39="","",TRIM(IF(AND(ISNUMBER($H39),$H39&gt;$G39),"Sobreproducción: el stock ya cubre toda la semana, no produzcas","")&amp;IF(AND(AND(ISNUMBER($H39),$H39&gt;$G39),AND(ISNUMBER($L39),ISNUMBER($H39),$H39&gt;0,ISNUMBER('Previsión de Cubiertos'!$B$7),ISNUMBER('Previsión de Cubiertos'!$B$8),$G39&gt;0,$L39&lt;'Previsión de Cubiertos'!$B$7+$H39*'Previsión de Cubiertos'!$B$8/$G39)),". ","")&amp;IF(AND(ISNUMBER($L39),ISNUMBER($H39),$H39&gt;0,ISNUMBER('Previsión de Cubiertos'!$B$7),ISNUMBER('Previsión de Cubiertos'!$B$8),$G39&gt;0,$L39&lt;'Previsión de Cubiertos'!$B$7+$H39*'Previsión de Cubiertos'!$B$8/$G39),"El stock caduca antes de consumirse al ritmo previsto: prográmalo en los primeros días",""))),"")</f>
        <v/>
      </c>
    </row>
    <row r="40">
      <c r="A40" s="5" t="n"/>
      <c r="B40" s="5" t="n"/>
      <c r="C40" s="5" t="n"/>
      <c r="D40" s="5" t="n"/>
      <c r="E40" s="5" t="n"/>
      <c r="F40" s="22" t="n"/>
      <c r="G40" s="13">
        <f>IFERROR(IF(OR(NOT(ISNUMBER($F40)),NOT(ISNUMBER($B$6))),"",ROUNDUP($F40*$B$6,0)),"")</f>
        <v/>
      </c>
      <c r="H40" s="9" t="n"/>
      <c r="I40" s="5" t="n"/>
      <c r="J40" s="10" t="n"/>
      <c r="K40" s="9" t="n"/>
      <c r="L40" s="23">
        <f>IF(OR(NOT(ISNUMBER($J40)),NOT(ISNUMBER($K40))),"",$J40+$K40)</f>
        <v/>
      </c>
      <c r="M40" s="13">
        <f>IFERROR(IF($G40="","",MAX(0,$G40-IF($H40="",0,$H40))),"")</f>
        <v/>
      </c>
      <c r="N40">
        <f>IFERROR(IF($G40="","",TRIM(IF(AND(ISNUMBER($H40),$H40&gt;$G40),"Sobreproducción: el stock ya cubre toda la semana, no produzcas","")&amp;IF(AND(AND(ISNUMBER($H40),$H40&gt;$G40),AND(ISNUMBER($L40),ISNUMBER($H40),$H40&gt;0,ISNUMBER('Previsión de Cubiertos'!$B$7),ISNUMBER('Previsión de Cubiertos'!$B$8),$G40&gt;0,$L40&lt;'Previsión de Cubiertos'!$B$7+$H40*'Previsión de Cubiertos'!$B$8/$G40)),". ","")&amp;IF(AND(ISNUMBER($L40),ISNUMBER($H40),$H40&gt;0,ISNUMBER('Previsión de Cubiertos'!$B$7),ISNUMBER('Previsión de Cubiertos'!$B$8),$G40&gt;0,$L40&lt;'Previsión de Cubiertos'!$B$7+$H40*'Previsión de Cubiertos'!$B$8/$G40),"El stock caduca antes de consumirse al ritmo previsto: prográmalo en los primeros días",""))),"")</f>
        <v/>
      </c>
    </row>
    <row r="41">
      <c r="A41" s="5" t="n"/>
      <c r="B41" s="5" t="n"/>
      <c r="C41" s="5" t="n"/>
      <c r="D41" s="5" t="n"/>
      <c r="E41" s="5" t="n"/>
      <c r="F41" s="22" t="n"/>
      <c r="G41" s="13">
        <f>IFERROR(IF(OR(NOT(ISNUMBER($F41)),NOT(ISNUMBER($B$6))),"",ROUNDUP($F41*$B$6,0)),"")</f>
        <v/>
      </c>
      <c r="H41" s="9" t="n"/>
      <c r="I41" s="5" t="n"/>
      <c r="J41" s="10" t="n"/>
      <c r="K41" s="9" t="n"/>
      <c r="L41" s="23">
        <f>IF(OR(NOT(ISNUMBER($J41)),NOT(ISNUMBER($K41))),"",$J41+$K41)</f>
        <v/>
      </c>
      <c r="M41" s="13">
        <f>IFERROR(IF($G41="","",MAX(0,$G41-IF($H41="",0,$H41))),"")</f>
        <v/>
      </c>
      <c r="N41">
        <f>IFERROR(IF($G41="","",TRIM(IF(AND(ISNUMBER($H41),$H41&gt;$G41),"Sobreproducción: el stock ya cubre toda la semana, no produzcas","")&amp;IF(AND(AND(ISNUMBER($H41),$H41&gt;$G41),AND(ISNUMBER($L41),ISNUMBER($H41),$H41&gt;0,ISNUMBER('Previsión de Cubiertos'!$B$7),ISNUMBER('Previsión de Cubiertos'!$B$8),$G41&gt;0,$L41&lt;'Previsión de Cubiertos'!$B$7+$H41*'Previsión de Cubiertos'!$B$8/$G41)),". ","")&amp;IF(AND(ISNUMBER($L41),ISNUMBER($H41),$H41&gt;0,ISNUMBER('Previsión de Cubiertos'!$B$7),ISNUMBER('Previsión de Cubiertos'!$B$8),$G41&gt;0,$L41&lt;'Previsión de Cubiertos'!$B$7+$H41*'Previsión de Cubiertos'!$B$8/$G41),"El stock caduca antes de consumirse al ritmo previsto: prográmalo en los primeros días",""))),"")</f>
        <v/>
      </c>
    </row>
    <row r="42">
      <c r="A42" s="5" t="n"/>
      <c r="B42" s="5" t="n"/>
      <c r="C42" s="5" t="n"/>
      <c r="D42" s="5" t="n"/>
      <c r="E42" s="5" t="n"/>
      <c r="F42" s="22" t="n"/>
      <c r="G42" s="13">
        <f>IFERROR(IF(OR(NOT(ISNUMBER($F42)),NOT(ISNUMBER($B$6))),"",ROUNDUP($F42*$B$6,0)),"")</f>
        <v/>
      </c>
      <c r="H42" s="9" t="n"/>
      <c r="I42" s="5" t="n"/>
      <c r="J42" s="10" t="n"/>
      <c r="K42" s="9" t="n"/>
      <c r="L42" s="23">
        <f>IF(OR(NOT(ISNUMBER($J42)),NOT(ISNUMBER($K42))),"",$J42+$K42)</f>
        <v/>
      </c>
      <c r="M42" s="13">
        <f>IFERROR(IF($G42="","",MAX(0,$G42-IF($H42="",0,$H42))),"")</f>
        <v/>
      </c>
      <c r="N42">
        <f>IFERROR(IF($G42="","",TRIM(IF(AND(ISNUMBER($H42),$H42&gt;$G42),"Sobreproducción: el stock ya cubre toda la semana, no produzcas","")&amp;IF(AND(AND(ISNUMBER($H42),$H42&gt;$G42),AND(ISNUMBER($L42),ISNUMBER($H42),$H42&gt;0,ISNUMBER('Previsión de Cubiertos'!$B$7),ISNUMBER('Previsión de Cubiertos'!$B$8),$G42&gt;0,$L42&lt;'Previsión de Cubiertos'!$B$7+$H42*'Previsión de Cubiertos'!$B$8/$G42)),". ","")&amp;IF(AND(ISNUMBER($L42),ISNUMBER($H42),$H42&gt;0,ISNUMBER('Previsión de Cubiertos'!$B$7),ISNUMBER('Previsión de Cubiertos'!$B$8),$G42&gt;0,$L42&lt;'Previsión de Cubiertos'!$B$7+$H42*'Previsión de Cubiertos'!$B$8/$G42),"El stock caduca antes de consumirse al ritmo previsto: prográmalo en los primeros días",""))),"")</f>
        <v/>
      </c>
    </row>
    <row r="43">
      <c r="A43" s="5" t="n"/>
      <c r="B43" s="5" t="n"/>
      <c r="C43" s="5" t="n"/>
      <c r="D43" s="5" t="n"/>
      <c r="E43" s="5" t="n"/>
      <c r="F43" s="22" t="n"/>
      <c r="G43" s="13">
        <f>IFERROR(IF(OR(NOT(ISNUMBER($F43)),NOT(ISNUMBER($B$6))),"",ROUNDUP($F43*$B$6,0)),"")</f>
        <v/>
      </c>
      <c r="H43" s="9" t="n"/>
      <c r="I43" s="5" t="n"/>
      <c r="J43" s="10" t="n"/>
      <c r="K43" s="9" t="n"/>
      <c r="L43" s="23">
        <f>IF(OR(NOT(ISNUMBER($J43)),NOT(ISNUMBER($K43))),"",$J43+$K43)</f>
        <v/>
      </c>
      <c r="M43" s="13">
        <f>IFERROR(IF($G43="","",MAX(0,$G43-IF($H43="",0,$H43))),"")</f>
        <v/>
      </c>
      <c r="N43">
        <f>IFERROR(IF($G43="","",TRIM(IF(AND(ISNUMBER($H43),$H43&gt;$G43),"Sobreproducción: el stock ya cubre toda la semana, no produzcas","")&amp;IF(AND(AND(ISNUMBER($H43),$H43&gt;$G43),AND(ISNUMBER($L43),ISNUMBER($H43),$H43&gt;0,ISNUMBER('Previsión de Cubiertos'!$B$7),ISNUMBER('Previsión de Cubiertos'!$B$8),$G43&gt;0,$L43&lt;'Previsión de Cubiertos'!$B$7+$H43*'Previsión de Cubiertos'!$B$8/$G43)),". ","")&amp;IF(AND(ISNUMBER($L43),ISNUMBER($H43),$H43&gt;0,ISNUMBER('Previsión de Cubiertos'!$B$7),ISNUMBER('Previsión de Cubiertos'!$B$8),$G43&gt;0,$L43&lt;'Previsión de Cubiertos'!$B$7+$H43*'Previsión de Cubiertos'!$B$8/$G43),"El stock caduca antes de consumirse al ritmo previsto: prográmalo en los primeros días",""))),"")</f>
        <v/>
      </c>
    </row>
    <row r="44">
      <c r="A44" s="15" t="inlineStr">
        <is>
          <t>TOTAL</t>
        </is>
      </c>
      <c r="B44" s="15" t="n"/>
      <c r="C44" s="15" t="n"/>
      <c r="D44" s="15" t="n"/>
      <c r="E44" s="15" t="n"/>
      <c r="F44" s="18">
        <f>IF(COUNT($F24:$F43)=0,"",SUM($F24:$F43))</f>
        <v>0.9743589743589743</v>
      </c>
      <c r="G44" s="16">
        <f>IF(COUNT(G24:G43)=0,"",SUM(G24:G43))</f>
        <v>940.0</v>
      </c>
      <c r="H44" s="16">
        <f>IF(COUNT(H24:H43)=0,"",SUM(H24:H43))</f>
        <v>734.0</v>
      </c>
      <c r="I44" s="15" t="n"/>
      <c r="J44" s="15" t="n"/>
      <c r="K44" s="15" t="n"/>
      <c r="L44" s="15" t="n"/>
      <c r="M44" s="16">
        <f>IF(COUNT(M24:M43)=0,"",SUM(M24:M43))</f>
        <v>323.0</v>
      </c>
      <c r="N44" s="15" t="n"/>
    </row>
    <row r="45">
      <c r="A45" t="inlineStr">
        <is>
          <t>El total del mix no tiene por qué sumar 100 %: mide cuántas raciones de estos platos se venden por cada 100 cubiertos, y un comensal puede pedir entrante y principal, o sólo un plato del menú.</t>
        </is>
      </c>
    </row>
    <row r="46">
      <c r="A46" t="inlineStr">
        <is>
          <t>La fecha de «consumir antes del» es la de elaboración más la vida útil que TÚ le has dado. No existe ninguna tabla legal de días: la ley sólo exige un estudio de vida útil documentado cuando el producto favorece el crecimiento de Listeria monocytogenes, y cada establecimiento fija y documenta su criterio dentro del APPCC. Verificado el 06-09-2026 · Reglamento (CE) 2073/2005, art. 1 y Anexo II · https://eur-lex.europa.eu/legal-content/ES/TXT/HTML/?uri=CELEX:02005R2073-20200308 El aviso de caducidad reparte el stock entre los días que cubre la planificación (celda verde de «Previsión de Cubiertos»): son DÍAS NATURALES, no días de servicio (A6 de la refutación xlsx), así que si cierras alguno, revisa a ojo lo que caduca en tu primer día de apertura.</t>
        </is>
      </c>
    </row>
    <row r="47">
      <c r="A47" t="inlineStr">
        <is>
          <t>Si congelas una elaboración de la casa, la etiqueta lleva TRES fechas: la de elaboración, la de congelación y la de caducidad o consumo preferente del congelado, con registro de descripción y cantidad. Verificado el 06-09-2026 · RD 1021/2022, art. 5 · https://www.boe.es/buscar/act.php?id=BOE-A-2022-21681</t>
        </is>
      </c>
    </row>
    <row r="48">
      <c r="A48" s="3" t="inlineStr">
        <is>
          <t>RESUMEN POR PARTIDA</t>
        </is>
      </c>
    </row>
    <row r="49" ht="44" customHeight="1">
      <c r="A49" s="6" t="inlineStr">
        <is>
          <t>Partida</t>
        </is>
      </c>
      <c r="B49" s="6" t="inlineStr">
        <is>
          <t>Raciones previstas</t>
        </is>
      </c>
      <c r="C49" s="6" t="inlineStr">
        <is>
          <t>Stock ya elaborado</t>
        </is>
      </c>
      <c r="D49" s="6" t="inlineStr">
        <is>
          <t>Raciones a producir</t>
        </is>
      </c>
      <c r="E49" s="6" t="inlineStr">
        <is>
          <t>Peso sobre lo que hay que producir</t>
        </is>
      </c>
    </row>
    <row r="50">
      <c r="A50" t="str">
        <f>IFERROR(IF(1&gt;$B$7,"",IF(INDEX($A$12:$A$19,1)=0,"",INDEX($A$12:$A$19,1))),"")</f>
        <v>Pase y caliente</v>
      </c>
      <c r="B50" s="13">
        <f>IF($A50="","",SUMIF($D$24:$D$43,$A50,$G$24:$G$43))</f>
        <v>339.0</v>
      </c>
      <c r="C50" s="13">
        <f>IF($A50="","",SUMIF($D$24:$D$43,$A50,$H$24:$H$43))</f>
        <v>274.0</v>
      </c>
      <c r="D50" s="13">
        <f>IF($A50="","",SUMIF($D$24:$D$43,$A50,$M$24:$M$43))</f>
        <v>108.0</v>
      </c>
      <c r="E50" s="14">
        <f>IFERROR(IF(OR($A50="",NOT(ISNUMBER($D50)),NOT(ISNUMBER($D$58)),$D$58=0),"",$D50/$D$58),"")</f>
        <v>0.33436532507739936</v>
      </c>
    </row>
    <row r="51">
      <c r="A51" t="str">
        <f>IFERROR(IF(2&gt;$B$7,"",IF(INDEX($A$12:$A$19,2)=0,"",INDEX($A$12:$A$19,2))),"")</f>
        <v>Fríos y entrantes</v>
      </c>
      <c r="B51" s="13">
        <f>IF($A51="","",SUMIF($D$24:$D$43,$A51,$G$24:$G$43))</f>
        <v>339.0</v>
      </c>
      <c r="C51" s="13">
        <f>IF($A51="","",SUMIF($D$24:$D$43,$A51,$H$24:$H$43))</f>
        <v>262.0</v>
      </c>
      <c r="D51" s="13">
        <f>IF($A51="","",SUMIF($D$24:$D$43,$A51,$M$24:$M$43))</f>
        <v>113.0</v>
      </c>
      <c r="E51" s="14">
        <f>IFERROR(IF(OR($A51="",NOT(ISNUMBER($D51)),NOT(ISNUMBER($D$58)),$D$58=0),"",$D51/$D$58),"")</f>
        <v>0.3498452012383901</v>
      </c>
    </row>
    <row r="52">
      <c r="A52" t="str">
        <f>IFERROR(IF(3&gt;$B$7,"",IF(INDEX($A$12:$A$19,3)=0,"",INDEX($A$12:$A$19,3))),"")</f>
        <v>Postres y panadería</v>
      </c>
      <c r="B52" s="13">
        <f>IF($A52="","",SUMIF($D$24:$D$43,$A52,$G$24:$G$43))</f>
        <v>262.0</v>
      </c>
      <c r="C52" s="13">
        <f>IF($A52="","",SUMIF($D$24:$D$43,$A52,$H$24:$H$43))</f>
        <v>198.0</v>
      </c>
      <c r="D52" s="13">
        <f>IF($A52="","",SUMIF($D$24:$D$43,$A52,$M$24:$M$43))</f>
        <v>102.0</v>
      </c>
      <c r="E52" s="14">
        <f>IFERROR(IF(OR($A52="",NOT(ISNUMBER($D52)),NOT(ISNUMBER($D$58)),$D$58=0),"",$D52/$D$58),"")</f>
        <v>0.3157894736842105</v>
      </c>
    </row>
    <row r="53">
      <c r="A53" t="str">
        <f>IFERROR(IF(4&gt;$B$7,"",IF(INDEX($A$12:$A$19,4)=0,"",INDEX($A$12:$A$19,4))),"")</f>
        <v>Barra y bebidas</v>
      </c>
      <c r="B53" s="13">
        <f>IF($A53="","",SUMIF($D$24:$D$43,$A53,$G$24:$G$43))</f>
        <v>0.0</v>
      </c>
      <c r="C53" s="13">
        <f>IF($A53="","",SUMIF($D$24:$D$43,$A53,$H$24:$H$43))</f>
        <v>0.0</v>
      </c>
      <c r="D53" s="13">
        <f>IF($A53="","",SUMIF($D$24:$D$43,$A53,$M$24:$M$43))</f>
        <v>0.0</v>
      </c>
      <c r="E53" s="14">
        <f>IFERROR(IF(OR($A53="",NOT(ISNUMBER($D53)),NOT(ISNUMBER($D$58)),$D$58=0),"",$D53/$D$58),"")</f>
        <v>0.0</v>
      </c>
    </row>
    <row r="54">
      <c r="A54" t="str">
        <f>IFERROR(IF(5&gt;$B$7,"",IF(INDEX($A$12:$A$19,5)=0,"",INDEX($A$12:$A$19,5))),"")</f>
        <v>Sala y servicio</v>
      </c>
      <c r="B54" s="13">
        <f>IF($A54="","",SUMIF($D$24:$D$43,$A54,$G$24:$G$43))</f>
        <v>0.0</v>
      </c>
      <c r="C54" s="13">
        <f>IF($A54="","",SUMIF($D$24:$D$43,$A54,$H$24:$H$43))</f>
        <v>0.0</v>
      </c>
      <c r="D54" s="13">
        <f>IF($A54="","",SUMIF($D$24:$D$43,$A54,$M$24:$M$43))</f>
        <v>0.0</v>
      </c>
      <c r="E54" s="14">
        <f>IFERROR(IF(OR($A54="",NOT(ISNUMBER($D54)),NOT(ISNUMBER($D$58)),$D$58=0),"",$D54/$D$58),"")</f>
        <v>0.0</v>
      </c>
    </row>
    <row r="55">
      <c r="A55" t="str">
        <f>IFERROR(IF(6&gt;$B$7,"",IF(INDEX($A$12:$A$19,6)=0,"",INDEX($A$12:$A$19,6))),"")</f>
        <v>Caja y cierre</v>
      </c>
      <c r="B55" s="13">
        <f>IF($A55="","",SUMIF($D$24:$D$43,$A55,$G$24:$G$43))</f>
        <v>0.0</v>
      </c>
      <c r="C55" s="13">
        <f>IF($A55="","",SUMIF($D$24:$D$43,$A55,$H$24:$H$43))</f>
        <v>0.0</v>
      </c>
      <c r="D55" s="13">
        <f>IF($A55="","",SUMIF($D$24:$D$43,$A55,$M$24:$M$43))</f>
        <v>0.0</v>
      </c>
      <c r="E55" s="14">
        <f>IFERROR(IF(OR($A55="",NOT(ISNUMBER($D55)),NOT(ISNUMBER($D$58)),$D$58=0),"",$D55/$D$58),"")</f>
        <v>0.0</v>
      </c>
    </row>
    <row r="56">
      <c r="A56">
        <f>IFERROR(IF(7&gt;$B$7,"",IF(INDEX($A$12:$A$19,7)=0,"",INDEX($A$12:$A$19,7))),"")</f>
        <v/>
      </c>
      <c r="B56" s="13">
        <f>IF($A56="","",SUMIF($D$24:$D$43,$A56,$G$24:$G$43))</f>
        <v/>
      </c>
      <c r="C56" s="13">
        <f>IF($A56="","",SUMIF($D$24:$D$43,$A56,$H$24:$H$43))</f>
        <v/>
      </c>
      <c r="D56" s="13">
        <f>IF($A56="","",SUMIF($D$24:$D$43,$A56,$M$24:$M$43))</f>
        <v/>
      </c>
      <c r="E56" s="14">
        <f>IFERROR(IF(OR($A56="",NOT(ISNUMBER($D56)),NOT(ISNUMBER($D$58)),$D$58=0),"",$D56/$D$58),"")</f>
        <v/>
      </c>
    </row>
    <row r="57">
      <c r="A57">
        <f>IFERROR(IF(8&gt;$B$7,"",IF(INDEX($A$12:$A$19,8)=0,"",INDEX($A$12:$A$19,8))),"")</f>
        <v/>
      </c>
      <c r="B57" s="13">
        <f>IF($A57="","",SUMIF($D$24:$D$43,$A57,$G$24:$G$43))</f>
        <v/>
      </c>
      <c r="C57" s="13">
        <f>IF($A57="","",SUMIF($D$24:$D$43,$A57,$H$24:$H$43))</f>
        <v/>
      </c>
      <c r="D57" s="13">
        <f>IF($A57="","",SUMIF($D$24:$D$43,$A57,$M$24:$M$43))</f>
        <v/>
      </c>
      <c r="E57" s="14">
        <f>IFERROR(IF(OR($A57="",NOT(ISNUMBER($D57)),NOT(ISNUMBER($D$58)),$D$58=0),"",$D57/$D$58),"")</f>
        <v/>
      </c>
    </row>
    <row r="58">
      <c r="A58" s="15" t="inlineStr">
        <is>
          <t>TOTAL</t>
        </is>
      </c>
      <c r="B58" s="16">
        <f>IF(COUNT(B50:B57)=0,"",SUM(B50:B57))</f>
        <v>940.0</v>
      </c>
      <c r="C58" s="16">
        <f>IF(COUNT(C50:C57)=0,"",SUM(C50:C57))</f>
        <v>734.0</v>
      </c>
      <c r="D58" s="16">
        <f>IF(COUNT(D50:D57)=0,"",SUM(D50:D57))</f>
        <v>323.0</v>
      </c>
      <c r="E58" s="18">
        <f>IFERROR(IF(OR(NOT(ISNUMBER($D$58)),$D$58=0),"",$D$58/$D$58),"")</f>
        <v>1.0</v>
      </c>
    </row>
    <row r="59"/>
    <row r="60">
      <c r="A60" t="inlineStr">
        <is>
          <t>Este bloque es el que se lee en la reunión de cocina: dice qué partida carga con la producción de la semana. Si una partida se lleva la mitad de las raciones y la sostiene una sola persona, ahí tienes un punto único de fallo, y la matriz de polivalencia del Manual del Manager te dice a quién formar.</t>
        </is>
      </c>
    </row>
    <row r="61">
      <c r="A61" t="inlineStr">
        <is>
          <t>Las raciones previstas del resumen pueden no cuadrar con el total de la tabla de platos si algún plato se ha quedado sin partida: compruébalo mirando que las dos filas TOTAL coincidan.</t>
        </is>
      </c>
    </row>
    <row r="62">
      <c r="A62" t="inlineStr">
        <is>
          <t>Una partida que no produce raciones (sala, caja) sale con cero: no es un error, sigue siendo una partida de tu organigrama y está en la lista para que las seis coincidan con las del cuadro de mando de cocina y con la matriz de polivalencia del Manual del Manager.</t>
        </is>
      </c>
    </row>
  </sheetData>
  <sheetProtection selectLockedCells="0" selectUnlockedCells="0" sheet="1" objects="0" insertRows="0" insertHyperlinks="1" autoFilter="1" scenarios="0" formatColumns="0" deleteColumns="1" insertColumns="1" pivotTables="1" deleteRows="1" formatCells="1" formatRows="0" sort="0"/>
  <conditionalFormatting sqref="H24:H43">
    <cfRule type="expression" priority="1" dxfId="0" stopIfTrue="1">
      <formula>=AND(ISNUMBER($H24),ISNUMBER($G24),$H24&gt;$G24)</formula>
    </cfRule>
  </conditionalFormatting>
  <conditionalFormatting sqref="M24:M43">
    <cfRule type="expression" priority="2" dxfId="1" stopIfTrue="1">
      <formula>=AND(ISNUMBER($M24),ISNUMBER($G24),$M24=0)</formula>
    </cfRule>
  </conditionalFormatting>
  <conditionalFormatting sqref="N24:N43">
    <cfRule type="expression" priority="3" dxfId="0" stopIfTrue="1">
      <formula>=AND(ISNUMBER($G24),LEFT($N24,LEN("Sobreproducción: el stock ya cubre toda la semana, no produzcas"))="Sobreproducción: el stock ya cubre toda la semana, no produzcas")</formula>
    </cfRule>
    <cfRule type="expression" priority="4" dxfId="1" stopIfTrue="1">
      <formula>=AND(ISNUMBER($G24),LEN($N24)&gt;0)</formula>
    </cfRule>
  </conditionalFormatting>
  <dataValidations count="6">
    <dataValidation sqref="D24 D25 D26 D27 D28 D29 D30 D31 D32 D33 D34 D35 D36 D37 D38 D39 D40 D41 D42 D43" showDropDown="0" showInputMessage="0" showErrorMessage="1" allowBlank="1" errorTitle="Partida" error="Elige una de las partidas de la lista de la parte de arriba de esta hoja." type="list">
      <formula1>$A$12:$A$19</formula1>
    </dataValidation>
    <dataValidation sqref="F24 F25 F26 F27 F28 F29 F30 F31 F32 F33 F34 F35 F36 F37 F38 F39 F40 F41 F42 F43" showDropDown="0" showInputMessage="1" showErrorMessage="1" allowBlank="1" errorTitle="Mix de venta" error="Escribe un porcentaje entre 0 y 1 (0,20 = 20 %)." promptTitle="Mix de venta" prompt="Se escribe en tanto por uno: 0,11 = 11 % de los cubiertos." type="decimal" operator="between">
      <formula1>0</formula1>
      <formula2>1.0</formula2>
    </dataValidation>
    <dataValidation sqref="H24 H25 H26 H27 H28 H29 H30 H31 H32 H33 H34 H35 H36 H37 H38 H39 H40 H41 H42 H43" showDropDown="0" showInputMessage="0" showErrorMessage="1" allowBlank="1" errorTitle="Stock elaborado" error="Raciones ya elaboradas que tienes en cámara." type="decimal" operator="between">
      <formula1>0</formula1>
      <formula2>100000</formula2>
    </dataValidation>
    <dataValidation sqref="K24 K25 K26 K27 K28 K29 K30 K31 K32 K33 K34 K35 K36 K37 K38 K39 K40 K41 K42 K43" showDropDown="0" showInputMessage="0" showErrorMessage="1" allowBlank="1" errorTitle="Vida útil" error="Días de vida útil que TÚ has documentado para esa elaboración." type="decimal" operator="between">
      <formula1>0</formula1>
      <formula2>3650</formula2>
    </dataValidation>
    <dataValidation sqref="J24 J25 J26 J27 J28 J29 J30 J31 J32 J33 J34 J35 J36 J37 J38 J39 J40 J41 J42 J43" showDropDown="0" showInputMessage="0" showErrorMessage="1" allowBlank="1" errorTitle="Fecha no válida" error="Escribe una fecha (dd/mm/aaaa) entre 2020 y 2040." type="date" operator="between">
      <formula1>DATE(2020,1,1)</formula1>
      <formula2>DATE(2040,12,31)</formula2>
    </dataValidation>
    <dataValidation sqref="B7" showDropDown="0" showInputMessage="0" showErrorMessage="1" allowBlank="1" errorTitle="Partidas activas" error="Un número entre 3 y 8." type="decimal" operator="between">
      <formula1>3</formula1>
      <formula2>8</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64"/>
  <sheetViews>
    <sheetView workbookViewId="0">
      <pane ySplit="13" topLeftCell="A14" activePane="bottomLeft" state="frozen"/>
      <selection pane="bottomLeft" activeCell="A1" sqref="A1"/>
    </sheetView>
  </sheetViews>
  <sheetFormatPr baseColWidth="8" defaultRowHeight="15"/>
  <cols>
    <col width="20" customWidth="1" min="1" max="1"/>
    <col width="36" customWidth="1" min="2" max="2"/>
    <col width="20" customWidth="1" min="3" max="3"/>
    <col width="12" customWidth="1" min="4" max="4"/>
    <col width="12" customWidth="1" min="5" max="5"/>
    <col width="11" customWidth="1" min="6" max="6"/>
    <col width="30" customWidth="1" min="7" max="7"/>
    <col width="18" customWidth="1" min="8" max="8"/>
    <col width="16" customWidth="1" min="9" max="9"/>
  </cols>
  <sheetData>
    <row r="1" ht="30" customHeight="1">
      <c r="A1" s="1" t="inlineStr">
        <is>
          <t>Lista de producción diaria</t>
        </is>
      </c>
    </row>
    <row r="2">
      <c r="A2" t="inlineStr">
        <is>
          <t>AI Chef Pro · aichef.pro — Manual del Chef Ejecutivo</t>
        </is>
      </c>
    </row>
    <row r="3">
      <c r="A3" s="2" t="inlineStr">
        <is>
          <t>Elige el día, imprime y cuélgala en la cocina. Las cuatro columnas de la derecha se rellenan a mano.</t>
        </is>
      </c>
    </row>
    <row r="4"/>
    <row r="5">
      <c r="A5" s="8" t="inlineStr">
        <is>
          <t>Semana ISO</t>
        </is>
      </c>
      <c r="B5" s="19">
        <f>IF('Previsión de Cubiertos'!$B$6="","",'Previsión de Cubiertos'!$B$6)</f>
        <v>37.0</v>
      </c>
    </row>
    <row r="6">
      <c r="A6" s="8" t="inlineStr">
        <is>
          <t>Día de la lista</t>
        </is>
      </c>
      <c r="B6" s="5" t="inlineStr">
        <is>
          <t>Viernes</t>
        </is>
      </c>
    </row>
    <row r="7">
      <c r="A7" s="8" t="inlineStr">
        <is>
          <t>Fecha</t>
        </is>
      </c>
      <c r="B7" s="11">
        <f>IFERROR(IF(OR($B$6="",'Previsión de Cubiertos'!$B$7=""),"",'Previsión de Cubiertos'!$B$7+MATCH($B$6,$A$45:$A$51,0)-1),"")</f>
        <v>46276.0</v>
      </c>
    </row>
    <row r="8">
      <c r="A8" s="8" t="inlineStr">
        <is>
          <t>Cubiertos previstos del día</t>
        </is>
      </c>
      <c r="B8" s="19">
        <f>IFERROR(IF($B$6="","",SUMIF('Previsión de Cubiertos'!$A$15:$A$28,$B$6,'Previsión de Cubiertos'!$F$15:$F$28)),"")</f>
        <v>183.0</v>
      </c>
    </row>
    <row r="9">
      <c r="A9" s="8" t="inlineStr">
        <is>
          <t>Cubiertos previstos de la semana</t>
        </is>
      </c>
      <c r="B9" s="19">
        <f>IF('Previsión de Cubiertos'!$F$29="","",'Previsión de Cubiertos'!$F$29)</f>
        <v>958.0</v>
      </c>
    </row>
    <row r="10">
      <c r="A10" t="inlineStr">
        <is>
          <t>Las raciones de hoy salen de la producción de la semana repartida por el peso de los cubiertos de este día: cantidad semanal x cubiertos del día / cubiertos de la semana, redondeada hacia arriba.</t>
        </is>
      </c>
    </row>
    <row r="11">
      <c r="A11" t="inlineStr">
        <is>
          <t>Si un día concreto pide otra cosa (un menú de grupo, una fiesta local), corrige la cantidad a mano sobre el papel: esta hoja es un punto de partida, no una orden.</t>
        </is>
      </c>
    </row>
    <row r="12"/>
    <row r="13" ht="44" customHeight="1">
      <c r="A13" s="6" t="inlineStr">
        <is>
          <t>Partida</t>
        </is>
      </c>
      <c r="B13" s="6" t="inlineStr">
        <is>
          <t>Elaboración</t>
        </is>
      </c>
      <c r="C13" s="6" t="inlineStr">
        <is>
          <t>Unidad de ración</t>
        </is>
      </c>
      <c r="D13" s="6" t="inlineStr">
        <is>
          <t>Raciones para hoy</t>
        </is>
      </c>
      <c r="E13" s="6" t="inlineStr">
        <is>
          <t>Producido (raciones)</t>
        </is>
      </c>
      <c r="F13" s="6" t="inlineStr">
        <is>
          <t>Hora de fin</t>
        </is>
      </c>
      <c r="G13" s="6" t="inlineStr">
        <is>
          <t>Conservación</t>
        </is>
      </c>
      <c r="H13" s="6" t="inlineStr">
        <is>
          <t>Responsable</t>
        </is>
      </c>
      <c r="I13" s="6" t="inlineStr">
        <is>
          <t>Estado</t>
        </is>
      </c>
    </row>
    <row r="14" ht="26" customHeight="1">
      <c r="A14" t="str">
        <f>IF('Producción por Partida'!$D$24="","",'Producción por Partida'!$D$24)</f>
        <v>Fríos y entrantes</v>
      </c>
      <c r="B14" t="str">
        <f>IF('Producción por Partida'!$B$24="","",IF('Producción por Partida'!$C$24="",'Producción por Partida'!$B$24,'Producción por Partida'!$C$24))</f>
        <v>Masa de croqueta ya formada y empanada</v>
      </c>
      <c r="C14" t="str">
        <f>IF('Producción por Partida'!$E$24="","",'Producción por Partida'!$E$24)</f>
        <v>6 croquetas</v>
      </c>
      <c r="D14" s="13">
        <f>IFERROR(IF(OR('Producción por Partida'!$M$24="",NOT(ISNUMBER($B$8)),NOT(ISNUMBER($B$9)),$B$9=0),"",ROUNDUP('Producción por Partida'!$M$24*$B$8/$B$9,0)),"")</f>
        <v>0.0</v>
      </c>
      <c r="E14" s="9" t="n"/>
      <c r="F14" s="5" t="n"/>
      <c r="G14" s="5" t="n"/>
      <c r="H14" s="5" t="n"/>
      <c r="I14" s="5" t="n"/>
    </row>
    <row r="15" ht="26" customHeight="1">
      <c r="A15" t="str">
        <f>IF('Producción por Partida'!$D$25="","",'Producción por Partida'!$D$25)</f>
        <v>Fríos y entrantes</v>
      </c>
      <c r="B15" t="str">
        <f>IF('Producción por Partida'!$B$25="","",IF('Producción por Partida'!$C$25="",'Producción por Partida'!$B$25,'Producción por Partida'!$C$25))</f>
        <v>Ensalada de tomate rosa, ventresca y cebolleta</v>
      </c>
      <c r="C15" t="str">
        <f>IF('Producción por Partida'!$E$25="","",'Producción por Partida'!$E$25)</f>
        <v>1 ración de ensalada</v>
      </c>
      <c r="D15" s="13">
        <f>IFERROR(IF(OR('Producción por Partida'!$M$25="",NOT(ISNUMBER($B$8)),NOT(ISNUMBER($B$9)),$B$9=0),"",ROUNDUP('Producción por Partida'!$M$25*$B$8/$B$9,0)),"")</f>
        <v>15.0</v>
      </c>
      <c r="E15" s="9" t="n"/>
      <c r="F15" s="5" t="n"/>
      <c r="G15" s="5" t="n"/>
      <c r="H15" s="5" t="n"/>
      <c r="I15" s="5" t="n"/>
    </row>
    <row r="16" ht="26" customHeight="1">
      <c r="A16" t="str">
        <f>IF('Producción por Partida'!$D$26="","",'Producción por Partida'!$D$26)</f>
        <v>Fríos y entrantes</v>
      </c>
      <c r="B16" t="str">
        <f>IF('Producción por Partida'!$B$26="","",IF('Producción por Partida'!$C$26="",'Producción por Partida'!$B$26,'Producción por Partida'!$C$26))</f>
        <v>Gamba pelada y racionada</v>
      </c>
      <c r="C16" t="str">
        <f>IF('Producción por Partida'!$E$26="","",'Producción por Partida'!$E$26)</f>
        <v>1 cazuela</v>
      </c>
      <c r="D16" s="13">
        <f>IFERROR(IF(OR('Producción por Partida'!$M$26="",NOT(ISNUMBER($B$8)),NOT(ISNUMBER($B$9)),$B$9=0),"",ROUNDUP('Producción por Partida'!$M$26*$B$8/$B$9,0)),"")</f>
        <v>7.0</v>
      </c>
      <c r="E16" s="9" t="n"/>
      <c r="F16" s="5" t="n"/>
      <c r="G16" s="5" t="n"/>
      <c r="H16" s="5" t="n"/>
      <c r="I16" s="5" t="n"/>
    </row>
    <row r="17" ht="26" customHeight="1">
      <c r="A17" t="str">
        <f>IF('Producción por Partida'!$D$27="","",'Producción por Partida'!$D$27)</f>
        <v>Fríos y entrantes</v>
      </c>
      <c r="B17" t="str">
        <f>IF('Producción por Partida'!$B$27="","",IF('Producción por Partida'!$C$27="",'Producción por Partida'!$B$27,'Producción por Partida'!$C$27))</f>
        <v>Patata confitada</v>
      </c>
      <c r="C17" t="str">
        <f>IF('Producción por Partida'!$E$27="","",'Producción por Partida'!$E$27)</f>
        <v>1 ración para compartir</v>
      </c>
      <c r="D17" s="13">
        <f>IFERROR(IF(OR('Producción por Partida'!$M$27="",NOT(ISNUMBER($B$8)),NOT(ISNUMBER($B$9)),$B$9=0),"",ROUNDUP('Producción por Partida'!$M$27*$B$8/$B$9,0)),"")</f>
        <v>1.0</v>
      </c>
      <c r="E17" s="9" t="n"/>
      <c r="F17" s="5" t="n"/>
      <c r="G17" s="5" t="n"/>
      <c r="H17" s="5" t="n"/>
      <c r="I17" s="5" t="n"/>
    </row>
    <row r="18" ht="26" customHeight="1">
      <c r="A18" t="str">
        <f>IF('Producción por Partida'!$D$28="","",'Producción por Partida'!$D$28)</f>
        <v>Pase y caliente</v>
      </c>
      <c r="B18" t="str">
        <f>IF('Producción por Partida'!$B$28="","",IF('Producción por Partida'!$C$28="",'Producción por Partida'!$B$28,'Producción por Partida'!$C$28))</f>
        <v>Puré de boniato</v>
      </c>
      <c r="C18" t="str">
        <f>IF('Producción por Partida'!$E$28="","",'Producción por Partida'!$E$28)</f>
        <v>1 ración (solomillo y puré)</v>
      </c>
      <c r="D18" s="13">
        <f>IFERROR(IF(OR('Producción por Partida'!$M$28="",NOT(ISNUMBER($B$8)),NOT(ISNUMBER($B$9)),$B$9=0),"",ROUNDUP('Producción por Partida'!$M$28*$B$8/$B$9,0)),"")</f>
        <v>5.0</v>
      </c>
      <c r="E18" s="9" t="n"/>
      <c r="F18" s="5" t="n"/>
      <c r="G18" s="5" t="n"/>
      <c r="H18" s="5" t="n"/>
      <c r="I18" s="5" t="n"/>
    </row>
    <row r="19" ht="26" customHeight="1">
      <c r="A19" t="str">
        <f>IF('Producción por Partida'!$D$29="","",'Producción por Partida'!$D$29)</f>
        <v>Pase y caliente</v>
      </c>
      <c r="B19" t="str">
        <f>IF('Producción por Partida'!$B$29="","",IF('Producción por Partida'!$C$29="",'Producción por Partida'!$B$29,'Producción por Partida'!$C$29))</f>
        <v>Bacalao desalado y porcionado</v>
      </c>
      <c r="C19" t="str">
        <f>IF('Producción por Partida'!$E$29="","",'Producción por Partida'!$E$29)</f>
        <v>1 lomo confitado</v>
      </c>
      <c r="D19" s="13">
        <f>IFERROR(IF(OR('Producción por Partida'!$M$29="",NOT(ISNUMBER($B$8)),NOT(ISNUMBER($B$9)),$B$9=0),"",ROUNDUP('Producción por Partida'!$M$29*$B$8/$B$9,0)),"")</f>
        <v>5.0</v>
      </c>
      <c r="E19" s="9" t="n"/>
      <c r="F19" s="5" t="n"/>
      <c r="G19" s="5" t="n"/>
      <c r="H19" s="5" t="n"/>
      <c r="I19" s="5" t="n"/>
    </row>
    <row r="20" ht="26" customHeight="1">
      <c r="A20" t="str">
        <f>IF('Producción por Partida'!$D$30="","",'Producción por Partida'!$D$30)</f>
        <v>Pase y caliente</v>
      </c>
      <c r="B20" t="str">
        <f>IF('Producción por Partida'!$B$30="","",IF('Producción por Partida'!$C$30="",'Producción por Partida'!$B$30,'Producción por Partida'!$C$30))</f>
        <v>Hamburguesa formada</v>
      </c>
      <c r="C20" t="str">
        <f>IF('Producción por Partida'!$E$30="","",'Producción por Partida'!$E$30)</f>
        <v>1 hamburguesa con guarnición</v>
      </c>
      <c r="D20" s="13">
        <f>IFERROR(IF(OR('Producción por Partida'!$M$30="",NOT(ISNUMBER($B$8)),NOT(ISNUMBER($B$9)),$B$9=0),"",ROUNDUP('Producción por Partida'!$M$30*$B$8/$B$9,0)),"")</f>
        <v>7.0</v>
      </c>
      <c r="E20" s="9" t="n"/>
      <c r="F20" s="5" t="n"/>
      <c r="G20" s="5" t="n"/>
      <c r="H20" s="5" t="n"/>
      <c r="I20" s="5" t="n"/>
    </row>
    <row r="21" ht="26" customHeight="1">
      <c r="A21" t="str">
        <f>IF('Producción por Partida'!$D$31="","",'Producción por Partida'!$D$31)</f>
        <v>Pase y caliente</v>
      </c>
      <c r="B21" t="str">
        <f>IF('Producción por Partida'!$B$31="","",IF('Producción por Partida'!$C$31="",'Producción por Partida'!$B$31,'Producción por Partida'!$C$31))</f>
        <v>Fondo de arroz y sofrito</v>
      </c>
      <c r="C21" t="str">
        <f>IF('Producción por Partida'!$E$31="","",'Producción por Partida'!$E$31)</f>
        <v>1 ración de arroz (mínimo 2 pax)</v>
      </c>
      <c r="D21" s="13">
        <f>IFERROR(IF(OR('Producción por Partida'!$M$31="",NOT(ISNUMBER($B$8)),NOT(ISNUMBER($B$9)),$B$9=0),"",ROUNDUP('Producción por Partida'!$M$31*$B$8/$B$9,0)),"")</f>
        <v>0.0</v>
      </c>
      <c r="E21" s="9" t="n"/>
      <c r="F21" s="5" t="n"/>
      <c r="G21" s="5" t="n"/>
      <c r="H21" s="5" t="n"/>
      <c r="I21" s="5" t="n"/>
    </row>
    <row r="22" ht="26" customHeight="1">
      <c r="A22" t="str">
        <f>IF('Producción por Partida'!$D$32="","",'Producción por Partida'!$D$32)</f>
        <v>Pase y caliente</v>
      </c>
      <c r="B22" t="str">
        <f>IF('Producción por Partida'!$B$32="","",IF('Producción por Partida'!$C$32="",'Producción por Partida'!$B$32,'Producción por Partida'!$C$32))</f>
        <v>Chuletón de vaca madurada (500 g)</v>
      </c>
      <c r="C22" t="str">
        <f>IF('Producción por Partida'!$E$32="","",'Producción por Partida'!$E$32)</f>
        <v>1 chuletón de 500 g</v>
      </c>
      <c r="D22" s="13">
        <f>IFERROR(IF(OR('Producción por Partida'!$M$32="",NOT(ISNUMBER($B$8)),NOT(ISNUMBER($B$9)),$B$9=0),"",ROUNDUP('Producción por Partida'!$M$32*$B$8/$B$9,0)),"")</f>
        <v>6.0</v>
      </c>
      <c r="E22" s="9" t="n"/>
      <c r="F22" s="5" t="n"/>
      <c r="G22" s="5" t="n"/>
      <c r="H22" s="5" t="n"/>
      <c r="I22" s="5" t="n"/>
    </row>
    <row r="23" ht="26" customHeight="1">
      <c r="A23" t="str">
        <f>IF('Producción por Partida'!$D$33="","",'Producción por Partida'!$D$33)</f>
        <v>Postres y panadería</v>
      </c>
      <c r="B23" t="str">
        <f>IF('Producción por Partida'!$B$33="","",IF('Producción por Partida'!$C$33="",'Producción por Partida'!$B$33,'Producción por Partida'!$C$33))</f>
        <v>Tarta de queso cuajada</v>
      </c>
      <c r="C23" t="str">
        <f>IF('Producción por Partida'!$E$33="","",'Producción por Partida'!$E$33)</f>
        <v>1 porción</v>
      </c>
      <c r="D23" s="13">
        <f>IFERROR(IF(OR('Producción por Partida'!$M$33="",NOT(ISNUMBER($B$8)),NOT(ISNUMBER($B$9)),$B$9=0),"",ROUNDUP('Producción por Partida'!$M$33*$B$8/$B$9,0)),"")</f>
        <v>16.0</v>
      </c>
      <c r="E23" s="9" t="n"/>
      <c r="F23" s="5" t="n"/>
      <c r="G23" s="5" t="n"/>
      <c r="H23" s="5" t="n"/>
      <c r="I23" s="5" t="n"/>
    </row>
    <row r="24" ht="26" customHeight="1">
      <c r="A24" t="str">
        <f>IF('Producción por Partida'!$D$34="","",'Producción por Partida'!$D$34)</f>
        <v>Postres y panadería</v>
      </c>
      <c r="B24" t="str">
        <f>IF('Producción por Partida'!$B$34="","",IF('Producción por Partida'!$C$34="",'Producción por Partida'!$B$34,'Producción por Partida'!$C$34))</f>
        <v>Torrija empapada, sin caramelizar</v>
      </c>
      <c r="C24" t="str">
        <f>IF('Producción por Partida'!$E$34="","",'Producción por Partida'!$E$34)</f>
        <v>1 torrija con helado</v>
      </c>
      <c r="D24" s="13">
        <f>IFERROR(IF(OR('Producción por Partida'!$M$34="",NOT(ISNUMBER($B$8)),NOT(ISNUMBER($B$9)),$B$9=0),"",ROUNDUP('Producción por Partida'!$M$34*$B$8/$B$9,0)),"")</f>
        <v>4.0</v>
      </c>
      <c r="E24" s="9" t="n"/>
      <c r="F24" s="5" t="n"/>
      <c r="G24" s="5" t="n"/>
      <c r="H24" s="5" t="n"/>
      <c r="I24" s="5" t="n"/>
    </row>
    <row r="25" ht="26" customHeight="1">
      <c r="A25" t="str">
        <f>IF('Producción por Partida'!$D$35="","",'Producción por Partida'!$D$35)</f>
        <v>Postres y panadería</v>
      </c>
      <c r="B25" t="str">
        <f>IF('Producción por Partida'!$B$35="","",IF('Producción por Partida'!$C$35="",'Producción por Partida'!$B$35,'Producción por Partida'!$C$35))</f>
        <v>Coulant crudo congelado</v>
      </c>
      <c r="C25" t="str">
        <f>IF('Producción por Partida'!$E$35="","",'Producción por Partida'!$E$35)</f>
        <v>1 coulant</v>
      </c>
      <c r="D25" s="13">
        <f>IFERROR(IF(OR('Producción por Partida'!$M$35="",NOT(ISNUMBER($B$8)),NOT(ISNUMBER($B$9)),$B$9=0),"",ROUNDUP('Producción por Partida'!$M$35*$B$8/$B$9,0)),"")</f>
        <v>0.0</v>
      </c>
      <c r="E25" s="9" t="n"/>
      <c r="F25" s="5" t="n"/>
      <c r="G25" s="5" t="n"/>
      <c r="H25" s="5" t="n"/>
      <c r="I25" s="5" t="n"/>
    </row>
    <row r="26" ht="26" customHeight="1">
      <c r="A26">
        <f>IF('Producción por Partida'!$D$36="","",'Producción por Partida'!$D$36)</f>
        <v/>
      </c>
      <c r="B26">
        <f>IF('Producción por Partida'!$B$36="","",IF('Producción por Partida'!$C$36="",'Producción por Partida'!$B$36,'Producción por Partida'!$C$36))</f>
        <v/>
      </c>
      <c r="C26">
        <f>IF('Producción por Partida'!$E$36="","",'Producción por Partida'!$E$36)</f>
        <v/>
      </c>
      <c r="D26" s="13">
        <f>IFERROR(IF(OR('Producción por Partida'!$M$36="",NOT(ISNUMBER($B$8)),NOT(ISNUMBER($B$9)),$B$9=0),"",ROUNDUP('Producción por Partida'!$M$36*$B$8/$B$9,0)),"")</f>
        <v/>
      </c>
      <c r="E26" s="9" t="n"/>
      <c r="F26" s="5" t="n"/>
      <c r="G26" s="5" t="n"/>
      <c r="H26" s="5" t="n"/>
      <c r="I26" s="5" t="n"/>
    </row>
    <row r="27" ht="26" customHeight="1">
      <c r="A27">
        <f>IF('Producción por Partida'!$D$37="","",'Producción por Partida'!$D$37)</f>
        <v/>
      </c>
      <c r="B27">
        <f>IF('Producción por Partida'!$B$37="","",IF('Producción por Partida'!$C$37="",'Producción por Partida'!$B$37,'Producción por Partida'!$C$37))</f>
        <v/>
      </c>
      <c r="C27">
        <f>IF('Producción por Partida'!$E$37="","",'Producción por Partida'!$E$37)</f>
        <v/>
      </c>
      <c r="D27" s="13">
        <f>IFERROR(IF(OR('Producción por Partida'!$M$37="",NOT(ISNUMBER($B$8)),NOT(ISNUMBER($B$9)),$B$9=0),"",ROUNDUP('Producción por Partida'!$M$37*$B$8/$B$9,0)),"")</f>
        <v/>
      </c>
      <c r="E27" s="9" t="n"/>
      <c r="F27" s="5" t="n"/>
      <c r="G27" s="5" t="n"/>
      <c r="H27" s="5" t="n"/>
      <c r="I27" s="5" t="n"/>
    </row>
    <row r="28" ht="26" customHeight="1">
      <c r="A28">
        <f>IF('Producción por Partida'!$D$38="","",'Producción por Partida'!$D$38)</f>
        <v/>
      </c>
      <c r="B28">
        <f>IF('Producción por Partida'!$B$38="","",IF('Producción por Partida'!$C$38="",'Producción por Partida'!$B$38,'Producción por Partida'!$C$38))</f>
        <v/>
      </c>
      <c r="C28">
        <f>IF('Producción por Partida'!$E$38="","",'Producción por Partida'!$E$38)</f>
        <v/>
      </c>
      <c r="D28" s="13">
        <f>IFERROR(IF(OR('Producción por Partida'!$M$38="",NOT(ISNUMBER($B$8)),NOT(ISNUMBER($B$9)),$B$9=0),"",ROUNDUP('Producción por Partida'!$M$38*$B$8/$B$9,0)),"")</f>
        <v/>
      </c>
      <c r="E28" s="9" t="n"/>
      <c r="F28" s="5" t="n"/>
      <c r="G28" s="5" t="n"/>
      <c r="H28" s="5" t="n"/>
      <c r="I28" s="5" t="n"/>
    </row>
    <row r="29" ht="26" customHeight="1">
      <c r="A29">
        <f>IF('Producción por Partida'!$D$39="","",'Producción por Partida'!$D$39)</f>
        <v/>
      </c>
      <c r="B29">
        <f>IF('Producción por Partida'!$B$39="","",IF('Producción por Partida'!$C$39="",'Producción por Partida'!$B$39,'Producción por Partida'!$C$39))</f>
        <v/>
      </c>
      <c r="C29">
        <f>IF('Producción por Partida'!$E$39="","",'Producción por Partida'!$E$39)</f>
        <v/>
      </c>
      <c r="D29" s="13">
        <f>IFERROR(IF(OR('Producción por Partida'!$M$39="",NOT(ISNUMBER($B$8)),NOT(ISNUMBER($B$9)),$B$9=0),"",ROUNDUP('Producción por Partida'!$M$39*$B$8/$B$9,0)),"")</f>
        <v/>
      </c>
      <c r="E29" s="9" t="n"/>
      <c r="F29" s="5" t="n"/>
      <c r="G29" s="5" t="n"/>
      <c r="H29" s="5" t="n"/>
      <c r="I29" s="5" t="n"/>
    </row>
    <row r="30" ht="26" customHeight="1">
      <c r="A30">
        <f>IF('Producción por Partida'!$D$40="","",'Producción por Partida'!$D$40)</f>
        <v/>
      </c>
      <c r="B30">
        <f>IF('Producción por Partida'!$B$40="","",IF('Producción por Partida'!$C$40="",'Producción por Partida'!$B$40,'Producción por Partida'!$C$40))</f>
        <v/>
      </c>
      <c r="C30">
        <f>IF('Producción por Partida'!$E$40="","",'Producción por Partida'!$E$40)</f>
        <v/>
      </c>
      <c r="D30" s="13">
        <f>IFERROR(IF(OR('Producción por Partida'!$M$40="",NOT(ISNUMBER($B$8)),NOT(ISNUMBER($B$9)),$B$9=0),"",ROUNDUP('Producción por Partida'!$M$40*$B$8/$B$9,0)),"")</f>
        <v/>
      </c>
      <c r="E30" s="9" t="n"/>
      <c r="F30" s="5" t="n"/>
      <c r="G30" s="5" t="n"/>
      <c r="H30" s="5" t="n"/>
      <c r="I30" s="5" t="n"/>
    </row>
    <row r="31" ht="26" customHeight="1">
      <c r="A31">
        <f>IF('Producción por Partida'!$D$41="","",'Producción por Partida'!$D$41)</f>
        <v/>
      </c>
      <c r="B31">
        <f>IF('Producción por Partida'!$B$41="","",IF('Producción por Partida'!$C$41="",'Producción por Partida'!$B$41,'Producción por Partida'!$C$41))</f>
        <v/>
      </c>
      <c r="C31">
        <f>IF('Producción por Partida'!$E$41="","",'Producción por Partida'!$E$41)</f>
        <v/>
      </c>
      <c r="D31" s="13">
        <f>IFERROR(IF(OR('Producción por Partida'!$M$41="",NOT(ISNUMBER($B$8)),NOT(ISNUMBER($B$9)),$B$9=0),"",ROUNDUP('Producción por Partida'!$M$41*$B$8/$B$9,0)),"")</f>
        <v/>
      </c>
      <c r="E31" s="9" t="n"/>
      <c r="F31" s="5" t="n"/>
      <c r="G31" s="5" t="n"/>
      <c r="H31" s="5" t="n"/>
      <c r="I31" s="5" t="n"/>
    </row>
    <row r="32" ht="26" customHeight="1">
      <c r="A32">
        <f>IF('Producción por Partida'!$D$42="","",'Producción por Partida'!$D$42)</f>
        <v/>
      </c>
      <c r="B32">
        <f>IF('Producción por Partida'!$B$42="","",IF('Producción por Partida'!$C$42="",'Producción por Partida'!$B$42,'Producción por Partida'!$C$42))</f>
        <v/>
      </c>
      <c r="C32">
        <f>IF('Producción por Partida'!$E$42="","",'Producción por Partida'!$E$42)</f>
        <v/>
      </c>
      <c r="D32" s="13">
        <f>IFERROR(IF(OR('Producción por Partida'!$M$42="",NOT(ISNUMBER($B$8)),NOT(ISNUMBER($B$9)),$B$9=0),"",ROUNDUP('Producción por Partida'!$M$42*$B$8/$B$9,0)),"")</f>
        <v/>
      </c>
      <c r="E32" s="9" t="n"/>
      <c r="F32" s="5" t="n"/>
      <c r="G32" s="5" t="n"/>
      <c r="H32" s="5" t="n"/>
      <c r="I32" s="5" t="n"/>
    </row>
    <row r="33" ht="26" customHeight="1">
      <c r="A33">
        <f>IF('Producción por Partida'!$D$43="","",'Producción por Partida'!$D$43)</f>
        <v/>
      </c>
      <c r="B33">
        <f>IF('Producción por Partida'!$B$43="","",IF('Producción por Partida'!$C$43="",'Producción por Partida'!$B$43,'Producción por Partida'!$C$43))</f>
        <v/>
      </c>
      <c r="C33">
        <f>IF('Producción por Partida'!$E$43="","",'Producción por Partida'!$E$43)</f>
        <v/>
      </c>
      <c r="D33" s="13">
        <f>IFERROR(IF(OR('Producción por Partida'!$M$43="",NOT(ISNUMBER($B$8)),NOT(ISNUMBER($B$9)),$B$9=0),"",ROUNDUP('Producción por Partida'!$M$43*$B$8/$B$9,0)),"")</f>
        <v/>
      </c>
      <c r="E33" s="9" t="n"/>
      <c r="F33" s="5" t="n"/>
      <c r="G33" s="5" t="n"/>
      <c r="H33" s="5" t="n"/>
      <c r="I33" s="5" t="n"/>
    </row>
    <row r="34">
      <c r="A34" s="15" t="inlineStr">
        <is>
          <t>TOTAL DEL DÍA</t>
        </is>
      </c>
      <c r="B34" s="15" t="n"/>
      <c r="C34" s="15" t="n"/>
      <c r="D34" s="16">
        <f>IF(COUNT(D14:D33)=0,"",SUM(D14:D33))</f>
        <v>66.0</v>
      </c>
      <c r="E34" s="16">
        <f>IF(COUNT(E14:E33)=0,"",SUM(E14:E33))</f>
        <v/>
      </c>
      <c r="F34" s="15" t="n"/>
      <c r="G34" s="15" t="n"/>
      <c r="H34" s="15" t="n"/>
      <c r="I34" s="15" t="n"/>
    </row>
    <row r="35"/>
    <row r="36">
      <c r="A36" s="8" t="inlineStr">
        <is>
          <t>Responsable de cocina del día (nombre y firma):</t>
        </is>
      </c>
      <c r="C36" s="5" t="n"/>
      <c r="D36" s="5" t="n"/>
      <c r="E36" s="5" t="n"/>
      <c r="F36" s="5" t="n"/>
    </row>
    <row r="37">
      <c r="A37" s="8" t="inlineStr">
        <is>
          <t>Incidencias del día:</t>
        </is>
      </c>
      <c r="C37" s="5" t="n"/>
      <c r="D37" s="5" t="n"/>
      <c r="E37" s="5" t="n"/>
      <c r="F37" s="5" t="n"/>
      <c r="G37" s="5" t="n"/>
      <c r="H37" s="5" t="n"/>
      <c r="I37" s="5" t="n"/>
    </row>
    <row r="38">
      <c r="A38" t="inlineStr">
        <is>
          <t>Temperaturas de la columna «Conservación»: mantener en caliente a 63 °C o más; refrigerar a 4 °C o menos si la vida útil pasa de 24 horas y a 8 °C o menos si no llega; congelar a -18 °C o menos; y al enfriar, bajar de 60 °C a 10 °C en menos de dos horas. La norma admite otras temperaturas si el operador demuestra ante la autoridad competente que son seguras. Verificado el 06-09-2026 · RD 1086/2020, art. 30.1, 30.2, 30.5 y 30.7 (redacción del RD 1021/2022) · https://www.boe.es/buscar/act.php?id=BOE-A-2020-15872</t>
        </is>
      </c>
    </row>
    <row r="39">
      <c r="A39" t="inlineStr">
        <is>
          <t>Esta hoja NO sustituye a los registros del APPCC ni a la matriz de alérgenos por plato: ésos van en el «Pack APPCC». Aquí se registra cuánto se produjo y cómo se conservó.</t>
        </is>
      </c>
    </row>
    <row r="40">
      <c r="A40" t="inlineStr">
        <is>
          <t>Se imprime en A4 vertical. Las listas de los desplegables están debajo, fuera de la zona de impresión: no las borres.</t>
        </is>
      </c>
    </row>
    <row r="41"/>
    <row r="42"/>
    <row r="43"/>
    <row r="44" ht="20" customHeight="1">
      <c r="A44" s="6" t="inlineStr">
        <is>
          <t>Días de la semana</t>
        </is>
      </c>
    </row>
    <row r="45">
      <c r="A45" t="inlineStr">
        <is>
          <t>Lunes</t>
        </is>
      </c>
    </row>
    <row r="46">
      <c r="A46" t="inlineStr">
        <is>
          <t>Martes</t>
        </is>
      </c>
    </row>
    <row r="47">
      <c r="A47" t="inlineStr">
        <is>
          <t>Miércoles</t>
        </is>
      </c>
    </row>
    <row r="48">
      <c r="A48" t="inlineStr">
        <is>
          <t>Jueves</t>
        </is>
      </c>
    </row>
    <row r="49">
      <c r="A49" t="inlineStr">
        <is>
          <t>Viernes</t>
        </is>
      </c>
    </row>
    <row r="50">
      <c r="A50" t="inlineStr">
        <is>
          <t>Sábado</t>
        </is>
      </c>
    </row>
    <row r="51">
      <c r="A51" t="inlineStr">
        <is>
          <t>Domingo</t>
        </is>
      </c>
    </row>
    <row r="52"/>
    <row r="53" ht="20" customHeight="1">
      <c r="A53" s="6" t="inlineStr">
        <is>
          <t>Conservación</t>
        </is>
      </c>
    </row>
    <row r="54">
      <c r="A54" t="inlineStr">
        <is>
          <t>Refrigeración a 4 °C o menos (vida útil de más de 24 horas)</t>
        </is>
      </c>
    </row>
    <row r="55">
      <c r="A55" t="inlineStr">
        <is>
          <t>Refrigeración a 8 °C o menos (vida útil de menos de 24 horas)</t>
        </is>
      </c>
    </row>
    <row r="56">
      <c r="A56" t="inlineStr">
        <is>
          <t>Congelación a -18 °C o menos</t>
        </is>
      </c>
    </row>
    <row r="57">
      <c r="A57" t="inlineStr">
        <is>
          <t>Mantenimiento en caliente a 63 °C o más</t>
        </is>
      </c>
    </row>
    <row r="58">
      <c r="A58" t="inlineStr">
        <is>
          <t>Consumo inmediato en el mismo servicio</t>
        </is>
      </c>
    </row>
    <row r="59"/>
    <row r="60"/>
    <row r="61" ht="20" customHeight="1">
      <c r="A61" s="6" t="inlineStr">
        <is>
          <t>Estado</t>
        </is>
      </c>
    </row>
    <row r="62">
      <c r="A62" t="inlineStr">
        <is>
          <t>Producido</t>
        </is>
      </c>
    </row>
    <row r="63">
      <c r="A63" t="inlineStr">
        <is>
          <t>Pendiente</t>
        </is>
      </c>
    </row>
    <row r="64">
      <c r="A64" t="inlineStr">
        <is>
          <t>No se produce hoy</t>
        </is>
      </c>
    </row>
  </sheetData>
  <sheetProtection selectLockedCells="0" selectUnlockedCells="0" sheet="1" objects="0" insertRows="0" insertHyperlinks="1" autoFilter="1" scenarios="0" formatColumns="0" deleteColumns="1" insertColumns="1" pivotTables="1" deleteRows="1" formatCells="1" formatRows="0" sort="0"/>
  <dataValidations count="4">
    <dataValidation sqref="B6" showDropDown="0" showInputMessage="0" showErrorMessage="1" allowBlank="1" errorTitle="Día de la lista" error="Elige un día de la semana de la lista que hay al final de esta hoja." type="list">
      <formula1>$A$45:$A$51</formula1>
    </dataValidation>
    <dataValidation sqref="G14 G15 G16 G17 G18 G19 G20 G21 G22 G23 G24 G25 G26 G27 G28 G29 G30 G31 G32 G33" showDropDown="0" showInputMessage="0" showErrorMessage="1" allowBlank="1" errorTitle="Conservación" error="Elige una de las cinco formas de conservación de la lista del final de esta hoja." type="list">
      <formula1>$A$54:$A$58</formula1>
    </dataValidation>
    <dataValidation sqref="I14 I15 I16 I17 I18 I19 I20 I21 I22 I23 I24 I25 I26 I27 I28 I29 I30 I31 I32 I33" showDropDown="0" showInputMessage="0" showErrorMessage="1" allowBlank="1" errorTitle="Estado" error="Elige Producido, Pendiente o No se produce hoy." type="list">
      <formula1>$A$62:$A$64</formula1>
    </dataValidation>
    <dataValidation sqref="E14 E15 E16 E17 E18 E19 E20 E21 E22 E23 E24 E25 E26 E27 E28 E29 E30 E31 E32 E33" showDropDown="0" showInputMessage="0" showErrorMessage="1" allowBlank="1" errorTitle="Raciones producidas" error="Raciones que se han producido de verdad." type="decimal" operator="between">
      <formula1>0</formula1>
      <formula2>100000</formula2>
    </dataValidation>
  </dataValidations>
  <pageMargins left="0.59" right="0.59" top="0.59" bottom="0.59" header="0.3" footer="0.3"/>
  <pageSetup orientation="portrait" paperSize="9" fitToHeight="1"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55"/>
  <sheetViews>
    <sheetView workbookViewId="0">
      <pane xSplit="2" ySplit="9" topLeftCell="C10"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6" customWidth="1" min="3" max="3"/>
    <col width="16" customWidth="1" min="4" max="4"/>
    <col width="16" customWidth="1" min="5" max="5"/>
    <col width="16" customWidth="1" min="6" max="6"/>
    <col width="30" customWidth="1" min="7" max="7"/>
    <col width="30" customWidth="1" min="8" max="8"/>
    <col width="30" customWidth="1" min="9" max="9"/>
  </cols>
  <sheetData>
    <row r="1" ht="30" customHeight="1">
      <c r="A1" s="1" t="inlineStr">
        <is>
          <t>Ajuste por desviación</t>
        </is>
      </c>
    </row>
    <row r="2">
      <c r="A2" t="inlineStr">
        <is>
          <t>AI Chef Pro · aichef.pro — Manual del Chef Ejecutivo</t>
        </is>
      </c>
    </row>
    <row r="3">
      <c r="A3" s="2" t="inlineStr">
        <is>
          <t>Se rellena al CERRAR la semana, con lo que pasó de verdad. Por eso viene vacía.</t>
        </is>
      </c>
    </row>
    <row r="4"/>
    <row r="5">
      <c r="A5" s="3" t="inlineStr">
        <is>
          <t>DESVIACIÓN DE CUBIERTOS</t>
        </is>
      </c>
    </row>
    <row r="6">
      <c r="A6" s="8" t="inlineStr">
        <is>
          <t>Tolerancia de desviación (%)</t>
        </is>
      </c>
      <c r="B6" s="22" t="n"/>
    </row>
    <row r="7">
      <c r="A7" t="inlineStr">
        <is>
          <t>La tolerancia viene VACÍA y es obligatoria: mientras no escribas la tuya, la columna de desviación se queda gris. No existe ningún estándar publicado de cuánto puede desviarse una previsión de cubiertos, y este producto no se inventa ninguno: empieza mirando tus cuatro últimas semanas y ponte el número que puedas sostener.</t>
        </is>
      </c>
    </row>
    <row r="8"/>
    <row r="9" ht="44" customHeight="1">
      <c r="A9" s="6" t="inlineStr">
        <is>
          <t>Día</t>
        </is>
      </c>
      <c r="B9" s="6" t="inlineStr">
        <is>
          <t>Servicio</t>
        </is>
      </c>
      <c r="C9" s="6" t="inlineStr">
        <is>
          <t>Previsión</t>
        </is>
      </c>
      <c r="D9" s="6" t="inlineStr">
        <is>
          <t>Cubiertos reales</t>
        </is>
      </c>
      <c r="E9" s="6" t="inlineStr">
        <is>
          <t>Desviación (cubiertos)</t>
        </is>
      </c>
      <c r="F9" s="6" t="inlineStr">
        <is>
          <t>Desviación (%)</t>
        </is>
      </c>
      <c r="G9" s="6" t="inlineStr">
        <is>
          <t>Lectura</t>
        </is>
      </c>
      <c r="H9" s="6" t="inlineStr">
        <is>
          <t>Histórico para la semana que viene</t>
        </is>
      </c>
    </row>
    <row r="10">
      <c r="A10" t="str">
        <f>IF('Previsión de Cubiertos'!$A$15="","",'Previsión de Cubiertos'!$A$15)</f>
        <v>Lunes</v>
      </c>
      <c r="B10" t="str">
        <f>IF('Previsión de Cubiertos'!$B$15="","",'Previsión de Cubiertos'!$B$15)</f>
        <v>Comida</v>
      </c>
      <c r="C10" s="13">
        <f>IF('Previsión de Cubiertos'!$F$15="","",'Previsión de Cubiertos'!$F$15)</f>
        <v/>
      </c>
      <c r="D10" s="9" t="n"/>
      <c r="E10" s="13">
        <f>IF(OR(NOT(ISNUMBER($C10)),NOT(ISNUMBER($D10))),"",$D10-$C10)</f>
        <v/>
      </c>
      <c r="F10" s="14">
        <f>IFERROR(IF(OR(NOT(ISNUMBER($E10)),NOT(ISNUMBER($C10)),$C10=0),"",$E10/$C10),"")</f>
        <v/>
      </c>
      <c r="G10">
        <f>IF(NOT(ISNUMBER($E10)),"",IF($E10&gt;0,"Por encima de lo previsto",IF($E10&lt;0,"Por debajo de lo previsto","Justo en la previsión")))</f>
        <v/>
      </c>
      <c r="H10" s="13">
        <f>IF($D10="","",$D10)</f>
        <v/>
      </c>
    </row>
    <row r="11">
      <c r="A11" t="str">
        <f>IF('Previsión de Cubiertos'!$A$16="","",'Previsión de Cubiertos'!$A$16)</f>
        <v>Lunes</v>
      </c>
      <c r="B11" t="str">
        <f>IF('Previsión de Cubiertos'!$B$16="","",'Previsión de Cubiertos'!$B$16)</f>
        <v>Cena</v>
      </c>
      <c r="C11" s="13">
        <f>IF('Previsión de Cubiertos'!$F$16="","",'Previsión de Cubiertos'!$F$16)</f>
        <v/>
      </c>
      <c r="D11" s="9" t="n"/>
      <c r="E11" s="13">
        <f>IF(OR(NOT(ISNUMBER($C11)),NOT(ISNUMBER($D11))),"",$D11-$C11)</f>
        <v/>
      </c>
      <c r="F11" s="14">
        <f>IFERROR(IF(OR(NOT(ISNUMBER($E11)),NOT(ISNUMBER($C11)),$C11=0),"",$E11/$C11),"")</f>
        <v/>
      </c>
      <c r="G11">
        <f>IF(NOT(ISNUMBER($E11)),"",IF($E11&gt;0,"Por encima de lo previsto",IF($E11&lt;0,"Por debajo de lo previsto","Justo en la previsión")))</f>
        <v/>
      </c>
      <c r="H11" s="13">
        <f>IF($D11="","",$D11)</f>
        <v/>
      </c>
    </row>
    <row r="12">
      <c r="A12" t="str">
        <f>IF('Previsión de Cubiertos'!$A$17="","",'Previsión de Cubiertos'!$A$17)</f>
        <v>Martes</v>
      </c>
      <c r="B12" t="str">
        <f>IF('Previsión de Cubiertos'!$B$17="","",'Previsión de Cubiertos'!$B$17)</f>
        <v>Comida</v>
      </c>
      <c r="C12" s="13">
        <f>IF('Previsión de Cubiertos'!$F$17="","",'Previsión de Cubiertos'!$F$17)</f>
        <v>60.0</v>
      </c>
      <c r="D12" s="9" t="n"/>
      <c r="E12" s="13">
        <f>IF(OR(NOT(ISNUMBER($C12)),NOT(ISNUMBER($D12))),"",$D12-$C12)</f>
        <v/>
      </c>
      <c r="F12" s="14">
        <f>IFERROR(IF(OR(NOT(ISNUMBER($E12)),NOT(ISNUMBER($C12)),$C12=0),"",$E12/$C12),"")</f>
        <v/>
      </c>
      <c r="G12">
        <f>IF(NOT(ISNUMBER($E12)),"",IF($E12&gt;0,"Por encima de lo previsto",IF($E12&lt;0,"Por debajo de lo previsto","Justo en la previsión")))</f>
        <v/>
      </c>
      <c r="H12" s="13">
        <f>IF($D12="","",$D12)</f>
        <v/>
      </c>
    </row>
    <row r="13">
      <c r="A13" t="str">
        <f>IF('Previsión de Cubiertos'!$A$18="","",'Previsión de Cubiertos'!$A$18)</f>
        <v>Martes</v>
      </c>
      <c r="B13" t="str">
        <f>IF('Previsión de Cubiertos'!$B$18="","",'Previsión de Cubiertos'!$B$18)</f>
        <v>Cena</v>
      </c>
      <c r="C13" s="13">
        <f>IF('Previsión de Cubiertos'!$F$18="","",'Previsión de Cubiertos'!$F$18)</f>
        <v>40.0</v>
      </c>
      <c r="D13" s="9" t="n"/>
      <c r="E13" s="13">
        <f>IF(OR(NOT(ISNUMBER($C13)),NOT(ISNUMBER($D13))),"",$D13-$C13)</f>
        <v/>
      </c>
      <c r="F13" s="14">
        <f>IFERROR(IF(OR(NOT(ISNUMBER($E13)),NOT(ISNUMBER($C13)),$C13=0),"",$E13/$C13),"")</f>
        <v/>
      </c>
      <c r="G13">
        <f>IF(NOT(ISNUMBER($E13)),"",IF($E13&gt;0,"Por encima de lo previsto",IF($E13&lt;0,"Por debajo de lo previsto","Justo en la previsión")))</f>
        <v/>
      </c>
      <c r="H13" s="13">
        <f>IF($D13="","",$D13)</f>
        <v/>
      </c>
    </row>
    <row r="14">
      <c r="A14" t="str">
        <f>IF('Previsión de Cubiertos'!$A$19="","",'Previsión de Cubiertos'!$A$19)</f>
        <v>Miércoles</v>
      </c>
      <c r="B14" t="str">
        <f>IF('Previsión de Cubiertos'!$B$19="","",'Previsión de Cubiertos'!$B$19)</f>
        <v>Comida</v>
      </c>
      <c r="C14" s="13">
        <f>IF('Previsión de Cubiertos'!$F$19="","",'Previsión de Cubiertos'!$F$19)</f>
        <v>64.0</v>
      </c>
      <c r="D14" s="9" t="n"/>
      <c r="E14" s="13">
        <f>IF(OR(NOT(ISNUMBER($C14)),NOT(ISNUMBER($D14))),"",$D14-$C14)</f>
        <v/>
      </c>
      <c r="F14" s="14">
        <f>IFERROR(IF(OR(NOT(ISNUMBER($E14)),NOT(ISNUMBER($C14)),$C14=0),"",$E14/$C14),"")</f>
        <v/>
      </c>
      <c r="G14">
        <f>IF(NOT(ISNUMBER($E14)),"",IF($E14&gt;0,"Por encima de lo previsto",IF($E14&lt;0,"Por debajo de lo previsto","Justo en la previsión")))</f>
        <v/>
      </c>
      <c r="H14" s="13">
        <f>IF($D14="","",$D14)</f>
        <v/>
      </c>
    </row>
    <row r="15">
      <c r="A15" t="str">
        <f>IF('Previsión de Cubiertos'!$A$20="","",'Previsión de Cubiertos'!$A$20)</f>
        <v>Miércoles</v>
      </c>
      <c r="B15" t="str">
        <f>IF('Previsión de Cubiertos'!$B$20="","",'Previsión de Cubiertos'!$B$20)</f>
        <v>Cena</v>
      </c>
      <c r="C15" s="13">
        <f>IF('Previsión de Cubiertos'!$F$20="","",'Previsión de Cubiertos'!$F$20)</f>
        <v>46.0</v>
      </c>
      <c r="D15" s="9" t="n"/>
      <c r="E15" s="13">
        <f>IF(OR(NOT(ISNUMBER($C15)),NOT(ISNUMBER($D15))),"",$D15-$C15)</f>
        <v/>
      </c>
      <c r="F15" s="14">
        <f>IFERROR(IF(OR(NOT(ISNUMBER($E15)),NOT(ISNUMBER($C15)),$C15=0),"",$E15/$C15),"")</f>
        <v/>
      </c>
      <c r="G15">
        <f>IF(NOT(ISNUMBER($E15)),"",IF($E15&gt;0,"Por encima de lo previsto",IF($E15&lt;0,"Por debajo de lo previsto","Justo en la previsión")))</f>
        <v/>
      </c>
      <c r="H15" s="13">
        <f>IF($D15="","",$D15)</f>
        <v/>
      </c>
    </row>
    <row r="16">
      <c r="A16" t="str">
        <f>IF('Previsión de Cubiertos'!$A$21="","",'Previsión de Cubiertos'!$A$21)</f>
        <v>Jueves</v>
      </c>
      <c r="B16" t="str">
        <f>IF('Previsión de Cubiertos'!$B$21="","",'Previsión de Cubiertos'!$B$21)</f>
        <v>Comida</v>
      </c>
      <c r="C16" s="13">
        <f>IF('Previsión de Cubiertos'!$F$21="","",'Previsión de Cubiertos'!$F$21)</f>
        <v>70.0</v>
      </c>
      <c r="D16" s="9" t="n"/>
      <c r="E16" s="13">
        <f>IF(OR(NOT(ISNUMBER($C16)),NOT(ISNUMBER($D16))),"",$D16-$C16)</f>
        <v/>
      </c>
      <c r="F16" s="14">
        <f>IFERROR(IF(OR(NOT(ISNUMBER($E16)),NOT(ISNUMBER($C16)),$C16=0),"",$E16/$C16),"")</f>
        <v/>
      </c>
      <c r="G16">
        <f>IF(NOT(ISNUMBER($E16)),"",IF($E16&gt;0,"Por encima de lo previsto",IF($E16&lt;0,"Por debajo de lo previsto","Justo en la previsión")))</f>
        <v/>
      </c>
      <c r="H16" s="13">
        <f>IF($D16="","",$D16)</f>
        <v/>
      </c>
    </row>
    <row r="17">
      <c r="A17" t="str">
        <f>IF('Previsión de Cubiertos'!$A$22="","",'Previsión de Cubiertos'!$A$22)</f>
        <v>Jueves</v>
      </c>
      <c r="B17" t="str">
        <f>IF('Previsión de Cubiertos'!$B$22="","",'Previsión de Cubiertos'!$B$22)</f>
        <v>Cena</v>
      </c>
      <c r="C17" s="13">
        <f>IF('Previsión de Cubiertos'!$F$22="","",'Previsión de Cubiertos'!$F$22)</f>
        <v>58.0</v>
      </c>
      <c r="D17" s="9" t="n"/>
      <c r="E17" s="13">
        <f>IF(OR(NOT(ISNUMBER($C17)),NOT(ISNUMBER($D17))),"",$D17-$C17)</f>
        <v/>
      </c>
      <c r="F17" s="14">
        <f>IFERROR(IF(OR(NOT(ISNUMBER($E17)),NOT(ISNUMBER($C17)),$C17=0),"",$E17/$C17),"")</f>
        <v/>
      </c>
      <c r="G17">
        <f>IF(NOT(ISNUMBER($E17)),"",IF($E17&gt;0,"Por encima de lo previsto",IF($E17&lt;0,"Por debajo de lo previsto","Justo en la previsión")))</f>
        <v/>
      </c>
      <c r="H17" s="13">
        <f>IF($D17="","",$D17)</f>
        <v/>
      </c>
    </row>
    <row r="18">
      <c r="A18" t="str">
        <f>IF('Previsión de Cubiertos'!$A$23="","",'Previsión de Cubiertos'!$A$23)</f>
        <v>Viernes</v>
      </c>
      <c r="B18" t="str">
        <f>IF('Previsión de Cubiertos'!$B$23="","",'Previsión de Cubiertos'!$B$23)</f>
        <v>Comida</v>
      </c>
      <c r="C18" s="13">
        <f>IF('Previsión de Cubiertos'!$F$23="","",'Previsión de Cubiertos'!$F$23)</f>
        <v>78.0</v>
      </c>
      <c r="D18" s="9" t="n"/>
      <c r="E18" s="13">
        <f>IF(OR(NOT(ISNUMBER($C18)),NOT(ISNUMBER($D18))),"",$D18-$C18)</f>
        <v/>
      </c>
      <c r="F18" s="14">
        <f>IFERROR(IF(OR(NOT(ISNUMBER($E18)),NOT(ISNUMBER($C18)),$C18=0),"",$E18/$C18),"")</f>
        <v/>
      </c>
      <c r="G18">
        <f>IF(NOT(ISNUMBER($E18)),"",IF($E18&gt;0,"Por encima de lo previsto",IF($E18&lt;0,"Por debajo de lo previsto","Justo en la previsión")))</f>
        <v/>
      </c>
      <c r="H18" s="13">
        <f>IF($D18="","",$D18)</f>
        <v/>
      </c>
    </row>
    <row r="19">
      <c r="A19" t="str">
        <f>IF('Previsión de Cubiertos'!$A$24="","",'Previsión de Cubiertos'!$A$24)</f>
        <v>Viernes</v>
      </c>
      <c r="B19" t="str">
        <f>IF('Previsión de Cubiertos'!$B$24="","",'Previsión de Cubiertos'!$B$24)</f>
        <v>Cena</v>
      </c>
      <c r="C19" s="13">
        <f>IF('Previsión de Cubiertos'!$F$24="","",'Previsión de Cubiertos'!$F$24)</f>
        <v>105.0</v>
      </c>
      <c r="D19" s="9" t="n"/>
      <c r="E19" s="13">
        <f>IF(OR(NOT(ISNUMBER($C19)),NOT(ISNUMBER($D19))),"",$D19-$C19)</f>
        <v/>
      </c>
      <c r="F19" s="14">
        <f>IFERROR(IF(OR(NOT(ISNUMBER($E19)),NOT(ISNUMBER($C19)),$C19=0),"",$E19/$C19),"")</f>
        <v/>
      </c>
      <c r="G19">
        <f>IF(NOT(ISNUMBER($E19)),"",IF($E19&gt;0,"Por encima de lo previsto",IF($E19&lt;0,"Por debajo de lo previsto","Justo en la previsión")))</f>
        <v/>
      </c>
      <c r="H19" s="13">
        <f>IF($D19="","",$D19)</f>
        <v/>
      </c>
    </row>
    <row r="20">
      <c r="A20" t="str">
        <f>IF('Previsión de Cubiertos'!$A$25="","",'Previsión de Cubiertos'!$A$25)</f>
        <v>Sábado</v>
      </c>
      <c r="B20" t="str">
        <f>IF('Previsión de Cubiertos'!$B$25="","",'Previsión de Cubiertos'!$B$25)</f>
        <v>Comida</v>
      </c>
      <c r="C20" s="13">
        <f>IF('Previsión de Cubiertos'!$F$25="","",'Previsión de Cubiertos'!$F$25)</f>
        <v>92.0</v>
      </c>
      <c r="D20" s="9" t="n"/>
      <c r="E20" s="13">
        <f>IF(OR(NOT(ISNUMBER($C20)),NOT(ISNUMBER($D20))),"",$D20-$C20)</f>
        <v/>
      </c>
      <c r="F20" s="14">
        <f>IFERROR(IF(OR(NOT(ISNUMBER($E20)),NOT(ISNUMBER($C20)),$C20=0),"",$E20/$C20),"")</f>
        <v/>
      </c>
      <c r="G20">
        <f>IF(NOT(ISNUMBER($E20)),"",IF($E20&gt;0,"Por encima de lo previsto",IF($E20&lt;0,"Por debajo de lo previsto","Justo en la previsión")))</f>
        <v/>
      </c>
      <c r="H20" s="13">
        <f>IF($D20="","",$D20)</f>
        <v/>
      </c>
    </row>
    <row r="21">
      <c r="A21" t="str">
        <f>IF('Previsión de Cubiertos'!$A$26="","",'Previsión de Cubiertos'!$A$26)</f>
        <v>Sábado</v>
      </c>
      <c r="B21" t="str">
        <f>IF('Previsión de Cubiertos'!$B$26="","",'Previsión de Cubiertos'!$B$26)</f>
        <v>Cena</v>
      </c>
      <c r="C21" s="13">
        <f>IF('Previsión de Cubiertos'!$F$26="","",'Previsión de Cubiertos'!$F$26)</f>
        <v>118.0</v>
      </c>
      <c r="D21" s="9" t="n"/>
      <c r="E21" s="13">
        <f>IF(OR(NOT(ISNUMBER($C21)),NOT(ISNUMBER($D21))),"",$D21-$C21)</f>
        <v/>
      </c>
      <c r="F21" s="14">
        <f>IFERROR(IF(OR(NOT(ISNUMBER($E21)),NOT(ISNUMBER($C21)),$C21=0),"",$E21/$C21),"")</f>
        <v/>
      </c>
      <c r="G21">
        <f>IF(NOT(ISNUMBER($E21)),"",IF($E21&gt;0,"Por encima de lo previsto",IF($E21&lt;0,"Por debajo de lo previsto","Justo en la previsión")))</f>
        <v/>
      </c>
      <c r="H21" s="13">
        <f>IF($D21="","",$D21)</f>
        <v/>
      </c>
    </row>
    <row r="22">
      <c r="A22" t="str">
        <f>IF('Previsión de Cubiertos'!$A$27="","",'Previsión de Cubiertos'!$A$27)</f>
        <v>Domingo</v>
      </c>
      <c r="B22" t="str">
        <f>IF('Previsión de Cubiertos'!$B$27="","",'Previsión de Cubiertos'!$B$27)</f>
        <v>Comida</v>
      </c>
      <c r="C22" s="13">
        <f>IF('Previsión de Cubiertos'!$F$27="","",'Previsión de Cubiertos'!$F$27)</f>
        <v>132.0</v>
      </c>
      <c r="D22" s="9" t="n"/>
      <c r="E22" s="13">
        <f>IF(OR(NOT(ISNUMBER($C22)),NOT(ISNUMBER($D22))),"",$D22-$C22)</f>
        <v/>
      </c>
      <c r="F22" s="14">
        <f>IFERROR(IF(OR(NOT(ISNUMBER($E22)),NOT(ISNUMBER($C22)),$C22=0),"",$E22/$C22),"")</f>
        <v/>
      </c>
      <c r="G22">
        <f>IF(NOT(ISNUMBER($E22)),"",IF($E22&gt;0,"Por encima de lo previsto",IF($E22&lt;0,"Por debajo de lo previsto","Justo en la previsión")))</f>
        <v/>
      </c>
      <c r="H22" s="13">
        <f>IF($D22="","",$D22)</f>
        <v/>
      </c>
    </row>
    <row r="23">
      <c r="A23" t="str">
        <f>IF('Previsión de Cubiertos'!$A$28="","",'Previsión de Cubiertos'!$A$28)</f>
        <v>Domingo</v>
      </c>
      <c r="B23" t="str">
        <f>IF('Previsión de Cubiertos'!$B$28="","",'Previsión de Cubiertos'!$B$28)</f>
        <v>Cena</v>
      </c>
      <c r="C23" s="13">
        <f>IF('Previsión de Cubiertos'!$F$28="","",'Previsión de Cubiertos'!$F$28)</f>
        <v>95.0</v>
      </c>
      <c r="D23" s="9" t="n"/>
      <c r="E23" s="13">
        <f>IF(OR(NOT(ISNUMBER($C23)),NOT(ISNUMBER($D23))),"",$D23-$C23)</f>
        <v/>
      </c>
      <c r="F23" s="14">
        <f>IFERROR(IF(OR(NOT(ISNUMBER($E23)),NOT(ISNUMBER($C23)),$C23=0),"",$E23/$C23),"")</f>
        <v/>
      </c>
      <c r="G23">
        <f>IF(NOT(ISNUMBER($E23)),"",IF($E23&gt;0,"Por encima de lo previsto",IF($E23&lt;0,"Por debajo de lo previsto","Justo en la previsión")))</f>
        <v/>
      </c>
      <c r="H23" s="13">
        <f>IF($D23="","",$D23)</f>
        <v/>
      </c>
    </row>
    <row r="24">
      <c r="A24" s="15" t="inlineStr">
        <is>
          <t>TOTAL DE LA SEMANA</t>
        </is>
      </c>
      <c r="B24" s="15" t="n"/>
      <c r="C24" s="16">
        <f>IF(COUNT(C10:C23)=0,"",SUM(C10:C23))</f>
        <v>958.0</v>
      </c>
      <c r="D24" s="16">
        <f>IF(COUNT(D10:D23)=0,"",SUM(D10:D23))</f>
        <v/>
      </c>
      <c r="E24" s="16">
        <f>IF(COUNT(E10:E23)=0,"",SUM(E10:E23))</f>
        <v/>
      </c>
      <c r="F24" s="18">
        <f>IFERROR(IF(OR(NOT(ISNUMBER($E$24)),NOT(ISNUMBER($C$24)),$C$24=0),"",$E$24/$C$24),"")</f>
        <v/>
      </c>
      <c r="G24" s="15">
        <f>IF(NOT(ISNUMBER($E$24)),"",IF($E$24&gt;0,"Por encima de lo previsto",IF($E$24&lt;0,"Por debajo de lo previsto","Justo en la previsión")))</f>
        <v/>
      </c>
      <c r="H24" s="15" t="n"/>
    </row>
    <row r="25"/>
    <row r="26">
      <c r="A26" t="inlineStr">
        <is>
          <t>La última columna es la que cierra el círculo: esos cubiertos reales son el histórico de la semana que viene. Cópialos a la columna «Histórico del mismo servicio» de la hoja «Previsión de Cubiertos» antes de planificar.</t>
        </is>
      </c>
    </row>
    <row r="27">
      <c r="A27" t="inlineStr">
        <is>
          <t>Una desviación aislada no dice nada. Lo que hay que mirar es el signo repetido: cuatro semanas seguidas por debajo significan que estás produciendo de más todas las semanas.</t>
        </is>
      </c>
    </row>
    <row r="28"/>
    <row r="29">
      <c r="A29" s="3" t="inlineStr">
        <is>
          <t>SOBRANTE DE PRODUCCIÓN</t>
        </is>
      </c>
    </row>
    <row r="30" ht="44" customHeight="1">
      <c r="A30" s="6" t="inlineStr">
        <is>
          <t>Id</t>
        </is>
      </c>
      <c r="B30" s="6" t="inlineStr">
        <is>
          <t>Plato</t>
        </is>
      </c>
      <c r="C30" s="6" t="inlineStr">
        <is>
          <t>Partida</t>
        </is>
      </c>
      <c r="D30" s="6" t="inlineStr">
        <is>
          <t>Raciones a producir previstas</t>
        </is>
      </c>
      <c r="E30" s="6" t="inlineStr">
        <is>
          <t>Raciones producidas</t>
        </is>
      </c>
      <c r="F30" s="6" t="inlineStr">
        <is>
          <t>Raciones vendidas</t>
        </is>
      </c>
      <c r="G30" s="6" t="inlineStr">
        <is>
          <t>Sobrante (raciones)</t>
        </is>
      </c>
      <c r="H30" s="6" t="inlineStr">
        <is>
          <t>Sobrante sobre lo producido</t>
        </is>
      </c>
      <c r="I30" s="6" t="inlineStr">
        <is>
          <t>Lectura</t>
        </is>
      </c>
    </row>
    <row r="31">
      <c r="A31" t="str">
        <f>IF('Producción por Partida'!$A$24="","",'Producción por Partida'!$A$24)</f>
        <v>E1</v>
      </c>
      <c r="B31" t="str">
        <f>IF('Producción por Partida'!$B$24="","",'Producción por Partida'!$B$24)</f>
        <v>Croquetas de jamón ibérico (6 ud)</v>
      </c>
      <c r="C31" t="str">
        <f>IF('Producción por Partida'!$D$24="","",'Producción por Partida'!$D$24)</f>
        <v>Fríos y entrantes</v>
      </c>
      <c r="D31" s="13">
        <f>IF('Producción por Partida'!$M$24="","",'Producción por Partida'!$M$24)</f>
        <v>0.0</v>
      </c>
      <c r="E31" s="9" t="n"/>
      <c r="F31" s="9" t="n"/>
      <c r="G31" s="13">
        <f>IF(OR(NOT(ISNUMBER($E31)),NOT(ISNUMBER($F31))),"",$E31-$F31)</f>
        <v/>
      </c>
      <c r="H31" s="14">
        <f>IFERROR(IF(OR(NOT(ISNUMBER($G31)),NOT(ISNUMBER($E31)),$E31=0),"",$G31/$E31),"")</f>
        <v/>
      </c>
      <c r="I31">
        <f>IF(NOT(ISNUMBER($G31)),"",IF($G31&gt;0,"Sobra: baja la producción de este plato",IF($G31&lt;0,"Faltó: sube la producción de este plato","Ajustado")))</f>
        <v/>
      </c>
    </row>
    <row r="32">
      <c r="A32" t="str">
        <f>IF('Producción por Partida'!$A$25="","",'Producción por Partida'!$A$25)</f>
        <v>E2</v>
      </c>
      <c r="B32" t="str">
        <f>IF('Producción por Partida'!$B$25="","",'Producción por Partida'!$B$25)</f>
        <v>Ensalada de tomate rosa, ventresca y cebolleta</v>
      </c>
      <c r="C32" t="str">
        <f>IF('Producción por Partida'!$D$25="","",'Producción por Partida'!$D$25)</f>
        <v>Fríos y entrantes</v>
      </c>
      <c r="D32" s="13">
        <f>IF('Producción por Partida'!$M$25="","",'Producción por Partida'!$M$25)</f>
        <v>77.0</v>
      </c>
      <c r="E32" s="9" t="n"/>
      <c r="F32" s="9" t="n"/>
      <c r="G32" s="13">
        <f>IF(OR(NOT(ISNUMBER($E32)),NOT(ISNUMBER($F32))),"",$E32-$F32)</f>
        <v/>
      </c>
      <c r="H32" s="14">
        <f>IFERROR(IF(OR(NOT(ISNUMBER($G32)),NOT(ISNUMBER($E32)),$E32=0),"",$G32/$E32),"")</f>
        <v/>
      </c>
      <c r="I32">
        <f>IF(NOT(ISNUMBER($G32)),"",IF($G32&gt;0,"Sobra: baja la producción de este plato",IF($G32&lt;0,"Faltó: sube la producción de este plato","Ajustado")))</f>
        <v/>
      </c>
    </row>
    <row r="33">
      <c r="A33" t="str">
        <f>IF('Producción por Partida'!$A$26="","",'Producción por Partida'!$A$26)</f>
        <v>E3</v>
      </c>
      <c r="B33" t="str">
        <f>IF('Producción por Partida'!$B$26="","",'Producción por Partida'!$B$26)</f>
        <v>Gambas al ajillo</v>
      </c>
      <c r="C33" t="str">
        <f>IF('Producción por Partida'!$D$26="","",'Producción por Partida'!$D$26)</f>
        <v>Fríos y entrantes</v>
      </c>
      <c r="D33" s="13">
        <f>IF('Producción por Partida'!$M$26="","",'Producción por Partida'!$M$26)</f>
        <v>32.0</v>
      </c>
      <c r="E33" s="9" t="n"/>
      <c r="F33" s="9" t="n"/>
      <c r="G33" s="13">
        <f>IF(OR(NOT(ISNUMBER($E33)),NOT(ISNUMBER($F33))),"",$E33-$F33)</f>
        <v/>
      </c>
      <c r="H33" s="14">
        <f>IFERROR(IF(OR(NOT(ISNUMBER($G33)),NOT(ISNUMBER($E33)),$E33=0),"",$G33/$E33),"")</f>
        <v/>
      </c>
      <c r="I33">
        <f>IF(NOT(ISNUMBER($G33)),"",IF($G33&gt;0,"Sobra: baja la producción de este plato",IF($G33&lt;0,"Faltó: sube la producción de este plato","Ajustado")))</f>
        <v/>
      </c>
    </row>
    <row r="34">
      <c r="A34" t="str">
        <f>IF('Producción por Partida'!$A$27="","",'Producción por Partida'!$A$27)</f>
        <v>E4</v>
      </c>
      <c r="B34" t="str">
        <f>IF('Producción por Partida'!$B$27="","",'Producción por Partida'!$B$27)</f>
        <v>Huevos rotos con patatas y chistorra</v>
      </c>
      <c r="C34" t="str">
        <f>IF('Producción por Partida'!$D$27="","",'Producción por Partida'!$D$27)</f>
        <v>Fríos y entrantes</v>
      </c>
      <c r="D34" s="13">
        <f>IF('Producción por Partida'!$M$27="","",'Producción por Partida'!$M$27)</f>
        <v>4.0</v>
      </c>
      <c r="E34" s="9" t="n"/>
      <c r="F34" s="9" t="n"/>
      <c r="G34" s="13">
        <f>IF(OR(NOT(ISNUMBER($E34)),NOT(ISNUMBER($F34))),"",$E34-$F34)</f>
        <v/>
      </c>
      <c r="H34" s="14">
        <f>IFERROR(IF(OR(NOT(ISNUMBER($G34)),NOT(ISNUMBER($E34)),$E34=0),"",$G34/$E34),"")</f>
        <v/>
      </c>
      <c r="I34">
        <f>IF(NOT(ISNUMBER($G34)),"",IF($G34&gt;0,"Sobra: baja la producción de este plato",IF($G34&lt;0,"Faltó: sube la producción de este plato","Ajustado")))</f>
        <v/>
      </c>
    </row>
    <row r="35">
      <c r="A35" t="str">
        <f>IF('Producción por Partida'!$A$28="","",'Producción por Partida'!$A$28)</f>
        <v>P1</v>
      </c>
      <c r="B35" t="str">
        <f>IF('Producción por Partida'!$B$28="","",'Producción por Partida'!$B$28)</f>
        <v>Solomillo de cerdo ibérico con puré de boniato</v>
      </c>
      <c r="C35" t="str">
        <f>IF('Producción por Partida'!$D$28="","",'Producción por Partida'!$D$28)</f>
        <v>Pase y caliente</v>
      </c>
      <c r="D35" s="13">
        <f>IF('Producción por Partida'!$M$28="","",'Producción por Partida'!$M$28)</f>
        <v>24.0</v>
      </c>
      <c r="E35" s="9" t="n"/>
      <c r="F35" s="9" t="n"/>
      <c r="G35" s="13">
        <f>IF(OR(NOT(ISNUMBER($E35)),NOT(ISNUMBER($F35))),"",$E35-$F35)</f>
        <v/>
      </c>
      <c r="H35" s="14">
        <f>IFERROR(IF(OR(NOT(ISNUMBER($G35)),NOT(ISNUMBER($E35)),$E35=0),"",$G35/$E35),"")</f>
        <v/>
      </c>
      <c r="I35">
        <f>IF(NOT(ISNUMBER($G35)),"",IF($G35&gt;0,"Sobra: baja la producción de este plato",IF($G35&lt;0,"Faltó: sube la producción de este plato","Ajustado")))</f>
        <v/>
      </c>
    </row>
    <row r="36">
      <c r="A36" t="str">
        <f>IF('Producción por Partida'!$A$29="","",'Producción por Partida'!$A$29)</f>
        <v>P2</v>
      </c>
      <c r="B36" t="str">
        <f>IF('Producción por Partida'!$B$29="","",'Producción por Partida'!$B$29)</f>
        <v>Bacalao confitado al pil-pil</v>
      </c>
      <c r="C36" t="str">
        <f>IF('Producción por Partida'!$D$29="","",'Producción por Partida'!$D$29)</f>
        <v>Pase y caliente</v>
      </c>
      <c r="D36" s="13">
        <f>IF('Producción por Partida'!$M$29="","",'Producción por Partida'!$M$29)</f>
        <v>23.0</v>
      </c>
      <c r="E36" s="9" t="n"/>
      <c r="F36" s="9" t="n"/>
      <c r="G36" s="13">
        <f>IF(OR(NOT(ISNUMBER($E36)),NOT(ISNUMBER($F36))),"",$E36-$F36)</f>
        <v/>
      </c>
      <c r="H36" s="14">
        <f>IFERROR(IF(OR(NOT(ISNUMBER($G36)),NOT(ISNUMBER($E36)),$E36=0),"",$G36/$E36),"")</f>
        <v/>
      </c>
      <c r="I36">
        <f>IF(NOT(ISNUMBER($G36)),"",IF($G36&gt;0,"Sobra: baja la producción de este plato",IF($G36&lt;0,"Faltó: sube la producción de este plato","Ajustado")))</f>
        <v/>
      </c>
    </row>
    <row r="37">
      <c r="A37" t="str">
        <f>IF('Producción por Partida'!$A$30="","",'Producción por Partida'!$A$30)</f>
        <v>P3</v>
      </c>
      <c r="B37" t="str">
        <f>IF('Producción por Partida'!$B$30="","",'Producción por Partida'!$B$30)</f>
        <v>Hamburguesa de vaca madurada con patatas</v>
      </c>
      <c r="C37" t="str">
        <f>IF('Producción por Partida'!$D$30="","",'Producción por Partida'!$D$30)</f>
        <v>Pase y caliente</v>
      </c>
      <c r="D37" s="13">
        <f>IF('Producción por Partida'!$M$30="","",'Producción por Partida'!$M$30)</f>
        <v>33.0</v>
      </c>
      <c r="E37" s="9" t="n"/>
      <c r="F37" s="9" t="n"/>
      <c r="G37" s="13">
        <f>IF(OR(NOT(ISNUMBER($E37)),NOT(ISNUMBER($F37))),"",$E37-$F37)</f>
        <v/>
      </c>
      <c r="H37" s="14">
        <f>IFERROR(IF(OR(NOT(ISNUMBER($G37)),NOT(ISNUMBER($E37)),$E37=0),"",$G37/$E37),"")</f>
        <v/>
      </c>
      <c r="I37">
        <f>IF(NOT(ISNUMBER($G37)),"",IF($G37&gt;0,"Sobra: baja la producción de este plato",IF($G37&lt;0,"Faltó: sube la producción de este plato","Ajustado")))</f>
        <v/>
      </c>
    </row>
    <row r="38">
      <c r="A38" t="str">
        <f>IF('Producción por Partida'!$A$31="","",'Producción por Partida'!$A$31)</f>
        <v>P4</v>
      </c>
      <c r="B38" t="str">
        <f>IF('Producción por Partida'!$B$31="","",'Producción por Partida'!$B$31)</f>
        <v>Arroz meloso de secreto ibérico y setas</v>
      </c>
      <c r="C38" t="str">
        <f>IF('Producción por Partida'!$D$31="","",'Producción por Partida'!$D$31)</f>
        <v>Pase y caliente</v>
      </c>
      <c r="D38" s="13">
        <f>IF('Producción por Partida'!$M$31="","",'Producción por Partida'!$M$31)</f>
        <v>0.0</v>
      </c>
      <c r="E38" s="9" t="n"/>
      <c r="F38" s="9" t="n"/>
      <c r="G38" s="13">
        <f>IF(OR(NOT(ISNUMBER($E38)),NOT(ISNUMBER($F38))),"",$E38-$F38)</f>
        <v/>
      </c>
      <c r="H38" s="14">
        <f>IFERROR(IF(OR(NOT(ISNUMBER($G38)),NOT(ISNUMBER($E38)),$E38=0),"",$G38/$E38),"")</f>
        <v/>
      </c>
      <c r="I38">
        <f>IF(NOT(ISNUMBER($G38)),"",IF($G38&gt;0,"Sobra: baja la producción de este plato",IF($G38&lt;0,"Faltó: sube la producción de este plato","Ajustado")))</f>
        <v/>
      </c>
    </row>
    <row r="39">
      <c r="A39" t="str">
        <f>IF('Producción por Partida'!$A$32="","",'Producción por Partida'!$A$32)</f>
        <v>P5</v>
      </c>
      <c r="B39" t="str">
        <f>IF('Producción por Partida'!$B$32="","",'Producción por Partida'!$B$32)</f>
        <v>Chuletón de vaca madurada (500 g)</v>
      </c>
      <c r="C39" t="str">
        <f>IF('Producción por Partida'!$D$32="","",'Producción por Partida'!$D$32)</f>
        <v>Pase y caliente</v>
      </c>
      <c r="D39" s="13">
        <f>IF('Producción por Partida'!$M$32="","",'Producción por Partida'!$M$32)</f>
        <v>28.0</v>
      </c>
      <c r="E39" s="9" t="n"/>
      <c r="F39" s="9" t="n"/>
      <c r="G39" s="13">
        <f>IF(OR(NOT(ISNUMBER($E39)),NOT(ISNUMBER($F39))),"",$E39-$F39)</f>
        <v/>
      </c>
      <c r="H39" s="14">
        <f>IFERROR(IF(OR(NOT(ISNUMBER($G39)),NOT(ISNUMBER($E39)),$E39=0),"",$G39/$E39),"")</f>
        <v/>
      </c>
      <c r="I39">
        <f>IF(NOT(ISNUMBER($G39)),"",IF($G39&gt;0,"Sobra: baja la producción de este plato",IF($G39&lt;0,"Faltó: sube la producción de este plato","Ajustado")))</f>
        <v/>
      </c>
    </row>
    <row r="40">
      <c r="A40" t="str">
        <f>IF('Producción por Partida'!$A$33="","",'Producción por Partida'!$A$33)</f>
        <v>D1</v>
      </c>
      <c r="B40" t="str">
        <f>IF('Producción por Partida'!$B$33="","",'Producción por Partida'!$B$33)</f>
        <v>Tarta de queso cremosa</v>
      </c>
      <c r="C40" t="str">
        <f>IF('Producción por Partida'!$D$33="","",'Producción por Partida'!$D$33)</f>
        <v>Postres y panadería</v>
      </c>
      <c r="D40" s="13">
        <f>IF('Producción por Partida'!$M$33="","",'Producción por Partida'!$M$33)</f>
        <v>82.0</v>
      </c>
      <c r="E40" s="9" t="n"/>
      <c r="F40" s="9" t="n"/>
      <c r="G40" s="13">
        <f>IF(OR(NOT(ISNUMBER($E40)),NOT(ISNUMBER($F40))),"",$E40-$F40)</f>
        <v/>
      </c>
      <c r="H40" s="14">
        <f>IFERROR(IF(OR(NOT(ISNUMBER($G40)),NOT(ISNUMBER($E40)),$E40=0),"",$G40/$E40),"")</f>
        <v/>
      </c>
      <c r="I40">
        <f>IF(NOT(ISNUMBER($G40)),"",IF($G40&gt;0,"Sobra: baja la producción de este plato",IF($G40&lt;0,"Faltó: sube la producción de este plato","Ajustado")))</f>
        <v/>
      </c>
    </row>
    <row r="41">
      <c r="A41" t="str">
        <f>IF('Producción por Partida'!$A$34="","",'Producción por Partida'!$A$34)</f>
        <v>D2</v>
      </c>
      <c r="B41" t="str">
        <f>IF('Producción por Partida'!$B$34="","",'Producción por Partida'!$B$34)</f>
        <v>Torrija caramelizada con helado</v>
      </c>
      <c r="C41" t="str">
        <f>IF('Producción por Partida'!$D$34="","",'Producción por Partida'!$D$34)</f>
        <v>Postres y panadería</v>
      </c>
      <c r="D41" s="13">
        <f>IF('Producción por Partida'!$M$34="","",'Producción por Partida'!$M$34)</f>
        <v>20.0</v>
      </c>
      <c r="E41" s="9" t="n"/>
      <c r="F41" s="9" t="n"/>
      <c r="G41" s="13">
        <f>IF(OR(NOT(ISNUMBER($E41)),NOT(ISNUMBER($F41))),"",$E41-$F41)</f>
        <v/>
      </c>
      <c r="H41" s="14">
        <f>IFERROR(IF(OR(NOT(ISNUMBER($G41)),NOT(ISNUMBER($E41)),$E41=0),"",$G41/$E41),"")</f>
        <v/>
      </c>
      <c r="I41">
        <f>IF(NOT(ISNUMBER($G41)),"",IF($G41&gt;0,"Sobra: baja la producción de este plato",IF($G41&lt;0,"Faltó: sube la producción de este plato","Ajustado")))</f>
        <v/>
      </c>
    </row>
    <row r="42">
      <c r="A42" t="str">
        <f>IF('Producción por Partida'!$A$35="","",'Producción por Partida'!$A$35)</f>
        <v>D3</v>
      </c>
      <c r="B42" t="str">
        <f>IF('Producción por Partida'!$B$35="","",'Producción por Partida'!$B$35)</f>
        <v>Coulant de chocolate</v>
      </c>
      <c r="C42" t="str">
        <f>IF('Producción por Partida'!$D$35="","",'Producción por Partida'!$D$35)</f>
        <v>Postres y panadería</v>
      </c>
      <c r="D42" s="13">
        <f>IF('Producción por Partida'!$M$35="","",'Producción por Partida'!$M$35)</f>
        <v>0.0</v>
      </c>
      <c r="E42" s="9" t="n"/>
      <c r="F42" s="9" t="n"/>
      <c r="G42" s="13">
        <f>IF(OR(NOT(ISNUMBER($E42)),NOT(ISNUMBER($F42))),"",$E42-$F42)</f>
        <v/>
      </c>
      <c r="H42" s="14">
        <f>IFERROR(IF(OR(NOT(ISNUMBER($G42)),NOT(ISNUMBER($E42)),$E42=0),"",$G42/$E42),"")</f>
        <v/>
      </c>
      <c r="I42">
        <f>IF(NOT(ISNUMBER($G42)),"",IF($G42&gt;0,"Sobra: baja la producción de este plato",IF($G42&lt;0,"Faltó: sube la producción de este plato","Ajustado")))</f>
        <v/>
      </c>
    </row>
    <row r="43">
      <c r="A43">
        <f>IF('Producción por Partida'!$A$36="","",'Producción por Partida'!$A$36)</f>
        <v/>
      </c>
      <c r="B43">
        <f>IF('Producción por Partida'!$B$36="","",'Producción por Partida'!$B$36)</f>
        <v/>
      </c>
      <c r="C43">
        <f>IF('Producción por Partida'!$D$36="","",'Producción por Partida'!$D$36)</f>
        <v/>
      </c>
      <c r="D43" s="13">
        <f>IF('Producción por Partida'!$M$36="","",'Producción por Partida'!$M$36)</f>
        <v/>
      </c>
      <c r="E43" s="9" t="n"/>
      <c r="F43" s="9" t="n"/>
      <c r="G43" s="13">
        <f>IF(OR(NOT(ISNUMBER($E43)),NOT(ISNUMBER($F43))),"",$E43-$F43)</f>
        <v/>
      </c>
      <c r="H43" s="14">
        <f>IFERROR(IF(OR(NOT(ISNUMBER($G43)),NOT(ISNUMBER($E43)),$E43=0),"",$G43/$E43),"")</f>
        <v/>
      </c>
      <c r="I43">
        <f>IF(NOT(ISNUMBER($G43)),"",IF($G43&gt;0,"Sobra: baja la producción de este plato",IF($G43&lt;0,"Faltó: sube la producción de este plato","Ajustado")))</f>
        <v/>
      </c>
    </row>
    <row r="44">
      <c r="A44">
        <f>IF('Producción por Partida'!$A$37="","",'Producción por Partida'!$A$37)</f>
        <v/>
      </c>
      <c r="B44">
        <f>IF('Producción por Partida'!$B$37="","",'Producción por Partida'!$B$37)</f>
        <v/>
      </c>
      <c r="C44">
        <f>IF('Producción por Partida'!$D$37="","",'Producción por Partida'!$D$37)</f>
        <v/>
      </c>
      <c r="D44" s="13">
        <f>IF('Producción por Partida'!$M$37="","",'Producción por Partida'!$M$37)</f>
        <v/>
      </c>
      <c r="E44" s="9" t="n"/>
      <c r="F44" s="9" t="n"/>
      <c r="G44" s="13">
        <f>IF(OR(NOT(ISNUMBER($E44)),NOT(ISNUMBER($F44))),"",$E44-$F44)</f>
        <v/>
      </c>
      <c r="H44" s="14">
        <f>IFERROR(IF(OR(NOT(ISNUMBER($G44)),NOT(ISNUMBER($E44)),$E44=0),"",$G44/$E44),"")</f>
        <v/>
      </c>
      <c r="I44">
        <f>IF(NOT(ISNUMBER($G44)),"",IF($G44&gt;0,"Sobra: baja la producción de este plato",IF($G44&lt;0,"Faltó: sube la producción de este plato","Ajustado")))</f>
        <v/>
      </c>
    </row>
    <row r="45">
      <c r="A45">
        <f>IF('Producción por Partida'!$A$38="","",'Producción por Partida'!$A$38)</f>
        <v/>
      </c>
      <c r="B45">
        <f>IF('Producción por Partida'!$B$38="","",'Producción por Partida'!$B$38)</f>
        <v/>
      </c>
      <c r="C45">
        <f>IF('Producción por Partida'!$D$38="","",'Producción por Partida'!$D$38)</f>
        <v/>
      </c>
      <c r="D45" s="13">
        <f>IF('Producción por Partida'!$M$38="","",'Producción por Partida'!$M$38)</f>
        <v/>
      </c>
      <c r="E45" s="9" t="n"/>
      <c r="F45" s="9" t="n"/>
      <c r="G45" s="13">
        <f>IF(OR(NOT(ISNUMBER($E45)),NOT(ISNUMBER($F45))),"",$E45-$F45)</f>
        <v/>
      </c>
      <c r="H45" s="14">
        <f>IFERROR(IF(OR(NOT(ISNUMBER($G45)),NOT(ISNUMBER($E45)),$E45=0),"",$G45/$E45),"")</f>
        <v/>
      </c>
      <c r="I45">
        <f>IF(NOT(ISNUMBER($G45)),"",IF($G45&gt;0,"Sobra: baja la producción de este plato",IF($G45&lt;0,"Faltó: sube la producción de este plato","Ajustado")))</f>
        <v/>
      </c>
    </row>
    <row r="46">
      <c r="A46">
        <f>IF('Producción por Partida'!$A$39="","",'Producción por Partida'!$A$39)</f>
        <v/>
      </c>
      <c r="B46">
        <f>IF('Producción por Partida'!$B$39="","",'Producción por Partida'!$B$39)</f>
        <v/>
      </c>
      <c r="C46">
        <f>IF('Producción por Partida'!$D$39="","",'Producción por Partida'!$D$39)</f>
        <v/>
      </c>
      <c r="D46" s="13">
        <f>IF('Producción por Partida'!$M$39="","",'Producción por Partida'!$M$39)</f>
        <v/>
      </c>
      <c r="E46" s="9" t="n"/>
      <c r="F46" s="9" t="n"/>
      <c r="G46" s="13">
        <f>IF(OR(NOT(ISNUMBER($E46)),NOT(ISNUMBER($F46))),"",$E46-$F46)</f>
        <v/>
      </c>
      <c r="H46" s="14">
        <f>IFERROR(IF(OR(NOT(ISNUMBER($G46)),NOT(ISNUMBER($E46)),$E46=0),"",$G46/$E46),"")</f>
        <v/>
      </c>
      <c r="I46">
        <f>IF(NOT(ISNUMBER($G46)),"",IF($G46&gt;0,"Sobra: baja la producción de este plato",IF($G46&lt;0,"Faltó: sube la producción de este plato","Ajustado")))</f>
        <v/>
      </c>
    </row>
    <row r="47">
      <c r="A47">
        <f>IF('Producción por Partida'!$A$40="","",'Producción por Partida'!$A$40)</f>
        <v/>
      </c>
      <c r="B47">
        <f>IF('Producción por Partida'!$B$40="","",'Producción por Partida'!$B$40)</f>
        <v/>
      </c>
      <c r="C47">
        <f>IF('Producción por Partida'!$D$40="","",'Producción por Partida'!$D$40)</f>
        <v/>
      </c>
      <c r="D47" s="13">
        <f>IF('Producción por Partida'!$M$40="","",'Producción por Partida'!$M$40)</f>
        <v/>
      </c>
      <c r="E47" s="9" t="n"/>
      <c r="F47" s="9" t="n"/>
      <c r="G47" s="13">
        <f>IF(OR(NOT(ISNUMBER($E47)),NOT(ISNUMBER($F47))),"",$E47-$F47)</f>
        <v/>
      </c>
      <c r="H47" s="14">
        <f>IFERROR(IF(OR(NOT(ISNUMBER($G47)),NOT(ISNUMBER($E47)),$E47=0),"",$G47/$E47),"")</f>
        <v/>
      </c>
      <c r="I47">
        <f>IF(NOT(ISNUMBER($G47)),"",IF($G47&gt;0,"Sobra: baja la producción de este plato",IF($G47&lt;0,"Faltó: sube la producción de este plato","Ajustado")))</f>
        <v/>
      </c>
    </row>
    <row r="48">
      <c r="A48">
        <f>IF('Producción por Partida'!$A$41="","",'Producción por Partida'!$A$41)</f>
        <v/>
      </c>
      <c r="B48">
        <f>IF('Producción por Partida'!$B$41="","",'Producción por Partida'!$B$41)</f>
        <v/>
      </c>
      <c r="C48">
        <f>IF('Producción por Partida'!$D$41="","",'Producción por Partida'!$D$41)</f>
        <v/>
      </c>
      <c r="D48" s="13">
        <f>IF('Producción por Partida'!$M$41="","",'Producción por Partida'!$M$41)</f>
        <v/>
      </c>
      <c r="E48" s="9" t="n"/>
      <c r="F48" s="9" t="n"/>
      <c r="G48" s="13">
        <f>IF(OR(NOT(ISNUMBER($E48)),NOT(ISNUMBER($F48))),"",$E48-$F48)</f>
        <v/>
      </c>
      <c r="H48" s="14">
        <f>IFERROR(IF(OR(NOT(ISNUMBER($G48)),NOT(ISNUMBER($E48)),$E48=0),"",$G48/$E48),"")</f>
        <v/>
      </c>
      <c r="I48">
        <f>IF(NOT(ISNUMBER($G48)),"",IF($G48&gt;0,"Sobra: baja la producción de este plato",IF($G48&lt;0,"Faltó: sube la producción de este plato","Ajustado")))</f>
        <v/>
      </c>
    </row>
    <row r="49">
      <c r="A49">
        <f>IF('Producción por Partida'!$A$42="","",'Producción por Partida'!$A$42)</f>
        <v/>
      </c>
      <c r="B49">
        <f>IF('Producción por Partida'!$B$42="","",'Producción por Partida'!$B$42)</f>
        <v/>
      </c>
      <c r="C49">
        <f>IF('Producción por Partida'!$D$42="","",'Producción por Partida'!$D$42)</f>
        <v/>
      </c>
      <c r="D49" s="13">
        <f>IF('Producción por Partida'!$M$42="","",'Producción por Partida'!$M$42)</f>
        <v/>
      </c>
      <c r="E49" s="9" t="n"/>
      <c r="F49" s="9" t="n"/>
      <c r="G49" s="13">
        <f>IF(OR(NOT(ISNUMBER($E49)),NOT(ISNUMBER($F49))),"",$E49-$F49)</f>
        <v/>
      </c>
      <c r="H49" s="14">
        <f>IFERROR(IF(OR(NOT(ISNUMBER($G49)),NOT(ISNUMBER($E49)),$E49=0),"",$G49/$E49),"")</f>
        <v/>
      </c>
      <c r="I49">
        <f>IF(NOT(ISNUMBER($G49)),"",IF($G49&gt;0,"Sobra: baja la producción de este plato",IF($G49&lt;0,"Faltó: sube la producción de este plato","Ajustado")))</f>
        <v/>
      </c>
    </row>
    <row r="50">
      <c r="A50">
        <f>IF('Producción por Partida'!$A$43="","",'Producción por Partida'!$A$43)</f>
        <v/>
      </c>
      <c r="B50">
        <f>IF('Producción por Partida'!$B$43="","",'Producción por Partida'!$B$43)</f>
        <v/>
      </c>
      <c r="C50">
        <f>IF('Producción por Partida'!$D$43="","",'Producción por Partida'!$D$43)</f>
        <v/>
      </c>
      <c r="D50" s="13">
        <f>IF('Producción por Partida'!$M$43="","",'Producción por Partida'!$M$43)</f>
        <v/>
      </c>
      <c r="E50" s="9" t="n"/>
      <c r="F50" s="9" t="n"/>
      <c r="G50" s="13">
        <f>IF(OR(NOT(ISNUMBER($E50)),NOT(ISNUMBER($F50))),"",$E50-$F50)</f>
        <v/>
      </c>
      <c r="H50" s="14">
        <f>IFERROR(IF(OR(NOT(ISNUMBER($G50)),NOT(ISNUMBER($E50)),$E50=0),"",$G50/$E50),"")</f>
        <v/>
      </c>
      <c r="I50">
        <f>IF(NOT(ISNUMBER($G50)),"",IF($G50&gt;0,"Sobra: baja la producción de este plato",IF($G50&lt;0,"Faltó: sube la producción de este plato","Ajustado")))</f>
        <v/>
      </c>
    </row>
    <row r="51">
      <c r="A51" s="15" t="inlineStr">
        <is>
          <t>TOTAL</t>
        </is>
      </c>
      <c r="B51" s="15" t="n"/>
      <c r="C51" s="15" t="n"/>
      <c r="D51" s="16">
        <f>IF(COUNT(D31:D50)=0,"",SUM(D31:D50))</f>
        <v>323.0</v>
      </c>
      <c r="E51" s="16">
        <f>IF(COUNT(E31:E50)=0,"",SUM(E31:E50))</f>
        <v/>
      </c>
      <c r="F51" s="16">
        <f>IF(COUNT(F31:F50)=0,"",SUM(F31:F50))</f>
        <v/>
      </c>
      <c r="G51" s="16">
        <f>IF(COUNT(G31:G50)=0,"",SUM(G31:G50))</f>
        <v/>
      </c>
      <c r="H51" s="18">
        <f>IFERROR(IF(OR(NOT(ISNUMBER($G$51)),NOT(ISNUMBER($E$51)),$E$51=0),"",$G$51/$E$51),"")</f>
        <v/>
      </c>
      <c r="I51" s="15" t="n"/>
    </row>
    <row r="52"/>
    <row r="53">
      <c r="A53" t="inlineStr">
        <is>
          <t>SOBRANTE NO ES MERMA. Aquí se mide si produjiste de más; la merma (lo que se tira, en kilos, sobre lo que se produjo) se registra por partida en el cuadro de mando de cocina, que es el libro 1 de este pack. Sumar las dos cosas es contar el mismo problema dos veces.</t>
        </is>
      </c>
    </row>
    <row r="54">
      <c r="A54" t="inlineStr">
        <is>
          <t>Antes de tirar un excedente: el orden legal de prioridades es prevenir primero y donar o redistribuir para consumo humano después, antes que destinarlo a alimentación animal o a residuo. Verificado el 06-09-2026 · Ley 1/2025, art. 5.1-5.2 · https://www.boe.es/buscar/act.php?id=BOE-A-2025-6597</t>
        </is>
      </c>
    </row>
    <row r="55">
      <c r="A55" t="inlineStr">
        <is>
          <t>Qué hacer con cada excedente de cocina y qué se puede donar y qué no está en el capítulo de comidas testigo y banquetes del manual, y el plan de prevención del desperdicio, en el Manual del Manager.</t>
        </is>
      </c>
    </row>
  </sheetData>
  <sheetProtection selectLockedCells="0" selectUnlockedCells="0" sheet="1" objects="0" insertRows="0" insertHyperlinks="1" autoFilter="1" scenarios="0" formatColumns="0" deleteColumns="1" insertColumns="1" pivotTables="1" deleteRows="1" formatCells="1" formatRows="0" sort="0"/>
  <conditionalFormatting sqref="F10:F24">
    <cfRule type="expression" priority="1" dxfId="2" stopIfTrue="1">
      <formula>=AND(ISNUMBER($F10),NOT(ISNUMBER($B$6)))</formula>
    </cfRule>
    <cfRule type="expression" priority="2" dxfId="0" stopIfTrue="1">
      <formula>=AND(ISNUMBER($F10),ISNUMBER($B$6),ABS($F10)&gt;$B$6)</formula>
    </cfRule>
    <cfRule type="expression" priority="3" dxfId="3" stopIfTrue="1">
      <formula>=AND(ISNUMBER($F10),ISNUMBER($B$6),ABS($F10)&lt;=$B$6)</formula>
    </cfRule>
  </conditionalFormatting>
  <conditionalFormatting sqref="G31:G51">
    <cfRule type="expression" priority="4" dxfId="0" stopIfTrue="1">
      <formula>=AND(ISNUMBER($G31),$G31&gt;0)</formula>
    </cfRule>
    <cfRule type="expression" priority="5" dxfId="3" stopIfTrue="1">
      <formula>=AND(ISNUMBER($G31),$G31&lt;=0)</formula>
    </cfRule>
  </conditionalFormatting>
  <dataValidations count="3">
    <dataValidation sqref="B6" showDropDown="0" showInputMessage="1" showErrorMessage="1" allowBlank="1" errorTitle="Tolerancia" error="Escribe un porcentaje entre 0 y 1 (0,20 = 20 %)." promptTitle="Tolerancia" prompt="Se escribe en tanto por uno: 0,10 = 10 %." type="decimal" operator="between">
      <formula1>0</formula1>
      <formula2>1.0</formula2>
    </dataValidation>
    <dataValidation sqref="D10 D11 D12 D13 D14 D15 D16 D17 D18 D19 D20 D21 D22 D23" showDropDown="0" showInputMessage="0" showErrorMessage="1" allowBlank="1" errorTitle="Cubiertos reales" error="Cubiertos que se sirvieron de verdad." type="decimal" operator="between">
      <formula1>0</formula1>
      <formula2>10000</formula2>
    </dataValidation>
    <dataValidation sqref="E31 E32 E33 E34 E35 E36 E37 E38 E39 E40 E41 E42 E43 E44 E45 E46 E47 E48 E49 E50 F31 F32 F33 F34 F35 F36 F37 F38 F39 F40 F41 F42 F43 F44 F45 F46 F47 F48 F49 F50" showDropDown="0" showInputMessage="0" showErrorMessage="1" allowBlank="1" errorTitle="Raciones" error="Raciones producidas o vendidas de ese plato." type="decimal" operator="between">
      <formula1>0</formula1>
      <formula2>100000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Planificación de producción semanal</dc:title>
  <dc:subject xmlns:dc="http://purl.org/dc/elements/1.1/">Manual del Chef Ejecutivo · v1.0</dc:subject>
  <dcterms:created xmlns:dcterms="http://purl.org/dc/terms/" xmlns:xsi="http://www.w3.org/2001/XMLSchema-instance" xsi:type="dcterms:W3CDTF">2026-09-06T16:13:14Z</dcterms:created>
  <dcterms:modified xmlns:dcterms="http://purl.org/dc/terms/" xmlns:xsi="http://www.w3.org/2001/XMLSchema-instance" xsi:type="dcterms:W3CDTF">2026-09-06T16:13:15Z</dcterms:modified>
  <cp:lastModifiedBy>AI Chef Pro</cp:lastModifiedBy>
</cp:coreProperties>
</file>