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uditoría" sheetId="2" state="visible" r:id="rId2"/>
    <sheet xmlns:r="http://schemas.openxmlformats.org/officeDocument/2006/relationships" name="Resumen por Área" sheetId="3" state="visible" r:id="rId3"/>
    <sheet xmlns:r="http://schemas.openxmlformats.org/officeDocument/2006/relationships" name="Histórico" sheetId="4" state="visible" r:id="rId4"/>
    <sheet xmlns:r="http://schemas.openxmlformats.org/officeDocument/2006/relationships" name="Histórico por Unidad" sheetId="5" state="visible" r:id="rId5"/>
    <sheet xmlns:r="http://schemas.openxmlformats.org/officeDocument/2006/relationships" name="Estado Normativo" sheetId="6" state="visible" r:id="rId6"/>
  </sheets>
  <definedNames>
    <definedName name="_xlnm.Print_Titles" localSheetId="1">'Auditoría'!$18:$18</definedName>
    <definedName name="_xlnm.Print_Titles" localSheetId="3">'Histórico'!$5:$5</definedName>
    <definedName name="_xlnm.Print_Titles" localSheetId="4">'Histórico por Unidad'!$5:$5</definedName>
    <definedName name="_xlnm.Print_Titles" localSheetId="5">'Estado Normativo'!$12:$12</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7">
    <font>
      <name val="Calibri"/>
      <family val="2"/>
      <color theme="1"/>
      <sz val="11"/>
      <scheme val="minor"/>
    </font>
    <font>
      <b val="1"/>
      <color rgb="00FFD700"/>
      <sz val="16"/>
    </font>
    <font>
      <i val="1"/>
      <sz val="9"/>
    </font>
    <font>
      <b val="1"/>
      <color theme="1"/>
      <sz val="11"/>
    </font>
    <font>
      <b val="1"/>
      <sz val="12"/>
    </font>
    <font>
      <b val="1"/>
      <color rgb="00FFFFFF"/>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165" fontId="0" fillId="2" borderId="0" applyProtection="1" pivotButton="0" quotePrefix="0" xfId="0">
      <protection locked="0" hidden="0"/>
    </xf>
    <xf numFmtId="0" fontId="0" fillId="0" borderId="0" applyProtection="1" pivotButton="0" quotePrefix="0" xfId="0">
      <protection locked="0" hidden="0"/>
    </xf>
    <xf numFmtId="3" fontId="0" fillId="2" borderId="0" applyProtection="1" pivotButton="0" quotePrefix="0" xfId="0">
      <protection locked="0" hidden="0"/>
    </xf>
    <xf numFmtId="0" fontId="3" fillId="0" borderId="0" pivotButton="0" quotePrefix="0" xfId="0"/>
    <xf numFmtId="4" fontId="3" fillId="4" borderId="0" pivotButton="0" quotePrefix="0" xfId="0"/>
    <xf numFmtId="166" fontId="3" fillId="4" borderId="0" pivotButton="0" quotePrefix="0" xfId="0"/>
    <xf numFmtId="3" fontId="3" fillId="4" borderId="0" pivotButton="0" quotePrefix="0" xfId="0"/>
    <xf numFmtId="3" fontId="0" fillId="0" borderId="0" applyAlignment="1" pivotButton="0" quotePrefix="0" xfId="0">
      <alignment horizontal="center" vertical="top"/>
    </xf>
    <xf numFmtId="3" fontId="0" fillId="2" borderId="0" applyAlignment="1" applyProtection="1" pivotButton="0" quotePrefix="0" xfId="0">
      <alignment horizontal="center" vertical="top"/>
      <protection locked="0" hidden="0"/>
    </xf>
    <xf numFmtId="4" fontId="0" fillId="0" borderId="0" applyAlignment="1" pivotButton="0" quotePrefix="0" xfId="0">
      <alignment horizontal="center"/>
    </xf>
    <xf numFmtId="3" fontId="0" fillId="0" borderId="0" applyAlignment="1" pivotButton="0" quotePrefix="0" xfId="0">
      <alignment horizontal="center"/>
    </xf>
    <xf numFmtId="4" fontId="3" fillId="0" borderId="0" pivotButton="0" quotePrefix="0" xfId="0"/>
    <xf numFmtId="166" fontId="0" fillId="0" borderId="0" pivotButton="0" quotePrefix="0" xfId="0"/>
    <xf numFmtId="4" fontId="0" fillId="2" borderId="0" applyProtection="1" pivotButton="0" quotePrefix="0" xfId="0">
      <protection locked="0" hidden="0"/>
    </xf>
    <xf numFmtId="4" fontId="0" fillId="0" borderId="0" pivotButton="0" quotePrefix="0" xfId="0"/>
    <xf numFmtId="0" fontId="6" fillId="5" borderId="0" pivotButton="0" quotePrefix="0" xfId="0"/>
    <xf numFmtId="3" fontId="6" fillId="5" borderId="0" applyAlignment="1" pivotButton="0" quotePrefix="0" xfId="0">
      <alignment horizontal="center"/>
    </xf>
    <xf numFmtId="4" fontId="6" fillId="5" borderId="0" pivotButton="0" quotePrefix="0" xfId="0"/>
    <xf numFmtId="166" fontId="6" fillId="5" borderId="0" pivotButton="0" quotePrefix="0" xfId="0"/>
    <xf numFmtId="3" fontId="0" fillId="4" borderId="0" applyAlignment="1" pivotButton="0" quotePrefix="0" xfId="0">
      <alignment horizontal="center"/>
    </xf>
    <xf numFmtId="165" fontId="0" fillId="4" borderId="0" pivotButton="0" quotePrefix="0" xfId="0"/>
    <xf numFmtId="0" fontId="0" fillId="4" borderId="0" pivotButton="0" quotePrefix="0" xfId="0"/>
    <xf numFmtId="165" fontId="3" fillId="4" borderId="0" pivotButton="0" quotePrefix="0" xfId="0"/>
    <xf numFmtId="3" fontId="0" fillId="4" borderId="0" pivotButton="0" quotePrefix="0" xfId="0"/>
    <xf numFmtId="165" fontId="0" fillId="0" borderId="0" pivotButton="0" quotePrefix="0" xfId="0"/>
    <xf numFmtId="0" fontId="0" fillId="0" borderId="0" applyAlignment="1" pivotButton="0" quotePrefix="0" xfId="0">
      <alignment horizontal="center" vertical="top"/>
    </xf>
  </cellXfs>
  <cellStyles count="1">
    <cellStyle name="Normal" xfId="0" builtinId="0" hidden="0"/>
  </cellStyles>
  <dxfs count="4">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2"/>
  <sheetViews>
    <sheetView workbookViewId="0">
      <selection activeCell="A1" sqref="A1"/>
    </sheetView>
  </sheetViews>
  <sheetFormatPr baseColWidth="8" defaultRowHeight="15"/>
  <cols>
    <col width="110" customWidth="1" min="1" max="1"/>
  </cols>
  <sheetData>
    <row r="1" ht="30" customHeight="1">
      <c r="A1" s="1" t="inlineStr">
        <is>
          <t>Auditoría interna de cocina</t>
        </is>
      </c>
    </row>
    <row r="2">
      <c r="A2" t="inlineStr">
        <is>
          <t>AI Chef Pro · aichef.pro — Manual del Chef Ejecutivo</t>
        </is>
      </c>
    </row>
    <row r="3">
      <c r="A3" s="2" t="inlineStr">
        <is>
          <t>Para qué sirve: puntuar la disciplina de tu cocina siempre igual, ver si mejora y comparar unas cocinas con otras.</t>
        </is>
      </c>
    </row>
    <row r="4"/>
    <row r="5">
      <c r="A5" s="3" t="inlineStr">
        <is>
          <t>Instrucciones de uso</t>
        </is>
      </c>
    </row>
    <row r="6" ht="48" customHeight="1">
      <c r="A6" s="4" t="inlineStr">
        <is>
          <t>1. Hoja «Auditoría»: escribe la fecha, quién audita y qué cocina se audita. La escala viene a 5 y los dos umbrales del semáforo (ámbar y crítico) son celdas verdes: son tuyos, no de ningún estándar.</t>
        </is>
      </c>
    </row>
    <row r="7" ht="48" customHeight="1">
      <c r="A7" s="4" t="inlineStr">
        <is>
          <t>2. Recorre los 50 puntos y puntúa cada uno de 0 a la escala. El peso ya viene puesto de 1 a 3 y también es editable: si en tu casa la trazabilidad de las fichas pesa más que el orden del office, súbelo.</t>
        </is>
      </c>
    </row>
    <row r="8" ht="48" customHeight="1">
      <c r="A8" s="4" t="inlineStr">
        <is>
          <t>3. La nota de la visita es una MEDIA PONDERADA, no la media de los 50 números: cada punto pesa lo que dice su columna. Está arriba, junto al cumplimiento sobre la escala y los puntos que llevas puntuados.</t>
        </is>
      </c>
    </row>
    <row r="9" ht="48" customHeight="1">
      <c r="A9" s="4" t="inlineStr">
        <is>
          <t>4. Hoja «Resumen por Área»: los mismos 50 puntos repartidos en cinco áreas, cada una con su nota, su peso y su comparación contra la visita que elijas en la celda verde de arriba. La columna «Lectura» dice con palabras si el área empeora.</t>
        </is>
      </c>
    </row>
    <row r="10" ht="48" customHeight="1">
      <c r="A10" s="4" t="inlineStr">
        <is>
          <t>5. Esa comparación por área es LO IMPORTANTE de este libro. En el ejemplo la nota global sube de 3,09 a 3,54 y aun así el área de mermas cae de 3,67 a 2,58: una media global se traga eso y una comparación por área no.</t>
        </is>
      </c>
    </row>
    <row r="11" ht="48" customHeight="1">
      <c r="A11" s="4" t="inlineStr">
        <is>
          <t>6. Hoja «Histórico»: una fila por visita. La primera es la visita ya cerrada, con sus notas por área escritas a mano; la segunda es la VISITA EN CURSO y se lee sola de las otras dos hojas. Cuando la cierres, copia esa fila y pégala como valores en la primera fila libre de abajo.</t>
        </is>
      </c>
    </row>
    <row r="12" ht="48" customHeight="1">
      <c r="A12" s="4" t="inlineStr">
        <is>
          <t>7. Hoja «Histórico por Unidad»: la misma auditoría puntuada en varias cocinas. La unidad de referencia se calcula sola; las demás las rellenas tú cuando las audites. Debajo tienes la media del grupo y tu estándar, para ver quién se aparta y por dónde.</t>
        </is>
      </c>
    </row>
    <row r="13" ht="48" customHeight="1">
      <c r="A13" s="4" t="inlineStr">
        <is>
          <t>8. Hoja «Estado Normativo»: qué dice hoy cada norma que toca esta auditoría, qué tiene que hacer el chef, la fecha en que se comprobó y el enlace para comprobarlo tú. La fecha de corte es editable y el libro te avisa cuando ha pasado demasiado tiempo desde ella.</t>
        </is>
      </c>
    </row>
    <row r="14" ht="48" customHeight="1">
      <c r="A14" s="4" t="inlineStr">
        <is>
          <t>9. Lo que esta auditoría NO mira: limpieza, control de plagas y temperaturas de cámara. Eso son registros de APPCC y viven en el «Pack APPCC». Mezclarlos aquí daría un checklist que no sirve ni para una cosa ni para la otra.</t>
        </is>
      </c>
    </row>
    <row r="15" ht="48" customHeight="1">
      <c r="A15" s="4" t="inlineStr">
        <is>
          <t>10. Cadencia: una visita AL CIERRE DE TRIMESTRE o de temporada. No es una herramienta de uso diario ni semanal: es la fotografía que compara una temporada con la anterior.</t>
        </is>
      </c>
    </row>
    <row r="16"/>
    <row r="17">
      <c r="A17" s="5" t="inlineStr">
        <is>
          <t>Celdas verdes = campos editables</t>
        </is>
      </c>
    </row>
    <row r="18"/>
    <row r="19">
      <c r="A19" s="3" t="inlineStr">
        <is>
          <t>Lo que conviene saber antes de empezar</t>
        </is>
      </c>
    </row>
    <row r="20" ht="62" customHeight="1">
      <c r="A20" s="4" t="inlineStr">
        <is>
          <t>ESTA AUDITORÍA MIDE DISCIPLINA DE COCINA, no higiene documental. Son cincuenta cosas que se ven en un servicio: si la mise en place está montada a la hora, si los gramajes coinciden con la ficha, si la merma se pesa o se estima, si el plato con alergia sale identificado.</t>
        </is>
      </c>
    </row>
    <row r="21" ht="62" customHeight="1">
      <c r="A21" s="4" t="inlineStr">
        <is>
          <t>La nota ponderada es la única honesta. Con media aritmética, rotular las estanterías de seco (peso 1) sube lo mismo que pesar tres raciones contra la ficha (peso 3), y entonces la auditoría se puede aprobar haciendo lo fácil.</t>
        </is>
      </c>
    </row>
    <row r="22" ht="62" customHeight="1">
      <c r="A22" s="4" t="inlineStr">
        <is>
          <t>Puntúa los 50. Un punto sin puntuar cuenta como cero en la media ponderada, y eso es a propósito: «no lo he mirado» no puede salir mejor que «lo he mirado y está mal».</t>
        </is>
      </c>
    </row>
    <row r="23" ht="62" customHeight="1">
      <c r="A23" s="4" t="inlineStr">
        <is>
          <t>El área de prevención de riesgos laborales lleva su base legal punto por punto: temperatura del local, suelos, equipos de protección, resguardos de las máquinas, comprobaciones documentadas y formación del puesto. Cada uno con su norma y su enlace, comprobados el 6 de septiembre de 2026.</t>
        </is>
      </c>
    </row>
    <row r="24" ht="62" customHeight="1">
      <c r="A24" s="4" t="inlineStr">
        <is>
          <t>Ojo con la temperatura del local: la norma da 17-27 °C para trabajo sedentario y 14-25 °C para trabajo ligero, y NO fija rango para el trabajo pesado. La categoría de trabajo de tu cocina la decide tu evaluación de riesgos, no una tabla general. Verificado el 06-09-2026 · RD 486/1997, Anexo III, punto 3 · https://www.boe.es/buscar/act.php?id=BOE-A-1997-8669</t>
        </is>
      </c>
    </row>
    <row r="25" ht="62" customHeight="1">
      <c r="A25" s="4" t="inlineStr">
        <is>
          <t>Y con las cargas: el Real Decreto 487/1997 no contiene ninguna cifra en kilos. Los 25 kg que todo el mundo repite salen de una guía técnica que no es vinculante. Verificado el 06-09-2026 · RD 487/1997, Anexo, puntos 1-5 · https://www.boe.es/buscar/act.php?id=BOE-A-1997-8670</t>
        </is>
      </c>
    </row>
    <row r="26" ht="62" customHeight="1">
      <c r="A26" s="4" t="inlineStr">
        <is>
          <t>La auditoría no sustituye al APPCC ni a la auditoría de servicio del «Manual del Manager de Restaurante». Son tres cosas distintas y cada una tiene su libro.</t>
        </is>
      </c>
    </row>
    <row r="27"/>
    <row r="28">
      <c r="A28" t="inlineStr">
        <is>
          <t>Para editar la estructura o una celda que no este en verde, desprotege la hoja (sin contraseña).</t>
        </is>
      </c>
    </row>
    <row r="29">
      <c r="A29" t="inlineStr">
        <is>
          <t>Ruta en Excel: Revisar &gt; Desproteger hoja. La protección no tiene contraseña; sirve para no pisar una fórmula sin querer.</t>
        </is>
      </c>
    </row>
    <row r="30"/>
    <row r="31">
      <c r="A31" t="inlineStr">
        <is>
          <t>Diseñado por John Guerrero — chef y consultor gastronómico desde 2010 · johnguerrero.es</t>
        </is>
      </c>
    </row>
    <row r="32">
      <c r="A32"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68"/>
  <sheetViews>
    <sheetView workbookViewId="0">
      <pane xSplit="3" ySplit="18" topLeftCell="D19"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74" customWidth="1" min="3" max="3"/>
    <col width="11" customWidth="1" min="4" max="4"/>
    <col width="14" customWidth="1" min="5" max="5"/>
    <col width="11" customWidth="1" min="6" max="6"/>
    <col width="46" customWidth="1" min="7" max="7"/>
    <col width="76" customWidth="1" min="8" max="8"/>
    <col width="40" customWidth="1" min="9" max="9"/>
  </cols>
  <sheetData>
    <row r="1" ht="30" customHeight="1">
      <c r="A1" s="1" t="inlineStr">
        <is>
          <t>Auditoría interna de cocina: 50 puntos en cinco áreas</t>
        </is>
      </c>
    </row>
    <row r="2">
      <c r="A2" t="inlineStr">
        <is>
          <t>AI Chef Pro · aichef.pro — Manual del Chef Ejecutivo</t>
        </is>
      </c>
    </row>
    <row r="3">
      <c r="A3" s="2" t="inlineStr">
        <is>
          <t>La nota es una media PONDERADA por el peso de cada punto. No mira limpieza, plagas ni temperaturas de cámara: eso es el Pack APPCC.</t>
        </is>
      </c>
    </row>
    <row r="4"/>
    <row r="5">
      <c r="A5" s="3" t="inlineStr">
        <is>
          <t>ESTA VISITA</t>
        </is>
      </c>
    </row>
    <row r="6" ht="20" customHeight="1">
      <c r="B6" s="6" t="inlineStr">
        <is>
          <t>Campo</t>
        </is>
      </c>
      <c r="D6" s="6" t="inlineStr">
        <is>
          <t>Valor</t>
        </is>
      </c>
    </row>
    <row r="7">
      <c r="B7" t="inlineStr">
        <is>
          <t>Fecha de la visita</t>
        </is>
      </c>
      <c r="D7" s="7" t="n">
        <v>46269</v>
      </c>
      <c r="E7" s="8" t="n"/>
      <c r="F7" s="8" t="n"/>
    </row>
    <row r="8">
      <c r="B8" t="inlineStr">
        <is>
          <t>Quién audita</t>
        </is>
      </c>
      <c r="D8" s="5" t="inlineStr">
        <is>
          <t>Dirección, con el chef delante</t>
        </is>
      </c>
      <c r="E8" s="8" t="n"/>
      <c r="F8" s="8" t="n"/>
    </row>
    <row r="9">
      <c r="B9" t="inlineStr">
        <is>
          <t>Unidad o cocina auditada</t>
        </is>
      </c>
      <c r="D9" s="5" t="inlineStr">
        <is>
          <t>La Encina (unidad de referencia)</t>
        </is>
      </c>
      <c r="E9" s="8" t="n"/>
      <c r="F9" s="8" t="n"/>
    </row>
    <row r="10">
      <c r="B10" t="inlineStr">
        <is>
          <t>Escala máxima de puntuación</t>
        </is>
      </c>
      <c r="D10" s="9" t="n">
        <v>5</v>
      </c>
      <c r="E10" s="8" t="n"/>
      <c r="F10" s="8" t="n"/>
    </row>
    <row r="11">
      <c r="B11" t="inlineStr">
        <is>
          <t>Aviso ÁMBAR: puntuación por debajo de</t>
        </is>
      </c>
      <c r="D11" s="9" t="n">
        <v>3</v>
      </c>
      <c r="E11" s="8" t="n"/>
      <c r="F11" s="8" t="n"/>
    </row>
    <row r="12">
      <c r="B12" t="inlineStr">
        <is>
          <t>Aviso CRÍTICO: puntuación por debajo de</t>
        </is>
      </c>
      <c r="D12" s="9" t="n">
        <v>2</v>
      </c>
      <c r="E12" s="8" t="n"/>
      <c r="F12" s="8" t="n"/>
    </row>
    <row r="13">
      <c r="B13" s="10" t="inlineStr">
        <is>
          <t>Puntuación media PONDERADA de la visita</t>
        </is>
      </c>
      <c r="D13" s="11">
        <f>IFERROR(SUMPRODUCT($D$19:$D$68,$E$19:$E$68)/SUM($D$19:$D$68),"")</f>
        <v>3.5447154471544717</v>
      </c>
    </row>
    <row r="14">
      <c r="B14" s="10" t="inlineStr">
        <is>
          <t>Cumplimiento sobre la escala</t>
        </is>
      </c>
      <c r="D14" s="12">
        <f>IFERROR(IF(OR(NOT(ISNUMBER($D$13)),NOT(ISNUMBER($D$10)),$D$10=0),"",$D$13/$D$10),"")</f>
        <v>0.7089430894308943</v>
      </c>
    </row>
    <row r="15">
      <c r="B15" s="10" t="inlineStr">
        <is>
          <t>Puntos puntuados (de los 50)</t>
        </is>
      </c>
      <c r="D15" s="13">
        <f>COUNT($E$19:$E$68)</f>
        <v>50.0</v>
      </c>
    </row>
    <row r="16">
      <c r="B16" t="inlineStr">
        <is>
          <t>La media ponderada divide la suma de peso x puntuación entre la suma de los pesos. Un punto sin puntuar cuenta como cero: puntúa los 50.</t>
        </is>
      </c>
    </row>
    <row r="17"/>
    <row r="18" ht="44" customHeight="1">
      <c r="A18" s="6" t="inlineStr">
        <is>
          <t>Nº</t>
        </is>
      </c>
      <c r="B18" s="6" t="inlineStr">
        <is>
          <t>Área</t>
        </is>
      </c>
      <c r="C18" s="6" t="inlineStr">
        <is>
          <t>Punto de control</t>
        </is>
      </c>
      <c r="D18" s="6" t="inlineStr">
        <is>
          <t>Peso (1 a 3)</t>
        </is>
      </c>
      <c r="E18" s="6" t="inlineStr">
        <is>
          <t>Puntuación (0 a la escala)</t>
        </is>
      </c>
      <c r="F18" s="6" t="inlineStr">
        <is>
          <t>Ponderado</t>
        </is>
      </c>
      <c r="G18" s="6" t="inlineStr">
        <is>
          <t>Norma aplicable</t>
        </is>
      </c>
      <c r="H18" s="6" t="inlineStr">
        <is>
          <t>Verificación</t>
        </is>
      </c>
      <c r="I18" s="6" t="inlineStr">
        <is>
          <t>Observación</t>
        </is>
      </c>
    </row>
    <row r="19" ht="30" customHeight="1">
      <c r="A19" s="14" t="n">
        <v>1</v>
      </c>
      <c r="B19" t="inlineStr">
        <is>
          <t>Orden y mise en place</t>
        </is>
      </c>
      <c r="C19" s="4" t="inlineStr">
        <is>
          <t>Cada partida tiene su mise en place montada antes de la hora de apertura</t>
        </is>
      </c>
      <c r="D19" s="15" t="n">
        <v>3</v>
      </c>
      <c r="E19" s="15" t="n">
        <v>5</v>
      </c>
      <c r="F19" s="16">
        <f>IFERROR(IF(OR(NOT(ISNUMBER($D19)),NOT(ISNUMBER($E19))),"",$D19*$E19),"")</f>
        <v>15.0</v>
      </c>
      <c r="I19" s="5" t="n"/>
    </row>
    <row r="20" ht="30" customHeight="1">
      <c r="A20" s="14" t="n">
        <v>2</v>
      </c>
      <c r="B20" t="inlineStr">
        <is>
          <t>Orden y mise en place</t>
        </is>
      </c>
      <c r="C20" s="4" t="inlineStr">
        <is>
          <t>Los cubetos están etiquetados con producto y fecha de elaboración</t>
        </is>
      </c>
      <c r="D20" s="15" t="n">
        <v>2</v>
      </c>
      <c r="E20" s="15" t="n">
        <v>4</v>
      </c>
      <c r="F20" s="16">
        <f>IFERROR(IF(OR(NOT(ISNUMBER($D20)),NOT(ISNUMBER($E20))),"",$D20*$E20),"")</f>
        <v>8.0</v>
      </c>
      <c r="I20" s="5" t="n"/>
    </row>
    <row r="21" ht="30" customHeight="1">
      <c r="A21" s="14" t="n">
        <v>3</v>
      </c>
      <c r="B21" t="inlineStr">
        <is>
          <t>Orden y mise en place</t>
        </is>
      </c>
      <c r="C21" s="4" t="inlineStr">
        <is>
          <t>La cámara está ordenada por orden de caducidad y sin producto sin tapar</t>
        </is>
      </c>
      <c r="D21" s="15" t="n">
        <v>3</v>
      </c>
      <c r="E21" s="15" t="n">
        <v>4</v>
      </c>
      <c r="F21" s="16">
        <f>IFERROR(IF(OR(NOT(ISNUMBER($D21)),NOT(ISNUMBER($E21))),"",$D21*$E21),"")</f>
        <v>12.0</v>
      </c>
      <c r="I21" s="5" t="n"/>
    </row>
    <row r="22" ht="30" customHeight="1">
      <c r="A22" s="14" t="n">
        <v>4</v>
      </c>
      <c r="B22" t="inlineStr">
        <is>
          <t>Orden y mise en place</t>
        </is>
      </c>
      <c r="C22" s="4" t="inlineStr">
        <is>
          <t>El pase está despejado y con el material de emplatado a mano</t>
        </is>
      </c>
      <c r="D22" s="15" t="n">
        <v>2</v>
      </c>
      <c r="E22" s="15" t="n">
        <v>4</v>
      </c>
      <c r="F22" s="16">
        <f>IFERROR(IF(OR(NOT(ISNUMBER($D22)),NOT(ISNUMBER($E22))),"",$D22*$E22),"")</f>
        <v>8.0</v>
      </c>
      <c r="I22" s="5" t="n"/>
    </row>
    <row r="23" ht="30" customHeight="1">
      <c r="A23" s="14" t="n">
        <v>5</v>
      </c>
      <c r="B23" t="inlineStr">
        <is>
          <t>Orden y mise en place</t>
        </is>
      </c>
      <c r="C23" s="4" t="inlineStr">
        <is>
          <t>Los cuchillos están afilados y guardados en su soporte, no en el cajon</t>
        </is>
      </c>
      <c r="D23" s="15" t="n">
        <v>2</v>
      </c>
      <c r="E23" s="15" t="n">
        <v>4</v>
      </c>
      <c r="F23" s="16">
        <f>IFERROR(IF(OR(NOT(ISNUMBER($D23)),NOT(ISNUMBER($E23))),"",$D23*$E23),"")</f>
        <v>8.0</v>
      </c>
      <c r="I23" s="5" t="n"/>
    </row>
    <row r="24" ht="30" customHeight="1">
      <c r="A24" s="14" t="n">
        <v>6</v>
      </c>
      <c r="B24" t="inlineStr">
        <is>
          <t>Orden y mise en place</t>
        </is>
      </c>
      <c r="C24" s="4" t="inlineStr">
        <is>
          <t>No hay producto elaborado sin identificar en ninguna partida</t>
        </is>
      </c>
      <c r="D24" s="15" t="n">
        <v>3</v>
      </c>
      <c r="E24" s="15" t="n">
        <v>4</v>
      </c>
      <c r="F24" s="16">
        <f>IFERROR(IF(OR(NOT(ISNUMBER($D24)),NOT(ISNUMBER($E24))),"",$D24*$E24),"")</f>
        <v>12.0</v>
      </c>
      <c r="I24" s="5" t="n"/>
    </row>
    <row r="25" ht="30" customHeight="1">
      <c r="A25" s="14" t="n">
        <v>7</v>
      </c>
      <c r="B25" t="inlineStr">
        <is>
          <t>Orden y mise en place</t>
        </is>
      </c>
      <c r="C25" s="4" t="inlineStr">
        <is>
          <t>El office está al día al empezar el servicio</t>
        </is>
      </c>
      <c r="D25" s="15" t="n">
        <v>2</v>
      </c>
      <c r="E25" s="15" t="n">
        <v>4</v>
      </c>
      <c r="F25" s="16">
        <f>IFERROR(IF(OR(NOT(ISNUMBER($D25)),NOT(ISNUMBER($E25))),"",$D25*$E25),"")</f>
        <v>8.0</v>
      </c>
      <c r="I25" s="5" t="n"/>
    </row>
    <row r="26" ht="30" customHeight="1">
      <c r="A26" s="14" t="n">
        <v>8</v>
      </c>
      <c r="B26" t="inlineStr">
        <is>
          <t>Orden y mise en place</t>
        </is>
      </c>
      <c r="C26" s="4" t="inlineStr">
        <is>
          <t>Las estanterías de seco están rotuladas y sin cajas en el suelo</t>
        </is>
      </c>
      <c r="D26" s="15" t="n">
        <v>1</v>
      </c>
      <c r="E26" s="15" t="n">
        <v>4</v>
      </c>
      <c r="F26" s="16">
        <f>IFERROR(IF(OR(NOT(ISNUMBER($D26)),NOT(ISNUMBER($E26))),"",$D26*$E26),"")</f>
        <v>4.0</v>
      </c>
      <c r="I26" s="5" t="n"/>
    </row>
    <row r="27" ht="30" customHeight="1">
      <c r="A27" s="14" t="n">
        <v>9</v>
      </c>
      <c r="B27" t="inlineStr">
        <is>
          <t>Orden y mise en place</t>
        </is>
      </c>
      <c r="C27" s="4" t="inlineStr">
        <is>
          <t>Cada partida deja su puesto montado para el turno siguiente</t>
        </is>
      </c>
      <c r="D27" s="15" t="n">
        <v>2</v>
      </c>
      <c r="E27" s="15" t="n">
        <v>4</v>
      </c>
      <c r="F27" s="16">
        <f>IFERROR(IF(OR(NOT(ISNUMBER($D27)),NOT(ISNUMBER($E27))),"",$D27*$E27),"")</f>
        <v>8.0</v>
      </c>
      <c r="I27" s="5" t="n"/>
    </row>
    <row r="28" ht="30" customHeight="1">
      <c r="A28" s="14" t="n">
        <v>10</v>
      </c>
      <c r="B28" t="inlineStr">
        <is>
          <t>Orden y mise en place</t>
        </is>
      </c>
      <c r="C28" s="4" t="inlineStr">
        <is>
          <t>El parte de incidencias del servicio anterior está escrito y leído</t>
        </is>
      </c>
      <c r="D28" s="15" t="n">
        <v>2</v>
      </c>
      <c r="E28" s="15" t="n">
        <v>3</v>
      </c>
      <c r="F28" s="16">
        <f>IFERROR(IF(OR(NOT(ISNUMBER($D28)),NOT(ISNUMBER($E28))),"",$D28*$E28),"")</f>
        <v>6.0</v>
      </c>
      <c r="I28" s="5" t="n"/>
    </row>
    <row r="29" ht="30" customHeight="1">
      <c r="A29" s="14" t="n">
        <v>11</v>
      </c>
      <c r="B29" t="inlineStr">
        <is>
          <t>Aplicación de fichas técnicas</t>
        </is>
      </c>
      <c r="C29" s="4" t="inlineStr">
        <is>
          <t>Todos los platos de la carta tienen ficha técnica cerrada y firmada</t>
        </is>
      </c>
      <c r="D29" s="15" t="n">
        <v>3</v>
      </c>
      <c r="E29" s="15" t="n">
        <v>4</v>
      </c>
      <c r="F29" s="16">
        <f>IFERROR(IF(OR(NOT(ISNUMBER($D29)),NOT(ISNUMBER($E29))),"",$D29*$E29),"")</f>
        <v>12.0</v>
      </c>
      <c r="I29" s="5" t="n"/>
    </row>
    <row r="30" ht="30" customHeight="1">
      <c r="A30" s="14" t="n">
        <v>12</v>
      </c>
      <c r="B30" t="inlineStr">
        <is>
          <t>Aplicación de fichas técnicas</t>
        </is>
      </c>
      <c r="C30" s="4" t="inlineStr">
        <is>
          <t>La ficha está accesible en la partida que produce el plato</t>
        </is>
      </c>
      <c r="D30" s="15" t="n">
        <v>3</v>
      </c>
      <c r="E30" s="15" t="n">
        <v>4</v>
      </c>
      <c r="F30" s="16">
        <f>IFERROR(IF(OR(NOT(ISNUMBER($D30)),NOT(ISNUMBER($E30))),"",$D30*$E30),"")</f>
        <v>12.0</v>
      </c>
      <c r="I30" s="5" t="n"/>
    </row>
    <row r="31" ht="30" customHeight="1">
      <c r="A31" s="14" t="n">
        <v>13</v>
      </c>
      <c r="B31" t="inlineStr">
        <is>
          <t>Aplicación de fichas técnicas</t>
        </is>
      </c>
      <c r="C31" s="4" t="inlineStr">
        <is>
          <t>Los gramajes servidos coinciden con los de la ficha (pesado de 3 raciones)</t>
        </is>
      </c>
      <c r="D31" s="15" t="n">
        <v>3</v>
      </c>
      <c r="E31" s="15" t="n">
        <v>3</v>
      </c>
      <c r="F31" s="16">
        <f>IFERROR(IF(OR(NOT(ISNUMBER($D31)),NOT(ISNUMBER($E31))),"",$D31*$E31),"")</f>
        <v>9.0</v>
      </c>
      <c r="I31" s="5" t="n"/>
    </row>
    <row r="32" ht="30" customHeight="1">
      <c r="A32" s="14" t="n">
        <v>14</v>
      </c>
      <c r="B32" t="inlineStr">
        <is>
          <t>Aplicación de fichas técnicas</t>
        </is>
      </c>
      <c r="C32" s="4" t="inlineStr">
        <is>
          <t>El montaje coincide con la foto de la ficha</t>
        </is>
      </c>
      <c r="D32" s="15" t="n">
        <v>2</v>
      </c>
      <c r="E32" s="15" t="n">
        <v>4</v>
      </c>
      <c r="F32" s="16">
        <f>IFERROR(IF(OR(NOT(ISNUMBER($D32)),NOT(ISNUMBER($E32))),"",$D32*$E32),"")</f>
        <v>8.0</v>
      </c>
      <c r="I32" s="5" t="n"/>
    </row>
    <row r="33" ht="30" customHeight="1">
      <c r="A33" s="14" t="n">
        <v>15</v>
      </c>
      <c r="B33" t="inlineStr">
        <is>
          <t>Aplicación de fichas técnicas</t>
        </is>
      </c>
      <c r="C33" s="4" t="inlineStr">
        <is>
          <t>La versión de la ficha en la partida es la última revisada</t>
        </is>
      </c>
      <c r="D33" s="15" t="n">
        <v>3</v>
      </c>
      <c r="E33" s="15" t="n">
        <v>4</v>
      </c>
      <c r="F33" s="16">
        <f>IFERROR(IF(OR(NOT(ISNUMBER($D33)),NOT(ISNUMBER($E33))),"",$D33*$E33),"")</f>
        <v>12.0</v>
      </c>
      <c r="I33" s="5" t="n"/>
    </row>
    <row r="34" ht="30" customHeight="1">
      <c r="A34" s="14" t="n">
        <v>16</v>
      </c>
      <c r="B34" t="inlineStr">
        <is>
          <t>Aplicación de fichas técnicas</t>
        </is>
      </c>
      <c r="C34" s="4" t="inlineStr">
        <is>
          <t>Las sustituciones de producto están anotadas y comunicadas a sala</t>
        </is>
      </c>
      <c r="D34" s="15" t="n">
        <v>2</v>
      </c>
      <c r="E34" s="15" t="n">
        <v>3</v>
      </c>
      <c r="F34" s="16">
        <f>IFERROR(IF(OR(NOT(ISNUMBER($D34)),NOT(ISNUMBER($E34))),"",$D34*$E34),"")</f>
        <v>6.0</v>
      </c>
      <c r="I34" s="5" t="n"/>
    </row>
    <row r="35" ht="30" customHeight="1">
      <c r="A35" s="14" t="n">
        <v>17</v>
      </c>
      <c r="B35" t="inlineStr">
        <is>
          <t>Aplicación de fichas técnicas</t>
        </is>
      </c>
      <c r="C35" s="4" t="inlineStr">
        <is>
          <t>Los platos nuevos no salen a carta sin ficha cerrada</t>
        </is>
      </c>
      <c r="D35" s="15" t="n">
        <v>2</v>
      </c>
      <c r="E35" s="15" t="n">
        <v>4</v>
      </c>
      <c r="F35" s="16">
        <f>IFERROR(IF(OR(NOT(ISNUMBER($D35)),NOT(ISNUMBER($E35))),"",$D35*$E35),"")</f>
        <v>8.0</v>
      </c>
      <c r="I35" s="5" t="n"/>
    </row>
    <row r="36" ht="30" customHeight="1">
      <c r="A36" s="14" t="n">
        <v>18</v>
      </c>
      <c r="B36" t="inlineStr">
        <is>
          <t>Aplicación de fichas técnicas</t>
        </is>
      </c>
      <c r="C36" s="4" t="inlineStr">
        <is>
          <t>El tiempo de pase real está dentro del tiempo de la ficha</t>
        </is>
      </c>
      <c r="D36" s="15" t="n">
        <v>3</v>
      </c>
      <c r="E36" s="15" t="n">
        <v>3</v>
      </c>
      <c r="F36" s="16">
        <f>IFERROR(IF(OR(NOT(ISNUMBER($D36)),NOT(ISNUMBER($E36))),"",$D36*$E36),"")</f>
        <v>9.0</v>
      </c>
      <c r="I36" s="5" t="n"/>
    </row>
    <row r="37" ht="30" customHeight="1">
      <c r="A37" s="14" t="n">
        <v>19</v>
      </c>
      <c r="B37" t="inlineStr">
        <is>
          <t>Aplicación de fichas técnicas</t>
        </is>
      </c>
      <c r="C37" s="4" t="inlineStr">
        <is>
          <t>Las fichas revisadas en el último trimestre están fechadas</t>
        </is>
      </c>
      <c r="D37" s="15" t="n">
        <v>2</v>
      </c>
      <c r="E37" s="15" t="n">
        <v>4</v>
      </c>
      <c r="F37" s="16">
        <f>IFERROR(IF(OR(NOT(ISNUMBER($D37)),NOT(ISNUMBER($E37))),"",$D37*$E37),"")</f>
        <v>8.0</v>
      </c>
      <c r="I37" s="5" t="n"/>
    </row>
    <row r="38" ht="30" customHeight="1">
      <c r="A38" s="14" t="n">
        <v>20</v>
      </c>
      <c r="B38" t="inlineStr">
        <is>
          <t>Aplicación de fichas técnicas</t>
        </is>
      </c>
      <c r="C38" s="4" t="inlineStr">
        <is>
          <t>El equipo sabe dónde está la ficha y la consulta sin pedir permiso</t>
        </is>
      </c>
      <c r="D38" s="15" t="n">
        <v>2</v>
      </c>
      <c r="E38" s="15" t="n">
        <v>3</v>
      </c>
      <c r="F38" s="16">
        <f>IFERROR(IF(OR(NOT(ISNUMBER($D38)),NOT(ISNUMBER($E38))),"",$D38*$E38),"")</f>
        <v>6.0</v>
      </c>
      <c r="I38" s="5" t="n"/>
    </row>
    <row r="39" ht="30" customHeight="1">
      <c r="A39" s="14" t="n">
        <v>21</v>
      </c>
      <c r="B39" t="inlineStr">
        <is>
          <t>Mermas por partida</t>
        </is>
      </c>
      <c r="C39" s="4" t="inlineStr">
        <is>
          <t>Cada partida pesa y anota su merma a diario, y el total de la semana se lleva a la hoja Semana del cuadro de mando</t>
        </is>
      </c>
      <c r="D39" s="15" t="n">
        <v>3</v>
      </c>
      <c r="E39" s="15" t="n">
        <v>3</v>
      </c>
      <c r="F39" s="16">
        <f>IFERROR(IF(OR(NOT(ISNUMBER($D39)),NOT(ISNUMBER($E39))),"",$D39*$E39),"")</f>
        <v>9.0</v>
      </c>
      <c r="I39" s="5" t="n"/>
    </row>
    <row r="40" ht="30" customHeight="1">
      <c r="A40" s="14" t="n">
        <v>22</v>
      </c>
      <c r="B40" t="inlineStr">
        <is>
          <t>Mermas por partida</t>
        </is>
      </c>
      <c r="C40" s="4" t="inlineStr">
        <is>
          <t>La merma se pesa, no se estima a ojo</t>
        </is>
      </c>
      <c r="D40" s="15" t="n">
        <v>3</v>
      </c>
      <c r="E40" s="15" t="n">
        <v>3</v>
      </c>
      <c r="F40" s="16">
        <f>IFERROR(IF(OR(NOT(ISNUMBER($D40)),NOT(ISNUMBER($E40))),"",$D40*$E40),"")</f>
        <v>9.0</v>
      </c>
      <c r="I40" s="5" t="n"/>
    </row>
    <row r="41" ht="30" customHeight="1">
      <c r="A41" s="14" t="n">
        <v>23</v>
      </c>
      <c r="B41" t="inlineStr">
        <is>
          <t>Mermas por partida</t>
        </is>
      </c>
      <c r="C41" s="4" t="inlineStr">
        <is>
          <t>El objetivo de merma de cada partida está escrito y el equipo lo conoce</t>
        </is>
      </c>
      <c r="D41" s="15" t="n">
        <v>2</v>
      </c>
      <c r="E41" s="15" t="n">
        <v>2</v>
      </c>
      <c r="F41" s="16">
        <f>IFERROR(IF(OR(NOT(ISNUMBER($D41)),NOT(ISNUMBER($E41))),"",$D41*$E41),"")</f>
        <v>4.0</v>
      </c>
      <c r="I41" s="5" t="n"/>
    </row>
    <row r="42" ht="30" customHeight="1">
      <c r="A42" s="14" t="n">
        <v>24</v>
      </c>
      <c r="B42" t="inlineStr">
        <is>
          <t>Mermas por partida</t>
        </is>
      </c>
      <c r="C42" s="4" t="inlineStr">
        <is>
          <t>Los recortes aprovechables se separan y se usan en la elaboración prevista</t>
        </is>
      </c>
      <c r="D42" s="15" t="n">
        <v>3</v>
      </c>
      <c r="E42" s="15" t="n">
        <v>2</v>
      </c>
      <c r="F42" s="16">
        <f>IFERROR(IF(OR(NOT(ISNUMBER($D42)),NOT(ISNUMBER($E42))),"",$D42*$E42),"")</f>
        <v>6.0</v>
      </c>
      <c r="I42" s="5" t="n"/>
    </row>
    <row r="43" ht="30" customHeight="1">
      <c r="A43" s="14" t="n">
        <v>25</v>
      </c>
      <c r="B43" t="inlineStr">
        <is>
          <t>Mermas por partida</t>
        </is>
      </c>
      <c r="C43" s="4" t="inlineStr">
        <is>
          <t>No hay producto caducado ni deteriorado en cámara</t>
        </is>
      </c>
      <c r="D43" s="15" t="n">
        <v>2</v>
      </c>
      <c r="E43" s="15" t="n">
        <v>3</v>
      </c>
      <c r="F43" s="16">
        <f>IFERROR(IF(OR(NOT(ISNUMBER($D43)),NOT(ISNUMBER($E43))),"",$D43*$E43),"")</f>
        <v>6.0</v>
      </c>
      <c r="I43" s="5" t="n"/>
    </row>
    <row r="44" ht="30" customHeight="1">
      <c r="A44" s="14" t="n">
        <v>26</v>
      </c>
      <c r="B44" t="inlineStr">
        <is>
          <t>Mermas por partida</t>
        </is>
      </c>
      <c r="C44" s="4" t="inlineStr">
        <is>
          <t>La producción del día sale de la lista, no de la costumbre</t>
        </is>
      </c>
      <c r="D44" s="15" t="n">
        <v>2</v>
      </c>
      <c r="E44" s="15" t="n">
        <v>3</v>
      </c>
      <c r="F44" s="16">
        <f>IFERROR(IF(OR(NOT(ISNUMBER($D44)),NOT(ISNUMBER($E44))),"",$D44*$E44),"")</f>
        <v>6.0</v>
      </c>
      <c r="I44" s="5" t="n"/>
    </row>
    <row r="45" ht="30" customHeight="1">
      <c r="A45" s="14" t="n">
        <v>27</v>
      </c>
      <c r="B45" t="inlineStr">
        <is>
          <t>Mermas por partida</t>
        </is>
      </c>
      <c r="C45" s="4" t="inlineStr">
        <is>
          <t>El sobrante del servicio anterior se descuenta de la producción del día</t>
        </is>
      </c>
      <c r="D45" s="15" t="n">
        <v>3</v>
      </c>
      <c r="E45" s="15" t="n">
        <v>2</v>
      </c>
      <c r="F45" s="16">
        <f>IFERROR(IF(OR(NOT(ISNUMBER($D45)),NOT(ISNUMBER($E45))),"",$D45*$E45),"")</f>
        <v>6.0</v>
      </c>
      <c r="I45" s="5" t="n"/>
    </row>
    <row r="46" ht="30" customHeight="1">
      <c r="A46" s="14" t="n">
        <v>28</v>
      </c>
      <c r="B46" t="inlineStr">
        <is>
          <t>Mermas por partida</t>
        </is>
      </c>
      <c r="C46" s="4" t="inlineStr">
        <is>
          <t>Las tres semanas de peor merma del trimestre tienen causa escrita</t>
        </is>
      </c>
      <c r="D46" s="15" t="n">
        <v>2</v>
      </c>
      <c r="E46" s="15" t="n">
        <v>3</v>
      </c>
      <c r="F46" s="16">
        <f>IFERROR(IF(OR(NOT(ISNUMBER($D46)),NOT(ISNUMBER($E46))),"",$D46*$E46),"")</f>
        <v>6.0</v>
      </c>
      <c r="I46" s="5" t="n"/>
    </row>
    <row r="47" ht="30" customHeight="1">
      <c r="A47" s="14" t="n">
        <v>29</v>
      </c>
      <c r="B47" t="inlineStr">
        <is>
          <t>Mermas por partida</t>
        </is>
      </c>
      <c r="C47" s="4" t="inlineStr">
        <is>
          <t>El excedente apto se gestiona según la jerarquía de la Ley 1/2025</t>
        </is>
      </c>
      <c r="D47" s="15" t="n">
        <v>2</v>
      </c>
      <c r="E47" s="15" t="n">
        <v>3</v>
      </c>
      <c r="F47" s="16">
        <f>IFERROR(IF(OR(NOT(ISNUMBER($D47)),NOT(ISNUMBER($E47))),"",$D47*$E47),"")</f>
        <v>6.0</v>
      </c>
      <c r="G47" s="4" t="inlineStr">
        <is>
          <t>Ley 1/2025, art. 5.1 y 5.2</t>
        </is>
      </c>
      <c r="H47" s="4" t="inlineStr">
        <is>
          <t>Verificado el 06-09-2026 · Ley 1/2025, art. 5.1-5.2 · https://www.boe.es/buscar/act.php?id=BOE-A-2025-6597</t>
        </is>
      </c>
      <c r="I47" s="5" t="n"/>
    </row>
    <row r="48" ht="30" customHeight="1">
      <c r="A48" s="14" t="n">
        <v>30</v>
      </c>
      <c r="B48" t="inlineStr">
        <is>
          <t>Mermas por partida</t>
        </is>
      </c>
      <c r="C48" s="4" t="inlineStr">
        <is>
          <t>El plato que sale por la puerta se envasa y se registra como marca el protocolo</t>
        </is>
      </c>
      <c r="D48" s="15" t="n">
        <v>2</v>
      </c>
      <c r="E48" s="15" t="n">
        <v>2</v>
      </c>
      <c r="F48" s="16">
        <f>IFERROR(IF(OR(NOT(ISNUMBER($D48)),NOT(ISNUMBER($E48))),"",$D48*$E48),"")</f>
        <v>4.0</v>
      </c>
      <c r="I48" s="5" t="n"/>
    </row>
    <row r="49" ht="30" customHeight="1">
      <c r="A49" s="14" t="n">
        <v>31</v>
      </c>
      <c r="B49" t="inlineStr">
        <is>
          <t>Prevención de riesgos laborales</t>
        </is>
      </c>
      <c r="C49" s="4" t="inlineStr">
        <is>
          <t>La temperatura del local está dentro del rango que fija la evaluación de riesgos para la categoría de trabajo de la cocina</t>
        </is>
      </c>
      <c r="D49" s="15" t="n">
        <v>3</v>
      </c>
      <c r="E49" s="15" t="n">
        <v>4</v>
      </c>
      <c r="F49" s="16">
        <f>IFERROR(IF(OR(NOT(ISNUMBER($D49)),NOT(ISNUMBER($E49))),"",$D49*$E49),"")</f>
        <v>12.0</v>
      </c>
      <c r="G49" s="4" t="inlineStr">
        <is>
          <t>RD 486/1997, Anexo III, punto 3</t>
        </is>
      </c>
      <c r="H49" s="4" t="inlineStr">
        <is>
          <t>Verificado el 06-09-2026 · RD 486/1997, Anexo III, punto 3 · https://www.boe.es/buscar/act.php?id=BOE-A-1997-8669</t>
        </is>
      </c>
      <c r="I49" s="5" t="n"/>
    </row>
    <row r="50" ht="30" customHeight="1">
      <c r="A50" s="14" t="n">
        <v>32</v>
      </c>
      <c r="B50" t="inlineStr">
        <is>
          <t>Prevención de riesgos laborales</t>
        </is>
      </c>
      <c r="C50" s="4" t="inlineStr">
        <is>
          <t>Los suelos son fijos, estables y no resbaladizos, sin irregularidades ni pendientes peligrosas</t>
        </is>
      </c>
      <c r="D50" s="15" t="n">
        <v>3</v>
      </c>
      <c r="E50" s="15" t="n">
        <v>4</v>
      </c>
      <c r="F50" s="16">
        <f>IFERROR(IF(OR(NOT(ISNUMBER($D50)),NOT(ISNUMBER($E50))),"",$D50*$E50),"")</f>
        <v>12.0</v>
      </c>
      <c r="G50" s="4" t="inlineStr">
        <is>
          <t>RD 486/1997, Anexo I, punto 3, apartado 1.º</t>
        </is>
      </c>
      <c r="H50" s="4" t="inlineStr">
        <is>
          <t>Verificado el 06-09-2026 · RD 486/1997, Anexo I, punto 3.1 · https://www.boe.es/buscar/act.php?id=BOE-A-1997-8669</t>
        </is>
      </c>
      <c r="I50" s="5" t="n"/>
    </row>
    <row r="51" ht="30" customHeight="1">
      <c r="A51" s="14" t="n">
        <v>33</v>
      </c>
      <c r="B51" t="inlineStr">
        <is>
          <t>Prevención de riesgos laborales</t>
        </is>
      </c>
      <c r="C51" s="4" t="inlineStr">
        <is>
          <t>Hay guante de protección mecánica y calzado antideslizante para todo el que los necesita, entregados gratuitamente y repuestos</t>
        </is>
      </c>
      <c r="D51" s="15" t="n">
        <v>3</v>
      </c>
      <c r="E51" s="15" t="n">
        <v>3</v>
      </c>
      <c r="F51" s="16">
        <f>IFERROR(IF(OR(NOT(ISNUMBER($D51)),NOT(ISNUMBER($E51))),"",$D51*$E51),"")</f>
        <v>9.0</v>
      </c>
      <c r="G51" s="4" t="inlineStr">
        <is>
          <t>RD 773/1997, art. 3.c) y Anexo III</t>
        </is>
      </c>
      <c r="H51" s="4" t="inlineStr">
        <is>
          <t>Verificado el 06-09-2026 · RD 773/1997, art. 3.c) y Anexo III · https://www.boe.es/buscar/act.php?id=BOE-A-1997-12735</t>
        </is>
      </c>
      <c r="I51" s="5" t="n"/>
    </row>
    <row r="52" ht="30" customHeight="1">
      <c r="A52" s="14" t="n">
        <v>34</v>
      </c>
      <c r="B52" t="inlineStr">
        <is>
          <t>Prevención de riesgos laborales</t>
        </is>
      </c>
      <c r="C52" s="4" t="inlineStr">
        <is>
          <t>Cortadora, picadora y batidora tienen sus resguardos puestos y en uso</t>
        </is>
      </c>
      <c r="D52" s="15" t="n">
        <v>3</v>
      </c>
      <c r="E52" s="15" t="n">
        <v>4</v>
      </c>
      <c r="F52" s="16">
        <f>IFERROR(IF(OR(NOT(ISNUMBER($D52)),NOT(ISNUMBER($E52))),"",$D52*$E52),"")</f>
        <v>12.0</v>
      </c>
      <c r="G52" s="4" t="inlineStr">
        <is>
          <t>RD 1215/1997, Anexo I, punto 1.8</t>
        </is>
      </c>
      <c r="H52" s="4" t="inlineStr">
        <is>
          <t>Verificado el 06-09-2026 · RD 1215/1997, Anexo I, punto 1.8 · https://www.boe.es/buscar/doc.php?id=BOE-A-1997-17824</t>
        </is>
      </c>
      <c r="I52" s="5" t="n"/>
    </row>
    <row r="53" ht="30" customHeight="1">
      <c r="A53" s="14" t="n">
        <v>35</v>
      </c>
      <c r="B53" t="inlineStr">
        <is>
          <t>Prevención de riesgos laborales</t>
        </is>
      </c>
      <c r="C53" s="4" t="inlineStr">
        <is>
          <t>Las comprobaciones periódicas de los equipos están documentadas y conservadas</t>
        </is>
      </c>
      <c r="D53" s="15" t="n">
        <v>3</v>
      </c>
      <c r="E53" s="15" t="n">
        <v>5</v>
      </c>
      <c r="F53" s="16">
        <f>IFERROR(IF(OR(NOT(ISNUMBER($D53)),NOT(ISNUMBER($E53))),"",$D53*$E53),"")</f>
        <v>15.0</v>
      </c>
      <c r="G53" s="4" t="inlineStr">
        <is>
          <t>RD 1215/1997, art. 4</t>
        </is>
      </c>
      <c r="H53" s="4" t="inlineStr">
        <is>
          <t>Verificado el 06-09-2026 · RD 1215/1997, art. 4 · https://www.boe.es/buscar/doc.php?id=BOE-A-1997-17824</t>
        </is>
      </c>
      <c r="I53" s="5" t="n"/>
    </row>
    <row r="54" ht="30" customHeight="1">
      <c r="A54" s="14" t="n">
        <v>36</v>
      </c>
      <c r="B54" t="inlineStr">
        <is>
          <t>Prevención de riesgos laborales</t>
        </is>
      </c>
      <c r="C54" s="4" t="inlineStr">
        <is>
          <t>Las freidoras se vacían y se filtran en frío, con el procedimiento escrito</t>
        </is>
      </c>
      <c r="D54" s="15" t="n">
        <v>2</v>
      </c>
      <c r="E54" s="15" t="n">
        <v>4</v>
      </c>
      <c r="F54" s="16">
        <f>IFERROR(IF(OR(NOT(ISNUMBER($D54)),NOT(ISNUMBER($E54))),"",$D54*$E54),"")</f>
        <v>8.0</v>
      </c>
      <c r="I54" s="5" t="n"/>
    </row>
    <row r="55" ht="30" customHeight="1">
      <c r="A55" s="14" t="n">
        <v>37</v>
      </c>
      <c r="B55" t="inlineStr">
        <is>
          <t>Prevención de riesgos laborales</t>
        </is>
      </c>
      <c r="C55" s="4" t="inlineStr">
        <is>
          <t>El botiquín está completo y hay quien sepa usarlo en cada turno</t>
        </is>
      </c>
      <c r="D55" s="15" t="n">
        <v>2</v>
      </c>
      <c r="E55" s="15" t="n">
        <v>3</v>
      </c>
      <c r="F55" s="16">
        <f>IFERROR(IF(OR(NOT(ISNUMBER($D55)),NOT(ISNUMBER($E55))),"",$D55*$E55),"")</f>
        <v>6.0</v>
      </c>
      <c r="I55" s="5" t="n"/>
    </row>
    <row r="56" ht="30" customHeight="1">
      <c r="A56" s="14" t="n">
        <v>38</v>
      </c>
      <c r="B56" t="inlineStr">
        <is>
          <t>Prevención de riesgos laborales</t>
        </is>
      </c>
      <c r="C56" s="4" t="inlineStr">
        <is>
          <t>Las cargas pesadas se mueven con ayuda o con carro; nadie levanta solo lo que no debe</t>
        </is>
      </c>
      <c r="D56" s="15" t="n">
        <v>3</v>
      </c>
      <c r="E56" s="15" t="n">
        <v>4</v>
      </c>
      <c r="F56" s="16">
        <f>IFERROR(IF(OR(NOT(ISNUMBER($D56)),NOT(ISNUMBER($E56))),"",$D56*$E56),"")</f>
        <v>12.0</v>
      </c>
      <c r="G56" s="4" t="inlineStr">
        <is>
          <t>RD 487/1997, Anexo, puntos 1 a 5 (la norma no fija ninguna cifra en kilos)</t>
        </is>
      </c>
      <c r="H56" s="4" t="inlineStr">
        <is>
          <t>Verificado el 06-09-2026 · RD 487/1997, Anexo, puntos 1-5 · https://www.boe.es/buscar/act.php?id=BOE-A-1997-8670</t>
        </is>
      </c>
      <c r="I56" s="5" t="n"/>
    </row>
    <row r="57" ht="30" customHeight="1">
      <c r="A57" s="14" t="n">
        <v>39</v>
      </c>
      <c r="B57" t="inlineStr">
        <is>
          <t>Prevención de riesgos laborales</t>
        </is>
      </c>
      <c r="C57" s="4" t="inlineStr">
        <is>
          <t>Los pasillos de cocina están libres y las zonas mojadas señalizadas</t>
        </is>
      </c>
      <c r="D57" s="15" t="n">
        <v>2</v>
      </c>
      <c r="E57" s="15" t="n">
        <v>4</v>
      </c>
      <c r="F57" s="16">
        <f>IFERROR(IF(OR(NOT(ISNUMBER($D57)),NOT(ISNUMBER($E57))),"",$D57*$E57),"")</f>
        <v>8.0</v>
      </c>
      <c r="I57" s="5" t="n"/>
    </row>
    <row r="58" ht="30" customHeight="1">
      <c r="A58" s="14" t="n">
        <v>40</v>
      </c>
      <c r="B58" t="inlineStr">
        <is>
          <t>Prevención de riesgos laborales</t>
        </is>
      </c>
      <c r="C58" s="4" t="inlineStr">
        <is>
          <t>La formación de PRL del puesto está hecha y acreditada para toda la brigada</t>
        </is>
      </c>
      <c r="D58" s="15" t="n">
        <v>2</v>
      </c>
      <c r="E58" s="15" t="n">
        <v>3</v>
      </c>
      <c r="F58" s="16">
        <f>IFERROR(IF(OR(NOT(ISNUMBER($D58)),NOT(ISNUMBER($E58))),"",$D58*$E58),"")</f>
        <v>6.0</v>
      </c>
      <c r="G58" s="4" t="inlineStr">
        <is>
          <t>Ley 31/1995, art. 19 (el coste nunca recae en el trabajador)</t>
        </is>
      </c>
      <c r="H58" s="4" t="inlineStr">
        <is>
          <t>Verificado el 06-09-2026 · Ley 31/1995 de Prevención de Riesgos Laborales, art. 19 · https://www.boe.es/buscar/act.php?id=BOE-A-1995-24292</t>
        </is>
      </c>
      <c r="I58" s="5" t="n"/>
    </row>
    <row r="59" ht="30" customHeight="1">
      <c r="A59" s="14" t="n">
        <v>41</v>
      </c>
      <c r="B59" t="inlineStr">
        <is>
          <t>Alérgenos en el pase</t>
        </is>
      </c>
      <c r="C59" s="4" t="inlineStr">
        <is>
          <t>La comanda con alergia llega marcada a cocina y se canta en voz alta</t>
        </is>
      </c>
      <c r="D59" s="15" t="n">
        <v>3</v>
      </c>
      <c r="E59" s="15" t="n">
        <v>4</v>
      </c>
      <c r="F59" s="16">
        <f>IFERROR(IF(OR(NOT(ISNUMBER($D59)),NOT(ISNUMBER($E59))),"",$D59*$E59),"")</f>
        <v>12.0</v>
      </c>
      <c r="I59" s="5" t="n"/>
    </row>
    <row r="60" ht="30" customHeight="1">
      <c r="A60" s="14" t="n">
        <v>42</v>
      </c>
      <c r="B60" t="inlineStr">
        <is>
          <t>Alérgenos en el pase</t>
        </is>
      </c>
      <c r="C60" s="4" t="inlineStr">
        <is>
          <t>El plato con alergia se elabora con material limpio y reservado</t>
        </is>
      </c>
      <c r="D60" s="15" t="n">
        <v>3</v>
      </c>
      <c r="E60" s="15" t="n">
        <v>4</v>
      </c>
      <c r="F60" s="16">
        <f>IFERROR(IF(OR(NOT(ISNUMBER($D60)),NOT(ISNUMBER($E60))),"",$D60*$E60),"")</f>
        <v>12.0</v>
      </c>
      <c r="G60" s="4" t="inlineStr">
        <is>
          <t>Reglamento (CE) 852/2004, Anexo II, Cap. IX, punto 9</t>
        </is>
      </c>
      <c r="H60" s="4" t="inlineStr">
        <is>
          <t>Verificado el 06-09-2026 · Reglamento (CE) 852/2004, Anexo II, Cap. IX, punto 9 (redacción del Reglamento 2021/382) · https://eur-lex.europa.eu/legal-content/ES/TXT/HTML/?uri=CELEX:02004R0852-20210324</t>
        </is>
      </c>
      <c r="I60" s="5" t="n"/>
    </row>
    <row r="61" ht="30" customHeight="1">
      <c r="A61" s="14" t="n">
        <v>43</v>
      </c>
      <c r="B61" t="inlineStr">
        <is>
          <t>Alérgenos en el pase</t>
        </is>
      </c>
      <c r="C61" s="4" t="inlineStr">
        <is>
          <t>El plato con alergia sale identificado y se entrega en mano a la mesa</t>
        </is>
      </c>
      <c r="D61" s="15" t="n">
        <v>3</v>
      </c>
      <c r="E61" s="15" t="n">
        <v>3</v>
      </c>
      <c r="F61" s="16">
        <f>IFERROR(IF(OR(NOT(ISNUMBER($D61)),NOT(ISNUMBER($E61))),"",$D61*$E61),"")</f>
        <v>9.0</v>
      </c>
      <c r="I61" s="5" t="n"/>
    </row>
    <row r="62" ht="30" customHeight="1">
      <c r="A62" s="14" t="n">
        <v>44</v>
      </c>
      <c r="B62" t="inlineStr">
        <is>
          <t>Alérgenos en el pase</t>
        </is>
      </c>
      <c r="C62" s="4" t="inlineStr">
        <is>
          <t>Hay soporte escrito de alérgenos accesible, no solo el cartel</t>
        </is>
      </c>
      <c r="D62" s="15" t="n">
        <v>3</v>
      </c>
      <c r="E62" s="15" t="n">
        <v>4</v>
      </c>
      <c r="F62" s="16">
        <f>IFERROR(IF(OR(NOT(ISNUMBER($D62)),NOT(ISNUMBER($E62))),"",$D62*$E62),"")</f>
        <v>12.0</v>
      </c>
      <c r="G62" s="4" t="inlineStr">
        <is>
          <t>Reglamento (UE) 1169/2011, art. 44.1 y RD 126/2015, art. 6.5</t>
        </is>
      </c>
      <c r="H62" s="4" t="inlineStr">
        <is>
          <t>Verificado el 06-09-2026 · Reglamento (UE) 1169/2011, Anexo II y art. 44.1; RD 126/2015 art. 6.5 · https://www.boe.es/buscar/act.php?id=BOE-A-2015-2293</t>
        </is>
      </c>
      <c r="I62" s="5" t="n"/>
    </row>
    <row r="63" ht="30" customHeight="1">
      <c r="A63" s="14" t="n">
        <v>45</v>
      </c>
      <c r="B63" t="inlineStr">
        <is>
          <t>Alérgenos en el pase</t>
        </is>
      </c>
      <c r="C63" s="4" t="inlineStr">
        <is>
          <t>Las fichas de proceso indican dónde entra cada alérgeno y su sustitución</t>
        </is>
      </c>
      <c r="D63" s="15" t="n">
        <v>2</v>
      </c>
      <c r="E63" s="15" t="n">
        <v>4</v>
      </c>
      <c r="F63" s="16">
        <f>IFERROR(IF(OR(NOT(ISNUMBER($D63)),NOT(ISNUMBER($E63))),"",$D63*$E63),"")</f>
        <v>8.0</v>
      </c>
      <c r="I63" s="5" t="n"/>
    </row>
    <row r="64" ht="30" customHeight="1">
      <c r="A64" s="14" t="n">
        <v>46</v>
      </c>
      <c r="B64" t="inlineStr">
        <is>
          <t>Alérgenos en el pase</t>
        </is>
      </c>
      <c r="C64" s="4" t="inlineStr">
        <is>
          <t>Los cambios de proveedor se revisan por si cambia el alérgeno</t>
        </is>
      </c>
      <c r="D64" s="15" t="n">
        <v>3</v>
      </c>
      <c r="E64" s="15" t="n">
        <v>3</v>
      </c>
      <c r="F64" s="16">
        <f>IFERROR(IF(OR(NOT(ISNUMBER($D64)),NOT(ISNUMBER($E64))),"",$D64*$E64),"")</f>
        <v>9.0</v>
      </c>
      <c r="I64" s="5" t="n"/>
    </row>
    <row r="65" ht="30" customHeight="1">
      <c r="A65" s="14" t="n">
        <v>47</v>
      </c>
      <c r="B65" t="inlineStr">
        <is>
          <t>Alérgenos en el pase</t>
        </is>
      </c>
      <c r="C65" s="4" t="inlineStr">
        <is>
          <t>Nadie de la brigada dice «creo que no lleva»: se comprueba o no se sirve</t>
        </is>
      </c>
      <c r="D65" s="15" t="n">
        <v>2</v>
      </c>
      <c r="E65" s="15" t="n">
        <v>4</v>
      </c>
      <c r="F65" s="16">
        <f>IFERROR(IF(OR(NOT(ISNUMBER($D65)),NOT(ISNUMBER($E65))),"",$D65*$E65),"")</f>
        <v>8.0</v>
      </c>
      <c r="I65" s="5" t="n"/>
    </row>
    <row r="66" ht="30" customHeight="1">
      <c r="A66" s="14" t="n">
        <v>48</v>
      </c>
      <c r="B66" t="inlineStr">
        <is>
          <t>Alérgenos en el pase</t>
        </is>
      </c>
      <c r="C66" s="4" t="inlineStr">
        <is>
          <t>Las incidencias de alérgenos del trimestre están registradas con su causa</t>
        </is>
      </c>
      <c r="D66" s="15" t="n">
        <v>3</v>
      </c>
      <c r="E66" s="15" t="n">
        <v>3</v>
      </c>
      <c r="F66" s="16">
        <f>IFERROR(IF(OR(NOT(ISNUMBER($D66)),NOT(ISNUMBER($E66))),"",$D66*$E66),"")</f>
        <v>9.0</v>
      </c>
      <c r="I66" s="5" t="n"/>
    </row>
    <row r="67" ht="30" customHeight="1">
      <c r="A67" s="14" t="n">
        <v>49</v>
      </c>
      <c r="B67" t="inlineStr">
        <is>
          <t>Alérgenos en el pase</t>
        </is>
      </c>
      <c r="C67" s="4" t="inlineStr">
        <is>
          <t>Si se anuncia un plato sin gluten, hay control del límite y del proceso</t>
        </is>
      </c>
      <c r="D67" s="15" t="n">
        <v>2</v>
      </c>
      <c r="E67" s="15" t="n">
        <v>4</v>
      </c>
      <c r="F67" s="16">
        <f>IFERROR(IF(OR(NOT(ISNUMBER($D67)),NOT(ISNUMBER($E67))),"",$D67*$E67),"")</f>
        <v>8.0</v>
      </c>
      <c r="G67" s="4" t="inlineStr">
        <is>
          <t>Reglamento (UE) 828/2014, arts. 1 a 3 y 5 (20 mg/kg sin gluten, 100 mg/kg muy bajo en gluten)</t>
        </is>
      </c>
      <c r="H67" s="4" t="inlineStr">
        <is>
          <t>Verificado el 06-09-2026 · Reglamento (UE) 828/2014, arts. 1-3 y 5 · https://eur-lex.europa.eu/legal-content/ES/TXT/HTML/?uri=CELEX:32014R0828</t>
        </is>
      </c>
      <c r="I67" s="5" t="n"/>
    </row>
    <row r="68" ht="30" customHeight="1">
      <c r="A68" s="14" t="n">
        <v>50</v>
      </c>
      <c r="B68" t="inlineStr">
        <is>
          <t>Alérgenos en el pase</t>
        </is>
      </c>
      <c r="C68" s="4" t="inlineStr">
        <is>
          <t>La brigada nueva recibe formación de alérgenos antes de tocar el pase</t>
        </is>
      </c>
      <c r="D68" s="15" t="n">
        <v>2</v>
      </c>
      <c r="E68" s="15" t="n">
        <v>4</v>
      </c>
      <c r="F68" s="16">
        <f>IFERROR(IF(OR(NOT(ISNUMBER($D68)),NOT(ISNUMBER($E68))),"",$D68*$E68),"")</f>
        <v>8.0</v>
      </c>
      <c r="G68" s="4" t="inlineStr">
        <is>
          <t>Reglamento (CE) 852/2004, Anexo II, Cap. XII, punto 1 (formación según la actividad del puesto)</t>
        </is>
      </c>
      <c r="H68" s="4" t="inlineStr">
        <is>
          <t>Verificado el 06-09-2026 · Reglamento (CE) 852/2004, Anexo II, Cap. XII, punto 1 · https://eur-lex.europa.eu/legal-content/ES/TXT/HTML/?uri=CELEX:02004R0852-20210324</t>
        </is>
      </c>
      <c r="I68" s="5" t="n"/>
    </row>
  </sheetData>
  <sheetProtection selectLockedCells="0" selectUnlockedCells="0" sheet="1" objects="0" insertRows="0" insertHyperlinks="1" autoFilter="1" scenarios="0" formatColumns="0" deleteColumns="1" insertColumns="1" pivotTables="1" deleteRows="1" formatCells="1" formatRows="0" sort="0"/>
  <mergeCells count="20">
    <mergeCell ref="D8:F8"/>
    <mergeCell ref="B7:C7"/>
    <mergeCell ref="D10:F10"/>
    <mergeCell ref="B13:C13"/>
    <mergeCell ref="D7:F7"/>
    <mergeCell ref="B8:C8"/>
    <mergeCell ref="D13:F13"/>
    <mergeCell ref="D12:F12"/>
    <mergeCell ref="B6:C6"/>
    <mergeCell ref="D14:F14"/>
    <mergeCell ref="B12:C12"/>
    <mergeCell ref="B10:C10"/>
    <mergeCell ref="B11:C11"/>
    <mergeCell ref="B15:C15"/>
    <mergeCell ref="D11:F11"/>
    <mergeCell ref="B9:C9"/>
    <mergeCell ref="D15:F15"/>
    <mergeCell ref="D6:F6"/>
    <mergeCell ref="D9:F9"/>
    <mergeCell ref="B14:C14"/>
  </mergeCells>
  <conditionalFormatting sqref="E19:E68">
    <cfRule type="expression" priority="1" dxfId="0" stopIfTrue="1">
      <formula>=AND(ISNUMBER($E19),ISNUMBER($D$12),$E19&lt;$D$12)</formula>
    </cfRule>
    <cfRule type="expression" priority="2" dxfId="1" stopIfTrue="1">
      <formula>=AND(ISNUMBER($E19),ISNUMBER($D$11),$E19&lt;$D$11)</formula>
    </cfRule>
    <cfRule type="expression" priority="3" dxfId="2" stopIfTrue="1">
      <formula>=AND(ISNUMBER($E19),ISNUMBER($D$11),$E19&gt;=$D$11)</formula>
    </cfRule>
  </conditionalFormatting>
  <dataValidations count="5">
    <dataValidation sqref="D7" showDropDown="0" showInputMessage="0" showErrorMessage="1" allowBlank="1" errorTitle="Fecha no válida" error="Escribe una fecha (dd/mm/aaaa) entre 2020 y 2040." type="date" operator="between">
      <formula1>DATE(2020,1,1)</formula1>
      <formula2>DATE(2040,12,31)</formula2>
    </dataValidation>
    <dataValidation sqref="D10" showDropDown="0" showInputMessage="0" showErrorMessage="1" allowBlank="1" errorTitle="Escala máxima" error="Escribe un valor entre 1 y 10." type="decimal" operator="between">
      <formula1>1</formula1>
      <formula2>10</formula2>
    </dataValidation>
    <dataValidation sqref="D11 D12" showDropDown="0" showInputMessage="0" showErrorMessage="1" allowBlank="1" errorTitle="Umbral del semáforo" error="Escribe un valor entre 0 y 10." type="decimal" operator="between">
      <formula1>0</formula1>
      <formula2>10</formula2>
    </dataValidation>
    <dataValidation sqref="D19 D20 D21 D22 D23 D24 D25 D26 D27 D28 D29 D30 D31 D32 D33 D34 D35 D36 D37 D38 D39 D40 D41 D42 D43 D44 D45 D46 D47 D48 D49 D50 D51 D52 D53 D54 D55 D56 D57 D58 D59 D60 D61 D62 D63 D64 D65 D66 D67 D68" showDropDown="0" showInputMessage="0" showErrorMessage="1" allowBlank="1" errorTitle="Peso" error="El peso va de 1 a 3." type="decimal" operator="between">
      <formula1>1</formula1>
      <formula2>3</formula2>
    </dataValidation>
    <dataValidation sqref="E19 E20 E21 E22 E23 E24 E25 E26 E27 E28 E29 E30 E31 E32 E33 E34 E35 E36 E37 E38 E39 E40 E41 E42 E43 E44 E45 E46 E47 E48 E49 E50 E51 E52 E53 E54 E55 E56 E57 E58 E59 E60 E61 E62 E63 E64 E65 E66 E67 E68" showDropDown="0" showInputMessage="0" showErrorMessage="1" allowBlank="1" errorTitle="Puntuación" error="Puntúa de 0 a la escala máxima que hayas puesto arriba." type="decimal" operator="between">
      <formula1>0</formula1>
      <formula2>10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16"/>
  <sheetViews>
    <sheetView workbookViewId="0">
      <selection activeCell="A1" sqref="A1"/>
    </sheetView>
  </sheetViews>
  <sheetFormatPr baseColWidth="8" defaultRowHeight="15"/>
  <cols>
    <col width="34" customWidth="1" min="1" max="1"/>
    <col width="12" customWidth="1" min="2" max="2"/>
    <col width="13" customWidth="1" min="3" max="3"/>
    <col width="15" customWidth="1" min="4" max="4"/>
    <col width="16" customWidth="1" min="5" max="5"/>
    <col width="16" customWidth="1" min="6" max="6"/>
    <col width="18" customWidth="1" min="7" max="7"/>
    <col width="12" customWidth="1" min="8" max="8"/>
    <col width="40" customWidth="1" min="9" max="9"/>
  </cols>
  <sheetData>
    <row r="1" ht="30" customHeight="1">
      <c r="A1" s="1" t="inlineStr">
        <is>
          <t>Resumen por área</t>
        </is>
      </c>
    </row>
    <row r="2">
      <c r="A2" t="inlineStr">
        <is>
          <t>AI Chef Pro · aichef.pro — Manual del Chef Ejecutivo</t>
        </is>
      </c>
    </row>
    <row r="3">
      <c r="A3" s="2" t="inlineStr">
        <is>
          <t>Una media global esconde el área que empeora. Aquí se ve por separado, y comparada con la visita que elijas.</t>
        </is>
      </c>
    </row>
    <row r="4">
      <c r="A4" s="10" t="inlineStr">
        <is>
          <t>Visita del histórico con la que comparar (nº)</t>
        </is>
      </c>
      <c r="B4" s="15" t="n">
        <v>1</v>
      </c>
      <c r="C4" t="inlineStr">
        <is>
          <t>Escribe aquí el número de una visita de la hoja «Histórico» y las columnas de comparación se recalculan.</t>
        </is>
      </c>
    </row>
    <row r="5" ht="44" customHeight="1">
      <c r="A5" s="6" t="inlineStr">
        <is>
          <t>Área</t>
        </is>
      </c>
      <c r="B5" s="6" t="inlineStr">
        <is>
          <t>Puntos puntuados</t>
        </is>
      </c>
      <c r="C5" s="6" t="inlineStr">
        <is>
          <t>Peso total del área</t>
        </is>
      </c>
      <c r="D5" s="6" t="inlineStr">
        <is>
          <t>Nota de esta visita</t>
        </is>
      </c>
      <c r="E5" s="6" t="inlineStr">
        <is>
          <t>Cumplimiento sobre la escala</t>
        </is>
      </c>
      <c r="F5" s="6" t="inlineStr">
        <is>
          <t>Tu objetivo (0 a la escala)</t>
        </is>
      </c>
      <c r="G5" s="6" t="inlineStr">
        <is>
          <t>Nota de la visita comparada</t>
        </is>
      </c>
      <c r="H5" s="6" t="inlineStr">
        <is>
          <t>Variación</t>
        </is>
      </c>
      <c r="I5" s="6" t="inlineStr">
        <is>
          <t>Lectura</t>
        </is>
      </c>
    </row>
    <row r="6" ht="26" customHeight="1">
      <c r="A6" s="10" t="inlineStr">
        <is>
          <t>Orden y mise en place</t>
        </is>
      </c>
      <c r="B6" s="17">
        <f>COUNT('Auditoría'!$E$19:$E$28)</f>
        <v>10.0</v>
      </c>
      <c r="C6" s="17">
        <f>SUM('Auditoría'!$D$19:$D$28)</f>
        <v>22.0</v>
      </c>
      <c r="D6" s="18">
        <f>IFERROR(SUMPRODUCT('Auditoría'!$D$19:$D$28,'Auditoría'!$E$19:$E$28)/SUM('Auditoría'!$D$19:$D$28),"")</f>
        <v>4.045454545454546</v>
      </c>
      <c r="E6" s="19">
        <f>IFERROR(IF(OR(NOT(ISNUMBER($D6)),NOT(ISNUMBER('Auditoría'!$D$10)),'Auditoría'!$D$10=0),"",$D6/'Auditoría'!$D$10),"")</f>
        <v>0.8090909090909092</v>
      </c>
      <c r="F6" s="20" t="n"/>
      <c r="G6" s="21">
        <f>IFERROR(INDEX('Histórico'!$D$6:$H$13,MATCH($B$4,'Histórico'!$A$6:$A$13,0),MATCH($A6,'Histórico'!$D$5:$H$5,0)),"")</f>
        <v>3.454545</v>
      </c>
      <c r="H6" s="18">
        <f>IFERROR(IF(OR(NOT(ISNUMBER($D6)),NOT(ISNUMBER($G6))),"",$D6-$G6),"")</f>
        <v>0.5909095454545459</v>
      </c>
      <c r="I6" t="str">
        <f>IF(NOT(ISNUMBER($H6)),"",IF($H6&lt;0,"EMPEORA respecto a la visita comparada","Mejora o se mantiene"))</f>
        <v>Mejora o se mantiene</v>
      </c>
    </row>
    <row r="7" ht="26" customHeight="1">
      <c r="A7" s="10" t="inlineStr">
        <is>
          <t>Aplicación de fichas técnicas</t>
        </is>
      </c>
      <c r="B7" s="17">
        <f>COUNT('Auditoría'!$E$29:$E$38)</f>
        <v>10.0</v>
      </c>
      <c r="C7" s="17">
        <f>SUM('Auditoría'!$D$29:$D$38)</f>
        <v>25.0</v>
      </c>
      <c r="D7" s="18">
        <f>IFERROR(SUMPRODUCT('Auditoría'!$D$29:$D$38,'Auditoría'!$E$29:$E$38)/SUM('Auditoría'!$D$29:$D$38),"")</f>
        <v>3.6</v>
      </c>
      <c r="E7" s="19">
        <f>IFERROR(IF(OR(NOT(ISNUMBER($D7)),NOT(ISNUMBER('Auditoría'!$D$10)),'Auditoría'!$D$10=0),"",$D7/'Auditoría'!$D$10),"")</f>
        <v>0.72</v>
      </c>
      <c r="F7" s="20" t="n"/>
      <c r="G7" s="21">
        <f>IFERROR(INDEX('Histórico'!$D$6:$H$13,MATCH($B$4,'Histórico'!$A$6:$A$13,0),MATCH($A7,'Histórico'!$D$5:$H$5,0)),"")</f>
        <v>2.68</v>
      </c>
      <c r="H7" s="18">
        <f>IFERROR(IF(OR(NOT(ISNUMBER($D7)),NOT(ISNUMBER($G7))),"",$D7-$G7),"")</f>
        <v>0.9199999999999999</v>
      </c>
      <c r="I7" t="str">
        <f>IF(NOT(ISNUMBER($H7)),"",IF($H7&lt;0,"EMPEORA respecto a la visita comparada","Mejora o se mantiene"))</f>
        <v>Mejora o se mantiene</v>
      </c>
    </row>
    <row r="8" ht="26" customHeight="1">
      <c r="A8" s="10" t="inlineStr">
        <is>
          <t>Mermas por partida</t>
        </is>
      </c>
      <c r="B8" s="17">
        <f>COUNT('Auditoría'!$E$39:$E$48)</f>
        <v>10.0</v>
      </c>
      <c r="C8" s="17">
        <f>SUM('Auditoría'!$D$39:$D$48)</f>
        <v>24.0</v>
      </c>
      <c r="D8" s="18">
        <f>IFERROR(SUMPRODUCT('Auditoría'!$D$39:$D$48,'Auditoría'!$E$39:$E$48)/SUM('Auditoría'!$D$39:$D$48),"")</f>
        <v>2.5833333333333335</v>
      </c>
      <c r="E8" s="19">
        <f>IFERROR(IF(OR(NOT(ISNUMBER($D8)),NOT(ISNUMBER('Auditoría'!$D$10)),'Auditoría'!$D$10=0),"",$D8/'Auditoría'!$D$10),"")</f>
        <v>0.5166666666666667</v>
      </c>
      <c r="F8" s="20" t="n"/>
      <c r="G8" s="21">
        <f>IFERROR(INDEX('Histórico'!$D$6:$H$13,MATCH($B$4,'Histórico'!$A$6:$A$13,0),MATCH($A8,'Histórico'!$D$5:$H$5,0)),"")</f>
        <v>3.666667</v>
      </c>
      <c r="H8" s="18">
        <f>IFERROR(IF(OR(NOT(ISNUMBER($D8)),NOT(ISNUMBER($G8))),"",$D8-$G8),"")</f>
        <v>-1.0833336666666664</v>
      </c>
      <c r="I8" t="str">
        <f>IF(NOT(ISNUMBER($H8)),"",IF($H8&lt;0,"EMPEORA respecto a la visita comparada","Mejora o se mantiene"))</f>
        <v>EMPEORA respecto a la visita comparada</v>
      </c>
    </row>
    <row r="9" ht="26" customHeight="1">
      <c r="A9" s="10" t="inlineStr">
        <is>
          <t>Prevención de riesgos laborales</t>
        </is>
      </c>
      <c r="B9" s="17">
        <f>COUNT('Auditoría'!$E$49:$E$58)</f>
        <v>10.0</v>
      </c>
      <c r="C9" s="17">
        <f>SUM('Auditoría'!$D$49:$D$58)</f>
        <v>26.0</v>
      </c>
      <c r="D9" s="18">
        <f>IFERROR(SUMPRODUCT('Auditoría'!$D$49:$D$58,'Auditoría'!$E$49:$E$58)/SUM('Auditoría'!$D$49:$D$58),"")</f>
        <v>3.8461538461538463</v>
      </c>
      <c r="E9" s="19">
        <f>IFERROR(IF(OR(NOT(ISNUMBER($D9)),NOT(ISNUMBER('Auditoría'!$D$10)),'Auditoría'!$D$10=0),"",$D9/'Auditoría'!$D$10),"")</f>
        <v>0.7692307692307693</v>
      </c>
      <c r="F9" s="20" t="n"/>
      <c r="G9" s="21">
        <f>IFERROR(INDEX('Histórico'!$D$6:$H$13,MATCH($B$4,'Histórico'!$A$6:$A$13,0),MATCH($A9,'Histórico'!$D$5:$H$5,0)),"")</f>
        <v>3.0</v>
      </c>
      <c r="H9" s="18">
        <f>IFERROR(IF(OR(NOT(ISNUMBER($D9)),NOT(ISNUMBER($G9))),"",$D9-$G9),"")</f>
        <v>0.8461538461538463</v>
      </c>
      <c r="I9" t="str">
        <f>IF(NOT(ISNUMBER($H9)),"",IF($H9&lt;0,"EMPEORA respecto a la visita comparada","Mejora o se mantiene"))</f>
        <v>Mejora o se mantiene</v>
      </c>
    </row>
    <row r="10" ht="26" customHeight="1">
      <c r="A10" s="10" t="inlineStr">
        <is>
          <t>Alérgenos en el pase</t>
        </is>
      </c>
      <c r="B10" s="17">
        <f>COUNT('Auditoría'!$E$59:$E$68)</f>
        <v>10.0</v>
      </c>
      <c r="C10" s="17">
        <f>SUM('Auditoría'!$D$59:$D$68)</f>
        <v>26.0</v>
      </c>
      <c r="D10" s="18">
        <f>IFERROR(SUMPRODUCT('Auditoría'!$D$59:$D$68,'Auditoría'!$E$59:$E$68)/SUM('Auditoría'!$D$59:$D$68),"")</f>
        <v>3.6538461538461537</v>
      </c>
      <c r="E10" s="19">
        <f>IFERROR(IF(OR(NOT(ISNUMBER($D10)),NOT(ISNUMBER('Auditoría'!$D$10)),'Auditoría'!$D$10=0),"",$D10/'Auditoría'!$D$10),"")</f>
        <v>0.7307692307692307</v>
      </c>
      <c r="F10" s="20" t="n"/>
      <c r="G10" s="21">
        <f>IFERROR(INDEX('Histórico'!$D$6:$H$13,MATCH($B$4,'Histórico'!$A$6:$A$13,0),MATCH($A10,'Histórico'!$D$5:$H$5,0)),"")</f>
        <v>2.730769</v>
      </c>
      <c r="H10" s="18">
        <f>IFERROR(IF(OR(NOT(ISNUMBER($D10)),NOT(ISNUMBER($G10))),"",$D10-$G10),"")</f>
        <v>0.9230771538461537</v>
      </c>
      <c r="I10" t="str">
        <f>IF(NOT(ISNUMBER($H10)),"",IF($H10&lt;0,"EMPEORA respecto a la visita comparada","Mejora o se mantiene"))</f>
        <v>Mejora o se mantiene</v>
      </c>
    </row>
    <row r="11"/>
    <row r="12">
      <c r="A12" s="22" t="inlineStr">
        <is>
          <t>TOTAL PONDERADO DE LA VISITA</t>
        </is>
      </c>
      <c r="B12" s="23">
        <f>COUNT('Auditoría'!$E$19:$E$68)</f>
        <v>50.0</v>
      </c>
      <c r="C12" s="23">
        <f>SUM('Auditoría'!$D$19:$D$68)</f>
        <v>123.0</v>
      </c>
      <c r="D12" s="24">
        <f>IF('Auditoría'!$D$13="","",'Auditoría'!$D$13)</f>
        <v>3.5447154471544717</v>
      </c>
      <c r="E12" s="25">
        <f>IF('Auditoría'!$D$14="","",'Auditoría'!$D$14)</f>
        <v>0.7089430894308943</v>
      </c>
      <c r="F12" s="22" t="n"/>
      <c r="G12" s="24">
        <f>IFERROR(INDEX('Histórico'!$I$6:$I$13,MATCH($B$4,'Histórico'!$A$6:$A$13,0)),"")</f>
        <v>3.089430829268293</v>
      </c>
      <c r="H12" s="24">
        <f>IFERROR(IF(OR(NOT(ISNUMBER($D$12)),NOT(ISNUMBER($G$12))),"",$D$12-$G$12),"")</f>
        <v>0.4552846178861789</v>
      </c>
      <c r="I12" s="22" t="str">
        <f>IF(NOT(ISNUMBER($H$12)),"",IF($H$12&lt;0,"EMPEORA respecto a la visita comparada","Mejora o se mantiene"))</f>
        <v>Mejora o se mantiene</v>
      </c>
    </row>
    <row r="13"/>
    <row r="14" ht="42" customHeight="1">
      <c r="A14" s="4" t="inlineStr">
        <is>
          <t>La columna «Tu objetivo» viene VACÍA a propósito. Mientras la dejes vacía su semáforo no se enciende: no existe ninguna nota de auditoría de cocina publicada en español con la que compararte, y aquí no se inventa una.</t>
        </is>
      </c>
    </row>
    <row r="15" ht="42" customHeight="1">
      <c r="A15" s="4" t="inlineStr">
        <is>
          <t>La comparación que sí vale es contra tu visita anterior, y por ÁREA. En el juego de ejemplo la nota global sube y el área de mermas por partida cae más de un punto: eso es exactamente lo que una media global esconde.</t>
        </is>
      </c>
    </row>
    <row r="16" ht="42" customHeight="1">
      <c r="A16" s="4" t="inlineStr">
        <is>
          <t>El peso de cada punto se lee de la hoja «Auditoría»: si lo cambias allí, estas notas se recalculan solas.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14:I14"/>
    <mergeCell ref="A15:I15"/>
    <mergeCell ref="A16:I16"/>
  </mergeCells>
  <conditionalFormatting sqref="H6:H12">
    <cfRule type="expression" priority="1" dxfId="0" stopIfTrue="1">
      <formula>=AND(ISNUMBER($H6),$H6&lt;0)</formula>
    </cfRule>
    <cfRule type="expression" priority="2" dxfId="2" stopIfTrue="1">
      <formula>=AND(ISNUMBER($H6),$H6&gt;=0)</formula>
    </cfRule>
  </conditionalFormatting>
  <conditionalFormatting sqref="I6:I12">
    <cfRule type="cellIs" priority="3" operator="equal" dxfId="0" stopIfTrue="1">
      <formula>"EMPEORA respecto a la visita comparada"</formula>
    </cfRule>
    <cfRule type="cellIs" priority="4" operator="equal" dxfId="2" stopIfTrue="1">
      <formula>"Mejora o se mantiene"</formula>
    </cfRule>
  </conditionalFormatting>
  <conditionalFormatting sqref="D6">
    <cfRule type="expression" priority="5" dxfId="0" stopIfTrue="1">
      <formula>=AND(ISNUMBER($D6),ISNUMBER($F6),$D6&lt;$F6)</formula>
    </cfRule>
    <cfRule type="expression" priority="6" dxfId="2" stopIfTrue="1">
      <formula>=AND(ISNUMBER($D6),ISNUMBER($F6),$D6&gt;=$F6)</formula>
    </cfRule>
  </conditionalFormatting>
  <conditionalFormatting sqref="D7">
    <cfRule type="expression" priority="7" dxfId="0" stopIfTrue="1">
      <formula>=AND(ISNUMBER($D7),ISNUMBER($F7),$D7&lt;$F7)</formula>
    </cfRule>
    <cfRule type="expression" priority="8" dxfId="2" stopIfTrue="1">
      <formula>=AND(ISNUMBER($D7),ISNUMBER($F7),$D7&gt;=$F7)</formula>
    </cfRule>
  </conditionalFormatting>
  <conditionalFormatting sqref="D8">
    <cfRule type="expression" priority="9" dxfId="0" stopIfTrue="1">
      <formula>=AND(ISNUMBER($D8),ISNUMBER($F8),$D8&lt;$F8)</formula>
    </cfRule>
    <cfRule type="expression" priority="10" dxfId="2" stopIfTrue="1">
      <formula>=AND(ISNUMBER($D8),ISNUMBER($F8),$D8&gt;=$F8)</formula>
    </cfRule>
  </conditionalFormatting>
  <conditionalFormatting sqref="D9">
    <cfRule type="expression" priority="11" dxfId="0" stopIfTrue="1">
      <formula>=AND(ISNUMBER($D9),ISNUMBER($F9),$D9&lt;$F9)</formula>
    </cfRule>
    <cfRule type="expression" priority="12" dxfId="2" stopIfTrue="1">
      <formula>=AND(ISNUMBER($D9),ISNUMBER($F9),$D9&gt;=$F9)</formula>
    </cfRule>
  </conditionalFormatting>
  <conditionalFormatting sqref="D10">
    <cfRule type="expression" priority="13" dxfId="0" stopIfTrue="1">
      <formula>=AND(ISNUMBER($D10),ISNUMBER($F10),$D10&lt;$F10)</formula>
    </cfRule>
    <cfRule type="expression" priority="14" dxfId="2" stopIfTrue="1">
      <formula>=AND(ISNUMBER($D10),ISNUMBER($F10),$D10&gt;=$F10)</formula>
    </cfRule>
  </conditionalFormatting>
  <dataValidations count="2">
    <dataValidation sqref="B4" showDropDown="0" showInputMessage="0" showErrorMessage="1" allowBlank="1" errorTitle="Número de visita" error="Escribe un valor entre 1 y 99." type="decimal" operator="between">
      <formula1>1</formula1>
      <formula2>99</formula2>
    </dataValidation>
    <dataValidation sqref="F6 F7 F8 F9 F10" showDropDown="0" showInputMessage="0" showErrorMessage="1" allowBlank="1" errorTitle="Tu objetivo" error="Escribe un valor entre 0 y 10." type="decimal" operator="between">
      <formula1>0</formula1>
      <formula2>10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17"/>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34" customWidth="1" min="3" max="3"/>
    <col width="17" customWidth="1" min="4" max="4"/>
    <col width="17" customWidth="1" min="5" max="5"/>
    <col width="17" customWidth="1" min="6" max="6"/>
    <col width="17" customWidth="1" min="7" max="7"/>
    <col width="17" customWidth="1" min="8" max="8"/>
    <col width="17" customWidth="1" min="9" max="9"/>
    <col width="16" customWidth="1" min="10" max="10"/>
    <col width="30" customWidth="1" min="11" max="11"/>
    <col width="18" customWidth="1" min="12" max="12"/>
    <col width="20" customWidth="1" min="13" max="13"/>
  </cols>
  <sheetData>
    <row r="1" ht="30" customHeight="1">
      <c r="A1" s="1" t="inlineStr">
        <is>
          <t>Histórico de auditorías de esta cocina</t>
        </is>
      </c>
    </row>
    <row r="2">
      <c r="A2" t="inlineStr">
        <is>
          <t>AI Chef Pro · aichef.pro — Manual del Chef Ejecutivo</t>
        </is>
      </c>
    </row>
    <row r="3">
      <c r="A3" s="2" t="inlineStr">
        <is>
          <t>Una fila por visita. La visita en curso se lee sola de las otras hojas; las cerradas se pegan como valores.</t>
        </is>
      </c>
    </row>
    <row r="4">
      <c r="A4" s="10" t="inlineStr">
        <is>
          <t>Peso total de cada área (se lee del resumen)</t>
        </is>
      </c>
      <c r="D4" s="26">
        <f>IF('Resumen por Área'!$C$6="","",'Resumen por Área'!$C$6)</f>
        <v>22.0</v>
      </c>
      <c r="E4" s="26">
        <f>IF('Resumen por Área'!$C$7="","",'Resumen por Área'!$C$7)</f>
        <v>25.0</v>
      </c>
      <c r="F4" s="26">
        <f>IF('Resumen por Área'!$C$8="","",'Resumen por Área'!$C$8)</f>
        <v>24.0</v>
      </c>
      <c r="G4" s="26">
        <f>IF('Resumen por Área'!$C$9="","",'Resumen por Área'!$C$9)</f>
        <v>26.0</v>
      </c>
      <c r="H4" s="26">
        <f>IF('Resumen por Área'!$C$10="","",'Resumen por Área'!$C$10)</f>
        <v>26.0</v>
      </c>
    </row>
    <row r="5" ht="58" customHeight="1">
      <c r="A5" s="6" t="inlineStr">
        <is>
          <t>Nº de visita</t>
        </is>
      </c>
      <c r="B5" s="6" t="inlineStr">
        <is>
          <t>Fecha</t>
        </is>
      </c>
      <c r="C5" s="6" t="inlineStr">
        <is>
          <t>Quién audita</t>
        </is>
      </c>
      <c r="D5" s="6" t="inlineStr">
        <is>
          <t>Orden y mise en place</t>
        </is>
      </c>
      <c r="E5" s="6" t="inlineStr">
        <is>
          <t>Aplicación de fichas técnicas</t>
        </is>
      </c>
      <c r="F5" s="6" t="inlineStr">
        <is>
          <t>Mermas por partida</t>
        </is>
      </c>
      <c r="G5" s="6" t="inlineStr">
        <is>
          <t>Prevención de riesgos laborales</t>
        </is>
      </c>
      <c r="H5" s="6" t="inlineStr">
        <is>
          <t>Alérgenos en el pase</t>
        </is>
      </c>
      <c r="I5" s="6" t="inlineStr">
        <is>
          <t>Nota ponderada global</t>
        </is>
      </c>
      <c r="J5" s="6" t="inlineStr">
        <is>
          <t>Cumplimiento sobre la escala</t>
        </is>
      </c>
      <c r="K5" s="6" t="inlineStr">
        <is>
          <t>Unidad o cocina</t>
        </is>
      </c>
      <c r="L5" s="6" t="inlineStr">
        <is>
          <t>Variación respecto a la fila anterior</t>
        </is>
      </c>
    </row>
    <row r="6">
      <c r="A6" s="15" t="n">
        <v>1</v>
      </c>
      <c r="B6" s="7" t="n">
        <v>46192</v>
      </c>
      <c r="C6" s="5" t="inlineStr">
        <is>
          <t>P02 (autoauditoría)</t>
        </is>
      </c>
      <c r="D6" s="20" t="n">
        <v>3.454545</v>
      </c>
      <c r="E6" s="20" t="n">
        <v>2.68</v>
      </c>
      <c r="F6" s="20" t="n">
        <v>3.666667</v>
      </c>
      <c r="G6" s="20" t="n">
        <v>3</v>
      </c>
      <c r="H6" s="20" t="n">
        <v>2.730769</v>
      </c>
      <c r="I6" s="18">
        <f>IFERROR(IF(OR(COUNT($D6:$H6)=0,SUM($D$4:$H$4)=0),"",SUMPRODUCT($D6:$H6,$D$4:$H$4)/SUM($D$4:$H$4)),"")</f>
        <v>3.089430829268293</v>
      </c>
      <c r="J6" s="19">
        <f>IFERROR(IF(OR(NOT(ISNUMBER($I6)),NOT(ISNUMBER('Auditoría'!$D$10)),'Auditoría'!$D$10=0),"",$I6/'Auditoría'!$D$10),"")</f>
        <v>0.6178861658536585</v>
      </c>
      <c r="K6" s="5" t="inlineStr">
        <is>
          <t>La Encina (unidad de referencia)</t>
        </is>
      </c>
    </row>
    <row r="7">
      <c r="A7" s="15" t="n">
        <v>2</v>
      </c>
      <c r="B7" s="27">
        <f>IF('Auditoría'!$D$7="","",'Auditoría'!$D$7)</f>
        <v>46269.0</v>
      </c>
      <c r="C7" s="28" t="str">
        <f>IF('Auditoría'!$D$8="","",'Auditoría'!$D$8)</f>
        <v>Dirección, con el chef delante</v>
      </c>
      <c r="D7" s="21">
        <f>IF('Resumen por Área'!$D$6="","",'Resumen por Área'!$D$6)</f>
        <v>4.045454545454546</v>
      </c>
      <c r="E7" s="21">
        <f>IF('Resumen por Área'!$D$7="","",'Resumen por Área'!$D$7)</f>
        <v>3.6</v>
      </c>
      <c r="F7" s="21">
        <f>IF('Resumen por Área'!$D$8="","",'Resumen por Área'!$D$8)</f>
        <v>2.5833333333333335</v>
      </c>
      <c r="G7" s="21">
        <f>IF('Resumen por Área'!$D$9="","",'Resumen por Área'!$D$9)</f>
        <v>3.8461538461538463</v>
      </c>
      <c r="H7" s="21">
        <f>IF('Resumen por Área'!$D$10="","",'Resumen por Área'!$D$10)</f>
        <v>3.6538461538461537</v>
      </c>
      <c r="I7" s="18">
        <f>IFERROR(IF(OR(COUNT($D7:$H7)=0,SUM($D$4:$H$4)=0),"",SUMPRODUCT($D7:$H7,$D$4:$H$4)/SUM($D$4:$H$4)),"")</f>
        <v>3.5447154471544717</v>
      </c>
      <c r="J7" s="19">
        <f>IFERROR(IF(OR(NOT(ISNUMBER($I7)),NOT(ISNUMBER('Auditoría'!$D$10)),'Auditoría'!$D$10=0),"",$I7/'Auditoría'!$D$10),"")</f>
        <v>0.7089430894308943</v>
      </c>
      <c r="K7" s="28" t="str">
        <f>IF('Auditoría'!$D$9="","",'Auditoría'!$D$9)</f>
        <v>La Encina (unidad de referencia)</v>
      </c>
      <c r="L7" s="18">
        <f>IFERROR(IF(OR(NOT(ISNUMBER($I7)),NOT(ISNUMBER($I6))),"",$I7-$I6),"")</f>
        <v>0.4552846178861789</v>
      </c>
      <c r="M7" t="inlineStr">
        <is>
          <t>VISITA EN CURSO: esta fila se lee sola de las hojas «Auditoría» y «Resumen por Área».</t>
        </is>
      </c>
    </row>
    <row r="8">
      <c r="A8" s="5" t="n"/>
      <c r="B8" s="5" t="n"/>
      <c r="C8" s="5" t="n"/>
      <c r="D8" s="5" t="n"/>
      <c r="E8" s="5" t="n"/>
      <c r="F8" s="5" t="n"/>
      <c r="G8" s="5" t="n"/>
      <c r="H8" s="5" t="n"/>
      <c r="I8" s="18">
        <f>IFERROR(IF(OR(COUNT($D8:$H8)=0,SUM($D$4:$H$4)=0),"",SUMPRODUCT($D8:$H8,$D$4:$H$4)/SUM($D$4:$H$4)),"")</f>
        <v/>
      </c>
      <c r="J8" s="19">
        <f>IFERROR(IF(OR(NOT(ISNUMBER($I8)),NOT(ISNUMBER('Auditoría'!$D$10)),'Auditoría'!$D$10=0),"",$I8/'Auditoría'!$D$10),"")</f>
        <v/>
      </c>
      <c r="K8" s="5" t="n"/>
      <c r="L8" s="18">
        <f>IFERROR(IF(OR(NOT(ISNUMBER($I8)),NOT(ISNUMBER($I7))),"",$I8-$I7),"")</f>
        <v/>
      </c>
    </row>
    <row r="9">
      <c r="A9" s="5" t="n"/>
      <c r="B9" s="5" t="n"/>
      <c r="C9" s="5" t="n"/>
      <c r="D9" s="5" t="n"/>
      <c r="E9" s="5" t="n"/>
      <c r="F9" s="5" t="n"/>
      <c r="G9" s="5" t="n"/>
      <c r="H9" s="5" t="n"/>
      <c r="I9" s="18">
        <f>IFERROR(IF(OR(COUNT($D9:$H9)=0,SUM($D$4:$H$4)=0),"",SUMPRODUCT($D9:$H9,$D$4:$H$4)/SUM($D$4:$H$4)),"")</f>
        <v/>
      </c>
      <c r="J9" s="19">
        <f>IFERROR(IF(OR(NOT(ISNUMBER($I9)),NOT(ISNUMBER('Auditoría'!$D$10)),'Auditoría'!$D$10=0),"",$I9/'Auditoría'!$D$10),"")</f>
        <v/>
      </c>
      <c r="K9" s="5" t="n"/>
      <c r="L9" s="18">
        <f>IFERROR(IF(OR(NOT(ISNUMBER($I9)),NOT(ISNUMBER($I8))),"",$I9-$I8),"")</f>
        <v/>
      </c>
    </row>
    <row r="10">
      <c r="A10" s="5" t="n"/>
      <c r="B10" s="5" t="n"/>
      <c r="C10" s="5" t="n"/>
      <c r="D10" s="5" t="n"/>
      <c r="E10" s="5" t="n"/>
      <c r="F10" s="5" t="n"/>
      <c r="G10" s="5" t="n"/>
      <c r="H10" s="5" t="n"/>
      <c r="I10" s="18">
        <f>IFERROR(IF(OR(COUNT($D10:$H10)=0,SUM($D$4:$H$4)=0),"",SUMPRODUCT($D10:$H10,$D$4:$H$4)/SUM($D$4:$H$4)),"")</f>
        <v/>
      </c>
      <c r="J10" s="19">
        <f>IFERROR(IF(OR(NOT(ISNUMBER($I10)),NOT(ISNUMBER('Auditoría'!$D$10)),'Auditoría'!$D$10=0),"",$I10/'Auditoría'!$D$10),"")</f>
        <v/>
      </c>
      <c r="K10" s="5" t="n"/>
      <c r="L10" s="18">
        <f>IFERROR(IF(OR(NOT(ISNUMBER($I10)),NOT(ISNUMBER($I9))),"",$I10-$I9),"")</f>
        <v/>
      </c>
    </row>
    <row r="11">
      <c r="A11" s="5" t="n"/>
      <c r="B11" s="5" t="n"/>
      <c r="C11" s="5" t="n"/>
      <c r="D11" s="5" t="n"/>
      <c r="E11" s="5" t="n"/>
      <c r="F11" s="5" t="n"/>
      <c r="G11" s="5" t="n"/>
      <c r="H11" s="5" t="n"/>
      <c r="I11" s="18">
        <f>IFERROR(IF(OR(COUNT($D11:$H11)=0,SUM($D$4:$H$4)=0),"",SUMPRODUCT($D11:$H11,$D$4:$H$4)/SUM($D$4:$H$4)),"")</f>
        <v/>
      </c>
      <c r="J11" s="19">
        <f>IFERROR(IF(OR(NOT(ISNUMBER($I11)),NOT(ISNUMBER('Auditoría'!$D$10)),'Auditoría'!$D$10=0),"",$I11/'Auditoría'!$D$10),"")</f>
        <v/>
      </c>
      <c r="K11" s="5" t="n"/>
      <c r="L11" s="18">
        <f>IFERROR(IF(OR(NOT(ISNUMBER($I11)),NOT(ISNUMBER($I10))),"",$I11-$I10),"")</f>
        <v/>
      </c>
    </row>
    <row r="12">
      <c r="A12" s="5" t="n"/>
      <c r="B12" s="5" t="n"/>
      <c r="C12" s="5" t="n"/>
      <c r="D12" s="5" t="n"/>
      <c r="E12" s="5" t="n"/>
      <c r="F12" s="5" t="n"/>
      <c r="G12" s="5" t="n"/>
      <c r="H12" s="5" t="n"/>
      <c r="I12" s="18">
        <f>IFERROR(IF(OR(COUNT($D12:$H12)=0,SUM($D$4:$H$4)=0),"",SUMPRODUCT($D12:$H12,$D$4:$H$4)/SUM($D$4:$H$4)),"")</f>
        <v/>
      </c>
      <c r="J12" s="19">
        <f>IFERROR(IF(OR(NOT(ISNUMBER($I12)),NOT(ISNUMBER('Auditoría'!$D$10)),'Auditoría'!$D$10=0),"",$I12/'Auditoría'!$D$10),"")</f>
        <v/>
      </c>
      <c r="K12" s="5" t="n"/>
      <c r="L12" s="18">
        <f>IFERROR(IF(OR(NOT(ISNUMBER($I12)),NOT(ISNUMBER($I11))),"",$I12-$I11),"")</f>
        <v/>
      </c>
    </row>
    <row r="13">
      <c r="A13" s="5" t="n"/>
      <c r="B13" s="5" t="n"/>
      <c r="C13" s="5" t="n"/>
      <c r="D13" s="5" t="n"/>
      <c r="E13" s="5" t="n"/>
      <c r="F13" s="5" t="n"/>
      <c r="G13" s="5" t="n"/>
      <c r="H13" s="5" t="n"/>
      <c r="I13" s="18">
        <f>IFERROR(IF(OR(COUNT($D13:$H13)=0,SUM($D$4:$H$4)=0),"",SUMPRODUCT($D13:$H13,$D$4:$H$4)/SUM($D$4:$H$4)),"")</f>
        <v/>
      </c>
      <c r="J13" s="19">
        <f>IFERROR(IF(OR(NOT(ISNUMBER($I13)),NOT(ISNUMBER('Auditoría'!$D$10)),'Auditoría'!$D$10=0),"",$I13/'Auditoría'!$D$10),"")</f>
        <v/>
      </c>
      <c r="K13" s="5" t="n"/>
      <c r="L13" s="18">
        <f>IFERROR(IF(OR(NOT(ISNUMBER($I13)),NOT(ISNUMBER($I12))),"",$I13-$I12),"")</f>
        <v/>
      </c>
    </row>
    <row r="14"/>
    <row r="15" ht="42" customHeight="1">
      <c r="A15" s="4" t="inlineStr">
        <is>
          <t>Cómo se cierra una visita: cuando termines la auditoría, copia la fila de la visita en curso y pégala como VALORES en la primera fila libre de abajo. A partir de ahí la fila enlazada vuelve a quedar libre para la siguiente.</t>
        </is>
      </c>
    </row>
    <row r="16" ht="42" customHeight="1">
      <c r="A16" s="4" t="inlineStr">
        <is>
          <t>La nota global de cada fila NO es la media de las cinco áreas: es la media ponderada por el peso de cada área, que está en la fila de arriba. Por eso un área con mucho peso mueve más la nota.</t>
        </is>
      </c>
    </row>
    <row r="17" ht="42" customHeight="1">
      <c r="A17" s="4" t="inlineStr">
        <is>
          <t>Guarda también quién audita. Una autoauditoría del jefe de cocina y una visita de dirección con el chef delante no puntúan igual, y saber cuál fue cada una evita conclusiones falsas.</t>
        </is>
      </c>
    </row>
  </sheetData>
  <sheetProtection selectLockedCells="0" selectUnlockedCells="0" sheet="1" objects="0" insertRows="0" insertHyperlinks="1" autoFilter="1" scenarios="0" formatColumns="0" deleteColumns="1" insertColumns="1" pivotTables="1" deleteRows="1" formatCells="1" formatRows="0" sort="0"/>
  <mergeCells count="4">
    <mergeCell ref="A15:L15"/>
    <mergeCell ref="A16:L16"/>
    <mergeCell ref="A4:C4"/>
    <mergeCell ref="A17:L17"/>
  </mergeCells>
  <conditionalFormatting sqref="L6:L13">
    <cfRule type="expression" priority="1" dxfId="0" stopIfTrue="1">
      <formula>=AND(ISNUMBER($L6),$L6&lt;0)</formula>
    </cfRule>
    <cfRule type="expression" priority="2" dxfId="2" stopIfTrue="1">
      <formula>=AND(ISNUMBER($L6),$L6&gt;=0)</formula>
    </cfRule>
  </conditionalFormatting>
  <dataValidations count="3">
    <dataValidation sqref="B8 B9 B10 B11 B12 B13" showDropDown="0" showInputMessage="0" showErrorMessage="1" allowBlank="1" errorTitle="Fecha no válida" error="Escribe una fecha (dd/mm/aaaa) entre 2020 y 2040." type="date" operator="between">
      <formula1>DATE(2020,1,1)</formula1>
      <formula2>DATE(2040,12,31)</formula2>
    </dataValidation>
    <dataValidation sqref="D8 D9 D10 D11 D12 D13 E8 E9 E10 E11 E12 E13 F8 F9 F10 F11 F12 F13 G8 G9 G10 G11 G12 G13 H8 H9 H10 H11 H12 H13" showDropDown="0" showInputMessage="0" showErrorMessage="1" allowBlank="1" errorTitle="Nota del área" error="Escribe un valor entre 0 y 10." type="decimal" operator="between">
      <formula1>0</formula1>
      <formula2>10</formula2>
    </dataValidation>
    <dataValidation sqref="A6 A7 A8 A9 A10 A11 A12 A13" showDropDown="0" showInputMessage="0" showErrorMessage="1" allowBlank="1" errorTitle="Número de visita" error="Escribe un valor entre 1 y 99." type="decimal" operator="between">
      <formula1>1</formula1>
      <formula2>99</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19"/>
  <sheetViews>
    <sheetView workbookViewId="0">
      <selection activeCell="A1" sqref="A1"/>
    </sheetView>
  </sheetViews>
  <sheetFormatPr baseColWidth="8" defaultRowHeight="15"/>
  <cols>
    <col width="34" customWidth="1" min="1" max="1"/>
    <col width="18" customWidth="1" min="2" max="2"/>
    <col width="17" customWidth="1" min="3" max="3"/>
    <col width="17" customWidth="1" min="4" max="4"/>
    <col width="17" customWidth="1" min="5" max="5"/>
    <col width="17" customWidth="1" min="6" max="6"/>
    <col width="17" customWidth="1" min="7" max="7"/>
    <col width="17" customWidth="1" min="8" max="8"/>
    <col width="16" customWidth="1" min="9" max="9"/>
    <col width="20" customWidth="1" min="10" max="10"/>
    <col width="20" customWidth="1" min="11" max="11"/>
    <col width="34" customWidth="1" min="12" max="12"/>
  </cols>
  <sheetData>
    <row r="1" ht="30" customHeight="1">
      <c r="A1" s="1" t="inlineStr">
        <is>
          <t>La misma auditoría, cocina por cocina</t>
        </is>
      </c>
    </row>
    <row r="2">
      <c r="A2" t="inlineStr">
        <is>
          <t>AI Chef Pro · aichef.pro — Manual del Chef Ejecutivo</t>
        </is>
      </c>
    </row>
    <row r="3">
      <c r="A3" s="2" t="inlineStr">
        <is>
          <t>«Una cocina, con las herramientas para comparar varias». La unidad de referencia se calcula sola; las demás las rellenas cuando las audites.</t>
        </is>
      </c>
    </row>
    <row r="4">
      <c r="A4" s="10" t="inlineStr">
        <is>
          <t>Peso total de cada área (se lee del resumen)</t>
        </is>
      </c>
      <c r="C4" s="26">
        <f>IF('Resumen por Área'!$C$6="","",'Resumen por Área'!$C$6)</f>
        <v>22.0</v>
      </c>
      <c r="D4" s="26">
        <f>IF('Resumen por Área'!$C$7="","",'Resumen por Área'!$C$7)</f>
        <v>25.0</v>
      </c>
      <c r="E4" s="26">
        <f>IF('Resumen por Área'!$C$8="","",'Resumen por Área'!$C$8)</f>
        <v>24.0</v>
      </c>
      <c r="F4" s="26">
        <f>IF('Resumen por Área'!$C$9="","",'Resumen por Área'!$C$9)</f>
        <v>26.0</v>
      </c>
      <c r="G4" s="26">
        <f>IF('Resumen por Área'!$C$10="","",'Resumen por Área'!$C$10)</f>
        <v>26.0</v>
      </c>
    </row>
    <row r="5" ht="58" customHeight="1">
      <c r="A5" s="6" t="inlineStr">
        <is>
          <t>Unidad o cocina</t>
        </is>
      </c>
      <c r="B5" s="6" t="inlineStr">
        <is>
          <t>Fecha de la auditoría</t>
        </is>
      </c>
      <c r="C5" s="6" t="inlineStr">
        <is>
          <t>Orden y mise en place</t>
        </is>
      </c>
      <c r="D5" s="6" t="inlineStr">
        <is>
          <t>Aplicación de fichas técnicas</t>
        </is>
      </c>
      <c r="E5" s="6" t="inlineStr">
        <is>
          <t>Mermas por partida</t>
        </is>
      </c>
      <c r="F5" s="6" t="inlineStr">
        <is>
          <t>Prevención de riesgos laborales</t>
        </is>
      </c>
      <c r="G5" s="6" t="inlineStr">
        <is>
          <t>Alérgenos en el pase</t>
        </is>
      </c>
      <c r="H5" s="6" t="inlineStr">
        <is>
          <t>Nota ponderada</t>
        </is>
      </c>
      <c r="I5" s="6" t="inlineStr">
        <is>
          <t>Cumplimiento sobre la escala</t>
        </is>
      </c>
      <c r="J5" s="6" t="inlineStr">
        <is>
          <t>Desviación contra la media del grupo</t>
        </is>
      </c>
      <c r="K5" s="6" t="inlineStr">
        <is>
          <t>Desviación contra tu estándar</t>
        </is>
      </c>
      <c r="L5" s="6" t="inlineStr">
        <is>
          <t>Lectura</t>
        </is>
      </c>
    </row>
    <row r="6" ht="24" customHeight="1">
      <c r="A6" s="28" t="str">
        <f>IF('Auditoría'!$D$9="","",'Auditoría'!$D$9)</f>
        <v>La Encina (unidad de referencia)</v>
      </c>
      <c r="B6" s="27">
        <f>IF('Auditoría'!$D$7="","",'Auditoría'!$D$7)</f>
        <v>46269.0</v>
      </c>
      <c r="C6" s="21">
        <f>IF('Resumen por Área'!$D$6="","",'Resumen por Área'!$D$6)</f>
        <v>4.045454545454546</v>
      </c>
      <c r="D6" s="21">
        <f>IF('Resumen por Área'!$D$7="","",'Resumen por Área'!$D$7)</f>
        <v>3.6</v>
      </c>
      <c r="E6" s="21">
        <f>IF('Resumen por Área'!$D$8="","",'Resumen por Área'!$D$8)</f>
        <v>2.5833333333333335</v>
      </c>
      <c r="F6" s="21">
        <f>IF('Resumen por Área'!$D$9="","",'Resumen por Área'!$D$9)</f>
        <v>3.8461538461538463</v>
      </c>
      <c r="G6" s="21">
        <f>IF('Resumen por Área'!$D$10="","",'Resumen por Área'!$D$10)</f>
        <v>3.6538461538461537</v>
      </c>
      <c r="H6" s="18">
        <f>IFERROR(IF(OR(COUNT($C6:$G6)=0,SUM($C$4:$G$4)=0),"",SUMPRODUCT($C6:$G6,$C$4:$G$4)/SUM($C$4:$G$4)),"")</f>
        <v>3.5447154471544717</v>
      </c>
      <c r="I6" s="19">
        <f>IFERROR(IF(OR(NOT(ISNUMBER($H6)),NOT(ISNUMBER('Auditoría'!$D$10)),'Auditoría'!$D$10=0),"",$H6/'Auditoría'!$D$10),"")</f>
        <v>0.7089430894308943</v>
      </c>
      <c r="J6" s="21">
        <f>IFERROR(IF(OR(NOT(ISNUMBER($H6)),NOT(ISNUMBER($C$13))),"",$H6-$C$13),"")</f>
        <v>0.0</v>
      </c>
      <c r="K6" s="21">
        <f>IFERROR(IF(OR(NOT(ISNUMBER($H6)),NOT(ISNUMBER($C$14))),"",$H6-$C$14),"")</f>
        <v>0.004715447154471697</v>
      </c>
      <c r="L6" t="str">
        <f>IF(NOT(ISNUMBER($K6)),"",IF($K6&lt;0,"Por debajo de tu objetivo","En tu objetivo"))</f>
        <v>En tu objetivo</v>
      </c>
    </row>
    <row r="7" ht="24" customHeight="1">
      <c r="A7" s="5" t="inlineStr">
        <is>
          <t>La Encina Norte</t>
        </is>
      </c>
      <c r="B7" s="5" t="n"/>
      <c r="C7" s="5" t="n"/>
      <c r="D7" s="5" t="n"/>
      <c r="E7" s="5" t="n"/>
      <c r="F7" s="5" t="n"/>
      <c r="G7" s="5" t="n"/>
      <c r="H7" s="18">
        <f>IFERROR(IF(OR(COUNT($C7:$G7)=0,SUM($C$4:$G$4)=0),"",SUMPRODUCT($C7:$G7,$C$4:$G$4)/SUM($C$4:$G$4)),"")</f>
        <v/>
      </c>
      <c r="I7" s="19">
        <f>IFERROR(IF(OR(NOT(ISNUMBER($H7)),NOT(ISNUMBER('Auditoría'!$D$10)),'Auditoría'!$D$10=0),"",$H7/'Auditoría'!$D$10),"")</f>
        <v/>
      </c>
      <c r="J7" s="21">
        <f>IFERROR(IF(OR(NOT(ISNUMBER($H7)),NOT(ISNUMBER($C$13))),"",$H7-$C$13),"")</f>
        <v/>
      </c>
      <c r="K7" s="21">
        <f>IFERROR(IF(OR(NOT(ISNUMBER($H7)),NOT(ISNUMBER($C$14))),"",$H7-$C$14),"")</f>
        <v/>
      </c>
      <c r="L7">
        <f>IF(NOT(ISNUMBER($K7)),"",IF($K7&lt;0,"Por debajo de tu objetivo","En tu objetivo"))</f>
        <v/>
      </c>
    </row>
    <row r="8" ht="24" customHeight="1">
      <c r="A8" s="5" t="inlineStr">
        <is>
          <t>La Encina Playa</t>
        </is>
      </c>
      <c r="B8" s="5" t="n"/>
      <c r="C8" s="5" t="n"/>
      <c r="D8" s="5" t="n"/>
      <c r="E8" s="5" t="n"/>
      <c r="F8" s="5" t="n"/>
      <c r="G8" s="5" t="n"/>
      <c r="H8" s="18">
        <f>IFERROR(IF(OR(COUNT($C8:$G8)=0,SUM($C$4:$G$4)=0),"",SUMPRODUCT($C8:$G8,$C$4:$G$4)/SUM($C$4:$G$4)),"")</f>
        <v/>
      </c>
      <c r="I8" s="19">
        <f>IFERROR(IF(OR(NOT(ISNUMBER($H8)),NOT(ISNUMBER('Auditoría'!$D$10)),'Auditoría'!$D$10=0),"",$H8/'Auditoría'!$D$10),"")</f>
        <v/>
      </c>
      <c r="J8" s="21">
        <f>IFERROR(IF(OR(NOT(ISNUMBER($H8)),NOT(ISNUMBER($C$13))),"",$H8-$C$13),"")</f>
        <v/>
      </c>
      <c r="K8" s="21">
        <f>IFERROR(IF(OR(NOT(ISNUMBER($H8)),NOT(ISNUMBER($C$14))),"",$H8-$C$14),"")</f>
        <v/>
      </c>
      <c r="L8">
        <f>IF(NOT(ISNUMBER($K8)),"",IF($K8&lt;0,"Por debajo de tu objetivo","En tu objetivo"))</f>
        <v/>
      </c>
    </row>
    <row r="9" ht="24" customHeight="1">
      <c r="A9" s="5" t="n"/>
      <c r="B9" s="5" t="n"/>
      <c r="C9" s="5" t="n"/>
      <c r="D9" s="5" t="n"/>
      <c r="E9" s="5" t="n"/>
      <c r="F9" s="5" t="n"/>
      <c r="G9" s="5" t="n"/>
      <c r="H9" s="18">
        <f>IFERROR(IF(OR(COUNT($C9:$G9)=0,SUM($C$4:$G$4)=0),"",SUMPRODUCT($C9:$G9,$C$4:$G$4)/SUM($C$4:$G$4)),"")</f>
        <v/>
      </c>
      <c r="I9" s="19">
        <f>IFERROR(IF(OR(NOT(ISNUMBER($H9)),NOT(ISNUMBER('Auditoría'!$D$10)),'Auditoría'!$D$10=0),"",$H9/'Auditoría'!$D$10),"")</f>
        <v/>
      </c>
      <c r="J9" s="21">
        <f>IFERROR(IF(OR(NOT(ISNUMBER($H9)),NOT(ISNUMBER($C$13))),"",$H9-$C$13),"")</f>
        <v/>
      </c>
      <c r="K9" s="21">
        <f>IFERROR(IF(OR(NOT(ISNUMBER($H9)),NOT(ISNUMBER($C$14))),"",$H9-$C$14),"")</f>
        <v/>
      </c>
      <c r="L9">
        <f>IF(NOT(ISNUMBER($K9)),"",IF($K9&lt;0,"Por debajo de tu objetivo","En tu objetivo"))</f>
        <v/>
      </c>
    </row>
    <row r="10" ht="24" customHeight="1">
      <c r="A10" s="5" t="n"/>
      <c r="B10" s="5" t="n"/>
      <c r="C10" s="5" t="n"/>
      <c r="D10" s="5" t="n"/>
      <c r="E10" s="5" t="n"/>
      <c r="F10" s="5" t="n"/>
      <c r="G10" s="5" t="n"/>
      <c r="H10" s="18">
        <f>IFERROR(IF(OR(COUNT($C10:$G10)=0,SUM($C$4:$G$4)=0),"",SUMPRODUCT($C10:$G10,$C$4:$G$4)/SUM($C$4:$G$4)),"")</f>
        <v/>
      </c>
      <c r="I10" s="19">
        <f>IFERROR(IF(OR(NOT(ISNUMBER($H10)),NOT(ISNUMBER('Auditoría'!$D$10)),'Auditoría'!$D$10=0),"",$H10/'Auditoría'!$D$10),"")</f>
        <v/>
      </c>
      <c r="J10" s="21">
        <f>IFERROR(IF(OR(NOT(ISNUMBER($H10)),NOT(ISNUMBER($C$13))),"",$H10-$C$13),"")</f>
        <v/>
      </c>
      <c r="K10" s="21">
        <f>IFERROR(IF(OR(NOT(ISNUMBER($H10)),NOT(ISNUMBER($C$14))),"",$H10-$C$14),"")</f>
        <v/>
      </c>
      <c r="L10">
        <f>IF(NOT(ISNUMBER($K10)),"",IF($K10&lt;0,"Por debajo de tu objetivo","En tu objetivo"))</f>
        <v/>
      </c>
    </row>
    <row r="11" ht="24" customHeight="1">
      <c r="A11" s="5" t="n"/>
      <c r="B11" s="5" t="n"/>
      <c r="C11" s="5" t="n"/>
      <c r="D11" s="5" t="n"/>
      <c r="E11" s="5" t="n"/>
      <c r="F11" s="5" t="n"/>
      <c r="G11" s="5" t="n"/>
      <c r="H11" s="18">
        <f>IFERROR(IF(OR(COUNT($C11:$G11)=0,SUM($C$4:$G$4)=0),"",SUMPRODUCT($C11:$G11,$C$4:$G$4)/SUM($C$4:$G$4)),"")</f>
        <v/>
      </c>
      <c r="I11" s="19">
        <f>IFERROR(IF(OR(NOT(ISNUMBER($H11)),NOT(ISNUMBER('Auditoría'!$D$10)),'Auditoría'!$D$10=0),"",$H11/'Auditoría'!$D$10),"")</f>
        <v/>
      </c>
      <c r="J11" s="21">
        <f>IFERROR(IF(OR(NOT(ISNUMBER($H11)),NOT(ISNUMBER($C$13))),"",$H11-$C$13),"")</f>
        <v/>
      </c>
      <c r="K11" s="21">
        <f>IFERROR(IF(OR(NOT(ISNUMBER($H11)),NOT(ISNUMBER($C$14))),"",$H11-$C$14),"")</f>
        <v/>
      </c>
      <c r="L11">
        <f>IF(NOT(ISNUMBER($K11)),"",IF($K11&lt;0,"Por debajo de tu objetivo","En tu objetivo"))</f>
        <v/>
      </c>
    </row>
    <row r="12"/>
    <row r="13">
      <c r="A13" s="10" t="inlineStr">
        <is>
          <t>Media del grupo (unidades auditadas)</t>
        </is>
      </c>
      <c r="C13" s="11">
        <f>IFERROR(IF(COUNT($H$6:$H$11)=0,"",SUM($H$6:$H$11)/COUNT($H$6:$H$11)),"")</f>
        <v>3.5447154471544717</v>
      </c>
    </row>
    <row r="14">
      <c r="A14" s="10" t="inlineStr">
        <is>
          <t>Tu estándar de grupo (objetivo propio, 0 a la escala)</t>
        </is>
      </c>
      <c r="C14" s="20" t="n">
        <v>3.54</v>
      </c>
    </row>
    <row r="15"/>
    <row r="16" ht="42" customHeight="1">
      <c r="A16" s="4" t="inlineStr">
        <is>
          <t>Las unidades del grupo vienen con NOMBRE y sin puntuación: sus notas son las que saques tú cuando las audites. Aquí no se inventa la puntuación de una cocina que nadie ha visitado.</t>
        </is>
      </c>
    </row>
    <row r="17" ht="42" customHeight="1">
      <c r="A17" s="4" t="inlineStr">
        <is>
          <t>Para que la comparación valga, las tres cosas tienen que ser iguales: los mismos 50 puntos, los mismos pesos y la misma escala. Si en una unidad cambias un peso, cámbialo en todas o deja de comparar.</t>
        </is>
      </c>
    </row>
    <row r="18" ht="42" customHeight="1">
      <c r="A18" s="4" t="inlineStr">
        <is>
          <t>Comparar cocinas de formatos distintos sin decirlo es la forma más rápida de tomar una decisión mala con un número bueno. Una cocina de banquetes y una de carta no se auditan igual aunque el checklist sea el mismo.</t>
        </is>
      </c>
    </row>
    <row r="19" ht="42" customHeight="1">
      <c r="A19" s="4" t="inlineStr">
        <is>
          <t>El ejemplo trae el estándar sembrado con la nota ponderada de tu última visita (3.54): empezar exigiéndote no bajar de donde ya estás es un criterio razonable. Cámbialo por el tuyo cuando quieras.</t>
        </is>
      </c>
    </row>
  </sheetData>
  <sheetProtection selectLockedCells="0" selectUnlockedCells="0" sheet="1" objects="0" insertRows="0" insertHyperlinks="1" autoFilter="1" scenarios="0" formatColumns="0" deleteColumns="1" insertColumns="1" pivotTables="1" deleteRows="1" formatCells="1" formatRows="0" sort="0"/>
  <mergeCells count="7">
    <mergeCell ref="A14:B14"/>
    <mergeCell ref="A16:L16"/>
    <mergeCell ref="A13:B13"/>
    <mergeCell ref="A17:L17"/>
    <mergeCell ref="A4:B4"/>
    <mergeCell ref="A19:L19"/>
    <mergeCell ref="A18:L18"/>
  </mergeCells>
  <conditionalFormatting sqref="J6:J11">
    <cfRule type="expression" priority="1" dxfId="0" stopIfTrue="1">
      <formula>=AND(ISNUMBER($J6),$J6&lt;0)</formula>
    </cfRule>
    <cfRule type="expression" priority="2" dxfId="2" stopIfTrue="1">
      <formula>=AND(ISNUMBER($J6),$J6&gt;=0)</formula>
    </cfRule>
  </conditionalFormatting>
  <conditionalFormatting sqref="L6:L11">
    <cfRule type="cellIs" priority="3" operator="equal" dxfId="0" stopIfTrue="1">
      <formula>"Por debajo de tu objetivo"</formula>
    </cfRule>
    <cfRule type="cellIs" priority="4" operator="equal" dxfId="2" stopIfTrue="1">
      <formula>"En tu objetivo"</formula>
    </cfRule>
  </conditionalFormatting>
  <dataValidations count="3">
    <dataValidation sqref="B7 B8 B9 B10 B11" showDropDown="0" showInputMessage="0" showErrorMessage="1" allowBlank="1" errorTitle="Fecha no válida" error="Escribe una fecha (dd/mm/aaaa) entre 2020 y 2040." type="date" operator="between">
      <formula1>DATE(2020,1,1)</formula1>
      <formula2>DATE(2040,12,31)</formula2>
    </dataValidation>
    <dataValidation sqref="C7 C8 C9 C10 C11 D7 D8 D9 D10 D11 E7 E8 E9 E10 E11 F7 F8 F9 F10 F11 G7 G8 G9 G10 G11" showDropDown="0" showInputMessage="0" showErrorMessage="1" allowBlank="1" errorTitle="Nota del área" error="Escribe un valor entre 0 y 10." type="decimal" operator="between">
      <formula1>0</formula1>
      <formula2>10</formula2>
    </dataValidation>
    <dataValidation sqref="C14" showDropDown="0" showInputMessage="0" showErrorMessage="1" allowBlank="1" errorTitle="Tu estándar" error="Escribe un valor entre 0 y 10." type="decimal" operator="between">
      <formula1>0</formula1>
      <formula2>10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36"/>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46" customWidth="1" min="1" max="1"/>
    <col width="40" customWidth="1" min="2" max="2"/>
    <col width="64" customWidth="1" min="3" max="3"/>
    <col width="15" customWidth="1" min="4" max="4"/>
    <col width="9" customWidth="1" min="5" max="5"/>
    <col width="76" customWidth="1" min="6" max="6"/>
    <col width="17" customWidth="1" min="7" max="7"/>
    <col width="24" customWidth="1" min="8" max="8"/>
  </cols>
  <sheetData>
    <row r="1" ht="30" customHeight="1">
      <c r="A1" s="1" t="inlineStr">
        <is>
          <t>Estado normativo a la fecha de corte</t>
        </is>
      </c>
    </row>
    <row r="2">
      <c r="A2" t="inlineStr">
        <is>
          <t>AI Chef Pro · aichef.pro — Manual del Chef Ejecutivo</t>
        </is>
      </c>
    </row>
    <row r="3">
      <c r="A3" s="2" t="inlineStr">
        <is>
          <t>Qué dice hoy cada norma que toca esta auditoría, con el enlace para que lo compruebes tú. La fecha de corte es editable.</t>
        </is>
      </c>
    </row>
    <row r="4"/>
    <row r="5">
      <c r="A5" s="10" t="inlineStr">
        <is>
          <t>Fecha de corte de esta revisión</t>
        </is>
      </c>
      <c r="B5" s="7" t="n">
        <v>46271</v>
      </c>
      <c r="C5" t="inlineStr">
        <is>
          <t>Es el día en que se comprobó cada norma contra el texto consolidado del BOE o de EUR-Lex.</t>
        </is>
      </c>
    </row>
    <row r="6">
      <c r="A6" t="inlineStr">
        <is>
          <t>Fecha para simular (déjala vacía y se usa la de hoy)</t>
        </is>
      </c>
      <c r="B6" s="7" t="n"/>
    </row>
    <row r="7">
      <c r="A7" s="10" t="inlineStr">
        <is>
          <t>Hoy (fecha de referencia)</t>
        </is>
      </c>
      <c r="B7" s="29">
        <f>IFERROR(IF($B$6="",TODAY(),$B$6),"")</f>
        <v>46271.0</v>
      </c>
    </row>
    <row r="8">
      <c r="A8" t="inlineStr">
        <is>
          <t>Días naturales desde la fecha de corte</t>
        </is>
      </c>
      <c r="B8" s="30">
        <f>IFERROR(IF(OR(NOT(ISNUMBER($B$7)),NOT(ISNUMBER($B$5))),"",$B$7-$B$5),"")</f>
        <v>0.0</v>
      </c>
    </row>
    <row r="9">
      <c r="A9" t="inlineStr">
        <is>
          <t>Avisar cuando hayan pasado más de (días)</t>
        </is>
      </c>
      <c r="B9" s="9" t="n">
        <v>180</v>
      </c>
      <c r="C9" t="inlineStr">
        <is>
          <t>Criterio de la casa, no una obligación de ninguna norma: media año es un plazo razonable para volver a mirar los enlaces.</t>
        </is>
      </c>
    </row>
    <row r="10">
      <c r="A10" s="10" t="inlineStr">
        <is>
          <t>Aviso</t>
        </is>
      </c>
      <c r="B10" s="10" t="str">
        <f>IF(OR(NOT(ISNUMBER($B$8)),NOT(ISNUMBER($B$9))),"",IF($B$8&gt;$B$9,"REVISAR: ha pasado mucho desde la fecha de corte","Revisión reciente"))</f>
        <v>Revisión reciente</v>
      </c>
    </row>
    <row r="11"/>
    <row r="12" ht="44" customHeight="1">
      <c r="A12" s="6" t="inlineStr">
        <is>
          <t>Norma</t>
        </is>
      </c>
      <c r="B12" s="6" t="inlineStr">
        <is>
          <t>Estado a la fecha de corte</t>
        </is>
      </c>
      <c r="C12" s="6" t="inlineStr">
        <is>
          <t>Qué tiene que hacer el chef</t>
        </is>
      </c>
      <c r="D12" s="6" t="inlineStr">
        <is>
          <t>Fecha de corte</t>
        </is>
      </c>
      <c r="E12" s="6" t="inlineStr">
        <is>
          <t>Id</t>
        </is>
      </c>
      <c r="F12" s="6" t="inlineStr">
        <is>
          <t>Verificación y enlace</t>
        </is>
      </c>
      <c r="G12" s="6" t="inlineStr">
        <is>
          <t>Comprobado por ti el</t>
        </is>
      </c>
      <c r="H12" s="6" t="inlineStr">
        <is>
          <t>Estado tras tu comprobación</t>
        </is>
      </c>
    </row>
    <row r="13" ht="44" customHeight="1">
      <c r="A13" s="4" t="inlineStr">
        <is>
          <t>Reglamento (CE) 852/2004, con la modificación 2021/382</t>
        </is>
      </c>
      <c r="B13" s="4" t="inlineStr">
        <is>
          <t>Vigente; la modificación se aplica desde el 24-03-2021</t>
        </is>
      </c>
      <c r="C13" s="4" t="inlineStr">
        <is>
          <t>La cultura de seguridad alimentaria es obligación de la dirección, no del último que entró: hay que poder demostrarla (Cap. XI bis)</t>
        </is>
      </c>
      <c r="D13" s="31">
        <f>IF($B$5="","",$B$5)</f>
        <v>46271.0</v>
      </c>
      <c r="E13" s="32" t="inlineStr">
        <is>
          <t>CE-02</t>
        </is>
      </c>
      <c r="F13" s="4" t="inlineStr">
        <is>
          <t>Verificado el 06-09-2026 · Reglamento (CE) 852/2004, Anexo II, Capítulo XI bis, puntos 1-3 · https://eur-lex.europa.eu/legal-content/ES/TXT/HTML/?uri=CELEX:02004R0852-20210324</t>
        </is>
      </c>
      <c r="G13" s="7" t="n"/>
      <c r="H13" s="5" t="inlineStr">
        <is>
          <t>Sin comprobar</t>
        </is>
      </c>
    </row>
    <row r="14" ht="44" customHeight="1">
      <c r="A14" s="4" t="inlineStr">
        <is>
          <t>Reglamento (UE) 1169/2011 y RD 126/2015</t>
        </is>
      </c>
      <c r="B14" s="4" t="inlineStr">
        <is>
          <t>Vigentes</t>
        </is>
      </c>
      <c r="C14" s="4" t="inlineStr">
        <is>
          <t>Los 14 alérgenos, por escrito y accesibles. El cartel de «consulte al personal» no basta sin soporte escrito</t>
        </is>
      </c>
      <c r="D14" s="31">
        <f>IF($B$5="","",$B$5)</f>
        <v>46271.0</v>
      </c>
      <c r="E14" s="32" t="inlineStr">
        <is>
          <t>CE-06</t>
        </is>
      </c>
      <c r="F14" s="4" t="inlineStr">
        <is>
          <t>Verificado el 06-09-2026 · Reglamento (UE) 1169/2011, Anexo II y art. 44.1; RD 126/2015 art. 6.5 · https://www.boe.es/buscar/act.php?id=BOE-A-2015-2293</t>
        </is>
      </c>
      <c r="G14" s="7" t="n"/>
      <c r="H14" s="5" t="inlineStr">
        <is>
          <t>Sin comprobar</t>
        </is>
      </c>
    </row>
    <row r="15" ht="44" customHeight="1">
      <c r="A15" s="4" t="inlineStr">
        <is>
          <t>Reglamento (UE) 828/2014 (gluten)</t>
        </is>
      </c>
      <c r="B15" s="4" t="inlineStr">
        <is>
          <t>Vigente desde el 20-07-2016</t>
        </is>
      </c>
      <c r="C15" s="4" t="inlineStr">
        <is>
          <t>Si anuncias un plato «sin gluten» te obligas a 20 mg/kg; «muy bajo en gluten», 100 mg/kg</t>
        </is>
      </c>
      <c r="D15" s="31">
        <f>IF($B$5="","",$B$5)</f>
        <v>46271.0</v>
      </c>
      <c r="E15" s="32" t="inlineStr">
        <is>
          <t>CE-07</t>
        </is>
      </c>
      <c r="F15" s="4" t="inlineStr">
        <is>
          <t>Verificado el 06-09-2026 · Reglamento (UE) 828/2014, arts. 1-3 y 5 · https://eur-lex.europa.eu/legal-content/ES/TXT/HTML/?uri=CELEX:32014R0828</t>
        </is>
      </c>
      <c r="G15" s="7" t="n"/>
      <c r="H15" s="5" t="inlineStr">
        <is>
          <t>Sin comprobar</t>
        </is>
      </c>
    </row>
    <row r="16" ht="44" customHeight="1">
      <c r="A16" s="4" t="inlineStr">
        <is>
          <t>Reglamento (CE) 2073/2005 (criterios microbiológicos)</t>
        </is>
      </c>
      <c r="B16" s="4" t="inlineStr">
        <is>
          <t>Vigente, consolidado a 08-03-2020</t>
        </is>
      </c>
      <c r="C16" s="4" t="inlineStr">
        <is>
          <t>Si el plato favorece el crecimiento de Listeria, el estudio de vida útil se documenta: no hay un número de días fijado por ley</t>
        </is>
      </c>
      <c r="D16" s="31">
        <f>IF($B$5="","",$B$5)</f>
        <v>46271.0</v>
      </c>
      <c r="E16" s="32" t="inlineStr">
        <is>
          <t>CE-08</t>
        </is>
      </c>
      <c r="F16" s="4" t="inlineStr">
        <is>
          <t>Verificado el 06-09-2026 · Reglamento (CE) 2073/2005, art. 1 y Anexo II · https://eur-lex.europa.eu/legal-content/ES/TXT/HTML/?uri=CELEX:02005R2073-20200308</t>
        </is>
      </c>
      <c r="G16" s="7" t="n"/>
      <c r="H16" s="5" t="inlineStr">
        <is>
          <t>Sin comprobar</t>
        </is>
      </c>
    </row>
    <row r="17" ht="44" customHeight="1">
      <c r="A17" s="4" t="inlineStr">
        <is>
          <t>RD 1086/2020 (redacción del RD 1021/2022), art. 30</t>
        </is>
      </c>
      <c r="B17" s="4" t="inlineStr">
        <is>
          <t>Vigente; última actualización 22-12-2022</t>
        </is>
      </c>
      <c r="C17" s="4" t="inlineStr">
        <is>
          <t>Las cinco temperaturas y el binomio de enfriamiento van en la ficha de cada plato que se mantenga o se regenere</t>
        </is>
      </c>
      <c r="D17" s="31">
        <f>IF($B$5="","",$B$5)</f>
        <v>46271.0</v>
      </c>
      <c r="E17" s="32" t="inlineStr">
        <is>
          <t>CE-10</t>
        </is>
      </c>
      <c r="F17" s="4" t="inlineStr">
        <is>
          <t>Verificado el 06-09-2026 · RD 1086/2020, art. 30.1, 30.2, 30.5 y 30.7 (redacción del RD 1021/2022) · https://www.boe.es/buscar/act.php?id=BOE-A-2020-15872</t>
        </is>
      </c>
      <c r="G17" s="7" t="n"/>
      <c r="H17" s="5" t="inlineStr">
        <is>
          <t>Sin comprobar</t>
        </is>
      </c>
    </row>
    <row r="18" ht="44" customHeight="1">
      <c r="A18" s="4" t="inlineStr">
        <is>
          <t>RD 1086/2020, art. 30, apartados 8, 9 y 10 (comidas testigo)</t>
        </is>
      </c>
      <c r="B18" s="4" t="inlineStr">
        <is>
          <t>Vigente</t>
        </is>
      </c>
      <c r="C18" s="4" t="inlineStr">
        <is>
          <t>Más de 40 comensales en un encargo: 100 g por elaboración, 7 días, a 4 °C o a -18 °C, identificada y fechada</t>
        </is>
      </c>
      <c r="D18" s="31">
        <f>IF($B$5="","",$B$5)</f>
        <v>46271.0</v>
      </c>
      <c r="E18" s="32" t="inlineStr">
        <is>
          <t>CE-11</t>
        </is>
      </c>
      <c r="F18" s="4" t="inlineStr">
        <is>
          <t>Verificado el 06-09-2026 · RD 1086/2020, art. 30, apartados 8, 9 y 10 · https://www.boe.es/buscar/act.php?id=BOE-A-2020-15872</t>
        </is>
      </c>
      <c r="G18" s="7" t="n"/>
      <c r="H18" s="5" t="inlineStr">
        <is>
          <t>Sin comprobar</t>
        </is>
      </c>
    </row>
    <row r="19" ht="44" customHeight="1">
      <c r="A19" s="4" t="inlineStr">
        <is>
          <t>RD 1021/2022, art. 11 (elaboración propia)</t>
        </is>
      </c>
      <c r="B19" s="4" t="inlineStr">
        <is>
          <t>Vigente desde el 22-12-2022</t>
        </is>
      </c>
      <c r="C19" s="4" t="inlineStr">
        <is>
          <t>La mención es voluntaria; fraccionar, envasar, deshuesar carne fresca o limpiar pescado NO es elaboración</t>
        </is>
      </c>
      <c r="D19" s="31">
        <f>IF($B$5="","",$B$5)</f>
        <v>46271.0</v>
      </c>
      <c r="E19" s="32" t="inlineStr">
        <is>
          <t>CE-12</t>
        </is>
      </c>
      <c r="F19" s="4" t="inlineStr">
        <is>
          <t>Verificado el 06-09-2026 · RD 1021/2022, art. 11 · https://www.boe.es/buscar/act.php?id=BOE-A-2022-21681</t>
        </is>
      </c>
      <c r="G19" s="7" t="n"/>
      <c r="H19" s="5" t="inlineStr">
        <is>
          <t>Sin comprobar</t>
        </is>
      </c>
    </row>
    <row r="20" ht="44" customHeight="1">
      <c r="A20" s="4" t="inlineStr">
        <is>
          <t>RD 1021/2022, art. 8 (anisakis)</t>
        </is>
      </c>
      <c r="B20" s="4" t="inlineStr">
        <is>
          <t>Vigente. El RD 1420/2006 está DEROGADO con efectos del 22-12-2022</t>
        </is>
      </c>
      <c r="C20" s="4" t="inlineStr">
        <is>
          <t>Congelación a -20 °C durante 24 horas, o a -35 °C durante 15 horas, salvo el pescado de aguas continentales (excluido) y salvo la acuicultura marina con declaración del operador de origen por lote; hay que informar al consumidor por cartel o carta-menú. El plazo de siete días que circula por el sector viene de una norma derogada</t>
        </is>
      </c>
      <c r="D20" s="31">
        <f>IF($B$5="","",$B$5)</f>
        <v>46271.0</v>
      </c>
      <c r="E20" s="32" t="inlineStr">
        <is>
          <t>CE-14</t>
        </is>
      </c>
      <c r="F20" s="4" t="inlineStr">
        <is>
          <t>Verificado el 06-09-2026 · RD 1021/2022, art. 8.1-8.3 · https://www.boe.es/buscar/act.php?id=BOE-A-2022-21681</t>
        </is>
      </c>
      <c r="G20" s="7" t="n"/>
      <c r="H20" s="5" t="inlineStr">
        <is>
          <t>Sin comprobar</t>
        </is>
      </c>
    </row>
    <row r="21" ht="44" customHeight="1">
      <c r="A21" s="4" t="inlineStr">
        <is>
          <t>Orden de 26-01-1989 sobre aceites de fritura, art. 6.3</t>
        </is>
      </c>
      <c r="B21" s="4" t="inlineStr">
        <is>
          <t>Vigente (otros artículos derogados por el RD 176/2013)</t>
        </is>
      </c>
      <c r="C21" s="4" t="inlineStr">
        <is>
          <t>Por debajo del 25 % de compuestos polares. Se mide, no se mira el color</t>
        </is>
      </c>
      <c r="D21" s="31">
        <f>IF($B$5="","",$B$5)</f>
        <v>46271.0</v>
      </c>
      <c r="E21" s="32" t="inlineStr">
        <is>
          <t>CE-17</t>
        </is>
      </c>
      <c r="F21" s="4" t="inlineStr">
        <is>
          <t>Verificado el 06-09-2026 · Orden de 26-01-1989, art. 6.3 · https://www.boe.es/buscar/act.php?id=BOE-A-1989-2265</t>
        </is>
      </c>
      <c r="G21" s="7" t="n"/>
      <c r="H21" s="5" t="inlineStr">
        <is>
          <t>Sin comprobar</t>
        </is>
      </c>
    </row>
    <row r="22" ht="44" customHeight="1">
      <c r="A22" s="4" t="inlineStr">
        <is>
          <t>Reglamento (UE) 2023/915 (contaminantes)</t>
        </is>
      </c>
      <c r="B22" s="4" t="inlineStr">
        <is>
          <t>Vigente desde mayo de 2023; derogó el Reglamento 1881/2006</t>
        </is>
      </c>
      <c r="C22" s="4" t="inlineStr">
        <is>
          <t>Vincula al COMPRAR: es la garantía que se le pide al proveedor, no un análisis de cocina</t>
        </is>
      </c>
      <c r="D22" s="31">
        <f>IF($B$5="","",$B$5)</f>
        <v>46271.0</v>
      </c>
      <c r="E22" s="32" t="inlineStr">
        <is>
          <t>CE-18</t>
        </is>
      </c>
      <c r="F22" s="4" t="inlineStr">
        <is>
          <t>Verificado el 06-09-2026 · Reglamento (UE) 2023/915, arts. 9 y 11 · https://eur-lex.europa.eu/legal-content/ES/TXT/HTML/?uri=CELEX:32023R0915</t>
        </is>
      </c>
      <c r="G22" s="7" t="n"/>
      <c r="H22" s="5" t="inlineStr">
        <is>
          <t>Sin comprobar</t>
        </is>
      </c>
    </row>
    <row r="23" ht="44" customHeight="1">
      <c r="A23" s="4" t="inlineStr">
        <is>
          <t>Reglamento (UE) 2017/2158 (acrilamida)</t>
        </is>
      </c>
      <c r="B23" s="4" t="inlineStr">
        <is>
          <t>Vigente desde el 11-04-2018; no nombra a los restaurantes como sujeto obligado</t>
        </is>
      </c>
      <c r="C23" s="4" t="inlineStr">
        <is>
          <t>Los niveles de referencia no son un límite sancionable: freír la patata por debajo de 175 °C es la medida práctica</t>
        </is>
      </c>
      <c r="D23" s="31">
        <f>IF($B$5="","",$B$5)</f>
        <v>46271.0</v>
      </c>
      <c r="E23" s="32" t="inlineStr">
        <is>
          <t>CE-19</t>
        </is>
      </c>
      <c r="F23" s="4" t="inlineStr">
        <is>
          <t>Verificado el 06-09-2026 · Reglamento (UE) 2017/2158, art. 1.2 y Anexo II · https://eur-lex.europa.eu/legal-content/ES/TXT/HTML/?uri=CELEX:32017R2158</t>
        </is>
      </c>
      <c r="G23" s="7" t="n"/>
      <c r="H23" s="5" t="inlineStr">
        <is>
          <t>Sin comprobar</t>
        </is>
      </c>
    </row>
    <row r="24" ht="44" customHeight="1">
      <c r="A24" s="4" t="inlineStr">
        <is>
          <t>RD 486/1997, Anexo III (temperatura del local)</t>
        </is>
      </c>
      <c r="B24" s="4" t="inlineStr">
        <is>
          <t>Vigente, actualizado en 2025</t>
        </is>
      </c>
      <c r="C24" s="4" t="inlineStr">
        <is>
          <t>La categoría de trabajo la fija TU evaluación de riesgos, y el Anexo III admite condicionantes del local: 17-27 °C sedentario, 14-25 °C ligero y sin rango para el trabajo pesado. La cocina no tiene un rango propio en la norma: el suyo sale de la evaluación de riesgos del local</t>
        </is>
      </c>
      <c r="D24" s="31">
        <f>IF($B$5="","",$B$5)</f>
        <v>46271.0</v>
      </c>
      <c r="E24" s="32" t="inlineStr">
        <is>
          <t>CE-21</t>
        </is>
      </c>
      <c r="F24" s="4" t="inlineStr">
        <is>
          <t>Verificado el 06-09-2026 · RD 486/1997, Anexo III, punto 3 · https://www.boe.es/buscar/act.php?id=BOE-A-1997-8669</t>
        </is>
      </c>
      <c r="G24" s="7" t="n"/>
      <c r="H24" s="5" t="inlineStr">
        <is>
          <t>Sin comprobar</t>
        </is>
      </c>
    </row>
    <row r="25" ht="44" customHeight="1">
      <c r="A25" s="4" t="inlineStr">
        <is>
          <t>RD 773/1997 (equipos de protección individual)</t>
        </is>
      </c>
      <c r="B25" s="4" t="inlineStr">
        <is>
          <t>Vigente, modificado por el RD 1076/2021</t>
        </is>
      </c>
      <c r="C25" s="4" t="inlineStr">
        <is>
          <t>El uso regular de cuchillos y los ambientes húmedos están en el Anexo III: el EPI se entrega gratis y se repone</t>
        </is>
      </c>
      <c r="D25" s="31">
        <f>IF($B$5="","",$B$5)</f>
        <v>46271.0</v>
      </c>
      <c r="E25" s="32" t="inlineStr">
        <is>
          <t>CE-23</t>
        </is>
      </c>
      <c r="F25" s="4" t="inlineStr">
        <is>
          <t>Verificado el 06-09-2026 · RD 773/1997, art. 3.c) y Anexo III · https://www.boe.es/buscar/act.php?id=BOE-A-1997-12735</t>
        </is>
      </c>
      <c r="G25" s="7" t="n"/>
      <c r="H25" s="5" t="inlineStr">
        <is>
          <t>Sin comprobar</t>
        </is>
      </c>
    </row>
    <row r="26" ht="44" customHeight="1">
      <c r="A26" s="4" t="inlineStr">
        <is>
          <t>Ley 1/2025 de prevención de pérdidas y desperdicio alimentario</t>
        </is>
      </c>
      <c r="B26" s="4" t="inlineStr">
        <is>
          <t>Publicada en el BOE el 02-04-2025; las obligaciones del art. 6 son exigibles desde el 02-04-2026 (DF vigésima)</t>
        </is>
      </c>
      <c r="C26" s="4" t="inlineStr">
        <is>
          <t>Las microempresas quedan excluidas de las obligaciones del art. 6, pero el doggy bag del art. 8 les sigue obligando</t>
        </is>
      </c>
      <c r="D26" s="31">
        <f>IF($B$5="","",$B$5)</f>
        <v>46271.0</v>
      </c>
      <c r="E26" s="32" t="inlineStr">
        <is>
          <t>CE-33</t>
        </is>
      </c>
      <c r="F26" s="4" t="inlineStr">
        <is>
          <t>Verificado el 06-09-2026 · Ley 1/2025, art. 6.4.c) y 6.6 · https://www.boe.es/buscar/act.php?id=BOE-A-2025-6597</t>
        </is>
      </c>
      <c r="G26" s="7" t="n"/>
      <c r="H26" s="5" t="inlineStr">
        <is>
          <t>Sin comprobar</t>
        </is>
      </c>
    </row>
    <row r="27"/>
    <row r="28" ht="44" customHeight="1">
      <c r="A28" s="4" t="inlineStr">
        <is>
          <t>Esta hoja existe para que no tengas que creerte nada. Cada fila trae el enlace al texto consolidado: si algo ha cambiado desde el día de corte, lo ves tú en dos clics y lo anotas en las dos últimas columnas.</t>
        </is>
      </c>
    </row>
    <row r="29" ht="44" customHeight="1">
      <c r="A29" s="4" t="inlineStr">
        <is>
          <t>Las normas de esta hoja son las que toca la auditoría de cocina: seguridad alimentaria, alérgenos, comidas testigo, temperaturas, anisakis, aceites de fritura, prevención de riesgos y desperdicio. Las de convenio y las laborales viven en el «Manual del Manager de Restaurante».</t>
        </is>
      </c>
    </row>
    <row r="30" ht="44" customHeight="1">
      <c r="A30" s="4" t="inlineStr">
        <is>
          <t>Que una norma esté vigente no quiere decir que te aplique entera. La columna «Qué tiene que hacer el chef» es la que traduce el artículo a la cocina; el resto es contexto.</t>
        </is>
      </c>
    </row>
    <row r="31"/>
    <row r="32">
      <c r="A32" s="3" t="inlineStr">
        <is>
          <t>LISTA DEL DESPLEGABLE (no la borres)</t>
        </is>
      </c>
    </row>
    <row r="33" ht="20" customHeight="1">
      <c r="A33" s="6" t="inlineStr">
        <is>
          <t>Estado tras tu comprobación</t>
        </is>
      </c>
    </row>
    <row r="34">
      <c r="A34" t="inlineStr">
        <is>
          <t>Sin comprobar</t>
        </is>
      </c>
    </row>
    <row r="35">
      <c r="A35" t="inlineStr">
        <is>
          <t>Sigue igual</t>
        </is>
      </c>
    </row>
    <row r="36">
      <c r="A36" t="inlineStr">
        <is>
          <t>Ha cambiado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29:H29"/>
    <mergeCell ref="A28:H28"/>
    <mergeCell ref="B10:C10"/>
    <mergeCell ref="A30:H30"/>
  </mergeCells>
  <conditionalFormatting sqref="B10">
    <cfRule type="cellIs" priority="1" operator="equal" dxfId="0" stopIfTrue="1">
      <formula>"REVISAR: ha pasado mucho desde la fecha de corte"</formula>
    </cfRule>
    <cfRule type="cellIs" priority="2" operator="equal" dxfId="2" stopIfTrue="1">
      <formula>"Revisión reciente"</formula>
    </cfRule>
  </conditionalFormatting>
  <conditionalFormatting sqref="H13:H26">
    <cfRule type="cellIs" priority="3" operator="equal" dxfId="0" stopIfTrue="1">
      <formula>"Ha cambiado"</formula>
    </cfRule>
    <cfRule type="cellIs" priority="4" operator="equal" dxfId="2" stopIfTrue="1">
      <formula>"Sigue igual"</formula>
    </cfRule>
    <cfRule type="cellIs" priority="5" operator="equal" dxfId="3" stopIfTrue="1">
      <formula>"Sin comprobar"</formula>
    </cfRule>
  </conditionalFormatting>
  <dataValidations count="5">
    <dataValidation sqref="B5" showDropDown="0" showInputMessage="0" showErrorMessage="1" allowBlank="1" errorTitle="Fecha no válida" error="Escribe una fecha (dd/mm/aaaa) entre 2020 y 2040." type="date" operator="between">
      <formula1>DATE(2020,1,1)</formula1>
      <formula2>DATE(2040,12,31)</formula2>
    </dataValidation>
    <dataValidation sqref="B6" showDropDown="0" showInputMessage="0" showErrorMessage="1" allowBlank="1" errorTitle="Fecha no válida" error="Escribe una fecha (dd/mm/aaaa) entre 2020 y 2040." type="date" operator="between">
      <formula1>DATE(2020,1,1)</formula1>
      <formula2>DATE(2040,12,31)</formula2>
    </dataValidation>
    <dataValidation sqref="B9" showDropDown="0" showInputMessage="0" showErrorMessage="1" allowBlank="1" errorTitle="Días de aviso" error="Escribe un valor entre 1 y 3650." type="decimal" operator="between">
      <formula1>1</formula1>
      <formula2>3650</formula2>
    </dataValidation>
    <dataValidation sqref="G13 G14 G15 G16 G17 G18 G19 G20 G21 G22 G23 G24 G25 G26" showDropDown="0" showInputMessage="0" showErrorMessage="1" allowBlank="1" errorTitle="Fecha no válida" error="Escribe una fecha (dd/mm/aaaa) entre 2020 y 2040." type="date" operator="between">
      <formula1>DATE(2020,1,1)</formula1>
      <formula2>DATE(2040,12,31)</formula2>
    </dataValidation>
    <dataValidation sqref="H13 H14 H15 H16 H17 H18 H19 H20 H21 H22 H23 H24 H25 H26" showDropDown="0" showInputMessage="0" showErrorMessage="1" allowBlank="1" errorTitle="Estado tras tu comprobación" error="Elige un estado de la lista del final de esta hoja." type="list">
      <formula1>'Estado Normativo'!$A$34:$A$36</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Auditoría interna de cocina</dc:title>
  <dc:subject xmlns:dc="http://purl.org/dc/elements/1.1/">Manual del Chef Ejecutivo · v1.0</dc:subject>
  <dcterms:created xmlns:dcterms="http://purl.org/dc/terms/" xmlns:xsi="http://www.w3.org/2001/XMLSchema-instance" xsi:type="dcterms:W3CDTF">2026-09-06T19:35:38Z</dcterms:created>
  <dcterms:modified xmlns:dcterms="http://purl.org/dc/terms/" xmlns:xsi="http://www.w3.org/2001/XMLSchema-instance" xsi:type="dcterms:W3CDTF">2026-09-06T19:35:38Z</dcterms:modified>
  <cp:lastModifiedBy>AI Chef Pro</cp:lastModifiedBy>
</cp:coreProperties>
</file>