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manales" sheetId="2" state="visible" r:id="rId2"/>
    <sheet xmlns:r="http://schemas.openxmlformats.org/officeDocument/2006/relationships" name="Mensuales" sheetId="3" state="visible" r:id="rId3"/>
  </sheets>
  <definedNames>
    <definedName name="_xlnm.Print_Titles" localSheetId="1">'Semanales'!$5:$5</definedName>
    <definedName name="_xlnm.Print_Titles" localSheetId="2">'Mensuales'!$5:$5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8EAF6"/>
        <bgColor rgb="00E8EAF6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Programa las tareas semanales en un día fijo (lunes recomendado).</t>
        </is>
      </c>
    </row>
    <row r="6">
      <c r="B6" s="3" t="inlineStr">
        <is>
          <t>▸ Las tareas mensuales se programan el primer lunes del mes.</t>
        </is>
      </c>
    </row>
    <row r="7">
      <c r="B7" s="3" t="inlineStr">
        <is>
          <t>▸ Registra cada revisión con fecha y firma del responsable.</t>
        </is>
      </c>
    </row>
    <row r="8"/>
    <row r="9">
      <c r="B9" s="2" t="inlineStr">
        <is>
          <t>Puntos clave:</t>
        </is>
      </c>
    </row>
    <row r="10">
      <c r="B10" s="3" t="inlineStr">
        <is>
          <t>▸ Inventario semanal de productos premium (trufa, caviar, etc.).</t>
        </is>
      </c>
    </row>
    <row r="11">
      <c r="B11" s="3" t="inlineStr">
        <is>
          <t>▸ Mantenimiento preventivo de equipamiento de vanguardia.</t>
        </is>
      </c>
    </row>
    <row r="12">
      <c r="B12" s="3" t="inlineStr">
        <is>
          <t>▸ Revisión de food cost real vs. objetivo cada mes.</t>
        </is>
      </c>
    </row>
    <row r="13"/>
    <row r="14">
      <c r="B14" s="3" t="inlineStr">
        <is>
          <t>Versión 1.1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📦 INVENTARIO Y STOCK SEMANAL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productos premium (trufa, caviar, azafrán, vainilla)</t>
        </is>
      </c>
      <c r="C6" s="10" t="inlineStr">
        <is>
          <t>Stock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Inventario hidrocoloides y texturizantes (agar, gellan, xantana)</t>
        </is>
      </c>
      <c r="C7" s="10" t="inlineStr">
        <is>
          <t>Stock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Inventario gases (N2O sifones, CO2, butano sopletes)</t>
        </is>
      </c>
      <c r="C8" s="10" t="inlineStr">
        <is>
          <t>Stock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microbrotes y flores comestibles</t>
        </is>
      </c>
      <c r="C9" s="10" t="inlineStr">
        <is>
          <t>Stock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Pedido semanal a proveedores premium</t>
        </is>
      </c>
      <c r="C10" s="10" t="inlineStr">
        <is>
          <t>Proveedores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mermas de la semana y causas</t>
        </is>
      </c>
      <c r="C11" s="14" t="inlineStr">
        <is>
          <t>Admin</t>
        </is>
      </c>
      <c r="D11" s="11" t="n"/>
      <c r="E11" s="12" t="n"/>
      <c r="F11" s="11" t="n"/>
      <c r="G11" s="13" t="n"/>
    </row>
    <row r="12"/>
    <row r="13">
      <c r="A13" s="6" t="inlineStr">
        <is>
          <t>🧪 FERMENTACIONES Y MADURACIONES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Medir pH de TODAS las fermentaciones activas</t>
        </is>
      </c>
      <c r="C15" s="15" t="inlineStr">
        <is>
          <t>I+D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Verificar estado de koji / cultivos activos</t>
        </is>
      </c>
      <c r="C16" s="15" t="inlineStr">
        <is>
          <t>I+D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Controlar maduraciones en cámara (temp., humedad, día)</t>
        </is>
      </c>
      <c r="C17" s="10" t="inlineStr">
        <is>
          <t>Cámara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Evaluar fermentaciones listas para uso en carta</t>
        </is>
      </c>
      <c r="C18" s="15" t="inlineStr">
        <is>
          <t>I+D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Descartar fermentaciones fuera de parámetros</t>
        </is>
      </c>
      <c r="C19" s="15" t="inlineStr">
        <is>
          <t>I+D</t>
        </is>
      </c>
      <c r="D19" s="11" t="n"/>
      <c r="E19" s="12" t="n"/>
      <c r="F19" s="11" t="n"/>
      <c r="G19" s="13" t="n"/>
    </row>
    <row r="20"/>
    <row r="21">
      <c r="A21" s="6" t="inlineStr">
        <is>
          <t>🔧 MANTENIMIENTO EQUIPAMIENTO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Mantenimiento Pacojet: limpieza profunda, verificar cuchillas</t>
        </is>
      </c>
      <c r="C23" s="16" t="inlineStr">
        <is>
          <t>Cocina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Mantenimiento Roner/sous-vide: calibración, limpieza</t>
        </is>
      </c>
      <c r="C24" s="16" t="inlineStr">
        <is>
          <t>Cocina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Mantenimiento deshidratador: limpieza bandejas, filtros</t>
        </is>
      </c>
      <c r="C25" s="16" t="inlineStr">
        <is>
          <t>Cocina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Verificar calibración de básculas de precisión (0,01g)</t>
        </is>
      </c>
      <c r="C26" s="16" t="inlineStr">
        <is>
          <t>Cocina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Mantenimiento sifones: juntas, válvulas, limpieza</t>
        </is>
      </c>
      <c r="C27" s="16" t="inlineStr">
        <is>
          <t>Cocina</t>
        </is>
      </c>
      <c r="D27" s="11" t="n"/>
      <c r="E27" s="12" t="n"/>
      <c r="F27" s="11" t="n"/>
      <c r="G27" s="13" t="n"/>
    </row>
    <row r="28"/>
    <row r="29">
      <c r="A29" s="6" t="inlineStr">
        <is>
          <t>👥 EQUIPO Y FORMACIÓN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Reunión semanal de equipo (feedback, planificación)</t>
        </is>
      </c>
      <c r="C31" s="16" t="inlineStr">
        <is>
          <t>Cocina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Revisión de fichas técnicas actualizadas</t>
        </is>
      </c>
      <c r="C32" s="15" t="inlineStr">
        <is>
          <t>Fichas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Actualización de plating bible si hubo cambios</t>
        </is>
      </c>
      <c r="C33" s="16" t="inlineStr">
        <is>
          <t>Emplatado</t>
        </is>
      </c>
      <c r="D33" s="11" t="n"/>
      <c r="E33" s="12" t="n"/>
      <c r="F33" s="11" t="n"/>
      <c r="G33" s="13" t="n"/>
    </row>
    <row r="34">
      <c r="B34" s="21" t="inlineStr">
        <is>
          <t>Tareas completadas:</t>
        </is>
      </c>
      <c r="C34">
        <f>COUNTIF(E6:E33,"✓")</f>
        <v>3.0</v>
      </c>
      <c r="D34" t="inlineStr">
        <is>
          <t>de</t>
        </is>
      </c>
      <c r="E34">
        <f>COUNTIF(B6:B33,"?*")</f>
        <v>22.0</v>
      </c>
    </row>
    <row r="35">
      <c r="A35" s="17" t="inlineStr">
        <is>
          <t>Firma responsable: _________________  Fecha: ___/___/______</t>
        </is>
      </c>
    </row>
    <row r="36">
      <c r="A36" s="17" t="inlineStr">
        <is>
          <t>© 2026 AI Chef Pro · aichef.pro</t>
        </is>
      </c>
    </row>
  </sheetData>
  <mergeCells count="8">
    <mergeCell ref="A4:G4"/>
    <mergeCell ref="A36:G36"/>
    <mergeCell ref="A1:G1"/>
    <mergeCell ref="A13:G13"/>
    <mergeCell ref="A2:G2"/>
    <mergeCell ref="A21:G21"/>
    <mergeCell ref="A35:G35"/>
    <mergeCell ref="A29:G29"/>
  </mergeCells>
  <conditionalFormatting sqref="A6:G33">
    <cfRule type="expression" priority="1" dxfId="0">
      <formula>$E6="✓"</formula>
    </cfRule>
  </conditionalFormatting>
  <dataValidations count="1">
    <dataValidation sqref="E6 E7 E8 E9 E10 E11 E15 E16 E17 E18 E19 E23 E24 E25 E26 E27 E31 E32 E33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🔄 CARTA Y MENÚ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Rotación parcial carta: evaluar 2-3 platos para cambio</t>
        </is>
      </c>
      <c r="C6" s="15" t="inlineStr">
        <is>
          <t>I+D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Evaluación de platos con menor aceptación</t>
        </is>
      </c>
      <c r="C7" s="15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Planificación de nuevos platos para próximo mes</t>
        </is>
      </c>
      <c r="C8" s="15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Actualización de plating bible completa</t>
        </is>
      </c>
      <c r="C9" s="15" t="inlineStr">
        <is>
          <t>Fichas</t>
        </is>
      </c>
      <c r="D9" s="11" t="n"/>
      <c r="E9" s="12" t="n"/>
      <c r="F9" s="11" t="n"/>
      <c r="G9" s="13" t="n"/>
    </row>
    <row r="10"/>
    <row r="11">
      <c r="A11" s="6" t="inlineStr">
        <is>
          <t>🧹 DEEP CLEAN Y CALIBRACIÓN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Deep clean del laboratorio / zona I+D</t>
        </is>
      </c>
      <c r="C13" s="18" t="inlineStr">
        <is>
          <t>Limpieza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Deep clean de cámaras de maduración</t>
        </is>
      </c>
      <c r="C14" s="18" t="inlineStr">
        <is>
          <t>Limpieza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Calibración profesional de básculas y termómetros</t>
        </is>
      </c>
      <c r="C15" s="16" t="inlineStr">
        <is>
          <t>Cocina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Revisión de todos los equipos de vanguardia</t>
        </is>
      </c>
      <c r="C16" s="16" t="inlineStr">
        <is>
          <t>Cocina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Mantenimiento de cámaras frigoríficas (filtros, juntas)</t>
        </is>
      </c>
      <c r="C17" s="18" t="inlineStr">
        <is>
          <t>Limpieza</t>
        </is>
      </c>
      <c r="D17" s="11" t="n"/>
      <c r="E17" s="12" t="n"/>
      <c r="F17" s="11" t="n"/>
      <c r="G17" s="13" t="n"/>
    </row>
    <row r="18"/>
    <row r="19">
      <c r="A19" s="6" t="inlineStr">
        <is>
          <t>💰 FINANZAS Y GESTIÓN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Inventario completo de bodega</t>
        </is>
      </c>
      <c r="C21" s="19" t="inlineStr">
        <is>
          <t>Bodega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Revisión de proveedores: calidad, precio, entregas</t>
        </is>
      </c>
      <c r="C22" s="10" t="inlineStr">
        <is>
          <t>Proveedores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Food cost real vs. objetivo (análisis por plato)</t>
        </is>
      </c>
      <c r="C23" s="14" t="inlineStr">
        <is>
          <t>Food cost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Coste de bebida por cubierto</t>
        </is>
      </c>
      <c r="C24" s="14" t="inlineStr">
        <is>
          <t>Food cost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Revisión de mermas mensuales y plan de reducción</t>
        </is>
      </c>
      <c r="C25" s="14" t="inlineStr">
        <is>
          <t>Admin</t>
        </is>
      </c>
      <c r="D25" s="11" t="n"/>
      <c r="E25" s="12" t="n"/>
      <c r="F25" s="11" t="n"/>
      <c r="G25" s="13" t="n"/>
    </row>
    <row r="26"/>
    <row r="27">
      <c r="A27" s="6" t="inlineStr">
        <is>
          <t>📚 FORMACIÓN Y DESARROLLO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Sesión de formación equipo (técnica nueva o repaso)</t>
        </is>
      </c>
      <c r="C29" s="15" t="inlineStr">
        <is>
          <t>I+D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Evaluación de desempeño informal por rol</t>
        </is>
      </c>
      <c r="C30" s="14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Planificación de eventos especiales del próximo mes</t>
        </is>
      </c>
      <c r="C31" s="20" t="inlineStr">
        <is>
          <t>Eventos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Revisión de objetivos y KPIs del mes</t>
        </is>
      </c>
      <c r="C32" s="14" t="inlineStr">
        <is>
          <t>Admin</t>
        </is>
      </c>
      <c r="D32" s="11" t="n"/>
      <c r="E32" s="12" t="n"/>
      <c r="F32" s="11" t="n"/>
      <c r="G32" s="13" t="n"/>
    </row>
    <row r="33">
      <c r="B33" s="21" t="inlineStr">
        <is>
          <t>Tareas completadas:</t>
        </is>
      </c>
      <c r="C33">
        <f>COUNTIF(E6:E32,"✓")</f>
        <v>3.0</v>
      </c>
      <c r="D33" t="inlineStr">
        <is>
          <t>de</t>
        </is>
      </c>
      <c r="E33">
        <f>COUNTIF(B6:B32,"?*")</f>
        <v>21.0</v>
      </c>
    </row>
    <row r="34">
      <c r="A34" s="17" t="inlineStr">
        <is>
          <t>Firma responsable: _________________  Fecha: ___/___/______</t>
        </is>
      </c>
    </row>
    <row r="35">
      <c r="A35" s="17" t="inlineStr">
        <is>
          <t>© 2026 AI Chef Pro · aichef.pro</t>
        </is>
      </c>
    </row>
  </sheetData>
  <mergeCells count="8">
    <mergeCell ref="A4:G4"/>
    <mergeCell ref="A1:G1"/>
    <mergeCell ref="A27:G27"/>
    <mergeCell ref="A2:G2"/>
    <mergeCell ref="A34:G34"/>
    <mergeCell ref="A11:G11"/>
    <mergeCell ref="A19:G19"/>
    <mergeCell ref="A35:G35"/>
  </mergeCells>
  <conditionalFormatting sqref="A6:G32">
    <cfRule type="expression" priority="1" dxfId="0">
      <formula>$E6="✓"</formula>
    </cfRule>
  </conditionalFormatting>
  <dataValidations count="1">
    <dataValidation sqref="E6 E7 E8 E9 E13 E14 E15 E16 E17 E21 E22 E23 E24 E25 E29 E30 E31 E3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