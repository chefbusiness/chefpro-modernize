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'Instrucciones'!$A$1:$A$20</definedName>
    <definedName name="_xlnm.Print_Titles" localSheetId="1">'Apertura de Caja'!$4:$4</definedName>
    <definedName name="_xlnm.Print_Area" localSheetId="1">'Apertura de Caja'!$A$1:$F$18</definedName>
    <definedName name="_xlnm.Print_Titles" localSheetId="2">'Cierre de Caja'!$4:$4</definedName>
    <definedName name="_xlnm.Print_Area" localSheetId="2">'Cierre de Caja'!$A$1:$F$48</definedName>
    <definedName name="_xlnm.Print_Titles" localSheetId="3">'Registro Mensual'!$4:$4</definedName>
    <definedName name="_xlnm.Print_Area" localSheetId="3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Restaurante Creativo / De Autor</t>
        </is>
      </c>
    </row>
    <row r="3" ht="25" customHeight="1">
      <c r="A3" s="3" t="inlineStr">
        <is>
          <t>Checklist de Apertura y Cierre de Caja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aichef.pro/kit-tareas-restaurante-creativo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Restaurante Creativo / De Autor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r="16">
      <c r="B16" s="25" t="inlineStr">
        <is>
          <t>Tareas completadas:</t>
        </is>
      </c>
      <c r="C16">
        <f>COUNTIF(D5:D15,"✓")</f>
        <v>0.0</v>
      </c>
      <c r="D16" t="inlineStr">
        <is>
          <t>de</t>
        </is>
      </c>
      <c r="E16">
        <f>COUNTIF(B5:B15,"?*")</f>
        <v>11.0</v>
      </c>
    </row>
    <row r="17" ht="30" customHeight="1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conditionalFormatting sqref="A5:F15">
    <cfRule type="expression" priority="1" dxfId="0">
      <formula>$D5="✓"</formula>
    </cfRule>
  </conditionalFormatting>
  <dataValidations count="1">
    <dataValidation sqref="D5 D6 D7 D8 D9 D10 D11 D12 D13 D14 D15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Restaurante Creativo / De Autor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r="16" ht="24" customHeight="1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r="17">
      <c r="B17" s="25" t="inlineStr">
        <is>
          <t>Tareas completadas:</t>
        </is>
      </c>
      <c r="C17">
        <f>COUNTIF(D5:D16,"✓")</f>
        <v>0.0</v>
      </c>
      <c r="D17" t="inlineStr">
        <is>
          <t>de</t>
        </is>
      </c>
      <c r="E17">
        <f>COUNTIF(B5:B16,"?*")</f>
        <v>12.0</v>
      </c>
    </row>
    <row r="18" ht="32" customHeight="1">
      <c r="A18" s="13" t="inlineStr">
        <is>
          <t>💰 Recuento de Efectivo por Denominación</t>
        </is>
      </c>
    </row>
    <row r="19" ht="26" customHeight="1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 ht="24" customHeight="1">
      <c r="A20" s="14" t="inlineStr">
        <is>
          <t>BILLETES</t>
        </is>
      </c>
      <c r="B20" s="26" t="n"/>
      <c r="C20" s="20" t="n"/>
    </row>
    <row r="21" ht="22" customHeight="1">
      <c r="A21" s="15" t="inlineStr">
        <is>
          <t>500 €</t>
        </is>
      </c>
      <c r="B21" s="8" t="n">
        <v>0</v>
      </c>
      <c r="C21" s="16">
        <f>B21*500</f>
        <v>0.0</v>
      </c>
    </row>
    <row r="22" ht="22" customHeight="1">
      <c r="A22" s="17" t="inlineStr">
        <is>
          <t>200 €</t>
        </is>
      </c>
      <c r="B22" s="10" t="n">
        <v>0</v>
      </c>
      <c r="C22" s="18">
        <f>B22*200</f>
        <v>0.0</v>
      </c>
    </row>
    <row r="23" ht="22" customHeight="1">
      <c r="A23" s="15" t="inlineStr">
        <is>
          <t>100 €</t>
        </is>
      </c>
      <c r="B23" s="8" t="n">
        <v>0</v>
      </c>
      <c r="C23" s="16">
        <f>B23*100</f>
        <v>0.0</v>
      </c>
    </row>
    <row r="24" ht="22" customHeight="1">
      <c r="A24" s="17" t="inlineStr">
        <is>
          <t>50 €</t>
        </is>
      </c>
      <c r="B24" s="10" t="n">
        <v>0</v>
      </c>
      <c r="C24" s="18">
        <f>B24*50</f>
        <v>0.0</v>
      </c>
    </row>
    <row r="25" ht="22" customHeight="1">
      <c r="A25" s="15" t="inlineStr">
        <is>
          <t>20 €</t>
        </is>
      </c>
      <c r="B25" s="8" t="n">
        <v>0</v>
      </c>
      <c r="C25" s="16">
        <f>B25*20</f>
        <v>0.0</v>
      </c>
    </row>
    <row r="26" ht="22" customHeight="1">
      <c r="A26" s="17" t="inlineStr">
        <is>
          <t>10 €</t>
        </is>
      </c>
      <c r="B26" s="10" t="n">
        <v>0</v>
      </c>
      <c r="C26" s="18">
        <f>B26*10</f>
        <v>0.0</v>
      </c>
    </row>
    <row r="27" ht="22" customHeight="1">
      <c r="A27" s="15" t="inlineStr">
        <is>
          <t>5 €</t>
        </is>
      </c>
      <c r="B27" s="8" t="n">
        <v>0</v>
      </c>
      <c r="C27" s="16">
        <f>B27*5</f>
        <v>0.0</v>
      </c>
    </row>
    <row r="28" ht="24" customHeight="1">
      <c r="A28" s="14" t="inlineStr">
        <is>
          <t>MONEDAS</t>
        </is>
      </c>
      <c r="B28" s="26" t="n"/>
      <c r="C28" s="20" t="n"/>
    </row>
    <row r="29" ht="22" customHeight="1">
      <c r="A29" s="15" t="inlineStr">
        <is>
          <t>2 €</t>
        </is>
      </c>
      <c r="B29" s="8" t="n">
        <v>0</v>
      </c>
      <c r="C29" s="16">
        <f>B29*2</f>
        <v>0.0</v>
      </c>
    </row>
    <row r="30" ht="22" customHeight="1">
      <c r="A30" s="17" t="inlineStr">
        <is>
          <t>1 €</t>
        </is>
      </c>
      <c r="B30" s="10" t="n">
        <v>0</v>
      </c>
      <c r="C30" s="18">
        <f>B30*1</f>
        <v>0.0</v>
      </c>
    </row>
    <row r="31" ht="22" customHeight="1">
      <c r="A31" s="15" t="inlineStr">
        <is>
          <t>0,50 €</t>
        </is>
      </c>
      <c r="B31" s="8" t="n">
        <v>0</v>
      </c>
      <c r="C31" s="16">
        <f>B31*0.5</f>
        <v>0.0</v>
      </c>
    </row>
    <row r="32" ht="22" customHeight="1">
      <c r="A32" s="17" t="inlineStr">
        <is>
          <t>0,20 €</t>
        </is>
      </c>
      <c r="B32" s="10" t="n">
        <v>0</v>
      </c>
      <c r="C32" s="18">
        <f>B32*0.2</f>
        <v>0.0</v>
      </c>
    </row>
    <row r="33" ht="22" customHeight="1">
      <c r="A33" s="15" t="inlineStr">
        <is>
          <t>0,10 €</t>
        </is>
      </c>
      <c r="B33" s="8" t="n">
        <v>0</v>
      </c>
      <c r="C33" s="16">
        <f>B33*0.1</f>
        <v>0.0</v>
      </c>
    </row>
    <row r="34" ht="22" customHeight="1">
      <c r="A34" s="17" t="inlineStr">
        <is>
          <t>0,05 €</t>
        </is>
      </c>
      <c r="B34" s="10" t="n">
        <v>0</v>
      </c>
      <c r="C34" s="18">
        <f>B34*0.05</f>
        <v>0.0</v>
      </c>
    </row>
    <row r="35" ht="22" customHeight="1">
      <c r="A35" s="15" t="inlineStr">
        <is>
          <t>0,01 €</t>
        </is>
      </c>
      <c r="B35" s="8" t="n">
        <v>0</v>
      </c>
      <c r="C35" s="16">
        <f>B35*0.01</f>
        <v>0.0</v>
      </c>
    </row>
    <row r="36" ht="28" customHeight="1">
      <c r="A36" s="19" t="inlineStr">
        <is>
          <t>TOTAL EFECTIVO</t>
        </is>
      </c>
      <c r="B36" s="20" t="n"/>
      <c r="C36" s="21">
        <f>SUM(C21:C35)</f>
        <v>0.0</v>
      </c>
    </row>
    <row r="37"/>
    <row r="38" ht="30" customHeight="1">
      <c r="A38" s="13" t="inlineStr">
        <is>
          <t>📊 Resumen de Cierre</t>
        </is>
      </c>
    </row>
    <row r="39" ht="26" customHeight="1">
      <c r="A39" s="7" t="inlineStr">
        <is>
          <t>Concepto</t>
        </is>
      </c>
      <c r="B39" s="7" t="inlineStr">
        <is>
          <t>Importe (€)</t>
        </is>
      </c>
    </row>
    <row r="40" ht="24" customHeight="1">
      <c r="A40" s="9" t="inlineStr">
        <is>
          <t>Total Efectivo</t>
        </is>
      </c>
      <c r="B40" s="16">
        <f>C36</f>
        <v>0.0</v>
      </c>
    </row>
    <row r="41" ht="24" customHeight="1">
      <c r="A41" s="11" t="inlineStr">
        <is>
          <t>Total Tarjetas (Visa/MC)</t>
        </is>
      </c>
      <c r="B41" s="18" t="n">
        <v>0</v>
      </c>
    </row>
    <row r="42" ht="24" customHeight="1">
      <c r="A42" s="9" t="inlineStr">
        <is>
          <t>Total Otros (Bizum, Vales)</t>
        </is>
      </c>
      <c r="B42" s="16" t="n">
        <v>0</v>
      </c>
    </row>
    <row r="43" ht="24" customHeight="1">
      <c r="A43" s="22" t="inlineStr">
        <is>
          <t>TOTAL FACTURADO</t>
        </is>
      </c>
      <c r="B43" s="23">
        <f>B40+B41+B42</f>
        <v>0.0</v>
      </c>
    </row>
    <row r="44" ht="24" customHeight="1">
      <c r="A44" s="9" t="inlineStr">
        <is>
          <t>Z del TPV</t>
        </is>
      </c>
      <c r="B44" s="16" t="n">
        <v>0</v>
      </c>
    </row>
    <row r="45" ht="24" customHeight="1">
      <c r="A45" s="22" t="inlineStr">
        <is>
          <t>DESCUADRE</t>
        </is>
      </c>
      <c r="B45" s="23">
        <f>B43-B44</f>
        <v>0.0</v>
      </c>
    </row>
    <row r="46"/>
    <row r="47" ht="30" customHeight="1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conditionalFormatting sqref="A5:F16">
    <cfRule type="expression" priority="1" dxfId="0">
      <formula>$D5="✓"</formula>
    </cfRule>
  </conditionalFormatting>
  <dataValidations count="1">
    <dataValidation sqref="D5 D6 D7 D8 D9 D10 D11 D12 D13 D14 D15 D16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Registro Mensual de Caja — Restaurante Creativo / De Autor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r="5" ht="22" customHeight="1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>0.0</v>
      </c>
      <c r="G5" s="16" t="inlineStr"/>
      <c r="H5" s="16" t="n">
        <v>0</v>
      </c>
      <c r="I5" s="8" t="inlineStr"/>
    </row>
    <row r="6" ht="22" customHeight="1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>0.0</v>
      </c>
      <c r="G6" s="18" t="inlineStr"/>
      <c r="H6" s="18" t="n">
        <v>0</v>
      </c>
      <c r="I6" s="10" t="inlineStr"/>
    </row>
    <row r="7" ht="22" customHeight="1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>0.0</v>
      </c>
      <c r="G7" s="16" t="inlineStr"/>
      <c r="H7" s="16" t="n">
        <v>0</v>
      </c>
      <c r="I7" s="8" t="inlineStr"/>
    </row>
    <row r="8" ht="22" customHeight="1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>0.0</v>
      </c>
      <c r="G8" s="18" t="inlineStr"/>
      <c r="H8" s="18" t="n">
        <v>0</v>
      </c>
      <c r="I8" s="10" t="inlineStr"/>
    </row>
    <row r="9" ht="22" customHeight="1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>0.0</v>
      </c>
      <c r="G9" s="16" t="inlineStr"/>
      <c r="H9" s="16" t="n">
        <v>0</v>
      </c>
      <c r="I9" s="8" t="inlineStr"/>
    </row>
    <row r="10" ht="22" customHeight="1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>0.0</v>
      </c>
      <c r="G10" s="18" t="inlineStr"/>
      <c r="H10" s="18" t="n">
        <v>0</v>
      </c>
      <c r="I10" s="10" t="inlineStr"/>
    </row>
    <row r="11" ht="22" customHeight="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>0.0</v>
      </c>
      <c r="G11" s="16" t="inlineStr"/>
      <c r="H11" s="16" t="n">
        <v>0</v>
      </c>
      <c r="I11" s="8" t="inlineStr"/>
    </row>
    <row r="12" ht="22" customHeight="1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>0.0</v>
      </c>
      <c r="G12" s="18" t="inlineStr"/>
      <c r="H12" s="18" t="n">
        <v>0</v>
      </c>
      <c r="I12" s="10" t="inlineStr"/>
    </row>
    <row r="13" ht="22" customHeight="1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>0.0</v>
      </c>
      <c r="G13" s="16" t="inlineStr"/>
      <c r="H13" s="16" t="n">
        <v>0</v>
      </c>
      <c r="I13" s="8" t="inlineStr"/>
    </row>
    <row r="14" ht="22" customHeight="1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>0.0</v>
      </c>
      <c r="G14" s="18" t="inlineStr"/>
      <c r="H14" s="18" t="n">
        <v>0</v>
      </c>
      <c r="I14" s="10" t="inlineStr"/>
    </row>
    <row r="15" ht="22" customHeight="1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>0.0</v>
      </c>
      <c r="G15" s="16" t="inlineStr"/>
      <c r="H15" s="16" t="n">
        <v>0</v>
      </c>
      <c r="I15" s="8" t="inlineStr"/>
    </row>
    <row r="16" ht="22" customHeight="1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>0.0</v>
      </c>
      <c r="G16" s="18" t="inlineStr"/>
      <c r="H16" s="18" t="n">
        <v>0</v>
      </c>
      <c r="I16" s="10" t="inlineStr"/>
    </row>
    <row r="17" ht="22" customHeight="1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>0.0</v>
      </c>
      <c r="G17" s="16" t="inlineStr"/>
      <c r="H17" s="16" t="n">
        <v>0</v>
      </c>
      <c r="I17" s="8" t="inlineStr"/>
    </row>
    <row r="18" ht="22" customHeight="1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>0.0</v>
      </c>
      <c r="G18" s="18" t="inlineStr"/>
      <c r="H18" s="18" t="n">
        <v>0</v>
      </c>
      <c r="I18" s="10" t="inlineStr"/>
    </row>
    <row r="19" ht="22" customHeight="1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>0.0</v>
      </c>
      <c r="G19" s="16" t="inlineStr"/>
      <c r="H19" s="16" t="n">
        <v>0</v>
      </c>
      <c r="I19" s="8" t="inlineStr"/>
    </row>
    <row r="20" ht="22" customHeight="1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>0.0</v>
      </c>
      <c r="G20" s="18" t="inlineStr"/>
      <c r="H20" s="18" t="n">
        <v>0</v>
      </c>
      <c r="I20" s="10" t="inlineStr"/>
    </row>
    <row r="21" ht="22" customHeight="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>0.0</v>
      </c>
      <c r="G21" s="16" t="inlineStr"/>
      <c r="H21" s="16" t="n">
        <v>0</v>
      </c>
      <c r="I21" s="8" t="inlineStr"/>
    </row>
    <row r="22" ht="22" customHeight="1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>0.0</v>
      </c>
      <c r="G22" s="18" t="inlineStr"/>
      <c r="H22" s="18" t="n">
        <v>0</v>
      </c>
      <c r="I22" s="10" t="inlineStr"/>
    </row>
    <row r="23" ht="22" customHeight="1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>0.0</v>
      </c>
      <c r="G23" s="16" t="inlineStr"/>
      <c r="H23" s="16" t="n">
        <v>0</v>
      </c>
      <c r="I23" s="8" t="inlineStr"/>
    </row>
    <row r="24" ht="22" customHeight="1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>0.0</v>
      </c>
      <c r="G24" s="18" t="inlineStr"/>
      <c r="H24" s="18" t="n">
        <v>0</v>
      </c>
      <c r="I24" s="10" t="inlineStr"/>
    </row>
    <row r="25" ht="22" customHeight="1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>0.0</v>
      </c>
      <c r="G25" s="16" t="inlineStr"/>
      <c r="H25" s="16" t="n">
        <v>0</v>
      </c>
      <c r="I25" s="8" t="inlineStr"/>
    </row>
    <row r="26" ht="22" customHeight="1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>0.0</v>
      </c>
      <c r="G26" s="18" t="inlineStr"/>
      <c r="H26" s="18" t="n">
        <v>0</v>
      </c>
      <c r="I26" s="10" t="inlineStr"/>
    </row>
    <row r="27" ht="22" customHeight="1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>0.0</v>
      </c>
      <c r="G27" s="16" t="inlineStr"/>
      <c r="H27" s="16" t="n">
        <v>0</v>
      </c>
      <c r="I27" s="8" t="inlineStr"/>
    </row>
    <row r="28" ht="22" customHeight="1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>0.0</v>
      </c>
      <c r="G28" s="18" t="inlineStr"/>
      <c r="H28" s="18" t="n">
        <v>0</v>
      </c>
      <c r="I28" s="10" t="inlineStr"/>
    </row>
    <row r="29" ht="22" customHeight="1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>0.0</v>
      </c>
      <c r="G29" s="16" t="inlineStr"/>
      <c r="H29" s="16" t="n">
        <v>0</v>
      </c>
      <c r="I29" s="8" t="inlineStr"/>
    </row>
    <row r="30" ht="22" customHeight="1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>0.0</v>
      </c>
      <c r="G30" s="18" t="inlineStr"/>
      <c r="H30" s="18" t="n">
        <v>0</v>
      </c>
      <c r="I30" s="10" t="inlineStr"/>
    </row>
    <row r="31" ht="22" customHeight="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>0.0</v>
      </c>
      <c r="G31" s="16" t="inlineStr"/>
      <c r="H31" s="16" t="n">
        <v>0</v>
      </c>
      <c r="I31" s="8" t="inlineStr"/>
    </row>
    <row r="32" ht="22" customHeight="1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>0.0</v>
      </c>
      <c r="G32" s="18" t="inlineStr"/>
      <c r="H32" s="18" t="n">
        <v>0</v>
      </c>
      <c r="I32" s="10" t="inlineStr"/>
    </row>
    <row r="33" ht="22" customHeight="1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>0.0</v>
      </c>
      <c r="G33" s="16" t="inlineStr"/>
      <c r="H33" s="16" t="n">
        <v>0</v>
      </c>
      <c r="I33" s="8" t="inlineStr"/>
    </row>
    <row r="34" ht="22" customHeight="1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>0.0</v>
      </c>
      <c r="G34" s="18" t="inlineStr"/>
      <c r="H34" s="18" t="n">
        <v>0</v>
      </c>
      <c r="I34" s="10" t="inlineStr"/>
    </row>
    <row r="35" ht="22" customHeight="1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>0.0</v>
      </c>
      <c r="G35" s="16" t="inlineStr"/>
      <c r="H35" s="16" t="n">
        <v>0</v>
      </c>
      <c r="I35" s="8" t="inlineStr"/>
    </row>
    <row r="36" ht="28" customHeight="1">
      <c r="A36" s="19" t="inlineStr">
        <is>
          <t>TOTALES</t>
        </is>
      </c>
      <c r="B36" s="24">
        <f>SUM(B5:B35)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19" t="inlineStr"/>
    </row>
    <row r="37"/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Restaurante Creativo / De Autor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v1.1</dc:subject>
  <dcterms:created xmlns:dcterms="http://purl.org/dc/terms/" xmlns:xsi="http://www.w3.org/2001/XMLSchema-instance" xsi:type="dcterms:W3CDTF">2026-04-05T14:07:33Z</dcterms:created>
  <dcterms:modified xmlns:dcterms="http://purl.org/dc/terms/" xmlns:xsi="http://www.w3.org/2001/XMLSchema-instance" xsi:type="dcterms:W3CDTF">2026-08-22T09:54:04Z</dcterms:modified>
  <cp:lastModifiedBy>AI Chef Pro</cp:lastModifiedBy>
  <cp:category>AI Chef Pro · Productos digitales</cp:category>
  <cp:keywords>kit tareas restaurante creativo, AI Chef Pro</cp:keywords>
</cp:coreProperties>
</file>