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ndallos" sheetId="1" state="visible" r:id="rId1"/>
  </sheets>
  <definedNames>
    <definedName name="_xlnm.Print_Titles" localSheetId="0">'Escandallos'!$3:$3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38" customWidth="1" min="8" max="8"/>
  </cols>
  <sheetData>
    <row r="1" ht="32" customHeight="1">
      <c r="A1" s="1" t="inlineStr">
        <is>
          <t>Escandallo Maestro — Panes y Bollería (food cost real 2026)</t>
        </is>
      </c>
    </row>
    <row r="2"/>
    <row r="3">
      <c r="A3" s="2" t="inlineStr">
        <is>
          <t>Producto</t>
        </is>
      </c>
      <c r="B3" s="2" t="inlineStr">
        <is>
          <t>Peso final g</t>
        </is>
      </c>
      <c r="C3" s="2" t="inlineStr">
        <is>
          <t>Coste materia €</t>
        </is>
      </c>
      <c r="D3" s="2" t="inlineStr">
        <is>
          <t>PVP €</t>
        </is>
      </c>
      <c r="E3" s="2" t="inlineStr">
        <is>
          <t>Food cost %</t>
        </is>
      </c>
      <c r="F3" s="2" t="inlineStr">
        <is>
          <t>Margen bruto %</t>
        </is>
      </c>
      <c r="G3" s="2" t="inlineStr">
        <is>
          <t>Margen € unidad</t>
        </is>
      </c>
      <c r="H3" s="2" t="inlineStr">
        <is>
          <t>Notas técnicas</t>
        </is>
      </c>
    </row>
    <row r="4">
      <c r="A4" t="inlineStr">
        <is>
          <t>Baguette T55 levadura panadera</t>
        </is>
      </c>
      <c r="B4" t="n">
        <v>250</v>
      </c>
      <c r="C4" t="n">
        <v>0.38</v>
      </c>
      <c r="D4" t="n">
        <v>2.2</v>
      </c>
      <c r="E4" s="3">
        <f>C4/D4</f>
        <v>0.1727272727272727</v>
      </c>
      <c r="F4" s="3">
        <f>1-E4</f>
        <v>0.8272727272727273</v>
      </c>
      <c r="G4">
        <f>D4-C4</f>
        <v>1.8200000000000003</v>
      </c>
      <c r="H4" t="inlineStr">
        <is>
          <t>Harina T55 + agua + sal + levadura</t>
        </is>
      </c>
    </row>
    <row r="5">
      <c r="A5" t="inlineStr">
        <is>
          <t>Baguette tradition T65 masa madre 18h</t>
        </is>
      </c>
      <c r="B5" t="n">
        <v>280</v>
      </c>
      <c r="C5" t="n">
        <v>0.55</v>
      </c>
      <c r="D5" t="n">
        <v>3.5</v>
      </c>
      <c r="E5" s="3">
        <f>C5/D5</f>
        <v>0.15714285714285717</v>
      </c>
      <c r="F5" s="3">
        <f>1-E5</f>
        <v>0.8428571428571429</v>
      </c>
      <c r="G5">
        <f>D5-C5</f>
        <v>2.95</v>
      </c>
      <c r="H5" t="inlineStr">
        <is>
          <t>Masa madre 20% + fermentación 18h</t>
        </is>
      </c>
    </row>
    <row r="6">
      <c r="A6" t="inlineStr">
        <is>
          <t>Hogaza rústica T80 masa madre (1 kg)</t>
        </is>
      </c>
      <c r="B6" t="n">
        <v>1000</v>
      </c>
      <c r="C6" t="n">
        <v>1.15</v>
      </c>
      <c r="D6" t="n">
        <v>6.2</v>
      </c>
      <c r="E6" s="3">
        <f>C6/D6</f>
        <v>0.1854838709677419</v>
      </c>
      <c r="F6" s="3">
        <f>1-E6</f>
        <v>0.8145161290322581</v>
      </c>
      <c r="G6">
        <f>D6-C6</f>
        <v>5.050000000000001</v>
      </c>
      <c r="H6" t="inlineStr">
        <is>
          <t>Masa madre 25% + bulk 5h + bloque 18h</t>
        </is>
      </c>
    </row>
    <row r="7">
      <c r="A7" t="inlineStr">
        <is>
          <t>Pan integral T110 masa madre (1 kg)</t>
        </is>
      </c>
      <c r="B7" t="n">
        <v>1000</v>
      </c>
      <c r="C7" t="n">
        <v>1.4</v>
      </c>
      <c r="D7" t="n">
        <v>7.8</v>
      </c>
      <c r="E7" s="3">
        <f>C7/D7</f>
        <v>0.1794871794871795</v>
      </c>
      <c r="F7" s="3">
        <f>1-E7</f>
        <v>0.8205128205128205</v>
      </c>
      <c r="G7">
        <f>D7-C7</f>
        <v>6.4</v>
      </c>
      <c r="H7" t="inlineStr">
        <is>
          <t>Hidratación 80% + autólisis</t>
        </is>
      </c>
    </row>
    <row r="8">
      <c r="A8" t="inlineStr">
        <is>
          <t>Pan de espelta (800 g)</t>
        </is>
      </c>
      <c r="B8" t="n">
        <v>800</v>
      </c>
      <c r="C8" t="n">
        <v>1.6</v>
      </c>
      <c r="D8" t="n">
        <v>7.2</v>
      </c>
      <c r="E8" s="3">
        <f>C8/D8</f>
        <v>0.22222222222222224</v>
      </c>
      <c r="F8" s="3">
        <f>1-E8</f>
        <v>0.7777777777777778</v>
      </c>
      <c r="G8">
        <f>D8-C8</f>
        <v>5.6</v>
      </c>
      <c r="H8" t="inlineStr">
        <is>
          <t>Espelta blanca + integral mix</t>
        </is>
      </c>
    </row>
    <row r="9">
      <c r="A9" t="inlineStr">
        <is>
          <t>Pan centeno integral con semillas</t>
        </is>
      </c>
      <c r="B9" t="n">
        <v>800</v>
      </c>
      <c r="C9" t="n">
        <v>1.45</v>
      </c>
      <c r="D9" t="n">
        <v>7.4</v>
      </c>
      <c r="E9" s="3">
        <f>C9/D9</f>
        <v>0.19594594594594594</v>
      </c>
      <c r="F9" s="3">
        <f>1-E9</f>
        <v>0.8040540540540541</v>
      </c>
      <c r="G9">
        <f>D9-C9</f>
        <v>5.95</v>
      </c>
      <c r="H9" t="inlineStr">
        <is>
          <t>Masa madre centeno + semillas</t>
        </is>
      </c>
    </row>
    <row r="10">
      <c r="A10" t="inlineStr">
        <is>
          <t>Chapata aceite oliva</t>
        </is>
      </c>
      <c r="B10" t="n">
        <v>400</v>
      </c>
      <c r="C10" t="n">
        <v>0.55</v>
      </c>
      <c r="D10" t="n">
        <v>3.8</v>
      </c>
      <c r="E10" s="3">
        <f>C10/D10</f>
        <v>0.14473684210526316</v>
      </c>
      <c r="F10" s="3">
        <f>1-E10</f>
        <v>0.8552631578947368</v>
      </c>
      <c r="G10">
        <f>D10-C10</f>
        <v>3.25</v>
      </c>
      <c r="H10" t="inlineStr">
        <is>
          <t>AOVE 5% sobre harina</t>
        </is>
      </c>
    </row>
    <row r="11">
      <c r="A11" t="inlineStr">
        <is>
          <t>Focaccia (kg vendible)</t>
        </is>
      </c>
      <c r="B11" t="n">
        <v>1000</v>
      </c>
      <c r="C11" t="n">
        <v>1.9</v>
      </c>
      <c r="D11" t="n">
        <v>22</v>
      </c>
      <c r="E11" s="3">
        <f>C11/D11</f>
        <v>0.08636363636363636</v>
      </c>
      <c r="F11" s="3">
        <f>1-E11</f>
        <v>0.9136363636363636</v>
      </c>
      <c r="G11">
        <f>D11-C11</f>
        <v>20.1</v>
      </c>
      <c r="H11" t="inlineStr">
        <is>
          <t>Premium, vendida por porción</t>
        </is>
      </c>
    </row>
    <row r="12">
      <c r="A12" t="inlineStr">
        <is>
          <t>Pan de molde brioche (500 g)</t>
        </is>
      </c>
      <c r="B12" t="n">
        <v>500</v>
      </c>
      <c r="C12" t="n">
        <v>1.1</v>
      </c>
      <c r="D12" t="n">
        <v>5.4</v>
      </c>
      <c r="E12" s="3">
        <f>C12/D12</f>
        <v>0.20370370370370372</v>
      </c>
      <c r="F12" s="3">
        <f>1-E12</f>
        <v>0.7962962962962963</v>
      </c>
      <c r="G12">
        <f>D12-C12</f>
        <v>4.300000000000001</v>
      </c>
      <c r="H12" t="inlineStr">
        <is>
          <t>Brioche enriquecido + mantequilla</t>
        </is>
      </c>
    </row>
    <row r="13">
      <c r="A13" t="inlineStr">
        <is>
          <t>Pan sin gluten (500 g)</t>
        </is>
      </c>
      <c r="B13" t="n">
        <v>500</v>
      </c>
      <c r="C13" t="n">
        <v>1.8</v>
      </c>
      <c r="D13" t="n">
        <v>7</v>
      </c>
      <c r="E13" s="3">
        <f>C13/D13</f>
        <v>0.2571428571428572</v>
      </c>
      <c r="F13" s="3">
        <f>1-E13</f>
        <v>0.7428571428571429</v>
      </c>
      <c r="G13">
        <f>D13-C13</f>
        <v>5.2</v>
      </c>
      <c r="H13" t="inlineStr">
        <is>
          <t>Línea separada, food cost mayor</t>
        </is>
      </c>
    </row>
    <row r="14">
      <c r="A14" t="inlineStr">
        <is>
          <t>Pan con nueces/aceitunas/pasas</t>
        </is>
      </c>
      <c r="B14" t="n">
        <v>600</v>
      </c>
      <c r="C14" t="n">
        <v>1.25</v>
      </c>
      <c r="D14" t="n">
        <v>5.8</v>
      </c>
      <c r="E14" s="3">
        <f>C14/D14</f>
        <v>0.21551724137931036</v>
      </c>
      <c r="F14" s="3">
        <f>1-E14</f>
        <v>0.7844827586206896</v>
      </c>
      <c r="G14">
        <f>D14-C14</f>
        <v>4.55</v>
      </c>
      <c r="H14" t="inlineStr">
        <is>
          <t>Inclusión 15% del peso</t>
        </is>
      </c>
    </row>
    <row r="15">
      <c r="A15" t="inlineStr">
        <is>
          <t>Croissant clásico mantequilla</t>
        </is>
      </c>
      <c r="B15" t="n">
        <v>70</v>
      </c>
      <c r="C15" t="n">
        <v>0.45</v>
      </c>
      <c r="D15" t="n">
        <v>2.2</v>
      </c>
      <c r="E15" s="3">
        <f>C15/D15</f>
        <v>0.20454545454545453</v>
      </c>
      <c r="F15" s="3">
        <f>1-E15</f>
        <v>0.7954545454545454</v>
      </c>
      <c r="G15">
        <f>D15-C15</f>
        <v>1.7500000000000002</v>
      </c>
      <c r="H15" t="inlineStr">
        <is>
          <t>Mantequilla 25-30% sobre masa</t>
        </is>
      </c>
    </row>
    <row r="16">
      <c r="A16" t="inlineStr">
        <is>
          <t>Croissant chocolate (pain au chocolat)</t>
        </is>
      </c>
      <c r="B16" t="n">
        <v>75</v>
      </c>
      <c r="C16" t="n">
        <v>0.55</v>
      </c>
      <c r="D16" t="n">
        <v>2.4</v>
      </c>
      <c r="E16" s="3">
        <f>C16/D16</f>
        <v>0.22916666666666669</v>
      </c>
      <c r="F16" s="3">
        <f>1-E16</f>
        <v>0.7708333333333333</v>
      </c>
      <c r="G16">
        <f>D16-C16</f>
        <v>1.8499999999999999</v>
      </c>
      <c r="H16" t="inlineStr">
        <is>
          <t>Barras chocolate 8g</t>
        </is>
      </c>
    </row>
    <row r="17">
      <c r="A17" t="inlineStr">
        <is>
          <t>Croissant relleno (crema/almendra)</t>
        </is>
      </c>
      <c r="B17" t="n">
        <v>90</v>
      </c>
      <c r="C17" t="n">
        <v>0.7</v>
      </c>
      <c r="D17" t="n">
        <v>3.2</v>
      </c>
      <c r="E17" s="3">
        <f>C17/D17</f>
        <v>0.21874999999999997</v>
      </c>
      <c r="F17" s="3">
        <f>1-E17</f>
        <v>0.78125</v>
      </c>
      <c r="G17">
        <f>D17-C17</f>
        <v>2.5</v>
      </c>
      <c r="H17" t="inlineStr">
        <is>
          <t>Crema pastelera 20g</t>
        </is>
      </c>
    </row>
    <row r="18">
      <c r="A18" t="inlineStr">
        <is>
          <t>Caracola pasas/canela</t>
        </is>
      </c>
      <c r="B18" t="n">
        <v>80</v>
      </c>
      <c r="C18" t="n">
        <v>0.4</v>
      </c>
      <c r="D18" t="n">
        <v>2</v>
      </c>
      <c r="E18" s="3">
        <f>C18/D18</f>
        <v>0.2</v>
      </c>
      <c r="F18" s="3">
        <f>1-E18</f>
        <v>0.8</v>
      </c>
      <c r="G18">
        <f>D18-C18</f>
        <v>1.6</v>
      </c>
      <c r="H18" t="inlineStr">
        <is>
          <t>Sobre masa croissant</t>
        </is>
      </c>
    </row>
    <row r="19">
      <c r="A19" t="inlineStr">
        <is>
          <t>Bollo suizo</t>
        </is>
      </c>
      <c r="B19" t="n">
        <v>60</v>
      </c>
      <c r="C19" t="n">
        <v>0.28</v>
      </c>
      <c r="D19" t="n">
        <v>1.5</v>
      </c>
      <c r="E19" s="3">
        <f>C19/D19</f>
        <v>0.18666666666666668</v>
      </c>
      <c r="F19" s="3">
        <f>1-E19</f>
        <v>0.8133333333333334</v>
      </c>
      <c r="G19">
        <f>D19-C19</f>
        <v>1.22</v>
      </c>
      <c r="H19" t="inlineStr">
        <is>
          <t>Brioche enriquecido</t>
        </is>
      </c>
    </row>
    <row r="20">
      <c r="A20" t="inlineStr">
        <is>
          <t>Ensaimada mallorquina pequeña</t>
        </is>
      </c>
      <c r="B20" t="n">
        <v>100</v>
      </c>
      <c r="C20" t="n">
        <v>0.5</v>
      </c>
      <c r="D20" t="n">
        <v>2.2</v>
      </c>
      <c r="E20" s="3">
        <f>C20/D20</f>
        <v>0.22727272727272727</v>
      </c>
      <c r="F20" s="3">
        <f>1-E20</f>
        <v>0.7727272727272727</v>
      </c>
      <c r="G20">
        <f>D20-C20</f>
        <v>1.7000000000000002</v>
      </c>
      <c r="H20" t="inlineStr">
        <is>
          <t>Manteca de cerdo</t>
        </is>
      </c>
    </row>
    <row r="21">
      <c r="A21" t="inlineStr">
        <is>
          <t>Empanadilla salada</t>
        </is>
      </c>
      <c r="B21" t="n">
        <v>70</v>
      </c>
      <c r="C21" t="n">
        <v>0.65</v>
      </c>
      <c r="D21" t="n">
        <v>2.6</v>
      </c>
      <c r="E21" s="3">
        <f>C21/D21</f>
        <v>0.25</v>
      </c>
      <c r="F21" s="3">
        <f>1-E21</f>
        <v>0.75</v>
      </c>
      <c r="G21">
        <f>D21-C21</f>
        <v>1.9500000000000002</v>
      </c>
      <c r="H21" t="inlineStr">
        <is>
          <t>Relleno atún o pollo</t>
        </is>
      </c>
    </row>
    <row r="22">
      <c r="A22" t="inlineStr">
        <is>
          <t>Empanada gallega porción 200 g</t>
        </is>
      </c>
      <c r="B22" t="n">
        <v>200</v>
      </c>
      <c r="C22" t="n">
        <v>1.05</v>
      </c>
      <c r="D22" t="n">
        <v>3.4</v>
      </c>
      <c r="E22" s="3">
        <f>C22/D22</f>
        <v>0.3088235294117647</v>
      </c>
      <c r="F22" s="3">
        <f>1-E22</f>
        <v>0.6911764705882353</v>
      </c>
      <c r="G22">
        <f>D22-C22</f>
        <v>2.3499999999999996</v>
      </c>
      <c r="H22" t="inlineStr">
        <is>
          <t>Relleno atún/zorza</t>
        </is>
      </c>
    </row>
    <row r="23">
      <c r="A23" t="inlineStr">
        <is>
          <t>Tarta Santiago porción</t>
        </is>
      </c>
      <c r="B23" t="n">
        <v>110</v>
      </c>
      <c r="C23" t="n">
        <v>0.95</v>
      </c>
      <c r="D23" t="n">
        <v>3.6</v>
      </c>
      <c r="E23" s="3">
        <f>C23/D23</f>
        <v>0.2638888888888889</v>
      </c>
      <c r="F23" s="3">
        <f>1-E23</f>
        <v>0.7361111111111112</v>
      </c>
      <c r="G23">
        <f>D23-C23</f>
        <v>2.6500000000000004</v>
      </c>
      <c r="H23" t="inlineStr">
        <is>
          <t>Almendra Marcona 50%</t>
        </is>
      </c>
    </row>
    <row r="24">
      <c r="A24" t="inlineStr">
        <is>
          <t>Tarta manzana porción</t>
        </is>
      </c>
      <c r="B24" t="n">
        <v>130</v>
      </c>
      <c r="C24" t="n">
        <v>0.85</v>
      </c>
      <c r="D24" t="n">
        <v>3.8</v>
      </c>
      <c r="E24" s="3">
        <f>C24/D24</f>
        <v>0.2236842105263158</v>
      </c>
      <c r="F24" s="3">
        <f>1-E24</f>
        <v>0.7763157894736842</v>
      </c>
      <c r="G24">
        <f>D24-C24</f>
        <v>2.9499999999999997</v>
      </c>
      <c r="H24" t="inlineStr">
        <is>
          <t>Manzana golden temporada</t>
        </is>
      </c>
    </row>
    <row r="25">
      <c r="A25" t="inlineStr">
        <is>
          <t>Galleta artesana (unidad 25 g)</t>
        </is>
      </c>
      <c r="B25" t="n">
        <v>25</v>
      </c>
      <c r="C25" t="n">
        <v>0.18</v>
      </c>
      <c r="D25" t="n">
        <v>1.8</v>
      </c>
      <c r="E25" s="3">
        <f>C25/D25</f>
        <v>0.09999999999999999</v>
      </c>
      <c r="F25" s="3">
        <f>1-E25</f>
        <v>0.9</v>
      </c>
      <c r="G25">
        <f>D25-C25</f>
        <v>1.62</v>
      </c>
    </row>
    <row r="26">
      <c r="A26" t="inlineStr">
        <is>
          <t>Magdalena (unidad 60 g)</t>
        </is>
      </c>
      <c r="B26" t="n">
        <v>60</v>
      </c>
      <c r="C26" t="n">
        <v>0.22</v>
      </c>
      <c r="D26" t="n">
        <v>1.6</v>
      </c>
      <c r="E26" s="3">
        <f>C26/D26</f>
        <v>0.13749999999999998</v>
      </c>
      <c r="F26" s="3">
        <f>1-E26</f>
        <v>0.8625</v>
      </c>
      <c r="G26">
        <f>D26-C26</f>
        <v>1.3800000000000001</v>
      </c>
      <c r="H26" t="inlineStr">
        <is>
          <t>Aceite oliva + huevo casa</t>
        </is>
      </c>
    </row>
    <row r="27">
      <c r="A27" t="inlineStr">
        <is>
          <t>Bizcocho clásico porción 110 g</t>
        </is>
      </c>
      <c r="B27" t="n">
        <v>110</v>
      </c>
      <c r="C27" t="n">
        <v>0.42</v>
      </c>
      <c r="D27" t="n">
        <v>3.2</v>
      </c>
      <c r="E27" s="3">
        <f>C27/D27</f>
        <v>0.13124999999999998</v>
      </c>
      <c r="F27" s="3">
        <f>1-E27</f>
        <v>0.86875</v>
      </c>
      <c r="G27">
        <f>D27-C27</f>
        <v>2.7800000000000002</v>
      </c>
      <c r="H27" t="inlineStr">
        <is>
          <t>Limón / yogur / zanahoria</t>
        </is>
      </c>
    </row>
    <row r="28">
      <c r="A28" t="inlineStr">
        <is>
          <t>Pan especial chef (rotación semanal)</t>
        </is>
      </c>
      <c r="B28" t="n">
        <v>700</v>
      </c>
      <c r="C28" t="n">
        <v>1.55</v>
      </c>
      <c r="D28" t="n">
        <v>6.4</v>
      </c>
      <c r="E28" s="3">
        <f>C28/D28</f>
        <v>0.2421875</v>
      </c>
      <c r="F28" s="3">
        <f>1-E28</f>
        <v>0.7578125</v>
      </c>
      <c r="G28">
        <f>D28-C28</f>
        <v>4.8500000000000005</v>
      </c>
      <c r="H28" t="inlineStr">
        <is>
          <t>Producto bandera comunicación</t>
        </is>
      </c>
    </row>
  </sheetData>
  <mergeCells count="1">
    <mergeCell ref="A1:H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Escandallo Maestro — Panes y Bollería (food cost real 2026) · Cómo Montar una Panadería con Obrador</dc:title>
  <dc:description xmlns:dc="http://purl.org/dc/elements/1.1/">aichef.pro/guia-panaderia-obrador</dc:description>
  <dc:subject xmlns:dc="http://purl.org/dc/elements/1.1/">Cómo Montar una Panadería con Obrador · v1.1</dc:subject>
  <dcterms:created xmlns:dcterms="http://purl.org/dc/terms/" xmlns:xsi="http://www.w3.org/2001/XMLSchema-instance" xsi:type="dcterms:W3CDTF">2026-05-13T20:57:26Z</dcterms:created>
  <dcterms:modified xmlns:dcterms="http://purl.org/dc/terms/" xmlns:xsi="http://www.w3.org/2001/XMLSchema-instance" xsi:type="dcterms:W3CDTF">2026-08-22T09:12:28Z</dcterms:modified>
  <cp:lastModifiedBy>AI Chef Pro</cp:lastModifiedBy>
  <cp:category>AI Chef Pro · Productos digitales</cp:category>
  <cp:keywords>guia panaderia obrador, AI Chef Pro</cp:keywords>
</cp:coreProperties>
</file>