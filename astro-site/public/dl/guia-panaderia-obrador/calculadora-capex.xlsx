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Panadería" sheetId="1" state="visible" r:id="rId1"/>
  </sheets>
  <definedNames>
    <definedName name="_xlnm.Print_Titles" localSheetId="0">'CAPEX Panadería'!$3:$3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5" customWidth="1" min="4" max="4"/>
    <col width="50" customWidth="1" min="5" max="5"/>
  </cols>
  <sheetData>
    <row r="1" ht="32" customHeight="1">
      <c r="A1" s="1" t="inlineStr">
        <is>
          <t>Calculadora CAPEX — Panadería con Obrador 70 m²</t>
        </is>
      </c>
    </row>
    <row r="2"/>
    <row r="3">
      <c r="A3" s="2" t="inlineStr">
        <is>
          <t>Partida</t>
        </is>
      </c>
      <c r="B3" s="2" t="inlineStr">
        <is>
          <t>Importe Mínimo</t>
        </is>
      </c>
      <c r="C3" s="2" t="inlineStr">
        <is>
          <t>Importe Máximo</t>
        </is>
      </c>
      <c r="D3" s="2" t="inlineStr">
        <is>
          <t>Tu Importe</t>
        </is>
      </c>
      <c r="E3" s="2" t="inlineStr">
        <is>
          <t>Notas</t>
        </is>
      </c>
    </row>
    <row r="4">
      <c r="A4" s="3" t="inlineStr">
        <is>
          <t>OBRA Y ACONDICIONAMIENTO</t>
        </is>
      </c>
      <c r="B4" s="3" t="inlineStr"/>
      <c r="C4" s="3" t="inlineStr"/>
      <c r="D4" s="3" t="inlineStr"/>
      <c r="E4" s="3" t="inlineStr"/>
    </row>
    <row r="5">
      <c r="A5" t="inlineStr">
        <is>
          <t>Acondicionamiento local + obra civil</t>
        </is>
      </c>
      <c r="B5" t="n">
        <v>28000</v>
      </c>
      <c r="C5" t="n">
        <v>48000</v>
      </c>
      <c r="E5" t="inlineStr">
        <is>
          <t>Suelo, paredes, electricidad obrador</t>
        </is>
      </c>
    </row>
    <row r="6">
      <c r="A6" t="inlineStr">
        <is>
          <t>Salida de humos (proyecto + obra)</t>
        </is>
      </c>
      <c r="B6" t="n">
        <v>8000</v>
      </c>
      <c r="C6" t="n">
        <v>18000</v>
      </c>
      <c r="E6" t="inlineStr">
        <is>
          <t>Crítico licencia clasificada</t>
        </is>
      </c>
    </row>
    <row r="7">
      <c r="A7" t="inlineStr">
        <is>
          <t>Instalación gas + ventilación + climatización</t>
        </is>
      </c>
      <c r="B7" t="n">
        <v>5000</v>
      </c>
      <c r="C7" t="n">
        <v>12000</v>
      </c>
      <c r="E7" t="inlineStr">
        <is>
          <t>Obrador requiere extracción potente</t>
        </is>
      </c>
    </row>
    <row r="8">
      <c r="A8" s="3" t="inlineStr">
        <is>
          <t>EQUIPAMIENTO OBRADOR</t>
        </is>
      </c>
      <c r="B8" s="3" t="inlineStr"/>
      <c r="C8" s="3" t="inlineStr"/>
      <c r="D8" s="3" t="inlineStr"/>
      <c r="E8" s="3" t="inlineStr"/>
    </row>
    <row r="9">
      <c r="A9" t="inlineStr">
        <is>
          <t>Horno de piso 4 cámaras</t>
        </is>
      </c>
      <c r="B9" t="n">
        <v>15000</v>
      </c>
      <c r="C9" t="n">
        <v>28000</v>
      </c>
      <c r="E9" t="inlineStr">
        <is>
          <t>Polín, Salva, Logiudice</t>
        </is>
      </c>
    </row>
    <row r="10">
      <c r="A10" t="inlineStr">
        <is>
          <t>Horno rotativo 16-20 bandejas (opcional)</t>
        </is>
      </c>
      <c r="B10" t="n">
        <v>0</v>
      </c>
      <c r="C10" t="n">
        <v>35000</v>
      </c>
      <c r="E10" t="inlineStr">
        <is>
          <t>Si volumen alto, complementa horno piso</t>
        </is>
      </c>
    </row>
    <row r="11">
      <c r="A11" t="inlineStr">
        <is>
          <t>Amasadora espiral 60 kg</t>
        </is>
      </c>
      <c r="B11" t="n">
        <v>4000</v>
      </c>
      <c r="C11" t="n">
        <v>7000</v>
      </c>
      <c r="E11" t="inlineStr">
        <is>
          <t>Ferneto, Sottoriva, Salva</t>
        </is>
      </c>
    </row>
    <row r="12">
      <c r="A12" t="inlineStr">
        <is>
          <t>Cámara fermentación controlada</t>
        </is>
      </c>
      <c r="B12" t="n">
        <v>6000</v>
      </c>
      <c r="C12" t="n">
        <v>15000</v>
      </c>
      <c r="E12" t="inlineStr">
        <is>
          <t>Frío + calor + humedad</t>
        </is>
      </c>
    </row>
    <row r="13">
      <c r="A13" t="inlineStr">
        <is>
          <t>Divisora hidráulica</t>
        </is>
      </c>
      <c r="B13" t="n">
        <v>4000</v>
      </c>
      <c r="C13" t="n">
        <v>8000</v>
      </c>
      <c r="E13" t="inlineStr">
        <is>
          <t>Salva, Sottoriva</t>
        </is>
      </c>
    </row>
    <row r="14">
      <c r="A14" t="inlineStr">
        <is>
          <t>Formadora baguettes</t>
        </is>
      </c>
      <c r="B14" t="n">
        <v>4000</v>
      </c>
      <c r="C14" t="n">
        <v>9000</v>
      </c>
    </row>
    <row r="15">
      <c r="A15" t="inlineStr">
        <is>
          <t>Laminadora (croissant)</t>
        </is>
      </c>
      <c r="B15" t="n">
        <v>0</v>
      </c>
      <c r="C15" t="n">
        <v>18000</v>
      </c>
      <c r="E15" t="inlineStr">
        <is>
          <t>Solo si haces bollería laminada</t>
        </is>
      </c>
    </row>
    <row r="16">
      <c r="A16" t="inlineStr">
        <is>
          <t>Cámaras frigoríficas + congelador</t>
        </is>
      </c>
      <c r="B16" t="n">
        <v>5000</v>
      </c>
      <c r="C16" t="n">
        <v>11000</v>
      </c>
      <c r="E16" t="inlineStr">
        <is>
          <t>MP positiva + masa cruda</t>
        </is>
      </c>
    </row>
    <row r="17">
      <c r="A17" t="inlineStr">
        <is>
          <t>Carros porta-bandejas (×8)</t>
        </is>
      </c>
      <c r="B17" t="n">
        <v>4800</v>
      </c>
      <c r="C17" t="n">
        <v>9600</v>
      </c>
      <c r="E17" t="inlineStr">
        <is>
          <t>600-1.200€ unidad</t>
        </is>
      </c>
    </row>
    <row r="18">
      <c r="A18" t="inlineStr">
        <is>
          <t>Báscula precisión + utensilios + bandejas</t>
        </is>
      </c>
      <c r="B18" t="n">
        <v>2500</v>
      </c>
      <c r="C18" t="n">
        <v>5000</v>
      </c>
    </row>
    <row r="19">
      <c r="A19" t="inlineStr">
        <is>
          <t>Mesas de trabajo acero inox (×3)</t>
        </is>
      </c>
      <c r="B19" t="n">
        <v>2400</v>
      </c>
      <c r="C19" t="n">
        <v>4500</v>
      </c>
    </row>
    <row r="20">
      <c r="A20" s="3" t="inlineStr">
        <is>
          <t>EQUIPAMIENTO TIENDA</t>
        </is>
      </c>
      <c r="B20" s="3" t="inlineStr"/>
      <c r="C20" s="3" t="inlineStr"/>
      <c r="D20" s="3" t="inlineStr"/>
      <c r="E20" s="3" t="inlineStr"/>
    </row>
    <row r="21">
      <c r="A21" t="inlineStr">
        <is>
          <t>Vitrina expositora refrigerada</t>
        </is>
      </c>
      <c r="B21" t="n">
        <v>4000</v>
      </c>
      <c r="C21" t="n">
        <v>9000</v>
      </c>
      <c r="E21" t="inlineStr">
        <is>
          <t>Edenox, Infrico</t>
        </is>
      </c>
    </row>
    <row r="22">
      <c r="A22" t="inlineStr">
        <is>
          <t>Mobiliario tienda + caja + TPV</t>
        </is>
      </c>
      <c r="B22" t="n">
        <v>6000</v>
      </c>
      <c r="C22" t="n">
        <v>12000</v>
      </c>
      <c r="E22" t="inlineStr">
        <is>
          <t>Estanterías madera + caja</t>
        </is>
      </c>
    </row>
    <row r="23">
      <c r="A23" t="inlineStr">
        <is>
          <t>Iluminación + cartelería</t>
        </is>
      </c>
      <c r="B23" t="n">
        <v>1500</v>
      </c>
      <c r="C23" t="n">
        <v>3000</v>
      </c>
      <c r="E23" t="inlineStr">
        <is>
          <t>Cálida 2700-3000K</t>
        </is>
      </c>
    </row>
    <row r="24">
      <c r="A24" s="3" t="inlineStr">
        <is>
          <t>IDENTIDAD Y APERTURA</t>
        </is>
      </c>
      <c r="B24" s="3" t="inlineStr"/>
      <c r="C24" s="3" t="inlineStr"/>
      <c r="D24" s="3" t="inlineStr"/>
      <c r="E24" s="3" t="inlineStr"/>
    </row>
    <row r="25">
      <c r="A25" t="inlineStr">
        <is>
          <t>Branding + identidad + web</t>
        </is>
      </c>
      <c r="B25" t="n">
        <v>4000</v>
      </c>
      <c r="C25" t="n">
        <v>8000</v>
      </c>
      <c r="E25" t="inlineStr">
        <is>
          <t>Logo, packaging, fotos producto</t>
        </is>
      </c>
    </row>
    <row r="26">
      <c r="A26" t="inlineStr">
        <is>
          <t>Stock inicial harinas + ingredientes</t>
        </is>
      </c>
      <c r="B26" t="n">
        <v>3500</v>
      </c>
      <c r="C26" t="n">
        <v>6000</v>
      </c>
      <c r="E26" t="inlineStr">
        <is>
          <t>Mejor stock corto + reposición frecuente</t>
        </is>
      </c>
    </row>
    <row r="27">
      <c r="A27" t="inlineStr">
        <is>
          <t>Avales + fianzas + depósito local</t>
        </is>
      </c>
      <c r="B27" t="n">
        <v>6000</v>
      </c>
      <c r="C27" t="n">
        <v>12000</v>
      </c>
      <c r="E27" t="inlineStr">
        <is>
          <t>2-3 meses alquiler de aval</t>
        </is>
      </c>
    </row>
    <row r="28">
      <c r="A28" t="inlineStr">
        <is>
          <t>Licencias + proyectos + tasas</t>
        </is>
      </c>
      <c r="B28" t="n">
        <v>4500</v>
      </c>
      <c r="C28" t="n">
        <v>8000</v>
      </c>
      <c r="E28" t="inlineStr">
        <is>
          <t>Clasificada + RGSEAA + manipulador</t>
        </is>
      </c>
    </row>
    <row r="29">
      <c r="A29" t="inlineStr">
        <is>
          <t>Fondo maniobra 4 meses</t>
        </is>
      </c>
      <c r="B29" t="n">
        <v>18000</v>
      </c>
      <c r="C29" t="n">
        <v>30000</v>
      </c>
      <c r="E29" t="inlineStr">
        <is>
          <t>Caja seguridad mientras alcanzas break-even</t>
        </is>
      </c>
    </row>
    <row r="30"/>
    <row r="31">
      <c r="A31" t="inlineStr">
        <is>
          <t>TOTAL CAPEX</t>
        </is>
      </c>
      <c r="B31">
        <f>SUM(B4:B27)</f>
        <v>113700.0</v>
      </c>
      <c r="C31">
        <f>SUM(C4:C27)</f>
        <v>278100.0</v>
      </c>
      <c r="D31">
        <f>SUM(D4:D27)</f>
        <v>0.0</v>
      </c>
    </row>
  </sheetData>
  <mergeCells count="1">
    <mergeCell ref="A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CAPEX — Panadería con Obrador 70 m²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