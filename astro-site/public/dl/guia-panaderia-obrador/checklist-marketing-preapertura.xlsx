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" sheetId="1" state="visible" r:id="rId1"/>
  </sheets>
  <definedNames>
    <definedName name="_xlnm.Print_Titles" localSheetId="0">'Marketing'!$3:$3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8" customWidth="1" min="4" max="4"/>
    <col width="36" customWidth="1" min="5" max="5"/>
  </cols>
  <sheetData>
    <row r="1" ht="32" customHeight="1">
      <c r="A1" s="1" t="inlineStr">
        <is>
          <t>Checklist Marketing Preapertura Panadería</t>
        </is>
      </c>
    </row>
    <row r="2"/>
    <row r="3">
      <c r="A3" s="2" t="inlineStr">
        <is>
          <t>✓</t>
        </is>
      </c>
      <c r="B3" s="2" t="inlineStr">
        <is>
          <t>Acción</t>
        </is>
      </c>
      <c r="C3" s="2" t="inlineStr">
        <is>
          <t>Plazo (antes apertura)</t>
        </is>
      </c>
      <c r="D3" s="2" t="inlineStr">
        <is>
          <t>Coste orientativo</t>
        </is>
      </c>
      <c r="E3" s="2" t="inlineStr">
        <is>
          <t>Notas</t>
        </is>
      </c>
    </row>
    <row r="4">
      <c r="A4" s="3" t="inlineStr">
        <is>
          <t>IDENTIDAD Y BRANDING</t>
        </is>
      </c>
    </row>
    <row r="5">
      <c r="A5" t="inlineStr">
        <is>
          <t>☐</t>
        </is>
      </c>
      <c r="B5" t="inlineStr">
        <is>
          <t>Logo + identidad visual (paleta + tipografía)</t>
        </is>
      </c>
      <c r="C5" t="inlineStr">
        <is>
          <t>M-3</t>
        </is>
      </c>
      <c r="D5" t="inlineStr">
        <is>
          <t>600-1.800€</t>
        </is>
      </c>
      <c r="E5" t="inlineStr">
        <is>
          <t>Storytelling masa madre / oficio</t>
        </is>
      </c>
    </row>
    <row r="6">
      <c r="A6" t="inlineStr">
        <is>
          <t>☐</t>
        </is>
      </c>
      <c r="B6" t="inlineStr">
        <is>
          <t>Packaging: bolsas papel kraft + cajas bollería + etiquetas</t>
        </is>
      </c>
      <c r="C6" t="inlineStr">
        <is>
          <t>M-2</t>
        </is>
      </c>
      <c r="D6" t="inlineStr">
        <is>
          <t>1.200-3.000€</t>
        </is>
      </c>
      <c r="E6" t="inlineStr">
        <is>
          <t>15-25K unidades stock inicial</t>
        </is>
      </c>
    </row>
    <row r="7">
      <c r="A7" t="inlineStr">
        <is>
          <t>☐</t>
        </is>
      </c>
      <c r="B7" t="inlineStr">
        <is>
          <t>Cartelería tienda + pizarra panes del día</t>
        </is>
      </c>
      <c r="C7" t="inlineStr">
        <is>
          <t>M-1</t>
        </is>
      </c>
      <c r="D7" t="inlineStr">
        <is>
          <t>300-700€</t>
        </is>
      </c>
    </row>
    <row r="8">
      <c r="A8" s="3" t="inlineStr">
        <is>
          <t>PRESENCIA DIGITAL</t>
        </is>
      </c>
    </row>
    <row r="9">
      <c r="A9" t="inlineStr">
        <is>
          <t>☐</t>
        </is>
      </c>
      <c r="B9" t="inlineStr">
        <is>
          <t>Web propia con catálogo + suscripción + Google Maps embebido</t>
        </is>
      </c>
      <c r="C9" t="inlineStr">
        <is>
          <t>M-2</t>
        </is>
      </c>
      <c r="D9" t="inlineStr">
        <is>
          <t>600-1.800€</t>
        </is>
      </c>
      <c r="E9" t="inlineStr">
        <is>
          <t>WordPress o Webflow</t>
        </is>
      </c>
    </row>
    <row r="10">
      <c r="A10" t="inlineStr">
        <is>
          <t>☐</t>
        </is>
      </c>
      <c r="B10" t="inlineStr">
        <is>
          <t>Google Business Profile completo + horarios + fotos producto</t>
        </is>
      </c>
      <c r="C10" t="inlineStr">
        <is>
          <t>M-1</t>
        </is>
      </c>
      <c r="D10" t="inlineStr">
        <is>
          <t>0€</t>
        </is>
      </c>
      <c r="E10" t="inlineStr">
        <is>
          <t>CRÍTICO para SEO local</t>
        </is>
      </c>
    </row>
    <row r="11">
      <c r="A11" t="inlineStr">
        <is>
          <t>☐</t>
        </is>
      </c>
      <c r="B11" t="inlineStr">
        <is>
          <t>Instagram cuenta empresarial + 12 posts pre-apertura</t>
        </is>
      </c>
      <c r="C11" t="inlineStr">
        <is>
          <t>M-2</t>
        </is>
      </c>
      <c r="D11" t="inlineStr">
        <is>
          <t>0€ (DIY)</t>
        </is>
      </c>
      <c r="E11" t="inlineStr">
        <is>
          <t>Detrás de obras + obrador</t>
        </is>
      </c>
    </row>
    <row r="12">
      <c r="A12" t="inlineStr">
        <is>
          <t>☐</t>
        </is>
      </c>
      <c r="B12" t="inlineStr">
        <is>
          <t>TikTok cuenta + 6 vídeos cortos obrador / masa madre</t>
        </is>
      </c>
      <c r="C12" t="inlineStr">
        <is>
          <t>M-1</t>
        </is>
      </c>
      <c r="D12" t="inlineStr">
        <is>
          <t>0€ (DIY)</t>
        </is>
      </c>
      <c r="E12" t="inlineStr">
        <is>
          <t>Lapso temporal panificación</t>
        </is>
      </c>
    </row>
    <row r="13">
      <c r="A13" t="inlineStr">
        <is>
          <t>☐</t>
        </is>
      </c>
      <c r="B13" t="inlineStr">
        <is>
          <t>Reserva nombre dominio + email profesional</t>
        </is>
      </c>
      <c r="C13" t="inlineStr">
        <is>
          <t>M-3</t>
        </is>
      </c>
      <c r="D13" t="inlineStr">
        <is>
          <t>60-120€/año</t>
        </is>
      </c>
    </row>
    <row r="14">
      <c r="A14" s="3" t="inlineStr">
        <is>
          <t>FOTOGRAFÍA PROFESIONAL</t>
        </is>
      </c>
    </row>
    <row r="15">
      <c r="A15" t="inlineStr">
        <is>
          <t>☐</t>
        </is>
      </c>
      <c r="B15" t="inlineStr">
        <is>
          <t>Sesión foto producto + ambiente obrador</t>
        </is>
      </c>
      <c r="C15" t="inlineStr">
        <is>
          <t>M-1</t>
        </is>
      </c>
      <c r="D15" t="inlineStr">
        <is>
          <t>400-900€</t>
        </is>
      </c>
      <c r="E15" t="inlineStr">
        <is>
          <t>Crítico para redes + web + Google</t>
        </is>
      </c>
    </row>
    <row r="16">
      <c r="A16" t="inlineStr">
        <is>
          <t>☐</t>
        </is>
      </c>
      <c r="B16" t="inlineStr">
        <is>
          <t>Vídeo corto presentación + manifiesto</t>
        </is>
      </c>
      <c r="C16" t="inlineStr">
        <is>
          <t>M-1</t>
        </is>
      </c>
      <c r="D16" t="inlineStr">
        <is>
          <t>600-1.500€</t>
        </is>
      </c>
      <c r="E16" t="inlineStr">
        <is>
          <t>Reel Instagram + TikTok</t>
        </is>
      </c>
    </row>
    <row r="17">
      <c r="A17" s="3" t="inlineStr">
        <is>
          <t>PUBLICIDAD LOCAL</t>
        </is>
      </c>
    </row>
    <row r="18">
      <c r="A18" t="inlineStr">
        <is>
          <t>☐</t>
        </is>
      </c>
      <c r="B18" t="inlineStr">
        <is>
          <t>Buzoneo barrio (3.000 unidades 800 m radio)</t>
        </is>
      </c>
      <c r="C18" t="inlineStr">
        <is>
          <t>M-2 y M-1</t>
        </is>
      </c>
      <c r="D18" t="inlineStr">
        <is>
          <t>300-600€</t>
        </is>
      </c>
      <c r="E18" t="inlineStr">
        <is>
          <t>20% descuento primera compra</t>
        </is>
      </c>
    </row>
    <row r="19">
      <c r="A19" t="inlineStr">
        <is>
          <t>☐</t>
        </is>
      </c>
      <c r="B19" t="inlineStr">
        <is>
          <t>Carteles tienda durante obras (genera expectativa)</t>
        </is>
      </c>
      <c r="C19" t="inlineStr">
        <is>
          <t>M-3</t>
        </is>
      </c>
      <c r="D19" t="inlineStr">
        <is>
          <t>60-150€</t>
        </is>
      </c>
      <c r="E19" t="inlineStr">
        <is>
          <t>Lona corporativa fachada</t>
        </is>
      </c>
    </row>
    <row r="20">
      <c r="A20" t="inlineStr">
        <is>
          <t>☐</t>
        </is>
      </c>
      <c r="B20" t="inlineStr">
        <is>
          <t>Apertura blanda con vecinos invitados</t>
        </is>
      </c>
      <c r="C20" t="inlineStr">
        <is>
          <t>Semana -1</t>
        </is>
      </c>
      <c r="D20" t="inlineStr">
        <is>
          <t>300-800€</t>
        </is>
      </c>
      <c r="E20" t="inlineStr">
        <is>
          <t>50 invitaciones papel + degustación</t>
        </is>
      </c>
    </row>
    <row r="21">
      <c r="A21" s="3" t="inlineStr">
        <is>
          <t>PRENSA Y RELACIONES PÚBLICAS</t>
        </is>
      </c>
    </row>
    <row r="22">
      <c r="A22" t="inlineStr">
        <is>
          <t>☐</t>
        </is>
      </c>
      <c r="B22" t="inlineStr">
        <is>
          <t>Nota prensa medios locales gastronómicos</t>
        </is>
      </c>
      <c r="C22" t="inlineStr">
        <is>
          <t>M-1</t>
        </is>
      </c>
      <c r="D22" t="inlineStr">
        <is>
          <t>0€</t>
        </is>
      </c>
      <c r="E22" t="inlineStr">
        <is>
          <t>Time Out, Madridiario, etc.</t>
        </is>
      </c>
    </row>
    <row r="23">
      <c r="A23" t="inlineStr">
        <is>
          <t>☐</t>
        </is>
      </c>
      <c r="B23" t="inlineStr">
        <is>
          <t>Invitación bloggers + influencers gastro locales</t>
        </is>
      </c>
      <c r="C23" t="inlineStr">
        <is>
          <t>Semana -1</t>
        </is>
      </c>
      <c r="D23" t="inlineStr">
        <is>
          <t>0€ (intercambio)</t>
        </is>
      </c>
      <c r="E23" t="inlineStr">
        <is>
          <t>5-10 perfiles mid-tier</t>
        </is>
      </c>
    </row>
    <row r="24">
      <c r="A24" t="inlineStr">
        <is>
          <t>☐</t>
        </is>
      </c>
      <c r="B24" t="inlineStr">
        <is>
          <t>Contacto cafeterías + restaurantes radio 1,5 km (B2B)</t>
        </is>
      </c>
      <c r="C24" t="inlineStr">
        <is>
          <t>M-2 y M-1</t>
        </is>
      </c>
      <c r="D24" t="inlineStr">
        <is>
          <t>0€</t>
        </is>
      </c>
      <c r="E24" t="inlineStr">
        <is>
          <t>Visita comercial + muestra</t>
        </is>
      </c>
    </row>
    <row r="25">
      <c r="A25" s="3" t="inlineStr">
        <is>
          <t>FIDELIZACIÓN DESDE DÍA 1</t>
        </is>
      </c>
    </row>
    <row r="26">
      <c r="A26" t="inlineStr">
        <is>
          <t>☐</t>
        </is>
      </c>
      <c r="B26" t="inlineStr">
        <is>
          <t>Tarjeta de fidelización (10º pan gratis)</t>
        </is>
      </c>
      <c r="C26" t="inlineStr">
        <is>
          <t>M-1</t>
        </is>
      </c>
      <c r="D26" t="inlineStr">
        <is>
          <t>180-400€</t>
        </is>
      </c>
      <c r="E26" t="inlineStr">
        <is>
          <t>500 tarjetas físicas iniciales</t>
        </is>
      </c>
    </row>
    <row r="27">
      <c r="A27" t="inlineStr">
        <is>
          <t>☐</t>
        </is>
      </c>
      <c r="B27" t="inlineStr">
        <is>
          <t>Sistema suscripción semanal (formularios web)</t>
        </is>
      </c>
      <c r="C27" t="inlineStr">
        <is>
          <t>M-1</t>
        </is>
      </c>
      <c r="D27" t="inlineStr">
        <is>
          <t>0€</t>
        </is>
      </c>
      <c r="E27" t="inlineStr">
        <is>
          <t>Pre-orders pan especial</t>
        </is>
      </c>
    </row>
    <row r="28">
      <c r="A28" t="inlineStr">
        <is>
          <t>☐</t>
        </is>
      </c>
      <c r="B28" t="inlineStr">
        <is>
          <t>Recogida emails + Whatsapp Business</t>
        </is>
      </c>
      <c r="C28" t="inlineStr">
        <is>
          <t>M-1</t>
        </is>
      </c>
      <c r="D28" t="inlineStr">
        <is>
          <t>0€</t>
        </is>
      </c>
      <c r="E28" t="inlineStr">
        <is>
          <t>Newsletter mensual</t>
        </is>
      </c>
    </row>
    <row r="29"/>
    <row r="30">
      <c r="B30" s="4" t="inlineStr">
        <is>
          <t>Tareas completadas:</t>
        </is>
      </c>
      <c r="C30">
        <f>COUNTIF(A4:A28,"✓")</f>
        <v>0.0</v>
      </c>
      <c r="D30" t="inlineStr">
        <is>
          <t>de</t>
        </is>
      </c>
      <c r="E30">
        <f>COUNTIF(B4:B28,"?*")</f>
        <v>19.0</v>
      </c>
    </row>
  </sheetData>
  <mergeCells count="7">
    <mergeCell ref="A25:E25"/>
    <mergeCell ref="A21:E21"/>
    <mergeCell ref="A8:E8"/>
    <mergeCell ref="A1:E1"/>
    <mergeCell ref="A17:E17"/>
    <mergeCell ref="A4:E4"/>
    <mergeCell ref="A14:E14"/>
  </mergeCells>
  <conditionalFormatting sqref="A4:E28">
    <cfRule type="expression" priority="1" dxfId="0">
      <formula>$A4="✓"</formula>
    </cfRule>
  </conditionalFormatting>
  <dataValidations count="1">
    <dataValidation sqref="A5 A6 A7 A9 A10 A11 A12 A13 A15 A16 A18 A19 A20 A22 A23 A24 A26 A27 A28" showDropDown="0" showInputMessage="0" showErrorMessage="0" allowBlank="1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Marketing Preapertura Panadería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2026-05-13T21:01:00Z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