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 humos" sheetId="1" state="visible" r:id="rId1"/>
  </sheets>
  <definedNames>
    <definedName name="_xlnm.Print_Titles" localSheetId="0">'Salida humos'!$3:$3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26" customWidth="1" min="3" max="3"/>
    <col width="18" customWidth="1" min="4" max="4"/>
    <col width="38" customWidth="1" min="5" max="5"/>
  </cols>
  <sheetData>
    <row r="1" ht="32" customHeight="1">
      <c r="A1" s="1" t="inlineStr">
        <is>
          <t>Checklist Salida de Humos + Licencia Clasificada Panadería</t>
        </is>
      </c>
    </row>
    <row r="2"/>
    <row r="3">
      <c r="A3" s="2" t="inlineStr">
        <is>
          <t>✓</t>
        </is>
      </c>
      <c r="B3" s="2" t="inlineStr">
        <is>
          <t>Punto a verificar</t>
        </is>
      </c>
      <c r="C3" s="2" t="inlineStr">
        <is>
          <t>Profesional implicado</t>
        </is>
      </c>
      <c r="D3" s="2" t="inlineStr">
        <is>
          <t>Plazo</t>
        </is>
      </c>
      <c r="E3" s="2" t="inlineStr">
        <is>
          <t>Notas</t>
        </is>
      </c>
    </row>
    <row r="4">
      <c r="A4" s="3" t="inlineStr">
        <is>
          <t>PRE-ALQUILER (NO FIRMAR HASTA VERIFICAR)</t>
        </is>
      </c>
    </row>
    <row r="5">
      <c r="A5" t="inlineStr">
        <is>
          <t>☐</t>
        </is>
      </c>
      <c r="B5" t="inlineStr">
        <is>
          <t>Verificar salida humos VIABLE en el local</t>
        </is>
      </c>
      <c r="C5" t="inlineStr">
        <is>
          <t>Arquitecto/ingeniero</t>
        </is>
      </c>
      <c r="D5" t="inlineStr">
        <is>
          <t>3-5 días</t>
        </is>
      </c>
      <c r="E5" t="inlineStr">
        <is>
          <t>KILLER: si no hay vía, otro local</t>
        </is>
      </c>
    </row>
    <row r="6">
      <c r="A6" t="inlineStr">
        <is>
          <t>☐</t>
        </is>
      </c>
      <c r="B6" t="inlineStr">
        <is>
          <t>Comprobar altura mínima cubierta vs ventanas vecinos</t>
        </is>
      </c>
      <c r="C6" t="inlineStr">
        <is>
          <t>Arquitecto/ingeniero</t>
        </is>
      </c>
      <c r="D6" t="inlineStr">
        <is>
          <t>1 día</t>
        </is>
      </c>
      <c r="E6" t="inlineStr">
        <is>
          <t>+5 m sobre cualquier hueco a 8 m radio</t>
        </is>
      </c>
    </row>
    <row r="7">
      <c r="A7" t="inlineStr">
        <is>
          <t>☐</t>
        </is>
      </c>
      <c r="B7" t="inlineStr">
        <is>
          <t>Permiso comunidad vecinos para pasar tubo cubierta</t>
        </is>
      </c>
      <c r="C7" t="inlineStr">
        <is>
          <t>Tú + presidente</t>
        </is>
      </c>
      <c r="D7" t="inlineStr">
        <is>
          <t>15 días</t>
        </is>
      </c>
      <c r="E7" t="inlineStr">
        <is>
          <t>CRÍTICO si no eres propietario fachada</t>
        </is>
      </c>
    </row>
    <row r="8">
      <c r="A8" t="inlineStr">
        <is>
          <t>☐</t>
        </is>
      </c>
      <c r="B8" t="inlineStr">
        <is>
          <t>Comprobar normativa municipal específica</t>
        </is>
      </c>
      <c r="C8" t="inlineStr">
        <is>
          <t>Gestor + arquitecto</t>
        </is>
      </c>
      <c r="D8" t="inlineStr">
        <is>
          <t>3 días</t>
        </is>
      </c>
      <c r="E8" t="inlineStr">
        <is>
          <t>Algunas ciudades extreman exigencias</t>
        </is>
      </c>
    </row>
    <row r="9">
      <c r="A9" t="inlineStr">
        <is>
          <t>☐</t>
        </is>
      </c>
      <c r="B9" t="inlineStr">
        <is>
          <t>Cláusula contrato alquiler: salida si licencia denegada</t>
        </is>
      </c>
      <c r="C9" t="inlineStr">
        <is>
          <t>Abogado</t>
        </is>
      </c>
      <c r="D9" t="inlineStr">
        <is>
          <t>1 día</t>
        </is>
      </c>
      <c r="E9" t="inlineStr">
        <is>
          <t>Recuperas fianza si municipalidad deniega</t>
        </is>
      </c>
    </row>
    <row r="10">
      <c r="A10" s="3" t="inlineStr">
        <is>
          <t>PROYECTO TÉCNICO</t>
        </is>
      </c>
    </row>
    <row r="11">
      <c r="A11" t="inlineStr">
        <is>
          <t>☐</t>
        </is>
      </c>
      <c r="B11" t="inlineStr">
        <is>
          <t>Memoria descriptiva instalación humos</t>
        </is>
      </c>
      <c r="C11" t="inlineStr">
        <is>
          <t>Ingeniero/arquitecto</t>
        </is>
      </c>
      <c r="D11" t="inlineStr">
        <is>
          <t>15-25 días</t>
        </is>
      </c>
      <c r="E11" t="inlineStr">
        <is>
          <t>Coste 1.500-4.000€</t>
        </is>
      </c>
    </row>
    <row r="12">
      <c r="A12" t="inlineStr">
        <is>
          <t>☐</t>
        </is>
      </c>
      <c r="B12" t="inlineStr">
        <is>
          <t>Cálculos altura + diámetro + materiales</t>
        </is>
      </c>
      <c r="C12" t="inlineStr">
        <is>
          <t>Ingeniero</t>
        </is>
      </c>
      <c r="D12" t="inlineStr">
        <is>
          <t>Incluido</t>
        </is>
      </c>
    </row>
    <row r="13">
      <c r="A13" t="inlineStr">
        <is>
          <t>☐</t>
        </is>
      </c>
      <c r="B13" t="inlineStr">
        <is>
          <t>Justificación NO afección vecinos (humos + ruido)</t>
        </is>
      </c>
      <c r="C13" t="inlineStr">
        <is>
          <t>Ingeniero</t>
        </is>
      </c>
      <c r="D13" t="inlineStr">
        <is>
          <t>Incluido</t>
        </is>
      </c>
    </row>
    <row r="14">
      <c r="A14" t="inlineStr">
        <is>
          <t>☐</t>
        </is>
      </c>
      <c r="B14" t="inlineStr">
        <is>
          <t>Plano + sección + detalles constructivos</t>
        </is>
      </c>
      <c r="C14" t="inlineStr">
        <is>
          <t>Arquitecto</t>
        </is>
      </c>
      <c r="D14" t="inlineStr">
        <is>
          <t>Incluido</t>
        </is>
      </c>
    </row>
    <row r="15">
      <c r="A15" t="inlineStr">
        <is>
          <t>☐</t>
        </is>
      </c>
      <c r="B15" t="inlineStr">
        <is>
          <t>Certificado eficacia campana extractora obrador</t>
        </is>
      </c>
      <c r="C15" t="inlineStr">
        <is>
          <t>Instalador</t>
        </is>
      </c>
      <c r="D15" t="inlineStr">
        <is>
          <t>5 días</t>
        </is>
      </c>
    </row>
    <row r="16">
      <c r="A16" s="3" t="inlineStr">
        <is>
          <t>LICENCIA CLASIFICADA MUNICIPAL</t>
        </is>
      </c>
    </row>
    <row r="17">
      <c r="A17" t="inlineStr">
        <is>
          <t>☐</t>
        </is>
      </c>
      <c r="B17" t="inlineStr">
        <is>
          <t>Solicitud licencia clasificada</t>
        </is>
      </c>
      <c r="C17" t="inlineStr">
        <is>
          <t>Gestor / tú</t>
        </is>
      </c>
      <c r="D17" t="inlineStr">
        <is>
          <t>1 día</t>
        </is>
      </c>
      <c r="E17" t="inlineStr">
        <is>
          <t>Junto con proyecto técnico</t>
        </is>
      </c>
    </row>
    <row r="18">
      <c r="A18" t="inlineStr">
        <is>
          <t>☐</t>
        </is>
      </c>
      <c r="B18" t="inlineStr">
        <is>
          <t>Pago tasa licencia (600-2.500€)</t>
        </is>
      </c>
      <c r="C18" t="inlineStr">
        <is>
          <t>Tú</t>
        </is>
      </c>
      <c r="D18" t="inlineStr">
        <is>
          <t>1 día</t>
        </is>
      </c>
      <c r="E18" t="inlineStr">
        <is>
          <t>Varía por municipio y m²</t>
        </is>
      </c>
    </row>
    <row r="19">
      <c r="A19" t="inlineStr">
        <is>
          <t>☐</t>
        </is>
      </c>
      <c r="B19" t="inlineStr">
        <is>
          <t>Información pública 20 días</t>
        </is>
      </c>
      <c r="C19" t="inlineStr">
        <is>
          <t>Municipio</t>
        </is>
      </c>
      <c r="D19" t="inlineStr">
        <is>
          <t>20-30 días</t>
        </is>
      </c>
      <c r="E19" t="inlineStr">
        <is>
          <t>Vecinos pueden alegar</t>
        </is>
      </c>
    </row>
    <row r="20">
      <c r="A20" t="inlineStr">
        <is>
          <t>☐</t>
        </is>
      </c>
      <c r="B20" t="inlineStr">
        <is>
          <t>Informe técnico municipal favorable</t>
        </is>
      </c>
      <c r="C20" t="inlineStr">
        <is>
          <t>Municipio</t>
        </is>
      </c>
      <c r="D20" t="inlineStr">
        <is>
          <t>30-60 días</t>
        </is>
      </c>
      <c r="E20" t="inlineStr">
        <is>
          <t>Inspector revisa proyecto</t>
        </is>
      </c>
    </row>
    <row r="21">
      <c r="A21" t="inlineStr">
        <is>
          <t>☐</t>
        </is>
      </c>
      <c r="B21" t="inlineStr">
        <is>
          <t>Concesión licencia</t>
        </is>
      </c>
      <c r="C21" t="inlineStr">
        <is>
          <t>Municipio</t>
        </is>
      </c>
      <c r="D21" t="inlineStr">
        <is>
          <t>60-120 días total</t>
        </is>
      </c>
    </row>
    <row r="22">
      <c r="A22" s="3" t="inlineStr">
        <is>
          <t>EJECUCIÓN E INSTALACIÓN</t>
        </is>
      </c>
    </row>
    <row r="23">
      <c r="A23" t="inlineStr">
        <is>
          <t>☐</t>
        </is>
      </c>
      <c r="B23" t="inlineStr">
        <is>
          <t>Instalación tubería humos cubierta</t>
        </is>
      </c>
      <c r="C23" t="inlineStr">
        <is>
          <t>Instalador certificado</t>
        </is>
      </c>
      <c r="D23" t="inlineStr">
        <is>
          <t>1-2 semanas</t>
        </is>
      </c>
      <c r="E23" t="inlineStr">
        <is>
          <t>Acero inox 304 o 316</t>
        </is>
      </c>
    </row>
    <row r="24">
      <c r="A24" t="inlineStr">
        <is>
          <t>☐</t>
        </is>
      </c>
      <c r="B24" t="inlineStr">
        <is>
          <t>Sombrero anti-lluvia + protección anti-incendio</t>
        </is>
      </c>
      <c r="C24" t="inlineStr">
        <is>
          <t>Instalador</t>
        </is>
      </c>
      <c r="D24" t="inlineStr">
        <is>
          <t>Incluido</t>
        </is>
      </c>
    </row>
    <row r="25">
      <c r="A25" t="inlineStr">
        <is>
          <t>☐</t>
        </is>
      </c>
      <c r="B25" t="inlineStr">
        <is>
          <t>Campana extractora obrador con filtros grasa</t>
        </is>
      </c>
      <c r="C25" t="inlineStr">
        <is>
          <t>Instalador</t>
        </is>
      </c>
      <c r="D25" t="inlineStr">
        <is>
          <t>Incluido</t>
        </is>
      </c>
    </row>
    <row r="26">
      <c r="A26" t="inlineStr">
        <is>
          <t>☐</t>
        </is>
      </c>
      <c r="B26" t="inlineStr">
        <is>
          <t>Limpieza programada anual humos (contrato)</t>
        </is>
      </c>
      <c r="C26" t="inlineStr">
        <is>
          <t>Empresa autorizada</t>
        </is>
      </c>
      <c r="D26" t="inlineStr">
        <is>
          <t>Anual</t>
        </is>
      </c>
      <c r="E26" t="inlineStr">
        <is>
          <t>Obligatorio prevención incendios</t>
        </is>
      </c>
    </row>
    <row r="27"/>
    <row r="28">
      <c r="B28" s="4" t="inlineStr">
        <is>
          <t>Tareas completadas:</t>
        </is>
      </c>
      <c r="C28">
        <f>COUNTIF(A4:A26,"✓")</f>
        <v>0.0</v>
      </c>
      <c r="D28" t="inlineStr">
        <is>
          <t>de</t>
        </is>
      </c>
      <c r="E28">
        <f>COUNTIF(B4:B26,"?*")</f>
        <v>19.0</v>
      </c>
    </row>
  </sheetData>
  <mergeCells count="5">
    <mergeCell ref="A22:E22"/>
    <mergeCell ref="A10:E10"/>
    <mergeCell ref="A1:E1"/>
    <mergeCell ref="A4:E4"/>
    <mergeCell ref="A16:E16"/>
  </mergeCells>
  <conditionalFormatting sqref="A4:E26">
    <cfRule type="expression" priority="1" dxfId="0">
      <formula>$A4="✓"</formula>
    </cfRule>
  </conditionalFormatting>
  <dataValidations count="1">
    <dataValidation sqref="A5 A6 A7 A8 A9 A11 A12 A13 A14 A15 A17 A18 A19 A20 A21 A23 A24 A25 A26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Salida de Humos + Licencia Clasificada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