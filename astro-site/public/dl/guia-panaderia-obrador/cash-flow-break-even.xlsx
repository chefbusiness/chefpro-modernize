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24m" sheetId="1" state="visible" r:id="rId1"/>
  </sheets>
  <definedNames>
    <definedName name="_xlnm.Print_Titles" localSheetId="0">'Cash Flow 24m'!$3:$3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</cols>
  <sheetData>
    <row r="1" ht="32" customHeight="1">
      <c r="A1" s="1" t="inlineStr">
        <is>
          <t>Cash Flow + Break-Even Panadería (24 meses)</t>
        </is>
      </c>
    </row>
    <row r="2"/>
    <row r="3">
      <c r="A3" s="2" t="inlineStr">
        <is>
          <t>Concepto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Año 1</t>
        </is>
      </c>
      <c r="O3" t="inlineStr">
        <is>
          <t>Año 2</t>
        </is>
      </c>
    </row>
    <row r="4">
      <c r="A4" t="inlineStr">
        <is>
          <t>Ingresos</t>
        </is>
      </c>
      <c r="B4" t="n">
        <v>14000</v>
      </c>
      <c r="C4" t="n">
        <v>17000</v>
      </c>
      <c r="D4" t="n">
        <v>20000</v>
      </c>
      <c r="E4" t="n">
        <v>22000</v>
      </c>
      <c r="F4" t="n">
        <v>23500</v>
      </c>
      <c r="G4" t="n">
        <v>25000</v>
      </c>
      <c r="H4" t="n">
        <v>26500</v>
      </c>
      <c r="I4" t="n">
        <v>28000</v>
      </c>
      <c r="J4" t="n">
        <v>29000</v>
      </c>
      <c r="K4" t="n">
        <v>30000</v>
      </c>
      <c r="L4" t="n">
        <v>31000</v>
      </c>
      <c r="M4" t="n">
        <v>32000</v>
      </c>
      <c r="N4" t="n">
        <v>298000</v>
      </c>
      <c r="O4" t="n">
        <v>372500</v>
      </c>
    </row>
    <row r="5">
      <c r="A5" t="inlineStr">
        <is>
          <t>Coste materias primas (20%)</t>
        </is>
      </c>
      <c r="B5" t="n">
        <v>-2800</v>
      </c>
      <c r="C5" t="n">
        <v>-3400</v>
      </c>
      <c r="D5" t="n">
        <v>-4000</v>
      </c>
      <c r="E5" t="n">
        <v>-4400</v>
      </c>
      <c r="F5" t="n">
        <v>-4700</v>
      </c>
      <c r="G5" t="n">
        <v>-5000</v>
      </c>
      <c r="H5" t="n">
        <v>-5300</v>
      </c>
      <c r="I5" t="n">
        <v>-5600</v>
      </c>
      <c r="J5" t="n">
        <v>-5800</v>
      </c>
      <c r="K5" t="n">
        <v>-6000</v>
      </c>
      <c r="L5" t="n">
        <v>-6200</v>
      </c>
      <c r="M5" t="n">
        <v>-6400</v>
      </c>
      <c r="N5" t="n">
        <v>-59600</v>
      </c>
      <c r="O5" t="n">
        <v>-70775</v>
      </c>
    </row>
    <row r="6">
      <c r="A6" t="inlineStr">
        <is>
          <t>Personal</t>
        </is>
      </c>
      <c r="B6" t="n">
        <v>-9500</v>
      </c>
      <c r="C6" t="n">
        <v>-9500</v>
      </c>
      <c r="D6" t="n">
        <v>-9500</v>
      </c>
      <c r="E6" t="n">
        <v>-9500</v>
      </c>
      <c r="F6" t="n">
        <v>-9500</v>
      </c>
      <c r="G6" t="n">
        <v>-9500</v>
      </c>
      <c r="H6" t="n">
        <v>-9500</v>
      </c>
      <c r="I6" t="n">
        <v>-9500</v>
      </c>
      <c r="J6" t="n">
        <v>-9500</v>
      </c>
      <c r="K6" t="n">
        <v>-9500</v>
      </c>
      <c r="L6" t="n">
        <v>-9500</v>
      </c>
      <c r="M6" t="n">
        <v>-9500</v>
      </c>
      <c r="N6" t="n">
        <v>-114000</v>
      </c>
      <c r="O6" t="n">
        <v>-130000</v>
      </c>
    </row>
    <row r="7">
      <c r="A7" t="inlineStr">
        <is>
          <t>Alquiler + suministros + otros</t>
        </is>
      </c>
      <c r="B7" t="n">
        <v>-4500</v>
      </c>
      <c r="C7" t="n">
        <v>-4500</v>
      </c>
      <c r="D7" t="n">
        <v>-4500</v>
      </c>
      <c r="E7" t="n">
        <v>-4500</v>
      </c>
      <c r="F7" t="n">
        <v>-4500</v>
      </c>
      <c r="G7" t="n">
        <v>-4500</v>
      </c>
      <c r="H7" t="n">
        <v>-4500</v>
      </c>
      <c r="I7" t="n">
        <v>-4500</v>
      </c>
      <c r="J7" t="n">
        <v>-4500</v>
      </c>
      <c r="K7" t="n">
        <v>-4500</v>
      </c>
      <c r="L7" t="n">
        <v>-4500</v>
      </c>
      <c r="M7" t="n">
        <v>-4500</v>
      </c>
      <c r="N7" t="n">
        <v>-54000</v>
      </c>
      <c r="O7" t="n">
        <v>-58000</v>
      </c>
    </row>
    <row r="8">
      <c r="A8" t="inlineStr">
        <is>
          <t>Flujo operativo</t>
        </is>
      </c>
      <c r="B8">
        <f>SUM(B4:B7)</f>
        <v>-2800.0</v>
      </c>
      <c r="C8">
        <f>SUM(C4:C7)</f>
        <v>-400.0</v>
      </c>
      <c r="D8">
        <f>SUM(D4:D7)</f>
        <v>2000.0</v>
      </c>
      <c r="E8">
        <f>SUM(E4:E7)</f>
        <v>3600.0</v>
      </c>
      <c r="F8">
        <f>SUM(F4:F7)</f>
        <v>4800.0</v>
      </c>
      <c r="G8">
        <f>SUM(G4:G7)</f>
        <v>6000.0</v>
      </c>
      <c r="H8">
        <f>SUM(H4:H7)</f>
        <v>7200.0</v>
      </c>
      <c r="I8">
        <f>SUM(I4:I7)</f>
        <v>8400.0</v>
      </c>
      <c r="J8">
        <f>SUM(J4:J7)</f>
        <v>9200.0</v>
      </c>
      <c r="K8">
        <f>SUM(K4:K7)</f>
        <v>10000.0</v>
      </c>
      <c r="L8">
        <f>SUM(L4:L7)</f>
        <v>10800.0</v>
      </c>
      <c r="M8">
        <f>SUM(M4:M7)</f>
        <v>11600.0</v>
      </c>
      <c r="N8">
        <f>SUM(N4:N7)</f>
        <v>70400.0</v>
      </c>
      <c r="O8">
        <f>SUM(O4:O7)</f>
        <v>113725.0</v>
      </c>
    </row>
    <row r="9">
      <c r="A9" t="inlineStr">
        <is>
          <t>CAPEX inicial</t>
        </is>
      </c>
      <c r="B9" t="n">
        <v>-145000</v>
      </c>
    </row>
    <row r="10">
      <c r="A10" t="inlineStr">
        <is>
          <t>Flujo neto</t>
        </is>
      </c>
      <c r="B10">
        <f>B8+B9</f>
        <v>-147800.0</v>
      </c>
      <c r="C10">
        <f>C8+C9</f>
        <v>-400.0</v>
      </c>
      <c r="D10">
        <f>D8+D9</f>
        <v>2000.0</v>
      </c>
      <c r="E10">
        <f>E8+E9</f>
        <v>3600.0</v>
      </c>
      <c r="F10">
        <f>F8+F9</f>
        <v>4800.0</v>
      </c>
      <c r="G10">
        <f>G8+G9</f>
        <v>6000.0</v>
      </c>
      <c r="H10">
        <f>H8+H9</f>
        <v>7200.0</v>
      </c>
      <c r="I10">
        <f>I8+I9</f>
        <v>8400.0</v>
      </c>
      <c r="J10">
        <f>J8+J9</f>
        <v>9200.0</v>
      </c>
      <c r="K10">
        <f>K8+K9</f>
        <v>10000.0</v>
      </c>
      <c r="L10">
        <f>L8+L9</f>
        <v>10800.0</v>
      </c>
      <c r="M10">
        <f>M8+M9</f>
        <v>11600.0</v>
      </c>
      <c r="N10">
        <f>N8+N9</f>
        <v>70400.0</v>
      </c>
      <c r="O10">
        <f>O8</f>
        <v>113725.0</v>
      </c>
    </row>
    <row r="11">
      <c r="A11" t="inlineStr">
        <is>
          <t>Caja acumulada</t>
        </is>
      </c>
      <c r="B11">
        <f>B10</f>
        <v>-147800.0</v>
      </c>
      <c r="C11">
        <f>B11+C10</f>
        <v>-148200.0</v>
      </c>
      <c r="D11">
        <f>C11+D10</f>
        <v>-146200.0</v>
      </c>
      <c r="E11">
        <f>D11+E10</f>
        <v>-142600.0</v>
      </c>
      <c r="F11">
        <f>E11+F10</f>
        <v>-137800.0</v>
      </c>
      <c r="G11">
        <f>F11+G10</f>
        <v>-131800.0</v>
      </c>
      <c r="H11">
        <f>G11+H10</f>
        <v>-124600.0</v>
      </c>
      <c r="I11">
        <f>H11+I10</f>
        <v>-116200.0</v>
      </c>
      <c r="J11">
        <f>I11+J10</f>
        <v>-107000.0</v>
      </c>
      <c r="K11">
        <f>J11+K10</f>
        <v>-97000.0</v>
      </c>
      <c r="L11">
        <f>K11+L10</f>
        <v>-86200.0</v>
      </c>
      <c r="M11">
        <f>L11+M10</f>
        <v>-74600.0</v>
      </c>
      <c r="N11">
        <f>M11</f>
        <v>-74600.0</v>
      </c>
      <c r="O11">
        <f>N11+O8</f>
        <v>39125.0</v>
      </c>
    </row>
    <row r="12"/>
    <row r="13">
      <c r="A13" t="inlineStr">
        <is>
          <t>Break-even alcanzado mes:</t>
        </is>
      </c>
      <c r="C13" t="inlineStr">
        <is>
          <t>M10-M12 (realista)</t>
        </is>
      </c>
      <c r="D13" t="inlineStr">
        <is>
          <t>Coste medio mensual: 22-32K€</t>
        </is>
      </c>
    </row>
  </sheetData>
  <mergeCells count="1">
    <mergeCell ref="A1:N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+ Break-Even Panadería (24 meses)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