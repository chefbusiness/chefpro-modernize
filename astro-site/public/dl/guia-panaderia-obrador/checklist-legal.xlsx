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Legal" sheetId="1" state="visible" r:id="rId1"/>
  </sheets>
  <definedNames>
    <definedName name="_xlnm.Print_Titles" localSheetId="0">'Checklist Legal'!$3:$3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22" customWidth="1" min="3" max="3"/>
    <col width="20" customWidth="1" min="4" max="4"/>
    <col width="50" customWidth="1" min="5" max="5"/>
  </cols>
  <sheetData>
    <row r="1" ht="32" customHeight="1">
      <c r="A1" s="1" t="inlineStr">
        <is>
          <t>Checklist Legal Panadería con Obrador — España 2026</t>
        </is>
      </c>
    </row>
    <row r="2"/>
    <row r="3">
      <c r="A3" s="2" t="inlineStr">
        <is>
          <t>✓</t>
        </is>
      </c>
      <c r="B3" s="2" t="inlineStr">
        <is>
          <t>Trámite</t>
        </is>
      </c>
      <c r="C3" s="2" t="inlineStr">
        <is>
          <t>Responsable</t>
        </is>
      </c>
      <c r="D3" s="2" t="inlineStr">
        <is>
          <t>Plazo orientativo</t>
        </is>
      </c>
      <c r="E3" s="2" t="inlineStr">
        <is>
          <t>Notas</t>
        </is>
      </c>
    </row>
    <row r="4">
      <c r="A4" s="3" t="inlineStr">
        <is>
          <t>FISCALIDAD Y ALTA EMPRESA</t>
        </is>
      </c>
    </row>
    <row r="5">
      <c r="A5" t="inlineStr">
        <is>
          <t>☐</t>
        </is>
      </c>
      <c r="B5" t="inlineStr">
        <is>
          <t>Alta Hacienda modelo 036/037</t>
        </is>
      </c>
      <c r="C5" t="inlineStr">
        <is>
          <t>Gestor</t>
        </is>
      </c>
      <c r="D5" t="inlineStr">
        <is>
          <t>1 día</t>
        </is>
      </c>
      <c r="E5" t="inlineStr">
        <is>
          <t>Antes de cualquier movimiento económico</t>
        </is>
      </c>
    </row>
    <row r="6">
      <c r="A6" t="inlineStr">
        <is>
          <t>☐</t>
        </is>
      </c>
      <c r="B6" t="inlineStr">
        <is>
          <t>Constitución SL (o autónomo)</t>
        </is>
      </c>
      <c r="C6" t="inlineStr">
        <is>
          <t>Notario</t>
        </is>
      </c>
      <c r="D6" t="inlineStr">
        <is>
          <t>7-15 días</t>
        </is>
      </c>
      <c r="E6" t="inlineStr">
        <is>
          <t>SL recomendada &gt;100K€ inversión</t>
        </is>
      </c>
    </row>
    <row r="7">
      <c r="A7" t="inlineStr">
        <is>
          <t>☐</t>
        </is>
      </c>
      <c r="B7" t="inlineStr">
        <is>
          <t>Alta Seguridad Social</t>
        </is>
      </c>
      <c r="C7" t="inlineStr">
        <is>
          <t>Gestor</t>
        </is>
      </c>
      <c r="D7" t="inlineStr">
        <is>
          <t>1 día</t>
        </is>
      </c>
      <c r="E7" t="inlineStr">
        <is>
          <t>Régimen autónomo o general</t>
        </is>
      </c>
    </row>
    <row r="8">
      <c r="A8" t="inlineStr">
        <is>
          <t>☐</t>
        </is>
      </c>
      <c r="B8" t="inlineStr">
        <is>
          <t>IAE 644.1 comercio menor pan/pastelería</t>
        </is>
      </c>
      <c r="C8" t="inlineStr">
        <is>
          <t>Gestor</t>
        </is>
      </c>
      <c r="D8" t="inlineStr">
        <is>
          <t>1 día</t>
        </is>
      </c>
      <c r="E8" t="inlineStr">
        <is>
          <t>O 419.1 industria pan/bollería si producción industrial</t>
        </is>
      </c>
    </row>
    <row r="9">
      <c r="A9" s="3" t="inlineStr">
        <is>
          <t>LICENCIAS Y URBANISMO</t>
        </is>
      </c>
    </row>
    <row r="10">
      <c r="A10" t="inlineStr">
        <is>
          <t>☐</t>
        </is>
      </c>
      <c r="B10" t="inlineStr">
        <is>
          <t>Proyecto técnico salida de humos</t>
        </is>
      </c>
      <c r="C10" t="inlineStr">
        <is>
          <t>Ingeniero/arq.</t>
        </is>
      </c>
      <c r="D10" t="inlineStr">
        <is>
          <t>15-30 días</t>
        </is>
      </c>
      <c r="E10" t="inlineStr">
        <is>
          <t>CRÍTICO: verifica viabilidad ANTES de alquilar</t>
        </is>
      </c>
    </row>
    <row r="11">
      <c r="A11" t="inlineStr">
        <is>
          <t>☐</t>
        </is>
      </c>
      <c r="B11" t="inlineStr">
        <is>
          <t>Proyecto técnico licencia clasificada</t>
        </is>
      </c>
      <c r="C11" t="inlineStr">
        <is>
          <t>Ingeniero/arq.</t>
        </is>
      </c>
      <c r="D11" t="inlineStr">
        <is>
          <t>15-30 días</t>
        </is>
      </c>
      <c r="E11" t="inlineStr">
        <is>
          <t>Salida humos + ruidos amasadora</t>
        </is>
      </c>
    </row>
    <row r="12">
      <c r="A12" t="inlineStr">
        <is>
          <t>☐</t>
        </is>
      </c>
      <c r="B12" t="inlineStr">
        <is>
          <t>Solicitud licencia apertura municipal</t>
        </is>
      </c>
      <c r="C12" t="inlineStr">
        <is>
          <t>Gestor</t>
        </is>
      </c>
      <c r="D12" t="inlineStr">
        <is>
          <t>60-120 días resolución</t>
        </is>
      </c>
      <c r="E12" t="inlineStr">
        <is>
          <t>Tasa 600-2.500€</t>
        </is>
      </c>
    </row>
    <row r="13">
      <c r="A13" t="inlineStr">
        <is>
          <t>☐</t>
        </is>
      </c>
      <c r="B13" t="inlineStr">
        <is>
          <t>Boletín eléctrico autorizado</t>
        </is>
      </c>
      <c r="C13" t="inlineStr">
        <is>
          <t>Electricista</t>
        </is>
      </c>
      <c r="D13" t="inlineStr">
        <is>
          <t>1 semana</t>
        </is>
      </c>
      <c r="E13" t="inlineStr">
        <is>
          <t>Potencia 30 kW trifásica mínima</t>
        </is>
      </c>
    </row>
    <row r="14">
      <c r="A14" t="inlineStr">
        <is>
          <t>☐</t>
        </is>
      </c>
      <c r="B14" t="inlineStr">
        <is>
          <t>Certificado de gas (si aplica)</t>
        </is>
      </c>
      <c r="C14" t="inlineStr">
        <is>
          <t>Instalador</t>
        </is>
      </c>
      <c r="D14" t="inlineStr">
        <is>
          <t>1 semana</t>
        </is>
      </c>
    </row>
    <row r="15">
      <c r="A15" t="inlineStr">
        <is>
          <t>☐</t>
        </is>
      </c>
      <c r="B15" t="inlineStr">
        <is>
          <t>Certificado climatización + ventilación</t>
        </is>
      </c>
      <c r="C15" t="inlineStr">
        <is>
          <t>Instalador</t>
        </is>
      </c>
      <c r="D15" t="inlineStr">
        <is>
          <t>1 semana</t>
        </is>
      </c>
      <c r="E15" t="inlineStr">
        <is>
          <t>Obrador requiere extracción potente</t>
        </is>
      </c>
    </row>
    <row r="16">
      <c r="A16" t="inlineStr">
        <is>
          <t>☐</t>
        </is>
      </c>
      <c r="B16" t="inlineStr">
        <is>
          <t>Comunicación apertura (algunos municipios)</t>
        </is>
      </c>
      <c r="C16" t="inlineStr">
        <is>
          <t>Gestor</t>
        </is>
      </c>
      <c r="D16" t="inlineStr">
        <is>
          <t>1 día</t>
        </is>
      </c>
      <c r="E16" t="inlineStr">
        <is>
          <t>Adicional licencia</t>
        </is>
      </c>
    </row>
    <row r="17">
      <c r="A17" s="3" t="inlineStr">
        <is>
          <t>SANIDAD Y ALIMENTACIÓN</t>
        </is>
      </c>
    </row>
    <row r="18">
      <c r="A18" t="inlineStr">
        <is>
          <t>☐</t>
        </is>
      </c>
      <c r="B18" t="inlineStr">
        <is>
          <t>Inscripción RGSEAA</t>
        </is>
      </c>
      <c r="C18" t="inlineStr">
        <is>
          <t>Gestor sanidad</t>
        </is>
      </c>
      <c r="D18" t="inlineStr">
        <is>
          <t>30-60 días</t>
        </is>
      </c>
      <c r="E18" t="inlineStr">
        <is>
          <t>Registro General Sanitario obligatorio</t>
        </is>
      </c>
    </row>
    <row r="19">
      <c r="A19" t="inlineStr">
        <is>
          <t>☐</t>
        </is>
      </c>
      <c r="B19" t="inlineStr">
        <is>
          <t>Plan APPCC documentado y firmado</t>
        </is>
      </c>
      <c r="C19" t="inlineStr">
        <is>
          <t>Responsable seguridad</t>
        </is>
      </c>
      <c r="D19" t="inlineStr">
        <is>
          <t>15 días</t>
        </is>
      </c>
      <c r="E19" t="inlineStr">
        <is>
          <t>Específico panadería con alérgenos cruzados</t>
        </is>
      </c>
    </row>
    <row r="20">
      <c r="A20" t="inlineStr">
        <is>
          <t>☐</t>
        </is>
      </c>
      <c r="B20" t="inlineStr">
        <is>
          <t>Carnet manipulador alimentos personal</t>
        </is>
      </c>
      <c r="C20" t="inlineStr">
        <is>
          <t>Cada empleado</t>
        </is>
      </c>
      <c r="D20" t="inlineStr">
        <is>
          <t>1 día</t>
        </is>
      </c>
      <c r="E20" t="inlineStr">
        <is>
          <t>Curso online válido</t>
        </is>
      </c>
    </row>
    <row r="21">
      <c r="A21" t="inlineStr">
        <is>
          <t>☐</t>
        </is>
      </c>
      <c r="B21" t="inlineStr">
        <is>
          <t>Plan de limpieza obrador documentado</t>
        </is>
      </c>
      <c r="C21" t="inlineStr">
        <is>
          <t>Tú</t>
        </is>
      </c>
      <c r="D21" t="inlineStr">
        <is>
          <t>5 días</t>
        </is>
      </c>
      <c r="E21" t="inlineStr">
        <is>
          <t>Diario / semanal / mensual</t>
        </is>
      </c>
    </row>
    <row r="22">
      <c r="A22" t="inlineStr">
        <is>
          <t>☐</t>
        </is>
      </c>
      <c r="B22" t="inlineStr">
        <is>
          <t>Plan de control plagas (DDD)</t>
        </is>
      </c>
      <c r="C22" t="inlineStr">
        <is>
          <t>Empresa autorizada</t>
        </is>
      </c>
      <c r="D22" t="inlineStr">
        <is>
          <t>5 días</t>
        </is>
      </c>
      <c r="E22" t="inlineStr">
        <is>
          <t>Crítico en silos harina</t>
        </is>
      </c>
    </row>
    <row r="23">
      <c r="A23" t="inlineStr">
        <is>
          <t>☐</t>
        </is>
      </c>
      <c r="B23" t="inlineStr">
        <is>
          <t>Etiquetado alérgenos visible producto</t>
        </is>
      </c>
      <c r="C23" t="inlineStr">
        <is>
          <t>Tú</t>
        </is>
      </c>
      <c r="D23" t="inlineStr">
        <is>
          <t>Permanente</t>
        </is>
      </c>
      <c r="E23" t="inlineStr">
        <is>
          <t>Reglamento UE 1169/2011 + RD 308/2019 pan</t>
        </is>
      </c>
    </row>
    <row r="24">
      <c r="A24" t="inlineStr">
        <is>
          <t>☐</t>
        </is>
      </c>
      <c r="B24" t="inlineStr">
        <is>
          <t>Certificación sin gluten FACE (si aplica)</t>
        </is>
      </c>
      <c r="C24" t="inlineStr">
        <is>
          <t>FACE</t>
        </is>
      </c>
      <c r="D24" t="inlineStr">
        <is>
          <t>60-90 días</t>
        </is>
      </c>
      <c r="E24" t="inlineStr">
        <is>
          <t>Solo si línea separada físicamente</t>
        </is>
      </c>
    </row>
    <row r="25">
      <c r="A25" s="3" t="inlineStr">
        <is>
          <t>LABORAL</t>
        </is>
      </c>
    </row>
    <row r="26">
      <c r="A26" t="inlineStr">
        <is>
          <t>☐</t>
        </is>
      </c>
      <c r="B26" t="inlineStr">
        <is>
          <t>Convenio aplicable: panadería + comercio</t>
        </is>
      </c>
      <c r="C26" t="inlineStr">
        <is>
          <t>Asesor laboral</t>
        </is>
      </c>
      <c r="D26" t="inlineStr">
        <is>
          <t>1 día</t>
        </is>
      </c>
      <c r="E26" t="inlineStr">
        <is>
          <t>Convenio sectorial provincial</t>
        </is>
      </c>
    </row>
    <row r="27">
      <c r="A27" t="inlineStr">
        <is>
          <t>☐</t>
        </is>
      </c>
      <c r="B27" t="inlineStr">
        <is>
          <t>Contratos personal + plus nocturnidad</t>
        </is>
      </c>
      <c r="C27" t="inlineStr">
        <is>
          <t>Asesor laboral</t>
        </is>
      </c>
      <c r="D27" t="inlineStr">
        <is>
          <t>15 días</t>
        </is>
      </c>
      <c r="E27" t="inlineStr">
        <is>
          <t>Madrugada = plus 25% s/base</t>
        </is>
      </c>
    </row>
    <row r="28">
      <c r="A28" t="inlineStr">
        <is>
          <t>☐</t>
        </is>
      </c>
      <c r="B28" t="inlineStr">
        <is>
          <t>Control horario digital implantado</t>
        </is>
      </c>
      <c r="C28" t="inlineStr">
        <is>
          <t>Tú</t>
        </is>
      </c>
      <c r="D28" t="inlineStr">
        <is>
          <t>5 días</t>
        </is>
      </c>
      <c r="E28" t="inlineStr">
        <is>
          <t>OBLIGATORIO 2026</t>
        </is>
      </c>
    </row>
    <row r="29">
      <c r="A29" t="inlineStr">
        <is>
          <t>☐</t>
        </is>
      </c>
      <c r="B29" t="inlineStr">
        <is>
          <t>Plan de igualdad (si &gt;50 empleados)</t>
        </is>
      </c>
      <c r="C29" t="inlineStr">
        <is>
          <t>Asesor laboral</t>
        </is>
      </c>
      <c r="D29" t="inlineStr">
        <is>
          <t>N/A normalmente</t>
        </is>
      </c>
    </row>
    <row r="30">
      <c r="A30" t="inlineStr">
        <is>
          <t>☐</t>
        </is>
      </c>
      <c r="B30" t="inlineStr">
        <is>
          <t>Prevención de riesgos laborales</t>
        </is>
      </c>
      <c r="C30" t="inlineStr">
        <is>
          <t>Servicio prevención</t>
        </is>
      </c>
      <c r="D30" t="inlineStr">
        <is>
          <t>15 días</t>
        </is>
      </c>
    </row>
    <row r="31">
      <c r="A31" s="3" t="inlineStr">
        <is>
          <t>FACTURACIÓN Y SEGUROS</t>
        </is>
      </c>
    </row>
    <row r="32">
      <c r="A32" t="inlineStr">
        <is>
          <t>☐</t>
        </is>
      </c>
      <c r="B32" t="inlineStr">
        <is>
          <t>TPV + Verifactu adaptado</t>
        </is>
      </c>
      <c r="C32" t="inlineStr">
        <is>
          <t>Proveedor TPV</t>
        </is>
      </c>
      <c r="D32" t="inlineStr">
        <is>
          <t>5 días</t>
        </is>
      </c>
      <c r="E32" t="inlineStr">
        <is>
          <t>Obligatorio 2027 — anticípate</t>
        </is>
      </c>
    </row>
    <row r="33">
      <c r="A33" t="inlineStr">
        <is>
          <t>☐</t>
        </is>
      </c>
      <c r="B33" t="inlineStr">
        <is>
          <t>Seguro RC + multirriesgo</t>
        </is>
      </c>
      <c r="C33" t="inlineStr">
        <is>
          <t>Aseguradora</t>
        </is>
      </c>
      <c r="D33" t="inlineStr">
        <is>
          <t>3 días</t>
        </is>
      </c>
      <c r="E33" t="inlineStr">
        <is>
          <t>300K-600K€ cobertura</t>
        </is>
      </c>
    </row>
    <row r="34">
      <c r="A34" t="inlineStr">
        <is>
          <t>☐</t>
        </is>
      </c>
      <c r="B34" t="inlineStr">
        <is>
          <t>Seguro vida personal clave (panadero)</t>
        </is>
      </c>
      <c r="C34" t="inlineStr">
        <is>
          <t>Aseguradora</t>
        </is>
      </c>
      <c r="D34" t="inlineStr">
        <is>
          <t>3 días</t>
        </is>
      </c>
      <c r="E34" t="inlineStr">
        <is>
          <t>Recomendado</t>
        </is>
      </c>
    </row>
    <row r="35"/>
    <row r="36">
      <c r="B36" s="4" t="inlineStr">
        <is>
          <t>Tareas completadas:</t>
        </is>
      </c>
      <c r="C36">
        <f>COUNTIF(A4:A34,"✓")</f>
        <v>0.0</v>
      </c>
      <c r="D36" t="inlineStr">
        <is>
          <t>de</t>
        </is>
      </c>
      <c r="E36">
        <f>COUNTIF(B4:B34,"?*")</f>
        <v>26.0</v>
      </c>
    </row>
  </sheetData>
  <mergeCells count="6">
    <mergeCell ref="A25:E25"/>
    <mergeCell ref="A9:E9"/>
    <mergeCell ref="A1:E1"/>
    <mergeCell ref="A17:E17"/>
    <mergeCell ref="A4:E4"/>
    <mergeCell ref="A31:E31"/>
  </mergeCells>
  <conditionalFormatting sqref="A4:E34">
    <cfRule type="expression" priority="1" dxfId="0">
      <formula>$A4="✓"</formula>
    </cfRule>
  </conditionalFormatting>
  <dataValidations count="1">
    <dataValidation sqref="A5 A6 A7 A8 A10 A11 A12 A13 A14 A15 A16 A18 A19 A20 A21 A22 A23 A24 A26 A27 A28 A29 A30 A32 A33 A34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Legal Panadería con Obrador — España 2026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2026-05-13T21:01:00Z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