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3 años" sheetId="1" state="visible" r:id="rId1"/>
  </sheets>
  <definedNames>
    <definedName name="_xlnm.Print_Titles" localSheetId="0">'P&amp;L 3 años'!$3:$3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 ht="32" customHeight="1">
      <c r="A1" s="1" t="inlineStr">
        <is>
          <t>Plan Financiero 3 Años — Panadería con Obrador</t>
        </is>
      </c>
    </row>
    <row r="2"/>
    <row r="3">
      <c r="A3" s="2" t="inlineStr">
        <is>
          <t>Concepto</t>
        </is>
      </c>
      <c r="B3" s="2" t="inlineStr">
        <is>
          <t>Año 1</t>
        </is>
      </c>
      <c r="C3" s="2" t="inlineStr">
        <is>
          <t>Año 2</t>
        </is>
      </c>
      <c r="D3" s="2" t="inlineStr">
        <is>
          <t>Año 3</t>
        </is>
      </c>
      <c r="E3" s="2" t="inlineStr">
        <is>
          <t>Notas</t>
        </is>
      </c>
    </row>
    <row r="4">
      <c r="A4" s="3" t="inlineStr">
        <is>
          <t>INGRESOS</t>
        </is>
      </c>
      <c r="B4" s="3" t="inlineStr"/>
      <c r="C4" s="3" t="inlineStr"/>
      <c r="D4" s="3" t="inlineStr"/>
      <c r="E4" s="3" t="inlineStr"/>
    </row>
    <row r="5">
      <c r="A5" t="inlineStr">
        <is>
          <t>Mostrador (B2C pan + bollería)</t>
        </is>
      </c>
      <c r="B5" t="n">
        <v>220000</v>
      </c>
      <c r="C5" t="n">
        <v>268000</v>
      </c>
      <c r="D5" t="n">
        <v>312000</v>
      </c>
      <c r="E5" t="inlineStr">
        <is>
          <t>180-280 tickets/día × ticket medio 5,80€</t>
        </is>
      </c>
    </row>
    <row r="6">
      <c r="A6" t="inlineStr">
        <is>
          <t>B2B Horeca (hoteles + cafeterías + restos)</t>
        </is>
      </c>
      <c r="B6" t="n">
        <v>58000</v>
      </c>
      <c r="C6" t="n">
        <v>92000</v>
      </c>
      <c r="D6" t="n">
        <v>124000</v>
      </c>
      <c r="E6" t="inlineStr">
        <is>
          <t>+ 12-25% facturación una vez establecido</t>
        </is>
      </c>
    </row>
    <row r="7">
      <c r="A7" t="inlineStr">
        <is>
          <t>Suscripción / online</t>
        </is>
      </c>
      <c r="B7" t="n">
        <v>14000</v>
      </c>
      <c r="C7" t="n">
        <v>28000</v>
      </c>
      <c r="D7" t="n">
        <v>42000</v>
      </c>
      <c r="E7" t="inlineStr">
        <is>
          <t>Suscripción semanal pan + caja regalo</t>
        </is>
      </c>
    </row>
    <row r="8">
      <c r="A8" t="inlineStr">
        <is>
          <t>Eventos / catering / cestas Navidad</t>
        </is>
      </c>
      <c r="B8" t="n">
        <v>8000</v>
      </c>
      <c r="C8" t="n">
        <v>14000</v>
      </c>
      <c r="D8" t="n">
        <v>22000</v>
      </c>
      <c r="E8" t="inlineStr">
        <is>
          <t>Estacionalidad Navidad + Reyes + Semana Santa</t>
        </is>
      </c>
    </row>
    <row r="9">
      <c r="A9" t="inlineStr">
        <is>
          <t>FACTURACIÓN TOTAL</t>
        </is>
      </c>
      <c r="B9">
        <f>SUM(B5:B8)</f>
        <v>300000.0</v>
      </c>
      <c r="C9">
        <f>SUM(C5:C8)</f>
        <v>402000.0</v>
      </c>
      <c r="D9">
        <f>SUM(D5:D8)</f>
        <v>500000.0</v>
      </c>
    </row>
    <row r="10"/>
    <row r="11">
      <c r="A11" t="inlineStr">
        <is>
          <t>COSTES VARIABLES</t>
        </is>
      </c>
    </row>
    <row r="12">
      <c r="A12" s="3" t="inlineStr">
        <is>
          <t>Coste materias primas (harinas + ingredientes)</t>
        </is>
      </c>
      <c r="B12" s="3">
        <f>B9*0.20</f>
        <v>60000.0</v>
      </c>
      <c r="C12" s="3">
        <f>C9*0.19</f>
        <v>76380.0</v>
      </c>
      <c r="D12" s="3">
        <f>D9*0.18</f>
        <v>90000.0</v>
      </c>
      <c r="E12" s="3" t="inlineStr">
        <is>
          <t>Food cost 18-22%, mejora con economía escala</t>
        </is>
      </c>
    </row>
    <row r="13">
      <c r="A13" t="inlineStr">
        <is>
          <t>Packaging (bolsas, cajas, papel kraft)</t>
        </is>
      </c>
      <c r="B13">
        <f>B9*0.015</f>
        <v>4500.0</v>
      </c>
      <c r="C13">
        <f>C9*0.015</f>
        <v>6030.0</v>
      </c>
      <c r="D13">
        <f>D9*0.015</f>
        <v>7500.0</v>
      </c>
      <c r="E13" t="inlineStr">
        <is>
          <t>Packaging artesanal cuidado</t>
        </is>
      </c>
    </row>
    <row r="14">
      <c r="A14" t="inlineStr">
        <is>
          <t>Energía variable hornos</t>
        </is>
      </c>
      <c r="B14">
        <f>B9*0.025</f>
        <v>7500.0</v>
      </c>
      <c r="C14">
        <f>C9*0.025</f>
        <v>10050.0</v>
      </c>
      <c r="D14">
        <f>D9*0.025</f>
        <v>12500.0</v>
      </c>
      <c r="E14" t="inlineStr">
        <is>
          <t>Horno consume 30-70 kWh/día</t>
        </is>
      </c>
    </row>
    <row r="15">
      <c r="A15" t="inlineStr">
        <is>
          <t>COSTES FIJOS</t>
        </is>
      </c>
    </row>
    <row r="16">
      <c r="A16" t="inlineStr">
        <is>
          <t>Personal (5-7 personas)</t>
        </is>
      </c>
      <c r="B16" t="n">
        <v>118000</v>
      </c>
      <c r="C16" t="n">
        <v>132000</v>
      </c>
      <c r="D16" t="n">
        <v>145000</v>
      </c>
      <c r="E16" t="inlineStr">
        <is>
          <t>Panadero of.1ª + ayudante + 2-3 dependientes + plus nocturnidad</t>
        </is>
      </c>
    </row>
    <row r="17">
      <c r="A17" t="inlineStr">
        <is>
          <t>Alquiler local</t>
        </is>
      </c>
      <c r="B17" t="n">
        <v>28000</v>
      </c>
      <c r="C17" t="n">
        <v>28000</v>
      </c>
      <c r="D17" t="n">
        <v>29000</v>
      </c>
      <c r="E17" t="inlineStr">
        <is>
          <t>Local 70-90 m² zona barrio medio</t>
        </is>
      </c>
    </row>
    <row r="18">
      <c r="A18" s="3" t="inlineStr">
        <is>
          <t>Suministros base (luz + agua + gas)</t>
        </is>
      </c>
      <c r="B18" s="3" t="n">
        <v>14000</v>
      </c>
      <c r="C18" s="3" t="n">
        <v>16000</v>
      </c>
      <c r="D18" s="3" t="n">
        <v>18000</v>
      </c>
      <c r="E18" s="3" t="inlineStr">
        <is>
          <t>+IBI + comunidad</t>
        </is>
      </c>
    </row>
    <row r="19">
      <c r="A19" t="inlineStr">
        <is>
          <t>Gastos administración + asesoría</t>
        </is>
      </c>
      <c r="B19" t="n">
        <v>5400</v>
      </c>
      <c r="C19" t="n">
        <v>6200</v>
      </c>
      <c r="D19" t="n">
        <v>6800</v>
      </c>
      <c r="E19" t="inlineStr">
        <is>
          <t>Asesor fiscal + laboral + Verifactu</t>
        </is>
      </c>
    </row>
    <row r="20">
      <c r="A20" t="inlineStr">
        <is>
          <t>Marketing + redes + web</t>
        </is>
      </c>
      <c r="B20" t="n">
        <v>6000</v>
      </c>
      <c r="C20" t="n">
        <v>7800</v>
      </c>
      <c r="D20" t="n">
        <v>9400</v>
      </c>
      <c r="E20" t="inlineStr">
        <is>
          <t>Foto profesional + ads Google Local</t>
        </is>
      </c>
    </row>
    <row r="21">
      <c r="A21" t="inlineStr">
        <is>
          <t>Seguros + tasas + amortización</t>
        </is>
      </c>
      <c r="B21" t="n">
        <v>8200</v>
      </c>
      <c r="C21" t="n">
        <v>8200</v>
      </c>
      <c r="D21" t="n">
        <v>8200</v>
      </c>
      <c r="E21" t="inlineStr">
        <is>
          <t>RC + amortización equipamiento</t>
        </is>
      </c>
    </row>
    <row r="22">
      <c r="A22" s="3" t="inlineStr"/>
      <c r="B22" s="3" t="inlineStr"/>
      <c r="C22" s="3" t="inlineStr"/>
      <c r="D22" s="3" t="inlineStr"/>
      <c r="E22" s="3" t="inlineStr"/>
    </row>
    <row r="23">
      <c r="A23" t="inlineStr">
        <is>
          <t>TOTAL COSTES</t>
        </is>
      </c>
      <c r="B23">
        <f>SUM(B12:B20)+SUM(B14:B16)</f>
        <v>368900.0</v>
      </c>
      <c r="C23">
        <f>SUM(C12:C20)+SUM(C14:C16)</f>
        <v>424510.0</v>
      </c>
      <c r="D23">
        <f>SUM(D12:D20)+SUM(D14:D16)</f>
        <v>475700.0</v>
      </c>
    </row>
    <row r="24">
      <c r="A24" t="inlineStr">
        <is>
          <t>EBITDA</t>
        </is>
      </c>
      <c r="B24">
        <f>B9-B22</f>
        <v>300000.0</v>
      </c>
      <c r="C24">
        <f>C9-C22</f>
        <v>402000.0</v>
      </c>
      <c r="D24">
        <f>D9-D22</f>
        <v>500000.0</v>
      </c>
      <c r="E24" t="inlineStr">
        <is>
          <t>15-22% objetivo</t>
        </is>
      </c>
    </row>
    <row r="25">
      <c r="A25" t="inlineStr">
        <is>
          <t>Margen EBITDA %</t>
        </is>
      </c>
      <c r="B25">
        <f>B23/B9</f>
        <v>1.2296666666666667</v>
      </c>
      <c r="C25">
        <f>C23/C9</f>
        <v>1.0559950248756218</v>
      </c>
      <c r="D25">
        <f>D23/D9</f>
        <v>0.9514</v>
      </c>
    </row>
  </sheetData>
  <mergeCells count="1">
    <mergeCell ref="A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3 Años — Panadería con Obrador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