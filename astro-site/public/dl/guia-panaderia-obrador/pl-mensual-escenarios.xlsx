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3 escenarios" sheetId="1" state="visible" r:id="rId1"/>
  </sheets>
  <definedNames>
    <definedName name="_xlnm.Print_Titles" localSheetId="0">'P&amp;L 3 escenarios'!$3:$3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 ht="32" customHeight="1">
      <c r="A1" s="1" t="inlineStr">
        <is>
          <t>P&amp;L Mensual — 3 Escenarios Panadería</t>
        </is>
      </c>
    </row>
    <row r="2"/>
    <row r="3">
      <c r="A3" s="2" t="inlineStr">
        <is>
          <t>Concepto</t>
        </is>
      </c>
      <c r="B3" s="2" t="inlineStr">
        <is>
          <t>Pesimista</t>
        </is>
      </c>
      <c r="C3" s="2" t="inlineStr">
        <is>
          <t>Realista</t>
        </is>
      </c>
      <c r="D3" s="2" t="inlineStr">
        <is>
          <t>Optimista</t>
        </is>
      </c>
      <c r="E3" s="2" t="inlineStr">
        <is>
          <t>Notas</t>
        </is>
      </c>
    </row>
    <row r="4">
      <c r="A4" t="inlineStr">
        <is>
          <t>Tickets/día</t>
        </is>
      </c>
      <c r="B4" t="n">
        <v>130</v>
      </c>
      <c r="C4" t="n">
        <v>200</v>
      </c>
      <c r="D4" t="n">
        <v>280</v>
      </c>
      <c r="E4" t="inlineStr">
        <is>
          <t>Mostrador</t>
        </is>
      </c>
    </row>
    <row r="5">
      <c r="A5" t="inlineStr">
        <is>
          <t>Ticket medio €</t>
        </is>
      </c>
      <c r="B5" t="n">
        <v>4.8</v>
      </c>
      <c r="C5" t="n">
        <v>5.8</v>
      </c>
      <c r="D5" t="n">
        <v>7.2</v>
      </c>
      <c r="E5" t="inlineStr">
        <is>
          <t>Mejor con bollería + mix</t>
        </is>
      </c>
    </row>
    <row r="6">
      <c r="A6" t="inlineStr">
        <is>
          <t>Días apertura/mes</t>
        </is>
      </c>
      <c r="B6" t="n">
        <v>26</v>
      </c>
      <c r="C6" t="n">
        <v>28</v>
      </c>
      <c r="D6" t="n">
        <v>28</v>
      </c>
    </row>
    <row r="7">
      <c r="A7" t="inlineStr">
        <is>
          <t>Facturación mostrador mensual</t>
        </is>
      </c>
      <c r="B7">
        <f>B4*B5*B6</f>
        <v>16224.0</v>
      </c>
      <c r="C7">
        <f>C4*C5*C6</f>
        <v>32480.0</v>
      </c>
      <c r="D7">
        <f>D4*D5*D6</f>
        <v>56448.0</v>
      </c>
    </row>
    <row r="8">
      <c r="A8" t="inlineStr">
        <is>
          <t>Facturación B2B mensual</t>
        </is>
      </c>
      <c r="B8" t="n">
        <v>1500</v>
      </c>
      <c r="C8" t="n">
        <v>4800</v>
      </c>
      <c r="D8" t="n">
        <v>9800</v>
      </c>
      <c r="E8" t="inlineStr">
        <is>
          <t>+ Horeca</t>
        </is>
      </c>
    </row>
    <row r="9">
      <c r="A9" t="inlineStr">
        <is>
          <t>Facturación total mensual</t>
        </is>
      </c>
      <c r="B9">
        <f>B7+B8</f>
        <v>17724.0</v>
      </c>
      <c r="C9">
        <f>C7+C8</f>
        <v>37280.0</v>
      </c>
      <c r="D9">
        <f>D7+D8</f>
        <v>66248.0</v>
      </c>
    </row>
    <row r="10"/>
    <row r="11">
      <c r="A11" t="inlineStr">
        <is>
          <t>Materias primas (% factur.)</t>
        </is>
      </c>
      <c r="B11" t="n">
        <v>0.22</v>
      </c>
      <c r="C11" t="n">
        <v>0.2</v>
      </c>
      <c r="D11" t="n">
        <v>0.18</v>
      </c>
    </row>
    <row r="12">
      <c r="A12" t="inlineStr">
        <is>
          <t>Coste materias primas</t>
        </is>
      </c>
      <c r="B12">
        <f>B9*B11</f>
        <v>3899.28</v>
      </c>
      <c r="C12">
        <f>C9*C11</f>
        <v>7456.0</v>
      </c>
      <c r="D12">
        <f>D9*D11</f>
        <v>11924.64</v>
      </c>
    </row>
    <row r="13">
      <c r="A13" t="inlineStr">
        <is>
          <t>Personal mensual</t>
        </is>
      </c>
      <c r="B13" t="n">
        <v>9200</v>
      </c>
      <c r="C13" t="n">
        <v>11500</v>
      </c>
      <c r="D13" t="n">
        <v>12800</v>
      </c>
      <c r="E13" t="inlineStr">
        <is>
          <t>Convenio + plus nocturnidad</t>
        </is>
      </c>
    </row>
    <row r="14">
      <c r="A14" t="inlineStr">
        <is>
          <t>Alquiler</t>
        </is>
      </c>
      <c r="B14" t="n">
        <v>2400</v>
      </c>
      <c r="C14" t="n">
        <v>2400</v>
      </c>
      <c r="D14" t="n">
        <v>2400</v>
      </c>
      <c r="E14" t="inlineStr">
        <is>
          <t>Mismo en 3 escenarios</t>
        </is>
      </c>
    </row>
    <row r="15">
      <c r="A15" t="inlineStr">
        <is>
          <t>Suministros (luz horno + agua + gas)</t>
        </is>
      </c>
      <c r="B15" t="n">
        <v>1400</v>
      </c>
      <c r="C15" t="n">
        <v>1700</v>
      </c>
      <c r="D15" t="n">
        <v>2100</v>
      </c>
      <c r="E15" t="inlineStr">
        <is>
          <t>Más hornadas = más luz</t>
        </is>
      </c>
    </row>
    <row r="16">
      <c r="A16" t="inlineStr">
        <is>
          <t>Marketing + otros</t>
        </is>
      </c>
      <c r="B16" t="n">
        <v>600</v>
      </c>
      <c r="C16" t="n">
        <v>800</v>
      </c>
      <c r="D16" t="n">
        <v>1200</v>
      </c>
    </row>
    <row r="17">
      <c r="A17" t="inlineStr">
        <is>
          <t>Total costes</t>
        </is>
      </c>
      <c r="B17">
        <f>SUM(B12:B16)</f>
        <v>17499.28</v>
      </c>
      <c r="C17">
        <f>SUM(C12:C16)</f>
        <v>23856.0</v>
      </c>
      <c r="D17">
        <f>SUM(D12:D16)</f>
        <v>30424.64</v>
      </c>
    </row>
    <row r="18">
      <c r="A18" t="inlineStr">
        <is>
          <t>EBITDA mensual</t>
        </is>
      </c>
      <c r="B18">
        <f>B9-B17</f>
        <v>224.72000000000116</v>
      </c>
      <c r="C18">
        <f>C9-C17</f>
        <v>13424.0</v>
      </c>
      <c r="D18">
        <f>D9-D17</f>
        <v>35823.36</v>
      </c>
    </row>
    <row r="19">
      <c r="A19" t="inlineStr">
        <is>
          <t>EBITDA anual proyectado</t>
        </is>
      </c>
      <c r="B19">
        <f>B18*12</f>
        <v>2696.640000000014</v>
      </c>
      <c r="C19">
        <f>C18*12</f>
        <v>161088.0</v>
      </c>
      <c r="D19">
        <f>D18*12</f>
        <v>429880.32</v>
      </c>
    </row>
  </sheetData>
  <mergeCells count="1">
    <mergeCell ref="A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— 3 Escenarios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