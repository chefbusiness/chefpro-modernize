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amiento" sheetId="1" state="visible" r:id="rId1"/>
  </sheets>
  <definedNames>
    <definedName name="_xlnm.Print_Titles" localSheetId="0">'Equipamiento'!$3:$3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32" customWidth="1" min="3" max="3"/>
    <col width="12" customWidth="1" min="4" max="4"/>
    <col width="12" customWidth="1" min="5" max="5"/>
    <col width="14" customWidth="1" min="6" max="6"/>
  </cols>
  <sheetData>
    <row r="1" ht="32" customHeight="1">
      <c r="A1" s="1" t="inlineStr">
        <is>
          <t>Checklist Equipamiento Completo Obrador Panadería</t>
        </is>
      </c>
    </row>
    <row r="2"/>
    <row r="3">
      <c r="A3" s="2" t="inlineStr">
        <is>
          <t>✓</t>
        </is>
      </c>
      <c r="B3" s="2" t="inlineStr">
        <is>
          <t>Equipo / utensilio</t>
        </is>
      </c>
      <c r="C3" s="2" t="inlineStr">
        <is>
          <t>Marca recomendada</t>
        </is>
      </c>
      <c r="D3" s="2" t="inlineStr">
        <is>
          <t>Precio min €</t>
        </is>
      </c>
      <c r="E3" s="2" t="inlineStr">
        <is>
          <t>Precio max €</t>
        </is>
      </c>
      <c r="F3" s="2" t="inlineStr">
        <is>
          <t>Prioridad</t>
        </is>
      </c>
    </row>
    <row r="4">
      <c r="A4" s="3" t="inlineStr">
        <is>
          <t>HORNOS Y COCCIÓN</t>
        </is>
      </c>
    </row>
    <row r="5">
      <c r="A5" t="inlineStr">
        <is>
          <t>☐</t>
        </is>
      </c>
      <c r="B5" t="inlineStr">
        <is>
          <t>Horno de piso 4 cámaras</t>
        </is>
      </c>
      <c r="C5" t="inlineStr">
        <is>
          <t>Polín / Salva / Logiudice</t>
        </is>
      </c>
      <c r="D5" t="n">
        <v>15000</v>
      </c>
      <c r="E5" t="n">
        <v>28000</v>
      </c>
      <c r="F5" t="inlineStr">
        <is>
          <t>CRÍTICO</t>
        </is>
      </c>
    </row>
    <row r="6">
      <c r="A6" t="inlineStr">
        <is>
          <t>☐</t>
        </is>
      </c>
      <c r="B6" t="inlineStr">
        <is>
          <t>Horno rotativo 16-20 bandejas (opcional volumen alto)</t>
        </is>
      </c>
      <c r="C6" t="inlineStr">
        <is>
          <t>Salva / Sveba Dahlen</t>
        </is>
      </c>
      <c r="D6" t="n">
        <v>18000</v>
      </c>
      <c r="E6" t="n">
        <v>35000</v>
      </c>
      <c r="F6" t="inlineStr">
        <is>
          <t>Opcional</t>
        </is>
      </c>
    </row>
    <row r="7">
      <c r="A7" t="inlineStr">
        <is>
          <t>☐</t>
        </is>
      </c>
      <c r="B7" t="inlineStr">
        <is>
          <t>Horno regeneración mini (despacho)</t>
        </is>
      </c>
      <c r="C7" t="inlineStr">
        <is>
          <t>Pavailler</t>
        </is>
      </c>
      <c r="D7" t="n">
        <v>5000</v>
      </c>
      <c r="E7" t="n">
        <v>9000</v>
      </c>
      <c r="F7" t="inlineStr">
        <is>
          <t>Solo modelo despacho</t>
        </is>
      </c>
    </row>
    <row r="8">
      <c r="A8" s="3" t="inlineStr">
        <is>
          <t>AMASADO</t>
        </is>
      </c>
    </row>
    <row r="9">
      <c r="A9" t="inlineStr">
        <is>
          <t>☐</t>
        </is>
      </c>
      <c r="B9" t="inlineStr">
        <is>
          <t>Amasadora espiral 60 kg masa</t>
        </is>
      </c>
      <c r="C9" t="inlineStr">
        <is>
          <t>Ferneto AEF / Sottoriva / Salva</t>
        </is>
      </c>
      <c r="D9" t="n">
        <v>4000</v>
      </c>
      <c r="E9" t="n">
        <v>7000</v>
      </c>
      <c r="F9" t="inlineStr">
        <is>
          <t>CRÍTICO</t>
        </is>
      </c>
    </row>
    <row r="10">
      <c r="A10" t="inlineStr">
        <is>
          <t>☐</t>
        </is>
      </c>
      <c r="B10" t="inlineStr">
        <is>
          <t>Amasadora espiral 120 kg (alto volumen)</t>
        </is>
      </c>
      <c r="C10" t="inlineStr">
        <is>
          <t>Sottoriva / Salva</t>
        </is>
      </c>
      <c r="D10" t="n">
        <v>8000</v>
      </c>
      <c r="E10" t="n">
        <v>12000</v>
      </c>
      <c r="F10" t="inlineStr">
        <is>
          <t>Opcional</t>
        </is>
      </c>
    </row>
    <row r="11">
      <c r="A11" t="inlineStr">
        <is>
          <t>☐</t>
        </is>
      </c>
      <c r="B11" t="inlineStr">
        <is>
          <t>Amasadora brazos basculantes (croissant/masa madre)</t>
        </is>
      </c>
      <c r="C11" t="inlineStr">
        <is>
          <t>Sottoriva / Artofex</t>
        </is>
      </c>
      <c r="D11" t="n">
        <v>6000</v>
      </c>
      <c r="E11" t="n">
        <v>10000</v>
      </c>
      <c r="F11" t="inlineStr">
        <is>
          <t>Recomendado</t>
        </is>
      </c>
    </row>
    <row r="12">
      <c r="A12" s="3" t="inlineStr">
        <is>
          <t>FERMENTACIÓN</t>
        </is>
      </c>
    </row>
    <row r="13">
      <c r="A13" t="inlineStr">
        <is>
          <t>☐</t>
        </is>
      </c>
      <c r="B13" t="inlineStr">
        <is>
          <t>Cámara fermentación controlada frío+calor+humedad</t>
        </is>
      </c>
      <c r="C13" t="inlineStr">
        <is>
          <t>Dispan / Salva</t>
        </is>
      </c>
      <c r="D13" t="n">
        <v>6000</v>
      </c>
      <c r="E13" t="n">
        <v>15000</v>
      </c>
      <c r="F13" t="inlineStr">
        <is>
          <t>CRÍTICO</t>
        </is>
      </c>
    </row>
    <row r="14">
      <c r="A14" t="inlineStr">
        <is>
          <t>☐</t>
        </is>
      </c>
      <c r="B14" t="inlineStr">
        <is>
          <t>Termómetro digital +higrómetro</t>
        </is>
      </c>
      <c r="C14" t="inlineStr">
        <is>
          <t>TFA / Testo</t>
        </is>
      </c>
      <c r="D14" t="n">
        <v>80</v>
      </c>
      <c r="E14" t="n">
        <v>200</v>
      </c>
      <c r="F14" t="inlineStr">
        <is>
          <t>CRÍTICO</t>
        </is>
      </c>
    </row>
    <row r="15">
      <c r="A15" s="3" t="inlineStr">
        <is>
          <t>DIVISIÓN Y FORMADO</t>
        </is>
      </c>
    </row>
    <row r="16">
      <c r="A16" t="inlineStr">
        <is>
          <t>☐</t>
        </is>
      </c>
      <c r="B16" t="inlineStr">
        <is>
          <t>Divisora hidráulica 30 piezas</t>
        </is>
      </c>
      <c r="C16" t="inlineStr">
        <is>
          <t>Salva / Sottoriva</t>
        </is>
      </c>
      <c r="D16" t="n">
        <v>4000</v>
      </c>
      <c r="E16" t="n">
        <v>8000</v>
      </c>
      <c r="F16" t="inlineStr">
        <is>
          <t>Recomendado</t>
        </is>
      </c>
    </row>
    <row r="17">
      <c r="A17" t="inlineStr">
        <is>
          <t>☐</t>
        </is>
      </c>
      <c r="B17" t="inlineStr">
        <is>
          <t>Formadora baguettes</t>
        </is>
      </c>
      <c r="C17" t="inlineStr">
        <is>
          <t>Salva / Sottoriva</t>
        </is>
      </c>
      <c r="D17" t="n">
        <v>4000</v>
      </c>
      <c r="E17" t="n">
        <v>9000</v>
      </c>
      <c r="F17" t="inlineStr">
        <is>
          <t>Opcional volumen</t>
        </is>
      </c>
    </row>
    <row r="18">
      <c r="A18" t="inlineStr">
        <is>
          <t>☐</t>
        </is>
      </c>
      <c r="B18" t="inlineStr">
        <is>
          <t>Laminadora (croissant/hojaldre)</t>
        </is>
      </c>
      <c r="C18" t="inlineStr">
        <is>
          <t>Rondo / Sottoriva</t>
        </is>
      </c>
      <c r="D18" t="n">
        <v>8000</v>
      </c>
      <c r="E18" t="n">
        <v>18000</v>
      </c>
      <c r="F18" t="inlineStr">
        <is>
          <t>Solo si bollería laminada</t>
        </is>
      </c>
    </row>
    <row r="19">
      <c r="A19" s="3" t="inlineStr">
        <is>
          <t>FRÍO Y CONGELACIÓN</t>
        </is>
      </c>
    </row>
    <row r="20">
      <c r="A20" t="inlineStr">
        <is>
          <t>☐</t>
        </is>
      </c>
      <c r="B20" t="inlineStr">
        <is>
          <t>Cámara frigorífica MP positiva</t>
        </is>
      </c>
      <c r="C20" t="inlineStr">
        <is>
          <t>Coreco / Infrico</t>
        </is>
      </c>
      <c r="D20" t="n">
        <v>2000</v>
      </c>
      <c r="E20" t="n">
        <v>5000</v>
      </c>
      <c r="F20" t="inlineStr">
        <is>
          <t>CRÍTICO</t>
        </is>
      </c>
    </row>
    <row r="21">
      <c r="A21" t="inlineStr">
        <is>
          <t>☐</t>
        </is>
      </c>
      <c r="B21" t="inlineStr">
        <is>
          <t>Cámara congelador (masa cruda)</t>
        </is>
      </c>
      <c r="C21" t="inlineStr">
        <is>
          <t>Coreco / Infrico</t>
        </is>
      </c>
      <c r="D21" t="n">
        <v>3000</v>
      </c>
      <c r="E21" t="n">
        <v>6000</v>
      </c>
      <c r="F21" t="inlineStr">
        <is>
          <t>Opcional</t>
        </is>
      </c>
    </row>
    <row r="22">
      <c r="A22" s="3" t="inlineStr">
        <is>
          <t>UTILLAJE Y APOYO</t>
        </is>
      </c>
    </row>
    <row r="23">
      <c r="A23" t="inlineStr">
        <is>
          <t>☐</t>
        </is>
      </c>
      <c r="B23" t="inlineStr">
        <is>
          <t>Carros porta-bandejas (×8 unidades)</t>
        </is>
      </c>
      <c r="C23" t="inlineStr">
        <is>
          <t>Iberbox / Edenox</t>
        </is>
      </c>
      <c r="D23" t="n">
        <v>4800</v>
      </c>
      <c r="E23" t="n">
        <v>9600</v>
      </c>
      <c r="F23" t="inlineStr">
        <is>
          <t>CRÍTICO</t>
        </is>
      </c>
    </row>
    <row r="24">
      <c r="A24" t="inlineStr">
        <is>
          <t>☐</t>
        </is>
      </c>
      <c r="B24" t="inlineStr">
        <is>
          <t>Bandejas perforadas baguette / hogaza (×40)</t>
        </is>
      </c>
      <c r="C24" t="inlineStr">
        <is>
          <t>varios</t>
        </is>
      </c>
      <c r="D24" t="n">
        <v>600</v>
      </c>
      <c r="E24" t="n">
        <v>1200</v>
      </c>
      <c r="F24" t="inlineStr">
        <is>
          <t>CRÍTICO</t>
        </is>
      </c>
    </row>
    <row r="25">
      <c r="A25" t="inlineStr">
        <is>
          <t>☐</t>
        </is>
      </c>
      <c r="B25" t="inlineStr">
        <is>
          <t>Mesas trabajo acero inox 2 m (×3)</t>
        </is>
      </c>
      <c r="C25" t="inlineStr">
        <is>
          <t>varios</t>
        </is>
      </c>
      <c r="D25" t="n">
        <v>2400</v>
      </c>
      <c r="E25" t="n">
        <v>4500</v>
      </c>
      <c r="F25" t="inlineStr">
        <is>
          <t>CRÍTICO</t>
        </is>
      </c>
    </row>
    <row r="26">
      <c r="A26" t="inlineStr">
        <is>
          <t>☐</t>
        </is>
      </c>
      <c r="B26" t="inlineStr">
        <is>
          <t>Báscula precisión 0,1 g (mejorantes)</t>
        </is>
      </c>
      <c r="C26" t="inlineStr">
        <is>
          <t>Salter / Tanita</t>
        </is>
      </c>
      <c r="D26" t="n">
        <v>150</v>
      </c>
      <c r="E26" t="n">
        <v>350</v>
      </c>
      <c r="F26" t="inlineStr">
        <is>
          <t>CRÍTICO</t>
        </is>
      </c>
    </row>
    <row r="27">
      <c r="A27" t="inlineStr">
        <is>
          <t>☐</t>
        </is>
      </c>
      <c r="B27" t="inlineStr">
        <is>
          <t>Báscula 30 kg (harinas)</t>
        </is>
      </c>
      <c r="C27" t="inlineStr">
        <is>
          <t>Soehnle / Salter</t>
        </is>
      </c>
      <c r="D27" t="n">
        <v>200</v>
      </c>
      <c r="E27" t="n">
        <v>500</v>
      </c>
      <c r="F27" t="inlineStr">
        <is>
          <t>CRÍTICO</t>
        </is>
      </c>
    </row>
    <row r="28">
      <c r="A28" t="inlineStr">
        <is>
          <t>☐</t>
        </is>
      </c>
      <c r="B28" t="inlineStr">
        <is>
          <t>Termómetros sonda (×2)</t>
        </is>
      </c>
      <c r="C28" t="inlineStr">
        <is>
          <t>Testo / Habor</t>
        </is>
      </c>
      <c r="D28" t="n">
        <v>80</v>
      </c>
      <c r="E28" t="n">
        <v>200</v>
      </c>
      <c r="F28" t="inlineStr">
        <is>
          <t>CRÍTICO</t>
        </is>
      </c>
    </row>
    <row r="29">
      <c r="A29" t="inlineStr">
        <is>
          <t>☐</t>
        </is>
      </c>
      <c r="B29" t="inlineStr">
        <is>
          <t>Cuchillas grigne + lames (×5)</t>
        </is>
      </c>
      <c r="C29" t="inlineStr">
        <is>
          <t>Mure &amp; Peyrot</t>
        </is>
      </c>
      <c r="D29" t="n">
        <v>60</v>
      </c>
      <c r="E29" t="n">
        <v>150</v>
      </c>
      <c r="F29" t="inlineStr">
        <is>
          <t>CRÍTICO</t>
        </is>
      </c>
    </row>
    <row r="30">
      <c r="A30" t="inlineStr">
        <is>
          <t>☐</t>
        </is>
      </c>
      <c r="B30" t="inlineStr">
        <is>
          <t>Pala metálica horno (×2)</t>
        </is>
      </c>
      <c r="C30" t="inlineStr">
        <is>
          <t>varios</t>
        </is>
      </c>
      <c r="D30" t="n">
        <v>80</v>
      </c>
      <c r="E30" t="n">
        <v>200</v>
      </c>
      <c r="F30" t="inlineStr">
        <is>
          <t>CRÍTICO</t>
        </is>
      </c>
    </row>
    <row r="31">
      <c r="A31" t="inlineStr">
        <is>
          <t>☐</t>
        </is>
      </c>
      <c r="B31" t="inlineStr">
        <is>
          <t>Rejillas enfriamiento (×20)</t>
        </is>
      </c>
      <c r="C31" t="inlineStr">
        <is>
          <t>varios</t>
        </is>
      </c>
      <c r="D31" t="n">
        <v>200</v>
      </c>
      <c r="E31" t="n">
        <v>500</v>
      </c>
      <c r="F31" t="inlineStr">
        <is>
          <t>CRÍTICO</t>
        </is>
      </c>
    </row>
    <row r="32">
      <c r="A32" s="3" t="inlineStr">
        <is>
          <t>TIENDA</t>
        </is>
      </c>
    </row>
    <row r="33">
      <c r="A33" t="inlineStr">
        <is>
          <t>☐</t>
        </is>
      </c>
      <c r="B33" t="inlineStr">
        <is>
          <t>Vitrina expositora refrigerada</t>
        </is>
      </c>
      <c r="C33" t="inlineStr">
        <is>
          <t>Edenox / Infrico</t>
        </is>
      </c>
      <c r="D33" t="n">
        <v>4000</v>
      </c>
      <c r="E33" t="n">
        <v>9000</v>
      </c>
      <c r="F33" t="inlineStr">
        <is>
          <t>CRÍTICO</t>
        </is>
      </c>
    </row>
    <row r="34">
      <c r="A34" t="inlineStr">
        <is>
          <t>☐</t>
        </is>
      </c>
      <c r="B34" t="inlineStr">
        <is>
          <t>Vitrina seca pan + cestos mimbre/madera</t>
        </is>
      </c>
      <c r="C34" t="inlineStr">
        <is>
          <t>varios artesanos</t>
        </is>
      </c>
      <c r="D34" t="n">
        <v>1500</v>
      </c>
      <c r="E34" t="n">
        <v>3500</v>
      </c>
      <c r="F34" t="inlineStr">
        <is>
          <t>CRÍTICO</t>
        </is>
      </c>
    </row>
    <row r="35">
      <c r="A35" t="inlineStr">
        <is>
          <t>☐</t>
        </is>
      </c>
      <c r="B35" t="inlineStr">
        <is>
          <t>TPV + cajón + impresora tickets</t>
        </is>
      </c>
      <c r="C35" t="inlineStr">
        <is>
          <t>Yumbi / Suite4</t>
        </is>
      </c>
      <c r="D35" t="n">
        <v>2000</v>
      </c>
      <c r="E35" t="n">
        <v>4000</v>
      </c>
      <c r="F35" t="inlineStr">
        <is>
          <t>CRÍTICO</t>
        </is>
      </c>
    </row>
    <row r="36">
      <c r="A36" t="inlineStr">
        <is>
          <t>☐</t>
        </is>
      </c>
      <c r="B36" t="inlineStr">
        <is>
          <t>Lector códigos barras (B2B Horeca albaranes)</t>
        </is>
      </c>
      <c r="C36" t="inlineStr">
        <is>
          <t>varios</t>
        </is>
      </c>
      <c r="D36" t="n">
        <v>150</v>
      </c>
      <c r="E36" t="n">
        <v>300</v>
      </c>
      <c r="F36" t="inlineStr">
        <is>
          <t>Recomendado</t>
        </is>
      </c>
    </row>
    <row r="37">
      <c r="A37" t="inlineStr">
        <is>
          <t>☐</t>
        </is>
      </c>
      <c r="B37" t="inlineStr">
        <is>
          <t>Iluminación cálida dirigida vitrina</t>
        </is>
      </c>
      <c r="C37" t="inlineStr">
        <is>
          <t>varios LED</t>
        </is>
      </c>
      <c r="D37" t="n">
        <v>800</v>
      </c>
      <c r="E37" t="n">
        <v>1800</v>
      </c>
      <c r="F37" t="inlineStr">
        <is>
          <t>CRÍTICO</t>
        </is>
      </c>
    </row>
    <row r="38"/>
    <row r="39">
      <c r="B39" s="4" t="inlineStr">
        <is>
          <t>Tareas completadas:</t>
        </is>
      </c>
      <c r="C39">
        <f>COUNTIF(A4:A37,"✓")</f>
        <v>0.0</v>
      </c>
      <c r="D39" t="inlineStr">
        <is>
          <t>de</t>
        </is>
      </c>
      <c r="E39">
        <f>COUNTIF(B4:B37,"?*")</f>
        <v>27.0</v>
      </c>
    </row>
  </sheetData>
  <mergeCells count="8">
    <mergeCell ref="A32:F32"/>
    <mergeCell ref="A8:F8"/>
    <mergeCell ref="A12:F12"/>
    <mergeCell ref="A19:F19"/>
    <mergeCell ref="A22:F22"/>
    <mergeCell ref="A4:F4"/>
    <mergeCell ref="A1:F1"/>
    <mergeCell ref="A15:F15"/>
  </mergeCells>
  <conditionalFormatting sqref="A4:F37">
    <cfRule type="expression" priority="1" dxfId="0">
      <formula>$A4="✓"</formula>
    </cfRule>
  </conditionalFormatting>
  <dataValidations count="1">
    <dataValidation sqref="A5 A6 A7 A9 A10 A11 A13 A14 A16 A17 A18 A20 A21 A23 A24 A25 A26 A27 A28 A29 A30 A31 A33 A34 A35 A36 A37" showDropDown="0" showInputMessage="0" showErrorMessage="0" allowBlank="1" type="list">
      <formula1>"✓,☐,N/A"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Equipamiento Completo Obrador Panadería · Cómo Montar una Panadería con Obrador</dc:title>
  <dc:description xmlns:dc="http://purl.org/dc/elements/1.1/">aichef.pro/guia-panaderia-obrador</dc:description>
  <dc:subject xmlns:dc="http://purl.org/dc/elements/1.1/">Cómo Montar una Panadería con Obrador · v1.1</dc:subject>
  <dcterms:created xmlns:dcterms="http://purl.org/dc/terms/" xmlns:xsi="http://www.w3.org/2001/XMLSchema-instance" xsi:type="dcterms:W3CDTF">2026-05-13T21:01:00Z</dcterms:created>
  <dcterms:modified xmlns:dcterms="http://purl.org/dc/terms/" xmlns:xsi="http://www.w3.org/2001/XMLSchema-instance" xsi:type="dcterms:W3CDTF">2026-08-22T09:12:28Z</dcterms:modified>
  <cp:lastModifiedBy>AI Chef Pro</cp:lastModifiedBy>
  <cp:category>AI Chef Pro · Productos digitales</cp:category>
  <cp:keywords>guia panaderia obrador, AI Chef Pro</cp:keywords>
</cp:coreProperties>
</file>