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rmits Checklist (P1-P6)" sheetId="2" state="visible" r:id="rId2"/>
    <sheet xmlns:r="http://schemas.openxmlformats.org/officeDocument/2006/relationships" name="Which Permit Do I Need" sheetId="3" state="visible" r:id="rId3"/>
    <sheet xmlns:r="http://schemas.openxmlformats.org/officeDocument/2006/relationships" name="Selling Wholesale" sheetId="4" state="visible" r:id="rId4"/>
    <sheet xmlns:r="http://schemas.openxmlformats.org/officeDocument/2006/relationships" name="Cottage Food Route" sheetId="5" state="visible" r:id="rId5"/>
    <sheet xmlns:r="http://schemas.openxmlformats.org/officeDocument/2006/relationships" name="Training Log" sheetId="6" state="visible" r:id="rId6"/>
    <sheet xmlns:r="http://schemas.openxmlformats.org/officeDocument/2006/relationships" name="Timeline and Critical Path" sheetId="7" state="visible" r:id="rId7"/>
  </sheets>
  <definedNames>
    <definedName name="_xlnm.Print_Area" localSheetId="0">'Instructions'!$A$1:$C$36</definedName>
    <definedName name="_xlnm.Print_Titles" localSheetId="1">'Permits Checklist (P1-P6)'!$5:$5</definedName>
    <definedName name="_xlnm.Print_Area" localSheetId="1">'Permits Checklist (P1-P6)'!$A$1:$K$77</definedName>
    <definedName name="_xlnm.Print_Area" localSheetId="2">'Which Permit Do I Need'!$A$1:$C$38</definedName>
    <definedName name="_xlnm.Print_Area" localSheetId="3">'Selling Wholesale'!$A$1:$F$51</definedName>
    <definedName name="_xlnm.Print_Area" localSheetId="4">'Cottage Food Route'!$A$1:$C$59</definedName>
    <definedName name="_xlnm.Print_Titles" localSheetId="5">'Training Log'!$5:$5</definedName>
    <definedName name="_xlnm.Print_Area" localSheetId="5">'Training Log'!$A$1:$H$21</definedName>
    <definedName name="_xlnm.Print_Titles" localSheetId="6">'Timeline and Critical Path'!$8:$8</definedName>
    <definedName name="_xlnm.Print_Area" localSheetId="6">'Timeline and Critical Path'!$A$1:$O$86</definedName>
  </definedNames>
  <calcPr calcId="124519" fullCalcOnLoad="1"/>
</workbook>
</file>

<file path=xl/styles.xml><?xml version="1.0" encoding="utf-8"?>
<styleSheet xmlns="http://schemas.openxmlformats.org/spreadsheetml/2006/main">
  <numFmts count="6">
    <numFmt numFmtId="164" formatCode="mm/dd/yyyy"/>
    <numFmt numFmtId="165" formatCode="mm/dd/yyyy"/>
    <numFmt numFmtId="166" formatCode="#,##0.00"/>
    <numFmt numFmtId="167" formatCode="0.0%"/>
    <numFmt numFmtId="168" formatCode="#,##0.0"/>
    <numFmt numFmtId="169" formatCode="[=999]&quot;&quot;;0.0"/>
  </numFmts>
  <fonts count="11">
    <font>
      <name val="Calibri"/>
      <family val="2"/>
      <color theme="1"/>
      <sz val="11"/>
      <scheme val="minor"/>
    </font>
    <font>
      <b val="1"/>
      <color rgb="00FFD700"/>
      <sz val="16"/>
    </font>
    <font>
      <color rgb="00808080"/>
      <sz val="9"/>
    </font>
    <font>
      <i val="1"/>
      <sz val="9"/>
    </font>
    <font>
      <b val="1"/>
      <color rgb="00FFD700"/>
      <sz val="11"/>
    </font>
    <font>
      <b val="1"/>
      <color rgb="00FFFFFF"/>
      <sz val="9"/>
    </font>
    <font>
      <b val="1"/>
      <color theme="1"/>
      <sz val="11"/>
    </font>
    <font>
      <sz val="9"/>
    </font>
    <font>
      <b val="1"/>
      <i val="1"/>
      <color rgb="00808080"/>
      <sz val="9"/>
    </font>
    <font>
      <b val="1"/>
      <sz val="9"/>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2" borderId="0" pivotButton="0" quotePrefix="0" xfId="0"/>
    <xf numFmtId="0" fontId="0" fillId="3"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3" borderId="0" applyAlignment="1" applyProtection="1" pivotButton="0" quotePrefix="0" xfId="0">
      <alignment horizontal="center" vertical="top"/>
      <protection locked="0" hidden="0"/>
    </xf>
    <xf numFmtId="165" fontId="0" fillId="3" borderId="0" applyProtection="1" pivotButton="0" quotePrefix="0" xfId="0">
      <protection locked="0" hidden="0"/>
    </xf>
    <xf numFmtId="0" fontId="10" fillId="4" borderId="0" pivotButton="0" quotePrefix="0" xfId="0"/>
    <xf numFmtId="3" fontId="10" fillId="4" borderId="0" pivotButton="0" quotePrefix="0" xfId="0"/>
    <xf numFmtId="166" fontId="10" fillId="4" borderId="0" pivotButton="0" quotePrefix="0" xfId="0"/>
    <xf numFmtId="167" fontId="10" fillId="4" borderId="0" pivotButton="0" quotePrefix="0" xfId="0"/>
    <xf numFmtId="0" fontId="3" fillId="4" borderId="0" applyAlignment="1" pivotButton="0" quotePrefix="0" xfId="0">
      <alignment horizontal="general" vertical="top" wrapText="1"/>
    </xf>
    <xf numFmtId="166" fontId="0" fillId="3" borderId="0" applyProtection="1" pivotButton="0" quotePrefix="0" xfId="0">
      <protection locked="0" hidden="0"/>
    </xf>
    <xf numFmtId="3" fontId="0" fillId="0" borderId="0" pivotButton="0" quotePrefix="0" xfId="0"/>
    <xf numFmtId="166"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0" fontId="6" fillId="0" borderId="0" pivotButton="0" quotePrefix="0" xfId="0"/>
    <xf numFmtId="0" fontId="6" fillId="0" borderId="0" applyAlignment="1" pivotButton="0" quotePrefix="0" xfId="0">
      <alignment vertical="top" wrapText="1"/>
    </xf>
    <xf numFmtId="168" fontId="0" fillId="3" borderId="0" applyProtection="1" pivotButton="0" quotePrefix="0" xfId="0">
      <protection locked="0" hidden="0"/>
    </xf>
    <xf numFmtId="10" fontId="0" fillId="3" borderId="0" applyProtection="1" pivotButton="0" quotePrefix="0" xfId="0">
      <protection locked="0" hidden="0"/>
    </xf>
    <xf numFmtId="168" fontId="10" fillId="4" borderId="0" pivotButton="0" quotePrefix="0" xfId="0"/>
    <xf numFmtId="10" fontId="10" fillId="4" borderId="0" pivotButton="0" quotePrefix="0" xfId="0"/>
    <xf numFmtId="167" fontId="0" fillId="3" borderId="0" applyAlignment="1" applyProtection="1" pivotButton="0" quotePrefix="0" xfId="0">
      <alignment horizontal="center" vertical="top"/>
      <protection locked="0" hidden="0"/>
    </xf>
    <xf numFmtId="10" fontId="0" fillId="0" borderId="0" pivotButton="0" quotePrefix="0" xfId="0"/>
    <xf numFmtId="168" fontId="0" fillId="3" borderId="0" applyAlignment="1" applyProtection="1" pivotButton="0" quotePrefix="0" xfId="0">
      <alignment horizontal="center" vertical="top"/>
      <protection locked="0" hidden="0"/>
    </xf>
    <xf numFmtId="168" fontId="0" fillId="0" borderId="0" pivotButton="0" quotePrefix="0" xfId="0"/>
    <xf numFmtId="3" fontId="6" fillId="0" borderId="0" pivotButton="0" quotePrefix="0" xfId="0"/>
    <xf numFmtId="3" fontId="0" fillId="0" borderId="0" applyAlignment="1" pivotButton="0" quotePrefix="0" xfId="0">
      <alignment horizontal="center" vertical="top"/>
    </xf>
    <xf numFmtId="165" fontId="0" fillId="0" borderId="0" pivotButton="0" quotePrefix="0" xfId="0"/>
    <xf numFmtId="3" fontId="0" fillId="3" borderId="0" applyProtection="1" pivotButton="0" quotePrefix="0" xfId="0">
      <protection locked="0" hidden="0"/>
    </xf>
    <xf numFmtId="169" fontId="0" fillId="0" borderId="0" pivotButton="0" quotePrefix="0" xfId="0"/>
    <xf numFmtId="168" fontId="6" fillId="0" borderId="0" pivotButton="0" quotePrefix="0" xfId="0"/>
    <xf numFmtId="168" fontId="0" fillId="0" borderId="0" applyAlignment="1" pivotButton="0" quotePrefix="0" xfId="0">
      <alignment horizontal="center" vertical="top"/>
    </xf>
  </cellXfs>
  <cellStyles count="1">
    <cellStyle name="Normal" xfId="0" builtinId="0" hidden="0"/>
  </cellStyles>
  <dxfs count="2">
    <dxf>
      <font>
        <b val="1"/>
        <color rgb="009C65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C8" authorId="0" shapeId="0">
      <text>
        <t>Verified October 2026 · International Mechanical Code §507, as adopted in Minnesota Rule 1346.0507 (Type I and Type II hoods; UL 710B exception for listed electric appliances; single light-duty electric oven up to 3.7 kW) · https://www.revisor.mn.gov/rules/pdf/1346.0507/2015-01-28%2011:30:27+00:00</t>
      </text>
    </comment>
    <comment ref="C16" authorId="0" shapeId="0">
      <text>
        <t>Verified October 2026 · IRS, Get an Employer Identification Number (free; required with employees or a multi-member LLC) · https://www.irs.gov/businesses/small-businesses-self-employed/get-an-employer-identification-number</t>
      </text>
    </comment>
    <comment ref="C31" authorId="0" shapeId="0">
      <text>
        <t>Verified October 2026 · City of Shakopee, MN (local example): Type I hood systems under NFPA 96 and a Class K extinguisher, checked by the fire marshal · https://shakopeemn.gov/home/showpublisheddocument/5377/637708611310000000</t>
      </text>
    </comment>
    <comment ref="C33" authorId="0" shapeId="0">
      <text>
        <t>Verified October 2026 · ADA Standards for Accessible Design, §904.4.1 (sales and service counters) · https://www.access-board.gov/ada/chapter/ch09/</t>
      </text>
    </comment>
    <comment ref="C37" authorId="0" shapeId="0">
      <text>
        <t>Verified October 2026 · FDA Food Code 2022, §8-201.11 and Part 8-3 (plan review, pre-opening inspection and permit) · https://www.fda.gov/media/164194/download · 21 CFR 1.226(c) (retail food establishments don't register with FDA) · https://www.ecfr.gov/current/title-21/section-1.226</t>
      </text>
    </comment>
    <comment ref="C38" authorId="0" shapeId="0">
      <text>
        <t>Verified October 2026 · 21 CFR 1.226(c) and 1.227 (retail food establishments are exempt from FDA food facility registration while sales directly to consumers exceed sales to all other buyers; consumers don't include businesses) · https://www.ecfr.gov/current/title-21/section-1.227</t>
      </text>
    </comment>
    <comment ref="C39" authorId="0" shapeId="0">
      <text>
        <t>Verified October 2026 · FDA Food Code 2022, §2-102.12 (the person in charge is a certified food protection manager) · https://www.fda.gov/media/164194/download</t>
      </text>
    </comment>
    <comment ref="C40" authorId="0" shapeId="0">
      <text>
        <t>Verified October 2026 · FDA Food Code 2022, §2-103.11(O) (employees trained in food safety, including food allergy awareness) · https://www.fda.gov/media/164194/download · California H&amp;S Code §113948 (food handler card within 30 days of hire, valid 3 years) · https://california.public.law/codes/health_and_safety_code_section_113948</t>
      </text>
    </comment>
    <comment ref="C41" authorId="0" shapeId="0">
      <text>
        <t>Verified October 2026 · FDA Food Code 2022, §3-602.12(C) (written notice of major food allergens in unpackaged food) · https://www.fda.gov/media/164194/download · FDA, the 9 major food allergens (sesame since January 1, 2023) · https://www.fda.gov/food/nutrition-food-labeling-and-critical-foods/food-allergies</t>
      </text>
    </comment>
    <comment ref="C42" authorId="0" shapeId="0">
      <text>
        <t>Verified October 2026 · U.S. Department of Labor, Wage and Hour Division: FLSA (records of hours worked; overtime over 40 hours a week at 1.5×) · https://www.dol.gov/agencies/whd/flsa · https://www.dol.gov/agencies/whd/overtime</t>
      </text>
    </comment>
    <comment ref="C46" authorId="0" shapeId="0">
      <text>
        <t>Verified October 2026 · U.S. Department of Labor, State Minimum Wage Laws (updated July 1, 2026) · https://www.dol.gov/agencies/whd/minimum-wage/state</t>
      </text>
    </comment>
    <comment ref="C47" authorId="0" shapeId="0">
      <text>
        <t>Verified October 2026 · U.S. Department of Labor, Fact Sheet #43 (child labor, non-agricultural jobs; Hazardous Order 11, power-driven bakery machines) · https://www.dol.gov/agencies/whd/fact-sheets/43-child-labor-non-agriculture</t>
      </text>
    </comment>
    <comment ref="C48" authorId="0" shapeId="0">
      <text>
        <t>Requirement varies by state: ask your state tax agency how it wants to-go and for-here sales recorded before you set up the POS.</t>
      </text>
    </comment>
    <comment ref="C49" authorId="0" shapeId="0">
      <text>
        <t>Verified October 2026 · FDA Food Code 2022, §3-602.11(B) (labels on food packaged in the establishment) · https://www.fda.gov/media/164194/download · NYSDEC, expanded polystyrene foam ban (January 1, 2022) · https://dec.ny.gov/environmental-protection/recycling-composting/go-foam-free</t>
      </text>
    </comment>
    <comment ref="C50" authorId="0" shapeId="0">
      <text>
        <t>Verified October 2026 · Bakery sales tax by state: California CDTFA, Regulation 1603 · https://cdtfa.ca.gov/lawguides/vol1/sutr/1603.html · Texas Comptroller, 34 TAC §3.293 · https://comptroller.texas.gov/taxes/publications/94-117.php · New York, TB-ST-283 · https://www.tax.ny.gov/pubs_and_bulls/tg_bulletins/st/food_sold_by_food_stores.htm · Florida DOR, TIP 10A01-22 · https://floridarevenue.com/taxes/tips/documents/TIP_10A01-22.pdf</t>
      </text>
    </comment>
  </commentList>
</comments>
</file>

<file path=xl/comments/comment2.xml><?xml version="1.0" encoding="utf-8"?>
<comments xmlns="http://schemas.openxmlformats.org/spreadsheetml/2006/main">
  <authors>
    <author>AI Chef Pro</author>
  </authors>
  <commentList>
    <comment ref="B6" authorId="0" shapeId="0">
      <text>
        <t>Verified October 2026 · FDA Food Code 2022, §8-201.11 and Part 8-3 (plan review, pre-opening inspection and permit) · https://www.fda.gov/media/164194/download · 21 CFR 1.226(c) (retail food establishments don't register with FDA) · https://www.ecfr.gov/current/title-21/section-1.226</t>
      </text>
    </comment>
    <comment ref="B7" authorId="0" shapeId="0">
      <text>
        <t>Verified October 2026 · 21 CFR 1.226(c) and 1.227 (retail food establishments are exempt from FDA food facility registration while sales directly to consumers exceed sales to all other buyers; consumers don't include businesses) · https://www.ecfr.gov/current/title-21/section-1.227</t>
      </text>
    </comment>
    <comment ref="B8" authorId="0" shapeId="0">
      <text>
        <t>Requirement varies by state and county: ask your local health department (or, in New York and Florida, the state agriculture department) how it permits a second location.</t>
      </text>
    </comment>
    <comment ref="B12" authorId="0" shapeId="0">
      <text>
        <t>Verified October 2026 · FDA Food Code 2022, §8-201.11 and Part 8-3 (plan review, pre-opening inspection and permit) · https://www.fda.gov/media/164194/download · 21 CFR 1.226(c) (retail food establishments don't register with FDA) · https://www.ecfr.gov/current/title-21/section-1.226</t>
      </text>
    </comment>
    <comment ref="B14" authorId="0" shapeId="0">
      <text>
        <t>Verified October 2026 · FDA Food Code 2022, §8-201.11 and Part 8-3 (plan review, pre-opening inspection and permit) · https://www.fda.gov/media/164194/download · 21 CFR 1.226(c) (retail food establishments don't register with FDA) · https://www.ecfr.gov/current/title-21/section-1.226</t>
      </text>
    </comment>
    <comment ref="B15" authorId="0" shapeId="0">
      <text>
        <t>Verified October 2026 · Texas DSHS, Retail Food Establishments (local health departments issue permits; DSHS where there is none) · https://dshs.texas.gov/retail-food-establishments · City of Austin food permit fee schedule FY 2025-26 · https://www.dshs.texas.gov/sites/default/files/foodestablishments/pdf/Local%20Ordinance%20Registry/final-city-of-austin-adopted-fy25-26-food-permit-fee-schedule.pdf</t>
      </text>
    </comment>
    <comment ref="B16" authorId="0" shapeId="0">
      <text>
        <t>Requirement varies by state and county: ask your local health department (or, in New York and Florida, the state agriculture department) how it permits a second location.</t>
      </text>
    </comment>
  </commentList>
</comments>
</file>

<file path=xl/comments/comment3.xml><?xml version="1.0" encoding="utf-8"?>
<comments xmlns="http://schemas.openxmlformats.org/spreadsheetml/2006/main">
  <authors>
    <author>AI Chef Pro</author>
  </authors>
  <commentList>
    <comment ref="B6" authorId="0" shapeId="0">
      <text>
        <t>Verified October 2026 · 21 CFR 1.226(c) and 1.227 (retail food establishments are exempt from FDA food facility registration while sales directly to consumers exceed sales to all other buyers; consumers don't include businesses) · https://www.ecfr.gov/current/title-21/section-1.227</t>
      </text>
    </comment>
    <comment ref="B20" authorId="0" shapeId="0">
      <text>
        <t>Verified October 2026 · 21 CFR 1.227 (retail food establishment: the annual value of sales directly to consumers exceeds sales to all other buyers; consumers don't include businesses) · https://www.ecfr.gov/current/title-21/section-1.227</t>
      </text>
    </comment>
    <comment ref="B23" authorId="0" shapeId="0">
      <text>
        <t>Verified October 2026 · 21 CFR 1.227 (retail food establishment: the annual value of sales directly to consumers exceeds sales to all other buyers; consumers don't include businesses) · https://www.ecfr.gov/current/title-21/section-1.227</t>
      </text>
    </comment>
    <comment ref="B29" authorId="0" shapeId="0">
      <text>
        <t>Verified October 2026 · FDA Food Code 2022, §3-501.16 (cold holding of TCS food at 41 °F or below) · https://www.fda.gov/media/164194/download</t>
      </text>
    </comment>
    <comment ref="B30" authorId="0" shapeId="0">
      <text>
        <t>Verified October 2026 · FDA Food Code 2022, §3-501.16 (cold holding of TCS food at 41 °F or below) · https://www.fda.gov/media/164194/download</t>
      </text>
    </comment>
    <comment ref="B36" authorId="0" shapeId="0">
      <text>
        <t>Verified October 2026 · FDA Food Code 2022, §3-602.11(B) (labels on food packaged in the establishment) and §3-602.12(C) (written allergen notice for unpackaged food) · https://www.fda.gov/media/164194/download</t>
      </text>
    </comment>
    <comment ref="B41" authorId="0" shapeId="0">
      <text>
        <t>Verified October 2026 · 21 CFR 1.226(c) and 1.227 (retail food establishments are exempt from FDA food facility registration while sales directly to consumers exceed sales to all other buyers; consumers don't include businesses) · https://www.ecfr.gov/current/title-21/section-1.227</t>
      </text>
    </comment>
    <comment ref="B42" authorId="0" shapeId="0">
      <text>
        <t>Verified October 2026 · FDA Food Code 2022, §3-602.11(B) (labels on food packaged in the establishment) and §3-602.12(C) (written allergen notice for unpackaged food) · https://www.fda.gov/media/164194/download</t>
      </text>
    </comment>
  </commentList>
</comments>
</file>

<file path=xl/comments/comment4.xml><?xml version="1.0" encoding="utf-8"?>
<comments xmlns="http://schemas.openxmlformats.org/spreadsheetml/2006/main">
  <authors>
    <author>AI Chef Pro</author>
  </authors>
  <commentList>
    <comment ref="B9" authorId="0" shapeId="0">
      <text>
        <t>Verified October 2026 · Texas DSHS, Cottage Food Production Operations (SB 541: TCS foods allowed with DSHS registration; compliance from September 1, 2025) · https://www.dshs.texas.gov/foodestablishments/cfpo</t>
      </text>
    </comment>
    <comment ref="B13" authorId="0" shapeId="0">
      <text>
        <t>Verified October 2026 · Annual cottage food sales caps: California $88,878 (Class A) / $177,756 (Class B) in 2026, CDPH · https://www.cdph.ca.gov/Programs/CEH/DFDCS/CDPH%20Document%20Library/FDB/FoodSafetyProgram/CottageFood/CFOAdjustedGrossAnnualSalesLimit2026.pdf · Texas $150,000, DSHS · https://www.dshs.texas.gov/foodestablishments/cfpo · Florida $250,000, Florida Statutes §500.80 · http://www.leg.state.fl.us/statutes/index.cfm?App_mode=Display_Statute&amp;URL=0500-0599/0500/Sections/0500.80.html · New York's page lists no cap. They cap sales, not weight: the kilo ceiling on this sheet is our own.</t>
      </text>
    </comment>
    <comment ref="B15" authorId="0" shapeId="0">
      <text>
        <t>HOUSE CRITERION, not a legal one. Cottage food rules ask what you sell and how much you earn; there's no legal volume-for-space figure behind this one. We propose it so you can measure the question. It's debatable and you can change it; what you shouldn't do is skip it, because too much volume in a small home kitchen is where food safety slips.</t>
      </text>
    </comment>
    <comment ref="B18" authorId="0" shapeId="0">
      <text>
        <t>Verified October 2026 · Annual cottage food sales caps: California $88,878 (Class A) / $177,756 (Class B) in 2026, CDPH · https://www.cdph.ca.gov/Programs/CEH/DFDCS/CDPH%20Document%20Library/FDB/FoodSafetyProgram/CottageFood/CFOAdjustedGrossAnnualSalesLimit2026.pdf · Texas $150,000, DSHS · https://www.dshs.texas.gov/foodestablishments/cfpo · Florida $250,000, Florida Statutes §500.80 · http://www.leg.state.fl.us/statutes/index.cfm?App_mode=Display_Statute&amp;URL=0500-0599/0500/Sections/0500.80.html · New York's page lists no cap. They cap sales, not weight: the kilo ceiling on this sheet is our own.</t>
      </text>
    </comment>
    <comment ref="A26" authorId="0" shapeId="0">
      <text>
        <t>Verified October 2026 · Cottage food rules by state: California, CDPH · https://www.cdph.ca.gov/Programs/CEH/DFDCS/CDPH%20Document%20Library/FDB/FoodSafetyProgram/CottageFood/CFOAdjustedGrossAnnualSalesLimit2026.pdf · Texas, DSHS · https://www.dshs.texas.gov/foodestablishments/cfpo · New York, Agriculture and Markets (home processing) · https://agriculture.ny.gov/food-safety/home-processing · Florida Statutes §500.80 · http://www.leg.state.fl.us/statutes/index.cfm?App_mode=Display_Statute&amp;URL=0500-0599/0500/Sections/0500.80.html</t>
      </text>
    </comment>
    <comment ref="A31" authorId="0" shapeId="0">
      <text>
        <t>Verified October 2026 · Cottage food rules by state: California, CDPH · https://www.cdph.ca.gov/Programs/CEH/DFDCS/CDPH%20Document%20Library/FDB/FoodSafetyProgram/CottageFood/CFOAdjustedGrossAnnualSalesLimit2026.pdf · Texas, DSHS · https://www.dshs.texas.gov/foodestablishments/cfpo · New York, Agriculture and Markets (home processing) · https://agriculture.ny.gov/food-safety/home-processing · Florida Statutes §500.80 · http://www.leg.state.fl.us/statutes/index.cfm?App_mode=Display_Statute&amp;URL=0500-0599/0500/Sections/0500.80.html</t>
      </text>
    </comment>
    <comment ref="B36" authorId="0" shapeId="0">
      <text>
        <t>Verified October 2026 · Texas DSHS, Cottage Food Production Operations (label statement and allergens; TCS items: production date and safe-handling instructions) · https://www.dshs.texas.gov/foodestablishments/cfpo</t>
      </text>
    </comment>
  </commentList>
</comments>
</file>

<file path=xl/comments/comment5.xml><?xml version="1.0" encoding="utf-8"?>
<comments xmlns="http://schemas.openxmlformats.org/spreadsheetml/2006/main">
  <authors>
    <author>AI Chef Pro</author>
  </authors>
  <commentList>
    <comment ref="B13" authorId="0" shapeId="0">
      <text>
        <t>HOUSE CRITERION. Card and certificate validity is set by your state or the issuing program (a California food handler card lasts 3 years), so use the shortest one that applies to your team, or your own refresher policy if it's shorter. Two years is a reasonable pace to refresh and keep proof; set what you decide and stick to it.</t>
      </text>
    </comment>
    <comment ref="A21" authorId="0" shapeId="0">
      <text>
        <t>Verified October 2026 · FDA Food Code 2022, §2-103.11(O) (employees trained in food safety, including food allergy awareness) · https://www.fda.gov/media/164194/download · California H&amp;S Code §113948 (food handler card within 30 days of hire, valid 3 years) · https://california.public.law/codes/health_and_safety_code_section_113948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44" customWidth="1" min="1" max="1"/>
    <col width="44" customWidth="1" min="2" max="2"/>
    <col width="44" customWidth="1" min="3" max="3"/>
  </cols>
  <sheetData>
    <row r="1" ht="26" customHeight="1">
      <c r="A1" s="1" t="inlineStr">
        <is>
          <t>Permits, Licenses and Opening Timeline Checklist</t>
        </is>
      </c>
    </row>
    <row r="2">
      <c r="A2" s="2" t="inlineStr">
        <is>
          <t>AI Chef Pro · aichef.pro — How to Open a Pastry Shop</t>
        </is>
      </c>
    </row>
    <row r="3">
      <c r="A3" s="3" t="inlineStr">
        <is>
          <t>What it's for: knowing which permits apply to you, in what order, which agency issues your food permit and when you can open.</t>
        </is>
      </c>
    </row>
    <row r="4"/>
    <row r="5">
      <c r="A5" s="4" t="inlineStr">
        <is>
          <t>How to use it</t>
        </is>
      </c>
    </row>
    <row r="6" ht="62" customHeight="1">
      <c r="A6" s="5" t="inlineStr">
        <is>
          <t>1. "Permits Checklist (P1-P6)" sheet: the thirty steps in the order you do them, in six phases. Mark the status, enter the cost you're quoted and what you end up paying, and add both dates. Each phase has its own counter and % complete; at the bottom you get the summary of everything and the variance between budget and actual.</t>
        </is>
      </c>
    </row>
    <row r="7" ht="62" customHeight="1">
      <c r="A7" s="5" t="inlineStr">
        <is>
          <t>2. "Which Permit Do I Need" sheet: three questions and a verdict. It clears up a common mix-up: a bakery that sells directly to consumers is a retail food establishment, does NOT register with FDA, and gets its food permit from the local health department (or, in New York and Florida, from the state agriculture department if it bakes and sells to go).</t>
        </is>
      </c>
    </row>
    <row r="8" ht="62" customHeight="1">
      <c r="A8" s="5" t="inlineStr">
        <is>
          <t>3. "Selling Wholesale" sheet: the FDA 50% line, with its gateway question first. If you don't sell to other businesses, it doesn't apply and the sheet says so on the first line. If it does, there are three checks (the 50% line, cold chain and labels), and the 50% line can be measured TWO alternative ways.</t>
        </is>
      </c>
    </row>
    <row r="9" ht="62" customHeight="1">
      <c r="A9" s="5" t="inlineStr">
        <is>
          <t>4. "Cottage Food Route" sheet: if you're thinking of starting from home. Three checks (a weekly volume ceiling, volume for your space and records that prove you're under your state's sales cap), what each of the four example states lets you sell, the channel rules and the label statement. Watch Texas: since September 1, 2025 it allows cream cakes and cheesecake from home with DSHS registration.</t>
        </is>
      </c>
    </row>
    <row r="10" ht="62" customHeight="1">
      <c r="A10" s="5" t="inlineStr">
        <is>
          <t>5. "Training Log" sheet: one line per person with the date, the certificate or card and the renewal date. The person in charge must be a certified food protection manager (CFPM); food handler card rules depend on your state.</t>
        </is>
      </c>
    </row>
    <row r="11" ht="62" customHeight="1">
      <c r="A11" s="5" t="inlineStr">
        <is>
          <t>6. "Timeline and Critical Path" sheet: twelve milestones with their durations and dependencies. The sheet works out when each one starts and ends, how much slack it has, which ones are on the critical path (the ones where a day late means opening a day late) and which month you end up opening. And it warns you if that date falls inside a peak season.</t>
        </is>
      </c>
    </row>
    <row r="12"/>
    <row r="13">
      <c r="A13" s="6" t="inlineStr">
        <is>
          <t>Green cells = fields you can edit</t>
        </is>
      </c>
    </row>
    <row r="14"/>
    <row r="15">
      <c r="A15" s="4" t="inlineStr">
        <is>
          <t>What to know before you start</t>
        </is>
      </c>
    </row>
    <row r="16" ht="72" customHeight="1">
      <c r="A16" s="5" t="inlineStr">
        <is>
          <t>THE MOST COMMON MIX-UP IS IN THE SECOND SHEET. A bakery that sells directly to consumers is a retail food establishment and does NOT register with FDA: retail food establishments are exempt (21 CFR 1.226(c)). What it needs is a food permit from the local health department or, in New York and Florida, from the state agriculture department if it bakes and sells to go. Don't hold your opening waiting for an FDA registration nobody asked you for.</t>
        </is>
      </c>
    </row>
    <row r="17" ht="72" customHeight="1">
      <c r="A17" s="5" t="inlineStr">
        <is>
          <t>THE FOOD PERMIT COMES AFTER THE PRE-OPENING INSPECTION, and that cuts both ways: you can't open until it's issued, and having your plans approved doesn't mean you have it.</t>
        </is>
      </c>
    </row>
    <row r="18" ht="72" customHeight="1">
      <c r="A18" s="5" t="inlineStr">
        <is>
          <t>WHAT CHANGES BY STATE IS FLAGGED. The checklist has a column that says so step by step. The workbook uses four states as EXAMPLES (California, Texas, New York and Florida) because they permit the same bakery in very different ways. If yours isn't one of them, search "[your county] environmental health food facility plan check" (or "[your city] food establishment plan review"), and check your state department of agriculture too.</t>
        </is>
      </c>
    </row>
    <row r="19" ht="72" customHeight="1">
      <c r="A19" s="5" t="inlineStr">
        <is>
          <t>COSTS WE DON'T KNOW AREN'T MADE UP. Steps whose cost depends on your city, county or vendor say "Get a quote" in the green cell, and the summary tells you how many are still pending. A guessed number for a city fee is worse than a blank: at least you can see a blank.</t>
        </is>
      </c>
    </row>
    <row r="20" ht="72" customHeight="1">
      <c r="A20" s="5" t="inlineStr">
        <is>
          <t>DATES EXPIRE. Minimum wages change (check FloridaCommerce for Florida's current rate), California adjusts its cottage food sales caps every year, and Texas changed its cottage food rules on September 1, 2025. That's why all of it lives in cells and notes, not buried in a paragraph, so you can update them one at a time.</t>
        </is>
      </c>
    </row>
    <row r="21" ht="72" customHeight="1">
      <c r="A21" s="5" t="inlineStr">
        <is>
          <t>THIS WORKBOOK IS NOT LEGAL ADVICE. Each legal fact has a cell comment with the source (agency, rule and section) and a link, checked in October 2026. Read them and confirm them with your city, county and state; don't rely on a checkbox.</t>
        </is>
      </c>
    </row>
    <row r="22"/>
    <row r="23">
      <c r="A23" s="4" t="inlineStr">
        <is>
          <t>WHAT THIS WORKBOOK DOES AND WHAT ANOTHER ONE DOES (so you don't type things twice)</t>
        </is>
      </c>
    </row>
    <row r="24" ht="26" customHeight="1">
      <c r="A24" s="7" t="inlineStr">
        <is>
          <t>Product or workbook</t>
        </is>
      </c>
      <c r="B24" s="7" t="inlineStr">
        <is>
          <t>What it gives you</t>
        </is>
      </c>
      <c r="C24" s="7" t="inlineStr">
        <is>
          <t>What this workbook does NOT do</t>
        </is>
      </c>
    </row>
    <row r="25" ht="62" customHeight="1">
      <c r="A25" s="8" t="inlineStr">
        <is>
          <t>HACCP Food Safety Kit Pro</t>
        </is>
      </c>
      <c r="B25" s="9" t="inlineStr">
        <is>
          <t>Your food safety logs, temperature logs and display-case allergen matrix, already built and ready to fill in.</t>
        </is>
      </c>
      <c r="C25" s="9" t="inlineStr">
        <is>
          <t>Here there's only one checklist ROW for the plan and one reminding you to post the allergen notice before you open. The plan and the matrix themselves are in that product.</t>
        </is>
      </c>
    </row>
    <row r="26" ht="62" customHeight="1">
      <c r="A26" s="8" t="inlineStr">
        <is>
          <t>Bakery Business Plan Kit</t>
        </is>
      </c>
      <c r="B26" s="9" t="inlineStr">
        <is>
          <t>The business plan for your bank or SBA lender, ready to fill in.</t>
        </is>
      </c>
      <c r="C26" s="9" t="inlineStr">
        <is>
          <t>This workbook tracks permits and dates, not the pitch to your lender: that's what the kit is for.</t>
        </is>
      </c>
    </row>
    <row r="27" ht="62" customHeight="1">
      <c r="A27" s="8" t="inlineStr">
        <is>
          <t>The "equipment-and-suppliers-checklist" workbook in this guide</t>
        </is>
      </c>
      <c r="B27" s="9" t="inlineStr">
        <is>
          <t>Each piece of equipment's lead time, which is what really moves your opening date.</t>
        </is>
      </c>
      <c r="C27" s="9" t="inlineStr">
        <is>
          <t>This workbook's timeline works in MONTHS, with one duration per milestone. When you have lead times in writing, bring them into the "Order and delivery of equipment" milestone.</t>
        </is>
      </c>
    </row>
    <row r="28" ht="62" customHeight="1">
      <c r="A28" s="8" t="inlineStr">
        <is>
          <t>The "3-year-financial-plan" workbook in this guide</t>
        </is>
      </c>
      <c r="B28" s="9" t="inlineStr">
        <is>
          <t>The dollars: what each block of the startup investment costs and when the cash goes out.</t>
        </is>
      </c>
      <c r="C28" s="9" t="inlineStr">
        <is>
          <t>The costs in this checklist are those of the STEPS. The build-out, equipment and working capital are there, and that's where they add up.</t>
        </is>
      </c>
    </row>
    <row r="29"/>
    <row r="30">
      <c r="A30" s="4" t="inlineStr">
        <is>
          <t>How often to use this workbook</t>
        </is>
      </c>
    </row>
    <row r="31" ht="72" customHeight="1">
      <c r="A31" s="5" t="inlineStr">
        <is>
          <t>How often: the checklist and the timeline, ONCE A WEEK from the day you decide to open until you open. The three decision sheets (which permit, selling wholesale and cottage food), ONCE AT THE START and again every time you change channels: the day you agree to supply the café next door, you start selling wholesale without noticing. The training log, every time someone joins and whenever someone's card or certificate is due.</t>
        </is>
      </c>
    </row>
    <row r="32"/>
    <row r="33" ht="28" customHeight="1">
      <c r="A33" s="5" t="inlineStr">
        <is>
          <t>To edit the structure or a cell that isn't green: Review &gt; Unprotect Sheet (no password).</t>
        </is>
      </c>
    </row>
    <row r="34"/>
    <row r="35">
      <c r="A35" s="10" t="inlineStr">
        <is>
          <t>Designed by John Guerrero — chef and restaurant consultant since 2010, in the kitchen since age 17.</t>
        </is>
      </c>
    </row>
    <row r="36">
      <c r="A36" s="2"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16:C16"/>
    <mergeCell ref="A21:C21"/>
    <mergeCell ref="A35:C35"/>
    <mergeCell ref="A9:C9"/>
    <mergeCell ref="A7:C7"/>
    <mergeCell ref="A18:C18"/>
    <mergeCell ref="A19:C19"/>
    <mergeCell ref="A31:C31"/>
    <mergeCell ref="A36:C36"/>
    <mergeCell ref="A8:C8"/>
    <mergeCell ref="A11:C11"/>
    <mergeCell ref="A33:C33"/>
    <mergeCell ref="A20:C20"/>
    <mergeCell ref="A17:C17"/>
  </mergeCells>
  <pageMargins left="0.39" right="0.39"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62" customWidth="1" min="3" max="3"/>
    <col width="20" customWidth="1" min="4" max="4"/>
    <col width="11" customWidth="1" min="5" max="5"/>
    <col width="15" customWidth="1" min="6" max="6"/>
    <col width="15" customWidth="1" min="7" max="7"/>
    <col width="14" customWidth="1" min="8" max="8"/>
    <col width="14" customWidth="1" min="9" max="9"/>
    <col width="13" customWidth="1" min="10" max="10"/>
    <col width="90" customWidth="1" min="11" max="11"/>
  </cols>
  <sheetData>
    <row r="1" ht="26" customHeight="1">
      <c r="A1" s="1" t="inlineStr">
        <is>
          <t>Permits and Licenses Checklist, in Six Phases</t>
        </is>
      </c>
    </row>
    <row r="2">
      <c r="A2" s="2" t="inlineStr">
        <is>
          <t>AI Chef Pro · aichef.pro — How to Open a Pastry Shop</t>
        </is>
      </c>
    </row>
    <row r="3" ht="28" customHeight="1">
      <c r="A3" s="5" t="inlineStr">
        <is>
          <t>Thirty steps in the order you do them. Mark the status, enter what you're quoted and what you end up paying, and add both dates. What changes by state is flagged in its own column.</t>
        </is>
      </c>
    </row>
    <row r="4"/>
    <row r="5" ht="32" customHeight="1">
      <c r="A5" s="7" t="inlineStr"/>
      <c r="B5" s="7" t="inlineStr">
        <is>
          <t>Phase</t>
        </is>
      </c>
      <c r="C5" s="7" t="inlineStr">
        <is>
          <t>Step</t>
        </is>
      </c>
      <c r="D5" s="7" t="inlineStr">
        <is>
          <t>Who does it</t>
        </is>
      </c>
      <c r="E5" s="7" t="inlineStr">
        <is>
          <t>Lead time (days)</t>
        </is>
      </c>
      <c r="F5" s="7" t="inlineStr">
        <is>
          <t>Budgeted cost ($)</t>
        </is>
      </c>
      <c r="G5" s="7" t="inlineStr">
        <is>
          <t>Actual cost ($)</t>
        </is>
      </c>
      <c r="H5" s="7" t="inlineStr">
        <is>
          <t>Target date</t>
        </is>
      </c>
      <c r="I5" s="7" t="inlineStr">
        <is>
          <t>Date done</t>
        </is>
      </c>
      <c r="J5" s="7" t="inlineStr">
        <is>
          <t>Varies by state?</t>
        </is>
      </c>
      <c r="K5" s="7" t="inlineStr">
        <is>
          <t>Notes</t>
        </is>
      </c>
    </row>
    <row r="6">
      <c r="A6" s="4" t="inlineStr">
        <is>
          <t>P1 · Before you sign anything: can this space work?</t>
        </is>
      </c>
      <c r="B6" s="11" t="inlineStr"/>
      <c r="C6" s="11" t="inlineStr"/>
      <c r="D6" s="11" t="inlineStr"/>
      <c r="E6" s="11" t="inlineStr"/>
      <c r="F6" s="11" t="inlineStr"/>
      <c r="G6" s="11" t="inlineStr"/>
      <c r="H6" s="11" t="inlineStr"/>
      <c r="I6" s="11" t="inlineStr"/>
      <c r="J6" s="11" t="inlineStr"/>
      <c r="K6" s="11" t="inlineStr"/>
    </row>
    <row r="7" ht="34" customHeight="1">
      <c r="A7" s="12" t="inlineStr">
        <is>
          <t>Pending</t>
        </is>
      </c>
      <c r="B7" s="13" t="inlineStr">
        <is>
          <t>P1</t>
        </is>
      </c>
      <c r="C7" s="9" t="inlineStr">
        <is>
          <t>Ask the city's zoning office whether this space allows a bakery with on-site production, not just retail</t>
        </is>
      </c>
      <c r="D7" t="inlineStr">
        <is>
          <t>Owner</t>
        </is>
      </c>
      <c r="E7" s="14" t="n">
        <v>10</v>
      </c>
      <c r="F7" s="6" t="inlineStr">
        <is>
          <t>Get a quote</t>
        </is>
      </c>
      <c r="G7" s="6" t="inlineStr">
        <is>
          <t>Not paid yet</t>
        </is>
      </c>
      <c r="H7" s="15" t="n">
        <v>46275</v>
      </c>
      <c r="I7" s="15" t="n">
        <v>46275</v>
      </c>
      <c r="J7" s="12" t="inlineStr">
        <is>
          <t>No</t>
        </is>
      </c>
      <c r="K7" s="5" t="inlineStr">
        <is>
          <t>Zoning is set by your city or county, and there's no national rule. Ask it as a QUESTION, in writing: which use a bakery with a production kitchen falls under, and what a change of use triggers (building permit, new certificate of occupancy). Never assume it.  [Source: local zoning code]</t>
        </is>
      </c>
    </row>
    <row r="8" ht="34" customHeight="1">
      <c r="A8" s="12" t="inlineStr">
        <is>
          <t>Pending</t>
        </is>
      </c>
      <c r="B8" s="13" t="inlineStr">
        <is>
          <t>P1</t>
        </is>
      </c>
      <c r="C8" s="9" t="inlineStr">
        <is>
          <t>Find out which hood your ovens need (Type I or Type II) and where the duct can run</t>
        </is>
      </c>
      <c r="D8" t="inlineStr">
        <is>
          <t>Owner</t>
        </is>
      </c>
      <c r="E8" s="14" t="n">
        <v>15</v>
      </c>
      <c r="F8" s="6" t="inlineStr">
        <is>
          <t>Get a quote</t>
        </is>
      </c>
      <c r="G8" s="6" t="inlineStr">
        <is>
          <t>Not paid yet</t>
        </is>
      </c>
      <c r="H8" s="15" t="n">
        <v>46275</v>
      </c>
      <c r="I8" s="15" t="n">
        <v>46275</v>
      </c>
      <c r="J8" s="12" t="inlineStr">
        <is>
          <t>No</t>
        </is>
      </c>
      <c r="K8" s="5" t="inlineStr">
        <is>
          <t>Hood type follows the appliance, its listing and your local mechanical code. An enclosed electric convection or rack oven may need only a Type II hood, or none if it's a single light-duty unit (3.7 kW or less) or listed to UL 710B; deck and pizza-style ovens usually go under a Type I hood with fire suppression. Get the answer in writing BEFORE you sign.  [Source: International Mechanical Code §507]</t>
        </is>
      </c>
    </row>
    <row r="9" ht="34" customHeight="1">
      <c r="A9" s="12" t="inlineStr">
        <is>
          <t>Pending</t>
        </is>
      </c>
      <c r="B9" s="13" t="inlineStr">
        <is>
          <t>P1</t>
        </is>
      </c>
      <c r="C9" s="9" t="inlineStr">
        <is>
          <t>Get the landlord's written OK for the hood, the duct route and any roof work</t>
        </is>
      </c>
      <c r="D9" t="inlineStr">
        <is>
          <t>Owner</t>
        </is>
      </c>
      <c r="E9" s="14" t="n">
        <v>30</v>
      </c>
      <c r="F9" s="6" t="inlineStr">
        <is>
          <t>Get a quote</t>
        </is>
      </c>
      <c r="G9" s="6" t="inlineStr">
        <is>
          <t>Not paid yet</t>
        </is>
      </c>
      <c r="H9" s="15" t="n">
        <v>46275</v>
      </c>
      <c r="I9" s="15" t="n">
        <v>46275</v>
      </c>
      <c r="J9" s="12" t="inlineStr">
        <is>
          <t>No</t>
        </is>
      </c>
      <c r="K9" s="5" t="inlineStr">
        <is>
          <t>Timing depends on the landlord and, in a shopping center, on the center's rules (CC&amp;Rs). It's the variable you control least.  [Source: guide estimate]</t>
        </is>
      </c>
    </row>
    <row r="10" ht="34" customHeight="1">
      <c r="A10" s="12" t="inlineStr">
        <is>
          <t>Pending</t>
        </is>
      </c>
      <c r="B10" s="13" t="inlineStr">
        <is>
          <t>P1</t>
        </is>
      </c>
      <c r="C10" s="9" t="inlineStr">
        <is>
          <t>Check the electrical service (amps and voltage) and what an upgrade would cost</t>
        </is>
      </c>
      <c r="D10" t="inlineStr">
        <is>
          <t>Owner</t>
        </is>
      </c>
      <c r="E10" s="14" t="n">
        <v>15</v>
      </c>
      <c r="F10" s="6" t="inlineStr">
        <is>
          <t>Get a quote</t>
        </is>
      </c>
      <c r="G10" s="6" t="inlineStr">
        <is>
          <t>Not paid yet</t>
        </is>
      </c>
      <c r="H10" s="15" t="n">
        <v>46275</v>
      </c>
      <c r="I10" s="15" t="n">
        <v>46275</v>
      </c>
      <c r="J10" s="12" t="inlineStr">
        <is>
          <t>No</t>
        </is>
      </c>
      <c r="K10" s="5" t="inlineStr">
        <is>
          <t>Ovens alone can draw 20-80 kW: have an electrician check the panel before you sign.  [Source: guide estimate]</t>
        </is>
      </c>
    </row>
    <row r="11" ht="34" customHeight="1">
      <c r="A11" s="12" t="inlineStr">
        <is>
          <t>Pending</t>
        </is>
      </c>
      <c r="B11" s="13" t="inlineStr">
        <is>
          <t>P1</t>
        </is>
      </c>
      <c r="C11" s="9" t="inlineStr">
        <is>
          <t>Check the 7 kitchen zones and the required sinks fit with a one-way flow</t>
        </is>
      </c>
      <c r="D11" t="inlineStr">
        <is>
          <t>Owner</t>
        </is>
      </c>
      <c r="E11" s="14" t="n">
        <v>5</v>
      </c>
      <c r="F11" s="6" t="inlineStr">
        <is>
          <t>Get a quote</t>
        </is>
      </c>
      <c r="G11" s="6" t="inlineStr">
        <is>
          <t>Not paid yet</t>
        </is>
      </c>
      <c r="H11" s="15" t="n">
        <v>46275</v>
      </c>
      <c r="I11" s="15" t="n">
        <v>46275</v>
      </c>
      <c r="J11" s="12" t="inlineStr">
        <is>
          <t>No</t>
        </is>
      </c>
      <c r="K11" s="5" t="inlineStr">
        <is>
          <t>Food Code 2022: handwashing sinks where needed (5-203.11), a sink with at least 3 compartments for manual dishwashing (4-301.12) and a service (mop) sink (5-203.13). Zone sizes: "kitchen-capacity-and-site" workbook.  [Source: FDA Food Code 2022]</t>
        </is>
      </c>
    </row>
    <row r="12">
      <c r="A12" s="16" t="n"/>
      <c r="B12" s="16" t="n"/>
      <c r="C12" s="16" t="inlineStr">
        <is>
          <t>PHASE P1 PROGRESS</t>
        </is>
      </c>
      <c r="D12" s="17">
        <f>IFERROR(COUNTIF(A7:A11,"Done"),"")</f>
        <v>0.0</v>
      </c>
      <c r="E12" s="17">
        <f>IFERROR(COUNTIF(B7:B11,"P1"),"")</f>
        <v>5.0</v>
      </c>
      <c r="F12" s="18">
        <f>IFERROR(SUMIF(F7:F11,"&gt;=0"),"")</f>
        <v>0.0</v>
      </c>
      <c r="G12" s="18">
        <f>IFERROR(SUMIF(G7:G11,"&gt;=0"),"")</f>
        <v>0.0</v>
      </c>
      <c r="H12" s="16" t="n"/>
      <c r="I12" s="16" t="n"/>
      <c r="J12" s="19">
        <f>IFERROR(IF(E12=0,"",(D12+COUNTIF(A7:A11,"N/A"))/E12),"")</f>
        <v>0.0</v>
      </c>
      <c r="K12" s="20" t="inlineStr">
        <is>
          <t>Done · steps in the phase · budgeted cost · actual cost · % complete ("N/A" counts as resolved).</t>
        </is>
      </c>
    </row>
    <row r="13"/>
    <row r="14">
      <c r="A14" s="4" t="inlineStr">
        <is>
          <t>P2 · Business setup, tax IDs and plans</t>
        </is>
      </c>
      <c r="B14" s="11" t="inlineStr"/>
      <c r="C14" s="11" t="inlineStr"/>
      <c r="D14" s="11" t="inlineStr"/>
      <c r="E14" s="11" t="inlineStr"/>
      <c r="F14" s="11" t="inlineStr"/>
      <c r="G14" s="11" t="inlineStr"/>
      <c r="H14" s="11" t="inlineStr"/>
      <c r="I14" s="11" t="inlineStr"/>
      <c r="J14" s="11" t="inlineStr"/>
      <c r="K14" s="11" t="inlineStr"/>
    </row>
    <row r="15" ht="34" customHeight="1">
      <c r="A15" s="12" t="inlineStr">
        <is>
          <t>Pending</t>
        </is>
      </c>
      <c r="B15" s="13" t="inlineStr">
        <is>
          <t>P2</t>
        </is>
      </c>
      <c r="C15" s="9" t="inlineStr">
        <is>
          <t>Form your LLC with the state (or start as a sole proprietor) and file a DBA if you need one</t>
        </is>
      </c>
      <c r="D15" t="inlineStr">
        <is>
          <t>Owner</t>
        </is>
      </c>
      <c r="E15" s="14" t="n">
        <v>20</v>
      </c>
      <c r="F15" s="21" t="n">
        <v>600</v>
      </c>
      <c r="G15" s="6" t="inlineStr">
        <is>
          <t>Not paid yet</t>
        </is>
      </c>
      <c r="H15" s="15" t="n">
        <v>46275</v>
      </c>
      <c r="I15" s="15" t="n">
        <v>46275</v>
      </c>
      <c r="J15" s="12" t="inlineStr">
        <is>
          <t>No</t>
        </is>
      </c>
      <c r="K15" s="5" t="inlineStr">
        <is>
          <t>A sole proprietorship exists automatically; an LLC is registered with your state. Decide before you sign: the lease, bank account and permits go in that name. The $600 is the guide's placeholder for filing fees and help.  [Source: SBA, 2026]</t>
        </is>
      </c>
    </row>
    <row r="16" ht="34" customHeight="1">
      <c r="A16" s="12" t="inlineStr">
        <is>
          <t>Pending</t>
        </is>
      </c>
      <c r="B16" s="13" t="inlineStr">
        <is>
          <t>P2</t>
        </is>
      </c>
      <c r="C16" s="9" t="inlineStr">
        <is>
          <t>Get your EIN from the IRS and open the business bank account</t>
        </is>
      </c>
      <c r="D16" t="inlineStr">
        <is>
          <t>Attorney or CPA</t>
        </is>
      </c>
      <c r="E16" s="14" t="n">
        <v>3</v>
      </c>
      <c r="F16" s="6" t="inlineStr">
        <is>
          <t>Get a quote</t>
        </is>
      </c>
      <c r="G16" s="6" t="inlineStr">
        <is>
          <t>Not paid yet</t>
        </is>
      </c>
      <c r="H16" s="15" t="n">
        <v>46275</v>
      </c>
      <c r="I16" s="15" t="n">
        <v>46275</v>
      </c>
      <c r="J16" s="12" t="inlineStr">
        <is>
          <t>No</t>
        </is>
      </c>
      <c r="K16" s="5" t="inlineStr">
        <is>
          <t>The EIN is free from the IRS, and you need it once you have employees or a multi-member LLC. Your bank, payroll provider and state tax registration will all ask for it.  [Source: IRS, 2026]</t>
        </is>
      </c>
    </row>
    <row r="17" ht="34" customHeight="1">
      <c r="A17" s="12" t="inlineStr">
        <is>
          <t>Pending</t>
        </is>
      </c>
      <c r="B17" s="13" t="inlineStr">
        <is>
          <t>P2</t>
        </is>
      </c>
      <c r="C17" s="9" t="inlineStr">
        <is>
          <t>Register for your state sales tax permit and as an employer with your state workforce agency</t>
        </is>
      </c>
      <c r="D17" t="inlineStr">
        <is>
          <t>Attorney or CPA</t>
        </is>
      </c>
      <c r="E17" s="14" t="n">
        <v>3</v>
      </c>
      <c r="F17" s="6" t="inlineStr">
        <is>
          <t>Get a quote</t>
        </is>
      </c>
      <c r="G17" s="6" t="inlineStr">
        <is>
          <t>Not paid yet</t>
        </is>
      </c>
      <c r="H17" s="15" t="n">
        <v>46275</v>
      </c>
      <c r="I17" s="15" t="n">
        <v>46275</v>
      </c>
      <c r="J17" s="12" t="inlineStr">
        <is>
          <t>No</t>
        </is>
      </c>
      <c r="K17" s="5" t="inlineStr">
        <is>
          <t xml:space="preserve">  [Source: guide estimate; confirm locally]</t>
        </is>
      </c>
    </row>
    <row r="18" ht="34" customHeight="1">
      <c r="A18" s="12" t="inlineStr">
        <is>
          <t>Pending</t>
        </is>
      </c>
      <c r="B18" s="13" t="inlineStr">
        <is>
          <t>P2</t>
        </is>
      </c>
      <c r="C18" s="9" t="inlineStr">
        <is>
          <t>Hire the architect or engineer for the stamped plans and specifications</t>
        </is>
      </c>
      <c r="D18" t="inlineStr">
        <is>
          <t>Architect or engineer</t>
        </is>
      </c>
      <c r="E18" s="14" t="n">
        <v>30</v>
      </c>
      <c r="F18" s="21" t="n">
        <v>5000</v>
      </c>
      <c r="G18" s="6" t="inlineStr">
        <is>
          <t>Not paid yet</t>
        </is>
      </c>
      <c r="H18" s="15" t="n">
        <v>46275</v>
      </c>
      <c r="I18" s="15" t="n">
        <v>46275</v>
      </c>
      <c r="J18" s="12" t="inlineStr">
        <is>
          <t>No</t>
        </is>
      </c>
      <c r="K18" s="5" t="inlineStr">
        <is>
          <t>It's the document everything else hangs on: the health department's plan review asks for the layout, equipment by make and model, finishes and mechanical plans (Food Code 8-201.12), and the building permit needs it too.  [Source: FDA Food Code 2022]</t>
        </is>
      </c>
    </row>
    <row r="19" ht="34" customHeight="1">
      <c r="A19" s="12" t="inlineStr">
        <is>
          <t>Pending</t>
        </is>
      </c>
      <c r="B19" s="13" t="inlineStr">
        <is>
          <t>P2</t>
        </is>
      </c>
      <c r="C19" s="9" t="inlineStr">
        <is>
          <t>Sign the lease with a permit contingency and pay the security deposit</t>
        </is>
      </c>
      <c r="D19" t="inlineStr">
        <is>
          <t>Owner</t>
        </is>
      </c>
      <c r="E19" s="14" t="n">
        <v>5</v>
      </c>
      <c r="F19" s="21" t="n">
        <v>2400</v>
      </c>
      <c r="G19" s="6" t="inlineStr">
        <is>
          <t>Not paid yet</t>
        </is>
      </c>
      <c r="H19" s="15" t="n">
        <v>46275</v>
      </c>
      <c r="I19" s="15" t="n">
        <v>46275</v>
      </c>
      <c r="J19" s="12" t="inlineStr">
        <is>
          <t>Yes</t>
        </is>
      </c>
      <c r="K19" s="5" t="inlineStr">
        <is>
          <t>Before you sign: a use clause that says "bakery with on-site production and retail sales", a permit and zoning contingency, who pays for HVAC and the roof, and a cap on the personal guarantee. Lease law is state law: have a local attorney read it.  [Source: guide's lease checklist]</t>
        </is>
      </c>
    </row>
    <row r="20">
      <c r="A20" s="16" t="n"/>
      <c r="B20" s="16" t="n"/>
      <c r="C20" s="16" t="inlineStr">
        <is>
          <t>PHASE P2 PROGRESS</t>
        </is>
      </c>
      <c r="D20" s="17">
        <f>IFERROR(COUNTIF(A15:A19,"Done"),"")</f>
        <v>0.0</v>
      </c>
      <c r="E20" s="17">
        <f>IFERROR(COUNTIF(B15:B19,"P2"),"")</f>
        <v>5.0</v>
      </c>
      <c r="F20" s="18">
        <f>IFERROR(SUMIF(F15:F19,"&gt;=0"),"")</f>
        <v>8000.0</v>
      </c>
      <c r="G20" s="18">
        <f>IFERROR(SUMIF(G15:G19,"&gt;=0"),"")</f>
        <v>0.0</v>
      </c>
      <c r="H20" s="16" t="n"/>
      <c r="I20" s="16" t="n"/>
      <c r="J20" s="19">
        <f>IFERROR(IF(E20=0,"",(D20+COUNTIF(A15:A19,"N/A"))/E20),"")</f>
        <v>0.0</v>
      </c>
      <c r="K20" s="20" t="inlineStr">
        <is>
          <t>Done · steps in the phase · budgeted cost · actual cost · % complete ("N/A" counts as resolved).</t>
        </is>
      </c>
    </row>
    <row r="21"/>
    <row r="22">
      <c r="A22" s="4" t="inlineStr">
        <is>
          <t>P3 · Plan review and local permits</t>
        </is>
      </c>
      <c r="B22" s="11" t="inlineStr"/>
      <c r="C22" s="11" t="inlineStr"/>
      <c r="D22" s="11" t="inlineStr"/>
      <c r="E22" s="11" t="inlineStr"/>
      <c r="F22" s="11" t="inlineStr"/>
      <c r="G22" s="11" t="inlineStr"/>
      <c r="H22" s="11" t="inlineStr"/>
      <c r="I22" s="11" t="inlineStr"/>
      <c r="J22" s="11" t="inlineStr"/>
      <c r="K22" s="11" t="inlineStr"/>
    </row>
    <row r="23" ht="34" customHeight="1">
      <c r="A23" s="12" t="inlineStr">
        <is>
          <t>Pending</t>
        </is>
      </c>
      <c r="B23" s="13" t="inlineStr">
        <is>
          <t>P3</t>
        </is>
      </c>
      <c r="C23" s="9" t="inlineStr">
        <is>
          <t>Submit plans and specifications for the health department's plan review</t>
        </is>
      </c>
      <c r="D23" t="inlineStr">
        <is>
          <t>Architect or engineer</t>
        </is>
      </c>
      <c r="E23" s="14" t="n">
        <v>45</v>
      </c>
      <c r="F23" s="21" t="n">
        <v>1800</v>
      </c>
      <c r="G23" s="6" t="inlineStr">
        <is>
          <t>Not paid yet</t>
        </is>
      </c>
      <c r="H23" s="15" t="n">
        <v>46275</v>
      </c>
      <c r="I23" s="15" t="n">
        <v>46275</v>
      </c>
      <c r="J23" s="12" t="inlineStr">
        <is>
          <t>Yes</t>
        </is>
      </c>
      <c r="K23" s="5" t="inlineStr">
        <is>
          <t>Food Code 8-201.11: plans go in BEFORE you build or remodel. California requires it by law (20 working days, H&amp;S Code §114380); Austin, TX charges $312 for a new build; Florida's FDACS review is voluntary ($55.10). In New York and Florida, a bakery that bakes and sells to go answers to the state agriculture department. The $1,800 is the guide's placeholder: use your county's fee.  [Source: FDA Food Code 2022 + state and city rules]</t>
        </is>
      </c>
    </row>
    <row r="24" ht="34" customHeight="1">
      <c r="A24" s="12" t="inlineStr">
        <is>
          <t>Pending</t>
        </is>
      </c>
      <c r="B24" s="13" t="inlineStr">
        <is>
          <t>P3</t>
        </is>
      </c>
      <c r="C24" s="9" t="inlineStr">
        <is>
          <t>Pull the building permit (and the change of use if the space wasn't a food business)</t>
        </is>
      </c>
      <c r="D24" t="inlineStr">
        <is>
          <t>Architect or engineer</t>
        </is>
      </c>
      <c r="E24" s="14" t="n">
        <v>30</v>
      </c>
      <c r="F24" s="6" t="inlineStr">
        <is>
          <t>Get a quote</t>
        </is>
      </c>
      <c r="G24" s="6" t="inlineStr">
        <is>
          <t>Not paid yet</t>
        </is>
      </c>
      <c r="H24" s="15" t="n">
        <v>46275</v>
      </c>
      <c r="I24" s="15" t="n">
        <v>46275</v>
      </c>
      <c r="J24" s="12" t="inlineStr">
        <is>
          <t>Yes</t>
        </is>
      </c>
      <c r="K24" s="5" t="inlineStr">
        <is>
          <t xml:space="preserve">  [Source: guide estimate; confirm locally]</t>
        </is>
      </c>
    </row>
    <row r="25" ht="34" customHeight="1">
      <c r="A25" s="12" t="inlineStr">
        <is>
          <t>Pending</t>
        </is>
      </c>
      <c r="B25" s="13" t="inlineStr">
        <is>
          <t>P3</t>
        </is>
      </c>
      <c r="C25" s="9" t="inlineStr">
        <is>
          <t>Get the city or county business license and the sign permit</t>
        </is>
      </c>
      <c r="D25" t="inlineStr">
        <is>
          <t>Owner</t>
        </is>
      </c>
      <c r="E25" s="14" t="n">
        <v>20</v>
      </c>
      <c r="F25" s="6" t="inlineStr">
        <is>
          <t>Get a quote</t>
        </is>
      </c>
      <c r="G25" s="6" t="inlineStr">
        <is>
          <t>Not paid yet</t>
        </is>
      </c>
      <c r="H25" s="15" t="n">
        <v>46275</v>
      </c>
      <c r="I25" s="15" t="n">
        <v>46275</v>
      </c>
      <c r="J25" s="12" t="inlineStr">
        <is>
          <t>Yes</t>
        </is>
      </c>
      <c r="K25" s="5" t="inlineStr">
        <is>
          <t xml:space="preserve">  [Source: guide estimate; confirm locally]</t>
        </is>
      </c>
    </row>
    <row r="26">
      <c r="A26" s="16" t="n"/>
      <c r="B26" s="16" t="n"/>
      <c r="C26" s="16" t="inlineStr">
        <is>
          <t>PHASE P3 PROGRESS</t>
        </is>
      </c>
      <c r="D26" s="17">
        <f>IFERROR(COUNTIF(A23:A25,"Done"),"")</f>
        <v>0.0</v>
      </c>
      <c r="E26" s="17">
        <f>IFERROR(COUNTIF(B23:B25,"P3"),"")</f>
        <v>3.0</v>
      </c>
      <c r="F26" s="18">
        <f>IFERROR(SUMIF(F23:F25,"&gt;=0"),"")</f>
        <v>1800.0</v>
      </c>
      <c r="G26" s="18">
        <f>IFERROR(SUMIF(G23:G25,"&gt;=0"),"")</f>
        <v>0.0</v>
      </c>
      <c r="H26" s="16" t="n"/>
      <c r="I26" s="16" t="n"/>
      <c r="J26" s="19">
        <f>IFERROR(IF(E26=0,"",(D26+COUNTIF(A23:A25,"N/A"))/E26),"")</f>
        <v>0.0</v>
      </c>
      <c r="K26" s="20" t="inlineStr">
        <is>
          <t>Done · steps in the phase · budgeted cost · actual cost · % complete ("N/A" counts as resolved).</t>
        </is>
      </c>
    </row>
    <row r="27"/>
    <row r="28">
      <c r="A28" s="4" t="inlineStr">
        <is>
          <t>P4 · Build-out, equipment and inspections</t>
        </is>
      </c>
      <c r="B28" s="11" t="inlineStr"/>
      <c r="C28" s="11" t="inlineStr"/>
      <c r="D28" s="11" t="inlineStr"/>
      <c r="E28" s="11" t="inlineStr"/>
      <c r="F28" s="11" t="inlineStr"/>
      <c r="G28" s="11" t="inlineStr"/>
      <c r="H28" s="11" t="inlineStr"/>
      <c r="I28" s="11" t="inlineStr"/>
      <c r="J28" s="11" t="inlineStr"/>
      <c r="K28" s="11" t="inlineStr"/>
    </row>
    <row r="29" ht="34" customHeight="1">
      <c r="A29" s="12" t="inlineStr">
        <is>
          <t>Pending</t>
        </is>
      </c>
      <c r="B29" s="13" t="inlineStr">
        <is>
          <t>P4</t>
        </is>
      </c>
      <c r="C29" s="9" t="inlineStr">
        <is>
          <t>Build out the space: construction, plumbing, electrical and HVAC</t>
        </is>
      </c>
      <c r="D29" t="inlineStr">
        <is>
          <t>Contractor</t>
        </is>
      </c>
      <c r="E29" s="14" t="n">
        <v>60</v>
      </c>
      <c r="F29" s="21" t="n">
        <v>81000</v>
      </c>
      <c r="G29" s="6" t="inlineStr">
        <is>
          <t>Not paid yet</t>
        </is>
      </c>
      <c r="H29" s="15" t="n">
        <v>46275</v>
      </c>
      <c r="I29" s="15" t="n">
        <v>46275</v>
      </c>
      <c r="J29" s="12" t="inlineStr">
        <is>
          <t>No</t>
        </is>
      </c>
      <c r="K29" s="5" t="inlineStr">
        <is>
          <t>Mid scenario: $83.61 per sq ft × 969 sq ft.  [Source: the guide's build-out estimate]</t>
        </is>
      </c>
    </row>
    <row r="30" ht="34" customHeight="1">
      <c r="A30" s="12" t="inlineStr">
        <is>
          <t>Pending</t>
        </is>
      </c>
      <c r="B30" s="13" t="inlineStr">
        <is>
          <t>P4</t>
        </is>
      </c>
      <c r="C30" s="9" t="inlineStr">
        <is>
          <t>Order the equipment with the delivery lead time in writing</t>
        </is>
      </c>
      <c r="D30" t="inlineStr">
        <is>
          <t>Owner</t>
        </is>
      </c>
      <c r="E30" s="14" t="n">
        <v>5</v>
      </c>
      <c r="F30" s="6" t="inlineStr">
        <is>
          <t>Get a quote</t>
        </is>
      </c>
      <c r="G30" s="6" t="inlineStr">
        <is>
          <t>Not paid yet</t>
        </is>
      </c>
      <c r="H30" s="15" t="n">
        <v>46275</v>
      </c>
      <c r="I30" s="15" t="n">
        <v>46275</v>
      </c>
      <c r="J30" s="12" t="inlineStr">
        <is>
          <t>No</t>
        </is>
      </c>
      <c r="K30" s="5" t="inlineStr">
        <is>
          <t>Lead time, not price, moves your opening date: a roll-in retarder-proofer can take about 6 weeks to ship from the manufacturer. Get it in writing and enter it in the "equipment-and-suppliers-checklist" workbook.  [Source: WebstaurantStore listing, October 2026]</t>
        </is>
      </c>
    </row>
    <row r="31" ht="34" customHeight="1">
      <c r="A31" s="12" t="inlineStr">
        <is>
          <t>Pending</t>
        </is>
      </c>
      <c r="B31" s="13" t="inlineStr">
        <is>
          <t>P4</t>
        </is>
      </c>
      <c r="C31" s="9" t="inlineStr">
        <is>
          <t>Fire marshal inspection: hood fire suppression (Type I hoods) and Class K extinguisher</t>
        </is>
      </c>
      <c r="D31" t="inlineStr">
        <is>
          <t>Licensed installer</t>
        </is>
      </c>
      <c r="E31" s="14" t="n">
        <v>15</v>
      </c>
      <c r="F31" s="6" t="inlineStr">
        <is>
          <t>Get a quote</t>
        </is>
      </c>
      <c r="G31" s="6" t="inlineStr">
        <is>
          <t>Not paid yet</t>
        </is>
      </c>
      <c r="H31" s="15" t="n">
        <v>46275</v>
      </c>
      <c r="I31" s="15" t="n">
        <v>46275</v>
      </c>
      <c r="J31" s="12" t="inlineStr">
        <is>
          <t>No</t>
        </is>
      </c>
      <c r="K31" s="5" t="inlineStr">
        <is>
          <t>A Type I hood needs a fire-suppression system (NFPA 96), and the fire marshal inspects it along with the extinguishers. If you use gas ovens, ask the building department about the gas line permit too.  [Source: NFPA 96, city fire code example]</t>
        </is>
      </c>
    </row>
    <row r="32" ht="34" customHeight="1">
      <c r="A32" s="12" t="inlineStr">
        <is>
          <t>Pending</t>
        </is>
      </c>
      <c r="B32" s="13" t="inlineStr">
        <is>
          <t>P4</t>
        </is>
      </c>
      <c r="C32" s="9" t="inlineStr">
        <is>
          <t>Electrical permit and final electrical inspection</t>
        </is>
      </c>
      <c r="D32" t="inlineStr">
        <is>
          <t>Licensed installer</t>
        </is>
      </c>
      <c r="E32" s="14" t="n">
        <v>10</v>
      </c>
      <c r="F32" s="6" t="inlineStr">
        <is>
          <t>Get a quote</t>
        </is>
      </c>
      <c r="G32" s="6" t="inlineStr">
        <is>
          <t>Not paid yet</t>
        </is>
      </c>
      <c r="H32" s="15" t="n">
        <v>46275</v>
      </c>
      <c r="I32" s="15" t="n">
        <v>46275</v>
      </c>
      <c r="J32" s="12" t="inlineStr">
        <is>
          <t>No</t>
        </is>
      </c>
      <c r="K32" s="5" t="inlineStr">
        <is>
          <t xml:space="preserve">  [Source: guide estimate; confirm locally]</t>
        </is>
      </c>
    </row>
    <row r="33" ht="34" customHeight="1">
      <c r="A33" s="12" t="inlineStr">
        <is>
          <t>Pending</t>
        </is>
      </c>
      <c r="B33" s="13" t="inlineStr">
        <is>
          <t>P4</t>
        </is>
      </c>
      <c r="C33" s="9" t="inlineStr">
        <is>
          <t>Check ADA accessibility, starting with the sales counter</t>
        </is>
      </c>
      <c r="D33" t="inlineStr">
        <is>
          <t>Architect or engineer</t>
        </is>
      </c>
      <c r="E33" s="14" t="n">
        <v>10</v>
      </c>
      <c r="F33" s="6" t="inlineStr">
        <is>
          <t>Get a quote</t>
        </is>
      </c>
      <c r="G33" s="6" t="inlineStr">
        <is>
          <t>Not paid yet</t>
        </is>
      </c>
      <c r="H33" s="15" t="n">
        <v>46275</v>
      </c>
      <c r="I33" s="15" t="n">
        <v>46275</v>
      </c>
      <c r="J33" s="12" t="inlineStr">
        <is>
          <t>No</t>
        </is>
      </c>
      <c r="K33" s="5" t="inlineStr">
        <is>
          <t>ADA 904.4.1: at least one section of the sales counter 36 inches long and no higher than 36 inches, with room for a parallel approach (if the counter is shorter than 36 inches, all of it). Check it on the drawings, not after the counter is built.  [Source: U.S. Access Board]</t>
        </is>
      </c>
    </row>
    <row r="34">
      <c r="A34" s="16" t="n"/>
      <c r="B34" s="16" t="n"/>
      <c r="C34" s="16" t="inlineStr">
        <is>
          <t>PHASE P4 PROGRESS</t>
        </is>
      </c>
      <c r="D34" s="17">
        <f>IFERROR(COUNTIF(A29:A33,"Done"),"")</f>
        <v>0.0</v>
      </c>
      <c r="E34" s="17">
        <f>IFERROR(COUNTIF(B29:B33,"P4"),"")</f>
        <v>5.0</v>
      </c>
      <c r="F34" s="18">
        <f>IFERROR(SUMIF(F29:F33,"&gt;=0"),"")</f>
        <v>81000.0</v>
      </c>
      <c r="G34" s="18">
        <f>IFERROR(SUMIF(G29:G33,"&gt;=0"),"")</f>
        <v>0.0</v>
      </c>
      <c r="H34" s="16" t="n"/>
      <c r="I34" s="16" t="n"/>
      <c r="J34" s="19">
        <f>IFERROR(IF(E34=0,"",(D34+COUNTIF(A29:A33,"N/A"))/E34),"")</f>
        <v>0.0</v>
      </c>
      <c r="K34" s="20" t="inlineStr">
        <is>
          <t>Done · steps in the phase · budgeted cost · actual cost · % complete ("N/A" counts as resolved).</t>
        </is>
      </c>
    </row>
    <row r="35"/>
    <row r="36">
      <c r="A36" s="4" t="inlineStr">
        <is>
          <t>P5 · Food permit, food safety and training</t>
        </is>
      </c>
      <c r="B36" s="11" t="inlineStr"/>
      <c r="C36" s="11" t="inlineStr"/>
      <c r="D36" s="11" t="inlineStr"/>
      <c r="E36" s="11" t="inlineStr"/>
      <c r="F36" s="11" t="inlineStr"/>
      <c r="G36" s="11" t="inlineStr"/>
      <c r="H36" s="11" t="inlineStr"/>
      <c r="I36" s="11" t="inlineStr"/>
      <c r="J36" s="11" t="inlineStr"/>
      <c r="K36" s="11" t="inlineStr"/>
    </row>
    <row r="37" ht="34" customHeight="1">
      <c r="A37" s="12" t="inlineStr">
        <is>
          <t>Pending</t>
        </is>
      </c>
      <c r="B37" s="13" t="inlineStr">
        <is>
          <t>P5</t>
        </is>
      </c>
      <c r="C37" s="9" t="inlineStr">
        <is>
          <t>Apply for the food establishment permit and pass the pre-opening inspection</t>
        </is>
      </c>
      <c r="D37" t="inlineStr">
        <is>
          <t>Owner</t>
        </is>
      </c>
      <c r="E37" s="14" t="n">
        <v>5</v>
      </c>
      <c r="F37" s="21" t="n">
        <v>120</v>
      </c>
      <c r="G37" s="6" t="inlineStr">
        <is>
          <t>Not paid yet</t>
        </is>
      </c>
      <c r="H37" s="15" t="n">
        <v>46275</v>
      </c>
      <c r="I37" s="15" t="n">
        <v>46275</v>
      </c>
      <c r="J37" s="12" t="inlineStr">
        <is>
          <t>Yes</t>
        </is>
      </c>
      <c r="K37" s="5" t="inlineStr">
        <is>
          <t>It's NOT an FDA registration: a bakery that sells to consumers is exempt from that. The permit is local: county or city environmental health in California and Texas (Texas DSHS where there's no local department); for a bakery that bakes and sells to go, Agriculture and Markets (Article 20-C) in New York and FDACS in Florida; with seating, the health department (NY) or DBPR (FL). Florida asks you to apply 21 days before opening. The $120 is the guide's placeholder.  [Source: state agencies, 2026]</t>
        </is>
      </c>
    </row>
    <row r="38" ht="34" customHeight="1">
      <c r="A38" s="12" t="inlineStr">
        <is>
          <t>Pending</t>
        </is>
      </c>
      <c r="B38" s="13" t="inlineStr">
        <is>
          <t>P5</t>
        </is>
      </c>
      <c r="C38" s="9" t="inlineStr">
        <is>
          <t>Check whether your wholesale accounts make you register with FDA</t>
        </is>
      </c>
      <c r="D38" t="inlineStr">
        <is>
          <t>Owner</t>
        </is>
      </c>
      <c r="E38" s="14" t="n">
        <v>5</v>
      </c>
      <c r="F38" s="6" t="inlineStr">
        <is>
          <t>Get a quote</t>
        </is>
      </c>
      <c r="G38" s="6" t="inlineStr">
        <is>
          <t>Not paid yet</t>
        </is>
      </c>
      <c r="H38" s="15" t="n">
        <v>46275</v>
      </c>
      <c r="I38" s="15" t="n">
        <v>46275</v>
      </c>
      <c r="J38" s="12" t="inlineStr">
        <is>
          <t>No</t>
        </is>
      </c>
      <c r="K38" s="5" t="inlineStr">
        <is>
          <t>Only matters if you sell to cafés, restaurants or stores. You stay a retail food establishment, with no FDA registration, while more than half of your food sales by value go directly to consumers; businesses never count as consumers. Cross that line and check FDA food facility registration. The "Selling Wholesale" sheet does the math.  [Source: 21 CFR 1.226(c) and 1.227]</t>
        </is>
      </c>
    </row>
    <row r="39" ht="34" customHeight="1">
      <c r="A39" s="12" t="inlineStr">
        <is>
          <t>Pending</t>
        </is>
      </c>
      <c r="B39" s="13" t="inlineStr">
        <is>
          <t>P5</t>
        </is>
      </c>
      <c r="C39" s="9" t="inlineStr">
        <is>
          <t>Write the food safety plan and name a certified food protection manager as person in charge</t>
        </is>
      </c>
      <c r="D39" t="inlineStr">
        <is>
          <t>Owner</t>
        </is>
      </c>
      <c r="E39" s="14" t="n">
        <v>20</v>
      </c>
      <c r="F39" s="21" t="n">
        <v>800</v>
      </c>
      <c r="G39" s="6" t="inlineStr">
        <is>
          <t>Not paid yet</t>
        </is>
      </c>
      <c r="H39" s="15" t="n">
        <v>46275</v>
      </c>
      <c r="I39" s="15" t="n">
        <v>46275</v>
      </c>
      <c r="J39" s="12" t="inlineStr">
        <is>
          <t>No</t>
        </is>
      </c>
      <c r="K39" s="5" t="inlineStr">
        <is>
          <t>Food Code 2022 (2-102.12): the person in charge must be a certified food protection manager. Inspectors enforce your state's adopted edition (Texas and Florida 2017, New York 2001, California its own code), but building to the 2022 rules is the safe choice. The HACCP Food Safety Kit Pro has the logs ready.  [Source: FDA Food Code 2022 + FDA, 2024]</t>
        </is>
      </c>
    </row>
    <row r="40" ht="34" customHeight="1">
      <c r="A40" s="12" t="inlineStr">
        <is>
          <t>Pending</t>
        </is>
      </c>
      <c r="B40" s="13" t="inlineStr">
        <is>
          <t>P5</t>
        </is>
      </c>
      <c r="C40" s="9" t="inlineStr">
        <is>
          <t>Train the team in food safety and allergens, and log it person by person</t>
        </is>
      </c>
      <c r="D40" t="inlineStr">
        <is>
          <t>Owner</t>
        </is>
      </c>
      <c r="E40" s="14" t="n">
        <v>10</v>
      </c>
      <c r="F40" s="21" t="n">
        <v>240</v>
      </c>
      <c r="G40" s="6" t="inlineStr">
        <is>
          <t>Not paid yet</t>
        </is>
      </c>
      <c r="H40" s="15" t="n">
        <v>46275</v>
      </c>
      <c r="I40" s="15" t="n">
        <v>46275</v>
      </c>
      <c r="J40" s="12" t="inlineStr">
        <is>
          <t>No</t>
        </is>
      </c>
      <c r="K40" s="5" t="inlineStr">
        <is>
          <t>Food Code 2022 (2-103.11(O)): staff trained in food safety, allergen awareness included. Cards are state rules: California, a food handler card within 30 days of hire; Texas, an accredited food handler course; New York State, no card (New York City requires a Food Protection Certificate). The "Training Log" sheet tracks them.  [Source: FDA Food Code 2022 + state rules]</t>
        </is>
      </c>
    </row>
    <row r="41" ht="34" customHeight="1">
      <c r="A41" s="12" t="inlineStr">
        <is>
          <t>Pending</t>
        </is>
      </c>
      <c r="B41" s="13" t="inlineStr">
        <is>
          <t>P5</t>
        </is>
      </c>
      <c r="C41" s="9" t="inlineStr">
        <is>
          <t>Post the written allergen notice for the display case before you open</t>
        </is>
      </c>
      <c r="D41" t="inlineStr">
        <is>
          <t>Owner</t>
        </is>
      </c>
      <c r="E41" s="14" t="n">
        <v>5</v>
      </c>
      <c r="F41" s="6" t="inlineStr">
        <is>
          <t>Get a quote</t>
        </is>
      </c>
      <c r="G41" s="6" t="inlineStr">
        <is>
          <t>Not paid yet</t>
        </is>
      </c>
      <c r="H41" s="15" t="n">
        <v>46275</v>
      </c>
      <c r="I41" s="15" t="n">
        <v>46275</v>
      </c>
      <c r="J41" s="12" t="inlineStr">
        <is>
          <t>No</t>
        </is>
      </c>
      <c r="K41" s="5" t="inlineStr">
        <is>
          <t>Food Code 2022 (3-602.12(C)): written notice of the 9 major allergens in the unpackaged food you sell. The display-case matrix comes ready in the HACCP Food Safety Kit Pro; this guide builds the KITCHEN one (ingredients by allergen and production order), a different thing. New York also signed a law on allergen notices for food packaged in the store (November 12, 2025).  [Source: FDA Food Code 2022]</t>
        </is>
      </c>
    </row>
    <row r="42" ht="34" customHeight="1">
      <c r="A42" s="12" t="inlineStr">
        <is>
          <t>Pending</t>
        </is>
      </c>
      <c r="B42" s="13" t="inlineStr">
        <is>
          <t>P5</t>
        </is>
      </c>
      <c r="C42" s="9" t="inlineStr">
        <is>
          <t>Set up timekeeping: records of hours worked for everyone on payroll</t>
        </is>
      </c>
      <c r="D42" t="inlineStr">
        <is>
          <t>Attorney or CPA</t>
        </is>
      </c>
      <c r="E42" s="14" t="n">
        <v>5</v>
      </c>
      <c r="F42" s="6" t="inlineStr">
        <is>
          <t>Get a quote</t>
        </is>
      </c>
      <c r="G42" s="6" t="inlineStr">
        <is>
          <t>Not paid yet</t>
        </is>
      </c>
      <c r="H42" s="15" t="n">
        <v>46275</v>
      </c>
      <c r="I42" s="15" t="n">
        <v>46275</v>
      </c>
      <c r="J42" s="12" t="inlineStr">
        <is>
          <t>No</t>
        </is>
      </c>
      <c r="K42" s="5" t="inlineStr">
        <is>
          <t>FLSA: keep records of hours worked; overtime over 40 hours in a workweek at 1.5× or more, with no federal premium for nights, weekends or holidays. California adds meal and rest breaks, with one hour of pay as the penalty for each day one is missed.  [Source: U.S. DOL + California DIR, 2026]</t>
        </is>
      </c>
    </row>
    <row r="43">
      <c r="A43" s="16" t="n"/>
      <c r="B43" s="16" t="n"/>
      <c r="C43" s="16" t="inlineStr">
        <is>
          <t>PHASE P5 PROGRESS</t>
        </is>
      </c>
      <c r="D43" s="17">
        <f>IFERROR(COUNTIF(A37:A42,"Done"),"")</f>
        <v>0.0</v>
      </c>
      <c r="E43" s="17">
        <f>IFERROR(COUNTIF(B37:B42,"P5"),"")</f>
        <v>6.0</v>
      </c>
      <c r="F43" s="18">
        <f>IFERROR(SUMIF(F37:F42,"&gt;=0"),"")</f>
        <v>1160.0</v>
      </c>
      <c r="G43" s="18">
        <f>IFERROR(SUMIF(G37:G42,"&gt;=0"),"")</f>
        <v>0.0</v>
      </c>
      <c r="H43" s="16" t="n"/>
      <c r="I43" s="16" t="n"/>
      <c r="J43" s="19">
        <f>IFERROR(IF(E43=0,"",(D43+COUNTIF(A37:A42,"N/A"))/E43),"")</f>
        <v>0.0</v>
      </c>
      <c r="K43" s="20" t="inlineStr">
        <is>
          <t>Done · steps in the phase · budgeted cost · actual cost · % complete ("N/A" counts as resolved).</t>
        </is>
      </c>
    </row>
    <row r="44"/>
    <row r="45">
      <c r="A45" s="4" t="inlineStr">
        <is>
          <t>P6 · Opening: payroll, sales tax and the shop</t>
        </is>
      </c>
      <c r="B45" s="11" t="inlineStr"/>
      <c r="C45" s="11" t="inlineStr"/>
      <c r="D45" s="11" t="inlineStr"/>
      <c r="E45" s="11" t="inlineStr"/>
      <c r="F45" s="11" t="inlineStr"/>
      <c r="G45" s="11" t="inlineStr"/>
      <c r="H45" s="11" t="inlineStr"/>
      <c r="I45" s="11" t="inlineStr"/>
      <c r="J45" s="11" t="inlineStr"/>
      <c r="K45" s="11" t="inlineStr"/>
    </row>
    <row r="46" ht="34" customHeight="1">
      <c r="A46" s="12" t="inlineStr">
        <is>
          <t>Pending</t>
        </is>
      </c>
      <c r="B46" s="13" t="inlineStr">
        <is>
          <t>P6</t>
        </is>
      </c>
      <c r="C46" s="9" t="inlineStr">
        <is>
          <t>Hire the team at or above your state's minimum wage, with Form I-9 and workers' comp</t>
        </is>
      </c>
      <c r="D46" t="inlineStr">
        <is>
          <t>Attorney or CPA</t>
        </is>
      </c>
      <c r="E46" s="14" t="n">
        <v>15</v>
      </c>
      <c r="F46" s="6" t="inlineStr">
        <is>
          <t>Get a quote</t>
        </is>
      </c>
      <c r="G46" s="6" t="inlineStr">
        <is>
          <t>Not paid yet</t>
        </is>
      </c>
      <c r="H46" s="15" t="n">
        <v>46275</v>
      </c>
      <c r="I46" s="15" t="n">
        <v>46275</v>
      </c>
      <c r="J46" s="12" t="inlineStr">
        <is>
          <t>Yes</t>
        </is>
      </c>
      <c r="K46" s="5" t="inlineStr">
        <is>
          <t>2026 minimums: Texas $7.25 (the federal rate), California $16.90, New York $17.00 (NYC, Long Island, Westchester) or $16.00 elsewhere, Florida $14.00 until September 29, 2026 (check FloridaCommerce for the current rate). Many cities set higher ones. The guide's wage table clears Texas but not California, New York or Florida: use your own figures. Workers' comp is required in most states.  [Source: U.S. DOL, July 2026]</t>
        </is>
      </c>
    </row>
    <row r="47" ht="34" customHeight="1">
      <c r="A47" s="12" t="inlineStr">
        <is>
          <t>Pending</t>
        </is>
      </c>
      <c r="B47" s="13" t="inlineStr">
        <is>
          <t>P6</t>
        </is>
      </c>
      <c r="C47" s="9" t="inlineStr">
        <is>
          <t>Check the rules for minors before you staff the early bake shift</t>
        </is>
      </c>
      <c r="D47" t="inlineStr">
        <is>
          <t>Attorney or CPA</t>
        </is>
      </c>
      <c r="E47" s="14" t="n">
        <v>2</v>
      </c>
      <c r="F47" s="6" t="inlineStr">
        <is>
          <t>Get a quote</t>
        </is>
      </c>
      <c r="G47" s="6" t="inlineStr">
        <is>
          <t>Not paid yet</t>
        </is>
      </c>
      <c r="H47" s="15" t="n">
        <v>46275</v>
      </c>
      <c r="I47" s="15" t="n">
        <v>46275</v>
      </c>
      <c r="J47" s="12" t="inlineStr">
        <is>
          <t>No</t>
        </is>
      </c>
      <c r="K47" s="5" t="inlineStr">
        <is>
          <t>Under 16: no baking at all, and work only between 7 a.m. and 7 p.m. (9 p.m. from June 1 to Labor Day). Under 18: no operating, setting up or cleaning power-driven bakery machines such as dough mixers, sheeters or cookie machines (Hazardous Order 11; some light countertop mixers are exempt). Your early bake shift is for adults only.  [Source: U.S. DOL Fact Sheet #43]</t>
        </is>
      </c>
    </row>
    <row r="48" ht="34" customHeight="1">
      <c r="A48" s="12" t="inlineStr">
        <is>
          <t>Pending</t>
        </is>
      </c>
      <c r="B48" s="13" t="inlineStr">
        <is>
          <t>P6</t>
        </is>
      </c>
      <c r="C48" s="9" t="inlineStr">
        <is>
          <t>Choose the POS and card processor (it must tag each sale as to-go or for-here)</t>
        </is>
      </c>
      <c r="D48" t="inlineStr">
        <is>
          <t>Owner</t>
        </is>
      </c>
      <c r="E48" s="14" t="n">
        <v>5</v>
      </c>
      <c r="F48" s="6" t="inlineStr">
        <is>
          <t>Get a quote</t>
        </is>
      </c>
      <c r="G48" s="6" t="inlineStr">
        <is>
          <t>Not paid yet</t>
        </is>
      </c>
      <c r="H48" s="15" t="n">
        <v>46275</v>
      </c>
      <c r="I48" s="15" t="n">
        <v>46275</v>
      </c>
      <c r="J48" s="12" t="inlineStr">
        <is>
          <t>No</t>
        </is>
      </c>
      <c r="K48" s="5" t="inlineStr">
        <is>
          <t>No permit involved, but it carries your sales tax: if you add seating, you'll need to ring up to-go and for-here separately from day one. In-person card fees run about 2.6% + $0.15 per sale (Square).  [Source: guide estimate]</t>
        </is>
      </c>
    </row>
    <row r="49" ht="34" customHeight="1">
      <c r="A49" s="12" t="inlineStr">
        <is>
          <t>Pending</t>
        </is>
      </c>
      <c r="B49" s="13" t="inlineStr">
        <is>
          <t>P6</t>
        </is>
      </c>
      <c r="C49" s="9" t="inlineStr">
        <is>
          <t>Label everything you package in the store</t>
        </is>
      </c>
      <c r="D49" t="inlineStr">
        <is>
          <t>Owner</t>
        </is>
      </c>
      <c r="E49" s="14" t="n">
        <v>5</v>
      </c>
      <c r="F49" s="6" t="inlineStr">
        <is>
          <t>Get a quote</t>
        </is>
      </c>
      <c r="G49" s="6" t="inlineStr">
        <is>
          <t>Not paid yet</t>
        </is>
      </c>
      <c r="H49" s="15" t="n">
        <v>46275</v>
      </c>
      <c r="I49" s="15" t="n">
        <v>46275</v>
      </c>
      <c r="J49" s="12" t="inlineStr">
        <is>
          <t>No</t>
        </is>
      </c>
      <c r="K49" s="5" t="inlineStr">
        <is>
          <t>Food Code 2022 (3-602.11(B)): food you package in the shop needs its common name, ingredients by weight, net quantity, your name and address, and the source of each major allergen. Packaging: foam (EPS) containers are banned in New York and California, and so is paper packaging with added PFAS; Florida keeps polystyrene rules at state level. Paper-based cake boxes and boards work everywhere; in New York and California, ask for PFAS-free.  [Source: FDA Food Code 2022 + NYSDEC + California AG]</t>
        </is>
      </c>
    </row>
    <row r="50" ht="34" customHeight="1">
      <c r="A50" s="12" t="inlineStr">
        <is>
          <t>Pending</t>
        </is>
      </c>
      <c r="B50" s="13" t="inlineStr">
        <is>
          <t>P6</t>
        </is>
      </c>
      <c r="C50" s="9" t="inlineStr">
        <is>
          <t>Confirm how your state taxes bakery sales (to go, for here, plated) and set up the POS to match</t>
        </is>
      </c>
      <c r="D50" t="inlineStr">
        <is>
          <t>Owner</t>
        </is>
      </c>
      <c r="E50" s="14" t="n">
        <v>2</v>
      </c>
      <c r="F50" s="6" t="inlineStr">
        <is>
          <t>Get a quote</t>
        </is>
      </c>
      <c r="G50" s="6" t="inlineStr">
        <is>
          <t>Not paid yet</t>
        </is>
      </c>
      <c r="H50" s="15" t="n">
        <v>46275</v>
      </c>
      <c r="I50" s="15" t="n">
        <v>46275</v>
      </c>
      <c r="J50" s="12" t="inlineStr">
        <is>
          <t>Yes</t>
        </is>
      </c>
      <c r="K50" s="5" t="inlineStr">
        <is>
          <t>Sales tax follows HOW you sell, not the product. In all four example states, pastries and cakes sold to go are generally exempt; what you plate, heat or serve at your tables usually isn't. Texas: exempt unless sold with plates or utensils. Florida: with seating, 5 items or fewer are presumed eaten on site unless packaged to go and rung up separately. California: watch the 80/80 rule.  [Source: state tax agencies, 2026]</t>
        </is>
      </c>
    </row>
    <row r="51" ht="34" customHeight="1">
      <c r="A51" s="12" t="inlineStr">
        <is>
          <t>Pending</t>
        </is>
      </c>
      <c r="B51" s="13" t="inlineStr">
        <is>
          <t>P6</t>
        </is>
      </c>
      <c r="C51" s="9" t="inlineStr">
        <is>
          <t>Buy insurance: general liability and property, plus workers' comp</t>
        </is>
      </c>
      <c r="D51" t="inlineStr">
        <is>
          <t>Owner</t>
        </is>
      </c>
      <c r="E51" s="14" t="n">
        <v>5</v>
      </c>
      <c r="F51" s="21" t="n">
        <v>1440</v>
      </c>
      <c r="G51" s="6" t="inlineStr">
        <is>
          <t>Not paid yet</t>
        </is>
      </c>
      <c r="H51" s="15" t="n">
        <v>46275</v>
      </c>
      <c r="I51" s="15" t="n">
        <v>46275</v>
      </c>
      <c r="J51" s="12" t="inlineStr">
        <is>
          <t>Yes</t>
        </is>
      </c>
      <c r="K51" s="5" t="inlineStr">
        <is>
          <t>Which policies are mandatory, and at what limits, depends on your state (workers' comp) and on your lease (general liability, property): read the lease's insurance clause before you buy. The $1,440 a year is the guide's placeholder.  [Source: guide estimate + state rules]</t>
        </is>
      </c>
    </row>
    <row r="52">
      <c r="A52" s="16" t="n"/>
      <c r="B52" s="16" t="n"/>
      <c r="C52" s="16" t="inlineStr">
        <is>
          <t>PHASE P6 PROGRESS</t>
        </is>
      </c>
      <c r="D52" s="17">
        <f>IFERROR(COUNTIF(A46:A51,"Done"),"")</f>
        <v>0.0</v>
      </c>
      <c r="E52" s="17">
        <f>IFERROR(COUNTIF(B46:B51,"P6"),"")</f>
        <v>6.0</v>
      </c>
      <c r="F52" s="18">
        <f>IFERROR(SUMIF(F46:F51,"&gt;=0"),"")</f>
        <v>1440.0</v>
      </c>
      <c r="G52" s="18">
        <f>IFERROR(SUMIF(G46:G51,"&gt;=0"),"")</f>
        <v>0.0</v>
      </c>
      <c r="H52" s="16" t="n"/>
      <c r="I52" s="16" t="n"/>
      <c r="J52" s="19">
        <f>IFERROR(IF(E52=0,"",(D52+COUNTIF(A46:A51,"N/A"))/E52),"")</f>
        <v>0.0</v>
      </c>
      <c r="K52" s="20" t="inlineStr">
        <is>
          <t>Done · steps in the phase · budgeted cost · actual cost · % complete ("N/A" counts as resolved).</t>
        </is>
      </c>
    </row>
    <row r="53"/>
    <row r="54">
      <c r="A54" s="4" t="inlineStr">
        <is>
          <t>WHOLE-PROJECT SUMMARY</t>
        </is>
      </c>
      <c r="B54" s="11" t="inlineStr"/>
      <c r="C54" s="11" t="inlineStr"/>
      <c r="D54" s="11" t="inlineStr"/>
      <c r="E54" s="11" t="inlineStr"/>
      <c r="F54" s="11" t="inlineStr"/>
      <c r="G54" s="11" t="inlineStr"/>
      <c r="H54" s="11" t="inlineStr"/>
      <c r="I54" s="11" t="inlineStr"/>
      <c r="J54" s="11" t="inlineStr"/>
      <c r="K54" s="11" t="inlineStr"/>
    </row>
    <row r="55">
      <c r="C55" t="inlineStr">
        <is>
          <t>Steps in the checklist</t>
        </is>
      </c>
      <c r="D55" s="22">
        <f>IFERROR(COUNTIF(B7:B51,"P*"),"")</f>
        <v>30.0</v>
      </c>
    </row>
    <row r="56">
      <c r="C56" t="inlineStr">
        <is>
          <t>Steps done</t>
        </is>
      </c>
      <c r="D56" s="22">
        <f>IFERROR(COUNTIF(A7:A51,"Done"),"")</f>
        <v>0.0</v>
      </c>
    </row>
    <row r="57">
      <c r="C57" t="inlineStr">
        <is>
          <t>Steps that don't apply to you (N/A)</t>
        </is>
      </c>
      <c r="D57" s="22">
        <f>IFERROR(COUNTIF(A7:A51,"N/A"),"")</f>
        <v>0.0</v>
      </c>
    </row>
    <row r="58">
      <c r="C58" s="16" t="inlineStr">
        <is>
          <t>Overall progress (%)</t>
        </is>
      </c>
      <c r="D58" s="19">
        <f>IFERROR(IF(D55=0,"",(D56+D57)/D55),"")</f>
        <v>0.0</v>
      </c>
    </row>
    <row r="59">
      <c r="C59" t="inlineStr">
        <is>
          <t>Total budgeted cost of the checklist ($)</t>
        </is>
      </c>
      <c r="D59" s="23">
        <f>IFERROR(SUMIF(F7:F51,"&gt;=0"),"")</f>
        <v>185360.0</v>
      </c>
      <c r="K59" s="5" t="inlineStr">
        <is>
          <t>HEADS-UP: this total is NOT "what the paperwork costs". It includes the build-out, the P4 line that takes most of it on its own. Your opening budget, block by block, lives in the "3-year-financial-plan" workbook: here you only check that every step has its amount and its date.</t>
        </is>
      </c>
    </row>
    <row r="60">
      <c r="C60" t="inlineStr">
        <is>
          <t>Total actual cost of the checklist ($)</t>
        </is>
      </c>
      <c r="D60" s="23">
        <f>IFERROR(SUMIF(G7:G51,"&gt;=0"),"")</f>
        <v>0.0</v>
      </c>
      <c r="K60" s="5" t="inlineStr">
        <is>
          <t>Fills in as you pay. While it's zero, the variance below tells you nothing.</t>
        </is>
      </c>
    </row>
    <row r="61">
      <c r="C61" s="16" t="inlineStr">
        <is>
          <t>Variance (actual minus budgeted, $)</t>
        </is>
      </c>
      <c r="D61" s="18">
        <f>IFERROR(D60-D59,"")</f>
        <v>-185360.0</v>
      </c>
    </row>
    <row r="62">
      <c r="C62" t="inlineStr">
        <is>
          <t>Steps without an amount (get a quote)</t>
        </is>
      </c>
      <c r="D62" s="22">
        <f>IFERROR(COUNTIF(F7:F51,"Get a quote"),"")</f>
        <v>21.0</v>
      </c>
      <c r="K62" s="5" t="inlineStr">
        <is>
          <t>These depend on your city or county, your state or a vendor. Don't guess them: ask. Until this number is zero, your opening budget is incomplete.</t>
        </is>
      </c>
    </row>
    <row r="63">
      <c r="C63" t="inlineStr">
        <is>
          <t>Steps whose rules vary by state</t>
        </is>
      </c>
      <c r="D63" s="22">
        <f>IFERROR(COUNTIF(J7:J51,"Yes"),"")</f>
        <v>8.0</v>
      </c>
      <c r="K63" s="5" t="inlineStr">
        <is>
          <t>Confirm each of these with YOUR state and county. The workbook's examples are California, Texas, New York and Florida, and that's all they are: examples. A "No" doesn't mean a step is identical everywhere: your city or county still sets its own forms, fees and timelines.</t>
        </is>
      </c>
    </row>
    <row r="64"/>
    <row r="65" ht="48" customHeight="1">
      <c r="A65" s="5" t="inlineStr">
        <is>
          <t>Lead times in days are ESTIMATES, and almost all of them depend on someone else: the city, the landlord, the architect, the installer. The only one you fully control is asking early. And there's one nobody controls: the landlord's written OK for the hood and duct depends on the landlord's (and sometimes the shopping center's) schedule, and it can stall everything else.</t>
        </is>
      </c>
    </row>
    <row r="66"/>
    <row r="67">
      <c r="A67" s="24" t="inlineStr">
        <is>
          <t>Validation lists (don't delete them: the dropdowns come from here)</t>
        </is>
      </c>
    </row>
    <row r="68">
      <c r="A68" s="25" t="inlineStr">
        <is>
          <t>Step status</t>
        </is>
      </c>
    </row>
    <row r="69">
      <c r="A69" s="26" t="inlineStr">
        <is>
          <t>Pending</t>
        </is>
      </c>
    </row>
    <row r="70">
      <c r="A70" s="26" t="inlineStr">
        <is>
          <t>Done</t>
        </is>
      </c>
    </row>
    <row r="71">
      <c r="A71" s="26" t="inlineStr">
        <is>
          <t>N/A</t>
        </is>
      </c>
    </row>
    <row r="72"/>
    <row r="73">
      <c r="A73" s="25" t="inlineStr">
        <is>
          <t>Yes or No</t>
        </is>
      </c>
    </row>
    <row r="74">
      <c r="A74" s="26" t="inlineStr">
        <is>
          <t>Yes</t>
        </is>
      </c>
    </row>
    <row r="75">
      <c r="A75" s="26"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65:K65"/>
    <mergeCell ref="A3:K3"/>
  </mergeCells>
  <conditionalFormatting sqref="J12">
    <cfRule type="expression" priority="1" dxfId="0" stopIfTrue="1">
      <formula>=AND(ISNUMBER($J$12),$J$12&lt;1)</formula>
    </cfRule>
  </conditionalFormatting>
  <conditionalFormatting sqref="J20">
    <cfRule type="expression" priority="2" dxfId="0" stopIfTrue="1">
      <formula>=AND(ISNUMBER($J$20),$J$20&lt;1)</formula>
    </cfRule>
  </conditionalFormatting>
  <conditionalFormatting sqref="J26">
    <cfRule type="expression" priority="3" dxfId="0" stopIfTrue="1">
      <formula>=AND(ISNUMBER($J$26),$J$26&lt;1)</formula>
    </cfRule>
  </conditionalFormatting>
  <conditionalFormatting sqref="J34">
    <cfRule type="expression" priority="4" dxfId="0" stopIfTrue="1">
      <formula>=AND(ISNUMBER($J$34),$J$34&lt;1)</formula>
    </cfRule>
  </conditionalFormatting>
  <conditionalFormatting sqref="J43">
    <cfRule type="expression" priority="5" dxfId="0" stopIfTrue="1">
      <formula>=AND(ISNUMBER($J$43),$J$43&lt;1)</formula>
    </cfRule>
  </conditionalFormatting>
  <conditionalFormatting sqref="J52">
    <cfRule type="expression" priority="6" dxfId="0" stopIfTrue="1">
      <formula>=AND(ISNUMBER($J$52),$J$52&lt;1)</formula>
    </cfRule>
  </conditionalFormatting>
  <conditionalFormatting sqref="D58">
    <cfRule type="expression" priority="7" dxfId="0" stopIfTrue="1">
      <formula>=AND(ISNUMBER($D$58),$D$58&lt;1)</formula>
    </cfRule>
  </conditionalFormatting>
  <conditionalFormatting sqref="D61">
    <cfRule type="expression" priority="8" dxfId="1" stopIfTrue="1">
      <formula>=AND(ISNUMBER($D$61),$D$61&gt;0)</formula>
    </cfRule>
  </conditionalFormatting>
  <conditionalFormatting sqref="D62">
    <cfRule type="expression" priority="9" dxfId="0" stopIfTrue="1">
      <formula>=AND(ISNUMBER($D$62),$D$62&gt;0)</formula>
    </cfRule>
  </conditionalFormatting>
  <dataValidations count="2">
    <dataValidation sqref="A7 A8 A9 A10 A11 A15 A16 A17 A18 A19 A23 A24 A25 A29 A30 A31 A32 A33 A37 A38 A39 A40 A41 A42 A46 A47 A48 A49 A50 A51" showDropDown="0" showInputMessage="0" showErrorMessage="1" allowBlank="0" errorTitle="Mark the step status" error="Choose Pending, Done or N/A from the list at the bottom of the sheet." type="list">
      <formula1>'Permits Checklist (P1-P6)'!$A$69:$A$71</formula1>
    </dataValidation>
    <dataValidation sqref="J7 J8 J9 J10 J11 J15 J16 J17 J18 J19 J23 J24 J25 J29 J30 J31 J32 J33 J37 J38 J39 J40 J41 J42 J46 J47 J48 J49 J50 J51" showDropDown="0" showInputMessage="0" showErrorMessage="1" allowBlank="0" errorTitle="Mark Yes or No" error="Choose &quot;Yes&quot; or &quot;No&quot; from the list at the bottom of the sheet." type="list">
      <formula1>'Permits Checklist (P1-P6)'!$A$74:$A$75</formula1>
    </dataValidation>
  </dataValidations>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58" customWidth="1" min="1" max="1"/>
    <col width="30" customWidth="1" min="2" max="2"/>
    <col width="96" customWidth="1" min="3" max="3"/>
  </cols>
  <sheetData>
    <row r="1" ht="26" customHeight="1">
      <c r="A1" s="1" t="inlineStr">
        <is>
          <t>Which Permit Do I Need: Local Food Permit or FDA Registration?</t>
        </is>
      </c>
    </row>
    <row r="2">
      <c r="A2" s="2" t="inlineStr">
        <is>
          <t>AI Chef Pro · aichef.pro — How to Open a Pastry Shop</t>
        </is>
      </c>
    </row>
    <row r="3" ht="28" customHeight="1">
      <c r="A3" s="5" t="inlineStr">
        <is>
          <t>Three questions and a verdict. It clears up a common mix-up: a bakery that sells to consumers needs a food permit, not an FDA food facility registration.</t>
        </is>
      </c>
    </row>
    <row r="4"/>
    <row r="5">
      <c r="A5" s="4" t="inlineStr">
        <is>
          <t>THE THREE QUESTIONS</t>
        </is>
      </c>
      <c r="B5" s="11" t="inlineStr"/>
      <c r="C5" s="11" t="inlineStr"/>
    </row>
    <row r="6" ht="30" customHeight="1">
      <c r="A6" s="9" t="inlineStr">
        <is>
          <t>Do you sell directly to consumers (counter, custom orders or your own website)?</t>
        </is>
      </c>
      <c r="B6" s="12" t="inlineStr">
        <is>
          <t>Yes</t>
        </is>
      </c>
      <c r="C6" s="5" t="inlineStr">
        <is>
          <t>If "Yes", you're a retail food establishment, and retail food establishments don't register with FDA as long as more than half of their food sales, by value, go directly to consumers. Your permit comes from your local or state food agency.</t>
        </is>
      </c>
    </row>
    <row r="7" ht="30" customHeight="1">
      <c r="A7" s="9" t="inlineStr">
        <is>
          <t>Do you also sell to other BUSINESSES (cafés, restaurants, stores)?</t>
        </is>
      </c>
      <c r="B7" s="12" t="inlineStr">
        <is>
          <t>No</t>
        </is>
      </c>
      <c r="C7" s="5" t="inlineStr">
        <is>
          <t>Businesses never count as consumers, however small they are. If "Yes", go to the "Selling Wholesale" sheet before you read the verdict.</t>
        </is>
      </c>
    </row>
    <row r="8" ht="30" customHeight="1">
      <c r="A8" s="9" t="inlineStr">
        <is>
          <t>Do you have, or plan, a second location?</t>
        </is>
      </c>
      <c r="B8" s="12" t="inlineStr">
        <is>
          <t>No</t>
        </is>
      </c>
      <c r="C8" s="5" t="inlineStr">
        <is>
          <t>Ask your agency before you open it: whether the second site needs its own permit, and how it treats food you bake at one site and sell at the other.</t>
        </is>
      </c>
    </row>
    <row r="9">
      <c r="A9" t="inlineStr">
        <is>
          <t>Your state</t>
        </is>
      </c>
      <c r="B9" s="12" t="inlineStr">
        <is>
          <t>Texas</t>
        </is>
      </c>
      <c r="C9" s="5" t="inlineStr">
        <is>
          <t>Four EXAMPLE states, chosen because they permit the same bakery in very different ways. If yours isn't listed, choose "Other" and search "[your county] environmental health food facility plan check".</t>
        </is>
      </c>
    </row>
    <row r="10"/>
    <row r="11">
      <c r="A11" s="4" t="inlineStr">
        <is>
          <t>THE VERDICT</t>
        </is>
      </c>
      <c r="B11" s="11" t="inlineStr"/>
      <c r="C11" s="11" t="inlineStr"/>
    </row>
    <row r="12" ht="34" customHeight="1">
      <c r="A12" s="27" t="inlineStr">
        <is>
          <t>What you are</t>
        </is>
      </c>
      <c r="B12" s="28" t="str">
        <f>IFERROR(IF(B6&lt;&gt;"Yes","Not a retail bakery: with no sales directly to consumers you're not exempt, so check FDA food facility registration and get advice",IF(B7="No","Retail food establishment: a local or state food permit is what you need, with no FDA registration",'Selling Wholesale'!$B$41)),"")</f>
        <v>Retail food establishment: a local or state food permit is what you need, with no FDA registration</v>
      </c>
    </row>
    <row r="13" ht="28" customHeight="1">
      <c r="A13" t="inlineStr">
        <is>
          <t>The permit to get</t>
        </is>
      </c>
      <c r="B13" t="str">
        <f>IFERROR(IF(B7="No","Retail food permit from your county or city health department (in NY and FL, the state agriculture department if you bake and sell to go)","The same retail food permit PLUS whatever the ""Selling Wholesale"" sheet says"),"")</f>
        <v>Retail food permit from your county or city health department (in NY and FL, the state agriculture department if you bake and sell to go)</v>
      </c>
    </row>
    <row r="14" ht="30" customHeight="1">
      <c r="A14" t="inlineStr">
        <is>
          <t>Can you open once you've applied?</t>
        </is>
      </c>
      <c r="B14" s="9" t="inlineStr">
        <is>
          <t>No. The food permit is issued after plan review and the pre-opening inspection, and you need it in hand to open. It doesn't replace your building permit, certificate of occupancy or business license.</t>
        </is>
      </c>
    </row>
    <row r="15" ht="30" customHeight="1">
      <c r="A15" t="inlineStr">
        <is>
          <t>Who issues it in your state</t>
        </is>
      </c>
      <c r="B15" t="str">
        <f>IFERROR(IF(B9="Texas","Texas: city or county health department, or DSHS where there's none (Austin: plan review $312, pre-opening inspection $178)","CA: county environmental health · NY: Agriculture and Markets (20-C) · FL: FDACS (DBPR with seating) · Other: look up your state"),"")</f>
        <v>Texas: city or county health department, or DSHS where there's none (Austin: plan review $312, pre-opening inspection $178)</v>
      </c>
    </row>
    <row r="16" ht="30" customHeight="1">
      <c r="A16" t="inlineStr">
        <is>
          <t>If you have a second location</t>
        </is>
      </c>
      <c r="B16" t="str">
        <f>IFERROR(IF(B8="Yes","Ask your agency whether each location needs its own permit and how it treats food you bake at one and sell at the other","Not applicable"),"")</f>
        <v>Not applicable</v>
      </c>
    </row>
    <row r="17"/>
    <row r="18">
      <c r="A18" s="4" t="inlineStr">
        <is>
          <t>THE THREE CASES, SO YOU SEE WHY</t>
        </is>
      </c>
      <c r="B18" s="11" t="inlineStr"/>
      <c r="C18" s="11" t="inlineStr"/>
    </row>
    <row r="19" ht="24" customHeight="1">
      <c r="A19" s="7" t="inlineStr">
        <is>
          <t>Your situation</t>
        </is>
      </c>
      <c r="B19" s="7" t="inlineStr">
        <is>
          <t>What you need</t>
        </is>
      </c>
      <c r="C19" s="7" t="inlineStr">
        <is>
          <t>Why</t>
        </is>
      </c>
    </row>
    <row r="20" ht="46" customHeight="1">
      <c r="A20" s="9" t="inlineStr">
        <is>
          <t>You sell only to consumers, at your counter and on your website</t>
        </is>
      </c>
      <c r="B20" s="9" t="inlineStr">
        <is>
          <t>A retail food permit from your local (or state) food agency</t>
        </is>
      </c>
      <c r="C20" s="5" t="inlineStr">
        <is>
          <t>You're a retail food establishment, exempt from FDA registration. Selling online to consumers, shipped to their door, generally keeps you retail while consumers take more than half of your food sales by value.</t>
        </is>
      </c>
    </row>
    <row r="21" ht="46" customHeight="1">
      <c r="A21" s="9" t="inlineStr">
        <is>
          <t>You also sell to cafés or stores, consumers still take more than half of your sales, and you pass the three wholesale checks</t>
        </is>
      </c>
      <c r="B21" s="9" t="inlineStr">
        <is>
          <t>The same retail food permit, PLUS full labels or allergen sheets for every account and a cold chain you can show</t>
        </is>
      </c>
      <c r="C21" s="5" t="inlineStr">
        <is>
          <t>Still outside FDA registration, with more paperwork. The "Selling Wholesale" sheet runs the three checks one by one.</t>
        </is>
      </c>
    </row>
    <row r="22" ht="46" customHeight="1">
      <c r="A22" s="9" t="inlineStr">
        <is>
          <t>You sell to businesses and fail one of the three checks</t>
        </is>
      </c>
      <c r="B22" s="9" t="inlineStr">
        <is>
          <t>FDA registration if businesses take half or more; otherwise fix what fails</t>
        </is>
      </c>
      <c r="C22" s="5" t="inlineStr">
        <is>
          <t>Failing the 50% line is what triggers FDA registration; failing cold chain or labels is a fix before your next delivery. Watch the line when one account grows: a single hotel or chain can tip it.</t>
        </is>
      </c>
    </row>
    <row r="23"/>
    <row r="24" ht="54" customHeight="1">
      <c r="A24" s="5" t="inlineStr">
        <is>
          <t>A bakery that sells to consumers is a retail food establishment: while more than half of its annual food sales, by value, go directly to consumers, it doesn't register with FDA (21 CFR 1.226(c) and 1.227). What it does need is a food permit from the local health department or, in New York and Florida, from the state agriculture department if it bakes and sells to go, usually issued after plan review and a pre-opening inspection. All of this was checked against the official texts in October 2026, and each cell's comment has the link.</t>
        </is>
      </c>
    </row>
    <row r="25"/>
    <row r="26">
      <c r="A26" s="24" t="inlineStr">
        <is>
          <t>Validation lists (don't delete them: the dropdowns come from here)</t>
        </is>
      </c>
    </row>
    <row r="27">
      <c r="A27" s="25" t="inlineStr">
        <is>
          <t>Yes or No</t>
        </is>
      </c>
    </row>
    <row r="28">
      <c r="A28" s="26" t="inlineStr">
        <is>
          <t>Yes</t>
        </is>
      </c>
    </row>
    <row r="29">
      <c r="A29" s="26" t="inlineStr">
        <is>
          <t>No</t>
        </is>
      </c>
    </row>
    <row r="30"/>
    <row r="31">
      <c r="A31" s="25" t="inlineStr">
        <is>
          <t>State</t>
        </is>
      </c>
    </row>
    <row r="32">
      <c r="A32" s="26" t="inlineStr">
        <is>
          <t>Texas</t>
        </is>
      </c>
    </row>
    <row r="33">
      <c r="A33" s="26" t="inlineStr">
        <is>
          <t>California</t>
        </is>
      </c>
    </row>
    <row r="34">
      <c r="A34" s="26" t="inlineStr">
        <is>
          <t>New York</t>
        </is>
      </c>
    </row>
    <row r="35">
      <c r="A35" s="26" t="inlineStr">
        <is>
          <t>Florida</t>
        </is>
      </c>
    </row>
    <row r="36">
      <c r="A36" s="26" t="inlineStr">
        <is>
          <t>Other (check your state)</t>
        </is>
      </c>
    </row>
  </sheetData>
  <sheetProtection selectLockedCells="0" selectUnlockedCells="0" sheet="1" objects="0" insertRows="0" insertHyperlinks="1" autoFilter="1" scenarios="0" formatColumns="0" deleteColumns="1" insertColumns="1" pivotTables="1" deleteRows="1" formatCells="1" formatRows="0" sort="0"/>
  <mergeCells count="7">
    <mergeCell ref="B12:C12"/>
    <mergeCell ref="B13:C13"/>
    <mergeCell ref="B16:C16"/>
    <mergeCell ref="A24:C24"/>
    <mergeCell ref="A3:C3"/>
    <mergeCell ref="B15:C15"/>
    <mergeCell ref="B14:C14"/>
  </mergeCells>
  <dataValidations count="2">
    <dataValidation sqref="B6 B7 B8" showDropDown="0" showInputMessage="0" showErrorMessage="1" allowBlank="0" errorTitle="Mark Yes or No" error="Choose &quot;Yes&quot; or &quot;No&quot; from the list at the bottom." type="list">
      <formula1>'Which Permit Do I Need'!$A$28:$A$29</formula1>
    </dataValidation>
    <dataValidation sqref="B9" showDropDown="0" showInputMessage="0" showErrorMessage="1" allowBlank="0" errorTitle="Choose your state" error="Choose one from the list at the bottom of the sheet." type="list">
      <formula1>'Which Permit Do I Need'!$A$32:$A$36</formula1>
    </dataValidation>
  </dataValidations>
  <pageMargins left="0.39" right="0.39" top="0.55" bottom="0.55" header="0.3" footer="0.3"/>
  <pageSetup orientation="portrait"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49"/>
  <sheetViews>
    <sheetView workbookViewId="0">
      <pane ySplit="3" topLeftCell="A4" activePane="bottomLeft" state="frozen"/>
      <selection pane="bottomLeft" activeCell="A1" sqref="A1"/>
    </sheetView>
  </sheetViews>
  <sheetFormatPr baseColWidth="8" defaultRowHeight="15"/>
  <cols>
    <col width="56" customWidth="1" min="1" max="1"/>
    <col width="20" customWidth="1" min="2" max="2"/>
    <col width="20" customWidth="1" min="3" max="3"/>
    <col width="14" customWidth="1" min="4" max="4"/>
    <col width="18" customWidth="1" min="5" max="5"/>
    <col width="92" customWidth="1" min="6" max="6"/>
  </cols>
  <sheetData>
    <row r="1" ht="26" customHeight="1">
      <c r="A1" s="1" t="inlineStr">
        <is>
          <t>Selling Wholesale: the FDA 50% Line and Two More Checks</t>
        </is>
      </c>
    </row>
    <row r="2">
      <c r="A2" s="2" t="inlineStr">
        <is>
          <t>AI Chef Pro · aichef.pro — How to Open a Pastry Shop</t>
        </is>
      </c>
    </row>
    <row r="3" ht="28" customHeight="1">
      <c r="A3" s="5" t="inlineStr">
        <is>
          <t>First the gateway: this applies ONLY if you sell to other businesses. Then three checks: the FDA line (with two ALTERNATIVE ways to measure it), cold chain and labels.</t>
        </is>
      </c>
    </row>
    <row r="4"/>
    <row r="5">
      <c r="A5" s="4" t="inlineStr">
        <is>
          <t>GATEWAY: DOES THIS APPLY TO YOU AT ALL?</t>
        </is>
      </c>
      <c r="B5" s="11" t="inlineStr"/>
      <c r="C5" s="11" t="inlineStr"/>
      <c r="D5" s="11" t="inlineStr"/>
      <c r="E5" s="11" t="inlineStr"/>
      <c r="F5" s="11" t="inlineStr"/>
    </row>
    <row r="6">
      <c r="A6" s="9" t="inlineStr">
        <is>
          <t>Do you sell food you make to other BUSINESSES (cafés, restaurants, stores, caterers)?</t>
        </is>
      </c>
      <c r="B6" s="12" t="inlineStr">
        <is>
          <t>No</t>
        </is>
      </c>
      <c r="F6" s="5" t="inlineStr">
        <is>
          <t>If "No", skip the rest of the sheet. Selling to consumers, even online and shipped to their door, isn't wholesale.</t>
        </is>
      </c>
    </row>
    <row r="7">
      <c r="A7" t="inlineStr">
        <is>
          <t>Gateway answer</t>
        </is>
      </c>
      <c r="B7" t="str">
        <f>IFERROR(IF(B6="No","This sheet doesn't apply: nothing below binds you","It applies: go through the three checks"),"")</f>
        <v>This sheet doesn't apply: nothing below binds you</v>
      </c>
    </row>
    <row r="8"/>
    <row r="9">
      <c r="A9" s="4" t="inlineStr">
        <is>
          <t>YOUR WHOLESALE ACCOUNTS</t>
        </is>
      </c>
      <c r="B9" s="11" t="inlineStr"/>
      <c r="C9" s="11" t="inlineStr"/>
      <c r="D9" s="11" t="inlineStr"/>
      <c r="E9" s="11" t="inlineStr"/>
      <c r="F9" s="11" t="inlineStr"/>
    </row>
    <row r="10" ht="26" customHeight="1">
      <c r="A10" s="7" t="inlineStr">
        <is>
          <t>Account</t>
        </is>
      </c>
      <c r="B10" s="7" t="inlineStr">
        <is>
          <t>kg a week</t>
        </is>
      </c>
      <c r="C10" s="7" t="inlineStr">
        <is>
          <t>% of annual food sales</t>
        </is>
      </c>
      <c r="D10" s="7" t="inlineStr">
        <is>
          <t>Miles</t>
        </is>
      </c>
      <c r="E10" s="7" t="inlineStr">
        <is>
          <t>Missing label or allergen info?</t>
        </is>
      </c>
      <c r="F10" s="7" t="inlineStr">
        <is>
          <t>Notes</t>
        </is>
      </c>
    </row>
    <row r="11">
      <c r="A11" s="6" t="inlineStr">
        <is>
          <t>Corner coffee shop</t>
        </is>
      </c>
      <c r="B11" s="29" t="n">
        <v>22</v>
      </c>
      <c r="C11" s="30" t="n">
        <v>0.018</v>
      </c>
      <c r="D11" s="29" t="n">
        <v>1.2</v>
      </c>
      <c r="E11" s="12" t="inlineStr">
        <is>
          <t>No</t>
        </is>
      </c>
    </row>
    <row r="12">
      <c r="A12" s="6" t="inlineStr">
        <is>
          <t>Neighborhood restaurant</t>
        </is>
      </c>
      <c r="B12" s="29" t="n">
        <v>14</v>
      </c>
      <c r="C12" s="30" t="n">
        <v>0.011</v>
      </c>
      <c r="D12" s="29" t="n">
        <v>2.4</v>
      </c>
      <c r="E12" s="12" t="inlineStr">
        <is>
          <t>No</t>
        </is>
      </c>
    </row>
    <row r="13">
      <c r="A13" s="6" t="inlineStr">
        <is>
          <t>Downtown specialty food store</t>
        </is>
      </c>
      <c r="B13" s="29" t="n">
        <v>9</v>
      </c>
      <c r="C13" s="30" t="n">
        <v>0.007</v>
      </c>
      <c r="D13" s="29" t="n">
        <v>3.1</v>
      </c>
      <c r="E13" s="12" t="inlineStr">
        <is>
          <t>No</t>
        </is>
      </c>
    </row>
    <row r="14">
      <c r="A14" s="6" t="inlineStr">
        <is>
          <t>Boutique hotel on the avenue</t>
        </is>
      </c>
      <c r="B14" s="29" t="n">
        <v>6</v>
      </c>
      <c r="C14" s="30" t="n">
        <v>0.005</v>
      </c>
      <c r="D14" s="29" t="n">
        <v>4</v>
      </c>
      <c r="E14" s="12" t="inlineStr">
        <is>
          <t>No</t>
        </is>
      </c>
    </row>
    <row r="15">
      <c r="A15" s="6" t="inlineStr">
        <is>
          <t>(open: type your fifth account here)</t>
        </is>
      </c>
      <c r="B15" s="29" t="n">
        <v>0</v>
      </c>
      <c r="C15" s="30" t="n">
        <v>0</v>
      </c>
      <c r="D15" s="29" t="n">
        <v>0</v>
      </c>
      <c r="E15" s="12" t="inlineStr">
        <is>
          <t>No</t>
        </is>
      </c>
    </row>
    <row r="16">
      <c r="A16" s="6" t="inlineStr">
        <is>
          <t>(open: type your sixth account here)</t>
        </is>
      </c>
      <c r="B16" s="29" t="n">
        <v>0</v>
      </c>
      <c r="C16" s="30" t="n">
        <v>0</v>
      </c>
      <c r="D16" s="29" t="n">
        <v>0</v>
      </c>
      <c r="E16" s="12" t="inlineStr">
        <is>
          <t>No</t>
        </is>
      </c>
    </row>
    <row r="17">
      <c r="A17" s="16" t="inlineStr">
        <is>
          <t>TOTAL</t>
        </is>
      </c>
      <c r="B17" s="31">
        <f>IFERROR(SUM(B11:B16),"")</f>
        <v>51.0</v>
      </c>
      <c r="C17" s="32">
        <f>IFERROR(SUM(C11:C16),"")</f>
        <v>0.040999999999999995</v>
      </c>
      <c r="D17" s="31">
        <f>IFERROR(MAX(D11:D16),"")</f>
        <v>4.0</v>
      </c>
      <c r="E17" s="17">
        <f>IFERROR(COUNTIF(E11:E16,"Yes"),"")</f>
        <v>0.0</v>
      </c>
      <c r="F17" s="20" t="inlineStr">
        <is>
          <t>Kilos and percentages add up; miles take the MAXIMUM (your farthest account decides), and the last column counts the accounts missing labels or allergen info.</t>
        </is>
      </c>
    </row>
    <row r="18"/>
    <row r="19">
      <c r="A19" s="4" t="inlineStr">
        <is>
          <t>CHECK 1 · THE FDA LINE (two ALTERNATIVE ways to measure it: one is enough)</t>
        </is>
      </c>
      <c r="B19" s="11" t="inlineStr"/>
      <c r="C19" s="11" t="inlineStr"/>
      <c r="D19" s="11" t="inlineStr"/>
      <c r="E19" s="11" t="inlineStr"/>
      <c r="F19" s="11" t="inlineStr"/>
    </row>
    <row r="20">
      <c r="A20" s="9" t="inlineStr">
        <is>
          <t>Way a) · Your working line: share of food sales going to businesses (%)</t>
        </is>
      </c>
      <c r="B20" s="33" t="n">
        <v>0.25</v>
      </c>
      <c r="F20" s="5" t="inlineStr">
        <is>
          <t>FDA's legal line is 50%: you stay a retail food establishment while consumers take MORE than half of your food sales by value. The line seeded here is deliberately cautious, so you see it coming.</t>
        </is>
      </c>
    </row>
    <row r="21">
      <c r="A21" s="9" t="inlineStr">
        <is>
          <t>Your share to businesses (from the table)</t>
        </is>
      </c>
      <c r="B21" s="34">
        <f>IFERROR(C17,"")</f>
        <v>0.040999999999999995</v>
      </c>
    </row>
    <row r="22">
      <c r="A22" s="8" t="inlineStr">
        <is>
          <t>Way a) passes?</t>
        </is>
      </c>
      <c r="B22" s="27" t="str">
        <f>IFERROR(IF(B21&lt;=B20,"Yes","No"),"")</f>
        <v>Yes</v>
      </c>
    </row>
    <row r="23">
      <c r="A23" s="9" t="inlineStr">
        <is>
          <t>Way b) · Your direct-to-consumer food sales, a typical week ($)</t>
        </is>
      </c>
      <c r="B23" s="14" t="n">
        <v>500</v>
      </c>
      <c r="F23" s="5" t="inlineStr">
        <is>
          <t>The legal test, by value: what consumers buy at your counter, by custom order or online. Use your POS figures, and check the whole year, not one good week.</t>
        </is>
      </c>
    </row>
    <row r="24">
      <c r="A24" s="9" t="inlineStr">
        <is>
          <t>Your food sales to businesses, the same week ($)</t>
        </is>
      </c>
      <c r="B24" s="35" t="n">
        <v>380</v>
      </c>
      <c r="F24" s="5" t="inlineStr">
        <is>
          <t>SEEDED ASSUMPTION. Use your invoices. Way b) passes while this stays below the consumer figure, that is, while businesses take less than half.</t>
        </is>
      </c>
    </row>
    <row r="25">
      <c r="A25" s="8" t="inlineStr">
        <is>
          <t>Way b) passes?</t>
        </is>
      </c>
      <c r="B25" s="27" t="str">
        <f>IFERROR(IF(B24&lt;=B23,"Yes","No"),"")</f>
        <v>Yes</v>
      </c>
    </row>
    <row r="26">
      <c r="A26" s="8" t="inlineStr">
        <is>
          <t>UNDER THE FDA LINE?</t>
        </is>
      </c>
      <c r="B26" s="27" t="str">
        <f>IFERROR(IF(OR(B22="Yes",B25="Yes"),"Yes","No"),"")</f>
        <v>Yes</v>
      </c>
      <c r="F26" s="5" t="inlineStr">
        <is>
          <t>One way is enough: both measure the same line. Businesses never count as consumers (21 CFR 1.227).</t>
        </is>
      </c>
    </row>
    <row r="27"/>
    <row r="28">
      <c r="A28" s="4" t="inlineStr">
        <is>
          <t>CHECK 2 · COLD CHAIN AND DELIVERY</t>
        </is>
      </c>
      <c r="B28" s="11" t="inlineStr"/>
      <c r="C28" s="11" t="inlineStr"/>
      <c r="D28" s="11" t="inlineStr"/>
      <c r="E28" s="11" t="inlineStr"/>
      <c r="F28" s="11" t="inlineStr"/>
    </row>
    <row r="29">
      <c r="A29" s="9" t="inlineStr">
        <is>
          <t>Can you deliver every wholesale order yourself (or with your staff), keeping TCS items at 41 °F or below?</t>
        </is>
      </c>
      <c r="B29" s="12" t="inlineStr">
        <is>
          <t>Yes</t>
        </is>
      </c>
      <c r="F29" s="5" t="inlineStr">
        <is>
          <t>Cream fillings, custards and cheesecake are TCS foods: the Food Code holds them at 41 °F or below, and on the road that's on you until the account receives them.</t>
        </is>
      </c>
    </row>
    <row r="30">
      <c r="A30" s="9" t="inlineStr">
        <is>
          <t>Your maximum delivery radius for TCS items (miles)</t>
        </is>
      </c>
      <c r="B30" s="14" t="n">
        <v>50</v>
      </c>
      <c r="F30" s="5" t="inlineStr">
        <is>
          <t>Your own figure, not a legal one: how far you can drive and still arrive at 41 °F or below.</t>
        </is>
      </c>
    </row>
    <row r="31">
      <c r="A31" s="9" t="inlineStr">
        <is>
          <t>Distance to your farthest account (miles)</t>
        </is>
      </c>
      <c r="B31" s="36">
        <f>IFERROR(D17,"")</f>
        <v>4.0</v>
      </c>
    </row>
    <row r="32">
      <c r="A32" s="9" t="inlineStr">
        <is>
          <t>Do you deliver TCS items (cream, custard, cheesecake) to any account?</t>
        </is>
      </c>
      <c r="B32" s="12" t="inlineStr">
        <is>
          <t>No</t>
        </is>
      </c>
    </row>
    <row r="33">
      <c r="A33" s="8" t="inlineStr">
        <is>
          <t>COLD CHAIN OK?</t>
        </is>
      </c>
      <c r="B33" s="27" t="str">
        <f>IFERROR(IF(AND(B29="Yes",OR(B32="No",B31&lt;=B30)),"Yes","No"),"")</f>
        <v>Yes</v>
      </c>
    </row>
    <row r="34"/>
    <row r="35">
      <c r="A35" s="4" t="inlineStr">
        <is>
          <t>CHECK 3 · LABELS AND ALLERGEN INFO</t>
        </is>
      </c>
      <c r="B35" s="11" t="inlineStr"/>
      <c r="C35" s="11" t="inlineStr"/>
      <c r="D35" s="11" t="inlineStr"/>
      <c r="E35" s="11" t="inlineStr"/>
      <c r="F35" s="11" t="inlineStr"/>
    </row>
    <row r="36">
      <c r="A36" s="9" t="inlineStr">
        <is>
          <t>Accounts missing labels or allergen info</t>
        </is>
      </c>
      <c r="B36" s="22">
        <f>IFERROR(E17,"")</f>
        <v>0.0</v>
      </c>
      <c r="F36" s="5" t="inlineStr">
        <is>
          <t>Packaged items need the full label: common name, ingredients by weight, net quantity, your name and address, and the source of each major allergen. Unpackaged items need an allergen sheet so the café can give its customers the written notice. One account without it is enough to fail.</t>
        </is>
      </c>
    </row>
    <row r="37">
      <c r="A37" s="8" t="inlineStr">
        <is>
          <t>LABELS OK?</t>
        </is>
      </c>
      <c r="B37" s="27" t="str">
        <f>IFERROR(IF(B36=0,"Yes","No"),"")</f>
        <v>Yes</v>
      </c>
    </row>
    <row r="38"/>
    <row r="39">
      <c r="A39" s="4" t="inlineStr">
        <is>
          <t>THE VERDICT</t>
        </is>
      </c>
      <c r="B39" s="11" t="inlineStr"/>
      <c r="C39" s="11" t="inlineStr"/>
      <c r="D39" s="11" t="inlineStr"/>
      <c r="E39" s="11" t="inlineStr"/>
      <c r="F39" s="11" t="inlineStr"/>
    </row>
    <row r="40">
      <c r="A40" s="8" t="inlineStr">
        <is>
          <t>Checks passed (out of three)</t>
        </is>
      </c>
      <c r="B40" s="37">
        <f>IFERROR(COUNTIF(B26:B26,"Yes")+COUNTIF(B33:B33,"Yes")+COUNTIF(B37:B37,"Yes"),"")</f>
        <v>3.0</v>
      </c>
    </row>
    <row r="41" ht="34" customHeight="1">
      <c r="A41" s="8" t="inlineStr">
        <is>
          <t>VERDICT</t>
        </is>
      </c>
      <c r="B41" s="28" t="str">
        <f>IFERROR(IF(B6="No","This sheet doesn't apply: you don't sell to other businesses",IF(B40=3,"All three pass: you stay a retail food establishment (no FDA registration), with labels and records in order","Not yet: fix the check that fails (FDA line: check FDA food facility registration; cold chain or labels: fix them before you deliver)")),"")</f>
        <v>This sheet doesn't apply: you don't sell to other businesses</v>
      </c>
    </row>
    <row r="42" ht="30" customHeight="1">
      <c r="A42" s="9" t="inlineStr">
        <is>
          <t>What else you need if you sell wholesale</t>
        </is>
      </c>
      <c r="B42" t="str">
        <f>IFERROR(IF(B6="No","None of this applies to you","Keep a record of each account (what, how much and when), send labels or allergen sheets with every product and ask your CPA about resale certificates"),"")</f>
        <v>None of this applies to you</v>
      </c>
    </row>
    <row r="43"/>
    <row r="44" ht="54" customHeight="1">
      <c r="A44" s="5" t="inlineStr">
        <is>
          <t>Only the first check decides FDA registration: if businesses take half or more of your food sales by value, you're no longer a retail food establishment and you check FDA food facility registration (21 CFR 1.227). The other two don't change your permit, but they're what accounts and inspectors expect: a cold chain at 41 °F or below and full labels with allergens. And don't read it as "I can wholesale anything while I stay under half": in New York the Article 20-C license already covers wholesale bakery operations, and in Florida ask FDACS whether your volume needs its Wholesale/Manufactured Food Establishment Permit.</t>
        </is>
      </c>
    </row>
    <row r="45"/>
    <row r="46">
      <c r="A46" s="24" t="inlineStr">
        <is>
          <t>Validation lists (don't delete them: the dropdowns come from here)</t>
        </is>
      </c>
    </row>
    <row r="47">
      <c r="A47" s="25" t="inlineStr">
        <is>
          <t>Yes or No</t>
        </is>
      </c>
    </row>
    <row r="48">
      <c r="A48" s="26" t="inlineStr">
        <is>
          <t>Yes</t>
        </is>
      </c>
    </row>
    <row r="49">
      <c r="A49" s="26"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5">
    <mergeCell ref="B42:E42"/>
    <mergeCell ref="A3:F3"/>
    <mergeCell ref="B41:E41"/>
    <mergeCell ref="B7:E7"/>
    <mergeCell ref="A44:F44"/>
  </mergeCells>
  <conditionalFormatting sqref="B26">
    <cfRule type="expression" priority="1" dxfId="1" stopIfTrue="1">
      <formula>=$B$26="No"</formula>
    </cfRule>
  </conditionalFormatting>
  <conditionalFormatting sqref="B33">
    <cfRule type="expression" priority="2" dxfId="1" stopIfTrue="1">
      <formula>=$B$33="No"</formula>
    </cfRule>
  </conditionalFormatting>
  <conditionalFormatting sqref="B37">
    <cfRule type="expression" priority="3" dxfId="1" stopIfTrue="1">
      <formula>=$B$37="No"</formula>
    </cfRule>
  </conditionalFormatting>
  <dataValidations count="3">
    <dataValidation sqref="B6" showDropDown="0" showInputMessage="0" showErrorMessage="1" allowBlank="0" errorTitle="Mark Yes or No" error="Choose &quot;Yes&quot; or &quot;No&quot; from the list at the bottom." type="list">
      <formula1>'Selling Wholesale'!$A$48:$A$49</formula1>
    </dataValidation>
    <dataValidation sqref="E11 E12 E13 E14 E15 E16" showDropDown="0" showInputMessage="0" showErrorMessage="1" allowBlank="0" errorTitle="Mark Yes or No" error="Choose &quot;Yes&quot; or &quot;No&quot; from the list at the bottom." type="list">
      <formula1>'Selling Wholesale'!$A$48:$A$49</formula1>
    </dataValidation>
    <dataValidation sqref="B29 B32" showDropDown="0" showInputMessage="0" showErrorMessage="1" allowBlank="0" errorTitle="Mark Yes or No" error="Choose &quot;Yes&quot; or &quot;No&quot; from the list at the bottom." type="list">
      <formula1>'Selling Wholesale'!$A$48:$A$49</formula1>
    </dataValidation>
  </dataValidations>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57"/>
  <sheetViews>
    <sheetView workbookViewId="0">
      <pane ySplit="3" topLeftCell="A4" activePane="bottomLeft" state="frozen"/>
      <selection pane="bottomLeft" activeCell="A1" sqref="A1"/>
    </sheetView>
  </sheetViews>
  <sheetFormatPr baseColWidth="8" defaultRowHeight="15"/>
  <cols>
    <col width="58" customWidth="1" min="1" max="1"/>
    <col width="22" customWidth="1" min="2" max="2"/>
    <col width="96" customWidth="1" min="3" max="3"/>
  </cols>
  <sheetData>
    <row r="1" ht="26" customHeight="1">
      <c r="A1" s="1" t="inlineStr">
        <is>
          <t>Cottage Food Route: Baking Legally from Home</t>
        </is>
      </c>
    </row>
    <row r="2">
      <c r="A2" s="2" t="inlineStr">
        <is>
          <t>AI Chef Pro · aichef.pro — How to Open a Pastry Shop</t>
        </is>
      </c>
    </row>
    <row r="3" ht="28" customHeight="1">
      <c r="A3" s="5" t="inlineStr">
        <is>
          <t>The four example states cap cottage food by annual SALES in dollars, not by weight, and each lists what you may sell. This sheet runs three checks: a weekly volume ceiling for a home kitchen (our criterion), volume for your space (our criterion) and records that prove you're under your state's sales cap (the law). The one people miss is the last.</t>
        </is>
      </c>
    </row>
    <row r="4"/>
    <row r="5">
      <c r="A5" s="4" t="inlineStr">
        <is>
          <t>YOUR NUMBERS</t>
        </is>
      </c>
      <c r="B5" s="11" t="inlineStr"/>
      <c r="C5" s="11" t="inlineStr"/>
    </row>
    <row r="6" ht="28" customHeight="1">
      <c r="A6" s="9" t="inlineStr">
        <is>
          <t>USABLE square feet dedicated to production</t>
        </is>
      </c>
      <c r="B6" s="35" t="n">
        <v>129.16692500051667</v>
      </c>
      <c r="C6" s="5" t="inlineStr">
        <is>
          <t>Truly usable: the work surface and storage you dedicate, not the whole kitchen if you also eat in it.</t>
        </is>
      </c>
    </row>
    <row r="7" ht="28" customHeight="1">
      <c r="A7" s="9" t="inlineStr">
        <is>
          <t>Kilos of product you make a week</t>
        </is>
      </c>
      <c r="B7" s="35" t="n">
        <v>60</v>
      </c>
      <c r="C7" s="5" t="inlineStr">
        <is>
          <t>SEEDED ASSUMPTION. Weigh it for two weeks: it drives both volume checks on this sheet.</t>
        </is>
      </c>
    </row>
    <row r="8" ht="28" customHeight="1">
      <c r="A8" s="9" t="inlineStr">
        <is>
          <t>Do you keep sales records that show you're under your state's cap?</t>
        </is>
      </c>
      <c r="B8" s="12" t="inlineStr">
        <is>
          <t>No</t>
        </is>
      </c>
      <c r="C8" s="5" t="inlineStr">
        <is>
          <t>Without them you can't show you're within the cap (California 2026: $88,878 Class A / $177,756 Class B; Texas $150,000; Florida $250,000, all sales count; New York's page lists none).</t>
        </is>
      </c>
    </row>
    <row r="9" ht="28" customHeight="1">
      <c r="A9" s="9" t="inlineStr">
        <is>
          <t>Does your state allow TCS items (cream fillings, cheesecake) from home?</t>
        </is>
      </c>
      <c r="B9" s="12" t="inlineStr">
        <is>
          <t>No</t>
        </is>
      </c>
      <c r="C9" s="5" t="inlineStr">
        <is>
          <t>Of the four example states, only Texas does (since September 1, 2025, with DSHS registration). In California, New York and Florida, cottage food has to be food that doesn't need refrigeration.</t>
        </is>
      </c>
    </row>
    <row r="10" ht="28" customHeight="1">
      <c r="A10" s="9" t="inlineStr">
        <is>
          <t>Your state</t>
        </is>
      </c>
      <c r="B10" s="12" t="inlineStr">
        <is>
          <t>Texas</t>
        </is>
      </c>
    </row>
    <row r="11"/>
    <row r="12">
      <c r="A12" s="4" t="inlineStr">
        <is>
          <t>THE THREE CHECKS</t>
        </is>
      </c>
      <c r="B12" s="11" t="inlineStr"/>
      <c r="C12" s="11" t="inlineStr"/>
    </row>
    <row r="13" ht="28" customHeight="1">
      <c r="A13" s="9" t="inlineStr">
        <is>
          <t>Weekly volume ceiling for a home kitchen (kg)</t>
        </is>
      </c>
      <c r="B13" s="38" t="n">
        <v>100</v>
      </c>
      <c r="C13" s="5" t="inlineStr">
        <is>
          <t>Our ceiling, not the law's: about 14 kg a day. The four example states cap SALES in dollars (see the sales-records question above), not weight. A home kitchen rarely gets here, so this light is usually green. Don't rely on that.</t>
        </is>
      </c>
    </row>
    <row r="14" ht="28" customHeight="1">
      <c r="A14" s="8" t="inlineStr">
        <is>
          <t>Volume ceiling check</t>
        </is>
      </c>
      <c r="B14" s="27" t="str">
        <f>IFERROR(IF(B7&lt;=B13,"Under the ceiling","OVER: above the weekly ceiling for a home kitchen"),"")</f>
        <v>Under the ceiling</v>
      </c>
    </row>
    <row r="15" ht="28" customHeight="1">
      <c r="A15" s="9" t="inlineStr">
        <is>
          <t>House criterion: kg per usable sq ft a week</t>
        </is>
      </c>
      <c r="B15" s="35" t="n">
        <v>0.74322432</v>
      </c>
      <c r="C15" s="5" t="inlineStr">
        <is>
          <t>Not a legal figure. It's ours: use it to show your math, never quote it as the law.</t>
        </is>
      </c>
    </row>
    <row r="16" ht="28" customHeight="1">
      <c r="A16" s="9" t="inlineStr">
        <is>
          <t>Your kg per usable sq ft a week</t>
        </is>
      </c>
      <c r="B16" s="36">
        <f>IFERROR(IF(B6=0,"",B7/B6),"")</f>
        <v>0.4645152</v>
      </c>
    </row>
    <row r="17" ht="28" customHeight="1">
      <c r="A17" s="8" t="inlineStr">
        <is>
          <t>Volume-for-space check</t>
        </is>
      </c>
      <c r="B17" s="27" t="str">
        <f>IFERROR(IF(B16="","",IF(B16&lt;=B15,"In proportion","Check it: a lot of volume for that space")),"")</f>
        <v>In proportion</v>
      </c>
    </row>
    <row r="18" ht="28" customHeight="1">
      <c r="A18" s="8" t="inlineStr">
        <is>
          <t>Can you prove you're under the sales cap?</t>
        </is>
      </c>
      <c r="B18" s="27" t="str">
        <f>IFERROR(IF(B8="Yes","Yes","NO: without sales records you can't show you're under your state's cap, whatever your volume"),"")</f>
        <v>NO: without sales records you can't show you're under your state's cap, whatever your volume</v>
      </c>
    </row>
    <row r="19"/>
    <row r="20">
      <c r="A20" s="4" t="inlineStr">
        <is>
          <t>WHAT YOU CAN SELL FROM HOME: FOUR STATES AND THE REST</t>
        </is>
      </c>
      <c r="B20" s="11" t="inlineStr"/>
      <c r="C20" s="11" t="inlineStr"/>
    </row>
    <row r="21" ht="22" customHeight="1">
      <c r="A21" s="7" t="inlineStr">
        <is>
          <t>State and what you can sell</t>
        </is>
      </c>
      <c r="B21" s="7" t="inlineStr"/>
      <c r="C21" s="7" t="inlineStr">
        <is>
          <t>What's out</t>
        </is>
      </c>
    </row>
    <row r="22" ht="34" customHeight="1">
      <c r="A22" s="9" t="inlineStr">
        <is>
          <t>California (CFO): only foods on the Approved Cottage Food List (non-potentially hazardous foods)</t>
        </is>
      </c>
      <c r="C22" s="5" t="inlineStr">
        <is>
          <t>Anything off the list: cream fillings, custards, cheesecake. Class A sells direct only; Class B also through shops and restaurants.</t>
        </is>
      </c>
    </row>
    <row r="23" ht="34" customHeight="1">
      <c r="A23" s="9" t="inlineStr">
        <is>
          <t>Texas (CFPO): any food not excluded; cream cakes and cheesecake (TCS) with DSHS registration since Sept. 1, 2025</t>
        </is>
      </c>
      <c r="C23" s="5" t="inlineStr">
        <is>
          <t>Meat and poultry, fish and shellfish, ice, ice cream and frozen custard or gelato, low-acid canned foods, CBD or THC products, raw milk.</t>
        </is>
      </c>
    </row>
    <row r="24" ht="34" customHeight="1">
      <c r="A24" s="9" t="inlineStr">
        <is>
          <t>New York (home processor): a closed list: breads, muffins, cookies, brownies, scones, double-crust fruit pies, simple cakes</t>
        </is>
      </c>
      <c r="C24" s="5" t="inlineStr">
        <is>
          <t>Cheesecake, cream-filled pastries, cream and meringue pies, custard, single-crust pies, homemade buttercream or cream cheese frosting.</t>
        </is>
      </c>
    </row>
    <row r="25" ht="34" customHeight="1">
      <c r="A25" s="9" t="inlineStr">
        <is>
          <t>Florida (§500.80): cottage food products that don't need time and temperature control (non-TCS)</t>
        </is>
      </c>
      <c r="C25" s="5" t="inlineStr">
        <is>
          <t>Foods that need refrigeration (TCS); check the FDACS guidance item by item.</t>
        </is>
      </c>
    </row>
    <row r="26" ht="34" customHeight="1">
      <c r="A26" s="9" t="inlineStr">
        <is>
          <t>Other states: cottage food is legal in all 50 states, each with its own list</t>
        </is>
      </c>
      <c r="C26" s="5" t="inlineStr">
        <is>
          <t>Nothing by default: look up your state's cottage food page before you bake to sell.</t>
        </is>
      </c>
    </row>
    <row r="27" ht="48" customHeight="1">
      <c r="A27" s="5" t="inlineStr">
        <is>
          <t>That's why you can't say "cream cakes from home are illegal in the US". The right answer is: in most states only foods that don't need refrigeration qualify, but Texas has allowed TCS items such as cream cakes and cheesecake since September 1, 2025, if you register with DSHS and deliver them at 41 °F or below. Check your state's page.</t>
        </is>
      </c>
    </row>
    <row r="28"/>
    <row r="29">
      <c r="A29" s="4" t="inlineStr">
        <is>
          <t>WHERE YOU CAN SELL: THREE CHANNEL RULES</t>
        </is>
      </c>
      <c r="B29" s="11" t="inlineStr"/>
      <c r="C29" s="11" t="inlineStr"/>
    </row>
    <row r="30" ht="22" customHeight="1">
      <c r="A30" s="7" t="inlineStr">
        <is>
          <t>Channel</t>
        </is>
      </c>
      <c r="B30" s="7" t="inlineStr">
        <is>
          <t>What it covers</t>
        </is>
      </c>
      <c r="C30" s="7" t="inlineStr">
        <is>
          <t>The four states</t>
        </is>
      </c>
    </row>
    <row r="31" ht="34" customHeight="1">
      <c r="A31" s="9" t="inlineStr">
        <is>
          <t>Wholesale</t>
        </is>
      </c>
      <c r="B31" s="9" t="inlineStr">
        <is>
          <t>Selling to cafés, shops and restaurants</t>
        </is>
      </c>
      <c r="C31" s="5" t="inlineStr">
        <is>
          <t>Florida: no. Texas: non-TCS only, to a registered cottage food vendor. California: Class B only. New York: yes, within New York.</t>
        </is>
      </c>
    </row>
    <row r="32" ht="34" customHeight="1">
      <c r="A32" s="9" t="inlineStr">
        <is>
          <t>Shipping</t>
        </is>
      </c>
      <c r="B32" s="9" t="inlineStr">
        <is>
          <t>Online orders sent by mail or courier</t>
        </is>
      </c>
      <c r="C32" s="5" t="inlineStr">
        <is>
          <t>California and Florida: yes. Texas: only if you, an employee or a household member delivers. New York: within the state only.</t>
        </is>
      </c>
    </row>
    <row r="33" ht="34" customHeight="1">
      <c r="A33" s="9" t="inlineStr">
        <is>
          <t>Out of state</t>
        </is>
      </c>
      <c r="B33" s="9" t="inlineStr">
        <is>
          <t>Selling or shipping across state lines</t>
        </is>
      </c>
      <c r="C33" s="5" t="inlineStr">
        <is>
          <t>New York: not allowed. Elsewhere, check your state's page before you ship.</t>
        </is>
      </c>
    </row>
    <row r="34"/>
    <row r="35">
      <c r="A35" s="4" t="inlineStr">
        <is>
          <t>REQUIRED LABEL</t>
        </is>
      </c>
      <c r="B35" s="11" t="inlineStr"/>
      <c r="C35" s="11" t="inlineStr"/>
    </row>
    <row r="36">
      <c r="A36" s="9" t="inlineStr">
        <is>
          <t>Statement your label must carry</t>
        </is>
      </c>
      <c r="B36" s="27" t="inlineStr">
        <is>
          <t>Texas (the case's state)</t>
        </is>
      </c>
      <c r="C36" s="5" t="inlineStr">
        <is>
          <t>Word for word: "THIS PRODUCT WAS PRODUCED IN A PRIVATE RESIDENCE THAT IS NOT SUBJECT TO GOVERNMENTAL LICENSING OR INSPECTION." Plus allergens; TCS items also need the production date and safe-handling instructions. New York: "Made in a Home Kitchen". Florida: "Made in a cottage food operation that is not subject to Florida's food safety regulations."</t>
        </is>
      </c>
    </row>
    <row r="37"/>
    <row r="38">
      <c r="A38" s="4" t="inlineStr">
        <is>
          <t>IF YOUR STATE IS TEXAS</t>
        </is>
      </c>
      <c r="B38" s="11" t="inlineStr"/>
      <c r="C38" s="11" t="inlineStr"/>
    </row>
    <row r="39" ht="54" customHeight="1">
      <c r="A39" s="5" t="inlineStr">
        <is>
          <t>Texas Senate Bill 541 widened cottage food (in force since September 1, 2025): any food except an excluded list (meat, poultry, seafood, ice and ice cream, low-acid canned foods, CBD or THC, raw milk), up to $150,000 a year. TCS items such as cream cakes and cheesecake are allowed if you register with DSHS, label them with the production date and safe-handling instructions, and deliver them at 41 °F or below. Local authorities can't require a permit, license or fee.</t>
        </is>
      </c>
    </row>
    <row r="40" ht="34" customHeight="1">
      <c r="A40" s="5" t="inlineStr">
        <is>
          <t>What Texas doesn't open: wholesale of TCS items, and online sales you don't deliver yourself. It's proof that your state's rules can change: check its page every year.</t>
        </is>
      </c>
    </row>
    <row r="41"/>
    <row r="42">
      <c r="A42" s="4" t="inlineStr">
        <is>
          <t>THE VERDICT</t>
        </is>
      </c>
      <c r="B42" s="11" t="inlineStr"/>
      <c r="C42" s="11" t="inlineStr"/>
    </row>
    <row r="43" ht="34" customHeight="1">
      <c r="A43" s="27" t="inlineStr">
        <is>
          <t>The three checks together</t>
        </is>
      </c>
      <c r="B43" s="28" t="str">
        <f>IFERROR(IF(B7&gt;B13,"NO: over the weekly ceiling for a home kitchen",IF(B8&lt;&gt;"Yes","NOT YET: you need sales records",IF(AND(ISNUMBER(B16),B16&gt;B15),"Careful: under the ceiling, but a lot of volume for that space","Within the three checks: now confirm every item is on your state's allowed list"))),"")</f>
        <v>NOT YET: you need sales records</v>
      </c>
    </row>
    <row r="44"/>
    <row r="45" ht="42" customHeight="1">
      <c r="A45" s="5" t="inlineStr">
        <is>
          <t>Passing the three checks isn't enough on its own: every item has to be on your state's allowed list, sold through the channels it allows and labeled the way it says. This sheet helps you decide whether starting from home works for you; it doesn't replace your state's cottage food page or your local health department.</t>
        </is>
      </c>
    </row>
    <row r="46"/>
    <row r="47">
      <c r="A47" s="24" t="inlineStr">
        <is>
          <t>Validation lists (don't delete them: the dropdowns come from here)</t>
        </is>
      </c>
    </row>
    <row r="48">
      <c r="A48" s="25" t="inlineStr">
        <is>
          <t>Yes or No</t>
        </is>
      </c>
    </row>
    <row r="49">
      <c r="A49" s="26" t="inlineStr">
        <is>
          <t>Yes</t>
        </is>
      </c>
    </row>
    <row r="50">
      <c r="A50" s="26" t="inlineStr">
        <is>
          <t>No</t>
        </is>
      </c>
    </row>
    <row r="51"/>
    <row r="52">
      <c r="A52" s="25" t="inlineStr">
        <is>
          <t>State</t>
        </is>
      </c>
    </row>
    <row r="53">
      <c r="A53" s="26" t="inlineStr">
        <is>
          <t>Texas</t>
        </is>
      </c>
    </row>
    <row r="54">
      <c r="A54" s="26" t="inlineStr">
        <is>
          <t>California</t>
        </is>
      </c>
    </row>
    <row r="55">
      <c r="A55" s="26" t="inlineStr">
        <is>
          <t>New York</t>
        </is>
      </c>
    </row>
    <row r="56">
      <c r="A56" s="26" t="inlineStr">
        <is>
          <t>Florida</t>
        </is>
      </c>
    </row>
    <row r="57">
      <c r="A57" s="26" t="inlineStr">
        <is>
          <t>Other (check your state)</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9:C39"/>
    <mergeCell ref="B43:C43"/>
    <mergeCell ref="A45:C45"/>
    <mergeCell ref="A40:C40"/>
    <mergeCell ref="A27:C27"/>
    <mergeCell ref="A3:C3"/>
  </mergeCells>
  <conditionalFormatting sqref="B14">
    <cfRule type="expression" priority="1" dxfId="1" stopIfTrue="1">
      <formula>=AND(ISNUMBER($B$7),ISNUMBER($B$13),$B$7&gt;$B$13)</formula>
    </cfRule>
  </conditionalFormatting>
  <conditionalFormatting sqref="B17">
    <cfRule type="expression" priority="2" dxfId="0" stopIfTrue="1">
      <formula>=AND(ISNUMBER($B$16),$B$16&gt;$B$15)</formula>
    </cfRule>
  </conditionalFormatting>
  <conditionalFormatting sqref="B18">
    <cfRule type="expression" priority="3" dxfId="1" stopIfTrue="1">
      <formula>=$B$8&lt;&gt;"Yes"</formula>
    </cfRule>
  </conditionalFormatting>
  <dataValidations count="2">
    <dataValidation sqref="B8 B9" showDropDown="0" showInputMessage="0" showErrorMessage="1" allowBlank="0" errorTitle="Mark Yes or No" error="Choose &quot;Yes&quot; or &quot;No&quot; from the list at the bottom." type="list">
      <formula1>'Cottage Food Route'!$A$49:$A$50</formula1>
    </dataValidation>
    <dataValidation sqref="B10" showDropDown="0" showInputMessage="0" showErrorMessage="1" allowBlank="0" errorTitle="Choose your state" error="Choose one from the list at the bottom of the sheet." type="list">
      <formula1>'Cottage Food Route'!$A$53:$A$57</formula1>
    </dataValidation>
  </dataValidations>
  <pageMargins left="0.39" right="0.39" top="0.55" bottom="0.55" header="0.3" footer="0.3"/>
  <pageSetup orientation="portrait"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30" customWidth="1" min="1" max="1"/>
    <col width="24" customWidth="1" min="2" max="2"/>
    <col width="52" customWidth="1" min="3" max="3"/>
    <col width="9" customWidth="1" min="4" max="4"/>
    <col width="15" customWidth="1" min="5" max="5"/>
    <col width="15" customWidth="1" min="6" max="6"/>
    <col width="14" customWidth="1" min="7" max="7"/>
    <col width="78" customWidth="1" min="8" max="8"/>
  </cols>
  <sheetData>
    <row r="1" ht="26" customHeight="1">
      <c r="A1" s="1" t="inlineStr">
        <is>
          <t>Training Log: Food Safety Certificates and Cards</t>
        </is>
      </c>
    </row>
    <row r="2">
      <c r="A2" s="2" t="inlineStr">
        <is>
          <t>AI Chef Pro · aichef.pro — How to Open a Pastry Shop</t>
        </is>
      </c>
    </row>
    <row r="3" ht="28" customHeight="1">
      <c r="A3" s="5" t="inlineStr">
        <is>
          <t>Who needs what: under the 2022 Food Code, the person in charge must be a certified food protection manager (CFPM), and food handler card rules depend on your state. Log every certificate and card here: making sure staff are trained is the person in charge's job (Food Code 2-103.11).</t>
        </is>
      </c>
    </row>
    <row r="4"/>
    <row r="5" ht="32" customHeight="1">
      <c r="A5" s="7" t="inlineStr">
        <is>
          <t>Person</t>
        </is>
      </c>
      <c r="B5" s="7" t="inlineStr">
        <is>
          <t>Area</t>
        </is>
      </c>
      <c r="C5" s="7" t="inlineStr">
        <is>
          <t>Certificate or course</t>
        </is>
      </c>
      <c r="D5" s="7" t="inlineStr">
        <is>
          <t>Hours</t>
        </is>
      </c>
      <c r="E5" s="7" t="inlineStr">
        <is>
          <t>Training date</t>
        </is>
      </c>
      <c r="F5" s="7" t="inlineStr">
        <is>
          <t>Renew by</t>
        </is>
      </c>
      <c r="G5" s="7" t="inlineStr">
        <is>
          <t>Days left</t>
        </is>
      </c>
      <c r="H5" s="7" t="inlineStr">
        <is>
          <t>Notes</t>
        </is>
      </c>
    </row>
    <row r="6">
      <c r="A6" t="inlineStr">
        <is>
          <t>P1 · Head Pastry Chef</t>
        </is>
      </c>
      <c r="B6" t="inlineStr">
        <is>
          <t>PRODUCTION KITCHEN</t>
        </is>
      </c>
      <c r="C6" s="6" t="inlineStr">
        <is>
          <t>Certified food protection manager (CFPM) exam</t>
        </is>
      </c>
      <c r="D6" s="14" t="n">
        <v>6</v>
      </c>
      <c r="E6" s="15" t="n">
        <v>46275</v>
      </c>
      <c r="F6" s="39">
        <f>IFERROR(IF(E6="","",E6+$B$13),"")</f>
        <v>47005.0</v>
      </c>
      <c r="G6" s="22">
        <f>IFERROR(IF(F6="","",F6-$B$14),"")</f>
        <v>730.0</v>
      </c>
      <c r="H6" s="5" t="inlineStr">
        <is>
          <t>Course content and hours are ASSUMPTIONS: the accredited provider sets them. What you do need is each certificate or card on file, under each person's full name.</t>
        </is>
      </c>
    </row>
    <row r="7">
      <c r="A7" t="inlineStr">
        <is>
          <t>P2 · Pastry Cook</t>
        </is>
      </c>
      <c r="B7" t="inlineStr">
        <is>
          <t>PRODUCTION KITCHEN</t>
        </is>
      </c>
      <c r="C7" s="6" t="inlineStr">
        <is>
          <t>Food handler card + allergen awareness</t>
        </is>
      </c>
      <c r="D7" s="14" t="n">
        <v>6</v>
      </c>
      <c r="E7" s="15" t="n">
        <v>46275</v>
      </c>
      <c r="F7" s="39">
        <f>IFERROR(IF(E7="","",E7+$B$13),"")</f>
        <v>47005.0</v>
      </c>
      <c r="G7" s="22">
        <f>IFERROR(IF(F7="","",F7-$B$14),"")</f>
        <v>730.0</v>
      </c>
    </row>
    <row r="8">
      <c r="A8" t="inlineStr">
        <is>
          <t>P3 · Bakery Assistant</t>
        </is>
      </c>
      <c r="B8" t="inlineStr">
        <is>
          <t>PRODUCTION KITCHEN</t>
        </is>
      </c>
      <c r="C8" s="6" t="inlineStr">
        <is>
          <t>Food handler card</t>
        </is>
      </c>
      <c r="D8" s="14" t="n">
        <v>6</v>
      </c>
      <c r="E8" s="15" t="n">
        <v>46275</v>
      </c>
      <c r="F8" s="39">
        <f>IFERROR(IF(E8="","",E8+$B$13),"")</f>
        <v>47005.0</v>
      </c>
      <c r="G8" s="22">
        <f>IFERROR(IF(F8="","",F8-$B$14),"")</f>
        <v>730.0</v>
      </c>
    </row>
    <row r="9">
      <c r="A9" t="inlineStr">
        <is>
          <t>P4 · Counter Associate A</t>
        </is>
      </c>
      <c r="B9" t="inlineStr">
        <is>
          <t>FRONT COUNTER</t>
        </is>
      </c>
      <c r="C9" s="6" t="inlineStr">
        <is>
          <t>Food handler card + allergens at the counter</t>
        </is>
      </c>
      <c r="D9" s="14" t="n">
        <v>6</v>
      </c>
      <c r="E9" s="15" t="n">
        <v>46275</v>
      </c>
      <c r="F9" s="39">
        <f>IFERROR(IF(E9="","",E9+$B$13),"")</f>
        <v>47005.0</v>
      </c>
      <c r="G9" s="22">
        <f>IFERROR(IF(F9="","",F9-$B$14),"")</f>
        <v>730.0</v>
      </c>
    </row>
    <row r="10">
      <c r="A10" t="inlineStr">
        <is>
          <t>P5 · Counter Associate B</t>
        </is>
      </c>
      <c r="B10" t="inlineStr">
        <is>
          <t>FRONT COUNTER</t>
        </is>
      </c>
      <c r="C10" s="6" t="inlineStr">
        <is>
          <t>Food handler card + allergens at the counter</t>
        </is>
      </c>
      <c r="D10" s="14" t="n">
        <v>6</v>
      </c>
      <c r="E10" s="15" t="n">
        <v>46275</v>
      </c>
      <c r="F10" s="39">
        <f>IFERROR(IF(E10="","",E10+$B$13),"")</f>
        <v>47005.0</v>
      </c>
      <c r="G10" s="22">
        <f>IFERROR(IF(F10="","",F10-$B$14),"")</f>
        <v>730.0</v>
      </c>
    </row>
    <row r="11"/>
    <row r="12">
      <c r="A12" s="4" t="inlineStr">
        <is>
          <t>HOUSE SETTINGS</t>
        </is>
      </c>
      <c r="B12" s="11" t="inlineStr"/>
      <c r="C12" s="11" t="inlineStr"/>
      <c r="D12" s="11" t="inlineStr"/>
      <c r="E12" s="11" t="inlineStr"/>
      <c r="F12" s="11" t="inlineStr"/>
      <c r="G12" s="11" t="inlineStr"/>
      <c r="H12" s="11" t="inlineStr"/>
    </row>
    <row r="13">
      <c r="A13" t="inlineStr">
        <is>
          <t>House renewal interval (days)</t>
        </is>
      </c>
      <c r="B13" s="40" t="n">
        <v>730</v>
      </c>
      <c r="H13" s="5" t="inlineStr">
        <is>
          <t>Not a legal deadline: it's your own policy, and writing it down is what makes it defensible.</t>
        </is>
      </c>
    </row>
    <row r="14">
      <c r="A14" t="inlineStr">
        <is>
          <t>Check date</t>
        </is>
      </c>
      <c r="B14" s="15" t="n">
        <v>46275</v>
      </c>
      <c r="H14" s="5" t="inlineStr">
        <is>
          <t>Change it to today's date every time you review the sheet.</t>
        </is>
      </c>
    </row>
    <row r="15"/>
    <row r="16">
      <c r="A16" s="4" t="inlineStr">
        <is>
          <t>SUMMARY</t>
        </is>
      </c>
      <c r="B16" s="11" t="inlineStr"/>
      <c r="C16" s="11" t="inlineStr"/>
      <c r="D16" s="11" t="inlineStr"/>
      <c r="E16" s="11" t="inlineStr"/>
      <c r="F16" s="11" t="inlineStr"/>
      <c r="G16" s="11" t="inlineStr"/>
      <c r="H16" s="11" t="inlineStr"/>
    </row>
    <row r="17">
      <c r="A17" t="inlineStr">
        <is>
          <t>People with training on file</t>
        </is>
      </c>
      <c r="B17" s="22">
        <f>IFERROR(COUNTIF(E6:E10,"&gt;0"),"")</f>
        <v>5.0</v>
      </c>
    </row>
    <row r="18">
      <c r="A18" t="inlineStr">
        <is>
          <t>Overdue</t>
        </is>
      </c>
      <c r="B18" s="22">
        <f>IFERROR(COUNTIF(G6:G10,"&lt;0"),"")</f>
        <v>0.0</v>
      </c>
    </row>
    <row r="19">
      <c r="A19" t="inlineStr">
        <is>
          <t>Due for renewal in under 90 days</t>
        </is>
      </c>
      <c r="B19" s="22">
        <f>IFERROR(COUNTIF(G6:G10,"&lt;90")-B18,"")</f>
        <v>0.0</v>
      </c>
      <c r="H19" s="5" t="inlineStr">
        <is>
          <t>The 90 days are our own alert, so you can book the course without stopping production.</t>
        </is>
      </c>
    </row>
    <row r="20"/>
    <row r="21" ht="54" customHeight="1">
      <c r="A21" s="5" t="inlineStr">
        <is>
          <t>Food Code 2022: the person in charge must be a certified food protection manager (2-102.12), and employees must be trained in food safety, allergen awareness included, for their duties (2-103.11(O)). Cards are state rules: California requires a food handler card within 30 days of hire, valid 3 years; Texas requires a DSHS-accredited food handler course and a certified food manager; New York has no state card, but New York City requires a supervisor with a Food Protection Certificate; in Florida, check FDACS (retail) or DBPR (food service). Keep each certificate and card on file: that's what you show at inspection.</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H3"/>
    <mergeCell ref="A21:H21"/>
  </mergeCells>
  <conditionalFormatting sqref="G6:G10">
    <cfRule type="expression" priority="1" dxfId="1" stopIfTrue="1">
      <formula>=AND(ISNUMBER($G6),$G6&lt;0)</formula>
    </cfRule>
  </conditionalFormatting>
  <conditionalFormatting sqref="B18">
    <cfRule type="expression" priority="2" dxfId="1" stopIfTrue="1">
      <formula>=AND(ISNUMBER($B$18),$B$18&gt;0)</formula>
    </cfRule>
  </conditionalFormatting>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O8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82" customWidth="1" min="15" max="15"/>
  </cols>
  <sheetData>
    <row r="1" ht="26" customHeight="1">
      <c r="A1" s="1" t="inlineStr">
        <is>
          <t>Opening Timeline and Critical Path</t>
        </is>
      </c>
    </row>
    <row r="2">
      <c r="A2" s="2" t="inlineStr">
        <is>
          <t>AI Chef Pro · aichef.pro — How to Open a Pastry Shop</t>
        </is>
      </c>
    </row>
    <row r="3" ht="28" customHeight="1">
      <c r="A3" s="5" t="inlineStr">
        <is>
          <t>Twelve milestones with their durations and dependencies. The sheet works out when each one starts and ends, how much slack it has, which ones are on the critical path and which month you end up opening. Everything is in MONTHS with index arithmetic: not a single date function.</t>
        </is>
      </c>
    </row>
    <row r="4"/>
    <row r="5">
      <c r="A5" t="inlineStr">
        <is>
          <t>Month the project starts (1-12)</t>
        </is>
      </c>
      <c r="C5" s="14" t="n">
        <v>1</v>
      </c>
      <c r="O5" s="5" t="inlineStr">
        <is>
          <t>The calendar month you take the first step. Your estimated opening date comes from here, so try two or three: moving the start two months can take you out of a peak or put you right in one.</t>
        </is>
      </c>
    </row>
    <row r="6">
      <c r="A6" t="inlineStr">
        <is>
          <t>Sentinel value for the dependency matrix (months)</t>
        </is>
      </c>
      <c r="C6" s="38" t="n">
        <v>999</v>
      </c>
      <c r="O6" s="5" t="inlineStr">
        <is>
          <t>A calculation trick, not data: in the dependency matrix, cells that don't apply hold this number instead of staying blank, so MIN can work with numbers only. The matrix format hides it. Don't change it unless your project runs longer than 999 months.</t>
        </is>
      </c>
    </row>
    <row r="7"/>
    <row r="8" ht="32" customHeight="1">
      <c r="A8" s="7" t="inlineStr">
        <is>
          <t>ID</t>
        </is>
      </c>
      <c r="B8" s="7" t="inlineStr">
        <is>
          <t>Milestone</t>
        </is>
      </c>
      <c r="C8" s="7" t="inlineStr">
        <is>
          <t>Duration (months)</t>
        </is>
      </c>
      <c r="D8" s="7" t="inlineStr">
        <is>
          <t>Depends on (1)</t>
        </is>
      </c>
      <c r="E8" s="7" t="inlineStr">
        <is>
          <t>Depends on (2)</t>
        </is>
      </c>
      <c r="F8" s="7" t="inlineStr">
        <is>
          <t>Depends on (3)</t>
        </is>
      </c>
      <c r="G8" s="7" t="inlineStr">
        <is>
          <t>Starts (project month)</t>
        </is>
      </c>
      <c r="H8" s="7" t="inlineStr">
        <is>
          <t>Ends (project month)</t>
        </is>
      </c>
      <c r="I8" s="7" t="inlineStr">
        <is>
          <t>Slack (months)</t>
        </is>
      </c>
      <c r="J8" s="7" t="inlineStr">
        <is>
          <t>Critical path?</t>
        </is>
      </c>
      <c r="K8" s="7" t="inlineStr">
        <is>
          <t>Calendar month it ends</t>
        </is>
      </c>
      <c r="L8" s="7" t="inlineStr"/>
      <c r="M8" s="7" t="inlineStr"/>
      <c r="N8" s="7" t="inlineStr"/>
      <c r="O8" s="7" t="inlineStr">
        <is>
          <t>Notes</t>
        </is>
      </c>
    </row>
    <row r="9" ht="26" customHeight="1">
      <c r="A9" s="13" t="inlineStr">
        <is>
          <t>M1</t>
        </is>
      </c>
      <c r="B9" s="9" t="inlineStr">
        <is>
          <t>Site search and screening</t>
        </is>
      </c>
      <c r="C9" s="35" t="n">
        <v>2</v>
      </c>
      <c r="D9" s="12" t="inlineStr">
        <is>
          <t>-</t>
        </is>
      </c>
      <c r="E9" s="12" t="inlineStr">
        <is>
          <t>-</t>
        </is>
      </c>
      <c r="F9" s="12" t="inlineStr">
        <is>
          <t>-</t>
        </is>
      </c>
      <c r="G9" s="36">
        <f>IFERROR(MAX(IFERROR(INDEX($H$8:H8,MATCH(D9,$A$8:A8,0)),0),IFERROR(INDEX($H$8:H8,MATCH(E9,$A$8:A8,0)),0),IFERROR(INDEX($H$8:H8,MATCH(F9,$A$8:A8,0)),0)),"")</f>
        <v>0.0</v>
      </c>
      <c r="H9" s="36">
        <f>IFERROR(G9+C9,"")</f>
        <v>2.0</v>
      </c>
      <c r="I9" s="36">
        <f>IFERROR(MIN(MIN(C24:C35),MAX($H$9:$H$20))-H9,"")</f>
        <v>0.0</v>
      </c>
      <c r="J9" t="str">
        <f>IFERROR(IF(ROUND(I9,3)&lt;=0,"Yes","No"),"")</f>
        <v>Yes</v>
      </c>
      <c r="K9" t="str">
        <f>IFERROR(INDEX('Timeline and Critical Path'!$A$73:$A$84,ROUNDDOWN(MOD($C$5-1+H9,12),0)+1),"")</f>
        <v>March</v>
      </c>
      <c r="O9" s="5" t="inlineStr">
        <is>
          <t>Searching is the only thing you can speed up on your own, and it's where the hood and the electrical service get decided: use the site visit checklist in the "kitchen-capacity-and-site" workbook BEFORE you fall for a space.</t>
        </is>
      </c>
    </row>
    <row r="10" ht="26" customHeight="1">
      <c r="A10" s="13" t="inlineStr">
        <is>
          <t>M2</t>
        </is>
      </c>
      <c r="B10" s="9" t="inlineStr">
        <is>
          <t>Lease signing and security deposit</t>
        </is>
      </c>
      <c r="C10" s="35" t="n">
        <v>0.5</v>
      </c>
      <c r="D10" s="12" t="inlineStr">
        <is>
          <t>M1</t>
        </is>
      </c>
      <c r="E10" s="12" t="inlineStr">
        <is>
          <t>-</t>
        </is>
      </c>
      <c r="F10" s="12" t="inlineStr">
        <is>
          <t>-</t>
        </is>
      </c>
      <c r="G10" s="36">
        <f>IFERROR(MAX(IFERROR(INDEX($H$8:H9,MATCH(D10,$A$8:A9,0)),0),IFERROR(INDEX($H$8:H9,MATCH(E10,$A$8:A9,0)),0),IFERROR(INDEX($H$8:H9,MATCH(F10,$A$8:A9,0)),0)),"")</f>
        <v>2.0</v>
      </c>
      <c r="H10" s="36">
        <f>IFERROR(G10+C10,"")</f>
        <v>2.5</v>
      </c>
      <c r="I10" s="36">
        <f>IFERROR(MIN(MIN(D24:D35),MAX($H$9:$H$20))-H10,"")</f>
        <v>0.0</v>
      </c>
      <c r="J10" t="str">
        <f>IFERROR(IF(ROUND(I10,3)&lt;=0,"Yes","No"),"")</f>
        <v>Yes</v>
      </c>
      <c r="K10" t="str">
        <f>IFERROR(INDEX('Timeline and Critical Path'!$A$73:$A$84,ROUNDDOWN(MOD($C$5-1+H10,12),0)+1),"")</f>
        <v>March</v>
      </c>
    </row>
    <row r="11" ht="26" customHeight="1">
      <c r="A11" s="13" t="inlineStr">
        <is>
          <t>M3</t>
        </is>
      </c>
      <c r="B11" s="9" t="inlineStr">
        <is>
          <t>Stamped plans and specifications</t>
        </is>
      </c>
      <c r="C11" s="35" t="n">
        <v>1</v>
      </c>
      <c r="D11" s="12" t="inlineStr">
        <is>
          <t>M2</t>
        </is>
      </c>
      <c r="E11" s="12" t="inlineStr">
        <is>
          <t>-</t>
        </is>
      </c>
      <c r="F11" s="12" t="inlineStr">
        <is>
          <t>-</t>
        </is>
      </c>
      <c r="G11" s="36">
        <f>IFERROR(MAX(IFERROR(INDEX($H$8:H10,MATCH(D11,$A$8:A10,0)),0),IFERROR(INDEX($H$8:H10,MATCH(E11,$A$8:A10,0)),0),IFERROR(INDEX($H$8:H10,MATCH(F11,$A$8:A10,0)),0)),"")</f>
        <v>2.5</v>
      </c>
      <c r="H11" s="36">
        <f>IFERROR(G11+C11,"")</f>
        <v>3.5</v>
      </c>
      <c r="I11" s="36">
        <f>IFERROR(MIN(MIN(E24:E35),MAX($H$9:$H$20))-H11,"")</f>
        <v>0.0</v>
      </c>
      <c r="J11" t="str">
        <f>IFERROR(IF(ROUND(I11,3)&lt;=0,"Yes","No"),"")</f>
        <v>Yes</v>
      </c>
      <c r="K11" t="str">
        <f>IFERROR(INDEX('Timeline and Critical Path'!$A$73:$A$84,ROUNDDOWN(MOD($C$5-1+H11,12),0)+1),"")</f>
        <v>April</v>
      </c>
    </row>
    <row r="12" ht="26" customHeight="1">
      <c r="A12" s="13" t="inlineStr">
        <is>
          <t>M4</t>
        </is>
      </c>
      <c r="B12" s="9" t="inlineStr">
        <is>
          <t>Plan review and building permit</t>
        </is>
      </c>
      <c r="C12" s="35" t="n">
        <v>1.5</v>
      </c>
      <c r="D12" s="12" t="inlineStr">
        <is>
          <t>M3</t>
        </is>
      </c>
      <c r="E12" s="12" t="inlineStr">
        <is>
          <t>-</t>
        </is>
      </c>
      <c r="F12" s="12" t="inlineStr">
        <is>
          <t>-</t>
        </is>
      </c>
      <c r="G12" s="36">
        <f>IFERROR(MAX(IFERROR(INDEX($H$8:H11,MATCH(D12,$A$8:A11,0)),0),IFERROR(INDEX($H$8:H11,MATCH(E12,$A$8:A11,0)),0),IFERROR(INDEX($H$8:H11,MATCH(F12,$A$8:A11,0)),0)),"")</f>
        <v>3.5</v>
      </c>
      <c r="H12" s="36">
        <f>IFERROR(G12+C12,"")</f>
        <v>5.0</v>
      </c>
      <c r="I12" s="36">
        <f>IFERROR(MIN(MIN(F24:F35),MAX($H$9:$H$20))-H12,"")</f>
        <v>0.0</v>
      </c>
      <c r="J12" t="str">
        <f>IFERROR(IF(ROUND(I12,3)&lt;=0,"Yes","No"),"")</f>
        <v>Yes</v>
      </c>
      <c r="K12" t="str">
        <f>IFERROR(INDEX('Timeline and Critical Path'!$A$73:$A$84,ROUNDDOWN(MOD($C$5-1+H12,12),0)+1),"")</f>
        <v>June</v>
      </c>
      <c r="O12" s="5" t="inlineStr">
        <is>
          <t>Depends on your county and city (California gives the health department 20 working days for plan review). It's the milestone with the most variance in the whole chart, which is why the move is to start ordering equipment in parallel.</t>
        </is>
      </c>
    </row>
    <row r="13" ht="26" customHeight="1">
      <c r="A13" s="13" t="inlineStr">
        <is>
          <t>M5</t>
        </is>
      </c>
      <c r="B13" s="9" t="inlineStr">
        <is>
          <t>Build-out and installations</t>
        </is>
      </c>
      <c r="C13" s="35" t="n">
        <v>2</v>
      </c>
      <c r="D13" s="12" t="inlineStr">
        <is>
          <t>M4</t>
        </is>
      </c>
      <c r="E13" s="12" t="inlineStr">
        <is>
          <t>-</t>
        </is>
      </c>
      <c r="F13" s="12" t="inlineStr">
        <is>
          <t>-</t>
        </is>
      </c>
      <c r="G13" s="36">
        <f>IFERROR(MAX(IFERROR(INDEX($H$8:H12,MATCH(D13,$A$8:A12,0)),0),IFERROR(INDEX($H$8:H12,MATCH(E13,$A$8:A12,0)),0),IFERROR(INDEX($H$8:H12,MATCH(F13,$A$8:A12,0)),0)),"")</f>
        <v>5.0</v>
      </c>
      <c r="H13" s="36">
        <f>IFERROR(G13+C13,"")</f>
        <v>7.0</v>
      </c>
      <c r="I13" s="36">
        <f>IFERROR(MIN(MIN(G24:G35),MAX($H$9:$H$20))-H13,"")</f>
        <v>0.0</v>
      </c>
      <c r="J13" t="str">
        <f>IFERROR(IF(ROUND(I13,3)&lt;=0,"Yes","No"),"")</f>
        <v>Yes</v>
      </c>
      <c r="K13" t="str">
        <f>IFERROR(INDEX('Timeline and Critical Path'!$A$73:$A$84,ROUNDDOWN(MOD($C$5-1+H13,12),0)+1),"")</f>
        <v>August</v>
      </c>
    </row>
    <row r="14" ht="26" customHeight="1">
      <c r="A14" s="13" t="inlineStr">
        <is>
          <t>M6</t>
        </is>
      </c>
      <c r="B14" s="9" t="inlineStr">
        <is>
          <t>Order and delivery of equipment</t>
        </is>
      </c>
      <c r="C14" s="35" t="n">
        <v>2.5</v>
      </c>
      <c r="D14" s="12" t="inlineStr">
        <is>
          <t>M3</t>
        </is>
      </c>
      <c r="E14" s="12" t="inlineStr">
        <is>
          <t>-</t>
        </is>
      </c>
      <c r="F14" s="12" t="inlineStr">
        <is>
          <t>-</t>
        </is>
      </c>
      <c r="G14" s="36">
        <f>IFERROR(MAX(IFERROR(INDEX($H$8:H13,MATCH(D14,$A$8:A13,0)),0),IFERROR(INDEX($H$8:H13,MATCH(E14,$A$8:A13,0)),0),IFERROR(INDEX($H$8:H13,MATCH(F14,$A$8:A13,0)),0)),"")</f>
        <v>3.5</v>
      </c>
      <c r="H14" s="36">
        <f>IFERROR(G14+C14,"")</f>
        <v>6.0</v>
      </c>
      <c r="I14" s="36">
        <f>IFERROR(MIN(MIN(H24:H35),MAX($H$9:$H$20))-H14,"")</f>
        <v>1.0</v>
      </c>
      <c r="J14" t="str">
        <f>IFERROR(IF(ROUND(I14,3)&lt;=0,"Yes","No"),"")</f>
        <v>No</v>
      </c>
      <c r="K14" t="str">
        <f>IFERROR(INDEX('Timeline and Critical Path'!$A$73:$A$84,ROUNDDOWN(MOD($C$5-1+H14,12),0)+1),"")</f>
        <v>July</v>
      </c>
      <c r="O14" s="5" t="inlineStr">
        <is>
          <t>Runs in PARALLEL with the build-out because it depends on the plans, not the permit. That's what gives it slack: order late and the slack disappears, and equipment starts setting your opening date.</t>
        </is>
      </c>
    </row>
    <row r="15" ht="26" customHeight="1">
      <c r="A15" s="13" t="inlineStr">
        <is>
          <t>M7</t>
        </is>
      </c>
      <c r="B15" s="9" t="inlineStr">
        <is>
          <t>Equipment installation and start-up</t>
        </is>
      </c>
      <c r="C15" s="35" t="n">
        <v>0.5</v>
      </c>
      <c r="D15" s="12" t="inlineStr">
        <is>
          <t>M5</t>
        </is>
      </c>
      <c r="E15" s="12" t="inlineStr">
        <is>
          <t>M6</t>
        </is>
      </c>
      <c r="F15" s="12" t="inlineStr">
        <is>
          <t>-</t>
        </is>
      </c>
      <c r="G15" s="36">
        <f>IFERROR(MAX(IFERROR(INDEX($H$8:H14,MATCH(D15,$A$8:A14,0)),0),IFERROR(INDEX($H$8:H14,MATCH(E15,$A$8:A14,0)),0),IFERROR(INDEX($H$8:H14,MATCH(F15,$A$8:A14,0)),0)),"")</f>
        <v>7.0</v>
      </c>
      <c r="H15" s="36">
        <f>IFERROR(G15+C15,"")</f>
        <v>7.5</v>
      </c>
      <c r="I15" s="36">
        <f>IFERROR(MIN(MIN(I24:I35),MAX($H$9:$H$20))-H15,"")</f>
        <v>0.0</v>
      </c>
      <c r="J15" t="str">
        <f>IFERROR(IF(ROUND(I15,3)&lt;=0,"Yes","No"),"")</f>
        <v>Yes</v>
      </c>
      <c r="K15" t="str">
        <f>IFERROR(INDEX('Timeline and Critical Path'!$A$73:$A$84,ROUNDDOWN(MOD($C$5-1+H15,12),0)+1),"")</f>
        <v>August</v>
      </c>
    </row>
    <row r="16" ht="26" customHeight="1">
      <c r="A16" s="13" t="inlineStr">
        <is>
          <t>M8</t>
        </is>
      </c>
      <c r="B16" s="9" t="inlineStr">
        <is>
          <t>Pre-opening inspection and food permit</t>
        </is>
      </c>
      <c r="C16" s="35" t="n">
        <v>0.5</v>
      </c>
      <c r="D16" s="12" t="inlineStr">
        <is>
          <t>M7</t>
        </is>
      </c>
      <c r="E16" s="12" t="inlineStr">
        <is>
          <t>-</t>
        </is>
      </c>
      <c r="F16" s="12" t="inlineStr">
        <is>
          <t>-</t>
        </is>
      </c>
      <c r="G16" s="36">
        <f>IFERROR(MAX(IFERROR(INDEX($H$8:H15,MATCH(D16,$A$8:A15,0)),0),IFERROR(INDEX($H$8:H15,MATCH(E16,$A$8:A15,0)),0),IFERROR(INDEX($H$8:H15,MATCH(F16,$A$8:A15,0)),0)),"")</f>
        <v>7.5</v>
      </c>
      <c r="H16" s="36">
        <f>IFERROR(G16+C16,"")</f>
        <v>8.0</v>
      </c>
      <c r="I16" s="36">
        <f>IFERROR(MIN(MIN(J24:J35),MAX($H$9:$H$20))-H16,"")</f>
        <v>0.0</v>
      </c>
      <c r="J16" t="str">
        <f>IFERROR(IF(ROUND(I16,3)&lt;=0,"Yes","No"),"")</f>
        <v>Yes</v>
      </c>
      <c r="K16" t="str">
        <f>IFERROR(INDEX('Timeline and Critical Path'!$A$73:$A$84,ROUNDDOWN(MOD($C$5-1+H16,12),0)+1),"")</f>
        <v>September</v>
      </c>
    </row>
    <row r="17" ht="26" customHeight="1">
      <c r="A17" s="13" t="inlineStr">
        <is>
          <t>M9</t>
        </is>
      </c>
      <c r="B17" s="9" t="inlineStr">
        <is>
          <t>CFPM, food handler cards and food safety plan</t>
        </is>
      </c>
      <c r="C17" s="35" t="n">
        <v>0.5</v>
      </c>
      <c r="D17" s="12" t="inlineStr">
        <is>
          <t>M7</t>
        </is>
      </c>
      <c r="E17" s="12" t="inlineStr">
        <is>
          <t>-</t>
        </is>
      </c>
      <c r="F17" s="12" t="inlineStr">
        <is>
          <t>-</t>
        </is>
      </c>
      <c r="G17" s="36">
        <f>IFERROR(MAX(IFERROR(INDEX($H$8:H16,MATCH(D17,$A$8:A16,0)),0),IFERROR(INDEX($H$8:H16,MATCH(E17,$A$8:A16,0)),0),IFERROR(INDEX($H$8:H16,MATCH(F17,$A$8:A16,0)),0)),"")</f>
        <v>7.5</v>
      </c>
      <c r="H17" s="36">
        <f>IFERROR(G17+C17,"")</f>
        <v>8.0</v>
      </c>
      <c r="I17" s="36">
        <f>IFERROR(MIN(MIN(K24:K35),MAX($H$9:$H$20))-H17,"")</f>
        <v>0.0</v>
      </c>
      <c r="J17" t="str">
        <f>IFERROR(IF(ROUND(I17,3)&lt;=0,"Yes","No"),"")</f>
        <v>Yes</v>
      </c>
      <c r="K17" t="str">
        <f>IFERROR(INDEX('Timeline and Critical Path'!$A$73:$A$84,ROUNDDOWN(MOD($C$5-1+H17,12),0)+1),"")</f>
        <v>September</v>
      </c>
    </row>
    <row r="18" ht="26" customHeight="1">
      <c r="A18" s="13" t="inlineStr">
        <is>
          <t>M10</t>
        </is>
      </c>
      <c r="B18" s="9" t="inlineStr">
        <is>
          <t>Hiring and payroll setup</t>
        </is>
      </c>
      <c r="C18" s="35" t="n">
        <v>0.5</v>
      </c>
      <c r="D18" s="12" t="inlineStr">
        <is>
          <t>M7</t>
        </is>
      </c>
      <c r="E18" s="12" t="inlineStr">
        <is>
          <t>-</t>
        </is>
      </c>
      <c r="F18" s="12" t="inlineStr">
        <is>
          <t>-</t>
        </is>
      </c>
      <c r="G18" s="36">
        <f>IFERROR(MAX(IFERROR(INDEX($H$8:H17,MATCH(D18,$A$8:A17,0)),0),IFERROR(INDEX($H$8:H17,MATCH(E18,$A$8:A17,0)),0),IFERROR(INDEX($H$8:H17,MATCH(F18,$A$8:A17,0)),0)),"")</f>
        <v>7.5</v>
      </c>
      <c r="H18" s="36">
        <f>IFERROR(G18+C18,"")</f>
        <v>8.0</v>
      </c>
      <c r="I18" s="36">
        <f>IFERROR(MIN(MIN(L24:L35),MAX($H$9:$H$20))-H18,"")</f>
        <v>0.0</v>
      </c>
      <c r="J18" t="str">
        <f>IFERROR(IF(ROUND(I18,3)&lt;=0,"Yes","No"),"")</f>
        <v>Yes</v>
      </c>
      <c r="K18" t="str">
        <f>IFERROR(INDEX('Timeline and Critical Path'!$A$73:$A$84,ROUNDDOWN(MOD($C$5-1+H18,12),0)+1),"")</f>
        <v>September</v>
      </c>
    </row>
    <row r="19" ht="26" customHeight="1">
      <c r="A19" s="13" t="inlineStr">
        <is>
          <t>M11</t>
        </is>
      </c>
      <c r="B19" s="9" t="inlineStr">
        <is>
          <t>Production trials and final opening menu</t>
        </is>
      </c>
      <c r="C19" s="35" t="n">
        <v>0.5</v>
      </c>
      <c r="D19" s="12" t="inlineStr">
        <is>
          <t>M8</t>
        </is>
      </c>
      <c r="E19" s="12" t="inlineStr">
        <is>
          <t>M9</t>
        </is>
      </c>
      <c r="F19" s="12" t="inlineStr">
        <is>
          <t>M10</t>
        </is>
      </c>
      <c r="G19" s="36">
        <f>IFERROR(MAX(IFERROR(INDEX($H$8:H18,MATCH(D19,$A$8:A18,0)),0),IFERROR(INDEX($H$8:H18,MATCH(E19,$A$8:A18,0)),0),IFERROR(INDEX($H$8:H18,MATCH(F19,$A$8:A18,0)),0)),"")</f>
        <v>8.0</v>
      </c>
      <c r="H19" s="36">
        <f>IFERROR(G19+C19,"")</f>
        <v>8.5</v>
      </c>
      <c r="I19" s="36">
        <f>IFERROR(MIN(MIN(M24:M35),MAX($H$9:$H$20))-H19,"")</f>
        <v>0.0</v>
      </c>
      <c r="J19" t="str">
        <f>IFERROR(IF(ROUND(I19,3)&lt;=0,"Yes","No"),"")</f>
        <v>Yes</v>
      </c>
      <c r="K19" t="str">
        <f>IFERROR(INDEX('Timeline and Critical Path'!$A$73:$A$84,ROUNDDOWN(MOD($C$5-1+H19,12),0)+1),"")</f>
        <v>September</v>
      </c>
    </row>
    <row r="20" ht="26" customHeight="1">
      <c r="A20" s="13" t="inlineStr">
        <is>
          <t>M12</t>
        </is>
      </c>
      <c r="B20" s="9" t="inlineStr">
        <is>
          <t>Opening</t>
        </is>
      </c>
      <c r="C20" s="35" t="n">
        <v>0</v>
      </c>
      <c r="D20" s="12" t="inlineStr">
        <is>
          <t>M11</t>
        </is>
      </c>
      <c r="E20" s="12" t="inlineStr">
        <is>
          <t>-</t>
        </is>
      </c>
      <c r="F20" s="12" t="inlineStr">
        <is>
          <t>-</t>
        </is>
      </c>
      <c r="G20" s="36">
        <f>IFERROR(MAX(IFERROR(INDEX($H$8:H19,MATCH(D20,$A$8:A19,0)),0),IFERROR(INDEX($H$8:H19,MATCH(E20,$A$8:A19,0)),0),IFERROR(INDEX($H$8:H19,MATCH(F20,$A$8:A19,0)),0)),"")</f>
        <v>8.5</v>
      </c>
      <c r="H20" s="36">
        <f>IFERROR(G20+C20,"")</f>
        <v>8.5</v>
      </c>
      <c r="I20" s="36">
        <f>IFERROR(MIN(MIN(N24:N35),MAX($H$9:$H$20))-H20,"")</f>
        <v>0.0</v>
      </c>
      <c r="J20" t="str">
        <f>IFERROR(IF(ROUND(I20,3)&lt;=0,"Yes","No"),"")</f>
        <v>Yes</v>
      </c>
      <c r="K20" t="str">
        <f>IFERROR(INDEX('Timeline and Critical Path'!$A$73:$A$84,ROUNDDOWN(MOD($C$5-1+H20,12),0)+1),"")</f>
        <v>September</v>
      </c>
      <c r="O20" s="5" t="inlineStr">
        <is>
          <t>Zero duration: opening is a moment, not a task. What comes right before it is the production trials, and those don't get cut.</t>
        </is>
      </c>
    </row>
    <row r="21"/>
    <row r="22">
      <c r="A22" s="4" t="inlineStr">
        <is>
          <t>DEPENDENCY MATRIX: WHICH MILESTONE BLOCKS WHICH</t>
        </is>
      </c>
      <c r="B22" s="11" t="inlineStr"/>
      <c r="C22" s="11" t="inlineStr"/>
      <c r="D22" s="11" t="inlineStr"/>
      <c r="E22" s="11" t="inlineStr"/>
      <c r="F22" s="11" t="inlineStr"/>
      <c r="G22" s="11" t="inlineStr"/>
      <c r="H22" s="11" t="inlineStr"/>
      <c r="I22" s="11" t="inlineStr"/>
      <c r="J22" s="11" t="inlineStr"/>
      <c r="K22" s="11" t="inlineStr"/>
      <c r="L22" s="11" t="inlineStr"/>
      <c r="M22" s="11" t="inlineStr"/>
      <c r="N22" s="11" t="inlineStr"/>
      <c r="O22" s="11" t="inlineStr"/>
    </row>
    <row r="23" ht="22" customHeight="1">
      <c r="A23" s="7" t="inlineStr">
        <is>
          <t>Successor</t>
        </is>
      </c>
      <c r="B23" s="7" t="inlineStr">
        <is>
          <t>starts in month...</t>
        </is>
      </c>
      <c r="C23" s="7" t="inlineStr">
        <is>
          <t>M1</t>
        </is>
      </c>
      <c r="D23" s="7" t="inlineStr">
        <is>
          <t>M2</t>
        </is>
      </c>
      <c r="E23" s="7" t="inlineStr">
        <is>
          <t>M3</t>
        </is>
      </c>
      <c r="F23" s="7" t="inlineStr">
        <is>
          <t>M4</t>
        </is>
      </c>
      <c r="G23" s="7" t="inlineStr">
        <is>
          <t>M5</t>
        </is>
      </c>
      <c r="H23" s="7" t="inlineStr">
        <is>
          <t>M6</t>
        </is>
      </c>
      <c r="I23" s="7" t="inlineStr">
        <is>
          <t>M7</t>
        </is>
      </c>
      <c r="J23" s="7" t="inlineStr">
        <is>
          <t>M8</t>
        </is>
      </c>
      <c r="K23" s="7" t="inlineStr">
        <is>
          <t>M9</t>
        </is>
      </c>
      <c r="L23" s="7" t="inlineStr">
        <is>
          <t>M10</t>
        </is>
      </c>
      <c r="M23" s="7" t="inlineStr">
        <is>
          <t>M11</t>
        </is>
      </c>
      <c r="N23" s="7" t="inlineStr">
        <is>
          <t>M12</t>
        </is>
      </c>
      <c r="O23" s="7" t="inlineStr">
        <is>
          <t>Notes</t>
        </is>
      </c>
    </row>
    <row r="24">
      <c r="A24" s="13" t="inlineStr">
        <is>
          <t>M1</t>
        </is>
      </c>
      <c r="B24" s="36">
        <f>IFERROR(G9,"")</f>
        <v>0.0</v>
      </c>
      <c r="C24" s="41">
        <f>IFERROR(IF(OR($D$9=$A$9,$E$9=$A$9,$F$9=$A$9),$G$9,$C$6),"")</f>
        <v>999.0</v>
      </c>
      <c r="D24" s="41">
        <f>IFERROR(IF(OR($D$9=$A$10,$E$9=$A$10,$F$9=$A$10),$G$9,$C$6),"")</f>
        <v>999.0</v>
      </c>
      <c r="E24" s="41">
        <f>IFERROR(IF(OR($D$9=$A$11,$E$9=$A$11,$F$9=$A$11),$G$9,$C$6),"")</f>
        <v>999.0</v>
      </c>
      <c r="F24" s="41">
        <f>IFERROR(IF(OR($D$9=$A$12,$E$9=$A$12,$F$9=$A$12),$G$9,$C$6),"")</f>
        <v>999.0</v>
      </c>
      <c r="G24" s="41">
        <f>IFERROR(IF(OR($D$9=$A$13,$E$9=$A$13,$F$9=$A$13),$G$9,$C$6),"")</f>
        <v>999.0</v>
      </c>
      <c r="H24" s="41">
        <f>IFERROR(IF(OR($D$9=$A$14,$E$9=$A$14,$F$9=$A$14),$G$9,$C$6),"")</f>
        <v>999.0</v>
      </c>
      <c r="I24" s="41">
        <f>IFERROR(IF(OR($D$9=$A$15,$E$9=$A$15,$F$9=$A$15),$G$9,$C$6),"")</f>
        <v>999.0</v>
      </c>
      <c r="J24" s="41">
        <f>IFERROR(IF(OR($D$9=$A$16,$E$9=$A$16,$F$9=$A$16),$G$9,$C$6),"")</f>
        <v>999.0</v>
      </c>
      <c r="K24" s="41">
        <f>IFERROR(IF(OR($D$9=$A$17,$E$9=$A$17,$F$9=$A$17),$G$9,$C$6),"")</f>
        <v>999.0</v>
      </c>
      <c r="L24" s="41">
        <f>IFERROR(IF(OR($D$9=$A$18,$E$9=$A$18,$F$9=$A$18),$G$9,$C$6),"")</f>
        <v>999.0</v>
      </c>
      <c r="M24" s="41">
        <f>IFERROR(IF(OR($D$9=$A$19,$E$9=$A$19,$F$9=$A$19),$G$9,$C$6),"")</f>
        <v>999.0</v>
      </c>
      <c r="N24" s="41">
        <f>IFERROR(IF(OR($D$9=$A$20,$E$9=$A$20,$F$9=$A$20),$G$9,$C$6),"")</f>
        <v>999.0</v>
      </c>
      <c r="O24" s="5" t="inlineStr">
        <is>
          <t>Read it by COLUMNS: the M5 column shows the month in which each milestone that depends on M5 starts. M5's slack is the gap between when it ends and the earliest of those months. The cells that look empty aren't: they hold the sentinel, and the format hides it.</t>
        </is>
      </c>
    </row>
    <row r="25">
      <c r="A25" s="13" t="inlineStr">
        <is>
          <t>M2</t>
        </is>
      </c>
      <c r="B25" s="36">
        <f>IFERROR(G10,"")</f>
        <v>2.0</v>
      </c>
      <c r="C25" s="41">
        <f>IFERROR(IF(OR($D$10=$A$9,$E$10=$A$9,$F$10=$A$9),$G$10,$C$6),"")</f>
        <v>2.0</v>
      </c>
      <c r="D25" s="41">
        <f>IFERROR(IF(OR($D$10=$A$10,$E$10=$A$10,$F$10=$A$10),$G$10,$C$6),"")</f>
        <v>999.0</v>
      </c>
      <c r="E25" s="41">
        <f>IFERROR(IF(OR($D$10=$A$11,$E$10=$A$11,$F$10=$A$11),$G$10,$C$6),"")</f>
        <v>999.0</v>
      </c>
      <c r="F25" s="41">
        <f>IFERROR(IF(OR($D$10=$A$12,$E$10=$A$12,$F$10=$A$12),$G$10,$C$6),"")</f>
        <v>999.0</v>
      </c>
      <c r="G25" s="41">
        <f>IFERROR(IF(OR($D$10=$A$13,$E$10=$A$13,$F$10=$A$13),$G$10,$C$6),"")</f>
        <v>999.0</v>
      </c>
      <c r="H25" s="41">
        <f>IFERROR(IF(OR($D$10=$A$14,$E$10=$A$14,$F$10=$A$14),$G$10,$C$6),"")</f>
        <v>999.0</v>
      </c>
      <c r="I25" s="41">
        <f>IFERROR(IF(OR($D$10=$A$15,$E$10=$A$15,$F$10=$A$15),$G$10,$C$6),"")</f>
        <v>999.0</v>
      </c>
      <c r="J25" s="41">
        <f>IFERROR(IF(OR($D$10=$A$16,$E$10=$A$16,$F$10=$A$16),$G$10,$C$6),"")</f>
        <v>999.0</v>
      </c>
      <c r="K25" s="41">
        <f>IFERROR(IF(OR($D$10=$A$17,$E$10=$A$17,$F$10=$A$17),$G$10,$C$6),"")</f>
        <v>999.0</v>
      </c>
      <c r="L25" s="41">
        <f>IFERROR(IF(OR($D$10=$A$18,$E$10=$A$18,$F$10=$A$18),$G$10,$C$6),"")</f>
        <v>999.0</v>
      </c>
      <c r="M25" s="41">
        <f>IFERROR(IF(OR($D$10=$A$19,$E$10=$A$19,$F$10=$A$19),$G$10,$C$6),"")</f>
        <v>999.0</v>
      </c>
      <c r="N25" s="41">
        <f>IFERROR(IF(OR($D$10=$A$20,$E$10=$A$20,$F$10=$A$20),$G$10,$C$6),"")</f>
        <v>999.0</v>
      </c>
    </row>
    <row r="26">
      <c r="A26" s="13" t="inlineStr">
        <is>
          <t>M3</t>
        </is>
      </c>
      <c r="B26" s="36">
        <f>IFERROR(G11,"")</f>
        <v>2.5</v>
      </c>
      <c r="C26" s="41">
        <f>IFERROR(IF(OR($D$11=$A$9,$E$11=$A$9,$F$11=$A$9),$G$11,$C$6),"")</f>
        <v>999.0</v>
      </c>
      <c r="D26" s="41">
        <f>IFERROR(IF(OR($D$11=$A$10,$E$11=$A$10,$F$11=$A$10),$G$11,$C$6),"")</f>
        <v>2.5</v>
      </c>
      <c r="E26" s="41">
        <f>IFERROR(IF(OR($D$11=$A$11,$E$11=$A$11,$F$11=$A$11),$G$11,$C$6),"")</f>
        <v>999.0</v>
      </c>
      <c r="F26" s="41">
        <f>IFERROR(IF(OR($D$11=$A$12,$E$11=$A$12,$F$11=$A$12),$G$11,$C$6),"")</f>
        <v>999.0</v>
      </c>
      <c r="G26" s="41">
        <f>IFERROR(IF(OR($D$11=$A$13,$E$11=$A$13,$F$11=$A$13),$G$11,$C$6),"")</f>
        <v>999.0</v>
      </c>
      <c r="H26" s="41">
        <f>IFERROR(IF(OR($D$11=$A$14,$E$11=$A$14,$F$11=$A$14),$G$11,$C$6),"")</f>
        <v>999.0</v>
      </c>
      <c r="I26" s="41">
        <f>IFERROR(IF(OR($D$11=$A$15,$E$11=$A$15,$F$11=$A$15),$G$11,$C$6),"")</f>
        <v>999.0</v>
      </c>
      <c r="J26" s="41">
        <f>IFERROR(IF(OR($D$11=$A$16,$E$11=$A$16,$F$11=$A$16),$G$11,$C$6),"")</f>
        <v>999.0</v>
      </c>
      <c r="K26" s="41">
        <f>IFERROR(IF(OR($D$11=$A$17,$E$11=$A$17,$F$11=$A$17),$G$11,$C$6),"")</f>
        <v>999.0</v>
      </c>
      <c r="L26" s="41">
        <f>IFERROR(IF(OR($D$11=$A$18,$E$11=$A$18,$F$11=$A$18),$G$11,$C$6),"")</f>
        <v>999.0</v>
      </c>
      <c r="M26" s="41">
        <f>IFERROR(IF(OR($D$11=$A$19,$E$11=$A$19,$F$11=$A$19),$G$11,$C$6),"")</f>
        <v>999.0</v>
      </c>
      <c r="N26" s="41">
        <f>IFERROR(IF(OR($D$11=$A$20,$E$11=$A$20,$F$11=$A$20),$G$11,$C$6),"")</f>
        <v>999.0</v>
      </c>
    </row>
    <row r="27">
      <c r="A27" s="13" t="inlineStr">
        <is>
          <t>M4</t>
        </is>
      </c>
      <c r="B27" s="36">
        <f>IFERROR(G12,"")</f>
        <v>3.5</v>
      </c>
      <c r="C27" s="41">
        <f>IFERROR(IF(OR($D$12=$A$9,$E$12=$A$9,$F$12=$A$9),$G$12,$C$6),"")</f>
        <v>999.0</v>
      </c>
      <c r="D27" s="41">
        <f>IFERROR(IF(OR($D$12=$A$10,$E$12=$A$10,$F$12=$A$10),$G$12,$C$6),"")</f>
        <v>999.0</v>
      </c>
      <c r="E27" s="41">
        <f>IFERROR(IF(OR($D$12=$A$11,$E$12=$A$11,$F$12=$A$11),$G$12,$C$6),"")</f>
        <v>3.5</v>
      </c>
      <c r="F27" s="41">
        <f>IFERROR(IF(OR($D$12=$A$12,$E$12=$A$12,$F$12=$A$12),$G$12,$C$6),"")</f>
        <v>999.0</v>
      </c>
      <c r="G27" s="41">
        <f>IFERROR(IF(OR($D$12=$A$13,$E$12=$A$13,$F$12=$A$13),$G$12,$C$6),"")</f>
        <v>999.0</v>
      </c>
      <c r="H27" s="41">
        <f>IFERROR(IF(OR($D$12=$A$14,$E$12=$A$14,$F$12=$A$14),$G$12,$C$6),"")</f>
        <v>999.0</v>
      </c>
      <c r="I27" s="41">
        <f>IFERROR(IF(OR($D$12=$A$15,$E$12=$A$15,$F$12=$A$15),$G$12,$C$6),"")</f>
        <v>999.0</v>
      </c>
      <c r="J27" s="41">
        <f>IFERROR(IF(OR($D$12=$A$16,$E$12=$A$16,$F$12=$A$16),$G$12,$C$6),"")</f>
        <v>999.0</v>
      </c>
      <c r="K27" s="41">
        <f>IFERROR(IF(OR($D$12=$A$17,$E$12=$A$17,$F$12=$A$17),$G$12,$C$6),"")</f>
        <v>999.0</v>
      </c>
      <c r="L27" s="41">
        <f>IFERROR(IF(OR($D$12=$A$18,$E$12=$A$18,$F$12=$A$18),$G$12,$C$6),"")</f>
        <v>999.0</v>
      </c>
      <c r="M27" s="41">
        <f>IFERROR(IF(OR($D$12=$A$19,$E$12=$A$19,$F$12=$A$19),$G$12,$C$6),"")</f>
        <v>999.0</v>
      </c>
      <c r="N27" s="41">
        <f>IFERROR(IF(OR($D$12=$A$20,$E$12=$A$20,$F$12=$A$20),$G$12,$C$6),"")</f>
        <v>999.0</v>
      </c>
    </row>
    <row r="28">
      <c r="A28" s="13" t="inlineStr">
        <is>
          <t>M5</t>
        </is>
      </c>
      <c r="B28" s="36">
        <f>IFERROR(G13,"")</f>
        <v>5.0</v>
      </c>
      <c r="C28" s="41">
        <f>IFERROR(IF(OR($D$13=$A$9,$E$13=$A$9,$F$13=$A$9),$G$13,$C$6),"")</f>
        <v>999.0</v>
      </c>
      <c r="D28" s="41">
        <f>IFERROR(IF(OR($D$13=$A$10,$E$13=$A$10,$F$13=$A$10),$G$13,$C$6),"")</f>
        <v>999.0</v>
      </c>
      <c r="E28" s="41">
        <f>IFERROR(IF(OR($D$13=$A$11,$E$13=$A$11,$F$13=$A$11),$G$13,$C$6),"")</f>
        <v>999.0</v>
      </c>
      <c r="F28" s="41">
        <f>IFERROR(IF(OR($D$13=$A$12,$E$13=$A$12,$F$13=$A$12),$G$13,$C$6),"")</f>
        <v>5.0</v>
      </c>
      <c r="G28" s="41">
        <f>IFERROR(IF(OR($D$13=$A$13,$E$13=$A$13,$F$13=$A$13),$G$13,$C$6),"")</f>
        <v>999.0</v>
      </c>
      <c r="H28" s="41">
        <f>IFERROR(IF(OR($D$13=$A$14,$E$13=$A$14,$F$13=$A$14),$G$13,$C$6),"")</f>
        <v>999.0</v>
      </c>
      <c r="I28" s="41">
        <f>IFERROR(IF(OR($D$13=$A$15,$E$13=$A$15,$F$13=$A$15),$G$13,$C$6),"")</f>
        <v>999.0</v>
      </c>
      <c r="J28" s="41">
        <f>IFERROR(IF(OR($D$13=$A$16,$E$13=$A$16,$F$13=$A$16),$G$13,$C$6),"")</f>
        <v>999.0</v>
      </c>
      <c r="K28" s="41">
        <f>IFERROR(IF(OR($D$13=$A$17,$E$13=$A$17,$F$13=$A$17),$G$13,$C$6),"")</f>
        <v>999.0</v>
      </c>
      <c r="L28" s="41">
        <f>IFERROR(IF(OR($D$13=$A$18,$E$13=$A$18,$F$13=$A$18),$G$13,$C$6),"")</f>
        <v>999.0</v>
      </c>
      <c r="M28" s="41">
        <f>IFERROR(IF(OR($D$13=$A$19,$E$13=$A$19,$F$13=$A$19),$G$13,$C$6),"")</f>
        <v>999.0</v>
      </c>
      <c r="N28" s="41">
        <f>IFERROR(IF(OR($D$13=$A$20,$E$13=$A$20,$F$13=$A$20),$G$13,$C$6),"")</f>
        <v>999.0</v>
      </c>
    </row>
    <row r="29">
      <c r="A29" s="13" t="inlineStr">
        <is>
          <t>M6</t>
        </is>
      </c>
      <c r="B29" s="36">
        <f>IFERROR(G14,"")</f>
        <v>3.5</v>
      </c>
      <c r="C29" s="41">
        <f>IFERROR(IF(OR($D$14=$A$9,$E$14=$A$9,$F$14=$A$9),$G$14,$C$6),"")</f>
        <v>999.0</v>
      </c>
      <c r="D29" s="41">
        <f>IFERROR(IF(OR($D$14=$A$10,$E$14=$A$10,$F$14=$A$10),$G$14,$C$6),"")</f>
        <v>999.0</v>
      </c>
      <c r="E29" s="41">
        <f>IFERROR(IF(OR($D$14=$A$11,$E$14=$A$11,$F$14=$A$11),$G$14,$C$6),"")</f>
        <v>3.5</v>
      </c>
      <c r="F29" s="41">
        <f>IFERROR(IF(OR($D$14=$A$12,$E$14=$A$12,$F$14=$A$12),$G$14,$C$6),"")</f>
        <v>999.0</v>
      </c>
      <c r="G29" s="41">
        <f>IFERROR(IF(OR($D$14=$A$13,$E$14=$A$13,$F$14=$A$13),$G$14,$C$6),"")</f>
        <v>999.0</v>
      </c>
      <c r="H29" s="41">
        <f>IFERROR(IF(OR($D$14=$A$14,$E$14=$A$14,$F$14=$A$14),$G$14,$C$6),"")</f>
        <v>999.0</v>
      </c>
      <c r="I29" s="41">
        <f>IFERROR(IF(OR($D$14=$A$15,$E$14=$A$15,$F$14=$A$15),$G$14,$C$6),"")</f>
        <v>999.0</v>
      </c>
      <c r="J29" s="41">
        <f>IFERROR(IF(OR($D$14=$A$16,$E$14=$A$16,$F$14=$A$16),$G$14,$C$6),"")</f>
        <v>999.0</v>
      </c>
      <c r="K29" s="41">
        <f>IFERROR(IF(OR($D$14=$A$17,$E$14=$A$17,$F$14=$A$17),$G$14,$C$6),"")</f>
        <v>999.0</v>
      </c>
      <c r="L29" s="41">
        <f>IFERROR(IF(OR($D$14=$A$18,$E$14=$A$18,$F$14=$A$18),$G$14,$C$6),"")</f>
        <v>999.0</v>
      </c>
      <c r="M29" s="41">
        <f>IFERROR(IF(OR($D$14=$A$19,$E$14=$A$19,$F$14=$A$19),$G$14,$C$6),"")</f>
        <v>999.0</v>
      </c>
      <c r="N29" s="41">
        <f>IFERROR(IF(OR($D$14=$A$20,$E$14=$A$20,$F$14=$A$20),$G$14,$C$6),"")</f>
        <v>999.0</v>
      </c>
    </row>
    <row r="30">
      <c r="A30" s="13" t="inlineStr">
        <is>
          <t>M7</t>
        </is>
      </c>
      <c r="B30" s="36">
        <f>IFERROR(G15,"")</f>
        <v>7.0</v>
      </c>
      <c r="C30" s="41">
        <f>IFERROR(IF(OR($D$15=$A$9,$E$15=$A$9,$F$15=$A$9),$G$15,$C$6),"")</f>
        <v>999.0</v>
      </c>
      <c r="D30" s="41">
        <f>IFERROR(IF(OR($D$15=$A$10,$E$15=$A$10,$F$15=$A$10),$G$15,$C$6),"")</f>
        <v>999.0</v>
      </c>
      <c r="E30" s="41">
        <f>IFERROR(IF(OR($D$15=$A$11,$E$15=$A$11,$F$15=$A$11),$G$15,$C$6),"")</f>
        <v>999.0</v>
      </c>
      <c r="F30" s="41">
        <f>IFERROR(IF(OR($D$15=$A$12,$E$15=$A$12,$F$15=$A$12),$G$15,$C$6),"")</f>
        <v>999.0</v>
      </c>
      <c r="G30" s="41">
        <f>IFERROR(IF(OR($D$15=$A$13,$E$15=$A$13,$F$15=$A$13),$G$15,$C$6),"")</f>
        <v>7.0</v>
      </c>
      <c r="H30" s="41">
        <f>IFERROR(IF(OR($D$15=$A$14,$E$15=$A$14,$F$15=$A$14),$G$15,$C$6),"")</f>
        <v>7.0</v>
      </c>
      <c r="I30" s="41">
        <f>IFERROR(IF(OR($D$15=$A$15,$E$15=$A$15,$F$15=$A$15),$G$15,$C$6),"")</f>
        <v>999.0</v>
      </c>
      <c r="J30" s="41">
        <f>IFERROR(IF(OR($D$15=$A$16,$E$15=$A$16,$F$15=$A$16),$G$15,$C$6),"")</f>
        <v>999.0</v>
      </c>
      <c r="K30" s="41">
        <f>IFERROR(IF(OR($D$15=$A$17,$E$15=$A$17,$F$15=$A$17),$G$15,$C$6),"")</f>
        <v>999.0</v>
      </c>
      <c r="L30" s="41">
        <f>IFERROR(IF(OR($D$15=$A$18,$E$15=$A$18,$F$15=$A$18),$G$15,$C$6),"")</f>
        <v>999.0</v>
      </c>
      <c r="M30" s="41">
        <f>IFERROR(IF(OR($D$15=$A$19,$E$15=$A$19,$F$15=$A$19),$G$15,$C$6),"")</f>
        <v>999.0</v>
      </c>
      <c r="N30" s="41">
        <f>IFERROR(IF(OR($D$15=$A$20,$E$15=$A$20,$F$15=$A$20),$G$15,$C$6),"")</f>
        <v>999.0</v>
      </c>
    </row>
    <row r="31">
      <c r="A31" s="13" t="inlineStr">
        <is>
          <t>M8</t>
        </is>
      </c>
      <c r="B31" s="36">
        <f>IFERROR(G16,"")</f>
        <v>7.5</v>
      </c>
      <c r="C31" s="41">
        <f>IFERROR(IF(OR($D$16=$A$9,$E$16=$A$9,$F$16=$A$9),$G$16,$C$6),"")</f>
        <v>999.0</v>
      </c>
      <c r="D31" s="41">
        <f>IFERROR(IF(OR($D$16=$A$10,$E$16=$A$10,$F$16=$A$10),$G$16,$C$6),"")</f>
        <v>999.0</v>
      </c>
      <c r="E31" s="41">
        <f>IFERROR(IF(OR($D$16=$A$11,$E$16=$A$11,$F$16=$A$11),$G$16,$C$6),"")</f>
        <v>999.0</v>
      </c>
      <c r="F31" s="41">
        <f>IFERROR(IF(OR($D$16=$A$12,$E$16=$A$12,$F$16=$A$12),$G$16,$C$6),"")</f>
        <v>999.0</v>
      </c>
      <c r="G31" s="41">
        <f>IFERROR(IF(OR($D$16=$A$13,$E$16=$A$13,$F$16=$A$13),$G$16,$C$6),"")</f>
        <v>999.0</v>
      </c>
      <c r="H31" s="41">
        <f>IFERROR(IF(OR($D$16=$A$14,$E$16=$A$14,$F$16=$A$14),$G$16,$C$6),"")</f>
        <v>999.0</v>
      </c>
      <c r="I31" s="41">
        <f>IFERROR(IF(OR($D$16=$A$15,$E$16=$A$15,$F$16=$A$15),$G$16,$C$6),"")</f>
        <v>7.5</v>
      </c>
      <c r="J31" s="41">
        <f>IFERROR(IF(OR($D$16=$A$16,$E$16=$A$16,$F$16=$A$16),$G$16,$C$6),"")</f>
        <v>999.0</v>
      </c>
      <c r="K31" s="41">
        <f>IFERROR(IF(OR($D$16=$A$17,$E$16=$A$17,$F$16=$A$17),$G$16,$C$6),"")</f>
        <v>999.0</v>
      </c>
      <c r="L31" s="41">
        <f>IFERROR(IF(OR($D$16=$A$18,$E$16=$A$18,$F$16=$A$18),$G$16,$C$6),"")</f>
        <v>999.0</v>
      </c>
      <c r="M31" s="41">
        <f>IFERROR(IF(OR($D$16=$A$19,$E$16=$A$19,$F$16=$A$19),$G$16,$C$6),"")</f>
        <v>999.0</v>
      </c>
      <c r="N31" s="41">
        <f>IFERROR(IF(OR($D$16=$A$20,$E$16=$A$20,$F$16=$A$20),$G$16,$C$6),"")</f>
        <v>999.0</v>
      </c>
    </row>
    <row r="32">
      <c r="A32" s="13" t="inlineStr">
        <is>
          <t>M9</t>
        </is>
      </c>
      <c r="B32" s="36">
        <f>IFERROR(G17,"")</f>
        <v>7.5</v>
      </c>
      <c r="C32" s="41">
        <f>IFERROR(IF(OR($D$17=$A$9,$E$17=$A$9,$F$17=$A$9),$G$17,$C$6),"")</f>
        <v>999.0</v>
      </c>
      <c r="D32" s="41">
        <f>IFERROR(IF(OR($D$17=$A$10,$E$17=$A$10,$F$17=$A$10),$G$17,$C$6),"")</f>
        <v>999.0</v>
      </c>
      <c r="E32" s="41">
        <f>IFERROR(IF(OR($D$17=$A$11,$E$17=$A$11,$F$17=$A$11),$G$17,$C$6),"")</f>
        <v>999.0</v>
      </c>
      <c r="F32" s="41">
        <f>IFERROR(IF(OR($D$17=$A$12,$E$17=$A$12,$F$17=$A$12),$G$17,$C$6),"")</f>
        <v>999.0</v>
      </c>
      <c r="G32" s="41">
        <f>IFERROR(IF(OR($D$17=$A$13,$E$17=$A$13,$F$17=$A$13),$G$17,$C$6),"")</f>
        <v>999.0</v>
      </c>
      <c r="H32" s="41">
        <f>IFERROR(IF(OR($D$17=$A$14,$E$17=$A$14,$F$17=$A$14),$G$17,$C$6),"")</f>
        <v>999.0</v>
      </c>
      <c r="I32" s="41">
        <f>IFERROR(IF(OR($D$17=$A$15,$E$17=$A$15,$F$17=$A$15),$G$17,$C$6),"")</f>
        <v>7.5</v>
      </c>
      <c r="J32" s="41">
        <f>IFERROR(IF(OR($D$17=$A$16,$E$17=$A$16,$F$17=$A$16),$G$17,$C$6),"")</f>
        <v>999.0</v>
      </c>
      <c r="K32" s="41">
        <f>IFERROR(IF(OR($D$17=$A$17,$E$17=$A$17,$F$17=$A$17),$G$17,$C$6),"")</f>
        <v>999.0</v>
      </c>
      <c r="L32" s="41">
        <f>IFERROR(IF(OR($D$17=$A$18,$E$17=$A$18,$F$17=$A$18),$G$17,$C$6),"")</f>
        <v>999.0</v>
      </c>
      <c r="M32" s="41">
        <f>IFERROR(IF(OR($D$17=$A$19,$E$17=$A$19,$F$17=$A$19),$G$17,$C$6),"")</f>
        <v>999.0</v>
      </c>
      <c r="N32" s="41">
        <f>IFERROR(IF(OR($D$17=$A$20,$E$17=$A$20,$F$17=$A$20),$G$17,$C$6),"")</f>
        <v>999.0</v>
      </c>
    </row>
    <row r="33">
      <c r="A33" s="13" t="inlineStr">
        <is>
          <t>M10</t>
        </is>
      </c>
      <c r="B33" s="36">
        <f>IFERROR(G18,"")</f>
        <v>7.5</v>
      </c>
      <c r="C33" s="41">
        <f>IFERROR(IF(OR($D$18=$A$9,$E$18=$A$9,$F$18=$A$9),$G$18,$C$6),"")</f>
        <v>999.0</v>
      </c>
      <c r="D33" s="41">
        <f>IFERROR(IF(OR($D$18=$A$10,$E$18=$A$10,$F$18=$A$10),$G$18,$C$6),"")</f>
        <v>999.0</v>
      </c>
      <c r="E33" s="41">
        <f>IFERROR(IF(OR($D$18=$A$11,$E$18=$A$11,$F$18=$A$11),$G$18,$C$6),"")</f>
        <v>999.0</v>
      </c>
      <c r="F33" s="41">
        <f>IFERROR(IF(OR($D$18=$A$12,$E$18=$A$12,$F$18=$A$12),$G$18,$C$6),"")</f>
        <v>999.0</v>
      </c>
      <c r="G33" s="41">
        <f>IFERROR(IF(OR($D$18=$A$13,$E$18=$A$13,$F$18=$A$13),$G$18,$C$6),"")</f>
        <v>999.0</v>
      </c>
      <c r="H33" s="41">
        <f>IFERROR(IF(OR($D$18=$A$14,$E$18=$A$14,$F$18=$A$14),$G$18,$C$6),"")</f>
        <v>999.0</v>
      </c>
      <c r="I33" s="41">
        <f>IFERROR(IF(OR($D$18=$A$15,$E$18=$A$15,$F$18=$A$15),$G$18,$C$6),"")</f>
        <v>7.5</v>
      </c>
      <c r="J33" s="41">
        <f>IFERROR(IF(OR($D$18=$A$16,$E$18=$A$16,$F$18=$A$16),$G$18,$C$6),"")</f>
        <v>999.0</v>
      </c>
      <c r="K33" s="41">
        <f>IFERROR(IF(OR($D$18=$A$17,$E$18=$A$17,$F$18=$A$17),$G$18,$C$6),"")</f>
        <v>999.0</v>
      </c>
      <c r="L33" s="41">
        <f>IFERROR(IF(OR($D$18=$A$18,$E$18=$A$18,$F$18=$A$18),$G$18,$C$6),"")</f>
        <v>999.0</v>
      </c>
      <c r="M33" s="41">
        <f>IFERROR(IF(OR($D$18=$A$19,$E$18=$A$19,$F$18=$A$19),$G$18,$C$6),"")</f>
        <v>999.0</v>
      </c>
      <c r="N33" s="41">
        <f>IFERROR(IF(OR($D$18=$A$20,$E$18=$A$20,$F$18=$A$20),$G$18,$C$6),"")</f>
        <v>999.0</v>
      </c>
    </row>
    <row r="34">
      <c r="A34" s="13" t="inlineStr">
        <is>
          <t>M11</t>
        </is>
      </c>
      <c r="B34" s="36">
        <f>IFERROR(G19,"")</f>
        <v>8.0</v>
      </c>
      <c r="C34" s="41">
        <f>IFERROR(IF(OR($D$19=$A$9,$E$19=$A$9,$F$19=$A$9),$G$19,$C$6),"")</f>
        <v>999.0</v>
      </c>
      <c r="D34" s="41">
        <f>IFERROR(IF(OR($D$19=$A$10,$E$19=$A$10,$F$19=$A$10),$G$19,$C$6),"")</f>
        <v>999.0</v>
      </c>
      <c r="E34" s="41">
        <f>IFERROR(IF(OR($D$19=$A$11,$E$19=$A$11,$F$19=$A$11),$G$19,$C$6),"")</f>
        <v>999.0</v>
      </c>
      <c r="F34" s="41">
        <f>IFERROR(IF(OR($D$19=$A$12,$E$19=$A$12,$F$19=$A$12),$G$19,$C$6),"")</f>
        <v>999.0</v>
      </c>
      <c r="G34" s="41">
        <f>IFERROR(IF(OR($D$19=$A$13,$E$19=$A$13,$F$19=$A$13),$G$19,$C$6),"")</f>
        <v>999.0</v>
      </c>
      <c r="H34" s="41">
        <f>IFERROR(IF(OR($D$19=$A$14,$E$19=$A$14,$F$19=$A$14),$G$19,$C$6),"")</f>
        <v>999.0</v>
      </c>
      <c r="I34" s="41">
        <f>IFERROR(IF(OR($D$19=$A$15,$E$19=$A$15,$F$19=$A$15),$G$19,$C$6),"")</f>
        <v>999.0</v>
      </c>
      <c r="J34" s="41">
        <f>IFERROR(IF(OR($D$19=$A$16,$E$19=$A$16,$F$19=$A$16),$G$19,$C$6),"")</f>
        <v>8.0</v>
      </c>
      <c r="K34" s="41">
        <f>IFERROR(IF(OR($D$19=$A$17,$E$19=$A$17,$F$19=$A$17),$G$19,$C$6),"")</f>
        <v>8.0</v>
      </c>
      <c r="L34" s="41">
        <f>IFERROR(IF(OR($D$19=$A$18,$E$19=$A$18,$F$19=$A$18),$G$19,$C$6),"")</f>
        <v>8.0</v>
      </c>
      <c r="M34" s="41">
        <f>IFERROR(IF(OR($D$19=$A$19,$E$19=$A$19,$F$19=$A$19),$G$19,$C$6),"")</f>
        <v>999.0</v>
      </c>
      <c r="N34" s="41">
        <f>IFERROR(IF(OR($D$19=$A$20,$E$19=$A$20,$F$19=$A$20),$G$19,$C$6),"")</f>
        <v>999.0</v>
      </c>
    </row>
    <row r="35">
      <c r="A35" s="13" t="inlineStr">
        <is>
          <t>M12</t>
        </is>
      </c>
      <c r="B35" s="36">
        <f>IFERROR(G20,"")</f>
        <v>8.5</v>
      </c>
      <c r="C35" s="41">
        <f>IFERROR(IF(OR($D$20=$A$9,$E$20=$A$9,$F$20=$A$9),$G$20,$C$6),"")</f>
        <v>999.0</v>
      </c>
      <c r="D35" s="41">
        <f>IFERROR(IF(OR($D$20=$A$10,$E$20=$A$10,$F$20=$A$10),$G$20,$C$6),"")</f>
        <v>999.0</v>
      </c>
      <c r="E35" s="41">
        <f>IFERROR(IF(OR($D$20=$A$11,$E$20=$A$11,$F$20=$A$11),$G$20,$C$6),"")</f>
        <v>999.0</v>
      </c>
      <c r="F35" s="41">
        <f>IFERROR(IF(OR($D$20=$A$12,$E$20=$A$12,$F$20=$A$12),$G$20,$C$6),"")</f>
        <v>999.0</v>
      </c>
      <c r="G35" s="41">
        <f>IFERROR(IF(OR($D$20=$A$13,$E$20=$A$13,$F$20=$A$13),$G$20,$C$6),"")</f>
        <v>999.0</v>
      </c>
      <c r="H35" s="41">
        <f>IFERROR(IF(OR($D$20=$A$14,$E$20=$A$14,$F$20=$A$14),$G$20,$C$6),"")</f>
        <v>999.0</v>
      </c>
      <c r="I35" s="41">
        <f>IFERROR(IF(OR($D$20=$A$15,$E$20=$A$15,$F$20=$A$15),$G$20,$C$6),"")</f>
        <v>999.0</v>
      </c>
      <c r="J35" s="41">
        <f>IFERROR(IF(OR($D$20=$A$16,$E$20=$A$16,$F$20=$A$16),$G$20,$C$6),"")</f>
        <v>999.0</v>
      </c>
      <c r="K35" s="41">
        <f>IFERROR(IF(OR($D$20=$A$17,$E$20=$A$17,$F$20=$A$17),$G$20,$C$6),"")</f>
        <v>999.0</v>
      </c>
      <c r="L35" s="41">
        <f>IFERROR(IF(OR($D$20=$A$18,$E$20=$A$18,$F$20=$A$18),$G$20,$C$6),"")</f>
        <v>999.0</v>
      </c>
      <c r="M35" s="41">
        <f>IFERROR(IF(OR($D$20=$A$19,$E$20=$A$19,$F$20=$A$19),$G$20,$C$6),"")</f>
        <v>8.5</v>
      </c>
      <c r="N35" s="41">
        <f>IFERROR(IF(OR($D$20=$A$20,$E$20=$A$20,$F$20=$A$20),$G$20,$C$6),"")</f>
        <v>999.0</v>
      </c>
    </row>
    <row r="36"/>
    <row r="37">
      <c r="A37" s="4" t="inlineStr">
        <is>
          <t>WHAT ALL THIS ADDS UP TO</t>
        </is>
      </c>
      <c r="B37" s="11" t="inlineStr"/>
      <c r="C37" s="11" t="inlineStr"/>
      <c r="D37" s="11" t="inlineStr"/>
      <c r="E37" s="11" t="inlineStr"/>
      <c r="F37" s="11" t="inlineStr"/>
      <c r="G37" s="11" t="inlineStr"/>
      <c r="H37" s="11" t="inlineStr"/>
      <c r="I37" s="11" t="inlineStr"/>
      <c r="J37" s="11" t="inlineStr"/>
      <c r="K37" s="11" t="inlineStr"/>
      <c r="L37" s="11" t="inlineStr"/>
      <c r="M37" s="11" t="inlineStr"/>
      <c r="N37" s="11" t="inlineStr"/>
      <c r="O37" s="11" t="inlineStr"/>
    </row>
    <row r="38">
      <c r="A38" s="8" t="inlineStr">
        <is>
          <t>Total project duration (months)</t>
        </is>
      </c>
      <c r="C38" s="42">
        <f>IFERROR(MAX(H9:H20),"")</f>
        <v>8.5</v>
      </c>
      <c r="O38" s="5" t="inlineStr">
        <is>
          <t>From the first day of searching to the day you open the door. It doesn't include the time it takes you to decide.</t>
        </is>
      </c>
    </row>
    <row r="39">
      <c r="A39" s="9" t="inlineStr">
        <is>
          <t>Milestones with NO slack (critical path)</t>
        </is>
      </c>
      <c r="C39" s="22">
        <f>IFERROR(COUNTIF(J9:J20,"Yes"),"")</f>
        <v>11.0</v>
      </c>
      <c r="O39" s="5" t="inlineStr">
        <is>
          <t>The ones where a day late means opening a day late. They're the only ones to watch every day; the others have a cushion, and knowing which is which saves you a lot of stress. It counts ALL the zero-slack milestones, which are more than those on the longest path: two parallel milestones of the same duration both have zero slack.</t>
        </is>
      </c>
    </row>
    <row r="40">
      <c r="A40" s="8" t="inlineStr">
        <is>
          <t>Calendar month you open (1-12)</t>
        </is>
      </c>
      <c r="C40" s="37">
        <f>IFERROR(ROUNDDOWN(MOD($C$5-1+C38,12),0)+1,"")</f>
        <v>9.0</v>
      </c>
    </row>
    <row r="41">
      <c r="A41" s="8" t="inlineStr">
        <is>
          <t>Name of that month</t>
        </is>
      </c>
      <c r="C41" s="27" t="str">
        <f>IFERROR(INDEX('Timeline and Critical Path'!$A$73:$A$84,C40),"")</f>
        <v>September</v>
      </c>
    </row>
    <row r="42">
      <c r="A42" s="9" t="inlineStr">
        <is>
          <t>Does that opening fall inside a peak?</t>
        </is>
      </c>
      <c r="C42" t="str">
        <f>IFERROR(IF(COUNTIF($C$47:$C$52,C40)&gt;0,"Yes","No"),"")</f>
        <v>No</v>
      </c>
    </row>
    <row r="43" ht="30" customHeight="1">
      <c r="A43" s="8" t="inlineStr">
        <is>
          <t>Heads-up</t>
        </is>
      </c>
      <c r="C43" s="28" t="str">
        <f>IFERROR(IF(C42="Yes","You open INSIDE a peak: the team breaks in the kitchen during the busiest month of the year, and you pay for it in waste and in custom orders that don't go out","You open outside the peaks: you get a shakedown period before the next one"),"")</f>
        <v>You open outside the peaks: you get a shakedown period before the next one</v>
      </c>
    </row>
    <row r="44"/>
    <row r="45">
      <c r="A45" s="4" t="inlineStr">
        <is>
          <t>THE SIX PEAKS OF THE YEAR</t>
        </is>
      </c>
      <c r="B45" s="11" t="inlineStr"/>
      <c r="C45" s="11" t="inlineStr"/>
      <c r="D45" s="11" t="inlineStr"/>
      <c r="E45" s="11" t="inlineStr"/>
      <c r="F45" s="11" t="inlineStr"/>
      <c r="G45" s="11" t="inlineStr"/>
      <c r="H45" s="11" t="inlineStr"/>
      <c r="I45" s="11" t="inlineStr"/>
      <c r="J45" s="11" t="inlineStr"/>
      <c r="K45" s="11" t="inlineStr"/>
      <c r="L45" s="11" t="inlineStr"/>
      <c r="M45" s="11" t="inlineStr"/>
      <c r="N45" s="11" t="inlineStr"/>
      <c r="O45" s="11" t="inlineStr"/>
    </row>
    <row r="46" ht="24" customHeight="1">
      <c r="A46" s="7" t="inlineStr">
        <is>
          <t>Peak</t>
        </is>
      </c>
      <c r="B46" s="7" t="inlineStr">
        <is>
          <t>Dates</t>
        </is>
      </c>
      <c r="C46" s="7" t="inlineStr">
        <is>
          <t>Month</t>
        </is>
      </c>
      <c r="D46" s="7" t="inlineStr">
        <is>
          <t>Peak days</t>
        </is>
      </c>
      <c r="E46" s="7" t="inlineStr">
        <is>
          <t>Production multiplier</t>
        </is>
      </c>
      <c r="O46" s="7" t="inlineStr">
        <is>
          <t>Notes</t>
        </is>
      </c>
    </row>
    <row r="47">
      <c r="A47" t="inlineStr">
        <is>
          <t>Día de Reyes (Three Kings Day)</t>
        </is>
      </c>
      <c r="B47" t="inlineStr">
        <is>
          <t>January 2–6</t>
        </is>
      </c>
      <c r="C47" s="14" t="n">
        <v>1</v>
      </c>
      <c r="D47" s="38" t="n">
        <v>5</v>
      </c>
      <c r="E47" s="43" t="n">
        <v>6</v>
      </c>
      <c r="O47" s="5" t="inlineStr">
        <is>
          <t>The dollars for each peak, and whether your team can handle the multiplier, are in the "seasonal-peaks-planner" workbook. Here only the months are used, to warn you if you'd open in the middle of one.</t>
        </is>
      </c>
    </row>
    <row r="48">
      <c r="A48" t="inlineStr">
        <is>
          <t>Valentine's Day</t>
        </is>
      </c>
      <c r="B48" t="inlineStr">
        <is>
          <t>February 13–14</t>
        </is>
      </c>
      <c r="C48" s="14" t="n">
        <v>2</v>
      </c>
      <c r="D48" s="38" t="n">
        <v>2</v>
      </c>
      <c r="E48" s="43" t="n">
        <v>1.8</v>
      </c>
    </row>
    <row r="49">
      <c r="A49" t="inlineStr">
        <is>
          <t>Mother's Day</t>
        </is>
      </c>
      <c r="B49" t="inlineStr">
        <is>
          <t>May 10 (Día de las Madres) and 2nd Sunday of May</t>
        </is>
      </c>
      <c r="C49" s="14" t="n">
        <v>5</v>
      </c>
      <c r="D49" s="38" t="n">
        <v>4</v>
      </c>
      <c r="E49" s="43" t="n">
        <v>1.9</v>
      </c>
    </row>
    <row r="50">
      <c r="A50" t="inlineStr">
        <is>
          <t>Easter (Holy Week)</t>
        </is>
      </c>
      <c r="B50" t="inlineStr">
        <is>
          <t>Palm Sunday to Easter Sunday</t>
        </is>
      </c>
      <c r="C50" s="14" t="n">
        <v>4</v>
      </c>
      <c r="D50" s="38" t="n">
        <v>8</v>
      </c>
      <c r="E50" s="43" t="n">
        <v>2.4</v>
      </c>
    </row>
    <row r="51">
      <c r="A51" t="inlineStr">
        <is>
          <t>First Communions and graduations</t>
        </is>
      </c>
      <c r="B51" t="inlineStr">
        <is>
          <t>mid-April to mid-June</t>
        </is>
      </c>
      <c r="C51" s="14" t="n">
        <v>5</v>
      </c>
      <c r="D51" s="38" t="n">
        <v>20</v>
      </c>
      <c r="E51" s="43" t="n">
        <v>1.6</v>
      </c>
    </row>
    <row r="52">
      <c r="A52" t="inlineStr">
        <is>
          <t>All Saints' Day and Día de los Muertos</t>
        </is>
      </c>
      <c r="B52" t="inlineStr">
        <is>
          <t>October 30 – November 1</t>
        </is>
      </c>
      <c r="C52" s="14" t="n">
        <v>11</v>
      </c>
      <c r="D52" s="38" t="n">
        <v>3</v>
      </c>
      <c r="E52" s="43" t="n">
        <v>2.6</v>
      </c>
    </row>
    <row r="53"/>
    <row r="54" ht="54" customHeight="1">
      <c r="A54" s="5" t="inlineStr">
        <is>
          <t>Durations are ASSUMPTIONS and almost all depend on someone else. Replace them with yours as soon as you have a lead time in writing, starting with equipment: it's the one that moves your opening date most quietly, because it doesn't fail, it just arrives late. The sheet avoids date functions on purpose: it works in decimal months, so half a month is 0.5 and adds up without fighting the calendar.</t>
        </is>
      </c>
    </row>
    <row r="55"/>
    <row r="56">
      <c r="A56" s="24" t="inlineStr">
        <is>
          <t>Validation lists (don't delete them: the dropdowns come from here)</t>
        </is>
      </c>
    </row>
    <row r="57">
      <c r="A57" s="25" t="inlineStr">
        <is>
          <t>Milestones and "no dependency"</t>
        </is>
      </c>
    </row>
    <row r="58">
      <c r="A58" s="26" t="inlineStr">
        <is>
          <t>-</t>
        </is>
      </c>
    </row>
    <row r="59">
      <c r="A59" s="26" t="inlineStr">
        <is>
          <t>M1</t>
        </is>
      </c>
    </row>
    <row r="60">
      <c r="A60" s="26" t="inlineStr">
        <is>
          <t>M2</t>
        </is>
      </c>
    </row>
    <row r="61">
      <c r="A61" s="26" t="inlineStr">
        <is>
          <t>M3</t>
        </is>
      </c>
    </row>
    <row r="62">
      <c r="A62" s="26" t="inlineStr">
        <is>
          <t>M4</t>
        </is>
      </c>
    </row>
    <row r="63">
      <c r="A63" s="26" t="inlineStr">
        <is>
          <t>M5</t>
        </is>
      </c>
    </row>
    <row r="64">
      <c r="A64" s="26" t="inlineStr">
        <is>
          <t>M6</t>
        </is>
      </c>
    </row>
    <row r="65">
      <c r="A65" s="26" t="inlineStr">
        <is>
          <t>M7</t>
        </is>
      </c>
    </row>
    <row r="66">
      <c r="A66" s="26" t="inlineStr">
        <is>
          <t>M8</t>
        </is>
      </c>
    </row>
    <row r="67">
      <c r="A67" s="26" t="inlineStr">
        <is>
          <t>M9</t>
        </is>
      </c>
    </row>
    <row r="68">
      <c r="A68" s="26" t="inlineStr">
        <is>
          <t>M10</t>
        </is>
      </c>
    </row>
    <row r="69">
      <c r="A69" s="26" t="inlineStr">
        <is>
          <t>M11</t>
        </is>
      </c>
    </row>
    <row r="70">
      <c r="A70" s="26" t="inlineStr">
        <is>
          <t>M12</t>
        </is>
      </c>
    </row>
    <row r="71"/>
    <row r="72">
      <c r="A72" s="25" t="inlineStr">
        <is>
          <t>Months of the year</t>
        </is>
      </c>
    </row>
    <row r="73">
      <c r="A73" s="26" t="inlineStr">
        <is>
          <t>January</t>
        </is>
      </c>
    </row>
    <row r="74">
      <c r="A74" s="26" t="inlineStr">
        <is>
          <t>February</t>
        </is>
      </c>
    </row>
    <row r="75">
      <c r="A75" s="26" t="inlineStr">
        <is>
          <t>March</t>
        </is>
      </c>
    </row>
    <row r="76">
      <c r="A76" s="26" t="inlineStr">
        <is>
          <t>April</t>
        </is>
      </c>
    </row>
    <row r="77">
      <c r="A77" s="26" t="inlineStr">
        <is>
          <t>May</t>
        </is>
      </c>
    </row>
    <row r="78">
      <c r="A78" s="26" t="inlineStr">
        <is>
          <t>June</t>
        </is>
      </c>
    </row>
    <row r="79">
      <c r="A79" s="26" t="inlineStr">
        <is>
          <t>July</t>
        </is>
      </c>
    </row>
    <row r="80">
      <c r="A80" s="26" t="inlineStr">
        <is>
          <t>August</t>
        </is>
      </c>
    </row>
    <row r="81">
      <c r="A81" s="26" t="inlineStr">
        <is>
          <t>September</t>
        </is>
      </c>
    </row>
    <row r="82">
      <c r="A82" s="26" t="inlineStr">
        <is>
          <t>October</t>
        </is>
      </c>
    </row>
    <row r="83">
      <c r="A83" s="26" t="inlineStr">
        <is>
          <t>November</t>
        </is>
      </c>
    </row>
    <row r="84">
      <c r="A84" s="26" t="inlineStr">
        <is>
          <t>December</t>
        </is>
      </c>
    </row>
  </sheetData>
  <sheetProtection selectLockedCells="0" selectUnlockedCells="0" sheet="1" objects="0" insertRows="0" insertHyperlinks="1" autoFilter="1" scenarios="0" formatColumns="0" deleteColumns="1" insertColumns="1" pivotTables="1" deleteRows="1" formatCells="1" formatRows="0" sort="0"/>
  <mergeCells count="11">
    <mergeCell ref="C43:N43"/>
    <mergeCell ref="A54:O54"/>
    <mergeCell ref="A39:B39"/>
    <mergeCell ref="A41:B41"/>
    <mergeCell ref="A40:B40"/>
    <mergeCell ref="A5:B5"/>
    <mergeCell ref="A42:B42"/>
    <mergeCell ref="A43:B43"/>
    <mergeCell ref="A3:O3"/>
    <mergeCell ref="A38:B38"/>
    <mergeCell ref="A6:B6"/>
  </mergeCells>
  <conditionalFormatting sqref="J9:J20">
    <cfRule type="expression" priority="1" dxfId="0" stopIfTrue="1">
      <formula>=$J9="Yes"</formula>
    </cfRule>
  </conditionalFormatting>
  <conditionalFormatting sqref="C42">
    <cfRule type="expression" priority="2" dxfId="0" stopIfTrue="1">
      <formula>=$C$42="Yes"</formula>
    </cfRule>
  </conditionalFormatting>
  <dataValidations count="1">
    <dataValidation sqref="D9 D10 D11 D12 D13 D14 D15 D16 D17 D18 D19 D20 E9 E10 E11 E12 E13 E14 E15 E16 E17 E18 E19 E20 F9 F10 F11 F12 F13 F14 F15 F16 F17 F18 F19 F20" showDropDown="0" showInputMessage="0" showErrorMessage="1" allowBlank="0" errorTitle="Choose a milestone or &quot;-&quot;" error="Type the ID of another milestone, or &quot;-&quot; if this one depends on none. It can only depend on milestones HIGHER UP in the table." type="list">
      <formula1>'Timeline and Critical Path'!$A$58:$A$70</formula1>
    </dataValidation>
  </dataValidations>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Permits, Licenses and Opening Timeline Checklist</dc:title>
  <dc:subject xmlns:dc="http://purl.org/dc/elements/1.1/">How to Open a Pastry Shop · Version 1.0 · October 2026</dc:subject>
  <dcterms:created xmlns:dcterms="http://purl.org/dc/terms/" xmlns:xsi="http://www.w3.org/2001/XMLSchema-instance" xsi:type="dcterms:W3CDTF">2026-09-10T04:58:00Z</dcterms:created>
  <dcterms:modified xmlns:dcterms="http://purl.org/dc/terms/" xmlns:xsi="http://www.w3.org/2001/XMLSchema-instance" xsi:type="dcterms:W3CDTF">2026-10-17T08:00:00Z</dcterms:modified>
  <cp:lastModifiedBy>AI Chef Pro</cp:lastModifiedBy>
</cp:coreProperties>
</file>