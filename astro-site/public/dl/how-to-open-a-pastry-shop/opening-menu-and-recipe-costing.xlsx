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tings" sheetId="2" state="visible" r:id="rId2"/>
    <sheet xmlns:r="http://schemas.openxmlformats.org/officeDocument/2006/relationships" name="Batch Costing" sheetId="3" state="visible" r:id="rId3"/>
    <sheet xmlns:r="http://schemas.openxmlformats.org/officeDocument/2006/relationships" name="Labor Cost per Hour" sheetId="4" state="visible" r:id="rId4"/>
    <sheet xmlns:r="http://schemas.openxmlformats.org/officeDocument/2006/relationships" name="Egg &amp; TCS Decision" sheetId="5" state="visible" r:id="rId5"/>
    <sheet xmlns:r="http://schemas.openxmlformats.org/officeDocument/2006/relationships" name="Mix and Average Ticket" sheetId="6" state="visible" r:id="rId6"/>
    <sheet xmlns:r="http://schemas.openxmlformats.org/officeDocument/2006/relationships" name="Menu Decision" sheetId="7" state="visible" r:id="rId7"/>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00"/>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i val="1"/>
      <sz val="8"/>
    </font>
    <font>
      <b val="1"/>
      <color rgb="00FFFFFF"/>
      <sz val="9"/>
    </font>
    <font>
      <color rgb="00888888"/>
      <sz val="8"/>
    </font>
    <font>
      <sz val="9"/>
    </font>
    <font>
      <color theme="1"/>
      <sz val="11"/>
    </font>
    <font>
      <b val="1"/>
      <color rgb="00888888"/>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6" fillId="0" borderId="0" pivotButton="0" quotePrefix="0" xfId="0"/>
    <xf numFmtId="0" fontId="7" fillId="3" borderId="0" applyAlignment="1" pivotButton="0" quotePrefix="0" xfId="0">
      <alignment horizontal="center" vertical="center" wrapText="1"/>
    </xf>
    <xf numFmtId="4" fontId="0" fillId="2" borderId="0" applyProtection="1" pivotButton="0" quotePrefix="0" xfId="0">
      <protection locked="0" hidden="0"/>
    </xf>
    <xf numFmtId="164" fontId="0" fillId="2" borderId="0" applyProtection="1" pivotButton="0" quotePrefix="0" xfId="0">
      <protection locked="0" hidden="0"/>
    </xf>
    <xf numFmtId="164" fontId="0" fillId="0" borderId="0" pivotButton="0" quotePrefix="0" xfId="0"/>
    <xf numFmtId="0" fontId="8" fillId="0" borderId="0" applyAlignment="1" pivotButton="0" quotePrefix="0" xfId="0">
      <alignment horizontal="general" vertical="top" wrapText="1"/>
    </xf>
    <xf numFmtId="0" fontId="1" fillId="0" borderId="0" pivotButton="0" quotePrefix="0" xfId="0"/>
    <xf numFmtId="4" fontId="1" fillId="4" borderId="0" pivotButton="0" quotePrefix="0" xfId="0"/>
    <xf numFmtId="164" fontId="1" fillId="4" borderId="0" pivotButton="0" quotePrefix="0" xfId="0"/>
    <xf numFmtId="3" fontId="0" fillId="2" borderId="0" applyProtection="1" pivotButton="0" quotePrefix="0" xfId="0">
      <protection locked="0" hidden="0"/>
    </xf>
    <xf numFmtId="0" fontId="8" fillId="0" borderId="0" pivotButton="0" quotePrefix="0" xfId="0"/>
    <xf numFmtId="165" fontId="0" fillId="2" borderId="0" applyProtection="1" pivotButton="0" quotePrefix="0" xfId="0">
      <protection locked="0" hidden="0"/>
    </xf>
    <xf numFmtId="3" fontId="1" fillId="4" borderId="0" pivotButton="0" quotePrefix="0" xfId="0"/>
    <xf numFmtId="165" fontId="1" fillId="4" borderId="0" pivotButton="0" quotePrefix="0" xfId="0"/>
    <xf numFmtId="0" fontId="9" fillId="0" borderId="0" applyAlignment="1" pivotButton="0" quotePrefix="0" xfId="0">
      <alignment horizontal="general" vertical="top" wrapText="1"/>
    </xf>
    <xf numFmtId="166" fontId="0" fillId="2" borderId="0" applyProtection="1" pivotButton="0" quotePrefix="0" xfId="0">
      <protection locked="0" hidden="0"/>
    </xf>
    <xf numFmtId="166" fontId="0" fillId="0" borderId="0" pivotButton="0" quotePrefix="0" xfId="0"/>
    <xf numFmtId="3" fontId="0" fillId="0" borderId="0" pivotButton="0" quotePrefix="0" xfId="0"/>
    <xf numFmtId="0" fontId="10" fillId="0" borderId="0" pivotButton="0" quotePrefix="0" xfId="0"/>
    <xf numFmtId="4" fontId="0" fillId="0" borderId="0" pivotButton="0" quotePrefix="0" xfId="0"/>
    <xf numFmtId="165" fontId="0" fillId="0" borderId="0" pivotButton="0" quotePrefix="0" xfId="0"/>
    <xf numFmtId="0" fontId="0" fillId="0" borderId="0" applyAlignment="1" pivotButton="0" quotePrefix="0" xfId="0">
      <alignment vertical="top" wrapText="1"/>
    </xf>
    <xf numFmtId="0" fontId="11"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1B5E20"/>
      </font>
      <fill>
        <patternFill patternType="solid">
          <fgColor rgb="00C8E6C9"/>
          <bgColor rgb="00C8E6C9"/>
        </patternFill>
      </fill>
    </dxf>
    <dxf>
      <font>
        <b val="1"/>
        <color rgb="007A5C00"/>
      </font>
      <fill>
        <patternFill patternType="solid">
          <fgColor rgb="00FFF3C4"/>
          <bgColor rgb="00FFF3C4"/>
        </patternFill>
      </fill>
    </dxf>
    <dxf>
      <font>
        <b val="1"/>
        <color rgb="00B71C1C"/>
      </font>
      <fill>
        <patternFill patternType="solid">
          <fgColor rgb="00FFCDD2"/>
          <b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D6" authorId="0" shapeId="0">
      <text>
        <t>Verified October 2026 · The case's wage table is an example, not a legal schedule: replace it with what you'll pay, spread over 12 monthly payments. Federal minimum wage $7.25/h (Texas applies it); California, New York and Florida are higher · U.S. Department of Labor, State Minimum Wage Laws (updated July 1, 2026) · https://www.dol.gov/agencies/whd/minimum-wage/state</t>
      </text>
    </comment>
    <comment ref="D7" authorId="0" shapeId="0">
      <text>
        <t>Verified October 2026 · The case's wage table is an example, not a legal schedule: replace it with what you'll pay, spread over 12 monthly payments. Federal minimum wage $7.25/h (Texas applies it); California, New York and Florida are higher · U.S. Department of Labor, State Minimum Wage Laws (updated July 1, 2026) · https://www.dol.gov/agencies/whd/minimum-wage/state</t>
      </text>
    </comment>
    <comment ref="D8" authorId="0" shapeId="0">
      <text>
        <t>Verified October 2026 · The case's wage table is an example, not a legal schedule: replace it with what you'll pay, spread over 12 monthly payments. Federal minimum wage $7.25/h (Texas applies it); California, New York and Florida are higher · U.S. Department of Labor, State Minimum Wage Laws (updated July 1, 2026) · https://www.dol.gov/agencies/whd/minimum-wage/state</t>
      </text>
    </comment>
    <comment ref="B11" authorId="0" shapeId="0">
      <text>
        <t>Verified October 2026 · The case's wage table is an example, not a legal schedule: replace it with what you'll pay, spread over 12 monthly payments. Federal minimum wage $7.25/h (Texas applies it); California, New York and Florida are higher · U.S. Department of Labor, State Minimum Wage Laws (updated July 1, 2026) · https://www.dol.gov/agencies/whd/minimum-wage/state</t>
      </text>
    </comment>
    <comment ref="B19"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B20" authorId="0" shapeId="0">
      <text>
        <t>Verified October 2026 · Bread follows the same sales tax rule as pastries: sold to go, it's generally exempt in the four example states; what changes the tax is how you sell it, not what you sell · Texas Comptroller, 34 TAC §3.293 · https://comptroller.texas.gov/taxes/publications/94-117.php</t>
      </text>
    </comment>
    <comment ref="B21" authorId="0" shapeId="0">
      <text>
        <t>Verified October 2026 · What's eaten at your tables is generally taxable in the four example states · California, CDTFA Regulation 1603 · https://cdtfa.ca.gov/lawguides/vol1/sutr/1603.html</t>
      </text>
    </comment>
    <comment ref="B28" authorId="0" shapeId="0">
      <text>
        <t>Verified October 2026 · FDA Food Code 2022, 3-501.16 (cold holding of TCS food at 41 °F or below) and 1-201.10 (TCS food, decided by pH and water activity) · https://www.fda.gov/media/164194/download</t>
      </text>
    </comment>
    <comment ref="B2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B3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B31" authorId="0" shapeId="0">
      <text>
        <t>Verified October 2026 · 21 CFR 101.91 (gluten-free labeling: under 20 ppm; "no gluten", "free of gluten" and "without gluten" carry the same requirement) · https://www.ecfr.gov/current/title-21/section-101.91</t>
      </text>
    </comment>
  </commentList>
</comments>
</file>

<file path=xl/comments/comment2.xml><?xml version="1.0" encoding="utf-8"?>
<comments xmlns="http://schemas.openxmlformats.org/spreadsheetml/2006/main">
  <authors>
    <author>AI Chef Pro</author>
  </authors>
  <commentList>
    <comment ref="M6"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7"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8"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9"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0"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1"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2"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3"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4"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5"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6"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7"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8"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19"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20"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21"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22"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23"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24" authorId="0" shapeId="0">
      <text>
        <t>Verified October 2026 · Bread follows the same sales tax rule as pastries: sold to go, it's generally exempt in the four example states; what changes the tax is how you sell it, not what you sell · Texas Comptroller, 34 TAC §3.293 · https://comptroller.texas.gov/taxes/publications/94-117.php</t>
      </text>
    </comment>
    <comment ref="M25" authorId="0" shapeId="0">
      <text>
        <t>Verified October 2026 · Bread follows the same sales tax rule as pastries: sold to go, it's generally exempt in the four example states; what changes the tax is how you sell it, not what you sell · Texas Comptroller, 34 TAC §3.293 · https://comptroller.texas.gov/taxes/publications/94-117.php</t>
      </text>
    </comment>
    <comment ref="M26" authorId="0" shapeId="0">
      <text>
        <t>Verified October 2026 · Bread follows the same sales tax rule as pastries: sold to go, it's generally exempt in the four example states; what changes the tax is how you sell it, not what you sell · Texas Comptroller, 34 TAC §3.293 · https://comptroller.texas.gov/taxes/publications/94-117.php</t>
      </text>
    </comment>
    <comment ref="M27" authorId="0" shapeId="0">
      <text>
        <t>Verified October 2026 · Bread follows the same sales tax rule as pastries: sold to go, it's generally exempt in the four example states; what changes the tax is how you sell it, not what you sell · Texas Comptroller, 34 TAC §3.293 · https://comptroller.texas.gov/taxes/publications/94-117.php</t>
      </text>
    </comment>
    <comment ref="M28"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29"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30"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31"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32"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33"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34"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 ref="M35" authorId="0" shapeId="0">
      <text>
        <t>Verified October 2026 · In the US, menu prices are shown before sales tax, so this stays at 0. Bakery items sold to go are generally exempt in the four example states; Texas: exempt unless sold with plates or utensils (34 TAC §3.293) · https://comptroller.texas.gov/taxes/publications/94-117.php</t>
      </text>
    </comment>
  </commentList>
</comments>
</file>

<file path=xl/comments/comment3.xml><?xml version="1.0" encoding="utf-8"?>
<comments xmlns="http://schemas.openxmlformats.org/spreadsheetml/2006/main">
  <authors>
    <author>AI Chef Pro</author>
  </authors>
  <commentList>
    <comment ref="D5" authorId="0" shapeId="0">
      <text>
        <t>Verified October 2026 · FDA Food Code 2022, 3-603.11 (consumer advisory when animal foods, eggs included, are served raw or undercooked) and 1-201.10 (TCS food) · https://www.fda.gov/media/164194/download</t>
      </text>
    </comment>
    <comment ref="G6" authorId="0" shapeId="0">
      <text>
        <t>Verified October 2026 · FDA Food Code 2022, 3-501.16 (cold holding of TCS food at 41 °F or below) and 1-201.10 (TCS food, decided by pH and water activity) · https://www.fda.gov/media/164194/download</t>
      </text>
    </comment>
    <comment ref="H6"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6"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7" authorId="0" shapeId="0">
      <text>
        <t>Verified October 2026 · FDA Food Code 2022, 3-501.16 (cold holding of TCS food at 41 °F or below) and 1-201.10 (TCS food, decided by pH and water activity) · https://www.fda.gov/media/164194/download</t>
      </text>
    </comment>
    <comment ref="H7"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7"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8" authorId="0" shapeId="0">
      <text>
        <t>Verified October 2026 · FDA Food Code 2022, 3-501.16 (cold holding of TCS food at 41 °F or below) and 1-201.10 (TCS food, decided by pH and water activity) · https://www.fda.gov/media/164194/download</t>
      </text>
    </comment>
    <comment ref="H8"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8"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9" authorId="0" shapeId="0">
      <text>
        <t>Verified October 2026 · FDA Food Code 2022, 3-501.16 (cold holding of TCS food at 41 °F or below) and 1-201.10 (TCS food, decided by pH and water activity) · https://www.fda.gov/media/164194/download</t>
      </text>
    </comment>
    <comment ref="H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0" authorId="0" shapeId="0">
      <text>
        <t>Verified October 2026 · FDA Food Code 2022, 3-501.16 (cold holding of TCS food at 41 °F or below) and 1-201.10 (TCS food, decided by pH and water activity) · https://www.fda.gov/media/164194/download</t>
      </text>
    </comment>
    <comment ref="H1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1" authorId="0" shapeId="0">
      <text>
        <t>Verified October 2026 · FDA Food Code 2022, 3-501.16 (cold holding of TCS food at 41 °F or below) and 1-201.10 (TCS food, decided by pH and water activity) · https://www.fda.gov/media/164194/download</t>
      </text>
    </comment>
    <comment ref="H11"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1"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2" authorId="0" shapeId="0">
      <text>
        <t>Verified October 2026 · FDA Food Code 2022, 3-501.16 (cold holding of TCS food at 41 °F or below) and 1-201.10 (TCS food, decided by pH and water activity) · https://www.fda.gov/media/164194/download</t>
      </text>
    </comment>
    <comment ref="H12"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2"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3" authorId="0" shapeId="0">
      <text>
        <t>Verified October 2026 · FDA Food Code 2022, 3-501.16 (cold holding of TCS food at 41 °F or below) and 1-201.10 (TCS food, decided by pH and water activity) · https://www.fda.gov/media/164194/download</t>
      </text>
    </comment>
    <comment ref="H13"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3"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4" authorId="0" shapeId="0">
      <text>
        <t>Verified October 2026 · FDA Food Code 2022, 3-501.16 (cold holding of TCS food at 41 °F or below) and 1-201.10 (TCS food, decided by pH and water activity) · https://www.fda.gov/media/164194/download</t>
      </text>
    </comment>
    <comment ref="H14"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4"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5" authorId="0" shapeId="0">
      <text>
        <t>Verified October 2026 · FDA Food Code 2022, 3-501.16 (cold holding of TCS food at 41 °F or below) and 1-201.10 (TCS food, decided by pH and water activity) · https://www.fda.gov/media/164194/download</t>
      </text>
    </comment>
    <comment ref="H15"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5"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6" authorId="0" shapeId="0">
      <text>
        <t>Verified October 2026 · FDA Food Code 2022, 3-501.16 (cold holding of TCS food at 41 °F or below) and 1-201.10 (TCS food, decided by pH and water activity) · https://www.fda.gov/media/164194/download</t>
      </text>
    </comment>
    <comment ref="H16"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6"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7" authorId="0" shapeId="0">
      <text>
        <t>Verified October 2026 · FDA Food Code 2022, 3-501.16 (cold holding of TCS food at 41 °F or below) and 1-201.10 (TCS food, decided by pH and water activity) · https://www.fda.gov/media/164194/download</t>
      </text>
    </comment>
    <comment ref="H17"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7"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8" authorId="0" shapeId="0">
      <text>
        <t>Verified October 2026 · FDA Food Code 2022, 3-501.16 (cold holding of TCS food at 41 °F or below) and 1-201.10 (TCS food, decided by pH and water activity) · https://www.fda.gov/media/164194/download</t>
      </text>
    </comment>
    <comment ref="H18"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8"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19" authorId="0" shapeId="0">
      <text>
        <t>Verified October 2026 · FDA Food Code 2022, 3-501.16 (cold holding of TCS food at 41 °F or below) and 1-201.10 (TCS food, decided by pH and water activity) · https://www.fda.gov/media/164194/download</t>
      </text>
    </comment>
    <comment ref="H1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1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0" authorId="0" shapeId="0">
      <text>
        <t>Verified October 2026 · FDA Food Code 2022, 3-501.16 (cold holding of TCS food at 41 °F or below) and 1-201.10 (TCS food, decided by pH and water activity) · https://www.fda.gov/media/164194/download</t>
      </text>
    </comment>
    <comment ref="H2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1" authorId="0" shapeId="0">
      <text>
        <t>Verified October 2026 · FDA Food Code 2022, 3-501.16 (cold holding of TCS food at 41 °F or below) and 1-201.10 (TCS food, decided by pH and water activity) · https://www.fda.gov/media/164194/download</t>
      </text>
    </comment>
    <comment ref="H21"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1"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2" authorId="0" shapeId="0">
      <text>
        <t>Verified October 2026 · FDA Food Code 2022, 3-501.16 (cold holding of TCS food at 41 °F or below) and 1-201.10 (TCS food, decided by pH and water activity) · https://www.fda.gov/media/164194/download</t>
      </text>
    </comment>
    <comment ref="H22"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2"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3" authorId="0" shapeId="0">
      <text>
        <t>Verified October 2026 · FDA Food Code 2022, 3-501.16 (cold holding of TCS food at 41 °F or below) and 1-201.10 (TCS food, decided by pH and water activity) · https://www.fda.gov/media/164194/download</t>
      </text>
    </comment>
    <comment ref="H23"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3"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4" authorId="0" shapeId="0">
      <text>
        <t>Verified October 2026 · FDA Food Code 2022, 3-501.16 (cold holding of TCS food at 41 °F or below) and 1-201.10 (TCS food, decided by pH and water activity) · https://www.fda.gov/media/164194/download</t>
      </text>
    </comment>
    <comment ref="H24"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4"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5" authorId="0" shapeId="0">
      <text>
        <t>Verified October 2026 · FDA Food Code 2022, 3-501.16 (cold holding of TCS food at 41 °F or below) and 1-201.10 (TCS food, decided by pH and water activity) · https://www.fda.gov/media/164194/download</t>
      </text>
    </comment>
    <comment ref="H25"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5"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6" authorId="0" shapeId="0">
      <text>
        <t>Verified October 2026 · FDA Food Code 2022, 3-501.16 (cold holding of TCS food at 41 °F or below) and 1-201.10 (TCS food, decided by pH and water activity) · https://www.fda.gov/media/164194/download</t>
      </text>
    </comment>
    <comment ref="H26"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6"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7" authorId="0" shapeId="0">
      <text>
        <t>Verified October 2026 · FDA Food Code 2022, 3-501.16 (cold holding of TCS food at 41 °F or below) and 1-201.10 (TCS food, decided by pH and water activity) · https://www.fda.gov/media/164194/download</t>
      </text>
    </comment>
    <comment ref="H27"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7"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8" authorId="0" shapeId="0">
      <text>
        <t>Verified October 2026 · FDA Food Code 2022, 3-501.16 (cold holding of TCS food at 41 °F or below) and 1-201.10 (TCS food, decided by pH and water activity) · https://www.fda.gov/media/164194/download</t>
      </text>
    </comment>
    <comment ref="H28"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8"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29" authorId="0" shapeId="0">
      <text>
        <t>Verified October 2026 · FDA Food Code 2022, 3-501.16 (cold holding of TCS food at 41 °F or below) and 1-201.10 (TCS food, decided by pH and water activity) · https://www.fda.gov/media/164194/download</t>
      </text>
    </comment>
    <comment ref="H2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29"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30" authorId="0" shapeId="0">
      <text>
        <t>Verified October 2026 · FDA Food Code 2022, 3-501.16 (cold holding of TCS food at 41 °F or below) and 1-201.10 (TCS food, decided by pH and water activity) · https://www.fda.gov/media/164194/download</t>
      </text>
    </comment>
    <comment ref="H3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30"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31" authorId="0" shapeId="0">
      <text>
        <t>Verified October 2026 · FDA Food Code 2022, 3-501.16 (cold holding of TCS food at 41 °F or below) and 1-201.10 (TCS food, decided by pH and water activity) · https://www.fda.gov/media/164194/download</t>
      </text>
    </comment>
    <comment ref="H31"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31"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32" authorId="0" shapeId="0">
      <text>
        <t>Verified October 2026 · FDA Food Code 2022, 3-501.16 (cold holding of TCS food at 41 °F or below) and 1-201.10 (TCS food, decided by pH and water activity) · https://www.fda.gov/media/164194/download</t>
      </text>
    </comment>
    <comment ref="H32"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32"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33" authorId="0" shapeId="0">
      <text>
        <t>Verified October 2026 · FDA Food Code 2022, 3-501.16 (cold holding of TCS food at 41 °F or below) and 1-201.10 (TCS food, decided by pH and water activity) · https://www.fda.gov/media/164194/download</t>
      </text>
    </comment>
    <comment ref="H33"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33"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34" authorId="0" shapeId="0">
      <text>
        <t>Verified October 2026 · FDA Food Code 2022, 3-501.16 (cold holding of TCS food at 41 °F or below) and 1-201.10 (TCS food, decided by pH and water activity) · https://www.fda.gov/media/164194/download</t>
      </text>
    </comment>
    <comment ref="H34"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34"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G35" authorId="0" shapeId="0">
      <text>
        <t>Verified October 2026 · FDA Food Code 2022, 3-501.16 (cold holding of TCS food at 41 °F or below) and 1-201.10 (TCS food, decided by pH and water activity) · https://www.fda.gov/media/164194/download</t>
      </text>
    </comment>
    <comment ref="H35"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K35" authorId="0" shapeId="0">
      <text>
        <t>Verified October 2026 · FDA Food Code 2022, 3-501.16 (cold holding at 41 °F or below) and 3-501.17 (date marking: ready-to-eat TCS food held more than 24 hours, 7 days at most, with the day of preparation as day 1) · https://www.fda.gov/media/164194/download</t>
      </text>
    </comment>
    <comment ref="A50" authorId="0" shapeId="0">
      <text>
        <t>Verified October 2026 · FDA Food Code 2022, 3-603.11 (consumer advisory when animal foods, eggs included, are served raw or undercooked) and 1-201.10 (TCS food) · https://www.fda.gov/media/164194/download</t>
      </text>
    </comment>
    <comment ref="A51" authorId="0" shapeId="0">
      <text>
        <t>Verified October 2026 · FDA Food Code 2022, 3-603.11 (consumer advisory when animal foods, eggs included, are served raw or undercooked) and 1-201.10 (TCS food) · https://www.fda.gov/media/164194/download</t>
      </text>
    </comment>
    <comment ref="A52" authorId="0" shapeId="0">
      <text>
        <t>Verified October 2026 · FDA Food Code 2022, 3-603.11 (consumer advisory when animal foods, eggs included, are served raw or undercooked) and 1-201.10 (TCS food) · https://www.fda.gov/media/164194/download</t>
      </text>
    </comment>
    <comment ref="A62" authorId="0" shapeId="0">
      <text>
        <t>Verified October 2026 · FDA Food Code 2022, 3-501.14 (cooling: 135 °F to 70 °F within 2 hours, to 41 °F within 6 hours in total) and 3-602.11(B) (labels on food packaged in the establishment) · https://www.fda.gov/media/164194/download
FDA, the 9 major food allergens (sesame since January 1, 2023) · https://www.fda.gov/food/nutrition-food-labeling-and-critical-foods/food-allergies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90" customWidth="1" min="1" max="1"/>
  </cols>
  <sheetData>
    <row r="1">
      <c r="A1" s="1" t="inlineStr">
        <is>
          <t>Opening Menu and Batch Recipe Costing</t>
        </is>
      </c>
    </row>
    <row r="2">
      <c r="A2" s="2" t="inlineStr">
        <is>
          <t>AI Chef Pro · aichef.pro — How to Open a Pastry Shop</t>
        </is>
      </c>
    </row>
    <row r="3">
      <c r="A3" s="3" t="inlineStr">
        <is>
          <t>What it's for: deciding what you sell, at what price, and which egg route each item takes, with its holding temperature and its date mark.</t>
        </is>
      </c>
    </row>
    <row r="4"/>
    <row r="5">
      <c r="A5" s="4" t="inlineStr">
        <is>
          <t>How to use it</t>
        </is>
      </c>
    </row>
    <row r="6" ht="62" customHeight="1">
      <c r="A6" s="5" t="inlineStr">
        <is>
          <t>1. "Settings" sheet: start with the production kitchen staff block. The production kitchen's cost per hour is NOT an industry figure and you don't type it: it's calculated from the base pay in your wage table, the pay periods, each person's FTE and the payroll taxes, workers' comp and benefits the employer pays. Below that are the purchase prices, one per ingredient: it's the only table where prices are entered, and all 226 lines of the recipe costing draw from it.</t>
        </is>
      </c>
    </row>
    <row r="7" ht="62" customHeight="1">
      <c r="A7" s="5" t="inlineStr">
        <is>
          <t>2. "Batch Costing" sheet: one row per ingredient and per item. The costing unit is THE BATCH, not the piece: that's how a production kitchen works, and it's the only way labor adds up. Enter the net quantity you use, the factor that converts the purchase unit into the unit of use (12 to go from a dozen to each, 1 if they match) and the trim loss. The line cost calculates itself.</t>
        </is>
      </c>
    </row>
    <row r="8" ht="62" customHeight="1">
      <c r="A8" s="5" t="inlineStr">
        <is>
          <t>3. "Labor Cost per Hour" sheet: the minutes each batch takes and the selling price. From there come labor cost per piece, total cost, food cost and margin in dollars. It's the sheet that teaches you to stop giving your work away.</t>
        </is>
      </c>
    </row>
    <row r="9" ht="62" customHeight="1">
      <c r="A9" s="5" t="inlineStr">
        <is>
          <t>4. "Egg &amp; TCS Decision" sheet: for each item, choose the egg route and say whether it's filled and whether the finished item is shelf-stable at room temperature. The workbook returns the holding temperature, which test applies and whether the item needs a date mark when held more than 24 hours. The shelf life is yours to declare.</t>
        </is>
      </c>
    </row>
    <row r="10" ht="62" customHeight="1">
      <c r="A10" s="5" t="inlineStr">
        <is>
          <t>5. "Mix and Average Ticket" sheet: split 100% of your units across the 30 items. That gives you your average ticket, which you can't copy from a study because we found no reliable published average ticket for bakeries.</t>
        </is>
      </c>
    </row>
    <row r="11" ht="62" customHeight="1">
      <c r="A11" s="5" t="inlineStr">
        <is>
          <t>6. "Menu Decision" sheet: it crosses margin with turnover and tells you what to keep, what to review the price of and what to drop. Go over it three months after opening, with real sales, and again each time the season changes.</t>
        </is>
      </c>
    </row>
    <row r="12"/>
    <row r="13">
      <c r="A13" s="6" t="inlineStr">
        <is>
          <t>Green cells = fields you can edit</t>
        </is>
      </c>
    </row>
    <row r="14"/>
    <row r="15">
      <c r="A15" s="4" t="inlineStr">
        <is>
          <t>What to know before you start</t>
        </is>
      </c>
    </row>
    <row r="16" ht="72" customHeight="1">
      <c r="A16" s="5" t="inlineStr">
        <is>
          <t>THE MARGIN RULE IS ONE RULE, SAID TWO WAYS. A 65-70% gross margin and a 30-35% food cost are the same number seen from either side: if food cost is 32%, gross margin is 68%. That's why "Settings" asks you for ONE and calculates the other. Any tool that asks for both will let you enter them inconsistently.</t>
        </is>
      </c>
    </row>
    <row r="17" ht="72" customHeight="1">
      <c r="A17" s="5" t="inlineStr">
        <is>
          <t>THERE'S NO "TWO TEMPERATURES" CONFLICT. The sheet runs two checks (filled and not shelf-stable; an egg route that leaves the item needing cold) and both lead to the same Food Code limit: 41 °F or below (3-501.16). And the part almost nobody keeps track of: ready-to-eat TCS food held more than 24 hours has to be date marked, 7 days at most, with the day you make it counting as day 1 (3-501.17).</t>
        </is>
      </c>
    </row>
    <row r="18" ht="72" customHeight="1">
      <c r="A18" s="5" t="inlineStr">
        <is>
          <t>THIS WORKBOOK DOESN'T CALCULATE SHELF LIFE, AND NO WORKBOOK CAN. The Food Code doesn't set it: you do, with your process and your tests, and it goes in your food safety plan. What the sheet does carry is the legal ceiling, the date mark, which is a different thing and has its own column.</t>
        </is>
      </c>
    </row>
    <row r="19" ht="72" customHeight="1">
      <c r="A19" s="5" t="inlineStr">
        <is>
          <t>WHERE THE ALLERGENS ARE, BECAUSE THEY'RE NOT HERE. The display-case allergen matrix (the written notice of the 9 major food allergens in unpackaged food, Food Code 3-602.12(C)) lives in the HACCP Food Safety Kit Pro. This workbook doesn't repeat it: never two full allergen declarations of the same menu in two files.</t>
        </is>
      </c>
    </row>
    <row r="20" ht="72" customHeight="1">
      <c r="A20" s="5" t="inlineStr">
        <is>
          <t>THE DAILY TEMPERATURES AREN'T HERE EITHER. Temperature logs are in the HACCP Food Safety Kit Pro. What this workbook makes is the decision that comes BEFORE: which egg route you choose for each item and what holding temperature that choice brings with it.</t>
        </is>
      </c>
    </row>
    <row r="21" ht="72" customHeight="1">
      <c r="A21" s="5" t="inlineStr">
        <is>
          <t>UNIT COSTING AND THE METHOD. If you want the unit costing of three pastry preparations, that's the Food Cost Kit Pro (05-bakery-cake-pricing); if you want the batch costing method and menu engineering, that's the Food Cost + Menu Engineering Guide. The 70% dark chocolate cake, the croissants and the macarons carry the SAME costing here as in the kit: copied and declared, never linked. A customer who owns both products can't see two different costs for the same croissant.</t>
        </is>
      </c>
    </row>
    <row r="22" ht="72" customHeight="1">
      <c r="A22" s="5" t="inlineStr">
        <is>
          <t>THE FOOD COST IN THE RECIPE COSTING AND THE ONE IN THE FINANCIAL PLAN DON'T MATCH, AND THAT'S FINE. The piece's food cost counts only ingredients. The one that reaches the P&amp;L adds real waste, packaging, the third-party products the front counter resells and ingredient price increases. The "Mix and Average Ticket" sheet calculates both and shows the gap: that's your cushion, not an error.</t>
        </is>
      </c>
    </row>
    <row r="23" ht="72" customHeight="1">
      <c r="A23" s="5" t="inlineStr">
        <is>
          <t>THE EXAMPLE PURCHASE PRICES BELONG TO A MODELED KITCHEN. Nineteen are copied exactly from the Food Cost Kit Pro; the rest are plausible assumptions for professional purchasing, not US quotes. Delete them and enter your own invoices: a recipe costing built on someone else's prices is worth nothing.</t>
        </is>
      </c>
    </row>
    <row r="24"/>
    <row r="25" ht="58" customHeight="1">
      <c r="A25" s="5" t="inlineStr">
        <is>
          <t>How often you use this workbook: purchase prices EVERY TIME a supplier raises a price, and at least once a quarter. The recipe costing and the labor minutes, when you build the menu and every time you change a process. The egg and temperature decision, ONCE per item and every time you add a new one: it decides how many feet of refrigerated case you need. The mix, the average ticket and the menu decision, three months after opening and then every season.</t>
        </is>
      </c>
    </row>
    <row r="26"/>
    <row r="27" ht="30" customHeight="1">
      <c r="A27" s="5" t="inlineStr">
        <is>
          <t>To edit the structure or a cell that isn't green, unprotect the sheet: Review &gt; Unprotect Sheet. The protection has NO password; it only stops you from overwriting a formula by accident.</t>
        </is>
      </c>
    </row>
    <row r="28"/>
    <row r="29">
      <c r="A29" s="5" t="inlineStr">
        <is>
          <t>Designed by John Guerrero — chef and restaurant consultant since 2010, in the kitchen since age 17.</t>
        </is>
      </c>
    </row>
    <row r="30">
      <c r="A30"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93"/>
  <sheetViews>
    <sheetView workbookViewId="0">
      <selection activeCell="A1" sqref="A1"/>
    </sheetView>
  </sheetViews>
  <sheetFormatPr baseColWidth="8" defaultRowHeight="15"/>
  <cols>
    <col width="46" customWidth="1" min="1" max="1"/>
    <col width="15" customWidth="1" min="2" max="2"/>
    <col width="14" customWidth="1" min="3" max="3"/>
    <col width="17" customWidth="1" min="4" max="4"/>
    <col width="15" customWidth="1" min="5" max="5"/>
    <col width="15" customWidth="1" min="6" max="6"/>
    <col width="78" customWidth="1" min="7" max="7"/>
  </cols>
  <sheetData>
    <row r="1">
      <c r="A1" s="1" t="inlineStr">
        <is>
          <t>Settings</t>
        </is>
      </c>
    </row>
    <row r="2">
      <c r="A2" s="2" t="inlineStr">
        <is>
          <t>AI Chef Pro · aichef.pro — How to Open a Pastry Shop</t>
        </is>
      </c>
    </row>
    <row r="3">
      <c r="A3" s="3" t="inlineStr">
        <is>
          <t>The production kitchen's cost per hour is CALCULATED here from your team and your wage table. It isn't an industry figure.</t>
        </is>
      </c>
    </row>
    <row r="4"/>
    <row r="5" ht="40" customHeight="1">
      <c r="A5" s="8" t="inlineStr">
        <is>
          <t>Production kitchen staff</t>
        </is>
      </c>
      <c r="B5" s="8" t="inlineStr">
        <is>
          <t>FTE</t>
        </is>
      </c>
      <c r="C5" s="8" t="inlineStr">
        <is>
          <t>Pay grade</t>
        </is>
      </c>
      <c r="D5" s="8" t="inlineStr">
        <is>
          <t>Monthly base pay ($)</t>
        </is>
      </c>
      <c r="E5" s="8" t="inlineStr">
        <is>
          <t>Annual base pay ($)</t>
        </is>
      </c>
      <c r="F5" s="8" t="inlineStr">
        <is>
          <t>Annual employer cost ($)</t>
        </is>
      </c>
      <c r="G5" s="8" t="inlineStr">
        <is>
          <t>Note</t>
        </is>
      </c>
    </row>
    <row r="6">
      <c r="A6" t="inlineStr">
        <is>
          <t>Head Pastry Chef (P1)</t>
        </is>
      </c>
      <c r="B6" s="9" t="n">
        <v>1</v>
      </c>
      <c r="C6" t="inlineStr">
        <is>
          <t>2 · Management and supervisors</t>
        </is>
      </c>
      <c r="D6" s="10" t="n">
        <v>1784.8625000000002</v>
      </c>
      <c r="E6" s="11">
        <f>IFERROR(D6*'Settings'!$B$11,"")</f>
        <v>21418.350000000002</v>
      </c>
      <c r="F6" s="11">
        <f>IFERROR(E6*B6*(1+'Settings'!$B$12),"")</f>
        <v>28486.405500000004</v>
      </c>
      <c r="G6" s="12" t="inlineStr">
        <is>
          <t>Shift: Early bake (04:30-12:30). Only the PRODUCTION KITCHEN area goes into the hourly cost: the front counter doesn't bake.</t>
        </is>
      </c>
    </row>
    <row r="7">
      <c r="A7" t="inlineStr">
        <is>
          <t>Pastry Cook (P2)</t>
        </is>
      </c>
      <c r="B7" s="9" t="n">
        <v>1</v>
      </c>
      <c r="C7" t="inlineStr">
        <is>
          <t>3 · Skilled specialists</t>
        </is>
      </c>
      <c r="D7" s="10" t="n">
        <v>1721.1375</v>
      </c>
      <c r="E7" s="11">
        <f>IFERROR(D7*'Settings'!$B$11,"")</f>
        <v>20653.65</v>
      </c>
      <c r="F7" s="11">
        <f>IFERROR(E7*B7*(1+'Settings'!$B$12),"")</f>
        <v>27469.354500000005</v>
      </c>
      <c r="G7" s="12" t="inlineStr">
        <is>
          <t>Shift: Early bake (05:00-13:00). Only the PRODUCTION KITCHEN area goes into the hourly cost: the front counter doesn't bake.</t>
        </is>
      </c>
    </row>
    <row r="8">
      <c r="A8" t="inlineStr">
        <is>
          <t>Bakery Assistant (P3)</t>
        </is>
      </c>
      <c r="B8" s="9" t="n">
        <v>0.5</v>
      </c>
      <c r="C8" t="inlineStr">
        <is>
          <t>5 · Support staff</t>
        </is>
      </c>
      <c r="D8" s="10" t="n">
        <v>1490.525</v>
      </c>
      <c r="E8" s="11">
        <f>IFERROR(D8*'Settings'!$B$11,"")</f>
        <v>17886.300000000003</v>
      </c>
      <c r="F8" s="11">
        <f>IFERROR(E8*B8*(1+'Settings'!$B$12),"")</f>
        <v>11894.389500000003</v>
      </c>
      <c r="G8" s="12" t="inlineStr">
        <is>
          <t>Shift: Morning (07:00-11:00). Only the PRODUCTION KITCHEN area goes into the hourly cost: the front counter doesn't bake.</t>
        </is>
      </c>
    </row>
    <row r="9">
      <c r="A9" s="13" t="inlineStr">
        <is>
          <t>TOTAL PRODUCTION KITCHEN</t>
        </is>
      </c>
      <c r="B9" s="14">
        <f>SUM(B6:B8)</f>
        <v>2.5</v>
      </c>
      <c r="C9" s="13" t="inlineStr">
        <is>
          <t>FTEs</t>
        </is>
      </c>
      <c r="D9" s="13" t="inlineStr">
        <is>
          <t>sum of the three roles</t>
        </is>
      </c>
      <c r="F9" s="15">
        <f>SUM(F6:F8)</f>
        <v>67850.14950000001</v>
      </c>
    </row>
    <row r="10"/>
    <row r="11" ht="42" customHeight="1">
      <c r="A11" s="5" t="inlineStr">
        <is>
          <t>Pay periods per year</t>
        </is>
      </c>
      <c r="B11" s="16" t="n">
        <v>12</v>
      </c>
      <c r="C11" t="inlineStr">
        <is>
          <t>pay periods</t>
        </is>
      </c>
      <c r="D11" s="17" t="inlineStr">
        <is>
          <t>case assumption</t>
        </is>
      </c>
      <c r="G11" s="12" t="inlineStr">
        <is>
          <t>12 monthly payments with no extra-pay months: the annual total is the same as in the case's wage table. Enter the monthly equivalent of what you actually pay.</t>
        </is>
      </c>
    </row>
    <row r="12" ht="42" customHeight="1">
      <c r="A12" s="5" t="inlineStr">
        <is>
          <t>Payroll taxes, workers' comp and benefits</t>
        </is>
      </c>
      <c r="B12" s="18" t="n">
        <v>0.33</v>
      </c>
      <c r="C12" t="inlineStr">
        <is>
          <t>on base pay</t>
        </is>
      </c>
      <c r="D12" s="17" t="inlineStr">
        <is>
          <t>case assumption</t>
        </is>
      </c>
      <c r="G12" s="12" t="inlineStr">
        <is>
          <t>What the employer pays on top of base pay: FICA (7.65%), federal and state unemployment tax and workers' comp come to about 10%; the rest of the 33% depends on whether you offer health insurance and paid time off. It's the line that turns base pay into a cost, and the one that surprises people most.</t>
        </is>
      </c>
    </row>
    <row r="13" ht="42" customHeight="1">
      <c r="A13" s="5" t="inlineStr">
        <is>
          <t>Annual hours actually worked</t>
        </is>
      </c>
      <c r="B13" s="16" t="n">
        <v>1780</v>
      </c>
      <c r="C13" t="inlineStr">
        <is>
          <t>hours/year</t>
        </is>
      </c>
      <c r="D13" s="17" t="inlineStr">
        <is>
          <t>assumption</t>
        </is>
      </c>
      <c r="G13" s="12" t="inlineStr">
        <is>
          <t>40 hours times 52 weeks is 2,080, minus paid time off and holidays.</t>
        </is>
      </c>
    </row>
    <row r="14" ht="42" customHeight="1">
      <c r="A14" s="5" t="inlineStr">
        <is>
          <t>Productive hours as a share of the workday</t>
        </is>
      </c>
      <c r="B14" s="18" t="n">
        <v>0.85</v>
      </c>
      <c r="C14" t="inlineStr">
        <is>
          <t>of the workday</t>
        </is>
      </c>
      <c r="D14" s="17" t="inlineStr">
        <is>
          <t>assumption</t>
        </is>
      </c>
      <c r="G14" s="12" t="inlineStr">
        <is>
          <t>The part of the workday spent at the bench. The rest is receiving, cleaning, training and meetings: hours you pay for that don't produce.</t>
        </is>
      </c>
    </row>
    <row r="15" ht="42" customHeight="1">
      <c r="A15" s="5" t="inlineStr">
        <is>
          <t>Productive hours of the production kitchen per year</t>
        </is>
      </c>
      <c r="B15" s="19">
        <f>IFERROR($B$9*'Settings'!$B$13*'Settings'!$B$14,"")</f>
        <v>3782.5</v>
      </c>
      <c r="C15" t="inlineStr">
        <is>
          <t>hours/year</t>
        </is>
      </c>
      <c r="D15" s="17" t="inlineStr">
        <is>
          <t>calculated</t>
        </is>
      </c>
      <c r="G15" s="12" t="inlineStr">
        <is>
          <t>Production kitchen FTEs times annual hours actually worked times the productive share.</t>
        </is>
      </c>
    </row>
    <row r="16" ht="42" customHeight="1">
      <c r="A16" s="5" t="inlineStr">
        <is>
          <t>PRODUCTIVE HOURLY COST OF THE PRODUCTION KITCHEN</t>
        </is>
      </c>
      <c r="B16" s="15">
        <f>IFERROR($F$9/'Settings'!$B$15,"")</f>
        <v>17.937911302048914</v>
      </c>
      <c r="C16" t="inlineStr">
        <is>
          <t>$/hour</t>
        </is>
      </c>
      <c r="D16" s="17" t="inlineStr">
        <is>
          <t>calculated</t>
        </is>
      </c>
      <c r="G16" s="12" t="inlineStr">
        <is>
          <t>Annual employer cost of the production kitchen divided by its PRODUCTIVE hours (with the 85% factor above). This is the number that goes into every batch, and the one almost nobody charges. Don't confuse it with the "average cost per PAID hour of the team" in staff-schedule-and-labor-cost.xlsx ($14.89) or the "cost per PAID hour of seasonal help" in seasonal-peaks-planner.xlsx ($13.36): all three are right, and each one divides by something different.</t>
        </is>
      </c>
    </row>
    <row r="17"/>
    <row r="18">
      <c r="A18" s="4" t="inlineStr">
        <is>
          <t>Sales tax on what you sell (prices are pre-tax)</t>
        </is>
      </c>
    </row>
    <row r="19" ht="42" customHeight="1">
      <c r="A19" s="5" t="inlineStr">
        <is>
          <t>Sales tax on pastries sold to go</t>
        </is>
      </c>
      <c r="B19" s="18" t="n">
        <v>0</v>
      </c>
      <c r="C19" t="inlineStr">
        <is>
          <t>on the pre-tax price</t>
        </is>
      </c>
      <c r="D19" s="17" t="inlineStr">
        <is>
          <t>your state's rule</t>
        </is>
      </c>
      <c r="G19" s="12" t="inlineStr">
        <is>
          <t>0 by default: in the four example states (CA, TX, NY, FL), bakery items sold to go are generally exempt. Prices in this workbook are before sales tax, so this rate doesn't change any margin.</t>
        </is>
      </c>
    </row>
    <row r="20" ht="42" customHeight="1">
      <c r="A20" s="5" t="inlineStr">
        <is>
          <t>Sales tax on bread sold to go</t>
        </is>
      </c>
      <c r="B20" s="18" t="n">
        <v>0</v>
      </c>
      <c r="C20" t="inlineStr">
        <is>
          <t>on the pre-tax price</t>
        </is>
      </c>
      <c r="D20" s="17" t="inlineStr">
        <is>
          <t>your state's rule</t>
        </is>
      </c>
      <c r="G20" s="12" t="inlineStr">
        <is>
          <t>Bread doesn't change your tax: sold to go it follows the same rule as pastries. What it does bring is a full label on any bread you bag yourself (Food Code 3-602.11).</t>
        </is>
      </c>
    </row>
    <row r="21" ht="42" customHeight="1">
      <c r="A21" s="5" t="inlineStr">
        <is>
          <t>Sales tax on food eaten at your tables</t>
        </is>
      </c>
      <c r="B21" s="18" t="n">
        <v>0</v>
      </c>
      <c r="C21" t="inlineStr">
        <is>
          <t>on the pre-tax price</t>
        </is>
      </c>
      <c r="D21" s="17" t="inlineStr">
        <is>
          <t>your state's rule</t>
        </is>
      </c>
      <c r="G21" s="12" t="inlineStr">
        <is>
          <t>If you add tables, what's eaten on site is generally taxable. Your POS has to ring up to-go and for-here sales separately (chapter 19 of the guide).</t>
        </is>
      </c>
    </row>
    <row r="22"/>
    <row r="23">
      <c r="A23" s="4" t="inlineStr">
        <is>
          <t>The margin rule: ONE number, and the other is derived</t>
        </is>
      </c>
    </row>
    <row r="24" ht="42" customHeight="1">
      <c r="A24" s="5" t="inlineStr">
        <is>
          <t>Target food cost</t>
        </is>
      </c>
      <c r="B24" s="18" t="n">
        <v>0.32</v>
      </c>
      <c r="C24" t="inlineStr">
        <is>
          <t>of the price before tax</t>
        </is>
      </c>
      <c r="D24" s="17" t="inlineStr">
        <is>
          <t>industry rule (30-35%)</t>
        </is>
      </c>
      <c r="G24" s="12" t="inlineStr">
        <is>
          <t>This is the ONLY margin number you type. The industry rule is a 30-35% food cost ON THE SELLING PRICE, which equals a 65-70% gross margin on that same selling price (Toast, a POS vendor, publishes 28-35% for bakeries: third-party estimates, not official figures). Watch out for sources that give the margin ON COST: 65-70% on cost is a food cost of 59-61%, a much weaker number. Before you compare your margin with anyone's, ask what base it's calculated on.</t>
        </is>
      </c>
    </row>
    <row r="25" ht="42" customHeight="1">
      <c r="A25" s="5" t="inlineStr">
        <is>
          <t>Target gross margin (derived)</t>
        </is>
      </c>
      <c r="B25" s="20">
        <f>IFERROR(1-'Settings'!$B$24,"")</f>
        <v>0.6799999999999999</v>
      </c>
      <c r="C25" t="inlineStr">
        <is>
          <t>of the price before tax</t>
        </is>
      </c>
      <c r="D25" s="17" t="inlineStr">
        <is>
          <t>calculated</t>
        </is>
      </c>
      <c r="G25" s="12" t="inlineStr">
        <is>
          <t>One minus the target food cost. You don't type it on purpose: asking for both numbers lets them disagree, and that's the most common method mistake in the trade.</t>
        </is>
      </c>
    </row>
    <row r="26"/>
    <row r="27">
      <c r="A27" s="4" t="inlineStr">
        <is>
          <t>Food Code limits (FDA Food Code 2022, checked October 2026)</t>
        </is>
      </c>
    </row>
    <row r="28" ht="42" customHeight="1">
      <c r="A28" s="5" t="inlineStr">
        <is>
          <t>Cold-holding limit: filled, not shelf-stable</t>
        </is>
      </c>
      <c r="B28" s="16" t="n">
        <v>41</v>
      </c>
      <c r="C28" t="inlineStr">
        <is>
          <t>°F</t>
        </is>
      </c>
      <c r="D28" s="17" t="inlineStr">
        <is>
          <t>Food Code 3-501.16</t>
        </is>
      </c>
      <c r="G28" s="12" t="inlineStr">
        <is>
          <t>Filled items that aren't shelf-stable at room temperature are TCS food: hold them at 41 °F or below. Whether an item is TCS depends on its pH and water activity (1-201.10).</t>
        </is>
      </c>
    </row>
    <row r="29" ht="42" customHeight="1">
      <c r="A29" s="5" t="inlineStr">
        <is>
          <t>Cold-holding limit: egg route needs cold</t>
        </is>
      </c>
      <c r="B29" s="16" t="n">
        <v>41</v>
      </c>
      <c r="C29" t="inlineStr">
        <is>
          <t>°F</t>
        </is>
      </c>
      <c r="D29" s="17" t="inlineStr">
        <is>
          <t>Food Code 3-501.16 and 3-501.17</t>
        </is>
      </c>
      <c r="G29" s="12" t="inlineStr">
        <is>
          <t>Items made with egg cooked through or with pasteurized egg product that aren't shelf-stable. The Food Code sets the same 41 °F, so there's no conflict between this row and the one above.</t>
        </is>
      </c>
    </row>
    <row r="30" ht="42" customHeight="1">
      <c r="A30" s="5" t="inlineStr">
        <is>
          <t>Date-mark trigger (hours held)</t>
        </is>
      </c>
      <c r="B30" s="16" t="n">
        <v>24</v>
      </c>
      <c r="C30" t="inlineStr">
        <is>
          <t>hours</t>
        </is>
      </c>
      <c r="D30" s="17" t="inlineStr">
        <is>
          <t>Food Code 3-501.16 and 3-501.17</t>
        </is>
      </c>
      <c r="G30" s="12" t="inlineStr">
        <is>
          <t>Ready-to-eat TCS food held more than 24 hours has to be date marked: 7 days at most at 41 °F or below, with the day you make it as day 1 (3-501.17). It isn't a shelf life: it's a legal ceiling.</t>
        </is>
      </c>
    </row>
    <row r="31" ht="42" customHeight="1">
      <c r="A31" s="5" t="inlineStr">
        <is>
          <t>Gluten-free threshold</t>
        </is>
      </c>
      <c r="B31" s="16" t="n">
        <v>20</v>
      </c>
      <c r="C31" t="inlineStr">
        <is>
          <t>ppm (mg/kg)</t>
        </is>
      </c>
      <c r="D31" s="17" t="inlineStr">
        <is>
          <t>21 CFR 101.91</t>
        </is>
      </c>
      <c r="G31" s="12" t="inlineStr">
        <is>
          <t>It isn't a free claim: under 20 ppm of gluten in the food as sold. Rice flour isn't enough if your kitchen shares tools with wheat flour.</t>
        </is>
      </c>
    </row>
    <row r="32"/>
    <row r="33">
      <c r="A33" s="4" t="inlineStr">
        <is>
          <t>Waste, packaging and sales</t>
        </is>
      </c>
    </row>
    <row r="34" ht="42" customHeight="1">
      <c r="A34" s="5" t="inlineStr">
        <is>
          <t>Target trim loss</t>
        </is>
      </c>
      <c r="B34" s="18" t="n">
        <v>0.05</v>
      </c>
      <c r="C34" t="inlineStr">
        <is>
          <t>of production</t>
        </is>
      </c>
      <c r="D34" s="17" t="inlineStr">
        <is>
          <t>case assumption</t>
        </is>
      </c>
      <c r="G34" s="12" t="inlineStr">
        <is>
          <t>The case's target. If your real waste runs above 10%, review the production plan, not the recipe costing.</t>
        </is>
      </c>
    </row>
    <row r="35" ht="42" customHeight="1">
      <c r="A35" s="5" t="inlineStr">
        <is>
          <t>Packaging as a share of product cost</t>
        </is>
      </c>
      <c r="B35" s="18" t="n">
        <v>0.1</v>
      </c>
      <c r="C35" t="inlineStr">
        <is>
          <t>of cost</t>
        </is>
      </c>
      <c r="D35" s="17" t="inlineStr">
        <is>
          <t>case assumption</t>
        </is>
      </c>
      <c r="G35" s="12" t="inlineStr">
        <is>
          <t>10% of product cost in the case: in pastry the box isn't an extra, it's part of the product. Check it against your own supplier quotes.</t>
        </is>
      </c>
    </row>
    <row r="36" ht="42" customHeight="1">
      <c r="A36" s="5" t="inlineStr">
        <is>
          <t>Pieces per customer</t>
        </is>
      </c>
      <c r="B36" s="9" t="n">
        <v>2.6</v>
      </c>
      <c r="C36" t="inlineStr">
        <is>
          <t>pieces/ticket</t>
        </is>
      </c>
      <c r="D36" s="17" t="inlineStr">
        <is>
          <t>assumption</t>
        </is>
      </c>
      <c r="G36" s="12" t="inlineStr">
        <is>
          <t>The average ticket comes from here and you DON'T type it. We found no reliable published average ticket for US bakeries: yours is calculated from your menu and your mix, so you can show it for what it is.</t>
        </is>
      </c>
    </row>
    <row r="37" ht="42" customHeight="1">
      <c r="A37" s="5" t="inlineStr">
        <is>
          <t>Turnover threshold for the menu traffic light</t>
        </is>
      </c>
      <c r="B37" s="9" t="n">
        <v>1</v>
      </c>
      <c r="C37" t="inlineStr">
        <is>
          <t>% of mix</t>
        </is>
      </c>
      <c r="D37" s="17" t="inlineStr">
        <is>
          <t>assumption</t>
        </is>
      </c>
      <c r="G37" s="12" t="inlineStr">
        <is>
          <t>Below this share of the mix, an item counts as low turnover on the "Menu Decision" sheet. A house rule, not an industry one: raise it if your menu is shorter.</t>
        </is>
      </c>
    </row>
    <row r="38"/>
    <row r="39">
      <c r="A39" s="4" t="inlineStr">
        <is>
          <t>Purchase prices (the only price table)</t>
        </is>
      </c>
    </row>
    <row r="40" ht="30" customHeight="1">
      <c r="A40" s="8" t="inlineStr">
        <is>
          <t>Ingredient</t>
        </is>
      </c>
      <c r="B40" s="8" t="inlineStr">
        <is>
          <t>Purchase price ($)</t>
        </is>
      </c>
      <c r="C40" s="8" t="inlineStr">
        <is>
          <t>Purchase unit</t>
        </is>
      </c>
      <c r="D40" s="8" t="inlineStr">
        <is>
          <t>Where it comes from</t>
        </is>
      </c>
      <c r="E40" s="8" t="inlineStr"/>
      <c r="F40" s="8" t="inlineStr"/>
      <c r="G40" s="8" t="inlineStr">
        <is>
          <t>Note</t>
        </is>
      </c>
    </row>
    <row r="41">
      <c r="A41" t="inlineStr">
        <is>
          <t>Sunflower oil</t>
        </is>
      </c>
      <c r="B41" s="10" t="n">
        <v>1.8</v>
      </c>
      <c r="C41" t="inlineStr">
        <is>
          <t>L</t>
        </is>
      </c>
      <c r="D41" s="17" t="inlineStr">
        <is>
          <t>assumption</t>
        </is>
      </c>
    </row>
    <row r="42">
      <c r="A42" t="inlineStr">
        <is>
          <t>Extra virgin olive oil</t>
        </is>
      </c>
      <c r="B42" s="10" t="n">
        <v>7.2</v>
      </c>
      <c r="C42" t="inlineStr">
        <is>
          <t>L</t>
        </is>
      </c>
      <c r="D42" s="17" t="inlineStr">
        <is>
          <t>assumption</t>
        </is>
      </c>
    </row>
    <row r="43">
      <c r="A43" t="inlineStr">
        <is>
          <t>Orange blossom water</t>
        </is>
      </c>
      <c r="B43" s="10" t="n">
        <v>14</v>
      </c>
      <c r="C43" t="inlineStr">
        <is>
          <t>L</t>
        </is>
      </c>
      <c r="D43" s="17" t="inlineStr">
        <is>
          <t>assumption</t>
        </is>
      </c>
    </row>
    <row r="44">
      <c r="A44" t="inlineStr">
        <is>
          <t>Raw Marcona almonds</t>
        </is>
      </c>
      <c r="B44" s="10" t="n">
        <v>15.5</v>
      </c>
      <c r="C44" t="inlineStr">
        <is>
          <t>kg</t>
        </is>
      </c>
      <c r="D44" s="17" t="inlineStr">
        <is>
          <t>assumption</t>
        </is>
      </c>
    </row>
    <row r="45">
      <c r="A45" t="inlineStr">
        <is>
          <t>Almond meal</t>
        </is>
      </c>
      <c r="B45" s="10" t="n">
        <v>13.5</v>
      </c>
      <c r="C45" t="inlineStr">
        <is>
          <t>kg</t>
        </is>
      </c>
      <c r="D45" s="17" t="inlineStr">
        <is>
          <t>assumption</t>
        </is>
      </c>
    </row>
    <row r="46">
      <c r="A46" t="inlineStr">
        <is>
          <t>Cornstarch</t>
        </is>
      </c>
      <c r="B46" s="10" t="n">
        <v>2.1</v>
      </c>
      <c r="C46" t="inlineStr">
        <is>
          <t>kg</t>
        </is>
      </c>
      <c r="D46" s="17" t="inlineStr">
        <is>
          <t>assumption</t>
        </is>
      </c>
    </row>
    <row r="47">
      <c r="A47" t="inlineStr">
        <is>
          <t>Granulated sugar</t>
        </is>
      </c>
      <c r="B47" s="10" t="n">
        <v>1.2</v>
      </c>
      <c r="C47" t="inlineStr">
        <is>
          <t>kg</t>
        </is>
      </c>
      <c r="D47" s="17" t="inlineStr">
        <is>
          <t>copied from the kit</t>
        </is>
      </c>
    </row>
    <row r="48">
      <c r="A48" t="inlineStr">
        <is>
          <t>Powdered sugar</t>
        </is>
      </c>
      <c r="B48" s="10" t="n">
        <v>2.5</v>
      </c>
      <c r="C48" t="inlineStr">
        <is>
          <t>kg</t>
        </is>
      </c>
      <c r="D48" s="17" t="inlineStr">
        <is>
          <t>copied from the kit</t>
        </is>
      </c>
    </row>
    <row r="49">
      <c r="A49" t="inlineStr">
        <is>
          <t>Cocoa powder</t>
        </is>
      </c>
      <c r="B49" s="10" t="n">
        <v>12</v>
      </c>
      <c r="C49" t="inlineStr">
        <is>
          <t>kg</t>
        </is>
      </c>
      <c r="D49" s="17" t="inlineStr">
        <is>
          <t>copied from the kit</t>
        </is>
      </c>
    </row>
    <row r="50">
      <c r="A50" t="inlineStr">
        <is>
          <t>Ground cinnamon</t>
        </is>
      </c>
      <c r="B50" s="10" t="n">
        <v>18</v>
      </c>
      <c r="C50" t="inlineStr">
        <is>
          <t>kg</t>
        </is>
      </c>
      <c r="D50" s="17" t="inlineStr">
        <is>
          <t>assumption</t>
        </is>
      </c>
    </row>
    <row r="51">
      <c r="A51" t="inlineStr">
        <is>
          <t>White chocolate</t>
        </is>
      </c>
      <c r="B51" s="10" t="n">
        <v>15</v>
      </c>
      <c r="C51" t="inlineStr">
        <is>
          <t>kg</t>
        </is>
      </c>
      <c r="D51" s="17" t="inlineStr">
        <is>
          <t>copied from the kit</t>
        </is>
      </c>
    </row>
    <row r="52">
      <c r="A52" t="inlineStr">
        <is>
          <t>Dark chocolate 70%</t>
        </is>
      </c>
      <c r="B52" s="10" t="n">
        <v>18</v>
      </c>
      <c r="C52" t="inlineStr">
        <is>
          <t>kg</t>
        </is>
      </c>
      <c r="D52" s="17" t="inlineStr">
        <is>
          <t>copied from the kit</t>
        </is>
      </c>
    </row>
    <row r="53">
      <c r="A53" t="inlineStr">
        <is>
          <t>Egg whites</t>
        </is>
      </c>
      <c r="B53" s="10" t="n">
        <v>6</v>
      </c>
      <c r="C53" t="inlineStr">
        <is>
          <t>kg</t>
        </is>
      </c>
      <c r="D53" s="17" t="inlineStr">
        <is>
          <t>copied from the kit</t>
        </is>
      </c>
    </row>
    <row r="54">
      <c r="A54" t="inlineStr">
        <is>
          <t>Milk chocolate couverture 40%</t>
        </is>
      </c>
      <c r="B54" s="10" t="n">
        <v>15.5</v>
      </c>
      <c r="C54" t="inlineStr">
        <is>
          <t>kg</t>
        </is>
      </c>
      <c r="D54" s="17" t="inlineStr">
        <is>
          <t>assumption</t>
        </is>
      </c>
    </row>
    <row r="55">
      <c r="A55" t="inlineStr">
        <is>
          <t>Red food coloring (50 g jar · 2 g per batch)</t>
        </is>
      </c>
      <c r="B55" s="10" t="n">
        <v>4</v>
      </c>
      <c r="C55" t="inlineStr">
        <is>
          <t>each</t>
        </is>
      </c>
      <c r="D55" s="17" t="inlineStr">
        <is>
          <t>copied from the kit</t>
        </is>
      </c>
    </row>
    <row r="56">
      <c r="A56" t="inlineStr">
        <is>
          <t>Frozen raspberries</t>
        </is>
      </c>
      <c r="B56" s="10" t="n">
        <v>9</v>
      </c>
      <c r="C56" t="inlineStr">
        <is>
          <t>kg</t>
        </is>
      </c>
      <c r="D56" s="17" t="inlineStr">
        <is>
          <t>copied from the kit</t>
        </is>
      </c>
    </row>
    <row r="57">
      <c r="A57" t="inlineStr">
        <is>
          <t>Fresh strawberries</t>
        </is>
      </c>
      <c r="B57" s="10" t="n">
        <v>6.2</v>
      </c>
      <c r="C57" t="inlineStr">
        <is>
          <t>kg</t>
        </is>
      </c>
      <c r="D57" s="17" t="inlineStr">
        <is>
          <t>assumption</t>
        </is>
      </c>
    </row>
    <row r="58">
      <c r="A58" t="inlineStr">
        <is>
          <t>Frozen mixed berries</t>
        </is>
      </c>
      <c r="B58" s="10" t="n">
        <v>10.5</v>
      </c>
      <c r="C58" t="inlineStr">
        <is>
          <t>kg</t>
        </is>
      </c>
      <c r="D58" s="17" t="inlineStr">
        <is>
          <t>assumption</t>
        </is>
      </c>
    </row>
    <row r="59">
      <c r="A59" t="inlineStr">
        <is>
          <t>Sheet gelatin</t>
        </is>
      </c>
      <c r="B59" s="10" t="n">
        <v>42</v>
      </c>
      <c r="C59" t="inlineStr">
        <is>
          <t>kg</t>
        </is>
      </c>
      <c r="D59" s="17" t="inlineStr">
        <is>
          <t>assumption</t>
        </is>
      </c>
    </row>
    <row r="60">
      <c r="A60" t="inlineStr">
        <is>
          <t>Neutral mirror glaze</t>
        </is>
      </c>
      <c r="B60" s="10" t="n">
        <v>11.5</v>
      </c>
      <c r="C60" t="inlineStr">
        <is>
          <t>kg</t>
        </is>
      </c>
      <c r="D60" s="17" t="inlineStr">
        <is>
          <t>assumption</t>
        </is>
      </c>
    </row>
    <row r="61">
      <c r="A61" t="inlineStr">
        <is>
          <t>Almond flour</t>
        </is>
      </c>
      <c r="B61" s="10" t="n">
        <v>14</v>
      </c>
      <c r="C61" t="inlineStr">
        <is>
          <t>kg</t>
        </is>
      </c>
      <c r="D61" s="17" t="inlineStr">
        <is>
          <t>copied from the kit</t>
        </is>
      </c>
    </row>
    <row r="62">
      <c r="A62" t="inlineStr">
        <is>
          <t>High-gluten flour</t>
        </is>
      </c>
      <c r="B62" s="10" t="n">
        <v>1.1</v>
      </c>
      <c r="C62" t="inlineStr">
        <is>
          <t>kg</t>
        </is>
      </c>
      <c r="D62" s="17" t="inlineStr">
        <is>
          <t>copied from the kit</t>
        </is>
      </c>
    </row>
    <row r="63">
      <c r="A63" t="inlineStr">
        <is>
          <t>Pastry flour</t>
        </is>
      </c>
      <c r="B63" s="10" t="n">
        <v>0.9</v>
      </c>
      <c r="C63" t="inlineStr">
        <is>
          <t>kg</t>
        </is>
      </c>
      <c r="D63" s="17" t="inlineStr">
        <is>
          <t>copied from the kit</t>
        </is>
      </c>
    </row>
    <row r="64">
      <c r="A64" t="inlineStr">
        <is>
          <t>Whole rye flour</t>
        </is>
      </c>
      <c r="B64" s="10" t="n">
        <v>1.75</v>
      </c>
      <c r="C64" t="inlineStr">
        <is>
          <t>kg</t>
        </is>
      </c>
      <c r="D64" s="17" t="inlineStr">
        <is>
          <t>assumption</t>
        </is>
      </c>
    </row>
    <row r="65">
      <c r="A65" t="inlineStr">
        <is>
          <t>Bread flour</t>
        </is>
      </c>
      <c r="B65" s="10" t="n">
        <v>1.05</v>
      </c>
      <c r="C65" t="inlineStr">
        <is>
          <t>kg</t>
        </is>
      </c>
      <c r="D65" s="17" t="inlineStr">
        <is>
          <t>assumption</t>
        </is>
      </c>
    </row>
    <row r="66">
      <c r="A66" t="inlineStr">
        <is>
          <t>Eggs (for egg wash)</t>
        </is>
      </c>
      <c r="B66" s="10" t="n">
        <v>3.6</v>
      </c>
      <c r="C66" t="inlineStr">
        <is>
          <t>dozen</t>
        </is>
      </c>
      <c r="D66" s="17" t="inlineStr">
        <is>
          <t>copied from the kit</t>
        </is>
      </c>
    </row>
    <row r="67">
      <c r="A67" t="inlineStr">
        <is>
          <t>Eggs (each)</t>
        </is>
      </c>
      <c r="B67" s="10" t="n">
        <v>3.6</v>
      </c>
      <c r="C67" t="inlineStr">
        <is>
          <t>dozen</t>
        </is>
      </c>
      <c r="D67" s="17" t="inlineStr">
        <is>
          <t>copied from the kit</t>
        </is>
      </c>
    </row>
    <row r="68">
      <c r="A68" t="inlineStr">
        <is>
          <t>Kiwi</t>
        </is>
      </c>
      <c r="B68" s="10" t="n">
        <v>2.6</v>
      </c>
      <c r="C68" t="inlineStr">
        <is>
          <t>kg</t>
        </is>
      </c>
      <c r="D68" s="17" t="inlineStr">
        <is>
          <t>assumption</t>
        </is>
      </c>
    </row>
    <row r="69">
      <c r="A69" t="inlineStr">
        <is>
          <t>Whole milk</t>
        </is>
      </c>
      <c r="B69" s="10" t="n">
        <v>1.1</v>
      </c>
      <c r="C69" t="inlineStr">
        <is>
          <t>L</t>
        </is>
      </c>
      <c r="D69" s="17" t="inlineStr">
        <is>
          <t>copied from the kit</t>
        </is>
      </c>
    </row>
    <row r="70">
      <c r="A70" t="inlineStr">
        <is>
          <t>Fresh yeast</t>
        </is>
      </c>
      <c r="B70" s="10" t="n">
        <v>5</v>
      </c>
      <c r="C70" t="inlineStr">
        <is>
          <t>kg</t>
        </is>
      </c>
      <c r="D70" s="17" t="inlineStr">
        <is>
          <t>copied from the kit</t>
        </is>
      </c>
    </row>
    <row r="71">
      <c r="A71" t="inlineStr">
        <is>
          <t>Baking powder</t>
        </is>
      </c>
      <c r="B71" s="10" t="n">
        <v>8.5</v>
      </c>
      <c r="C71" t="inlineStr">
        <is>
          <t>kg</t>
        </is>
      </c>
      <c r="D71" s="17" t="inlineStr">
        <is>
          <t>assumption</t>
        </is>
      </c>
    </row>
    <row r="72">
      <c r="A72" t="inlineStr">
        <is>
          <t>Lemons</t>
        </is>
      </c>
      <c r="B72" s="10" t="n">
        <v>2.2</v>
      </c>
      <c r="C72" t="inlineStr">
        <is>
          <t>kg</t>
        </is>
      </c>
      <c r="D72" s="17" t="inlineStr">
        <is>
          <t>assumption</t>
        </is>
      </c>
    </row>
    <row r="73">
      <c r="A73" t="inlineStr">
        <is>
          <t>Lard</t>
        </is>
      </c>
      <c r="B73" s="10" t="n">
        <v>4.4</v>
      </c>
      <c r="C73" t="inlineStr">
        <is>
          <t>kg</t>
        </is>
      </c>
      <c r="D73" s="17" t="inlineStr">
        <is>
          <t>assumption</t>
        </is>
      </c>
    </row>
    <row r="74">
      <c r="A74" t="inlineStr">
        <is>
          <t>Butter</t>
        </is>
      </c>
      <c r="B74" s="10" t="n">
        <v>9</v>
      </c>
      <c r="C74" t="inlineStr">
        <is>
          <t>kg</t>
        </is>
      </c>
      <c r="D74" s="17" t="inlineStr">
        <is>
          <t>copied from the kit</t>
        </is>
      </c>
    </row>
    <row r="75">
      <c r="A75" t="inlineStr">
        <is>
          <t>Laminating butter (82% butterfat)</t>
        </is>
      </c>
      <c r="B75" s="10" t="n">
        <v>12</v>
      </c>
      <c r="C75" t="inlineStr">
        <is>
          <t>kg</t>
        </is>
      </c>
      <c r="D75" s="17" t="inlineStr">
        <is>
          <t>copied from the kit</t>
        </is>
      </c>
    </row>
    <row r="76">
      <c r="A76" t="inlineStr">
        <is>
          <t>Apples</t>
        </is>
      </c>
      <c r="B76" s="10" t="n">
        <v>1.6</v>
      </c>
      <c r="C76" t="inlineStr">
        <is>
          <t>kg</t>
        </is>
      </c>
      <c r="D76" s="17" t="inlineStr">
        <is>
          <t>assumption</t>
        </is>
      </c>
    </row>
    <row r="77">
      <c r="A77" t="inlineStr">
        <is>
          <t>Apricot jam</t>
        </is>
      </c>
      <c r="B77" s="10" t="n">
        <v>4.2</v>
      </c>
      <c r="C77" t="inlineStr">
        <is>
          <t>kg</t>
        </is>
      </c>
      <c r="D77" s="17" t="inlineStr">
        <is>
          <t>assumption</t>
        </is>
      </c>
    </row>
    <row r="78">
      <c r="A78" t="inlineStr">
        <is>
          <t>Honey</t>
        </is>
      </c>
      <c r="B78" s="10" t="n">
        <v>8.199999999999999</v>
      </c>
      <c r="C78" t="inlineStr">
        <is>
          <t>kg</t>
        </is>
      </c>
      <c r="D78" s="17" t="inlineStr">
        <is>
          <t>assumption</t>
        </is>
      </c>
    </row>
    <row r="79">
      <c r="A79" t="inlineStr">
        <is>
          <t>Candied orange peel</t>
        </is>
      </c>
      <c r="B79" s="10" t="n">
        <v>7.8</v>
      </c>
      <c r="C79" t="inlineStr">
        <is>
          <t>kg</t>
        </is>
      </c>
      <c r="D79" s="17" t="inlineStr">
        <is>
          <t>assumption</t>
        </is>
      </c>
    </row>
    <row r="80">
      <c r="A80" t="inlineStr">
        <is>
          <t>Heavy cream (35% fat)</t>
        </is>
      </c>
      <c r="B80" s="10" t="n">
        <v>3.8</v>
      </c>
      <c r="C80" t="inlineStr">
        <is>
          <t>L</t>
        </is>
      </c>
      <c r="D80" s="17" t="inlineStr">
        <is>
          <t>copied from the kit</t>
        </is>
      </c>
    </row>
    <row r="81">
      <c r="A81" t="inlineStr">
        <is>
          <t>Walnuts</t>
        </is>
      </c>
      <c r="B81" s="10" t="n">
        <v>15</v>
      </c>
      <c r="C81" t="inlineStr">
        <is>
          <t>kg</t>
        </is>
      </c>
      <c r="D81" s="17" t="inlineStr">
        <is>
          <t>assumption</t>
        </is>
      </c>
    </row>
    <row r="82">
      <c r="A82" t="inlineStr">
        <is>
          <t>Raisins</t>
        </is>
      </c>
      <c r="B82" s="10" t="n">
        <v>5.2</v>
      </c>
      <c r="C82" t="inlineStr">
        <is>
          <t>kg</t>
        </is>
      </c>
      <c r="D82" s="17" t="inlineStr">
        <is>
          <t>assumption</t>
        </is>
      </c>
    </row>
    <row r="83">
      <c r="A83" t="inlineStr">
        <is>
          <t>Pine nuts</t>
        </is>
      </c>
      <c r="B83" s="10" t="n">
        <v>72</v>
      </c>
      <c r="C83" t="inlineStr">
        <is>
          <t>kg</t>
        </is>
      </c>
      <c r="D83" s="17" t="inlineStr">
        <is>
          <t>assumption</t>
        </is>
      </c>
    </row>
    <row r="84">
      <c r="A84" t="inlineStr">
        <is>
          <t>Cream cheese</t>
        </is>
      </c>
      <c r="B84" s="10" t="n">
        <v>8.9</v>
      </c>
      <c r="C84" t="inlineStr">
        <is>
          <t>kg</t>
        </is>
      </c>
      <c r="D84" s="17" t="inlineStr">
        <is>
          <t>assumption</t>
        </is>
      </c>
    </row>
    <row r="85">
      <c r="A85" t="inlineStr">
        <is>
          <t>Rum</t>
        </is>
      </c>
      <c r="B85" s="10" t="n">
        <v>9.800000000000001</v>
      </c>
      <c r="C85" t="inlineStr">
        <is>
          <t>L</t>
        </is>
      </c>
      <c r="D85" s="17" t="inlineStr">
        <is>
          <t>assumption</t>
        </is>
      </c>
    </row>
    <row r="86">
      <c r="A86" t="inlineStr">
        <is>
          <t>Salt</t>
        </is>
      </c>
      <c r="B86" s="10" t="n">
        <v>0.6</v>
      </c>
      <c r="C86" t="inlineStr">
        <is>
          <t>kg</t>
        </is>
      </c>
      <c r="D86" s="17" t="inlineStr">
        <is>
          <t>copied from the kit</t>
        </is>
      </c>
    </row>
    <row r="87">
      <c r="A87" t="inlineStr">
        <is>
          <t>Vanilla bean paste</t>
        </is>
      </c>
      <c r="B87" s="10" t="n">
        <v>92</v>
      </c>
      <c r="C87" t="inlineStr">
        <is>
          <t>kg</t>
        </is>
      </c>
      <c r="D87" s="17" t="inlineStr">
        <is>
          <t>assumption</t>
        </is>
      </c>
    </row>
    <row r="88">
      <c r="A88" t="inlineStr">
        <is>
          <t>Pasteurized egg yolks (egg product)</t>
        </is>
      </c>
      <c r="B88" s="10" t="n">
        <v>6.8</v>
      </c>
      <c r="C88" t="inlineStr">
        <is>
          <t>kg</t>
        </is>
      </c>
      <c r="D88" s="17" t="inlineStr">
        <is>
          <t>assumption</t>
        </is>
      </c>
    </row>
    <row r="89">
      <c r="A89" t="inlineStr">
        <is>
          <t>Carrots</t>
        </is>
      </c>
      <c r="B89" s="10" t="n">
        <v>1.1</v>
      </c>
      <c r="C89" t="inlineStr">
        <is>
          <t>kg</t>
        </is>
      </c>
      <c r="D89" s="17" t="inlineStr">
        <is>
          <t>assumption</t>
        </is>
      </c>
    </row>
    <row r="90"/>
    <row r="91" ht="46" customHeight="1">
      <c r="A91" s="21" t="inlineStr">
        <is>
          <t>The nineteen prices marked "copied from the kit" are the same ones the Food Cost Kit Pro uses (05-bakery-cake-pricing): they're what make the same croissant cost the same in both products. Watch the butter: the CME price for bulk Grade AA butter that USDA reports every week is NOT the price of the 82% European-style laminating butter a pastry kitchen buys. Use it to track volatility, never to set a price.</t>
        </is>
      </c>
    </row>
    <row r="92"/>
    <row r="93">
      <c r="A93"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91:G91"/>
  </mergeCells>
  <dataValidations count="3">
    <dataValidation sqref="B12 B14 B24 B34 B35" showDropDown="0" showInputMessage="1" showErrorMessage="1" allowBlank="1" errorTitle="Percentage" error="Enter a percentage between 0 and 1 (0.20 = 20%)." promptTitle="Percentage" prompt="Enter it as a decimal: 0.20 = 20%." type="decimal" operator="between">
      <formula1>0</formula1>
      <formula2>1.0</formula2>
    </dataValidation>
    <dataValidation sqref="B19 B20 B21" showDropDown="0" showInputMessage="1" showErrorMessage="1" allowBlank="1" errorTitle="Tax rate" error="Enter a percentage between 0 and 1 (0.20 = 20%)." promptTitle="Tax rate" prompt="Enter it as a decimal: 0.10 = 10% (0 in the US)." type="decimal" operator="between">
      <formula1>0</formula1>
      <formula2>1.0</formula2>
    </dataValidation>
    <dataValidation sqref="B6 B7 B8" showDropDown="0" showInputMessage="0" showErrorMessage="1" allowBlank="1" errorTitle="FTE" error="FTE goes from 0 to 1 (0.5 = half-time)." type="decimal" operator="between">
      <formula1>0</formula1>
      <formula2>1</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26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34" customWidth="1" min="4" max="4"/>
    <col width="11" customWidth="1" min="5" max="5"/>
    <col width="10" customWidth="1" min="6" max="6"/>
    <col width="10" customWidth="1" min="7" max="7"/>
    <col width="9" customWidth="1" min="8" max="8"/>
    <col width="11" customWidth="1" min="9" max="9"/>
    <col width="11" customWidth="1" min="10" max="10"/>
    <col width="11" customWidth="1" min="11" max="11"/>
    <col width="12" customWidth="1" min="12" max="12"/>
    <col width="66" customWidth="1" min="13" max="13"/>
  </cols>
  <sheetData>
    <row r="1">
      <c r="A1" s="1" t="inlineStr">
        <is>
          <t>Batch Costing</t>
        </is>
      </c>
    </row>
    <row r="2">
      <c r="A2" s="2" t="inlineStr">
        <is>
          <t>AI Chef Pro · aichef.pro — How to Open a Pastry Shop</t>
        </is>
      </c>
    </row>
    <row r="3">
      <c r="A3" s="3" t="inlineStr">
        <is>
          <t>The costing unit is THE BATCH, not the piece. Prices come from the single table on "Settings".</t>
        </is>
      </c>
    </row>
    <row r="4"/>
    <row r="5" ht="42" customHeight="1">
      <c r="A5" s="8" t="inlineStr">
        <is>
          <t>Ref</t>
        </is>
      </c>
      <c r="B5" s="8" t="inlineStr">
        <is>
          <t>Item</t>
        </is>
      </c>
      <c r="C5" s="8" t="inlineStr">
        <is>
          <t>Family</t>
        </is>
      </c>
      <c r="D5" s="8" t="inlineStr">
        <is>
          <t>Ingredient</t>
        </is>
      </c>
      <c r="E5" s="8" t="inlineStr">
        <is>
          <t>Net quantity</t>
        </is>
      </c>
      <c r="F5" s="8" t="inlineStr">
        <is>
          <t>Unit of use</t>
        </is>
      </c>
      <c r="G5" s="8" t="inlineStr">
        <is>
          <t>Conversion factor</t>
        </is>
      </c>
      <c r="H5" s="8" t="inlineStr">
        <is>
          <t>Trim loss</t>
        </is>
      </c>
      <c r="I5" s="8" t="inlineStr">
        <is>
          <t>Gross quantity</t>
        </is>
      </c>
      <c r="J5" s="8" t="inlineStr">
        <is>
          <t>Purchase price ($)</t>
        </is>
      </c>
      <c r="K5" s="8" t="inlineStr">
        <is>
          <t>Purchase unit</t>
        </is>
      </c>
      <c r="L5" s="8" t="inlineStr">
        <is>
          <t>Line cost ($)</t>
        </is>
      </c>
      <c r="M5" s="8" t="inlineStr">
        <is>
          <t>Source</t>
        </is>
      </c>
    </row>
    <row r="6">
      <c r="A6" t="inlineStr">
        <is>
          <t>B1</t>
        </is>
      </c>
      <c r="B6" t="inlineStr">
        <is>
          <t>Butter croissant</t>
        </is>
      </c>
      <c r="C6" t="inlineStr">
        <is>
          <t>Viennoiserie</t>
        </is>
      </c>
      <c r="D6" t="inlineStr">
        <is>
          <t>High-gluten flour</t>
        </is>
      </c>
      <c r="E6" s="22" t="n">
        <v>0.5</v>
      </c>
      <c r="F6" t="inlineStr">
        <is>
          <t>kg</t>
        </is>
      </c>
      <c r="G6" s="9" t="n">
        <v>1</v>
      </c>
      <c r="H6" s="18" t="n">
        <v>0.08</v>
      </c>
      <c r="I6" s="23">
        <f>IFERROR(E6/(1-H6),"")</f>
        <v>0.5434782608695652</v>
      </c>
      <c r="J6" s="11">
        <f>IFERROR(VLOOKUP($D6,'Settings'!$A$41:$C$89,2,FALSE),"")</f>
        <v>1.1</v>
      </c>
      <c r="K6" t="inlineStr">
        <is>
          <t>kg</t>
        </is>
      </c>
      <c r="L6" s="11">
        <f>IFERROR(I6/G6*J6,"")</f>
        <v>0.5978260869565217</v>
      </c>
      <c r="M6" s="12" t="inlineStr">
        <is>
          <t>EXACT COPY of the Food Cost Kit Pro (05-bakery-cake-pricing, "Croissants" sheet). Same costing in both products: a customer who owns both can't see two different costs for the same piece.</t>
        </is>
      </c>
    </row>
    <row r="7">
      <c r="A7" t="inlineStr">
        <is>
          <t>B1</t>
        </is>
      </c>
      <c r="B7" t="inlineStr"/>
      <c r="C7" t="inlineStr"/>
      <c r="D7" t="inlineStr">
        <is>
          <t>Laminating butter (82% butterfat)</t>
        </is>
      </c>
      <c r="E7" s="22" t="n">
        <v>0.28</v>
      </c>
      <c r="F7" t="inlineStr">
        <is>
          <t>kg</t>
        </is>
      </c>
      <c r="G7" s="9" t="n">
        <v>1</v>
      </c>
      <c r="H7" s="18" t="n">
        <v>0.03</v>
      </c>
      <c r="I7" s="23">
        <f>IFERROR(E7/(1-H7),"")</f>
        <v>0.288659793814433</v>
      </c>
      <c r="J7" s="11">
        <f>IFERROR(VLOOKUP($D7,'Settings'!$A$41:$C$89,2,FALSE),"")</f>
        <v>12.0</v>
      </c>
      <c r="K7" t="inlineStr">
        <is>
          <t>kg</t>
        </is>
      </c>
      <c r="L7" s="11">
        <f>IFERROR(I7/G7*J7,"")</f>
        <v>3.463917525773196</v>
      </c>
    </row>
    <row r="8">
      <c r="A8" t="inlineStr">
        <is>
          <t>B1</t>
        </is>
      </c>
      <c r="B8" t="inlineStr"/>
      <c r="C8" t="inlineStr"/>
      <c r="D8" t="inlineStr">
        <is>
          <t>Whole milk</t>
        </is>
      </c>
      <c r="E8" s="22" t="n">
        <v>0.15</v>
      </c>
      <c r="F8" t="inlineStr">
        <is>
          <t>L</t>
        </is>
      </c>
      <c r="G8" s="9" t="n">
        <v>1</v>
      </c>
      <c r="H8" s="18" t="n">
        <v>0.03</v>
      </c>
      <c r="I8" s="23">
        <f>IFERROR(E8/(1-H8),"")</f>
        <v>0.15463917525773196</v>
      </c>
      <c r="J8" s="11">
        <f>IFERROR(VLOOKUP($D8,'Settings'!$A$41:$C$89,2,FALSE),"")</f>
        <v>1.1</v>
      </c>
      <c r="K8" t="inlineStr">
        <is>
          <t>L</t>
        </is>
      </c>
      <c r="L8" s="11">
        <f>IFERROR(I8/G8*J8,"")</f>
        <v>0.17010309278350516</v>
      </c>
    </row>
    <row r="9">
      <c r="A9" t="inlineStr">
        <is>
          <t>B1</t>
        </is>
      </c>
      <c r="B9" t="inlineStr"/>
      <c r="C9" t="inlineStr"/>
      <c r="D9" t="inlineStr">
        <is>
          <t>Granulated sugar</t>
        </is>
      </c>
      <c r="E9" s="22" t="n">
        <v>0.06</v>
      </c>
      <c r="F9" t="inlineStr">
        <is>
          <t>kg</t>
        </is>
      </c>
      <c r="G9" s="9" t="n">
        <v>1</v>
      </c>
      <c r="H9" s="18" t="n">
        <v>0.02</v>
      </c>
      <c r="I9" s="23">
        <f>IFERROR(E9/(1-H9),"")</f>
        <v>0.061224489795918366</v>
      </c>
      <c r="J9" s="11">
        <f>IFERROR(VLOOKUP($D9,'Settings'!$A$41:$C$89,2,FALSE),"")</f>
        <v>1.2</v>
      </c>
      <c r="K9" t="inlineStr">
        <is>
          <t>kg</t>
        </is>
      </c>
      <c r="L9" s="11">
        <f>IFERROR(I9/G9*J9,"")</f>
        <v>0.07346938775510203</v>
      </c>
    </row>
    <row r="10">
      <c r="A10" t="inlineStr">
        <is>
          <t>B1</t>
        </is>
      </c>
      <c r="B10" t="inlineStr"/>
      <c r="C10" t="inlineStr"/>
      <c r="D10" t="inlineStr">
        <is>
          <t>Fresh yeast</t>
        </is>
      </c>
      <c r="E10" s="22" t="n">
        <v>0.02</v>
      </c>
      <c r="F10" t="inlineStr">
        <is>
          <t>kg</t>
        </is>
      </c>
      <c r="G10" s="9" t="n">
        <v>1</v>
      </c>
      <c r="H10" s="18" t="n">
        <v>0.05</v>
      </c>
      <c r="I10" s="23">
        <f>IFERROR(E10/(1-H10),"")</f>
        <v>0.02105263157894737</v>
      </c>
      <c r="J10" s="11">
        <f>IFERROR(VLOOKUP($D10,'Settings'!$A$41:$C$89,2,FALSE),"")</f>
        <v>5.0</v>
      </c>
      <c r="K10" t="inlineStr">
        <is>
          <t>kg</t>
        </is>
      </c>
      <c r="L10" s="11">
        <f>IFERROR(I10/G10*J10,"")</f>
        <v>0.10526315789473686</v>
      </c>
    </row>
    <row r="11">
      <c r="A11" t="inlineStr">
        <is>
          <t>B1</t>
        </is>
      </c>
      <c r="B11" t="inlineStr"/>
      <c r="C11" t="inlineStr"/>
      <c r="D11" t="inlineStr">
        <is>
          <t>Salt</t>
        </is>
      </c>
      <c r="E11" s="22" t="n">
        <v>0.01</v>
      </c>
      <c r="F11" t="inlineStr">
        <is>
          <t>kg</t>
        </is>
      </c>
      <c r="G11" s="9" t="n">
        <v>1</v>
      </c>
      <c r="H11" s="18" t="n">
        <v>0.02</v>
      </c>
      <c r="I11" s="23">
        <f>IFERROR(E11/(1-H11),"")</f>
        <v>0.010204081632653062</v>
      </c>
      <c r="J11" s="11">
        <f>IFERROR(VLOOKUP($D11,'Settings'!$A$41:$C$89,2,FALSE),"")</f>
        <v>0.6</v>
      </c>
      <c r="K11" t="inlineStr">
        <is>
          <t>kg</t>
        </is>
      </c>
      <c r="L11" s="11">
        <f>IFERROR(I11/G11*J11,"")</f>
        <v>0.006122448979591837</v>
      </c>
    </row>
    <row r="12">
      <c r="A12" t="inlineStr">
        <is>
          <t>B1</t>
        </is>
      </c>
      <c r="B12" t="inlineStr"/>
      <c r="C12" t="inlineStr"/>
      <c r="D12" t="inlineStr">
        <is>
          <t>Eggs (for egg wash)</t>
        </is>
      </c>
      <c r="E12" s="22" t="n">
        <v>1</v>
      </c>
      <c r="F12" t="inlineStr">
        <is>
          <t>each</t>
        </is>
      </c>
      <c r="G12" s="9" t="n">
        <v>12</v>
      </c>
      <c r="H12" s="18" t="n">
        <v>0</v>
      </c>
      <c r="I12" s="23">
        <f>IFERROR(E12/(1-H12),"")</f>
        <v>1.0</v>
      </c>
      <c r="J12" s="11">
        <f>IFERROR(VLOOKUP($D12,'Settings'!$A$41:$C$89,2,FALSE),"")</f>
        <v>3.6</v>
      </c>
      <c r="K12" t="inlineStr">
        <is>
          <t>dozen</t>
        </is>
      </c>
      <c r="L12" s="11">
        <f>IFERROR(I12/G12*J12,"")</f>
        <v>0.3</v>
      </c>
    </row>
    <row r="13">
      <c r="A13" t="inlineStr">
        <is>
          <t>B2</t>
        </is>
      </c>
      <c r="B13" t="inlineStr">
        <is>
          <t>Pain au chocolat (chocolate croissant)</t>
        </is>
      </c>
      <c r="C13" t="inlineStr">
        <is>
          <t>Viennoiserie</t>
        </is>
      </c>
      <c r="D13" t="inlineStr">
        <is>
          <t>High-gluten flour</t>
        </is>
      </c>
      <c r="E13" s="22" t="n">
        <v>0.5</v>
      </c>
      <c r="F13" t="inlineStr">
        <is>
          <t>kg</t>
        </is>
      </c>
      <c r="G13" s="9" t="n">
        <v>1</v>
      </c>
      <c r="H13" s="18" t="n">
        <v>0.08</v>
      </c>
      <c r="I13" s="23">
        <f>IFERROR(E13/(1-H13),"")</f>
        <v>0.5434782608695652</v>
      </c>
      <c r="J13" s="11">
        <f>IFERROR(VLOOKUP($D13,'Settings'!$A$41:$C$89,2,FALSE),"")</f>
        <v>1.1</v>
      </c>
      <c r="K13" t="inlineStr">
        <is>
          <t>kg</t>
        </is>
      </c>
      <c r="L13" s="11">
        <f>IFERROR(I13/G13*J13,"")</f>
        <v>0.5978260869565217</v>
      </c>
      <c r="M13" s="12" t="inlineStr">
        <is>
          <t>assumption (same dough as B1, from the kit, plus two chocolate batons per piece)</t>
        </is>
      </c>
    </row>
    <row r="14">
      <c r="A14" t="inlineStr">
        <is>
          <t>B2</t>
        </is>
      </c>
      <c r="B14" t="inlineStr"/>
      <c r="C14" t="inlineStr"/>
      <c r="D14" t="inlineStr">
        <is>
          <t>Laminating butter (82% butterfat)</t>
        </is>
      </c>
      <c r="E14" s="22" t="n">
        <v>0.28</v>
      </c>
      <c r="F14" t="inlineStr">
        <is>
          <t>kg</t>
        </is>
      </c>
      <c r="G14" s="9" t="n">
        <v>1</v>
      </c>
      <c r="H14" s="18" t="n">
        <v>0.03</v>
      </c>
      <c r="I14" s="23">
        <f>IFERROR(E14/(1-H14),"")</f>
        <v>0.288659793814433</v>
      </c>
      <c r="J14" s="11">
        <f>IFERROR(VLOOKUP($D14,'Settings'!$A$41:$C$89,2,FALSE),"")</f>
        <v>12.0</v>
      </c>
      <c r="K14" t="inlineStr">
        <is>
          <t>kg</t>
        </is>
      </c>
      <c r="L14" s="11">
        <f>IFERROR(I14/G14*J14,"")</f>
        <v>3.463917525773196</v>
      </c>
    </row>
    <row r="15">
      <c r="A15" t="inlineStr">
        <is>
          <t>B2</t>
        </is>
      </c>
      <c r="B15" t="inlineStr"/>
      <c r="C15" t="inlineStr"/>
      <c r="D15" t="inlineStr">
        <is>
          <t>Whole milk</t>
        </is>
      </c>
      <c r="E15" s="22" t="n">
        <v>0.15</v>
      </c>
      <c r="F15" t="inlineStr">
        <is>
          <t>L</t>
        </is>
      </c>
      <c r="G15" s="9" t="n">
        <v>1</v>
      </c>
      <c r="H15" s="18" t="n">
        <v>0.03</v>
      </c>
      <c r="I15" s="23">
        <f>IFERROR(E15/(1-H15),"")</f>
        <v>0.15463917525773196</v>
      </c>
      <c r="J15" s="11">
        <f>IFERROR(VLOOKUP($D15,'Settings'!$A$41:$C$89,2,FALSE),"")</f>
        <v>1.1</v>
      </c>
      <c r="K15" t="inlineStr">
        <is>
          <t>L</t>
        </is>
      </c>
      <c r="L15" s="11">
        <f>IFERROR(I15/G15*J15,"")</f>
        <v>0.17010309278350516</v>
      </c>
    </row>
    <row r="16">
      <c r="A16" t="inlineStr">
        <is>
          <t>B2</t>
        </is>
      </c>
      <c r="B16" t="inlineStr"/>
      <c r="C16" t="inlineStr"/>
      <c r="D16" t="inlineStr">
        <is>
          <t>Granulated sugar</t>
        </is>
      </c>
      <c r="E16" s="22" t="n">
        <v>0.06</v>
      </c>
      <c r="F16" t="inlineStr">
        <is>
          <t>kg</t>
        </is>
      </c>
      <c r="G16" s="9" t="n">
        <v>1</v>
      </c>
      <c r="H16" s="18" t="n">
        <v>0.02</v>
      </c>
      <c r="I16" s="23">
        <f>IFERROR(E16/(1-H16),"")</f>
        <v>0.061224489795918366</v>
      </c>
      <c r="J16" s="11">
        <f>IFERROR(VLOOKUP($D16,'Settings'!$A$41:$C$89,2,FALSE),"")</f>
        <v>1.2</v>
      </c>
      <c r="K16" t="inlineStr">
        <is>
          <t>kg</t>
        </is>
      </c>
      <c r="L16" s="11">
        <f>IFERROR(I16/G16*J16,"")</f>
        <v>0.07346938775510203</v>
      </c>
    </row>
    <row r="17">
      <c r="A17" t="inlineStr">
        <is>
          <t>B2</t>
        </is>
      </c>
      <c r="B17" t="inlineStr"/>
      <c r="C17" t="inlineStr"/>
      <c r="D17" t="inlineStr">
        <is>
          <t>Fresh yeast</t>
        </is>
      </c>
      <c r="E17" s="22" t="n">
        <v>0.02</v>
      </c>
      <c r="F17" t="inlineStr">
        <is>
          <t>kg</t>
        </is>
      </c>
      <c r="G17" s="9" t="n">
        <v>1</v>
      </c>
      <c r="H17" s="18" t="n">
        <v>0.05</v>
      </c>
      <c r="I17" s="23">
        <f>IFERROR(E17/(1-H17),"")</f>
        <v>0.02105263157894737</v>
      </c>
      <c r="J17" s="11">
        <f>IFERROR(VLOOKUP($D17,'Settings'!$A$41:$C$89,2,FALSE),"")</f>
        <v>5.0</v>
      </c>
      <c r="K17" t="inlineStr">
        <is>
          <t>kg</t>
        </is>
      </c>
      <c r="L17" s="11">
        <f>IFERROR(I17/G17*J17,"")</f>
        <v>0.10526315789473686</v>
      </c>
    </row>
    <row r="18">
      <c r="A18" t="inlineStr">
        <is>
          <t>B2</t>
        </is>
      </c>
      <c r="B18" t="inlineStr"/>
      <c r="C18" t="inlineStr"/>
      <c r="D18" t="inlineStr">
        <is>
          <t>Salt</t>
        </is>
      </c>
      <c r="E18" s="22" t="n">
        <v>0.01</v>
      </c>
      <c r="F18" t="inlineStr">
        <is>
          <t>kg</t>
        </is>
      </c>
      <c r="G18" s="9" t="n">
        <v>1</v>
      </c>
      <c r="H18" s="18" t="n">
        <v>0.02</v>
      </c>
      <c r="I18" s="23">
        <f>IFERROR(E18/(1-H18),"")</f>
        <v>0.010204081632653062</v>
      </c>
      <c r="J18" s="11">
        <f>IFERROR(VLOOKUP($D18,'Settings'!$A$41:$C$89,2,FALSE),"")</f>
        <v>0.6</v>
      </c>
      <c r="K18" t="inlineStr">
        <is>
          <t>kg</t>
        </is>
      </c>
      <c r="L18" s="11">
        <f>IFERROR(I18/G18*J18,"")</f>
        <v>0.006122448979591837</v>
      </c>
    </row>
    <row r="19">
      <c r="A19" t="inlineStr">
        <is>
          <t>B2</t>
        </is>
      </c>
      <c r="B19" t="inlineStr"/>
      <c r="C19" t="inlineStr"/>
      <c r="D19" t="inlineStr">
        <is>
          <t>Dark chocolate 70%</t>
        </is>
      </c>
      <c r="E19" s="22" t="n">
        <v>0.2</v>
      </c>
      <c r="F19" t="inlineStr">
        <is>
          <t>kg</t>
        </is>
      </c>
      <c r="G19" s="9" t="n">
        <v>1</v>
      </c>
      <c r="H19" s="18" t="n">
        <v>0.02</v>
      </c>
      <c r="I19" s="23">
        <f>IFERROR(E19/(1-H19),"")</f>
        <v>0.20408163265306123</v>
      </c>
      <c r="J19" s="11">
        <f>IFERROR(VLOOKUP($D19,'Settings'!$A$41:$C$89,2,FALSE),"")</f>
        <v>18.0</v>
      </c>
      <c r="K19" t="inlineStr">
        <is>
          <t>kg</t>
        </is>
      </c>
      <c r="L19" s="11">
        <f>IFERROR(I19/G19*J19,"")</f>
        <v>3.673469387755102</v>
      </c>
    </row>
    <row r="20">
      <c r="A20" t="inlineStr">
        <is>
          <t>B2</t>
        </is>
      </c>
      <c r="B20" t="inlineStr"/>
      <c r="C20" t="inlineStr"/>
      <c r="D20" t="inlineStr">
        <is>
          <t>Eggs (for egg wash)</t>
        </is>
      </c>
      <c r="E20" s="22" t="n">
        <v>1</v>
      </c>
      <c r="F20" t="inlineStr">
        <is>
          <t>each</t>
        </is>
      </c>
      <c r="G20" s="9" t="n">
        <v>12</v>
      </c>
      <c r="H20" s="18" t="n">
        <v>0</v>
      </c>
      <c r="I20" s="23">
        <f>IFERROR(E20/(1-H20),"")</f>
        <v>1.0</v>
      </c>
      <c r="J20" s="11">
        <f>IFERROR(VLOOKUP($D20,'Settings'!$A$41:$C$89,2,FALSE),"")</f>
        <v>3.6</v>
      </c>
      <c r="K20" t="inlineStr">
        <is>
          <t>dozen</t>
        </is>
      </c>
      <c r="L20" s="11">
        <f>IFERROR(I20/G20*J20,"")</f>
        <v>0.3</v>
      </c>
    </row>
    <row r="21">
      <c r="A21" t="inlineStr">
        <is>
          <t>B3</t>
        </is>
      </c>
      <c r="B21" t="inlineStr">
        <is>
          <t>Custard napolitana (cream-filled laminated pastry)</t>
        </is>
      </c>
      <c r="C21" t="inlineStr">
        <is>
          <t>Viennoiserie</t>
        </is>
      </c>
      <c r="D21" t="inlineStr">
        <is>
          <t>High-gluten flour</t>
        </is>
      </c>
      <c r="E21" s="22" t="n">
        <v>0.5</v>
      </c>
      <c r="F21" t="inlineStr">
        <is>
          <t>kg</t>
        </is>
      </c>
      <c r="G21" s="9" t="n">
        <v>1</v>
      </c>
      <c r="H21" s="18" t="n">
        <v>0.08</v>
      </c>
      <c r="I21" s="23">
        <f>IFERROR(E21/(1-H21),"")</f>
        <v>0.5434782608695652</v>
      </c>
      <c r="J21" s="11">
        <f>IFERROR(VLOOKUP($D21,'Settings'!$A$41:$C$89,2,FALSE),"")</f>
        <v>1.1</v>
      </c>
      <c r="K21" t="inlineStr">
        <is>
          <t>kg</t>
        </is>
      </c>
      <c r="L21" s="11">
        <f>IFERROR(I21/G21*J21,"")</f>
        <v>0.5978260869565217</v>
      </c>
      <c r="M21" s="12" t="inlineStr">
        <is>
          <t>assumption (the kit's dough plus an example pastry cream)</t>
        </is>
      </c>
    </row>
    <row r="22">
      <c r="A22" t="inlineStr">
        <is>
          <t>B3</t>
        </is>
      </c>
      <c r="B22" t="inlineStr"/>
      <c r="C22" t="inlineStr"/>
      <c r="D22" t="inlineStr">
        <is>
          <t>Laminating butter (82% butterfat)</t>
        </is>
      </c>
      <c r="E22" s="22" t="n">
        <v>0.28</v>
      </c>
      <c r="F22" t="inlineStr">
        <is>
          <t>kg</t>
        </is>
      </c>
      <c r="G22" s="9" t="n">
        <v>1</v>
      </c>
      <c r="H22" s="18" t="n">
        <v>0.03</v>
      </c>
      <c r="I22" s="23">
        <f>IFERROR(E22/(1-H22),"")</f>
        <v>0.288659793814433</v>
      </c>
      <c r="J22" s="11">
        <f>IFERROR(VLOOKUP($D22,'Settings'!$A$41:$C$89,2,FALSE),"")</f>
        <v>12.0</v>
      </c>
      <c r="K22" t="inlineStr">
        <is>
          <t>kg</t>
        </is>
      </c>
      <c r="L22" s="11">
        <f>IFERROR(I22/G22*J22,"")</f>
        <v>3.463917525773196</v>
      </c>
    </row>
    <row r="23">
      <c r="A23" t="inlineStr">
        <is>
          <t>B3</t>
        </is>
      </c>
      <c r="B23" t="inlineStr"/>
      <c r="C23" t="inlineStr"/>
      <c r="D23" t="inlineStr">
        <is>
          <t>Whole milk</t>
        </is>
      </c>
      <c r="E23" s="22" t="n">
        <v>0.15</v>
      </c>
      <c r="F23" t="inlineStr">
        <is>
          <t>L</t>
        </is>
      </c>
      <c r="G23" s="9" t="n">
        <v>1</v>
      </c>
      <c r="H23" s="18" t="n">
        <v>0.03</v>
      </c>
      <c r="I23" s="23">
        <f>IFERROR(E23/(1-H23),"")</f>
        <v>0.15463917525773196</v>
      </c>
      <c r="J23" s="11">
        <f>IFERROR(VLOOKUP($D23,'Settings'!$A$41:$C$89,2,FALSE),"")</f>
        <v>1.1</v>
      </c>
      <c r="K23" t="inlineStr">
        <is>
          <t>L</t>
        </is>
      </c>
      <c r="L23" s="11">
        <f>IFERROR(I23/G23*J23,"")</f>
        <v>0.17010309278350516</v>
      </c>
    </row>
    <row r="24">
      <c r="A24" t="inlineStr">
        <is>
          <t>B3</t>
        </is>
      </c>
      <c r="B24" t="inlineStr"/>
      <c r="C24" t="inlineStr"/>
      <c r="D24" t="inlineStr">
        <is>
          <t>Granulated sugar</t>
        </is>
      </c>
      <c r="E24" s="22" t="n">
        <v>0.06</v>
      </c>
      <c r="F24" t="inlineStr">
        <is>
          <t>kg</t>
        </is>
      </c>
      <c r="G24" s="9" t="n">
        <v>1</v>
      </c>
      <c r="H24" s="18" t="n">
        <v>0.02</v>
      </c>
      <c r="I24" s="23">
        <f>IFERROR(E24/(1-H24),"")</f>
        <v>0.061224489795918366</v>
      </c>
      <c r="J24" s="11">
        <f>IFERROR(VLOOKUP($D24,'Settings'!$A$41:$C$89,2,FALSE),"")</f>
        <v>1.2</v>
      </c>
      <c r="K24" t="inlineStr">
        <is>
          <t>kg</t>
        </is>
      </c>
      <c r="L24" s="11">
        <f>IFERROR(I24/G24*J24,"")</f>
        <v>0.07346938775510203</v>
      </c>
    </row>
    <row r="25">
      <c r="A25" t="inlineStr">
        <is>
          <t>B3</t>
        </is>
      </c>
      <c r="B25" t="inlineStr"/>
      <c r="C25" t="inlineStr"/>
      <c r="D25" t="inlineStr">
        <is>
          <t>Fresh yeast</t>
        </is>
      </c>
      <c r="E25" s="22" t="n">
        <v>0.02</v>
      </c>
      <c r="F25" t="inlineStr">
        <is>
          <t>kg</t>
        </is>
      </c>
      <c r="G25" s="9" t="n">
        <v>1</v>
      </c>
      <c r="H25" s="18" t="n">
        <v>0.05</v>
      </c>
      <c r="I25" s="23">
        <f>IFERROR(E25/(1-H25),"")</f>
        <v>0.02105263157894737</v>
      </c>
      <c r="J25" s="11">
        <f>IFERROR(VLOOKUP($D25,'Settings'!$A$41:$C$89,2,FALSE),"")</f>
        <v>5.0</v>
      </c>
      <c r="K25" t="inlineStr">
        <is>
          <t>kg</t>
        </is>
      </c>
      <c r="L25" s="11">
        <f>IFERROR(I25/G25*J25,"")</f>
        <v>0.10526315789473686</v>
      </c>
    </row>
    <row r="26">
      <c r="A26" t="inlineStr">
        <is>
          <t>B3</t>
        </is>
      </c>
      <c r="B26" t="inlineStr"/>
      <c r="C26" t="inlineStr"/>
      <c r="D26" t="inlineStr">
        <is>
          <t>Salt</t>
        </is>
      </c>
      <c r="E26" s="22" t="n">
        <v>0.01</v>
      </c>
      <c r="F26" t="inlineStr">
        <is>
          <t>kg</t>
        </is>
      </c>
      <c r="G26" s="9" t="n">
        <v>1</v>
      </c>
      <c r="H26" s="18" t="n">
        <v>0.02</v>
      </c>
      <c r="I26" s="23">
        <f>IFERROR(E26/(1-H26),"")</f>
        <v>0.010204081632653062</v>
      </c>
      <c r="J26" s="11">
        <f>IFERROR(VLOOKUP($D26,'Settings'!$A$41:$C$89,2,FALSE),"")</f>
        <v>0.6</v>
      </c>
      <c r="K26" t="inlineStr">
        <is>
          <t>kg</t>
        </is>
      </c>
      <c r="L26" s="11">
        <f>IFERROR(I26/G26*J26,"")</f>
        <v>0.006122448979591837</v>
      </c>
    </row>
    <row r="27">
      <c r="A27" t="inlineStr">
        <is>
          <t>B3</t>
        </is>
      </c>
      <c r="B27" t="inlineStr"/>
      <c r="C27" t="inlineStr"/>
      <c r="D27" t="inlineStr">
        <is>
          <t>Whole milk</t>
        </is>
      </c>
      <c r="E27" s="22" t="n">
        <v>0.6</v>
      </c>
      <c r="F27" t="inlineStr">
        <is>
          <t>L</t>
        </is>
      </c>
      <c r="G27" s="9" t="n">
        <v>1</v>
      </c>
      <c r="H27" s="18" t="n">
        <v>0.02</v>
      </c>
      <c r="I27" s="23">
        <f>IFERROR(E27/(1-H27),"")</f>
        <v>0.6122448979591837</v>
      </c>
      <c r="J27" s="11">
        <f>IFERROR(VLOOKUP($D27,'Settings'!$A$41:$C$89,2,FALSE),"")</f>
        <v>1.1</v>
      </c>
      <c r="K27" t="inlineStr">
        <is>
          <t>L</t>
        </is>
      </c>
      <c r="L27" s="11">
        <f>IFERROR(I27/G27*J27,"")</f>
        <v>0.6734693877551021</v>
      </c>
    </row>
    <row r="28">
      <c r="A28" t="inlineStr">
        <is>
          <t>B3</t>
        </is>
      </c>
      <c r="B28" t="inlineStr"/>
      <c r="C28" t="inlineStr"/>
      <c r="D28" t="inlineStr">
        <is>
          <t>Granulated sugar</t>
        </is>
      </c>
      <c r="E28" s="22" t="n">
        <v>0.14</v>
      </c>
      <c r="F28" t="inlineStr">
        <is>
          <t>kg</t>
        </is>
      </c>
      <c r="G28" s="9" t="n">
        <v>1</v>
      </c>
      <c r="H28" s="18" t="n">
        <v>0.02</v>
      </c>
      <c r="I28" s="23">
        <f>IFERROR(E28/(1-H28),"")</f>
        <v>0.14285714285714288</v>
      </c>
      <c r="J28" s="11">
        <f>IFERROR(VLOOKUP($D28,'Settings'!$A$41:$C$89,2,FALSE),"")</f>
        <v>1.2</v>
      </c>
      <c r="K28" t="inlineStr">
        <is>
          <t>kg</t>
        </is>
      </c>
      <c r="L28" s="11">
        <f>IFERROR(I28/G28*J28,"")</f>
        <v>0.17142857142857146</v>
      </c>
    </row>
    <row r="29">
      <c r="A29" t="inlineStr">
        <is>
          <t>B3</t>
        </is>
      </c>
      <c r="B29" t="inlineStr"/>
      <c r="C29" t="inlineStr"/>
      <c r="D29" t="inlineStr">
        <is>
          <t>Eggs (each)</t>
        </is>
      </c>
      <c r="E29" s="22" t="n">
        <v>4</v>
      </c>
      <c r="F29" t="inlineStr">
        <is>
          <t>each</t>
        </is>
      </c>
      <c r="G29" s="9" t="n">
        <v>12</v>
      </c>
      <c r="H29" s="18" t="n">
        <v>0</v>
      </c>
      <c r="I29" s="23">
        <f>IFERROR(E29/(1-H29),"")</f>
        <v>4.0</v>
      </c>
      <c r="J29" s="11">
        <f>IFERROR(VLOOKUP($D29,'Settings'!$A$41:$C$89,2,FALSE),"")</f>
        <v>3.6</v>
      </c>
      <c r="K29" t="inlineStr">
        <is>
          <t>dozen</t>
        </is>
      </c>
      <c r="L29" s="11">
        <f>IFERROR(I29/G29*J29,"")</f>
        <v>1.2</v>
      </c>
    </row>
    <row r="30">
      <c r="A30" t="inlineStr">
        <is>
          <t>B3</t>
        </is>
      </c>
      <c r="B30" t="inlineStr"/>
      <c r="C30" t="inlineStr"/>
      <c r="D30" t="inlineStr">
        <is>
          <t>Cornstarch</t>
        </is>
      </c>
      <c r="E30" s="22" t="n">
        <v>0.05</v>
      </c>
      <c r="F30" t="inlineStr">
        <is>
          <t>kg</t>
        </is>
      </c>
      <c r="G30" s="9" t="n">
        <v>1</v>
      </c>
      <c r="H30" s="18" t="n">
        <v>0.02</v>
      </c>
      <c r="I30" s="23">
        <f>IFERROR(E30/(1-H30),"")</f>
        <v>0.05102040816326531</v>
      </c>
      <c r="J30" s="11">
        <f>IFERROR(VLOOKUP($D30,'Settings'!$A$41:$C$89,2,FALSE),"")</f>
        <v>2.1</v>
      </c>
      <c r="K30" t="inlineStr">
        <is>
          <t>kg</t>
        </is>
      </c>
      <c r="L30" s="11">
        <f>IFERROR(I30/G30*J30,"")</f>
        <v>0.10714285714285715</v>
      </c>
    </row>
    <row r="31">
      <c r="A31" t="inlineStr">
        <is>
          <t>B3</t>
        </is>
      </c>
      <c r="B31" t="inlineStr"/>
      <c r="C31" t="inlineStr"/>
      <c r="D31" t="inlineStr">
        <is>
          <t>Vanilla bean paste</t>
        </is>
      </c>
      <c r="E31" s="22" t="n">
        <v>0.002</v>
      </c>
      <c r="F31" t="inlineStr">
        <is>
          <t>kg</t>
        </is>
      </c>
      <c r="G31" s="9" t="n">
        <v>1</v>
      </c>
      <c r="H31" s="18" t="n">
        <v>0</v>
      </c>
      <c r="I31" s="23">
        <f>IFERROR(E31/(1-H31),"")</f>
        <v>0.002</v>
      </c>
      <c r="J31" s="11">
        <f>IFERROR(VLOOKUP($D31,'Settings'!$A$41:$C$89,2,FALSE),"")</f>
        <v>92.0</v>
      </c>
      <c r="K31" t="inlineStr">
        <is>
          <t>kg</t>
        </is>
      </c>
      <c r="L31" s="11">
        <f>IFERROR(I31/G31*J31,"")</f>
        <v>0.184</v>
      </c>
    </row>
    <row r="32">
      <c r="A32" t="inlineStr">
        <is>
          <t>B3</t>
        </is>
      </c>
      <c r="B32" t="inlineStr"/>
      <c r="C32" t="inlineStr"/>
      <c r="D32" t="inlineStr">
        <is>
          <t>Eggs (for egg wash)</t>
        </is>
      </c>
      <c r="E32" s="22" t="n">
        <v>1</v>
      </c>
      <c r="F32" t="inlineStr">
        <is>
          <t>each</t>
        </is>
      </c>
      <c r="G32" s="9" t="n">
        <v>12</v>
      </c>
      <c r="H32" s="18" t="n">
        <v>0</v>
      </c>
      <c r="I32" s="23">
        <f>IFERROR(E32/(1-H32),"")</f>
        <v>1.0</v>
      </c>
      <c r="J32" s="11">
        <f>IFERROR(VLOOKUP($D32,'Settings'!$A$41:$C$89,2,FALSE),"")</f>
        <v>3.6</v>
      </c>
      <c r="K32" t="inlineStr">
        <is>
          <t>dozen</t>
        </is>
      </c>
      <c r="L32" s="11">
        <f>IFERROR(I32/G32*J32,"")</f>
        <v>0.3</v>
      </c>
    </row>
    <row r="33">
      <c r="A33" t="inlineStr">
        <is>
          <t>B4</t>
        </is>
      </c>
      <c r="B33" t="inlineStr">
        <is>
          <t>Palmier</t>
        </is>
      </c>
      <c r="C33" t="inlineStr">
        <is>
          <t>Viennoiserie</t>
        </is>
      </c>
      <c r="D33" t="inlineStr">
        <is>
          <t>Pastry flour</t>
        </is>
      </c>
      <c r="E33" s="22" t="n">
        <v>0.45</v>
      </c>
      <c r="F33" t="inlineStr">
        <is>
          <t>kg</t>
        </is>
      </c>
      <c r="G33" s="9" t="n">
        <v>1</v>
      </c>
      <c r="H33" s="18" t="n">
        <v>0.08</v>
      </c>
      <c r="I33" s="23">
        <f>IFERROR(E33/(1-H33),"")</f>
        <v>0.4891304347826087</v>
      </c>
      <c r="J33" s="11">
        <f>IFERROR(VLOOKUP($D33,'Settings'!$A$41:$C$89,2,FALSE),"")</f>
        <v>0.9</v>
      </c>
      <c r="K33" t="inlineStr">
        <is>
          <t>kg</t>
        </is>
      </c>
      <c r="L33" s="11">
        <f>IFERROR(I33/G33*J33,"")</f>
        <v>0.44021739130434784</v>
      </c>
      <c r="M33" s="12" t="inlineStr">
        <is>
          <t>assumption</t>
        </is>
      </c>
    </row>
    <row r="34">
      <c r="A34" t="inlineStr">
        <is>
          <t>B4</t>
        </is>
      </c>
      <c r="B34" t="inlineStr"/>
      <c r="C34" t="inlineStr"/>
      <c r="D34" t="inlineStr">
        <is>
          <t>Laminating butter (82% butterfat)</t>
        </is>
      </c>
      <c r="E34" s="22" t="n">
        <v>0.36</v>
      </c>
      <c r="F34" t="inlineStr">
        <is>
          <t>kg</t>
        </is>
      </c>
      <c r="G34" s="9" t="n">
        <v>1</v>
      </c>
      <c r="H34" s="18" t="n">
        <v>0.03</v>
      </c>
      <c r="I34" s="23">
        <f>IFERROR(E34/(1-H34),"")</f>
        <v>0.3711340206185567</v>
      </c>
      <c r="J34" s="11">
        <f>IFERROR(VLOOKUP($D34,'Settings'!$A$41:$C$89,2,FALSE),"")</f>
        <v>12.0</v>
      </c>
      <c r="K34" t="inlineStr">
        <is>
          <t>kg</t>
        </is>
      </c>
      <c r="L34" s="11">
        <f>IFERROR(I34/G34*J34,"")</f>
        <v>4.453608247422681</v>
      </c>
    </row>
    <row r="35">
      <c r="A35" t="inlineStr">
        <is>
          <t>B4</t>
        </is>
      </c>
      <c r="B35" t="inlineStr"/>
      <c r="C35" t="inlineStr"/>
      <c r="D35" t="inlineStr">
        <is>
          <t>Granulated sugar</t>
        </is>
      </c>
      <c r="E35" s="22" t="n">
        <v>0.3</v>
      </c>
      <c r="F35" t="inlineStr">
        <is>
          <t>kg</t>
        </is>
      </c>
      <c r="G35" s="9" t="n">
        <v>1</v>
      </c>
      <c r="H35" s="18" t="n">
        <v>0.02</v>
      </c>
      <c r="I35" s="23">
        <f>IFERROR(E35/(1-H35),"")</f>
        <v>0.30612244897959184</v>
      </c>
      <c r="J35" s="11">
        <f>IFERROR(VLOOKUP($D35,'Settings'!$A$41:$C$89,2,FALSE),"")</f>
        <v>1.2</v>
      </c>
      <c r="K35" t="inlineStr">
        <is>
          <t>kg</t>
        </is>
      </c>
      <c r="L35" s="11">
        <f>IFERROR(I35/G35*J35,"")</f>
        <v>0.3673469387755102</v>
      </c>
    </row>
    <row r="36">
      <c r="A36" t="inlineStr">
        <is>
          <t>B4</t>
        </is>
      </c>
      <c r="B36" t="inlineStr"/>
      <c r="C36" t="inlineStr"/>
      <c r="D36" t="inlineStr">
        <is>
          <t>Salt</t>
        </is>
      </c>
      <c r="E36" s="22" t="n">
        <v>0.01</v>
      </c>
      <c r="F36" t="inlineStr">
        <is>
          <t>kg</t>
        </is>
      </c>
      <c r="G36" s="9" t="n">
        <v>1</v>
      </c>
      <c r="H36" s="18" t="n">
        <v>0.02</v>
      </c>
      <c r="I36" s="23">
        <f>IFERROR(E36/(1-H36),"")</f>
        <v>0.010204081632653062</v>
      </c>
      <c r="J36" s="11">
        <f>IFERROR(VLOOKUP($D36,'Settings'!$A$41:$C$89,2,FALSE),"")</f>
        <v>0.6</v>
      </c>
      <c r="K36" t="inlineStr">
        <is>
          <t>kg</t>
        </is>
      </c>
      <c r="L36" s="11">
        <f>IFERROR(I36/G36*J36,"")</f>
        <v>0.006122448979591837</v>
      </c>
    </row>
    <row r="37">
      <c r="A37" t="inlineStr">
        <is>
          <t>B5</t>
        </is>
      </c>
      <c r="B37" t="inlineStr">
        <is>
          <t>Raisin snail (pain aux raisins)</t>
        </is>
      </c>
      <c r="C37" t="inlineStr">
        <is>
          <t>Viennoiserie</t>
        </is>
      </c>
      <c r="D37" t="inlineStr">
        <is>
          <t>High-gluten flour</t>
        </is>
      </c>
      <c r="E37" s="22" t="n">
        <v>0.45</v>
      </c>
      <c r="F37" t="inlineStr">
        <is>
          <t>kg</t>
        </is>
      </c>
      <c r="G37" s="9" t="n">
        <v>1</v>
      </c>
      <c r="H37" s="18" t="n">
        <v>0.08</v>
      </c>
      <c r="I37" s="23">
        <f>IFERROR(E37/(1-H37),"")</f>
        <v>0.4891304347826087</v>
      </c>
      <c r="J37" s="11">
        <f>IFERROR(VLOOKUP($D37,'Settings'!$A$41:$C$89,2,FALSE),"")</f>
        <v>1.1</v>
      </c>
      <c r="K37" t="inlineStr">
        <is>
          <t>kg</t>
        </is>
      </c>
      <c r="L37" s="11">
        <f>IFERROR(I37/G37*J37,"")</f>
        <v>0.5380434782608696</v>
      </c>
      <c r="M37" s="12" t="inlineStr">
        <is>
          <t>assumption</t>
        </is>
      </c>
    </row>
    <row r="38">
      <c r="A38" t="inlineStr">
        <is>
          <t>B5</t>
        </is>
      </c>
      <c r="B38" t="inlineStr"/>
      <c r="C38" t="inlineStr"/>
      <c r="D38" t="inlineStr">
        <is>
          <t>Laminating butter (82% butterfat)</t>
        </is>
      </c>
      <c r="E38" s="22" t="n">
        <v>0.22</v>
      </c>
      <c r="F38" t="inlineStr">
        <is>
          <t>kg</t>
        </is>
      </c>
      <c r="G38" s="9" t="n">
        <v>1</v>
      </c>
      <c r="H38" s="18" t="n">
        <v>0.03</v>
      </c>
      <c r="I38" s="23">
        <f>IFERROR(E38/(1-H38),"")</f>
        <v>0.2268041237113402</v>
      </c>
      <c r="J38" s="11">
        <f>IFERROR(VLOOKUP($D38,'Settings'!$A$41:$C$89,2,FALSE),"")</f>
        <v>12.0</v>
      </c>
      <c r="K38" t="inlineStr">
        <is>
          <t>kg</t>
        </is>
      </c>
      <c r="L38" s="11">
        <f>IFERROR(I38/G38*J38,"")</f>
        <v>2.7216494845360826</v>
      </c>
    </row>
    <row r="39">
      <c r="A39" t="inlineStr">
        <is>
          <t>B5</t>
        </is>
      </c>
      <c r="B39" t="inlineStr"/>
      <c r="C39" t="inlineStr"/>
      <c r="D39" t="inlineStr">
        <is>
          <t>Whole milk</t>
        </is>
      </c>
      <c r="E39" s="22" t="n">
        <v>0.14</v>
      </c>
      <c r="F39" t="inlineStr">
        <is>
          <t>L</t>
        </is>
      </c>
      <c r="G39" s="9" t="n">
        <v>1</v>
      </c>
      <c r="H39" s="18" t="n">
        <v>0.03</v>
      </c>
      <c r="I39" s="23">
        <f>IFERROR(E39/(1-H39),"")</f>
        <v>0.1443298969072165</v>
      </c>
      <c r="J39" s="11">
        <f>IFERROR(VLOOKUP($D39,'Settings'!$A$41:$C$89,2,FALSE),"")</f>
        <v>1.1</v>
      </c>
      <c r="K39" t="inlineStr">
        <is>
          <t>L</t>
        </is>
      </c>
      <c r="L39" s="11">
        <f>IFERROR(I39/G39*J39,"")</f>
        <v>0.15876288659793816</v>
      </c>
    </row>
    <row r="40">
      <c r="A40" t="inlineStr">
        <is>
          <t>B5</t>
        </is>
      </c>
      <c r="B40" t="inlineStr"/>
      <c r="C40" t="inlineStr"/>
      <c r="D40" t="inlineStr">
        <is>
          <t>Granulated sugar</t>
        </is>
      </c>
      <c r="E40" s="22" t="n">
        <v>0.05</v>
      </c>
      <c r="F40" t="inlineStr">
        <is>
          <t>kg</t>
        </is>
      </c>
      <c r="G40" s="9" t="n">
        <v>1</v>
      </c>
      <c r="H40" s="18" t="n">
        <v>0.02</v>
      </c>
      <c r="I40" s="23">
        <f>IFERROR(E40/(1-H40),"")</f>
        <v>0.05102040816326531</v>
      </c>
      <c r="J40" s="11">
        <f>IFERROR(VLOOKUP($D40,'Settings'!$A$41:$C$89,2,FALSE),"")</f>
        <v>1.2</v>
      </c>
      <c r="K40" t="inlineStr">
        <is>
          <t>kg</t>
        </is>
      </c>
      <c r="L40" s="11">
        <f>IFERROR(I40/G40*J40,"")</f>
        <v>0.061224489795918366</v>
      </c>
    </row>
    <row r="41">
      <c r="A41" t="inlineStr">
        <is>
          <t>B5</t>
        </is>
      </c>
      <c r="B41" t="inlineStr"/>
      <c r="C41" t="inlineStr"/>
      <c r="D41" t="inlineStr">
        <is>
          <t>Fresh yeast</t>
        </is>
      </c>
      <c r="E41" s="22" t="n">
        <v>0.018</v>
      </c>
      <c r="F41" t="inlineStr">
        <is>
          <t>kg</t>
        </is>
      </c>
      <c r="G41" s="9" t="n">
        <v>1</v>
      </c>
      <c r="H41" s="18" t="n">
        <v>0.05</v>
      </c>
      <c r="I41" s="23">
        <f>IFERROR(E41/(1-H41),"")</f>
        <v>0.01894736842105263</v>
      </c>
      <c r="J41" s="11">
        <f>IFERROR(VLOOKUP($D41,'Settings'!$A$41:$C$89,2,FALSE),"")</f>
        <v>5.0</v>
      </c>
      <c r="K41" t="inlineStr">
        <is>
          <t>kg</t>
        </is>
      </c>
      <c r="L41" s="11">
        <f>IFERROR(I41/G41*J41,"")</f>
        <v>0.09473684210526315</v>
      </c>
    </row>
    <row r="42">
      <c r="A42" t="inlineStr">
        <is>
          <t>B5</t>
        </is>
      </c>
      <c r="B42" t="inlineStr"/>
      <c r="C42" t="inlineStr"/>
      <c r="D42" t="inlineStr">
        <is>
          <t>Salt</t>
        </is>
      </c>
      <c r="E42" s="22" t="n">
        <v>0.008999999999999999</v>
      </c>
      <c r="F42" t="inlineStr">
        <is>
          <t>kg</t>
        </is>
      </c>
      <c r="G42" s="9" t="n">
        <v>1</v>
      </c>
      <c r="H42" s="18" t="n">
        <v>0.02</v>
      </c>
      <c r="I42" s="23">
        <f>IFERROR(E42/(1-H42),"")</f>
        <v>0.009183673469387754</v>
      </c>
      <c r="J42" s="11">
        <f>IFERROR(VLOOKUP($D42,'Settings'!$A$41:$C$89,2,FALSE),"")</f>
        <v>0.6</v>
      </c>
      <c r="K42" t="inlineStr">
        <is>
          <t>kg</t>
        </is>
      </c>
      <c r="L42" s="11">
        <f>IFERROR(I42/G42*J42,"")</f>
        <v>0.005510204081632652</v>
      </c>
    </row>
    <row r="43">
      <c r="A43" t="inlineStr">
        <is>
          <t>B5</t>
        </is>
      </c>
      <c r="B43" t="inlineStr"/>
      <c r="C43" t="inlineStr"/>
      <c r="D43" t="inlineStr">
        <is>
          <t>Raisins</t>
        </is>
      </c>
      <c r="E43" s="22" t="n">
        <v>0.15</v>
      </c>
      <c r="F43" t="inlineStr">
        <is>
          <t>kg</t>
        </is>
      </c>
      <c r="G43" s="9" t="n">
        <v>1</v>
      </c>
      <c r="H43" s="18" t="n">
        <v>0.02</v>
      </c>
      <c r="I43" s="23">
        <f>IFERROR(E43/(1-H43),"")</f>
        <v>0.15306122448979592</v>
      </c>
      <c r="J43" s="11">
        <f>IFERROR(VLOOKUP($D43,'Settings'!$A$41:$C$89,2,FALSE),"")</f>
        <v>5.2</v>
      </c>
      <c r="K43" t="inlineStr">
        <is>
          <t>kg</t>
        </is>
      </c>
      <c r="L43" s="11">
        <f>IFERROR(I43/G43*J43,"")</f>
        <v>0.7959183673469388</v>
      </c>
    </row>
    <row r="44">
      <c r="A44" t="inlineStr">
        <is>
          <t>B5</t>
        </is>
      </c>
      <c r="B44" t="inlineStr"/>
      <c r="C44" t="inlineStr"/>
      <c r="D44" t="inlineStr">
        <is>
          <t>Rum</t>
        </is>
      </c>
      <c r="E44" s="22" t="n">
        <v>0.03</v>
      </c>
      <c r="F44" t="inlineStr">
        <is>
          <t>L</t>
        </is>
      </c>
      <c r="G44" s="9" t="n">
        <v>1</v>
      </c>
      <c r="H44" s="18" t="n">
        <v>0</v>
      </c>
      <c r="I44" s="23">
        <f>IFERROR(E44/(1-H44),"")</f>
        <v>0.03</v>
      </c>
      <c r="J44" s="11">
        <f>IFERROR(VLOOKUP($D44,'Settings'!$A$41:$C$89,2,FALSE),"")</f>
        <v>9.8</v>
      </c>
      <c r="K44" t="inlineStr">
        <is>
          <t>L</t>
        </is>
      </c>
      <c r="L44" s="11">
        <f>IFERROR(I44/G44*J44,"")</f>
        <v>0.294</v>
      </c>
    </row>
    <row r="45">
      <c r="A45" t="inlineStr">
        <is>
          <t>B5</t>
        </is>
      </c>
      <c r="B45" t="inlineStr"/>
      <c r="C45" t="inlineStr"/>
      <c r="D45" t="inlineStr">
        <is>
          <t>Whole milk</t>
        </is>
      </c>
      <c r="E45" s="22" t="n">
        <v>0.35</v>
      </c>
      <c r="F45" t="inlineStr">
        <is>
          <t>L</t>
        </is>
      </c>
      <c r="G45" s="9" t="n">
        <v>1</v>
      </c>
      <c r="H45" s="18" t="n">
        <v>0.02</v>
      </c>
      <c r="I45" s="23">
        <f>IFERROR(E45/(1-H45),"")</f>
        <v>0.35714285714285715</v>
      </c>
      <c r="J45" s="11">
        <f>IFERROR(VLOOKUP($D45,'Settings'!$A$41:$C$89,2,FALSE),"")</f>
        <v>1.1</v>
      </c>
      <c r="K45" t="inlineStr">
        <is>
          <t>L</t>
        </is>
      </c>
      <c r="L45" s="11">
        <f>IFERROR(I45/G45*J45,"")</f>
        <v>0.3928571428571429</v>
      </c>
    </row>
    <row r="46">
      <c r="A46" t="inlineStr">
        <is>
          <t>B5</t>
        </is>
      </c>
      <c r="B46" t="inlineStr"/>
      <c r="C46" t="inlineStr"/>
      <c r="D46" t="inlineStr">
        <is>
          <t>Granulated sugar</t>
        </is>
      </c>
      <c r="E46" s="22" t="n">
        <v>0.08</v>
      </c>
      <c r="F46" t="inlineStr">
        <is>
          <t>kg</t>
        </is>
      </c>
      <c r="G46" s="9" t="n">
        <v>1</v>
      </c>
      <c r="H46" s="18" t="n">
        <v>0.02</v>
      </c>
      <c r="I46" s="23">
        <f>IFERROR(E46/(1-H46),"")</f>
        <v>0.0816326530612245</v>
      </c>
      <c r="J46" s="11">
        <f>IFERROR(VLOOKUP($D46,'Settings'!$A$41:$C$89,2,FALSE),"")</f>
        <v>1.2</v>
      </c>
      <c r="K46" t="inlineStr">
        <is>
          <t>kg</t>
        </is>
      </c>
      <c r="L46" s="11">
        <f>IFERROR(I46/G46*J46,"")</f>
        <v>0.0979591836734694</v>
      </c>
    </row>
    <row r="47">
      <c r="A47" t="inlineStr">
        <is>
          <t>B5</t>
        </is>
      </c>
      <c r="B47" t="inlineStr"/>
      <c r="C47" t="inlineStr"/>
      <c r="D47" t="inlineStr">
        <is>
          <t>Eggs (each)</t>
        </is>
      </c>
      <c r="E47" s="22" t="n">
        <v>2</v>
      </c>
      <c r="F47" t="inlineStr">
        <is>
          <t>each</t>
        </is>
      </c>
      <c r="G47" s="9" t="n">
        <v>12</v>
      </c>
      <c r="H47" s="18" t="n">
        <v>0</v>
      </c>
      <c r="I47" s="23">
        <f>IFERROR(E47/(1-H47),"")</f>
        <v>2.0</v>
      </c>
      <c r="J47" s="11">
        <f>IFERROR(VLOOKUP($D47,'Settings'!$A$41:$C$89,2,FALSE),"")</f>
        <v>3.6</v>
      </c>
      <c r="K47" t="inlineStr">
        <is>
          <t>dozen</t>
        </is>
      </c>
      <c r="L47" s="11">
        <f>IFERROR(I47/G47*J47,"")</f>
        <v>0.6</v>
      </c>
    </row>
    <row r="48">
      <c r="A48" t="inlineStr">
        <is>
          <t>B5</t>
        </is>
      </c>
      <c r="B48" t="inlineStr"/>
      <c r="C48" t="inlineStr"/>
      <c r="D48" t="inlineStr">
        <is>
          <t>Cornstarch</t>
        </is>
      </c>
      <c r="E48" s="22" t="n">
        <v>0.03</v>
      </c>
      <c r="F48" t="inlineStr">
        <is>
          <t>kg</t>
        </is>
      </c>
      <c r="G48" s="9" t="n">
        <v>1</v>
      </c>
      <c r="H48" s="18" t="n">
        <v>0.02</v>
      </c>
      <c r="I48" s="23">
        <f>IFERROR(E48/(1-H48),"")</f>
        <v>0.030612244897959183</v>
      </c>
      <c r="J48" s="11">
        <f>IFERROR(VLOOKUP($D48,'Settings'!$A$41:$C$89,2,FALSE),"")</f>
        <v>2.1</v>
      </c>
      <c r="K48" t="inlineStr">
        <is>
          <t>kg</t>
        </is>
      </c>
      <c r="L48" s="11">
        <f>IFERROR(I48/G48*J48,"")</f>
        <v>0.0642857142857143</v>
      </c>
    </row>
    <row r="49">
      <c r="A49" t="inlineStr">
        <is>
          <t>B5</t>
        </is>
      </c>
      <c r="B49" t="inlineStr"/>
      <c r="C49" t="inlineStr"/>
      <c r="D49" t="inlineStr">
        <is>
          <t>Eggs (for egg wash)</t>
        </is>
      </c>
      <c r="E49" s="22" t="n">
        <v>1</v>
      </c>
      <c r="F49" t="inlineStr">
        <is>
          <t>each</t>
        </is>
      </c>
      <c r="G49" s="9" t="n">
        <v>12</v>
      </c>
      <c r="H49" s="18" t="n">
        <v>0</v>
      </c>
      <c r="I49" s="23">
        <f>IFERROR(E49/(1-H49),"")</f>
        <v>1.0</v>
      </c>
      <c r="J49" s="11">
        <f>IFERROR(VLOOKUP($D49,'Settings'!$A$41:$C$89,2,FALSE),"")</f>
        <v>3.6</v>
      </c>
      <c r="K49" t="inlineStr">
        <is>
          <t>dozen</t>
        </is>
      </c>
      <c r="L49" s="11">
        <f>IFERROR(I49/G49*J49,"")</f>
        <v>0.3</v>
      </c>
    </row>
    <row r="50">
      <c r="A50" t="inlineStr">
        <is>
          <t>B6</t>
        </is>
      </c>
      <c r="B50" t="inlineStr">
        <is>
          <t>Ensaïmada (Mallorcan spiral pastry)</t>
        </is>
      </c>
      <c r="C50" t="inlineStr">
        <is>
          <t>Viennoiserie</t>
        </is>
      </c>
      <c r="D50" t="inlineStr">
        <is>
          <t>High-gluten flour</t>
        </is>
      </c>
      <c r="E50" s="22" t="n">
        <v>0.6</v>
      </c>
      <c r="F50" t="inlineStr">
        <is>
          <t>kg</t>
        </is>
      </c>
      <c r="G50" s="9" t="n">
        <v>1</v>
      </c>
      <c r="H50" s="18" t="n">
        <v>0.08</v>
      </c>
      <c r="I50" s="23">
        <f>IFERROR(E50/(1-H50),"")</f>
        <v>0.6521739130434782</v>
      </c>
      <c r="J50" s="11">
        <f>IFERROR(VLOOKUP($D50,'Settings'!$A$41:$C$89,2,FALSE),"")</f>
        <v>1.1</v>
      </c>
      <c r="K50" t="inlineStr">
        <is>
          <t>kg</t>
        </is>
      </c>
      <c r="L50" s="11">
        <f>IFERROR(I50/G50*J50,"")</f>
        <v>0.717391304347826</v>
      </c>
      <c r="M50" s="12" t="inlineStr">
        <is>
          <t>assumption</t>
        </is>
      </c>
    </row>
    <row r="51">
      <c r="A51" t="inlineStr">
        <is>
          <t>B6</t>
        </is>
      </c>
      <c r="B51" t="inlineStr"/>
      <c r="C51" t="inlineStr"/>
      <c r="D51" t="inlineStr">
        <is>
          <t>Lard</t>
        </is>
      </c>
      <c r="E51" s="22" t="n">
        <v>0.2</v>
      </c>
      <c r="F51" t="inlineStr">
        <is>
          <t>kg</t>
        </is>
      </c>
      <c r="G51" s="9" t="n">
        <v>1</v>
      </c>
      <c r="H51" s="18" t="n">
        <v>0.03</v>
      </c>
      <c r="I51" s="23">
        <f>IFERROR(E51/(1-H51),"")</f>
        <v>0.2061855670103093</v>
      </c>
      <c r="J51" s="11">
        <f>IFERROR(VLOOKUP($D51,'Settings'!$A$41:$C$89,2,FALSE),"")</f>
        <v>4.4</v>
      </c>
      <c r="K51" t="inlineStr">
        <is>
          <t>kg</t>
        </is>
      </c>
      <c r="L51" s="11">
        <f>IFERROR(I51/G51*J51,"")</f>
        <v>0.9072164948453609</v>
      </c>
    </row>
    <row r="52">
      <c r="A52" t="inlineStr">
        <is>
          <t>B6</t>
        </is>
      </c>
      <c r="B52" t="inlineStr"/>
      <c r="C52" t="inlineStr"/>
      <c r="D52" t="inlineStr">
        <is>
          <t>Granulated sugar</t>
        </is>
      </c>
      <c r="E52" s="22" t="n">
        <v>0.12</v>
      </c>
      <c r="F52" t="inlineStr">
        <is>
          <t>kg</t>
        </is>
      </c>
      <c r="G52" s="9" t="n">
        <v>1</v>
      </c>
      <c r="H52" s="18" t="n">
        <v>0.02</v>
      </c>
      <c r="I52" s="23">
        <f>IFERROR(E52/(1-H52),"")</f>
        <v>0.12244897959183673</v>
      </c>
      <c r="J52" s="11">
        <f>IFERROR(VLOOKUP($D52,'Settings'!$A$41:$C$89,2,FALSE),"")</f>
        <v>1.2</v>
      </c>
      <c r="K52" t="inlineStr">
        <is>
          <t>kg</t>
        </is>
      </c>
      <c r="L52" s="11">
        <f>IFERROR(I52/G52*J52,"")</f>
        <v>0.14693877551020407</v>
      </c>
    </row>
    <row r="53">
      <c r="A53" t="inlineStr">
        <is>
          <t>B6</t>
        </is>
      </c>
      <c r="B53" t="inlineStr"/>
      <c r="C53" t="inlineStr"/>
      <c r="D53" t="inlineStr">
        <is>
          <t>Eggs (each)</t>
        </is>
      </c>
      <c r="E53" s="22" t="n">
        <v>3</v>
      </c>
      <c r="F53" t="inlineStr">
        <is>
          <t>each</t>
        </is>
      </c>
      <c r="G53" s="9" t="n">
        <v>12</v>
      </c>
      <c r="H53" s="18" t="n">
        <v>0</v>
      </c>
      <c r="I53" s="23">
        <f>IFERROR(E53/(1-H53),"")</f>
        <v>3.0</v>
      </c>
      <c r="J53" s="11">
        <f>IFERROR(VLOOKUP($D53,'Settings'!$A$41:$C$89,2,FALSE),"")</f>
        <v>3.6</v>
      </c>
      <c r="K53" t="inlineStr">
        <is>
          <t>dozen</t>
        </is>
      </c>
      <c r="L53" s="11">
        <f>IFERROR(I53/G53*J53,"")</f>
        <v>0.9</v>
      </c>
    </row>
    <row r="54">
      <c r="A54" t="inlineStr">
        <is>
          <t>B6</t>
        </is>
      </c>
      <c r="B54" t="inlineStr"/>
      <c r="C54" t="inlineStr"/>
      <c r="D54" t="inlineStr">
        <is>
          <t>Fresh yeast</t>
        </is>
      </c>
      <c r="E54" s="22" t="n">
        <v>0.02</v>
      </c>
      <c r="F54" t="inlineStr">
        <is>
          <t>kg</t>
        </is>
      </c>
      <c r="G54" s="9" t="n">
        <v>1</v>
      </c>
      <c r="H54" s="18" t="n">
        <v>0.05</v>
      </c>
      <c r="I54" s="23">
        <f>IFERROR(E54/(1-H54),"")</f>
        <v>0.02105263157894737</v>
      </c>
      <c r="J54" s="11">
        <f>IFERROR(VLOOKUP($D54,'Settings'!$A$41:$C$89,2,FALSE),"")</f>
        <v>5.0</v>
      </c>
      <c r="K54" t="inlineStr">
        <is>
          <t>kg</t>
        </is>
      </c>
      <c r="L54" s="11">
        <f>IFERROR(I54/G54*J54,"")</f>
        <v>0.10526315789473686</v>
      </c>
    </row>
    <row r="55">
      <c r="A55" t="inlineStr">
        <is>
          <t>B6</t>
        </is>
      </c>
      <c r="B55" t="inlineStr"/>
      <c r="C55" t="inlineStr"/>
      <c r="D55" t="inlineStr">
        <is>
          <t>Salt</t>
        </is>
      </c>
      <c r="E55" s="22" t="n">
        <v>0.008</v>
      </c>
      <c r="F55" t="inlineStr">
        <is>
          <t>kg</t>
        </is>
      </c>
      <c r="G55" s="9" t="n">
        <v>1</v>
      </c>
      <c r="H55" s="18" t="n">
        <v>0.02</v>
      </c>
      <c r="I55" s="23">
        <f>IFERROR(E55/(1-H55),"")</f>
        <v>0.00816326530612245</v>
      </c>
      <c r="J55" s="11">
        <f>IFERROR(VLOOKUP($D55,'Settings'!$A$41:$C$89,2,FALSE),"")</f>
        <v>0.6</v>
      </c>
      <c r="K55" t="inlineStr">
        <is>
          <t>kg</t>
        </is>
      </c>
      <c r="L55" s="11">
        <f>IFERROR(I55/G55*J55,"")</f>
        <v>0.00489795918367347</v>
      </c>
    </row>
    <row r="56">
      <c r="A56" t="inlineStr">
        <is>
          <t>B6</t>
        </is>
      </c>
      <c r="B56" t="inlineStr"/>
      <c r="C56" t="inlineStr"/>
      <c r="D56" t="inlineStr">
        <is>
          <t>Powdered sugar</t>
        </is>
      </c>
      <c r="E56" s="22" t="n">
        <v>0.04</v>
      </c>
      <c r="F56" t="inlineStr">
        <is>
          <t>kg</t>
        </is>
      </c>
      <c r="G56" s="9" t="n">
        <v>1</v>
      </c>
      <c r="H56" s="18" t="n">
        <v>0.02</v>
      </c>
      <c r="I56" s="23">
        <f>IFERROR(E56/(1-H56),"")</f>
        <v>0.04081632653061225</v>
      </c>
      <c r="J56" s="11">
        <f>IFERROR(VLOOKUP($D56,'Settings'!$A$41:$C$89,2,FALSE),"")</f>
        <v>2.5</v>
      </c>
      <c r="K56" t="inlineStr">
        <is>
          <t>kg</t>
        </is>
      </c>
      <c r="L56" s="11">
        <f>IFERROR(I56/G56*J56,"")</f>
        <v>0.10204081632653061</v>
      </c>
    </row>
    <row r="57">
      <c r="A57" t="inlineStr">
        <is>
          <t>PI1</t>
        </is>
      </c>
      <c r="B57" t="inlineStr">
        <is>
          <t>Napoleon (mille-feuille)</t>
        </is>
      </c>
      <c r="C57" t="inlineStr">
        <is>
          <t>Individual pastries</t>
        </is>
      </c>
      <c r="D57" t="inlineStr">
        <is>
          <t>Pastry flour</t>
        </is>
      </c>
      <c r="E57" s="22" t="n">
        <v>0.35</v>
      </c>
      <c r="F57" t="inlineStr">
        <is>
          <t>kg</t>
        </is>
      </c>
      <c r="G57" s="9" t="n">
        <v>1</v>
      </c>
      <c r="H57" s="18" t="n">
        <v>0.08</v>
      </c>
      <c r="I57" s="23">
        <f>IFERROR(E57/(1-H57),"")</f>
        <v>0.3804347826086956</v>
      </c>
      <c r="J57" s="11">
        <f>IFERROR(VLOOKUP($D57,'Settings'!$A$41:$C$89,2,FALSE),"")</f>
        <v>0.9</v>
      </c>
      <c r="K57" t="inlineStr">
        <is>
          <t>kg</t>
        </is>
      </c>
      <c r="L57" s="11">
        <f>IFERROR(I57/G57*J57,"")</f>
        <v>0.34239130434782605</v>
      </c>
      <c r="M57" s="12" t="inlineStr">
        <is>
          <t>assumption</t>
        </is>
      </c>
    </row>
    <row r="58">
      <c r="A58" t="inlineStr">
        <is>
          <t>PI1</t>
        </is>
      </c>
      <c r="B58" t="inlineStr"/>
      <c r="C58" t="inlineStr"/>
      <c r="D58" t="inlineStr">
        <is>
          <t>Laminating butter (82% butterfat)</t>
        </is>
      </c>
      <c r="E58" s="22" t="n">
        <v>0.28</v>
      </c>
      <c r="F58" t="inlineStr">
        <is>
          <t>kg</t>
        </is>
      </c>
      <c r="G58" s="9" t="n">
        <v>1</v>
      </c>
      <c r="H58" s="18" t="n">
        <v>0.03</v>
      </c>
      <c r="I58" s="23">
        <f>IFERROR(E58/(1-H58),"")</f>
        <v>0.288659793814433</v>
      </c>
      <c r="J58" s="11">
        <f>IFERROR(VLOOKUP($D58,'Settings'!$A$41:$C$89,2,FALSE),"")</f>
        <v>12.0</v>
      </c>
      <c r="K58" t="inlineStr">
        <is>
          <t>kg</t>
        </is>
      </c>
      <c r="L58" s="11">
        <f>IFERROR(I58/G58*J58,"")</f>
        <v>3.463917525773196</v>
      </c>
    </row>
    <row r="59">
      <c r="A59" t="inlineStr">
        <is>
          <t>PI1</t>
        </is>
      </c>
      <c r="B59" t="inlineStr"/>
      <c r="C59" t="inlineStr"/>
      <c r="D59" t="inlineStr">
        <is>
          <t>Salt</t>
        </is>
      </c>
      <c r="E59" s="22" t="n">
        <v>0.008</v>
      </c>
      <c r="F59" t="inlineStr">
        <is>
          <t>kg</t>
        </is>
      </c>
      <c r="G59" s="9" t="n">
        <v>1</v>
      </c>
      <c r="H59" s="18" t="n">
        <v>0.02</v>
      </c>
      <c r="I59" s="23">
        <f>IFERROR(E59/(1-H59),"")</f>
        <v>0.00816326530612245</v>
      </c>
      <c r="J59" s="11">
        <f>IFERROR(VLOOKUP($D59,'Settings'!$A$41:$C$89,2,FALSE),"")</f>
        <v>0.6</v>
      </c>
      <c r="K59" t="inlineStr">
        <is>
          <t>kg</t>
        </is>
      </c>
      <c r="L59" s="11">
        <f>IFERROR(I59/G59*J59,"")</f>
        <v>0.00489795918367347</v>
      </c>
    </row>
    <row r="60">
      <c r="A60" t="inlineStr">
        <is>
          <t>PI1</t>
        </is>
      </c>
      <c r="B60" t="inlineStr"/>
      <c r="C60" t="inlineStr"/>
      <c r="D60" t="inlineStr">
        <is>
          <t>Whole milk</t>
        </is>
      </c>
      <c r="E60" s="22" t="n">
        <v>0.8</v>
      </c>
      <c r="F60" t="inlineStr">
        <is>
          <t>L</t>
        </is>
      </c>
      <c r="G60" s="9" t="n">
        <v>1</v>
      </c>
      <c r="H60" s="18" t="n">
        <v>0.02</v>
      </c>
      <c r="I60" s="23">
        <f>IFERROR(E60/(1-H60),"")</f>
        <v>0.8163265306122449</v>
      </c>
      <c r="J60" s="11">
        <f>IFERROR(VLOOKUP($D60,'Settings'!$A$41:$C$89,2,FALSE),"")</f>
        <v>1.1</v>
      </c>
      <c r="K60" t="inlineStr">
        <is>
          <t>L</t>
        </is>
      </c>
      <c r="L60" s="11">
        <f>IFERROR(I60/G60*J60,"")</f>
        <v>0.8979591836734695</v>
      </c>
    </row>
    <row r="61">
      <c r="A61" t="inlineStr">
        <is>
          <t>PI1</t>
        </is>
      </c>
      <c r="B61" t="inlineStr"/>
      <c r="C61" t="inlineStr"/>
      <c r="D61" t="inlineStr">
        <is>
          <t>Granulated sugar</t>
        </is>
      </c>
      <c r="E61" s="22" t="n">
        <v>0.18</v>
      </c>
      <c r="F61" t="inlineStr">
        <is>
          <t>kg</t>
        </is>
      </c>
      <c r="G61" s="9" t="n">
        <v>1</v>
      </c>
      <c r="H61" s="18" t="n">
        <v>0.02</v>
      </c>
      <c r="I61" s="23">
        <f>IFERROR(E61/(1-H61),"")</f>
        <v>0.1836734693877551</v>
      </c>
      <c r="J61" s="11">
        <f>IFERROR(VLOOKUP($D61,'Settings'!$A$41:$C$89,2,FALSE),"")</f>
        <v>1.2</v>
      </c>
      <c r="K61" t="inlineStr">
        <is>
          <t>kg</t>
        </is>
      </c>
      <c r="L61" s="11">
        <f>IFERROR(I61/G61*J61,"")</f>
        <v>0.22040816326530613</v>
      </c>
    </row>
    <row r="62">
      <c r="A62" t="inlineStr">
        <is>
          <t>PI1</t>
        </is>
      </c>
      <c r="B62" t="inlineStr"/>
      <c r="C62" t="inlineStr"/>
      <c r="D62" t="inlineStr">
        <is>
          <t>Eggs (each)</t>
        </is>
      </c>
      <c r="E62" s="22" t="n">
        <v>5</v>
      </c>
      <c r="F62" t="inlineStr">
        <is>
          <t>each</t>
        </is>
      </c>
      <c r="G62" s="9" t="n">
        <v>12</v>
      </c>
      <c r="H62" s="18" t="n">
        <v>0</v>
      </c>
      <c r="I62" s="23">
        <f>IFERROR(E62/(1-H62),"")</f>
        <v>5.0</v>
      </c>
      <c r="J62" s="11">
        <f>IFERROR(VLOOKUP($D62,'Settings'!$A$41:$C$89,2,FALSE),"")</f>
        <v>3.6</v>
      </c>
      <c r="K62" t="inlineStr">
        <is>
          <t>dozen</t>
        </is>
      </c>
      <c r="L62" s="11">
        <f>IFERROR(I62/G62*J62,"")</f>
        <v>1.5</v>
      </c>
    </row>
    <row r="63">
      <c r="A63" t="inlineStr">
        <is>
          <t>PI1</t>
        </is>
      </c>
      <c r="B63" t="inlineStr"/>
      <c r="C63" t="inlineStr"/>
      <c r="D63" t="inlineStr">
        <is>
          <t>Cornstarch</t>
        </is>
      </c>
      <c r="E63" s="22" t="n">
        <v>0.06</v>
      </c>
      <c r="F63" t="inlineStr">
        <is>
          <t>kg</t>
        </is>
      </c>
      <c r="G63" s="9" t="n">
        <v>1</v>
      </c>
      <c r="H63" s="18" t="n">
        <v>0.02</v>
      </c>
      <c r="I63" s="23">
        <f>IFERROR(E63/(1-H63),"")</f>
        <v>0.061224489795918366</v>
      </c>
      <c r="J63" s="11">
        <f>IFERROR(VLOOKUP($D63,'Settings'!$A$41:$C$89,2,FALSE),"")</f>
        <v>2.1</v>
      </c>
      <c r="K63" t="inlineStr">
        <is>
          <t>kg</t>
        </is>
      </c>
      <c r="L63" s="11">
        <f>IFERROR(I63/G63*J63,"")</f>
        <v>0.1285714285714286</v>
      </c>
    </row>
    <row r="64">
      <c r="A64" t="inlineStr">
        <is>
          <t>PI1</t>
        </is>
      </c>
      <c r="B64" t="inlineStr"/>
      <c r="C64" t="inlineStr"/>
      <c r="D64" t="inlineStr">
        <is>
          <t>Vanilla bean paste</t>
        </is>
      </c>
      <c r="E64" s="22" t="n">
        <v>0.002</v>
      </c>
      <c r="F64" t="inlineStr">
        <is>
          <t>kg</t>
        </is>
      </c>
      <c r="G64" s="9" t="n">
        <v>1</v>
      </c>
      <c r="H64" s="18" t="n">
        <v>0</v>
      </c>
      <c r="I64" s="23">
        <f>IFERROR(E64/(1-H64),"")</f>
        <v>0.002</v>
      </c>
      <c r="J64" s="11">
        <f>IFERROR(VLOOKUP($D64,'Settings'!$A$41:$C$89,2,FALSE),"")</f>
        <v>92.0</v>
      </c>
      <c r="K64" t="inlineStr">
        <is>
          <t>kg</t>
        </is>
      </c>
      <c r="L64" s="11">
        <f>IFERROR(I64/G64*J64,"")</f>
        <v>0.184</v>
      </c>
    </row>
    <row r="65">
      <c r="A65" t="inlineStr">
        <is>
          <t>PI1</t>
        </is>
      </c>
      <c r="B65" t="inlineStr"/>
      <c r="C65" t="inlineStr"/>
      <c r="D65" t="inlineStr">
        <is>
          <t>Heavy cream (35% fat)</t>
        </is>
      </c>
      <c r="E65" s="22" t="n">
        <v>0.3</v>
      </c>
      <c r="F65" t="inlineStr">
        <is>
          <t>L</t>
        </is>
      </c>
      <c r="G65" s="9" t="n">
        <v>1</v>
      </c>
      <c r="H65" s="18" t="n">
        <v>0.03</v>
      </c>
      <c r="I65" s="23">
        <f>IFERROR(E65/(1-H65),"")</f>
        <v>0.30927835051546393</v>
      </c>
      <c r="J65" s="11">
        <f>IFERROR(VLOOKUP($D65,'Settings'!$A$41:$C$89,2,FALSE),"")</f>
        <v>3.8</v>
      </c>
      <c r="K65" t="inlineStr">
        <is>
          <t>L</t>
        </is>
      </c>
      <c r="L65" s="11">
        <f>IFERROR(I65/G65*J65,"")</f>
        <v>1.175257731958763</v>
      </c>
    </row>
    <row r="66">
      <c r="A66" t="inlineStr">
        <is>
          <t>PI1</t>
        </is>
      </c>
      <c r="B66" t="inlineStr"/>
      <c r="C66" t="inlineStr"/>
      <c r="D66" t="inlineStr">
        <is>
          <t>Powdered sugar</t>
        </is>
      </c>
      <c r="E66" s="22" t="n">
        <v>0.05</v>
      </c>
      <c r="F66" t="inlineStr">
        <is>
          <t>kg</t>
        </is>
      </c>
      <c r="G66" s="9" t="n">
        <v>1</v>
      </c>
      <c r="H66" s="18" t="n">
        <v>0.02</v>
      </c>
      <c r="I66" s="23">
        <f>IFERROR(E66/(1-H66),"")</f>
        <v>0.05102040816326531</v>
      </c>
      <c r="J66" s="11">
        <f>IFERROR(VLOOKUP($D66,'Settings'!$A$41:$C$89,2,FALSE),"")</f>
        <v>2.5</v>
      </c>
      <c r="K66" t="inlineStr">
        <is>
          <t>kg</t>
        </is>
      </c>
      <c r="L66" s="11">
        <f>IFERROR(I66/G66*J66,"")</f>
        <v>0.12755102040816327</v>
      </c>
    </row>
    <row r="67">
      <c r="A67" t="inlineStr">
        <is>
          <t>PI2</t>
        </is>
      </c>
      <c r="B67" t="inlineStr">
        <is>
          <t>Éclair</t>
        </is>
      </c>
      <c r="C67" t="inlineStr">
        <is>
          <t>Individual pastries</t>
        </is>
      </c>
      <c r="D67" t="inlineStr">
        <is>
          <t>Pastry flour</t>
        </is>
      </c>
      <c r="E67" s="22" t="n">
        <v>0.18</v>
      </c>
      <c r="F67" t="inlineStr">
        <is>
          <t>kg</t>
        </is>
      </c>
      <c r="G67" s="9" t="n">
        <v>1</v>
      </c>
      <c r="H67" s="18" t="n">
        <v>0.08</v>
      </c>
      <c r="I67" s="23">
        <f>IFERROR(E67/(1-H67),"")</f>
        <v>0.19565217391304346</v>
      </c>
      <c r="J67" s="11">
        <f>IFERROR(VLOOKUP($D67,'Settings'!$A$41:$C$89,2,FALSE),"")</f>
        <v>0.9</v>
      </c>
      <c r="K67" t="inlineStr">
        <is>
          <t>kg</t>
        </is>
      </c>
      <c r="L67" s="11">
        <f>IFERROR(I67/G67*J67,"")</f>
        <v>0.1760869565217391</v>
      </c>
      <c r="M67" s="12" t="inlineStr">
        <is>
          <t>assumption</t>
        </is>
      </c>
    </row>
    <row r="68">
      <c r="A68" t="inlineStr">
        <is>
          <t>PI2</t>
        </is>
      </c>
      <c r="B68" t="inlineStr"/>
      <c r="C68" t="inlineStr"/>
      <c r="D68" t="inlineStr">
        <is>
          <t>Butter</t>
        </is>
      </c>
      <c r="E68" s="22" t="n">
        <v>0.14</v>
      </c>
      <c r="F68" t="inlineStr">
        <is>
          <t>kg</t>
        </is>
      </c>
      <c r="G68" s="9" t="n">
        <v>1</v>
      </c>
      <c r="H68" s="18" t="n">
        <v>0.03</v>
      </c>
      <c r="I68" s="23">
        <f>IFERROR(E68/(1-H68),"")</f>
        <v>0.1443298969072165</v>
      </c>
      <c r="J68" s="11">
        <f>IFERROR(VLOOKUP($D68,'Settings'!$A$41:$C$89,2,FALSE),"")</f>
        <v>9.0</v>
      </c>
      <c r="K68" t="inlineStr">
        <is>
          <t>kg</t>
        </is>
      </c>
      <c r="L68" s="11">
        <f>IFERROR(I68/G68*J68,"")</f>
        <v>1.2989690721649485</v>
      </c>
    </row>
    <row r="69">
      <c r="A69" t="inlineStr">
        <is>
          <t>PI2</t>
        </is>
      </c>
      <c r="B69" t="inlineStr"/>
      <c r="C69" t="inlineStr"/>
      <c r="D69" t="inlineStr">
        <is>
          <t>Eggs (each)</t>
        </is>
      </c>
      <c r="E69" s="22" t="n">
        <v>6</v>
      </c>
      <c r="F69" t="inlineStr">
        <is>
          <t>each</t>
        </is>
      </c>
      <c r="G69" s="9" t="n">
        <v>12</v>
      </c>
      <c r="H69" s="18" t="n">
        <v>0</v>
      </c>
      <c r="I69" s="23">
        <f>IFERROR(E69/(1-H69),"")</f>
        <v>6.0</v>
      </c>
      <c r="J69" s="11">
        <f>IFERROR(VLOOKUP($D69,'Settings'!$A$41:$C$89,2,FALSE),"")</f>
        <v>3.6</v>
      </c>
      <c r="K69" t="inlineStr">
        <is>
          <t>dozen</t>
        </is>
      </c>
      <c r="L69" s="11">
        <f>IFERROR(I69/G69*J69,"")</f>
        <v>1.8</v>
      </c>
    </row>
    <row r="70">
      <c r="A70" t="inlineStr">
        <is>
          <t>PI2</t>
        </is>
      </c>
      <c r="B70" t="inlineStr"/>
      <c r="C70" t="inlineStr"/>
      <c r="D70" t="inlineStr">
        <is>
          <t>Salt</t>
        </is>
      </c>
      <c r="E70" s="22" t="n">
        <v>0.004</v>
      </c>
      <c r="F70" t="inlineStr">
        <is>
          <t>kg</t>
        </is>
      </c>
      <c r="G70" s="9" t="n">
        <v>1</v>
      </c>
      <c r="H70" s="18" t="n">
        <v>0.02</v>
      </c>
      <c r="I70" s="23">
        <f>IFERROR(E70/(1-H70),"")</f>
        <v>0.004081632653061225</v>
      </c>
      <c r="J70" s="11">
        <f>IFERROR(VLOOKUP($D70,'Settings'!$A$41:$C$89,2,FALSE),"")</f>
        <v>0.6</v>
      </c>
      <c r="K70" t="inlineStr">
        <is>
          <t>kg</t>
        </is>
      </c>
      <c r="L70" s="11">
        <f>IFERROR(I70/G70*J70,"")</f>
        <v>0.002448979591836735</v>
      </c>
    </row>
    <row r="71">
      <c r="A71" t="inlineStr">
        <is>
          <t>PI2</t>
        </is>
      </c>
      <c r="B71" t="inlineStr"/>
      <c r="C71" t="inlineStr"/>
      <c r="D71" t="inlineStr">
        <is>
          <t>Whole milk</t>
        </is>
      </c>
      <c r="E71" s="22" t="n">
        <v>0.7</v>
      </c>
      <c r="F71" t="inlineStr">
        <is>
          <t>L</t>
        </is>
      </c>
      <c r="G71" s="9" t="n">
        <v>1</v>
      </c>
      <c r="H71" s="18" t="n">
        <v>0.02</v>
      </c>
      <c r="I71" s="23">
        <f>IFERROR(E71/(1-H71),"")</f>
        <v>0.7142857142857143</v>
      </c>
      <c r="J71" s="11">
        <f>IFERROR(VLOOKUP($D71,'Settings'!$A$41:$C$89,2,FALSE),"")</f>
        <v>1.1</v>
      </c>
      <c r="K71" t="inlineStr">
        <is>
          <t>L</t>
        </is>
      </c>
      <c r="L71" s="11">
        <f>IFERROR(I71/G71*J71,"")</f>
        <v>0.7857142857142858</v>
      </c>
    </row>
    <row r="72">
      <c r="A72" t="inlineStr">
        <is>
          <t>PI2</t>
        </is>
      </c>
      <c r="B72" t="inlineStr"/>
      <c r="C72" t="inlineStr"/>
      <c r="D72" t="inlineStr">
        <is>
          <t>Granulated sugar</t>
        </is>
      </c>
      <c r="E72" s="22" t="n">
        <v>0.16</v>
      </c>
      <c r="F72" t="inlineStr">
        <is>
          <t>kg</t>
        </is>
      </c>
      <c r="G72" s="9" t="n">
        <v>1</v>
      </c>
      <c r="H72" s="18" t="n">
        <v>0.02</v>
      </c>
      <c r="I72" s="23">
        <f>IFERROR(E72/(1-H72),"")</f>
        <v>0.163265306122449</v>
      </c>
      <c r="J72" s="11">
        <f>IFERROR(VLOOKUP($D72,'Settings'!$A$41:$C$89,2,FALSE),"")</f>
        <v>1.2</v>
      </c>
      <c r="K72" t="inlineStr">
        <is>
          <t>kg</t>
        </is>
      </c>
      <c r="L72" s="11">
        <f>IFERROR(I72/G72*J72,"")</f>
        <v>0.1959183673469388</v>
      </c>
    </row>
    <row r="73">
      <c r="A73" t="inlineStr">
        <is>
          <t>PI2</t>
        </is>
      </c>
      <c r="B73" t="inlineStr"/>
      <c r="C73" t="inlineStr"/>
      <c r="D73" t="inlineStr">
        <is>
          <t>Eggs (each)</t>
        </is>
      </c>
      <c r="E73" s="22" t="n">
        <v>4</v>
      </c>
      <c r="F73" t="inlineStr">
        <is>
          <t>each</t>
        </is>
      </c>
      <c r="G73" s="9" t="n">
        <v>12</v>
      </c>
      <c r="H73" s="18" t="n">
        <v>0</v>
      </c>
      <c r="I73" s="23">
        <f>IFERROR(E73/(1-H73),"")</f>
        <v>4.0</v>
      </c>
      <c r="J73" s="11">
        <f>IFERROR(VLOOKUP($D73,'Settings'!$A$41:$C$89,2,FALSE),"")</f>
        <v>3.6</v>
      </c>
      <c r="K73" t="inlineStr">
        <is>
          <t>dozen</t>
        </is>
      </c>
      <c r="L73" s="11">
        <f>IFERROR(I73/G73*J73,"")</f>
        <v>1.2</v>
      </c>
    </row>
    <row r="74">
      <c r="A74" t="inlineStr">
        <is>
          <t>PI2</t>
        </is>
      </c>
      <c r="B74" t="inlineStr"/>
      <c r="C74" t="inlineStr"/>
      <c r="D74" t="inlineStr">
        <is>
          <t>Cornstarch</t>
        </is>
      </c>
      <c r="E74" s="22" t="n">
        <v>0.055</v>
      </c>
      <c r="F74" t="inlineStr">
        <is>
          <t>kg</t>
        </is>
      </c>
      <c r="G74" s="9" t="n">
        <v>1</v>
      </c>
      <c r="H74" s="18" t="n">
        <v>0.02</v>
      </c>
      <c r="I74" s="23">
        <f>IFERROR(E74/(1-H74),"")</f>
        <v>0.05612244897959184</v>
      </c>
      <c r="J74" s="11">
        <f>IFERROR(VLOOKUP($D74,'Settings'!$A$41:$C$89,2,FALSE),"")</f>
        <v>2.1</v>
      </c>
      <c r="K74" t="inlineStr">
        <is>
          <t>kg</t>
        </is>
      </c>
      <c r="L74" s="11">
        <f>IFERROR(I74/G74*J74,"")</f>
        <v>0.11785714285714287</v>
      </c>
    </row>
    <row r="75">
      <c r="A75" t="inlineStr">
        <is>
          <t>PI2</t>
        </is>
      </c>
      <c r="B75" t="inlineStr"/>
      <c r="C75" t="inlineStr"/>
      <c r="D75" t="inlineStr">
        <is>
          <t>Vanilla bean paste</t>
        </is>
      </c>
      <c r="E75" s="22" t="n">
        <v>0.002</v>
      </c>
      <c r="F75" t="inlineStr">
        <is>
          <t>kg</t>
        </is>
      </c>
      <c r="G75" s="9" t="n">
        <v>1</v>
      </c>
      <c r="H75" s="18" t="n">
        <v>0</v>
      </c>
      <c r="I75" s="23">
        <f>IFERROR(E75/(1-H75),"")</f>
        <v>0.002</v>
      </c>
      <c r="J75" s="11">
        <f>IFERROR(VLOOKUP($D75,'Settings'!$A$41:$C$89,2,FALSE),"")</f>
        <v>92.0</v>
      </c>
      <c r="K75" t="inlineStr">
        <is>
          <t>kg</t>
        </is>
      </c>
      <c r="L75" s="11">
        <f>IFERROR(I75/G75*J75,"")</f>
        <v>0.184</v>
      </c>
    </row>
    <row r="76">
      <c r="A76" t="inlineStr">
        <is>
          <t>PI2</t>
        </is>
      </c>
      <c r="B76" t="inlineStr"/>
      <c r="C76" t="inlineStr"/>
      <c r="D76" t="inlineStr">
        <is>
          <t>Dark chocolate 70%</t>
        </is>
      </c>
      <c r="E76" s="22" t="n">
        <v>0.12</v>
      </c>
      <c r="F76" t="inlineStr">
        <is>
          <t>kg</t>
        </is>
      </c>
      <c r="G76" s="9" t="n">
        <v>1</v>
      </c>
      <c r="H76" s="18" t="n">
        <v>0.02</v>
      </c>
      <c r="I76" s="23">
        <f>IFERROR(E76/(1-H76),"")</f>
        <v>0.12244897959183673</v>
      </c>
      <c r="J76" s="11">
        <f>IFERROR(VLOOKUP($D76,'Settings'!$A$41:$C$89,2,FALSE),"")</f>
        <v>18.0</v>
      </c>
      <c r="K76" t="inlineStr">
        <is>
          <t>kg</t>
        </is>
      </c>
      <c r="L76" s="11">
        <f>IFERROR(I76/G76*J76,"")</f>
        <v>2.204081632653061</v>
      </c>
    </row>
    <row r="77">
      <c r="A77" t="inlineStr">
        <is>
          <t>PI2</t>
        </is>
      </c>
      <c r="B77" t="inlineStr"/>
      <c r="C77" t="inlineStr"/>
      <c r="D77" t="inlineStr">
        <is>
          <t>Powdered sugar</t>
        </is>
      </c>
      <c r="E77" s="22" t="n">
        <v>0.06</v>
      </c>
      <c r="F77" t="inlineStr">
        <is>
          <t>kg</t>
        </is>
      </c>
      <c r="G77" s="9" t="n">
        <v>1</v>
      </c>
      <c r="H77" s="18" t="n">
        <v>0.02</v>
      </c>
      <c r="I77" s="23">
        <f>IFERROR(E77/(1-H77),"")</f>
        <v>0.061224489795918366</v>
      </c>
      <c r="J77" s="11">
        <f>IFERROR(VLOOKUP($D77,'Settings'!$A$41:$C$89,2,FALSE),"")</f>
        <v>2.5</v>
      </c>
      <c r="K77" t="inlineStr">
        <is>
          <t>kg</t>
        </is>
      </c>
      <c r="L77" s="11">
        <f>IFERROR(I77/G77*J77,"")</f>
        <v>0.15306122448979592</v>
      </c>
    </row>
    <row r="78">
      <c r="A78" t="inlineStr">
        <is>
          <t>PI3</t>
        </is>
      </c>
      <c r="B78" t="inlineStr">
        <is>
          <t>Raspberry macarons</t>
        </is>
      </c>
      <c r="C78" t="inlineStr">
        <is>
          <t>Individual pastries</t>
        </is>
      </c>
      <c r="D78" t="inlineStr">
        <is>
          <t>Almond flour</t>
        </is>
      </c>
      <c r="E78" s="22" t="n">
        <v>0.15</v>
      </c>
      <c r="F78" t="inlineStr">
        <is>
          <t>kg</t>
        </is>
      </c>
      <c r="G78" s="9" t="n">
        <v>1</v>
      </c>
      <c r="H78" s="18" t="n">
        <v>0.02</v>
      </c>
      <c r="I78" s="23">
        <f>IFERROR(E78/(1-H78),"")</f>
        <v>0.15306122448979592</v>
      </c>
      <c r="J78" s="11">
        <f>IFERROR(VLOOKUP($D78,'Settings'!$A$41:$C$89,2,FALSE),"")</f>
        <v>14.0</v>
      </c>
      <c r="K78" t="inlineStr">
        <is>
          <t>kg</t>
        </is>
      </c>
      <c r="L78" s="11">
        <f>IFERROR(I78/G78*J78,"")</f>
        <v>2.142857142857143</v>
      </c>
      <c r="M78" s="12" t="inlineStr">
        <is>
          <t>EXACT COPY of the Food Cost Kit Pro (05-bakery-cake-pricing, "Macarons" sheet). Same costing in both products: a customer who owns both can't see two different costs for the same piece.</t>
        </is>
      </c>
    </row>
    <row r="79">
      <c r="A79" t="inlineStr">
        <is>
          <t>PI3</t>
        </is>
      </c>
      <c r="B79" t="inlineStr"/>
      <c r="C79" t="inlineStr"/>
      <c r="D79" t="inlineStr">
        <is>
          <t>Powdered sugar</t>
        </is>
      </c>
      <c r="E79" s="22" t="n">
        <v>0.15</v>
      </c>
      <c r="F79" t="inlineStr">
        <is>
          <t>kg</t>
        </is>
      </c>
      <c r="G79" s="9" t="n">
        <v>1</v>
      </c>
      <c r="H79" s="18" t="n">
        <v>0.02</v>
      </c>
      <c r="I79" s="23">
        <f>IFERROR(E79/(1-H79),"")</f>
        <v>0.15306122448979592</v>
      </c>
      <c r="J79" s="11">
        <f>IFERROR(VLOOKUP($D79,'Settings'!$A$41:$C$89,2,FALSE),"")</f>
        <v>2.5</v>
      </c>
      <c r="K79" t="inlineStr">
        <is>
          <t>kg</t>
        </is>
      </c>
      <c r="L79" s="11">
        <f>IFERROR(I79/G79*J79,"")</f>
        <v>0.38265306122448983</v>
      </c>
    </row>
    <row r="80">
      <c r="A80" t="inlineStr">
        <is>
          <t>PI3</t>
        </is>
      </c>
      <c r="B80" t="inlineStr"/>
      <c r="C80" t="inlineStr"/>
      <c r="D80" t="inlineStr">
        <is>
          <t>Egg whites</t>
        </is>
      </c>
      <c r="E80" s="22" t="n">
        <v>0.11</v>
      </c>
      <c r="F80" t="inlineStr">
        <is>
          <t>kg</t>
        </is>
      </c>
      <c r="G80" s="9" t="n">
        <v>1</v>
      </c>
      <c r="H80" s="18" t="n">
        <v>0.05</v>
      </c>
      <c r="I80" s="23">
        <f>IFERROR(E80/(1-H80),"")</f>
        <v>0.11578947368421053</v>
      </c>
      <c r="J80" s="11">
        <f>IFERROR(VLOOKUP($D80,'Settings'!$A$41:$C$89,2,FALSE),"")</f>
        <v>6.0</v>
      </c>
      <c r="K80" t="inlineStr">
        <is>
          <t>kg</t>
        </is>
      </c>
      <c r="L80" s="11">
        <f>IFERROR(I80/G80*J80,"")</f>
        <v>0.6947368421052631</v>
      </c>
    </row>
    <row r="81">
      <c r="A81" t="inlineStr">
        <is>
          <t>PI3</t>
        </is>
      </c>
      <c r="B81" t="inlineStr"/>
      <c r="C81" t="inlineStr"/>
      <c r="D81" t="inlineStr">
        <is>
          <t>Granulated sugar</t>
        </is>
      </c>
      <c r="E81" s="22" t="n">
        <v>0.15</v>
      </c>
      <c r="F81" t="inlineStr">
        <is>
          <t>kg</t>
        </is>
      </c>
      <c r="G81" s="9" t="n">
        <v>1</v>
      </c>
      <c r="H81" s="18" t="n">
        <v>0.02</v>
      </c>
      <c r="I81" s="23">
        <f>IFERROR(E81/(1-H81),"")</f>
        <v>0.15306122448979592</v>
      </c>
      <c r="J81" s="11">
        <f>IFERROR(VLOOKUP($D81,'Settings'!$A$41:$C$89,2,FALSE),"")</f>
        <v>1.2</v>
      </c>
      <c r="K81" t="inlineStr">
        <is>
          <t>kg</t>
        </is>
      </c>
      <c r="L81" s="11">
        <f>IFERROR(I81/G81*J81,"")</f>
        <v>0.1836734693877551</v>
      </c>
    </row>
    <row r="82">
      <c r="A82" t="inlineStr">
        <is>
          <t>PI3</t>
        </is>
      </c>
      <c r="B82" t="inlineStr"/>
      <c r="C82" t="inlineStr"/>
      <c r="D82" t="inlineStr">
        <is>
          <t>Frozen raspberries</t>
        </is>
      </c>
      <c r="E82" s="22" t="n">
        <v>0.1</v>
      </c>
      <c r="F82" t="inlineStr">
        <is>
          <t>kg</t>
        </is>
      </c>
      <c r="G82" s="9" t="n">
        <v>1</v>
      </c>
      <c r="H82" s="18" t="n">
        <v>0.07000000000000001</v>
      </c>
      <c r="I82" s="23">
        <f>IFERROR(E82/(1-H82),"")</f>
        <v>0.10752688172043012</v>
      </c>
      <c r="J82" s="11">
        <f>IFERROR(VLOOKUP($D82,'Settings'!$A$41:$C$89,2,FALSE),"")</f>
        <v>9.0</v>
      </c>
      <c r="K82" t="inlineStr">
        <is>
          <t>kg</t>
        </is>
      </c>
      <c r="L82" s="11">
        <f>IFERROR(I82/G82*J82,"")</f>
        <v>0.9677419354838711</v>
      </c>
    </row>
    <row r="83">
      <c r="A83" t="inlineStr">
        <is>
          <t>PI3</t>
        </is>
      </c>
      <c r="B83" t="inlineStr"/>
      <c r="C83" t="inlineStr"/>
      <c r="D83" t="inlineStr">
        <is>
          <t>White chocolate</t>
        </is>
      </c>
      <c r="E83" s="22" t="n">
        <v>0.08</v>
      </c>
      <c r="F83" t="inlineStr">
        <is>
          <t>kg</t>
        </is>
      </c>
      <c r="G83" s="9" t="n">
        <v>1</v>
      </c>
      <c r="H83" s="18" t="n">
        <v>0.12</v>
      </c>
      <c r="I83" s="23">
        <f>IFERROR(E83/(1-H83),"")</f>
        <v>0.09090909090909091</v>
      </c>
      <c r="J83" s="11">
        <f>IFERROR(VLOOKUP($D83,'Settings'!$A$41:$C$89,2,FALSE),"")</f>
        <v>15.0</v>
      </c>
      <c r="K83" t="inlineStr">
        <is>
          <t>kg</t>
        </is>
      </c>
      <c r="L83" s="11">
        <f>IFERROR(I83/G83*J83,"")</f>
        <v>1.3636363636363638</v>
      </c>
    </row>
    <row r="84">
      <c r="A84" t="inlineStr">
        <is>
          <t>PI3</t>
        </is>
      </c>
      <c r="B84" t="inlineStr"/>
      <c r="C84" t="inlineStr"/>
      <c r="D84" t="inlineStr">
        <is>
          <t>Red food coloring (50 g jar · 2 g per batch)</t>
        </is>
      </c>
      <c r="E84" s="22" t="n">
        <v>0.04</v>
      </c>
      <c r="F84" t="inlineStr">
        <is>
          <t>each</t>
        </is>
      </c>
      <c r="G84" s="9" t="n">
        <v>1</v>
      </c>
      <c r="H84" s="18" t="n">
        <v>0</v>
      </c>
      <c r="I84" s="23">
        <f>IFERROR(E84/(1-H84),"")</f>
        <v>0.04</v>
      </c>
      <c r="J84" s="11">
        <f>IFERROR(VLOOKUP($D84,'Settings'!$A$41:$C$89,2,FALSE),"")</f>
        <v>4.0</v>
      </c>
      <c r="K84" t="inlineStr">
        <is>
          <t>each</t>
        </is>
      </c>
      <c r="L84" s="11">
        <f>IFERROR(I84/G84*J84,"")</f>
        <v>0.16</v>
      </c>
    </row>
    <row r="85">
      <c r="A85" t="inlineStr">
        <is>
          <t>PI4</t>
        </is>
      </c>
      <c r="B85" t="inlineStr">
        <is>
          <t>Fruit tart</t>
        </is>
      </c>
      <c r="C85" t="inlineStr">
        <is>
          <t>Individual pastries</t>
        </is>
      </c>
      <c r="D85" t="inlineStr">
        <is>
          <t>Pastry flour</t>
        </is>
      </c>
      <c r="E85" s="22" t="n">
        <v>0.4</v>
      </c>
      <c r="F85" t="inlineStr">
        <is>
          <t>kg</t>
        </is>
      </c>
      <c r="G85" s="9" t="n">
        <v>1</v>
      </c>
      <c r="H85" s="18" t="n">
        <v>0.08</v>
      </c>
      <c r="I85" s="23">
        <f>IFERROR(E85/(1-H85),"")</f>
        <v>0.43478260869565216</v>
      </c>
      <c r="J85" s="11">
        <f>IFERROR(VLOOKUP($D85,'Settings'!$A$41:$C$89,2,FALSE),"")</f>
        <v>0.9</v>
      </c>
      <c r="K85" t="inlineStr">
        <is>
          <t>kg</t>
        </is>
      </c>
      <c r="L85" s="11">
        <f>IFERROR(I85/G85*J85,"")</f>
        <v>0.391304347826087</v>
      </c>
      <c r="M85" s="12" t="inlineStr">
        <is>
          <t>assumption</t>
        </is>
      </c>
    </row>
    <row r="86">
      <c r="A86" t="inlineStr">
        <is>
          <t>PI4</t>
        </is>
      </c>
      <c r="B86" t="inlineStr"/>
      <c r="C86" t="inlineStr"/>
      <c r="D86" t="inlineStr">
        <is>
          <t>Butter</t>
        </is>
      </c>
      <c r="E86" s="22" t="n">
        <v>0.2</v>
      </c>
      <c r="F86" t="inlineStr">
        <is>
          <t>kg</t>
        </is>
      </c>
      <c r="G86" s="9" t="n">
        <v>1</v>
      </c>
      <c r="H86" s="18" t="n">
        <v>0.03</v>
      </c>
      <c r="I86" s="23">
        <f>IFERROR(E86/(1-H86),"")</f>
        <v>0.2061855670103093</v>
      </c>
      <c r="J86" s="11">
        <f>IFERROR(VLOOKUP($D86,'Settings'!$A$41:$C$89,2,FALSE),"")</f>
        <v>9.0</v>
      </c>
      <c r="K86" t="inlineStr">
        <is>
          <t>kg</t>
        </is>
      </c>
      <c r="L86" s="11">
        <f>IFERROR(I86/G86*J86,"")</f>
        <v>1.8556701030927836</v>
      </c>
    </row>
    <row r="87">
      <c r="A87" t="inlineStr">
        <is>
          <t>PI4</t>
        </is>
      </c>
      <c r="B87" t="inlineStr"/>
      <c r="C87" t="inlineStr"/>
      <c r="D87" t="inlineStr">
        <is>
          <t>Powdered sugar</t>
        </is>
      </c>
      <c r="E87" s="22" t="n">
        <v>0.12</v>
      </c>
      <c r="F87" t="inlineStr">
        <is>
          <t>kg</t>
        </is>
      </c>
      <c r="G87" s="9" t="n">
        <v>1</v>
      </c>
      <c r="H87" s="18" t="n">
        <v>0.02</v>
      </c>
      <c r="I87" s="23">
        <f>IFERROR(E87/(1-H87),"")</f>
        <v>0.12244897959183673</v>
      </c>
      <c r="J87" s="11">
        <f>IFERROR(VLOOKUP($D87,'Settings'!$A$41:$C$89,2,FALSE),"")</f>
        <v>2.5</v>
      </c>
      <c r="K87" t="inlineStr">
        <is>
          <t>kg</t>
        </is>
      </c>
      <c r="L87" s="11">
        <f>IFERROR(I87/G87*J87,"")</f>
        <v>0.30612244897959184</v>
      </c>
    </row>
    <row r="88">
      <c r="A88" t="inlineStr">
        <is>
          <t>PI4</t>
        </is>
      </c>
      <c r="B88" t="inlineStr"/>
      <c r="C88" t="inlineStr"/>
      <c r="D88" t="inlineStr">
        <is>
          <t>Eggs (each)</t>
        </is>
      </c>
      <c r="E88" s="22" t="n">
        <v>2</v>
      </c>
      <c r="F88" t="inlineStr">
        <is>
          <t>each</t>
        </is>
      </c>
      <c r="G88" s="9" t="n">
        <v>12</v>
      </c>
      <c r="H88" s="18" t="n">
        <v>0</v>
      </c>
      <c r="I88" s="23">
        <f>IFERROR(E88/(1-H88),"")</f>
        <v>2.0</v>
      </c>
      <c r="J88" s="11">
        <f>IFERROR(VLOOKUP($D88,'Settings'!$A$41:$C$89,2,FALSE),"")</f>
        <v>3.6</v>
      </c>
      <c r="K88" t="inlineStr">
        <is>
          <t>dozen</t>
        </is>
      </c>
      <c r="L88" s="11">
        <f>IFERROR(I88/G88*J88,"")</f>
        <v>0.6</v>
      </c>
    </row>
    <row r="89">
      <c r="A89" t="inlineStr">
        <is>
          <t>PI4</t>
        </is>
      </c>
      <c r="B89" t="inlineStr"/>
      <c r="C89" t="inlineStr"/>
      <c r="D89" t="inlineStr">
        <is>
          <t>Salt</t>
        </is>
      </c>
      <c r="E89" s="22" t="n">
        <v>0.004</v>
      </c>
      <c r="F89" t="inlineStr">
        <is>
          <t>kg</t>
        </is>
      </c>
      <c r="G89" s="9" t="n">
        <v>1</v>
      </c>
      <c r="H89" s="18" t="n">
        <v>0.02</v>
      </c>
      <c r="I89" s="23">
        <f>IFERROR(E89/(1-H89),"")</f>
        <v>0.004081632653061225</v>
      </c>
      <c r="J89" s="11">
        <f>IFERROR(VLOOKUP($D89,'Settings'!$A$41:$C$89,2,FALSE),"")</f>
        <v>0.6</v>
      </c>
      <c r="K89" t="inlineStr">
        <is>
          <t>kg</t>
        </is>
      </c>
      <c r="L89" s="11">
        <f>IFERROR(I89/G89*J89,"")</f>
        <v>0.002448979591836735</v>
      </c>
    </row>
    <row r="90">
      <c r="A90" t="inlineStr">
        <is>
          <t>PI4</t>
        </is>
      </c>
      <c r="B90" t="inlineStr"/>
      <c r="C90" t="inlineStr"/>
      <c r="D90" t="inlineStr">
        <is>
          <t>Whole milk</t>
        </is>
      </c>
      <c r="E90" s="22" t="n">
        <v>0.5</v>
      </c>
      <c r="F90" t="inlineStr">
        <is>
          <t>L</t>
        </is>
      </c>
      <c r="G90" s="9" t="n">
        <v>1</v>
      </c>
      <c r="H90" s="18" t="n">
        <v>0.02</v>
      </c>
      <c r="I90" s="23">
        <f>IFERROR(E90/(1-H90),"")</f>
        <v>0.5102040816326531</v>
      </c>
      <c r="J90" s="11">
        <f>IFERROR(VLOOKUP($D90,'Settings'!$A$41:$C$89,2,FALSE),"")</f>
        <v>1.1</v>
      </c>
      <c r="K90" t="inlineStr">
        <is>
          <t>L</t>
        </is>
      </c>
      <c r="L90" s="11">
        <f>IFERROR(I90/G90*J90,"")</f>
        <v>0.5612244897959184</v>
      </c>
    </row>
    <row r="91">
      <c r="A91" t="inlineStr">
        <is>
          <t>PI4</t>
        </is>
      </c>
      <c r="B91" t="inlineStr"/>
      <c r="C91" t="inlineStr"/>
      <c r="D91" t="inlineStr">
        <is>
          <t>Granulated sugar</t>
        </is>
      </c>
      <c r="E91" s="22" t="n">
        <v>0.11</v>
      </c>
      <c r="F91" t="inlineStr">
        <is>
          <t>kg</t>
        </is>
      </c>
      <c r="G91" s="9" t="n">
        <v>1</v>
      </c>
      <c r="H91" s="18" t="n">
        <v>0.02</v>
      </c>
      <c r="I91" s="23">
        <f>IFERROR(E91/(1-H91),"")</f>
        <v>0.11224489795918367</v>
      </c>
      <c r="J91" s="11">
        <f>IFERROR(VLOOKUP($D91,'Settings'!$A$41:$C$89,2,FALSE),"")</f>
        <v>1.2</v>
      </c>
      <c r="K91" t="inlineStr">
        <is>
          <t>kg</t>
        </is>
      </c>
      <c r="L91" s="11">
        <f>IFERROR(I91/G91*J91,"")</f>
        <v>0.1346938775510204</v>
      </c>
    </row>
    <row r="92">
      <c r="A92" t="inlineStr">
        <is>
          <t>PI4</t>
        </is>
      </c>
      <c r="B92" t="inlineStr"/>
      <c r="C92" t="inlineStr"/>
      <c r="D92" t="inlineStr">
        <is>
          <t>Eggs (each)</t>
        </is>
      </c>
      <c r="E92" s="22" t="n">
        <v>3</v>
      </c>
      <c r="F92" t="inlineStr">
        <is>
          <t>each</t>
        </is>
      </c>
      <c r="G92" s="9" t="n">
        <v>12</v>
      </c>
      <c r="H92" s="18" t="n">
        <v>0</v>
      </c>
      <c r="I92" s="23">
        <f>IFERROR(E92/(1-H92),"")</f>
        <v>3.0</v>
      </c>
      <c r="J92" s="11">
        <f>IFERROR(VLOOKUP($D92,'Settings'!$A$41:$C$89,2,FALSE),"")</f>
        <v>3.6</v>
      </c>
      <c r="K92" t="inlineStr">
        <is>
          <t>dozen</t>
        </is>
      </c>
      <c r="L92" s="11">
        <f>IFERROR(I92/G92*J92,"")</f>
        <v>0.9</v>
      </c>
    </row>
    <row r="93">
      <c r="A93" t="inlineStr">
        <is>
          <t>PI4</t>
        </is>
      </c>
      <c r="B93" t="inlineStr"/>
      <c r="C93" t="inlineStr"/>
      <c r="D93" t="inlineStr">
        <is>
          <t>Cornstarch</t>
        </is>
      </c>
      <c r="E93" s="22" t="n">
        <v>0.04</v>
      </c>
      <c r="F93" t="inlineStr">
        <is>
          <t>kg</t>
        </is>
      </c>
      <c r="G93" s="9" t="n">
        <v>1</v>
      </c>
      <c r="H93" s="18" t="n">
        <v>0.02</v>
      </c>
      <c r="I93" s="23">
        <f>IFERROR(E93/(1-H93),"")</f>
        <v>0.04081632653061225</v>
      </c>
      <c r="J93" s="11">
        <f>IFERROR(VLOOKUP($D93,'Settings'!$A$41:$C$89,2,FALSE),"")</f>
        <v>2.1</v>
      </c>
      <c r="K93" t="inlineStr">
        <is>
          <t>kg</t>
        </is>
      </c>
      <c r="L93" s="11">
        <f>IFERROR(I93/G93*J93,"")</f>
        <v>0.08571428571428573</v>
      </c>
    </row>
    <row r="94">
      <c r="A94" t="inlineStr">
        <is>
          <t>PI4</t>
        </is>
      </c>
      <c r="B94" t="inlineStr"/>
      <c r="C94" t="inlineStr"/>
      <c r="D94" t="inlineStr">
        <is>
          <t>Fresh strawberries</t>
        </is>
      </c>
      <c r="E94" s="22" t="n">
        <v>0.35</v>
      </c>
      <c r="F94" t="inlineStr">
        <is>
          <t>kg</t>
        </is>
      </c>
      <c r="G94" s="9" t="n">
        <v>1</v>
      </c>
      <c r="H94" s="18" t="n">
        <v>0.12</v>
      </c>
      <c r="I94" s="23">
        <f>IFERROR(E94/(1-H94),"")</f>
        <v>0.3977272727272727</v>
      </c>
      <c r="J94" s="11">
        <f>IFERROR(VLOOKUP($D94,'Settings'!$A$41:$C$89,2,FALSE),"")</f>
        <v>6.2</v>
      </c>
      <c r="K94" t="inlineStr">
        <is>
          <t>kg</t>
        </is>
      </c>
      <c r="L94" s="11">
        <f>IFERROR(I94/G94*J94,"")</f>
        <v>2.465909090909091</v>
      </c>
    </row>
    <row r="95">
      <c r="A95" t="inlineStr">
        <is>
          <t>PI4</t>
        </is>
      </c>
      <c r="B95" t="inlineStr"/>
      <c r="C95" t="inlineStr"/>
      <c r="D95" t="inlineStr">
        <is>
          <t>Kiwi</t>
        </is>
      </c>
      <c r="E95" s="22" t="n">
        <v>0.2</v>
      </c>
      <c r="F95" t="inlineStr">
        <is>
          <t>kg</t>
        </is>
      </c>
      <c r="G95" s="9" t="n">
        <v>1</v>
      </c>
      <c r="H95" s="18" t="n">
        <v>0.18</v>
      </c>
      <c r="I95" s="23">
        <f>IFERROR(E95/(1-H95),"")</f>
        <v>0.24390243902439024</v>
      </c>
      <c r="J95" s="11">
        <f>IFERROR(VLOOKUP($D95,'Settings'!$A$41:$C$89,2,FALSE),"")</f>
        <v>2.6</v>
      </c>
      <c r="K95" t="inlineStr">
        <is>
          <t>kg</t>
        </is>
      </c>
      <c r="L95" s="11">
        <f>IFERROR(I95/G95*J95,"")</f>
        <v>0.6341463414634146</v>
      </c>
    </row>
    <row r="96">
      <c r="A96" t="inlineStr">
        <is>
          <t>PI4</t>
        </is>
      </c>
      <c r="B96" t="inlineStr"/>
      <c r="C96" t="inlineStr"/>
      <c r="D96" t="inlineStr">
        <is>
          <t>Frozen mixed berries</t>
        </is>
      </c>
      <c r="E96" s="22" t="n">
        <v>0.15</v>
      </c>
      <c r="F96" t="inlineStr">
        <is>
          <t>kg</t>
        </is>
      </c>
      <c r="G96" s="9" t="n">
        <v>1</v>
      </c>
      <c r="H96" s="18" t="n">
        <v>0.03</v>
      </c>
      <c r="I96" s="23">
        <f>IFERROR(E96/(1-H96),"")</f>
        <v>0.15463917525773196</v>
      </c>
      <c r="J96" s="11">
        <f>IFERROR(VLOOKUP($D96,'Settings'!$A$41:$C$89,2,FALSE),"")</f>
        <v>10.5</v>
      </c>
      <c r="K96" t="inlineStr">
        <is>
          <t>kg</t>
        </is>
      </c>
      <c r="L96" s="11">
        <f>IFERROR(I96/G96*J96,"")</f>
        <v>1.6237113402061856</v>
      </c>
    </row>
    <row r="97">
      <c r="A97" t="inlineStr">
        <is>
          <t>PI4</t>
        </is>
      </c>
      <c r="B97" t="inlineStr"/>
      <c r="C97" t="inlineStr"/>
      <c r="D97" t="inlineStr">
        <is>
          <t>Neutral mirror glaze</t>
        </is>
      </c>
      <c r="E97" s="22" t="n">
        <v>0.08</v>
      </c>
      <c r="F97" t="inlineStr">
        <is>
          <t>kg</t>
        </is>
      </c>
      <c r="G97" s="9" t="n">
        <v>1</v>
      </c>
      <c r="H97" s="18" t="n">
        <v>0.02</v>
      </c>
      <c r="I97" s="23">
        <f>IFERROR(E97/(1-H97),"")</f>
        <v>0.0816326530612245</v>
      </c>
      <c r="J97" s="11">
        <f>IFERROR(VLOOKUP($D97,'Settings'!$A$41:$C$89,2,FALSE),"")</f>
        <v>11.5</v>
      </c>
      <c r="K97" t="inlineStr">
        <is>
          <t>kg</t>
        </is>
      </c>
      <c r="L97" s="11">
        <f>IFERROR(I97/G97*J97,"")</f>
        <v>0.9387755102040817</v>
      </c>
    </row>
    <row r="98">
      <c r="A98" t="inlineStr">
        <is>
          <t>PI5</t>
        </is>
      </c>
      <c r="B98" t="inlineStr">
        <is>
          <t>Cream puff (profiterole)</t>
        </is>
      </c>
      <c r="C98" t="inlineStr">
        <is>
          <t>Individual pastries</t>
        </is>
      </c>
      <c r="D98" t="inlineStr">
        <is>
          <t>Pastry flour</t>
        </is>
      </c>
      <c r="E98" s="22" t="n">
        <v>0.2</v>
      </c>
      <c r="F98" t="inlineStr">
        <is>
          <t>kg</t>
        </is>
      </c>
      <c r="G98" s="9" t="n">
        <v>1</v>
      </c>
      <c r="H98" s="18" t="n">
        <v>0.08</v>
      </c>
      <c r="I98" s="23">
        <f>IFERROR(E98/(1-H98),"")</f>
        <v>0.21739130434782608</v>
      </c>
      <c r="J98" s="11">
        <f>IFERROR(VLOOKUP($D98,'Settings'!$A$41:$C$89,2,FALSE),"")</f>
        <v>0.9</v>
      </c>
      <c r="K98" t="inlineStr">
        <is>
          <t>kg</t>
        </is>
      </c>
      <c r="L98" s="11">
        <f>IFERROR(I98/G98*J98,"")</f>
        <v>0.1956521739130435</v>
      </c>
      <c r="M98" s="12" t="inlineStr">
        <is>
          <t>assumption</t>
        </is>
      </c>
    </row>
    <row r="99">
      <c r="A99" t="inlineStr">
        <is>
          <t>PI5</t>
        </is>
      </c>
      <c r="B99" t="inlineStr"/>
      <c r="C99" t="inlineStr"/>
      <c r="D99" t="inlineStr">
        <is>
          <t>Butter</t>
        </is>
      </c>
      <c r="E99" s="22" t="n">
        <v>0.16</v>
      </c>
      <c r="F99" t="inlineStr">
        <is>
          <t>kg</t>
        </is>
      </c>
      <c r="G99" s="9" t="n">
        <v>1</v>
      </c>
      <c r="H99" s="18" t="n">
        <v>0.03</v>
      </c>
      <c r="I99" s="23">
        <f>IFERROR(E99/(1-H99),"")</f>
        <v>0.16494845360824742</v>
      </c>
      <c r="J99" s="11">
        <f>IFERROR(VLOOKUP($D99,'Settings'!$A$41:$C$89,2,FALSE),"")</f>
        <v>9.0</v>
      </c>
      <c r="K99" t="inlineStr">
        <is>
          <t>kg</t>
        </is>
      </c>
      <c r="L99" s="11">
        <f>IFERROR(I99/G99*J99,"")</f>
        <v>1.4845360824742269</v>
      </c>
    </row>
    <row r="100">
      <c r="A100" t="inlineStr">
        <is>
          <t>PI5</t>
        </is>
      </c>
      <c r="B100" t="inlineStr"/>
      <c r="C100" t="inlineStr"/>
      <c r="D100" t="inlineStr">
        <is>
          <t>Eggs (each)</t>
        </is>
      </c>
      <c r="E100" s="22" t="n">
        <v>7</v>
      </c>
      <c r="F100" t="inlineStr">
        <is>
          <t>each</t>
        </is>
      </c>
      <c r="G100" s="9" t="n">
        <v>12</v>
      </c>
      <c r="H100" s="18" t="n">
        <v>0</v>
      </c>
      <c r="I100" s="23">
        <f>IFERROR(E100/(1-H100),"")</f>
        <v>7.0</v>
      </c>
      <c r="J100" s="11">
        <f>IFERROR(VLOOKUP($D100,'Settings'!$A$41:$C$89,2,FALSE),"")</f>
        <v>3.6</v>
      </c>
      <c r="K100" t="inlineStr">
        <is>
          <t>dozen</t>
        </is>
      </c>
      <c r="L100" s="11">
        <f>IFERROR(I100/G100*J100,"")</f>
        <v>2.1</v>
      </c>
    </row>
    <row r="101">
      <c r="A101" t="inlineStr">
        <is>
          <t>PI5</t>
        </is>
      </c>
      <c r="B101" t="inlineStr"/>
      <c r="C101" t="inlineStr"/>
      <c r="D101" t="inlineStr">
        <is>
          <t>Salt</t>
        </is>
      </c>
      <c r="E101" s="22" t="n">
        <v>0.004</v>
      </c>
      <c r="F101" t="inlineStr">
        <is>
          <t>kg</t>
        </is>
      </c>
      <c r="G101" s="9" t="n">
        <v>1</v>
      </c>
      <c r="H101" s="18" t="n">
        <v>0.02</v>
      </c>
      <c r="I101" s="23">
        <f>IFERROR(E101/(1-H101),"")</f>
        <v>0.004081632653061225</v>
      </c>
      <c r="J101" s="11">
        <f>IFERROR(VLOOKUP($D101,'Settings'!$A$41:$C$89,2,FALSE),"")</f>
        <v>0.6</v>
      </c>
      <c r="K101" t="inlineStr">
        <is>
          <t>kg</t>
        </is>
      </c>
      <c r="L101" s="11">
        <f>IFERROR(I101/G101*J101,"")</f>
        <v>0.002448979591836735</v>
      </c>
    </row>
    <row r="102">
      <c r="A102" t="inlineStr">
        <is>
          <t>PI5</t>
        </is>
      </c>
      <c r="B102" t="inlineStr"/>
      <c r="C102" t="inlineStr"/>
      <c r="D102" t="inlineStr">
        <is>
          <t>Heavy cream (35% fat)</t>
        </is>
      </c>
      <c r="E102" s="22" t="n">
        <v>0.55</v>
      </c>
      <c r="F102" t="inlineStr">
        <is>
          <t>L</t>
        </is>
      </c>
      <c r="G102" s="9" t="n">
        <v>1</v>
      </c>
      <c r="H102" s="18" t="n">
        <v>0.03</v>
      </c>
      <c r="I102" s="23">
        <f>IFERROR(E102/(1-H102),"")</f>
        <v>0.5670103092783506</v>
      </c>
      <c r="J102" s="11">
        <f>IFERROR(VLOOKUP($D102,'Settings'!$A$41:$C$89,2,FALSE),"")</f>
        <v>3.8</v>
      </c>
      <c r="K102" t="inlineStr">
        <is>
          <t>L</t>
        </is>
      </c>
      <c r="L102" s="11">
        <f>IFERROR(I102/G102*J102,"")</f>
        <v>2.1546391752577323</v>
      </c>
    </row>
    <row r="103">
      <c r="A103" t="inlineStr">
        <is>
          <t>PI5</t>
        </is>
      </c>
      <c r="B103" t="inlineStr"/>
      <c r="C103" t="inlineStr"/>
      <c r="D103" t="inlineStr">
        <is>
          <t>Powdered sugar</t>
        </is>
      </c>
      <c r="E103" s="22" t="n">
        <v>0.06</v>
      </c>
      <c r="F103" t="inlineStr">
        <is>
          <t>kg</t>
        </is>
      </c>
      <c r="G103" s="9" t="n">
        <v>1</v>
      </c>
      <c r="H103" s="18" t="n">
        <v>0.02</v>
      </c>
      <c r="I103" s="23">
        <f>IFERROR(E103/(1-H103),"")</f>
        <v>0.061224489795918366</v>
      </c>
      <c r="J103" s="11">
        <f>IFERROR(VLOOKUP($D103,'Settings'!$A$41:$C$89,2,FALSE),"")</f>
        <v>2.5</v>
      </c>
      <c r="K103" t="inlineStr">
        <is>
          <t>kg</t>
        </is>
      </c>
      <c r="L103" s="11">
        <f>IFERROR(I103/G103*J103,"")</f>
        <v>0.15306122448979592</v>
      </c>
    </row>
    <row r="104">
      <c r="A104" t="inlineStr">
        <is>
          <t>PI5</t>
        </is>
      </c>
      <c r="B104" t="inlineStr"/>
      <c r="C104" t="inlineStr"/>
      <c r="D104" t="inlineStr">
        <is>
          <t>Dark chocolate 70%</t>
        </is>
      </c>
      <c r="E104" s="22" t="n">
        <v>0.1</v>
      </c>
      <c r="F104" t="inlineStr">
        <is>
          <t>kg</t>
        </is>
      </c>
      <c r="G104" s="9" t="n">
        <v>1</v>
      </c>
      <c r="H104" s="18" t="n">
        <v>0.02</v>
      </c>
      <c r="I104" s="23">
        <f>IFERROR(E104/(1-H104),"")</f>
        <v>0.10204081632653061</v>
      </c>
      <c r="J104" s="11">
        <f>IFERROR(VLOOKUP($D104,'Settings'!$A$41:$C$89,2,FALSE),"")</f>
        <v>18.0</v>
      </c>
      <c r="K104" t="inlineStr">
        <is>
          <t>kg</t>
        </is>
      </c>
      <c r="L104" s="11">
        <f>IFERROR(I104/G104*J104,"")</f>
        <v>1.836734693877551</v>
      </c>
    </row>
    <row r="105">
      <c r="A105" t="inlineStr">
        <is>
          <t>PI6</t>
        </is>
      </c>
      <c r="B105" t="inlineStr">
        <is>
          <t>Individual entremet (mousse cake)</t>
        </is>
      </c>
      <c r="C105" t="inlineStr">
        <is>
          <t>Individual pastries</t>
        </is>
      </c>
      <c r="D105" t="inlineStr">
        <is>
          <t>Pastry flour</t>
        </is>
      </c>
      <c r="E105" s="22" t="n">
        <v>0.1</v>
      </c>
      <c r="F105" t="inlineStr">
        <is>
          <t>kg</t>
        </is>
      </c>
      <c r="G105" s="9" t="n">
        <v>1</v>
      </c>
      <c r="H105" s="18" t="n">
        <v>0.08</v>
      </c>
      <c r="I105" s="23">
        <f>IFERROR(E105/(1-H105),"")</f>
        <v>0.10869565217391304</v>
      </c>
      <c r="J105" s="11">
        <f>IFERROR(VLOOKUP($D105,'Settings'!$A$41:$C$89,2,FALSE),"")</f>
        <v>0.9</v>
      </c>
      <c r="K105" t="inlineStr">
        <is>
          <t>kg</t>
        </is>
      </c>
      <c r="L105" s="11">
        <f>IFERROR(I105/G105*J105,"")</f>
        <v>0.09782608695652174</v>
      </c>
      <c r="M105" s="12" t="inlineStr">
        <is>
          <t>assumption</t>
        </is>
      </c>
    </row>
    <row r="106">
      <c r="A106" t="inlineStr">
        <is>
          <t>PI6</t>
        </is>
      </c>
      <c r="B106" t="inlineStr"/>
      <c r="C106" t="inlineStr"/>
      <c r="D106" t="inlineStr">
        <is>
          <t>Granulated sugar</t>
        </is>
      </c>
      <c r="E106" s="22" t="n">
        <v>0.22</v>
      </c>
      <c r="F106" t="inlineStr">
        <is>
          <t>kg</t>
        </is>
      </c>
      <c r="G106" s="9" t="n">
        <v>1</v>
      </c>
      <c r="H106" s="18" t="n">
        <v>0.02</v>
      </c>
      <c r="I106" s="23">
        <f>IFERROR(E106/(1-H106),"")</f>
        <v>0.22448979591836735</v>
      </c>
      <c r="J106" s="11">
        <f>IFERROR(VLOOKUP($D106,'Settings'!$A$41:$C$89,2,FALSE),"")</f>
        <v>1.2</v>
      </c>
      <c r="K106" t="inlineStr">
        <is>
          <t>kg</t>
        </is>
      </c>
      <c r="L106" s="11">
        <f>IFERROR(I106/G106*J106,"")</f>
        <v>0.2693877551020408</v>
      </c>
    </row>
    <row r="107">
      <c r="A107" t="inlineStr">
        <is>
          <t>PI6</t>
        </is>
      </c>
      <c r="B107" t="inlineStr"/>
      <c r="C107" t="inlineStr"/>
      <c r="D107" t="inlineStr">
        <is>
          <t>Eggs (each)</t>
        </is>
      </c>
      <c r="E107" s="22" t="n">
        <v>4</v>
      </c>
      <c r="F107" t="inlineStr">
        <is>
          <t>each</t>
        </is>
      </c>
      <c r="G107" s="9" t="n">
        <v>12</v>
      </c>
      <c r="H107" s="18" t="n">
        <v>0</v>
      </c>
      <c r="I107" s="23">
        <f>IFERROR(E107/(1-H107),"")</f>
        <v>4.0</v>
      </c>
      <c r="J107" s="11">
        <f>IFERROR(VLOOKUP($D107,'Settings'!$A$41:$C$89,2,FALSE),"")</f>
        <v>3.6</v>
      </c>
      <c r="K107" t="inlineStr">
        <is>
          <t>dozen</t>
        </is>
      </c>
      <c r="L107" s="11">
        <f>IFERROR(I107/G107*J107,"")</f>
        <v>1.2</v>
      </c>
    </row>
    <row r="108">
      <c r="A108" t="inlineStr">
        <is>
          <t>PI6</t>
        </is>
      </c>
      <c r="B108" t="inlineStr"/>
      <c r="C108" t="inlineStr"/>
      <c r="D108" t="inlineStr">
        <is>
          <t>Dark chocolate 70%</t>
        </is>
      </c>
      <c r="E108" s="22" t="n">
        <v>0.28</v>
      </c>
      <c r="F108" t="inlineStr">
        <is>
          <t>kg</t>
        </is>
      </c>
      <c r="G108" s="9" t="n">
        <v>1</v>
      </c>
      <c r="H108" s="18" t="n">
        <v>0.02</v>
      </c>
      <c r="I108" s="23">
        <f>IFERROR(E108/(1-H108),"")</f>
        <v>0.28571428571428575</v>
      </c>
      <c r="J108" s="11">
        <f>IFERROR(VLOOKUP($D108,'Settings'!$A$41:$C$89,2,FALSE),"")</f>
        <v>18.0</v>
      </c>
      <c r="K108" t="inlineStr">
        <is>
          <t>kg</t>
        </is>
      </c>
      <c r="L108" s="11">
        <f>IFERROR(I108/G108*J108,"")</f>
        <v>5.142857142857143</v>
      </c>
    </row>
    <row r="109">
      <c r="A109" t="inlineStr">
        <is>
          <t>PI6</t>
        </is>
      </c>
      <c r="B109" t="inlineStr"/>
      <c r="C109" t="inlineStr"/>
      <c r="D109" t="inlineStr">
        <is>
          <t>Heavy cream (35% fat)</t>
        </is>
      </c>
      <c r="E109" s="22" t="n">
        <v>0.45</v>
      </c>
      <c r="F109" t="inlineStr">
        <is>
          <t>L</t>
        </is>
      </c>
      <c r="G109" s="9" t="n">
        <v>1</v>
      </c>
      <c r="H109" s="18" t="n">
        <v>0.03</v>
      </c>
      <c r="I109" s="23">
        <f>IFERROR(E109/(1-H109),"")</f>
        <v>0.4639175257731959</v>
      </c>
      <c r="J109" s="11">
        <f>IFERROR(VLOOKUP($D109,'Settings'!$A$41:$C$89,2,FALSE),"")</f>
        <v>3.8</v>
      </c>
      <c r="K109" t="inlineStr">
        <is>
          <t>L</t>
        </is>
      </c>
      <c r="L109" s="11">
        <f>IFERROR(I109/G109*J109,"")</f>
        <v>1.7628865979381443</v>
      </c>
    </row>
    <row r="110">
      <c r="A110" t="inlineStr">
        <is>
          <t>PI6</t>
        </is>
      </c>
      <c r="B110" t="inlineStr"/>
      <c r="C110" t="inlineStr"/>
      <c r="D110" t="inlineStr">
        <is>
          <t>Pasteurized egg yolks (egg product)</t>
        </is>
      </c>
      <c r="E110" s="22" t="n">
        <v>0.09</v>
      </c>
      <c r="F110" t="inlineStr">
        <is>
          <t>kg</t>
        </is>
      </c>
      <c r="G110" s="9" t="n">
        <v>1</v>
      </c>
      <c r="H110" s="18" t="n">
        <v>0.02</v>
      </c>
      <c r="I110" s="23">
        <f>IFERROR(E110/(1-H110),"")</f>
        <v>0.09183673469387756</v>
      </c>
      <c r="J110" s="11">
        <f>IFERROR(VLOOKUP($D110,'Settings'!$A$41:$C$89,2,FALSE),"")</f>
        <v>6.8</v>
      </c>
      <c r="K110" t="inlineStr">
        <is>
          <t>kg</t>
        </is>
      </c>
      <c r="L110" s="11">
        <f>IFERROR(I110/G110*J110,"")</f>
        <v>0.6244897959183674</v>
      </c>
    </row>
    <row r="111">
      <c r="A111" t="inlineStr">
        <is>
          <t>PI6</t>
        </is>
      </c>
      <c r="B111" t="inlineStr"/>
      <c r="C111" t="inlineStr"/>
      <c r="D111" t="inlineStr">
        <is>
          <t>Sheet gelatin</t>
        </is>
      </c>
      <c r="E111" s="22" t="n">
        <v>0.006</v>
      </c>
      <c r="F111" t="inlineStr">
        <is>
          <t>kg</t>
        </is>
      </c>
      <c r="G111" s="9" t="n">
        <v>1</v>
      </c>
      <c r="H111" s="18" t="n">
        <v>0</v>
      </c>
      <c r="I111" s="23">
        <f>IFERROR(E111/(1-H111),"")</f>
        <v>0.006</v>
      </c>
      <c r="J111" s="11">
        <f>IFERROR(VLOOKUP($D111,'Settings'!$A$41:$C$89,2,FALSE),"")</f>
        <v>42.0</v>
      </c>
      <c r="K111" t="inlineStr">
        <is>
          <t>kg</t>
        </is>
      </c>
      <c r="L111" s="11">
        <f>IFERROR(I111/G111*J111,"")</f>
        <v>0.252</v>
      </c>
    </row>
    <row r="112">
      <c r="A112" t="inlineStr">
        <is>
          <t>PI6</t>
        </is>
      </c>
      <c r="B112" t="inlineStr"/>
      <c r="C112" t="inlineStr"/>
      <c r="D112" t="inlineStr">
        <is>
          <t>Frozen mixed berries</t>
        </is>
      </c>
      <c r="E112" s="22" t="n">
        <v>0.18</v>
      </c>
      <c r="F112" t="inlineStr">
        <is>
          <t>kg</t>
        </is>
      </c>
      <c r="G112" s="9" t="n">
        <v>1</v>
      </c>
      <c r="H112" s="18" t="n">
        <v>0.03</v>
      </c>
      <c r="I112" s="23">
        <f>IFERROR(E112/(1-H112),"")</f>
        <v>0.18556701030927836</v>
      </c>
      <c r="J112" s="11">
        <f>IFERROR(VLOOKUP($D112,'Settings'!$A$41:$C$89,2,FALSE),"")</f>
        <v>10.5</v>
      </c>
      <c r="K112" t="inlineStr">
        <is>
          <t>kg</t>
        </is>
      </c>
      <c r="L112" s="11">
        <f>IFERROR(I112/G112*J112,"")</f>
        <v>1.9484536082474229</v>
      </c>
    </row>
    <row r="113">
      <c r="A113" t="inlineStr">
        <is>
          <t>PI6</t>
        </is>
      </c>
      <c r="B113" t="inlineStr"/>
      <c r="C113" t="inlineStr"/>
      <c r="D113" t="inlineStr">
        <is>
          <t>Milk chocolate couverture 40%</t>
        </is>
      </c>
      <c r="E113" s="22" t="n">
        <v>0.12</v>
      </c>
      <c r="F113" t="inlineStr">
        <is>
          <t>kg</t>
        </is>
      </c>
      <c r="G113" s="9" t="n">
        <v>1</v>
      </c>
      <c r="H113" s="18" t="n">
        <v>0.02</v>
      </c>
      <c r="I113" s="23">
        <f>IFERROR(E113/(1-H113),"")</f>
        <v>0.12244897959183673</v>
      </c>
      <c r="J113" s="11">
        <f>IFERROR(VLOOKUP($D113,'Settings'!$A$41:$C$89,2,FALSE),"")</f>
        <v>15.5</v>
      </c>
      <c r="K113" t="inlineStr">
        <is>
          <t>kg</t>
        </is>
      </c>
      <c r="L113" s="11">
        <f>IFERROR(I113/G113*J113,"")</f>
        <v>1.8979591836734693</v>
      </c>
    </row>
    <row r="114">
      <c r="A114" t="inlineStr">
        <is>
          <t>T1</t>
        </is>
      </c>
      <c r="B114" t="inlineStr">
        <is>
          <t>70% dark chocolate cake</t>
        </is>
      </c>
      <c r="C114" t="inlineStr">
        <is>
          <t>Cakes and entremets</t>
        </is>
      </c>
      <c r="D114" t="inlineStr">
        <is>
          <t>Dark chocolate 70%</t>
        </is>
      </c>
      <c r="E114" s="22" t="n">
        <v>0.4</v>
      </c>
      <c r="F114" t="inlineStr">
        <is>
          <t>kg</t>
        </is>
      </c>
      <c r="G114" s="9" t="n">
        <v>1</v>
      </c>
      <c r="H114" s="18" t="n">
        <v>0.12</v>
      </c>
      <c r="I114" s="23">
        <f>IFERROR(E114/(1-H114),"")</f>
        <v>0.4545454545454546</v>
      </c>
      <c r="J114" s="11">
        <f>IFERROR(VLOOKUP($D114,'Settings'!$A$41:$C$89,2,FALSE),"")</f>
        <v>18.0</v>
      </c>
      <c r="K114" t="inlineStr">
        <is>
          <t>kg</t>
        </is>
      </c>
      <c r="L114" s="11">
        <f>IFERROR(I114/G114*J114,"")</f>
        <v>8.181818181818183</v>
      </c>
      <c r="M114" s="12" t="inlineStr">
        <is>
          <t>EXACT COPY of the Food Cost Kit Pro (05-bakery-cake-pricing, "Chocolate Cake" sheet). Same costing in both products: a customer who owns both can't see two different costs for the same piece.</t>
        </is>
      </c>
    </row>
    <row r="115">
      <c r="A115" t="inlineStr">
        <is>
          <t>T1</t>
        </is>
      </c>
      <c r="B115" t="inlineStr"/>
      <c r="C115" t="inlineStr"/>
      <c r="D115" t="inlineStr">
        <is>
          <t>Butter</t>
        </is>
      </c>
      <c r="E115" s="22" t="n">
        <v>0.25</v>
      </c>
      <c r="F115" t="inlineStr">
        <is>
          <t>kg</t>
        </is>
      </c>
      <c r="G115" s="9" t="n">
        <v>1</v>
      </c>
      <c r="H115" s="18" t="n">
        <v>0.03</v>
      </c>
      <c r="I115" s="23">
        <f>IFERROR(E115/(1-H115),"")</f>
        <v>0.2577319587628866</v>
      </c>
      <c r="J115" s="11">
        <f>IFERROR(VLOOKUP($D115,'Settings'!$A$41:$C$89,2,FALSE),"")</f>
        <v>9.0</v>
      </c>
      <c r="K115" t="inlineStr">
        <is>
          <t>kg</t>
        </is>
      </c>
      <c r="L115" s="11">
        <f>IFERROR(I115/G115*J115,"")</f>
        <v>2.3195876288659796</v>
      </c>
    </row>
    <row r="116">
      <c r="A116" t="inlineStr">
        <is>
          <t>T1</t>
        </is>
      </c>
      <c r="B116" t="inlineStr"/>
      <c r="C116" t="inlineStr"/>
      <c r="D116" t="inlineStr">
        <is>
          <t>Eggs (each)</t>
        </is>
      </c>
      <c r="E116" s="22" t="n">
        <v>6</v>
      </c>
      <c r="F116" t="inlineStr">
        <is>
          <t>each</t>
        </is>
      </c>
      <c r="G116" s="9" t="n">
        <v>12</v>
      </c>
      <c r="H116" s="18" t="n">
        <v>0</v>
      </c>
      <c r="I116" s="23">
        <f>IFERROR(E116/(1-H116),"")</f>
        <v>6.0</v>
      </c>
      <c r="J116" s="11">
        <f>IFERROR(VLOOKUP($D116,'Settings'!$A$41:$C$89,2,FALSE),"")</f>
        <v>3.6</v>
      </c>
      <c r="K116" t="inlineStr">
        <is>
          <t>dozen</t>
        </is>
      </c>
      <c r="L116" s="11">
        <f>IFERROR(I116/G116*J116,"")</f>
        <v>1.8</v>
      </c>
    </row>
    <row r="117">
      <c r="A117" t="inlineStr">
        <is>
          <t>T1</t>
        </is>
      </c>
      <c r="B117" t="inlineStr"/>
      <c r="C117" t="inlineStr"/>
      <c r="D117" t="inlineStr">
        <is>
          <t>Granulated sugar</t>
        </is>
      </c>
      <c r="E117" s="22" t="n">
        <v>0.2</v>
      </c>
      <c r="F117" t="inlineStr">
        <is>
          <t>kg</t>
        </is>
      </c>
      <c r="G117" s="9" t="n">
        <v>1</v>
      </c>
      <c r="H117" s="18" t="n">
        <v>0.02</v>
      </c>
      <c r="I117" s="23">
        <f>IFERROR(E117/(1-H117),"")</f>
        <v>0.20408163265306123</v>
      </c>
      <c r="J117" s="11">
        <f>IFERROR(VLOOKUP($D117,'Settings'!$A$41:$C$89,2,FALSE),"")</f>
        <v>1.2</v>
      </c>
      <c r="K117" t="inlineStr">
        <is>
          <t>kg</t>
        </is>
      </c>
      <c r="L117" s="11">
        <f>IFERROR(I117/G117*J117,"")</f>
        <v>0.24489795918367346</v>
      </c>
    </row>
    <row r="118">
      <c r="A118" t="inlineStr">
        <is>
          <t>T1</t>
        </is>
      </c>
      <c r="B118" t="inlineStr"/>
      <c r="C118" t="inlineStr"/>
      <c r="D118" t="inlineStr">
        <is>
          <t>Pastry flour</t>
        </is>
      </c>
      <c r="E118" s="22" t="n">
        <v>0.12</v>
      </c>
      <c r="F118" t="inlineStr">
        <is>
          <t>kg</t>
        </is>
      </c>
      <c r="G118" s="9" t="n">
        <v>1</v>
      </c>
      <c r="H118" s="18" t="n">
        <v>0.08</v>
      </c>
      <c r="I118" s="23">
        <f>IFERROR(E118/(1-H118),"")</f>
        <v>0.13043478260869565</v>
      </c>
      <c r="J118" s="11">
        <f>IFERROR(VLOOKUP($D118,'Settings'!$A$41:$C$89,2,FALSE),"")</f>
        <v>0.9</v>
      </c>
      <c r="K118" t="inlineStr">
        <is>
          <t>kg</t>
        </is>
      </c>
      <c r="L118" s="11">
        <f>IFERROR(I118/G118*J118,"")</f>
        <v>0.11739130434782609</v>
      </c>
    </row>
    <row r="119">
      <c r="A119" t="inlineStr">
        <is>
          <t>T1</t>
        </is>
      </c>
      <c r="B119" t="inlineStr"/>
      <c r="C119" t="inlineStr"/>
      <c r="D119" t="inlineStr">
        <is>
          <t>Heavy cream (35% fat)</t>
        </is>
      </c>
      <c r="E119" s="22" t="n">
        <v>0.2</v>
      </c>
      <c r="F119" t="inlineStr">
        <is>
          <t>L</t>
        </is>
      </c>
      <c r="G119" s="9" t="n">
        <v>1</v>
      </c>
      <c r="H119" s="18" t="n">
        <v>0.03</v>
      </c>
      <c r="I119" s="23">
        <f>IFERROR(E119/(1-H119),"")</f>
        <v>0.2061855670103093</v>
      </c>
      <c r="J119" s="11">
        <f>IFERROR(VLOOKUP($D119,'Settings'!$A$41:$C$89,2,FALSE),"")</f>
        <v>3.8</v>
      </c>
      <c r="K119" t="inlineStr">
        <is>
          <t>L</t>
        </is>
      </c>
      <c r="L119" s="11">
        <f>IFERROR(I119/G119*J119,"")</f>
        <v>0.7835051546391752</v>
      </c>
    </row>
    <row r="120">
      <c r="A120" t="inlineStr">
        <is>
          <t>T1</t>
        </is>
      </c>
      <c r="B120" t="inlineStr"/>
      <c r="C120" t="inlineStr"/>
      <c r="D120" t="inlineStr">
        <is>
          <t>Cocoa powder</t>
        </is>
      </c>
      <c r="E120" s="22" t="n">
        <v>0.03</v>
      </c>
      <c r="F120" t="inlineStr">
        <is>
          <t>kg</t>
        </is>
      </c>
      <c r="G120" s="9" t="n">
        <v>1</v>
      </c>
      <c r="H120" s="18" t="n">
        <v>0.05</v>
      </c>
      <c r="I120" s="23">
        <f>IFERROR(E120/(1-H120),"")</f>
        <v>0.031578947368421054</v>
      </c>
      <c r="J120" s="11">
        <f>IFERROR(VLOOKUP($D120,'Settings'!$A$41:$C$89,2,FALSE),"")</f>
        <v>12.0</v>
      </c>
      <c r="K120" t="inlineStr">
        <is>
          <t>kg</t>
        </is>
      </c>
      <c r="L120" s="11">
        <f>IFERROR(I120/G120*J120,"")</f>
        <v>0.37894736842105264</v>
      </c>
    </row>
    <row r="121">
      <c r="A121" t="inlineStr">
        <is>
          <t>T1</t>
        </is>
      </c>
      <c r="B121" t="inlineStr"/>
      <c r="C121" t="inlineStr"/>
      <c r="D121" t="inlineStr">
        <is>
          <t>Salt</t>
        </is>
      </c>
      <c r="E121" s="22" t="n">
        <v>0.003</v>
      </c>
      <c r="F121" t="inlineStr">
        <is>
          <t>kg</t>
        </is>
      </c>
      <c r="G121" s="9" t="n">
        <v>1</v>
      </c>
      <c r="H121" s="18" t="n">
        <v>0.02</v>
      </c>
      <c r="I121" s="23">
        <f>IFERROR(E121/(1-H121),"")</f>
        <v>0.0030612244897959186</v>
      </c>
      <c r="J121" s="11">
        <f>IFERROR(VLOOKUP($D121,'Settings'!$A$41:$C$89,2,FALSE),"")</f>
        <v>0.6</v>
      </c>
      <c r="K121" t="inlineStr">
        <is>
          <t>kg</t>
        </is>
      </c>
      <c r="L121" s="11">
        <f>IFERROR(I121/G121*J121,"")</f>
        <v>0.0018367346938775511</v>
      </c>
    </row>
    <row r="122">
      <c r="A122" t="inlineStr">
        <is>
          <t>T2</t>
        </is>
      </c>
      <c r="B122" t="inlineStr">
        <is>
          <t>Cheesecake</t>
        </is>
      </c>
      <c r="C122" t="inlineStr">
        <is>
          <t>Cakes and entremets</t>
        </is>
      </c>
      <c r="D122" t="inlineStr">
        <is>
          <t>Cream cheese</t>
        </is>
      </c>
      <c r="E122" s="22" t="n">
        <v>0.9</v>
      </c>
      <c r="F122" t="inlineStr">
        <is>
          <t>kg</t>
        </is>
      </c>
      <c r="G122" s="9" t="n">
        <v>1</v>
      </c>
      <c r="H122" s="18" t="n">
        <v>0.02</v>
      </c>
      <c r="I122" s="23">
        <f>IFERROR(E122/(1-H122),"")</f>
        <v>0.9183673469387755</v>
      </c>
      <c r="J122" s="11">
        <f>IFERROR(VLOOKUP($D122,'Settings'!$A$41:$C$89,2,FALSE),"")</f>
        <v>8.9</v>
      </c>
      <c r="K122" t="inlineStr">
        <is>
          <t>kg</t>
        </is>
      </c>
      <c r="L122" s="11">
        <f>IFERROR(I122/G122*J122,"")</f>
        <v>8.173469387755102</v>
      </c>
      <c r="M122" s="12" t="inlineStr">
        <is>
          <t>assumption</t>
        </is>
      </c>
    </row>
    <row r="123">
      <c r="A123" t="inlineStr">
        <is>
          <t>T2</t>
        </is>
      </c>
      <c r="B123" t="inlineStr"/>
      <c r="C123" t="inlineStr"/>
      <c r="D123" t="inlineStr">
        <is>
          <t>Granulated sugar</t>
        </is>
      </c>
      <c r="E123" s="22" t="n">
        <v>0.22</v>
      </c>
      <c r="F123" t="inlineStr">
        <is>
          <t>kg</t>
        </is>
      </c>
      <c r="G123" s="9" t="n">
        <v>1</v>
      </c>
      <c r="H123" s="18" t="n">
        <v>0.02</v>
      </c>
      <c r="I123" s="23">
        <f>IFERROR(E123/(1-H123),"")</f>
        <v>0.22448979591836735</v>
      </c>
      <c r="J123" s="11">
        <f>IFERROR(VLOOKUP($D123,'Settings'!$A$41:$C$89,2,FALSE),"")</f>
        <v>1.2</v>
      </c>
      <c r="K123" t="inlineStr">
        <is>
          <t>kg</t>
        </is>
      </c>
      <c r="L123" s="11">
        <f>IFERROR(I123/G123*J123,"")</f>
        <v>0.2693877551020408</v>
      </c>
    </row>
    <row r="124">
      <c r="A124" t="inlineStr">
        <is>
          <t>T2</t>
        </is>
      </c>
      <c r="B124" t="inlineStr"/>
      <c r="C124" t="inlineStr"/>
      <c r="D124" t="inlineStr">
        <is>
          <t>Eggs (each)</t>
        </is>
      </c>
      <c r="E124" s="22" t="n">
        <v>5</v>
      </c>
      <c r="F124" t="inlineStr">
        <is>
          <t>each</t>
        </is>
      </c>
      <c r="G124" s="9" t="n">
        <v>12</v>
      </c>
      <c r="H124" s="18" t="n">
        <v>0</v>
      </c>
      <c r="I124" s="23">
        <f>IFERROR(E124/(1-H124),"")</f>
        <v>5.0</v>
      </c>
      <c r="J124" s="11">
        <f>IFERROR(VLOOKUP($D124,'Settings'!$A$41:$C$89,2,FALSE),"")</f>
        <v>3.6</v>
      </c>
      <c r="K124" t="inlineStr">
        <is>
          <t>dozen</t>
        </is>
      </c>
      <c r="L124" s="11">
        <f>IFERROR(I124/G124*J124,"")</f>
        <v>1.5</v>
      </c>
    </row>
    <row r="125">
      <c r="A125" t="inlineStr">
        <is>
          <t>T2</t>
        </is>
      </c>
      <c r="B125" t="inlineStr"/>
      <c r="C125" t="inlineStr"/>
      <c r="D125" t="inlineStr">
        <is>
          <t>Heavy cream (35% fat)</t>
        </is>
      </c>
      <c r="E125" s="22" t="n">
        <v>0.25</v>
      </c>
      <c r="F125" t="inlineStr">
        <is>
          <t>L</t>
        </is>
      </c>
      <c r="G125" s="9" t="n">
        <v>1</v>
      </c>
      <c r="H125" s="18" t="n">
        <v>0.03</v>
      </c>
      <c r="I125" s="23">
        <f>IFERROR(E125/(1-H125),"")</f>
        <v>0.2577319587628866</v>
      </c>
      <c r="J125" s="11">
        <f>IFERROR(VLOOKUP($D125,'Settings'!$A$41:$C$89,2,FALSE),"")</f>
        <v>3.8</v>
      </c>
      <c r="K125" t="inlineStr">
        <is>
          <t>L</t>
        </is>
      </c>
      <c r="L125" s="11">
        <f>IFERROR(I125/G125*J125,"")</f>
        <v>0.9793814432989691</v>
      </c>
    </row>
    <row r="126">
      <c r="A126" t="inlineStr">
        <is>
          <t>T2</t>
        </is>
      </c>
      <c r="B126" t="inlineStr"/>
      <c r="C126" t="inlineStr"/>
      <c r="D126" t="inlineStr">
        <is>
          <t>Pastry flour</t>
        </is>
      </c>
      <c r="E126" s="22" t="n">
        <v>0.03</v>
      </c>
      <c r="F126" t="inlineStr">
        <is>
          <t>kg</t>
        </is>
      </c>
      <c r="G126" s="9" t="n">
        <v>1</v>
      </c>
      <c r="H126" s="18" t="n">
        <v>0.08</v>
      </c>
      <c r="I126" s="23">
        <f>IFERROR(E126/(1-H126),"")</f>
        <v>0.03260869565217391</v>
      </c>
      <c r="J126" s="11">
        <f>IFERROR(VLOOKUP($D126,'Settings'!$A$41:$C$89,2,FALSE),"")</f>
        <v>0.9</v>
      </c>
      <c r="K126" t="inlineStr">
        <is>
          <t>kg</t>
        </is>
      </c>
      <c r="L126" s="11">
        <f>IFERROR(I126/G126*J126,"")</f>
        <v>0.029347826086956522</v>
      </c>
    </row>
    <row r="127">
      <c r="A127" t="inlineStr">
        <is>
          <t>T3</t>
        </is>
      </c>
      <c r="B127" t="inlineStr">
        <is>
          <t>Apple tart</t>
        </is>
      </c>
      <c r="C127" t="inlineStr">
        <is>
          <t>Cakes and entremets</t>
        </is>
      </c>
      <c r="D127" t="inlineStr">
        <is>
          <t>Pastry flour</t>
        </is>
      </c>
      <c r="E127" s="22" t="n">
        <v>0.3</v>
      </c>
      <c r="F127" t="inlineStr">
        <is>
          <t>kg</t>
        </is>
      </c>
      <c r="G127" s="9" t="n">
        <v>1</v>
      </c>
      <c r="H127" s="18" t="n">
        <v>0.08</v>
      </c>
      <c r="I127" s="23">
        <f>IFERROR(E127/(1-H127),"")</f>
        <v>0.3260869565217391</v>
      </c>
      <c r="J127" s="11">
        <f>IFERROR(VLOOKUP($D127,'Settings'!$A$41:$C$89,2,FALSE),"")</f>
        <v>0.9</v>
      </c>
      <c r="K127" t="inlineStr">
        <is>
          <t>kg</t>
        </is>
      </c>
      <c r="L127" s="11">
        <f>IFERROR(I127/G127*J127,"")</f>
        <v>0.2934782608695652</v>
      </c>
      <c r="M127" s="12" t="inlineStr">
        <is>
          <t>assumption</t>
        </is>
      </c>
    </row>
    <row r="128">
      <c r="A128" t="inlineStr">
        <is>
          <t>T3</t>
        </is>
      </c>
      <c r="B128" t="inlineStr"/>
      <c r="C128" t="inlineStr"/>
      <c r="D128" t="inlineStr">
        <is>
          <t>Butter</t>
        </is>
      </c>
      <c r="E128" s="22" t="n">
        <v>0.15</v>
      </c>
      <c r="F128" t="inlineStr">
        <is>
          <t>kg</t>
        </is>
      </c>
      <c r="G128" s="9" t="n">
        <v>1</v>
      </c>
      <c r="H128" s="18" t="n">
        <v>0.03</v>
      </c>
      <c r="I128" s="23">
        <f>IFERROR(E128/(1-H128),"")</f>
        <v>0.15463917525773196</v>
      </c>
      <c r="J128" s="11">
        <f>IFERROR(VLOOKUP($D128,'Settings'!$A$41:$C$89,2,FALSE),"")</f>
        <v>9.0</v>
      </c>
      <c r="K128" t="inlineStr">
        <is>
          <t>kg</t>
        </is>
      </c>
      <c r="L128" s="11">
        <f>IFERROR(I128/G128*J128,"")</f>
        <v>1.3917525773195876</v>
      </c>
    </row>
    <row r="129">
      <c r="A129" t="inlineStr">
        <is>
          <t>T3</t>
        </is>
      </c>
      <c r="B129" t="inlineStr"/>
      <c r="C129" t="inlineStr"/>
      <c r="D129" t="inlineStr">
        <is>
          <t>Granulated sugar</t>
        </is>
      </c>
      <c r="E129" s="22" t="n">
        <v>0.1</v>
      </c>
      <c r="F129" t="inlineStr">
        <is>
          <t>kg</t>
        </is>
      </c>
      <c r="G129" s="9" t="n">
        <v>1</v>
      </c>
      <c r="H129" s="18" t="n">
        <v>0.02</v>
      </c>
      <c r="I129" s="23">
        <f>IFERROR(E129/(1-H129),"")</f>
        <v>0.10204081632653061</v>
      </c>
      <c r="J129" s="11">
        <f>IFERROR(VLOOKUP($D129,'Settings'!$A$41:$C$89,2,FALSE),"")</f>
        <v>1.2</v>
      </c>
      <c r="K129" t="inlineStr">
        <is>
          <t>kg</t>
        </is>
      </c>
      <c r="L129" s="11">
        <f>IFERROR(I129/G129*J129,"")</f>
        <v>0.12244897959183673</v>
      </c>
    </row>
    <row r="130">
      <c r="A130" t="inlineStr">
        <is>
          <t>T3</t>
        </is>
      </c>
      <c r="B130" t="inlineStr"/>
      <c r="C130" t="inlineStr"/>
      <c r="D130" t="inlineStr">
        <is>
          <t>Eggs (each)</t>
        </is>
      </c>
      <c r="E130" s="22" t="n">
        <v>2</v>
      </c>
      <c r="F130" t="inlineStr">
        <is>
          <t>each</t>
        </is>
      </c>
      <c r="G130" s="9" t="n">
        <v>12</v>
      </c>
      <c r="H130" s="18" t="n">
        <v>0</v>
      </c>
      <c r="I130" s="23">
        <f>IFERROR(E130/(1-H130),"")</f>
        <v>2.0</v>
      </c>
      <c r="J130" s="11">
        <f>IFERROR(VLOOKUP($D130,'Settings'!$A$41:$C$89,2,FALSE),"")</f>
        <v>3.6</v>
      </c>
      <c r="K130" t="inlineStr">
        <is>
          <t>dozen</t>
        </is>
      </c>
      <c r="L130" s="11">
        <f>IFERROR(I130/G130*J130,"")</f>
        <v>0.6</v>
      </c>
    </row>
    <row r="131">
      <c r="A131" t="inlineStr">
        <is>
          <t>T3</t>
        </is>
      </c>
      <c r="B131" t="inlineStr"/>
      <c r="C131" t="inlineStr"/>
      <c r="D131" t="inlineStr">
        <is>
          <t>Apples</t>
        </is>
      </c>
      <c r="E131" s="22" t="n">
        <v>1.1</v>
      </c>
      <c r="F131" t="inlineStr">
        <is>
          <t>kg</t>
        </is>
      </c>
      <c r="G131" s="9" t="n">
        <v>1</v>
      </c>
      <c r="H131" s="18" t="n">
        <v>0.22</v>
      </c>
      <c r="I131" s="23">
        <f>IFERROR(E131/(1-H131),"")</f>
        <v>1.4102564102564104</v>
      </c>
      <c r="J131" s="11">
        <f>IFERROR(VLOOKUP($D131,'Settings'!$A$41:$C$89,2,FALSE),"")</f>
        <v>1.6</v>
      </c>
      <c r="K131" t="inlineStr">
        <is>
          <t>kg</t>
        </is>
      </c>
      <c r="L131" s="11">
        <f>IFERROR(I131/G131*J131,"")</f>
        <v>2.256410256410257</v>
      </c>
    </row>
    <row r="132">
      <c r="A132" t="inlineStr">
        <is>
          <t>T3</t>
        </is>
      </c>
      <c r="B132" t="inlineStr"/>
      <c r="C132" t="inlineStr"/>
      <c r="D132" t="inlineStr">
        <is>
          <t>Apricot jam</t>
        </is>
      </c>
      <c r="E132" s="22" t="n">
        <v>0.1</v>
      </c>
      <c r="F132" t="inlineStr">
        <is>
          <t>kg</t>
        </is>
      </c>
      <c r="G132" s="9" t="n">
        <v>1</v>
      </c>
      <c r="H132" s="18" t="n">
        <v>0.02</v>
      </c>
      <c r="I132" s="23">
        <f>IFERROR(E132/(1-H132),"")</f>
        <v>0.10204081632653061</v>
      </c>
      <c r="J132" s="11">
        <f>IFERROR(VLOOKUP($D132,'Settings'!$A$41:$C$89,2,FALSE),"")</f>
        <v>4.2</v>
      </c>
      <c r="K132" t="inlineStr">
        <is>
          <t>kg</t>
        </is>
      </c>
      <c r="L132" s="11">
        <f>IFERROR(I132/G132*J132,"")</f>
        <v>0.4285714285714286</v>
      </c>
    </row>
    <row r="133">
      <c r="A133" t="inlineStr">
        <is>
          <t>T3</t>
        </is>
      </c>
      <c r="B133" t="inlineStr"/>
      <c r="C133" t="inlineStr"/>
      <c r="D133" t="inlineStr">
        <is>
          <t>Ground cinnamon</t>
        </is>
      </c>
      <c r="E133" s="22" t="n">
        <v>0.003</v>
      </c>
      <c r="F133" t="inlineStr">
        <is>
          <t>kg</t>
        </is>
      </c>
      <c r="G133" s="9" t="n">
        <v>1</v>
      </c>
      <c r="H133" s="18" t="n">
        <v>0</v>
      </c>
      <c r="I133" s="23">
        <f>IFERROR(E133/(1-H133),"")</f>
        <v>0.003</v>
      </c>
      <c r="J133" s="11">
        <f>IFERROR(VLOOKUP($D133,'Settings'!$A$41:$C$89,2,FALSE),"")</f>
        <v>18.0</v>
      </c>
      <c r="K133" t="inlineStr">
        <is>
          <t>kg</t>
        </is>
      </c>
      <c r="L133" s="11">
        <f>IFERROR(I133/G133*J133,"")</f>
        <v>0.054</v>
      </c>
    </row>
    <row r="134">
      <c r="A134" t="inlineStr">
        <is>
          <t>T4</t>
        </is>
      </c>
      <c r="B134" t="inlineStr">
        <is>
          <t>Carrot cake</t>
        </is>
      </c>
      <c r="C134" t="inlineStr">
        <is>
          <t>Cakes and entremets</t>
        </is>
      </c>
      <c r="D134" t="inlineStr">
        <is>
          <t>Carrots</t>
        </is>
      </c>
      <c r="E134" s="22" t="n">
        <v>0.55</v>
      </c>
      <c r="F134" t="inlineStr">
        <is>
          <t>kg</t>
        </is>
      </c>
      <c r="G134" s="9" t="n">
        <v>1</v>
      </c>
      <c r="H134" s="18" t="n">
        <v>0.2</v>
      </c>
      <c r="I134" s="23">
        <f>IFERROR(E134/(1-H134),"")</f>
        <v>0.6875</v>
      </c>
      <c r="J134" s="11">
        <f>IFERROR(VLOOKUP($D134,'Settings'!$A$41:$C$89,2,FALSE),"")</f>
        <v>1.1</v>
      </c>
      <c r="K134" t="inlineStr">
        <is>
          <t>kg</t>
        </is>
      </c>
      <c r="L134" s="11">
        <f>IFERROR(I134/G134*J134,"")</f>
        <v>0.7562500000000001</v>
      </c>
      <c r="M134" s="12" t="inlineStr">
        <is>
          <t>assumption</t>
        </is>
      </c>
    </row>
    <row r="135">
      <c r="A135" t="inlineStr">
        <is>
          <t>T4</t>
        </is>
      </c>
      <c r="B135" t="inlineStr"/>
      <c r="C135" t="inlineStr"/>
      <c r="D135" t="inlineStr">
        <is>
          <t>Pastry flour</t>
        </is>
      </c>
      <c r="E135" s="22" t="n">
        <v>0.3</v>
      </c>
      <c r="F135" t="inlineStr">
        <is>
          <t>kg</t>
        </is>
      </c>
      <c r="G135" s="9" t="n">
        <v>1</v>
      </c>
      <c r="H135" s="18" t="n">
        <v>0.08</v>
      </c>
      <c r="I135" s="23">
        <f>IFERROR(E135/(1-H135),"")</f>
        <v>0.3260869565217391</v>
      </c>
      <c r="J135" s="11">
        <f>IFERROR(VLOOKUP($D135,'Settings'!$A$41:$C$89,2,FALSE),"")</f>
        <v>0.9</v>
      </c>
      <c r="K135" t="inlineStr">
        <is>
          <t>kg</t>
        </is>
      </c>
      <c r="L135" s="11">
        <f>IFERROR(I135/G135*J135,"")</f>
        <v>0.2934782608695652</v>
      </c>
    </row>
    <row r="136">
      <c r="A136" t="inlineStr">
        <is>
          <t>T4</t>
        </is>
      </c>
      <c r="B136" t="inlineStr"/>
      <c r="C136" t="inlineStr"/>
      <c r="D136" t="inlineStr">
        <is>
          <t>Granulated sugar</t>
        </is>
      </c>
      <c r="E136" s="22" t="n">
        <v>0.28</v>
      </c>
      <c r="F136" t="inlineStr">
        <is>
          <t>kg</t>
        </is>
      </c>
      <c r="G136" s="9" t="n">
        <v>1</v>
      </c>
      <c r="H136" s="18" t="n">
        <v>0.02</v>
      </c>
      <c r="I136" s="23">
        <f>IFERROR(E136/(1-H136),"")</f>
        <v>0.28571428571428575</v>
      </c>
      <c r="J136" s="11">
        <f>IFERROR(VLOOKUP($D136,'Settings'!$A$41:$C$89,2,FALSE),"")</f>
        <v>1.2</v>
      </c>
      <c r="K136" t="inlineStr">
        <is>
          <t>kg</t>
        </is>
      </c>
      <c r="L136" s="11">
        <f>IFERROR(I136/G136*J136,"")</f>
        <v>0.3428571428571429</v>
      </c>
    </row>
    <row r="137">
      <c r="A137" t="inlineStr">
        <is>
          <t>T4</t>
        </is>
      </c>
      <c r="B137" t="inlineStr"/>
      <c r="C137" t="inlineStr"/>
      <c r="D137" t="inlineStr">
        <is>
          <t>Sunflower oil</t>
        </is>
      </c>
      <c r="E137" s="22" t="n">
        <v>0.22</v>
      </c>
      <c r="F137" t="inlineStr">
        <is>
          <t>L</t>
        </is>
      </c>
      <c r="G137" s="9" t="n">
        <v>1</v>
      </c>
      <c r="H137" s="18" t="n">
        <v>0</v>
      </c>
      <c r="I137" s="23">
        <f>IFERROR(E137/(1-H137),"")</f>
        <v>0.22</v>
      </c>
      <c r="J137" s="11">
        <f>IFERROR(VLOOKUP($D137,'Settings'!$A$41:$C$89,2,FALSE),"")</f>
        <v>1.8</v>
      </c>
      <c r="K137" t="inlineStr">
        <is>
          <t>L</t>
        </is>
      </c>
      <c r="L137" s="11">
        <f>IFERROR(I137/G137*J137,"")</f>
        <v>0.396</v>
      </c>
    </row>
    <row r="138">
      <c r="A138" t="inlineStr">
        <is>
          <t>T4</t>
        </is>
      </c>
      <c r="B138" t="inlineStr"/>
      <c r="C138" t="inlineStr"/>
      <c r="D138" t="inlineStr">
        <is>
          <t>Eggs (each)</t>
        </is>
      </c>
      <c r="E138" s="22" t="n">
        <v>4</v>
      </c>
      <c r="F138" t="inlineStr">
        <is>
          <t>each</t>
        </is>
      </c>
      <c r="G138" s="9" t="n">
        <v>12</v>
      </c>
      <c r="H138" s="18" t="n">
        <v>0</v>
      </c>
      <c r="I138" s="23">
        <f>IFERROR(E138/(1-H138),"")</f>
        <v>4.0</v>
      </c>
      <c r="J138" s="11">
        <f>IFERROR(VLOOKUP($D138,'Settings'!$A$41:$C$89,2,FALSE),"")</f>
        <v>3.6</v>
      </c>
      <c r="K138" t="inlineStr">
        <is>
          <t>dozen</t>
        </is>
      </c>
      <c r="L138" s="11">
        <f>IFERROR(I138/G138*J138,"")</f>
        <v>1.2</v>
      </c>
    </row>
    <row r="139">
      <c r="A139" t="inlineStr">
        <is>
          <t>T4</t>
        </is>
      </c>
      <c r="B139" t="inlineStr"/>
      <c r="C139" t="inlineStr"/>
      <c r="D139" t="inlineStr">
        <is>
          <t>Walnuts</t>
        </is>
      </c>
      <c r="E139" s="22" t="n">
        <v>0.1</v>
      </c>
      <c r="F139" t="inlineStr">
        <is>
          <t>kg</t>
        </is>
      </c>
      <c r="G139" s="9" t="n">
        <v>1</v>
      </c>
      <c r="H139" s="18" t="n">
        <v>0.05</v>
      </c>
      <c r="I139" s="23">
        <f>IFERROR(E139/(1-H139),"")</f>
        <v>0.10526315789473685</v>
      </c>
      <c r="J139" s="11">
        <f>IFERROR(VLOOKUP($D139,'Settings'!$A$41:$C$89,2,FALSE),"")</f>
        <v>15.0</v>
      </c>
      <c r="K139" t="inlineStr">
        <is>
          <t>kg</t>
        </is>
      </c>
      <c r="L139" s="11">
        <f>IFERROR(I139/G139*J139,"")</f>
        <v>1.5789473684210527</v>
      </c>
    </row>
    <row r="140">
      <c r="A140" t="inlineStr">
        <is>
          <t>T4</t>
        </is>
      </c>
      <c r="B140" t="inlineStr"/>
      <c r="C140" t="inlineStr"/>
      <c r="D140" t="inlineStr">
        <is>
          <t>Ground cinnamon</t>
        </is>
      </c>
      <c r="E140" s="22" t="n">
        <v>0.005</v>
      </c>
      <c r="F140" t="inlineStr">
        <is>
          <t>kg</t>
        </is>
      </c>
      <c r="G140" s="9" t="n">
        <v>1</v>
      </c>
      <c r="H140" s="18" t="n">
        <v>0</v>
      </c>
      <c r="I140" s="23">
        <f>IFERROR(E140/(1-H140),"")</f>
        <v>0.005</v>
      </c>
      <c r="J140" s="11">
        <f>IFERROR(VLOOKUP($D140,'Settings'!$A$41:$C$89,2,FALSE),"")</f>
        <v>18.0</v>
      </c>
      <c r="K140" t="inlineStr">
        <is>
          <t>kg</t>
        </is>
      </c>
      <c r="L140" s="11">
        <f>IFERROR(I140/G140*J140,"")</f>
        <v>0.09</v>
      </c>
    </row>
    <row r="141">
      <c r="A141" t="inlineStr">
        <is>
          <t>T4</t>
        </is>
      </c>
      <c r="B141" t="inlineStr"/>
      <c r="C141" t="inlineStr"/>
      <c r="D141" t="inlineStr">
        <is>
          <t>Baking powder</t>
        </is>
      </c>
      <c r="E141" s="22" t="n">
        <v>0.012</v>
      </c>
      <c r="F141" t="inlineStr">
        <is>
          <t>kg</t>
        </is>
      </c>
      <c r="G141" s="9" t="n">
        <v>1</v>
      </c>
      <c r="H141" s="18" t="n">
        <v>0</v>
      </c>
      <c r="I141" s="23">
        <f>IFERROR(E141/(1-H141),"")</f>
        <v>0.012</v>
      </c>
      <c r="J141" s="11">
        <f>IFERROR(VLOOKUP($D141,'Settings'!$A$41:$C$89,2,FALSE),"")</f>
        <v>8.5</v>
      </c>
      <c r="K141" t="inlineStr">
        <is>
          <t>kg</t>
        </is>
      </c>
      <c r="L141" s="11">
        <f>IFERROR(I141/G141*J141,"")</f>
        <v>0.10200000000000001</v>
      </c>
    </row>
    <row r="142">
      <c r="A142" t="inlineStr">
        <is>
          <t>T4</t>
        </is>
      </c>
      <c r="B142" t="inlineStr"/>
      <c r="C142" t="inlineStr"/>
      <c r="D142" t="inlineStr">
        <is>
          <t>Cream cheese</t>
        </is>
      </c>
      <c r="E142" s="22" t="n">
        <v>0.35</v>
      </c>
      <c r="F142" t="inlineStr">
        <is>
          <t>kg</t>
        </is>
      </c>
      <c r="G142" s="9" t="n">
        <v>1</v>
      </c>
      <c r="H142" s="18" t="n">
        <v>0.02</v>
      </c>
      <c r="I142" s="23">
        <f>IFERROR(E142/(1-H142),"")</f>
        <v>0.35714285714285715</v>
      </c>
      <c r="J142" s="11">
        <f>IFERROR(VLOOKUP($D142,'Settings'!$A$41:$C$89,2,FALSE),"")</f>
        <v>8.9</v>
      </c>
      <c r="K142" t="inlineStr">
        <is>
          <t>kg</t>
        </is>
      </c>
      <c r="L142" s="11">
        <f>IFERROR(I142/G142*J142,"")</f>
        <v>3.178571428571429</v>
      </c>
    </row>
    <row r="143">
      <c r="A143" t="inlineStr">
        <is>
          <t>T4</t>
        </is>
      </c>
      <c r="B143" t="inlineStr"/>
      <c r="C143" t="inlineStr"/>
      <c r="D143" t="inlineStr">
        <is>
          <t>Powdered sugar</t>
        </is>
      </c>
      <c r="E143" s="22" t="n">
        <v>0.14</v>
      </c>
      <c r="F143" t="inlineStr">
        <is>
          <t>kg</t>
        </is>
      </c>
      <c r="G143" s="9" t="n">
        <v>1</v>
      </c>
      <c r="H143" s="18" t="n">
        <v>0.02</v>
      </c>
      <c r="I143" s="23">
        <f>IFERROR(E143/(1-H143),"")</f>
        <v>0.14285714285714288</v>
      </c>
      <c r="J143" s="11">
        <f>IFERROR(VLOOKUP($D143,'Settings'!$A$41:$C$89,2,FALSE),"")</f>
        <v>2.5</v>
      </c>
      <c r="K143" t="inlineStr">
        <is>
          <t>kg</t>
        </is>
      </c>
      <c r="L143" s="11">
        <f>IFERROR(I143/G143*J143,"")</f>
        <v>0.3571428571428572</v>
      </c>
    </row>
    <row r="144">
      <c r="A144" t="inlineStr">
        <is>
          <t>T4</t>
        </is>
      </c>
      <c r="B144" t="inlineStr"/>
      <c r="C144" t="inlineStr"/>
      <c r="D144" t="inlineStr">
        <is>
          <t>Butter</t>
        </is>
      </c>
      <c r="E144" s="22" t="n">
        <v>0.08</v>
      </c>
      <c r="F144" t="inlineStr">
        <is>
          <t>kg</t>
        </is>
      </c>
      <c r="G144" s="9" t="n">
        <v>1</v>
      </c>
      <c r="H144" s="18" t="n">
        <v>0.03</v>
      </c>
      <c r="I144" s="23">
        <f>IFERROR(E144/(1-H144),"")</f>
        <v>0.08247422680412371</v>
      </c>
      <c r="J144" s="11">
        <f>IFERROR(VLOOKUP($D144,'Settings'!$A$41:$C$89,2,FALSE),"")</f>
        <v>9.0</v>
      </c>
      <c r="K144" t="inlineStr">
        <is>
          <t>kg</t>
        </is>
      </c>
      <c r="L144" s="11">
        <f>IFERROR(I144/G144*J144,"")</f>
        <v>0.7422680412371134</v>
      </c>
    </row>
    <row r="145">
      <c r="A145" t="inlineStr">
        <is>
          <t>T5</t>
        </is>
      </c>
      <c r="B145" t="inlineStr">
        <is>
          <t>Sachertorte</t>
        </is>
      </c>
      <c r="C145" t="inlineStr">
        <is>
          <t>Cakes and entremets</t>
        </is>
      </c>
      <c r="D145" t="inlineStr">
        <is>
          <t>Dark chocolate 70%</t>
        </is>
      </c>
      <c r="E145" s="22" t="n">
        <v>0.3</v>
      </c>
      <c r="F145" t="inlineStr">
        <is>
          <t>kg</t>
        </is>
      </c>
      <c r="G145" s="9" t="n">
        <v>1</v>
      </c>
      <c r="H145" s="18" t="n">
        <v>0.02</v>
      </c>
      <c r="I145" s="23">
        <f>IFERROR(E145/(1-H145),"")</f>
        <v>0.30612244897959184</v>
      </c>
      <c r="J145" s="11">
        <f>IFERROR(VLOOKUP($D145,'Settings'!$A$41:$C$89,2,FALSE),"")</f>
        <v>18.0</v>
      </c>
      <c r="K145" t="inlineStr">
        <is>
          <t>kg</t>
        </is>
      </c>
      <c r="L145" s="11">
        <f>IFERROR(I145/G145*J145,"")</f>
        <v>5.510204081632653</v>
      </c>
      <c r="M145" s="12" t="inlineStr">
        <is>
          <t>assumption</t>
        </is>
      </c>
    </row>
    <row r="146">
      <c r="A146" t="inlineStr">
        <is>
          <t>T5</t>
        </is>
      </c>
      <c r="B146" t="inlineStr"/>
      <c r="C146" t="inlineStr"/>
      <c r="D146" t="inlineStr">
        <is>
          <t>Butter</t>
        </is>
      </c>
      <c r="E146" s="22" t="n">
        <v>0.18</v>
      </c>
      <c r="F146" t="inlineStr">
        <is>
          <t>kg</t>
        </is>
      </c>
      <c r="G146" s="9" t="n">
        <v>1</v>
      </c>
      <c r="H146" s="18" t="n">
        <v>0.03</v>
      </c>
      <c r="I146" s="23">
        <f>IFERROR(E146/(1-H146),"")</f>
        <v>0.18556701030927836</v>
      </c>
      <c r="J146" s="11">
        <f>IFERROR(VLOOKUP($D146,'Settings'!$A$41:$C$89,2,FALSE),"")</f>
        <v>9.0</v>
      </c>
      <c r="K146" t="inlineStr">
        <is>
          <t>kg</t>
        </is>
      </c>
      <c r="L146" s="11">
        <f>IFERROR(I146/G146*J146,"")</f>
        <v>1.6701030927835052</v>
      </c>
    </row>
    <row r="147">
      <c r="A147" t="inlineStr">
        <is>
          <t>T5</t>
        </is>
      </c>
      <c r="B147" t="inlineStr"/>
      <c r="C147" t="inlineStr"/>
      <c r="D147" t="inlineStr">
        <is>
          <t>Granulated sugar</t>
        </is>
      </c>
      <c r="E147" s="22" t="n">
        <v>0.2</v>
      </c>
      <c r="F147" t="inlineStr">
        <is>
          <t>kg</t>
        </is>
      </c>
      <c r="G147" s="9" t="n">
        <v>1</v>
      </c>
      <c r="H147" s="18" t="n">
        <v>0.02</v>
      </c>
      <c r="I147" s="23">
        <f>IFERROR(E147/(1-H147),"")</f>
        <v>0.20408163265306123</v>
      </c>
      <c r="J147" s="11">
        <f>IFERROR(VLOOKUP($D147,'Settings'!$A$41:$C$89,2,FALSE),"")</f>
        <v>1.2</v>
      </c>
      <c r="K147" t="inlineStr">
        <is>
          <t>kg</t>
        </is>
      </c>
      <c r="L147" s="11">
        <f>IFERROR(I147/G147*J147,"")</f>
        <v>0.24489795918367346</v>
      </c>
    </row>
    <row r="148">
      <c r="A148" t="inlineStr">
        <is>
          <t>T5</t>
        </is>
      </c>
      <c r="B148" t="inlineStr"/>
      <c r="C148" t="inlineStr"/>
      <c r="D148" t="inlineStr">
        <is>
          <t>Eggs (each)</t>
        </is>
      </c>
      <c r="E148" s="22" t="n">
        <v>6</v>
      </c>
      <c r="F148" t="inlineStr">
        <is>
          <t>each</t>
        </is>
      </c>
      <c r="G148" s="9" t="n">
        <v>12</v>
      </c>
      <c r="H148" s="18" t="n">
        <v>0</v>
      </c>
      <c r="I148" s="23">
        <f>IFERROR(E148/(1-H148),"")</f>
        <v>6.0</v>
      </c>
      <c r="J148" s="11">
        <f>IFERROR(VLOOKUP($D148,'Settings'!$A$41:$C$89,2,FALSE),"")</f>
        <v>3.6</v>
      </c>
      <c r="K148" t="inlineStr">
        <is>
          <t>dozen</t>
        </is>
      </c>
      <c r="L148" s="11">
        <f>IFERROR(I148/G148*J148,"")</f>
        <v>1.8</v>
      </c>
    </row>
    <row r="149">
      <c r="A149" t="inlineStr">
        <is>
          <t>T5</t>
        </is>
      </c>
      <c r="B149" t="inlineStr"/>
      <c r="C149" t="inlineStr"/>
      <c r="D149" t="inlineStr">
        <is>
          <t>Pastry flour</t>
        </is>
      </c>
      <c r="E149" s="22" t="n">
        <v>0.14</v>
      </c>
      <c r="F149" t="inlineStr">
        <is>
          <t>kg</t>
        </is>
      </c>
      <c r="G149" s="9" t="n">
        <v>1</v>
      </c>
      <c r="H149" s="18" t="n">
        <v>0.08</v>
      </c>
      <c r="I149" s="23">
        <f>IFERROR(E149/(1-H149),"")</f>
        <v>0.15217391304347827</v>
      </c>
      <c r="J149" s="11">
        <f>IFERROR(VLOOKUP($D149,'Settings'!$A$41:$C$89,2,FALSE),"")</f>
        <v>0.9</v>
      </c>
      <c r="K149" t="inlineStr">
        <is>
          <t>kg</t>
        </is>
      </c>
      <c r="L149" s="11">
        <f>IFERROR(I149/G149*J149,"")</f>
        <v>0.13695652173913045</v>
      </c>
    </row>
    <row r="150">
      <c r="A150" t="inlineStr">
        <is>
          <t>T5</t>
        </is>
      </c>
      <c r="B150" t="inlineStr"/>
      <c r="C150" t="inlineStr"/>
      <c r="D150" t="inlineStr">
        <is>
          <t>Apricot jam</t>
        </is>
      </c>
      <c r="E150" s="22" t="n">
        <v>0.2</v>
      </c>
      <c r="F150" t="inlineStr">
        <is>
          <t>kg</t>
        </is>
      </c>
      <c r="G150" s="9" t="n">
        <v>1</v>
      </c>
      <c r="H150" s="18" t="n">
        <v>0.02</v>
      </c>
      <c r="I150" s="23">
        <f>IFERROR(E150/(1-H150),"")</f>
        <v>0.20408163265306123</v>
      </c>
      <c r="J150" s="11">
        <f>IFERROR(VLOOKUP($D150,'Settings'!$A$41:$C$89,2,FALSE),"")</f>
        <v>4.2</v>
      </c>
      <c r="K150" t="inlineStr">
        <is>
          <t>kg</t>
        </is>
      </c>
      <c r="L150" s="11">
        <f>IFERROR(I150/G150*J150,"")</f>
        <v>0.8571428571428572</v>
      </c>
    </row>
    <row r="151">
      <c r="A151" t="inlineStr">
        <is>
          <t>T5</t>
        </is>
      </c>
      <c r="B151" t="inlineStr"/>
      <c r="C151" t="inlineStr"/>
      <c r="D151" t="inlineStr">
        <is>
          <t>Heavy cream (35% fat)</t>
        </is>
      </c>
      <c r="E151" s="22" t="n">
        <v>0.12</v>
      </c>
      <c r="F151" t="inlineStr">
        <is>
          <t>L</t>
        </is>
      </c>
      <c r="G151" s="9" t="n">
        <v>1</v>
      </c>
      <c r="H151" s="18" t="n">
        <v>0.03</v>
      </c>
      <c r="I151" s="23">
        <f>IFERROR(E151/(1-H151),"")</f>
        <v>0.12371134020618557</v>
      </c>
      <c r="J151" s="11">
        <f>IFERROR(VLOOKUP($D151,'Settings'!$A$41:$C$89,2,FALSE),"")</f>
        <v>3.8</v>
      </c>
      <c r="K151" t="inlineStr">
        <is>
          <t>L</t>
        </is>
      </c>
      <c r="L151" s="11">
        <f>IFERROR(I151/G151*J151,"")</f>
        <v>0.47010309278350515</v>
      </c>
    </row>
    <row r="152">
      <c r="A152" t="inlineStr">
        <is>
          <t>T6</t>
        </is>
      </c>
      <c r="B152" t="inlineStr">
        <is>
          <t>Strawberries &amp; cream cake</t>
        </is>
      </c>
      <c r="C152" t="inlineStr">
        <is>
          <t>Cakes and entremets</t>
        </is>
      </c>
      <c r="D152" t="inlineStr">
        <is>
          <t>Pastry flour</t>
        </is>
      </c>
      <c r="E152" s="22" t="n">
        <v>0.16</v>
      </c>
      <c r="F152" t="inlineStr">
        <is>
          <t>kg</t>
        </is>
      </c>
      <c r="G152" s="9" t="n">
        <v>1</v>
      </c>
      <c r="H152" s="18" t="n">
        <v>0.08</v>
      </c>
      <c r="I152" s="23">
        <f>IFERROR(E152/(1-H152),"")</f>
        <v>0.17391304347826086</v>
      </c>
      <c r="J152" s="11">
        <f>IFERROR(VLOOKUP($D152,'Settings'!$A$41:$C$89,2,FALSE),"")</f>
        <v>0.9</v>
      </c>
      <c r="K152" t="inlineStr">
        <is>
          <t>kg</t>
        </is>
      </c>
      <c r="L152" s="11">
        <f>IFERROR(I152/G152*J152,"")</f>
        <v>0.1565217391304348</v>
      </c>
      <c r="M152" s="12" t="inlineStr">
        <is>
          <t>assumption</t>
        </is>
      </c>
    </row>
    <row r="153">
      <c r="A153" t="inlineStr">
        <is>
          <t>T6</t>
        </is>
      </c>
      <c r="B153" t="inlineStr"/>
      <c r="C153" t="inlineStr"/>
      <c r="D153" t="inlineStr">
        <is>
          <t>Granulated sugar</t>
        </is>
      </c>
      <c r="E153" s="22" t="n">
        <v>0.2</v>
      </c>
      <c r="F153" t="inlineStr">
        <is>
          <t>kg</t>
        </is>
      </c>
      <c r="G153" s="9" t="n">
        <v>1</v>
      </c>
      <c r="H153" s="18" t="n">
        <v>0.02</v>
      </c>
      <c r="I153" s="23">
        <f>IFERROR(E153/(1-H153),"")</f>
        <v>0.20408163265306123</v>
      </c>
      <c r="J153" s="11">
        <f>IFERROR(VLOOKUP($D153,'Settings'!$A$41:$C$89,2,FALSE),"")</f>
        <v>1.2</v>
      </c>
      <c r="K153" t="inlineStr">
        <is>
          <t>kg</t>
        </is>
      </c>
      <c r="L153" s="11">
        <f>IFERROR(I153/G153*J153,"")</f>
        <v>0.24489795918367346</v>
      </c>
    </row>
    <row r="154">
      <c r="A154" t="inlineStr">
        <is>
          <t>T6</t>
        </is>
      </c>
      <c r="B154" t="inlineStr"/>
      <c r="C154" t="inlineStr"/>
      <c r="D154" t="inlineStr">
        <is>
          <t>Eggs (each)</t>
        </is>
      </c>
      <c r="E154" s="22" t="n">
        <v>6</v>
      </c>
      <c r="F154" t="inlineStr">
        <is>
          <t>each</t>
        </is>
      </c>
      <c r="G154" s="9" t="n">
        <v>12</v>
      </c>
      <c r="H154" s="18" t="n">
        <v>0</v>
      </c>
      <c r="I154" s="23">
        <f>IFERROR(E154/(1-H154),"")</f>
        <v>6.0</v>
      </c>
      <c r="J154" s="11">
        <f>IFERROR(VLOOKUP($D154,'Settings'!$A$41:$C$89,2,FALSE),"")</f>
        <v>3.6</v>
      </c>
      <c r="K154" t="inlineStr">
        <is>
          <t>dozen</t>
        </is>
      </c>
      <c r="L154" s="11">
        <f>IFERROR(I154/G154*J154,"")</f>
        <v>1.8</v>
      </c>
    </row>
    <row r="155">
      <c r="A155" t="inlineStr">
        <is>
          <t>T6</t>
        </is>
      </c>
      <c r="B155" t="inlineStr"/>
      <c r="C155" t="inlineStr"/>
      <c r="D155" t="inlineStr">
        <is>
          <t>Heavy cream (35% fat)</t>
        </is>
      </c>
      <c r="E155" s="22" t="n">
        <v>0.75</v>
      </c>
      <c r="F155" t="inlineStr">
        <is>
          <t>L</t>
        </is>
      </c>
      <c r="G155" s="9" t="n">
        <v>1</v>
      </c>
      <c r="H155" s="18" t="n">
        <v>0.03</v>
      </c>
      <c r="I155" s="23">
        <f>IFERROR(E155/(1-H155),"")</f>
        <v>0.7731958762886598</v>
      </c>
      <c r="J155" s="11">
        <f>IFERROR(VLOOKUP($D155,'Settings'!$A$41:$C$89,2,FALSE),"")</f>
        <v>3.8</v>
      </c>
      <c r="K155" t="inlineStr">
        <is>
          <t>L</t>
        </is>
      </c>
      <c r="L155" s="11">
        <f>IFERROR(I155/G155*J155,"")</f>
        <v>2.938144329896907</v>
      </c>
    </row>
    <row r="156">
      <c r="A156" t="inlineStr">
        <is>
          <t>T6</t>
        </is>
      </c>
      <c r="B156" t="inlineStr"/>
      <c r="C156" t="inlineStr"/>
      <c r="D156" t="inlineStr">
        <is>
          <t>Powdered sugar</t>
        </is>
      </c>
      <c r="E156" s="22" t="n">
        <v>0.08</v>
      </c>
      <c r="F156" t="inlineStr">
        <is>
          <t>kg</t>
        </is>
      </c>
      <c r="G156" s="9" t="n">
        <v>1</v>
      </c>
      <c r="H156" s="18" t="n">
        <v>0.02</v>
      </c>
      <c r="I156" s="23">
        <f>IFERROR(E156/(1-H156),"")</f>
        <v>0.0816326530612245</v>
      </c>
      <c r="J156" s="11">
        <f>IFERROR(VLOOKUP($D156,'Settings'!$A$41:$C$89,2,FALSE),"")</f>
        <v>2.5</v>
      </c>
      <c r="K156" t="inlineStr">
        <is>
          <t>kg</t>
        </is>
      </c>
      <c r="L156" s="11">
        <f>IFERROR(I156/G156*J156,"")</f>
        <v>0.20408163265306123</v>
      </c>
    </row>
    <row r="157">
      <c r="A157" t="inlineStr">
        <is>
          <t>T6</t>
        </is>
      </c>
      <c r="B157" t="inlineStr"/>
      <c r="C157" t="inlineStr"/>
      <c r="D157" t="inlineStr">
        <is>
          <t>Fresh strawberries</t>
        </is>
      </c>
      <c r="E157" s="22" t="n">
        <v>0.45</v>
      </c>
      <c r="F157" t="inlineStr">
        <is>
          <t>kg</t>
        </is>
      </c>
      <c r="G157" s="9" t="n">
        <v>1</v>
      </c>
      <c r="H157" s="18" t="n">
        <v>0.12</v>
      </c>
      <c r="I157" s="23">
        <f>IFERROR(E157/(1-H157),"")</f>
        <v>0.5113636363636364</v>
      </c>
      <c r="J157" s="11">
        <f>IFERROR(VLOOKUP($D157,'Settings'!$A$41:$C$89,2,FALSE),"")</f>
        <v>6.2</v>
      </c>
      <c r="K157" t="inlineStr">
        <is>
          <t>kg</t>
        </is>
      </c>
      <c r="L157" s="11">
        <f>IFERROR(I157/G157*J157,"")</f>
        <v>3.1704545454545454</v>
      </c>
    </row>
    <row r="158">
      <c r="A158" t="inlineStr">
        <is>
          <t>T6</t>
        </is>
      </c>
      <c r="B158" t="inlineStr"/>
      <c r="C158" t="inlineStr"/>
      <c r="D158" t="inlineStr">
        <is>
          <t>Neutral mirror glaze</t>
        </is>
      </c>
      <c r="E158" s="22" t="n">
        <v>0.05</v>
      </c>
      <c r="F158" t="inlineStr">
        <is>
          <t>kg</t>
        </is>
      </c>
      <c r="G158" s="9" t="n">
        <v>1</v>
      </c>
      <c r="H158" s="18" t="n">
        <v>0.02</v>
      </c>
      <c r="I158" s="23">
        <f>IFERROR(E158/(1-H158),"")</f>
        <v>0.05102040816326531</v>
      </c>
      <c r="J158" s="11">
        <f>IFERROR(VLOOKUP($D158,'Settings'!$A$41:$C$89,2,FALSE),"")</f>
        <v>11.5</v>
      </c>
      <c r="K158" t="inlineStr">
        <is>
          <t>kg</t>
        </is>
      </c>
      <c r="L158" s="11">
        <f>IFERROR(I158/G158*J158,"")</f>
        <v>0.5867346938775511</v>
      </c>
    </row>
    <row r="159">
      <c r="A159" t="inlineStr">
        <is>
          <t>PA1</t>
        </is>
      </c>
      <c r="B159" t="inlineStr">
        <is>
          <t>Baguette</t>
        </is>
      </c>
      <c r="C159" t="inlineStr">
        <is>
          <t>Breads</t>
        </is>
      </c>
      <c r="D159" t="inlineStr">
        <is>
          <t>Bread flour</t>
        </is>
      </c>
      <c r="E159" s="22" t="n">
        <v>6</v>
      </c>
      <c r="F159" t="inlineStr">
        <is>
          <t>kg</t>
        </is>
      </c>
      <c r="G159" s="9" t="n">
        <v>1</v>
      </c>
      <c r="H159" s="18" t="n">
        <v>0.03</v>
      </c>
      <c r="I159" s="23">
        <f>IFERROR(E159/(1-H159),"")</f>
        <v>6.185567010309279</v>
      </c>
      <c r="J159" s="11">
        <f>IFERROR(VLOOKUP($D159,'Settings'!$A$41:$C$89,2,FALSE),"")</f>
        <v>1.05</v>
      </c>
      <c r="K159" t="inlineStr">
        <is>
          <t>kg</t>
        </is>
      </c>
      <c r="L159" s="11">
        <f>IFERROR(I159/G159*J159,"")</f>
        <v>6.494845360824743</v>
      </c>
      <c r="M159" s="12" t="inlineStr">
        <is>
          <t>assumption</t>
        </is>
      </c>
    </row>
    <row r="160">
      <c r="A160" t="inlineStr">
        <is>
          <t>PA1</t>
        </is>
      </c>
      <c r="B160" t="inlineStr"/>
      <c r="C160" t="inlineStr"/>
      <c r="D160" t="inlineStr">
        <is>
          <t>Fresh yeast</t>
        </is>
      </c>
      <c r="E160" s="22" t="n">
        <v>0.06</v>
      </c>
      <c r="F160" t="inlineStr">
        <is>
          <t>kg</t>
        </is>
      </c>
      <c r="G160" s="9" t="n">
        <v>1</v>
      </c>
      <c r="H160" s="18" t="n">
        <v>0.05</v>
      </c>
      <c r="I160" s="23">
        <f>IFERROR(E160/(1-H160),"")</f>
        <v>0.06315789473684211</v>
      </c>
      <c r="J160" s="11">
        <f>IFERROR(VLOOKUP($D160,'Settings'!$A$41:$C$89,2,FALSE),"")</f>
        <v>5.0</v>
      </c>
      <c r="K160" t="inlineStr">
        <is>
          <t>kg</t>
        </is>
      </c>
      <c r="L160" s="11">
        <f>IFERROR(I160/G160*J160,"")</f>
        <v>0.3157894736842105</v>
      </c>
    </row>
    <row r="161">
      <c r="A161" t="inlineStr">
        <is>
          <t>PA1</t>
        </is>
      </c>
      <c r="B161" t="inlineStr"/>
      <c r="C161" t="inlineStr"/>
      <c r="D161" t="inlineStr">
        <is>
          <t>Salt</t>
        </is>
      </c>
      <c r="E161" s="22" t="n">
        <v>0.12</v>
      </c>
      <c r="F161" t="inlineStr">
        <is>
          <t>kg</t>
        </is>
      </c>
      <c r="G161" s="9" t="n">
        <v>1</v>
      </c>
      <c r="H161" s="18" t="n">
        <v>0.02</v>
      </c>
      <c r="I161" s="23">
        <f>IFERROR(E161/(1-H161),"")</f>
        <v>0.12244897959183673</v>
      </c>
      <c r="J161" s="11">
        <f>IFERROR(VLOOKUP($D161,'Settings'!$A$41:$C$89,2,FALSE),"")</f>
        <v>0.6</v>
      </c>
      <c r="K161" t="inlineStr">
        <is>
          <t>kg</t>
        </is>
      </c>
      <c r="L161" s="11">
        <f>IFERROR(I161/G161*J161,"")</f>
        <v>0.07346938775510203</v>
      </c>
    </row>
    <row r="162">
      <c r="A162" t="inlineStr">
        <is>
          <t>PA2</t>
        </is>
      </c>
      <c r="B162" t="inlineStr">
        <is>
          <t>Ciabatta</t>
        </is>
      </c>
      <c r="C162" t="inlineStr">
        <is>
          <t>Breads</t>
        </is>
      </c>
      <c r="D162" t="inlineStr">
        <is>
          <t>Bread flour</t>
        </is>
      </c>
      <c r="E162" s="22" t="n">
        <v>4.2</v>
      </c>
      <c r="F162" t="inlineStr">
        <is>
          <t>kg</t>
        </is>
      </c>
      <c r="G162" s="9" t="n">
        <v>1</v>
      </c>
      <c r="H162" s="18" t="n">
        <v>0.03</v>
      </c>
      <c r="I162" s="23">
        <f>IFERROR(E162/(1-H162),"")</f>
        <v>4.3298969072164954</v>
      </c>
      <c r="J162" s="11">
        <f>IFERROR(VLOOKUP($D162,'Settings'!$A$41:$C$89,2,FALSE),"")</f>
        <v>1.05</v>
      </c>
      <c r="K162" t="inlineStr">
        <is>
          <t>kg</t>
        </is>
      </c>
      <c r="L162" s="11">
        <f>IFERROR(I162/G162*J162,"")</f>
        <v>4.54639175257732</v>
      </c>
      <c r="M162" s="12" t="inlineStr">
        <is>
          <t>assumption</t>
        </is>
      </c>
    </row>
    <row r="163">
      <c r="A163" t="inlineStr">
        <is>
          <t>PA2</t>
        </is>
      </c>
      <c r="B163" t="inlineStr"/>
      <c r="C163" t="inlineStr"/>
      <c r="D163" t="inlineStr">
        <is>
          <t>Fresh yeast</t>
        </is>
      </c>
      <c r="E163" s="22" t="n">
        <v>0.03</v>
      </c>
      <c r="F163" t="inlineStr">
        <is>
          <t>kg</t>
        </is>
      </c>
      <c r="G163" s="9" t="n">
        <v>1</v>
      </c>
      <c r="H163" s="18" t="n">
        <v>0.05</v>
      </c>
      <c r="I163" s="23">
        <f>IFERROR(E163/(1-H163),"")</f>
        <v>0.031578947368421054</v>
      </c>
      <c r="J163" s="11">
        <f>IFERROR(VLOOKUP($D163,'Settings'!$A$41:$C$89,2,FALSE),"")</f>
        <v>5.0</v>
      </c>
      <c r="K163" t="inlineStr">
        <is>
          <t>kg</t>
        </is>
      </c>
      <c r="L163" s="11">
        <f>IFERROR(I163/G163*J163,"")</f>
        <v>0.15789473684210525</v>
      </c>
    </row>
    <row r="164">
      <c r="A164" t="inlineStr">
        <is>
          <t>PA2</t>
        </is>
      </c>
      <c r="B164" t="inlineStr"/>
      <c r="C164" t="inlineStr"/>
      <c r="D164" t="inlineStr">
        <is>
          <t>Salt</t>
        </is>
      </c>
      <c r="E164" s="22" t="n">
        <v>0.09</v>
      </c>
      <c r="F164" t="inlineStr">
        <is>
          <t>kg</t>
        </is>
      </c>
      <c r="G164" s="9" t="n">
        <v>1</v>
      </c>
      <c r="H164" s="18" t="n">
        <v>0.02</v>
      </c>
      <c r="I164" s="23">
        <f>IFERROR(E164/(1-H164),"")</f>
        <v>0.09183673469387756</v>
      </c>
      <c r="J164" s="11">
        <f>IFERROR(VLOOKUP($D164,'Settings'!$A$41:$C$89,2,FALSE),"")</f>
        <v>0.6</v>
      </c>
      <c r="K164" t="inlineStr">
        <is>
          <t>kg</t>
        </is>
      </c>
      <c r="L164" s="11">
        <f>IFERROR(I164/G164*J164,"")</f>
        <v>0.05510204081632653</v>
      </c>
    </row>
    <row r="165">
      <c r="A165" t="inlineStr">
        <is>
          <t>PA2</t>
        </is>
      </c>
      <c r="B165" t="inlineStr"/>
      <c r="C165" t="inlineStr"/>
      <c r="D165" t="inlineStr">
        <is>
          <t>Extra virgin olive oil</t>
        </is>
      </c>
      <c r="E165" s="22" t="n">
        <v>0.05</v>
      </c>
      <c r="F165" t="inlineStr">
        <is>
          <t>L</t>
        </is>
      </c>
      <c r="G165" s="9" t="n">
        <v>1</v>
      </c>
      <c r="H165" s="18" t="n">
        <v>0</v>
      </c>
      <c r="I165" s="23">
        <f>IFERROR(E165/(1-H165),"")</f>
        <v>0.05</v>
      </c>
      <c r="J165" s="11">
        <f>IFERROR(VLOOKUP($D165,'Settings'!$A$41:$C$89,2,FALSE),"")</f>
        <v>7.2</v>
      </c>
      <c r="K165" t="inlineStr">
        <is>
          <t>L</t>
        </is>
      </c>
      <c r="L165" s="11">
        <f>IFERROR(I165/G165*J165,"")</f>
        <v>0.36000000000000004</v>
      </c>
    </row>
    <row r="166">
      <c r="A166" t="inlineStr">
        <is>
          <t>PA3</t>
        </is>
      </c>
      <c r="B166" t="inlineStr">
        <is>
          <t>Sourdough boule</t>
        </is>
      </c>
      <c r="C166" t="inlineStr">
        <is>
          <t>Breads</t>
        </is>
      </c>
      <c r="D166" t="inlineStr">
        <is>
          <t>Bread flour</t>
        </is>
      </c>
      <c r="E166" s="22" t="n">
        <v>5.5</v>
      </c>
      <c r="F166" t="inlineStr">
        <is>
          <t>kg</t>
        </is>
      </c>
      <c r="G166" s="9" t="n">
        <v>1</v>
      </c>
      <c r="H166" s="18" t="n">
        <v>0.03</v>
      </c>
      <c r="I166" s="23">
        <f>IFERROR(E166/(1-H166),"")</f>
        <v>5.670103092783505</v>
      </c>
      <c r="J166" s="11">
        <f>IFERROR(VLOOKUP($D166,'Settings'!$A$41:$C$89,2,FALSE),"")</f>
        <v>1.05</v>
      </c>
      <c r="K166" t="inlineStr">
        <is>
          <t>kg</t>
        </is>
      </c>
      <c r="L166" s="11">
        <f>IFERROR(I166/G166*J166,"")</f>
        <v>5.953608247422681</v>
      </c>
      <c r="M166" s="12" t="inlineStr">
        <is>
          <t>assumption</t>
        </is>
      </c>
    </row>
    <row r="167">
      <c r="A167" t="inlineStr">
        <is>
          <t>PA3</t>
        </is>
      </c>
      <c r="B167" t="inlineStr"/>
      <c r="C167" t="inlineStr"/>
      <c r="D167" t="inlineStr">
        <is>
          <t>Whole rye flour</t>
        </is>
      </c>
      <c r="E167" s="22" t="n">
        <v>0.6</v>
      </c>
      <c r="F167" t="inlineStr">
        <is>
          <t>kg</t>
        </is>
      </c>
      <c r="G167" s="9" t="n">
        <v>1</v>
      </c>
      <c r="H167" s="18" t="n">
        <v>0.03</v>
      </c>
      <c r="I167" s="23">
        <f>IFERROR(E167/(1-H167),"")</f>
        <v>0.6185567010309279</v>
      </c>
      <c r="J167" s="11">
        <f>IFERROR(VLOOKUP($D167,'Settings'!$A$41:$C$89,2,FALSE),"")</f>
        <v>1.75</v>
      </c>
      <c r="K167" t="inlineStr">
        <is>
          <t>kg</t>
        </is>
      </c>
      <c r="L167" s="11">
        <f>IFERROR(I167/G167*J167,"")</f>
        <v>1.0824742268041239</v>
      </c>
    </row>
    <row r="168">
      <c r="A168" t="inlineStr">
        <is>
          <t>PA3</t>
        </is>
      </c>
      <c r="B168" t="inlineStr"/>
      <c r="C168" t="inlineStr"/>
      <c r="D168" t="inlineStr">
        <is>
          <t>Salt</t>
        </is>
      </c>
      <c r="E168" s="22" t="n">
        <v>0.13</v>
      </c>
      <c r="F168" t="inlineStr">
        <is>
          <t>kg</t>
        </is>
      </c>
      <c r="G168" s="9" t="n">
        <v>1</v>
      </c>
      <c r="H168" s="18" t="n">
        <v>0.02</v>
      </c>
      <c r="I168" s="23">
        <f>IFERROR(E168/(1-H168),"")</f>
        <v>0.1326530612244898</v>
      </c>
      <c r="J168" s="11">
        <f>IFERROR(VLOOKUP($D168,'Settings'!$A$41:$C$89,2,FALSE),"")</f>
        <v>0.6</v>
      </c>
      <c r="K168" t="inlineStr">
        <is>
          <t>kg</t>
        </is>
      </c>
      <c r="L168" s="11">
        <f>IFERROR(I168/G168*J168,"")</f>
        <v>0.07959183673469387</v>
      </c>
    </row>
    <row r="169">
      <c r="A169" t="inlineStr">
        <is>
          <t>PA4</t>
        </is>
      </c>
      <c r="B169" t="inlineStr">
        <is>
          <t>Sandwich loaf (pullman)</t>
        </is>
      </c>
      <c r="C169" t="inlineStr">
        <is>
          <t>Breads</t>
        </is>
      </c>
      <c r="D169" t="inlineStr">
        <is>
          <t>High-gluten flour</t>
        </is>
      </c>
      <c r="E169" s="22" t="n">
        <v>3.2</v>
      </c>
      <c r="F169" t="inlineStr">
        <is>
          <t>kg</t>
        </is>
      </c>
      <c r="G169" s="9" t="n">
        <v>1</v>
      </c>
      <c r="H169" s="18" t="n">
        <v>0.03</v>
      </c>
      <c r="I169" s="23">
        <f>IFERROR(E169/(1-H169),"")</f>
        <v>3.2989690721649487</v>
      </c>
      <c r="J169" s="11">
        <f>IFERROR(VLOOKUP($D169,'Settings'!$A$41:$C$89,2,FALSE),"")</f>
        <v>1.1</v>
      </c>
      <c r="K169" t="inlineStr">
        <is>
          <t>kg</t>
        </is>
      </c>
      <c r="L169" s="11">
        <f>IFERROR(I169/G169*J169,"")</f>
        <v>3.6288659793814437</v>
      </c>
      <c r="M169" s="12" t="inlineStr">
        <is>
          <t>assumption</t>
        </is>
      </c>
    </row>
    <row r="170">
      <c r="A170" t="inlineStr">
        <is>
          <t>PA4</t>
        </is>
      </c>
      <c r="B170" t="inlineStr"/>
      <c r="C170" t="inlineStr"/>
      <c r="D170" t="inlineStr">
        <is>
          <t>Whole milk</t>
        </is>
      </c>
      <c r="E170" s="22" t="n">
        <v>1.4</v>
      </c>
      <c r="F170" t="inlineStr">
        <is>
          <t>L</t>
        </is>
      </c>
      <c r="G170" s="9" t="n">
        <v>1</v>
      </c>
      <c r="H170" s="18" t="n">
        <v>0.02</v>
      </c>
      <c r="I170" s="23">
        <f>IFERROR(E170/(1-H170),"")</f>
        <v>1.4285714285714286</v>
      </c>
      <c r="J170" s="11">
        <f>IFERROR(VLOOKUP($D170,'Settings'!$A$41:$C$89,2,FALSE),"")</f>
        <v>1.1</v>
      </c>
      <c r="K170" t="inlineStr">
        <is>
          <t>L</t>
        </is>
      </c>
      <c r="L170" s="11">
        <f>IFERROR(I170/G170*J170,"")</f>
        <v>1.5714285714285716</v>
      </c>
    </row>
    <row r="171">
      <c r="A171" t="inlineStr">
        <is>
          <t>PA4</t>
        </is>
      </c>
      <c r="B171" t="inlineStr"/>
      <c r="C171" t="inlineStr"/>
      <c r="D171" t="inlineStr">
        <is>
          <t>Butter</t>
        </is>
      </c>
      <c r="E171" s="22" t="n">
        <v>0.25</v>
      </c>
      <c r="F171" t="inlineStr">
        <is>
          <t>kg</t>
        </is>
      </c>
      <c r="G171" s="9" t="n">
        <v>1</v>
      </c>
      <c r="H171" s="18" t="n">
        <v>0.03</v>
      </c>
      <c r="I171" s="23">
        <f>IFERROR(E171/(1-H171),"")</f>
        <v>0.2577319587628866</v>
      </c>
      <c r="J171" s="11">
        <f>IFERROR(VLOOKUP($D171,'Settings'!$A$41:$C$89,2,FALSE),"")</f>
        <v>9.0</v>
      </c>
      <c r="K171" t="inlineStr">
        <is>
          <t>kg</t>
        </is>
      </c>
      <c r="L171" s="11">
        <f>IFERROR(I171/G171*J171,"")</f>
        <v>2.3195876288659796</v>
      </c>
    </row>
    <row r="172">
      <c r="A172" t="inlineStr">
        <is>
          <t>PA4</t>
        </is>
      </c>
      <c r="B172" t="inlineStr"/>
      <c r="C172" t="inlineStr"/>
      <c r="D172" t="inlineStr">
        <is>
          <t>Granulated sugar</t>
        </is>
      </c>
      <c r="E172" s="22" t="n">
        <v>0.16</v>
      </c>
      <c r="F172" t="inlineStr">
        <is>
          <t>kg</t>
        </is>
      </c>
      <c r="G172" s="9" t="n">
        <v>1</v>
      </c>
      <c r="H172" s="18" t="n">
        <v>0.02</v>
      </c>
      <c r="I172" s="23">
        <f>IFERROR(E172/(1-H172),"")</f>
        <v>0.163265306122449</v>
      </c>
      <c r="J172" s="11">
        <f>IFERROR(VLOOKUP($D172,'Settings'!$A$41:$C$89,2,FALSE),"")</f>
        <v>1.2</v>
      </c>
      <c r="K172" t="inlineStr">
        <is>
          <t>kg</t>
        </is>
      </c>
      <c r="L172" s="11">
        <f>IFERROR(I172/G172*J172,"")</f>
        <v>0.1959183673469388</v>
      </c>
    </row>
    <row r="173">
      <c r="A173" t="inlineStr">
        <is>
          <t>PA4</t>
        </is>
      </c>
      <c r="B173" t="inlineStr"/>
      <c r="C173" t="inlineStr"/>
      <c r="D173" t="inlineStr">
        <is>
          <t>Fresh yeast</t>
        </is>
      </c>
      <c r="E173" s="22" t="n">
        <v>0.07000000000000001</v>
      </c>
      <c r="F173" t="inlineStr">
        <is>
          <t>kg</t>
        </is>
      </c>
      <c r="G173" s="9" t="n">
        <v>1</v>
      </c>
      <c r="H173" s="18" t="n">
        <v>0.05</v>
      </c>
      <c r="I173" s="23">
        <f>IFERROR(E173/(1-H173),"")</f>
        <v>0.0736842105263158</v>
      </c>
      <c r="J173" s="11">
        <f>IFERROR(VLOOKUP($D173,'Settings'!$A$41:$C$89,2,FALSE),"")</f>
        <v>5.0</v>
      </c>
      <c r="K173" t="inlineStr">
        <is>
          <t>kg</t>
        </is>
      </c>
      <c r="L173" s="11">
        <f>IFERROR(I173/G173*J173,"")</f>
        <v>0.368421052631579</v>
      </c>
    </row>
    <row r="174">
      <c r="A174" t="inlineStr">
        <is>
          <t>PA4</t>
        </is>
      </c>
      <c r="B174" t="inlineStr"/>
      <c r="C174" t="inlineStr"/>
      <c r="D174" t="inlineStr">
        <is>
          <t>Salt</t>
        </is>
      </c>
      <c r="E174" s="22" t="n">
        <v>0.06</v>
      </c>
      <c r="F174" t="inlineStr">
        <is>
          <t>kg</t>
        </is>
      </c>
      <c r="G174" s="9" t="n">
        <v>1</v>
      </c>
      <c r="H174" s="18" t="n">
        <v>0.02</v>
      </c>
      <c r="I174" s="23">
        <f>IFERROR(E174/(1-H174),"")</f>
        <v>0.061224489795918366</v>
      </c>
      <c r="J174" s="11">
        <f>IFERROR(VLOOKUP($D174,'Settings'!$A$41:$C$89,2,FALSE),"")</f>
        <v>0.6</v>
      </c>
      <c r="K174" t="inlineStr">
        <is>
          <t>kg</t>
        </is>
      </c>
      <c r="L174" s="11">
        <f>IFERROR(I174/G174*J174,"")</f>
        <v>0.03673469387755102</v>
      </c>
    </row>
    <row r="175">
      <c r="A175" t="inlineStr">
        <is>
          <t>TP1</t>
        </is>
      </c>
      <c r="B175" t="inlineStr">
        <is>
          <t>Rosca de Reyes (Three Kings bread)</t>
        </is>
      </c>
      <c r="C175" t="inlineStr">
        <is>
          <t>Seasonal</t>
        </is>
      </c>
      <c r="D175" t="inlineStr">
        <is>
          <t>High-gluten flour</t>
        </is>
      </c>
      <c r="E175" s="22" t="n">
        <v>3</v>
      </c>
      <c r="F175" t="inlineStr">
        <is>
          <t>kg</t>
        </is>
      </c>
      <c r="G175" s="9" t="n">
        <v>1</v>
      </c>
      <c r="H175" s="18" t="n">
        <v>0.08</v>
      </c>
      <c r="I175" s="23">
        <f>IFERROR(E175/(1-H175),"")</f>
        <v>3.260869565217391</v>
      </c>
      <c r="J175" s="11">
        <f>IFERROR(VLOOKUP($D175,'Settings'!$A$41:$C$89,2,FALSE),"")</f>
        <v>1.1</v>
      </c>
      <c r="K175" t="inlineStr">
        <is>
          <t>kg</t>
        </is>
      </c>
      <c r="L175" s="11">
        <f>IFERROR(I175/G175*J175,"")</f>
        <v>3.5869565217391304</v>
      </c>
      <c r="M175" s="12" t="inlineStr">
        <is>
          <t>assumption</t>
        </is>
      </c>
    </row>
    <row r="176">
      <c r="A176" t="inlineStr">
        <is>
          <t>TP1</t>
        </is>
      </c>
      <c r="B176" t="inlineStr"/>
      <c r="C176" t="inlineStr"/>
      <c r="D176" t="inlineStr">
        <is>
          <t>Butter</t>
        </is>
      </c>
      <c r="E176" s="22" t="n">
        <v>0.6</v>
      </c>
      <c r="F176" t="inlineStr">
        <is>
          <t>kg</t>
        </is>
      </c>
      <c r="G176" s="9" t="n">
        <v>1</v>
      </c>
      <c r="H176" s="18" t="n">
        <v>0.03</v>
      </c>
      <c r="I176" s="23">
        <f>IFERROR(E176/(1-H176),"")</f>
        <v>0.6185567010309279</v>
      </c>
      <c r="J176" s="11">
        <f>IFERROR(VLOOKUP($D176,'Settings'!$A$41:$C$89,2,FALSE),"")</f>
        <v>9.0</v>
      </c>
      <c r="K176" t="inlineStr">
        <is>
          <t>kg</t>
        </is>
      </c>
      <c r="L176" s="11">
        <f>IFERROR(I176/G176*J176,"")</f>
        <v>5.56701030927835</v>
      </c>
    </row>
    <row r="177">
      <c r="A177" t="inlineStr">
        <is>
          <t>TP1</t>
        </is>
      </c>
      <c r="B177" t="inlineStr"/>
      <c r="C177" t="inlineStr"/>
      <c r="D177" t="inlineStr">
        <is>
          <t>Granulated sugar</t>
        </is>
      </c>
      <c r="E177" s="22" t="n">
        <v>0.6</v>
      </c>
      <c r="F177" t="inlineStr">
        <is>
          <t>kg</t>
        </is>
      </c>
      <c r="G177" s="9" t="n">
        <v>1</v>
      </c>
      <c r="H177" s="18" t="n">
        <v>0.02</v>
      </c>
      <c r="I177" s="23">
        <f>IFERROR(E177/(1-H177),"")</f>
        <v>0.6122448979591837</v>
      </c>
      <c r="J177" s="11">
        <f>IFERROR(VLOOKUP($D177,'Settings'!$A$41:$C$89,2,FALSE),"")</f>
        <v>1.2</v>
      </c>
      <c r="K177" t="inlineStr">
        <is>
          <t>kg</t>
        </is>
      </c>
      <c r="L177" s="11">
        <f>IFERROR(I177/G177*J177,"")</f>
        <v>0.7346938775510204</v>
      </c>
    </row>
    <row r="178">
      <c r="A178" t="inlineStr">
        <is>
          <t>TP1</t>
        </is>
      </c>
      <c r="B178" t="inlineStr"/>
      <c r="C178" t="inlineStr"/>
      <c r="D178" t="inlineStr">
        <is>
          <t>Eggs (each)</t>
        </is>
      </c>
      <c r="E178" s="22" t="n">
        <v>12</v>
      </c>
      <c r="F178" t="inlineStr">
        <is>
          <t>each</t>
        </is>
      </c>
      <c r="G178" s="9" t="n">
        <v>12</v>
      </c>
      <c r="H178" s="18" t="n">
        <v>0</v>
      </c>
      <c r="I178" s="23">
        <f>IFERROR(E178/(1-H178),"")</f>
        <v>12.0</v>
      </c>
      <c r="J178" s="11">
        <f>IFERROR(VLOOKUP($D178,'Settings'!$A$41:$C$89,2,FALSE),"")</f>
        <v>3.6</v>
      </c>
      <c r="K178" t="inlineStr">
        <is>
          <t>dozen</t>
        </is>
      </c>
      <c r="L178" s="11">
        <f>IFERROR(I178/G178*J178,"")</f>
        <v>3.6</v>
      </c>
    </row>
    <row r="179">
      <c r="A179" t="inlineStr">
        <is>
          <t>TP1</t>
        </is>
      </c>
      <c r="B179" t="inlineStr"/>
      <c r="C179" t="inlineStr"/>
      <c r="D179" t="inlineStr">
        <is>
          <t>Whole milk</t>
        </is>
      </c>
      <c r="E179" s="22" t="n">
        <v>0.75</v>
      </c>
      <c r="F179" t="inlineStr">
        <is>
          <t>L</t>
        </is>
      </c>
      <c r="G179" s="9" t="n">
        <v>1</v>
      </c>
      <c r="H179" s="18" t="n">
        <v>0.02</v>
      </c>
      <c r="I179" s="23">
        <f>IFERROR(E179/(1-H179),"")</f>
        <v>0.7653061224489796</v>
      </c>
      <c r="J179" s="11">
        <f>IFERROR(VLOOKUP($D179,'Settings'!$A$41:$C$89,2,FALSE),"")</f>
        <v>1.1</v>
      </c>
      <c r="K179" t="inlineStr">
        <is>
          <t>L</t>
        </is>
      </c>
      <c r="L179" s="11">
        <f>IFERROR(I179/G179*J179,"")</f>
        <v>0.8418367346938775</v>
      </c>
    </row>
    <row r="180">
      <c r="A180" t="inlineStr">
        <is>
          <t>TP1</t>
        </is>
      </c>
      <c r="B180" t="inlineStr"/>
      <c r="C180" t="inlineStr"/>
      <c r="D180" t="inlineStr">
        <is>
          <t>Fresh yeast</t>
        </is>
      </c>
      <c r="E180" s="22" t="n">
        <v>0.12</v>
      </c>
      <c r="F180" t="inlineStr">
        <is>
          <t>kg</t>
        </is>
      </c>
      <c r="G180" s="9" t="n">
        <v>1</v>
      </c>
      <c r="H180" s="18" t="n">
        <v>0.05</v>
      </c>
      <c r="I180" s="23">
        <f>IFERROR(E180/(1-H180),"")</f>
        <v>0.12631578947368421</v>
      </c>
      <c r="J180" s="11">
        <f>IFERROR(VLOOKUP($D180,'Settings'!$A$41:$C$89,2,FALSE),"")</f>
        <v>5.0</v>
      </c>
      <c r="K180" t="inlineStr">
        <is>
          <t>kg</t>
        </is>
      </c>
      <c r="L180" s="11">
        <f>IFERROR(I180/G180*J180,"")</f>
        <v>0.631578947368421</v>
      </c>
    </row>
    <row r="181">
      <c r="A181" t="inlineStr">
        <is>
          <t>TP1</t>
        </is>
      </c>
      <c r="B181" t="inlineStr"/>
      <c r="C181" t="inlineStr"/>
      <c r="D181" t="inlineStr">
        <is>
          <t>Salt</t>
        </is>
      </c>
      <c r="E181" s="22" t="n">
        <v>0.04</v>
      </c>
      <c r="F181" t="inlineStr">
        <is>
          <t>kg</t>
        </is>
      </c>
      <c r="G181" s="9" t="n">
        <v>1</v>
      </c>
      <c r="H181" s="18" t="n">
        <v>0.02</v>
      </c>
      <c r="I181" s="23">
        <f>IFERROR(E181/(1-H181),"")</f>
        <v>0.04081632653061225</v>
      </c>
      <c r="J181" s="11">
        <f>IFERROR(VLOOKUP($D181,'Settings'!$A$41:$C$89,2,FALSE),"")</f>
        <v>0.6</v>
      </c>
      <c r="K181" t="inlineStr">
        <is>
          <t>kg</t>
        </is>
      </c>
      <c r="L181" s="11">
        <f>IFERROR(I181/G181*J181,"")</f>
        <v>0.02448979591836735</v>
      </c>
    </row>
    <row r="182">
      <c r="A182" t="inlineStr">
        <is>
          <t>TP1</t>
        </is>
      </c>
      <c r="B182" t="inlineStr"/>
      <c r="C182" t="inlineStr"/>
      <c r="D182" t="inlineStr">
        <is>
          <t>Orange blossom water</t>
        </is>
      </c>
      <c r="E182" s="22" t="n">
        <v>0.04</v>
      </c>
      <c r="F182" t="inlineStr">
        <is>
          <t>L</t>
        </is>
      </c>
      <c r="G182" s="9" t="n">
        <v>1</v>
      </c>
      <c r="H182" s="18" t="n">
        <v>0</v>
      </c>
      <c r="I182" s="23">
        <f>IFERROR(E182/(1-H182),"")</f>
        <v>0.04</v>
      </c>
      <c r="J182" s="11">
        <f>IFERROR(VLOOKUP($D182,'Settings'!$A$41:$C$89,2,FALSE),"")</f>
        <v>14.0</v>
      </c>
      <c r="K182" t="inlineStr">
        <is>
          <t>L</t>
        </is>
      </c>
      <c r="L182" s="11">
        <f>IFERROR(I182/G182*J182,"")</f>
        <v>0.56</v>
      </c>
    </row>
    <row r="183">
      <c r="A183" t="inlineStr">
        <is>
          <t>TP1</t>
        </is>
      </c>
      <c r="B183" t="inlineStr"/>
      <c r="C183" t="inlineStr"/>
      <c r="D183" t="inlineStr">
        <is>
          <t>Candied orange peel</t>
        </is>
      </c>
      <c r="E183" s="22" t="n">
        <v>0.35</v>
      </c>
      <c r="F183" t="inlineStr">
        <is>
          <t>kg</t>
        </is>
      </c>
      <c r="G183" s="9" t="n">
        <v>1</v>
      </c>
      <c r="H183" s="18" t="n">
        <v>0.02</v>
      </c>
      <c r="I183" s="23">
        <f>IFERROR(E183/(1-H183),"")</f>
        <v>0.35714285714285715</v>
      </c>
      <c r="J183" s="11">
        <f>IFERROR(VLOOKUP($D183,'Settings'!$A$41:$C$89,2,FALSE),"")</f>
        <v>7.8</v>
      </c>
      <c r="K183" t="inlineStr">
        <is>
          <t>kg</t>
        </is>
      </c>
      <c r="L183" s="11">
        <f>IFERROR(I183/G183*J183,"")</f>
        <v>2.7857142857142856</v>
      </c>
    </row>
    <row r="184">
      <c r="A184" t="inlineStr">
        <is>
          <t>TP1</t>
        </is>
      </c>
      <c r="B184" t="inlineStr"/>
      <c r="C184" t="inlineStr"/>
      <c r="D184" t="inlineStr">
        <is>
          <t>Raw Marcona almonds</t>
        </is>
      </c>
      <c r="E184" s="22" t="n">
        <v>0.2</v>
      </c>
      <c r="F184" t="inlineStr">
        <is>
          <t>kg</t>
        </is>
      </c>
      <c r="G184" s="9" t="n">
        <v>1</v>
      </c>
      <c r="H184" s="18" t="n">
        <v>0.03</v>
      </c>
      <c r="I184" s="23">
        <f>IFERROR(E184/(1-H184),"")</f>
        <v>0.2061855670103093</v>
      </c>
      <c r="J184" s="11">
        <f>IFERROR(VLOOKUP($D184,'Settings'!$A$41:$C$89,2,FALSE),"")</f>
        <v>15.5</v>
      </c>
      <c r="K184" t="inlineStr">
        <is>
          <t>kg</t>
        </is>
      </c>
      <c r="L184" s="11">
        <f>IFERROR(I184/G184*J184,"")</f>
        <v>3.195876288659794</v>
      </c>
    </row>
    <row r="185">
      <c r="A185" t="inlineStr">
        <is>
          <t>TP1</t>
        </is>
      </c>
      <c r="B185" t="inlineStr"/>
      <c r="C185" t="inlineStr"/>
      <c r="D185" t="inlineStr">
        <is>
          <t>Powdered sugar</t>
        </is>
      </c>
      <c r="E185" s="22" t="n">
        <v>0.1</v>
      </c>
      <c r="F185" t="inlineStr">
        <is>
          <t>kg</t>
        </is>
      </c>
      <c r="G185" s="9" t="n">
        <v>1</v>
      </c>
      <c r="H185" s="18" t="n">
        <v>0.02</v>
      </c>
      <c r="I185" s="23">
        <f>IFERROR(E185/(1-H185),"")</f>
        <v>0.10204081632653061</v>
      </c>
      <c r="J185" s="11">
        <f>IFERROR(VLOOKUP($D185,'Settings'!$A$41:$C$89,2,FALSE),"")</f>
        <v>2.5</v>
      </c>
      <c r="K185" t="inlineStr">
        <is>
          <t>kg</t>
        </is>
      </c>
      <c r="L185" s="11">
        <f>IFERROR(I185/G185*J185,"")</f>
        <v>0.25510204081632654</v>
      </c>
    </row>
    <row r="186">
      <c r="A186" t="inlineStr">
        <is>
          <t>TP1</t>
        </is>
      </c>
      <c r="B186" t="inlineStr"/>
      <c r="C186" t="inlineStr"/>
      <c r="D186" t="inlineStr">
        <is>
          <t>Heavy cream (35% fat)</t>
        </is>
      </c>
      <c r="E186" s="22" t="n">
        <v>2.4</v>
      </c>
      <c r="F186" t="inlineStr">
        <is>
          <t>L</t>
        </is>
      </c>
      <c r="G186" s="9" t="n">
        <v>1</v>
      </c>
      <c r="H186" s="18" t="n">
        <v>0.03</v>
      </c>
      <c r="I186" s="23">
        <f>IFERROR(E186/(1-H186),"")</f>
        <v>2.4742268041237114</v>
      </c>
      <c r="J186" s="11">
        <f>IFERROR(VLOOKUP($D186,'Settings'!$A$41:$C$89,2,FALSE),"")</f>
        <v>3.8</v>
      </c>
      <c r="K186" t="inlineStr">
        <is>
          <t>L</t>
        </is>
      </c>
      <c r="L186" s="11">
        <f>IFERROR(I186/G186*J186,"")</f>
        <v>9.402061855670103</v>
      </c>
    </row>
    <row r="187">
      <c r="A187" t="inlineStr">
        <is>
          <t>TP2</t>
        </is>
      </c>
      <c r="B187" t="inlineStr">
        <is>
          <t>Torrijas (Spanish Easter French toast)</t>
        </is>
      </c>
      <c r="C187" t="inlineStr">
        <is>
          <t>Seasonal</t>
        </is>
      </c>
      <c r="D187" t="inlineStr">
        <is>
          <t>High-gluten flour</t>
        </is>
      </c>
      <c r="E187" s="22" t="n">
        <v>1.2</v>
      </c>
      <c r="F187" t="inlineStr">
        <is>
          <t>kg</t>
        </is>
      </c>
      <c r="G187" s="9" t="n">
        <v>1</v>
      </c>
      <c r="H187" s="18" t="n">
        <v>0.08</v>
      </c>
      <c r="I187" s="23">
        <f>IFERROR(E187/(1-H187),"")</f>
        <v>1.3043478260869563</v>
      </c>
      <c r="J187" s="11">
        <f>IFERROR(VLOOKUP($D187,'Settings'!$A$41:$C$89,2,FALSE),"")</f>
        <v>1.1</v>
      </c>
      <c r="K187" t="inlineStr">
        <is>
          <t>kg</t>
        </is>
      </c>
      <c r="L187" s="11">
        <f>IFERROR(I187/G187*J187,"")</f>
        <v>1.434782608695652</v>
      </c>
      <c r="M187" s="12" t="inlineStr">
        <is>
          <t>assumption</t>
        </is>
      </c>
    </row>
    <row r="188">
      <c r="A188" t="inlineStr">
        <is>
          <t>TP2</t>
        </is>
      </c>
      <c r="B188" t="inlineStr"/>
      <c r="C188" t="inlineStr"/>
      <c r="D188" t="inlineStr">
        <is>
          <t>Eggs (each)</t>
        </is>
      </c>
      <c r="E188" s="22" t="n">
        <v>4</v>
      </c>
      <c r="F188" t="inlineStr">
        <is>
          <t>each</t>
        </is>
      </c>
      <c r="G188" s="9" t="n">
        <v>12</v>
      </c>
      <c r="H188" s="18" t="n">
        <v>0</v>
      </c>
      <c r="I188" s="23">
        <f>IFERROR(E188/(1-H188),"")</f>
        <v>4.0</v>
      </c>
      <c r="J188" s="11">
        <f>IFERROR(VLOOKUP($D188,'Settings'!$A$41:$C$89,2,FALSE),"")</f>
        <v>3.6</v>
      </c>
      <c r="K188" t="inlineStr">
        <is>
          <t>dozen</t>
        </is>
      </c>
      <c r="L188" s="11">
        <f>IFERROR(I188/G188*J188,"")</f>
        <v>1.2</v>
      </c>
    </row>
    <row r="189">
      <c r="A189" t="inlineStr">
        <is>
          <t>TP2</t>
        </is>
      </c>
      <c r="B189" t="inlineStr"/>
      <c r="C189" t="inlineStr"/>
      <c r="D189" t="inlineStr">
        <is>
          <t>Whole milk</t>
        </is>
      </c>
      <c r="E189" s="22" t="n">
        <v>2.6</v>
      </c>
      <c r="F189" t="inlineStr">
        <is>
          <t>L</t>
        </is>
      </c>
      <c r="G189" s="9" t="n">
        <v>1</v>
      </c>
      <c r="H189" s="18" t="n">
        <v>0.02</v>
      </c>
      <c r="I189" s="23">
        <f>IFERROR(E189/(1-H189),"")</f>
        <v>2.653061224489796</v>
      </c>
      <c r="J189" s="11">
        <f>IFERROR(VLOOKUP($D189,'Settings'!$A$41:$C$89,2,FALSE),"")</f>
        <v>1.1</v>
      </c>
      <c r="K189" t="inlineStr">
        <is>
          <t>L</t>
        </is>
      </c>
      <c r="L189" s="11">
        <f>IFERROR(I189/G189*J189,"")</f>
        <v>2.918367346938776</v>
      </c>
    </row>
    <row r="190">
      <c r="A190" t="inlineStr">
        <is>
          <t>TP2</t>
        </is>
      </c>
      <c r="B190" t="inlineStr"/>
      <c r="C190" t="inlineStr"/>
      <c r="D190" t="inlineStr">
        <is>
          <t>Granulated sugar</t>
        </is>
      </c>
      <c r="E190" s="22" t="n">
        <v>0.45</v>
      </c>
      <c r="F190" t="inlineStr">
        <is>
          <t>kg</t>
        </is>
      </c>
      <c r="G190" s="9" t="n">
        <v>1</v>
      </c>
      <c r="H190" s="18" t="n">
        <v>0.02</v>
      </c>
      <c r="I190" s="23">
        <f>IFERROR(E190/(1-H190),"")</f>
        <v>0.45918367346938777</v>
      </c>
      <c r="J190" s="11">
        <f>IFERROR(VLOOKUP($D190,'Settings'!$A$41:$C$89,2,FALSE),"")</f>
        <v>1.2</v>
      </c>
      <c r="K190" t="inlineStr">
        <is>
          <t>kg</t>
        </is>
      </c>
      <c r="L190" s="11">
        <f>IFERROR(I190/G190*J190,"")</f>
        <v>0.5510204081632653</v>
      </c>
    </row>
    <row r="191">
      <c r="A191" t="inlineStr">
        <is>
          <t>TP2</t>
        </is>
      </c>
      <c r="B191" t="inlineStr"/>
      <c r="C191" t="inlineStr"/>
      <c r="D191" t="inlineStr">
        <is>
          <t>Ground cinnamon</t>
        </is>
      </c>
      <c r="E191" s="22" t="n">
        <v>0.006</v>
      </c>
      <c r="F191" t="inlineStr">
        <is>
          <t>kg</t>
        </is>
      </c>
      <c r="G191" s="9" t="n">
        <v>1</v>
      </c>
      <c r="H191" s="18" t="n">
        <v>0</v>
      </c>
      <c r="I191" s="23">
        <f>IFERROR(E191/(1-H191),"")</f>
        <v>0.006</v>
      </c>
      <c r="J191" s="11">
        <f>IFERROR(VLOOKUP($D191,'Settings'!$A$41:$C$89,2,FALSE),"")</f>
        <v>18.0</v>
      </c>
      <c r="K191" t="inlineStr">
        <is>
          <t>kg</t>
        </is>
      </c>
      <c r="L191" s="11">
        <f>IFERROR(I191/G191*J191,"")</f>
        <v>0.108</v>
      </c>
    </row>
    <row r="192">
      <c r="A192" t="inlineStr">
        <is>
          <t>TP2</t>
        </is>
      </c>
      <c r="B192" t="inlineStr"/>
      <c r="C192" t="inlineStr"/>
      <c r="D192" t="inlineStr">
        <is>
          <t>Sunflower oil</t>
        </is>
      </c>
      <c r="E192" s="22" t="n">
        <v>0.55</v>
      </c>
      <c r="F192" t="inlineStr">
        <is>
          <t>L</t>
        </is>
      </c>
      <c r="G192" s="9" t="n">
        <v>1</v>
      </c>
      <c r="H192" s="18" t="n">
        <v>0.2</v>
      </c>
      <c r="I192" s="23">
        <f>IFERROR(E192/(1-H192),"")</f>
        <v>0.6875</v>
      </c>
      <c r="J192" s="11">
        <f>IFERROR(VLOOKUP($D192,'Settings'!$A$41:$C$89,2,FALSE),"")</f>
        <v>1.8</v>
      </c>
      <c r="K192" t="inlineStr">
        <is>
          <t>L</t>
        </is>
      </c>
      <c r="L192" s="11">
        <f>IFERROR(I192/G192*J192,"")</f>
        <v>1.2375</v>
      </c>
    </row>
    <row r="193">
      <c r="A193" t="inlineStr">
        <is>
          <t>TP2</t>
        </is>
      </c>
      <c r="B193" t="inlineStr"/>
      <c r="C193" t="inlineStr"/>
      <c r="D193" t="inlineStr">
        <is>
          <t>Lemons</t>
        </is>
      </c>
      <c r="E193" s="22" t="n">
        <v>0.12</v>
      </c>
      <c r="F193" t="inlineStr">
        <is>
          <t>kg</t>
        </is>
      </c>
      <c r="G193" s="9" t="n">
        <v>1</v>
      </c>
      <c r="H193" s="18" t="n">
        <v>0.25</v>
      </c>
      <c r="I193" s="23">
        <f>IFERROR(E193/(1-H193),"")</f>
        <v>0.16</v>
      </c>
      <c r="J193" s="11">
        <f>IFERROR(VLOOKUP($D193,'Settings'!$A$41:$C$89,2,FALSE),"")</f>
        <v>2.2</v>
      </c>
      <c r="K193" t="inlineStr">
        <is>
          <t>kg</t>
        </is>
      </c>
      <c r="L193" s="11">
        <f>IFERROR(I193/G193*J193,"")</f>
        <v>0.35200000000000004</v>
      </c>
    </row>
    <row r="194">
      <c r="A194" t="inlineStr">
        <is>
          <t>TP3</t>
        </is>
      </c>
      <c r="B194" t="inlineStr">
        <is>
          <t>Buñuelos de viento (Spanish cream-filled fritters)</t>
        </is>
      </c>
      <c r="C194" t="inlineStr">
        <is>
          <t>Seasonal</t>
        </is>
      </c>
      <c r="D194" t="inlineStr">
        <is>
          <t>Pastry flour</t>
        </is>
      </c>
      <c r="E194" s="22" t="n">
        <v>0.35</v>
      </c>
      <c r="F194" t="inlineStr">
        <is>
          <t>kg</t>
        </is>
      </c>
      <c r="G194" s="9" t="n">
        <v>1</v>
      </c>
      <c r="H194" s="18" t="n">
        <v>0.08</v>
      </c>
      <c r="I194" s="23">
        <f>IFERROR(E194/(1-H194),"")</f>
        <v>0.3804347826086956</v>
      </c>
      <c r="J194" s="11">
        <f>IFERROR(VLOOKUP($D194,'Settings'!$A$41:$C$89,2,FALSE),"")</f>
        <v>0.9</v>
      </c>
      <c r="K194" t="inlineStr">
        <is>
          <t>kg</t>
        </is>
      </c>
      <c r="L194" s="11">
        <f>IFERROR(I194/G194*J194,"")</f>
        <v>0.34239130434782605</v>
      </c>
      <c r="M194" s="12" t="inlineStr">
        <is>
          <t>assumption</t>
        </is>
      </c>
    </row>
    <row r="195">
      <c r="A195" t="inlineStr">
        <is>
          <t>TP3</t>
        </is>
      </c>
      <c r="B195" t="inlineStr"/>
      <c r="C195" t="inlineStr"/>
      <c r="D195" t="inlineStr">
        <is>
          <t>Butter</t>
        </is>
      </c>
      <c r="E195" s="22" t="n">
        <v>0.25</v>
      </c>
      <c r="F195" t="inlineStr">
        <is>
          <t>kg</t>
        </is>
      </c>
      <c r="G195" s="9" t="n">
        <v>1</v>
      </c>
      <c r="H195" s="18" t="n">
        <v>0.03</v>
      </c>
      <c r="I195" s="23">
        <f>IFERROR(E195/(1-H195),"")</f>
        <v>0.2577319587628866</v>
      </c>
      <c r="J195" s="11">
        <f>IFERROR(VLOOKUP($D195,'Settings'!$A$41:$C$89,2,FALSE),"")</f>
        <v>9.0</v>
      </c>
      <c r="K195" t="inlineStr">
        <is>
          <t>kg</t>
        </is>
      </c>
      <c r="L195" s="11">
        <f>IFERROR(I195/G195*J195,"")</f>
        <v>2.3195876288659796</v>
      </c>
    </row>
    <row r="196">
      <c r="A196" t="inlineStr">
        <is>
          <t>TP3</t>
        </is>
      </c>
      <c r="B196" t="inlineStr"/>
      <c r="C196" t="inlineStr"/>
      <c r="D196" t="inlineStr">
        <is>
          <t>Eggs (each)</t>
        </is>
      </c>
      <c r="E196" s="22" t="n">
        <v>10</v>
      </c>
      <c r="F196" t="inlineStr">
        <is>
          <t>each</t>
        </is>
      </c>
      <c r="G196" s="9" t="n">
        <v>12</v>
      </c>
      <c r="H196" s="18" t="n">
        <v>0</v>
      </c>
      <c r="I196" s="23">
        <f>IFERROR(E196/(1-H196),"")</f>
        <v>10.0</v>
      </c>
      <c r="J196" s="11">
        <f>IFERROR(VLOOKUP($D196,'Settings'!$A$41:$C$89,2,FALSE),"")</f>
        <v>3.6</v>
      </c>
      <c r="K196" t="inlineStr">
        <is>
          <t>dozen</t>
        </is>
      </c>
      <c r="L196" s="11">
        <f>IFERROR(I196/G196*J196,"")</f>
        <v>3.0</v>
      </c>
    </row>
    <row r="197">
      <c r="A197" t="inlineStr">
        <is>
          <t>TP3</t>
        </is>
      </c>
      <c r="B197" t="inlineStr"/>
      <c r="C197" t="inlineStr"/>
      <c r="D197" t="inlineStr">
        <is>
          <t>Salt</t>
        </is>
      </c>
      <c r="E197" s="22" t="n">
        <v>0.005</v>
      </c>
      <c r="F197" t="inlineStr">
        <is>
          <t>kg</t>
        </is>
      </c>
      <c r="G197" s="9" t="n">
        <v>1</v>
      </c>
      <c r="H197" s="18" t="n">
        <v>0.02</v>
      </c>
      <c r="I197" s="23">
        <f>IFERROR(E197/(1-H197),"")</f>
        <v>0.005102040816326531</v>
      </c>
      <c r="J197" s="11">
        <f>IFERROR(VLOOKUP($D197,'Settings'!$A$41:$C$89,2,FALSE),"")</f>
        <v>0.6</v>
      </c>
      <c r="K197" t="inlineStr">
        <is>
          <t>kg</t>
        </is>
      </c>
      <c r="L197" s="11">
        <f>IFERROR(I197/G197*J197,"")</f>
        <v>0.0030612244897959186</v>
      </c>
    </row>
    <row r="198">
      <c r="A198" t="inlineStr">
        <is>
          <t>TP3</t>
        </is>
      </c>
      <c r="B198" t="inlineStr"/>
      <c r="C198" t="inlineStr"/>
      <c r="D198" t="inlineStr">
        <is>
          <t>Sunflower oil</t>
        </is>
      </c>
      <c r="E198" s="22" t="n">
        <v>0.7</v>
      </c>
      <c r="F198" t="inlineStr">
        <is>
          <t>L</t>
        </is>
      </c>
      <c r="G198" s="9" t="n">
        <v>1</v>
      </c>
      <c r="H198" s="18" t="n">
        <v>0.2</v>
      </c>
      <c r="I198" s="23">
        <f>IFERROR(E198/(1-H198),"")</f>
        <v>0.8749999999999999</v>
      </c>
      <c r="J198" s="11">
        <f>IFERROR(VLOOKUP($D198,'Settings'!$A$41:$C$89,2,FALSE),"")</f>
        <v>1.8</v>
      </c>
      <c r="K198" t="inlineStr">
        <is>
          <t>L</t>
        </is>
      </c>
      <c r="L198" s="11">
        <f>IFERROR(I198/G198*J198,"")</f>
        <v>1.5749999999999997</v>
      </c>
    </row>
    <row r="199">
      <c r="A199" t="inlineStr">
        <is>
          <t>TP3</t>
        </is>
      </c>
      <c r="B199" t="inlineStr"/>
      <c r="C199" t="inlineStr"/>
      <c r="D199" t="inlineStr">
        <is>
          <t>Granulated sugar</t>
        </is>
      </c>
      <c r="E199" s="22" t="n">
        <v>0.15</v>
      </c>
      <c r="F199" t="inlineStr">
        <is>
          <t>kg</t>
        </is>
      </c>
      <c r="G199" s="9" t="n">
        <v>1</v>
      </c>
      <c r="H199" s="18" t="n">
        <v>0.02</v>
      </c>
      <c r="I199" s="23">
        <f>IFERROR(E199/(1-H199),"")</f>
        <v>0.15306122448979592</v>
      </c>
      <c r="J199" s="11">
        <f>IFERROR(VLOOKUP($D199,'Settings'!$A$41:$C$89,2,FALSE),"")</f>
        <v>1.2</v>
      </c>
      <c r="K199" t="inlineStr">
        <is>
          <t>kg</t>
        </is>
      </c>
      <c r="L199" s="11">
        <f>IFERROR(I199/G199*J199,"")</f>
        <v>0.1836734693877551</v>
      </c>
    </row>
    <row r="200">
      <c r="A200" t="inlineStr">
        <is>
          <t>TP3</t>
        </is>
      </c>
      <c r="B200" t="inlineStr"/>
      <c r="C200" t="inlineStr"/>
      <c r="D200" t="inlineStr">
        <is>
          <t>Whole milk</t>
        </is>
      </c>
      <c r="E200" s="22" t="n">
        <v>0.8</v>
      </c>
      <c r="F200" t="inlineStr">
        <is>
          <t>L</t>
        </is>
      </c>
      <c r="G200" s="9" t="n">
        <v>1</v>
      </c>
      <c r="H200" s="18" t="n">
        <v>0.02</v>
      </c>
      <c r="I200" s="23">
        <f>IFERROR(E200/(1-H200),"")</f>
        <v>0.8163265306122449</v>
      </c>
      <c r="J200" s="11">
        <f>IFERROR(VLOOKUP($D200,'Settings'!$A$41:$C$89,2,FALSE),"")</f>
        <v>1.1</v>
      </c>
      <c r="K200" t="inlineStr">
        <is>
          <t>L</t>
        </is>
      </c>
      <c r="L200" s="11">
        <f>IFERROR(I200/G200*J200,"")</f>
        <v>0.8979591836734695</v>
      </c>
    </row>
    <row r="201">
      <c r="A201" t="inlineStr">
        <is>
          <t>TP3</t>
        </is>
      </c>
      <c r="B201" t="inlineStr"/>
      <c r="C201" t="inlineStr"/>
      <c r="D201" t="inlineStr">
        <is>
          <t>Granulated sugar</t>
        </is>
      </c>
      <c r="E201" s="22" t="n">
        <v>0.18</v>
      </c>
      <c r="F201" t="inlineStr">
        <is>
          <t>kg</t>
        </is>
      </c>
      <c r="G201" s="9" t="n">
        <v>1</v>
      </c>
      <c r="H201" s="18" t="n">
        <v>0.02</v>
      </c>
      <c r="I201" s="23">
        <f>IFERROR(E201/(1-H201),"")</f>
        <v>0.1836734693877551</v>
      </c>
      <c r="J201" s="11">
        <f>IFERROR(VLOOKUP($D201,'Settings'!$A$41:$C$89,2,FALSE),"")</f>
        <v>1.2</v>
      </c>
      <c r="K201" t="inlineStr">
        <is>
          <t>kg</t>
        </is>
      </c>
      <c r="L201" s="11">
        <f>IFERROR(I201/G201*J201,"")</f>
        <v>0.22040816326530613</v>
      </c>
    </row>
    <row r="202">
      <c r="A202" t="inlineStr">
        <is>
          <t>TP3</t>
        </is>
      </c>
      <c r="B202" t="inlineStr"/>
      <c r="C202" t="inlineStr"/>
      <c r="D202" t="inlineStr">
        <is>
          <t>Eggs (each)</t>
        </is>
      </c>
      <c r="E202" s="22" t="n">
        <v>5</v>
      </c>
      <c r="F202" t="inlineStr">
        <is>
          <t>each</t>
        </is>
      </c>
      <c r="G202" s="9" t="n">
        <v>12</v>
      </c>
      <c r="H202" s="18" t="n">
        <v>0</v>
      </c>
      <c r="I202" s="23">
        <f>IFERROR(E202/(1-H202),"")</f>
        <v>5.0</v>
      </c>
      <c r="J202" s="11">
        <f>IFERROR(VLOOKUP($D202,'Settings'!$A$41:$C$89,2,FALSE),"")</f>
        <v>3.6</v>
      </c>
      <c r="K202" t="inlineStr">
        <is>
          <t>dozen</t>
        </is>
      </c>
      <c r="L202" s="11">
        <f>IFERROR(I202/G202*J202,"")</f>
        <v>1.5</v>
      </c>
    </row>
    <row r="203">
      <c r="A203" t="inlineStr">
        <is>
          <t>TP3</t>
        </is>
      </c>
      <c r="B203" t="inlineStr"/>
      <c r="C203" t="inlineStr"/>
      <c r="D203" t="inlineStr">
        <is>
          <t>Cornstarch</t>
        </is>
      </c>
      <c r="E203" s="22" t="n">
        <v>0.06</v>
      </c>
      <c r="F203" t="inlineStr">
        <is>
          <t>kg</t>
        </is>
      </c>
      <c r="G203" s="9" t="n">
        <v>1</v>
      </c>
      <c r="H203" s="18" t="n">
        <v>0.02</v>
      </c>
      <c r="I203" s="23">
        <f>IFERROR(E203/(1-H203),"")</f>
        <v>0.061224489795918366</v>
      </c>
      <c r="J203" s="11">
        <f>IFERROR(VLOOKUP($D203,'Settings'!$A$41:$C$89,2,FALSE),"")</f>
        <v>2.1</v>
      </c>
      <c r="K203" t="inlineStr">
        <is>
          <t>kg</t>
        </is>
      </c>
      <c r="L203" s="11">
        <f>IFERROR(I203/G203*J203,"")</f>
        <v>0.1285714285714286</v>
      </c>
    </row>
    <row r="204">
      <c r="A204" t="inlineStr">
        <is>
          <t>TP4</t>
        </is>
      </c>
      <c r="B204" t="inlineStr">
        <is>
          <t>Huesos de santo (marzipan "saints' bones")</t>
        </is>
      </c>
      <c r="C204" t="inlineStr">
        <is>
          <t>Seasonal</t>
        </is>
      </c>
      <c r="D204" t="inlineStr">
        <is>
          <t>Almond meal</t>
        </is>
      </c>
      <c r="E204" s="22" t="n">
        <v>0.7</v>
      </c>
      <c r="F204" t="inlineStr">
        <is>
          <t>kg</t>
        </is>
      </c>
      <c r="G204" s="9" t="n">
        <v>1</v>
      </c>
      <c r="H204" s="18" t="n">
        <v>0.02</v>
      </c>
      <c r="I204" s="23">
        <f>IFERROR(E204/(1-H204),"")</f>
        <v>0.7142857142857143</v>
      </c>
      <c r="J204" s="11">
        <f>IFERROR(VLOOKUP($D204,'Settings'!$A$41:$C$89,2,FALSE),"")</f>
        <v>13.5</v>
      </c>
      <c r="K204" t="inlineStr">
        <is>
          <t>kg</t>
        </is>
      </c>
      <c r="L204" s="11">
        <f>IFERROR(I204/G204*J204,"")</f>
        <v>9.642857142857142</v>
      </c>
      <c r="M204" s="12" t="inlineStr">
        <is>
          <t>assumption</t>
        </is>
      </c>
    </row>
    <row r="205">
      <c r="A205" t="inlineStr">
        <is>
          <t>TP4</t>
        </is>
      </c>
      <c r="B205" t="inlineStr"/>
      <c r="C205" t="inlineStr"/>
      <c r="D205" t="inlineStr">
        <is>
          <t>Granulated sugar</t>
        </is>
      </c>
      <c r="E205" s="22" t="n">
        <v>0.7</v>
      </c>
      <c r="F205" t="inlineStr">
        <is>
          <t>kg</t>
        </is>
      </c>
      <c r="G205" s="9" t="n">
        <v>1</v>
      </c>
      <c r="H205" s="18" t="n">
        <v>0.02</v>
      </c>
      <c r="I205" s="23">
        <f>IFERROR(E205/(1-H205),"")</f>
        <v>0.7142857142857143</v>
      </c>
      <c r="J205" s="11">
        <f>IFERROR(VLOOKUP($D205,'Settings'!$A$41:$C$89,2,FALSE),"")</f>
        <v>1.2</v>
      </c>
      <c r="K205" t="inlineStr">
        <is>
          <t>kg</t>
        </is>
      </c>
      <c r="L205" s="11">
        <f>IFERROR(I205/G205*J205,"")</f>
        <v>0.8571428571428571</v>
      </c>
    </row>
    <row r="206">
      <c r="A206" t="inlineStr">
        <is>
          <t>TP4</t>
        </is>
      </c>
      <c r="B206" t="inlineStr"/>
      <c r="C206" t="inlineStr"/>
      <c r="D206" t="inlineStr">
        <is>
          <t>Pasteurized egg yolks (egg product)</t>
        </is>
      </c>
      <c r="E206" s="22" t="n">
        <v>0.3</v>
      </c>
      <c r="F206" t="inlineStr">
        <is>
          <t>kg</t>
        </is>
      </c>
      <c r="G206" s="9" t="n">
        <v>1</v>
      </c>
      <c r="H206" s="18" t="n">
        <v>0.02</v>
      </c>
      <c r="I206" s="23">
        <f>IFERROR(E206/(1-H206),"")</f>
        <v>0.30612244897959184</v>
      </c>
      <c r="J206" s="11">
        <f>IFERROR(VLOOKUP($D206,'Settings'!$A$41:$C$89,2,FALSE),"")</f>
        <v>6.8</v>
      </c>
      <c r="K206" t="inlineStr">
        <is>
          <t>kg</t>
        </is>
      </c>
      <c r="L206" s="11">
        <f>IFERROR(I206/G206*J206,"")</f>
        <v>2.0816326530612246</v>
      </c>
    </row>
    <row r="207">
      <c r="A207" t="inlineStr">
        <is>
          <t>TP4</t>
        </is>
      </c>
      <c r="B207" t="inlineStr"/>
      <c r="C207" t="inlineStr"/>
      <c r="D207" t="inlineStr">
        <is>
          <t>Powdered sugar</t>
        </is>
      </c>
      <c r="E207" s="22" t="n">
        <v>0.1</v>
      </c>
      <c r="F207" t="inlineStr">
        <is>
          <t>kg</t>
        </is>
      </c>
      <c r="G207" s="9" t="n">
        <v>1</v>
      </c>
      <c r="H207" s="18" t="n">
        <v>0.02</v>
      </c>
      <c r="I207" s="23">
        <f>IFERROR(E207/(1-H207),"")</f>
        <v>0.10204081632653061</v>
      </c>
      <c r="J207" s="11">
        <f>IFERROR(VLOOKUP($D207,'Settings'!$A$41:$C$89,2,FALSE),"")</f>
        <v>2.5</v>
      </c>
      <c r="K207" t="inlineStr">
        <is>
          <t>kg</t>
        </is>
      </c>
      <c r="L207" s="11">
        <f>IFERROR(I207/G207*J207,"")</f>
        <v>0.25510204081632654</v>
      </c>
    </row>
    <row r="208">
      <c r="A208" t="inlineStr">
        <is>
          <t>TP4</t>
        </is>
      </c>
      <c r="B208" t="inlineStr"/>
      <c r="C208" t="inlineStr"/>
      <c r="D208" t="inlineStr">
        <is>
          <t>Lemons</t>
        </is>
      </c>
      <c r="E208" s="22" t="n">
        <v>0.05</v>
      </c>
      <c r="F208" t="inlineStr">
        <is>
          <t>kg</t>
        </is>
      </c>
      <c r="G208" s="9" t="n">
        <v>1</v>
      </c>
      <c r="H208" s="18" t="n">
        <v>0.25</v>
      </c>
      <c r="I208" s="23">
        <f>IFERROR(E208/(1-H208),"")</f>
        <v>0.06666666666666667</v>
      </c>
      <c r="J208" s="11">
        <f>IFERROR(VLOOKUP($D208,'Settings'!$A$41:$C$89,2,FALSE),"")</f>
        <v>2.2</v>
      </c>
      <c r="K208" t="inlineStr">
        <is>
          <t>kg</t>
        </is>
      </c>
      <c r="L208" s="11">
        <f>IFERROR(I208/G208*J208,"")</f>
        <v>0.14666666666666667</v>
      </c>
    </row>
    <row r="209">
      <c r="A209" t="inlineStr">
        <is>
          <t>TP5</t>
        </is>
      </c>
      <c r="B209" t="inlineStr">
        <is>
          <t>Panellets (almond and pine-nut cookies)</t>
        </is>
      </c>
      <c r="C209" t="inlineStr">
        <is>
          <t>Seasonal</t>
        </is>
      </c>
      <c r="D209" t="inlineStr">
        <is>
          <t>Almond meal</t>
        </is>
      </c>
      <c r="E209" s="22" t="n">
        <v>1</v>
      </c>
      <c r="F209" t="inlineStr">
        <is>
          <t>kg</t>
        </is>
      </c>
      <c r="G209" s="9" t="n">
        <v>1</v>
      </c>
      <c r="H209" s="18" t="n">
        <v>0.02</v>
      </c>
      <c r="I209" s="23">
        <f>IFERROR(E209/(1-H209),"")</f>
        <v>1.0204081632653061</v>
      </c>
      <c r="J209" s="11">
        <f>IFERROR(VLOOKUP($D209,'Settings'!$A$41:$C$89,2,FALSE),"")</f>
        <v>13.5</v>
      </c>
      <c r="K209" t="inlineStr">
        <is>
          <t>kg</t>
        </is>
      </c>
      <c r="L209" s="11">
        <f>IFERROR(I209/G209*J209,"")</f>
        <v>13.775510204081632</v>
      </c>
      <c r="M209" s="12" t="inlineStr">
        <is>
          <t>assumption</t>
        </is>
      </c>
    </row>
    <row r="210">
      <c r="A210" t="inlineStr">
        <is>
          <t>TP5</t>
        </is>
      </c>
      <c r="B210" t="inlineStr"/>
      <c r="C210" t="inlineStr"/>
      <c r="D210" t="inlineStr">
        <is>
          <t>Granulated sugar</t>
        </is>
      </c>
      <c r="E210" s="22" t="n">
        <v>0.9</v>
      </c>
      <c r="F210" t="inlineStr">
        <is>
          <t>kg</t>
        </is>
      </c>
      <c r="G210" s="9" t="n">
        <v>1</v>
      </c>
      <c r="H210" s="18" t="n">
        <v>0.02</v>
      </c>
      <c r="I210" s="23">
        <f>IFERROR(E210/(1-H210),"")</f>
        <v>0.9183673469387755</v>
      </c>
      <c r="J210" s="11">
        <f>IFERROR(VLOOKUP($D210,'Settings'!$A$41:$C$89,2,FALSE),"")</f>
        <v>1.2</v>
      </c>
      <c r="K210" t="inlineStr">
        <is>
          <t>kg</t>
        </is>
      </c>
      <c r="L210" s="11">
        <f>IFERROR(I210/G210*J210,"")</f>
        <v>1.1020408163265305</v>
      </c>
    </row>
    <row r="211">
      <c r="A211" t="inlineStr">
        <is>
          <t>TP5</t>
        </is>
      </c>
      <c r="B211" t="inlineStr"/>
      <c r="C211" t="inlineStr"/>
      <c r="D211" t="inlineStr">
        <is>
          <t>Eggs (each)</t>
        </is>
      </c>
      <c r="E211" s="22" t="n">
        <v>2</v>
      </c>
      <c r="F211" t="inlineStr">
        <is>
          <t>each</t>
        </is>
      </c>
      <c r="G211" s="9" t="n">
        <v>12</v>
      </c>
      <c r="H211" s="18" t="n">
        <v>0</v>
      </c>
      <c r="I211" s="23">
        <f>IFERROR(E211/(1-H211),"")</f>
        <v>2.0</v>
      </c>
      <c r="J211" s="11">
        <f>IFERROR(VLOOKUP($D211,'Settings'!$A$41:$C$89,2,FALSE),"")</f>
        <v>3.6</v>
      </c>
      <c r="K211" t="inlineStr">
        <is>
          <t>dozen</t>
        </is>
      </c>
      <c r="L211" s="11">
        <f>IFERROR(I211/G211*J211,"")</f>
        <v>0.6</v>
      </c>
    </row>
    <row r="212">
      <c r="A212" t="inlineStr">
        <is>
          <t>TP5</t>
        </is>
      </c>
      <c r="B212" t="inlineStr"/>
      <c r="C212" t="inlineStr"/>
      <c r="D212" t="inlineStr">
        <is>
          <t>Pine nuts</t>
        </is>
      </c>
      <c r="E212" s="22" t="n">
        <v>0.35</v>
      </c>
      <c r="F212" t="inlineStr">
        <is>
          <t>kg</t>
        </is>
      </c>
      <c r="G212" s="9" t="n">
        <v>1</v>
      </c>
      <c r="H212" s="18" t="n">
        <v>0.02</v>
      </c>
      <c r="I212" s="23">
        <f>IFERROR(E212/(1-H212),"")</f>
        <v>0.35714285714285715</v>
      </c>
      <c r="J212" s="11">
        <f>IFERROR(VLOOKUP($D212,'Settings'!$A$41:$C$89,2,FALSE),"")</f>
        <v>72.0</v>
      </c>
      <c r="K212" t="inlineStr">
        <is>
          <t>kg</t>
        </is>
      </c>
      <c r="L212" s="11">
        <f>IFERROR(I212/G212*J212,"")</f>
        <v>25.714285714285715</v>
      </c>
    </row>
    <row r="213">
      <c r="A213" t="inlineStr">
        <is>
          <t>TP5</t>
        </is>
      </c>
      <c r="B213" t="inlineStr"/>
      <c r="C213" t="inlineStr"/>
      <c r="D213" t="inlineStr">
        <is>
          <t>Lemons</t>
        </is>
      </c>
      <c r="E213" s="22" t="n">
        <v>0.05</v>
      </c>
      <c r="F213" t="inlineStr">
        <is>
          <t>kg</t>
        </is>
      </c>
      <c r="G213" s="9" t="n">
        <v>1</v>
      </c>
      <c r="H213" s="18" t="n">
        <v>0.25</v>
      </c>
      <c r="I213" s="23">
        <f>IFERROR(E213/(1-H213),"")</f>
        <v>0.06666666666666667</v>
      </c>
      <c r="J213" s="11">
        <f>IFERROR(VLOOKUP($D213,'Settings'!$A$41:$C$89,2,FALSE),"")</f>
        <v>2.2</v>
      </c>
      <c r="K213" t="inlineStr">
        <is>
          <t>kg</t>
        </is>
      </c>
      <c r="L213" s="11">
        <f>IFERROR(I213/G213*J213,"")</f>
        <v>0.14666666666666667</v>
      </c>
    </row>
    <row r="214">
      <c r="A214" t="inlineStr">
        <is>
          <t>TP6</t>
        </is>
      </c>
      <c r="B214" t="inlineStr">
        <is>
          <t>Polvorones (Spanish shortbread)</t>
        </is>
      </c>
      <c r="C214" t="inlineStr">
        <is>
          <t>Seasonal</t>
        </is>
      </c>
      <c r="D214" t="inlineStr">
        <is>
          <t>Pastry flour</t>
        </is>
      </c>
      <c r="E214" s="22" t="n">
        <v>1.1</v>
      </c>
      <c r="F214" t="inlineStr">
        <is>
          <t>kg</t>
        </is>
      </c>
      <c r="G214" s="9" t="n">
        <v>1</v>
      </c>
      <c r="H214" s="18" t="n">
        <v>0.08</v>
      </c>
      <c r="I214" s="23">
        <f>IFERROR(E214/(1-H214),"")</f>
        <v>1.1956521739130435</v>
      </c>
      <c r="J214" s="11">
        <f>IFERROR(VLOOKUP($D214,'Settings'!$A$41:$C$89,2,FALSE),"")</f>
        <v>0.9</v>
      </c>
      <c r="K214" t="inlineStr">
        <is>
          <t>kg</t>
        </is>
      </c>
      <c r="L214" s="11">
        <f>IFERROR(I214/G214*J214,"")</f>
        <v>1.0760869565217392</v>
      </c>
      <c r="M214" s="12" t="inlineStr">
        <is>
          <t>assumption</t>
        </is>
      </c>
    </row>
    <row r="215">
      <c r="A215" t="inlineStr">
        <is>
          <t>TP6</t>
        </is>
      </c>
      <c r="B215" t="inlineStr"/>
      <c r="C215" t="inlineStr"/>
      <c r="D215" t="inlineStr">
        <is>
          <t>Lard</t>
        </is>
      </c>
      <c r="E215" s="22" t="n">
        <v>0.45</v>
      </c>
      <c r="F215" t="inlineStr">
        <is>
          <t>kg</t>
        </is>
      </c>
      <c r="G215" s="9" t="n">
        <v>1</v>
      </c>
      <c r="H215" s="18" t="n">
        <v>0.03</v>
      </c>
      <c r="I215" s="23">
        <f>IFERROR(E215/(1-H215),"")</f>
        <v>0.4639175257731959</v>
      </c>
      <c r="J215" s="11">
        <f>IFERROR(VLOOKUP($D215,'Settings'!$A$41:$C$89,2,FALSE),"")</f>
        <v>4.4</v>
      </c>
      <c r="K215" t="inlineStr">
        <is>
          <t>kg</t>
        </is>
      </c>
      <c r="L215" s="11">
        <f>IFERROR(I215/G215*J215,"")</f>
        <v>2.041237113402062</v>
      </c>
    </row>
    <row r="216">
      <c r="A216" t="inlineStr">
        <is>
          <t>TP6</t>
        </is>
      </c>
      <c r="B216" t="inlineStr"/>
      <c r="C216" t="inlineStr"/>
      <c r="D216" t="inlineStr">
        <is>
          <t>Powdered sugar</t>
        </is>
      </c>
      <c r="E216" s="22" t="n">
        <v>0.45</v>
      </c>
      <c r="F216" t="inlineStr">
        <is>
          <t>kg</t>
        </is>
      </c>
      <c r="G216" s="9" t="n">
        <v>1</v>
      </c>
      <c r="H216" s="18" t="n">
        <v>0.02</v>
      </c>
      <c r="I216" s="23">
        <f>IFERROR(E216/(1-H216),"")</f>
        <v>0.45918367346938777</v>
      </c>
      <c r="J216" s="11">
        <f>IFERROR(VLOOKUP($D216,'Settings'!$A$41:$C$89,2,FALSE),"")</f>
        <v>2.5</v>
      </c>
      <c r="K216" t="inlineStr">
        <is>
          <t>kg</t>
        </is>
      </c>
      <c r="L216" s="11">
        <f>IFERROR(I216/G216*J216,"")</f>
        <v>1.1479591836734695</v>
      </c>
    </row>
    <row r="217">
      <c r="A217" t="inlineStr">
        <is>
          <t>TP6</t>
        </is>
      </c>
      <c r="B217" t="inlineStr"/>
      <c r="C217" t="inlineStr"/>
      <c r="D217" t="inlineStr">
        <is>
          <t>Almond meal</t>
        </is>
      </c>
      <c r="E217" s="22" t="n">
        <v>0.25</v>
      </c>
      <c r="F217" t="inlineStr">
        <is>
          <t>kg</t>
        </is>
      </c>
      <c r="G217" s="9" t="n">
        <v>1</v>
      </c>
      <c r="H217" s="18" t="n">
        <v>0.02</v>
      </c>
      <c r="I217" s="23">
        <f>IFERROR(E217/(1-H217),"")</f>
        <v>0.25510204081632654</v>
      </c>
      <c r="J217" s="11">
        <f>IFERROR(VLOOKUP($D217,'Settings'!$A$41:$C$89,2,FALSE),"")</f>
        <v>13.5</v>
      </c>
      <c r="K217" t="inlineStr">
        <is>
          <t>kg</t>
        </is>
      </c>
      <c r="L217" s="11">
        <f>IFERROR(I217/G217*J217,"")</f>
        <v>3.443877551020408</v>
      </c>
    </row>
    <row r="218">
      <c r="A218" t="inlineStr">
        <is>
          <t>TP6</t>
        </is>
      </c>
      <c r="B218" t="inlineStr"/>
      <c r="C218" t="inlineStr"/>
      <c r="D218" t="inlineStr">
        <is>
          <t>Ground cinnamon</t>
        </is>
      </c>
      <c r="E218" s="22" t="n">
        <v>0.008</v>
      </c>
      <c r="F218" t="inlineStr">
        <is>
          <t>kg</t>
        </is>
      </c>
      <c r="G218" s="9" t="n">
        <v>1</v>
      </c>
      <c r="H218" s="18" t="n">
        <v>0</v>
      </c>
      <c r="I218" s="23">
        <f>IFERROR(E218/(1-H218),"")</f>
        <v>0.008</v>
      </c>
      <c r="J218" s="11">
        <f>IFERROR(VLOOKUP($D218,'Settings'!$A$41:$C$89,2,FALSE),"")</f>
        <v>18.0</v>
      </c>
      <c r="K218" t="inlineStr">
        <is>
          <t>kg</t>
        </is>
      </c>
      <c r="L218" s="11">
        <f>IFERROR(I218/G218*J218,"")</f>
        <v>0.14400000000000002</v>
      </c>
    </row>
    <row r="219">
      <c r="A219" t="inlineStr">
        <is>
          <t>TP7</t>
        </is>
      </c>
      <c r="B219" t="inlineStr">
        <is>
          <t>Almond turrón (nougat)</t>
        </is>
      </c>
      <c r="C219" t="inlineStr">
        <is>
          <t>Seasonal</t>
        </is>
      </c>
      <c r="D219" t="inlineStr">
        <is>
          <t>Raw Marcona almonds</t>
        </is>
      </c>
      <c r="E219" s="22" t="n">
        <v>3.2</v>
      </c>
      <c r="F219" t="inlineStr">
        <is>
          <t>kg</t>
        </is>
      </c>
      <c r="G219" s="9" t="n">
        <v>1</v>
      </c>
      <c r="H219" s="18" t="n">
        <v>0.03</v>
      </c>
      <c r="I219" s="23">
        <f>IFERROR(E219/(1-H219),"")</f>
        <v>3.2989690721649487</v>
      </c>
      <c r="J219" s="11">
        <f>IFERROR(VLOOKUP($D219,'Settings'!$A$41:$C$89,2,FALSE),"")</f>
        <v>15.5</v>
      </c>
      <c r="K219" t="inlineStr">
        <is>
          <t>kg</t>
        </is>
      </c>
      <c r="L219" s="11">
        <f>IFERROR(I219/G219*J219,"")</f>
        <v>51.134020618556704</v>
      </c>
      <c r="M219" s="12" t="inlineStr">
        <is>
          <t>assumption</t>
        </is>
      </c>
    </row>
    <row r="220">
      <c r="A220" t="inlineStr">
        <is>
          <t>TP7</t>
        </is>
      </c>
      <c r="B220" t="inlineStr"/>
      <c r="C220" t="inlineStr"/>
      <c r="D220" t="inlineStr">
        <is>
          <t>Honey</t>
        </is>
      </c>
      <c r="E220" s="22" t="n">
        <v>1.1</v>
      </c>
      <c r="F220" t="inlineStr">
        <is>
          <t>kg</t>
        </is>
      </c>
      <c r="G220" s="9" t="n">
        <v>1</v>
      </c>
      <c r="H220" s="18" t="n">
        <v>0.02</v>
      </c>
      <c r="I220" s="23">
        <f>IFERROR(E220/(1-H220),"")</f>
        <v>1.1224489795918369</v>
      </c>
      <c r="J220" s="11">
        <f>IFERROR(VLOOKUP($D220,'Settings'!$A$41:$C$89,2,FALSE),"")</f>
        <v>8.2</v>
      </c>
      <c r="K220" t="inlineStr">
        <is>
          <t>kg</t>
        </is>
      </c>
      <c r="L220" s="11">
        <f>IFERROR(I220/G220*J220,"")</f>
        <v>9.204081632653061</v>
      </c>
    </row>
    <row r="221">
      <c r="A221" t="inlineStr">
        <is>
          <t>TP7</t>
        </is>
      </c>
      <c r="B221" t="inlineStr"/>
      <c r="C221" t="inlineStr"/>
      <c r="D221" t="inlineStr">
        <is>
          <t>Granulated sugar</t>
        </is>
      </c>
      <c r="E221" s="22" t="n">
        <v>0.8</v>
      </c>
      <c r="F221" t="inlineStr">
        <is>
          <t>kg</t>
        </is>
      </c>
      <c r="G221" s="9" t="n">
        <v>1</v>
      </c>
      <c r="H221" s="18" t="n">
        <v>0.02</v>
      </c>
      <c r="I221" s="23">
        <f>IFERROR(E221/(1-H221),"")</f>
        <v>0.8163265306122449</v>
      </c>
      <c r="J221" s="11">
        <f>IFERROR(VLOOKUP($D221,'Settings'!$A$41:$C$89,2,FALSE),"")</f>
        <v>1.2</v>
      </c>
      <c r="K221" t="inlineStr">
        <is>
          <t>kg</t>
        </is>
      </c>
      <c r="L221" s="11">
        <f>IFERROR(I221/G221*J221,"")</f>
        <v>0.9795918367346939</v>
      </c>
    </row>
    <row r="222">
      <c r="A222" t="inlineStr">
        <is>
          <t>TP7</t>
        </is>
      </c>
      <c r="B222" t="inlineStr"/>
      <c r="C222" t="inlineStr"/>
      <c r="D222" t="inlineStr">
        <is>
          <t>Egg whites</t>
        </is>
      </c>
      <c r="E222" s="22" t="n">
        <v>0.1</v>
      </c>
      <c r="F222" t="inlineStr">
        <is>
          <t>kg</t>
        </is>
      </c>
      <c r="G222" s="9" t="n">
        <v>1</v>
      </c>
      <c r="H222" s="18" t="n">
        <v>0.05</v>
      </c>
      <c r="I222" s="23">
        <f>IFERROR(E222/(1-H222),"")</f>
        <v>0.10526315789473685</v>
      </c>
      <c r="J222" s="11">
        <f>IFERROR(VLOOKUP($D222,'Settings'!$A$41:$C$89,2,FALSE),"")</f>
        <v>6.0</v>
      </c>
      <c r="K222" t="inlineStr">
        <is>
          <t>kg</t>
        </is>
      </c>
      <c r="L222" s="11">
        <f>IFERROR(I222/G222*J222,"")</f>
        <v>0.6315789473684211</v>
      </c>
    </row>
    <row r="223">
      <c r="A223" t="inlineStr">
        <is>
          <t>TP8</t>
        </is>
      </c>
      <c r="B223" t="inlineStr">
        <is>
          <t>Mona de Pascua (Catalan Easter cake)</t>
        </is>
      </c>
      <c r="C223" t="inlineStr">
        <is>
          <t>Seasonal</t>
        </is>
      </c>
      <c r="D223" t="inlineStr">
        <is>
          <t>High-gluten flour</t>
        </is>
      </c>
      <c r="E223" s="22" t="n">
        <v>1.6</v>
      </c>
      <c r="F223" t="inlineStr">
        <is>
          <t>kg</t>
        </is>
      </c>
      <c r="G223" s="9" t="n">
        <v>1</v>
      </c>
      <c r="H223" s="18" t="n">
        <v>0.08</v>
      </c>
      <c r="I223" s="23">
        <f>IFERROR(E223/(1-H223),"")</f>
        <v>1.7391304347826086</v>
      </c>
      <c r="J223" s="11">
        <f>IFERROR(VLOOKUP($D223,'Settings'!$A$41:$C$89,2,FALSE),"")</f>
        <v>1.1</v>
      </c>
      <c r="K223" t="inlineStr">
        <is>
          <t>kg</t>
        </is>
      </c>
      <c r="L223" s="11">
        <f>IFERROR(I223/G223*J223,"")</f>
        <v>1.9130434782608696</v>
      </c>
      <c r="M223" s="12" t="inlineStr">
        <is>
          <t>assumption</t>
        </is>
      </c>
    </row>
    <row r="224">
      <c r="A224" t="inlineStr">
        <is>
          <t>TP8</t>
        </is>
      </c>
      <c r="B224" t="inlineStr"/>
      <c r="C224" t="inlineStr"/>
      <c r="D224" t="inlineStr">
        <is>
          <t>Granulated sugar</t>
        </is>
      </c>
      <c r="E224" s="22" t="n">
        <v>0.45</v>
      </c>
      <c r="F224" t="inlineStr">
        <is>
          <t>kg</t>
        </is>
      </c>
      <c r="G224" s="9" t="n">
        <v>1</v>
      </c>
      <c r="H224" s="18" t="n">
        <v>0.02</v>
      </c>
      <c r="I224" s="23">
        <f>IFERROR(E224/(1-H224),"")</f>
        <v>0.45918367346938777</v>
      </c>
      <c r="J224" s="11">
        <f>IFERROR(VLOOKUP($D224,'Settings'!$A$41:$C$89,2,FALSE),"")</f>
        <v>1.2</v>
      </c>
      <c r="K224" t="inlineStr">
        <is>
          <t>kg</t>
        </is>
      </c>
      <c r="L224" s="11">
        <f>IFERROR(I224/G224*J224,"")</f>
        <v>0.5510204081632653</v>
      </c>
    </row>
    <row r="225">
      <c r="A225" t="inlineStr">
        <is>
          <t>TP8</t>
        </is>
      </c>
      <c r="B225" t="inlineStr"/>
      <c r="C225" t="inlineStr"/>
      <c r="D225" t="inlineStr">
        <is>
          <t>Eggs (each)</t>
        </is>
      </c>
      <c r="E225" s="22" t="n">
        <v>10</v>
      </c>
      <c r="F225" t="inlineStr">
        <is>
          <t>each</t>
        </is>
      </c>
      <c r="G225" s="9" t="n">
        <v>12</v>
      </c>
      <c r="H225" s="18" t="n">
        <v>0</v>
      </c>
      <c r="I225" s="23">
        <f>IFERROR(E225/(1-H225),"")</f>
        <v>10.0</v>
      </c>
      <c r="J225" s="11">
        <f>IFERROR(VLOOKUP($D225,'Settings'!$A$41:$C$89,2,FALSE),"")</f>
        <v>3.6</v>
      </c>
      <c r="K225" t="inlineStr">
        <is>
          <t>dozen</t>
        </is>
      </c>
      <c r="L225" s="11">
        <f>IFERROR(I225/G225*J225,"")</f>
        <v>3.0</v>
      </c>
    </row>
    <row r="226">
      <c r="A226" t="inlineStr">
        <is>
          <t>TP8</t>
        </is>
      </c>
      <c r="B226" t="inlineStr"/>
      <c r="C226" t="inlineStr"/>
      <c r="D226" t="inlineStr">
        <is>
          <t>Butter</t>
        </is>
      </c>
      <c r="E226" s="22" t="n">
        <v>0.3</v>
      </c>
      <c r="F226" t="inlineStr">
        <is>
          <t>kg</t>
        </is>
      </c>
      <c r="G226" s="9" t="n">
        <v>1</v>
      </c>
      <c r="H226" s="18" t="n">
        <v>0.03</v>
      </c>
      <c r="I226" s="23">
        <f>IFERROR(E226/(1-H226),"")</f>
        <v>0.30927835051546393</v>
      </c>
      <c r="J226" s="11">
        <f>IFERROR(VLOOKUP($D226,'Settings'!$A$41:$C$89,2,FALSE),"")</f>
        <v>9.0</v>
      </c>
      <c r="K226" t="inlineStr">
        <is>
          <t>kg</t>
        </is>
      </c>
      <c r="L226" s="11">
        <f>IFERROR(I226/G226*J226,"")</f>
        <v>2.783505154639175</v>
      </c>
    </row>
    <row r="227">
      <c r="A227" t="inlineStr">
        <is>
          <t>TP8</t>
        </is>
      </c>
      <c r="B227" t="inlineStr"/>
      <c r="C227" t="inlineStr"/>
      <c r="D227" t="inlineStr">
        <is>
          <t>Whole milk</t>
        </is>
      </c>
      <c r="E227" s="22" t="n">
        <v>0.4</v>
      </c>
      <c r="F227" t="inlineStr">
        <is>
          <t>L</t>
        </is>
      </c>
      <c r="G227" s="9" t="n">
        <v>1</v>
      </c>
      <c r="H227" s="18" t="n">
        <v>0.02</v>
      </c>
      <c r="I227" s="23">
        <f>IFERROR(E227/(1-H227),"")</f>
        <v>0.40816326530612246</v>
      </c>
      <c r="J227" s="11">
        <f>IFERROR(VLOOKUP($D227,'Settings'!$A$41:$C$89,2,FALSE),"")</f>
        <v>1.1</v>
      </c>
      <c r="K227" t="inlineStr">
        <is>
          <t>L</t>
        </is>
      </c>
      <c r="L227" s="11">
        <f>IFERROR(I227/G227*J227,"")</f>
        <v>0.44897959183673475</v>
      </c>
    </row>
    <row r="228">
      <c r="A228" t="inlineStr">
        <is>
          <t>TP8</t>
        </is>
      </c>
      <c r="B228" t="inlineStr"/>
      <c r="C228" t="inlineStr"/>
      <c r="D228" t="inlineStr">
        <is>
          <t>Fresh yeast</t>
        </is>
      </c>
      <c r="E228" s="22" t="n">
        <v>0.06</v>
      </c>
      <c r="F228" t="inlineStr">
        <is>
          <t>kg</t>
        </is>
      </c>
      <c r="G228" s="9" t="n">
        <v>1</v>
      </c>
      <c r="H228" s="18" t="n">
        <v>0.05</v>
      </c>
      <c r="I228" s="23">
        <f>IFERROR(E228/(1-H228),"")</f>
        <v>0.06315789473684211</v>
      </c>
      <c r="J228" s="11">
        <f>IFERROR(VLOOKUP($D228,'Settings'!$A$41:$C$89,2,FALSE),"")</f>
        <v>5.0</v>
      </c>
      <c r="K228" t="inlineStr">
        <is>
          <t>kg</t>
        </is>
      </c>
      <c r="L228" s="11">
        <f>IFERROR(I228/G228*J228,"")</f>
        <v>0.3157894736842105</v>
      </c>
    </row>
    <row r="229">
      <c r="A229" t="inlineStr">
        <is>
          <t>TP8</t>
        </is>
      </c>
      <c r="B229" t="inlineStr"/>
      <c r="C229" t="inlineStr"/>
      <c r="D229" t="inlineStr">
        <is>
          <t>Salt</t>
        </is>
      </c>
      <c r="E229" s="22" t="n">
        <v>0.02</v>
      </c>
      <c r="F229" t="inlineStr">
        <is>
          <t>kg</t>
        </is>
      </c>
      <c r="G229" s="9" t="n">
        <v>1</v>
      </c>
      <c r="H229" s="18" t="n">
        <v>0.02</v>
      </c>
      <c r="I229" s="23">
        <f>IFERROR(E229/(1-H229),"")</f>
        <v>0.020408163265306124</v>
      </c>
      <c r="J229" s="11">
        <f>IFERROR(VLOOKUP($D229,'Settings'!$A$41:$C$89,2,FALSE),"")</f>
        <v>0.6</v>
      </c>
      <c r="K229" t="inlineStr">
        <is>
          <t>kg</t>
        </is>
      </c>
      <c r="L229" s="11">
        <f>IFERROR(I229/G229*J229,"")</f>
        <v>0.012244897959183675</v>
      </c>
    </row>
    <row r="230">
      <c r="A230" t="inlineStr">
        <is>
          <t>TP8</t>
        </is>
      </c>
      <c r="B230" t="inlineStr"/>
      <c r="C230" t="inlineStr"/>
      <c r="D230" t="inlineStr">
        <is>
          <t>Milk chocolate couverture 40%</t>
        </is>
      </c>
      <c r="E230" s="22" t="n">
        <v>1.2</v>
      </c>
      <c r="F230" t="inlineStr">
        <is>
          <t>kg</t>
        </is>
      </c>
      <c r="G230" s="9" t="n">
        <v>1</v>
      </c>
      <c r="H230" s="18" t="n">
        <v>0.02</v>
      </c>
      <c r="I230" s="23">
        <f>IFERROR(E230/(1-H230),"")</f>
        <v>1.2244897959183674</v>
      </c>
      <c r="J230" s="11">
        <f>IFERROR(VLOOKUP($D230,'Settings'!$A$41:$C$89,2,FALSE),"")</f>
        <v>15.5</v>
      </c>
      <c r="K230" t="inlineStr">
        <is>
          <t>kg</t>
        </is>
      </c>
      <c r="L230" s="11">
        <f>IFERROR(I230/G230*J230,"")</f>
        <v>18.979591836734695</v>
      </c>
    </row>
    <row r="231">
      <c r="A231" t="inlineStr">
        <is>
          <t>TP8</t>
        </is>
      </c>
      <c r="B231" t="inlineStr"/>
      <c r="C231" t="inlineStr"/>
      <c r="D231" t="inlineStr">
        <is>
          <t>Powdered sugar</t>
        </is>
      </c>
      <c r="E231" s="22" t="n">
        <v>0.08</v>
      </c>
      <c r="F231" t="inlineStr">
        <is>
          <t>kg</t>
        </is>
      </c>
      <c r="G231" s="9" t="n">
        <v>1</v>
      </c>
      <c r="H231" s="18" t="n">
        <v>0.02</v>
      </c>
      <c r="I231" s="23">
        <f>IFERROR(E231/(1-H231),"")</f>
        <v>0.0816326530612245</v>
      </c>
      <c r="J231" s="11">
        <f>IFERROR(VLOOKUP($D231,'Settings'!$A$41:$C$89,2,FALSE),"")</f>
        <v>2.5</v>
      </c>
      <c r="K231" t="inlineStr">
        <is>
          <t>kg</t>
        </is>
      </c>
      <c r="L231" s="11">
        <f>IFERROR(I231/G231*J231,"")</f>
        <v>0.20408163265306123</v>
      </c>
    </row>
    <row r="232">
      <c r="A232" s="13" t="inlineStr">
        <is>
          <t>TOTAL</t>
        </is>
      </c>
      <c r="L232" s="15">
        <f>SUM(L6:L231)</f>
        <v>375.6010024495941</v>
      </c>
      <c r="M232" s="17" t="inlineStr">
        <is>
          <t>Ingredients for one batch of each of the 30 items. It isn't a production cost: it's the sum of the 30 batches.</t>
        </is>
      </c>
    </row>
    <row r="233"/>
    <row r="234">
      <c r="A234" s="4" t="inlineStr">
        <is>
          <t>Ingredient cost by item</t>
        </is>
      </c>
    </row>
    <row r="235" ht="40" customHeight="1">
      <c r="A235" s="8" t="inlineStr">
        <is>
          <t>Ref</t>
        </is>
      </c>
      <c r="B235" s="8" t="inlineStr">
        <is>
          <t>Item</t>
        </is>
      </c>
      <c r="C235" s="8" t="inlineStr">
        <is>
          <t>Family</t>
        </is>
      </c>
      <c r="D235" s="8" t="inlineStr">
        <is>
          <t>Units per batch</t>
        </is>
      </c>
      <c r="E235" s="8" t="inlineStr">
        <is>
          <t>Costing lines</t>
        </is>
      </c>
      <c r="F235" s="8" t="inlineStr">
        <is>
          <t>Ingredient cost of the batch ($)</t>
        </is>
      </c>
      <c r="G235" s="8" t="inlineStr">
        <is>
          <t>Materials per unit ($)</t>
        </is>
      </c>
      <c r="H235" s="8" t="inlineStr">
        <is>
          <t>Portion weight (g)</t>
        </is>
      </c>
      <c r="I235" s="8" t="inlineStr">
        <is>
          <t>Ingredient cost per kg ($)</t>
        </is>
      </c>
      <c r="J235" s="8" t="inlineStr"/>
      <c r="K235" s="8" t="inlineStr"/>
      <c r="L235" s="8" t="inlineStr"/>
      <c r="M235" s="8" t="inlineStr">
        <is>
          <t>Source of the costing</t>
        </is>
      </c>
    </row>
    <row r="236" ht="26" customHeight="1">
      <c r="A236" t="inlineStr">
        <is>
          <t>B1</t>
        </is>
      </c>
      <c r="B236" s="13" t="inlineStr">
        <is>
          <t>Butter croissant</t>
        </is>
      </c>
      <c r="C236" t="inlineStr">
        <is>
          <t>Viennoiserie</t>
        </is>
      </c>
      <c r="D236" s="16" t="n">
        <v>20</v>
      </c>
      <c r="E236" s="24">
        <f>IFERROR(SUMPRODUCT(--($A$6:$A$231=$A236),--($D$6:$D$231&lt;&gt;"")),"")</f>
        <v>7.0</v>
      </c>
      <c r="F236" s="11">
        <f>IFERROR(SUMPRODUCT(--($A$6:$A$231=$A236),$L$6:$L$231),"")</f>
        <v>4.716701700142654</v>
      </c>
      <c r="G236" s="11">
        <f>IFERROR(F236/D236,"")</f>
        <v>0.23583508500713268</v>
      </c>
      <c r="H236" s="16" t="n">
        <v>50</v>
      </c>
      <c r="I236" s="11">
        <f>IFERROR(G236/H236*1000,"")</f>
        <v>4.716701700142654</v>
      </c>
      <c r="M236" s="12" t="inlineStr">
        <is>
          <t>EXACT COPY of the Food Cost Kit Pro (05-bakery-cake-pricing, "Croissants" sheet). Same costing in both products: a customer who owns both can't see two different costs for the same piece.</t>
        </is>
      </c>
    </row>
    <row r="237" ht="26" customHeight="1">
      <c r="A237" t="inlineStr">
        <is>
          <t>B2</t>
        </is>
      </c>
      <c r="B237" s="25" t="inlineStr">
        <is>
          <t>Pain au chocolat (chocolate croissant)</t>
        </is>
      </c>
      <c r="C237" t="inlineStr">
        <is>
          <t>Viennoiserie</t>
        </is>
      </c>
      <c r="D237" s="16" t="n">
        <v>20</v>
      </c>
      <c r="E237" s="24">
        <f>IFERROR(SUMPRODUCT(--($A$6:$A$231=$A237),--($D$6:$D$231&lt;&gt;"")),"")</f>
        <v>8.0</v>
      </c>
      <c r="F237" s="11">
        <f>IFERROR(SUMPRODUCT(--($A$6:$A$231=$A237),$L$6:$L$231),"")</f>
        <v>8.390171087897755</v>
      </c>
      <c r="G237" s="11">
        <f>IFERROR(F237/D237,"")</f>
        <v>0.41950855439488777</v>
      </c>
      <c r="H237" s="16" t="n">
        <v>55</v>
      </c>
      <c r="I237" s="11">
        <f>IFERROR(G237/H237*1000,"")</f>
        <v>7.627428261725232</v>
      </c>
      <c r="M237" s="12" t="inlineStr">
        <is>
          <t>assumption (same dough as B1, from the kit, plus two chocolate batons per piece)</t>
        </is>
      </c>
    </row>
    <row r="238" ht="26" customHeight="1">
      <c r="A238" t="inlineStr">
        <is>
          <t>B3</t>
        </is>
      </c>
      <c r="B238" s="25" t="inlineStr">
        <is>
          <t>Custard napolitana (cream-filled laminated pastry)</t>
        </is>
      </c>
      <c r="C238" t="inlineStr">
        <is>
          <t>Viennoiserie</t>
        </is>
      </c>
      <c r="D238" s="16" t="n">
        <v>20</v>
      </c>
      <c r="E238" s="24">
        <f>IFERROR(SUMPRODUCT(--($A$6:$A$231=$A238),--($D$6:$D$231&lt;&gt;"")),"")</f>
        <v>12.0</v>
      </c>
      <c r="F238" s="11">
        <f>IFERROR(SUMPRODUCT(--($A$6:$A$231=$A238),$L$6:$L$231),"")</f>
        <v>7.052742516469184</v>
      </c>
      <c r="G238" s="11">
        <f>IFERROR(F238/D238,"")</f>
        <v>0.3526371258234592</v>
      </c>
      <c r="H238" s="16" t="n">
        <v>60</v>
      </c>
      <c r="I238" s="11">
        <f>IFERROR(G238/H238*1000,"")</f>
        <v>5.8772854303909865</v>
      </c>
      <c r="M238" s="12" t="inlineStr">
        <is>
          <t>assumption (the kit's dough plus an example pastry cream)</t>
        </is>
      </c>
    </row>
    <row r="239" ht="26" customHeight="1">
      <c r="A239" t="inlineStr">
        <is>
          <t>B4</t>
        </is>
      </c>
      <c r="B239" s="25" t="inlineStr">
        <is>
          <t>Palmier</t>
        </is>
      </c>
      <c r="C239" t="inlineStr">
        <is>
          <t>Viennoiserie</t>
        </is>
      </c>
      <c r="D239" s="16" t="n">
        <v>24</v>
      </c>
      <c r="E239" s="24">
        <f>IFERROR(SUMPRODUCT(--($A$6:$A$231=$A239),--($D$6:$D$231&lt;&gt;"")),"")</f>
        <v>4.0</v>
      </c>
      <c r="F239" s="11">
        <f>IFERROR(SUMPRODUCT(--($A$6:$A$231=$A239),$L$6:$L$231),"")</f>
        <v>5.26729502648213</v>
      </c>
      <c r="G239" s="11">
        <f>IFERROR(F239/D239,"")</f>
        <v>0.21947062610342208</v>
      </c>
      <c r="H239" s="16" t="n">
        <v>45</v>
      </c>
      <c r="I239" s="11">
        <f>IFERROR(G239/H239*1000,"")</f>
        <v>4.877125024520491</v>
      </c>
      <c r="M239" s="12" t="inlineStr">
        <is>
          <t>assumption</t>
        </is>
      </c>
    </row>
    <row r="240" ht="26" customHeight="1">
      <c r="A240" t="inlineStr">
        <is>
          <t>B5</t>
        </is>
      </c>
      <c r="B240" s="25" t="inlineStr">
        <is>
          <t>Raisin snail (pain aux raisins)</t>
        </is>
      </c>
      <c r="C240" t="inlineStr">
        <is>
          <t>Viennoiserie</t>
        </is>
      </c>
      <c r="D240" s="16" t="n">
        <v>20</v>
      </c>
      <c r="E240" s="24">
        <f>IFERROR(SUMPRODUCT(--($A$6:$A$231=$A240),--($D$6:$D$231&lt;&gt;"")),"")</f>
        <v>13.0</v>
      </c>
      <c r="F240" s="11">
        <f>IFERROR(SUMPRODUCT(--($A$6:$A$231=$A240),$L$6:$L$231),"")</f>
        <v>6.1249477935409695</v>
      </c>
      <c r="G240" s="11">
        <f>IFERROR(F240/D240,"")</f>
        <v>0.30624738967704845</v>
      </c>
      <c r="H240" s="16" t="n">
        <v>65</v>
      </c>
      <c r="I240" s="11">
        <f>IFERROR(G240/H240*1000,"")</f>
        <v>4.711498302723823</v>
      </c>
      <c r="M240" s="12" t="inlineStr">
        <is>
          <t>assumption</t>
        </is>
      </c>
    </row>
    <row r="241" ht="26" customHeight="1">
      <c r="A241" t="inlineStr">
        <is>
          <t>B6</t>
        </is>
      </c>
      <c r="B241" s="25" t="inlineStr">
        <is>
          <t>Ensaïmada (Mallorcan spiral pastry)</t>
        </is>
      </c>
      <c r="C241" t="inlineStr">
        <is>
          <t>Viennoiserie</t>
        </is>
      </c>
      <c r="D241" s="16" t="n">
        <v>16</v>
      </c>
      <c r="E241" s="24">
        <f>IFERROR(SUMPRODUCT(--($A$6:$A$231=$A241),--($D$6:$D$231&lt;&gt;"")),"")</f>
        <v>7.0</v>
      </c>
      <c r="F241" s="11">
        <f>IFERROR(SUMPRODUCT(--($A$6:$A$231=$A241),$L$6:$L$231),"")</f>
        <v>2.8837485081083316</v>
      </c>
      <c r="G241" s="11">
        <f>IFERROR(F241/D241,"")</f>
        <v>0.18023428175677073</v>
      </c>
      <c r="H241" s="16" t="n">
        <v>70</v>
      </c>
      <c r="I241" s="11">
        <f>IFERROR(G241/H241*1000,"")</f>
        <v>2.574775453668153</v>
      </c>
      <c r="M241" s="12" t="inlineStr">
        <is>
          <t>assumption</t>
        </is>
      </c>
    </row>
    <row r="242" ht="26" customHeight="1">
      <c r="A242" t="inlineStr">
        <is>
          <t>PI1</t>
        </is>
      </c>
      <c r="B242" s="25" t="inlineStr">
        <is>
          <t>Napoleon (mille-feuille)</t>
        </is>
      </c>
      <c r="C242" t="inlineStr">
        <is>
          <t>Individual pastries</t>
        </is>
      </c>
      <c r="D242" s="16" t="n">
        <v>18</v>
      </c>
      <c r="E242" s="24">
        <f>IFERROR(SUMPRODUCT(--($A$6:$A$231=$A242),--($D$6:$D$231&lt;&gt;"")),"")</f>
        <v>10.0</v>
      </c>
      <c r="F242" s="11">
        <f>IFERROR(SUMPRODUCT(--($A$6:$A$231=$A242),$L$6:$L$231),"")</f>
        <v>8.044954317181826</v>
      </c>
      <c r="G242" s="11">
        <f>IFERROR(F242/D242,"")</f>
        <v>0.44694190651010146</v>
      </c>
      <c r="H242" s="16" t="n">
        <v>90</v>
      </c>
      <c r="I242" s="11">
        <f>IFERROR(G242/H242*1000,"")</f>
        <v>4.966021183445571</v>
      </c>
      <c r="M242" s="12" t="inlineStr">
        <is>
          <t>assumption</t>
        </is>
      </c>
    </row>
    <row r="243" ht="26" customHeight="1">
      <c r="A243" t="inlineStr">
        <is>
          <t>PI2</t>
        </is>
      </c>
      <c r="B243" s="25" t="inlineStr">
        <is>
          <t>Éclair</t>
        </is>
      </c>
      <c r="C243" t="inlineStr">
        <is>
          <t>Individual pastries</t>
        </is>
      </c>
      <c r="D243" s="16" t="n">
        <v>24</v>
      </c>
      <c r="E243" s="24">
        <f>IFERROR(SUMPRODUCT(--($A$6:$A$231=$A243),--($D$6:$D$231&lt;&gt;"")),"")</f>
        <v>11.0</v>
      </c>
      <c r="F243" s="11">
        <f>IFERROR(SUMPRODUCT(--($A$6:$A$231=$A243),$L$6:$L$231),"")</f>
        <v>8.118137661339748</v>
      </c>
      <c r="G243" s="11">
        <f>IFERROR(F243/D243,"")</f>
        <v>0.3382557358891562</v>
      </c>
      <c r="H243" s="16" t="n">
        <v>85</v>
      </c>
      <c r="I243" s="11">
        <f>IFERROR(G243/H243*1000,"")</f>
        <v>3.9794792457547787</v>
      </c>
      <c r="M243" s="12" t="inlineStr">
        <is>
          <t>assumption</t>
        </is>
      </c>
    </row>
    <row r="244" ht="26" customHeight="1">
      <c r="A244" t="inlineStr">
        <is>
          <t>PI3</t>
        </is>
      </c>
      <c r="B244" s="13" t="inlineStr">
        <is>
          <t>Raspberry macarons</t>
        </is>
      </c>
      <c r="C244" t="inlineStr">
        <is>
          <t>Individual pastries</t>
        </is>
      </c>
      <c r="D244" s="16" t="n">
        <v>30</v>
      </c>
      <c r="E244" s="24">
        <f>IFERROR(SUMPRODUCT(--($A$6:$A$231=$A244),--($D$6:$D$231&lt;&gt;"")),"")</f>
        <v>7.0</v>
      </c>
      <c r="F244" s="11">
        <f>IFERROR(SUMPRODUCT(--($A$6:$A$231=$A244),$L$6:$L$231),"")</f>
        <v>5.895298814694886</v>
      </c>
      <c r="G244" s="11">
        <f>IFERROR(F244/D244,"")</f>
        <v>0.19650996048982955</v>
      </c>
      <c r="H244" s="16" t="n">
        <v>25</v>
      </c>
      <c r="I244" s="11">
        <f>IFERROR(G244/H244*1000,"")</f>
        <v>7.860398419593182</v>
      </c>
      <c r="M244" s="12" t="inlineStr">
        <is>
          <t>EXACT COPY of the Food Cost Kit Pro (05-bakery-cake-pricing, "Macarons" sheet). Same costing in both products: a customer who owns both can't see two different costs for the same piece.</t>
        </is>
      </c>
    </row>
    <row r="245" ht="26" customHeight="1">
      <c r="A245" t="inlineStr">
        <is>
          <t>PI4</t>
        </is>
      </c>
      <c r="B245" s="25" t="inlineStr">
        <is>
          <t>Fruit tart</t>
        </is>
      </c>
      <c r="C245" t="inlineStr">
        <is>
          <t>Individual pastries</t>
        </is>
      </c>
      <c r="D245" s="16" t="n">
        <v>20</v>
      </c>
      <c r="E245" s="24">
        <f>IFERROR(SUMPRODUCT(--($A$6:$A$231=$A245),--($D$6:$D$231&lt;&gt;"")),"")</f>
        <v>13.0</v>
      </c>
      <c r="F245" s="11">
        <f>IFERROR(SUMPRODUCT(--($A$6:$A$231=$A245),$L$6:$L$231),"")</f>
        <v>10.499720815334296</v>
      </c>
      <c r="G245" s="11">
        <f>IFERROR(F245/D245,"")</f>
        <v>0.5249860407667148</v>
      </c>
      <c r="H245" s="16" t="n">
        <v>95</v>
      </c>
      <c r="I245" s="11">
        <f>IFERROR(G245/H245*1000,"")</f>
        <v>5.526168850175946</v>
      </c>
      <c r="M245" s="12" t="inlineStr">
        <is>
          <t>assumption</t>
        </is>
      </c>
    </row>
    <row r="246" ht="26" customHeight="1">
      <c r="A246" t="inlineStr">
        <is>
          <t>PI5</t>
        </is>
      </c>
      <c r="B246" s="25" t="inlineStr">
        <is>
          <t>Cream puff (profiterole)</t>
        </is>
      </c>
      <c r="C246" t="inlineStr">
        <is>
          <t>Individual pastries</t>
        </is>
      </c>
      <c r="D246" s="16" t="n">
        <v>40</v>
      </c>
      <c r="E246" s="24">
        <f>IFERROR(SUMPRODUCT(--($A$6:$A$231=$A246),--($D$6:$D$231&lt;&gt;"")),"")</f>
        <v>7.0</v>
      </c>
      <c r="F246" s="11">
        <f>IFERROR(SUMPRODUCT(--($A$6:$A$231=$A246),$L$6:$L$231),"")</f>
        <v>7.9270723296041865</v>
      </c>
      <c r="G246" s="11">
        <f>IFERROR(F246/D246,"")</f>
        <v>0.19817680824010467</v>
      </c>
      <c r="H246" s="16" t="n">
        <v>45</v>
      </c>
      <c r="I246" s="11">
        <f>IFERROR(G246/H246*1000,"")</f>
        <v>4.403929072002326</v>
      </c>
      <c r="M246" s="12" t="inlineStr">
        <is>
          <t>assumption</t>
        </is>
      </c>
    </row>
    <row r="247" ht="26" customHeight="1">
      <c r="A247" t="inlineStr">
        <is>
          <t>PI6</t>
        </is>
      </c>
      <c r="B247" s="25" t="inlineStr">
        <is>
          <t>Individual entremet (mousse cake)</t>
        </is>
      </c>
      <c r="C247" t="inlineStr">
        <is>
          <t>Individual pastries</t>
        </is>
      </c>
      <c r="D247" s="16" t="n">
        <v>16</v>
      </c>
      <c r="E247" s="24">
        <f>IFERROR(SUMPRODUCT(--($A$6:$A$231=$A247),--($D$6:$D$231&lt;&gt;"")),"")</f>
        <v>9.0</v>
      </c>
      <c r="F247" s="11">
        <f>IFERROR(SUMPRODUCT(--($A$6:$A$231=$A247),$L$6:$L$231),"")</f>
        <v>13.19586017069311</v>
      </c>
      <c r="G247" s="11">
        <f>IFERROR(F247/D247,"")</f>
        <v>0.8247412606683193</v>
      </c>
      <c r="H247" s="16" t="n">
        <v>110</v>
      </c>
      <c r="I247" s="11">
        <f>IFERROR(G247/H247*1000,"")</f>
        <v>7.497647824257449</v>
      </c>
      <c r="M247" s="12" t="inlineStr">
        <is>
          <t>assumption</t>
        </is>
      </c>
    </row>
    <row r="248" ht="26" customHeight="1">
      <c r="A248" t="inlineStr">
        <is>
          <t>T1</t>
        </is>
      </c>
      <c r="B248" s="13" t="inlineStr">
        <is>
          <t>70% dark chocolate cake</t>
        </is>
      </c>
      <c r="C248" t="inlineStr">
        <is>
          <t>Cakes and entremets</t>
        </is>
      </c>
      <c r="D248" s="16" t="n">
        <v>12</v>
      </c>
      <c r="E248" s="24">
        <f>IFERROR(SUMPRODUCT(--($A$6:$A$231=$A248),--($D$6:$D$231&lt;&gt;"")),"")</f>
        <v>8.0</v>
      </c>
      <c r="F248" s="11">
        <f>IFERROR(SUMPRODUCT(--($A$6:$A$231=$A248),$L$6:$L$231),"")</f>
        <v>13.827984331969768</v>
      </c>
      <c r="G248" s="11">
        <f>IFERROR(F248/D248,"")</f>
        <v>1.1523320276641473</v>
      </c>
      <c r="H248" s="16" t="n">
        <v>125</v>
      </c>
      <c r="I248" s="11">
        <f>IFERROR(G248/H248*1000,"")</f>
        <v>9.218656221313179</v>
      </c>
      <c r="M248" s="12" t="inlineStr">
        <is>
          <t>EXACT COPY of the Food Cost Kit Pro (05-bakery-cake-pricing, "Chocolate Cake" sheet). Same costing in both products: a customer who owns both can't see two different costs for the same piece.</t>
        </is>
      </c>
    </row>
    <row r="249" ht="26" customHeight="1">
      <c r="A249" t="inlineStr">
        <is>
          <t>T2</t>
        </is>
      </c>
      <c r="B249" s="25" t="inlineStr">
        <is>
          <t>Cheesecake</t>
        </is>
      </c>
      <c r="C249" t="inlineStr">
        <is>
          <t>Cakes and entremets</t>
        </is>
      </c>
      <c r="D249" s="16" t="n">
        <v>12</v>
      </c>
      <c r="E249" s="24">
        <f>IFERROR(SUMPRODUCT(--($A$6:$A$231=$A249),--($D$6:$D$231&lt;&gt;"")),"")</f>
        <v>5.0</v>
      </c>
      <c r="F249" s="11">
        <f>IFERROR(SUMPRODUCT(--($A$6:$A$231=$A249),$L$6:$L$231),"")</f>
        <v>10.951586412243069</v>
      </c>
      <c r="G249" s="11">
        <f>IFERROR(F249/D249,"")</f>
        <v>0.9126322010202558</v>
      </c>
      <c r="H249" s="16" t="n">
        <v>120</v>
      </c>
      <c r="I249" s="11">
        <f>IFERROR(G249/H249*1000,"")</f>
        <v>7.6052683418354645</v>
      </c>
      <c r="M249" s="12" t="inlineStr">
        <is>
          <t>assumption</t>
        </is>
      </c>
    </row>
    <row r="250" ht="26" customHeight="1">
      <c r="A250" t="inlineStr">
        <is>
          <t>T3</t>
        </is>
      </c>
      <c r="B250" s="25" t="inlineStr">
        <is>
          <t>Apple tart</t>
        </is>
      </c>
      <c r="C250" t="inlineStr">
        <is>
          <t>Cakes and entremets</t>
        </is>
      </c>
      <c r="D250" s="16" t="n">
        <v>12</v>
      </c>
      <c r="E250" s="24">
        <f>IFERROR(SUMPRODUCT(--($A$6:$A$231=$A250),--($D$6:$D$231&lt;&gt;"")),"")</f>
        <v>7.0</v>
      </c>
      <c r="F250" s="11">
        <f>IFERROR(SUMPRODUCT(--($A$6:$A$231=$A250),$L$6:$L$231),"")</f>
        <v>5.146661502762675</v>
      </c>
      <c r="G250" s="11">
        <f>IFERROR(F250/D250,"")</f>
        <v>0.42888845856355623</v>
      </c>
      <c r="H250" s="16" t="n">
        <v>130</v>
      </c>
      <c r="I250" s="11">
        <f>IFERROR(G250/H250*1000,"")</f>
        <v>3.2991419889504328</v>
      </c>
      <c r="M250" s="12" t="inlineStr">
        <is>
          <t>assumption</t>
        </is>
      </c>
    </row>
    <row r="251" ht="26" customHeight="1">
      <c r="A251" t="inlineStr">
        <is>
          <t>T4</t>
        </is>
      </c>
      <c r="B251" s="25" t="inlineStr">
        <is>
          <t>Carrot cake</t>
        </is>
      </c>
      <c r="C251" t="inlineStr">
        <is>
          <t>Cakes and entremets</t>
        </is>
      </c>
      <c r="D251" s="16" t="n">
        <v>12</v>
      </c>
      <c r="E251" s="24">
        <f>IFERROR(SUMPRODUCT(--($A$6:$A$231=$A251),--($D$6:$D$231&lt;&gt;"")),"")</f>
        <v>11.0</v>
      </c>
      <c r="F251" s="11">
        <f>IFERROR(SUMPRODUCT(--($A$6:$A$231=$A251),$L$6:$L$231),"")</f>
        <v>9.03751509909916</v>
      </c>
      <c r="G251" s="11">
        <f>IFERROR(F251/D251,"")</f>
        <v>0.7531262582582633</v>
      </c>
      <c r="H251" s="16" t="n">
        <v>125</v>
      </c>
      <c r="I251" s="11">
        <f>IFERROR(G251/H251*1000,"")</f>
        <v>6.025010066066106</v>
      </c>
      <c r="M251" s="12" t="inlineStr">
        <is>
          <t>assumption</t>
        </is>
      </c>
    </row>
    <row r="252" ht="26" customHeight="1">
      <c r="A252" t="inlineStr">
        <is>
          <t>T5</t>
        </is>
      </c>
      <c r="B252" s="25" t="inlineStr">
        <is>
          <t>Sachertorte</t>
        </is>
      </c>
      <c r="C252" t="inlineStr">
        <is>
          <t>Cakes and entremets</t>
        </is>
      </c>
      <c r="D252" s="16" t="n">
        <v>12</v>
      </c>
      <c r="E252" s="24">
        <f>IFERROR(SUMPRODUCT(--($A$6:$A$231=$A252),--($D$6:$D$231&lt;&gt;"")),"")</f>
        <v>7.0</v>
      </c>
      <c r="F252" s="11">
        <f>IFERROR(SUMPRODUCT(--($A$6:$A$231=$A252),$L$6:$L$231),"")</f>
        <v>10.689407605265325</v>
      </c>
      <c r="G252" s="11">
        <f>IFERROR(F252/D252,"")</f>
        <v>0.8907839671054437</v>
      </c>
      <c r="H252" s="16" t="n">
        <v>115</v>
      </c>
      <c r="I252" s="11">
        <f>IFERROR(G252/H252*1000,"")</f>
        <v>7.745947540047336</v>
      </c>
      <c r="M252" s="12" t="inlineStr">
        <is>
          <t>assumption</t>
        </is>
      </c>
    </row>
    <row r="253" ht="26" customHeight="1">
      <c r="A253" t="inlineStr">
        <is>
          <t>T6</t>
        </is>
      </c>
      <c r="B253" s="25" t="inlineStr">
        <is>
          <t>Strawberries &amp; cream cake</t>
        </is>
      </c>
      <c r="C253" t="inlineStr">
        <is>
          <t>Cakes and entremets</t>
        </is>
      </c>
      <c r="D253" s="16" t="n">
        <v>12</v>
      </c>
      <c r="E253" s="24">
        <f>IFERROR(SUMPRODUCT(--($A$6:$A$231=$A253),--($D$6:$D$231&lt;&gt;"")),"")</f>
        <v>7.0</v>
      </c>
      <c r="F253" s="11">
        <f>IFERROR(SUMPRODUCT(--($A$6:$A$231=$A253),$L$6:$L$231),"")</f>
        <v>9.100834900196173</v>
      </c>
      <c r="G253" s="11">
        <f>IFERROR(F253/D253,"")</f>
        <v>0.758402908349681</v>
      </c>
      <c r="H253" s="16" t="n">
        <v>135</v>
      </c>
      <c r="I253" s="11">
        <f>IFERROR(G253/H253*1000,"")</f>
        <v>5.617799321108748</v>
      </c>
      <c r="M253" s="12" t="inlineStr">
        <is>
          <t>assumption</t>
        </is>
      </c>
    </row>
    <row r="254" ht="26" customHeight="1">
      <c r="A254" t="inlineStr">
        <is>
          <t>PA1</t>
        </is>
      </c>
      <c r="B254" s="25" t="inlineStr">
        <is>
          <t>Baguette</t>
        </is>
      </c>
      <c r="C254" t="inlineStr">
        <is>
          <t>Breads</t>
        </is>
      </c>
      <c r="D254" s="16" t="n">
        <v>40</v>
      </c>
      <c r="E254" s="24">
        <f>IFERROR(SUMPRODUCT(--($A$6:$A$231=$A254),--($D$6:$D$231&lt;&gt;"")),"")</f>
        <v>3.0</v>
      </c>
      <c r="F254" s="11">
        <f>IFERROR(SUMPRODUCT(--($A$6:$A$231=$A254),$L$6:$L$231),"")</f>
        <v>6.884104222264056</v>
      </c>
      <c r="G254" s="11">
        <f>IFERROR(F254/D254,"")</f>
        <v>0.1721026055566014</v>
      </c>
      <c r="H254" s="16" t="n">
        <v>250</v>
      </c>
      <c r="I254" s="11">
        <f>IFERROR(G254/H254*1000,"")</f>
        <v>0.6884104222264056</v>
      </c>
      <c r="M254" s="12" t="inlineStr">
        <is>
          <t>assumption</t>
        </is>
      </c>
    </row>
    <row r="255" ht="26" customHeight="1">
      <c r="A255" t="inlineStr">
        <is>
          <t>PA2</t>
        </is>
      </c>
      <c r="B255" s="25" t="inlineStr">
        <is>
          <t>Ciabatta</t>
        </is>
      </c>
      <c r="C255" t="inlineStr">
        <is>
          <t>Breads</t>
        </is>
      </c>
      <c r="D255" s="16" t="n">
        <v>24</v>
      </c>
      <c r="E255" s="24">
        <f>IFERROR(SUMPRODUCT(--($A$6:$A$231=$A255),--($D$6:$D$231&lt;&gt;"")),"")</f>
        <v>4.0</v>
      </c>
      <c r="F255" s="11">
        <f>IFERROR(SUMPRODUCT(--($A$6:$A$231=$A255),$L$6:$L$231),"")</f>
        <v>5.119388530235752</v>
      </c>
      <c r="G255" s="11">
        <f>IFERROR(F255/D255,"")</f>
        <v>0.21330785542648967</v>
      </c>
      <c r="H255" s="16" t="n">
        <v>200</v>
      </c>
      <c r="I255" s="11">
        <f>IFERROR(G255/H255*1000,"")</f>
        <v>1.0665392771324482</v>
      </c>
      <c r="M255" s="12" t="inlineStr">
        <is>
          <t>assumption</t>
        </is>
      </c>
    </row>
    <row r="256" ht="26" customHeight="1">
      <c r="A256" t="inlineStr">
        <is>
          <t>PA3</t>
        </is>
      </c>
      <c r="B256" s="25" t="inlineStr">
        <is>
          <t>Sourdough boule</t>
        </is>
      </c>
      <c r="C256" t="inlineStr">
        <is>
          <t>Breads</t>
        </is>
      </c>
      <c r="D256" s="16" t="n">
        <v>12</v>
      </c>
      <c r="E256" s="24">
        <f>IFERROR(SUMPRODUCT(--($A$6:$A$231=$A256),--($D$6:$D$231&lt;&gt;"")),"")</f>
        <v>3.0</v>
      </c>
      <c r="F256" s="11">
        <f>IFERROR(SUMPRODUCT(--($A$6:$A$231=$A256),$L$6:$L$231),"")</f>
        <v>7.115674310961498</v>
      </c>
      <c r="G256" s="11">
        <f>IFERROR(F256/D256,"")</f>
        <v>0.5929728592467914</v>
      </c>
      <c r="H256" s="16" t="n">
        <v>550</v>
      </c>
      <c r="I256" s="11">
        <f>IFERROR(G256/H256*1000,"")</f>
        <v>1.0781324713578027</v>
      </c>
      <c r="M256" s="12" t="inlineStr">
        <is>
          <t>assumption</t>
        </is>
      </c>
    </row>
    <row r="257" ht="26" customHeight="1">
      <c r="A257" t="inlineStr">
        <is>
          <t>PA4</t>
        </is>
      </c>
      <c r="B257" s="25" t="inlineStr">
        <is>
          <t>Sandwich loaf (pullman)</t>
        </is>
      </c>
      <c r="C257" t="inlineStr">
        <is>
          <t>Breads</t>
        </is>
      </c>
      <c r="D257" s="16" t="n">
        <v>10</v>
      </c>
      <c r="E257" s="24">
        <f>IFERROR(SUMPRODUCT(--($A$6:$A$231=$A257),--($D$6:$D$231&lt;&gt;"")),"")</f>
        <v>6.0</v>
      </c>
      <c r="F257" s="11">
        <f>IFERROR(SUMPRODUCT(--($A$6:$A$231=$A257),$L$6:$L$231),"")</f>
        <v>8.120956293532064</v>
      </c>
      <c r="G257" s="11">
        <f>IFERROR(F257/D257,"")</f>
        <v>0.8120956293532064</v>
      </c>
      <c r="H257" s="16" t="n">
        <v>500</v>
      </c>
      <c r="I257" s="11">
        <f>IFERROR(G257/H257*1000,"")</f>
        <v>1.624191258706413</v>
      </c>
      <c r="M257" s="12" t="inlineStr">
        <is>
          <t>assumption</t>
        </is>
      </c>
    </row>
    <row r="258" ht="26" customHeight="1">
      <c r="A258" t="inlineStr">
        <is>
          <t>TP1</t>
        </is>
      </c>
      <c r="B258" s="25" t="inlineStr">
        <is>
          <t>Rosca de Reyes (Three Kings bread)</t>
        </is>
      </c>
      <c r="C258" t="inlineStr">
        <is>
          <t>Seasonal</t>
        </is>
      </c>
      <c r="D258" s="16" t="n">
        <v>12</v>
      </c>
      <c r="E258" s="24">
        <f>IFERROR(SUMPRODUCT(--($A$6:$A$231=$A258),--($D$6:$D$231&lt;&gt;"")),"")</f>
        <v>12.0</v>
      </c>
      <c r="F258" s="11">
        <f>IFERROR(SUMPRODUCT(--($A$6:$A$231=$A258),$L$6:$L$231),"")</f>
        <v>31.18532065740968</v>
      </c>
      <c r="G258" s="11">
        <f>IFERROR(F258/D258,"")</f>
        <v>2.5987767214508066</v>
      </c>
      <c r="H258" s="16" t="n">
        <v>600</v>
      </c>
      <c r="I258" s="11">
        <f>IFERROR(G258/H258*1000,"")</f>
        <v>4.331294535751344</v>
      </c>
      <c r="M258" s="12" t="inlineStr">
        <is>
          <t>assumption</t>
        </is>
      </c>
    </row>
    <row r="259" ht="26" customHeight="1">
      <c r="A259" t="inlineStr">
        <is>
          <t>TP2</t>
        </is>
      </c>
      <c r="B259" s="25" t="inlineStr">
        <is>
          <t>Torrijas (Spanish Easter French toast)</t>
        </is>
      </c>
      <c r="C259" t="inlineStr">
        <is>
          <t>Seasonal</t>
        </is>
      </c>
      <c r="D259" s="16" t="n">
        <v>30</v>
      </c>
      <c r="E259" s="24">
        <f>IFERROR(SUMPRODUCT(--($A$6:$A$231=$A259),--($D$6:$D$231&lt;&gt;"")),"")</f>
        <v>7.0</v>
      </c>
      <c r="F259" s="11">
        <f>IFERROR(SUMPRODUCT(--($A$6:$A$231=$A259),$L$6:$L$231),"")</f>
        <v>7.801670363797694</v>
      </c>
      <c r="G259" s="11">
        <f>IFERROR(F259/D259,"")</f>
        <v>0.2600556787932565</v>
      </c>
      <c r="H259" s="16" t="n">
        <v>90</v>
      </c>
      <c r="I259" s="11">
        <f>IFERROR(G259/H259*1000,"")</f>
        <v>2.889507542147294</v>
      </c>
      <c r="M259" s="12" t="inlineStr">
        <is>
          <t>assumption</t>
        </is>
      </c>
    </row>
    <row r="260" ht="26" customHeight="1">
      <c r="A260" t="inlineStr">
        <is>
          <t>TP3</t>
        </is>
      </c>
      <c r="B260" s="25" t="inlineStr">
        <is>
          <t>Buñuelos de viento (Spanish cream-filled fritters)</t>
        </is>
      </c>
      <c r="C260" t="inlineStr">
        <is>
          <t>Seasonal</t>
        </is>
      </c>
      <c r="D260" s="16" t="n">
        <v>60</v>
      </c>
      <c r="E260" s="24">
        <f>IFERROR(SUMPRODUCT(--($A$6:$A$231=$A260),--($D$6:$D$231&lt;&gt;"")),"")</f>
        <v>10.0</v>
      </c>
      <c r="F260" s="11">
        <f>IFERROR(SUMPRODUCT(--($A$6:$A$231=$A260),$L$6:$L$231),"")</f>
        <v>10.170652402601561</v>
      </c>
      <c r="G260" s="11">
        <f>IFERROR(F260/D260,"")</f>
        <v>0.16951087337669268</v>
      </c>
      <c r="H260" s="16" t="n">
        <v>35</v>
      </c>
      <c r="I260" s="11">
        <f>IFERROR(G260/H260*1000,"")</f>
        <v>4.8431678107626475</v>
      </c>
      <c r="M260" s="12" t="inlineStr">
        <is>
          <t>assumption</t>
        </is>
      </c>
    </row>
    <row r="261" ht="26" customHeight="1">
      <c r="A261" t="inlineStr">
        <is>
          <t>TP4</t>
        </is>
      </c>
      <c r="B261" s="25" t="inlineStr">
        <is>
          <t>Huesos de santo (marzipan "saints' bones")</t>
        </is>
      </c>
      <c r="C261" t="inlineStr">
        <is>
          <t>Seasonal</t>
        </is>
      </c>
      <c r="D261" s="16" t="n">
        <v>40</v>
      </c>
      <c r="E261" s="24">
        <f>IFERROR(SUMPRODUCT(--($A$6:$A$231=$A261),--($D$6:$D$231&lt;&gt;"")),"")</f>
        <v>5.0</v>
      </c>
      <c r="F261" s="11">
        <f>IFERROR(SUMPRODUCT(--($A$6:$A$231=$A261),$L$6:$L$231),"")</f>
        <v>12.983401360544217</v>
      </c>
      <c r="G261" s="11">
        <f>IFERROR(F261/D261,"")</f>
        <v>0.32458503401360544</v>
      </c>
      <c r="H261" s="16" t="n">
        <v>40</v>
      </c>
      <c r="I261" s="11">
        <f>IFERROR(G261/H261*1000,"")</f>
        <v>8.114625850340136</v>
      </c>
      <c r="M261" s="12" t="inlineStr">
        <is>
          <t>assumption</t>
        </is>
      </c>
    </row>
    <row r="262" ht="26" customHeight="1">
      <c r="A262" t="inlineStr">
        <is>
          <t>TP5</t>
        </is>
      </c>
      <c r="B262" s="25" t="inlineStr">
        <is>
          <t>Panellets (almond and pine-nut cookies)</t>
        </is>
      </c>
      <c r="C262" t="inlineStr">
        <is>
          <t>Seasonal</t>
        </is>
      </c>
      <c r="D262" s="16" t="n">
        <v>60</v>
      </c>
      <c r="E262" s="24">
        <f>IFERROR(SUMPRODUCT(--($A$6:$A$231=$A262),--($D$6:$D$231&lt;&gt;"")),"")</f>
        <v>5.0</v>
      </c>
      <c r="F262" s="11">
        <f>IFERROR(SUMPRODUCT(--($A$6:$A$231=$A262),$L$6:$L$231),"")</f>
        <v>41.33850340136055</v>
      </c>
      <c r="G262" s="11">
        <f>IFERROR(F262/D262,"")</f>
        <v>0.6889750566893424</v>
      </c>
      <c r="H262" s="16" t="n">
        <v>30</v>
      </c>
      <c r="I262" s="11">
        <f>IFERROR(G262/H262*1000,"")</f>
        <v>22.965835222978082</v>
      </c>
      <c r="M262" s="12" t="inlineStr">
        <is>
          <t>assumption</t>
        </is>
      </c>
    </row>
    <row r="263" ht="26" customHeight="1">
      <c r="A263" t="inlineStr">
        <is>
          <t>TP6</t>
        </is>
      </c>
      <c r="B263" s="25" t="inlineStr">
        <is>
          <t>Polvorones (Spanish shortbread)</t>
        </is>
      </c>
      <c r="C263" t="inlineStr">
        <is>
          <t>Seasonal</t>
        </is>
      </c>
      <c r="D263" s="16" t="n">
        <v>50</v>
      </c>
      <c r="E263" s="24">
        <f>IFERROR(SUMPRODUCT(--($A$6:$A$231=$A263),--($D$6:$D$231&lt;&gt;"")),"")</f>
        <v>5.0</v>
      </c>
      <c r="F263" s="11">
        <f>IFERROR(SUMPRODUCT(--($A$6:$A$231=$A263),$L$6:$L$231),"")</f>
        <v>7.85316080461768</v>
      </c>
      <c r="G263" s="11">
        <f>IFERROR(F263/D263,"")</f>
        <v>0.1570632160923536</v>
      </c>
      <c r="H263" s="16" t="n">
        <v>35</v>
      </c>
      <c r="I263" s="11">
        <f>IFERROR(G263/H263*1000,"")</f>
        <v>4.487520459781532</v>
      </c>
      <c r="M263" s="12" t="inlineStr">
        <is>
          <t>assumption</t>
        </is>
      </c>
    </row>
    <row r="264" ht="26" customHeight="1">
      <c r="A264" t="inlineStr">
        <is>
          <t>TP7</t>
        </is>
      </c>
      <c r="B264" s="25" t="inlineStr">
        <is>
          <t>Almond turrón (nougat)</t>
        </is>
      </c>
      <c r="C264" t="inlineStr">
        <is>
          <t>Seasonal</t>
        </is>
      </c>
      <c r="D264" s="16" t="n">
        <v>20</v>
      </c>
      <c r="E264" s="24">
        <f>IFERROR(SUMPRODUCT(--($A$6:$A$231=$A264),--($D$6:$D$231&lt;&gt;"")),"")</f>
        <v>4.0</v>
      </c>
      <c r="F264" s="11">
        <f>IFERROR(SUMPRODUCT(--($A$6:$A$231=$A264),$L$6:$L$231),"")</f>
        <v>61.94927303531288</v>
      </c>
      <c r="G264" s="11">
        <f>IFERROR(F264/D264,"")</f>
        <v>3.097463651765644</v>
      </c>
      <c r="H264" s="16" t="n">
        <v>250</v>
      </c>
      <c r="I264" s="11">
        <f>IFERROR(G264/H264*1000,"")</f>
        <v>12.389854607062576</v>
      </c>
      <c r="M264" s="12" t="inlineStr">
        <is>
          <t>assumption</t>
        </is>
      </c>
    </row>
    <row r="265" ht="26" customHeight="1">
      <c r="A265" t="inlineStr">
        <is>
          <t>TP8</t>
        </is>
      </c>
      <c r="B265" s="25" t="inlineStr">
        <is>
          <t>Mona de Pascua (Catalan Easter cake)</t>
        </is>
      </c>
      <c r="C265" t="inlineStr">
        <is>
          <t>Seasonal</t>
        </is>
      </c>
      <c r="D265" s="16" t="n">
        <v>14</v>
      </c>
      <c r="E265" s="24">
        <f>IFERROR(SUMPRODUCT(--($A$6:$A$231=$A265),--($D$6:$D$231&lt;&gt;"")),"")</f>
        <v>9.0</v>
      </c>
      <c r="F265" s="11">
        <f>IFERROR(SUMPRODUCT(--($A$6:$A$231=$A265),$L$6:$L$231),"")</f>
        <v>28.208256473931197</v>
      </c>
      <c r="G265" s="11">
        <f>IFERROR(F265/D265,"")</f>
        <v>2.014875462423657</v>
      </c>
      <c r="H265" s="16" t="n">
        <v>350</v>
      </c>
      <c r="I265" s="11">
        <f>IFERROR(G265/H265*1000,"")</f>
        <v>5.756787035496163</v>
      </c>
      <c r="M265" s="12" t="inlineStr">
        <is>
          <t>assumption</t>
        </is>
      </c>
    </row>
    <row r="266">
      <c r="A266" s="13" t="inlineStr">
        <is>
          <t>TOTAL</t>
        </is>
      </c>
      <c r="E266" s="19">
        <f>IFERROR(SUMPRODUCT(--($A$6:$A$231&lt;&gt;""),--($D$6:$D$231&lt;&gt;"")),"")</f>
        <v>226.0</v>
      </c>
      <c r="F266" s="15">
        <f>SUM(F236:F265)</f>
        <v>375.6010024495941</v>
      </c>
      <c r="G266" t="str">
        <f>IF(ABS(F266-L232)&lt;=0.005,"Balances","MISMATCH")</f>
        <v>Balances</v>
      </c>
      <c r="M266" s="17" t="inlineStr">
        <is>
          <t>Column E counts the lines directly from the table above, and column G checks that the cost split by item matches the cost of the lines. If "MISMATCH" shows up, there's a row whose Ref isn't on the item list: its cost is added above and charged to no one.</t>
        </is>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showDropDown="0" showInputMessage="1" showErrorMessage="1" allowBlank="1" errorTitle="Trim loss (%)" error="Enter a percentage between 0 and 0.95 (0.20 = 20%)." promptTitle="Trim loss (%)" prompt="Enter it as a decimal: 0.08 = 8%. Trim loss enters as net quantity / (1 - trim loss)." type="decimal" operator="between">
      <formula1>0</formula1>
      <formula2>0.95</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S4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9" customWidth="1" min="4" max="4"/>
    <col width="11" customWidth="1" min="5" max="5"/>
    <col width="10" customWidth="1" min="6" max="6"/>
    <col width="10" customWidth="1" min="7" max="7"/>
    <col width="11" customWidth="1" min="8" max="8"/>
    <col width="11" customWidth="1" min="9" max="9"/>
    <col width="11" customWidth="1" min="10" max="10"/>
    <col width="11" customWidth="1" min="11" max="11"/>
    <col width="10" customWidth="1" min="12" max="12"/>
    <col width="8" customWidth="1" min="13" max="13"/>
    <col width="10" customWidth="1" min="14" max="14"/>
    <col width="10" customWidth="1" min="15" max="15"/>
    <col width="10" customWidth="1" min="16" max="16"/>
    <col width="11" customWidth="1" min="17" max="17"/>
    <col width="11" customWidth="1" min="18" max="18"/>
    <col width="10" customWidth="1" min="19" max="19"/>
  </cols>
  <sheetData>
    <row r="1">
      <c r="A1" s="1" t="inlineStr">
        <is>
          <t>Labor Cost per Hour</t>
        </is>
      </c>
    </row>
    <row r="2">
      <c r="A2" s="2" t="inlineStr">
        <is>
          <t>AI Chef Pro · aichef.pro — How to Open a Pastry Shop</t>
        </is>
      </c>
    </row>
    <row r="3">
      <c r="A3" s="3" t="inlineStr">
        <is>
          <t>Labor charged per piece. It's the sheet that teaches you to stop giving your work away.</t>
        </is>
      </c>
    </row>
    <row r="4"/>
    <row r="5" ht="42" customHeight="1">
      <c r="A5" s="8" t="inlineStr">
        <is>
          <t>Ref</t>
        </is>
      </c>
      <c r="B5" s="8" t="inlineStr">
        <is>
          <t>Item</t>
        </is>
      </c>
      <c r="C5" s="8" t="inlineStr">
        <is>
          <t>Family</t>
        </is>
      </c>
      <c r="D5" s="8" t="inlineStr">
        <is>
          <t>Units per batch</t>
        </is>
      </c>
      <c r="E5" s="8" t="inlineStr">
        <is>
          <t>Labor minutes per batch</t>
        </is>
      </c>
      <c r="F5" s="8" t="inlineStr">
        <is>
          <t>Labor hours per batch</t>
        </is>
      </c>
      <c r="G5" s="8" t="inlineStr">
        <is>
          <t>Production kitchen cost per hour ($)</t>
        </is>
      </c>
      <c r="H5" s="8" t="inlineStr">
        <is>
          <t>Labor cost of the batch ($)</t>
        </is>
      </c>
      <c r="I5" s="8" t="inlineStr">
        <is>
          <t>Labor per unit ($)</t>
        </is>
      </c>
      <c r="J5" s="8" t="inlineStr">
        <is>
          <t>Materials per unit ($)</t>
        </is>
      </c>
      <c r="K5" s="8" t="inlineStr">
        <is>
          <t>Total cost per unit ($)</t>
        </is>
      </c>
      <c r="L5" s="8" t="inlineStr">
        <is>
          <t>Menu price ($)</t>
        </is>
      </c>
      <c r="M5" s="8" t="inlineStr">
        <is>
          <t>VAT/GST included (0 in the US)</t>
        </is>
      </c>
      <c r="N5" s="8" t="inlineStr">
        <is>
          <t>Price before tax ($)</t>
        </is>
      </c>
      <c r="O5" s="8" t="inlineStr">
        <is>
          <t>Food cost</t>
        </is>
      </c>
      <c r="P5" s="8" t="inlineStr">
        <is>
          <t>Gross margin</t>
        </is>
      </c>
      <c r="Q5" s="8" t="inlineStr">
        <is>
          <t>Margin per unit ($)</t>
        </is>
      </c>
      <c r="R5" s="8" t="inlineStr">
        <is>
          <t>Labor share of total cost</t>
        </is>
      </c>
      <c r="S5" s="8" t="inlineStr">
        <is>
          <t>Minutes per piece</t>
        </is>
      </c>
    </row>
    <row r="6">
      <c r="A6" t="inlineStr">
        <is>
          <t>B1</t>
        </is>
      </c>
      <c r="B6" t="inlineStr">
        <is>
          <t>Butter croissant</t>
        </is>
      </c>
      <c r="C6" t="inlineStr">
        <is>
          <t>Viennoiserie</t>
        </is>
      </c>
      <c r="D6" s="24">
        <f>'Batch Costing'!D236</f>
        <v>20.0</v>
      </c>
      <c r="E6" s="16" t="n">
        <v>55</v>
      </c>
      <c r="F6" s="26">
        <f>IFERROR(E6/60,"")</f>
        <v>0.9166666666666666</v>
      </c>
      <c r="G6" s="11">
        <f>'Settings'!$B$16</f>
        <v>17.937911302048914</v>
      </c>
      <c r="H6" s="11">
        <f>IFERROR(F6*G6,"")</f>
        <v>16.443085360211505</v>
      </c>
      <c r="I6" s="11">
        <f>IFERROR(H6/D6,"")</f>
        <v>0.8221542680105752</v>
      </c>
      <c r="J6" s="11">
        <f>'Batch Costing'!G236</f>
        <v>0.23583508500713268</v>
      </c>
      <c r="K6" s="11">
        <f>IFERROR(I6+J6,"")</f>
        <v>1.057989353017708</v>
      </c>
      <c r="L6" s="10" t="n">
        <v>1.4545454545454546</v>
      </c>
      <c r="M6" s="18" t="n">
        <v>0</v>
      </c>
      <c r="N6" s="11">
        <f>IFERROR(L6/(1+M6),"")</f>
        <v>1.4545454545454546</v>
      </c>
      <c r="O6" s="27">
        <f>IFERROR(J6/N6,"")</f>
        <v>0.16213662094240372</v>
      </c>
      <c r="P6" s="27">
        <f>IFERROR(1-O6,"")</f>
        <v>0.8378633790575962</v>
      </c>
      <c r="Q6" s="11">
        <f>IFERROR(N6-K6,"")</f>
        <v>0.39655610152774656</v>
      </c>
      <c r="R6" s="27">
        <f>IFERROR(I6/K6,"")</f>
        <v>0.7770912492318951</v>
      </c>
      <c r="S6" s="26">
        <f>IFERROR(E6/D6,"")</f>
        <v>2.75</v>
      </c>
    </row>
    <row r="7">
      <c r="A7" t="inlineStr">
        <is>
          <t>B2</t>
        </is>
      </c>
      <c r="B7" t="inlineStr">
        <is>
          <t>Pain au chocolat (chocolate croissant)</t>
        </is>
      </c>
      <c r="C7" t="inlineStr">
        <is>
          <t>Viennoiserie</t>
        </is>
      </c>
      <c r="D7" s="24">
        <f>'Batch Costing'!D237</f>
        <v>20.0</v>
      </c>
      <c r="E7" s="16" t="n">
        <v>55</v>
      </c>
      <c r="F7" s="26">
        <f>IFERROR(E7/60,"")</f>
        <v>0.9166666666666666</v>
      </c>
      <c r="G7" s="11">
        <f>'Settings'!$B$16</f>
        <v>17.937911302048914</v>
      </c>
      <c r="H7" s="11">
        <f>IFERROR(F7*G7,"")</f>
        <v>16.443085360211505</v>
      </c>
      <c r="I7" s="11">
        <f>IFERROR(H7/D7,"")</f>
        <v>0.8221542680105752</v>
      </c>
      <c r="J7" s="11">
        <f>'Batch Costing'!G237</f>
        <v>0.41950855439488777</v>
      </c>
      <c r="K7" s="11">
        <f>IFERROR(I7+J7,"")</f>
        <v>1.241662822405463</v>
      </c>
      <c r="L7" s="10" t="n">
        <v>1.6818181818181817</v>
      </c>
      <c r="M7" s="18" t="n">
        <v>0</v>
      </c>
      <c r="N7" s="11">
        <f>IFERROR(L7/(1+M7),"")</f>
        <v>1.6818181818181817</v>
      </c>
      <c r="O7" s="27">
        <f>IFERROR(J7/N7,"")</f>
        <v>0.24943751882939275</v>
      </c>
      <c r="P7" s="27">
        <f>IFERROR(1-O7,"")</f>
        <v>0.7505624811706073</v>
      </c>
      <c r="Q7" s="11">
        <f>IFERROR(N7-K7,"")</f>
        <v>0.44015535941271855</v>
      </c>
      <c r="R7" s="27">
        <f>IFERROR(I7/K7,"")</f>
        <v>0.6621397155290698</v>
      </c>
      <c r="S7" s="26">
        <f>IFERROR(E7/D7,"")</f>
        <v>2.75</v>
      </c>
    </row>
    <row r="8">
      <c r="A8" t="inlineStr">
        <is>
          <t>B3</t>
        </is>
      </c>
      <c r="B8" t="inlineStr">
        <is>
          <t>Custard napolitana (cream-filled laminated pastry)</t>
        </is>
      </c>
      <c r="C8" t="inlineStr">
        <is>
          <t>Viennoiserie</t>
        </is>
      </c>
      <c r="D8" s="24">
        <f>'Batch Costing'!D238</f>
        <v>20.0</v>
      </c>
      <c r="E8" s="16" t="n">
        <v>65</v>
      </c>
      <c r="F8" s="26">
        <f>IFERROR(E8/60,"")</f>
        <v>1.0833333333333333</v>
      </c>
      <c r="G8" s="11">
        <f>'Settings'!$B$16</f>
        <v>17.937911302048914</v>
      </c>
      <c r="H8" s="11">
        <f>IFERROR(F8*G8,"")</f>
        <v>19.432737243886322</v>
      </c>
      <c r="I8" s="11">
        <f>IFERROR(H8/D8,"")</f>
        <v>0.9716368621943161</v>
      </c>
      <c r="J8" s="11">
        <f>'Batch Costing'!G238</f>
        <v>0.3526371258234592</v>
      </c>
      <c r="K8" s="11">
        <f>IFERROR(I8+J8,"")</f>
        <v>1.3242739880177754</v>
      </c>
      <c r="L8" s="10" t="n">
        <v>1.6818181818181817</v>
      </c>
      <c r="M8" s="18" t="n">
        <v>0</v>
      </c>
      <c r="N8" s="11">
        <f>IFERROR(L8/(1+M8),"")</f>
        <v>1.6818181818181817</v>
      </c>
      <c r="O8" s="27">
        <f>IFERROR(J8/N8,"")</f>
        <v>0.20967612886800277</v>
      </c>
      <c r="P8" s="27">
        <f>IFERROR(1-O8,"")</f>
        <v>0.7903238711319972</v>
      </c>
      <c r="Q8" s="11">
        <f>IFERROR(N8-K8,"")</f>
        <v>0.35754419380040625</v>
      </c>
      <c r="R8" s="27">
        <f>IFERROR(I8/K8,"")</f>
        <v>0.7337128653026703</v>
      </c>
      <c r="S8" s="26">
        <f>IFERROR(E8/D8,"")</f>
        <v>3.25</v>
      </c>
    </row>
    <row r="9">
      <c r="A9" t="inlineStr">
        <is>
          <t>B4</t>
        </is>
      </c>
      <c r="B9" t="inlineStr">
        <is>
          <t>Palmier</t>
        </is>
      </c>
      <c r="C9" t="inlineStr">
        <is>
          <t>Viennoiserie</t>
        </is>
      </c>
      <c r="D9" s="24">
        <f>'Batch Costing'!D239</f>
        <v>24.0</v>
      </c>
      <c r="E9" s="16" t="n">
        <v>40</v>
      </c>
      <c r="F9" s="26">
        <f>IFERROR(E9/60,"")</f>
        <v>0.6666666666666666</v>
      </c>
      <c r="G9" s="11">
        <f>'Settings'!$B$16</f>
        <v>17.937911302048914</v>
      </c>
      <c r="H9" s="11">
        <f>IFERROR(F9*G9,"")</f>
        <v>11.958607534699276</v>
      </c>
      <c r="I9" s="11">
        <f>IFERROR(H9/D9,"")</f>
        <v>0.49827531394580316</v>
      </c>
      <c r="J9" s="11">
        <f>'Batch Costing'!G239</f>
        <v>0.21947062610342208</v>
      </c>
      <c r="K9" s="11">
        <f>IFERROR(I9+J9,"")</f>
        <v>0.7177459400492252</v>
      </c>
      <c r="L9" s="10" t="n">
        <v>1.5454545454545452</v>
      </c>
      <c r="M9" s="18" t="n">
        <v>0</v>
      </c>
      <c r="N9" s="11">
        <f>IFERROR(L9/(1+M9),"")</f>
        <v>1.5454545454545452</v>
      </c>
      <c r="O9" s="27">
        <f>IFERROR(J9/N9,"")</f>
        <v>0.14201040512574373</v>
      </c>
      <c r="P9" s="27">
        <f>IFERROR(1-O9,"")</f>
        <v>0.8579895948742563</v>
      </c>
      <c r="Q9" s="11">
        <f>IFERROR(N9-K9,"")</f>
        <v>0.82770860540532</v>
      </c>
      <c r="R9" s="27">
        <f>IFERROR(I9/K9,"")</f>
        <v>0.6942224067636383</v>
      </c>
      <c r="S9" s="26">
        <f>IFERROR(E9/D9,"")</f>
        <v>1.6666666666666667</v>
      </c>
    </row>
    <row r="10">
      <c r="A10" t="inlineStr">
        <is>
          <t>B5</t>
        </is>
      </c>
      <c r="B10" t="inlineStr">
        <is>
          <t>Raisin snail (pain aux raisins)</t>
        </is>
      </c>
      <c r="C10" t="inlineStr">
        <is>
          <t>Viennoiserie</t>
        </is>
      </c>
      <c r="D10" s="24">
        <f>'Batch Costing'!D240</f>
        <v>20.0</v>
      </c>
      <c r="E10" s="16" t="n">
        <v>60</v>
      </c>
      <c r="F10" s="26">
        <f>IFERROR(E10/60,"")</f>
        <v>1.0</v>
      </c>
      <c r="G10" s="11">
        <f>'Settings'!$B$16</f>
        <v>17.937911302048914</v>
      </c>
      <c r="H10" s="11">
        <f>IFERROR(F10*G10,"")</f>
        <v>17.937911302048914</v>
      </c>
      <c r="I10" s="11">
        <f>IFERROR(H10/D10,"")</f>
        <v>0.8968955651024457</v>
      </c>
      <c r="J10" s="11">
        <f>'Batch Costing'!G240</f>
        <v>0.30624738967704845</v>
      </c>
      <c r="K10" s="11">
        <f>IFERROR(I10+J10,"")</f>
        <v>1.2031429547794943</v>
      </c>
      <c r="L10" s="10" t="n">
        <v>1.6818181818181817</v>
      </c>
      <c r="M10" s="18" t="n">
        <v>0</v>
      </c>
      <c r="N10" s="11">
        <f>IFERROR(L10/(1+M10),"")</f>
        <v>1.6818181818181817</v>
      </c>
      <c r="O10" s="27">
        <f>IFERROR(J10/N10,"")</f>
        <v>0.18209304251067748</v>
      </c>
      <c r="P10" s="27">
        <f>IFERROR(1-O10,"")</f>
        <v>0.8179069574893225</v>
      </c>
      <c r="Q10" s="11">
        <f>IFERROR(N10-K10,"")</f>
        <v>0.47867522703868737</v>
      </c>
      <c r="R10" s="27">
        <f>IFERROR(I10/K10,"")</f>
        <v>0.7454605136817046</v>
      </c>
      <c r="S10" s="26">
        <f>IFERROR(E10/D10,"")</f>
        <v>3.0</v>
      </c>
    </row>
    <row r="11">
      <c r="A11" t="inlineStr">
        <is>
          <t>B6</t>
        </is>
      </c>
      <c r="B11" t="inlineStr">
        <is>
          <t>Ensaïmada (Mallorcan spiral pastry)</t>
        </is>
      </c>
      <c r="C11" t="inlineStr">
        <is>
          <t>Viennoiserie</t>
        </is>
      </c>
      <c r="D11" s="24">
        <f>'Batch Costing'!D241</f>
        <v>16.0</v>
      </c>
      <c r="E11" s="16" t="n">
        <v>70</v>
      </c>
      <c r="F11" s="26">
        <f>IFERROR(E11/60,"")</f>
        <v>1.1666666666666667</v>
      </c>
      <c r="G11" s="11">
        <f>'Settings'!$B$16</f>
        <v>17.937911302048914</v>
      </c>
      <c r="H11" s="11">
        <f>IFERROR(F11*G11,"")</f>
        <v>20.927563185723734</v>
      </c>
      <c r="I11" s="11">
        <f>IFERROR(H11/D11,"")</f>
        <v>1.3079726991077334</v>
      </c>
      <c r="J11" s="11">
        <f>'Batch Costing'!G241</f>
        <v>0.18023428175677073</v>
      </c>
      <c r="K11" s="11">
        <f>IFERROR(I11+J11,"")</f>
        <v>1.4882069808645042</v>
      </c>
      <c r="L11" s="10" t="n">
        <v>1.7727272727272725</v>
      </c>
      <c r="M11" s="18" t="n">
        <v>0</v>
      </c>
      <c r="N11" s="11">
        <f>IFERROR(L11/(1+M11),"")</f>
        <v>1.7727272727272725</v>
      </c>
      <c r="O11" s="27">
        <f>IFERROR(J11/N11,"")</f>
        <v>0.10167062047817838</v>
      </c>
      <c r="P11" s="27">
        <f>IFERROR(1-O11,"")</f>
        <v>0.8983293795218217</v>
      </c>
      <c r="Q11" s="11">
        <f>IFERROR(N11-K11,"")</f>
        <v>0.2845202918627683</v>
      </c>
      <c r="R11" s="27">
        <f>IFERROR(I11/K11,"")</f>
        <v>0.8788916568231173</v>
      </c>
      <c r="S11" s="26">
        <f>IFERROR(E11/D11,"")</f>
        <v>4.375</v>
      </c>
    </row>
    <row r="12">
      <c r="A12" t="inlineStr">
        <is>
          <t>PI1</t>
        </is>
      </c>
      <c r="B12" t="inlineStr">
        <is>
          <t>Napoleon (mille-feuille)</t>
        </is>
      </c>
      <c r="C12" t="inlineStr">
        <is>
          <t>Individual pastries</t>
        </is>
      </c>
      <c r="D12" s="24">
        <f>'Batch Costing'!D242</f>
        <v>18.0</v>
      </c>
      <c r="E12" s="16" t="n">
        <v>75</v>
      </c>
      <c r="F12" s="26">
        <f>IFERROR(E12/60,"")</f>
        <v>1.25</v>
      </c>
      <c r="G12" s="11">
        <f>'Settings'!$B$16</f>
        <v>17.937911302048914</v>
      </c>
      <c r="H12" s="11">
        <f>IFERROR(F12*G12,"")</f>
        <v>22.422389127561143</v>
      </c>
      <c r="I12" s="11">
        <f>IFERROR(H12/D12,"")</f>
        <v>1.2456882848645079</v>
      </c>
      <c r="J12" s="11">
        <f>'Batch Costing'!G242</f>
        <v>0.44694190651010146</v>
      </c>
      <c r="K12" s="11">
        <f>IFERROR(I12+J12,"")</f>
        <v>1.6926301913746093</v>
      </c>
      <c r="L12" s="10" t="n">
        <v>3.2727272727272725</v>
      </c>
      <c r="M12" s="18" t="n">
        <v>0</v>
      </c>
      <c r="N12" s="11">
        <f>IFERROR(L12/(1+M12),"")</f>
        <v>3.2727272727272725</v>
      </c>
      <c r="O12" s="27">
        <f>IFERROR(J12/N12,"")</f>
        <v>0.13656558254475323</v>
      </c>
      <c r="P12" s="27">
        <f>IFERROR(1-O12,"")</f>
        <v>0.8634344174552467</v>
      </c>
      <c r="Q12" s="11">
        <f>IFERROR(N12-K12,"")</f>
        <v>1.5800970813526631</v>
      </c>
      <c r="R12" s="27">
        <f>IFERROR(I12/K12,"")</f>
        <v>0.7359482840447662</v>
      </c>
      <c r="S12" s="26">
        <f>IFERROR(E12/D12,"")</f>
        <v>4.166666666666667</v>
      </c>
    </row>
    <row r="13">
      <c r="A13" t="inlineStr">
        <is>
          <t>PI2</t>
        </is>
      </c>
      <c r="B13" t="inlineStr">
        <is>
          <t>Éclair</t>
        </is>
      </c>
      <c r="C13" t="inlineStr">
        <is>
          <t>Individual pastries</t>
        </is>
      </c>
      <c r="D13" s="24">
        <f>'Batch Costing'!D243</f>
        <v>24.0</v>
      </c>
      <c r="E13" s="16" t="n">
        <v>65</v>
      </c>
      <c r="F13" s="26">
        <f>IFERROR(E13/60,"")</f>
        <v>1.0833333333333333</v>
      </c>
      <c r="G13" s="11">
        <f>'Settings'!$B$16</f>
        <v>17.937911302048914</v>
      </c>
      <c r="H13" s="11">
        <f>IFERROR(F13*G13,"")</f>
        <v>19.432737243886322</v>
      </c>
      <c r="I13" s="11">
        <f>IFERROR(H13/D13,"")</f>
        <v>0.8096973851619301</v>
      </c>
      <c r="J13" s="11">
        <f>'Batch Costing'!G243</f>
        <v>0.3382557358891562</v>
      </c>
      <c r="K13" s="11">
        <f>IFERROR(I13+J13,"")</f>
        <v>1.1479531210510863</v>
      </c>
      <c r="L13" s="10" t="n">
        <v>2.909090909090909</v>
      </c>
      <c r="M13" s="18" t="n">
        <v>0</v>
      </c>
      <c r="N13" s="11">
        <f>IFERROR(L13/(1+M13),"")</f>
        <v>2.909090909090909</v>
      </c>
      <c r="O13" s="27">
        <f>IFERROR(J13/N13,"")</f>
        <v>0.11627540921189744</v>
      </c>
      <c r="P13" s="27">
        <f>IFERROR(1-O13,"")</f>
        <v>0.8837245907881026</v>
      </c>
      <c r="Q13" s="11">
        <f>IFERROR(N13-K13,"")</f>
        <v>1.761137788039823</v>
      </c>
      <c r="R13" s="27">
        <f>IFERROR(I13/K13,"")</f>
        <v>0.7053401139068787</v>
      </c>
      <c r="S13" s="26">
        <f>IFERROR(E13/D13,"")</f>
        <v>2.7083333333333335</v>
      </c>
    </row>
    <row r="14">
      <c r="A14" t="inlineStr">
        <is>
          <t>PI3</t>
        </is>
      </c>
      <c r="B14" t="inlineStr">
        <is>
          <t>Raspberry macarons</t>
        </is>
      </c>
      <c r="C14" t="inlineStr">
        <is>
          <t>Individual pastries</t>
        </is>
      </c>
      <c r="D14" s="24">
        <f>'Batch Costing'!D244</f>
        <v>30.0</v>
      </c>
      <c r="E14" s="16" t="n">
        <v>80</v>
      </c>
      <c r="F14" s="26">
        <f>IFERROR(E14/60,"")</f>
        <v>1.3333333333333333</v>
      </c>
      <c r="G14" s="11">
        <f>'Settings'!$B$16</f>
        <v>17.937911302048914</v>
      </c>
      <c r="H14" s="11">
        <f>IFERROR(F14*G14,"")</f>
        <v>23.91721506939855</v>
      </c>
      <c r="I14" s="11">
        <f>IFERROR(H14/D14,"")</f>
        <v>0.797240502313285</v>
      </c>
      <c r="J14" s="11">
        <f>'Batch Costing'!G244</f>
        <v>0.19650996048982955</v>
      </c>
      <c r="K14" s="11">
        <f>IFERROR(I14+J14,"")</f>
        <v>0.9937504628031146</v>
      </c>
      <c r="L14" s="10" t="n">
        <v>1.909090909090909</v>
      </c>
      <c r="M14" s="18" t="n">
        <v>0</v>
      </c>
      <c r="N14" s="11">
        <f>IFERROR(L14/(1+M14),"")</f>
        <v>1.909090909090909</v>
      </c>
      <c r="O14" s="27">
        <f>IFERROR(J14/N14,"")</f>
        <v>0.10293378882800597</v>
      </c>
      <c r="P14" s="27">
        <f>IFERROR(1-O14,"")</f>
        <v>0.897066211171994</v>
      </c>
      <c r="Q14" s="11">
        <f>IFERROR(N14-K14,"")</f>
        <v>0.9153404462877943</v>
      </c>
      <c r="R14" s="27">
        <f>IFERROR(I14/K14,"")</f>
        <v>0.8022542199019204</v>
      </c>
      <c r="S14" s="26">
        <f>IFERROR(E14/D14,"")</f>
        <v>2.6666666666666665</v>
      </c>
    </row>
    <row r="15">
      <c r="A15" t="inlineStr">
        <is>
          <t>PI4</t>
        </is>
      </c>
      <c r="B15" t="inlineStr">
        <is>
          <t>Fruit tart</t>
        </is>
      </c>
      <c r="C15" t="inlineStr">
        <is>
          <t>Individual pastries</t>
        </is>
      </c>
      <c r="D15" s="24">
        <f>'Batch Costing'!D245</f>
        <v>20.0</v>
      </c>
      <c r="E15" s="16" t="n">
        <v>85</v>
      </c>
      <c r="F15" s="26">
        <f>IFERROR(E15/60,"")</f>
        <v>1.4166666666666667</v>
      </c>
      <c r="G15" s="11">
        <f>'Settings'!$B$16</f>
        <v>17.937911302048914</v>
      </c>
      <c r="H15" s="11">
        <f>IFERROR(F15*G15,"")</f>
        <v>25.412041011235964</v>
      </c>
      <c r="I15" s="11">
        <f>IFERROR(H15/D15,"")</f>
        <v>1.270602050561798</v>
      </c>
      <c r="J15" s="11">
        <f>'Batch Costing'!G245</f>
        <v>0.5249860407667148</v>
      </c>
      <c r="K15" s="11">
        <f>IFERROR(I15+J15,"")</f>
        <v>1.795588091328513</v>
      </c>
      <c r="L15" s="10" t="n">
        <v>3.454545454545454</v>
      </c>
      <c r="M15" s="18" t="n">
        <v>0</v>
      </c>
      <c r="N15" s="11">
        <f>IFERROR(L15/(1+M15),"")</f>
        <v>3.454545454545454</v>
      </c>
      <c r="O15" s="27">
        <f>IFERROR(J15/N15,"")</f>
        <v>0.15196964337983854</v>
      </c>
      <c r="P15" s="27">
        <f>IFERROR(1-O15,"")</f>
        <v>0.8480303566201615</v>
      </c>
      <c r="Q15" s="11">
        <f>IFERROR(N15-K15,"")</f>
        <v>1.6589573632169412</v>
      </c>
      <c r="R15" s="27">
        <f>IFERROR(I15/K15,"")</f>
        <v>0.7076244583587709</v>
      </c>
      <c r="S15" s="26">
        <f>IFERROR(E15/D15,"")</f>
        <v>4.25</v>
      </c>
    </row>
    <row r="16">
      <c r="A16" t="inlineStr">
        <is>
          <t>PI5</t>
        </is>
      </c>
      <c r="B16" t="inlineStr">
        <is>
          <t>Cream puff (profiterole)</t>
        </is>
      </c>
      <c r="C16" t="inlineStr">
        <is>
          <t>Individual pastries</t>
        </is>
      </c>
      <c r="D16" s="24">
        <f>'Batch Costing'!D246</f>
        <v>40.0</v>
      </c>
      <c r="E16" s="16" t="n">
        <v>60</v>
      </c>
      <c r="F16" s="26">
        <f>IFERROR(E16/60,"")</f>
        <v>1.0</v>
      </c>
      <c r="G16" s="11">
        <f>'Settings'!$B$16</f>
        <v>17.937911302048914</v>
      </c>
      <c r="H16" s="11">
        <f>IFERROR(F16*G16,"")</f>
        <v>17.937911302048914</v>
      </c>
      <c r="I16" s="11">
        <f>IFERROR(H16/D16,"")</f>
        <v>0.44844778255122286</v>
      </c>
      <c r="J16" s="11">
        <f>'Batch Costing'!G246</f>
        <v>0.19817680824010467</v>
      </c>
      <c r="K16" s="11">
        <f>IFERROR(I16+J16,"")</f>
        <v>0.6466245907913275</v>
      </c>
      <c r="L16" s="10" t="n">
        <v>2.0909090909090904</v>
      </c>
      <c r="M16" s="18" t="n">
        <v>0</v>
      </c>
      <c r="N16" s="11">
        <f>IFERROR(L16/(1+M16),"")</f>
        <v>2.0909090909090904</v>
      </c>
      <c r="O16" s="27">
        <f>IFERROR(J16/N16,"")</f>
        <v>0.09478021263657183</v>
      </c>
      <c r="P16" s="27">
        <f>IFERROR(1-O16,"")</f>
        <v>0.9052197873634282</v>
      </c>
      <c r="Q16" s="11">
        <f>IFERROR(N16-K16,"")</f>
        <v>1.4442845001177629</v>
      </c>
      <c r="R16" s="27">
        <f>IFERROR(I16/K16,"")</f>
        <v>0.6935210768931948</v>
      </c>
      <c r="S16" s="26">
        <f>IFERROR(E16/D16,"")</f>
        <v>1.5</v>
      </c>
    </row>
    <row r="17">
      <c r="A17" t="inlineStr">
        <is>
          <t>PI6</t>
        </is>
      </c>
      <c r="B17" t="inlineStr">
        <is>
          <t>Individual entremet (mousse cake)</t>
        </is>
      </c>
      <c r="C17" t="inlineStr">
        <is>
          <t>Individual pastries</t>
        </is>
      </c>
      <c r="D17" s="24">
        <f>'Batch Costing'!D247</f>
        <v>16.0</v>
      </c>
      <c r="E17" s="16" t="n">
        <v>95</v>
      </c>
      <c r="F17" s="26">
        <f>IFERROR(E17/60,"")</f>
        <v>1.5833333333333333</v>
      </c>
      <c r="G17" s="11">
        <f>'Settings'!$B$16</f>
        <v>17.937911302048914</v>
      </c>
      <c r="H17" s="11">
        <f>IFERROR(F17*G17,"")</f>
        <v>28.401692894910777</v>
      </c>
      <c r="I17" s="11">
        <f>IFERROR(H17/D17,"")</f>
        <v>1.7751058059319236</v>
      </c>
      <c r="J17" s="11">
        <f>'Batch Costing'!G247</f>
        <v>0.8247412606683193</v>
      </c>
      <c r="K17" s="11">
        <f>IFERROR(I17+J17,"")</f>
        <v>2.599847066600243</v>
      </c>
      <c r="L17" s="10" t="n">
        <v>4.090909090909091</v>
      </c>
      <c r="M17" s="18" t="n">
        <v>0</v>
      </c>
      <c r="N17" s="11">
        <f>IFERROR(L17/(1+M17),"")</f>
        <v>4.090909090909091</v>
      </c>
      <c r="O17" s="27">
        <f>IFERROR(J17/N17,"")</f>
        <v>0.20160341927447806</v>
      </c>
      <c r="P17" s="27">
        <f>IFERROR(1-O17,"")</f>
        <v>0.798396580725522</v>
      </c>
      <c r="Q17" s="11">
        <f>IFERROR(N17-K17,"")</f>
        <v>1.4910620243088477</v>
      </c>
      <c r="R17" s="27">
        <f>IFERROR(I17/K17,"")</f>
        <v>0.6827731633665616</v>
      </c>
      <c r="S17" s="26">
        <f>IFERROR(E17/D17,"")</f>
        <v>5.9375</v>
      </c>
    </row>
    <row r="18">
      <c r="A18" t="inlineStr">
        <is>
          <t>T1</t>
        </is>
      </c>
      <c r="B18" t="inlineStr">
        <is>
          <t>70% dark chocolate cake</t>
        </is>
      </c>
      <c r="C18" t="inlineStr">
        <is>
          <t>Cakes and entremets</t>
        </is>
      </c>
      <c r="D18" s="24">
        <f>'Batch Costing'!D248</f>
        <v>12.0</v>
      </c>
      <c r="E18" s="16" t="n">
        <v>45</v>
      </c>
      <c r="F18" s="26">
        <f>IFERROR(E18/60,"")</f>
        <v>0.75</v>
      </c>
      <c r="G18" s="11">
        <f>'Settings'!$B$16</f>
        <v>17.937911302048914</v>
      </c>
      <c r="H18" s="11">
        <f>IFERROR(F18*G18,"")</f>
        <v>13.453433476536684</v>
      </c>
      <c r="I18" s="11">
        <f>IFERROR(H18/D18,"")</f>
        <v>1.121119456378057</v>
      </c>
      <c r="J18" s="11">
        <f>'Batch Costing'!G248</f>
        <v>1.1523320276641473</v>
      </c>
      <c r="K18" s="11">
        <f>IFERROR(I18+J18,"")</f>
        <v>2.273451484042204</v>
      </c>
      <c r="L18" s="10" t="n">
        <v>3.2727272727272725</v>
      </c>
      <c r="M18" s="18" t="n">
        <v>0</v>
      </c>
      <c r="N18" s="11">
        <f>IFERROR(L18/(1+M18),"")</f>
        <v>3.2727272727272725</v>
      </c>
      <c r="O18" s="27">
        <f>IFERROR(J18/N18,"")</f>
        <v>0.3521014528973784</v>
      </c>
      <c r="P18" s="27">
        <f>IFERROR(1-O18,"")</f>
        <v>0.6478985471026216</v>
      </c>
      <c r="Q18" s="11">
        <f>IFERROR(N18-K18,"")</f>
        <v>0.9992757886850683</v>
      </c>
      <c r="R18" s="27">
        <f>IFERROR(I18/K18,"")</f>
        <v>0.49313542173537084</v>
      </c>
      <c r="S18" s="26">
        <f>IFERROR(E18/D18,"")</f>
        <v>3.75</v>
      </c>
    </row>
    <row r="19">
      <c r="A19" t="inlineStr">
        <is>
          <t>T2</t>
        </is>
      </c>
      <c r="B19" t="inlineStr">
        <is>
          <t>Cheesecake</t>
        </is>
      </c>
      <c r="C19" t="inlineStr">
        <is>
          <t>Cakes and entremets</t>
        </is>
      </c>
      <c r="D19" s="24">
        <f>'Batch Costing'!D249</f>
        <v>12.0</v>
      </c>
      <c r="E19" s="16" t="n">
        <v>30</v>
      </c>
      <c r="F19" s="26">
        <f>IFERROR(E19/60,"")</f>
        <v>0.5</v>
      </c>
      <c r="G19" s="11">
        <f>'Settings'!$B$16</f>
        <v>17.937911302048914</v>
      </c>
      <c r="H19" s="11">
        <f>IFERROR(F19*G19,"")</f>
        <v>8.968955651024457</v>
      </c>
      <c r="I19" s="11">
        <f>IFERROR(H19/D19,"")</f>
        <v>0.7474129709187047</v>
      </c>
      <c r="J19" s="11">
        <f>'Batch Costing'!G249</f>
        <v>0.9126322010202558</v>
      </c>
      <c r="K19" s="11">
        <f>IFERROR(I19+J19,"")</f>
        <v>1.6600451719389606</v>
      </c>
      <c r="L19" s="10" t="n">
        <v>3.0909090909090904</v>
      </c>
      <c r="M19" s="18" t="n">
        <v>0</v>
      </c>
      <c r="N19" s="11">
        <f>IFERROR(L19/(1+M19),"")</f>
        <v>3.0909090909090904</v>
      </c>
      <c r="O19" s="27">
        <f>IFERROR(J19/N19,"")</f>
        <v>0.29526335915361224</v>
      </c>
      <c r="P19" s="27">
        <f>IFERROR(1-O19,"")</f>
        <v>0.7047366408463878</v>
      </c>
      <c r="Q19" s="11">
        <f>IFERROR(N19-K19,"")</f>
        <v>1.4308639189701298</v>
      </c>
      <c r="R19" s="27">
        <f>IFERROR(I19/K19,"")</f>
        <v>0.4502365258203871</v>
      </c>
      <c r="S19" s="26">
        <f>IFERROR(E19/D19,"")</f>
        <v>2.5</v>
      </c>
    </row>
    <row r="20">
      <c r="A20" t="inlineStr">
        <is>
          <t>T3</t>
        </is>
      </c>
      <c r="B20" t="inlineStr">
        <is>
          <t>Apple tart</t>
        </is>
      </c>
      <c r="C20" t="inlineStr">
        <is>
          <t>Cakes and entremets</t>
        </is>
      </c>
      <c r="D20" s="24">
        <f>'Batch Costing'!D250</f>
        <v>12.0</v>
      </c>
      <c r="E20" s="16" t="n">
        <v>40</v>
      </c>
      <c r="F20" s="26">
        <f>IFERROR(E20/60,"")</f>
        <v>0.6666666666666666</v>
      </c>
      <c r="G20" s="11">
        <f>'Settings'!$B$16</f>
        <v>17.937911302048914</v>
      </c>
      <c r="H20" s="11">
        <f>IFERROR(F20*G20,"")</f>
        <v>11.958607534699276</v>
      </c>
      <c r="I20" s="11">
        <f>IFERROR(H20/D20,"")</f>
        <v>0.9965506278916063</v>
      </c>
      <c r="J20" s="11">
        <f>'Batch Costing'!G250</f>
        <v>0.42888845856355623</v>
      </c>
      <c r="K20" s="11">
        <f>IFERROR(I20+J20,"")</f>
        <v>1.4254390864551625</v>
      </c>
      <c r="L20" s="10" t="n">
        <v>2.909090909090909</v>
      </c>
      <c r="M20" s="18" t="n">
        <v>0</v>
      </c>
      <c r="N20" s="11">
        <f>IFERROR(L20/(1+M20),"")</f>
        <v>2.909090909090909</v>
      </c>
      <c r="O20" s="27">
        <f>IFERROR(J20/N20,"")</f>
        <v>0.14743040763122245</v>
      </c>
      <c r="P20" s="27">
        <f>IFERROR(1-O20,"")</f>
        <v>0.8525695923687775</v>
      </c>
      <c r="Q20" s="11">
        <f>IFERROR(N20-K20,"")</f>
        <v>1.4836518226357467</v>
      </c>
      <c r="R20" s="27">
        <f>IFERROR(I20/K20,"")</f>
        <v>0.6991183540293309</v>
      </c>
      <c r="S20" s="26">
        <f>IFERROR(E20/D20,"")</f>
        <v>3.3333333333333335</v>
      </c>
    </row>
    <row r="21">
      <c r="A21" t="inlineStr">
        <is>
          <t>T4</t>
        </is>
      </c>
      <c r="B21" t="inlineStr">
        <is>
          <t>Carrot cake</t>
        </is>
      </c>
      <c r="C21" t="inlineStr">
        <is>
          <t>Cakes and entremets</t>
        </is>
      </c>
      <c r="D21" s="24">
        <f>'Batch Costing'!D251</f>
        <v>12.0</v>
      </c>
      <c r="E21" s="16" t="n">
        <v>45</v>
      </c>
      <c r="F21" s="26">
        <f>IFERROR(E21/60,"")</f>
        <v>0.75</v>
      </c>
      <c r="G21" s="11">
        <f>'Settings'!$B$16</f>
        <v>17.937911302048914</v>
      </c>
      <c r="H21" s="11">
        <f>IFERROR(F21*G21,"")</f>
        <v>13.453433476536684</v>
      </c>
      <c r="I21" s="11">
        <f>IFERROR(H21/D21,"")</f>
        <v>1.121119456378057</v>
      </c>
      <c r="J21" s="11">
        <f>'Batch Costing'!G251</f>
        <v>0.7531262582582633</v>
      </c>
      <c r="K21" s="11">
        <f>IFERROR(I21+J21,"")</f>
        <v>1.8742457146363205</v>
      </c>
      <c r="L21" s="10" t="n">
        <v>2.9999999999999996</v>
      </c>
      <c r="M21" s="18" t="n">
        <v>0</v>
      </c>
      <c r="N21" s="11">
        <f>IFERROR(L21/(1+M21),"")</f>
        <v>2.9999999999999996</v>
      </c>
      <c r="O21" s="27">
        <f>IFERROR(J21/N21,"")</f>
        <v>0.2510420860860878</v>
      </c>
      <c r="P21" s="27">
        <f>IFERROR(1-O21,"")</f>
        <v>0.7489579139139122</v>
      </c>
      <c r="Q21" s="11">
        <f>IFERROR(N21-K21,"")</f>
        <v>1.125754285363679</v>
      </c>
      <c r="R21" s="27">
        <f>IFERROR(I21/K21,"")</f>
        <v>0.5981710122760503</v>
      </c>
      <c r="S21" s="26">
        <f>IFERROR(E21/D21,"")</f>
        <v>3.75</v>
      </c>
    </row>
    <row r="22">
      <c r="A22" t="inlineStr">
        <is>
          <t>T5</t>
        </is>
      </c>
      <c r="B22" t="inlineStr">
        <is>
          <t>Sachertorte</t>
        </is>
      </c>
      <c r="C22" t="inlineStr">
        <is>
          <t>Cakes and entremets</t>
        </is>
      </c>
      <c r="D22" s="24">
        <f>'Batch Costing'!D252</f>
        <v>12.0</v>
      </c>
      <c r="E22" s="16" t="n">
        <v>55</v>
      </c>
      <c r="F22" s="26">
        <f>IFERROR(E22/60,"")</f>
        <v>0.9166666666666666</v>
      </c>
      <c r="G22" s="11">
        <f>'Settings'!$B$16</f>
        <v>17.937911302048914</v>
      </c>
      <c r="H22" s="11">
        <f>IFERROR(F22*G22,"")</f>
        <v>16.443085360211505</v>
      </c>
      <c r="I22" s="11">
        <f>IFERROR(H22/D22,"")</f>
        <v>1.3702571133509587</v>
      </c>
      <c r="J22" s="11">
        <f>'Batch Costing'!G252</f>
        <v>0.8907839671054437</v>
      </c>
      <c r="K22" s="11">
        <f>IFERROR(I22+J22,"")</f>
        <v>2.2610410804564025</v>
      </c>
      <c r="L22" s="10" t="n">
        <v>3.454545454545454</v>
      </c>
      <c r="M22" s="18" t="n">
        <v>0</v>
      </c>
      <c r="N22" s="11">
        <f>IFERROR(L22/(1+M22),"")</f>
        <v>3.454545454545454</v>
      </c>
      <c r="O22" s="27">
        <f>IFERROR(J22/N22,"")</f>
        <v>0.2578585167936811</v>
      </c>
      <c r="P22" s="27">
        <f>IFERROR(1-O22,"")</f>
        <v>0.7421414832063189</v>
      </c>
      <c r="Q22" s="11">
        <f>IFERROR(N22-K22,"")</f>
        <v>1.1935043740890516</v>
      </c>
      <c r="R22" s="27">
        <f>IFERROR(I22/K22,"")</f>
        <v>0.6060292867718995</v>
      </c>
      <c r="S22" s="26">
        <f>IFERROR(E22/D22,"")</f>
        <v>4.583333333333333</v>
      </c>
    </row>
    <row r="23">
      <c r="A23" t="inlineStr">
        <is>
          <t>T6</t>
        </is>
      </c>
      <c r="B23" t="inlineStr">
        <is>
          <t>Strawberries &amp; cream cake</t>
        </is>
      </c>
      <c r="C23" t="inlineStr">
        <is>
          <t>Cakes and entremets</t>
        </is>
      </c>
      <c r="D23" s="24">
        <f>'Batch Costing'!D253</f>
        <v>12.0</v>
      </c>
      <c r="E23" s="16" t="n">
        <v>50</v>
      </c>
      <c r="F23" s="26">
        <f>IFERROR(E23/60,"")</f>
        <v>0.8333333333333334</v>
      </c>
      <c r="G23" s="11">
        <f>'Settings'!$B$16</f>
        <v>17.937911302048914</v>
      </c>
      <c r="H23" s="11">
        <f>IFERROR(F23*G23,"")</f>
        <v>14.948259418374095</v>
      </c>
      <c r="I23" s="11">
        <f>IFERROR(H23/D23,"")</f>
        <v>1.2456882848645079</v>
      </c>
      <c r="J23" s="11">
        <f>'Batch Costing'!G253</f>
        <v>0.758402908349681</v>
      </c>
      <c r="K23" s="11">
        <f>IFERROR(I23+J23,"")</f>
        <v>2.004091193214189</v>
      </c>
      <c r="L23" s="10" t="n">
        <v>3.1818181818181817</v>
      </c>
      <c r="M23" s="18" t="n">
        <v>0</v>
      </c>
      <c r="N23" s="11">
        <f>IFERROR(L23/(1+M23),"")</f>
        <v>3.1818181818181817</v>
      </c>
      <c r="O23" s="27">
        <f>IFERROR(J23/N23,"")</f>
        <v>0.2383551997670426</v>
      </c>
      <c r="P23" s="27">
        <f>IFERROR(1-O23,"")</f>
        <v>0.7616448002329574</v>
      </c>
      <c r="Q23" s="11">
        <f>IFERROR(N23-K23,"")</f>
        <v>1.1777269886039927</v>
      </c>
      <c r="R23" s="27">
        <f>IFERROR(I23/K23,"")</f>
        <v>0.6215726555170655</v>
      </c>
      <c r="S23" s="26">
        <f>IFERROR(E23/D23,"")</f>
        <v>4.166666666666667</v>
      </c>
    </row>
    <row r="24">
      <c r="A24" t="inlineStr">
        <is>
          <t>PA1</t>
        </is>
      </c>
      <c r="B24" t="inlineStr">
        <is>
          <t>Baguette</t>
        </is>
      </c>
      <c r="C24" t="inlineStr">
        <is>
          <t>Breads</t>
        </is>
      </c>
      <c r="D24" s="24">
        <f>'Batch Costing'!D254</f>
        <v>40.0</v>
      </c>
      <c r="E24" s="16" t="n">
        <v>35</v>
      </c>
      <c r="F24" s="26">
        <f>IFERROR(E24/60,"")</f>
        <v>0.5833333333333334</v>
      </c>
      <c r="G24" s="11">
        <f>'Settings'!$B$16</f>
        <v>17.937911302048914</v>
      </c>
      <c r="H24" s="11">
        <f>IFERROR(F24*G24,"")</f>
        <v>10.463781592861867</v>
      </c>
      <c r="I24" s="11">
        <f>IFERROR(H24/D24,"")</f>
        <v>0.2615945398215467</v>
      </c>
      <c r="J24" s="11">
        <f>'Batch Costing'!G254</f>
        <v>0.1721026055566014</v>
      </c>
      <c r="K24" s="11">
        <f>IFERROR(I24+J24,"")</f>
        <v>0.4336971453781481</v>
      </c>
      <c r="L24" s="10" t="n">
        <v>1.1538461538461537</v>
      </c>
      <c r="M24" s="18" t="n">
        <v>0</v>
      </c>
      <c r="N24" s="11">
        <f>IFERROR(L24/(1+M24),"")</f>
        <v>1.1538461538461537</v>
      </c>
      <c r="O24" s="27">
        <f>IFERROR(J24/N24,"")</f>
        <v>0.14915559148238788</v>
      </c>
      <c r="P24" s="27">
        <f>IFERROR(1-O24,"")</f>
        <v>0.8508444085176121</v>
      </c>
      <c r="Q24" s="11">
        <f>IFERROR(N24-K24,"")</f>
        <v>0.7201490084680057</v>
      </c>
      <c r="R24" s="27">
        <f>IFERROR(I24/K24,"")</f>
        <v>0.6031733033277354</v>
      </c>
      <c r="S24" s="26">
        <f>IFERROR(E24/D24,"")</f>
        <v>0.875</v>
      </c>
    </row>
    <row r="25">
      <c r="A25" t="inlineStr">
        <is>
          <t>PA2</t>
        </is>
      </c>
      <c r="B25" t="inlineStr">
        <is>
          <t>Ciabatta</t>
        </is>
      </c>
      <c r="C25" t="inlineStr">
        <is>
          <t>Breads</t>
        </is>
      </c>
      <c r="D25" s="24">
        <f>'Batch Costing'!D255</f>
        <v>24.0</v>
      </c>
      <c r="E25" s="16" t="n">
        <v>30</v>
      </c>
      <c r="F25" s="26">
        <f>IFERROR(E25/60,"")</f>
        <v>0.5</v>
      </c>
      <c r="G25" s="11">
        <f>'Settings'!$B$16</f>
        <v>17.937911302048914</v>
      </c>
      <c r="H25" s="11">
        <f>IFERROR(F25*G25,"")</f>
        <v>8.968955651024457</v>
      </c>
      <c r="I25" s="11">
        <f>IFERROR(H25/D25,"")</f>
        <v>0.37370648545935237</v>
      </c>
      <c r="J25" s="11">
        <f>'Batch Costing'!G255</f>
        <v>0.21330785542648967</v>
      </c>
      <c r="K25" s="11">
        <f>IFERROR(I25+J25,"")</f>
        <v>0.587014340885842</v>
      </c>
      <c r="L25" s="10" t="n">
        <v>1.5384615384615385</v>
      </c>
      <c r="M25" s="18" t="n">
        <v>0</v>
      </c>
      <c r="N25" s="11">
        <f>IFERROR(L25/(1+M25),"")</f>
        <v>1.5384615384615385</v>
      </c>
      <c r="O25" s="27">
        <f>IFERROR(J25/N25,"")</f>
        <v>0.13865010602721828</v>
      </c>
      <c r="P25" s="27">
        <f>IFERROR(1-O25,"")</f>
        <v>0.8613498939727817</v>
      </c>
      <c r="Q25" s="11">
        <f>IFERROR(N25-K25,"")</f>
        <v>0.9514471975756965</v>
      </c>
      <c r="R25" s="27">
        <f>IFERROR(I25/K25,"")</f>
        <v>0.6366224118058266</v>
      </c>
      <c r="S25" s="26">
        <f>IFERROR(E25/D25,"")</f>
        <v>1.25</v>
      </c>
    </row>
    <row r="26">
      <c r="A26" t="inlineStr">
        <is>
          <t>PA3</t>
        </is>
      </c>
      <c r="B26" t="inlineStr">
        <is>
          <t>Sourdough boule</t>
        </is>
      </c>
      <c r="C26" t="inlineStr">
        <is>
          <t>Breads</t>
        </is>
      </c>
      <c r="D26" s="24">
        <f>'Batch Costing'!D256</f>
        <v>12.0</v>
      </c>
      <c r="E26" s="16" t="n">
        <v>40</v>
      </c>
      <c r="F26" s="26">
        <f>IFERROR(E26/60,"")</f>
        <v>0.6666666666666666</v>
      </c>
      <c r="G26" s="11">
        <f>'Settings'!$B$16</f>
        <v>17.937911302048914</v>
      </c>
      <c r="H26" s="11">
        <f>IFERROR(F26*G26,"")</f>
        <v>11.958607534699276</v>
      </c>
      <c r="I26" s="11">
        <f>IFERROR(H26/D26,"")</f>
        <v>0.9965506278916063</v>
      </c>
      <c r="J26" s="11">
        <f>'Batch Costing'!G256</f>
        <v>0.5929728592467914</v>
      </c>
      <c r="K26" s="11">
        <f>IFERROR(I26+J26,"")</f>
        <v>1.5895234871383979</v>
      </c>
      <c r="L26" s="10" t="n">
        <v>3.75</v>
      </c>
      <c r="M26" s="18" t="n">
        <v>0</v>
      </c>
      <c r="N26" s="11">
        <f>IFERROR(L26/(1+M26),"")</f>
        <v>3.75</v>
      </c>
      <c r="O26" s="27">
        <f>IFERROR(J26/N26,"")</f>
        <v>0.15812609579914438</v>
      </c>
      <c r="P26" s="27">
        <f>IFERROR(1-O26,"")</f>
        <v>0.8418739042008556</v>
      </c>
      <c r="Q26" s="11">
        <f>IFERROR(N26-K26,"")</f>
        <v>2.160476512861602</v>
      </c>
      <c r="R26" s="27">
        <f>IFERROR(I26/K26,"")</f>
        <v>0.6269492938954213</v>
      </c>
      <c r="S26" s="26">
        <f>IFERROR(E26/D26,"")</f>
        <v>3.3333333333333335</v>
      </c>
    </row>
    <row r="27">
      <c r="A27" t="inlineStr">
        <is>
          <t>PA4</t>
        </is>
      </c>
      <c r="B27" t="inlineStr">
        <is>
          <t>Sandwich loaf (pullman)</t>
        </is>
      </c>
      <c r="C27" t="inlineStr">
        <is>
          <t>Breads</t>
        </is>
      </c>
      <c r="D27" s="24">
        <f>'Batch Costing'!D257</f>
        <v>10.0</v>
      </c>
      <c r="E27" s="16" t="n">
        <v>30</v>
      </c>
      <c r="F27" s="26">
        <f>IFERROR(E27/60,"")</f>
        <v>0.5</v>
      </c>
      <c r="G27" s="11">
        <f>'Settings'!$B$16</f>
        <v>17.937911302048914</v>
      </c>
      <c r="H27" s="11">
        <f>IFERROR(F27*G27,"")</f>
        <v>8.968955651024457</v>
      </c>
      <c r="I27" s="11">
        <f>IFERROR(H27/D27,"")</f>
        <v>0.8968955651024457</v>
      </c>
      <c r="J27" s="11">
        <f>'Batch Costing'!G257</f>
        <v>0.8120956293532064</v>
      </c>
      <c r="K27" s="11">
        <f>IFERROR(I27+J27,"")</f>
        <v>1.7089911944556522</v>
      </c>
      <c r="L27" s="10" t="n">
        <v>3.076923076923077</v>
      </c>
      <c r="M27" s="18" t="n">
        <v>0</v>
      </c>
      <c r="N27" s="11">
        <f>IFERROR(L27/(1+M27),"")</f>
        <v>3.076923076923077</v>
      </c>
      <c r="O27" s="27">
        <f>IFERROR(J27/N27,"")</f>
        <v>0.26393107953979206</v>
      </c>
      <c r="P27" s="27">
        <f>IFERROR(1-O27,"")</f>
        <v>0.736068920460208</v>
      </c>
      <c r="Q27" s="11">
        <f>IFERROR(N27-K27,"")</f>
        <v>1.367931882467425</v>
      </c>
      <c r="R27" s="27">
        <f>IFERROR(I27/K27,"")</f>
        <v>0.5248099393444358</v>
      </c>
      <c r="S27" s="26">
        <f>IFERROR(E27/D27,"")</f>
        <v>3.0</v>
      </c>
    </row>
    <row r="28">
      <c r="A28" t="inlineStr">
        <is>
          <t>TP1</t>
        </is>
      </c>
      <c r="B28" t="inlineStr">
        <is>
          <t>Rosca de Reyes (Three Kings bread)</t>
        </is>
      </c>
      <c r="C28" t="inlineStr">
        <is>
          <t>Seasonal</t>
        </is>
      </c>
      <c r="D28" s="24">
        <f>'Batch Costing'!D258</f>
        <v>12.0</v>
      </c>
      <c r="E28" s="16" t="n">
        <v>90</v>
      </c>
      <c r="F28" s="26">
        <f>IFERROR(E28/60,"")</f>
        <v>1.5</v>
      </c>
      <c r="G28" s="11">
        <f>'Settings'!$B$16</f>
        <v>17.937911302048914</v>
      </c>
      <c r="H28" s="11">
        <f>IFERROR(F28*G28,"")</f>
        <v>26.90686695307337</v>
      </c>
      <c r="I28" s="11">
        <f>IFERROR(H28/D28,"")</f>
        <v>2.242238912756114</v>
      </c>
      <c r="J28" s="11">
        <f>'Batch Costing'!G258</f>
        <v>2.5987767214508066</v>
      </c>
      <c r="K28" s="11">
        <f>IFERROR(I28+J28,"")</f>
        <v>4.84101563420692</v>
      </c>
      <c r="L28" s="10" t="n">
        <v>14.999999999999998</v>
      </c>
      <c r="M28" s="18" t="n">
        <v>0</v>
      </c>
      <c r="N28" s="11">
        <f>IFERROR(L28/(1+M28),"")</f>
        <v>14.999999999999998</v>
      </c>
      <c r="O28" s="27">
        <f>IFERROR(J28/N28,"")</f>
        <v>0.1732517814300538</v>
      </c>
      <c r="P28" s="27">
        <f>IFERROR(1-O28,"")</f>
        <v>0.8267482185699462</v>
      </c>
      <c r="Q28" s="11">
        <f>IFERROR(N28-K28,"")</f>
        <v>10.158984365793078</v>
      </c>
      <c r="R28" s="27">
        <f>IFERROR(I28/K28,"")</f>
        <v>0.46317530910503846</v>
      </c>
      <c r="S28" s="26">
        <f>IFERROR(E28/D28,"")</f>
        <v>7.5</v>
      </c>
    </row>
    <row r="29">
      <c r="A29" t="inlineStr">
        <is>
          <t>TP2</t>
        </is>
      </c>
      <c r="B29" t="inlineStr">
        <is>
          <t>Torrijas (Spanish Easter French toast)</t>
        </is>
      </c>
      <c r="C29" t="inlineStr">
        <is>
          <t>Seasonal</t>
        </is>
      </c>
      <c r="D29" s="24">
        <f>'Batch Costing'!D259</f>
        <v>30.0</v>
      </c>
      <c r="E29" s="16" t="n">
        <v>70</v>
      </c>
      <c r="F29" s="26">
        <f>IFERROR(E29/60,"")</f>
        <v>1.1666666666666667</v>
      </c>
      <c r="G29" s="11">
        <f>'Settings'!$B$16</f>
        <v>17.937911302048914</v>
      </c>
      <c r="H29" s="11">
        <f>IFERROR(F29*G29,"")</f>
        <v>20.927563185723734</v>
      </c>
      <c r="I29" s="11">
        <f>IFERROR(H29/D29,"")</f>
        <v>0.6975854395241244</v>
      </c>
      <c r="J29" s="11">
        <f>'Batch Costing'!G259</f>
        <v>0.2600556787932565</v>
      </c>
      <c r="K29" s="11">
        <f>IFERROR(I29+J29,"")</f>
        <v>0.957641118317381</v>
      </c>
      <c r="L29" s="10" t="n">
        <v>2.1818181818181817</v>
      </c>
      <c r="M29" s="18" t="n">
        <v>0</v>
      </c>
      <c r="N29" s="11">
        <f>IFERROR(L29/(1+M29),"")</f>
        <v>2.1818181818181817</v>
      </c>
      <c r="O29" s="27">
        <f>IFERROR(J29/N29,"")</f>
        <v>0.11919218611357589</v>
      </c>
      <c r="P29" s="27">
        <f>IFERROR(1-O29,"")</f>
        <v>0.8808078138864242</v>
      </c>
      <c r="Q29" s="11">
        <f>IFERROR(N29-K29,"")</f>
        <v>1.2241770635008007</v>
      </c>
      <c r="R29" s="27">
        <f>IFERROR(I29/K29,"")</f>
        <v>0.7284414027144258</v>
      </c>
      <c r="S29" s="26">
        <f>IFERROR(E29/D29,"")</f>
        <v>2.3333333333333335</v>
      </c>
    </row>
    <row r="30">
      <c r="A30" t="inlineStr">
        <is>
          <t>TP3</t>
        </is>
      </c>
      <c r="B30" t="inlineStr">
        <is>
          <t>Buñuelos de viento (Spanish cream-filled fritters)</t>
        </is>
      </c>
      <c r="C30" t="inlineStr">
        <is>
          <t>Seasonal</t>
        </is>
      </c>
      <c r="D30" s="24">
        <f>'Batch Costing'!D260</f>
        <v>60.0</v>
      </c>
      <c r="E30" s="16" t="n">
        <v>75</v>
      </c>
      <c r="F30" s="26">
        <f>IFERROR(E30/60,"")</f>
        <v>1.25</v>
      </c>
      <c r="G30" s="11">
        <f>'Settings'!$B$16</f>
        <v>17.937911302048914</v>
      </c>
      <c r="H30" s="11">
        <f>IFERROR(F30*G30,"")</f>
        <v>22.422389127561143</v>
      </c>
      <c r="I30" s="11">
        <f>IFERROR(H30/D30,"")</f>
        <v>0.37370648545935237</v>
      </c>
      <c r="J30" s="11">
        <f>'Batch Costing'!G260</f>
        <v>0.16951087337669268</v>
      </c>
      <c r="K30" s="11">
        <f>IFERROR(I30+J30,"")</f>
        <v>0.543217358836045</v>
      </c>
      <c r="L30" s="10" t="n">
        <v>1.4545454545454546</v>
      </c>
      <c r="M30" s="18" t="n">
        <v>0</v>
      </c>
      <c r="N30" s="11">
        <f>IFERROR(L30/(1+M30),"")</f>
        <v>1.4545454545454546</v>
      </c>
      <c r="O30" s="27">
        <f>IFERROR(J30/N30,"")</f>
        <v>0.11653872544647621</v>
      </c>
      <c r="P30" s="27">
        <f>IFERROR(1-O30,"")</f>
        <v>0.8834612745535237</v>
      </c>
      <c r="Q30" s="11">
        <f>IFERROR(N30-K30,"")</f>
        <v>0.9113280957094095</v>
      </c>
      <c r="R30" s="27">
        <f>IFERROR(I30/K30,"")</f>
        <v>0.6879501904359158</v>
      </c>
      <c r="S30" s="26">
        <f>IFERROR(E30/D30,"")</f>
        <v>1.25</v>
      </c>
    </row>
    <row r="31">
      <c r="A31" t="inlineStr">
        <is>
          <t>TP4</t>
        </is>
      </c>
      <c r="B31" t="inlineStr">
        <is>
          <t>Huesos de santo (marzipan "saints' bones")</t>
        </is>
      </c>
      <c r="C31" t="inlineStr">
        <is>
          <t>Seasonal</t>
        </is>
      </c>
      <c r="D31" s="24">
        <f>'Batch Costing'!D261</f>
        <v>40.0</v>
      </c>
      <c r="E31" s="16" t="n">
        <v>85</v>
      </c>
      <c r="F31" s="26">
        <f>IFERROR(E31/60,"")</f>
        <v>1.4166666666666667</v>
      </c>
      <c r="G31" s="11">
        <f>'Settings'!$B$16</f>
        <v>17.937911302048914</v>
      </c>
      <c r="H31" s="11">
        <f>IFERROR(F31*G31,"")</f>
        <v>25.412041011235964</v>
      </c>
      <c r="I31" s="11">
        <f>IFERROR(H31/D31,"")</f>
        <v>0.635301025280899</v>
      </c>
      <c r="J31" s="11">
        <f>'Batch Costing'!G261</f>
        <v>0.32458503401360544</v>
      </c>
      <c r="K31" s="11">
        <f>IFERROR(I31+J31,"")</f>
        <v>0.9598860592945044</v>
      </c>
      <c r="L31" s="10" t="n">
        <v>1.727272727272727</v>
      </c>
      <c r="M31" s="18" t="n">
        <v>0</v>
      </c>
      <c r="N31" s="11">
        <f>IFERROR(L31/(1+M31),"")</f>
        <v>1.727272727272727</v>
      </c>
      <c r="O31" s="27">
        <f>IFERROR(J31/N31,"")</f>
        <v>0.18791765127103474</v>
      </c>
      <c r="P31" s="27">
        <f>IFERROR(1-O31,"")</f>
        <v>0.8120823487289652</v>
      </c>
      <c r="Q31" s="11">
        <f>IFERROR(N31-K31,"")</f>
        <v>0.7673866679782226</v>
      </c>
      <c r="R31" s="27">
        <f>IFERROR(I31/K31,"")</f>
        <v>0.661850455196559</v>
      </c>
      <c r="S31" s="26">
        <f>IFERROR(E31/D31,"")</f>
        <v>2.125</v>
      </c>
    </row>
    <row r="32">
      <c r="A32" t="inlineStr">
        <is>
          <t>TP5</t>
        </is>
      </c>
      <c r="B32" t="inlineStr">
        <is>
          <t>Panellets (almond and pine-nut cookies)</t>
        </is>
      </c>
      <c r="C32" t="inlineStr">
        <is>
          <t>Seasonal</t>
        </is>
      </c>
      <c r="D32" s="24">
        <f>'Batch Costing'!D262</f>
        <v>60.0</v>
      </c>
      <c r="E32" s="16" t="n">
        <v>90</v>
      </c>
      <c r="F32" s="26">
        <f>IFERROR(E32/60,"")</f>
        <v>1.5</v>
      </c>
      <c r="G32" s="11">
        <f>'Settings'!$B$16</f>
        <v>17.937911302048914</v>
      </c>
      <c r="H32" s="11">
        <f>IFERROR(F32*G32,"")</f>
        <v>26.90686695307337</v>
      </c>
      <c r="I32" s="11">
        <f>IFERROR(H32/D32,"")</f>
        <v>0.4484477825512228</v>
      </c>
      <c r="J32" s="11">
        <f>'Batch Costing'!G262</f>
        <v>0.6889750566893424</v>
      </c>
      <c r="K32" s="11">
        <f>IFERROR(I32+J32,"")</f>
        <v>1.1374228392405652</v>
      </c>
      <c r="L32" s="10" t="n">
        <v>1.6818181818181817</v>
      </c>
      <c r="M32" s="18" t="n">
        <v>0</v>
      </c>
      <c r="N32" s="11">
        <f>IFERROR(L32/(1+M32),"")</f>
        <v>1.6818181818181817</v>
      </c>
      <c r="O32" s="27">
        <f>IFERROR(J32/N32,"")</f>
        <v>0.40966084451798745</v>
      </c>
      <c r="P32" s="27">
        <f>IFERROR(1-O32,"")</f>
        <v>0.5903391554820125</v>
      </c>
      <c r="Q32" s="11">
        <f>IFERROR(N32-K32,"")</f>
        <v>0.5443953425776165</v>
      </c>
      <c r="R32" s="27">
        <f>IFERROR(I32/K32,"")</f>
        <v>0.3942665533695829</v>
      </c>
      <c r="S32" s="26">
        <f>IFERROR(E32/D32,"")</f>
        <v>1.5</v>
      </c>
    </row>
    <row r="33">
      <c r="A33" t="inlineStr">
        <is>
          <t>TP6</t>
        </is>
      </c>
      <c r="B33" t="inlineStr">
        <is>
          <t>Polvorones (Spanish shortbread)</t>
        </is>
      </c>
      <c r="C33" t="inlineStr">
        <is>
          <t>Seasonal</t>
        </is>
      </c>
      <c r="D33" s="24">
        <f>'Batch Costing'!D263</f>
        <v>50.0</v>
      </c>
      <c r="E33" s="16" t="n">
        <v>55</v>
      </c>
      <c r="F33" s="26">
        <f>IFERROR(E33/60,"")</f>
        <v>0.9166666666666666</v>
      </c>
      <c r="G33" s="11">
        <f>'Settings'!$B$16</f>
        <v>17.937911302048914</v>
      </c>
      <c r="H33" s="11">
        <f>IFERROR(F33*G33,"")</f>
        <v>16.443085360211505</v>
      </c>
      <c r="I33" s="11">
        <f>IFERROR(H33/D33,"")</f>
        <v>0.3288617072042301</v>
      </c>
      <c r="J33" s="11">
        <f>'Batch Costing'!G263</f>
        <v>0.1570632160923536</v>
      </c>
      <c r="K33" s="11">
        <f>IFERROR(I33+J33,"")</f>
        <v>0.48592492329658366</v>
      </c>
      <c r="L33" s="10" t="n">
        <v>1.0909090909090908</v>
      </c>
      <c r="M33" s="18" t="n">
        <v>0</v>
      </c>
      <c r="N33" s="11">
        <f>IFERROR(L33/(1+M33),"")</f>
        <v>1.0909090909090908</v>
      </c>
      <c r="O33" s="27">
        <f>IFERROR(J33/N33,"")</f>
        <v>0.14397461475132414</v>
      </c>
      <c r="P33" s="27">
        <f>IFERROR(1-O33,"")</f>
        <v>0.8560253852486759</v>
      </c>
      <c r="Q33" s="11">
        <f>IFERROR(N33-K33,"")</f>
        <v>0.6049841676125072</v>
      </c>
      <c r="R33" s="27">
        <f>IFERROR(I33/K33,"")</f>
        <v>0.6767747267894505</v>
      </c>
      <c r="S33" s="26">
        <f>IFERROR(E33/D33,"")</f>
        <v>1.1</v>
      </c>
    </row>
    <row r="34">
      <c r="A34" t="inlineStr">
        <is>
          <t>TP7</t>
        </is>
      </c>
      <c r="B34" t="inlineStr">
        <is>
          <t>Almond turrón (nougat)</t>
        </is>
      </c>
      <c r="C34" t="inlineStr">
        <is>
          <t>Seasonal</t>
        </is>
      </c>
      <c r="D34" s="24">
        <f>'Batch Costing'!D264</f>
        <v>20.0</v>
      </c>
      <c r="E34" s="16" t="n">
        <v>65</v>
      </c>
      <c r="F34" s="26">
        <f>IFERROR(E34/60,"")</f>
        <v>1.0833333333333333</v>
      </c>
      <c r="G34" s="11">
        <f>'Settings'!$B$16</f>
        <v>17.937911302048914</v>
      </c>
      <c r="H34" s="11">
        <f>IFERROR(F34*G34,"")</f>
        <v>19.432737243886322</v>
      </c>
      <c r="I34" s="11">
        <f>IFERROR(H34/D34,"")</f>
        <v>0.9716368621943161</v>
      </c>
      <c r="J34" s="11">
        <f>'Batch Costing'!G264</f>
        <v>3.097463651765644</v>
      </c>
      <c r="K34" s="11">
        <f>IFERROR(I34+J34,"")</f>
        <v>4.06910051395996</v>
      </c>
      <c r="L34" s="10" t="n">
        <v>9.545454545454545</v>
      </c>
      <c r="M34" s="18" t="n">
        <v>0</v>
      </c>
      <c r="N34" s="11">
        <f>IFERROR(L34/(1+M34),"")</f>
        <v>9.545454545454545</v>
      </c>
      <c r="O34" s="27">
        <f>IFERROR(J34/N34,"")</f>
        <v>0.3244961920897341</v>
      </c>
      <c r="P34" s="27">
        <f>IFERROR(1-O34,"")</f>
        <v>0.6755038079102659</v>
      </c>
      <c r="Q34" s="11">
        <f>IFERROR(N34-K34,"")</f>
        <v>5.476354031494585</v>
      </c>
      <c r="R34" s="27">
        <f>IFERROR(I34/K34,"")</f>
        <v>0.23878418801916995</v>
      </c>
      <c r="S34" s="26">
        <f>IFERROR(E34/D34,"")</f>
        <v>3.25</v>
      </c>
    </row>
    <row r="35">
      <c r="A35" t="inlineStr">
        <is>
          <t>TP8</t>
        </is>
      </c>
      <c r="B35" t="inlineStr">
        <is>
          <t>Mona de Pascua (Catalan Easter cake)</t>
        </is>
      </c>
      <c r="C35" t="inlineStr">
        <is>
          <t>Seasonal</t>
        </is>
      </c>
      <c r="D35" s="24">
        <f>'Batch Costing'!D265</f>
        <v>14.0</v>
      </c>
      <c r="E35" s="16" t="n">
        <v>80</v>
      </c>
      <c r="F35" s="26">
        <f>IFERROR(E35/60,"")</f>
        <v>1.3333333333333333</v>
      </c>
      <c r="G35" s="11">
        <f>'Settings'!$B$16</f>
        <v>17.937911302048914</v>
      </c>
      <c r="H35" s="11">
        <f>IFERROR(F35*G35,"")</f>
        <v>23.91721506939855</v>
      </c>
      <c r="I35" s="11">
        <f>IFERROR(H35/D35,"")</f>
        <v>1.7083725049570393</v>
      </c>
      <c r="J35" s="11">
        <f>'Batch Costing'!G265</f>
        <v>2.014875462423657</v>
      </c>
      <c r="K35" s="11">
        <f>IFERROR(I35+J35,"")</f>
        <v>3.723247967380696</v>
      </c>
      <c r="L35" s="10" t="n">
        <v>12.272727272727272</v>
      </c>
      <c r="M35" s="18" t="n">
        <v>0</v>
      </c>
      <c r="N35" s="11">
        <f>IFERROR(L35/(1+M35),"")</f>
        <v>12.272727272727272</v>
      </c>
      <c r="O35" s="27">
        <f>IFERROR(J35/N35,"")</f>
        <v>0.16417503767896466</v>
      </c>
      <c r="P35" s="27">
        <f>IFERROR(1-O35,"")</f>
        <v>0.8358249623210353</v>
      </c>
      <c r="Q35" s="11">
        <f>IFERROR(N35-K35,"")</f>
        <v>8.549479305346576</v>
      </c>
      <c r="R35" s="27">
        <f>IFERROR(I35/K35,"")</f>
        <v>0.45883930372729886</v>
      </c>
      <c r="S35" s="26">
        <f>IFERROR(E35/D35,"")</f>
        <v>5.714285714285714</v>
      </c>
    </row>
    <row r="36">
      <c r="A36" s="13" t="inlineStr">
        <is>
          <t>AVERAGE / TOTAL</t>
        </is>
      </c>
      <c r="H36" s="15">
        <f>SUM(H6:H35)</f>
        <v>542.6218168869797</v>
      </c>
      <c r="O36" s="20">
        <f>IFERROR(AVERAGE(O6:O35),"")</f>
        <v>0.19140911070355546</v>
      </c>
      <c r="Q36" s="15">
        <f>IFERROR(AVERAGE(Q6:Q35),"")</f>
        <v>1.7494636600701559</v>
      </c>
      <c r="R36" s="20">
        <f>IFERROR(AVERAGE(R6:R35),"")</f>
        <v>0.6329626685895051</v>
      </c>
    </row>
    <row r="37"/>
    <row r="38" ht="44" customHeight="1">
      <c r="A38" s="21" t="inlineStr">
        <is>
          <t>The food cost on this sheet compares INGREDIENTS with the price before tax, which is the industry definition. Labor isn't in food cost: it's in total cost, and it eats the margin. That's why an item can have a great food cost and leave you less money than a worse one: always look at both columns together.</t>
        </is>
      </c>
    </row>
    <row r="39" ht="44" customHeight="1">
      <c r="A39" s="21" t="inlineStr">
        <is>
          <t>The gross margin in column P is one minus food cost, calculated, not typed. It's the same rule said the other way around, which is why the workbook never asks you for both numbers.</t>
        </is>
      </c>
    </row>
    <row r="40" ht="44" customHeight="1">
      <c r="A40" s="21" t="inlineStr">
        <is>
          <t>Column R is the one that hurts: on the most labor-intensive items, labor is more than half the cost. You don't win there by cutting the price of flour; you win by changing the process or the price.</t>
        </is>
      </c>
    </row>
    <row r="41" ht="44" customHeight="1">
      <c r="A41" s="21" t="inlineStr">
        <is>
          <t>Red food cost cells are the ones over your target in "Settings"; red margin cells are the ones that leave no money. What to do with them is on the "Menu Decision" sheet.</t>
        </is>
      </c>
    </row>
    <row r="42"/>
    <row r="43">
      <c r="A43"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41:S41"/>
    <mergeCell ref="A38:S38"/>
    <mergeCell ref="A40:S40"/>
    <mergeCell ref="A39:S39"/>
  </mergeCells>
  <conditionalFormatting sqref="O6:O35">
    <cfRule type="expression" priority="1" dxfId="0" stopIfTrue="1">
      <formula>=AND(ISNUMBER($O6),$O6&gt;'Settings'!$B$24)</formula>
    </cfRule>
  </conditionalFormatting>
  <conditionalFormatting sqref="Q6:Q35">
    <cfRule type="expression" priority="2" dxfId="0" stopIfTrue="1">
      <formula>=AND(ISNUMBER($Q6),$Q6&lt;=0)</formula>
    </cfRule>
  </conditionalFormatting>
  <dataValidations count="2">
    <dataValidation sqref="M6 M7 M8 M9 M10 M11 M12 M13 M14 M15 M16 M17 M18 M19 M20 M21 M22 M23 M24 M25 M26 M27 M28 M29 M30 M31 M32 M33 M34 M35" showDropDown="0" showInputMessage="1" showErrorMessage="1" allowBlank="1" errorTitle="Tax rate" error="Enter a percentage between 0 and 1 (0.20 = 20%)." promptTitle="Tax rate" prompt="Enter it as a decimal: 0.10 = 10% (0 in the US)." type="decimal" operator="between">
      <formula1>0</formula1>
      <formula2>1.0</formula2>
    </dataValidation>
    <dataValidation sqref="E6 E7 E8 E9 E10 E11 E12 E13 E14 E15 E16 E17 E18 E19 E20 E21 E22 E23 E24 E25 E26 E27 E28 E29 E30 E31 E32 E33 E34 E35" showDropDown="0" showInputMessage="0" showErrorMessage="1" allowBlank="1" errorTitle="Minutes per batch" error="Enter the labor minutes for the whole batch (1 to 1,440)." type="decimal" operator="between">
      <formula1>1</formula1>
      <formula2>1440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O64"/>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22" customWidth="1" min="4" max="4"/>
    <col width="10" customWidth="1" min="5" max="5"/>
    <col width="12" customWidth="1" min="6" max="6"/>
    <col width="11" customWidth="1" min="7" max="7"/>
    <col width="11" customWidth="1" min="8" max="8"/>
    <col width="12" customWidth="1" min="9" max="9"/>
    <col width="52" customWidth="1" min="10" max="10"/>
    <col width="12" customWidth="1" min="11" max="11"/>
    <col width="13" customWidth="1" min="12" max="12"/>
    <col width="14" customWidth="1" min="13" max="13"/>
    <col width="62" customWidth="1" min="14" max="14"/>
    <col width="34" customWidth="1" min="15" max="15"/>
  </cols>
  <sheetData>
    <row r="1">
      <c r="A1" s="1" t="inlineStr">
        <is>
          <t>Egg &amp; TCS Decision</t>
        </is>
      </c>
    </row>
    <row r="2">
      <c r="A2" s="2" t="inlineStr">
        <is>
          <t>AI Chef Pro · aichef.pro — How to Open a Pastry Shop</t>
        </is>
      </c>
    </row>
    <row r="3">
      <c r="A3" s="3" t="inlineStr">
        <is>
          <t>Two separate outputs: the HOLDING TEMPERATURE (41 °F or below for TCS items, Food Code 3-501.16) and the DATE MARK for TCS items held more than 24 hours (3-501.17). The shelf life is yours to declare.</t>
        </is>
      </c>
    </row>
    <row r="4"/>
    <row r="5" ht="42" customHeight="1">
      <c r="A5" s="8" t="inlineStr">
        <is>
          <t>Ref</t>
        </is>
      </c>
      <c r="B5" s="8" t="inlineStr">
        <is>
          <t>Item</t>
        </is>
      </c>
      <c r="C5" s="8" t="inlineStr">
        <is>
          <t>Family</t>
        </is>
      </c>
      <c r="D5" s="8" t="inlineStr">
        <is>
          <t>Egg route</t>
        </is>
      </c>
      <c r="E5" s="8" t="inlineStr">
        <is>
          <t>Filled item?</t>
        </is>
      </c>
      <c r="F5" s="8" t="inlineStr">
        <is>
          <t>Shelf-stable at room temperature?</t>
        </is>
      </c>
      <c r="G5" s="8" t="inlineStr">
        <is>
          <t>Food Code cold-holding limit (°F), 3-501.16 · filled item</t>
        </is>
      </c>
      <c r="H5" s="8" t="inlineStr">
        <is>
          <t>Food Code cold-holding limit (°F), 3-501.16 · egg route</t>
        </is>
      </c>
      <c r="I5" s="8" t="inlineStr">
        <is>
          <t>Holding temperature (°F)</t>
        </is>
      </c>
      <c r="J5" s="8" t="inlineStr">
        <is>
          <t>Which test applies</t>
        </is>
      </c>
      <c r="K5" s="8" t="inlineStr">
        <is>
          <t>Date-mark if held over (hours)</t>
        </is>
      </c>
      <c r="L5" s="8" t="inlineStr">
        <is>
          <t>Shelf life you declare (days)</t>
        </is>
      </c>
      <c r="M5" s="8" t="inlineStr">
        <is>
          <t>Where it goes at the counter</t>
        </is>
      </c>
      <c r="N5" s="8" t="inlineStr">
        <is>
          <t>What that route means</t>
        </is>
      </c>
      <c r="O5" s="8" t="inlineStr">
        <is>
          <t>D / F check</t>
        </is>
      </c>
    </row>
    <row r="6" ht="40" customHeight="1">
      <c r="A6" t="inlineStr">
        <is>
          <t>B1</t>
        </is>
      </c>
      <c r="B6" t="inlineStr">
        <is>
          <t>Butter croissant</t>
        </is>
      </c>
      <c r="C6" t="inlineStr">
        <is>
          <t>Viennoiserie</t>
        </is>
      </c>
      <c r="D6" s="6" t="inlineStr">
        <is>
          <t>Shelf-stable</t>
        </is>
      </c>
      <c r="E6" s="6" t="inlineStr">
        <is>
          <t>No</t>
        </is>
      </c>
      <c r="F6" s="6" t="inlineStr">
        <is>
          <t>Yes</t>
        </is>
      </c>
      <c r="G6" s="24">
        <f>IF(AND($E6="Yes",$F6="No"),'Settings'!$B$28,"")</f>
      </c>
      <c r="H6" s="24">
        <f>IF(AND(OR($D6="Cooked through",$D6="Pasteurized egg product"),$F6="No"),'Settings'!$B$29,"")</f>
      </c>
      <c r="I6" s="24">
        <f>IF(AND(G6="",H6=""),"",IF(G6="",H6,IF(H6="",G6,MIN(G6,H6))))</f>
      </c>
      <c r="J6" s="28" t="str">
        <f>IF(AND(G6="",H6=""),"Neither test applies: shelf-stable at room temperature, so it goes in the room-temperature case.",IF(AND(G6&lt;&gt;"",H6&lt;&gt;""),"Both tests apply and both limits are 41 °F (Food Code 3-501.16): no conflict, the same limit twice.",IF(G6&lt;&gt;"","Filled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6" s="24" t="str">
        <f>IF(AND(OR($D6="Cooked through",$D6="Pasteurized egg product"),$F6="No"),'Settings'!$B$30,"N/A")</f>
        <v>N/A</v>
      </c>
      <c r="L6" s="6" t="inlineStr">
        <is>
          <t>Declare in your food safety plan</t>
        </is>
      </c>
      <c r="M6" t="str">
        <f>IF(I6="","Room-temperature case","Refrigerated case")</f>
        <v>Room-temperature case</v>
      </c>
      <c r="N6" s="12" t="inlineStr">
        <is>
          <t>Shelf-stable route: the finished item is shelf-stable at room temperature (pH and water activity, Food Code 1-201.10), so it isn't TCS: no cold-holding limit and no date mark, even if it's filled.</t>
        </is>
      </c>
      <c r="O6" s="28">
        <f>IF(AND($D6="Shelf-stable",$F6="No"),"Mismatch: you chose the shelf-stable route and then said it isn't shelf-stable","")</f>
      </c>
    </row>
    <row r="7" ht="40" customHeight="1">
      <c r="A7" t="inlineStr">
        <is>
          <t>B2</t>
        </is>
      </c>
      <c r="B7" t="inlineStr">
        <is>
          <t>Pain au chocolat (chocolate croissant)</t>
        </is>
      </c>
      <c r="C7" t="inlineStr">
        <is>
          <t>Viennoiserie</t>
        </is>
      </c>
      <c r="D7" s="6" t="inlineStr">
        <is>
          <t>Shelf-stable</t>
        </is>
      </c>
      <c r="E7" s="6" t="inlineStr">
        <is>
          <t>No</t>
        </is>
      </c>
      <c r="F7" s="6" t="inlineStr">
        <is>
          <t>Yes</t>
        </is>
      </c>
      <c r="G7" s="24">
        <f>IF(AND($E7="Yes",$F7="No"),'Settings'!$B$28,"")</f>
      </c>
      <c r="H7" s="24">
        <f>IF(AND(OR($D7="Cooked through",$D7="Pasteurized egg product"),$F7="No"),'Settings'!$B$29,"")</f>
      </c>
      <c r="I7" s="24">
        <f>IF(AND(G7="",H7=""),"",IF(G7="",H7,IF(H7="",G7,MIN(G7,H7))))</f>
      </c>
      <c r="J7" s="28" t="str">
        <f>IF(AND(G7="",H7=""),"Neither test applies: shelf-stable at room temperature, so it goes in the room-temperature case.",IF(AND(G7&lt;&gt;"",H7&lt;&gt;""),"Both tests apply and both limits are 41 °F (Food Code 3-501.16): no conflict, the same limit twice.",IF(G7&lt;&gt;"","Filled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7" s="24" t="str">
        <f>IF(AND(OR($D7="Cooked through",$D7="Pasteurized egg product"),$F7="No"),'Settings'!$B$30,"N/A")</f>
        <v>N/A</v>
      </c>
      <c r="L7" s="6" t="inlineStr">
        <is>
          <t>Declare in your food safety plan</t>
        </is>
      </c>
      <c r="M7" t="str">
        <f>IF(I7="","Room-temperature case","Refrigerated case")</f>
        <v>Room-temperature case</v>
      </c>
      <c r="N7" s="12" t="inlineStr">
        <is>
          <t>Shelf-stable route: the finished item is shelf-stable at room temperature (pH and water activity, Food Code 1-201.10), so it isn't TCS: no cold-holding limit and no date mark, even if it's filled.</t>
        </is>
      </c>
      <c r="O7" s="28">
        <f>IF(AND($D7="Shelf-stable",$F7="No"),"Mismatch: you chose the shelf-stable route and then said it isn't shelf-stable","")</f>
      </c>
    </row>
    <row r="8" ht="40" customHeight="1">
      <c r="A8" t="inlineStr">
        <is>
          <t>B3</t>
        </is>
      </c>
      <c r="B8" t="inlineStr">
        <is>
          <t>Custard napolitana (cream-filled laminated pastry)</t>
        </is>
      </c>
      <c r="C8" t="inlineStr">
        <is>
          <t>Viennoiserie</t>
        </is>
      </c>
      <c r="D8" s="6" t="inlineStr">
        <is>
          <t>Cooked through</t>
        </is>
      </c>
      <c r="E8" s="6" t="inlineStr">
        <is>
          <t>Yes</t>
        </is>
      </c>
      <c r="F8" s="6" t="inlineStr">
        <is>
          <t>No</t>
        </is>
      </c>
      <c r="G8" s="24">
        <f>IF(AND($E8="Yes",$F8="No"),'Settings'!$B$28,"")</f>
        <v>41.0</v>
      </c>
      <c r="H8" s="24">
        <f>IF(AND(OR($D8="Cooked through",$D8="Pasteurized egg product"),$F8="No"),'Settings'!$B$29,"")</f>
        <v>41.0</v>
      </c>
      <c r="I8" s="24">
        <f>IF(AND(G8="",H8=""),"",IF(G8="",H8,IF(H8="",G8,MIN(G8,H8))))</f>
        <v>41.0</v>
      </c>
      <c r="J8" s="28" t="str">
        <f>IF(AND(G8="",H8=""),"Neither test applies: shelf-stable at room temperature, so it goes in the room-temperature case.",IF(AND(G8&lt;&gt;"",H8&lt;&gt;""),"Both tests apply and both limits are 41 °F (Food Code 3-501.16): no conflict, the same limit twice.",IF(G8&lt;&gt;"","Filled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8" s="24">
        <f>IF(AND(OR($D8="Cooked through",$D8="Pasteurized egg product"),$F8="No"),'Settings'!$B$30,"N/A")</f>
        <v>24.0</v>
      </c>
      <c r="L8" s="6" t="inlineStr">
        <is>
          <t>Declare in your food safety plan</t>
        </is>
      </c>
      <c r="M8" t="str">
        <f>IF(I8="","Room-temperature case","Refrigerated case")</f>
        <v>Refrigerated case</v>
      </c>
      <c r="N8" s="12" t="inlineStr">
        <is>
          <t>Egg cooked all the way through in the bake: the finished item carries no raw egg. Whether it needs cold depends on its pH and water activity (1-201.10).</t>
        </is>
      </c>
      <c r="O8" s="28">
        <f>IF(AND($D8="Shelf-stable",$F8="No"),"Mismatch: you chose the shelf-stable route and then said it isn't shelf-stable","")</f>
      </c>
    </row>
    <row r="9" ht="40" customHeight="1">
      <c r="A9" t="inlineStr">
        <is>
          <t>B4</t>
        </is>
      </c>
      <c r="B9" t="inlineStr">
        <is>
          <t>Palmier</t>
        </is>
      </c>
      <c r="C9" t="inlineStr">
        <is>
          <t>Viennoiserie</t>
        </is>
      </c>
      <c r="D9" s="6" t="inlineStr">
        <is>
          <t>No egg</t>
        </is>
      </c>
      <c r="E9" s="6" t="inlineStr">
        <is>
          <t>No</t>
        </is>
      </c>
      <c r="F9" s="6" t="inlineStr">
        <is>
          <t>Yes</t>
        </is>
      </c>
      <c r="G9" s="24">
        <f>IF(AND($E9="Yes",$F9="No"),'Settings'!$B$28,"")</f>
      </c>
      <c r="H9" s="24">
        <f>IF(AND(OR($D9="Cooked through",$D9="Pasteurized egg product"),$F9="No"),'Settings'!$B$29,"")</f>
      </c>
      <c r="I9" s="24">
        <f>IF(AND(G9="",H9=""),"",IF(G9="",H9,IF(H9="",G9,MIN(G9,H9))))</f>
      </c>
      <c r="J9" s="28" t="str">
        <f>IF(AND(G9="",H9=""),"Neither test applies: shelf-stable at room temperature, so it goes in the room-temperature case.",IF(AND(G9&lt;&gt;"",H9&lt;&gt;""),"Both tests apply and both limits are 41 °F (Food Code 3-501.16): no conflict, the same limit twice.",IF(G9&lt;&gt;"","Filled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9" s="24" t="str">
        <f>IF(AND(OR($D9="Cooked through",$D9="Pasteurized egg product"),$F9="No"),'Settings'!$B$30,"N/A")</f>
        <v>N/A</v>
      </c>
      <c r="L9" s="6" t="inlineStr">
        <is>
          <t>Declare in your food safety plan</t>
        </is>
      </c>
      <c r="M9" t="str">
        <f>IF(I9="","Room-temperature case","Refrigerated case")</f>
        <v>Room-temperature case</v>
      </c>
      <c r="N9" s="12" t="inlineStr">
        <is>
          <t>No egg in any form: the egg routes don't apply to it.</t>
        </is>
      </c>
      <c r="O9" s="28">
        <f>IF(AND($D9="Shelf-stable",$F9="No"),"Mismatch: you chose the shelf-stable route and then said it isn't shelf-stable","")</f>
      </c>
    </row>
    <row r="10" ht="40" customHeight="1">
      <c r="A10" t="inlineStr">
        <is>
          <t>B5</t>
        </is>
      </c>
      <c r="B10" t="inlineStr">
        <is>
          <t>Raisin snail (pain aux raisins)</t>
        </is>
      </c>
      <c r="C10" t="inlineStr">
        <is>
          <t>Viennoiserie</t>
        </is>
      </c>
      <c r="D10" s="6" t="inlineStr">
        <is>
          <t>Cooked through</t>
        </is>
      </c>
      <c r="E10" s="6" t="inlineStr">
        <is>
          <t>Yes</t>
        </is>
      </c>
      <c r="F10" s="6" t="inlineStr">
        <is>
          <t>No</t>
        </is>
      </c>
      <c r="G10" s="24">
        <f>IF(AND($E10="Yes",$F10="No"),'Settings'!$B$28,"")</f>
        <v>41.0</v>
      </c>
      <c r="H10" s="24">
        <f>IF(AND(OR($D10="Cooked through",$D10="Pasteurized egg product"),$F10="No"),'Settings'!$B$29,"")</f>
        <v>41.0</v>
      </c>
      <c r="I10" s="24">
        <f>IF(AND(G10="",H10=""),"",IF(G10="",H10,IF(H10="",G10,MIN(G10,H10))))</f>
        <v>41.0</v>
      </c>
      <c r="J10" s="28" t="str">
        <f>IF(AND(G10="",H10=""),"Neither test applies: shelf-stable at room temperature, so it goes in the room-temperature case.",IF(AND(G10&lt;&gt;"",H10&lt;&gt;""),"Both tests apply and both limits are 41 °F (Food Code 3-501.16): no conflict, the same limit twice.",IF(G10&lt;&gt;"","Filled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0" s="24">
        <f>IF(AND(OR($D10="Cooked through",$D10="Pasteurized egg product"),$F10="No"),'Settings'!$B$30,"N/A")</f>
        <v>24.0</v>
      </c>
      <c r="L10" s="6" t="inlineStr">
        <is>
          <t>Declare in your food safety plan</t>
        </is>
      </c>
      <c r="M10" t="str">
        <f>IF(I10="","Room-temperature case","Refrigerated case")</f>
        <v>Refrigerated case</v>
      </c>
      <c r="N10" s="12" t="inlineStr">
        <is>
          <t>Egg cooked all the way through in the bake: the finished item carries no raw egg. Whether it needs cold depends on its pH and water activity (1-201.10).</t>
        </is>
      </c>
      <c r="O10" s="28">
        <f>IF(AND($D10="Shelf-stable",$F10="No"),"Mismatch: you chose the shelf-stable route and then said it isn't shelf-stable","")</f>
      </c>
    </row>
    <row r="11" ht="40" customHeight="1">
      <c r="A11" t="inlineStr">
        <is>
          <t>B6</t>
        </is>
      </c>
      <c r="B11" t="inlineStr">
        <is>
          <t>Ensaïmada (Mallorcan spiral pastry)</t>
        </is>
      </c>
      <c r="C11" t="inlineStr">
        <is>
          <t>Viennoiserie</t>
        </is>
      </c>
      <c r="D11" s="6" t="inlineStr">
        <is>
          <t>Shelf-stable</t>
        </is>
      </c>
      <c r="E11" s="6" t="inlineStr">
        <is>
          <t>No</t>
        </is>
      </c>
      <c r="F11" s="6" t="inlineStr">
        <is>
          <t>Yes</t>
        </is>
      </c>
      <c r="G11" s="24">
        <f>IF(AND($E11="Yes",$F11="No"),'Settings'!$B$28,"")</f>
      </c>
      <c r="H11" s="24">
        <f>IF(AND(OR($D11="Cooked through",$D11="Pasteurized egg product"),$F11="No"),'Settings'!$B$29,"")</f>
      </c>
      <c r="I11" s="24">
        <f>IF(AND(G11="",H11=""),"",IF(G11="",H11,IF(H11="",G11,MIN(G11,H11))))</f>
      </c>
      <c r="J11" s="28" t="str">
        <f>IF(AND(G11="",H11=""),"Neither test applies: shelf-stable at room temperature, so it goes in the room-temperature case.",IF(AND(G11&lt;&gt;"",H11&lt;&gt;""),"Both tests apply and both limits are 41 °F (Food Code 3-501.16): no conflict, the same limit twice.",IF(G11&lt;&gt;"","Filled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11" s="24" t="str">
        <f>IF(AND(OR($D11="Cooked through",$D11="Pasteurized egg product"),$F11="No"),'Settings'!$B$30,"N/A")</f>
        <v>N/A</v>
      </c>
      <c r="L11" s="6" t="inlineStr">
        <is>
          <t>Declare in your food safety plan</t>
        </is>
      </c>
      <c r="M11" t="str">
        <f>IF(I11="","Room-temperature case","Refrigerated case")</f>
        <v>Room-temperature case</v>
      </c>
      <c r="N11" s="12" t="inlineStr">
        <is>
          <t>Shelf-stable route: the finished item is shelf-stable at room temperature (pH and water activity, Food Code 1-201.10), so it isn't TCS: no cold-holding limit and no date mark, even if it's filled.</t>
        </is>
      </c>
      <c r="O11" s="28">
        <f>IF(AND($D11="Shelf-stable",$F11="No"),"Mismatch: you chose the shelf-stable route and then said it isn't shelf-stable","")</f>
      </c>
    </row>
    <row r="12" ht="40" customHeight="1">
      <c r="A12" t="inlineStr">
        <is>
          <t>PI1</t>
        </is>
      </c>
      <c r="B12" t="inlineStr">
        <is>
          <t>Napoleon (mille-feuille)</t>
        </is>
      </c>
      <c r="C12" t="inlineStr">
        <is>
          <t>Individual pastries</t>
        </is>
      </c>
      <c r="D12" s="6" t="inlineStr">
        <is>
          <t>Cooked through</t>
        </is>
      </c>
      <c r="E12" s="6" t="inlineStr">
        <is>
          <t>Yes</t>
        </is>
      </c>
      <c r="F12" s="6" t="inlineStr">
        <is>
          <t>No</t>
        </is>
      </c>
      <c r="G12" s="24">
        <f>IF(AND($E12="Yes",$F12="No"),'Settings'!$B$28,"")</f>
        <v>41.0</v>
      </c>
      <c r="H12" s="24">
        <f>IF(AND(OR($D12="Cooked through",$D12="Pasteurized egg product"),$F12="No"),'Settings'!$B$29,"")</f>
        <v>41.0</v>
      </c>
      <c r="I12" s="24">
        <f>IF(AND(G12="",H12=""),"",IF(G12="",H12,IF(H12="",G12,MIN(G12,H12))))</f>
        <v>41.0</v>
      </c>
      <c r="J12" s="28" t="str">
        <f>IF(AND(G12="",H12=""),"Neither test applies: shelf-stable at room temperature, so it goes in the room-temperature case.",IF(AND(G12&lt;&gt;"",H12&lt;&gt;""),"Both tests apply and both limits are 41 °F (Food Code 3-501.16): no conflict, the same limit twice.",IF(G12&lt;&gt;"","Filled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2" s="24">
        <f>IF(AND(OR($D12="Cooked through",$D12="Pasteurized egg product"),$F12="No"),'Settings'!$B$30,"N/A")</f>
        <v>24.0</v>
      </c>
      <c r="L12" s="6" t="inlineStr">
        <is>
          <t>Declare in your food safety plan</t>
        </is>
      </c>
      <c r="M12" t="str">
        <f>IF(I12="","Room-temperature case","Refrigerated case")</f>
        <v>Refrigerated case</v>
      </c>
      <c r="N12" s="12" t="inlineStr">
        <is>
          <t>Egg cooked all the way through in the bake: the finished item carries no raw egg. Whether it needs cold depends on its pH and water activity (1-201.10).</t>
        </is>
      </c>
      <c r="O12" s="28">
        <f>IF(AND($D12="Shelf-stable",$F12="No"),"Mismatch: you chose the shelf-stable route and then said it isn't shelf-stable","")</f>
      </c>
    </row>
    <row r="13" ht="40" customHeight="1">
      <c r="A13" t="inlineStr">
        <is>
          <t>PI2</t>
        </is>
      </c>
      <c r="B13" t="inlineStr">
        <is>
          <t>Éclair</t>
        </is>
      </c>
      <c r="C13" t="inlineStr">
        <is>
          <t>Individual pastries</t>
        </is>
      </c>
      <c r="D13" s="6" t="inlineStr">
        <is>
          <t>Cooked through</t>
        </is>
      </c>
      <c r="E13" s="6" t="inlineStr">
        <is>
          <t>Yes</t>
        </is>
      </c>
      <c r="F13" s="6" t="inlineStr">
        <is>
          <t>No</t>
        </is>
      </c>
      <c r="G13" s="24">
        <f>IF(AND($E13="Yes",$F13="No"),'Settings'!$B$28,"")</f>
        <v>41.0</v>
      </c>
      <c r="H13" s="24">
        <f>IF(AND(OR($D13="Cooked through",$D13="Pasteurized egg product"),$F13="No"),'Settings'!$B$29,"")</f>
        <v>41.0</v>
      </c>
      <c r="I13" s="24">
        <f>IF(AND(G13="",H13=""),"",IF(G13="",H13,IF(H13="",G13,MIN(G13,H13))))</f>
        <v>41.0</v>
      </c>
      <c r="J13" s="28" t="str">
        <f>IF(AND(G13="",H13=""),"Neither test applies: shelf-stable at room temperature, so it goes in the room-temperature case.",IF(AND(G13&lt;&gt;"",H13&lt;&gt;""),"Both tests apply and both limits are 41 °F (Food Code 3-501.16): no conflict, the same limit twice.",IF(G13&lt;&gt;"","Filled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3" s="24">
        <f>IF(AND(OR($D13="Cooked through",$D13="Pasteurized egg product"),$F13="No"),'Settings'!$B$30,"N/A")</f>
        <v>24.0</v>
      </c>
      <c r="L13" s="6" t="inlineStr">
        <is>
          <t>Declare in your food safety plan</t>
        </is>
      </c>
      <c r="M13" t="str">
        <f>IF(I13="","Room-temperature case","Refrigerated case")</f>
        <v>Refrigerated case</v>
      </c>
      <c r="N13" s="12" t="inlineStr">
        <is>
          <t>Egg cooked all the way through in the bake: the finished item carries no raw egg. Whether it needs cold depends on its pH and water activity (1-201.10).</t>
        </is>
      </c>
      <c r="O13" s="28">
        <f>IF(AND($D13="Shelf-stable",$F13="No"),"Mismatch: you chose the shelf-stable route and then said it isn't shelf-stable","")</f>
      </c>
    </row>
    <row r="14" ht="40" customHeight="1">
      <c r="A14" t="inlineStr">
        <is>
          <t>PI3</t>
        </is>
      </c>
      <c r="B14" t="inlineStr">
        <is>
          <t>Raspberry macarons</t>
        </is>
      </c>
      <c r="C14" t="inlineStr">
        <is>
          <t>Individual pastries</t>
        </is>
      </c>
      <c r="D14" s="6" t="inlineStr">
        <is>
          <t>Cooked through</t>
        </is>
      </c>
      <c r="E14" s="6" t="inlineStr">
        <is>
          <t>Yes</t>
        </is>
      </c>
      <c r="F14" s="6" t="inlineStr">
        <is>
          <t>No</t>
        </is>
      </c>
      <c r="G14" s="24">
        <f>IF(AND($E14="Yes",$F14="No"),'Settings'!$B$28,"")</f>
        <v>41.0</v>
      </c>
      <c r="H14" s="24">
        <f>IF(AND(OR($D14="Cooked through",$D14="Pasteurized egg product"),$F14="No"),'Settings'!$B$29,"")</f>
        <v>41.0</v>
      </c>
      <c r="I14" s="24">
        <f>IF(AND(G14="",H14=""),"",IF(G14="",H14,IF(H14="",G14,MIN(G14,H14))))</f>
        <v>41.0</v>
      </c>
      <c r="J14" s="28" t="str">
        <f>IF(AND(G14="",H14=""),"Neither test applies: shelf-stable at room temperature, so it goes in the room-temperature case.",IF(AND(G14&lt;&gt;"",H14&lt;&gt;""),"Both tests apply and both limits are 41 °F (Food Code 3-501.16): no conflict, the same limit twice.",IF(G14&lt;&gt;"","Filled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4" s="24">
        <f>IF(AND(OR($D14="Cooked through",$D14="Pasteurized egg product"),$F14="No"),'Settings'!$B$30,"N/A")</f>
        <v>24.0</v>
      </c>
      <c r="L14" s="6" t="inlineStr">
        <is>
          <t>Declare in your food safety plan</t>
        </is>
      </c>
      <c r="M14" t="str">
        <f>IF(I14="","Room-temperature case","Refrigerated case")</f>
        <v>Refrigerated case</v>
      </c>
      <c r="N14" s="12" t="inlineStr">
        <is>
          <t>Egg cooked all the way through in the bake: the finished item carries no raw egg. Whether it needs cold depends on its pH and water activity (1-201.10).</t>
        </is>
      </c>
      <c r="O14" s="28">
        <f>IF(AND($D14="Shelf-stable",$F14="No"),"Mismatch: you chose the shelf-stable route and then said it isn't shelf-stable","")</f>
      </c>
    </row>
    <row r="15" ht="40" customHeight="1">
      <c r="A15" t="inlineStr">
        <is>
          <t>PI4</t>
        </is>
      </c>
      <c r="B15" t="inlineStr">
        <is>
          <t>Fruit tart</t>
        </is>
      </c>
      <c r="C15" t="inlineStr">
        <is>
          <t>Individual pastries</t>
        </is>
      </c>
      <c r="D15" s="6" t="inlineStr">
        <is>
          <t>Cooked through</t>
        </is>
      </c>
      <c r="E15" s="6" t="inlineStr">
        <is>
          <t>Yes</t>
        </is>
      </c>
      <c r="F15" s="6" t="inlineStr">
        <is>
          <t>No</t>
        </is>
      </c>
      <c r="G15" s="24">
        <f>IF(AND($E15="Yes",$F15="No"),'Settings'!$B$28,"")</f>
        <v>41.0</v>
      </c>
      <c r="H15" s="24">
        <f>IF(AND(OR($D15="Cooked through",$D15="Pasteurized egg product"),$F15="No"),'Settings'!$B$29,"")</f>
        <v>41.0</v>
      </c>
      <c r="I15" s="24">
        <f>IF(AND(G15="",H15=""),"",IF(G15="",H15,IF(H15="",G15,MIN(G15,H15))))</f>
        <v>41.0</v>
      </c>
      <c r="J15" s="28" t="str">
        <f>IF(AND(G15="",H15=""),"Neither test applies: shelf-stable at room temperature, so it goes in the room-temperature case.",IF(AND(G15&lt;&gt;"",H15&lt;&gt;""),"Both tests apply and both limits are 41 °F (Food Code 3-501.16): no conflict, the same limit twice.",IF(G15&lt;&gt;"","Filled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5" s="24">
        <f>IF(AND(OR($D15="Cooked through",$D15="Pasteurized egg product"),$F15="No"),'Settings'!$B$30,"N/A")</f>
        <v>24.0</v>
      </c>
      <c r="L15" s="6" t="inlineStr">
        <is>
          <t>Declare in your food safety plan</t>
        </is>
      </c>
      <c r="M15" t="str">
        <f>IF(I15="","Room-temperature case","Refrigerated case")</f>
        <v>Refrigerated case</v>
      </c>
      <c r="N15" s="12" t="inlineStr">
        <is>
          <t>Egg cooked all the way through in the bake: the finished item carries no raw egg. Whether it needs cold depends on its pH and water activity (1-201.10).</t>
        </is>
      </c>
      <c r="O15" s="28">
        <f>IF(AND($D15="Shelf-stable",$F15="No"),"Mismatch: you chose the shelf-stable route and then said it isn't shelf-stable","")</f>
      </c>
    </row>
    <row r="16" ht="40" customHeight="1">
      <c r="A16" t="inlineStr">
        <is>
          <t>PI5</t>
        </is>
      </c>
      <c r="B16" t="inlineStr">
        <is>
          <t>Cream puff (profiterole)</t>
        </is>
      </c>
      <c r="C16" t="inlineStr">
        <is>
          <t>Individual pastries</t>
        </is>
      </c>
      <c r="D16" s="6" t="inlineStr">
        <is>
          <t>Cooked through</t>
        </is>
      </c>
      <c r="E16" s="6" t="inlineStr">
        <is>
          <t>Yes</t>
        </is>
      </c>
      <c r="F16" s="6" t="inlineStr">
        <is>
          <t>No</t>
        </is>
      </c>
      <c r="G16" s="24">
        <f>IF(AND($E16="Yes",$F16="No"),'Settings'!$B$28,"")</f>
        <v>41.0</v>
      </c>
      <c r="H16" s="24">
        <f>IF(AND(OR($D16="Cooked through",$D16="Pasteurized egg product"),$F16="No"),'Settings'!$B$29,"")</f>
        <v>41.0</v>
      </c>
      <c r="I16" s="24">
        <f>IF(AND(G16="",H16=""),"",IF(G16="",H16,IF(H16="",G16,MIN(G16,H16))))</f>
        <v>41.0</v>
      </c>
      <c r="J16" s="28" t="str">
        <f>IF(AND(G16="",H16=""),"Neither test applies: shelf-stable at room temperature, so it goes in the room-temperature case.",IF(AND(G16&lt;&gt;"",H16&lt;&gt;""),"Both tests apply and both limits are 41 °F (Food Code 3-501.16): no conflict, the same limit twice.",IF(G16&lt;&gt;"","Filled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6" s="24">
        <f>IF(AND(OR($D16="Cooked through",$D16="Pasteurized egg product"),$F16="No"),'Settings'!$B$30,"N/A")</f>
        <v>24.0</v>
      </c>
      <c r="L16" s="6" t="inlineStr">
        <is>
          <t>Declare in your food safety plan</t>
        </is>
      </c>
      <c r="M16" t="str">
        <f>IF(I16="","Room-temperature case","Refrigerated case")</f>
        <v>Refrigerated case</v>
      </c>
      <c r="N16" s="12" t="inlineStr">
        <is>
          <t>Egg cooked all the way through in the bake: the finished item carries no raw egg. Whether it needs cold depends on its pH and water activity (1-201.10).</t>
        </is>
      </c>
      <c r="O16" s="28">
        <f>IF(AND($D16="Shelf-stable",$F16="No"),"Mismatch: you chose the shelf-stable route and then said it isn't shelf-stable","")</f>
      </c>
    </row>
    <row r="17" ht="40" customHeight="1">
      <c r="A17" t="inlineStr">
        <is>
          <t>PI6</t>
        </is>
      </c>
      <c r="B17" t="inlineStr">
        <is>
          <t>Individual entremet (mousse cake)</t>
        </is>
      </c>
      <c r="C17" t="inlineStr">
        <is>
          <t>Individual pastries</t>
        </is>
      </c>
      <c r="D17" s="6" t="inlineStr">
        <is>
          <t>Pasteurized egg product</t>
        </is>
      </c>
      <c r="E17" s="6" t="inlineStr">
        <is>
          <t>Yes</t>
        </is>
      </c>
      <c r="F17" s="6" t="inlineStr">
        <is>
          <t>No</t>
        </is>
      </c>
      <c r="G17" s="24">
        <f>IF(AND($E17="Yes",$F17="No"),'Settings'!$B$28,"")</f>
        <v>41.0</v>
      </c>
      <c r="H17" s="24">
        <f>IF(AND(OR($D17="Cooked through",$D17="Pasteurized egg product"),$F17="No"),'Settings'!$B$29,"")</f>
        <v>41.0</v>
      </c>
      <c r="I17" s="24">
        <f>IF(AND(G17="",H17=""),"",IF(G17="",H17,IF(H17="",G17,MIN(G17,H17))))</f>
        <v>41.0</v>
      </c>
      <c r="J17" s="28" t="str">
        <f>IF(AND(G17="",H17=""),"Neither test applies: shelf-stable at room temperature, so it goes in the room-temperature case.",IF(AND(G17&lt;&gt;"",H17&lt;&gt;""),"Both tests apply and both limits are 41 °F (Food Code 3-501.16): no conflict, the same limit twice.",IF(G17&lt;&gt;"","Filled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7" s="24">
        <f>IF(AND(OR($D17="Cooked through",$D17="Pasteurized egg product"),$F17="No"),'Settings'!$B$30,"N/A")</f>
        <v>24.0</v>
      </c>
      <c r="L17" s="6" t="inlineStr">
        <is>
          <t>Declare in your food safety plan</t>
        </is>
      </c>
      <c r="M17" t="str">
        <f>IF(I17="","Room-temperature case","Refrigerated case")</f>
        <v>Refrigerated case</v>
      </c>
      <c r="N17" s="12" t="inlineStr">
        <is>
          <t>The item doesn't go through heat after the egg goes in, so raw shell egg is replaced with pasteurized egg product.</t>
        </is>
      </c>
      <c r="O17" s="28">
        <f>IF(AND($D17="Shelf-stable",$F17="No"),"Mismatch: you chose the shelf-stable route and then said it isn't shelf-stable","")</f>
      </c>
    </row>
    <row r="18" ht="40" customHeight="1">
      <c r="A18" t="inlineStr">
        <is>
          <t>T1</t>
        </is>
      </c>
      <c r="B18" t="inlineStr">
        <is>
          <t>70% dark chocolate cake</t>
        </is>
      </c>
      <c r="C18" t="inlineStr">
        <is>
          <t>Cakes and entremets</t>
        </is>
      </c>
      <c r="D18" s="6" t="inlineStr">
        <is>
          <t>Cooked through</t>
        </is>
      </c>
      <c r="E18" s="6" t="inlineStr">
        <is>
          <t>Yes</t>
        </is>
      </c>
      <c r="F18" s="6" t="inlineStr">
        <is>
          <t>No</t>
        </is>
      </c>
      <c r="G18" s="24">
        <f>IF(AND($E18="Yes",$F18="No"),'Settings'!$B$28,"")</f>
        <v>41.0</v>
      </c>
      <c r="H18" s="24">
        <f>IF(AND(OR($D18="Cooked through",$D18="Pasteurized egg product"),$F18="No"),'Settings'!$B$29,"")</f>
        <v>41.0</v>
      </c>
      <c r="I18" s="24">
        <f>IF(AND(G18="",H18=""),"",IF(G18="",H18,IF(H18="",G18,MIN(G18,H18))))</f>
        <v>41.0</v>
      </c>
      <c r="J18" s="28" t="str">
        <f>IF(AND(G18="",H18=""),"Neither test applies: shelf-stable at room temperature, so it goes in the room-temperature case.",IF(AND(G18&lt;&gt;"",H18&lt;&gt;""),"Both tests apply and both limits are 41 °F (Food Code 3-501.16): no conflict, the same limit twice.",IF(G18&lt;&gt;"","Filled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18" s="24">
        <f>IF(AND(OR($D18="Cooked through",$D18="Pasteurized egg product"),$F18="No"),'Settings'!$B$30,"N/A")</f>
        <v>24.0</v>
      </c>
      <c r="L18" s="6" t="inlineStr">
        <is>
          <t>Declare in your food safety plan</t>
        </is>
      </c>
      <c r="M18" t="str">
        <f>IF(I18="","Room-temperature case","Refrigerated case")</f>
        <v>Refrigerated case</v>
      </c>
      <c r="N18" s="12" t="inlineStr">
        <is>
          <t>Egg cooked all the way through in the bake: the finished item carries no raw egg. Whether it needs cold depends on its pH and water activity (1-201.10).</t>
        </is>
      </c>
      <c r="O18" s="28">
        <f>IF(AND($D18="Shelf-stable",$F18="No"),"Mismatch: you chose the shelf-stable route and then said it isn't shelf-stable","")</f>
      </c>
    </row>
    <row r="19" ht="40" customHeight="1">
      <c r="A19" t="inlineStr">
        <is>
          <t>T2</t>
        </is>
      </c>
      <c r="B19" t="inlineStr">
        <is>
          <t>Cheesecake</t>
        </is>
      </c>
      <c r="C19" t="inlineStr">
        <is>
          <t>Cakes and entremets</t>
        </is>
      </c>
      <c r="D19" s="6" t="inlineStr">
        <is>
          <t>Cooked through</t>
        </is>
      </c>
      <c r="E19" s="6" t="inlineStr">
        <is>
          <t>No</t>
        </is>
      </c>
      <c r="F19" s="6" t="inlineStr">
        <is>
          <t>No</t>
        </is>
      </c>
      <c r="G19" s="24">
        <f>IF(AND($E19="Yes",$F19="No"),'Settings'!$B$28,"")</f>
      </c>
      <c r="H19" s="24">
        <f>IF(AND(OR($D19="Cooked through",$D19="Pasteurized egg product"),$F19="No"),'Settings'!$B$29,"")</f>
        <v>41.0</v>
      </c>
      <c r="I19" s="24">
        <f>IF(AND(G19="",H19=""),"",IF(G19="",H19,IF(H19="",G19,MIN(G19,H19))))</f>
        <v>41.0</v>
      </c>
      <c r="J19" s="28" t="str">
        <f>IF(AND(G19="",H19=""),"Neither test applies: shelf-stable at room temperature, so it goes in the room-temperature case.",IF(AND(G19&lt;&gt;"",H19&lt;&gt;""),"Both tests apply and both limits are 41 °F (Food Code 3-501.16): no conflict, the same limit twice.",IF(G19&lt;&gt;"","Filled and not shelf-stable at room temperature: TCS food, hold at 41 °F or below (3-501.16).","Its egg route leaves it needing cold (cooked through or pasteurized egg product, not shelf-stable): TCS food, hold at 41 °F or below (3-501.16).")))</f>
        <v>Its egg route leaves it needing cold (cooked through or pasteurized egg product, not shelf-stable): TCS food, hold at 41 °F or below (3-501.16).</v>
      </c>
      <c r="K19" s="24">
        <f>IF(AND(OR($D19="Cooked through",$D19="Pasteurized egg product"),$F19="No"),'Settings'!$B$30,"N/A")</f>
        <v>24.0</v>
      </c>
      <c r="L19" s="6" t="inlineStr">
        <is>
          <t>Declare in your food safety plan</t>
        </is>
      </c>
      <c r="M19" t="str">
        <f>IF(I19="","Room-temperature case","Refrigerated case")</f>
        <v>Refrigerated case</v>
      </c>
      <c r="N19" s="12" t="inlineStr">
        <is>
          <t>Egg cooked all the way through in the bake: the finished item carries no raw egg. Whether it needs cold depends on its pH and water activity (1-201.10).</t>
        </is>
      </c>
      <c r="O19" s="28">
        <f>IF(AND($D19="Shelf-stable",$F19="No"),"Mismatch: you chose the shelf-stable route and then said it isn't shelf-stable","")</f>
      </c>
    </row>
    <row r="20" ht="40" customHeight="1">
      <c r="A20" t="inlineStr">
        <is>
          <t>T3</t>
        </is>
      </c>
      <c r="B20" t="inlineStr">
        <is>
          <t>Apple tart</t>
        </is>
      </c>
      <c r="C20" t="inlineStr">
        <is>
          <t>Cakes and entremets</t>
        </is>
      </c>
      <c r="D20" s="6" t="inlineStr">
        <is>
          <t>Shelf-stable</t>
        </is>
      </c>
      <c r="E20" s="6" t="inlineStr">
        <is>
          <t>No</t>
        </is>
      </c>
      <c r="F20" s="6" t="inlineStr">
        <is>
          <t>Yes</t>
        </is>
      </c>
      <c r="G20" s="24">
        <f>IF(AND($E20="Yes",$F20="No"),'Settings'!$B$28,"")</f>
      </c>
      <c r="H20" s="24">
        <f>IF(AND(OR($D20="Cooked through",$D20="Pasteurized egg product"),$F20="No"),'Settings'!$B$29,"")</f>
      </c>
      <c r="I20" s="24">
        <f>IF(AND(G20="",H20=""),"",IF(G20="",H20,IF(H20="",G20,MIN(G20,H20))))</f>
      </c>
      <c r="J20" s="28" t="str">
        <f>IF(AND(G20="",H20=""),"Neither test applies: shelf-stable at room temperature, so it goes in the room-temperature case.",IF(AND(G20&lt;&gt;"",H20&lt;&gt;""),"Both tests apply and both limits are 41 °F (Food Code 3-501.16): no conflict, the same limit twice.",IF(G20&lt;&gt;"","Filled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20" s="24" t="str">
        <f>IF(AND(OR($D20="Cooked through",$D20="Pasteurized egg product"),$F20="No"),'Settings'!$B$30,"N/A")</f>
        <v>N/A</v>
      </c>
      <c r="L20" s="6" t="inlineStr">
        <is>
          <t>Declare in your food safety plan</t>
        </is>
      </c>
      <c r="M20" t="str">
        <f>IF(I20="","Room-temperature case","Refrigerated case")</f>
        <v>Room-temperature case</v>
      </c>
      <c r="N20" s="12" t="inlineStr">
        <is>
          <t>Shelf-stable route: the finished item is shelf-stable at room temperature (pH and water activity, Food Code 1-201.10), so it isn't TCS: no cold-holding limit and no date mark, even if it's filled.</t>
        </is>
      </c>
      <c r="O20" s="28">
        <f>IF(AND($D20="Shelf-stable",$F20="No"),"Mismatch: you chose the shelf-stable route and then said it isn't shelf-stable","")</f>
      </c>
    </row>
    <row r="21" ht="40" customHeight="1">
      <c r="A21" t="inlineStr">
        <is>
          <t>T4</t>
        </is>
      </c>
      <c r="B21" t="inlineStr">
        <is>
          <t>Carrot cake</t>
        </is>
      </c>
      <c r="C21" t="inlineStr">
        <is>
          <t>Cakes and entremets</t>
        </is>
      </c>
      <c r="D21" s="6" t="inlineStr">
        <is>
          <t>Cooked through</t>
        </is>
      </c>
      <c r="E21" s="6" t="inlineStr">
        <is>
          <t>Yes</t>
        </is>
      </c>
      <c r="F21" s="6" t="inlineStr">
        <is>
          <t>No</t>
        </is>
      </c>
      <c r="G21" s="24">
        <f>IF(AND($E21="Yes",$F21="No"),'Settings'!$B$28,"")</f>
        <v>41.0</v>
      </c>
      <c r="H21" s="24">
        <f>IF(AND(OR($D21="Cooked through",$D21="Pasteurized egg product"),$F21="No"),'Settings'!$B$29,"")</f>
        <v>41.0</v>
      </c>
      <c r="I21" s="24">
        <f>IF(AND(G21="",H21=""),"",IF(G21="",H21,IF(H21="",G21,MIN(G21,H21))))</f>
        <v>41.0</v>
      </c>
      <c r="J21" s="28" t="str">
        <f>IF(AND(G21="",H21=""),"Neither test applies: shelf-stable at room temperature, so it goes in the room-temperature case.",IF(AND(G21&lt;&gt;"",H21&lt;&gt;""),"Both tests apply and both limits are 41 °F (Food Code 3-501.16): no conflict, the same limit twice.",IF(G21&lt;&gt;"","Filled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21" s="24">
        <f>IF(AND(OR($D21="Cooked through",$D21="Pasteurized egg product"),$F21="No"),'Settings'!$B$30,"N/A")</f>
        <v>24.0</v>
      </c>
      <c r="L21" s="6" t="inlineStr">
        <is>
          <t>Declare in your food safety plan</t>
        </is>
      </c>
      <c r="M21" t="str">
        <f>IF(I21="","Room-temperature case","Refrigerated case")</f>
        <v>Refrigerated case</v>
      </c>
      <c r="N21" s="12" t="inlineStr">
        <is>
          <t>Egg cooked all the way through in the bake: the finished item carries no raw egg. Whether it needs cold depends on its pH and water activity (1-201.10).</t>
        </is>
      </c>
      <c r="O21" s="28">
        <f>IF(AND($D21="Shelf-stable",$F21="No"),"Mismatch: you chose the shelf-stable route and then said it isn't shelf-stable","")</f>
      </c>
    </row>
    <row r="22" ht="40" customHeight="1">
      <c r="A22" t="inlineStr">
        <is>
          <t>T5</t>
        </is>
      </c>
      <c r="B22" t="inlineStr">
        <is>
          <t>Sachertorte</t>
        </is>
      </c>
      <c r="C22" t="inlineStr">
        <is>
          <t>Cakes and entremets</t>
        </is>
      </c>
      <c r="D22" s="6" t="inlineStr">
        <is>
          <t>Shelf-stable</t>
        </is>
      </c>
      <c r="E22" s="6" t="inlineStr">
        <is>
          <t>Yes</t>
        </is>
      </c>
      <c r="F22" s="6" t="inlineStr">
        <is>
          <t>Yes</t>
        </is>
      </c>
      <c r="G22" s="24">
        <f>IF(AND($E22="Yes",$F22="No"),'Settings'!$B$28,"")</f>
      </c>
      <c r="H22" s="24">
        <f>IF(AND(OR($D22="Cooked through",$D22="Pasteurized egg product"),$F22="No"),'Settings'!$B$29,"")</f>
      </c>
      <c r="I22" s="24">
        <f>IF(AND(G22="",H22=""),"",IF(G22="",H22,IF(H22="",G22,MIN(G22,H22))))</f>
      </c>
      <c r="J22" s="28" t="str">
        <f>IF(AND(G22="",H22=""),"Neither test applies: shelf-stable at room temperature, so it goes in the room-temperature case.",IF(AND(G22&lt;&gt;"",H22&lt;&gt;""),"Both tests apply and both limits are 41 °F (Food Code 3-501.16): no conflict, the same limit twice.",IF(G22&lt;&gt;"","Filled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22" s="24" t="str">
        <f>IF(AND(OR($D22="Cooked through",$D22="Pasteurized egg product"),$F22="No"),'Settings'!$B$30,"N/A")</f>
        <v>N/A</v>
      </c>
      <c r="L22" s="6" t="inlineStr">
        <is>
          <t>Declare in your food safety plan</t>
        </is>
      </c>
      <c r="M22" t="str">
        <f>IF(I22="","Room-temperature case","Refrigerated case")</f>
        <v>Room-temperature case</v>
      </c>
      <c r="N22" s="12" t="inlineStr">
        <is>
          <t>Shelf-stable route: the finished item is shelf-stable at room temperature (pH and water activity, Food Code 1-201.10), so it isn't TCS: no cold-holding limit and no date mark, even if it's filled.</t>
        </is>
      </c>
      <c r="O22" s="28">
        <f>IF(AND($D22="Shelf-stable",$F22="No"),"Mismatch: you chose the shelf-stable route and then said it isn't shelf-stable","")</f>
      </c>
    </row>
    <row r="23" ht="40" customHeight="1">
      <c r="A23" t="inlineStr">
        <is>
          <t>T6</t>
        </is>
      </c>
      <c r="B23" t="inlineStr">
        <is>
          <t>Strawberries &amp; cream cake</t>
        </is>
      </c>
      <c r="C23" t="inlineStr">
        <is>
          <t>Cakes and entremets</t>
        </is>
      </c>
      <c r="D23" s="6" t="inlineStr">
        <is>
          <t>Cooked through</t>
        </is>
      </c>
      <c r="E23" s="6" t="inlineStr">
        <is>
          <t>Yes</t>
        </is>
      </c>
      <c r="F23" s="6" t="inlineStr">
        <is>
          <t>No</t>
        </is>
      </c>
      <c r="G23" s="24">
        <f>IF(AND($E23="Yes",$F23="No"),'Settings'!$B$28,"")</f>
        <v>41.0</v>
      </c>
      <c r="H23" s="24">
        <f>IF(AND(OR($D23="Cooked through",$D23="Pasteurized egg product"),$F23="No"),'Settings'!$B$29,"")</f>
        <v>41.0</v>
      </c>
      <c r="I23" s="24">
        <f>IF(AND(G23="",H23=""),"",IF(G23="",H23,IF(H23="",G23,MIN(G23,H23))))</f>
        <v>41.0</v>
      </c>
      <c r="J23" s="28" t="str">
        <f>IF(AND(G23="",H23=""),"Neither test applies: shelf-stable at room temperature, so it goes in the room-temperature case.",IF(AND(G23&lt;&gt;"",H23&lt;&gt;""),"Both tests apply and both limits are 41 °F (Food Code 3-501.16): no conflict, the same limit twice.",IF(G23&lt;&gt;"","Filled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23" s="24">
        <f>IF(AND(OR($D23="Cooked through",$D23="Pasteurized egg product"),$F23="No"),'Settings'!$B$30,"N/A")</f>
        <v>24.0</v>
      </c>
      <c r="L23" s="6" t="inlineStr">
        <is>
          <t>Declare in your food safety plan</t>
        </is>
      </c>
      <c r="M23" t="str">
        <f>IF(I23="","Room-temperature case","Refrigerated case")</f>
        <v>Refrigerated case</v>
      </c>
      <c r="N23" s="12" t="inlineStr">
        <is>
          <t>Egg cooked all the way through in the bake: the finished item carries no raw egg. Whether it needs cold depends on its pH and water activity (1-201.10).</t>
        </is>
      </c>
      <c r="O23" s="28">
        <f>IF(AND($D23="Shelf-stable",$F23="No"),"Mismatch: you chose the shelf-stable route and then said it isn't shelf-stable","")</f>
      </c>
    </row>
    <row r="24" ht="40" customHeight="1">
      <c r="A24" t="inlineStr">
        <is>
          <t>PA1</t>
        </is>
      </c>
      <c r="B24" t="inlineStr">
        <is>
          <t>Baguette</t>
        </is>
      </c>
      <c r="C24" t="inlineStr">
        <is>
          <t>Breads</t>
        </is>
      </c>
      <c r="D24" s="6" t="inlineStr">
        <is>
          <t>No egg</t>
        </is>
      </c>
      <c r="E24" s="6" t="inlineStr">
        <is>
          <t>No</t>
        </is>
      </c>
      <c r="F24" s="6" t="inlineStr">
        <is>
          <t>Yes</t>
        </is>
      </c>
      <c r="G24" s="24">
        <f>IF(AND($E24="Yes",$F24="No"),'Settings'!$B$28,"")</f>
      </c>
      <c r="H24" s="24">
        <f>IF(AND(OR($D24="Cooked through",$D24="Pasteurized egg product"),$F24="No"),'Settings'!$B$29,"")</f>
      </c>
      <c r="I24" s="24">
        <f>IF(AND(G24="",H24=""),"",IF(G24="",H24,IF(H24="",G24,MIN(G24,H24))))</f>
      </c>
      <c r="J24" s="28" t="str">
        <f>IF(AND(G24="",H24=""),"Neither test applies: shelf-stable at room temperature, so it goes in the room-temperature case.",IF(AND(G24&lt;&gt;"",H24&lt;&gt;""),"Both tests apply and both limits are 41 °F (Food Code 3-501.16): no conflict, the same limit twice.",IF(G24&lt;&gt;"","Filled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24" s="24" t="str">
        <f>IF(AND(OR($D24="Cooked through",$D24="Pasteurized egg product"),$F24="No"),'Settings'!$B$30,"N/A")</f>
        <v>N/A</v>
      </c>
      <c r="L24" s="6" t="inlineStr">
        <is>
          <t>Declare in your food safety plan</t>
        </is>
      </c>
      <c r="M24" t="str">
        <f>IF(I24="","Room-temperature case","Refrigerated case")</f>
        <v>Room-temperature case</v>
      </c>
      <c r="N24" s="12" t="inlineStr">
        <is>
          <t>No egg in any form: the egg routes don't apply to it.</t>
        </is>
      </c>
      <c r="O24" s="28">
        <f>IF(AND($D24="Shelf-stable",$F24="No"),"Mismatch: you chose the shelf-stable route and then said it isn't shelf-stable","")</f>
      </c>
    </row>
    <row r="25" ht="40" customHeight="1">
      <c r="A25" t="inlineStr">
        <is>
          <t>PA2</t>
        </is>
      </c>
      <c r="B25" t="inlineStr">
        <is>
          <t>Ciabatta</t>
        </is>
      </c>
      <c r="C25" t="inlineStr">
        <is>
          <t>Breads</t>
        </is>
      </c>
      <c r="D25" s="6" t="inlineStr">
        <is>
          <t>No egg</t>
        </is>
      </c>
      <c r="E25" s="6" t="inlineStr">
        <is>
          <t>No</t>
        </is>
      </c>
      <c r="F25" s="6" t="inlineStr">
        <is>
          <t>Yes</t>
        </is>
      </c>
      <c r="G25" s="24">
        <f>IF(AND($E25="Yes",$F25="No"),'Settings'!$B$28,"")</f>
      </c>
      <c r="H25" s="24">
        <f>IF(AND(OR($D25="Cooked through",$D25="Pasteurized egg product"),$F25="No"),'Settings'!$B$29,"")</f>
      </c>
      <c r="I25" s="24">
        <f>IF(AND(G25="",H25=""),"",IF(G25="",H25,IF(H25="",G25,MIN(G25,H25))))</f>
      </c>
      <c r="J25" s="28" t="str">
        <f>IF(AND(G25="",H25=""),"Neither test applies: shelf-stable at room temperature, so it goes in the room-temperature case.",IF(AND(G25&lt;&gt;"",H25&lt;&gt;""),"Both tests apply and both limits are 41 °F (Food Code 3-501.16): no conflict, the same limit twice.",IF(G25&lt;&gt;"","Filled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25" s="24" t="str">
        <f>IF(AND(OR($D25="Cooked through",$D25="Pasteurized egg product"),$F25="No"),'Settings'!$B$30,"N/A")</f>
        <v>N/A</v>
      </c>
      <c r="L25" s="6" t="inlineStr">
        <is>
          <t>Declare in your food safety plan</t>
        </is>
      </c>
      <c r="M25" t="str">
        <f>IF(I25="","Room-temperature case","Refrigerated case")</f>
        <v>Room-temperature case</v>
      </c>
      <c r="N25" s="12" t="inlineStr">
        <is>
          <t>No egg in any form: the egg routes don't apply to it.</t>
        </is>
      </c>
      <c r="O25" s="28">
        <f>IF(AND($D25="Shelf-stable",$F25="No"),"Mismatch: you chose the shelf-stable route and then said it isn't shelf-stable","")</f>
      </c>
    </row>
    <row r="26" ht="40" customHeight="1">
      <c r="A26" t="inlineStr">
        <is>
          <t>PA3</t>
        </is>
      </c>
      <c r="B26" t="inlineStr">
        <is>
          <t>Sourdough boule</t>
        </is>
      </c>
      <c r="C26" t="inlineStr">
        <is>
          <t>Breads</t>
        </is>
      </c>
      <c r="D26" s="6" t="inlineStr">
        <is>
          <t>No egg</t>
        </is>
      </c>
      <c r="E26" s="6" t="inlineStr">
        <is>
          <t>No</t>
        </is>
      </c>
      <c r="F26" s="6" t="inlineStr">
        <is>
          <t>Yes</t>
        </is>
      </c>
      <c r="G26" s="24">
        <f>IF(AND($E26="Yes",$F26="No"),'Settings'!$B$28,"")</f>
      </c>
      <c r="H26" s="24">
        <f>IF(AND(OR($D26="Cooked through",$D26="Pasteurized egg product"),$F26="No"),'Settings'!$B$29,"")</f>
      </c>
      <c r="I26" s="24">
        <f>IF(AND(G26="",H26=""),"",IF(G26="",H26,IF(H26="",G26,MIN(G26,H26))))</f>
      </c>
      <c r="J26" s="28" t="str">
        <f>IF(AND(G26="",H26=""),"Neither test applies: shelf-stable at room temperature, so it goes in the room-temperature case.",IF(AND(G26&lt;&gt;"",H26&lt;&gt;""),"Both tests apply and both limits are 41 °F (Food Code 3-501.16): no conflict, the same limit twice.",IF(G26&lt;&gt;"","Filled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26" s="24" t="str">
        <f>IF(AND(OR($D26="Cooked through",$D26="Pasteurized egg product"),$F26="No"),'Settings'!$B$30,"N/A")</f>
        <v>N/A</v>
      </c>
      <c r="L26" s="6" t="inlineStr">
        <is>
          <t>Declare in your food safety plan</t>
        </is>
      </c>
      <c r="M26" t="str">
        <f>IF(I26="","Room-temperature case","Refrigerated case")</f>
        <v>Room-temperature case</v>
      </c>
      <c r="N26" s="12" t="inlineStr">
        <is>
          <t>No egg in any form: the egg routes don't apply to it.</t>
        </is>
      </c>
      <c r="O26" s="28">
        <f>IF(AND($D26="Shelf-stable",$F26="No"),"Mismatch: you chose the shelf-stable route and then said it isn't shelf-stable","")</f>
      </c>
    </row>
    <row r="27" ht="40" customHeight="1">
      <c r="A27" t="inlineStr">
        <is>
          <t>PA4</t>
        </is>
      </c>
      <c r="B27" t="inlineStr">
        <is>
          <t>Sandwich loaf (pullman)</t>
        </is>
      </c>
      <c r="C27" t="inlineStr">
        <is>
          <t>Breads</t>
        </is>
      </c>
      <c r="D27" s="6" t="inlineStr">
        <is>
          <t>No egg</t>
        </is>
      </c>
      <c r="E27" s="6" t="inlineStr">
        <is>
          <t>No</t>
        </is>
      </c>
      <c r="F27" s="6" t="inlineStr">
        <is>
          <t>Yes</t>
        </is>
      </c>
      <c r="G27" s="24">
        <f>IF(AND($E27="Yes",$F27="No"),'Settings'!$B$28,"")</f>
      </c>
      <c r="H27" s="24">
        <f>IF(AND(OR($D27="Cooked through",$D27="Pasteurized egg product"),$F27="No"),'Settings'!$B$29,"")</f>
      </c>
      <c r="I27" s="24">
        <f>IF(AND(G27="",H27=""),"",IF(G27="",H27,IF(H27="",G27,MIN(G27,H27))))</f>
      </c>
      <c r="J27" s="28" t="str">
        <f>IF(AND(G27="",H27=""),"Neither test applies: shelf-stable at room temperature, so it goes in the room-temperature case.",IF(AND(G27&lt;&gt;"",H27&lt;&gt;""),"Both tests apply and both limits are 41 °F (Food Code 3-501.16): no conflict, the same limit twice.",IF(G27&lt;&gt;"","Filled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27" s="24" t="str">
        <f>IF(AND(OR($D27="Cooked through",$D27="Pasteurized egg product"),$F27="No"),'Settings'!$B$30,"N/A")</f>
        <v>N/A</v>
      </c>
      <c r="L27" s="6" t="inlineStr">
        <is>
          <t>Declare in your food safety plan</t>
        </is>
      </c>
      <c r="M27" t="str">
        <f>IF(I27="","Room-temperature case","Refrigerated case")</f>
        <v>Room-temperature case</v>
      </c>
      <c r="N27" s="12" t="inlineStr">
        <is>
          <t>No egg in any form: the egg routes don't apply to it.</t>
        </is>
      </c>
      <c r="O27" s="28">
        <f>IF(AND($D27="Shelf-stable",$F27="No"),"Mismatch: you chose the shelf-stable route and then said it isn't shelf-stable","")</f>
      </c>
    </row>
    <row r="28" ht="40" customHeight="1">
      <c r="A28" t="inlineStr">
        <is>
          <t>TP1</t>
        </is>
      </c>
      <c r="B28" t="inlineStr">
        <is>
          <t>Rosca de Reyes (Three Kings bread)</t>
        </is>
      </c>
      <c r="C28" t="inlineStr">
        <is>
          <t>Seasonal</t>
        </is>
      </c>
      <c r="D28" s="6" t="inlineStr">
        <is>
          <t>Cooked through</t>
        </is>
      </c>
      <c r="E28" s="6" t="inlineStr">
        <is>
          <t>Yes</t>
        </is>
      </c>
      <c r="F28" s="6" t="inlineStr">
        <is>
          <t>No</t>
        </is>
      </c>
      <c r="G28" s="24">
        <f>IF(AND($E28="Yes",$F28="No"),'Settings'!$B$28,"")</f>
        <v>41.0</v>
      </c>
      <c r="H28" s="24">
        <f>IF(AND(OR($D28="Cooked through",$D28="Pasteurized egg product"),$F28="No"),'Settings'!$B$29,"")</f>
        <v>41.0</v>
      </c>
      <c r="I28" s="24">
        <f>IF(AND(G28="",H28=""),"",IF(G28="",H28,IF(H28="",G28,MIN(G28,H28))))</f>
        <v>41.0</v>
      </c>
      <c r="J28" s="28" t="str">
        <f>IF(AND(G28="",H28=""),"Neither test applies: shelf-stable at room temperature, so it goes in the room-temperature case.",IF(AND(G28&lt;&gt;"",H28&lt;&gt;""),"Both tests apply and both limits are 41 °F (Food Code 3-501.16): no conflict, the same limit twice.",IF(G28&lt;&gt;"","Filled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28" s="24">
        <f>IF(AND(OR($D28="Cooked through",$D28="Pasteurized egg product"),$F28="No"),'Settings'!$B$30,"N/A")</f>
        <v>24.0</v>
      </c>
      <c r="L28" s="6" t="inlineStr">
        <is>
          <t>Declare in your food safety plan</t>
        </is>
      </c>
      <c r="M28" t="str">
        <f>IF(I28="","Room-temperature case","Refrigerated case")</f>
        <v>Refrigerated case</v>
      </c>
      <c r="N28" s="12" t="inlineStr">
        <is>
          <t>Egg cooked all the way through in the bake: the finished item carries no raw egg. Whether it needs cold depends on its pH and water activity (1-201.10).</t>
        </is>
      </c>
      <c r="O28" s="28">
        <f>IF(AND($D28="Shelf-stable",$F28="No"),"Mismatch: you chose the shelf-stable route and then said it isn't shelf-stable","")</f>
      </c>
    </row>
    <row r="29" ht="40" customHeight="1">
      <c r="A29" t="inlineStr">
        <is>
          <t>TP2</t>
        </is>
      </c>
      <c r="B29" t="inlineStr">
        <is>
          <t>Torrijas (Spanish Easter French toast)</t>
        </is>
      </c>
      <c r="C29" t="inlineStr">
        <is>
          <t>Seasonal</t>
        </is>
      </c>
      <c r="D29" s="6" t="inlineStr">
        <is>
          <t>Cooked through</t>
        </is>
      </c>
      <c r="E29" s="6" t="inlineStr">
        <is>
          <t>No</t>
        </is>
      </c>
      <c r="F29" s="6" t="inlineStr">
        <is>
          <t>No</t>
        </is>
      </c>
      <c r="G29" s="24">
        <f>IF(AND($E29="Yes",$F29="No"),'Settings'!$B$28,"")</f>
      </c>
      <c r="H29" s="24">
        <f>IF(AND(OR($D29="Cooked through",$D29="Pasteurized egg product"),$F29="No"),'Settings'!$B$29,"")</f>
        <v>41.0</v>
      </c>
      <c r="I29" s="24">
        <f>IF(AND(G29="",H29=""),"",IF(G29="",H29,IF(H29="",G29,MIN(G29,H29))))</f>
        <v>41.0</v>
      </c>
      <c r="J29" s="28" t="str">
        <f>IF(AND(G29="",H29=""),"Neither test applies: shelf-stable at room temperature, so it goes in the room-temperature case.",IF(AND(G29&lt;&gt;"",H29&lt;&gt;""),"Both tests apply and both limits are 41 °F (Food Code 3-501.16): no conflict, the same limit twice.",IF(G29&lt;&gt;"","Filled and not shelf-stable at room temperature: TCS food, hold at 41 °F or below (3-501.16).","Its egg route leaves it needing cold (cooked through or pasteurized egg product, not shelf-stable): TCS food, hold at 41 °F or below (3-501.16).")))</f>
        <v>Its egg route leaves it needing cold (cooked through or pasteurized egg product, not shelf-stable): TCS food, hold at 41 °F or below (3-501.16).</v>
      </c>
      <c r="K29" s="24">
        <f>IF(AND(OR($D29="Cooked through",$D29="Pasteurized egg product"),$F29="No"),'Settings'!$B$30,"N/A")</f>
        <v>24.0</v>
      </c>
      <c r="L29" s="6" t="inlineStr">
        <is>
          <t>Declare in your food safety plan</t>
        </is>
      </c>
      <c r="M29" t="str">
        <f>IF(I29="","Room-temperature case","Refrigerated case")</f>
        <v>Refrigerated case</v>
      </c>
      <c r="N29" s="12" t="inlineStr">
        <is>
          <t>Egg cooked all the way through in the bake: the finished item carries no raw egg. Whether it needs cold depends on its pH and water activity (1-201.10).</t>
        </is>
      </c>
      <c r="O29" s="28">
        <f>IF(AND($D29="Shelf-stable",$F29="No"),"Mismatch: you chose the shelf-stable route and then said it isn't shelf-stable","")</f>
      </c>
    </row>
    <row r="30" ht="40" customHeight="1">
      <c r="A30" t="inlineStr">
        <is>
          <t>TP3</t>
        </is>
      </c>
      <c r="B30" t="inlineStr">
        <is>
          <t>Buñuelos de viento (Spanish cream-filled fritters)</t>
        </is>
      </c>
      <c r="C30" t="inlineStr">
        <is>
          <t>Seasonal</t>
        </is>
      </c>
      <c r="D30" s="6" t="inlineStr">
        <is>
          <t>Cooked through</t>
        </is>
      </c>
      <c r="E30" s="6" t="inlineStr">
        <is>
          <t>Yes</t>
        </is>
      </c>
      <c r="F30" s="6" t="inlineStr">
        <is>
          <t>No</t>
        </is>
      </c>
      <c r="G30" s="24">
        <f>IF(AND($E30="Yes",$F30="No"),'Settings'!$B$28,"")</f>
        <v>41.0</v>
      </c>
      <c r="H30" s="24">
        <f>IF(AND(OR($D30="Cooked through",$D30="Pasteurized egg product"),$F30="No"),'Settings'!$B$29,"")</f>
        <v>41.0</v>
      </c>
      <c r="I30" s="24">
        <f>IF(AND(G30="",H30=""),"",IF(G30="",H30,IF(H30="",G30,MIN(G30,H30))))</f>
        <v>41.0</v>
      </c>
      <c r="J30" s="28" t="str">
        <f>IF(AND(G30="",H30=""),"Neither test applies: shelf-stable at room temperature, so it goes in the room-temperature case.",IF(AND(G30&lt;&gt;"",H30&lt;&gt;""),"Both tests apply and both limits are 41 °F (Food Code 3-501.16): no conflict, the same limit twice.",IF(G30&lt;&gt;"","Filled and not shelf-stable at room temperature: TCS food, hold at 41 °F or below (3-501.16).","Its egg route leaves it needing cold (cooked through or pasteurized egg product, not shelf-stable): TCS food, hold at 41 °F or below (3-501.16).")))</f>
        <v>Both tests apply and both limits are 41 °F (Food Code 3-501.16): no conflict, the same limit twice.</v>
      </c>
      <c r="K30" s="24">
        <f>IF(AND(OR($D30="Cooked through",$D30="Pasteurized egg product"),$F30="No"),'Settings'!$B$30,"N/A")</f>
        <v>24.0</v>
      </c>
      <c r="L30" s="6" t="inlineStr">
        <is>
          <t>Declare in your food safety plan</t>
        </is>
      </c>
      <c r="M30" t="str">
        <f>IF(I30="","Room-temperature case","Refrigerated case")</f>
        <v>Refrigerated case</v>
      </c>
      <c r="N30" s="12" t="inlineStr">
        <is>
          <t>Egg cooked all the way through in the bake: the finished item carries no raw egg. Whether it needs cold depends on its pH and water activity (1-201.10).</t>
        </is>
      </c>
      <c r="O30" s="28">
        <f>IF(AND($D30="Shelf-stable",$F30="No"),"Mismatch: you chose the shelf-stable route and then said it isn't shelf-stable","")</f>
      </c>
    </row>
    <row r="31" ht="40" customHeight="1">
      <c r="A31" t="inlineStr">
        <is>
          <t>TP4</t>
        </is>
      </c>
      <c r="B31" t="inlineStr">
        <is>
          <t>Huesos de santo (marzipan "saints' bones")</t>
        </is>
      </c>
      <c r="C31" t="inlineStr">
        <is>
          <t>Seasonal</t>
        </is>
      </c>
      <c r="D31" s="6" t="inlineStr">
        <is>
          <t>Shelf-stable</t>
        </is>
      </c>
      <c r="E31" s="6" t="inlineStr">
        <is>
          <t>Yes</t>
        </is>
      </c>
      <c r="F31" s="6" t="inlineStr">
        <is>
          <t>Yes</t>
        </is>
      </c>
      <c r="G31" s="24">
        <f>IF(AND($E31="Yes",$F31="No"),'Settings'!$B$28,"")</f>
      </c>
      <c r="H31" s="24">
        <f>IF(AND(OR($D31="Cooked through",$D31="Pasteurized egg product"),$F31="No"),'Settings'!$B$29,"")</f>
      </c>
      <c r="I31" s="24">
        <f>IF(AND(G31="",H31=""),"",IF(G31="",H31,IF(H31="",G31,MIN(G31,H31))))</f>
      </c>
      <c r="J31" s="28" t="str">
        <f>IF(AND(G31="",H31=""),"Neither test applies: shelf-stable at room temperature, so it goes in the room-temperature case.",IF(AND(G31&lt;&gt;"",H31&lt;&gt;""),"Both tests apply and both limits are 41 °F (Food Code 3-501.16): no conflict, the same limit twice.",IF(G31&lt;&gt;"","Filled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31" s="24" t="str">
        <f>IF(AND(OR($D31="Cooked through",$D31="Pasteurized egg product"),$F31="No"),'Settings'!$B$30,"N/A")</f>
        <v>N/A</v>
      </c>
      <c r="L31" s="6" t="inlineStr">
        <is>
          <t>Declare in your food safety plan</t>
        </is>
      </c>
      <c r="M31" t="str">
        <f>IF(I31="","Room-temperature case","Refrigerated case")</f>
        <v>Room-temperature case</v>
      </c>
      <c r="N31" s="12" t="inlineStr">
        <is>
          <t>Shelf-stable route: the finished item is shelf-stable at room temperature (pH and water activity, Food Code 1-201.10), so it isn't TCS: no cold-holding limit and no date mark, even if it's filled.</t>
        </is>
      </c>
      <c r="O31" s="28">
        <f>IF(AND($D31="Shelf-stable",$F31="No"),"Mismatch: you chose the shelf-stable route and then said it isn't shelf-stable","")</f>
      </c>
    </row>
    <row r="32" ht="40" customHeight="1">
      <c r="A32" t="inlineStr">
        <is>
          <t>TP5</t>
        </is>
      </c>
      <c r="B32" t="inlineStr">
        <is>
          <t>Panellets (almond and pine-nut cookies)</t>
        </is>
      </c>
      <c r="C32" t="inlineStr">
        <is>
          <t>Seasonal</t>
        </is>
      </c>
      <c r="D32" s="6" t="inlineStr">
        <is>
          <t>Shelf-stable</t>
        </is>
      </c>
      <c r="E32" s="6" t="inlineStr">
        <is>
          <t>No</t>
        </is>
      </c>
      <c r="F32" s="6" t="inlineStr">
        <is>
          <t>Yes</t>
        </is>
      </c>
      <c r="G32" s="24">
        <f>IF(AND($E32="Yes",$F32="No"),'Settings'!$B$28,"")</f>
      </c>
      <c r="H32" s="24">
        <f>IF(AND(OR($D32="Cooked through",$D32="Pasteurized egg product"),$F32="No"),'Settings'!$B$29,"")</f>
      </c>
      <c r="I32" s="24">
        <f>IF(AND(G32="",H32=""),"",IF(G32="",H32,IF(H32="",G32,MIN(G32,H32))))</f>
      </c>
      <c r="J32" s="28" t="str">
        <f>IF(AND(G32="",H32=""),"Neither test applies: shelf-stable at room temperature, so it goes in the room-temperature case.",IF(AND(G32&lt;&gt;"",H32&lt;&gt;""),"Both tests apply and both limits are 41 °F (Food Code 3-501.16): no conflict, the same limit twice.",IF(G32&lt;&gt;"","Filled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32" s="24" t="str">
        <f>IF(AND(OR($D32="Cooked through",$D32="Pasteurized egg product"),$F32="No"),'Settings'!$B$30,"N/A")</f>
        <v>N/A</v>
      </c>
      <c r="L32" s="6" t="inlineStr">
        <is>
          <t>Declare in your food safety plan</t>
        </is>
      </c>
      <c r="M32" t="str">
        <f>IF(I32="","Room-temperature case","Refrigerated case")</f>
        <v>Room-temperature case</v>
      </c>
      <c r="N32" s="12" t="inlineStr">
        <is>
          <t>Shelf-stable route: the finished item is shelf-stable at room temperature (pH and water activity, Food Code 1-201.10), so it isn't TCS: no cold-holding limit and no date mark, even if it's filled.</t>
        </is>
      </c>
      <c r="O32" s="28">
        <f>IF(AND($D32="Shelf-stable",$F32="No"),"Mismatch: you chose the shelf-stable route and then said it isn't shelf-stable","")</f>
      </c>
    </row>
    <row r="33" ht="40" customHeight="1">
      <c r="A33" t="inlineStr">
        <is>
          <t>TP6</t>
        </is>
      </c>
      <c r="B33" t="inlineStr">
        <is>
          <t>Polvorones (Spanish shortbread)</t>
        </is>
      </c>
      <c r="C33" t="inlineStr">
        <is>
          <t>Seasonal</t>
        </is>
      </c>
      <c r="D33" s="6" t="inlineStr">
        <is>
          <t>No egg</t>
        </is>
      </c>
      <c r="E33" s="6" t="inlineStr">
        <is>
          <t>No</t>
        </is>
      </c>
      <c r="F33" s="6" t="inlineStr">
        <is>
          <t>Yes</t>
        </is>
      </c>
      <c r="G33" s="24">
        <f>IF(AND($E33="Yes",$F33="No"),'Settings'!$B$28,"")</f>
      </c>
      <c r="H33" s="24">
        <f>IF(AND(OR($D33="Cooked through",$D33="Pasteurized egg product"),$F33="No"),'Settings'!$B$29,"")</f>
      </c>
      <c r="I33" s="24">
        <f>IF(AND(G33="",H33=""),"",IF(G33="",H33,IF(H33="",G33,MIN(G33,H33))))</f>
      </c>
      <c r="J33" s="28" t="str">
        <f>IF(AND(G33="",H33=""),"Neither test applies: shelf-stable at room temperature, so it goes in the room-temperature case.",IF(AND(G33&lt;&gt;"",H33&lt;&gt;""),"Both tests apply and both limits are 41 °F (Food Code 3-501.16): no conflict, the same limit twice.",IF(G33&lt;&gt;"","Filled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33" s="24" t="str">
        <f>IF(AND(OR($D33="Cooked through",$D33="Pasteurized egg product"),$F33="No"),'Settings'!$B$30,"N/A")</f>
        <v>N/A</v>
      </c>
      <c r="L33" s="6" t="inlineStr">
        <is>
          <t>Declare in your food safety plan</t>
        </is>
      </c>
      <c r="M33" t="str">
        <f>IF(I33="","Room-temperature case","Refrigerated case")</f>
        <v>Room-temperature case</v>
      </c>
      <c r="N33" s="12" t="inlineStr">
        <is>
          <t>No egg in any form: the egg routes don't apply to it.</t>
        </is>
      </c>
      <c r="O33" s="28">
        <f>IF(AND($D33="Shelf-stable",$F33="No"),"Mismatch: you chose the shelf-stable route and then said it isn't shelf-stable","")</f>
      </c>
    </row>
    <row r="34" ht="40" customHeight="1">
      <c r="A34" t="inlineStr">
        <is>
          <t>TP7</t>
        </is>
      </c>
      <c r="B34" t="inlineStr">
        <is>
          <t>Almond turrón (nougat)</t>
        </is>
      </c>
      <c r="C34" t="inlineStr">
        <is>
          <t>Seasonal</t>
        </is>
      </c>
      <c r="D34" s="6" t="inlineStr">
        <is>
          <t>Shelf-stable</t>
        </is>
      </c>
      <c r="E34" s="6" t="inlineStr">
        <is>
          <t>No</t>
        </is>
      </c>
      <c r="F34" s="6" t="inlineStr">
        <is>
          <t>Yes</t>
        </is>
      </c>
      <c r="G34" s="24">
        <f>IF(AND($E34="Yes",$F34="No"),'Settings'!$B$28,"")</f>
      </c>
      <c r="H34" s="24">
        <f>IF(AND(OR($D34="Cooked through",$D34="Pasteurized egg product"),$F34="No"),'Settings'!$B$29,"")</f>
      </c>
      <c r="I34" s="24">
        <f>IF(AND(G34="",H34=""),"",IF(G34="",H34,IF(H34="",G34,MIN(G34,H34))))</f>
      </c>
      <c r="J34" s="28" t="str">
        <f>IF(AND(G34="",H34=""),"Neither test applies: shelf-stable at room temperature, so it goes in the room-temperature case.",IF(AND(G34&lt;&gt;"",H34&lt;&gt;""),"Both tests apply and both limits are 41 °F (Food Code 3-501.16): no conflict, the same limit twice.",IF(G34&lt;&gt;"","Filled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34" s="24" t="str">
        <f>IF(AND(OR($D34="Cooked through",$D34="Pasteurized egg product"),$F34="No"),'Settings'!$B$30,"N/A")</f>
        <v>N/A</v>
      </c>
      <c r="L34" s="6" t="inlineStr">
        <is>
          <t>Declare in your food safety plan</t>
        </is>
      </c>
      <c r="M34" t="str">
        <f>IF(I34="","Room-temperature case","Refrigerated case")</f>
        <v>Room-temperature case</v>
      </c>
      <c r="N34" s="12" t="inlineStr">
        <is>
          <t>Shelf-stable route: the finished item is shelf-stable at room temperature (pH and water activity, Food Code 1-201.10), so it isn't TCS: no cold-holding limit and no date mark, even if it's filled.</t>
        </is>
      </c>
      <c r="O34" s="28">
        <f>IF(AND($D34="Shelf-stable",$F34="No"),"Mismatch: you chose the shelf-stable route and then said it isn't shelf-stable","")</f>
      </c>
    </row>
    <row r="35" ht="40" customHeight="1">
      <c r="A35" t="inlineStr">
        <is>
          <t>TP8</t>
        </is>
      </c>
      <c r="B35" t="inlineStr">
        <is>
          <t>Mona de Pascua (Catalan Easter cake)</t>
        </is>
      </c>
      <c r="C35" t="inlineStr">
        <is>
          <t>Seasonal</t>
        </is>
      </c>
      <c r="D35" s="6" t="inlineStr">
        <is>
          <t>Shelf-stable</t>
        </is>
      </c>
      <c r="E35" s="6" t="inlineStr">
        <is>
          <t>No</t>
        </is>
      </c>
      <c r="F35" s="6" t="inlineStr">
        <is>
          <t>Yes</t>
        </is>
      </c>
      <c r="G35" s="24">
        <f>IF(AND($E35="Yes",$F35="No"),'Settings'!$B$28,"")</f>
      </c>
      <c r="H35" s="24">
        <f>IF(AND(OR($D35="Cooked through",$D35="Pasteurized egg product"),$F35="No"),'Settings'!$B$29,"")</f>
      </c>
      <c r="I35" s="24">
        <f>IF(AND(G35="",H35=""),"",IF(G35="",H35,IF(H35="",G35,MIN(G35,H35))))</f>
      </c>
      <c r="J35" s="28" t="str">
        <f>IF(AND(G35="",H35=""),"Neither test applies: shelf-stable at room temperature, so it goes in the room-temperature case.",IF(AND(G35&lt;&gt;"",H35&lt;&gt;""),"Both tests apply and both limits are 41 °F (Food Code 3-501.16): no conflict, the same limit twice.",IF(G35&lt;&gt;"","Filled and not shelf-stable at room temperature: TCS food, hold at 41 °F or below (3-501.16).","Its egg route leaves it needing cold (cooked through or pasteurized egg product, not shelf-stable): TCS food, hold at 41 °F or below (3-501.16).")))</f>
        <v>Neither test applies: shelf-stable at room temperature, so it goes in the room-temperature case.</v>
      </c>
      <c r="K35" s="24" t="str">
        <f>IF(AND(OR($D35="Cooked through",$D35="Pasteurized egg product"),$F35="No"),'Settings'!$B$30,"N/A")</f>
        <v>N/A</v>
      </c>
      <c r="L35" s="6" t="inlineStr">
        <is>
          <t>Declare in your food safety plan</t>
        </is>
      </c>
      <c r="M35" t="str">
        <f>IF(I35="","Room-temperature case","Refrigerated case")</f>
        <v>Room-temperature case</v>
      </c>
      <c r="N35" s="12" t="inlineStr">
        <is>
          <t>Shelf-stable route: the finished item is shelf-stable at room temperature (pH and water activity, Food Code 1-201.10), so it isn't TCS: no cold-holding limit and no date mark, even if it's filled.</t>
        </is>
      </c>
      <c r="O35" s="28">
        <f>IF(AND($D35="Shelf-stable",$F35="No"),"Mismatch: you chose the shelf-stable route and then said it isn't shelf-stable","")</f>
      </c>
    </row>
    <row r="36"/>
    <row r="37">
      <c r="A37" s="4" t="inlineStr">
        <is>
          <t>What this sheet gives you</t>
        </is>
      </c>
    </row>
    <row r="38" ht="26" customHeight="1">
      <c r="B38" t="inlineStr">
        <is>
          <t>Items that need the REFRIGERATED case</t>
        </is>
      </c>
      <c r="G38" s="19">
        <f>COUNTIF(M6:M35,"Refrigerated case")</f>
        <v>15.0</v>
      </c>
      <c r="J38" s="12" t="inlineStr">
        <is>
          <t>This count, not taste, decides how many feet of refrigerated case you buy.</t>
        </is>
      </c>
    </row>
    <row r="39" ht="26" customHeight="1">
      <c r="B39" t="inlineStr">
        <is>
          <t>Items that go in the ROOM-TEMPERATURE case</t>
        </is>
      </c>
      <c r="G39" s="19">
        <f>COUNTIF(M6:M35,"Room-temperature case")</f>
        <v>15.0</v>
      </c>
      <c r="J39" s="12" t="inlineStr">
        <is>
          <t>Palmiers, Sachertorte, huesos de santo, almond turrón and the breads. They're the ones you can make ahead and the ones that hold up at a peak.</t>
        </is>
      </c>
    </row>
    <row r="40" ht="26" customHeight="1">
      <c r="B40" t="inlineStr">
        <is>
          <t>Items that are filled and not shelf-stable at room temperature</t>
        </is>
      </c>
      <c r="G40" s="19">
        <f>SUMPRODUCT(--(G6:G35&lt;&gt;""))</f>
        <v>13.0</v>
      </c>
      <c r="J40" s="12" t="inlineStr">
        <is>
          <t>Cream, custard and mousse fillings: TCS food, held at 41 °F or below (Food Code 3-501.16).</t>
        </is>
      </c>
    </row>
    <row r="41" ht="26" customHeight="1">
      <c r="B41" t="inlineStr">
        <is>
          <t>Items whose egg route leaves them needing cold</t>
        </is>
      </c>
      <c r="G41" s="19">
        <f>SUMPRODUCT(--(H6:H35&lt;&gt;""))</f>
        <v>15.0</v>
      </c>
      <c r="J41" s="12" t="inlineStr">
        <is>
          <t>Egg cooked through in an item that isn't shelf-stable, or pasteurized egg product for what doesn't go through heat.</t>
        </is>
      </c>
    </row>
    <row r="42" ht="26" customHeight="1">
      <c r="B42" t="inlineStr">
        <is>
          <t>Items both of those apply to</t>
        </is>
      </c>
      <c r="G42" s="19">
        <f>SUMPRODUCT(--(G6:G35&lt;&gt;""),--(H6:H35&lt;&gt;""))</f>
        <v>13.0</v>
      </c>
      <c r="J42" s="12" t="inlineStr">
        <is>
          <t>Both land on the same 41 °F, so there's no conflict to settle: one ceiling, one temperature.</t>
        </is>
      </c>
    </row>
    <row r="43" ht="26" customHeight="1">
      <c r="B43" t="inlineStr">
        <is>
          <t>Items that need a date mark if held more than 24 hours</t>
        </is>
      </c>
      <c r="G43" s="19">
        <f>SUMPRODUCT(--(K6:K35&lt;&gt;"N/A"))</f>
        <v>15.0</v>
      </c>
      <c r="J43" s="12" t="inlineStr">
        <is>
          <t>7 days at most at 41 °F or below, with the day you make it as day 1 (Food Code 3-501.17). It's the obligation almost nobody keeps track of.</t>
        </is>
      </c>
    </row>
    <row r="44" ht="26" customHeight="1">
      <c r="B44" t="inlineStr">
        <is>
          <t>Items with no egg in any form</t>
        </is>
      </c>
      <c r="G44" s="19">
        <f>COUNTIF(D6:D35,"No egg")</f>
        <v>6.0</v>
      </c>
      <c r="J44" s="12" t="inlineStr">
        <is>
          <t>The egg question doesn't apply to them.</t>
        </is>
      </c>
    </row>
    <row r="45" ht="26" customHeight="1">
      <c r="B45" t="inlineStr">
        <is>
          <t>Items served with raw or undercooked egg</t>
        </is>
      </c>
      <c r="G45" s="19">
        <f>COUNTIF(D6:D35,"Raw or undercooked egg")</f>
        <v>0.0</v>
      </c>
      <c r="J45" s="12" t="inlineStr">
        <is>
          <t>It should come out zero: that's the route for things like soft-cooked eggs, and it calls for a consumer advisory (Food Code 3-603.11). It's on the list so you know it exists and that it is NOT yours.</t>
        </is>
      </c>
    </row>
    <row r="46"/>
    <row r="47"/>
    <row r="48"/>
    <row r="49">
      <c r="A49" s="29" t="inlineStr">
        <is>
          <t>Dropdown lists (don't edit)</t>
        </is>
      </c>
    </row>
    <row r="50">
      <c r="A50" t="inlineStr">
        <is>
          <t>Cooked through</t>
        </is>
      </c>
      <c r="B50" s="12" t="inlineStr">
        <is>
          <t>Egg cooked all the way through in the bake: the finished item carries no raw egg. Whether it needs cold depends on its pH and water activity (1-201.10).</t>
        </is>
      </c>
      <c r="D50" t="inlineStr">
        <is>
          <t>Yes</t>
        </is>
      </c>
    </row>
    <row r="51">
      <c r="A51" t="inlineStr">
        <is>
          <t>Raw or undercooked egg</t>
        </is>
      </c>
      <c r="B51" s="12" t="inlineStr">
        <is>
          <t>Served with raw or undercooked egg (soft-cooked eggs, for example): it calls for a consumer advisory (Food Code 3-603.11). It isn't a pastry route.</t>
        </is>
      </c>
      <c r="D51" t="inlineStr">
        <is>
          <t>No</t>
        </is>
      </c>
    </row>
    <row r="52">
      <c r="A52" t="inlineStr">
        <is>
          <t>Pasteurized egg product</t>
        </is>
      </c>
      <c r="B52" s="12" t="inlineStr">
        <is>
          <t>The item doesn't go through heat after the egg goes in, so raw shell egg is replaced with pasteurized egg product.</t>
        </is>
      </c>
    </row>
    <row r="53">
      <c r="A53" t="inlineStr">
        <is>
          <t>No egg</t>
        </is>
      </c>
      <c r="B53" s="12" t="inlineStr">
        <is>
          <t>No egg in any form: the egg routes don't apply to it.</t>
        </is>
      </c>
    </row>
    <row r="54">
      <c r="A54" t="inlineStr">
        <is>
          <t>Shelf-stable</t>
        </is>
      </c>
      <c r="B54" s="12" t="inlineStr">
        <is>
          <t>Shelf-stable route: the finished item is shelf-stable at room temperature (pH and water activity, Food Code 1-201.10), so it isn't TCS: no cold-holding limit and no date mark, even if it's filled.</t>
        </is>
      </c>
    </row>
    <row r="55"/>
    <row r="56"/>
    <row r="57" ht="56" customHeight="1">
      <c r="A57" s="21" t="inlineStr">
        <is>
          <t>HOW TO READ THIS SHEET. You choose the egg route and say whether the piece is filled and whether the FINISHED item is shelf-stable at room temperature. With that, the workbook gives you the temperature you have to hold it at, which test applies and whether it needs a date mark when held more than 24 hours. Nothing more, and nothing less.</t>
        </is>
      </c>
    </row>
    <row r="58" ht="56" customHeight="1">
      <c r="A58" s="21" t="inlineStr">
        <is>
          <t>SHELF LIFE IS YOURS. Column L reads "Declare in your food safety plan" on purpose: the Food Code does NOT set shelf lives, and this workbook won't invent them for your 30 items. You set them with your process and your tests, and they go in your food safety plan. The date mark in column K is a different thing: it's a legal ceiling (held more than 24 hours, 7 days at most) and it only covers ready-to-eat TCS food.</t>
        </is>
      </c>
    </row>
    <row r="59" ht="56" customHeight="1">
      <c r="A59" s="21" t="inlineStr">
        <is>
          <t>WHAT THIS SHEET CHANGES IN YOUR MONEY. Every item that comes out "Refrigerated case" is feet of refrigerated case you have to buy, and every item with a date mark is product on a clock: past 24 hours it needs a date mark, and 7 days is the most it can be held. That's why you read this sheet BEFORE you close the menu and BEFORE you buy the display case.</t>
        </is>
      </c>
    </row>
    <row r="60" ht="56" customHeight="1">
      <c r="A60" s="21" t="inlineStr">
        <is>
          <t>WHERE THE REST IS. The display-case allergen matrix and the daily temperature log are in the HACCP Food Safety Kit Pro. This workbook doesn't redo them: it makes the decision that comes before.</t>
        </is>
      </c>
    </row>
    <row r="61" ht="56" customHeight="1">
      <c r="A61" s="21" t="inlineStr">
        <is>
          <t>CHECK YOUR STATE'S EDITION. Your inspector enforces your state's adopted edition of the Food Code, not necessarily the 2022 model; the 2022 rules are the direction of travel, so building to them is the safe choice. Every cell with a legal figure on this sheet carries a note with the section and the link, checked in October 2026.</t>
        </is>
      </c>
    </row>
    <row r="62" ht="56" customHeight="1">
      <c r="A62" s="21" t="inlineStr">
        <is>
          <t>WHAT THIS SHEET DOESN'T COVER, AND WHY. Cooling and freezing belong to the PROCESS, not the display case: they go in your food safety plan and your temperature logs (cooling: Food Code 3-501.14). The 9 major food allergens have their own dedicated matrix in the HACCP Food Safety Kit Pro: repeating them in this table would mean keeping the same data in two places until they drift apart. And anything you package in the shop ahead of time, like bagged bread, needs a full label (3-602.11(B)), which chapter 3 of the guide covers.</t>
        </is>
      </c>
    </row>
    <row r="63"/>
    <row r="64">
      <c r="A64"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6">
    <mergeCell ref="A60:N60"/>
    <mergeCell ref="A59:N59"/>
    <mergeCell ref="A61:N61"/>
    <mergeCell ref="A62:N62"/>
    <mergeCell ref="A57:N57"/>
    <mergeCell ref="A58:N58"/>
  </mergeCells>
  <conditionalFormatting sqref="O6:O35">
    <cfRule type="expression" priority="1" dxfId="0" stopIfTrue="1">
      <formula>=$O6&lt;&gt;""</formula>
    </cfRule>
  </conditionalFormatting>
  <dataValidations count="2">
    <dataValidation sqref="D6 D7 D8 D9 D10 D11 D12 D13 D14 D15 D16 D17 D18 D19 D20 D21 D22 D23 D24 D25 D26 D27 D28 D29 D30 D31 D32 D33 D34 D35" showDropDown="0" showInputMessage="0" showErrorMessage="1" allowBlank="0" errorTitle="Egg route" error="Choose one of the five egg routes from the list." type="list">
      <formula1>'Egg &amp; TCS Decision'!$A$50:$A$54</formula1>
    </dataValidation>
    <dataValidation sqref="E6 E7 E8 E9 E10 E11 E12 E13 E14 E15 E16 E17 E18 E19 E20 E21 E22 E23 E24 E25 E26 E27 E28 E29 E30 E31 E32 E33 E34 E35 F6 F7 F8 F9 F10 F11 F12 F13 F14 F15 F16 F17 F18 F19 F20 F21 F22 F23 F24 F25 F26 F27 F28 F29 F30 F31 F32 F33 F34 F35" showDropDown="0" showInputMessage="0" showErrorMessage="1" allowBlank="0" errorTitle="Yes or No" error="Choose &quot;Yes&quot; or &quot;No&quot; from the list." type="list">
      <formula1>'Egg &amp; TCS Decision'!$D$50:$D$51</formula1>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5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11" customWidth="1" min="4" max="4"/>
    <col width="11" customWidth="1" min="5" max="5"/>
    <col width="11" customWidth="1" min="6" max="6"/>
    <col width="12" customWidth="1" min="7" max="7"/>
    <col width="12" customWidth="1" min="8" max="8"/>
    <col width="12" customWidth="1" min="9" max="9"/>
    <col width="12" customWidth="1" min="10" max="10"/>
    <col width="12" customWidth="1" min="11" max="11"/>
    <col width="11" customWidth="1" min="12" max="12"/>
    <col width="56" customWidth="1" min="13" max="13"/>
  </cols>
  <sheetData>
    <row r="1">
      <c r="A1" s="1" t="inlineStr">
        <is>
          <t>Mix and Average Ticket</t>
        </is>
      </c>
    </row>
    <row r="2">
      <c r="A2" s="2" t="inlineStr">
        <is>
          <t>AI Chef Pro · aichef.pro — How to Open a Pastry Shop</t>
        </is>
      </c>
    </row>
    <row r="3">
      <c r="A3" s="3" t="inlineStr">
        <is>
          <t>We found no reliable published average ticket for bakeries. Yours is calculated from your menu and your mix.</t>
        </is>
      </c>
    </row>
    <row r="4"/>
    <row r="5" ht="42" customHeight="1">
      <c r="A5" s="8" t="inlineStr">
        <is>
          <t>Ref</t>
        </is>
      </c>
      <c r="B5" s="8" t="inlineStr">
        <is>
          <t>Item</t>
        </is>
      </c>
      <c r="C5" s="8" t="inlineStr">
        <is>
          <t>Family</t>
        </is>
      </c>
      <c r="D5" s="8" t="inlineStr">
        <is>
          <t>Mix (% of units)</t>
        </is>
      </c>
      <c r="E5" s="8" t="inlineStr">
        <is>
          <t>Menu price ($)</t>
        </is>
      </c>
      <c r="F5" s="8" t="inlineStr">
        <is>
          <t>Price before tax ($)</t>
        </is>
      </c>
      <c r="G5" s="8" t="inlineStr">
        <is>
          <t>Contribution to the average menu price ($)</t>
        </is>
      </c>
      <c r="H5" s="8" t="inlineStr">
        <is>
          <t>Contribution to the average ticket ($)</t>
        </is>
      </c>
      <c r="I5" s="8" t="inlineStr">
        <is>
          <t>Relative revenue before tax</t>
        </is>
      </c>
      <c r="J5" s="8" t="inlineStr">
        <is>
          <t>Relative ingredient cost</t>
        </is>
      </c>
      <c r="K5" s="8" t="inlineStr">
        <is>
          <t>Relative margin</t>
        </is>
      </c>
      <c r="L5" s="8" t="inlineStr">
        <is>
          <t>Item food cost</t>
        </is>
      </c>
      <c r="M5" s="8" t="inlineStr">
        <is>
          <t>What this item brings in</t>
        </is>
      </c>
    </row>
    <row r="6">
      <c r="A6" t="inlineStr">
        <is>
          <t>B1</t>
        </is>
      </c>
      <c r="B6" t="inlineStr">
        <is>
          <t>Butter croissant</t>
        </is>
      </c>
      <c r="C6" t="inlineStr">
        <is>
          <t>Viennoiserie</t>
        </is>
      </c>
      <c r="D6" s="9" t="n">
        <v>12</v>
      </c>
      <c r="E6" s="11">
        <f>'Labor Cost per Hour'!L6</f>
        <v>1.4545454545454546</v>
      </c>
      <c r="F6" s="11">
        <f>'Labor Cost per Hour'!N6</f>
        <v>1.4545454545454546</v>
      </c>
      <c r="G6" s="11">
        <f>IFERROR(E6*D6/100,"")</f>
        <v>0.17454545454545453</v>
      </c>
      <c r="H6" s="11">
        <f>IFERROR(G6*'Settings'!$B$36,"")</f>
        <v>0.4538181818181818</v>
      </c>
      <c r="I6" s="11">
        <f>IFERROR(F6*D6/100,"")</f>
        <v>0.17454545454545453</v>
      </c>
      <c r="J6" s="11">
        <f>IFERROR('Batch Costing'!G236*D6/100,"")</f>
        <v>0.02830021020085592</v>
      </c>
      <c r="K6" s="11">
        <f>IFERROR('Labor Cost per Hour'!Q6*D6/100,"")</f>
        <v>0.04758673218332959</v>
      </c>
      <c r="L6" s="27">
        <f>'Labor Cost per Hour'!O6</f>
        <v>0.16213662094240372</v>
      </c>
    </row>
    <row r="7">
      <c r="A7" t="inlineStr">
        <is>
          <t>B2</t>
        </is>
      </c>
      <c r="B7" t="inlineStr">
        <is>
          <t>Pain au chocolat (chocolate croissant)</t>
        </is>
      </c>
      <c r="C7" t="inlineStr">
        <is>
          <t>Viennoiserie</t>
        </is>
      </c>
      <c r="D7" s="9" t="n">
        <v>8</v>
      </c>
      <c r="E7" s="11">
        <f>'Labor Cost per Hour'!L7</f>
        <v>1.6818181818181817</v>
      </c>
      <c r="F7" s="11">
        <f>'Labor Cost per Hour'!N7</f>
        <v>1.6818181818181817</v>
      </c>
      <c r="G7" s="11">
        <f>IFERROR(E7*D7/100,"")</f>
        <v>0.13454545454545452</v>
      </c>
      <c r="H7" s="11">
        <f>IFERROR(G7*'Settings'!$B$36,"")</f>
        <v>0.34981818181818175</v>
      </c>
      <c r="I7" s="11">
        <f>IFERROR(F7*D7/100,"")</f>
        <v>0.13454545454545452</v>
      </c>
      <c r="J7" s="11">
        <f>IFERROR('Batch Costing'!G237*D7/100,"")</f>
        <v>0.03356068435159102</v>
      </c>
      <c r="K7" s="11">
        <f>IFERROR('Labor Cost per Hour'!Q7*D7/100,"")</f>
        <v>0.035212428753017486</v>
      </c>
      <c r="L7" s="27">
        <f>'Labor Cost per Hour'!O7</f>
        <v>0.24943751882939275</v>
      </c>
    </row>
    <row r="8">
      <c r="A8" t="inlineStr">
        <is>
          <t>B3</t>
        </is>
      </c>
      <c r="B8" t="inlineStr">
        <is>
          <t>Custard napolitana (cream-filled laminated pastry)</t>
        </is>
      </c>
      <c r="C8" t="inlineStr">
        <is>
          <t>Viennoiserie</t>
        </is>
      </c>
      <c r="D8" s="9" t="n">
        <v>7</v>
      </c>
      <c r="E8" s="11">
        <f>'Labor Cost per Hour'!L8</f>
        <v>1.6818181818181817</v>
      </c>
      <c r="F8" s="11">
        <f>'Labor Cost per Hour'!N8</f>
        <v>1.6818181818181817</v>
      </c>
      <c r="G8" s="11">
        <f>IFERROR(E8*D8/100,"")</f>
        <v>0.11772727272727272</v>
      </c>
      <c r="H8" s="11">
        <f>IFERROR(G8*'Settings'!$B$36,"")</f>
        <v>0.3060909090909091</v>
      </c>
      <c r="I8" s="11">
        <f>IFERROR(F8*D8/100,"")</f>
        <v>0.11772727272727272</v>
      </c>
      <c r="J8" s="11">
        <f>IFERROR('Batch Costing'!G238*D8/100,"")</f>
        <v>0.024684598807642143</v>
      </c>
      <c r="K8" s="11">
        <f>IFERROR('Labor Cost per Hour'!Q8*D8/100,"")</f>
        <v>0.025028093566028437</v>
      </c>
      <c r="L8" s="27">
        <f>'Labor Cost per Hour'!O8</f>
        <v>0.20967612886800277</v>
      </c>
    </row>
    <row r="9">
      <c r="A9" t="inlineStr">
        <is>
          <t>B4</t>
        </is>
      </c>
      <c r="B9" t="inlineStr">
        <is>
          <t>Palmier</t>
        </is>
      </c>
      <c r="C9" t="inlineStr">
        <is>
          <t>Viennoiserie</t>
        </is>
      </c>
      <c r="D9" s="9" t="n">
        <v>4.5</v>
      </c>
      <c r="E9" s="11">
        <f>'Labor Cost per Hour'!L9</f>
        <v>1.5454545454545452</v>
      </c>
      <c r="F9" s="11">
        <f>'Labor Cost per Hour'!N9</f>
        <v>1.5454545454545452</v>
      </c>
      <c r="G9" s="11">
        <f>IFERROR(E9*D9/100,"")</f>
        <v>0.06954545454545454</v>
      </c>
      <c r="H9" s="11">
        <f>IFERROR(G9*'Settings'!$B$36,"")</f>
        <v>0.1808181818181818</v>
      </c>
      <c r="I9" s="11">
        <f>IFERROR(F9*D9/100,"")</f>
        <v>0.06954545454545454</v>
      </c>
      <c r="J9" s="11">
        <f>IFERROR('Batch Costing'!G239*D9/100,"")</f>
        <v>0.009876178174653994</v>
      </c>
      <c r="K9" s="11">
        <f>IFERROR('Labor Cost per Hour'!Q9*D9/100,"")</f>
        <v>0.0372468872432394</v>
      </c>
      <c r="L9" s="27">
        <f>'Labor Cost per Hour'!O9</f>
        <v>0.14201040512574373</v>
      </c>
    </row>
    <row r="10">
      <c r="A10" t="inlineStr">
        <is>
          <t>B5</t>
        </is>
      </c>
      <c r="B10" t="inlineStr">
        <is>
          <t>Raisin snail (pain aux raisins)</t>
        </is>
      </c>
      <c r="C10" t="inlineStr">
        <is>
          <t>Viennoiserie</t>
        </is>
      </c>
      <c r="D10" s="9" t="n">
        <v>3.5</v>
      </c>
      <c r="E10" s="11">
        <f>'Labor Cost per Hour'!L10</f>
        <v>1.6818181818181817</v>
      </c>
      <c r="F10" s="11">
        <f>'Labor Cost per Hour'!N10</f>
        <v>1.6818181818181817</v>
      </c>
      <c r="G10" s="11">
        <f>IFERROR(E10*D10/100,"")</f>
        <v>0.05886363636363636</v>
      </c>
      <c r="H10" s="11">
        <f>IFERROR(G10*'Settings'!$B$36,"")</f>
        <v>0.15304545454545454</v>
      </c>
      <c r="I10" s="11">
        <f>IFERROR(F10*D10/100,"")</f>
        <v>0.05886363636363636</v>
      </c>
      <c r="J10" s="11">
        <f>IFERROR('Batch Costing'!G240*D10/100,"")</f>
        <v>0.010718658638696697</v>
      </c>
      <c r="K10" s="11">
        <f>IFERROR('Labor Cost per Hour'!Q10*D10/100,"")</f>
        <v>0.01675363294635406</v>
      </c>
      <c r="L10" s="27">
        <f>'Labor Cost per Hour'!O10</f>
        <v>0.18209304251067748</v>
      </c>
    </row>
    <row r="11">
      <c r="A11" t="inlineStr">
        <is>
          <t>B6</t>
        </is>
      </c>
      <c r="B11" t="inlineStr">
        <is>
          <t>Ensaïmada (Mallorcan spiral pastry)</t>
        </is>
      </c>
      <c r="C11" t="inlineStr">
        <is>
          <t>Viennoiserie</t>
        </is>
      </c>
      <c r="D11" s="9" t="n">
        <v>3</v>
      </c>
      <c r="E11" s="11">
        <f>'Labor Cost per Hour'!L11</f>
        <v>1.7727272727272725</v>
      </c>
      <c r="F11" s="11">
        <f>'Labor Cost per Hour'!N11</f>
        <v>1.7727272727272725</v>
      </c>
      <c r="G11" s="11">
        <f>IFERROR(E11*D11/100,"")</f>
        <v>0.05318181818181818</v>
      </c>
      <c r="H11" s="11">
        <f>IFERROR(G11*'Settings'!$B$36,"")</f>
        <v>0.13827272727272727</v>
      </c>
      <c r="I11" s="11">
        <f>IFERROR(F11*D11/100,"")</f>
        <v>0.05318181818181818</v>
      </c>
      <c r="J11" s="11">
        <f>IFERROR('Batch Costing'!G241*D11/100,"")</f>
        <v>0.005407028452703122</v>
      </c>
      <c r="K11" s="11">
        <f>IFERROR('Labor Cost per Hour'!Q11*D11/100,"")</f>
        <v>0.008535608755883049</v>
      </c>
      <c r="L11" s="27">
        <f>'Labor Cost per Hour'!O11</f>
        <v>0.10167062047817838</v>
      </c>
    </row>
    <row r="12">
      <c r="A12" t="inlineStr">
        <is>
          <t>PI1</t>
        </is>
      </c>
      <c r="B12" t="inlineStr">
        <is>
          <t>Napoleon (mille-feuille)</t>
        </is>
      </c>
      <c r="C12" t="inlineStr">
        <is>
          <t>Individual pastries</t>
        </is>
      </c>
      <c r="D12" s="9" t="n">
        <v>4</v>
      </c>
      <c r="E12" s="11">
        <f>'Labor Cost per Hour'!L12</f>
        <v>3.2727272727272725</v>
      </c>
      <c r="F12" s="11">
        <f>'Labor Cost per Hour'!N12</f>
        <v>3.2727272727272725</v>
      </c>
      <c r="G12" s="11">
        <f>IFERROR(E12*D12/100,"")</f>
        <v>0.1309090909090909</v>
      </c>
      <c r="H12" s="11">
        <f>IFERROR(G12*'Settings'!$B$36,"")</f>
        <v>0.3403636363636363</v>
      </c>
      <c r="I12" s="11">
        <f>IFERROR(F12*D12/100,"")</f>
        <v>0.1309090909090909</v>
      </c>
      <c r="J12" s="11">
        <f>IFERROR('Batch Costing'!G242*D12/100,"")</f>
        <v>0.017877676260404058</v>
      </c>
      <c r="K12" s="11">
        <f>IFERROR('Labor Cost per Hour'!Q12*D12/100,"")</f>
        <v>0.06320388325410653</v>
      </c>
      <c r="L12" s="27">
        <f>'Labor Cost per Hour'!O12</f>
        <v>0.13656558254475323</v>
      </c>
    </row>
    <row r="13">
      <c r="A13" t="inlineStr">
        <is>
          <t>PI2</t>
        </is>
      </c>
      <c r="B13" t="inlineStr">
        <is>
          <t>Éclair</t>
        </is>
      </c>
      <c r="C13" t="inlineStr">
        <is>
          <t>Individual pastries</t>
        </is>
      </c>
      <c r="D13" s="9" t="n">
        <v>3.5</v>
      </c>
      <c r="E13" s="11">
        <f>'Labor Cost per Hour'!L13</f>
        <v>2.909090909090909</v>
      </c>
      <c r="F13" s="11">
        <f>'Labor Cost per Hour'!N13</f>
        <v>2.909090909090909</v>
      </c>
      <c r="G13" s="11">
        <f>IFERROR(E13*D13/100,"")</f>
        <v>0.10181818181818182</v>
      </c>
      <c r="H13" s="11">
        <f>IFERROR(G13*'Settings'!$B$36,"")</f>
        <v>0.26472727272727276</v>
      </c>
      <c r="I13" s="11">
        <f>IFERROR(F13*D13/100,"")</f>
        <v>0.10181818181818182</v>
      </c>
      <c r="J13" s="11">
        <f>IFERROR('Batch Costing'!G243*D13/100,"")</f>
        <v>0.011838950756120467</v>
      </c>
      <c r="K13" s="11">
        <f>IFERROR('Labor Cost per Hour'!Q13*D13/100,"")</f>
        <v>0.0616398225813938</v>
      </c>
      <c r="L13" s="27">
        <f>'Labor Cost per Hour'!O13</f>
        <v>0.11627540921189744</v>
      </c>
    </row>
    <row r="14">
      <c r="A14" t="inlineStr">
        <is>
          <t>PI3</t>
        </is>
      </c>
      <c r="B14" t="inlineStr">
        <is>
          <t>Raspberry macarons</t>
        </is>
      </c>
      <c r="C14" t="inlineStr">
        <is>
          <t>Individual pastries</t>
        </is>
      </c>
      <c r="D14" s="9" t="n">
        <v>7</v>
      </c>
      <c r="E14" s="11">
        <f>'Labor Cost per Hour'!L14</f>
        <v>1.909090909090909</v>
      </c>
      <c r="F14" s="11">
        <f>'Labor Cost per Hour'!N14</f>
        <v>1.909090909090909</v>
      </c>
      <c r="G14" s="11">
        <f>IFERROR(E14*D14/100,"")</f>
        <v>0.13363636363636364</v>
      </c>
      <c r="H14" s="11">
        <f>IFERROR(G14*'Settings'!$B$36,"")</f>
        <v>0.34745454545454546</v>
      </c>
      <c r="I14" s="11">
        <f>IFERROR(F14*D14/100,"")</f>
        <v>0.13363636363636364</v>
      </c>
      <c r="J14" s="11">
        <f>IFERROR('Batch Costing'!G244*D14/100,"")</f>
        <v>0.013755697234288069</v>
      </c>
      <c r="K14" s="11">
        <f>IFERROR('Labor Cost per Hour'!Q14*D14/100,"")</f>
        <v>0.0640738312401456</v>
      </c>
      <c r="L14" s="27">
        <f>'Labor Cost per Hour'!O14</f>
        <v>0.10293378882800597</v>
      </c>
    </row>
    <row r="15">
      <c r="A15" t="inlineStr">
        <is>
          <t>PI4</t>
        </is>
      </c>
      <c r="B15" t="inlineStr">
        <is>
          <t>Fruit tart</t>
        </is>
      </c>
      <c r="C15" t="inlineStr">
        <is>
          <t>Individual pastries</t>
        </is>
      </c>
      <c r="D15" s="9" t="n">
        <v>3</v>
      </c>
      <c r="E15" s="11">
        <f>'Labor Cost per Hour'!L15</f>
        <v>3.454545454545454</v>
      </c>
      <c r="F15" s="11">
        <f>'Labor Cost per Hour'!N15</f>
        <v>3.454545454545454</v>
      </c>
      <c r="G15" s="11">
        <f>IFERROR(E15*D15/100,"")</f>
        <v>0.10363636363636364</v>
      </c>
      <c r="H15" s="11">
        <f>IFERROR(G15*'Settings'!$B$36,"")</f>
        <v>0.26945454545454545</v>
      </c>
      <c r="I15" s="11">
        <f>IFERROR(F15*D15/100,"")</f>
        <v>0.10363636363636364</v>
      </c>
      <c r="J15" s="11">
        <f>IFERROR('Batch Costing'!G245*D15/100,"")</f>
        <v>0.015749581223001446</v>
      </c>
      <c r="K15" s="11">
        <f>IFERROR('Labor Cost per Hour'!Q15*D15/100,"")</f>
        <v>0.04976872089650824</v>
      </c>
      <c r="L15" s="27">
        <f>'Labor Cost per Hour'!O15</f>
        <v>0.15196964337983854</v>
      </c>
    </row>
    <row r="16">
      <c r="A16" t="inlineStr">
        <is>
          <t>PI5</t>
        </is>
      </c>
      <c r="B16" t="inlineStr">
        <is>
          <t>Cream puff (profiterole)</t>
        </is>
      </c>
      <c r="C16" t="inlineStr">
        <is>
          <t>Individual pastries</t>
        </is>
      </c>
      <c r="D16" s="9" t="n">
        <v>3</v>
      </c>
      <c r="E16" s="11">
        <f>'Labor Cost per Hour'!L16</f>
        <v>2.0909090909090904</v>
      </c>
      <c r="F16" s="11">
        <f>'Labor Cost per Hour'!N16</f>
        <v>2.0909090909090904</v>
      </c>
      <c r="G16" s="11">
        <f>IFERROR(E16*D16/100,"")</f>
        <v>0.06272727272727271</v>
      </c>
      <c r="H16" s="11">
        <f>IFERROR(G16*'Settings'!$B$36,"")</f>
        <v>0.16309090909090906</v>
      </c>
      <c r="I16" s="11">
        <f>IFERROR(F16*D16/100,"")</f>
        <v>0.06272727272727271</v>
      </c>
      <c r="J16" s="11">
        <f>IFERROR('Batch Costing'!G246*D16/100,"")</f>
        <v>0.00594530424720314</v>
      </c>
      <c r="K16" s="11">
        <f>IFERROR('Labor Cost per Hour'!Q16*D16/100,"")</f>
        <v>0.043328535003532884</v>
      </c>
      <c r="L16" s="27">
        <f>'Labor Cost per Hour'!O16</f>
        <v>0.09478021263657183</v>
      </c>
    </row>
    <row r="17">
      <c r="A17" t="inlineStr">
        <is>
          <t>PI6</t>
        </is>
      </c>
      <c r="B17" t="inlineStr">
        <is>
          <t>Individual entremet (mousse cake)</t>
        </is>
      </c>
      <c r="C17" t="inlineStr">
        <is>
          <t>Individual pastries</t>
        </is>
      </c>
      <c r="D17" s="9" t="n">
        <v>1.5</v>
      </c>
      <c r="E17" s="11">
        <f>'Labor Cost per Hour'!L17</f>
        <v>4.090909090909091</v>
      </c>
      <c r="F17" s="11">
        <f>'Labor Cost per Hour'!N17</f>
        <v>4.090909090909091</v>
      </c>
      <c r="G17" s="11">
        <f>IFERROR(E17*D17/100,"")</f>
        <v>0.06136363636363637</v>
      </c>
      <c r="H17" s="11">
        <f>IFERROR(G17*'Settings'!$B$36,"")</f>
        <v>0.15954545454545457</v>
      </c>
      <c r="I17" s="11">
        <f>IFERROR(F17*D17/100,"")</f>
        <v>0.06136363636363637</v>
      </c>
      <c r="J17" s="11">
        <f>IFERROR('Batch Costing'!G247*D17/100,"")</f>
        <v>0.01237111891002479</v>
      </c>
      <c r="K17" s="11">
        <f>IFERROR('Labor Cost per Hour'!Q17*D17/100,"")</f>
        <v>0.022365930364632716</v>
      </c>
      <c r="L17" s="27">
        <f>'Labor Cost per Hour'!O17</f>
        <v>0.20160341927447806</v>
      </c>
    </row>
    <row r="18">
      <c r="A18" t="inlineStr">
        <is>
          <t>T1</t>
        </is>
      </c>
      <c r="B18" t="inlineStr">
        <is>
          <t>70% dark chocolate cake</t>
        </is>
      </c>
      <c r="C18" t="inlineStr">
        <is>
          <t>Cakes and entremets</t>
        </is>
      </c>
      <c r="D18" s="9" t="n">
        <v>1.2</v>
      </c>
      <c r="E18" s="11">
        <f>'Labor Cost per Hour'!L18</f>
        <v>3.2727272727272725</v>
      </c>
      <c r="F18" s="11">
        <f>'Labor Cost per Hour'!N18</f>
        <v>3.2727272727272725</v>
      </c>
      <c r="G18" s="11">
        <f>IFERROR(E18*D18/100,"")</f>
        <v>0.039272727272727265</v>
      </c>
      <c r="H18" s="11">
        <f>IFERROR(G18*'Settings'!$B$36,"")</f>
        <v>0.10210909090909089</v>
      </c>
      <c r="I18" s="11">
        <f>IFERROR(F18*D18/100,"")</f>
        <v>0.039272727272727265</v>
      </c>
      <c r="J18" s="11">
        <f>IFERROR('Batch Costing'!G248*D18/100,"")</f>
        <v>0.013827984331969767</v>
      </c>
      <c r="K18" s="11">
        <f>IFERROR('Labor Cost per Hour'!Q18*D18/100,"")</f>
        <v>0.011991309464220818</v>
      </c>
      <c r="L18" s="27">
        <f>'Labor Cost per Hour'!O18</f>
        <v>0.3521014528973784</v>
      </c>
    </row>
    <row r="19">
      <c r="A19" t="inlineStr">
        <is>
          <t>T2</t>
        </is>
      </c>
      <c r="B19" t="inlineStr">
        <is>
          <t>Cheesecake</t>
        </is>
      </c>
      <c r="C19" t="inlineStr">
        <is>
          <t>Cakes and entremets</t>
        </is>
      </c>
      <c r="D19" s="9" t="n">
        <v>1.5</v>
      </c>
      <c r="E19" s="11">
        <f>'Labor Cost per Hour'!L19</f>
        <v>3.0909090909090904</v>
      </c>
      <c r="F19" s="11">
        <f>'Labor Cost per Hour'!N19</f>
        <v>3.0909090909090904</v>
      </c>
      <c r="G19" s="11">
        <f>IFERROR(E19*D19/100,"")</f>
        <v>0.04636363636363636</v>
      </c>
      <c r="H19" s="11">
        <f>IFERROR(G19*'Settings'!$B$36,"")</f>
        <v>0.12054545454545453</v>
      </c>
      <c r="I19" s="11">
        <f>IFERROR(F19*D19/100,"")</f>
        <v>0.04636363636363636</v>
      </c>
      <c r="J19" s="11">
        <f>IFERROR('Batch Costing'!G249*D19/100,"")</f>
        <v>0.013689483015303837</v>
      </c>
      <c r="K19" s="11">
        <f>IFERROR('Labor Cost per Hour'!Q19*D19/100,"")</f>
        <v>0.021462958784551945</v>
      </c>
      <c r="L19" s="27">
        <f>'Labor Cost per Hour'!O19</f>
        <v>0.29526335915361224</v>
      </c>
    </row>
    <row r="20">
      <c r="A20" t="inlineStr">
        <is>
          <t>T3</t>
        </is>
      </c>
      <c r="B20" t="inlineStr">
        <is>
          <t>Apple tart</t>
        </is>
      </c>
      <c r="C20" t="inlineStr">
        <is>
          <t>Cakes and entremets</t>
        </is>
      </c>
      <c r="D20" s="9" t="n">
        <v>1.1</v>
      </c>
      <c r="E20" s="11">
        <f>'Labor Cost per Hour'!L20</f>
        <v>2.909090909090909</v>
      </c>
      <c r="F20" s="11">
        <f>'Labor Cost per Hour'!N20</f>
        <v>2.909090909090909</v>
      </c>
      <c r="G20" s="11">
        <f>IFERROR(E20*D20/100,"")</f>
        <v>0.032</v>
      </c>
      <c r="H20" s="11">
        <f>IFERROR(G20*'Settings'!$B$36,"")</f>
        <v>0.08320000000000001</v>
      </c>
      <c r="I20" s="11">
        <f>IFERROR(F20*D20/100,"")</f>
        <v>0.032</v>
      </c>
      <c r="J20" s="11">
        <f>IFERROR('Batch Costing'!G250*D20/100,"")</f>
        <v>0.004717773044199119</v>
      </c>
      <c r="K20" s="11">
        <f>IFERROR('Labor Cost per Hour'!Q20*D20/100,"")</f>
        <v>0.016320170048993214</v>
      </c>
      <c r="L20" s="27">
        <f>'Labor Cost per Hour'!O20</f>
        <v>0.14743040763122245</v>
      </c>
    </row>
    <row r="21">
      <c r="A21" t="inlineStr">
        <is>
          <t>T4</t>
        </is>
      </c>
      <c r="B21" t="inlineStr">
        <is>
          <t>Carrot cake</t>
        </is>
      </c>
      <c r="C21" t="inlineStr">
        <is>
          <t>Cakes and entremets</t>
        </is>
      </c>
      <c r="D21" s="9" t="n">
        <v>0.9</v>
      </c>
      <c r="E21" s="11">
        <f>'Labor Cost per Hour'!L21</f>
        <v>2.9999999999999996</v>
      </c>
      <c r="F21" s="11">
        <f>'Labor Cost per Hour'!N21</f>
        <v>2.9999999999999996</v>
      </c>
      <c r="G21" s="11">
        <f>IFERROR(E21*D21/100,"")</f>
        <v>0.026999999999999996</v>
      </c>
      <c r="H21" s="11">
        <f>IFERROR(G21*'Settings'!$B$36,"")</f>
        <v>0.0702</v>
      </c>
      <c r="I21" s="11">
        <f>IFERROR(F21*D21/100,"")</f>
        <v>0.026999999999999996</v>
      </c>
      <c r="J21" s="11">
        <f>IFERROR('Batch Costing'!G251*D21/100,"")</f>
        <v>0.00677813632432437</v>
      </c>
      <c r="K21" s="11">
        <f>IFERROR('Labor Cost per Hour'!Q21*D21/100,"")</f>
        <v>0.010131788568273112</v>
      </c>
      <c r="L21" s="27">
        <f>'Labor Cost per Hour'!O21</f>
        <v>0.2510420860860878</v>
      </c>
    </row>
    <row r="22">
      <c r="A22" t="inlineStr">
        <is>
          <t>T5</t>
        </is>
      </c>
      <c r="B22" t="inlineStr">
        <is>
          <t>Sachertorte</t>
        </is>
      </c>
      <c r="C22" t="inlineStr">
        <is>
          <t>Cakes and entremets</t>
        </is>
      </c>
      <c r="D22" s="9" t="n">
        <v>0.8</v>
      </c>
      <c r="E22" s="11">
        <f>'Labor Cost per Hour'!L22</f>
        <v>3.454545454545454</v>
      </c>
      <c r="F22" s="11">
        <f>'Labor Cost per Hour'!N22</f>
        <v>3.454545454545454</v>
      </c>
      <c r="G22" s="11">
        <f>IFERROR(E22*D22/100,"")</f>
        <v>0.027636363636363636</v>
      </c>
      <c r="H22" s="11">
        <f>IFERROR(G22*'Settings'!$B$36,"")</f>
        <v>0.07185454545454546</v>
      </c>
      <c r="I22" s="11">
        <f>IFERROR(F22*D22/100,"")</f>
        <v>0.027636363636363636</v>
      </c>
      <c r="J22" s="11">
        <f>IFERROR('Batch Costing'!G252*D22/100,"")</f>
        <v>0.007126271736843551</v>
      </c>
      <c r="K22" s="11">
        <f>IFERROR('Labor Cost per Hour'!Q22*D22/100,"")</f>
        <v>0.009548034992712413</v>
      </c>
      <c r="L22" s="27">
        <f>'Labor Cost per Hour'!O22</f>
        <v>0.2578585167936811</v>
      </c>
    </row>
    <row r="23">
      <c r="A23" t="inlineStr">
        <is>
          <t>T6</t>
        </is>
      </c>
      <c r="B23" t="inlineStr">
        <is>
          <t>Strawberries &amp; cream cake</t>
        </is>
      </c>
      <c r="C23" t="inlineStr">
        <is>
          <t>Cakes and entremets</t>
        </is>
      </c>
      <c r="D23" s="9" t="n">
        <v>1</v>
      </c>
      <c r="E23" s="11">
        <f>'Labor Cost per Hour'!L23</f>
        <v>3.1818181818181817</v>
      </c>
      <c r="F23" s="11">
        <f>'Labor Cost per Hour'!N23</f>
        <v>3.1818181818181817</v>
      </c>
      <c r="G23" s="11">
        <f>IFERROR(E23*D23/100,"")</f>
        <v>0.031818181818181815</v>
      </c>
      <c r="H23" s="11">
        <f>IFERROR(G23*'Settings'!$B$36,"")</f>
        <v>0.08272727272727272</v>
      </c>
      <c r="I23" s="11">
        <f>IFERROR(F23*D23/100,"")</f>
        <v>0.031818181818181815</v>
      </c>
      <c r="J23" s="11">
        <f>IFERROR('Batch Costing'!G253*D23/100,"")</f>
        <v>0.00758402908349681</v>
      </c>
      <c r="K23" s="11">
        <f>IFERROR('Labor Cost per Hour'!Q23*D23/100,"")</f>
        <v>0.011777269886039927</v>
      </c>
      <c r="L23" s="27">
        <f>'Labor Cost per Hour'!O23</f>
        <v>0.2383551997670426</v>
      </c>
    </row>
    <row r="24">
      <c r="A24" t="inlineStr">
        <is>
          <t>PA1</t>
        </is>
      </c>
      <c r="B24" t="inlineStr">
        <is>
          <t>Baguette</t>
        </is>
      </c>
      <c r="C24" t="inlineStr">
        <is>
          <t>Breads</t>
        </is>
      </c>
      <c r="D24" s="9" t="n">
        <v>16</v>
      </c>
      <c r="E24" s="11">
        <f>'Labor Cost per Hour'!L24</f>
        <v>1.1538461538461537</v>
      </c>
      <c r="F24" s="11">
        <f>'Labor Cost per Hour'!N24</f>
        <v>1.1538461538461537</v>
      </c>
      <c r="G24" s="11">
        <f>IFERROR(E24*D24/100,"")</f>
        <v>0.1846153846153846</v>
      </c>
      <c r="H24" s="11">
        <f>IFERROR(G24*'Settings'!$B$36,"")</f>
        <v>0.48</v>
      </c>
      <c r="I24" s="11">
        <f>IFERROR(F24*D24/100,"")</f>
        <v>0.1846153846153846</v>
      </c>
      <c r="J24" s="11">
        <f>IFERROR('Batch Costing'!G254*D24/100,"")</f>
        <v>0.027536416889056222</v>
      </c>
      <c r="K24" s="11">
        <f>IFERROR('Labor Cost per Hour'!Q24*D24/100,"")</f>
        <v>0.11522384135488091</v>
      </c>
      <c r="L24" s="27">
        <f>'Labor Cost per Hour'!O24</f>
        <v>0.14915559148238788</v>
      </c>
    </row>
    <row r="25">
      <c r="A25" t="inlineStr">
        <is>
          <t>PA2</t>
        </is>
      </c>
      <c r="B25" t="inlineStr">
        <is>
          <t>Ciabatta</t>
        </is>
      </c>
      <c r="C25" t="inlineStr">
        <is>
          <t>Breads</t>
        </is>
      </c>
      <c r="D25" s="9" t="n">
        <v>4</v>
      </c>
      <c r="E25" s="11">
        <f>'Labor Cost per Hour'!L25</f>
        <v>1.5384615384615385</v>
      </c>
      <c r="F25" s="11">
        <f>'Labor Cost per Hour'!N25</f>
        <v>1.5384615384615385</v>
      </c>
      <c r="G25" s="11">
        <f>IFERROR(E25*D25/100,"")</f>
        <v>0.06153846153846154</v>
      </c>
      <c r="H25" s="11">
        <f>IFERROR(G25*'Settings'!$B$36,"")</f>
        <v>0.16</v>
      </c>
      <c r="I25" s="11">
        <f>IFERROR(F25*D25/100,"")</f>
        <v>0.06153846153846154</v>
      </c>
      <c r="J25" s="11">
        <f>IFERROR('Batch Costing'!G255*D25/100,"")</f>
        <v>0.008532314217059586</v>
      </c>
      <c r="K25" s="11">
        <f>IFERROR('Labor Cost per Hour'!Q25*D25/100,"")</f>
        <v>0.03805788790302786</v>
      </c>
      <c r="L25" s="27">
        <f>'Labor Cost per Hour'!O25</f>
        <v>0.13865010602721828</v>
      </c>
    </row>
    <row r="26">
      <c r="A26" t="inlineStr">
        <is>
          <t>PA3</t>
        </is>
      </c>
      <c r="B26" t="inlineStr">
        <is>
          <t>Sourdough boule</t>
        </is>
      </c>
      <c r="C26" t="inlineStr">
        <is>
          <t>Breads</t>
        </is>
      </c>
      <c r="D26" s="9" t="n">
        <v>3.5</v>
      </c>
      <c r="E26" s="11">
        <f>'Labor Cost per Hour'!L26</f>
        <v>3.75</v>
      </c>
      <c r="F26" s="11">
        <f>'Labor Cost per Hour'!N26</f>
        <v>3.75</v>
      </c>
      <c r="G26" s="11">
        <f>IFERROR(E26*D26/100,"")</f>
        <v>0.13125</v>
      </c>
      <c r="H26" s="11">
        <f>IFERROR(G26*'Settings'!$B$36,"")</f>
        <v>0.34125000000000005</v>
      </c>
      <c r="I26" s="11">
        <f>IFERROR(F26*D26/100,"")</f>
        <v>0.13125</v>
      </c>
      <c r="J26" s="11">
        <f>IFERROR('Batch Costing'!G256*D26/100,"")</f>
        <v>0.0207540500736377</v>
      </c>
      <c r="K26" s="11">
        <f>IFERROR('Labor Cost per Hour'!Q26*D26/100,"")</f>
        <v>0.07561667795015607</v>
      </c>
      <c r="L26" s="27">
        <f>'Labor Cost per Hour'!O26</f>
        <v>0.15812609579914438</v>
      </c>
    </row>
    <row r="27">
      <c r="A27" t="inlineStr">
        <is>
          <t>PA4</t>
        </is>
      </c>
      <c r="B27" t="inlineStr">
        <is>
          <t>Sandwich loaf (pullman)</t>
        </is>
      </c>
      <c r="C27" t="inlineStr">
        <is>
          <t>Breads</t>
        </is>
      </c>
      <c r="D27" s="9" t="n">
        <v>2.5</v>
      </c>
      <c r="E27" s="11">
        <f>'Labor Cost per Hour'!L27</f>
        <v>3.076923076923077</v>
      </c>
      <c r="F27" s="11">
        <f>'Labor Cost per Hour'!N27</f>
        <v>3.076923076923077</v>
      </c>
      <c r="G27" s="11">
        <f>IFERROR(E27*D27/100,"")</f>
        <v>0.07692307692307693</v>
      </c>
      <c r="H27" s="11">
        <f>IFERROR(G27*'Settings'!$B$36,"")</f>
        <v>0.2</v>
      </c>
      <c r="I27" s="11">
        <f>IFERROR(F27*D27/100,"")</f>
        <v>0.07692307692307693</v>
      </c>
      <c r="J27" s="11">
        <f>IFERROR('Batch Costing'!G257*D27/100,"")</f>
        <v>0.02030239073383016</v>
      </c>
      <c r="K27" s="11">
        <f>IFERROR('Labor Cost per Hour'!Q27*D27/100,"")</f>
        <v>0.034198297061685624</v>
      </c>
      <c r="L27" s="27">
        <f>'Labor Cost per Hour'!O27</f>
        <v>0.26393107953979206</v>
      </c>
    </row>
    <row r="28">
      <c r="A28" t="inlineStr">
        <is>
          <t>TP1</t>
        </is>
      </c>
      <c r="B28" t="inlineStr">
        <is>
          <t>Rosca de Reyes (Three Kings bread)</t>
        </is>
      </c>
      <c r="C28" t="inlineStr">
        <is>
          <t>Seasonal</t>
        </is>
      </c>
      <c r="D28" s="9" t="n">
        <v>1.2</v>
      </c>
      <c r="E28" s="11">
        <f>'Labor Cost per Hour'!L28</f>
        <v>14.999999999999998</v>
      </c>
      <c r="F28" s="11">
        <f>'Labor Cost per Hour'!N28</f>
        <v>14.999999999999998</v>
      </c>
      <c r="G28" s="11">
        <f>IFERROR(E28*D28/100,"")</f>
        <v>0.17999999999999997</v>
      </c>
      <c r="H28" s="11">
        <f>IFERROR(G28*'Settings'!$B$36,"")</f>
        <v>0.4679999999999999</v>
      </c>
      <c r="I28" s="11">
        <f>IFERROR(F28*D28/100,"")</f>
        <v>0.17999999999999997</v>
      </c>
      <c r="J28" s="11">
        <f>IFERROR('Batch Costing'!G258*D28/100,"")</f>
        <v>0.031185320657409678</v>
      </c>
      <c r="K28" s="11">
        <f>IFERROR('Labor Cost per Hour'!Q28*D28/100,"")</f>
        <v>0.12190781238951694</v>
      </c>
      <c r="L28" s="27">
        <f>'Labor Cost per Hour'!O28</f>
        <v>0.1732517814300538</v>
      </c>
    </row>
    <row r="29">
      <c r="A29" t="inlineStr">
        <is>
          <t>TP2</t>
        </is>
      </c>
      <c r="B29" t="inlineStr">
        <is>
          <t>Torrijas (Spanish Easter French toast)</t>
        </is>
      </c>
      <c r="C29" t="inlineStr">
        <is>
          <t>Seasonal</t>
        </is>
      </c>
      <c r="D29" s="9" t="n">
        <v>1.3</v>
      </c>
      <c r="E29" s="11">
        <f>'Labor Cost per Hour'!L29</f>
        <v>2.1818181818181817</v>
      </c>
      <c r="F29" s="11">
        <f>'Labor Cost per Hour'!N29</f>
        <v>2.1818181818181817</v>
      </c>
      <c r="G29" s="11">
        <f>IFERROR(E29*D29/100,"")</f>
        <v>0.028363636363636365</v>
      </c>
      <c r="H29" s="11">
        <f>IFERROR(G29*'Settings'!$B$36,"")</f>
        <v>0.07374545454545456</v>
      </c>
      <c r="I29" s="11">
        <f>IFERROR(F29*D29/100,"")</f>
        <v>0.028363636363636365</v>
      </c>
      <c r="J29" s="11">
        <f>IFERROR('Batch Costing'!G259*D29/100,"")</f>
        <v>0.0033807238243123345</v>
      </c>
      <c r="K29" s="11">
        <f>IFERROR('Labor Cost per Hour'!Q29*D29/100,"")</f>
        <v>0.01591430182551041</v>
      </c>
      <c r="L29" s="27">
        <f>'Labor Cost per Hour'!O29</f>
        <v>0.11919218611357589</v>
      </c>
    </row>
    <row r="30">
      <c r="A30" t="inlineStr">
        <is>
          <t>TP3</t>
        </is>
      </c>
      <c r="B30" t="inlineStr">
        <is>
          <t>Buñuelos de viento (Spanish cream-filled fritters)</t>
        </is>
      </c>
      <c r="C30" t="inlineStr">
        <is>
          <t>Seasonal</t>
        </is>
      </c>
      <c r="D30" s="9" t="n">
        <v>1</v>
      </c>
      <c r="E30" s="11">
        <f>'Labor Cost per Hour'!L30</f>
        <v>1.4545454545454546</v>
      </c>
      <c r="F30" s="11">
        <f>'Labor Cost per Hour'!N30</f>
        <v>1.4545454545454546</v>
      </c>
      <c r="G30" s="11">
        <f>IFERROR(E30*D30/100,"")</f>
        <v>0.014545454545454545</v>
      </c>
      <c r="H30" s="11">
        <f>IFERROR(G30*'Settings'!$B$36,"")</f>
        <v>0.03781818181818182</v>
      </c>
      <c r="I30" s="11">
        <f>IFERROR(F30*D30/100,"")</f>
        <v>0.014545454545454545</v>
      </c>
      <c r="J30" s="11">
        <f>IFERROR('Batch Costing'!G260*D30/100,"")</f>
        <v>0.0016951087337669269</v>
      </c>
      <c r="K30" s="11">
        <f>IFERROR('Labor Cost per Hour'!Q30*D30/100,"")</f>
        <v>0.009113280957094095</v>
      </c>
      <c r="L30" s="27">
        <f>'Labor Cost per Hour'!O30</f>
        <v>0.11653872544647621</v>
      </c>
    </row>
    <row r="31">
      <c r="A31" t="inlineStr">
        <is>
          <t>TP4</t>
        </is>
      </c>
      <c r="B31" t="inlineStr">
        <is>
          <t>Huesos de santo (marzipan "saints' bones")</t>
        </is>
      </c>
      <c r="C31" t="inlineStr">
        <is>
          <t>Seasonal</t>
        </is>
      </c>
      <c r="D31" s="9" t="n">
        <v>0.8</v>
      </c>
      <c r="E31" s="11">
        <f>'Labor Cost per Hour'!L31</f>
        <v>1.727272727272727</v>
      </c>
      <c r="F31" s="11">
        <f>'Labor Cost per Hour'!N31</f>
        <v>1.727272727272727</v>
      </c>
      <c r="G31" s="11">
        <f>IFERROR(E31*D31/100,"")</f>
        <v>0.013818181818181818</v>
      </c>
      <c r="H31" s="11">
        <f>IFERROR(G31*'Settings'!$B$36,"")</f>
        <v>0.03592727272727273</v>
      </c>
      <c r="I31" s="11">
        <f>IFERROR(F31*D31/100,"")</f>
        <v>0.013818181818181818</v>
      </c>
      <c r="J31" s="11">
        <f>IFERROR('Batch Costing'!G261*D31/100,"")</f>
        <v>0.002596680272108844</v>
      </c>
      <c r="K31" s="11">
        <f>IFERROR('Labor Cost per Hour'!Q31*D31/100,"")</f>
        <v>0.006139093343825781</v>
      </c>
      <c r="L31" s="27">
        <f>'Labor Cost per Hour'!O31</f>
        <v>0.18791765127103474</v>
      </c>
    </row>
    <row r="32">
      <c r="A32" t="inlineStr">
        <is>
          <t>TP5</t>
        </is>
      </c>
      <c r="B32" t="inlineStr">
        <is>
          <t>Panellets (almond and pine-nut cookies)</t>
        </is>
      </c>
      <c r="C32" t="inlineStr">
        <is>
          <t>Seasonal</t>
        </is>
      </c>
      <c r="D32" s="9" t="n">
        <v>0.7</v>
      </c>
      <c r="E32" s="11">
        <f>'Labor Cost per Hour'!L32</f>
        <v>1.6818181818181817</v>
      </c>
      <c r="F32" s="11">
        <f>'Labor Cost per Hour'!N32</f>
        <v>1.6818181818181817</v>
      </c>
      <c r="G32" s="11">
        <f>IFERROR(E32*D32/100,"")</f>
        <v>0.01177272727272727</v>
      </c>
      <c r="H32" s="11">
        <f>IFERROR(G32*'Settings'!$B$36,"")</f>
        <v>0.030609090909090902</v>
      </c>
      <c r="I32" s="11">
        <f>IFERROR(F32*D32/100,"")</f>
        <v>0.01177272727272727</v>
      </c>
      <c r="J32" s="11">
        <f>IFERROR('Batch Costing'!G262*D32/100,"")</f>
        <v>0.004822825396825397</v>
      </c>
      <c r="K32" s="11">
        <f>IFERROR('Labor Cost per Hour'!Q32*D32/100,"")</f>
        <v>0.003810767398043315</v>
      </c>
      <c r="L32" s="27">
        <f>'Labor Cost per Hour'!O32</f>
        <v>0.40966084451798745</v>
      </c>
    </row>
    <row r="33">
      <c r="A33" t="inlineStr">
        <is>
          <t>TP6</t>
        </is>
      </c>
      <c r="B33" t="inlineStr">
        <is>
          <t>Polvorones (Spanish shortbread)</t>
        </is>
      </c>
      <c r="C33" t="inlineStr">
        <is>
          <t>Seasonal</t>
        </is>
      </c>
      <c r="D33" s="9" t="n">
        <v>1.3</v>
      </c>
      <c r="E33" s="11">
        <f>'Labor Cost per Hour'!L33</f>
        <v>1.0909090909090908</v>
      </c>
      <c r="F33" s="11">
        <f>'Labor Cost per Hour'!N33</f>
        <v>1.0909090909090908</v>
      </c>
      <c r="G33" s="11">
        <f>IFERROR(E33*D33/100,"")</f>
        <v>0.014181818181818183</v>
      </c>
      <c r="H33" s="11">
        <f>IFERROR(G33*'Settings'!$B$36,"")</f>
        <v>0.03687272727272728</v>
      </c>
      <c r="I33" s="11">
        <f>IFERROR(F33*D33/100,"")</f>
        <v>0.014181818181818183</v>
      </c>
      <c r="J33" s="11">
        <f>IFERROR('Batch Costing'!G263*D33/100,"")</f>
        <v>0.002041821809200597</v>
      </c>
      <c r="K33" s="11">
        <f>IFERROR('Labor Cost per Hour'!Q33*D33/100,"")</f>
        <v>0.007864794178962593</v>
      </c>
      <c r="L33" s="27">
        <f>'Labor Cost per Hour'!O33</f>
        <v>0.14397461475132414</v>
      </c>
    </row>
    <row r="34">
      <c r="A34" t="inlineStr">
        <is>
          <t>TP7</t>
        </is>
      </c>
      <c r="B34" t="inlineStr">
        <is>
          <t>Almond turrón (nougat)</t>
        </is>
      </c>
      <c r="C34" t="inlineStr">
        <is>
          <t>Seasonal</t>
        </is>
      </c>
      <c r="D34" s="9" t="n">
        <v>0.5</v>
      </c>
      <c r="E34" s="11">
        <f>'Labor Cost per Hour'!L34</f>
        <v>9.545454545454545</v>
      </c>
      <c r="F34" s="11">
        <f>'Labor Cost per Hour'!N34</f>
        <v>9.545454545454545</v>
      </c>
      <c r="G34" s="11">
        <f>IFERROR(E34*D34/100,"")</f>
        <v>0.04772727272727272</v>
      </c>
      <c r="H34" s="11">
        <f>IFERROR(G34*'Settings'!$B$36,"")</f>
        <v>0.12409090909090909</v>
      </c>
      <c r="I34" s="11">
        <f>IFERROR(F34*D34/100,"")</f>
        <v>0.04772727272727272</v>
      </c>
      <c r="J34" s="11">
        <f>IFERROR('Batch Costing'!G264*D34/100,"")</f>
        <v>0.01548731825882822</v>
      </c>
      <c r="K34" s="11">
        <f>IFERROR('Labor Cost per Hour'!Q34*D34/100,"")</f>
        <v>0.027381770157472927</v>
      </c>
      <c r="L34" s="27">
        <f>'Labor Cost per Hour'!O34</f>
        <v>0.3244961920897341</v>
      </c>
    </row>
    <row r="35">
      <c r="A35" t="inlineStr">
        <is>
          <t>TP8</t>
        </is>
      </c>
      <c r="B35" t="inlineStr">
        <is>
          <t>Mona de Pascua (Catalan Easter cake)</t>
        </is>
      </c>
      <c r="C35" t="inlineStr">
        <is>
          <t>Seasonal</t>
        </is>
      </c>
      <c r="D35" s="9" t="n">
        <v>0.7</v>
      </c>
      <c r="E35" s="11">
        <f>'Labor Cost per Hour'!L35</f>
        <v>12.272727272727272</v>
      </c>
      <c r="F35" s="11">
        <f>'Labor Cost per Hour'!N35</f>
        <v>12.272727272727272</v>
      </c>
      <c r="G35" s="11">
        <f>IFERROR(E35*D35/100,"")</f>
        <v>0.0859090909090909</v>
      </c>
      <c r="H35" s="11">
        <f>IFERROR(G35*'Settings'!$B$36,"")</f>
        <v>0.22336363636363632</v>
      </c>
      <c r="I35" s="11">
        <f>IFERROR(F35*D35/100,"")</f>
        <v>0.0859090909090909</v>
      </c>
      <c r="J35" s="11">
        <f>IFERROR('Batch Costing'!G265*D35/100,"")</f>
        <v>0.014104128236965599</v>
      </c>
      <c r="K35" s="11">
        <f>IFERROR('Labor Cost per Hour'!Q35*D35/100,"")</f>
        <v>0.05984635513742603</v>
      </c>
      <c r="L35" s="27">
        <f>'Labor Cost per Hour'!O35</f>
        <v>0.16417503767896466</v>
      </c>
    </row>
    <row r="36">
      <c r="A36" s="13" t="inlineStr">
        <is>
          <t>MENU TOTAL</t>
        </is>
      </c>
      <c r="D36" s="14">
        <f>SUM(D6:D35)</f>
        <v>100.0</v>
      </c>
      <c r="G36" s="15">
        <f>SUM(G6:G35)</f>
        <v>2.257236013986014</v>
      </c>
      <c r="H36" s="15">
        <f>SUM(H6:H35)</f>
        <v>5.868813636363636</v>
      </c>
      <c r="I36" s="15">
        <f>SUM(I6:I35)</f>
        <v>2.257236013986014</v>
      </c>
      <c r="J36" s="15">
        <f>SUM(J6:J35)</f>
        <v>0.39624846389632357</v>
      </c>
      <c r="K36" s="15">
        <f>SUM(K6:K35)</f>
        <v>1.0710505181905658</v>
      </c>
      <c r="M36" s="17" t="inlineStr">
        <is>
          <t>The mix has to add up to 100.00. If it doesn't, the cell turns red: the average ticket below would be lying.</t>
        </is>
      </c>
    </row>
    <row r="37"/>
    <row r="38">
      <c r="A38" s="4" t="inlineStr">
        <is>
          <t>Your pastry shop's average ticket</t>
        </is>
      </c>
    </row>
    <row r="39" ht="26" customHeight="1">
      <c r="B39" s="25" t="inlineStr">
        <is>
          <t>Weighted average menu price</t>
        </is>
      </c>
      <c r="F39" s="15">
        <f>IFERROR($G$36,"")</f>
        <v>2.257236013986014</v>
      </c>
      <c r="I39" s="12" t="inlineStr">
        <is>
          <t>Sum of the contributions of the 30 items, weighted by the unit mix.</t>
        </is>
      </c>
    </row>
    <row r="40" ht="26" customHeight="1">
      <c r="B40" s="25" t="inlineStr">
        <is>
          <t>Pieces per customer</t>
        </is>
      </c>
      <c r="F40" s="14">
        <f>'Settings'!$B$36</f>
        <v>2.6</v>
      </c>
      <c r="I40" s="12" t="inlineStr">
        <is>
          <t>Taken from "Settings". It's the only assumption: everything else comes from your menu.</t>
        </is>
      </c>
    </row>
    <row r="41" ht="26" customHeight="1">
      <c r="B41" s="13" t="inlineStr">
        <is>
          <t>AVERAGE TICKET AT MENU PRICES</t>
        </is>
      </c>
      <c r="F41" s="15">
        <f>IFERROR($G$36*'Settings'!$B$36,"")</f>
        <v>5.868813636363637</v>
      </c>
      <c r="I41" s="12" t="inlineStr">
        <is>
          <t>Weighted average menu price times pieces per customer. It isn't copied from any study because we found none: this one is yours, and that's why you can defend it in front of a bank.</t>
        </is>
      </c>
    </row>
    <row r="42" ht="26" customHeight="1">
      <c r="B42" s="25" t="inlineStr">
        <is>
          <t>Average ticket before sales tax</t>
        </is>
      </c>
      <c r="F42" s="15">
        <f>IFERROR($I$36*'Settings'!$B$36,"")</f>
        <v>5.868813636363637</v>
      </c>
      <c r="I42" s="12" t="inlineStr">
        <is>
          <t>The one that goes into the financial plan: the P&amp;L is before sales tax.</t>
        </is>
      </c>
    </row>
    <row r="43" ht="26" customHeight="1">
      <c r="B43" s="25" t="inlineStr">
        <is>
          <t>Average VAT/GST in your menu prices (0 in the US)</t>
        </is>
      </c>
      <c r="F43" s="20">
        <f>IFERROR($G$36/$I$36-1,"")</f>
        <v>0.0</v>
      </c>
      <c r="I43" s="12" t="inlineStr">
        <is>
          <t>It isn't a legal rate: it's what takes you from cash collected to net sales where menu prices include VAT or GST (UK, Australia). In the US, menu prices are before sales tax, so it's 0.</t>
        </is>
      </c>
    </row>
    <row r="44" ht="26" customHeight="1">
      <c r="B44" s="25" t="inlineStr">
        <is>
          <t>Menu INGREDIENT food cost</t>
        </is>
      </c>
      <c r="F44" s="20">
        <f>IFERROR($J$36/$I$36,"")</f>
        <v>0.17554587178351602</v>
      </c>
      <c r="I44" s="12" t="inlineStr">
        <is>
          <t>Weighted by dollars sold, which is the real way to weight it, not by pieces.</t>
        </is>
      </c>
    </row>
    <row r="45" ht="26" customHeight="1">
      <c r="B45" s="25" t="inlineStr">
        <is>
          <t>SERVED food cost (with waste and packaging)</t>
        </is>
      </c>
      <c r="F45" s="20">
        <f>IFERROR($J$36/$I$36/(1-'Settings'!$B$34)*(1+'Settings'!$B$35),"")</f>
        <v>0.20326364101249228</v>
      </c>
      <c r="I45" s="12" t="inlineStr">
        <is>
          <t>The recipe costing figure plus what's made and not sold, plus the box. It's the one that comes closest to your P&amp;L.</t>
        </is>
      </c>
    </row>
    <row r="46" ht="26" customHeight="1">
      <c r="B46" s="25" t="inlineStr">
        <is>
          <t>House target food cost</t>
        </is>
      </c>
      <c r="F46" s="20">
        <f>'Settings'!$B$24</f>
        <v>0.32</v>
      </c>
      <c r="I46" s="12" t="inlineStr">
        <is>
          <t>The one in "Settings". The industry rule is 30-35%.</t>
        </is>
      </c>
    </row>
    <row r="47" ht="26" customHeight="1">
      <c r="B47" s="25" t="inlineStr">
        <is>
          <t>Average contribution margin per piece ($)</t>
        </is>
      </c>
      <c r="F47" s="15">
        <f>IFERROR($K$36/$D$36*100,"")</f>
        <v>1.0710505181905658</v>
      </c>
      <c r="I47" s="12" t="inlineStr">
        <is>
          <t>After ingredients AND labor. It's the dollar left to pay rent, utilities and your own pay.</t>
        </is>
      </c>
    </row>
    <row r="48"/>
    <row r="49"/>
    <row r="50" ht="76" customHeight="1">
      <c r="A50" s="21" t="inlineStr">
        <is>
          <t>WHY THE MENU FOOD COST AND THE ONE IN THE FINANCIAL PLAN DON'T MATCH. The recipe costing counts only the ingredients of what you make. The one that reaches the P&amp;L adds four things, in this order of size: THIRD-PARTY products the front counter resells (drinks, coffee, ice cream, bought-in chocolates), which have no costing of their own; real waste, which in fresh product runs above target; packaging; and ingredient price increases, which in butter and cocoa aren't theoretical. That's why the financial plan is projected with the industry rule and not with your recipe costing: it's the conservative assumption. The gap between the two numbers is your cushion.</t>
        </is>
      </c>
    </row>
    <row r="51" ht="76" customHeight="1">
      <c r="A51" s="21" t="inlineStr">
        <is>
          <t>THE MIX IS MEASURED, NOT GUESSED. The one in the example is an assumption. Yours comes out of your POS in two clicks three months after opening, and until then any average ticket you calculate is a hypothesis. Say so when you take it to the bank.</t>
        </is>
      </c>
    </row>
    <row r="52"/>
    <row r="53">
      <c r="A53"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I39:M39"/>
    <mergeCell ref="A51:M51"/>
    <mergeCell ref="A50:M50"/>
  </mergeCells>
  <conditionalFormatting sqref="D36">
    <cfRule type="expression" priority="1" dxfId="0" stopIfTrue="1">
      <formula>=AND(ISNUMBER($D$36),ABS($D$36-100)&gt;0.01)</formula>
    </cfRule>
  </conditionalFormatting>
  <dataValidations count="1">
    <dataValidation sqref="D6 D7 D8 D9 D10 D11 D12 D13 D14 D15 D16 D17 D18 D19 D20 D21 D22 D23 D24 D25 D26 D27 D28 D29 D30 D31 D32 D33 D34 D35" showDropDown="0" showInputMessage="0" showErrorMessage="1" allowBlank="1" errorTitle="Mix (%)" error="Enter the mix as a percentage from 0 to 100 (12 = 12%). The 30 have to add up to 100." type="decimal" operator="between">
      <formula1>0</formula1>
      <formula2>100</formula2>
    </dataValidation>
  </dataValidations>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5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10" customWidth="1" min="4" max="4"/>
    <col width="11" customWidth="1" min="5" max="5"/>
    <col width="11" customWidth="1" min="6" max="6"/>
    <col width="11" customWidth="1" min="7" max="7"/>
    <col width="11" customWidth="1" min="8" max="8"/>
    <col width="11" customWidth="1" min="9" max="9"/>
    <col width="16" customWidth="1" min="10" max="10"/>
    <col width="70" customWidth="1" min="11" max="11"/>
  </cols>
  <sheetData>
    <row r="1">
      <c r="A1" s="1" t="inlineStr">
        <is>
          <t>Menu Decision</t>
        </is>
      </c>
    </row>
    <row r="2">
      <c r="A2" s="2" t="inlineStr">
        <is>
          <t>AI Chef Pro · aichef.pro — How to Open a Pastry Shop</t>
        </is>
      </c>
    </row>
    <row r="3">
      <c r="A3" s="3" t="inlineStr">
        <is>
          <t>Margin against turnover: what to keep, what to review the price of and what to drop.</t>
        </is>
      </c>
    </row>
    <row r="4"/>
    <row r="5" ht="42" customHeight="1">
      <c r="A5" s="8" t="inlineStr">
        <is>
          <t>Ref</t>
        </is>
      </c>
      <c r="B5" s="8" t="inlineStr">
        <is>
          <t>Item</t>
        </is>
      </c>
      <c r="C5" s="8" t="inlineStr">
        <is>
          <t>Family</t>
        </is>
      </c>
      <c r="D5" s="8" t="inlineStr">
        <is>
          <t>Food cost</t>
        </is>
      </c>
      <c r="E5" s="8" t="inlineStr">
        <is>
          <t>Margin per unit ($)</t>
        </is>
      </c>
      <c r="F5" s="8" t="inlineStr">
        <is>
          <t>Mix (% of units)</t>
        </is>
      </c>
      <c r="G5" s="8" t="inlineStr">
        <is>
          <t>Weighted margin ($)</t>
        </is>
      </c>
      <c r="H5" s="8" t="inlineStr">
        <is>
          <t>Food cost within target?</t>
        </is>
      </c>
      <c r="I5" s="8" t="inlineStr">
        <is>
          <t>Turnover above threshold?</t>
        </is>
      </c>
      <c r="J5" s="8" t="inlineStr">
        <is>
          <t>Verdict</t>
        </is>
      </c>
      <c r="K5" s="8" t="inlineStr">
        <is>
          <t>Why</t>
        </is>
      </c>
    </row>
    <row r="6" ht="32" customHeight="1">
      <c r="A6" t="inlineStr">
        <is>
          <t>B1</t>
        </is>
      </c>
      <c r="B6" t="inlineStr">
        <is>
          <t>Butter croissant</t>
        </is>
      </c>
      <c r="C6" t="inlineStr">
        <is>
          <t>Viennoiserie</t>
        </is>
      </c>
      <c r="D6" s="27">
        <f>'Labor Cost per Hour'!O6</f>
        <v>0.16213662094240372</v>
      </c>
      <c r="E6" s="11">
        <f>'Labor Cost per Hour'!Q6</f>
        <v>0.39655610152774656</v>
      </c>
      <c r="F6" s="26">
        <f>'Mix and Average Ticket'!D6</f>
        <v>12.0</v>
      </c>
      <c r="G6" s="11">
        <f>IFERROR(E6*F6/100,"")</f>
        <v>0.04758673218332959</v>
      </c>
      <c r="H6" t="str">
        <f>IF(NOT(ISNUMBER(D6)),"",IF(D6&lt;='Settings'!$B$24,"Yes","No"))</f>
        <v>Yes</v>
      </c>
      <c r="I6" t="str">
        <f>IF(NOT(ISNUMBER(F6)),"",IF(F6&gt;='Settings'!$B$37,"Yes","No"))</f>
        <v>Yes</v>
      </c>
      <c r="J6" t="str">
        <f>IF(OR(H6="",I6=""),"",IF(AND(H6="No",I6="No"),"Drop",IF(H6="No","Review price","Keep")))</f>
        <v>Keep</v>
      </c>
      <c r="K6" s="28" t="str">
        <f>IF(J6="","",IF(J6="Drop","Over the target food cost AND barely turns over: it takes up case space, creates waste and doesn't pay for its slot. Off the opening menu.",IF(J6="Review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7" ht="32" customHeight="1">
      <c r="A7" t="inlineStr">
        <is>
          <t>B2</t>
        </is>
      </c>
      <c r="B7" t="inlineStr">
        <is>
          <t>Pain au chocolat (chocolate croissant)</t>
        </is>
      </c>
      <c r="C7" t="inlineStr">
        <is>
          <t>Viennoiserie</t>
        </is>
      </c>
      <c r="D7" s="27">
        <f>'Labor Cost per Hour'!O7</f>
        <v>0.24943751882939275</v>
      </c>
      <c r="E7" s="11">
        <f>'Labor Cost per Hour'!Q7</f>
        <v>0.44015535941271855</v>
      </c>
      <c r="F7" s="26">
        <f>'Mix and Average Ticket'!D7</f>
        <v>8.0</v>
      </c>
      <c r="G7" s="11">
        <f>IFERROR(E7*F7/100,"")</f>
        <v>0.035212428753017486</v>
      </c>
      <c r="H7" t="str">
        <f>IF(NOT(ISNUMBER(D7)),"",IF(D7&lt;='Settings'!$B$24,"Yes","No"))</f>
        <v>Yes</v>
      </c>
      <c r="I7" t="str">
        <f>IF(NOT(ISNUMBER(F7)),"",IF(F7&gt;='Settings'!$B$37,"Yes","No"))</f>
        <v>Yes</v>
      </c>
      <c r="J7" t="str">
        <f>IF(OR(H7="",I7=""),"",IF(AND(H7="No",I7="No"),"Drop",IF(H7="No","Review price","Keep")))</f>
        <v>Keep</v>
      </c>
      <c r="K7" s="28" t="str">
        <f>IF(J7="","",IF(J7="Drop","Over the target food cost AND barely turns over: it takes up case space, creates waste and doesn't pay for its slot. Off the opening menu.",IF(J7="Review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8" ht="32" customHeight="1">
      <c r="A8" t="inlineStr">
        <is>
          <t>B3</t>
        </is>
      </c>
      <c r="B8" t="inlineStr">
        <is>
          <t>Custard napolitana (cream-filled laminated pastry)</t>
        </is>
      </c>
      <c r="C8" t="inlineStr">
        <is>
          <t>Viennoiserie</t>
        </is>
      </c>
      <c r="D8" s="27">
        <f>'Labor Cost per Hour'!O8</f>
        <v>0.20967612886800277</v>
      </c>
      <c r="E8" s="11">
        <f>'Labor Cost per Hour'!Q8</f>
        <v>0.35754419380040625</v>
      </c>
      <c r="F8" s="26">
        <f>'Mix and Average Ticket'!D8</f>
        <v>7.0</v>
      </c>
      <c r="G8" s="11">
        <f>IFERROR(E8*F8/100,"")</f>
        <v>0.025028093566028437</v>
      </c>
      <c r="H8" t="str">
        <f>IF(NOT(ISNUMBER(D8)),"",IF(D8&lt;='Settings'!$B$24,"Yes","No"))</f>
        <v>Yes</v>
      </c>
      <c r="I8" t="str">
        <f>IF(NOT(ISNUMBER(F8)),"",IF(F8&gt;='Settings'!$B$37,"Yes","No"))</f>
        <v>Yes</v>
      </c>
      <c r="J8" t="str">
        <f>IF(OR(H8="",I8=""),"",IF(AND(H8="No",I8="No"),"Drop",IF(H8="No","Review price","Keep")))</f>
        <v>Keep</v>
      </c>
      <c r="K8" s="28" t="str">
        <f>IF(J8="","",IF(J8="Drop","Over the target food cost AND barely turns over: it takes up case space, creates waste and doesn't pay for its slot. Off the opening menu.",IF(J8="Review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9" ht="32" customHeight="1">
      <c r="A9" t="inlineStr">
        <is>
          <t>B4</t>
        </is>
      </c>
      <c r="B9" t="inlineStr">
        <is>
          <t>Palmier</t>
        </is>
      </c>
      <c r="C9" t="inlineStr">
        <is>
          <t>Viennoiserie</t>
        </is>
      </c>
      <c r="D9" s="27">
        <f>'Labor Cost per Hour'!O9</f>
        <v>0.14201040512574373</v>
      </c>
      <c r="E9" s="11">
        <f>'Labor Cost per Hour'!Q9</f>
        <v>0.82770860540532</v>
      </c>
      <c r="F9" s="26">
        <f>'Mix and Average Ticket'!D9</f>
        <v>4.5</v>
      </c>
      <c r="G9" s="11">
        <f>IFERROR(E9*F9/100,"")</f>
        <v>0.0372468872432394</v>
      </c>
      <c r="H9" t="str">
        <f>IF(NOT(ISNUMBER(D9)),"",IF(D9&lt;='Settings'!$B$24,"Yes","No"))</f>
        <v>Yes</v>
      </c>
      <c r="I9" t="str">
        <f>IF(NOT(ISNUMBER(F9)),"",IF(F9&gt;='Settings'!$B$37,"Yes","No"))</f>
        <v>Yes</v>
      </c>
      <c r="J9" t="str">
        <f>IF(OR(H9="",I9=""),"",IF(AND(H9="No",I9="No"),"Drop",IF(H9="No","Review price","Keep")))</f>
        <v>Keep</v>
      </c>
      <c r="K9" s="28" t="str">
        <f>IF(J9="","",IF(J9="Drop","Over the target food cost AND barely turns over: it takes up case space, creates waste and doesn't pay for its slot. Off the opening menu.",IF(J9="Review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0" ht="32" customHeight="1">
      <c r="A10" t="inlineStr">
        <is>
          <t>B5</t>
        </is>
      </c>
      <c r="B10" t="inlineStr">
        <is>
          <t>Raisin snail (pain aux raisins)</t>
        </is>
      </c>
      <c r="C10" t="inlineStr">
        <is>
          <t>Viennoiserie</t>
        </is>
      </c>
      <c r="D10" s="27">
        <f>'Labor Cost per Hour'!O10</f>
        <v>0.18209304251067748</v>
      </c>
      <c r="E10" s="11">
        <f>'Labor Cost per Hour'!Q10</f>
        <v>0.47867522703868737</v>
      </c>
      <c r="F10" s="26">
        <f>'Mix and Average Ticket'!D10</f>
        <v>3.5</v>
      </c>
      <c r="G10" s="11">
        <f>IFERROR(E10*F10/100,"")</f>
        <v>0.01675363294635406</v>
      </c>
      <c r="H10" t="str">
        <f>IF(NOT(ISNUMBER(D10)),"",IF(D10&lt;='Settings'!$B$24,"Yes","No"))</f>
        <v>Yes</v>
      </c>
      <c r="I10" t="str">
        <f>IF(NOT(ISNUMBER(F10)),"",IF(F10&gt;='Settings'!$B$37,"Yes","No"))</f>
        <v>Yes</v>
      </c>
      <c r="J10" t="str">
        <f>IF(OR(H10="",I10=""),"",IF(AND(H10="No",I10="No"),"Drop",IF(H10="No","Review price","Keep")))</f>
        <v>Keep</v>
      </c>
      <c r="K10" s="28" t="str">
        <f>IF(J10="","",IF(J10="Drop","Over the target food cost AND barely turns over: it takes up case space, creates waste and doesn't pay for its slot. Off the opening menu.",IF(J10="Review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1" ht="32" customHeight="1">
      <c r="A11" t="inlineStr">
        <is>
          <t>B6</t>
        </is>
      </c>
      <c r="B11" t="inlineStr">
        <is>
          <t>Ensaïmada (Mallorcan spiral pastry)</t>
        </is>
      </c>
      <c r="C11" t="inlineStr">
        <is>
          <t>Viennoiserie</t>
        </is>
      </c>
      <c r="D11" s="27">
        <f>'Labor Cost per Hour'!O11</f>
        <v>0.10167062047817838</v>
      </c>
      <c r="E11" s="11">
        <f>'Labor Cost per Hour'!Q11</f>
        <v>0.2845202918627683</v>
      </c>
      <c r="F11" s="26">
        <f>'Mix and Average Ticket'!D11</f>
        <v>3.0</v>
      </c>
      <c r="G11" s="11">
        <f>IFERROR(E11*F11/100,"")</f>
        <v>0.008535608755883049</v>
      </c>
      <c r="H11" t="str">
        <f>IF(NOT(ISNUMBER(D11)),"",IF(D11&lt;='Settings'!$B$24,"Yes","No"))</f>
        <v>Yes</v>
      </c>
      <c r="I11" t="str">
        <f>IF(NOT(ISNUMBER(F11)),"",IF(F11&gt;='Settings'!$B$37,"Yes","No"))</f>
        <v>Yes</v>
      </c>
      <c r="J11" t="str">
        <f>IF(OR(H11="",I11=""),"",IF(AND(H11="No",I11="No"),"Drop",IF(H11="No","Review price","Keep")))</f>
        <v>Keep</v>
      </c>
      <c r="K11" s="28" t="str">
        <f>IF(J11="","",IF(J11="Drop","Over the target food cost AND barely turns over: it takes up case space, creates waste and doesn't pay for its slot. Off the opening menu.",IF(J11="Review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2" ht="32" customHeight="1">
      <c r="A12" t="inlineStr">
        <is>
          <t>PI1</t>
        </is>
      </c>
      <c r="B12" t="inlineStr">
        <is>
          <t>Napoleon (mille-feuille)</t>
        </is>
      </c>
      <c r="C12" t="inlineStr">
        <is>
          <t>Individual pastries</t>
        </is>
      </c>
      <c r="D12" s="27">
        <f>'Labor Cost per Hour'!O12</f>
        <v>0.13656558254475323</v>
      </c>
      <c r="E12" s="11">
        <f>'Labor Cost per Hour'!Q12</f>
        <v>1.5800970813526631</v>
      </c>
      <c r="F12" s="26">
        <f>'Mix and Average Ticket'!D12</f>
        <v>4.0</v>
      </c>
      <c r="G12" s="11">
        <f>IFERROR(E12*F12/100,"")</f>
        <v>0.06320388325410653</v>
      </c>
      <c r="H12" t="str">
        <f>IF(NOT(ISNUMBER(D12)),"",IF(D12&lt;='Settings'!$B$24,"Yes","No"))</f>
        <v>Yes</v>
      </c>
      <c r="I12" t="str">
        <f>IF(NOT(ISNUMBER(F12)),"",IF(F12&gt;='Settings'!$B$37,"Yes","No"))</f>
        <v>Yes</v>
      </c>
      <c r="J12" t="str">
        <f>IF(OR(H12="",I12=""),"",IF(AND(H12="No",I12="No"),"Drop",IF(H12="No","Review price","Keep")))</f>
        <v>Keep</v>
      </c>
      <c r="K12" s="28" t="str">
        <f>IF(J12="","",IF(J12="Drop","Over the target food cost AND barely turns over: it takes up case space, creates waste and doesn't pay for its slot. Off the opening menu.",IF(J12="Review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3" ht="32" customHeight="1">
      <c r="A13" t="inlineStr">
        <is>
          <t>PI2</t>
        </is>
      </c>
      <c r="B13" t="inlineStr">
        <is>
          <t>Éclair</t>
        </is>
      </c>
      <c r="C13" t="inlineStr">
        <is>
          <t>Individual pastries</t>
        </is>
      </c>
      <c r="D13" s="27">
        <f>'Labor Cost per Hour'!O13</f>
        <v>0.11627540921189744</v>
      </c>
      <c r="E13" s="11">
        <f>'Labor Cost per Hour'!Q13</f>
        <v>1.761137788039823</v>
      </c>
      <c r="F13" s="26">
        <f>'Mix and Average Ticket'!D13</f>
        <v>3.5</v>
      </c>
      <c r="G13" s="11">
        <f>IFERROR(E13*F13/100,"")</f>
        <v>0.0616398225813938</v>
      </c>
      <c r="H13" t="str">
        <f>IF(NOT(ISNUMBER(D13)),"",IF(D13&lt;='Settings'!$B$24,"Yes","No"))</f>
        <v>Yes</v>
      </c>
      <c r="I13" t="str">
        <f>IF(NOT(ISNUMBER(F13)),"",IF(F13&gt;='Settings'!$B$37,"Yes","No"))</f>
        <v>Yes</v>
      </c>
      <c r="J13" t="str">
        <f>IF(OR(H13="",I13=""),"",IF(AND(H13="No",I13="No"),"Drop",IF(H13="No","Review price","Keep")))</f>
        <v>Keep</v>
      </c>
      <c r="K13" s="28" t="str">
        <f>IF(J13="","",IF(J13="Drop","Over the target food cost AND barely turns over: it takes up case space, creates waste and doesn't pay for its slot. Off the opening menu.",IF(J13="Review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4" ht="32" customHeight="1">
      <c r="A14" t="inlineStr">
        <is>
          <t>PI3</t>
        </is>
      </c>
      <c r="B14" t="inlineStr">
        <is>
          <t>Raspberry macarons</t>
        </is>
      </c>
      <c r="C14" t="inlineStr">
        <is>
          <t>Individual pastries</t>
        </is>
      </c>
      <c r="D14" s="27">
        <f>'Labor Cost per Hour'!O14</f>
        <v>0.10293378882800597</v>
      </c>
      <c r="E14" s="11">
        <f>'Labor Cost per Hour'!Q14</f>
        <v>0.9153404462877943</v>
      </c>
      <c r="F14" s="26">
        <f>'Mix and Average Ticket'!D14</f>
        <v>7.0</v>
      </c>
      <c r="G14" s="11">
        <f>IFERROR(E14*F14/100,"")</f>
        <v>0.0640738312401456</v>
      </c>
      <c r="H14" t="str">
        <f>IF(NOT(ISNUMBER(D14)),"",IF(D14&lt;='Settings'!$B$24,"Yes","No"))</f>
        <v>Yes</v>
      </c>
      <c r="I14" t="str">
        <f>IF(NOT(ISNUMBER(F14)),"",IF(F14&gt;='Settings'!$B$37,"Yes","No"))</f>
        <v>Yes</v>
      </c>
      <c r="J14" t="str">
        <f>IF(OR(H14="",I14=""),"",IF(AND(H14="No",I14="No"),"Drop",IF(H14="No","Review price","Keep")))</f>
        <v>Keep</v>
      </c>
      <c r="K14" s="28" t="str">
        <f>IF(J14="","",IF(J14="Drop","Over the target food cost AND barely turns over: it takes up case space, creates waste and doesn't pay for its slot. Off the opening menu.",IF(J14="Review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5" ht="32" customHeight="1">
      <c r="A15" t="inlineStr">
        <is>
          <t>PI4</t>
        </is>
      </c>
      <c r="B15" t="inlineStr">
        <is>
          <t>Fruit tart</t>
        </is>
      </c>
      <c r="C15" t="inlineStr">
        <is>
          <t>Individual pastries</t>
        </is>
      </c>
      <c r="D15" s="27">
        <f>'Labor Cost per Hour'!O15</f>
        <v>0.15196964337983854</v>
      </c>
      <c r="E15" s="11">
        <f>'Labor Cost per Hour'!Q15</f>
        <v>1.6589573632169412</v>
      </c>
      <c r="F15" s="26">
        <f>'Mix and Average Ticket'!D15</f>
        <v>3.0</v>
      </c>
      <c r="G15" s="11">
        <f>IFERROR(E15*F15/100,"")</f>
        <v>0.04976872089650824</v>
      </c>
      <c r="H15" t="str">
        <f>IF(NOT(ISNUMBER(D15)),"",IF(D15&lt;='Settings'!$B$24,"Yes","No"))</f>
        <v>Yes</v>
      </c>
      <c r="I15" t="str">
        <f>IF(NOT(ISNUMBER(F15)),"",IF(F15&gt;='Settings'!$B$37,"Yes","No"))</f>
        <v>Yes</v>
      </c>
      <c r="J15" t="str">
        <f>IF(OR(H15="",I15=""),"",IF(AND(H15="No",I15="No"),"Drop",IF(H15="No","Review price","Keep")))</f>
        <v>Keep</v>
      </c>
      <c r="K15" s="28" t="str">
        <f>IF(J15="","",IF(J15="Drop","Over the target food cost AND barely turns over: it takes up case space, creates waste and doesn't pay for its slot. Off the opening menu.",IF(J15="Review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6" ht="32" customHeight="1">
      <c r="A16" t="inlineStr">
        <is>
          <t>PI5</t>
        </is>
      </c>
      <c r="B16" t="inlineStr">
        <is>
          <t>Cream puff (profiterole)</t>
        </is>
      </c>
      <c r="C16" t="inlineStr">
        <is>
          <t>Individual pastries</t>
        </is>
      </c>
      <c r="D16" s="27">
        <f>'Labor Cost per Hour'!O16</f>
        <v>0.09478021263657183</v>
      </c>
      <c r="E16" s="11">
        <f>'Labor Cost per Hour'!Q16</f>
        <v>1.4442845001177629</v>
      </c>
      <c r="F16" s="26">
        <f>'Mix and Average Ticket'!D16</f>
        <v>3.0</v>
      </c>
      <c r="G16" s="11">
        <f>IFERROR(E16*F16/100,"")</f>
        <v>0.043328535003532884</v>
      </c>
      <c r="H16" t="str">
        <f>IF(NOT(ISNUMBER(D16)),"",IF(D16&lt;='Settings'!$B$24,"Yes","No"))</f>
        <v>Yes</v>
      </c>
      <c r="I16" t="str">
        <f>IF(NOT(ISNUMBER(F16)),"",IF(F16&gt;='Settings'!$B$37,"Yes","No"))</f>
        <v>Yes</v>
      </c>
      <c r="J16" t="str">
        <f>IF(OR(H16="",I16=""),"",IF(AND(H16="No",I16="No"),"Drop",IF(H16="No","Review price","Keep")))</f>
        <v>Keep</v>
      </c>
      <c r="K16" s="28" t="str">
        <f>IF(J16="","",IF(J16="Drop","Over the target food cost AND barely turns over: it takes up case space, creates waste and doesn't pay for its slot. Off the opening menu.",IF(J16="Review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7" ht="32" customHeight="1">
      <c r="A17" t="inlineStr">
        <is>
          <t>PI6</t>
        </is>
      </c>
      <c r="B17" t="inlineStr">
        <is>
          <t>Individual entremet (mousse cake)</t>
        </is>
      </c>
      <c r="C17" t="inlineStr">
        <is>
          <t>Individual pastries</t>
        </is>
      </c>
      <c r="D17" s="27">
        <f>'Labor Cost per Hour'!O17</f>
        <v>0.20160341927447806</v>
      </c>
      <c r="E17" s="11">
        <f>'Labor Cost per Hour'!Q17</f>
        <v>1.4910620243088477</v>
      </c>
      <c r="F17" s="26">
        <f>'Mix and Average Ticket'!D17</f>
        <v>1.5</v>
      </c>
      <c r="G17" s="11">
        <f>IFERROR(E17*F17/100,"")</f>
        <v>0.022365930364632716</v>
      </c>
      <c r="H17" t="str">
        <f>IF(NOT(ISNUMBER(D17)),"",IF(D17&lt;='Settings'!$B$24,"Yes","No"))</f>
        <v>Yes</v>
      </c>
      <c r="I17" t="str">
        <f>IF(NOT(ISNUMBER(F17)),"",IF(F17&gt;='Settings'!$B$37,"Yes","No"))</f>
        <v>Yes</v>
      </c>
      <c r="J17" t="str">
        <f>IF(OR(H17="",I17=""),"",IF(AND(H17="No",I17="No"),"Drop",IF(H17="No","Review price","Keep")))</f>
        <v>Keep</v>
      </c>
      <c r="K17" s="28" t="str">
        <f>IF(J17="","",IF(J17="Drop","Over the target food cost AND barely turns over: it takes up case space, creates waste and doesn't pay for its slot. Off the opening menu.",IF(J17="Review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18" ht="32" customHeight="1">
      <c r="A18" t="inlineStr">
        <is>
          <t>T1</t>
        </is>
      </c>
      <c r="B18" t="inlineStr">
        <is>
          <t>70% dark chocolate cake</t>
        </is>
      </c>
      <c r="C18" t="inlineStr">
        <is>
          <t>Cakes and entremets</t>
        </is>
      </c>
      <c r="D18" s="27">
        <f>'Labor Cost per Hour'!O18</f>
        <v>0.3521014528973784</v>
      </c>
      <c r="E18" s="11">
        <f>'Labor Cost per Hour'!Q18</f>
        <v>0.9992757886850683</v>
      </c>
      <c r="F18" s="26">
        <f>'Mix and Average Ticket'!D18</f>
        <v>1.2</v>
      </c>
      <c r="G18" s="11">
        <f>IFERROR(E18*F18/100,"")</f>
        <v>0.011991309464220818</v>
      </c>
      <c r="H18" t="str">
        <f>IF(NOT(ISNUMBER(D18)),"",IF(D18&lt;='Settings'!$B$24,"Yes","No"))</f>
        <v>No</v>
      </c>
      <c r="I18" t="str">
        <f>IF(NOT(ISNUMBER(F18)),"",IF(F18&gt;='Settings'!$B$37,"Yes","No"))</f>
        <v>Yes</v>
      </c>
      <c r="J18" t="str">
        <f>IF(OR(H18="",I18=""),"",IF(AND(H18="No",I18="No"),"Drop",IF(H18="No","Review price","Keep")))</f>
        <v>Review price</v>
      </c>
      <c r="K18" s="28" t="str">
        <f>IF(J18="","",IF(J18="Drop","Over the target food cost AND barely turns over: it takes up case space, creates waste and doesn't pay for its slot. Off the opening menu.",IF(J18="Review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Turns over well but runs over the target food cost: raise the price, change the portion weight or renegotiate the ingredient that drives it up. Dropping it would cost you turnover.</v>
      </c>
    </row>
    <row r="19" ht="32" customHeight="1">
      <c r="A19" t="inlineStr">
        <is>
          <t>T2</t>
        </is>
      </c>
      <c r="B19" t="inlineStr">
        <is>
          <t>Cheesecake</t>
        </is>
      </c>
      <c r="C19" t="inlineStr">
        <is>
          <t>Cakes and entremets</t>
        </is>
      </c>
      <c r="D19" s="27">
        <f>'Labor Cost per Hour'!O19</f>
        <v>0.29526335915361224</v>
      </c>
      <c r="E19" s="11">
        <f>'Labor Cost per Hour'!Q19</f>
        <v>1.4308639189701298</v>
      </c>
      <c r="F19" s="26">
        <f>'Mix and Average Ticket'!D19</f>
        <v>1.5</v>
      </c>
      <c r="G19" s="11">
        <f>IFERROR(E19*F19/100,"")</f>
        <v>0.021462958784551945</v>
      </c>
      <c r="H19" t="str">
        <f>IF(NOT(ISNUMBER(D19)),"",IF(D19&lt;='Settings'!$B$24,"Yes","No"))</f>
        <v>Yes</v>
      </c>
      <c r="I19" t="str">
        <f>IF(NOT(ISNUMBER(F19)),"",IF(F19&gt;='Settings'!$B$37,"Yes","No"))</f>
        <v>Yes</v>
      </c>
      <c r="J19" t="str">
        <f>IF(OR(H19="",I19=""),"",IF(AND(H19="No",I19="No"),"Drop",IF(H19="No","Review price","Keep")))</f>
        <v>Keep</v>
      </c>
      <c r="K19" s="28" t="str">
        <f>IF(J19="","",IF(J19="Drop","Over the target food cost AND barely turns over: it takes up case space, creates waste and doesn't pay for its slot. Off the opening menu.",IF(J19="Review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0" ht="32" customHeight="1">
      <c r="A20" t="inlineStr">
        <is>
          <t>T3</t>
        </is>
      </c>
      <c r="B20" t="inlineStr">
        <is>
          <t>Apple tart</t>
        </is>
      </c>
      <c r="C20" t="inlineStr">
        <is>
          <t>Cakes and entremets</t>
        </is>
      </c>
      <c r="D20" s="27">
        <f>'Labor Cost per Hour'!O20</f>
        <v>0.14743040763122245</v>
      </c>
      <c r="E20" s="11">
        <f>'Labor Cost per Hour'!Q20</f>
        <v>1.4836518226357467</v>
      </c>
      <c r="F20" s="26">
        <f>'Mix and Average Ticket'!D20</f>
        <v>1.1</v>
      </c>
      <c r="G20" s="11">
        <f>IFERROR(E20*F20/100,"")</f>
        <v>0.016320170048993214</v>
      </c>
      <c r="H20" t="str">
        <f>IF(NOT(ISNUMBER(D20)),"",IF(D20&lt;='Settings'!$B$24,"Yes","No"))</f>
        <v>Yes</v>
      </c>
      <c r="I20" t="str">
        <f>IF(NOT(ISNUMBER(F20)),"",IF(F20&gt;='Settings'!$B$37,"Yes","No"))</f>
        <v>Yes</v>
      </c>
      <c r="J20" t="str">
        <f>IF(OR(H20="",I20=""),"",IF(AND(H20="No",I20="No"),"Drop",IF(H20="No","Review price","Keep")))</f>
        <v>Keep</v>
      </c>
      <c r="K20" s="28" t="str">
        <f>IF(J20="","",IF(J20="Drop","Over the target food cost AND barely turns over: it takes up case space, creates waste and doesn't pay for its slot. Off the opening menu.",IF(J20="Review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1" ht="32" customHeight="1">
      <c r="A21" t="inlineStr">
        <is>
          <t>T4</t>
        </is>
      </c>
      <c r="B21" t="inlineStr">
        <is>
          <t>Carrot cake</t>
        </is>
      </c>
      <c r="C21" t="inlineStr">
        <is>
          <t>Cakes and entremets</t>
        </is>
      </c>
      <c r="D21" s="27">
        <f>'Labor Cost per Hour'!O21</f>
        <v>0.2510420860860878</v>
      </c>
      <c r="E21" s="11">
        <f>'Labor Cost per Hour'!Q21</f>
        <v>1.125754285363679</v>
      </c>
      <c r="F21" s="26">
        <f>'Mix and Average Ticket'!D21</f>
        <v>0.9</v>
      </c>
      <c r="G21" s="11">
        <f>IFERROR(E21*F21/100,"")</f>
        <v>0.010131788568273112</v>
      </c>
      <c r="H21" t="str">
        <f>IF(NOT(ISNUMBER(D21)),"",IF(D21&lt;='Settings'!$B$24,"Yes","No"))</f>
        <v>Yes</v>
      </c>
      <c r="I21" t="str">
        <f>IF(NOT(ISNUMBER(F21)),"",IF(F21&gt;='Settings'!$B$37,"Yes","No"))</f>
        <v>No</v>
      </c>
      <c r="J21" t="str">
        <f>IF(OR(H21="",I21=""),"",IF(AND(H21="No",I21="No"),"Drop",IF(H21="No","Review price","Keep")))</f>
        <v>Keep</v>
      </c>
      <c r="K21" s="28" t="str">
        <f>IF(J21="","",IF(J21="Drop","Over the target food cost AND barely turns over: it takes up case space, creates waste and doesn't pay for its slot. Off the opening menu.",IF(J21="Review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2" ht="32" customHeight="1">
      <c r="A22" t="inlineStr">
        <is>
          <t>T5</t>
        </is>
      </c>
      <c r="B22" t="inlineStr">
        <is>
          <t>Sachertorte</t>
        </is>
      </c>
      <c r="C22" t="inlineStr">
        <is>
          <t>Cakes and entremets</t>
        </is>
      </c>
      <c r="D22" s="27">
        <f>'Labor Cost per Hour'!O22</f>
        <v>0.2578585167936811</v>
      </c>
      <c r="E22" s="11">
        <f>'Labor Cost per Hour'!Q22</f>
        <v>1.1935043740890516</v>
      </c>
      <c r="F22" s="26">
        <f>'Mix and Average Ticket'!D22</f>
        <v>0.8</v>
      </c>
      <c r="G22" s="11">
        <f>IFERROR(E22*F22/100,"")</f>
        <v>0.009548034992712413</v>
      </c>
      <c r="H22" t="str">
        <f>IF(NOT(ISNUMBER(D22)),"",IF(D22&lt;='Settings'!$B$24,"Yes","No"))</f>
        <v>Yes</v>
      </c>
      <c r="I22" t="str">
        <f>IF(NOT(ISNUMBER(F22)),"",IF(F22&gt;='Settings'!$B$37,"Yes","No"))</f>
        <v>No</v>
      </c>
      <c r="J22" t="str">
        <f>IF(OR(H22="",I22=""),"",IF(AND(H22="No",I22="No"),"Drop",IF(H22="No","Review price","Keep")))</f>
        <v>Keep</v>
      </c>
      <c r="K22" s="28" t="str">
        <f>IF(J22="","",IF(J22="Drop","Over the target food cost AND barely turns over: it takes up case space, creates waste and doesn't pay for its slot. Off the opening menu.",IF(J22="Review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3" ht="32" customHeight="1">
      <c r="A23" t="inlineStr">
        <is>
          <t>T6</t>
        </is>
      </c>
      <c r="B23" t="inlineStr">
        <is>
          <t>Strawberries &amp; cream cake</t>
        </is>
      </c>
      <c r="C23" t="inlineStr">
        <is>
          <t>Cakes and entremets</t>
        </is>
      </c>
      <c r="D23" s="27">
        <f>'Labor Cost per Hour'!O23</f>
        <v>0.2383551997670426</v>
      </c>
      <c r="E23" s="11">
        <f>'Labor Cost per Hour'!Q23</f>
        <v>1.1777269886039927</v>
      </c>
      <c r="F23" s="26">
        <f>'Mix and Average Ticket'!D23</f>
        <v>1.0</v>
      </c>
      <c r="G23" s="11">
        <f>IFERROR(E23*F23/100,"")</f>
        <v>0.011777269886039927</v>
      </c>
      <c r="H23" t="str">
        <f>IF(NOT(ISNUMBER(D23)),"",IF(D23&lt;='Settings'!$B$24,"Yes","No"))</f>
        <v>Yes</v>
      </c>
      <c r="I23" t="str">
        <f>IF(NOT(ISNUMBER(F23)),"",IF(F23&gt;='Settings'!$B$37,"Yes","No"))</f>
        <v>Yes</v>
      </c>
      <c r="J23" t="str">
        <f>IF(OR(H23="",I23=""),"",IF(AND(H23="No",I23="No"),"Drop",IF(H23="No","Review price","Keep")))</f>
        <v>Keep</v>
      </c>
      <c r="K23" s="28" t="str">
        <f>IF(J23="","",IF(J23="Drop","Over the target food cost AND barely turns over: it takes up case space, creates waste and doesn't pay for its slot. Off the opening menu.",IF(J23="Review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4" ht="32" customHeight="1">
      <c r="A24" t="inlineStr">
        <is>
          <t>PA1</t>
        </is>
      </c>
      <c r="B24" t="inlineStr">
        <is>
          <t>Baguette</t>
        </is>
      </c>
      <c r="C24" t="inlineStr">
        <is>
          <t>Breads</t>
        </is>
      </c>
      <c r="D24" s="27">
        <f>'Labor Cost per Hour'!O24</f>
        <v>0.14915559148238788</v>
      </c>
      <c r="E24" s="11">
        <f>'Labor Cost per Hour'!Q24</f>
        <v>0.7201490084680057</v>
      </c>
      <c r="F24" s="26">
        <f>'Mix and Average Ticket'!D24</f>
        <v>16.0</v>
      </c>
      <c r="G24" s="11">
        <f>IFERROR(E24*F24/100,"")</f>
        <v>0.11522384135488091</v>
      </c>
      <c r="H24" t="str">
        <f>IF(NOT(ISNUMBER(D24)),"",IF(D24&lt;='Settings'!$B$24,"Yes","No"))</f>
        <v>Yes</v>
      </c>
      <c r="I24" t="str">
        <f>IF(NOT(ISNUMBER(F24)),"",IF(F24&gt;='Settings'!$B$37,"Yes","No"))</f>
        <v>Yes</v>
      </c>
      <c r="J24" t="str">
        <f>IF(OR(H24="",I24=""),"",IF(AND(H24="No",I24="No"),"Drop",IF(H24="No","Review price","Keep")))</f>
        <v>Keep</v>
      </c>
      <c r="K24" s="28" t="str">
        <f>IF(J24="","",IF(J24="Drop","Over the target food cost AND barely turns over: it takes up case space, creates waste and doesn't pay for its slot. Off the opening menu.",IF(J24="Review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5" ht="32" customHeight="1">
      <c r="A25" t="inlineStr">
        <is>
          <t>PA2</t>
        </is>
      </c>
      <c r="B25" t="inlineStr">
        <is>
          <t>Ciabatta</t>
        </is>
      </c>
      <c r="C25" t="inlineStr">
        <is>
          <t>Breads</t>
        </is>
      </c>
      <c r="D25" s="27">
        <f>'Labor Cost per Hour'!O25</f>
        <v>0.13865010602721828</v>
      </c>
      <c r="E25" s="11">
        <f>'Labor Cost per Hour'!Q25</f>
        <v>0.9514471975756965</v>
      </c>
      <c r="F25" s="26">
        <f>'Mix and Average Ticket'!D25</f>
        <v>4.0</v>
      </c>
      <c r="G25" s="11">
        <f>IFERROR(E25*F25/100,"")</f>
        <v>0.03805788790302786</v>
      </c>
      <c r="H25" t="str">
        <f>IF(NOT(ISNUMBER(D25)),"",IF(D25&lt;='Settings'!$B$24,"Yes","No"))</f>
        <v>Yes</v>
      </c>
      <c r="I25" t="str">
        <f>IF(NOT(ISNUMBER(F25)),"",IF(F25&gt;='Settings'!$B$37,"Yes","No"))</f>
        <v>Yes</v>
      </c>
      <c r="J25" t="str">
        <f>IF(OR(H25="",I25=""),"",IF(AND(H25="No",I25="No"),"Drop",IF(H25="No","Review price","Keep")))</f>
        <v>Keep</v>
      </c>
      <c r="K25" s="28" t="str">
        <f>IF(J25="","",IF(J25="Drop","Over the target food cost AND barely turns over: it takes up case space, creates waste and doesn't pay for its slot. Off the opening menu.",IF(J25="Review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6" ht="32" customHeight="1">
      <c r="A26" t="inlineStr">
        <is>
          <t>PA3</t>
        </is>
      </c>
      <c r="B26" t="inlineStr">
        <is>
          <t>Sourdough boule</t>
        </is>
      </c>
      <c r="C26" t="inlineStr">
        <is>
          <t>Breads</t>
        </is>
      </c>
      <c r="D26" s="27">
        <f>'Labor Cost per Hour'!O26</f>
        <v>0.15812609579914438</v>
      </c>
      <c r="E26" s="11">
        <f>'Labor Cost per Hour'!Q26</f>
        <v>2.160476512861602</v>
      </c>
      <c r="F26" s="26">
        <f>'Mix and Average Ticket'!D26</f>
        <v>3.5</v>
      </c>
      <c r="G26" s="11">
        <f>IFERROR(E26*F26/100,"")</f>
        <v>0.07561667795015607</v>
      </c>
      <c r="H26" t="str">
        <f>IF(NOT(ISNUMBER(D26)),"",IF(D26&lt;='Settings'!$B$24,"Yes","No"))</f>
        <v>Yes</v>
      </c>
      <c r="I26" t="str">
        <f>IF(NOT(ISNUMBER(F26)),"",IF(F26&gt;='Settings'!$B$37,"Yes","No"))</f>
        <v>Yes</v>
      </c>
      <c r="J26" t="str">
        <f>IF(OR(H26="",I26=""),"",IF(AND(H26="No",I26="No"),"Drop",IF(H26="No","Review price","Keep")))</f>
        <v>Keep</v>
      </c>
      <c r="K26" s="28" t="str">
        <f>IF(J26="","",IF(J26="Drop","Over the target food cost AND barely turns over: it takes up case space, creates waste and doesn't pay for its slot. Off the opening menu.",IF(J26="Review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7" ht="32" customHeight="1">
      <c r="A27" t="inlineStr">
        <is>
          <t>PA4</t>
        </is>
      </c>
      <c r="B27" t="inlineStr">
        <is>
          <t>Sandwich loaf (pullman)</t>
        </is>
      </c>
      <c r="C27" t="inlineStr">
        <is>
          <t>Breads</t>
        </is>
      </c>
      <c r="D27" s="27">
        <f>'Labor Cost per Hour'!O27</f>
        <v>0.26393107953979206</v>
      </c>
      <c r="E27" s="11">
        <f>'Labor Cost per Hour'!Q27</f>
        <v>1.367931882467425</v>
      </c>
      <c r="F27" s="26">
        <f>'Mix and Average Ticket'!D27</f>
        <v>2.5</v>
      </c>
      <c r="G27" s="11">
        <f>IFERROR(E27*F27/100,"")</f>
        <v>0.034198297061685624</v>
      </c>
      <c r="H27" t="str">
        <f>IF(NOT(ISNUMBER(D27)),"",IF(D27&lt;='Settings'!$B$24,"Yes","No"))</f>
        <v>Yes</v>
      </c>
      <c r="I27" t="str">
        <f>IF(NOT(ISNUMBER(F27)),"",IF(F27&gt;='Settings'!$B$37,"Yes","No"))</f>
        <v>Yes</v>
      </c>
      <c r="J27" t="str">
        <f>IF(OR(H27="",I27=""),"",IF(AND(H27="No",I27="No"),"Drop",IF(H27="No","Review price","Keep")))</f>
        <v>Keep</v>
      </c>
      <c r="K27" s="28" t="str">
        <f>IF(J27="","",IF(J27="Drop","Over the target food cost AND barely turns over: it takes up case space, creates waste and doesn't pay for its slot. Off the opening menu.",IF(J27="Review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8" ht="32" customHeight="1">
      <c r="A28" t="inlineStr">
        <is>
          <t>TP1</t>
        </is>
      </c>
      <c r="B28" t="inlineStr">
        <is>
          <t>Rosca de Reyes (Three Kings bread)</t>
        </is>
      </c>
      <c r="C28" t="inlineStr">
        <is>
          <t>Seasonal</t>
        </is>
      </c>
      <c r="D28" s="27">
        <f>'Labor Cost per Hour'!O28</f>
        <v>0.1732517814300538</v>
      </c>
      <c r="E28" s="11">
        <f>'Labor Cost per Hour'!Q28</f>
        <v>10.158984365793078</v>
      </c>
      <c r="F28" s="26">
        <f>'Mix and Average Ticket'!D28</f>
        <v>1.2</v>
      </c>
      <c r="G28" s="11">
        <f>IFERROR(E28*F28/100,"")</f>
        <v>0.12190781238951694</v>
      </c>
      <c r="H28" t="str">
        <f>IF(NOT(ISNUMBER(D28)),"",IF(D28&lt;='Settings'!$B$24,"Yes","No"))</f>
        <v>Yes</v>
      </c>
      <c r="I28" t="str">
        <f>IF(NOT(ISNUMBER(F28)),"",IF(F28&gt;='Settings'!$B$37,"Yes","No"))</f>
        <v>Yes</v>
      </c>
      <c r="J28" t="str">
        <f>IF(OR(H28="",I28=""),"",IF(AND(H28="No",I28="No"),"Drop",IF(H28="No","Review price","Keep")))</f>
        <v>Keep</v>
      </c>
      <c r="K28" s="28" t="str">
        <f>IF(J28="","",IF(J28="Drop","Over the target food cost AND barely turns over: it takes up case space, creates waste and doesn't pay for its slot. Off the opening menu.",IF(J28="Review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29" ht="32" customHeight="1">
      <c r="A29" t="inlineStr">
        <is>
          <t>TP2</t>
        </is>
      </c>
      <c r="B29" t="inlineStr">
        <is>
          <t>Torrijas (Spanish Easter French toast)</t>
        </is>
      </c>
      <c r="C29" t="inlineStr">
        <is>
          <t>Seasonal</t>
        </is>
      </c>
      <c r="D29" s="27">
        <f>'Labor Cost per Hour'!O29</f>
        <v>0.11919218611357589</v>
      </c>
      <c r="E29" s="11">
        <f>'Labor Cost per Hour'!Q29</f>
        <v>1.2241770635008007</v>
      </c>
      <c r="F29" s="26">
        <f>'Mix and Average Ticket'!D29</f>
        <v>1.3</v>
      </c>
      <c r="G29" s="11">
        <f>IFERROR(E29*F29/100,"")</f>
        <v>0.01591430182551041</v>
      </c>
      <c r="H29" t="str">
        <f>IF(NOT(ISNUMBER(D29)),"",IF(D29&lt;='Settings'!$B$24,"Yes","No"))</f>
        <v>Yes</v>
      </c>
      <c r="I29" t="str">
        <f>IF(NOT(ISNUMBER(F29)),"",IF(F29&gt;='Settings'!$B$37,"Yes","No"))</f>
        <v>Yes</v>
      </c>
      <c r="J29" t="str">
        <f>IF(OR(H29="",I29=""),"",IF(AND(H29="No",I29="No"),"Drop",IF(H29="No","Review price","Keep")))</f>
        <v>Keep</v>
      </c>
      <c r="K29" s="28" t="str">
        <f>IF(J29="","",IF(J29="Drop","Over the target food cost AND barely turns over: it takes up case space, creates waste and doesn't pay for its slot. Off the opening menu.",IF(J29="Review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30" ht="32" customHeight="1">
      <c r="A30" t="inlineStr">
        <is>
          <t>TP3</t>
        </is>
      </c>
      <c r="B30" t="inlineStr">
        <is>
          <t>Buñuelos de viento (Spanish cream-filled fritters)</t>
        </is>
      </c>
      <c r="C30" t="inlineStr">
        <is>
          <t>Seasonal</t>
        </is>
      </c>
      <c r="D30" s="27">
        <f>'Labor Cost per Hour'!O30</f>
        <v>0.11653872544647621</v>
      </c>
      <c r="E30" s="11">
        <f>'Labor Cost per Hour'!Q30</f>
        <v>0.9113280957094095</v>
      </c>
      <c r="F30" s="26">
        <f>'Mix and Average Ticket'!D30</f>
        <v>1.0</v>
      </c>
      <c r="G30" s="11">
        <f>IFERROR(E30*F30/100,"")</f>
        <v>0.009113280957094095</v>
      </c>
      <c r="H30" t="str">
        <f>IF(NOT(ISNUMBER(D30)),"",IF(D30&lt;='Settings'!$B$24,"Yes","No"))</f>
        <v>Yes</v>
      </c>
      <c r="I30" t="str">
        <f>IF(NOT(ISNUMBER(F30)),"",IF(F30&gt;='Settings'!$B$37,"Yes","No"))</f>
        <v>Yes</v>
      </c>
      <c r="J30" t="str">
        <f>IF(OR(H30="",I30=""),"",IF(AND(H30="No",I30="No"),"Drop",IF(H30="No","Review price","Keep")))</f>
        <v>Keep</v>
      </c>
      <c r="K30" s="28" t="str">
        <f>IF(J30="","",IF(J30="Drop","Over the target food cost AND barely turns over: it takes up case space, creates waste and doesn't pay for its slot. Off the opening menu.",IF(J30="Review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31" ht="32" customHeight="1">
      <c r="A31" t="inlineStr">
        <is>
          <t>TP4</t>
        </is>
      </c>
      <c r="B31" t="inlineStr">
        <is>
          <t>Huesos de santo (marzipan "saints' bones")</t>
        </is>
      </c>
      <c r="C31" t="inlineStr">
        <is>
          <t>Seasonal</t>
        </is>
      </c>
      <c r="D31" s="27">
        <f>'Labor Cost per Hour'!O31</f>
        <v>0.18791765127103474</v>
      </c>
      <c r="E31" s="11">
        <f>'Labor Cost per Hour'!Q31</f>
        <v>0.7673866679782226</v>
      </c>
      <c r="F31" s="26">
        <f>'Mix and Average Ticket'!D31</f>
        <v>0.8</v>
      </c>
      <c r="G31" s="11">
        <f>IFERROR(E31*F31/100,"")</f>
        <v>0.006139093343825781</v>
      </c>
      <c r="H31" t="str">
        <f>IF(NOT(ISNUMBER(D31)),"",IF(D31&lt;='Settings'!$B$24,"Yes","No"))</f>
        <v>Yes</v>
      </c>
      <c r="I31" t="str">
        <f>IF(NOT(ISNUMBER(F31)),"",IF(F31&gt;='Settings'!$B$37,"Yes","No"))</f>
        <v>No</v>
      </c>
      <c r="J31" t="str">
        <f>IF(OR(H31="",I31=""),"",IF(AND(H31="No",I31="No"),"Drop",IF(H31="No","Review price","Keep")))</f>
        <v>Keep</v>
      </c>
      <c r="K31" s="28" t="str">
        <f>IF(J31="","",IF(J31="Drop","Over the target food cost AND barely turns over: it takes up case space, creates waste and doesn't pay for its slot. Off the opening menu.",IF(J31="Review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32" ht="32" customHeight="1">
      <c r="A32" t="inlineStr">
        <is>
          <t>TP5</t>
        </is>
      </c>
      <c r="B32" t="inlineStr">
        <is>
          <t>Panellets (almond and pine-nut cookies)</t>
        </is>
      </c>
      <c r="C32" t="inlineStr">
        <is>
          <t>Seasonal</t>
        </is>
      </c>
      <c r="D32" s="27">
        <f>'Labor Cost per Hour'!O32</f>
        <v>0.40966084451798745</v>
      </c>
      <c r="E32" s="11">
        <f>'Labor Cost per Hour'!Q32</f>
        <v>0.5443953425776165</v>
      </c>
      <c r="F32" s="26">
        <f>'Mix and Average Ticket'!D32</f>
        <v>0.7</v>
      </c>
      <c r="G32" s="11">
        <f>IFERROR(E32*F32/100,"")</f>
        <v>0.003810767398043315</v>
      </c>
      <c r="H32" t="str">
        <f>IF(NOT(ISNUMBER(D32)),"",IF(D32&lt;='Settings'!$B$24,"Yes","No"))</f>
        <v>No</v>
      </c>
      <c r="I32" t="str">
        <f>IF(NOT(ISNUMBER(F32)),"",IF(F32&gt;='Settings'!$B$37,"Yes","No"))</f>
        <v>No</v>
      </c>
      <c r="J32" t="str">
        <f>IF(OR(H32="",I32=""),"",IF(AND(H32="No",I32="No"),"Drop",IF(H32="No","Review price","Keep")))</f>
        <v>Drop</v>
      </c>
      <c r="K32" s="28" t="str">
        <f>IF(J32="","",IF(J32="Drop","Over the target food cost AND barely turns over: it takes up case space, creates waste and doesn't pay for its slot. Off the opening menu.",IF(J32="Review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Over the target food cost AND barely turns over: it takes up case space, creates waste and doesn't pay for its slot. Off the opening menu.</v>
      </c>
    </row>
    <row r="33" ht="32" customHeight="1">
      <c r="A33" t="inlineStr">
        <is>
          <t>TP6</t>
        </is>
      </c>
      <c r="B33" t="inlineStr">
        <is>
          <t>Polvorones (Spanish shortbread)</t>
        </is>
      </c>
      <c r="C33" t="inlineStr">
        <is>
          <t>Seasonal</t>
        </is>
      </c>
      <c r="D33" s="27">
        <f>'Labor Cost per Hour'!O33</f>
        <v>0.14397461475132414</v>
      </c>
      <c r="E33" s="11">
        <f>'Labor Cost per Hour'!Q33</f>
        <v>0.6049841676125072</v>
      </c>
      <c r="F33" s="26">
        <f>'Mix and Average Ticket'!D33</f>
        <v>1.3</v>
      </c>
      <c r="G33" s="11">
        <f>IFERROR(E33*F33/100,"")</f>
        <v>0.007864794178962593</v>
      </c>
      <c r="H33" t="str">
        <f>IF(NOT(ISNUMBER(D33)),"",IF(D33&lt;='Settings'!$B$24,"Yes","No"))</f>
        <v>Yes</v>
      </c>
      <c r="I33" t="str">
        <f>IF(NOT(ISNUMBER(F33)),"",IF(F33&gt;='Settings'!$B$37,"Yes","No"))</f>
        <v>Yes</v>
      </c>
      <c r="J33" t="str">
        <f>IF(OR(H33="",I33=""),"",IF(AND(H33="No",I33="No"),"Drop",IF(H33="No","Review price","Keep")))</f>
        <v>Keep</v>
      </c>
      <c r="K33" s="28" t="str">
        <f>IF(J33="","",IF(J33="Drop","Over the target food cost AND barely turns over: it takes up case space, creates waste and doesn't pay for its slot. Off the opening menu.",IF(J33="Review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34" ht="32" customHeight="1">
      <c r="A34" t="inlineStr">
        <is>
          <t>TP7</t>
        </is>
      </c>
      <c r="B34" t="inlineStr">
        <is>
          <t>Almond turrón (nougat)</t>
        </is>
      </c>
      <c r="C34" t="inlineStr">
        <is>
          <t>Seasonal</t>
        </is>
      </c>
      <c r="D34" s="27">
        <f>'Labor Cost per Hour'!O34</f>
        <v>0.3244961920897341</v>
      </c>
      <c r="E34" s="11">
        <f>'Labor Cost per Hour'!Q34</f>
        <v>5.476354031494585</v>
      </c>
      <c r="F34" s="26">
        <f>'Mix and Average Ticket'!D34</f>
        <v>0.5</v>
      </c>
      <c r="G34" s="11">
        <f>IFERROR(E34*F34/100,"")</f>
        <v>0.027381770157472927</v>
      </c>
      <c r="H34" t="str">
        <f>IF(NOT(ISNUMBER(D34)),"",IF(D34&lt;='Settings'!$B$24,"Yes","No"))</f>
        <v>No</v>
      </c>
      <c r="I34" t="str">
        <f>IF(NOT(ISNUMBER(F34)),"",IF(F34&gt;='Settings'!$B$37,"Yes","No"))</f>
        <v>No</v>
      </c>
      <c r="J34" t="str">
        <f>IF(OR(H34="",I34=""),"",IF(AND(H34="No",I34="No"),"Drop",IF(H34="No","Review price","Keep")))</f>
        <v>Drop</v>
      </c>
      <c r="K34" s="28" t="str">
        <f>IF(J34="","",IF(J34="Drop","Over the target food cost AND barely turns over: it takes up case space, creates waste and doesn't pay for its slot. Off the opening menu.",IF(J34="Review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Over the target food cost AND barely turns over: it takes up case space, creates waste and doesn't pay for its slot. Off the opening menu.</v>
      </c>
    </row>
    <row r="35" ht="32" customHeight="1">
      <c r="A35" t="inlineStr">
        <is>
          <t>TP8</t>
        </is>
      </c>
      <c r="B35" t="inlineStr">
        <is>
          <t>Mona de Pascua (Catalan Easter cake)</t>
        </is>
      </c>
      <c r="C35" t="inlineStr">
        <is>
          <t>Seasonal</t>
        </is>
      </c>
      <c r="D35" s="27">
        <f>'Labor Cost per Hour'!O35</f>
        <v>0.16417503767896466</v>
      </c>
      <c r="E35" s="11">
        <f>'Labor Cost per Hour'!Q35</f>
        <v>8.549479305346576</v>
      </c>
      <c r="F35" s="26">
        <f>'Mix and Average Ticket'!D35</f>
        <v>0.7</v>
      </c>
      <c r="G35" s="11">
        <f>IFERROR(E35*F35/100,"")</f>
        <v>0.05984635513742603</v>
      </c>
      <c r="H35" t="str">
        <f>IF(NOT(ISNUMBER(D35)),"",IF(D35&lt;='Settings'!$B$24,"Yes","No"))</f>
        <v>Yes</v>
      </c>
      <c r="I35" t="str">
        <f>IF(NOT(ISNUMBER(F35)),"",IF(F35&gt;='Settings'!$B$37,"Yes","No"))</f>
        <v>No</v>
      </c>
      <c r="J35" t="str">
        <f>IF(OR(H35="",I35=""),"",IF(AND(H35="No",I35="No"),"Drop",IF(H35="No","Review price","Keep")))</f>
        <v>Keep</v>
      </c>
      <c r="K35" s="28" t="str">
        <f>IF(J35="","",IF(J35="Drop","Over the target food cost AND barely turns over: it takes up case space, creates waste and doesn't pay for its slot. Off the opening menu.",IF(J35="Review price","Turns over well but runs over the target food cost: raise the price, change the portion weight or renegotiate the ingredient that drives it up. Dropping it would cost you turnover.","Within target and turning over: it's an item that holds up the menu. Watch that its ingredient cost doesn't get away from you.")))</f>
        <v>Within target and turning over: it's an item that holds up the menu. Watch that its ingredient cost doesn't get away from you.</v>
      </c>
    </row>
    <row r="36">
      <c r="A36" s="13" t="inlineStr">
        <is>
          <t>MENU TOTAL</t>
        </is>
      </c>
      <c r="F36" s="14">
        <f>SUM(F6:F35)</f>
        <v>100.0</v>
      </c>
      <c r="G36" s="15">
        <f>SUM(G6:G35)</f>
        <v>1.0710505181905658</v>
      </c>
      <c r="K36" s="17" t="inlineStr">
        <is>
          <t>The total weighted margin is the average contribution margin per piece sold with this mix.</t>
        </is>
      </c>
    </row>
    <row r="37"/>
    <row r="38">
      <c r="A38" s="4" t="inlineStr">
        <is>
          <t>How the menu looks</t>
        </is>
      </c>
    </row>
    <row r="39">
      <c r="B39" t="inlineStr">
        <is>
          <t>Items with a Keep verdict</t>
        </is>
      </c>
      <c r="E39" s="19">
        <f>COUNTIF(J6:J35,"Keep")</f>
        <v>27.0</v>
      </c>
      <c r="F39" s="11">
        <f>IFERROR(SUMPRODUCT(--(J6:J35="Keep"),G6:G35),"")</f>
        <v>1.0278666711708286</v>
      </c>
      <c r="G39" s="17" t="inlineStr">
        <is>
          <t>dollars of weighted margin they bring in</t>
        </is>
      </c>
    </row>
    <row r="40">
      <c r="B40" t="inlineStr">
        <is>
          <t>Items with a Review price verdict</t>
        </is>
      </c>
      <c r="E40" s="19">
        <f>COUNTIF(J6:J35,"Review price")</f>
        <v>1.0</v>
      </c>
      <c r="F40" s="11">
        <f>IFERROR(SUMPRODUCT(--(J6:J35="Review price"),G6:G35),"")</f>
        <v>0.011991309464220818</v>
      </c>
      <c r="G40" s="17" t="inlineStr">
        <is>
          <t>dollars of weighted margin they bring in</t>
        </is>
      </c>
    </row>
    <row r="41">
      <c r="B41" t="inlineStr">
        <is>
          <t>Items with a Drop verdict</t>
        </is>
      </c>
      <c r="E41" s="19">
        <f>COUNTIF(J6:J35,"Drop")</f>
        <v>2.0</v>
      </c>
      <c r="F41" s="11">
        <f>IFERROR(SUMPRODUCT(--(J6:J35="Drop"),G6:G35),"")</f>
        <v>0.031192537555516243</v>
      </c>
      <c r="G41" s="17" t="inlineStr">
        <is>
          <t>dollars of weighted margin they bring in</t>
        </is>
      </c>
    </row>
    <row r="42">
      <c r="B42" t="inlineStr">
        <is>
          <t>Average weighted margin per item ($)</t>
        </is>
      </c>
      <c r="E42" s="15">
        <f>IFERROR(AVERAGE(G6:G35),"")</f>
        <v>0.03570168393968553</v>
      </c>
    </row>
    <row r="43"/>
    <row r="44"/>
    <row r="45" ht="46" customHeight="1">
      <c r="A45" s="21" t="inlineStr">
        <is>
          <t>HOW IT'S DECIDED. Two questions, not four. Is the food cost within your target? Does the item turn over above your threshold? If the margin fails and it doesn't turn over either, it's out. If only the margin fails, the problem is price or process, not the menu: dropping it would cost you turnover. If neither fails, it stays.</t>
        </is>
      </c>
    </row>
    <row r="46" ht="46" customHeight="1">
      <c r="A46" s="21" t="inlineStr">
        <is>
          <t>THIS ISN'T MENU ENGINEERING. Menu engineering (Kasavana-Smith, Miller, Pavesic, Goal Value) is in the Food Cost + Menu Engineering Guide, with its four methods and how they compare. This is the menu traffic light for an OPENING menu, which is something else: you use it before you've sold anything, with the mix YOU assume.</t>
        </is>
      </c>
    </row>
    <row r="47" ht="46" customHeight="1">
      <c r="A47" s="21" t="inlineStr">
        <is>
          <t>WHEN TO LOOK AGAIN. Three months after opening, with real POS sales in the mix column, and then every time the season changes. An opening menu that's unchanged after a year is a menu nobody has looked at.</t>
        </is>
      </c>
    </row>
    <row r="48" ht="46" customHeight="1">
      <c r="A48" s="21" t="inlineStr">
        <is>
          <t>AN ITEM CAN STAY EVEN IF IT LOSES MONEY, AND YOU NEED TO KNOW IT. The baguette is the classic case: thin margin and lots of turnover, but it's what brings the customer in every day. If you decide to keep something the menu traffic light says to drop, write it down and set a date to review it: that's a decision, not an oversight.</t>
        </is>
      </c>
    </row>
    <row r="49"/>
    <row r="50">
      <c r="A50" s="7"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46:K46"/>
    <mergeCell ref="A47:K47"/>
    <mergeCell ref="A48:K48"/>
    <mergeCell ref="A45:K45"/>
  </mergeCells>
  <conditionalFormatting sqref="J6:J35">
    <cfRule type="cellIs" priority="1" operator="equal" dxfId="1" stopIfTrue="1">
      <formula>"Keep"</formula>
    </cfRule>
    <cfRule type="cellIs" priority="2" operator="equal" dxfId="2" stopIfTrue="1">
      <formula>"Review price"</formula>
    </cfRule>
    <cfRule type="cellIs" priority="3" operator="equal" dxfId="3" stopIfTrue="1">
      <formula>"Drop"</formula>
    </cfRule>
  </conditionalFormatting>
  <conditionalFormatting sqref="H6:H35">
    <cfRule type="cellIs" priority="4" operator="equal" dxfId="3" stopIfTrue="1">
      <formula>"No"</formula>
    </cfRule>
  </conditionalFormatting>
  <conditionalFormatting sqref="I6:I35">
    <cfRule type="cellIs" priority="5" operator="equal" dxfId="3" stopIfTrue="1">
      <formula>"No"</formula>
    </cfRule>
  </conditionalFormatting>
  <conditionalFormatting sqref="E6:E35">
    <cfRule type="expression" priority="6" dxfId="0" stopIfTrue="1">
      <formula>=AND(ISNUMBER($E6),$E6&lt;=0)</formula>
    </cfRule>
  </conditionalFormatting>
  <pageMargins left="0.39" right="0.39" top="0.59" bottom="0.59" header="0.5" footer="0.5"/>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Opening Menu and Batch Recipe Costing</dc:title>
  <dc:subject xmlns:dc="http://purl.org/dc/elements/1.1/">How to Open a Pastry Shop · Version 1.0 · October 2026</dc:subject>
  <dcterms:created xmlns:dcterms="http://purl.org/dc/terms/" xmlns:xsi="http://www.w3.org/2001/XMLSchema-instance" xsi:type="dcterms:W3CDTF">2026-09-10T05:34:31Z</dcterms:created>
  <dcterms:modified xmlns:dcterms="http://purl.org/dc/terms/" xmlns:xsi="http://www.w3.org/2001/XMLSchema-instance" xsi:type="dcterms:W3CDTF">2026-10-17T08:00:00Z</dcterms:modified>
  <cp:lastModifiedBy>AI Chef Pro</cp:lastModifiedBy>
</cp:coreProperties>
</file>