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ttings" sheetId="2" state="visible" r:id="rId2"/>
    <sheet xmlns:r="http://schemas.openxmlformats.org/officeDocument/2006/relationships" name="6-Peak Calendar" sheetId="3" state="visible" r:id="rId3"/>
    <sheet xmlns:r="http://schemas.openxmlformats.org/officeDocument/2006/relationships" name="Share of the Year" sheetId="4" state="visible" r:id="rId4"/>
    <sheet xmlns:r="http://schemas.openxmlformats.org/officeDocument/2006/relationships" name="Peak Capacity vs Demand" sheetId="5" state="visible" r:id="rId5"/>
    <sheet xmlns:r="http://schemas.openxmlformats.org/officeDocument/2006/relationships" name="Extra Staff and Cash" sheetId="6" state="visible" r:id="rId6"/>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0.0%"/>
  </numFmts>
  <fonts count="12">
    <font>
      <name val="Calibri"/>
      <family val="2"/>
      <color theme="1"/>
      <sz val="11"/>
      <scheme val="minor"/>
    </font>
    <font>
      <b val="1"/>
      <color theme="1"/>
      <sz val="11"/>
    </font>
    <font>
      <b val="1"/>
      <color rgb="00FFD700"/>
      <sz val="16"/>
    </font>
    <font>
      <color rgb="00888888"/>
      <sz val="10"/>
    </font>
    <font>
      <i val="1"/>
      <sz val="9"/>
    </font>
    <font>
      <b val="1"/>
      <color rgb="00FFD700"/>
      <sz val="12"/>
    </font>
    <font>
      <i val="1"/>
      <sz val="8"/>
    </font>
    <font>
      <b val="1"/>
      <color rgb="00FFFFFF"/>
      <sz val="9"/>
    </font>
    <font>
      <color rgb="00888888"/>
      <sz val="8"/>
    </font>
    <font>
      <sz val="8"/>
    </font>
    <font>
      <color rgb="00888888"/>
      <sz val="9"/>
    </font>
    <font>
      <sz val="9"/>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30">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6" fillId="0" borderId="0" pivotButton="0" quotePrefix="0" xfId="0"/>
    <xf numFmtId="0" fontId="7" fillId="3" borderId="0" applyAlignment="1" pivotButton="0" quotePrefix="0" xfId="0">
      <alignment horizontal="center" vertical="center" wrapText="1"/>
    </xf>
    <xf numFmtId="164" fontId="0" fillId="2" borderId="0" applyProtection="1" pivotButton="0" quotePrefix="0" xfId="0">
      <protection locked="0" hidden="0"/>
    </xf>
    <xf numFmtId="0" fontId="8" fillId="0" borderId="0" pivotButton="0" quotePrefix="0" xfId="0"/>
    <xf numFmtId="0" fontId="8" fillId="0" borderId="0" applyAlignment="1" pivotButton="0" quotePrefix="0" xfId="0">
      <alignment horizontal="general" vertical="top" wrapText="1"/>
    </xf>
    <xf numFmtId="3" fontId="0" fillId="2" borderId="0" applyProtection="1" pivotButton="0" quotePrefix="0" xfId="0">
      <protection locked="0" hidden="0"/>
    </xf>
    <xf numFmtId="165" fontId="0" fillId="2" borderId="0" applyProtection="1" pivotButton="0" quotePrefix="0" xfId="0">
      <protection locked="0" hidden="0"/>
    </xf>
    <xf numFmtId="165" fontId="1" fillId="4" borderId="0" pivotButton="0" quotePrefix="0" xfId="0"/>
    <xf numFmtId="3" fontId="1" fillId="4" borderId="0" pivotButton="0" quotePrefix="0" xfId="0"/>
    <xf numFmtId="166" fontId="0" fillId="2" borderId="0" applyProtection="1" pivotButton="0" quotePrefix="0" xfId="0">
      <protection locked="0" hidden="0"/>
    </xf>
    <xf numFmtId="164" fontId="1" fillId="4" borderId="0" pivotButton="0" quotePrefix="0" xfId="0"/>
    <xf numFmtId="0" fontId="1" fillId="0" borderId="0" pivotButton="0" quotePrefix="0" xfId="0"/>
    <xf numFmtId="164" fontId="0" fillId="0" borderId="0" pivotButton="0" quotePrefix="0" xfId="0"/>
    <xf numFmtId="3" fontId="0" fillId="0" borderId="0" pivotButton="0" quotePrefix="0" xfId="0"/>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4" fontId="0" fillId="2" borderId="0" applyProtection="1" pivotButton="0" quotePrefix="0" xfId="0">
      <protection locked="0" hidden="0"/>
    </xf>
    <xf numFmtId="166" fontId="0" fillId="0" borderId="0" pivotButton="0" quotePrefix="0" xfId="0"/>
    <xf numFmtId="4" fontId="1" fillId="4" borderId="0" pivotButton="0" quotePrefix="0" xfId="0"/>
    <xf numFmtId="166" fontId="1" fillId="4" borderId="0" pivotButton="0" quotePrefix="0" xfId="0"/>
    <xf numFmtId="165" fontId="0" fillId="0" borderId="0" pivotButton="0" quotePrefix="0" xfId="0"/>
    <xf numFmtId="0" fontId="0" fillId="0" borderId="0" applyAlignment="1" pivotButton="0" quotePrefix="0" xfId="0">
      <alignment vertical="top" wrapText="1"/>
    </xf>
    <xf numFmtId="0" fontId="11" fillId="0" borderId="0" applyAlignment="1" pivotButton="0" quotePrefix="0" xfId="0">
      <alignment horizontal="general" vertical="top" wrapText="1"/>
    </xf>
  </cellXfs>
  <cellStyles count="1">
    <cellStyle name="Normal" xfId="0" builtinId="0" hidden="0"/>
  </cellStyles>
  <dxfs count="4">
    <dxf>
      <font>
        <b val="1"/>
        <color rgb="007A5C00"/>
      </font>
      <fill>
        <patternFill patternType="solid">
          <fgColor rgb="00FFF3C4"/>
          <bgColor rgb="00FFF3C4"/>
        </patternFill>
      </fill>
    </dxf>
    <dxf>
      <font>
        <b val="1"/>
        <color rgb="001B5E20"/>
      </font>
      <fill>
        <patternFill patternType="solid">
          <fgColor rgb="00C8E6C9"/>
          <bgColor rgb="00C8E6C9"/>
        </patternFill>
      </fill>
    </dxf>
    <dxf>
      <font>
        <b val="1"/>
        <color rgb="00B71C1C"/>
      </font>
      <fill>
        <patternFill patternType="solid">
          <fgColor rgb="00FFCDD2"/>
          <bgColor rgb="00FFCDD2"/>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AI Chef Pro</author>
  </authors>
  <commentList>
    <comment ref="B17" authorId="0" shapeId="0">
      <text>
        <t>Verified October 2026 · The case's wage table is an example, not a legal schedule: replace it with what you'll pay, spread over 12 monthly payments. Federal minimum wage $7.25/h (Texas applies it); California, New York and Florida are higher · U.S. Department of Labor, State Minimum Wage Laws (updated July 1, 2026) · https://www.dol.gov/agencies/whd/minimum-wage/state</t>
      </text>
    </comment>
    <comment ref="B18" authorId="0" shapeId="0">
      <text>
        <t>Verified October 2026 · The case's wage table is an example, not a legal schedule: replace it with what you'll pay, spread over 12 monthly payments. Federal minimum wage $7.25/h (Texas applies it); California, New York and Florida are higher · U.S. Department of Labor, State Minimum Wage Laws (updated July 1, 2026) · https://www.dol.gov/agencies/whd/minimum-wage/state</t>
      </text>
    </comment>
    <comment ref="B25"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B26" authorId="0" shapeId="0">
      <text>
        <t>Verified October 2026 · Bread follows the same sales tax rule as pastries: sold to go, it's generally exempt in the four example states; what changes the tax is how you sell it, not what you sell · Texas Comptroller, 34 TAC §3.293 · https://comptroller.texas.gov/taxes/publications/94-117.php</t>
      </text>
    </comment>
  </commentList>
</comments>
</file>

<file path=xl/comments/comment2.xml><?xml version="1.0" encoding="utf-8"?>
<comments xmlns="http://schemas.openxmlformats.org/spreadsheetml/2006/main">
  <authors>
    <author>AI Chef Pro</author>
  </authors>
  <commentList>
    <comment ref="G6"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G7"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G8"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G9"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G10"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G11"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fitToPage="1"/>
  </sheetPr>
  <dimension ref="A1:A28"/>
  <sheetViews>
    <sheetView workbookViewId="0">
      <selection activeCell="A1" sqref="A1"/>
    </sheetView>
  </sheetViews>
  <sheetFormatPr baseColWidth="8" defaultRowHeight="15"/>
  <cols>
    <col width="90" customWidth="1" min="1" max="1"/>
  </cols>
  <sheetData>
    <row r="1">
      <c r="A1" s="1" t="inlineStr">
        <is>
          <t>Seasonal Peaks and Campaign Planning</t>
        </is>
      </c>
    </row>
    <row r="2">
      <c r="A2" s="2" t="inlineStr">
        <is>
          <t>AI Chef Pro · aichef.pro — How to Open a Pastry Shop</t>
        </is>
      </c>
    </row>
    <row r="3">
      <c r="A3" s="3" t="inlineStr">
        <is>
          <t>Purpose: find out whether you can handle Three Kings Day before it arrives, and how much money each campaign ties up.</t>
        </is>
      </c>
    </row>
    <row r="4"/>
    <row r="5">
      <c r="A5" s="4" t="inlineStr">
        <is>
          <t>How to use it</t>
        </is>
      </c>
    </row>
    <row r="6" ht="58" customHeight="1">
      <c r="A6" s="5" t="inlineStr">
        <is>
          <t>1. "Settings" sheet: first, the capacity of your production kitchen in pieces per hour. That number comes from the "Bottleneck" sheet of kitchen-capacity-and-site.xlsx in this same pack: open it, see which machine limits you and copy its pieces per hour here. It comes with a default value so the workbook works from the first minute, but it's an ASSUMPTION, not your production kitchen.</t>
        </is>
      </c>
    </row>
    <row r="7" ht="58" customHeight="1">
      <c r="A7" s="5" t="inlineStr">
        <is>
          <t>2. "6-Peak Calendar" sheet: six campaigns with their star product, their days, their price and the units you expect to sell per day inside and outside the campaign. It's the only sheet where you type sales expectations.</t>
        </is>
      </c>
    </row>
    <row r="8" ht="58" customHeight="1">
      <c r="A8" s="5" t="inlineStr">
        <is>
          <t>3. "Share of the Year" sheet: spread your annual sales across the twelve months and you'll see what percentage of the year is at stake in each campaign. It's the number that decides whether a campaign is worth setting up.</t>
        </is>
      </c>
    </row>
    <row r="9" ht="58" customHeight="1">
      <c r="A9" s="5" t="inlineStr">
        <is>
          <t>4. "Peak Capacity vs Demand" sheet: this is the question of the workbook. Peak demand is your normal-day pieces times the campaign factor; capacity is the hours you can keep the production kitchen running. If there's a shortfall, you have three levers, in this order: more machine hours, production made ahead and frozen, and extra staff.</t>
        </is>
      </c>
    </row>
    <row r="10" ht="58" customHeight="1">
      <c r="A10" s="5" t="inlineStr">
        <is>
          <t>5. "Extra Staff and Cash" sheet: what the extra staff costs at the real employer cost (base pay plus payroll taxes, workers' comp and benefits) and, above all, how much money the campaign's ingredient purchase ties up and for how many days. That money leaves your account weeks before the first dollar of the campaign comes in.</t>
        </is>
      </c>
    </row>
    <row r="11" ht="58" customHeight="1">
      <c r="A11" s="5" t="inlineStr">
        <is>
          <t>6. Repeat the cycle every January with the real figures from the campaign you just closed: the workbook is only worth what you put into it, which is what really happened, not what you expected to happen.</t>
        </is>
      </c>
    </row>
    <row r="12"/>
    <row r="13">
      <c r="A13" s="6" t="inlineStr">
        <is>
          <t>Green cells = fields you can edit</t>
        </is>
      </c>
    </row>
    <row r="14"/>
    <row r="15">
      <c r="A15" s="4" t="inlineStr">
        <is>
          <t>What to know before you start</t>
        </is>
      </c>
    </row>
    <row r="16" ht="62" customHeight="1">
      <c r="A16" s="5" t="inlineStr">
        <is>
          <t>WHAT THIS WORKBOOK DOES AND WHAT YOUR TASK CALENDAR DOES. Your annual task calendar sets the DATES and what to do in each campaign, and your daily task checklists carry the detail of each event. This workbook doesn't repeat that calendar: it puts DOLLARS on it and answers "can I handle it?". They're two different pieces of the same problem, and you use them together.</t>
        </is>
      </c>
    </row>
    <row r="17" ht="62" customHeight="1">
      <c r="A17" s="5" t="inlineStr">
        <is>
          <t>There isn't a single formula here that points to another file. When a figure lives in another workbook of the pack (the production kitchen's capacity, for example), it's COPIED by hand and the note says so. A link between files breaks as soon as someone moves a folder, and then the workbook lies without telling you.</t>
        </is>
      </c>
    </row>
    <row r="18" ht="62" customHeight="1">
      <c r="A18" s="5" t="inlineStr">
        <is>
          <t>The campaign factor multiplies the pieces of the WHOLE PRODUCTION KITCHEN, not those of the star product. In a measured kitchen, individual pastries went from 50-60 pieces a day to 500-600 in the campaign with the same equipment. The 6.0 for Three Kings Day in the example is the only one that reaches that range; the rest stay between 1.6 and 2.6 because they're two-, three- or four-day campaigns.</t>
        </is>
      </c>
    </row>
    <row r="19" ht="62" customHeight="1">
      <c r="A19" s="5" t="inlineStr">
        <is>
          <t>A cream-filled rosca carries the 41 °F cold-holding limit (Food Code 3-501.16) and date marking (3-501.17) right on the biggest production day. That limits the campaign as much as the oven does: what you can't make ahead and freeze, you have to make the same day. The "Egg &amp; TCS Decision" sheet of opening-menu-and-recipe-costing.xlsx tells you which item falls in that bag and which doesn't.</t>
        </is>
      </c>
    </row>
    <row r="20" ht="62" customHeight="1">
      <c r="A20" s="5" t="inlineStr">
        <is>
          <t>Made-ahead production has a physical ceiling that isn't on this sheet: the cubic feet of your freezer and the capacity of your blast chiller. Before you accept a made-ahead piece count, check that it fits. A chest freezer preserves but does NOT chill fast enough: it doesn't replace the blast chiller (Food Code cooling rule, 3-501.14).</t>
        </is>
      </c>
    </row>
    <row r="21" ht="62" customHeight="1">
      <c r="A21" s="5" t="inlineStr">
        <is>
          <t>Campaign cash is the number that surprises people most. You order raw materials weeks ahead, pay cash or at 30 days, and get paid when you sell. In between there's idle money that isn't in any income statement but is in your bank account.</t>
        </is>
      </c>
    </row>
    <row r="22"/>
    <row r="23" ht="46" customHeight="1">
      <c r="A23" s="5" t="inlineStr">
        <is>
          <t>How often to use this workbook: the "Settings" and the "6-Peak Calendar," ONCE A YEAR, in January, when you close the Three Kings Day campaign and have the data fresh. "Peak Capacity vs Demand" and "Extra Staff and Cash," ONCE PER CAMPAIGN, with the purchase lead time the sheet itself gives: for Three Kings Day, six weeks ahead, that is, late November.</t>
        </is>
      </c>
    </row>
    <row r="24"/>
    <row r="25" ht="30" customHeight="1">
      <c r="A25" s="5" t="inlineStr">
        <is>
          <t>To edit the structure or a cell that isn't green, unprotect the sheet: Review &gt; Unprotect Sheet. The protection has NO password; it only stops you from overwriting a formula by accident.</t>
        </is>
      </c>
    </row>
    <row r="26"/>
    <row r="27">
      <c r="A27" s="5" t="inlineStr">
        <is>
          <t>Designed by John Guerrero — chef and restaurant consultant since 2010, in the kitchen since age 17.</t>
        </is>
      </c>
    </row>
    <row r="28">
      <c r="A28" s="7"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9"/>
  <sheetViews>
    <sheetView workbookViewId="0">
      <selection activeCell="A1" sqref="A1"/>
    </sheetView>
  </sheetViews>
  <sheetFormatPr baseColWidth="8" defaultRowHeight="15"/>
  <cols>
    <col width="50" customWidth="1" min="1" max="1"/>
    <col width="15" customWidth="1" min="2" max="2"/>
    <col width="13" customWidth="1" min="3" max="3"/>
    <col width="20" customWidth="1" min="4" max="4"/>
    <col width="82" customWidth="1" min="5" max="5"/>
  </cols>
  <sheetData>
    <row r="1">
      <c r="A1" s="1" t="inlineStr">
        <is>
          <t>Settings</t>
        </is>
      </c>
    </row>
    <row r="2">
      <c r="A2" s="2" t="inlineStr">
        <is>
          <t>AI Chef Pro · aichef.pro — How to Open a Pastry Shop</t>
        </is>
      </c>
    </row>
    <row r="3"/>
    <row r="4"/>
    <row r="5" ht="24" customHeight="1">
      <c r="A5" s="8" t="inlineStr">
        <is>
          <t>Parameter</t>
        </is>
      </c>
      <c r="B5" s="8" t="inlineStr">
        <is>
          <t>Value</t>
        </is>
      </c>
      <c r="C5" s="8" t="inlineStr">
        <is>
          <t>Unit</t>
        </is>
      </c>
      <c r="D5" s="8" t="inlineStr">
        <is>
          <t>Where it comes from</t>
        </is>
      </c>
      <c r="E5" s="8" t="inlineStr">
        <is>
          <t>Note</t>
        </is>
      </c>
    </row>
    <row r="6" ht="40" customHeight="1">
      <c r="A6" s="5" t="inlineStr">
        <is>
          <t>Steady-state annual sales before sales tax</t>
        </is>
      </c>
      <c r="B6" s="9" t="n">
        <v>322197.87</v>
      </c>
      <c r="C6" t="inlineStr">
        <is>
          <t>$/year</t>
        </is>
      </c>
      <c r="D6" s="10" t="inlineStr">
        <is>
          <t>assumption</t>
        </is>
      </c>
      <c r="E6" s="11" t="inlineStr">
        <is>
          <t>It comes from La Clara's menu and its assumed foot traffic: customers per day times pieces per customer times weighted average price. It's not industry data. Replace it with the figure from your financial plan.</t>
        </is>
      </c>
    </row>
    <row r="7" ht="40" customHeight="1">
      <c r="A7" s="5" t="inlineStr">
        <is>
          <t>Pieces per day at cruising speed</t>
        </is>
      </c>
      <c r="B7" s="12" t="n">
        <v>476</v>
      </c>
      <c r="C7" t="inlineStr">
        <is>
          <t>pieces/day</t>
        </is>
      </c>
      <c r="D7" s="10" t="inlineStr">
        <is>
          <t>assumption</t>
        </is>
      </c>
      <c r="E7" s="11" t="inlineStr">
        <is>
          <t>Customers per day times pieces per customer. It's the base the factor of each campaign multiplies.</t>
        </is>
      </c>
    </row>
    <row r="8" ht="40" customHeight="1">
      <c r="A8" s="5" t="inlineStr">
        <is>
          <t>Days open per year</t>
        </is>
      </c>
      <c r="B8" s="12" t="n">
        <v>300</v>
      </c>
      <c r="C8" t="inlineStr">
        <is>
          <t>days</t>
        </is>
      </c>
      <c r="D8" s="10" t="inlineStr">
        <is>
          <t>assumption</t>
        </is>
      </c>
      <c r="E8" s="11" t="inlineStr">
        <is>
          <t>6 days a week × 52 weeks = 312, minus 12 closing days for a vacation in August = 300. Holidays are NOT subtracted: you choose your own days and hours (check your lease and local rules).</t>
        </is>
      </c>
    </row>
    <row r="9" ht="40" customHeight="1">
      <c r="A9" s="5" t="inlineStr">
        <is>
          <t>Production kitchen capacity on a normal workday</t>
        </is>
      </c>
      <c r="B9" s="12" t="n">
        <v>480</v>
      </c>
      <c r="C9" t="inlineStr">
        <is>
          <t>pieces/day</t>
        </is>
      </c>
      <c r="D9" s="10" t="inlineStr">
        <is>
          <t>kitchen capacity workbook</t>
        </is>
      </c>
      <c r="E9" s="11" t="inlineStr">
        <is>
          <t>COPY by hand the result of the "Bottleneck" sheet of kitchen-capacity-and-site.xlsx in this pack: the cell "Pieces per day the whole kitchen allows." In the example it's 480, and the limiting equipment is the 4-tray blast chiller, against 476 pieces at cruising speed: four pieces of cushion. There's no formula between workbooks: if you change equipment, copy it again.</t>
        </is>
      </c>
    </row>
    <row r="10" ht="40" customHeight="1">
      <c r="A10" s="5" t="inlineStr">
        <is>
          <t>Production kitchen hours per day on a normal workday</t>
        </is>
      </c>
      <c r="B10" s="13" t="n">
        <v>8</v>
      </c>
      <c r="C10" t="inlineStr">
        <is>
          <t>hours</t>
        </is>
      </c>
      <c r="D10" s="10" t="inlineStr">
        <is>
          <t>assumption</t>
        </is>
      </c>
      <c r="E10" s="11" t="inlineStr">
        <is>
          <t>Clock hours the production kitchen runs on an ordinary day, not the shop's opening hours.</t>
        </is>
      </c>
    </row>
    <row r="11" ht="40" customHeight="1">
      <c r="A11" s="5" t="inlineStr">
        <is>
          <t>Pieces per clock hour of the limiting equipment</t>
        </is>
      </c>
      <c r="B11" s="14">
        <f>IFERROR('Settings'!$B$9/'Settings'!$B$10,"")</f>
        <v>60.0</v>
      </c>
      <c r="C11" t="inlineStr">
        <is>
          <t>pieces/hour</t>
        </is>
      </c>
      <c r="D11" s="10" t="inlineStr">
        <is>
          <t>calculated</t>
        </is>
      </c>
      <c r="E11" s="11" t="inlineStr">
        <is>
          <t>A normal workday's capacity divided by its hours. It's per CLOCK hour, with the stops already included: kitchen-capacity-and-site.xlsx already took out the part of the workday that isn't spent at the machine.</t>
        </is>
      </c>
    </row>
    <row r="12" ht="40" customHeight="1">
      <c r="A12" s="5" t="inlineStr">
        <is>
          <t>Daily surplus over cruising speed</t>
        </is>
      </c>
      <c r="B12" s="15">
        <f>IFERROR('Settings'!$B$9-'Settings'!$B$7,"")</f>
        <v>4.0</v>
      </c>
      <c r="C12" t="inlineStr">
        <is>
          <t>pieces/day</t>
        </is>
      </c>
      <c r="D12" s="10" t="inlineStr">
        <is>
          <t>calculated</t>
        </is>
      </c>
      <c r="E12" s="11" t="inlineStr">
        <is>
          <t>What you have left over on a normal day. It's the ammunition for getting ahead on production and freezing it before the campaign; if it comes out negative, you're already tight at cruising speed and getting ahead won't fix the peak.</t>
        </is>
      </c>
    </row>
    <row r="13" ht="40" customHeight="1">
      <c r="A13" s="5" t="inlineStr">
        <is>
          <t>Maximum production kitchen hours per day you accept</t>
        </is>
      </c>
      <c r="B13" s="13" t="n">
        <v>24</v>
      </c>
      <c r="C13" t="inlineStr">
        <is>
          <t>hours</t>
        </is>
      </c>
      <c r="D13" s="10" t="inlineStr">
        <is>
          <t>assumption</t>
        </is>
      </c>
      <c r="E13" s="11" t="inlineStr">
        <is>
          <t>A ceiling you set yourself. Above this number the sheet turns red: it isn't a legal limit, it's the warning that such a day doesn't exist.</t>
        </is>
      </c>
    </row>
    <row r="14" ht="40" customHeight="1">
      <c r="A14" s="5" t="inlineStr">
        <is>
          <t>Hours per person per day of the extra staff</t>
        </is>
      </c>
      <c r="B14" s="13" t="n">
        <v>8</v>
      </c>
      <c r="C14" t="inlineStr">
        <is>
          <t>hours</t>
        </is>
      </c>
      <c r="D14" s="10" t="inlineStr">
        <is>
          <t>assumption</t>
        </is>
      </c>
      <c r="E14" s="11" t="inlineStr">
        <is>
          <t>Workday of the extra staff during the campaign. It's used to work out how many people it takes to cover the machine hours you're short.</t>
        </is>
      </c>
    </row>
    <row r="15"/>
    <row r="16">
      <c r="A16" s="4" t="inlineStr">
        <is>
          <t>Extra staff cost (example wage table)</t>
        </is>
      </c>
    </row>
    <row r="17" ht="40" customHeight="1">
      <c r="A17" s="5" t="inlineStr">
        <is>
          <t>Monthly pay of the extra staff's pay grade</t>
        </is>
      </c>
      <c r="B17" s="9" t="n">
        <v>1490.525</v>
      </c>
      <c r="C17" t="inlineStr">
        <is>
          <t>$/month</t>
        </is>
      </c>
      <c r="D17" s="10" t="inlineStr">
        <is>
          <t>case assumption</t>
        </is>
      </c>
      <c r="E17" s="11" t="inlineStr">
        <is>
          <t>Group 5, "Support staff," of the example wage table (the same one used in staff-schedule-and-labor-cost.xlsx). Replace it with the pay for the role you'll hire.</t>
        </is>
      </c>
    </row>
    <row r="18" ht="40" customHeight="1">
      <c r="A18" s="5" t="inlineStr">
        <is>
          <t>Pay periods per year</t>
        </is>
      </c>
      <c r="B18" s="12" t="n">
        <v>12</v>
      </c>
      <c r="C18" t="inlineStr">
        <is>
          <t>pay periods</t>
        </is>
      </c>
      <c r="D18" s="10" t="inlineStr">
        <is>
          <t>case assumption</t>
        </is>
      </c>
      <c r="E18" s="11" t="inlineStr">
        <is>
          <t>The model pays 12 periods a year (12 equal monthly payments). The US has no mandatory extra pay months.</t>
        </is>
      </c>
    </row>
    <row r="19" ht="40" customHeight="1">
      <c r="A19" s="5" t="inlineStr">
        <is>
          <t>Payroll taxes, workers' comp and benefits</t>
        </is>
      </c>
      <c r="B19" s="16" t="n">
        <v>0.33</v>
      </c>
      <c r="C19" t="inlineStr">
        <is>
          <t>on base pay</t>
        </is>
      </c>
      <c r="D19" s="10" t="inlineStr">
        <is>
          <t>case assumption</t>
        </is>
      </c>
      <c r="E19" s="11" t="inlineStr">
        <is>
          <t>Approximate employer cost on top of base pay: payroll taxes (FICA 7.65%, FUTA and state unemployment), workers' comp and benefits such as health insurance and paid time off. The mandatory part is around 10%; the rest depends on the benefits you offer. Adjust it to your state and your hires.</t>
        </is>
      </c>
    </row>
    <row r="20" ht="40" customHeight="1">
      <c r="A20" s="5" t="inlineStr">
        <is>
          <t>Annual hours actually worked</t>
        </is>
      </c>
      <c r="B20" s="12" t="n">
        <v>1780</v>
      </c>
      <c r="C20" t="inlineStr">
        <is>
          <t>hours/year</t>
        </is>
      </c>
      <c r="D20" s="10" t="inlineStr">
        <is>
          <t>assumption</t>
        </is>
      </c>
      <c r="E20" s="11" t="inlineStr">
        <is>
          <t>40 hours × 52 weeks = 2,080, less paid time off and holidays, comes to about 1,780.</t>
        </is>
      </c>
    </row>
    <row r="21" ht="40" customHeight="1">
      <c r="A21" s="5" t="inlineStr">
        <is>
          <t>Employer cost per hour worked of the extra staff (Group 5)</t>
        </is>
      </c>
      <c r="B21" s="17">
        <f>IFERROR('Settings'!$B$17*'Settings'!$B$18*(1+'Settings'!$B$19)/'Settings'!$B$20,"")</f>
        <v>13.364482584269666</v>
      </c>
      <c r="C21" t="inlineStr">
        <is>
          <t>$/hour</t>
        </is>
      </c>
      <c r="D21" s="10" t="inlineStr">
        <is>
          <t>calculated</t>
        </is>
      </c>
      <c r="E21" s="11" t="inlineStr">
        <is>
          <t>Monthly pay × 12 × (1 + payroll taxes, workers' comp and benefits), divided by annual hours actually worked. It's the real cost, not the pay. It is NOT the "productive-hour production kitchen cost" of opening-menu-and-recipe-costing.xlsx ($17.94) nor the "average employer cost per hour worked for the team" of staff-schedule-and-labor-cost.xlsx ($14.89): all three are correct and measure a different denominator.</t>
        </is>
      </c>
    </row>
    <row r="22"/>
    <row r="23">
      <c r="A23" s="4" t="inlineStr">
        <is>
          <t>Money, sales tax and thresholds</t>
        </is>
      </c>
    </row>
    <row r="24" ht="40" customHeight="1">
      <c r="A24" s="5" t="inlineStr">
        <is>
          <t>Annual interest rate on working capital</t>
        </is>
      </c>
      <c r="B24" s="16" t="n">
        <v>0.062</v>
      </c>
      <c r="C24" t="inlineStr">
        <is>
          <t>annual</t>
        </is>
      </c>
      <c r="D24" s="10" t="inlineStr">
        <is>
          <t>assumption</t>
        </is>
      </c>
      <c r="E24" s="11" t="inlineStr">
        <is>
          <t>Cost of the money you have tied up in campaign raw materials. If you finance the purchase with a line of credit, use your line's rate; if you pay from your own cash, use what it would cost you to borrow it.</t>
        </is>
      </c>
    </row>
    <row r="25" ht="40" customHeight="1">
      <c r="A25" s="5" t="inlineStr">
        <is>
          <t>Sales tax on pastries sold to go</t>
        </is>
      </c>
      <c r="B25" s="16" t="n">
        <v>0</v>
      </c>
      <c r="C25" t="inlineStr">
        <is>
          <t>on the pre-tax price</t>
        </is>
      </c>
      <c r="D25" s="10" t="inlineStr">
        <is>
          <t>your state's rule</t>
        </is>
      </c>
      <c r="E25" s="11" t="inlineStr">
        <is>
          <t>0 by default: in the four example states (CA, TX, NY, FL), bakery items sold to go are generally exempt. Prices in this workbook are before sales tax, so this rate doesn't change any margin.</t>
        </is>
      </c>
    </row>
    <row r="26" ht="40" customHeight="1">
      <c r="A26" s="5" t="inlineStr">
        <is>
          <t>Sales tax on bread sold to go</t>
        </is>
      </c>
      <c r="B26" s="16" t="n">
        <v>0</v>
      </c>
      <c r="C26" t="inlineStr">
        <is>
          <t>on the pre-tax price</t>
        </is>
      </c>
      <c r="D26" s="10" t="inlineStr">
        <is>
          <t>your state's rule</t>
        </is>
      </c>
      <c r="E26" s="11" t="inlineStr">
        <is>
          <t>Bread doesn't change your tax: sold to go it follows the same rule as pastries. What it does bring is a full label on any bread you bag yourself (Food Code 3-602.11).</t>
        </is>
      </c>
    </row>
    <row r="27" ht="40" customHeight="1">
      <c r="A27" s="5" t="inlineStr">
        <is>
          <t>Threshold to flag a campaign as big</t>
        </is>
      </c>
      <c r="B27" s="16" t="n">
        <v>0.05</v>
      </c>
      <c r="C27" t="inlineStr">
        <is>
          <t>of the year</t>
        </is>
      </c>
      <c r="D27" s="10" t="inlineStr">
        <is>
          <t>assumption</t>
        </is>
      </c>
      <c r="E27" s="11" t="inlineStr">
        <is>
          <t>The share of the year's sales above which the "Share of the Year" sheet highlights the campaign. A house criterion, not an industry one.</t>
        </is>
      </c>
    </row>
    <row r="28"/>
    <row r="29">
      <c r="A29" s="7"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R17"/>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30" customWidth="1" min="3" max="3"/>
    <col width="6" customWidth="1" min="4" max="4"/>
    <col width="8" customWidth="1" min="5" max="5"/>
    <col width="24" customWidth="1" min="6" max="6"/>
    <col width="7" customWidth="1" min="7" max="7"/>
    <col width="10" customWidth="1" min="8" max="8"/>
    <col width="10" customWidth="1" min="9" max="9"/>
    <col width="10" customWidth="1" min="10" max="10"/>
    <col width="10" customWidth="1" min="11" max="11"/>
    <col width="10" customWidth="1" min="12" max="12"/>
    <col width="11" customWidth="1" min="13" max="13"/>
    <col width="13" customWidth="1" min="14" max="14"/>
    <col width="13" customWidth="1" min="15" max="15"/>
    <col width="9" customWidth="1" min="16" max="16"/>
    <col width="10" customWidth="1" min="17" max="17"/>
    <col width="92" customWidth="1" min="18" max="18"/>
  </cols>
  <sheetData>
    <row r="1">
      <c r="A1" s="1" t="inlineStr">
        <is>
          <t>6-Peak Calendar</t>
        </is>
      </c>
    </row>
    <row r="2">
      <c r="A2" s="2" t="inlineStr">
        <is>
          <t>AI Chef Pro · aichef.pro — How to Open a Pastry Shop</t>
        </is>
      </c>
    </row>
    <row r="3">
      <c r="A3" s="3" t="inlineStr">
        <is>
          <t>Your annual task calendar sets the DATES and what to do. This sheet puts the DOLLARS.</t>
        </is>
      </c>
    </row>
    <row r="4"/>
    <row r="5" ht="42" customHeight="1">
      <c r="A5" s="8" t="inlineStr">
        <is>
          <t>#</t>
        </is>
      </c>
      <c r="B5" s="8" t="inlineStr">
        <is>
          <t>Campaign</t>
        </is>
      </c>
      <c r="C5" s="8" t="inlineStr">
        <is>
          <t>Reference dates</t>
        </is>
      </c>
      <c r="D5" s="8" t="inlineStr">
        <is>
          <t>Month</t>
        </is>
      </c>
      <c r="E5" s="8" t="inlineStr">
        <is>
          <t>Campaign days</t>
        </is>
      </c>
      <c r="F5" s="8" t="inlineStr">
        <is>
          <t>Star product</t>
        </is>
      </c>
      <c r="G5" s="8" t="inlineStr">
        <is>
          <t>Sales tax rate</t>
        </is>
      </c>
      <c r="H5" s="8" t="inlineStr">
        <is>
          <t>Menu price ($)</t>
        </is>
      </c>
      <c r="I5" s="8" t="inlineStr">
        <is>
          <t>Price before sales tax ($)</t>
        </is>
      </c>
      <c r="J5" s="8" t="inlineStr">
        <is>
          <t>Units per day outside the campaign</t>
        </is>
      </c>
      <c r="K5" s="8" t="inlineStr">
        <is>
          <t>Units per day in the campaign</t>
        </is>
      </c>
      <c r="L5" s="8" t="inlineStr">
        <is>
          <t>Incremental units per day</t>
        </is>
      </c>
      <c r="M5" s="8" t="inlineStr">
        <is>
          <t>Units over the whole campaign</t>
        </is>
      </c>
      <c r="N5" s="8" t="inlineStr">
        <is>
          <t>Campaign sales before sales tax ($)</t>
        </is>
      </c>
      <c r="O5" s="8" t="inlineStr">
        <is>
          <t>Incremental sales before sales tax ($)</t>
        </is>
      </c>
      <c r="P5" s="8" t="inlineStr">
        <is>
          <t>Factor over the production kitchen</t>
        </is>
      </c>
      <c r="Q5" s="8" t="inlineStr">
        <is>
          <t>Purchase lead time (weeks)</t>
        </is>
      </c>
      <c r="R5" s="8" t="inlineStr">
        <is>
          <t>What to know about this campaign</t>
        </is>
      </c>
    </row>
    <row r="6" ht="72" customHeight="1">
      <c r="A6" t="n">
        <v>1</v>
      </c>
      <c r="B6" s="18" t="inlineStr">
        <is>
          <t>Día de Reyes (Three Kings Day)</t>
        </is>
      </c>
      <c r="C6" s="5" t="inlineStr">
        <is>
          <t>January 2–6</t>
        </is>
      </c>
      <c r="D6" s="12" t="n">
        <v>1</v>
      </c>
      <c r="E6" s="12" t="n">
        <v>5</v>
      </c>
      <c r="F6" s="5" t="inlineStr">
        <is>
          <t>Rosca de Reyes</t>
        </is>
      </c>
      <c r="G6" s="16" t="n">
        <v>0</v>
      </c>
      <c r="H6" s="9" t="n">
        <v>14.999999999999998</v>
      </c>
      <c r="I6" s="19">
        <f>IFERROR(H6/(1+G6),"")</f>
        <v>14.999999999999998</v>
      </c>
      <c r="J6" s="12" t="n">
        <v>0</v>
      </c>
      <c r="K6" s="12" t="n">
        <v>160</v>
      </c>
      <c r="L6" s="20">
        <f>IFERROR(K6-J6,"")</f>
        <v>160.0</v>
      </c>
      <c r="M6" s="20">
        <f>IFERROR(K6*E6,"")</f>
        <v>800.0</v>
      </c>
      <c r="N6" s="19">
        <f>IFERROR(M6*I6,"")</f>
        <v>11999.999999999998</v>
      </c>
      <c r="O6" s="19">
        <f>IFERROR(L6*E6*I6,"")</f>
        <v>11999.999999999998</v>
      </c>
      <c r="P6" s="13" t="n">
        <v>6</v>
      </c>
      <c r="Q6" s="12" t="n">
        <v>6</v>
      </c>
      <c r="R6" s="21" t="inlineStr">
        <is>
          <t>The peak that decides the year. The campaign units are those of the FIVE best-selling days: 160 a day, 800 in total, 47% of the roscas the menu mix assigns to the year (1.2% of the pieces). The rest sell in the week before, outside the campaign window, which is why they aren't in this row. In the US the rosca shares its season with the king cake (Epiphany to Mardi Gras), and searches average about 90,500 a month for "rosca de reyes" and 110,000 for "king cake" (DataForSEO, October 2026): scale references, never price or market share. A cream-filled rosca carries the 41 °F cold-holding limit (Food Code 3-501.16) and date marking (3-501.17) on the biggest production day: that limits production as much as the oven does.</t>
        </is>
      </c>
    </row>
    <row r="7" ht="72" customHeight="1">
      <c r="A7" t="n">
        <v>2</v>
      </c>
      <c r="B7" s="18" t="inlineStr">
        <is>
          <t>Valentine's Day</t>
        </is>
      </c>
      <c r="C7" s="5" t="inlineStr">
        <is>
          <t>February 13–14</t>
        </is>
      </c>
      <c r="D7" s="12" t="n">
        <v>2</v>
      </c>
      <c r="E7" s="12" t="n">
        <v>2</v>
      </c>
      <c r="F7" s="5" t="inlineStr">
        <is>
          <t>Raspberry macarons</t>
        </is>
      </c>
      <c r="G7" s="16" t="n">
        <v>0</v>
      </c>
      <c r="H7" s="9" t="n">
        <v>1.909090909090909</v>
      </c>
      <c r="I7" s="19">
        <f>IFERROR(H7/(1+G7),"")</f>
        <v>1.909090909090909</v>
      </c>
      <c r="J7" s="12" t="n">
        <v>95</v>
      </c>
      <c r="K7" s="12" t="n">
        <v>260</v>
      </c>
      <c r="L7" s="20">
        <f>IFERROR(K7-J7,"")</f>
        <v>165.0</v>
      </c>
      <c r="M7" s="20">
        <f>IFERROR(K7*E7,"")</f>
        <v>520.0</v>
      </c>
      <c r="N7" s="19">
        <f>IFERROR(M7*I7,"")</f>
        <v>992.7272727272726</v>
      </c>
      <c r="O7" s="19">
        <f>IFERROR(L7*E7*I7,"")</f>
        <v>630.0</v>
      </c>
      <c r="P7" s="13" t="n">
        <v>1.8</v>
      </c>
      <c r="Q7" s="12" t="n">
        <v>3</v>
      </c>
      <c r="R7" s="21" t="inlineStr">
        <is>
          <t>Two-day, high-ticket campaign, not volume: you win with boxes and presentation, not with more oven. The special production for this date is heart-shaped cakes, bonbons and macarons.</t>
        </is>
      </c>
    </row>
    <row r="8" ht="72" customHeight="1">
      <c r="A8" t="n">
        <v>3</v>
      </c>
      <c r="B8" s="18" t="inlineStr">
        <is>
          <t>Mother's Day</t>
        </is>
      </c>
      <c r="C8" s="5" t="inlineStr">
        <is>
          <t>Día de las Madres (May 10) and US Mother's Day (2nd Sunday of May)</t>
        </is>
      </c>
      <c r="D8" s="12" t="n">
        <v>5</v>
      </c>
      <c r="E8" s="12" t="n">
        <v>4</v>
      </c>
      <c r="F8" s="5" t="inlineStr">
        <is>
          <t>70% chocolate cake</t>
        </is>
      </c>
      <c r="G8" s="16" t="n">
        <v>0</v>
      </c>
      <c r="H8" s="9" t="n">
        <v>3.2727272727272725</v>
      </c>
      <c r="I8" s="19">
        <f>IFERROR(H8/(1+G8),"")</f>
        <v>3.2727272727272725</v>
      </c>
      <c r="J8" s="12" t="n">
        <v>16</v>
      </c>
      <c r="K8" s="12" t="n">
        <v>96</v>
      </c>
      <c r="L8" s="20">
        <f>IFERROR(K8-J8,"")</f>
        <v>80.0</v>
      </c>
      <c r="M8" s="20">
        <f>IFERROR(K8*E8,"")</f>
        <v>384.0</v>
      </c>
      <c r="N8" s="19">
        <f>IFERROR(M8*I8,"")</f>
        <v>1256.7272727272725</v>
      </c>
      <c r="O8" s="19">
        <f>IFERROR(L8*E8*I8,"")</f>
        <v>1047.2727272727273</v>
      </c>
      <c r="P8" s="13" t="n">
        <v>1.9</v>
      </c>
      <c r="Q8" s="12" t="n">
        <v>3</v>
      </c>
      <c r="R8" s="21" t="inlineStr">
        <is>
          <t>One operating date for Día de las Madres (May 10) and US Mother's Day (2nd Sunday of May): a personalized cake, made to order. What matters to this guide is the load on the production kitchen, not the calendar.</t>
        </is>
      </c>
    </row>
    <row r="9" ht="72" customHeight="1">
      <c r="A9" t="n">
        <v>4</v>
      </c>
      <c r="B9" s="18" t="inlineStr">
        <is>
          <t>Easter (Holy Week)</t>
        </is>
      </c>
      <c r="C9" s="5" t="inlineStr">
        <is>
          <t>Palm Sunday to Easter Sunday</t>
        </is>
      </c>
      <c r="D9" s="12" t="n">
        <v>4</v>
      </c>
      <c r="E9" s="12" t="n">
        <v>8</v>
      </c>
      <c r="F9" s="5" t="inlineStr">
        <is>
          <t>Torrijas</t>
        </is>
      </c>
      <c r="G9" s="16" t="n">
        <v>0</v>
      </c>
      <c r="H9" s="9" t="n">
        <v>2.1818181818181817</v>
      </c>
      <c r="I9" s="19">
        <f>IFERROR(H9/(1+G9),"")</f>
        <v>2.1818181818181817</v>
      </c>
      <c r="J9" s="12" t="n">
        <v>0</v>
      </c>
      <c r="K9" s="12" t="n">
        <v>230</v>
      </c>
      <c r="L9" s="20">
        <f>IFERROR(K9-J9,"")</f>
        <v>230.0</v>
      </c>
      <c r="M9" s="20">
        <f>IFERROR(K9*E9,"")</f>
        <v>1840.0</v>
      </c>
      <c r="N9" s="19">
        <f>IFERROR(M9*I9,"")</f>
        <v>4014.545454545454</v>
      </c>
      <c r="O9" s="19">
        <f>IFERROR(L9*E9*I9,"")</f>
        <v>4014.545454545454</v>
      </c>
      <c r="P9" s="13" t="n">
        <v>2.4</v>
      </c>
      <c r="Q9" s="12" t="n">
        <v>4</v>
      </c>
      <c r="R9" s="21" t="inlineStr">
        <is>
          <t>Eight days in a row of extra production, more exhausting than the five of Three Kings Day even though the peak is smaller. Torrijas and Easter cakes (monas) at once: one needs a fryer and cold, the other an oven and chocolate. That's 230 torrijas a day and 1,840 over the campaign: 99% of the torrijas the menu mix assigns to the year, because they aren't made outside Holy Week.</t>
        </is>
      </c>
    </row>
    <row r="10" ht="72" customHeight="1">
      <c r="A10" t="n">
        <v>5</v>
      </c>
      <c r="B10" s="18" t="inlineStr">
        <is>
          <t>First Communions and graduations</t>
        </is>
      </c>
      <c r="C10" s="5" t="inlineStr">
        <is>
          <t>mid-April to mid-June</t>
        </is>
      </c>
      <c r="D10" s="12" t="n">
        <v>5</v>
      </c>
      <c r="E10" s="12" t="n">
        <v>20</v>
      </c>
      <c r="F10" s="5" t="inlineStr">
        <is>
          <t>Strawberries-and-cream cake</t>
        </is>
      </c>
      <c r="G10" s="16" t="n">
        <v>0</v>
      </c>
      <c r="H10" s="9" t="n">
        <v>3.1818181818181817</v>
      </c>
      <c r="I10" s="19">
        <f>IFERROR(H10/(1+G10),"")</f>
        <v>3.1818181818181817</v>
      </c>
      <c r="J10" s="12" t="n">
        <v>10</v>
      </c>
      <c r="K10" s="12" t="n">
        <v>34</v>
      </c>
      <c r="L10" s="20">
        <f>IFERROR(K10-J10,"")</f>
        <v>24.0</v>
      </c>
      <c r="M10" s="20">
        <f>IFERROR(K10*E10,"")</f>
        <v>680.0</v>
      </c>
      <c r="N10" s="19">
        <f>IFERROR(M10*I10,"")</f>
        <v>2163.6363636363635</v>
      </c>
      <c r="O10" s="19">
        <f>IFERROR(L10*E10*I10,"")</f>
        <v>1527.2727272727273</v>
      </c>
      <c r="P10" s="13" t="n">
        <v>1.6</v>
      </c>
      <c r="Q10" s="12" t="n">
        <v>5</v>
      </c>
      <c r="R10" s="21" t="inlineStr">
        <is>
          <t>It's not a peak, it's a two-month PLATEAU, which is why you carry it with staff and not with overtime. Everything is by custom order: deposit, delivery calendar and cancellation risk (chapter 16).</t>
        </is>
      </c>
    </row>
    <row r="11" ht="72" customHeight="1">
      <c r="A11" t="n">
        <v>6</v>
      </c>
      <c r="B11" s="18" t="inlineStr">
        <is>
          <t>All Saints' Day and Día de los Muertos</t>
        </is>
      </c>
      <c r="C11" s="5" t="inlineStr">
        <is>
          <t>October 30 – November 1</t>
        </is>
      </c>
      <c r="D11" s="12" t="n">
        <v>11</v>
      </c>
      <c r="E11" s="12" t="n">
        <v>3</v>
      </c>
      <c r="F11" s="5" t="inlineStr">
        <is>
          <t>Buñuelos (cream-filled fritters)</t>
        </is>
      </c>
      <c r="G11" s="16" t="n">
        <v>0</v>
      </c>
      <c r="H11" s="9" t="n">
        <v>1.4545454545454546</v>
      </c>
      <c r="I11" s="19">
        <f>IFERROR(H11/(1+G11),"")</f>
        <v>1.4545454545454546</v>
      </c>
      <c r="J11" s="12" t="n">
        <v>0</v>
      </c>
      <c r="K11" s="12" t="n">
        <v>470</v>
      </c>
      <c r="L11" s="20">
        <f>IFERROR(K11-J11,"")</f>
        <v>470.0</v>
      </c>
      <c r="M11" s="20">
        <f>IFERROR(K11*E11,"")</f>
        <v>1410.0</v>
      </c>
      <c r="N11" s="19">
        <f>IFERROR(M11*I11,"")</f>
        <v>2050.909090909091</v>
      </c>
      <c r="O11" s="19">
        <f>IFERROR(L11*E11*I11,"")</f>
        <v>2050.909090909091</v>
      </c>
      <c r="P11" s="13" t="n">
        <v>2.6</v>
      </c>
      <c r="Q11" s="12" t="n">
        <v>4</v>
      </c>
      <c r="R11" s="21" t="inlineStr">
        <is>
          <t>Three days with three items that are only made now: buñuelos, huesos de santo and panellets. The buñuelos are cream-filled (41 °F or below, and date-marked if held) and the other two are shelf-stable at room temperature: that's why buñuelos are made the same day and huesos de santo can be made ahead. That food-safety detail IS the campaign planning. It's 470 buñuelos a day and 1,410 over the three days: 99% of the buñuelos the menu mix assigns to the year, because they aren't made outside this date.</t>
        </is>
      </c>
    </row>
    <row r="12"/>
    <row r="13">
      <c r="B13" s="18" t="inlineStr">
        <is>
          <t>TOTAL FOR THE SIX CAMPAIGNS</t>
        </is>
      </c>
      <c r="E13" s="15">
        <f>SUM(E6:E11)</f>
        <v>42.0</v>
      </c>
      <c r="M13" s="15">
        <f>SUM(M6:M11)</f>
        <v>5634.0</v>
      </c>
      <c r="N13" s="17">
        <f>SUM(N6:N11)</f>
        <v>22478.545454545452</v>
      </c>
      <c r="O13" s="17">
        <f>SUM(O6:O11)</f>
        <v>21269.999999999996</v>
      </c>
    </row>
    <row r="14"/>
    <row r="15" ht="32" customHeight="1">
      <c r="A15" s="22" t="inlineStr">
        <is>
          <t>The campaign factor multiplies the pieces of the WHOLE PRODUCTION KITCHEN, not those of the star product: that's why Three Kings Day carries a 6.0 and Valentine's Day a 1.8, even though both are campaigns. The star product's units are on this sheet; the whole kitchen is handled in "Peak Capacity vs Demand."</t>
        </is>
      </c>
    </row>
    <row r="16"/>
    <row r="17">
      <c r="A17" s="7"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15:R15"/>
  </mergeCells>
  <dataValidations count="2">
    <dataValidation sqref="D6 D7 D8 D9 D10 D11" showDropDown="0" showInputMessage="0" showErrorMessage="1" allowBlank="1" errorTitle="Month" error="The month runs from 1 to 12." type="decimal" operator="between">
      <formula1>1</formula1>
      <formula2>12</formula2>
    </dataValidation>
    <dataValidation sqref="G6 G7 G8 G9 G10 G11" showDropDown="0" showInputMessage="1" showErrorMessage="1" allowBlank="1" errorTitle="Tax rate" error="Enter a percentage between 0 and 1 (0.20 = 20%)." promptTitle="Tax rate" prompt="Enter it as a decimal: 0.10 = 10% (0 in the US)." type="decimal" operator="between">
      <formula1>0</formula1>
      <formula2>1.0</formula2>
    </dataValidation>
  </dataValidations>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I34"/>
  <sheetViews>
    <sheetView workbookViewId="0">
      <pane ySplit="5" topLeftCell="A6" activePane="bottomLeft" state="frozen"/>
      <selection pane="bottomLeft" activeCell="A1" sqref="A1"/>
    </sheetView>
  </sheetViews>
  <sheetFormatPr baseColWidth="8" defaultRowHeight="15"/>
  <cols>
    <col width="16" customWidth="1" min="1" max="1"/>
    <col width="12" customWidth="1" min="2" max="2"/>
    <col width="14" customWidth="1" min="3" max="3"/>
    <col width="11" customWidth="1" min="4" max="4"/>
    <col width="34" customWidth="1" min="5" max="5"/>
    <col width="74" customWidth="1" min="6" max="6"/>
    <col width="13" customWidth="1" min="7" max="7"/>
    <col width="13" customWidth="1" min="8" max="8"/>
    <col width="13" customWidth="1" min="9" max="9"/>
  </cols>
  <sheetData>
    <row r="1">
      <c r="A1" s="1" t="inlineStr">
        <is>
          <t>Share of the Year</t>
        </is>
      </c>
    </row>
    <row r="2">
      <c r="A2" s="2" t="inlineStr">
        <is>
          <t>AI Chef Pro · aichef.pro — How to Open a Pastry Shop</t>
        </is>
      </c>
    </row>
    <row r="3">
      <c r="A3" s="3" t="inlineStr">
        <is>
          <t>What share of the year is at stake in each campaign. It's the number that decides whether it's worth setting one up.</t>
        </is>
      </c>
    </row>
    <row r="4"/>
    <row r="5" ht="42" customHeight="1">
      <c r="A5" s="8" t="inlineStr">
        <is>
          <t>Month</t>
        </is>
      </c>
      <c r="B5" s="8" t="inlineStr">
        <is>
          <t>Coefficient over the average month</t>
        </is>
      </c>
      <c r="C5" s="8" t="inlineStr">
        <is>
          <t>Month's sales before sales tax ($)</t>
        </is>
      </c>
      <c r="D5" s="8" t="inlineStr">
        <is>
          <t>% of the year</t>
        </is>
      </c>
      <c r="E5" s="8" t="inlineStr">
        <is>
          <t>Campaigns that fall in the month</t>
        </is>
      </c>
      <c r="F5" s="8" t="inlineStr">
        <is>
          <t>Why that coefficient</t>
        </is>
      </c>
    </row>
    <row r="6" ht="30" customHeight="1">
      <c r="A6" t="inlineStr">
        <is>
          <t>January</t>
        </is>
      </c>
      <c r="B6" s="23" t="n">
        <v>1.34</v>
      </c>
      <c r="C6" s="19">
        <f>IFERROR('Settings'!$B$6*B6/$B$18,"")</f>
        <v>35978.76215</v>
      </c>
      <c r="D6" s="24">
        <f>IFERROR(C6/'Settings'!$B$6,"")</f>
        <v>0.11166666666666668</v>
      </c>
      <c r="E6" s="5" t="inlineStr">
        <is>
          <t>Día de Reyes (Three Kings Day)</t>
        </is>
      </c>
      <c r="F6" s="11" t="inlineStr">
        <is>
          <t>Three Kings Day. The highest month of the year and the one that decides the campaign.</t>
        </is>
      </c>
    </row>
    <row r="7" ht="30" customHeight="1">
      <c r="A7" t="inlineStr">
        <is>
          <t>February</t>
        </is>
      </c>
      <c r="B7" s="23" t="n">
        <v>0.93</v>
      </c>
      <c r="C7" s="19">
        <f>IFERROR('Settings'!$B$6*B7/$B$18,"")</f>
        <v>24970.334925000003</v>
      </c>
      <c r="D7" s="24">
        <f>IFERROR(C7/'Settings'!$B$6,"")</f>
        <v>0.07750000000000001</v>
      </c>
      <c r="E7" s="5" t="inlineStr">
        <is>
          <t>Valentine's Day</t>
        </is>
      </c>
      <c r="F7" s="11" t="inlineStr">
        <is>
          <t>Valentine's Day is two days and February has 28: a campaign that short doesn't lift a whole month.</t>
        </is>
      </c>
    </row>
    <row r="8" ht="30" customHeight="1">
      <c r="A8" t="inlineStr">
        <is>
          <t>March</t>
        </is>
      </c>
      <c r="B8" s="23" t="n">
        <v>0.97</v>
      </c>
      <c r="C8" s="19">
        <f>IFERROR('Settings'!$B$6*B8/$B$18,"")</f>
        <v>26044.327825</v>
      </c>
      <c r="D8" s="24">
        <f>IFERROR(C8/'Settings'!$B$6,"")</f>
        <v>0.08083333333333334</v>
      </c>
      <c r="E8" s="5" t="inlineStr">
        <is>
          <t>Mother's Day</t>
        </is>
      </c>
      <c r="F8" s="11" t="inlineStr">
        <is>
          <t>No campaign: March has no major holiday in this model, so it stays a normal month.</t>
        </is>
      </c>
    </row>
    <row r="9" ht="30" customHeight="1">
      <c r="A9" t="inlineStr">
        <is>
          <t>April</t>
        </is>
      </c>
      <c r="B9" s="23" t="n">
        <v>1.04</v>
      </c>
      <c r="C9" s="19">
        <f>IFERROR('Settings'!$B$6*B9/$B$18,"")</f>
        <v>27923.815400000003</v>
      </c>
      <c r="D9" s="24">
        <f>IFERROR(C9/'Settings'!$B$6,"")</f>
        <v>0.08666666666666668</v>
      </c>
      <c r="E9" s="5" t="inlineStr">
        <is>
          <t>Easter (Holy Week)</t>
        </is>
      </c>
      <c r="F9" s="11" t="inlineStr">
        <is>
          <t>Easter (Holy Week) and the start of the First Communion season.</t>
        </is>
      </c>
    </row>
    <row r="10" ht="30" customHeight="1">
      <c r="A10" t="inlineStr">
        <is>
          <t>May</t>
        </is>
      </c>
      <c r="B10" s="23" t="n">
        <v>1.07</v>
      </c>
      <c r="C10" s="19">
        <f>IFERROR('Settings'!$B$6*B10/$B$18,"")</f>
        <v>28729.310075</v>
      </c>
      <c r="D10" s="24">
        <f>IFERROR(C10/'Settings'!$B$6,"")</f>
        <v>0.08916666666666667</v>
      </c>
      <c r="E10" s="5" t="inlineStr">
        <is>
          <t>First Communions and graduations</t>
        </is>
      </c>
      <c r="F10" s="11" t="inlineStr">
        <is>
          <t>Mother's Day plus the First Communions and graduations plateau: two months of orders.</t>
        </is>
      </c>
    </row>
    <row r="11" ht="30" customHeight="1">
      <c r="A11" t="inlineStr">
        <is>
          <t>June</t>
        </is>
      </c>
      <c r="B11" s="23" t="n">
        <v>0.97</v>
      </c>
      <c r="C11" s="19">
        <f>IFERROR('Settings'!$B$6*B11/$B$18,"")</f>
        <v>26044.327825</v>
      </c>
      <c r="D11" s="24">
        <f>IFERROR(C11/'Settings'!$B$6,"")</f>
        <v>0.08083333333333334</v>
      </c>
      <c r="E11" s="5" t="inlineStr">
        <is>
          <t>-</t>
        </is>
      </c>
      <c r="F11" s="11" t="inlineStr">
        <is>
          <t>End of the communion and graduation season, and spending drops as the weather gets hot.</t>
        </is>
      </c>
    </row>
    <row r="12" ht="30" customHeight="1">
      <c r="A12" t="inlineStr">
        <is>
          <t>July</t>
        </is>
      </c>
      <c r="B12" s="23" t="n">
        <v>0.85</v>
      </c>
      <c r="C12" s="19">
        <f>IFERROR('Settings'!$B$6*B12/$B$18,"")</f>
        <v>22822.349124999997</v>
      </c>
      <c r="D12" s="24">
        <f>IFERROR(C12/'Settings'!$B$6,"")</f>
        <v>0.07083333333333333</v>
      </c>
      <c r="E12" s="5" t="inlineStr">
        <is>
          <t>-</t>
        </is>
      </c>
      <c r="F12" s="11" t="inlineStr">
        <is>
          <t>Summer: pastry spending drops and ice cream picks up, which isn't on La Clara's menu.</t>
        </is>
      </c>
    </row>
    <row r="13" ht="30" customHeight="1">
      <c r="A13" t="inlineStr">
        <is>
          <t>August</t>
        </is>
      </c>
      <c r="B13" s="23" t="n">
        <v>0.65</v>
      </c>
      <c r="C13" s="19">
        <f>IFERROR('Settings'!$B$6*B13/$B$18,"")</f>
        <v>17452.384625000002</v>
      </c>
      <c r="D13" s="24">
        <f>IFERROR(C13/'Settings'!$B$6,"")</f>
        <v>0.054166666666666675</v>
      </c>
      <c r="E13" s="5" t="inlineStr">
        <is>
          <t>-</t>
        </is>
      </c>
      <c r="F13" s="11" t="inlineStr">
        <is>
          <t>La Clara closes for two weeks in August (that's where the year's 300 days open come from).</t>
        </is>
      </c>
    </row>
    <row r="14" ht="30" customHeight="1">
      <c r="A14" t="inlineStr">
        <is>
          <t>September</t>
        </is>
      </c>
      <c r="B14" s="23" t="n">
        <v>0.91</v>
      </c>
      <c r="C14" s="19">
        <f>IFERROR('Settings'!$B$6*B14/$B$18,"")</f>
        <v>24433.338475</v>
      </c>
      <c r="D14" s="24">
        <f>IFERROR(C14/'Settings'!$B$6,"")</f>
        <v>0.07583333333333334</v>
      </c>
      <c r="E14" s="5" t="inlineStr">
        <is>
          <t>-</t>
        </is>
      </c>
      <c r="F14" s="11" t="inlineStr">
        <is>
          <t>Back to school and the recommended opening month: outside any peak and with three and a half months of running in before Three Kings Day.</t>
        </is>
      </c>
    </row>
    <row r="15" ht="30" customHeight="1">
      <c r="A15" t="inlineStr">
        <is>
          <t>October</t>
        </is>
      </c>
      <c r="B15" s="23" t="n">
        <v>0.95</v>
      </c>
      <c r="C15" s="19">
        <f>IFERROR('Settings'!$B$6*B15/$B$18,"")</f>
        <v>25507.331374999998</v>
      </c>
      <c r="D15" s="24">
        <f>IFERROR(C15/'Settings'!$B$6,"")</f>
        <v>0.07916666666666666</v>
      </c>
      <c r="E15" s="5" t="inlineStr">
        <is>
          <t>-</t>
        </is>
      </c>
      <c r="F15" s="11" t="inlineStr">
        <is>
          <t>A transition month; All Saints' Day and Día de los Muertos start on the 30th.</t>
        </is>
      </c>
    </row>
    <row r="16" ht="30" customHeight="1">
      <c r="A16" t="inlineStr">
        <is>
          <t>November</t>
        </is>
      </c>
      <c r="B16" s="23" t="n">
        <v>1.08</v>
      </c>
      <c r="C16" s="19">
        <f>IFERROR('Settings'!$B$6*B16/$B$18,"")</f>
        <v>28997.8083</v>
      </c>
      <c r="D16" s="24">
        <f>IFERROR(C16/'Settings'!$B$6,"")</f>
        <v>0.09</v>
      </c>
      <c r="E16" s="5" t="inlineStr">
        <is>
          <t>All Saints' Day and Día de los Muertos</t>
        </is>
      </c>
      <c r="F16" s="11" t="inlineStr">
        <is>
          <t>All Saints' Day and Día de los Muertos, plus Thanksgiving pies and the start of Christmas production.</t>
        </is>
      </c>
    </row>
    <row r="17" ht="30" customHeight="1">
      <c r="A17" t="inlineStr">
        <is>
          <t>December</t>
        </is>
      </c>
      <c r="B17" s="23" t="n">
        <v>1.24</v>
      </c>
      <c r="C17" s="19">
        <f>IFERROR('Settings'!$B$6*B17/$B$18,"")</f>
        <v>33293.7799</v>
      </c>
      <c r="D17" s="24">
        <f>IFERROR(C17/'Settings'!$B$6,"")</f>
        <v>0.10333333333333333</v>
      </c>
      <c r="E17" s="5" t="inlineStr">
        <is>
          <t>-</t>
        </is>
      </c>
      <c r="F17" s="11" t="inlineStr">
        <is>
          <t>Christmas: turrón, polvorones and the lead-up to Three Kings Day.</t>
        </is>
      </c>
    </row>
    <row r="18">
      <c r="A18" s="18" t="inlineStr">
        <is>
          <t>YEAR TOTAL</t>
        </is>
      </c>
      <c r="B18" s="25">
        <f>SUM(B6:B17)</f>
        <v>12.0</v>
      </c>
      <c r="C18" s="17">
        <f>SUM(C6:C17)</f>
        <v>322197.87</v>
      </c>
      <c r="D18" s="26">
        <f>SUM(D6:D17)</f>
        <v>1.0</v>
      </c>
      <c r="F18" s="22" t="inlineStr">
        <is>
          <t>The twelve coefficients are spread over the average month, so their sum has to come to 12.00. If you change one, the split recalculates by itself and the year's sales don't move.</t>
        </is>
      </c>
    </row>
    <row r="19"/>
    <row r="20"/>
    <row r="21">
      <c r="A21" s="4" t="inlineStr">
        <is>
          <t>What each campaign weighs</t>
        </is>
      </c>
    </row>
    <row r="22"/>
    <row r="23" ht="42" customHeight="1">
      <c r="A23" s="8" t="inlineStr">
        <is>
          <t>Campaign</t>
        </is>
      </c>
      <c r="B23" s="8" t="inlineStr">
        <is>
          <t>Campaign days</t>
        </is>
      </c>
      <c r="C23" s="8" t="inlineStr">
        <is>
          <t>Campaign sales before sales tax ($)</t>
        </is>
      </c>
      <c r="D23" s="8" t="inlineStr">
        <is>
          <t>% of the year</t>
        </is>
      </c>
      <c r="E23" s="8" t="inlineStr">
        <is>
          <t>Incremental sales before sales tax ($)</t>
        </is>
      </c>
      <c r="F23" s="8" t="inlineStr">
        <is>
          <t>% incremental over the year</t>
        </is>
      </c>
      <c r="G23" s="8" t="inlineStr">
        <is>
          <t>$ per campaign day</t>
        </is>
      </c>
      <c r="H23" s="8" t="inlineStr">
        <is>
          <t>$ per average day of the year</t>
        </is>
      </c>
      <c r="I23" s="8" t="inlineStr">
        <is>
          <t>Times a normal day</t>
        </is>
      </c>
    </row>
    <row r="24">
      <c r="A24" s="18" t="inlineStr">
        <is>
          <t>Día de Reyes (Three Kings Day)</t>
        </is>
      </c>
      <c r="B24" s="20">
        <f>'6-Peak Calendar'!E6</f>
        <v>5.0</v>
      </c>
      <c r="C24" s="19">
        <f>'6-Peak Calendar'!N6</f>
        <v>11999.999999999998</v>
      </c>
      <c r="D24" s="24">
        <f>IFERROR(C24/'Settings'!$B$6,"")</f>
        <v>0.03724419407241891</v>
      </c>
      <c r="E24" s="19">
        <f>'6-Peak Calendar'!O6</f>
        <v>11999.999999999998</v>
      </c>
      <c r="F24" s="24">
        <f>IFERROR(E24/'Settings'!$B$6,"")</f>
        <v>0.03724419407241891</v>
      </c>
      <c r="G24" s="19">
        <f>IFERROR(C24/B24,"")</f>
        <v>2399.9999999999995</v>
      </c>
      <c r="H24" s="19">
        <f>IFERROR('Settings'!$B$6/'Settings'!$B$8,"")</f>
        <v>1073.9929</v>
      </c>
      <c r="I24" s="27">
        <f>IFERROR(G24/H24,"")</f>
        <v>2.2346516443451345</v>
      </c>
    </row>
    <row r="25">
      <c r="A25" s="18" t="inlineStr">
        <is>
          <t>Valentine's Day</t>
        </is>
      </c>
      <c r="B25" s="20">
        <f>'6-Peak Calendar'!E7</f>
        <v>2.0</v>
      </c>
      <c r="C25" s="19">
        <f>'6-Peak Calendar'!N7</f>
        <v>992.7272727272726</v>
      </c>
      <c r="D25" s="24">
        <f>IFERROR(C25/'Settings'!$B$6,"")</f>
        <v>0.0030811106005364736</v>
      </c>
      <c r="E25" s="19">
        <f>'6-Peak Calendar'!O7</f>
        <v>630.0</v>
      </c>
      <c r="F25" s="24">
        <f>IFERROR(E25/'Settings'!$B$6,"")</f>
        <v>0.001955320188801993</v>
      </c>
      <c r="G25" s="19">
        <f>IFERROR(C25/B25,"")</f>
        <v>496.3636363636363</v>
      </c>
      <c r="H25" s="19">
        <f>IFERROR('Settings'!$B$6/'Settings'!$B$8,"")</f>
        <v>1073.9929</v>
      </c>
      <c r="I25" s="27">
        <f>IFERROR(G25/H25,"")</f>
        <v>0.46216659008047106</v>
      </c>
    </row>
    <row r="26">
      <c r="A26" s="18" t="inlineStr">
        <is>
          <t>Mother's Day</t>
        </is>
      </c>
      <c r="B26" s="20">
        <f>'6-Peak Calendar'!E8</f>
        <v>4.0</v>
      </c>
      <c r="C26" s="19">
        <f>'6-Peak Calendar'!N8</f>
        <v>1256.7272727272725</v>
      </c>
      <c r="D26" s="24">
        <f>IFERROR(C26/'Settings'!$B$6,"")</f>
        <v>0.0039004828701296895</v>
      </c>
      <c r="E26" s="19">
        <f>'6-Peak Calendar'!O8</f>
        <v>1047.2727272727273</v>
      </c>
      <c r="F26" s="24">
        <f>IFERROR(E26/'Settings'!$B$6,"")</f>
        <v>0.0032504023917747414</v>
      </c>
      <c r="G26" s="19">
        <f>IFERROR(C26/B26,"")</f>
        <v>314.18181818181813</v>
      </c>
      <c r="H26" s="19">
        <f>IFERROR('Settings'!$B$6/'Settings'!$B$8,"")</f>
        <v>1073.9929</v>
      </c>
      <c r="I26" s="27">
        <f>IFERROR(G26/H26,"")</f>
        <v>0.29253621525972673</v>
      </c>
    </row>
    <row r="27">
      <c r="A27" s="18" t="inlineStr">
        <is>
          <t>Easter (Holy Week)</t>
        </is>
      </c>
      <c r="B27" s="20">
        <f>'6-Peak Calendar'!E9</f>
        <v>8.0</v>
      </c>
      <c r="C27" s="19">
        <f>'6-Peak Calendar'!N9</f>
        <v>4014.545454545454</v>
      </c>
      <c r="D27" s="24">
        <f>IFERROR(C27/'Settings'!$B$6,"")</f>
        <v>0.012459875835136509</v>
      </c>
      <c r="E27" s="19">
        <f>'6-Peak Calendar'!O9</f>
        <v>4014.545454545454</v>
      </c>
      <c r="F27" s="24">
        <f>IFERROR(E27/'Settings'!$B$6,"")</f>
        <v>0.012459875835136509</v>
      </c>
      <c r="G27" s="19">
        <f>IFERROR(C27/B27,"")</f>
        <v>501.81818181818176</v>
      </c>
      <c r="H27" s="19">
        <f>IFERROR('Settings'!$B$6/'Settings'!$B$8,"")</f>
        <v>1073.9929</v>
      </c>
      <c r="I27" s="27">
        <f>IFERROR(G27/H27,"")</f>
        <v>0.46724534381761906</v>
      </c>
    </row>
    <row r="28">
      <c r="A28" s="18" t="inlineStr">
        <is>
          <t>First Communions and graduations</t>
        </is>
      </c>
      <c r="B28" s="20">
        <f>'6-Peak Calendar'!E10</f>
        <v>20.0</v>
      </c>
      <c r="C28" s="19">
        <f>'6-Peak Calendar'!N10</f>
        <v>2163.6363636363635</v>
      </c>
      <c r="D28" s="24">
        <f>IFERROR(C28/'Settings'!$B$6,"")</f>
        <v>0.006715241052451289</v>
      </c>
      <c r="E28" s="19">
        <f>'6-Peak Calendar'!O10</f>
        <v>1527.2727272727273</v>
      </c>
      <c r="F28" s="24">
        <f>IFERROR(E28/'Settings'!$B$6,"")</f>
        <v>0.004740170154671498</v>
      </c>
      <c r="G28" s="19">
        <f>IFERROR(C28/B28,"")</f>
        <v>108.18181818181817</v>
      </c>
      <c r="H28" s="19">
        <f>IFERROR('Settings'!$B$6/'Settings'!$B$8,"")</f>
        <v>1073.9929</v>
      </c>
      <c r="I28" s="27">
        <f>IFERROR(G28/H28,"")</f>
        <v>0.10072861578676934</v>
      </c>
    </row>
    <row r="29">
      <c r="A29" s="18" t="inlineStr">
        <is>
          <t>All Saints' Day and Día de los Muertos</t>
        </is>
      </c>
      <c r="B29" s="20">
        <f>'6-Peak Calendar'!E11</f>
        <v>3.0</v>
      </c>
      <c r="C29" s="19">
        <f>'6-Peak Calendar'!N11</f>
        <v>2050.909090909091</v>
      </c>
      <c r="D29" s="24">
        <f>IFERROR(C29/'Settings'!$B$6,"")</f>
        <v>0.006365371350558869</v>
      </c>
      <c r="E29" s="19">
        <f>'6-Peak Calendar'!O11</f>
        <v>2050.909090909091</v>
      </c>
      <c r="F29" s="24">
        <f>IFERROR(E29/'Settings'!$B$6,"")</f>
        <v>0.006365371350558869</v>
      </c>
      <c r="G29" s="19">
        <f>IFERROR(C29/B29,"")</f>
        <v>683.6363636363636</v>
      </c>
      <c r="H29" s="19">
        <f>IFERROR('Settings'!$B$6/'Settings'!$B$8,"")</f>
        <v>1073.9929</v>
      </c>
      <c r="I29" s="27">
        <f>IFERROR(G29/H29,"")</f>
        <v>0.6365371350558869</v>
      </c>
    </row>
    <row r="30">
      <c r="A30" s="18" t="inlineStr">
        <is>
          <t>TOTAL FOR THE SIX CAMPAIGNS</t>
        </is>
      </c>
      <c r="B30" s="15">
        <f>SUM(B24:B29)</f>
        <v>42.0</v>
      </c>
      <c r="C30" s="17">
        <f>SUM(C24:C29)</f>
        <v>22478.545454545452</v>
      </c>
      <c r="D30" s="26">
        <f>SUM(D24:D29)</f>
        <v>0.06976627578123175</v>
      </c>
      <c r="E30" s="17">
        <f>SUM(E24:E29)</f>
        <v>21269.999999999996</v>
      </c>
      <c r="F30" s="26">
        <f>SUM(F24:F29)</f>
        <v>0.06601533399336253</v>
      </c>
    </row>
    <row r="31"/>
    <row r="32" ht="32" customHeight="1">
      <c r="A32" s="22" t="inlineStr">
        <is>
          <t>The "campaign sales" count ALL the units of the star product you sell on those days; the "incremental" count only those you wouldn't have sold anyway. To decide whether to set up a campaign, incremental rules. To know whether you can handle it, the total rules.</t>
        </is>
      </c>
    </row>
    <row r="33"/>
    <row r="34">
      <c r="A34" s="7"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32:I32"/>
  </mergeCells>
  <conditionalFormatting sqref="D24:D29">
    <cfRule type="expression" priority="1" dxfId="0" stopIfTrue="1">
      <formula>=AND(ISNUMBER($D24),$D24&gt;='Settings'!$B$27)</formula>
    </cfRule>
  </conditionalFormatting>
  <conditionalFormatting sqref="I24:I29">
    <cfRule type="expression" priority="2" dxfId="0" stopIfTrue="1">
      <formula>=AND(ISNUMBER($I24),$I24&gt;=2)</formula>
    </cfRule>
  </conditionalFormatting>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Q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9" customWidth="1" min="3" max="3"/>
    <col width="10" customWidth="1" min="4" max="4"/>
    <col width="11" customWidth="1" min="5" max="5"/>
    <col width="10" customWidth="1" min="6" max="6"/>
    <col width="10" customWidth="1" min="7" max="7"/>
    <col width="10" customWidth="1" min="8" max="8"/>
    <col width="11" customWidth="1" min="9" max="9"/>
    <col width="10" customWidth="1" min="10" max="10"/>
    <col width="11" customWidth="1" min="11" max="11"/>
    <col width="11" customWidth="1" min="12" max="12"/>
    <col width="11" customWidth="1" min="13" max="13"/>
    <col width="11" customWidth="1" min="14" max="14"/>
    <col width="11" customWidth="1" min="15" max="15"/>
    <col width="10" customWidth="1" min="16" max="16"/>
    <col width="62" customWidth="1" min="17" max="17"/>
  </cols>
  <sheetData>
    <row r="1">
      <c r="A1" s="1" t="inlineStr">
        <is>
          <t>Peak Capacity vs Demand</t>
        </is>
      </c>
    </row>
    <row r="2">
      <c r="A2" s="2" t="inlineStr">
        <is>
          <t>AI Chef Pro · aichef.pro — How to Open a Pastry Shop</t>
        </is>
      </c>
    </row>
    <row r="3">
      <c r="A3" s="3" t="inlineStr">
        <is>
          <t>The question of the workbook: can you handle Three Kings Day with the equipment you're buying?</t>
        </is>
      </c>
    </row>
    <row r="4"/>
    <row r="5" ht="42" customHeight="1">
      <c r="A5" s="8" t="inlineStr">
        <is>
          <t>Campaign</t>
        </is>
      </c>
      <c r="B5" s="8" t="inlineStr">
        <is>
          <t>Campaign days</t>
        </is>
      </c>
      <c r="C5" s="8" t="inlineStr">
        <is>
          <t>Factor over a normal day</t>
        </is>
      </c>
      <c r="D5" s="8" t="inlineStr">
        <is>
          <t>Pieces demanded per day</t>
        </is>
      </c>
      <c r="E5" s="8" t="inlineStr">
        <is>
          <t>Demand for the whole campaign</t>
        </is>
      </c>
      <c r="F5" s="8" t="inlineStr">
        <is>
          <t>Production kitchen hours per day during the campaign</t>
        </is>
      </c>
      <c r="G5" s="8" t="inlineStr">
        <is>
          <t>Capacity during the campaign (pieces per day)</t>
        </is>
      </c>
      <c r="H5" s="8" t="inlineStr">
        <is>
          <t>Daily shortfall</t>
        </is>
      </c>
      <c r="I5" s="8" t="inlineStr">
        <is>
          <t>Shortfall for the whole campaign</t>
        </is>
      </c>
      <c r="J5" s="8" t="inlineStr">
        <is>
          <t>Days of production made ahead</t>
        </is>
      </c>
      <c r="K5" s="8" t="inlineStr">
        <is>
          <t>Pieces you can make ahead</t>
        </is>
      </c>
      <c r="L5" s="8" t="inlineStr">
        <is>
          <t>Shortfall after making ahead</t>
        </is>
      </c>
      <c r="M5" s="8" t="inlineStr">
        <is>
          <t>Kitchen hours per day it would take</t>
        </is>
      </c>
      <c r="N5" s="8" t="inlineStr">
        <is>
          <t>Can you handle it?</t>
        </is>
      </c>
      <c r="O5" s="8" t="inlineStr">
        <is>
          <t>Kitchen hours you're short</t>
        </is>
      </c>
      <c r="P5" s="8" t="inlineStr">
        <is>
          <t>Extra people needed</t>
        </is>
      </c>
      <c r="Q5" s="8" t="inlineStr">
        <is>
          <t>Which lever you're missing</t>
        </is>
      </c>
    </row>
    <row r="6" ht="34" customHeight="1">
      <c r="A6" s="18" t="inlineStr">
        <is>
          <t>Día de Reyes (Three Kings Day)</t>
        </is>
      </c>
      <c r="B6" s="20">
        <f>'6-Peak Calendar'!E6</f>
        <v>5.0</v>
      </c>
      <c r="C6" s="27">
        <f>'6-Peak Calendar'!P6</f>
        <v>6.0</v>
      </c>
      <c r="D6" s="20">
        <f>IFERROR('Settings'!$B$7*C6,"")</f>
        <v>2856.0</v>
      </c>
      <c r="E6" s="20">
        <f>IFERROR(D6*B6,"")</f>
        <v>14280.0</v>
      </c>
      <c r="F6" s="13" t="n">
        <v>20</v>
      </c>
      <c r="G6" s="20">
        <f>IFERROR('Settings'!$B$11*F6,"")</f>
        <v>1200.0</v>
      </c>
      <c r="H6" s="20">
        <f>IFERROR(MAX(0,D6-G6),"")</f>
        <v>1656.0</v>
      </c>
      <c r="I6" s="20">
        <f>IFERROR(H6*B6,"")</f>
        <v>8280.0</v>
      </c>
      <c r="J6" s="12" t="n">
        <v>15</v>
      </c>
      <c r="K6" s="20">
        <f>IFERROR(MIN(I6,MAX(0,'Settings'!$B$12)*J6),"")</f>
        <v>60.0</v>
      </c>
      <c r="L6" s="20">
        <f>IFERROR(MAX(0,I6-K6),"")</f>
        <v>8220.0</v>
      </c>
      <c r="M6" s="27">
        <f>IFERROR((E6-K6)/B6/'Settings'!$B$11,"")</f>
        <v>47.4</v>
      </c>
      <c r="N6" t="str">
        <f>IF(L6="","",IF(L6&lt;=0,"Yes","No"))</f>
        <v>No</v>
      </c>
      <c r="O6" s="27">
        <f>IFERROR(L6/'Settings'!$B$11,"")</f>
        <v>137.0</v>
      </c>
      <c r="P6" s="20">
        <f>IFERROR(ROUNDUP(O6/(B6*'Settings'!$B$14),0),"")</f>
        <v>4.0</v>
      </c>
      <c r="Q6" s="28" t="str">
        <f>IF(L6="","",IF(L6&lt;=0,"With these hours and this head start, the campaign fits.",IF(M6&gt;'Settings'!$B$13,"It doesn't fit even using the whole day: get further ahead and freeze more, or cut the campaign assortment.","It fits by lengthening the shift with extra staff: see the ""Extra Staff and Cash"" sheet.")))</f>
        <v>It doesn't fit even using the whole day: get further ahead and freeze more, or cut the campaign assortment.</v>
      </c>
    </row>
    <row r="7" ht="34" customHeight="1">
      <c r="A7" s="18" t="inlineStr">
        <is>
          <t>Valentine's Day</t>
        </is>
      </c>
      <c r="B7" s="20">
        <f>'6-Peak Calendar'!E7</f>
        <v>2.0</v>
      </c>
      <c r="C7" s="27">
        <f>'6-Peak Calendar'!P7</f>
        <v>1.8</v>
      </c>
      <c r="D7" s="20">
        <f>IFERROR('Settings'!$B$7*C7,"")</f>
        <v>856.8000000000001</v>
      </c>
      <c r="E7" s="20">
        <f>IFERROR(D7*B7,"")</f>
        <v>1713.6000000000001</v>
      </c>
      <c r="F7" s="13" t="n">
        <v>10</v>
      </c>
      <c r="G7" s="20">
        <f>IFERROR('Settings'!$B$11*F7,"")</f>
        <v>600.0</v>
      </c>
      <c r="H7" s="20">
        <f>IFERROR(MAX(0,D7-G7),"")</f>
        <v>256.80000000000007</v>
      </c>
      <c r="I7" s="20">
        <f>IFERROR(H7*B7,"")</f>
        <v>513.6000000000001</v>
      </c>
      <c r="J7" s="12" t="n">
        <v>5</v>
      </c>
      <c r="K7" s="20">
        <f>IFERROR(MIN(I7,MAX(0,'Settings'!$B$12)*J7),"")</f>
        <v>20.0</v>
      </c>
      <c r="L7" s="20">
        <f>IFERROR(MAX(0,I7-K7),"")</f>
        <v>493.60000000000014</v>
      </c>
      <c r="M7" s="27">
        <f>IFERROR((E7-K7)/B7/'Settings'!$B$11,"")</f>
        <v>14.113333333333335</v>
      </c>
      <c r="N7" t="str">
        <f>IF(L7="","",IF(L7&lt;=0,"Yes","No"))</f>
        <v>No</v>
      </c>
      <c r="O7" s="27">
        <f>IFERROR(L7/'Settings'!$B$11,"")</f>
        <v>8.226666666666668</v>
      </c>
      <c r="P7" s="20">
        <f>IFERROR(ROUNDUP(O7/(B7*'Settings'!$B$14),0),"")</f>
        <v>1.0</v>
      </c>
      <c r="Q7" s="28" t="str">
        <f>IF(L7="","",IF(L7&lt;=0,"With these hours and this head start, the campaign fits.",IF(M7&gt;'Settings'!$B$13,"It doesn't fit even using the whole day: get further ahead and freeze more, or cut the campaign assortment.","It fits by lengthening the shift with extra staff: see the ""Extra Staff and Cash"" sheet.")))</f>
        <v>It fits by lengthening the shift with extra staff: see the "Extra Staff and Cash" sheet.</v>
      </c>
    </row>
    <row r="8" ht="34" customHeight="1">
      <c r="A8" s="18" t="inlineStr">
        <is>
          <t>Mother's Day</t>
        </is>
      </c>
      <c r="B8" s="20">
        <f>'6-Peak Calendar'!E8</f>
        <v>4.0</v>
      </c>
      <c r="C8" s="27">
        <f>'6-Peak Calendar'!P8</f>
        <v>1.9</v>
      </c>
      <c r="D8" s="20">
        <f>IFERROR('Settings'!$B$7*C8,"")</f>
        <v>904.4</v>
      </c>
      <c r="E8" s="20">
        <f>IFERROR(D8*B8,"")</f>
        <v>3617.6</v>
      </c>
      <c r="F8" s="13" t="n">
        <v>10</v>
      </c>
      <c r="G8" s="20">
        <f>IFERROR('Settings'!$B$11*F8,"")</f>
        <v>600.0</v>
      </c>
      <c r="H8" s="20">
        <f>IFERROR(MAX(0,D8-G8),"")</f>
        <v>304.4</v>
      </c>
      <c r="I8" s="20">
        <f>IFERROR(H8*B8,"")</f>
        <v>1217.6</v>
      </c>
      <c r="J8" s="12" t="n">
        <v>5</v>
      </c>
      <c r="K8" s="20">
        <f>IFERROR(MIN(I8,MAX(0,'Settings'!$B$12)*J8),"")</f>
        <v>20.0</v>
      </c>
      <c r="L8" s="20">
        <f>IFERROR(MAX(0,I8-K8),"")</f>
        <v>1197.6</v>
      </c>
      <c r="M8" s="27">
        <f>IFERROR((E8-K8)/B8/'Settings'!$B$11,"")</f>
        <v>14.99</v>
      </c>
      <c r="N8" t="str">
        <f>IF(L8="","",IF(L8&lt;=0,"Yes","No"))</f>
        <v>No</v>
      </c>
      <c r="O8" s="27">
        <f>IFERROR(L8/'Settings'!$B$11,"")</f>
        <v>19.959999999999997</v>
      </c>
      <c r="P8" s="20">
        <f>IFERROR(ROUNDUP(O8/(B8*'Settings'!$B$14),0),"")</f>
        <v>1.0</v>
      </c>
      <c r="Q8" s="28" t="str">
        <f>IF(L8="","",IF(L8&lt;=0,"With these hours and this head start, the campaign fits.",IF(M8&gt;'Settings'!$B$13,"It doesn't fit even using the whole day: get further ahead and freeze more, or cut the campaign assortment.","It fits by lengthening the shift with extra staff: see the ""Extra Staff and Cash"" sheet.")))</f>
        <v>It fits by lengthening the shift with extra staff: see the "Extra Staff and Cash" sheet.</v>
      </c>
    </row>
    <row r="9" ht="34" customHeight="1">
      <c r="A9" s="18" t="inlineStr">
        <is>
          <t>Easter (Holy Week)</t>
        </is>
      </c>
      <c r="B9" s="20">
        <f>'6-Peak Calendar'!E9</f>
        <v>8.0</v>
      </c>
      <c r="C9" s="27">
        <f>'6-Peak Calendar'!P9</f>
        <v>2.4</v>
      </c>
      <c r="D9" s="20">
        <f>IFERROR('Settings'!$B$7*C9,"")</f>
        <v>1142.3999999999999</v>
      </c>
      <c r="E9" s="20">
        <f>IFERROR(D9*B9,"")</f>
        <v>9139.199999999999</v>
      </c>
      <c r="F9" s="13" t="n">
        <v>14</v>
      </c>
      <c r="G9" s="20">
        <f>IFERROR('Settings'!$B$11*F9,"")</f>
        <v>840.0</v>
      </c>
      <c r="H9" s="20">
        <f>IFERROR(MAX(0,D9-G9),"")</f>
        <v>302.39999999999986</v>
      </c>
      <c r="I9" s="20">
        <f>IFERROR(H9*B9,"")</f>
        <v>2419.199999999999</v>
      </c>
      <c r="J9" s="12" t="n">
        <v>10</v>
      </c>
      <c r="K9" s="20">
        <f>IFERROR(MIN(I9,MAX(0,'Settings'!$B$12)*J9),"")</f>
        <v>40.0</v>
      </c>
      <c r="L9" s="20">
        <f>IFERROR(MAX(0,I9-K9),"")</f>
        <v>2379.199999999999</v>
      </c>
      <c r="M9" s="27">
        <f>IFERROR((E9-K9)/B9/'Settings'!$B$11,"")</f>
        <v>18.956666666666663</v>
      </c>
      <c r="N9" t="str">
        <f>IF(L9="","",IF(L9&lt;=0,"Yes","No"))</f>
        <v>No</v>
      </c>
      <c r="O9" s="27">
        <f>IFERROR(L9/'Settings'!$B$11,"")</f>
        <v>39.653333333333315</v>
      </c>
      <c r="P9" s="20">
        <f>IFERROR(ROUNDUP(O9/(B9*'Settings'!$B$14),0),"")</f>
        <v>1.0</v>
      </c>
      <c r="Q9" s="28" t="str">
        <f>IF(L9="","",IF(L9&lt;=0,"With these hours and this head start, the campaign fits.",IF(M9&gt;'Settings'!$B$13,"It doesn't fit even using the whole day: get further ahead and freeze more, or cut the campaign assortment.","It fits by lengthening the shift with extra staff: see the ""Extra Staff and Cash"" sheet.")))</f>
        <v>It fits by lengthening the shift with extra staff: see the "Extra Staff and Cash" sheet.</v>
      </c>
    </row>
    <row r="10" ht="34" customHeight="1">
      <c r="A10" s="18" t="inlineStr">
        <is>
          <t>First Communions and graduations</t>
        </is>
      </c>
      <c r="B10" s="20">
        <f>'6-Peak Calendar'!E10</f>
        <v>20.0</v>
      </c>
      <c r="C10" s="27">
        <f>'6-Peak Calendar'!P10</f>
        <v>1.6</v>
      </c>
      <c r="D10" s="20">
        <f>IFERROR('Settings'!$B$7*C10,"")</f>
        <v>761.6</v>
      </c>
      <c r="E10" s="20">
        <f>IFERROR(D10*B10,"")</f>
        <v>15232.0</v>
      </c>
      <c r="F10" s="13" t="n">
        <v>10</v>
      </c>
      <c r="G10" s="20">
        <f>IFERROR('Settings'!$B$11*F10,"")</f>
        <v>600.0</v>
      </c>
      <c r="H10" s="20">
        <f>IFERROR(MAX(0,D10-G10),"")</f>
        <v>161.60000000000002</v>
      </c>
      <c r="I10" s="20">
        <f>IFERROR(H10*B10,"")</f>
        <v>3232.0000000000005</v>
      </c>
      <c r="J10" s="12" t="n">
        <v>0</v>
      </c>
      <c r="K10" s="20">
        <f>IFERROR(MIN(I10,MAX(0,'Settings'!$B$12)*J10),"")</f>
        <v>0.0</v>
      </c>
      <c r="L10" s="20">
        <f>IFERROR(MAX(0,I10-K10),"")</f>
        <v>3232.0000000000005</v>
      </c>
      <c r="M10" s="27">
        <f>IFERROR((E10-K10)/B10/'Settings'!$B$11,"")</f>
        <v>12.693333333333333</v>
      </c>
      <c r="N10" t="str">
        <f>IF(L10="","",IF(L10&lt;=0,"Yes","No"))</f>
        <v>No</v>
      </c>
      <c r="O10" s="27">
        <f>IFERROR(L10/'Settings'!$B$11,"")</f>
        <v>53.866666666666674</v>
      </c>
      <c r="P10" s="20">
        <f>IFERROR(ROUNDUP(O10/(B10*'Settings'!$B$14),0),"")</f>
        <v>1.0</v>
      </c>
      <c r="Q10" s="28" t="str">
        <f>IF(L10="","",IF(L10&lt;=0,"With these hours and this head start, the campaign fits.",IF(M10&gt;'Settings'!$B$13,"It doesn't fit even using the whole day: get further ahead and freeze more, or cut the campaign assortment.","It fits by lengthening the shift with extra staff: see the ""Extra Staff and Cash"" sheet.")))</f>
        <v>It fits by lengthening the shift with extra staff: see the "Extra Staff and Cash" sheet.</v>
      </c>
    </row>
    <row r="11" ht="34" customHeight="1">
      <c r="A11" s="18" t="inlineStr">
        <is>
          <t>All Saints' Day and Día de los Muertos</t>
        </is>
      </c>
      <c r="B11" s="20">
        <f>'6-Peak Calendar'!E11</f>
        <v>3.0</v>
      </c>
      <c r="C11" s="27">
        <f>'6-Peak Calendar'!P11</f>
        <v>2.6</v>
      </c>
      <c r="D11" s="20">
        <f>IFERROR('Settings'!$B$7*C11,"")</f>
        <v>1237.6000000000001</v>
      </c>
      <c r="E11" s="20">
        <f>IFERROR(D11*B11,"")</f>
        <v>3712.8</v>
      </c>
      <c r="F11" s="13" t="n">
        <v>16</v>
      </c>
      <c r="G11" s="20">
        <f>IFERROR('Settings'!$B$11*F11,"")</f>
        <v>960.0</v>
      </c>
      <c r="H11" s="20">
        <f>IFERROR(MAX(0,D11-G11),"")</f>
        <v>277.60000000000014</v>
      </c>
      <c r="I11" s="20">
        <f>IFERROR(H11*B11,"")</f>
        <v>832.8000000000004</v>
      </c>
      <c r="J11" s="12" t="n">
        <v>10</v>
      </c>
      <c r="K11" s="20">
        <f>IFERROR(MIN(I11,MAX(0,'Settings'!$B$12)*J11),"")</f>
        <v>40.0</v>
      </c>
      <c r="L11" s="20">
        <f>IFERROR(MAX(0,I11-K11),"")</f>
        <v>792.8000000000004</v>
      </c>
      <c r="M11" s="27">
        <f>IFERROR((E11-K11)/B11/'Settings'!$B$11,"")</f>
        <v>20.404444444444444</v>
      </c>
      <c r="N11" t="str">
        <f>IF(L11="","",IF(L11&lt;=0,"Yes","No"))</f>
        <v>No</v>
      </c>
      <c r="O11" s="27">
        <f>IFERROR(L11/'Settings'!$B$11,"")</f>
        <v>13.21333333333334</v>
      </c>
      <c r="P11" s="20">
        <f>IFERROR(ROUNDUP(O11/(B11*'Settings'!$B$14),0),"")</f>
        <v>1.0</v>
      </c>
      <c r="Q11" s="28" t="str">
        <f>IF(L11="","",IF(L11&lt;=0,"With these hours and this head start, the campaign fits.",IF(M11&gt;'Settings'!$B$13,"It doesn't fit even using the whole day: get further ahead and freeze more, or cut the campaign assortment.","It fits by lengthening the shift with extra staff: see the ""Extra Staff and Cash"" sheet.")))</f>
        <v>It fits by lengthening the shift with extra staff: see the "Extra Staff and Cash" sheet.</v>
      </c>
    </row>
    <row r="12"/>
    <row r="13">
      <c r="A13" s="18" t="inlineStr">
        <is>
          <t>TOTAL FOR THE SIX CAMPAIGNS</t>
        </is>
      </c>
      <c r="E13" s="15">
        <f>SUM(E6:E11)</f>
        <v>47695.2</v>
      </c>
      <c r="I13" s="15">
        <f>SUM(I6:I11)</f>
        <v>16495.2</v>
      </c>
      <c r="K13" s="15">
        <f>SUM(K6:K11)</f>
        <v>180.0</v>
      </c>
      <c r="L13" s="15">
        <f>SUM(L6:L11)</f>
        <v>16315.2</v>
      </c>
      <c r="N13" s="15">
        <f>COUNTIF(N6:N11,"No")</f>
        <v>6.0</v>
      </c>
      <c r="O13" s="10" t="inlineStr">
        <is>
          <t>campaigns you can't handle</t>
        </is>
      </c>
    </row>
    <row r="14"/>
    <row r="15" ht="58" customHeight="1">
      <c r="A15" s="29" t="inlineStr">
        <is>
          <t>How to read it: peak demand comes from multiplying your normal-day pieces by the campaign factor. Capacity comes from the limiting equipment's pieces per hour times the hours you keep the production kitchen running. The difference is the shortfall, and you attack it in this order: first machine hours, then production made ahead and frozen, and only at the end extra staff, which is what costs money every day of the campaign.</t>
        </is>
      </c>
    </row>
    <row r="16" ht="58" customHeight="1">
      <c r="A16" s="29" t="inlineStr">
        <is>
          <t>The pieces you can make ahead are limited by the surplus of a normal day: if you're already at the limit at cruising speed, there's nowhere to get them from. And by what fits in your freezer, which this sheet doesn't know. Check the cubic feet before you accept the figure.</t>
        </is>
      </c>
    </row>
    <row r="17" ht="58" customHeight="1">
      <c r="A17" s="29" t="inlineStr">
        <is>
          <t>What limits how far ahead you can go: anything the Food Code makes you hold at 41 °F or below and date-mark if held over 24 hours (3-501.16, 3-501.17), such as cream fillings. The cream-filled rosca is the textbook case: you make it the same day. Huesos de santo, shelf-stable at room temperature, can be made well ahead. That food-safety detail IS the campaign planning, and the "Egg &amp; TCS Decision" sheet of opening-menu-and-recipe-costing.xlsx tells you which is which.</t>
        </is>
      </c>
    </row>
    <row r="18"/>
    <row r="19">
      <c r="A19" s="7"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3">
    <mergeCell ref="A17:Q17"/>
    <mergeCell ref="A15:Q15"/>
    <mergeCell ref="A16:Q16"/>
  </mergeCells>
  <conditionalFormatting sqref="N6:N11">
    <cfRule type="cellIs" priority="1" operator="equal" dxfId="1" stopIfTrue="1">
      <formula>"Yes"</formula>
    </cfRule>
    <cfRule type="cellIs" priority="2" operator="equal" dxfId="2" stopIfTrue="1">
      <formula>"No"</formula>
    </cfRule>
  </conditionalFormatting>
  <conditionalFormatting sqref="M6:M11">
    <cfRule type="expression" priority="3" dxfId="3" stopIfTrue="1">
      <formula>=AND(ISNUMBER($M6),$M6&gt;'Settings'!$B$13)</formula>
    </cfRule>
  </conditionalFormatting>
  <conditionalFormatting sqref="L6:L11">
    <cfRule type="expression" priority="4" dxfId="3" stopIfTrue="1">
      <formula>=AND(ISNUMBER($L6),$L6&gt;0)</formula>
    </cfRule>
  </conditionalFormatting>
  <dataValidations count="2">
    <dataValidation sqref="F6 F7 F8 F9 F10 F11" showDropDown="0" showInputMessage="0" showErrorMessage="1" allowBlank="1" errorTitle="Hours per day" error="Production kitchen hours per day run from 0 to 24." type="decimal" operator="between">
      <formula1>0</formula1>
      <formula2>24</formula2>
    </dataValidation>
    <dataValidation sqref="J6 J7 J8 J9 J10 J11" showDropDown="0" showInputMessage="0" showErrorMessage="1" allowBlank="1" errorTitle="Days ahead" error="Enter the days of production made ahead (0 to 120)." type="decimal" operator="between">
      <formula1>0</formula1>
      <formula2>120</formula2>
    </dataValidation>
  </dataValidations>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9" customWidth="1" min="2" max="2"/>
    <col width="10" customWidth="1" min="3" max="3"/>
    <col width="10" customWidth="1" min="4" max="4"/>
    <col width="10" customWidth="1" min="5" max="5"/>
    <col width="11" customWidth="1" min="6" max="6"/>
    <col width="10" customWidth="1" min="7" max="7"/>
    <col width="11" customWidth="1" min="8" max="8"/>
    <col width="11" customWidth="1" min="9" max="9"/>
    <col width="10" customWidth="1" min="10" max="10"/>
    <col width="12" customWidth="1" min="11" max="11"/>
    <col width="10" customWidth="1" min="12" max="12"/>
    <col width="10" customWidth="1" min="13" max="13"/>
    <col width="12" customWidth="1" min="14" max="14"/>
    <col width="12" customWidth="1" min="15" max="15"/>
    <col width="12" customWidth="1" min="16" max="16"/>
    <col width="12" customWidth="1" min="17" max="17"/>
    <col width="74" customWidth="1" min="18" max="18"/>
  </cols>
  <sheetData>
    <row r="1">
      <c r="A1" s="1" t="inlineStr">
        <is>
          <t>Extra Staff and Cash</t>
        </is>
      </c>
    </row>
    <row r="2">
      <c r="A2" s="2" t="inlineStr">
        <is>
          <t>AI Chef Pro · aichef.pro — How to Open a Pastry Shop</t>
        </is>
      </c>
    </row>
    <row r="3">
      <c r="A3" s="3" t="inlineStr">
        <is>
          <t>What the extra staff costs with payroll costs included, and how much money each campaign ties up.</t>
        </is>
      </c>
    </row>
    <row r="4"/>
    <row r="5" ht="42" customHeight="1">
      <c r="A5" s="8" t="inlineStr">
        <is>
          <t>Campaign</t>
        </is>
      </c>
      <c r="B5" s="8" t="inlineStr">
        <is>
          <t>Extra staff (people)</t>
        </is>
      </c>
      <c r="C5" s="8" t="inlineStr">
        <is>
          <t>Hours per person in the campaign</t>
        </is>
      </c>
      <c r="D5" s="8" t="inlineStr">
        <is>
          <t>Total extra-staff hours</t>
        </is>
      </c>
      <c r="E5" s="8" t="inlineStr">
        <is>
          <t>Employer cost per hour worked ($)</t>
        </is>
      </c>
      <c r="F5" s="8" t="inlineStr">
        <is>
          <t>Extra staff cost ($)</t>
        </is>
      </c>
      <c r="G5" s="8" t="inlineStr">
        <is>
          <t>People needed</t>
        </is>
      </c>
      <c r="H5" s="8" t="inlineStr">
        <is>
          <t>Does the extra staff cover it?</t>
        </is>
      </c>
      <c r="I5" s="8" t="inlineStr">
        <is>
          <t>Materials cost per unit ($)</t>
        </is>
      </c>
      <c r="J5" s="8" t="inlineStr">
        <is>
          <t>Units over the whole campaign</t>
        </is>
      </c>
      <c r="K5" s="8" t="inlineStr">
        <is>
          <t>Campaign ingredient purchase ($)</t>
        </is>
      </c>
      <c r="L5" s="8" t="inlineStr">
        <is>
          <t>Purchase lead time (weeks)</t>
        </is>
      </c>
      <c r="M5" s="8" t="inlineStr">
        <is>
          <t>Days the cash sits idle</t>
        </is>
      </c>
      <c r="N5" s="8" t="inlineStr">
        <is>
          <t>Financing cost of the tied-up cash ($)</t>
        </is>
      </c>
      <c r="O5" s="8" t="inlineStr">
        <is>
          <t>Materials for the incremental units ($)</t>
        </is>
      </c>
      <c r="P5" s="8" t="inlineStr">
        <is>
          <t>Incremental sales before sales tax ($)</t>
        </is>
      </c>
      <c r="Q5" s="8" t="inlineStr">
        <is>
          <t>Incremental result of the campaign ($)</t>
        </is>
      </c>
      <c r="R5" s="8" t="inlineStr">
        <is>
          <t>What to look at in this campaign</t>
        </is>
      </c>
    </row>
    <row r="6" ht="62" customHeight="1">
      <c r="A6" s="18" t="inlineStr">
        <is>
          <t>Día de Reyes (Three Kings Day)</t>
        </is>
      </c>
      <c r="B6" s="12" t="n">
        <v>3</v>
      </c>
      <c r="C6" s="13" t="n">
        <v>40</v>
      </c>
      <c r="D6" s="27">
        <f>IFERROR(B6*C6,"")</f>
        <v>120.0</v>
      </c>
      <c r="E6" s="19">
        <f>'Settings'!$B$21</f>
        <v>13.364482584269666</v>
      </c>
      <c r="F6" s="19">
        <f>IFERROR(D6*E6,"")</f>
        <v>1603.73791011236</v>
      </c>
      <c r="G6" s="20">
        <f>'Peak Capacity vs Demand'!P6</f>
        <v>4.0</v>
      </c>
      <c r="H6" t="str">
        <f>IF(G6="","",IF(B6&gt;=G6,"Yes","No"))</f>
        <v>No</v>
      </c>
      <c r="I6" s="9" t="n">
        <v>2.5988</v>
      </c>
      <c r="J6" s="20">
        <f>'6-Peak Calendar'!M6</f>
        <v>800.0</v>
      </c>
      <c r="K6" s="19">
        <f>IFERROR(I6*J6,"")</f>
        <v>2079.04</v>
      </c>
      <c r="L6" s="20">
        <f>'6-Peak Calendar'!Q6</f>
        <v>6.0</v>
      </c>
      <c r="M6" s="20">
        <f>IFERROR(L6*7+'6-Peak Calendar'!E6,"")</f>
        <v>47.0</v>
      </c>
      <c r="N6" s="19">
        <f>IFERROR(K6*'Settings'!$B$24*M6/365,"")</f>
        <v>16.598143999999998</v>
      </c>
      <c r="O6" s="19">
        <f>IFERROR(I6*'6-Peak Calendar'!L6*'6-Peak Calendar'!E6,"")</f>
        <v>2079.0400000000004</v>
      </c>
      <c r="P6" s="19">
        <f>'6-Peak Calendar'!O6</f>
        <v>11999.999999999998</v>
      </c>
      <c r="Q6" s="19">
        <f>IFERROR(P6-O6-F6-N6,"")</f>
        <v>8300.623945887637</v>
      </c>
      <c r="R6" s="21" t="inlineStr">
        <is>
          <t>The campaign that decides the year. Six weeks of purchase lead time: almonds, candied orange and orange blossom water are ordered in November. The cream-filled rosca can't be made ahead: it lives in the cooler at 39 °F and has to be date-marked if held.</t>
        </is>
      </c>
    </row>
    <row r="7" ht="62" customHeight="1">
      <c r="A7" s="18" t="inlineStr">
        <is>
          <t>Valentine's Day</t>
        </is>
      </c>
      <c r="B7" s="12" t="n">
        <v>0</v>
      </c>
      <c r="C7" s="13" t="n">
        <v>0</v>
      </c>
      <c r="D7" s="27">
        <f>IFERROR(B7*C7,"")</f>
        <v>0.0</v>
      </c>
      <c r="E7" s="19">
        <f>'Settings'!$B$21</f>
        <v>13.364482584269666</v>
      </c>
      <c r="F7" s="19">
        <f>IFERROR(D7*E7,"")</f>
        <v>0.0</v>
      </c>
      <c r="G7" s="20">
        <f>'Peak Capacity vs Demand'!P7</f>
        <v>1.0</v>
      </c>
      <c r="H7" t="str">
        <f>IF(G7="","",IF(B7&gt;=G7,"Yes","No"))</f>
        <v>No</v>
      </c>
      <c r="I7" s="9" t="n">
        <v>0.1965</v>
      </c>
      <c r="J7" s="20">
        <f>'6-Peak Calendar'!M7</f>
        <v>520.0</v>
      </c>
      <c r="K7" s="19">
        <f>IFERROR(I7*J7,"")</f>
        <v>102.18</v>
      </c>
      <c r="L7" s="20">
        <f>'6-Peak Calendar'!Q7</f>
        <v>3.0</v>
      </c>
      <c r="M7" s="20">
        <f>IFERROR(L7*7+'6-Peak Calendar'!E7,"")</f>
        <v>23.0</v>
      </c>
      <c r="N7" s="19">
        <f>IFERROR(K7*'Settings'!$B$24*M7/365,"")</f>
        <v>0.3992018630136987</v>
      </c>
      <c r="O7" s="19">
        <f>IFERROR(I7*'6-Peak Calendar'!L7*'6-Peak Calendar'!E7,"")</f>
        <v>64.845</v>
      </c>
      <c r="P7" s="19">
        <f>'6-Peak Calendar'!O7</f>
        <v>630.0</v>
      </c>
      <c r="Q7" s="19">
        <f>IFERROR(P7-O7-F7-N7,"")</f>
        <v>564.7557981369863</v>
      </c>
      <c r="R7" s="21" t="inlineStr">
        <is>
          <t>Two days and a high ticket: you win with boxes and presentation, not with more oven. Extra staff comes out at ZERO people and ZERO dollars on purpose -the person you need is already on the base team-, which is why "Does the extra staff cover it?" says "No": it isn't a bug, it's that you don't hire extra staff here, you cover it with the base team.</t>
        </is>
      </c>
    </row>
    <row r="8" ht="62" customHeight="1">
      <c r="A8" s="18" t="inlineStr">
        <is>
          <t>Mother's Day</t>
        </is>
      </c>
      <c r="B8" s="12" t="n">
        <v>1</v>
      </c>
      <c r="C8" s="13" t="n">
        <v>16</v>
      </c>
      <c r="D8" s="27">
        <f>IFERROR(B8*C8,"")</f>
        <v>16.0</v>
      </c>
      <c r="E8" s="19">
        <f>'Settings'!$B$21</f>
        <v>13.364482584269666</v>
      </c>
      <c r="F8" s="19">
        <f>IFERROR(D8*E8,"")</f>
        <v>213.83172134831466</v>
      </c>
      <c r="G8" s="20">
        <f>'Peak Capacity vs Demand'!P8</f>
        <v>1.0</v>
      </c>
      <c r="H8" t="str">
        <f>IF(G8="","",IF(B8&gt;=G8,"Yes","No"))</f>
        <v>Yes</v>
      </c>
      <c r="I8" s="9" t="n">
        <v>1.1523</v>
      </c>
      <c r="J8" s="20">
        <f>'6-Peak Calendar'!M8</f>
        <v>384.0</v>
      </c>
      <c r="K8" s="19">
        <f>IFERROR(I8*J8,"")</f>
        <v>442.4832</v>
      </c>
      <c r="L8" s="20">
        <f>'6-Peak Calendar'!Q8</f>
        <v>3.0</v>
      </c>
      <c r="M8" s="20">
        <f>IFERROR(L8*7+'6-Peak Calendar'!E8,"")</f>
        <v>25.0</v>
      </c>
      <c r="N8" s="19">
        <f>IFERROR(K8*'Settings'!$B$24*M8/365,"")</f>
        <v>1.8790382465753426</v>
      </c>
      <c r="O8" s="19">
        <f>IFERROR(I8*'6-Peak Calendar'!L8*'6-Peak Calendar'!E8,"")</f>
        <v>368.73600000000005</v>
      </c>
      <c r="P8" s="19">
        <f>'6-Peak Calendar'!O8</f>
        <v>1047.2727272727273</v>
      </c>
      <c r="Q8" s="19">
        <f>IFERROR(P8-O8-F8-N8,"")</f>
        <v>462.8259676778371</v>
      </c>
      <c r="R8" s="21" t="inlineStr">
        <is>
          <t>One operating date for Día de las Madres and US Mother's Day: a personalized cake, made to order.</t>
        </is>
      </c>
    </row>
    <row r="9" ht="62" customHeight="1">
      <c r="A9" s="18" t="inlineStr">
        <is>
          <t>Easter (Holy Week)</t>
        </is>
      </c>
      <c r="B9" s="12" t="n">
        <v>1</v>
      </c>
      <c r="C9" s="13" t="n">
        <v>40</v>
      </c>
      <c r="D9" s="27">
        <f>IFERROR(B9*C9,"")</f>
        <v>40.0</v>
      </c>
      <c r="E9" s="19">
        <f>'Settings'!$B$21</f>
        <v>13.364482584269666</v>
      </c>
      <c r="F9" s="19">
        <f>IFERROR(D9*E9,"")</f>
        <v>534.5793033707866</v>
      </c>
      <c r="G9" s="20">
        <f>'Peak Capacity vs Demand'!P9</f>
        <v>1.0</v>
      </c>
      <c r="H9" t="str">
        <f>IF(G9="","",IF(B9&gt;=G9,"Yes","No"))</f>
        <v>Yes</v>
      </c>
      <c r="I9" s="9" t="n">
        <v>0.2601</v>
      </c>
      <c r="J9" s="20">
        <f>'6-Peak Calendar'!M9</f>
        <v>1840.0</v>
      </c>
      <c r="K9" s="19">
        <f>IFERROR(I9*J9,"")</f>
        <v>478.584</v>
      </c>
      <c r="L9" s="20">
        <f>'6-Peak Calendar'!Q9</f>
        <v>4.0</v>
      </c>
      <c r="M9" s="20">
        <f>IFERROR(L9*7+'6-Peak Calendar'!E9,"")</f>
        <v>36.0</v>
      </c>
      <c r="N9" s="19">
        <f>IFERROR(K9*'Settings'!$B$24*M9/365,"")</f>
        <v>2.9265739397260275</v>
      </c>
      <c r="O9" s="19">
        <f>IFERROR(I9*'6-Peak Calendar'!L9*'6-Peak Calendar'!E9,"")</f>
        <v>478.584</v>
      </c>
      <c r="P9" s="19">
        <f>'6-Peak Calendar'!O9</f>
        <v>4014.545454545454</v>
      </c>
      <c r="Q9" s="19">
        <f>IFERROR(P9-O9-F9-N9,"")</f>
        <v>2998.4555772349413</v>
      </c>
      <c r="R9" s="21" t="inlineStr">
        <is>
          <t>Eight days in a row of extra production, more exhausting than the five of Three Kings Day even though the peak is smaller. Torrijas and Easter cakes (monas) at once: one needs a fryer and cold, the other an oven and chocolate.</t>
        </is>
      </c>
    </row>
    <row r="10" ht="62" customHeight="1">
      <c r="A10" s="18" t="inlineStr">
        <is>
          <t>First Communions and graduations</t>
        </is>
      </c>
      <c r="B10" s="12" t="n">
        <v>1</v>
      </c>
      <c r="C10" s="13" t="n">
        <v>60</v>
      </c>
      <c r="D10" s="27">
        <f>IFERROR(B10*C10,"")</f>
        <v>60.0</v>
      </c>
      <c r="E10" s="19">
        <f>'Settings'!$B$21</f>
        <v>13.364482584269666</v>
      </c>
      <c r="F10" s="19">
        <f>IFERROR(D10*E10,"")</f>
        <v>801.86895505618</v>
      </c>
      <c r="G10" s="20">
        <f>'Peak Capacity vs Demand'!P10</f>
        <v>1.0</v>
      </c>
      <c r="H10" t="str">
        <f>IF(G10="","",IF(B10&gt;=G10,"Yes","No"))</f>
        <v>Yes</v>
      </c>
      <c r="I10" s="9" t="n">
        <v>0.7584</v>
      </c>
      <c r="J10" s="20">
        <f>'6-Peak Calendar'!M10</f>
        <v>680.0</v>
      </c>
      <c r="K10" s="19">
        <f>IFERROR(I10*J10,"")</f>
        <v>515.712</v>
      </c>
      <c r="L10" s="20">
        <f>'6-Peak Calendar'!Q10</f>
        <v>5.0</v>
      </c>
      <c r="M10" s="20">
        <f>IFERROR(L10*7+'6-Peak Calendar'!E10,"")</f>
        <v>55.0</v>
      </c>
      <c r="N10" s="19">
        <f>IFERROR(K10*'Settings'!$B$24*M10/365,"")</f>
        <v>4.818021698630137</v>
      </c>
      <c r="O10" s="19">
        <f>IFERROR(I10*'6-Peak Calendar'!L10*'6-Peak Calendar'!E10,"")</f>
        <v>364.032</v>
      </c>
      <c r="P10" s="19">
        <f>'6-Peak Calendar'!O10</f>
        <v>1527.2727272727273</v>
      </c>
      <c r="Q10" s="19">
        <f>IFERROR(P10-O10-F10-N10,"")</f>
        <v>356.5537505179172</v>
      </c>
      <c r="R10" s="21" t="inlineStr">
        <is>
          <t>It's not a peak, it's a two-month plateau: you carry it with staff, not overtime, which is why the days made ahead go to zero. Everything is by custom order, with a deposit and cancellation risk.</t>
        </is>
      </c>
    </row>
    <row r="11" ht="62" customHeight="1">
      <c r="A11" s="18" t="inlineStr">
        <is>
          <t>All Saints' Day and Día de los Muertos</t>
        </is>
      </c>
      <c r="B11" s="12" t="n">
        <v>2</v>
      </c>
      <c r="C11" s="13" t="n">
        <v>24</v>
      </c>
      <c r="D11" s="27">
        <f>IFERROR(B11*C11,"")</f>
        <v>48.0</v>
      </c>
      <c r="E11" s="19">
        <f>'Settings'!$B$21</f>
        <v>13.364482584269666</v>
      </c>
      <c r="F11" s="19">
        <f>IFERROR(D11*E11,"")</f>
        <v>641.495164044944</v>
      </c>
      <c r="G11" s="20">
        <f>'Peak Capacity vs Demand'!P11</f>
        <v>1.0</v>
      </c>
      <c r="H11" t="str">
        <f>IF(G11="","",IF(B11&gt;=G11,"Yes","No"))</f>
        <v>Yes</v>
      </c>
      <c r="I11" s="9" t="n">
        <v>0.1695</v>
      </c>
      <c r="J11" s="20">
        <f>'6-Peak Calendar'!M11</f>
        <v>1410.0</v>
      </c>
      <c r="K11" s="19">
        <f>IFERROR(I11*J11,"")</f>
        <v>238.995</v>
      </c>
      <c r="L11" s="20">
        <f>'6-Peak Calendar'!Q11</f>
        <v>4.0</v>
      </c>
      <c r="M11" s="20">
        <f>IFERROR(L11*7+'6-Peak Calendar'!E11,"")</f>
        <v>31.0</v>
      </c>
      <c r="N11" s="19">
        <f>IFERROR(K11*'Settings'!$B$24*M11/365,"")</f>
        <v>1.2584887397260274</v>
      </c>
      <c r="O11" s="19">
        <f>IFERROR(I11*'6-Peak Calendar'!L11*'6-Peak Calendar'!E11,"")</f>
        <v>238.995</v>
      </c>
      <c r="P11" s="19">
        <f>'6-Peak Calendar'!O11</f>
        <v>2050.909090909091</v>
      </c>
      <c r="Q11" s="19">
        <f>IFERROR(P11-O11-F11-N11,"")</f>
        <v>1169.160438124421</v>
      </c>
      <c r="R11" s="21" t="inlineStr">
        <is>
          <t>Three days with three items that are only made now. The buñuelos are cream-filled (kept cold and date-marked if held) and the huesos de santo are shelf-stable at room temperature: that's why the huesos de santo can be made ahead and the buñuelos can't.</t>
        </is>
      </c>
    </row>
    <row r="12"/>
    <row r="13">
      <c r="A13" s="18" t="inlineStr">
        <is>
          <t>TOTAL FOR THE YEAR</t>
        </is>
      </c>
      <c r="D13" s="14">
        <f>SUM(D6:D11)</f>
        <v>284.0</v>
      </c>
      <c r="F13" s="17">
        <f>SUM(F6:F11)</f>
        <v>3795.513053932585</v>
      </c>
      <c r="H13" s="15">
        <f>COUNTIF(H6:H11,"No")</f>
        <v>2.0</v>
      </c>
      <c r="I13" s="10" t="inlineStr">
        <is>
          <t>campaigns with short extra staff</t>
        </is>
      </c>
      <c r="K13" s="17">
        <f>SUM(K6:K11)</f>
        <v>3856.9942</v>
      </c>
      <c r="N13" s="17">
        <f>SUM(N6:N11)</f>
        <v>27.879468487671232</v>
      </c>
      <c r="O13" s="17">
        <f>SUM(O6:O11)</f>
        <v>3594.2320000000004</v>
      </c>
      <c r="P13" s="17">
        <f>SUM(P6:P11)</f>
        <v>21269.999999999996</v>
      </c>
      <c r="Q13" s="17">
        <f>SUM(Q6:Q11)</f>
        <v>13852.37547757974</v>
      </c>
    </row>
    <row r="14"/>
    <row r="15" ht="52" customHeight="1">
      <c r="A15" s="29" t="inlineStr">
        <is>
          <t>The employer cost per hour isn't the pay: it's the monthly pay times 12 plus payroll taxes, workers' comp and benefits, divided by annual hours actually worked. It comes from the "Settings" sheet and in the example it's about a third more than the pay. Hiring extra staff for less than that number means hiring at a loss.</t>
        </is>
      </c>
    </row>
    <row r="16" ht="52" customHeight="1">
      <c r="A16" s="29" t="inlineStr">
        <is>
          <t>The "campaign ingredient purchase" is the money that leaves your account BEFORE the first dollar of the campaign comes in. Multiply it by the days it sits idle and by the cost of money, and you have the campaign's financing cost, which almost nobody counts and which on Three Kings Day is real.</t>
        </is>
      </c>
    </row>
    <row r="17" ht="52" customHeight="1">
      <c r="A17" s="29" t="inlineStr">
        <is>
          <t>The "incremental result" subtracts only what the campaign adds: the materials for the extra units, the extra staff and the financing cost. It doesn't subtract rent or base payroll, which you pay anyway. If it comes out negative, the campaign is costing you money.</t>
        </is>
      </c>
    </row>
    <row r="18" ht="52" customHeight="1">
      <c r="A18" s="29" t="inlineStr">
        <is>
          <t>Boundary with your task calendar: your annual task calendar tells you WHAT to do and WHEN in each campaign, and your daily task checklists carry the detail of each event. This workbook tells you HOW MUCH it costs and WHETHER you can handle it. If you already track production, replace the unit estimates with your real production data.</t>
        </is>
      </c>
    </row>
    <row r="19"/>
    <row r="20">
      <c r="A20" s="7"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4">
    <mergeCell ref="A18:R18"/>
    <mergeCell ref="A17:R17"/>
    <mergeCell ref="A16:R16"/>
    <mergeCell ref="A15:R15"/>
  </mergeCells>
  <conditionalFormatting sqref="H6:H11">
    <cfRule type="cellIs" priority="1" operator="equal" dxfId="1" stopIfTrue="1">
      <formula>"Yes"</formula>
    </cfRule>
    <cfRule type="cellIs" priority="2" operator="equal" dxfId="2" stopIfTrue="1">
      <formula>"No"</formula>
    </cfRule>
  </conditionalFormatting>
  <conditionalFormatting sqref="Q6:Q11">
    <cfRule type="expression" priority="3" dxfId="3" stopIfTrue="1">
      <formula>=AND(ISNUMBER($Q6),$Q6&lt;0)</formula>
    </cfRule>
  </conditionalFormatting>
  <dataValidations count="2">
    <dataValidation sqref="B6 B7 B8 B9 B10 B11" showDropDown="0" showInputMessage="0" showErrorMessage="1" allowBlank="1" errorTitle="Extra staff (people)" error="Enter how many extra people you hire (0 to 50)." type="decimal" operator="between">
      <formula1>0</formula1>
      <formula2>50</formula2>
    </dataValidation>
    <dataValidation sqref="C6 C7 C8 C9 C10 C11" showDropDown="0" showInputMessage="0" showErrorMessage="1" allowBlank="1" errorTitle="Hours per person" error="Hours for the whole campaign per person (0 to 400)." type="decimal" operator="between">
      <formula1>0</formula1>
      <formula2>400</formula2>
    </dataValidation>
  </dataValidations>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Seasonality and Holiday Peaks Planner</dc:title>
  <dc:subject xmlns:dc="http://purl.org/dc/elements/1.1/">How to Open a Pastry Shop · Version 1.0 · October 2026</dc:subject>
  <dcterms:created xmlns:dcterms="http://purl.org/dc/terms/" xmlns:xsi="http://www.w3.org/2001/XMLSchema-instance" xsi:type="dcterms:W3CDTF">2026-09-10T04:57:15Z</dcterms:created>
  <dcterms:modified xmlns:dcterms="http://purl.org/dc/terms/" xmlns:xsi="http://www.w3.org/2001/XMLSchema-instance" xsi:type="dcterms:W3CDTF">2026-10-17T08:00:00Z</dcterms:modified>
  <cp:lastModifiedBy>AI Chef Pro</cp:lastModifiedBy>
</cp:coreProperties>
</file>