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tings" sheetId="2" state="visible" r:id="rId2"/>
    <sheet xmlns:r="http://schemas.openxmlformats.org/officeDocument/2006/relationships" name="Startup Costs by Block" sheetId="3" state="visible" r:id="rId3"/>
    <sheet xmlns:r="http://schemas.openxmlformats.org/officeDocument/2006/relationships" name="Format Variant" sheetId="4" state="visible" r:id="rId4"/>
    <sheet xmlns:r="http://schemas.openxmlformats.org/officeDocument/2006/relationships" name="Takeover vs New Build" sheetId="5" state="visible" r:id="rId5"/>
    <sheet xmlns:r="http://schemas.openxmlformats.org/officeDocument/2006/relationships" name="VAT-GST &amp; Cash" sheetId="6" state="visible" r:id="rId6"/>
    <sheet xmlns:r="http://schemas.openxmlformats.org/officeDocument/2006/relationships" name="Summary" sheetId="7" state="visible" r:id="rId7"/>
  </sheets>
  <definedNames>
    <definedName name="_xlnm.Print_Titles" localSheetId="1">'Settings'!$5:$5</definedName>
    <definedName name="_xlnm.Print_Titles" localSheetId="2">'Startup Costs by Block'!$5:$5</definedName>
    <definedName name="_xlnm.Print_Titles" localSheetId="3">'Format Variant'!$14:$14</definedName>
    <definedName name="_xlnm.Print_Titles" localSheetId="4">'Takeover vs New Build'!$25:$25</definedName>
    <definedName name="_xlnm.Print_Titles" localSheetId="5">'VAT-GST &amp; Cash'!$5:$5</definedName>
    <definedName name="_xlnm.Print_Titles" localSheetId="6">'Summary'!$5:$5</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
  </numFmts>
  <fonts count="8">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5" fontId="0" fillId="0"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0" fontId="3" fillId="0" borderId="0" pivotButton="0" quotePrefix="0" xfId="0"/>
    <xf numFmtId="3" fontId="0" fillId="0" borderId="0" pivotButton="0" quotePrefix="0" xfId="0"/>
    <xf numFmtId="166" fontId="0" fillId="0" borderId="0" pivotButton="0" quotePrefix="0" xfId="0"/>
    <xf numFmtId="165" fontId="6" fillId="4" borderId="0" pivotButton="0" quotePrefix="0" xfId="0"/>
    <xf numFmtId="165" fontId="3" fillId="0" borderId="0" pivotButton="0" quotePrefix="0" xfId="0"/>
    <xf numFmtId="4" fontId="0" fillId="2" borderId="0" applyProtection="1" pivotButton="0" quotePrefix="0" xfId="0">
      <protection locked="0" hidden="0"/>
    </xf>
    <xf numFmtId="0" fontId="7" fillId="0" borderId="0" applyAlignment="1" pivotButton="0" quotePrefix="0" xfId="0">
      <alignment horizontal="general" vertical="top" wrapText="1"/>
    </xf>
    <xf numFmtId="165" fontId="7" fillId="0" borderId="0" pivotButton="0" quotePrefix="0" xfId="0"/>
    <xf numFmtId="0" fontId="3" fillId="0" borderId="0" applyAlignment="1" pivotButton="0" quotePrefix="0" xfId="0">
      <alignment horizontal="general" vertical="top" wrapText="1"/>
    </xf>
    <xf numFmtId="0" fontId="6" fillId="4" borderId="0" pivotButton="0" quotePrefix="0" xfId="0"/>
    <xf numFmtId="164" fontId="0" fillId="0" borderId="0" pivotButton="0" quotePrefix="0" xfId="0"/>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14" authorId="0" shapeId="0">
      <text>
        <t>Verified October 2026 · Texas Comptroller, 34 TAC §3.293 (bakery items sold to go are exempt unless sold with the seller's plates or utensils) · https://comptroller.texas.gov/taxes/publications/94-117.php</t>
      </text>
    </comment>
  </commentList>
</comments>
</file>

<file path=xl/comments/comment2.xml><?xml version="1.0" encoding="utf-8"?>
<comments xmlns="http://schemas.openxmlformats.org/spreadsheetml/2006/main">
  <authors>
    <author>AI Chef Pro</author>
  </authors>
  <commentList>
    <comment ref="O11" authorId="0" shapeId="0">
      <text>
        <t>Verified October 2026 · FDA Food Code 2022, §3-501.14 (cooling) and §4-205.10 (food equipment certified to NSF/ANSI standards) · https://www.fda.gov/media/164194/download</t>
      </text>
    </comment>
    <comment ref="O17" authorId="0" shapeId="0">
      <text>
        <t>Verified October 2026 · International Mechanical Code §506, as adopted in Minnesota Rule 1346.0506 (Type I grease ducts follow NFPA 96) · https://www.revisor.mn.gov/rules/1346.0506/</t>
      </text>
    </comment>
    <comment ref="O25" authorId="0" shapeId="0">
      <text>
        <t>Verified October 2026 · Florida DOR, TIP 10A01-22 (with seating, items to go must be packaged and rung up separately) · https://floridarevenue.com/taxes/tips/documents/TIP_10A01-22.pdf · California CDTFA, Regulation 1603 · https://cdtfa.ca.gov/lawguides/vol1/sutr/1603.html</t>
      </text>
    </comment>
    <comment ref="O32" authorId="0" shapeId="0">
      <text>
        <t>Verified October 2026 · FDA Food Code 2022, §8-201.11 and Part 8-3 (plan review, pre-opening inspection and permit) · https://www.fda.gov/media/164194/download · City of Austin food permit fee schedule FY 2025-26 · https://www.dshs.texas.gov/sites/default/files/foodestablishments/pdf/Local%20Ordinance%20Registry/final-city-of-austin-adopted-fy25-26-food-permit-fee-schedule.pdf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Startup Cost Calculator (CAPEX)</t>
        </is>
      </c>
    </row>
    <row r="2">
      <c r="A2" t="inlineStr">
        <is>
          <t>AI Chef Pro · aichef.pro — How to Open a Pastry Shop</t>
        </is>
      </c>
    </row>
    <row r="3">
      <c r="A3" s="2" t="inlineStr">
        <is>
          <t>What it's for: knowing how much money you really need to open, and whether taking over a bakery beats building new.</t>
        </is>
      </c>
    </row>
    <row r="4"/>
    <row r="5">
      <c r="A5" s="3" t="inlineStr">
        <is>
          <t>How to use it</t>
        </is>
      </c>
    </row>
    <row r="6" ht="62" customHeight="1">
      <c r="A6" s="4" t="inlineStr">
        <is>
          <t>1. "Settings" sheet: the square footage of the space, the three build-out prices per square foot, the scenario you choose, the months of cushion and the tax rates. Everything the workbook calculates comes from here.</t>
        </is>
      </c>
    </row>
    <row r="7" ht="62" customHeight="1">
      <c r="A7" s="4" t="inlineStr">
        <is>
          <t>2. "Startup Costs by Block" sheet: one row per line item. Enter the lowest and highest quote you've been given and the amount you're working with, say whether THAT amount already includes tax and at what rate, and mark "No" on whatever you're not going to buy. The sheet brings every line to a pre-tax basis before adding up, which is the only way the total means anything.</t>
        </is>
      </c>
    </row>
    <row r="8" ht="62" customHeight="1">
      <c r="A8" s="4" t="inlineStr">
        <is>
          <t>3. "Format Variant" sheet: your pastry shop may not be the one in the example. Ten formats with an editable coefficient per block on the central case and, next to them, the published third-party range where there is one, so you can see whether your math and theirs look alike.</t>
        </is>
      </c>
    </row>
    <row r="9" ht="62" customHeight="1">
      <c r="A9" s="4" t="inlineStr">
        <is>
          <t>4. "Takeover vs New Build" sheet: a takeover's asking price isn't what the takeover costs. Enter the rent for both options, the months you'll be closed in each and the years of the lease, and compare the full cost. Below, the case's takeover plus fourteen rows for the listings in your area.</t>
        </is>
      </c>
    </row>
    <row r="10" ht="62" customHeight="1">
      <c r="A10" s="4" t="inlineStr">
        <is>
          <t>5. "VAT-GST &amp; Cash" sheet: the tax you pay on your startup purchases and how much cash you need the day you open. In the US, sales tax on equipment and build-out is a cost that never comes back; the rows on when the tax comes back are for VAT or GST (UK, Canada, Australia).</t>
        </is>
      </c>
    </row>
    <row r="11" ht="62" customHeight="1">
      <c r="A11" s="4" t="inlineStr">
        <is>
          <t>6. "Summary" sheet: the figures to take to the lender, all calculated from the previous sheets.</t>
        </is>
      </c>
    </row>
    <row r="12"/>
    <row r="13">
      <c r="A13" s="5" t="inlineStr">
        <is>
          <t>Green cells = editable fields</t>
        </is>
      </c>
    </row>
    <row r="14"/>
    <row r="15">
      <c r="A15" s="3" t="inlineStr">
        <is>
          <t>Things to know before you start</t>
        </is>
      </c>
    </row>
    <row r="16" ht="68" customHeight="1">
      <c r="A16" s="4" t="inlineStr">
        <is>
          <t>THE "PRICE INCLUDES SALES TAX?" COLUMN IS WHAT MAKES THE TOTAL WORK. US dealers list prices before sales tax and the tax only shows up on the invoice; some quotes include it and some spec sheets don't say. Adding up the two kinds of price throws the investment off, and nobody notices because the total looks "reasonable". Here each line declares its basis and the sheet brings them all to pre-tax before adding up; your sales tax rate goes in "Settings", and in the US it's a cost.</t>
        </is>
      </c>
    </row>
    <row r="17" ht="68" customHeight="1">
      <c r="A17" s="4" t="inlineStr">
        <is>
          <t>WHAT HAS NO PUBLISHED PRICE IS MARKED "ASSUMPTION". The retarder-proofer, cold storage, fixtures, POS, packaging, security deposit and working capital aren't sold from a catalog: they're quoted. The cell comes with a default value so the workbook works from the first minute, and the "Published range" column tells you whether there's any reference range and where it comes from. Get three quotes and replace it.</t>
        </is>
      </c>
    </row>
    <row r="18" ht="68" customHeight="1">
      <c r="A18" s="4" t="inlineStr">
        <is>
          <t>A TAKEOVER'S ASKING PRICE ISN'T WHAT A TAKEOVER COSTS. The listings you collect are ASKING prices, not prices paid, and none of them comes with its P&amp;L. They're for seeing the range and negotiating, never for valuing a business.</t>
        </is>
      </c>
    </row>
    <row r="19" ht="68" customHeight="1">
      <c r="A19" s="4" t="inlineStr">
        <is>
          <t>WORKING CAPITAL IS PART OF THE INVESTMENT. Four months of fixed costs in the bank the day you open isn't caution: it's the difference between riding out the ramp-up and closing in month eight with a business that works. It goes inside startup costs, and that's why this workbook's total is higher than any build-out and equipment quote.</t>
        </is>
      </c>
    </row>
    <row r="20" ht="68" customHeight="1">
      <c r="A20" s="4" t="inlineStr">
        <is>
          <t>THE SECURITY DEPOSIT ISN'T AN EXPENSE, AND PACKAGING ISN'T AN INVESTMENT EITHER. The first is money you get back; the second is inventory. You need both the day you sign, so they're in startup costs, but they're left out of the comparison with published build-out and equipment figures: otherwise you'd be comparing two different things.</t>
        </is>
      </c>
    </row>
    <row r="21"/>
    <row r="22">
      <c r="A22" s="3" t="inlineStr">
        <is>
          <t>Where this workbook ends and another one picks up</t>
        </is>
      </c>
    </row>
    <row r="23" ht="26" customHeight="1">
      <c r="A23" s="6" t="inlineStr">
        <is>
          <t>What you need</t>
        </is>
      </c>
      <c r="B23" s="6" t="inlineStr">
        <is>
          <t>Where it is</t>
        </is>
      </c>
      <c r="C23" s="6" t="inlineStr">
        <is>
          <t>Why it isn't here</t>
        </is>
      </c>
    </row>
    <row r="24" ht="56" customHeight="1">
      <c r="A24" s="4" t="inlineStr">
        <is>
          <t>Who you buy each machine from, at what negotiated price and with what lead time</t>
        </is>
      </c>
      <c r="B24" s="4" t="inlineStr">
        <is>
          <t>equipment-and-suppliers-checklist.xlsx</t>
        </is>
      </c>
      <c r="C24" s="4" t="inlineStr">
        <is>
          <t>Here a machine only comes in as an amount. The lead time doesn't change startup costs; it changes the opening date, and that's permits-and-licenses-checklist.xlsx.</t>
        </is>
      </c>
    </row>
    <row r="25" ht="56" customHeight="1">
      <c r="A25" s="4" t="inlineStr">
        <is>
          <t>The 3-year P&amp;L, the month-by-month cash flow and the loan schedule</t>
        </is>
      </c>
      <c r="B25" s="4" t="inlineStr">
        <is>
          <t>3-year-financial-plan.xlsx</t>
        </is>
      </c>
      <c r="C25" s="4" t="inlineStr">
        <is>
          <t>That workbook gives you the real monthly fixed cost. Here it comes in as a setting with a default value, only to calculate working capital.</t>
        </is>
      </c>
    </row>
    <row r="26" ht="56" customHeight="1">
      <c r="A26" s="4" t="inlineStr">
        <is>
          <t>Whether that space works and how many pieces a day the equipment can handle</t>
        </is>
      </c>
      <c r="B26" s="4" t="inlineStr">
        <is>
          <t>kitchen-capacity-and-site.xlsx</t>
        </is>
      </c>
      <c r="C26" s="4" t="inlineStr">
        <is>
          <t>Buying well starts with knowing what you need, not what it costs. Both workbooks share the same 969 sq ft.</t>
        </is>
      </c>
    </row>
    <row r="27" ht="56" customHeight="1">
      <c r="A27" s="4" t="inlineStr">
        <is>
          <t>Which permits you need, in what order and when you open</t>
        </is>
      </c>
      <c r="B27" s="4" t="inlineStr">
        <is>
          <t>permits-and-licenses-checklist.xlsx</t>
        </is>
      </c>
      <c r="C27" s="4" t="inlineStr">
        <is>
          <t>The fees and the plans are here as amounts; the procedure and the timeline, there.</t>
        </is>
      </c>
    </row>
    <row r="28" ht="56" customHeight="1">
      <c r="A28" s="7" t="inlineStr">
        <is>
          <t>It's a declared COPY, not a link: in the whole guide there isn't a single formula pointing to another file. Where a green cell would bring in data from another workbook, it comes with its own default value, declared as an assumption, and its note tells you what replaces it.</t>
        </is>
      </c>
    </row>
    <row r="29"/>
    <row r="30">
      <c r="A30" s="3" t="inlineStr">
        <is>
          <t>How often to use this workbook</t>
        </is>
      </c>
    </row>
    <row r="31" ht="44" customHeight="1">
      <c r="A31" s="4" t="inlineStr">
        <is>
          <t>How often: you fill it in ONCE when you prepare the plan and review it every time a new quote comes in, until you sign. After opening you only come back to it to compare what you budgeted with what you really spent, which is what teaches you to budget the next one.</t>
        </is>
      </c>
    </row>
    <row r="32"/>
    <row r="33">
      <c r="A33" s="4" t="inlineStr">
        <is>
          <t>To edit the structure or a cell that isn't green: Review &gt; Unprotect Sheet (no password).</t>
        </is>
      </c>
    </row>
    <row r="34"/>
    <row r="35">
      <c r="A35" s="4" t="inlineStr">
        <is>
          <t>Designed by John Guerrero — chef and restaurant consultant since 2010, in the kitchen since age 17.</t>
        </is>
      </c>
    </row>
    <row r="36">
      <c r="A36" s="4"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6:C6"/>
    <mergeCell ref="A10:C10"/>
    <mergeCell ref="A28:C28"/>
    <mergeCell ref="A16:C16"/>
    <mergeCell ref="A35:C35"/>
    <mergeCell ref="A9:C9"/>
    <mergeCell ref="A7:C7"/>
    <mergeCell ref="A18:C18"/>
    <mergeCell ref="A19:C19"/>
    <mergeCell ref="A31:C31"/>
    <mergeCell ref="A36:C36"/>
    <mergeCell ref="A8:C8"/>
    <mergeCell ref="A11:C11"/>
    <mergeCell ref="A33:C33"/>
    <mergeCell ref="A20:C20"/>
    <mergeCell ref="A17:C17"/>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selection activeCell="A1" sqref="A1"/>
    </sheetView>
  </sheetViews>
  <sheetFormatPr baseColWidth="8" defaultRowHeight="15"/>
  <cols>
    <col width="46" customWidth="1" min="1" max="1"/>
    <col width="16" customWidth="1" min="2" max="2"/>
    <col width="18" customWidth="1" min="3" max="3"/>
    <col width="20" customWidth="1" min="4" max="4"/>
    <col width="80" customWidth="1" min="5" max="5"/>
  </cols>
  <sheetData>
    <row r="1" ht="28" customHeight="1">
      <c r="A1" s="1" t="inlineStr">
        <is>
          <t>Settings</t>
        </is>
      </c>
    </row>
    <row r="2">
      <c r="A2" t="inlineStr">
        <is>
          <t>AI Chef Pro · aichef.pro — How to Open a Pastry Shop</t>
        </is>
      </c>
    </row>
    <row r="3" ht="26" customHeight="1">
      <c r="A3" s="7" t="inlineStr">
        <is>
          <t>Change the build-out scenario and the whole workbook recalculates.</t>
        </is>
      </c>
    </row>
    <row r="4"/>
    <row r="5" ht="30" customHeight="1">
      <c r="A5" s="6" t="inlineStr">
        <is>
          <t>Setting</t>
        </is>
      </c>
      <c r="B5" s="6" t="inlineStr">
        <is>
          <t>Value</t>
        </is>
      </c>
      <c r="C5" s="6" t="inlineStr">
        <is>
          <t>Unit</t>
        </is>
      </c>
      <c r="D5" s="6" t="inlineStr">
        <is>
          <t>Source</t>
        </is>
      </c>
      <c r="E5" s="6" t="inlineStr">
        <is>
          <t>What it is and where it comes from</t>
        </is>
      </c>
    </row>
    <row r="6" ht="46" customHeight="1">
      <c r="A6" s="4" t="inlineStr">
        <is>
          <t>Total floor area of the space</t>
        </is>
      </c>
      <c r="B6" s="8" t="n">
        <v>968.751937503875</v>
      </c>
      <c r="C6" t="inlineStr">
        <is>
          <t>Square feet</t>
        </is>
      </c>
      <c r="D6" t="inlineStr">
        <is>
          <t>Modeled case</t>
        </is>
      </c>
      <c r="E6" s="4" t="inlineStr">
        <is>
          <t>The same 969 sq ft as kitchen-capacity-and-site.xlsx. It's the floor area the three build-out scenarios are built on: at 1,184 sq ft the middle scenario would climb to about $99,000 and the whole comparison would change.</t>
        </is>
      </c>
    </row>
    <row r="7" ht="46" customHeight="1">
      <c r="A7" s="4" t="inlineStr">
        <is>
          <t>Build-out, low scenario</t>
        </is>
      </c>
      <c r="B7" s="9" t="n">
        <v>55.741824</v>
      </c>
      <c r="C7" t="inlineStr">
        <is>
          <t>$ per sq ft</t>
        </is>
      </c>
      <c r="D7" t="inlineStr">
        <is>
          <t>Case assumption</t>
        </is>
      </c>
      <c r="E7" s="4" t="inlineStr">
        <is>
          <t>A space that already comes with systems you can use (an existing hood and duct, enough electrical service, a sound slab and drains) and only needs adapting and finishing.</t>
        </is>
      </c>
    </row>
    <row r="8" ht="46" customHeight="1">
      <c r="A8" s="4" t="inlineStr">
        <is>
          <t>Build-out, middle scenario</t>
        </is>
      </c>
      <c r="B8" s="9" t="n">
        <v>83.61273600000001</v>
      </c>
      <c r="C8" t="inlineStr">
        <is>
          <t>$ per sq ft</t>
        </is>
      </c>
      <c r="D8" t="inlineStr">
        <is>
          <t>Case assumption</t>
        </is>
      </c>
      <c r="E8" s="4" t="inlineStr">
        <is>
          <t>A street-level space that has been empty for a while or comes from another use: neither fully equipped nor completely raw. It's the reference scenario.</t>
        </is>
      </c>
    </row>
    <row r="9" ht="46" customHeight="1">
      <c r="A9" s="4" t="inlineStr">
        <is>
          <t>Build-out, high scenario</t>
        </is>
      </c>
      <c r="B9" s="9" t="n">
        <v>111.483648</v>
      </c>
      <c r="C9" t="inlineStr">
        <is>
          <t>$ per sq ft</t>
        </is>
      </c>
      <c r="D9" t="inlineStr">
        <is>
          <t>Case assumption</t>
        </is>
      </c>
      <c r="E9" s="4" t="inlineStr">
        <is>
          <t>Demolition, a new slab and drains, electrical and plumbing run from scratch, and the whole exhaust system built from the ground up.</t>
        </is>
      </c>
    </row>
    <row r="10" ht="46" customHeight="1">
      <c r="A10" s="4" t="inlineStr">
        <is>
          <t>Build-out scenario chosen</t>
        </is>
      </c>
      <c r="B10" s="5" t="inlineStr">
        <is>
          <t>Middle</t>
        </is>
      </c>
      <c r="C10" t="inlineStr">
        <is>
          <t>Low, Middle or High</t>
        </is>
      </c>
      <c r="D10" t="inlineStr">
        <is>
          <t>Assumption</t>
        </is>
      </c>
      <c r="E10" s="4" t="inlineStr">
        <is>
          <t>Change it and the build-out, startup costs, the takeover comparison and the tax paid all recalculate.</t>
        </is>
      </c>
    </row>
    <row r="11" ht="46" customHeight="1">
      <c r="A11" s="4" t="inlineStr">
        <is>
          <t>Price per sq ft applied</t>
        </is>
      </c>
      <c r="B11" s="10">
        <f>IF(B10="","",IF(B10="Low",B7,IF(B10="High",B9,IF(B10="Middle",B8,""))))</f>
        <v>83.61273600000001</v>
      </c>
      <c r="C11" t="inlineStr">
        <is>
          <t>$ per sq ft</t>
        </is>
      </c>
      <c r="D11" t="inlineStr">
        <is>
          <t>Calculated</t>
        </is>
      </c>
      <c r="E11" s="4" t="inlineStr">
        <is>
          <t>The one for the scenario you chose above.</t>
        </is>
      </c>
    </row>
    <row r="12" ht="46" customHeight="1">
      <c r="A12" s="4" t="inlineStr">
        <is>
          <t>Build-out, calculated</t>
        </is>
      </c>
      <c r="B12" s="10">
        <f>IFERROR(B6*B11,"")</f>
        <v>81000.00000000001</v>
      </c>
      <c r="C12" t="inlineStr">
        <is>
          <t>$</t>
        </is>
      </c>
      <c r="D12" t="inlineStr">
        <is>
          <t>Calculated</t>
        </is>
      </c>
      <c r="E12" s="4" t="inlineStr">
        <is>
          <t>Square feet × price per sq ft. It's the only startup cost line that isn't typed: it comes from the scenario.</t>
        </is>
      </c>
    </row>
    <row r="13" ht="46" customHeight="1">
      <c r="A13" s="4" t="inlineStr">
        <is>
          <t>Sales tax rate on purchases</t>
        </is>
      </c>
      <c r="B13" s="11" t="n">
        <v>0</v>
      </c>
      <c r="C13" t="inlineStr">
        <is>
          <t>%</t>
        </is>
      </c>
      <c r="D13" t="inlineStr">
        <is>
          <t>Your state + local rate</t>
        </is>
      </c>
      <c r="E13" s="4" t="inlineStr">
        <is>
          <t>0% by default. Type your combined state and local rate (e.g. 8.25%, the Texas maximum combined rate: 6.25% state plus up to 2% local) and the tax columns of "Startup Costs by Block" fill in. It's the default rate for each line's tax column (build-out, equipment, fixtures, plans, professional fees, packaging and marketing), but each line can carry its own. In the US it's a cost: it never comes back. With VAT or GST, type your standard rate.</t>
        </is>
      </c>
    </row>
    <row r="14" ht="46" customHeight="1">
      <c r="A14" s="4" t="inlineStr">
        <is>
          <t>Tax rate on what you'll sell (VAT/GST countries; 0% in the US)</t>
        </is>
      </c>
      <c r="B14" s="11" t="n">
        <v>0</v>
      </c>
      <c r="C14" t="inlineStr">
        <is>
          <t>%</t>
        </is>
      </c>
      <c r="D14" t="inlineStr">
        <is>
          <t>VAT/GST only</t>
        </is>
      </c>
      <c r="E14" s="4" t="inlineStr">
        <is>
          <t>Not part of startup costs. It's here for readers in the UK, Canada or Australia, where the VAT or GST you charge on sales is what the tax you pay now gets offset against. In the US leave it at 0%: bakery items sold to go are generally exempt, sales tax follows how you sell rather than what you sell (chapter 19 of the guide), and it's never netted against what you paid on equipment.</t>
        </is>
      </c>
    </row>
    <row r="15" ht="46" customHeight="1">
      <c r="A15" s="4" t="inlineStr">
        <is>
          <t>Tax rate on permit and plan-review fees</t>
        </is>
      </c>
      <c r="B15" s="11" t="n">
        <v>0</v>
      </c>
      <c r="C15" t="inlineStr">
        <is>
          <t>%</t>
        </is>
      </c>
      <c r="D15" t="inlineStr">
        <is>
          <t>Assumption</t>
        </is>
      </c>
      <c r="E15" s="4" t="inlineStr">
        <is>
          <t>City and county permit fees and the health department's plan review and permit application carry no sales tax. It's a setting so the startup costs sheet doesn't need a hidden exception.</t>
        </is>
      </c>
    </row>
    <row r="16" ht="46" customHeight="1">
      <c r="A16" s="4" t="inlineStr">
        <is>
          <t>Months of cash cushion</t>
        </is>
      </c>
      <c r="B16" s="12" t="n">
        <v>4</v>
      </c>
      <c r="C16" t="inlineStr">
        <is>
          <t>months</t>
        </is>
      </c>
      <c r="D16" t="inlineStr">
        <is>
          <t>Assumption</t>
        </is>
      </c>
      <c r="E16" s="4" t="inlineStr">
        <is>
          <t>Months of fixed costs you need in the bank the day you open. It's a startup cost line, not a tip: without it, the business depends on selling from day one, which is exactly what doesn't happen.</t>
        </is>
      </c>
    </row>
    <row r="17" ht="46" customHeight="1">
      <c r="A17" s="4" t="inlineStr">
        <is>
          <t>Minimum acceptable cushion before the warning (months)</t>
        </is>
      </c>
      <c r="B17" s="12" t="n">
        <v>3</v>
      </c>
      <c r="C17" t="inlineStr">
        <is>
          <t>months</t>
        </is>
      </c>
      <c r="D17" t="inlineStr">
        <is>
          <t>Assumption</t>
        </is>
      </c>
      <c r="E17" s="4" t="inlineStr">
        <is>
          <t>The threshold for the cash verdict further down. If your lender asks for more, raise it here; don't confuse it with the months you actually fund above.</t>
        </is>
      </c>
    </row>
    <row r="18" ht="46" customHeight="1">
      <c r="A18" s="4" t="inlineStr">
        <is>
          <t>Estimated monthly fixed costs</t>
        </is>
      </c>
      <c r="B18" s="9" t="n">
        <v>15528.82</v>
      </c>
      <c r="C18" t="inlineStr">
        <is>
          <t>$/month</t>
        </is>
      </c>
      <c r="D18" t="inlineStr">
        <is>
          <t>Assumption</t>
        </is>
      </c>
      <c r="E18" s="4" t="inlineStr">
        <is>
          <t>Staff (with payroll taxes, workers' comp and benefits), the owner's pay, rent, utilities, insurance, accounting, depreciation and interest IN THE STEADY-STATE YEAR (year 2, after the interest-only months). It's the same monthly fixed cost that 3-year-financial-plan.xlsx calculates, so the two workbooks show the same working capital and the same total investment. If you change this value, change it there too.</t>
        </is>
      </c>
    </row>
    <row r="19" ht="46" customHeight="1">
      <c r="A19" s="4" t="inlineStr">
        <is>
          <t>Working capital, calculated</t>
        </is>
      </c>
      <c r="B19" s="10">
        <f>IFERROR(B16*B18,"")</f>
        <v>62115.28</v>
      </c>
      <c r="C19" t="inlineStr">
        <is>
          <t>$</t>
        </is>
      </c>
      <c r="D19" t="inlineStr">
        <is>
          <t>Calculated</t>
        </is>
      </c>
      <c r="E19" s="4" t="inlineStr">
        <is>
          <t>Months of cushion × monthly fixed costs.</t>
        </is>
      </c>
    </row>
    <row r="20" ht="46" customHeight="1">
      <c r="A20" s="4" t="inlineStr">
        <is>
          <t>Monthly rent</t>
        </is>
      </c>
      <c r="B20" s="9" t="n">
        <v>1200</v>
      </c>
      <c r="C20" t="inlineStr">
        <is>
          <t>$/month</t>
        </is>
      </c>
      <c r="D20" t="inlineStr">
        <is>
          <t>Assumption</t>
        </is>
      </c>
      <c r="E20" s="4" t="inlineStr">
        <is>
          <t>Assumption for a mid-size city: $1,200 a month on 969 sq ft is about $15 per sq ft a year, below the national average asking rent for retail space (CBRE: $24.79 per sq ft a year, Q2 2026). Put in your own, plus NNN charges if your lease has them.</t>
        </is>
      </c>
    </row>
    <row r="21" ht="46" customHeight="1">
      <c r="A21" s="4" t="inlineStr">
        <is>
          <t>Months of security deposit</t>
        </is>
      </c>
      <c r="B21" s="12" t="n">
        <v>2</v>
      </c>
      <c r="C21" t="inlineStr">
        <is>
          <t>months</t>
        </is>
      </c>
      <c r="D21" t="inlineStr">
        <is>
          <t>Assumption</t>
        </is>
      </c>
      <c r="E21" s="4" t="inlineStr">
        <is>
          <t>The security deposit isn't an expense: it's money you get back. It goes into startup costs because you need it the day you sign.</t>
        </is>
      </c>
    </row>
    <row r="22" ht="46" customHeight="1">
      <c r="A22" s="4" t="inlineStr">
        <is>
          <t>Comparison horizon</t>
        </is>
      </c>
      <c r="B22" s="12" t="n">
        <v>5</v>
      </c>
      <c r="C22" t="inlineStr">
        <is>
          <t>years</t>
        </is>
      </c>
      <c r="D22" t="inlineStr">
        <is>
          <t>Assumption</t>
        </is>
      </c>
      <c r="E22" s="4" t="inlineStr">
        <is>
          <t>Years over which the takeover is compared with the new build. Five is a common lease term; put in yours.</t>
        </is>
      </c>
    </row>
    <row r="23" ht="46" customHeight="1">
      <c r="A23" s="4" t="inlineStr">
        <is>
          <t>How often you file your VAT/GST return (UK, Canada, Australia)</t>
        </is>
      </c>
      <c r="B23" s="12" t="n">
        <v>3</v>
      </c>
      <c r="C23" t="inlineStr">
        <is>
          <t>months</t>
        </is>
      </c>
      <c r="D23" t="inlineStr">
        <is>
          <t>Assumption</t>
        </is>
      </c>
      <c r="E23" s="4" t="inlineStr">
        <is>
          <t>Only for VAT/GST. Quarterly is a common filing period for a new business; filing monthly gets the tax on the investment back sooner. Your tax agency sets yours when it registers you. In the US nothing comes back: this row doesn't apply.</t>
        </is>
      </c>
    </row>
    <row r="24" ht="46" customHeight="1">
      <c r="A24" s="4" t="inlineStr">
        <is>
          <t>Months until you recover the VAT/GST on the investment</t>
        </is>
      </c>
      <c r="B24" s="12" t="n">
        <v>4</v>
      </c>
      <c r="C24" t="inlineStr">
        <is>
          <t>months</t>
        </is>
      </c>
      <c r="D24" t="inlineStr">
        <is>
          <t>Assumption</t>
        </is>
      </c>
      <c r="E24" s="4" t="inlineStr">
        <is>
          <t>Only for VAT/GST: the period you buy in plus the time to file. And note: usually it isn't refunded, it's offset against the VAT or GST you charge, so it comes back at the pace you sell. Ask your accountant. In the US, sales tax on what you buy never comes back.</t>
        </is>
      </c>
    </row>
    <row r="25" ht="46" customHeight="1">
      <c r="A25" s="4" t="inlineStr">
        <is>
          <t>Bank financing available</t>
        </is>
      </c>
      <c r="B25" s="9" t="n">
        <v>60000</v>
      </c>
      <c r="C25" t="inlineStr">
        <is>
          <t>$</t>
        </is>
      </c>
      <c r="D25" t="inlineStr">
        <is>
          <t>Assumption</t>
        </is>
      </c>
      <c r="E25" s="4" t="inlineStr">
        <is>
          <t>All assumption: your lender sets the terms, and they depend on your credit and collateral. The six interest-only months keep the loan from eating your cash during the ramp-up, and they're the first thing to negotiate. During that period you only pay interest.</t>
        </is>
      </c>
    </row>
    <row r="26"/>
    <row r="27">
      <c r="A27" s="3" t="inlineStr">
        <is>
          <t>Validation lists (don't delete them: the dropdowns use them)</t>
        </is>
      </c>
    </row>
    <row r="28">
      <c r="A28" s="13" t="inlineStr">
        <is>
          <t>Build-out scenario</t>
        </is>
      </c>
    </row>
    <row r="29">
      <c r="A29" t="inlineStr">
        <is>
          <t>Low</t>
        </is>
      </c>
    </row>
    <row r="30">
      <c r="A30" t="inlineStr">
        <is>
          <t>Middle</t>
        </is>
      </c>
    </row>
    <row r="31">
      <c r="A31" t="inlineStr">
        <is>
          <t>High</t>
        </is>
      </c>
    </row>
    <row r="32"/>
    <row r="33" ht="44" customHeight="1">
      <c r="A33" s="7" t="inlineStr">
        <is>
          <t>The three per-square-foot prices are the case's assumptions for a 969-sq-ft space, so they match this floor area without adjustments. If you change the square footage, the build-out changes but the price per sq ft does NOT: ask for it again, because a small space costs more per square foot than a large one.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3:E33"/>
  </mergeCells>
  <dataValidations count="1">
    <dataValidation sqref="B10" showDropDown="0" showInputMessage="0" showErrorMessage="1" allowBlank="0" errorTitle="Build-out scenario" error="Choose &quot;Low&quot;, &quot;Middle&quot; or &quot;High&quot;." type="list">
      <formula1>=$A$29:$A$31</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61"/>
  <sheetViews>
    <sheetView workbookViewId="0">
      <selection activeCell="A1" sqref="A1"/>
    </sheetView>
  </sheetViews>
  <sheetFormatPr baseColWidth="8" defaultRowHeight="15"/>
  <cols>
    <col width="5" customWidth="1" min="1" max="1"/>
    <col width="27" customWidth="1" min="2" max="2"/>
    <col width="46" customWidth="1" min="3" max="3"/>
    <col width="12" customWidth="1" min="4" max="4"/>
    <col width="16" customWidth="1" min="5" max="5"/>
    <col width="13" customWidth="1" min="6" max="6"/>
    <col width="11" customWidth="1" min="7" max="7"/>
    <col width="14" customWidth="1" min="8" max="8"/>
    <col width="14" customWidth="1" min="9" max="9"/>
    <col width="14" customWidth="1" min="10" max="10"/>
    <col width="14" customWidth="1" min="11" max="11"/>
    <col width="14" customWidth="1" min="12" max="12"/>
    <col width="14" customWidth="1" min="13" max="13"/>
    <col width="34" customWidth="1" min="14" max="14"/>
    <col width="78" customWidth="1" min="15" max="15"/>
  </cols>
  <sheetData>
    <row r="1" ht="28" customHeight="1">
      <c r="A1" s="1" t="inlineStr">
        <is>
          <t>Startup Costs by Block</t>
        </is>
      </c>
    </row>
    <row r="2">
      <c r="A2" t="inlineStr">
        <is>
          <t>AI Chef Pro · aichef.pro — How to Open a Pastry Shop</t>
        </is>
      </c>
    </row>
    <row r="3" ht="26" customHeight="1">
      <c r="A3" s="7" t="inlineStr">
        <is>
          <t>Every line is brought to a pre-tax basis before adding up. Without the tax column, the total comes out wrong.</t>
        </is>
      </c>
    </row>
    <row r="4"/>
    <row r="5" ht="48" customHeight="1">
      <c r="A5" s="6" t="inlineStr">
        <is>
          <t>No.</t>
        </is>
      </c>
      <c r="B5" s="6" t="inlineStr">
        <is>
          <t>Block</t>
        </is>
      </c>
      <c r="C5" s="6" t="inlineStr">
        <is>
          <t>Line item</t>
        </is>
      </c>
      <c r="D5" s="6" t="inlineStr">
        <is>
          <t>Buying it?</t>
        </is>
      </c>
      <c r="E5" s="6" t="inlineStr">
        <is>
          <t>Source</t>
        </is>
      </c>
      <c r="F5" s="6" t="inlineStr">
        <is>
          <t>Price includes sales tax?</t>
        </is>
      </c>
      <c r="G5" s="6" t="inlineStr">
        <is>
          <t>Tax rate</t>
        </is>
      </c>
      <c r="H5" s="6" t="inlineStr">
        <is>
          <t>Minimum</t>
        </is>
      </c>
      <c r="I5" s="6" t="inlineStr">
        <is>
          <t>Maximum</t>
        </is>
      </c>
      <c r="J5" s="6" t="inlineStr">
        <is>
          <t>Your amount</t>
        </is>
      </c>
      <c r="K5" s="6" t="inlineStr">
        <is>
          <t>Pre-tax cost</t>
        </is>
      </c>
      <c r="L5" s="6" t="inlineStr">
        <is>
          <t>Tax paid</t>
        </is>
      </c>
      <c r="M5" s="6" t="inlineStr">
        <is>
          <t>Total with tax</t>
        </is>
      </c>
      <c r="N5" s="6" t="inlineStr">
        <is>
          <t>Published range</t>
        </is>
      </c>
      <c r="O5" s="6" t="inlineStr">
        <is>
          <t>Note</t>
        </is>
      </c>
    </row>
    <row r="6" ht="48" customHeight="1">
      <c r="A6" s="14" t="n">
        <v>1</v>
      </c>
      <c r="B6" s="4" t="inlineStr">
        <is>
          <t>Build-out and building systems</t>
        </is>
      </c>
      <c r="C6" s="4" t="inlineStr">
        <is>
          <t>Build-out for the chosen scenario</t>
        </is>
      </c>
      <c r="D6" s="5" t="inlineStr">
        <is>
          <t>Yes</t>
        </is>
      </c>
      <c r="E6" t="inlineStr">
        <is>
          <t>Build-out scenario</t>
        </is>
      </c>
      <c r="F6" s="5" t="inlineStr">
        <is>
          <t>No</t>
        </is>
      </c>
      <c r="G6" s="15">
        <f>'Settings'!$B$13</f>
        <v>0.0</v>
      </c>
      <c r="H6" s="10">
        <f>'Settings'!B12</f>
        <v>81000.00000000001</v>
      </c>
      <c r="I6" s="10">
        <f>'Settings'!B12</f>
        <v>81000.00000000001</v>
      </c>
      <c r="J6" s="10">
        <f>'Settings'!B12</f>
        <v>81000.00000000001</v>
      </c>
      <c r="K6" s="10">
        <f>IF(D6="No","",IFERROR(IF(F6="Yes",J6/(1+G6),J6),""))</f>
        <v>81000.00000000001</v>
      </c>
      <c r="L6" s="10">
        <f>IF(K6="","",IFERROR(K6*G6,""))</f>
        <v>0.0</v>
      </c>
      <c r="M6" s="10">
        <f>IF(K6="","",IFERROR(K6+L6,""))</f>
        <v>81000.00000000001</v>
      </c>
      <c r="N6" s="4" t="inlineStr">
        <is>
          <t>$55.74, $83.61 or $111.48 per sq ft over 969 sq ft</t>
        </is>
      </c>
      <c r="O6" s="4" t="inlineStr">
        <is>
          <t>Calculated on the "Settings" sheet from the square footage and the scenario. It's the line that overruns most during construction: whatever isn't in the plans gets billed separately. It doesn't include the hood and its duct, the electrical service upgrade or their permits.</t>
        </is>
      </c>
    </row>
    <row r="7" ht="48" customHeight="1">
      <c r="A7" s="14" t="n">
        <v>2</v>
      </c>
      <c r="B7" s="4" t="inlineStr">
        <is>
          <t>Production kitchen equipment</t>
        </is>
      </c>
      <c r="C7" s="4" t="inlineStr">
        <is>
          <t>Convection oven, 6 trays</t>
        </is>
      </c>
      <c r="D7" s="5" t="inlineStr">
        <is>
          <t>Yes</t>
        </is>
      </c>
      <c r="E7" t="inlineStr">
        <is>
          <t>Example price</t>
        </is>
      </c>
      <c r="F7" s="5" t="inlineStr">
        <is>
          <t>No</t>
        </is>
      </c>
      <c r="G7" s="15">
        <f>'Settings'!$B$13</f>
        <v>0.0</v>
      </c>
      <c r="H7" s="9" t="n">
        <v>2772</v>
      </c>
      <c r="I7" s="9" t="n">
        <v>2772</v>
      </c>
      <c r="J7" s="9" t="n">
        <v>2772</v>
      </c>
      <c r="K7" s="10">
        <f>IF(D7="No","",IFERROR(IF(F7="Yes",J7/(1+G7),J7),""))</f>
        <v>2772.0</v>
      </c>
      <c r="L7" s="10">
        <f>IF(K7="","",IFERROR(K7*G7,""))</f>
        <v>0.0</v>
      </c>
      <c r="M7" s="10">
        <f>IF(K7="","",IFERROR(K7+L7,""))</f>
        <v>2772.0</v>
      </c>
      <c r="N7" s="4" t="inlineStr">
        <is>
          <t>Example price (dealer spec sheet)</t>
        </is>
      </c>
      <c r="O7" s="4" t="inlineStr">
        <is>
          <t>Example price, before sales tax. Check the model's voltage and phase against your electrical service before you order.</t>
        </is>
      </c>
    </row>
    <row r="8" ht="48" customHeight="1">
      <c r="A8" s="14" t="n">
        <v>3</v>
      </c>
      <c r="B8" s="4" t="inlineStr">
        <is>
          <t>Production kitchen equipment</t>
        </is>
      </c>
      <c r="C8" s="4" t="inlineStr">
        <is>
          <t>Convection oven, 4 trays</t>
        </is>
      </c>
      <c r="D8" s="5" t="inlineStr">
        <is>
          <t>Yes</t>
        </is>
      </c>
      <c r="E8" t="inlineStr">
        <is>
          <t>Example price</t>
        </is>
      </c>
      <c r="F8" s="5" t="inlineStr">
        <is>
          <t>No</t>
        </is>
      </c>
      <c r="G8" s="15">
        <f>'Settings'!$B$13</f>
        <v>0.0</v>
      </c>
      <c r="H8" s="9" t="n">
        <v>2077.198347107438</v>
      </c>
      <c r="I8" s="9" t="n">
        <v>2077.198347107438</v>
      </c>
      <c r="J8" s="9" t="n">
        <v>2077.198347107438</v>
      </c>
      <c r="K8" s="10">
        <f>IF(D8="No","",IFERROR(IF(F8="Yes",J8/(1+G8),J8),""))</f>
        <v>2077.198347107438</v>
      </c>
      <c r="L8" s="10">
        <f>IF(K8="","",IFERROR(K8*G8,""))</f>
        <v>0.0</v>
      </c>
      <c r="M8" s="10">
        <f>IF(K8="","",IFERROR(K8+L8,""))</f>
        <v>2077.198347107438</v>
      </c>
      <c r="N8" s="4" t="inlineStr">
        <is>
          <t>Example price (dealer spec sheet)</t>
        </is>
      </c>
      <c r="O8" s="4" t="inlineStr">
        <is>
          <t>Second oven: without it you can't bake at two different temperatures at the same time. Example price, before sales tax.</t>
        </is>
      </c>
    </row>
    <row r="9" ht="48" customHeight="1">
      <c r="A9" s="14" t="n">
        <v>4</v>
      </c>
      <c r="B9" s="4" t="inlineStr">
        <is>
          <t>Storefront and display</t>
        </is>
      </c>
      <c r="C9" s="4" t="inlineStr">
        <is>
          <t>Refrigerated bakery display case, curved glass, about 5 ft</t>
        </is>
      </c>
      <c r="D9" s="5" t="inlineStr">
        <is>
          <t>Yes</t>
        </is>
      </c>
      <c r="E9" t="inlineStr">
        <is>
          <t>Example price</t>
        </is>
      </c>
      <c r="F9" s="5" t="inlineStr">
        <is>
          <t>No</t>
        </is>
      </c>
      <c r="G9" s="15">
        <f>'Settings'!$B$13</f>
        <v>0.0</v>
      </c>
      <c r="H9" s="9" t="n">
        <v>2284.1</v>
      </c>
      <c r="I9" s="9" t="n">
        <v>2284.1</v>
      </c>
      <c r="J9" s="9" t="n">
        <v>2284.1</v>
      </c>
      <c r="K9" s="10">
        <f>IF(D9="No","",IFERROR(IF(F9="Yes",J9/(1+G9),J9),""))</f>
        <v>2284.1</v>
      </c>
      <c r="L9" s="10">
        <f>IF(K9="","",IFERROR(K9*G9,""))</f>
        <v>0.0</v>
      </c>
      <c r="M9" s="10">
        <f>IF(K9="","",IFERROR(K9+L9,""))</f>
        <v>2284.1</v>
      </c>
      <c r="N9" s="4" t="inlineStr">
        <is>
          <t>Example price (dealer spec sheet)</t>
        </is>
      </c>
      <c r="O9" s="4" t="inlineStr">
        <is>
          <t>About 5 ft wide (1,505 × 900 × 1,305 mm, 452 L), with about 10 sq ft of display area and R-290 refrigerant. The price carried a 30% promotional discount and is DATED: it can expire. If you reuse it, check it again. A single display case, counted only once.</t>
        </is>
      </c>
    </row>
    <row r="10" ht="48" customHeight="1">
      <c r="A10" s="14" t="n">
        <v>5</v>
      </c>
      <c r="B10" s="4" t="inlineStr">
        <is>
          <t>Storefront and display</t>
        </is>
      </c>
      <c r="C10" s="4" t="inlineStr">
        <is>
          <t>Rear sliding doors for the display case (accessory)</t>
        </is>
      </c>
      <c r="D10" s="5" t="inlineStr">
        <is>
          <t>No</t>
        </is>
      </c>
      <c r="E10" t="inlineStr">
        <is>
          <t>Example price</t>
        </is>
      </c>
      <c r="F10" s="5" t="inlineStr">
        <is>
          <t>No</t>
        </is>
      </c>
      <c r="G10" s="15">
        <f>'Settings'!$B$13</f>
        <v>0.0</v>
      </c>
      <c r="H10" s="9" t="n">
        <v>120.4</v>
      </c>
      <c r="I10" s="9" t="n">
        <v>120.4</v>
      </c>
      <c r="J10" s="9" t="n">
        <v>120.4</v>
      </c>
      <c r="K10" s="10">
        <f>IF(D10="No","",IFERROR(IF(F10="Yes",J10/(1+G10),J10),""))</f>
      </c>
      <c r="L10" s="10">
        <f>IF(K10="","",IFERROR(K10*G10,""))</f>
      </c>
      <c r="M10" s="10">
        <f>IF(K10="","",IFERROR(K10+L10,""))</f>
      </c>
      <c r="N10" s="4" t="inlineStr">
        <is>
          <t>Example price (dealer spec sheet)</t>
        </is>
      </c>
      <c r="O10" s="4" t="inlineStr">
        <is>
          <t>OPTIONAL: it ships with "Buying it?" set to No. An accessory: it stays out of the comparable subtotal.</t>
        </is>
      </c>
    </row>
    <row r="11" ht="48" customHeight="1">
      <c r="A11" s="14" t="n">
        <v>6</v>
      </c>
      <c r="B11" s="4" t="inlineStr">
        <is>
          <t>Production kitchen equipment</t>
        </is>
      </c>
      <c r="C11" s="4" t="inlineStr">
        <is>
          <t>Blast chiller, 4 trays — Irinox MultiFresh line</t>
        </is>
      </c>
      <c r="D11" s="5" t="inlineStr">
        <is>
          <t>Yes</t>
        </is>
      </c>
      <c r="E11" t="inlineStr">
        <is>
          <t>Example price</t>
        </is>
      </c>
      <c r="F11" s="5" t="inlineStr">
        <is>
          <t>No</t>
        </is>
      </c>
      <c r="G11" s="15">
        <f>'Settings'!$B$13</f>
        <v>0.0</v>
      </c>
      <c r="H11" s="9" t="n">
        <v>10037</v>
      </c>
      <c r="I11" s="9" t="n">
        <v>10037</v>
      </c>
      <c r="J11" s="9" t="n">
        <v>10037</v>
      </c>
      <c r="K11" s="10">
        <f>IF(D11="No","",IFERROR(IF(F11="Yes",J11/(1+G11),J11),""))</f>
        <v>10037.0</v>
      </c>
      <c r="L11" s="10">
        <f>IF(K11="","",IFERROR(K11*G11,""))</f>
        <v>0.0</v>
      </c>
      <c r="M11" s="10">
        <f>IF(K11="","",IFERROR(K11+L11,""))</f>
        <v>10037.0</v>
      </c>
      <c r="N11" s="4" t="inlineStr">
        <is>
          <t>Example price (dealer spec sheet)</t>
        </is>
      </c>
      <c r="O11" s="4" t="inlineStr">
        <is>
          <t>The most expensive purchase and the most debated (decision 2 of the bonus). Cycles from +185 °F to −40 °F. A chest freezer is NOT a blast chiller: the Food Code's cooling rule (135 °F to 70 °F within 2 hours, and to 41 °F within 6 hours in total) is what a blast chiller is for. US reference: WebstaurantStore listed $5,499 (Avantco reach-in) to $21,729 (Irinox MultiFresh Next S) in October 2026.</t>
        </is>
      </c>
    </row>
    <row r="12" ht="48" customHeight="1">
      <c r="A12" s="14" t="n">
        <v>7</v>
      </c>
      <c r="B12" s="4" t="inlineStr">
        <is>
          <t>Production kitchen equipment</t>
        </is>
      </c>
      <c r="C12" s="4" t="inlineStr">
        <is>
          <t>Dough sheeter, up to 16 in wide</t>
        </is>
      </c>
      <c r="D12" s="5" t="inlineStr">
        <is>
          <t>Yes</t>
        </is>
      </c>
      <c r="E12" t="inlineStr">
        <is>
          <t>Example price</t>
        </is>
      </c>
      <c r="F12" s="5" t="inlineStr">
        <is>
          <t>No</t>
        </is>
      </c>
      <c r="G12" s="15">
        <f>'Settings'!$B$13</f>
        <v>0.0</v>
      </c>
      <c r="H12" s="9" t="n">
        <v>1215</v>
      </c>
      <c r="I12" s="9" t="n">
        <v>1215</v>
      </c>
      <c r="J12" s="9" t="n">
        <v>1215</v>
      </c>
      <c r="K12" s="10">
        <f>IF(D12="No","",IFERROR(IF(F12="Yes",J12/(1+G12),J12),""))</f>
        <v>1215.0</v>
      </c>
      <c r="L12" s="10">
        <f>IF(K12="","",IFERROR(K12*G12,""))</f>
        <v>0.0</v>
      </c>
      <c r="M12" s="10">
        <f>IF(K12="","",IFERROR(K12+L12,""))</f>
        <v>1215.0</v>
      </c>
      <c r="N12" s="4" t="inlineStr">
        <is>
          <t>Example price (dealer spec sheet)</t>
        </is>
      </c>
      <c r="O12" s="4" t="inlineStr">
        <is>
          <t>Example price, before sales tax, from the dealer's own spec sheet.</t>
        </is>
      </c>
    </row>
    <row r="13" ht="48" customHeight="1">
      <c r="A13" s="14" t="n">
        <v>8</v>
      </c>
      <c r="B13" s="4" t="inlineStr">
        <is>
          <t>Production kitchen equipment</t>
        </is>
      </c>
      <c r="C13" s="4" t="inlineStr">
        <is>
          <t>Planetary mixer, 20 qt</t>
        </is>
      </c>
      <c r="D13" s="5" t="inlineStr">
        <is>
          <t>Yes</t>
        </is>
      </c>
      <c r="E13" t="inlineStr">
        <is>
          <t>Example price</t>
        </is>
      </c>
      <c r="F13" s="5" t="inlineStr">
        <is>
          <t>No</t>
        </is>
      </c>
      <c r="G13" s="15">
        <f>'Settings'!$B$13</f>
        <v>0.0</v>
      </c>
      <c r="H13" s="9" t="n">
        <v>595.04</v>
      </c>
      <c r="I13" s="9" t="n">
        <v>595.04</v>
      </c>
      <c r="J13" s="9" t="n">
        <v>595.04</v>
      </c>
      <c r="K13" s="10">
        <f>IF(D13="No","",IFERROR(IF(F13="Yes",J13/(1+G13),J13),""))</f>
        <v>595.04</v>
      </c>
      <c r="L13" s="10">
        <f>IF(K13="","",IFERROR(K13*G13,""))</f>
        <v>0.0</v>
      </c>
      <c r="M13" s="10">
        <f>IF(K13="","",IFERROR(K13+L13,""))</f>
        <v>595.04</v>
      </c>
      <c r="N13" s="4" t="inlineStr">
        <is>
          <t>Example price (dealer spec sheet)</t>
        </is>
      </c>
      <c r="O13" s="4" t="inlineStr">
        <is>
          <t>The spec sheet does NOT say whether the price includes tax: it's treated as pre-tax and flagged. 900 W, 95-392 rpm, 0-99 min timer. It's exactly the case that makes the column necessary. US reference: WebstaurantStore listed 20-qt planetary mixers from $849 in October 2026.</t>
        </is>
      </c>
    </row>
    <row r="14" ht="48" customHeight="1">
      <c r="A14" s="14" t="n">
        <v>9</v>
      </c>
      <c r="B14" s="4" t="inlineStr">
        <is>
          <t>Production kitchen equipment</t>
        </is>
      </c>
      <c r="C14" s="4" t="inlineStr">
        <is>
          <t>Chocolate tempering machine, 12 kg (26 lb)</t>
        </is>
      </c>
      <c r="D14" s="5" t="inlineStr">
        <is>
          <t>No</t>
        </is>
      </c>
      <c r="E14" t="inlineStr">
        <is>
          <t>Example price</t>
        </is>
      </c>
      <c r="F14" s="5" t="inlineStr">
        <is>
          <t>No</t>
        </is>
      </c>
      <c r="G14" s="15">
        <f>'Settings'!$B$13</f>
        <v>0.0</v>
      </c>
      <c r="H14" s="9" t="n">
        <v>7400</v>
      </c>
      <c r="I14" s="9" t="n">
        <v>7400</v>
      </c>
      <c r="J14" s="9" t="n">
        <v>7400</v>
      </c>
      <c r="K14" s="10">
        <f>IF(D14="No","",IFERROR(IF(F14="Yes",J14/(1+G14),J14),""))</f>
      </c>
      <c r="L14" s="10">
        <f>IF(K14="","",IFERROR(K14*G14,""))</f>
      </c>
      <c r="M14" s="10">
        <f>IF(K14="","",IFERROR(K14+L14,""))</f>
      </c>
      <c r="N14" s="4" t="inlineStr">
        <is>
          <t>Example price (dealer spec sheet)</t>
        </is>
      </c>
      <c r="O14" s="4" t="inlineStr">
        <is>
          <t>OPTIONAL: it ships with "Buying it?" set to No, and it depends on the concept: only if you open a chocolate or bonbon line. That's why it stays OUT of the comparable subtotal: with it in, a single machine was 25% of the subtotal.</t>
        </is>
      </c>
    </row>
    <row r="15" ht="48" customHeight="1">
      <c r="A15" s="14" t="n">
        <v>10</v>
      </c>
      <c r="B15" s="4" t="inlineStr">
        <is>
          <t>Production kitchen equipment</t>
        </is>
      </c>
      <c r="C15" s="4" t="inlineStr">
        <is>
          <t>Modular deck oven, 1 to 5 decks</t>
        </is>
      </c>
      <c r="D15" s="5" t="inlineStr">
        <is>
          <t>No</t>
        </is>
      </c>
      <c r="E15" t="inlineStr">
        <is>
          <t>Assumption</t>
        </is>
      </c>
      <c r="F15" s="5" t="inlineStr">
        <is>
          <t>No</t>
        </is>
      </c>
      <c r="G15" s="15">
        <f>'Settings'!$B$13</f>
        <v>0.0</v>
      </c>
      <c r="H15" s="9" t="n">
        <v>12000</v>
      </c>
      <c r="I15" s="9" t="n">
        <v>12000</v>
      </c>
      <c r="J15" s="9" t="n">
        <v>12000</v>
      </c>
      <c r="K15" s="10">
        <f>IF(D15="No","",IFERROR(IF(F15="Yes",J15/(1+G15),J15),""))</f>
      </c>
      <c r="L15" s="10">
        <f>IF(K15="","",IFERROR(K15*G15,""))</f>
      </c>
      <c r="M15" s="10">
        <f>IF(K15="","",IFERROR(K15+L15,""))</f>
      </c>
      <c r="N15" s="4" t="inlineStr">
        <is>
          <t>No published price: deck ovens are sold by quote</t>
        </is>
      </c>
      <c r="O15" s="4" t="inlineStr">
        <is>
          <t>OPTIONAL: it ships with "Buying it?" set to No. An ASSUMPTION, not a list price: deck ovens are sold through dealers by quote. The default value is an ASSUMPTION so the cell isn't empty: get three quotes. For scale, WebstaurantStore listed electric pizza-style deck ovens at $13,404.50 (one deck) to $32,376.50 (three decks) in October 2026.</t>
        </is>
      </c>
    </row>
    <row r="16" ht="48" customHeight="1">
      <c r="A16" s="14" t="n">
        <v>11</v>
      </c>
      <c r="B16" s="4" t="inlineStr">
        <is>
          <t>Production kitchen equipment</t>
        </is>
      </c>
      <c r="C16" s="4" t="inlineStr">
        <is>
          <t>Retarder-proofer (roll-in)</t>
        </is>
      </c>
      <c r="D16" s="5" t="inlineStr">
        <is>
          <t>Yes</t>
        </is>
      </c>
      <c r="E16" t="inlineStr">
        <is>
          <t>Assumption</t>
        </is>
      </c>
      <c r="F16" s="5" t="inlineStr">
        <is>
          <t>No</t>
        </is>
      </c>
      <c r="G16" s="15">
        <f>'Settings'!$B$13</f>
        <v>0.0</v>
      </c>
      <c r="H16" s="9" t="n">
        <v>8500</v>
      </c>
      <c r="I16" s="9" t="n">
        <v>8500</v>
      </c>
      <c r="J16" s="9" t="n">
        <v>8500</v>
      </c>
      <c r="K16" s="10">
        <f>IF(D16="No","",IFERROR(IF(F16="Yes",J16/(1+G16),J16),""))</f>
        <v>8500.0</v>
      </c>
      <c r="L16" s="10">
        <f>IF(K16="","",IFERROR(K16*G16,""))</f>
        <v>0.0</v>
      </c>
      <c r="M16" s="10">
        <f>IF(K16="","",IFERROR(K16+L16,""))</f>
        <v>8500.0</v>
      </c>
      <c r="N16" s="4" t="inlineStr">
        <is>
          <t>US: $27,937.80 for a one-section roll-in model (WebstaurantStore, Oct 2026)</t>
        </is>
      </c>
      <c r="O16" s="4" t="inlineStr">
        <is>
          <t>An ASSUMPTION, not a list price. It's what lets the viennoiserie be out of the oven by 7:00 without starting at 3. US reference: WebstaurantStore listed a one-section roll-in retarder-proofer (Doyon KDPR11) at $27,937.80 in October 2026, usually shipping in 6 weeks.</t>
        </is>
      </c>
    </row>
    <row r="17" ht="48" customHeight="1">
      <c r="A17" s="14" t="n">
        <v>12</v>
      </c>
      <c r="B17" s="4" t="inlineStr">
        <is>
          <t>Production kitchen equipment</t>
        </is>
      </c>
      <c r="C17" s="4" t="inlineStr">
        <is>
          <t>Stainless steel exhaust duct</t>
        </is>
      </c>
      <c r="D17" s="5" t="inlineStr">
        <is>
          <t>Yes</t>
        </is>
      </c>
      <c r="E17" t="inlineStr">
        <is>
          <t>Assumption</t>
        </is>
      </c>
      <c r="F17" s="5" t="inlineStr">
        <is>
          <t>No</t>
        </is>
      </c>
      <c r="G17" s="15">
        <f>'Settings'!$B$13</f>
        <v>0.0</v>
      </c>
      <c r="H17" s="9" t="n">
        <v>6500</v>
      </c>
      <c r="I17" s="9" t="n">
        <v>6500</v>
      </c>
      <c r="J17" s="9" t="n">
        <v>6500</v>
      </c>
      <c r="K17" s="10">
        <f>IF(D17="No","",IFERROR(IF(F17="Yes",J17/(1+G17),J17),""))</f>
        <v>6500.0</v>
      </c>
      <c r="L17" s="10">
        <f>IF(K17="","",IFERROR(K17*G17,""))</f>
        <v>0.0</v>
      </c>
      <c r="M17" s="10">
        <f>IF(K17="","",IFERROR(K17+L17,""))</f>
        <v>6500.0</v>
      </c>
      <c r="N17" s="4" t="inlineStr">
        <is>
          <t>Published estimate: a hood at $5,000 to $28,000 installed, plus $3,000 to $12,000 for fire suppression</t>
        </is>
      </c>
      <c r="O17" s="4" t="inlineStr">
        <is>
          <t>An ASSUMPTION, not a list price. The line that kills the most spaces, and the one to settle BEFORE you sign (chapter 6 of the guide). A Type I hood's grease duct runs on its own up to the roof and can't share a duct with any other exhaust; your adopted mechanical code and NFPA 96 set the rest.</t>
        </is>
      </c>
    </row>
    <row r="18" ht="48" customHeight="1">
      <c r="A18" s="14" t="n">
        <v>13</v>
      </c>
      <c r="B18" s="4" t="inlineStr">
        <is>
          <t>Production kitchen equipment</t>
        </is>
      </c>
      <c r="C18" s="4" t="inlineStr">
        <is>
          <t>Spiral mixer, 25 kg (55 lb) of dough</t>
        </is>
      </c>
      <c r="D18" s="5" t="inlineStr">
        <is>
          <t>Yes</t>
        </is>
      </c>
      <c r="E18" t="inlineStr">
        <is>
          <t>Assumption</t>
        </is>
      </c>
      <c r="F18" s="5" t="inlineStr">
        <is>
          <t>No</t>
        </is>
      </c>
      <c r="G18" s="15">
        <f>'Settings'!$B$13</f>
        <v>0.0</v>
      </c>
      <c r="H18" s="9" t="n">
        <v>5200</v>
      </c>
      <c r="I18" s="9" t="n">
        <v>5200</v>
      </c>
      <c r="J18" s="9" t="n">
        <v>5200</v>
      </c>
      <c r="K18" s="10">
        <f>IF(D18="No","",IFERROR(IF(F18="Yes",J18/(1+G18),J18),""))</f>
        <v>5200.0</v>
      </c>
      <c r="L18" s="10">
        <f>IF(K18="","",IFERROR(K18*G18,""))</f>
        <v>0.0</v>
      </c>
      <c r="M18" s="10">
        <f>IF(K18="","",IFERROR(K18+L18,""))</f>
        <v>5200.0</v>
      </c>
      <c r="N18" s="4" t="inlineStr">
        <is>
          <t>US: $2,249 for a 60-qt spiral mixer, 88 lb of dough (WebstaurantStore, Oct 2026)</t>
        </is>
      </c>
      <c r="O18" s="4" t="inlineStr">
        <is>
          <t>An ASSUMPTION, not a list price. US dealers list spiral mixers by bowl size and dough capacity: check both, and the voltage, against what you'll really mix in a day.</t>
        </is>
      </c>
    </row>
    <row r="19" ht="48" customHeight="1">
      <c r="A19" s="14" t="n">
        <v>14</v>
      </c>
      <c r="B19" s="4" t="inlineStr">
        <is>
          <t>Production kitchen equipment</t>
        </is>
      </c>
      <c r="C19" s="4" t="inlineStr">
        <is>
          <t>Modular walk-in cooler (8 m³, about 283 cu ft)</t>
        </is>
      </c>
      <c r="D19" s="5" t="inlineStr">
        <is>
          <t>Yes</t>
        </is>
      </c>
      <c r="E19" t="inlineStr">
        <is>
          <t>Assumption</t>
        </is>
      </c>
      <c r="F19" s="5" t="inlineStr">
        <is>
          <t>No</t>
        </is>
      </c>
      <c r="G19" s="15">
        <f>'Settings'!$B$13</f>
        <v>0.0</v>
      </c>
      <c r="H19" s="9" t="n">
        <v>4800</v>
      </c>
      <c r="I19" s="9" t="n">
        <v>4800</v>
      </c>
      <c r="J19" s="9" t="n">
        <v>4800</v>
      </c>
      <c r="K19" s="10">
        <f>IF(D19="No","",IFERROR(IF(F19="Yes",J19/(1+G19),J19),""))</f>
        <v>4800.0</v>
      </c>
      <c r="L19" s="10">
        <f>IF(K19="","",IFERROR(K19*G19,""))</f>
        <v>0.0</v>
      </c>
      <c r="M19" s="10">
        <f>IF(K19="","",IFERROR(K19+L19,""))</f>
        <v>4800.0</v>
      </c>
      <c r="N19" s="4" t="inlineStr">
        <is>
          <t>US: about $10,000 to $17,000 for an 8 × 10 ft walk-in cooler (WebstaurantStore, Oct 2026)</t>
        </is>
      </c>
      <c r="O19" s="4" t="inlineStr">
        <is>
          <t>An ASSUMPTION, not a list price. It's what holds TCS product at 41 °F or below (Food Code 3-501.16).</t>
        </is>
      </c>
    </row>
    <row r="20" ht="48" customHeight="1">
      <c r="A20" s="14" t="n">
        <v>15</v>
      </c>
      <c r="B20" s="4" t="inlineStr">
        <is>
          <t>Production kitchen equipment</t>
        </is>
      </c>
      <c r="C20" s="4" t="inlineStr">
        <is>
          <t>Reach-in freezer, 0 °F</t>
        </is>
      </c>
      <c r="D20" s="5" t="inlineStr">
        <is>
          <t>Yes</t>
        </is>
      </c>
      <c r="E20" t="inlineStr">
        <is>
          <t>Assumption</t>
        </is>
      </c>
      <c r="F20" s="5" t="inlineStr">
        <is>
          <t>No</t>
        </is>
      </c>
      <c r="G20" s="15">
        <f>'Settings'!$B$13</f>
        <v>0.0</v>
      </c>
      <c r="H20" s="9" t="n">
        <v>1900</v>
      </c>
      <c r="I20" s="9" t="n">
        <v>1900</v>
      </c>
      <c r="J20" s="9" t="n">
        <v>1900</v>
      </c>
      <c r="K20" s="10">
        <f>IF(D20="No","",IFERROR(IF(F20="Yes",J20/(1+G20),J20),""))</f>
        <v>1900.0</v>
      </c>
      <c r="L20" s="10">
        <f>IF(K20="","",IFERROR(K20*G20,""))</f>
        <v>0.0</v>
      </c>
      <c r="M20" s="10">
        <f>IF(K20="","",IFERROR(K20+L20,""))</f>
        <v>1900.0</v>
      </c>
      <c r="N20" s="4" t="inlineStr">
        <is>
          <t>No published price: the default value is an ASSUMPTION</t>
        </is>
      </c>
      <c r="O20" s="4" t="inlineStr">
        <is>
          <t>An ASSUMPTION, not a list price. It KEEPS product frozen; it doesn't freeze it. It doesn't replace the blast chiller (Food Code 3-501.14, cooling).</t>
        </is>
      </c>
    </row>
    <row r="21" ht="48" customHeight="1">
      <c r="A21" s="14" t="n">
        <v>16</v>
      </c>
      <c r="B21" s="4" t="inlineStr">
        <is>
          <t>Production kitchen equipment</t>
        </is>
      </c>
      <c r="C21" s="4" t="inlineStr">
        <is>
          <t>Refrigerated worktable with drawers (6.5 ft)</t>
        </is>
      </c>
      <c r="D21" s="5" t="inlineStr">
        <is>
          <t>Yes</t>
        </is>
      </c>
      <c r="E21" t="inlineStr">
        <is>
          <t>Assumption</t>
        </is>
      </c>
      <c r="F21" s="5" t="inlineStr">
        <is>
          <t>No</t>
        </is>
      </c>
      <c r="G21" s="15">
        <f>'Settings'!$B$13</f>
        <v>0.0</v>
      </c>
      <c r="H21" s="9" t="n">
        <v>2400</v>
      </c>
      <c r="I21" s="9" t="n">
        <v>2400</v>
      </c>
      <c r="J21" s="9" t="n">
        <v>2400</v>
      </c>
      <c r="K21" s="10">
        <f>IF(D21="No","",IFERROR(IF(F21="Yes",J21/(1+G21),J21),""))</f>
        <v>2400.0</v>
      </c>
      <c r="L21" s="10">
        <f>IF(K21="","",IFERROR(K21*G21,""))</f>
        <v>0.0</v>
      </c>
      <c r="M21" s="10">
        <f>IF(K21="","",IFERROR(K21+L21,""))</f>
        <v>2400.0</v>
      </c>
      <c r="N21" s="4" t="inlineStr">
        <is>
          <t>No published price: the default value is an ASSUMPTION</t>
        </is>
      </c>
      <c r="O21" s="4" t="inlineStr">
        <is>
          <t>An ASSUMPTION, not a list price.</t>
        </is>
      </c>
    </row>
    <row r="22" ht="48" customHeight="1">
      <c r="A22" s="14" t="n">
        <v>17</v>
      </c>
      <c r="B22" s="4" t="inlineStr">
        <is>
          <t>Production kitchen equipment</t>
        </is>
      </c>
      <c r="C22" s="4" t="inlineStr">
        <is>
          <t>Stainless steel worktables and shelving (lot)</t>
        </is>
      </c>
      <c r="D22" s="5" t="inlineStr">
        <is>
          <t>Yes</t>
        </is>
      </c>
      <c r="E22" t="inlineStr">
        <is>
          <t>Assumption</t>
        </is>
      </c>
      <c r="F22" s="5" t="inlineStr">
        <is>
          <t>No</t>
        </is>
      </c>
      <c r="G22" s="15">
        <f>'Settings'!$B$13</f>
        <v>0.0</v>
      </c>
      <c r="H22" s="9" t="n">
        <v>2800</v>
      </c>
      <c r="I22" s="9" t="n">
        <v>2800</v>
      </c>
      <c r="J22" s="9" t="n">
        <v>2800</v>
      </c>
      <c r="K22" s="10">
        <f>IF(D22="No","",IFERROR(IF(F22="Yes",J22/(1+G22),J22),""))</f>
        <v>2800.0</v>
      </c>
      <c r="L22" s="10">
        <f>IF(K22="","",IFERROR(K22*G22,""))</f>
        <v>0.0</v>
      </c>
      <c r="M22" s="10">
        <f>IF(K22="","",IFERROR(K22+L22,""))</f>
        <v>2800.0</v>
      </c>
      <c r="N22" s="4" t="inlineStr">
        <is>
          <t>No published price: the default value is an ASSUMPTION</t>
        </is>
      </c>
      <c r="O22" s="4" t="inlineStr">
        <is>
          <t>An ASSUMPTION, not a list price.</t>
        </is>
      </c>
    </row>
    <row r="23" ht="48" customHeight="1">
      <c r="A23" s="14" t="n">
        <v>18</v>
      </c>
      <c r="B23" s="4" t="inlineStr">
        <is>
          <t>Production kitchen equipment</t>
        </is>
      </c>
      <c r="C23" s="4" t="inlineStr">
        <is>
          <t>Three-compartment sink, hand sink and mop sink</t>
        </is>
      </c>
      <c r="D23" s="5" t="inlineStr">
        <is>
          <t>Yes</t>
        </is>
      </c>
      <c r="E23" t="inlineStr">
        <is>
          <t>Food Code + assumption</t>
        </is>
      </c>
      <c r="F23" s="5" t="inlineStr">
        <is>
          <t>No</t>
        </is>
      </c>
      <c r="G23" s="15">
        <f>'Settings'!$B$13</f>
        <v>0.0</v>
      </c>
      <c r="H23" s="9" t="n">
        <v>1400</v>
      </c>
      <c r="I23" s="9" t="n">
        <v>1400</v>
      </c>
      <c r="J23" s="9" t="n">
        <v>1400</v>
      </c>
      <c r="K23" s="10">
        <f>IF(D23="No","",IFERROR(IF(F23="Yes",J23/(1+G23),J23),""))</f>
        <v>1400.0</v>
      </c>
      <c r="L23" s="10">
        <f>IF(K23="","",IFERROR(K23*G23,""))</f>
        <v>0.0</v>
      </c>
      <c r="M23" s="10">
        <f>IF(K23="","",IFERROR(K23+L23,""))</f>
        <v>1400.0</v>
      </c>
      <c r="N23" s="4" t="inlineStr">
        <is>
          <t>No published price: the default value is an ASSUMPTION</t>
        </is>
      </c>
      <c r="O23" s="4" t="inlineStr">
        <is>
          <t>An ASSUMPTION, not a list price. The Food Code calls for a three-compartment sink to wash, rinse and sanitize, hand sinks where food is prepared and a mop sink (4-301.12, 5-203.11, 5-203.13). It isn't an extra, it's a requirement.</t>
        </is>
      </c>
    </row>
    <row r="24" ht="48" customHeight="1">
      <c r="A24" s="14" t="n">
        <v>19</v>
      </c>
      <c r="B24" s="4" t="inlineStr">
        <is>
          <t>Storefront and display</t>
        </is>
      </c>
      <c r="C24" s="4" t="inlineStr">
        <is>
          <t>Front-counter fixtures (counter, shelving, interior sign)</t>
        </is>
      </c>
      <c r="D24" s="5" t="inlineStr">
        <is>
          <t>Yes</t>
        </is>
      </c>
      <c r="E24" t="inlineStr">
        <is>
          <t>Assumption</t>
        </is>
      </c>
      <c r="F24" s="5" t="inlineStr">
        <is>
          <t>No</t>
        </is>
      </c>
      <c r="G24" s="15">
        <f>'Settings'!$B$13</f>
        <v>0.0</v>
      </c>
      <c r="H24" s="9" t="n">
        <v>7500</v>
      </c>
      <c r="I24" s="9" t="n">
        <v>7500</v>
      </c>
      <c r="J24" s="9" t="n">
        <v>7500</v>
      </c>
      <c r="K24" s="10">
        <f>IF(D24="No","",IFERROR(IF(F24="Yes",J24/(1+G24),J24),""))</f>
        <v>7500.0</v>
      </c>
      <c r="L24" s="10">
        <f>IF(K24="","",IFERROR(K24*G24,""))</f>
        <v>0.0</v>
      </c>
      <c r="M24" s="10">
        <f>IF(K24="","",IFERROR(K24+L24,""))</f>
        <v>7500.0</v>
      </c>
      <c r="N24" s="4" t="inlineStr">
        <is>
          <t>No published price: the default value is an ASSUMPTION</t>
        </is>
      </c>
      <c r="O24" s="4" t="inlineStr">
        <is>
          <t>An ASSUMPTION, not a list price.</t>
        </is>
      </c>
    </row>
    <row r="25" ht="48" customHeight="1">
      <c r="A25" s="14" t="n">
        <v>20</v>
      </c>
      <c r="B25" s="4" t="inlineStr">
        <is>
          <t>Storefront and display</t>
        </is>
      </c>
      <c r="C25" s="4" t="inlineStr">
        <is>
          <t>POS terminal and software</t>
        </is>
      </c>
      <c r="D25" s="5" t="inlineStr">
        <is>
          <t>Yes</t>
        </is>
      </c>
      <c r="E25" t="inlineStr">
        <is>
          <t>Assumption</t>
        </is>
      </c>
      <c r="F25" s="5" t="inlineStr">
        <is>
          <t>No</t>
        </is>
      </c>
      <c r="G25" s="15">
        <f>'Settings'!$B$13</f>
        <v>0.0</v>
      </c>
      <c r="H25" s="9" t="n">
        <v>1300</v>
      </c>
      <c r="I25" s="9" t="n">
        <v>1300</v>
      </c>
      <c r="J25" s="9" t="n">
        <v>1300</v>
      </c>
      <c r="K25" s="10">
        <f>IF(D25="No","",IFERROR(IF(F25="Yes",J25/(1+G25),J25),""))</f>
        <v>1300.0</v>
      </c>
      <c r="L25" s="10">
        <f>IF(K25="","",IFERROR(K25*G25,""))</f>
        <v>0.0</v>
      </c>
      <c r="M25" s="10">
        <f>IF(K25="","",IFERROR(K25+L25,""))</f>
        <v>1300.0</v>
      </c>
      <c r="N25" s="4" t="inlineStr">
        <is>
          <t>No published price: the default value is an ASSUMPTION</t>
        </is>
      </c>
      <c r="O25" s="4" t="inlineStr">
        <is>
          <t>An ASSUMPTION, not a list price. The POS you buy TODAY has to tag every sale as to-go or for-here and report them separately from day one: in a shop with seating, that's what your sales tax depends on (chapter 19 of the guide).</t>
        </is>
      </c>
    </row>
    <row r="26" ht="48" customHeight="1">
      <c r="A26" s="14" t="n">
        <v>21</v>
      </c>
      <c r="B26" s="4" t="inlineStr">
        <is>
          <t>Storefront and display</t>
        </is>
      </c>
      <c r="C26" s="4" t="inlineStr">
        <is>
          <t>Ambient display case</t>
        </is>
      </c>
      <c r="D26" s="5" t="inlineStr">
        <is>
          <t>Yes</t>
        </is>
      </c>
      <c r="E26" t="inlineStr">
        <is>
          <t>Assumption</t>
        </is>
      </c>
      <c r="F26" s="5" t="inlineStr">
        <is>
          <t>No</t>
        </is>
      </c>
      <c r="G26" s="15">
        <f>'Settings'!$B$13</f>
        <v>0.0</v>
      </c>
      <c r="H26" s="9" t="n">
        <v>1600</v>
      </c>
      <c r="I26" s="9" t="n">
        <v>1600</v>
      </c>
      <c r="J26" s="9" t="n">
        <v>1600</v>
      </c>
      <c r="K26" s="10">
        <f>IF(D26="No","",IFERROR(IF(F26="Yes",J26/(1+G26),J26),""))</f>
        <v>1600.0</v>
      </c>
      <c r="L26" s="10">
        <f>IF(K26="","",IFERROR(K26*G26,""))</f>
        <v>0.0</v>
      </c>
      <c r="M26" s="10">
        <f>IF(K26="","",IFERROR(K26+L26,""))</f>
        <v>1600.0</v>
      </c>
      <c r="N26" s="4" t="inlineStr">
        <is>
          <t>No published price: the default value is an ASSUMPTION</t>
        </is>
      </c>
      <c r="O26" s="4" t="inlineStr">
        <is>
          <t>An ASSUMPTION, not a list price. For what's shelf-stable at room temperature: palmiers, Sachertorte, almond turrón (nougat) and breads. How many feet you need of this case and of the refrigerated one is decided by the "Egg &amp; TCS Decision" sheet of opening-menu-and-recipe-costing.xlsx, not by taste.</t>
        </is>
      </c>
    </row>
    <row r="27" ht="48" customHeight="1">
      <c r="A27" s="14" t="n">
        <v>22</v>
      </c>
      <c r="B27" s="4" t="inlineStr">
        <is>
          <t>Production kitchen equipment</t>
        </is>
      </c>
      <c r="C27" s="4" t="inlineStr">
        <is>
          <t>Vacuum packer, sealer and smallwares (lot)</t>
        </is>
      </c>
      <c r="D27" s="5" t="inlineStr">
        <is>
          <t>Yes</t>
        </is>
      </c>
      <c r="E27" t="inlineStr">
        <is>
          <t>Assumption</t>
        </is>
      </c>
      <c r="F27" s="5" t="inlineStr">
        <is>
          <t>No</t>
        </is>
      </c>
      <c r="G27" s="15">
        <f>'Settings'!$B$13</f>
        <v>0.0</v>
      </c>
      <c r="H27" s="9" t="n">
        <v>3200</v>
      </c>
      <c r="I27" s="9" t="n">
        <v>3200</v>
      </c>
      <c r="J27" s="9" t="n">
        <v>3200</v>
      </c>
      <c r="K27" s="10">
        <f>IF(D27="No","",IFERROR(IF(F27="Yes",J27/(1+G27),J27),""))</f>
        <v>3200.0</v>
      </c>
      <c r="L27" s="10">
        <f>IF(K27="","",IFERROR(K27*G27,""))</f>
        <v>0.0</v>
      </c>
      <c r="M27" s="10">
        <f>IF(K27="","",IFERROR(K27+L27,""))</f>
        <v>3200.0</v>
      </c>
      <c r="N27" s="4" t="inlineStr">
        <is>
          <t>No published price: the default value is an ASSUMPTION</t>
        </is>
      </c>
      <c r="O27" s="4" t="inlineStr">
        <is>
          <t>An ASSUMPTION, not a list price.</t>
        </is>
      </c>
    </row>
    <row r="28" ht="48" customHeight="1">
      <c r="A28" s="14" t="n">
        <v>23</v>
      </c>
      <c r="B28" s="4" t="inlineStr">
        <is>
          <t>Production kitchen equipment</t>
        </is>
      </c>
      <c r="C28" s="4" t="inlineStr">
        <is>
          <t>Probe thermometers, scales and temperature data loggers</t>
        </is>
      </c>
      <c r="D28" s="5" t="inlineStr">
        <is>
          <t>Yes</t>
        </is>
      </c>
      <c r="E28" t="inlineStr">
        <is>
          <t>Assumption</t>
        </is>
      </c>
      <c r="F28" s="5" t="inlineStr">
        <is>
          <t>No</t>
        </is>
      </c>
      <c r="G28" s="15">
        <f>'Settings'!$B$13</f>
        <v>0.0</v>
      </c>
      <c r="H28" s="9" t="n">
        <v>900</v>
      </c>
      <c r="I28" s="9" t="n">
        <v>900</v>
      </c>
      <c r="J28" s="9" t="n">
        <v>900</v>
      </c>
      <c r="K28" s="10">
        <f>IF(D28="No","",IFERROR(IF(F28="Yes",J28/(1+G28),J28),""))</f>
        <v>900.0</v>
      </c>
      <c r="L28" s="10">
        <f>IF(K28="","",IFERROR(K28*G28,""))</f>
        <v>0.0</v>
      </c>
      <c r="M28" s="10">
        <f>IF(K28="","",IFERROR(K28+L28,""))</f>
        <v>900.0</v>
      </c>
      <c r="N28" s="4" t="inlineStr">
        <is>
          <t>No published price: the default value is an ASSUMPTION</t>
        </is>
      </c>
      <c r="O28" s="4" t="inlineStr">
        <is>
          <t>An ASSUMPTION, not a list price. Without a probe you can't prove the temperatures your food safety plan promises (cooking, cooling, holding at 41 °F). It's the cheapest purchase with the most consequences.</t>
        </is>
      </c>
    </row>
    <row r="29" ht="48" customHeight="1">
      <c r="A29" s="14" t="n">
        <v>24</v>
      </c>
      <c r="B29" s="4" t="inlineStr">
        <is>
          <t>Permits, plans and fees</t>
        </is>
      </c>
      <c r="C29" s="4" t="inlineStr">
        <is>
          <t>Plans and specifications for plan review</t>
        </is>
      </c>
      <c r="D29" s="5" t="inlineStr">
        <is>
          <t>Yes</t>
        </is>
      </c>
      <c r="E29" t="inlineStr">
        <is>
          <t>Example price</t>
        </is>
      </c>
      <c r="F29" s="5" t="inlineStr">
        <is>
          <t>No</t>
        </is>
      </c>
      <c r="G29" s="15">
        <f>'Settings'!$B$13</f>
        <v>0.0</v>
      </c>
      <c r="H29" s="9" t="n">
        <v>5000</v>
      </c>
      <c r="I29" s="9" t="n">
        <v>5000</v>
      </c>
      <c r="J29" s="9" t="n">
        <v>5000</v>
      </c>
      <c r="K29" s="10">
        <f>IF(D29="No","",IFERROR(IF(F29="Yes",J29/(1+G29),J29),""))</f>
        <v>5000.0</v>
      </c>
      <c r="L29" s="10">
        <f>IF(K29="","",IFERROR(K29*G29,""))</f>
        <v>0.0</v>
      </c>
      <c r="M29" s="10">
        <f>IF(K29="","",IFERROR(K29+L29,""))</f>
        <v>5000.0</v>
      </c>
      <c r="N29" s="4" t="inlineStr">
        <is>
          <t>Example amount (the case)</t>
        </is>
      </c>
      <c r="O29" s="4" t="inlineStr"/>
    </row>
    <row r="30" ht="48" customHeight="1">
      <c r="A30" s="14" t="n">
        <v>25</v>
      </c>
      <c r="B30" s="4" t="inlineStr">
        <is>
          <t>Permits, plans and fees</t>
        </is>
      </c>
      <c r="C30" s="4" t="inlineStr">
        <is>
          <t>Professional advice (CPA, attorney)</t>
        </is>
      </c>
      <c r="D30" s="5" t="inlineStr">
        <is>
          <t>Yes</t>
        </is>
      </c>
      <c r="E30" t="inlineStr">
        <is>
          <t>Example price</t>
        </is>
      </c>
      <c r="F30" s="5" t="inlineStr">
        <is>
          <t>No</t>
        </is>
      </c>
      <c r="G30" s="15">
        <f>'Settings'!$B$13</f>
        <v>0.0</v>
      </c>
      <c r="H30" s="9" t="n">
        <v>1000</v>
      </c>
      <c r="I30" s="9" t="n">
        <v>1000</v>
      </c>
      <c r="J30" s="9" t="n">
        <v>1000</v>
      </c>
      <c r="K30" s="10">
        <f>IF(D30="No","",IFERROR(IF(F30="Yes",J30/(1+G30),J30),""))</f>
        <v>1000.0</v>
      </c>
      <c r="L30" s="10">
        <f>IF(K30="","",IFERROR(K30*G30,""))</f>
        <v>0.0</v>
      </c>
      <c r="M30" s="10">
        <f>IF(K30="","",IFERROR(K30+L30,""))</f>
        <v>1000.0</v>
      </c>
      <c r="N30" s="4" t="inlineStr">
        <is>
          <t>Example amount (the case)</t>
        </is>
      </c>
      <c r="O30" s="4" t="inlineStr"/>
    </row>
    <row r="31" ht="48" customHeight="1">
      <c r="A31" s="14" t="n">
        <v>26</v>
      </c>
      <c r="B31" s="4" t="inlineStr">
        <is>
          <t>Permits, plans and fees</t>
        </is>
      </c>
      <c r="C31" s="4" t="inlineStr">
        <is>
          <t>City and county permit fees (building permit, certificate of occupancy)</t>
        </is>
      </c>
      <c r="D31" s="5" t="inlineStr">
        <is>
          <t>Yes</t>
        </is>
      </c>
      <c r="E31" t="inlineStr">
        <is>
          <t>Assumption</t>
        </is>
      </c>
      <c r="F31" s="5" t="inlineStr">
        <is>
          <t>No</t>
        </is>
      </c>
      <c r="G31" s="15">
        <f>'Settings'!$B$15</f>
        <v>0.0</v>
      </c>
      <c r="H31" s="9" t="n">
        <v>1800</v>
      </c>
      <c r="I31" s="9" t="n">
        <v>1800</v>
      </c>
      <c r="J31" s="9" t="n">
        <v>1800</v>
      </c>
      <c r="K31" s="10">
        <f>IF(D31="No","",IFERROR(IF(F31="Yes",J31/(1+G31),J31),""))</f>
        <v>1800.0</v>
      </c>
      <c r="L31" s="10">
        <f>IF(K31="","",IFERROR(K31*G31,""))</f>
        <v>0.0</v>
      </c>
      <c r="M31" s="10">
        <f>IF(K31="","",IFERROR(K31+L31,""))</f>
        <v>1800.0</v>
      </c>
      <c r="N31" s="4" t="inlineStr">
        <is>
          <t>ASSUMPTION: the amount changes from place to place</t>
        </is>
      </c>
      <c r="O31" s="4" t="inlineStr">
        <is>
          <t>Government permit fees carry no sales tax, and the amount changes from one city or county to the next: it's a number to go and find, not copy.</t>
        </is>
      </c>
    </row>
    <row r="32" ht="48" customHeight="1">
      <c r="A32" s="14" t="n">
        <v>27</v>
      </c>
      <c r="B32" s="4" t="inlineStr">
        <is>
          <t>Permits, plans and fees</t>
        </is>
      </c>
      <c r="C32" s="4" t="inlineStr">
        <is>
          <t>Health department plan review and food permit application</t>
        </is>
      </c>
      <c r="D32" s="5" t="inlineStr">
        <is>
          <t>Yes</t>
        </is>
      </c>
      <c r="E32" t="inlineStr">
        <is>
          <t>Assumption</t>
        </is>
      </c>
      <c r="F32" s="5" t="inlineStr">
        <is>
          <t>No</t>
        </is>
      </c>
      <c r="G32" s="15">
        <f>'Settings'!$B$15</f>
        <v>0.0</v>
      </c>
      <c r="H32" s="9" t="n">
        <v>120</v>
      </c>
      <c r="I32" s="9" t="n">
        <v>120</v>
      </c>
      <c r="J32" s="9" t="n">
        <v>120</v>
      </c>
      <c r="K32" s="10">
        <f>IF(D32="No","",IFERROR(IF(F32="Yes",J32/(1+G32),J32),""))</f>
        <v>120.0</v>
      </c>
      <c r="L32" s="10">
        <f>IF(K32="","",IFERROR(K32*G32,""))</f>
        <v>0.0</v>
      </c>
      <c r="M32" s="10">
        <f>IF(K32="","",IFERROR(K32+L32,""))</f>
        <v>120.0</v>
      </c>
      <c r="N32" s="4" t="inlineStr">
        <is>
          <t>ASSUMPTION: the amount changes from place to place</t>
        </is>
      </c>
      <c r="O32" s="4" t="inlineStr">
        <is>
          <t>The health department reviews your plans and inspects before it issues the food permit (Food Code 8-201.11 and Part 8-3): without it you can't open. The amount is an assumption; Austin, for example, charges $312 for plan review of a new food establishment and $178 for the pre-opening inspection (FY 2025-26).</t>
        </is>
      </c>
    </row>
    <row r="33" ht="48" customHeight="1">
      <c r="A33" s="14" t="n">
        <v>28</v>
      </c>
      <c r="B33" s="4" t="inlineStr">
        <is>
          <t>Security deposit</t>
        </is>
      </c>
      <c r="C33" s="4" t="inlineStr">
        <is>
          <t>Lease security deposit (2 months)</t>
        </is>
      </c>
      <c r="D33" s="5" t="inlineStr">
        <is>
          <t>Yes</t>
        </is>
      </c>
      <c r="E33" t="inlineStr">
        <is>
          <t>Assumption</t>
        </is>
      </c>
      <c r="F33" s="5" t="inlineStr">
        <is>
          <t>No</t>
        </is>
      </c>
      <c r="G33" s="15">
        <f>'Settings'!$B$15</f>
        <v>0.0</v>
      </c>
      <c r="H33" s="10">
        <f>IFERROR('Settings'!B20*'Settings'!B21,"")</f>
        <v>2400.0</v>
      </c>
      <c r="I33" s="10">
        <f>IFERROR('Settings'!B20*'Settings'!B21,"")</f>
        <v>2400.0</v>
      </c>
      <c r="J33" s="10">
        <f>IFERROR('Settings'!B20*'Settings'!B21,"")</f>
        <v>2400.0</v>
      </c>
      <c r="K33" s="10">
        <f>IF(D33="No","",IFERROR(IF(F33="Yes",J33/(1+G33),J33),""))</f>
        <v>2400.0</v>
      </c>
      <c r="L33" s="10">
        <f>IF(K33="","",IFERROR(K33*G33,""))</f>
        <v>0.0</v>
      </c>
      <c r="M33" s="10">
        <f>IF(K33="","",IFERROR(K33+L33,""))</f>
        <v>2400.0</v>
      </c>
      <c r="N33" s="4" t="inlineStr">
        <is>
          <t>Monthly rent × months of deposit</t>
        </is>
      </c>
      <c r="O33" s="4" t="inlineStr">
        <is>
          <t>The security deposit isn't an expense: it's money you get back. It goes into startup costs because you need it the day you sign.</t>
        </is>
      </c>
    </row>
    <row r="34" ht="48" customHeight="1">
      <c r="A34" s="14" t="n">
        <v>29</v>
      </c>
      <c r="B34" s="4" t="inlineStr">
        <is>
          <t>Opening packaging</t>
        </is>
      </c>
      <c r="C34" s="4" t="inlineStr">
        <is>
          <t>First packaging order: bags, boxes and labels</t>
        </is>
      </c>
      <c r="D34" s="5" t="inlineStr">
        <is>
          <t>Yes</t>
        </is>
      </c>
      <c r="E34" t="inlineStr">
        <is>
          <t>Assumption</t>
        </is>
      </c>
      <c r="F34" s="5" t="inlineStr">
        <is>
          <t>No</t>
        </is>
      </c>
      <c r="G34" s="15">
        <f>'Settings'!$B$13</f>
        <v>0.0</v>
      </c>
      <c r="H34" s="9" t="n">
        <v>2500</v>
      </c>
      <c r="I34" s="9" t="n">
        <v>2500</v>
      </c>
      <c r="J34" s="9" t="n">
        <v>2500</v>
      </c>
      <c r="K34" s="10">
        <f>IF(D34="No","",IFERROR(IF(F34="Yes",J34/(1+G34),J34),""))</f>
        <v>2500.0</v>
      </c>
      <c r="L34" s="10">
        <f>IF(K34="","",IFERROR(K34*G34,""))</f>
        <v>0.0</v>
      </c>
      <c r="M34" s="10">
        <f>IF(K34="","",IFERROR(K34+L34,""))</f>
        <v>2500.0</v>
      </c>
      <c r="N34" s="4" t="inlineStr">
        <is>
          <t>ASSUMPTION: the amount changes from place to place</t>
        </is>
      </c>
      <c r="O34" s="4" t="inlineStr">
        <is>
          <t>Start with the supplier's minimum: custom-printed packaging means big orders and money sitting in the storeroom.</t>
        </is>
      </c>
    </row>
    <row r="35" ht="48" customHeight="1">
      <c r="A35" s="14" t="n">
        <v>30</v>
      </c>
      <c r="B35" s="4" t="inlineStr">
        <is>
          <t>Opening marketing</t>
        </is>
      </c>
      <c r="C35" s="4" t="inlineStr">
        <is>
          <t>Opening marketing</t>
        </is>
      </c>
      <c r="D35" s="5" t="inlineStr">
        <is>
          <t>Yes</t>
        </is>
      </c>
      <c r="E35" t="inlineStr">
        <is>
          <t>Example price</t>
        </is>
      </c>
      <c r="F35" s="5" t="inlineStr">
        <is>
          <t>No</t>
        </is>
      </c>
      <c r="G35" s="15">
        <f>'Settings'!$B$13</f>
        <v>0.0</v>
      </c>
      <c r="H35" s="9" t="n">
        <v>5000</v>
      </c>
      <c r="I35" s="9" t="n">
        <v>5000</v>
      </c>
      <c r="J35" s="9" t="n">
        <v>5000</v>
      </c>
      <c r="K35" s="10">
        <f>IF(D35="No","",IFERROR(IF(F35="Yes",J35/(1+G35),J35),""))</f>
        <v>5000.0</v>
      </c>
      <c r="L35" s="10">
        <f>IF(K35="","",IFERROR(K35*G35,""))</f>
        <v>0.0</v>
      </c>
      <c r="M35" s="10">
        <f>IF(K35="","",IFERROR(K35+L35,""))</f>
        <v>5000.0</v>
      </c>
      <c r="N35" s="4" t="inlineStr">
        <is>
          <t>Example amount (the case)</t>
        </is>
      </c>
      <c r="O35" s="4" t="inlineStr"/>
    </row>
    <row r="36" ht="48" customHeight="1">
      <c r="A36" s="14" t="n">
        <v>31</v>
      </c>
      <c r="B36" s="4" t="inlineStr">
        <is>
          <t>Working capital</t>
        </is>
      </c>
      <c r="C36" s="4" t="inlineStr">
        <is>
          <t>Cash cushion (months of fixed costs)</t>
        </is>
      </c>
      <c r="D36" s="5" t="inlineStr">
        <is>
          <t>Yes</t>
        </is>
      </c>
      <c r="E36" t="inlineStr">
        <is>
          <t>Assumption</t>
        </is>
      </c>
      <c r="F36" s="5" t="inlineStr">
        <is>
          <t>No</t>
        </is>
      </c>
      <c r="G36" s="15">
        <f>'Settings'!$B$15</f>
        <v>0.0</v>
      </c>
      <c r="H36" s="10">
        <f>'Settings'!B19</f>
        <v>62115.28</v>
      </c>
      <c r="I36" s="10">
        <f>'Settings'!B19</f>
        <v>62115.28</v>
      </c>
      <c r="J36" s="10">
        <f>'Settings'!B19</f>
        <v>62115.28</v>
      </c>
      <c r="K36" s="10">
        <f>IF(D36="No","",IFERROR(IF(F36="Yes",J36/(1+G36),J36),""))</f>
        <v>62115.28</v>
      </c>
      <c r="L36" s="10">
        <f>IF(K36="","",IFERROR(K36*G36,""))</f>
        <v>0.0</v>
      </c>
      <c r="M36" s="10">
        <f>IF(K36="","",IFERROR(K36+L36,""))</f>
        <v>62115.28</v>
      </c>
      <c r="N36" s="4" t="inlineStr">
        <is>
          <t>Months of cushion × monthly fixed costs</t>
        </is>
      </c>
      <c r="O36" s="4" t="inlineStr">
        <is>
          <t>Calculated: months of cushion × monthly fixed costs (both on "Settings").</t>
        </is>
      </c>
    </row>
    <row r="37"/>
    <row r="38">
      <c r="B38" s="3" t="inlineStr">
        <is>
          <t>Summary by block</t>
        </is>
      </c>
    </row>
    <row r="39">
      <c r="C39" t="inlineStr">
        <is>
          <t>Build-out and building systems</t>
        </is>
      </c>
      <c r="K39" s="10">
        <f>SUMIF($B$6:$B$36,C39,K$6:K$36)</f>
        <v>81000.00000000001</v>
      </c>
      <c r="L39" s="10">
        <f>SUMIF($B$6:$B$36,C39,L$6:L$36)</f>
        <v>0.0</v>
      </c>
      <c r="M39" s="10">
        <f>SUMIF($B$6:$B$36,C39,M$6:M$36)</f>
        <v>81000.00000000001</v>
      </c>
      <c r="N39" s="15">
        <f>IFERROR(K39/$K$47,"")</f>
        <v>0.3553946876805953</v>
      </c>
    </row>
    <row r="40">
      <c r="C40" t="inlineStr">
        <is>
          <t>Production kitchen equipment</t>
        </is>
      </c>
      <c r="K40" s="10">
        <f>SUMIF($B$6:$B$36,C40,K$6:K$36)</f>
        <v>54296.23834710744</v>
      </c>
      <c r="L40" s="10">
        <f>SUMIF($B$6:$B$36,C40,L$6:L$36)</f>
        <v>0.0</v>
      </c>
      <c r="M40" s="10">
        <f>SUMIF($B$6:$B$36,C40,M$6:M$36)</f>
        <v>54296.23834710744</v>
      </c>
      <c r="N40" s="15">
        <f>IFERROR(K40/$K$47,"")</f>
        <v>0.23822956382223962</v>
      </c>
    </row>
    <row r="41">
      <c r="C41" t="inlineStr">
        <is>
          <t>Storefront and display</t>
        </is>
      </c>
      <c r="K41" s="10">
        <f>SUMIF($B$6:$B$36,C41,K$6:K$36)</f>
        <v>12684.1</v>
      </c>
      <c r="L41" s="10">
        <f>SUMIF($B$6:$B$36,C41,L$6:L$36)</f>
        <v>0.0</v>
      </c>
      <c r="M41" s="10">
        <f>SUMIF($B$6:$B$36,C41,M$6:M$36)</f>
        <v>12684.1</v>
      </c>
      <c r="N41" s="15">
        <f>IFERROR(K41/$K$47,"")</f>
        <v>0.05565261429641282</v>
      </c>
    </row>
    <row r="42">
      <c r="C42" t="inlineStr">
        <is>
          <t>Permits, plans and fees</t>
        </is>
      </c>
      <c r="K42" s="10">
        <f>SUMIF($B$6:$B$36,C42,K$6:K$36)</f>
        <v>7920.0</v>
      </c>
      <c r="L42" s="10">
        <f>SUMIF($B$6:$B$36,C42,L$6:L$36)</f>
        <v>0.0</v>
      </c>
      <c r="M42" s="10">
        <f>SUMIF($B$6:$B$36,C42,M$6:M$36)</f>
        <v>7920.0</v>
      </c>
      <c r="N42" s="15">
        <f>IFERROR(K42/$K$47,"")</f>
        <v>0.03474970279543598</v>
      </c>
    </row>
    <row r="43">
      <c r="C43" t="inlineStr">
        <is>
          <t>Security deposit</t>
        </is>
      </c>
      <c r="K43" s="10">
        <f>SUMIF($B$6:$B$36,C43,K$6:K$36)</f>
        <v>2400.0</v>
      </c>
      <c r="L43" s="10">
        <f>SUMIF($B$6:$B$36,C43,L$6:L$36)</f>
        <v>0.0</v>
      </c>
      <c r="M43" s="10">
        <f>SUMIF($B$6:$B$36,C43,M$6:M$36)</f>
        <v>2400.0</v>
      </c>
      <c r="N43" s="15">
        <f>IFERROR(K43/$K$47,"")</f>
        <v>0.010530212968313933</v>
      </c>
    </row>
    <row r="44">
      <c r="C44" t="inlineStr">
        <is>
          <t>Opening packaging</t>
        </is>
      </c>
      <c r="K44" s="10">
        <f>SUMIF($B$6:$B$36,C44,K$6:K$36)</f>
        <v>2500.0</v>
      </c>
      <c r="L44" s="10">
        <f>SUMIF($B$6:$B$36,C44,L$6:L$36)</f>
        <v>0.0</v>
      </c>
      <c r="M44" s="10">
        <f>SUMIF($B$6:$B$36,C44,M$6:M$36)</f>
        <v>2500.0</v>
      </c>
      <c r="N44" s="15">
        <f>IFERROR(K44/$K$47,"")</f>
        <v>0.01096897184199368</v>
      </c>
    </row>
    <row r="45">
      <c r="C45" t="inlineStr">
        <is>
          <t>Opening marketing</t>
        </is>
      </c>
      <c r="K45" s="10">
        <f>SUMIF($B$6:$B$36,C45,K$6:K$36)</f>
        <v>5000.0</v>
      </c>
      <c r="L45" s="10">
        <f>SUMIF($B$6:$B$36,C45,L$6:L$36)</f>
        <v>0.0</v>
      </c>
      <c r="M45" s="10">
        <f>SUMIF($B$6:$B$36,C45,M$6:M$36)</f>
        <v>5000.0</v>
      </c>
      <c r="N45" s="15">
        <f>IFERROR(K45/$K$47,"")</f>
        <v>0.02193794368398736</v>
      </c>
    </row>
    <row r="46">
      <c r="C46" t="inlineStr">
        <is>
          <t>Working capital</t>
        </is>
      </c>
      <c r="K46" s="10">
        <f>SUMIF($B$6:$B$36,C46,K$6:K$36)</f>
        <v>62115.28</v>
      </c>
      <c r="L46" s="10">
        <f>SUMIF($B$6:$B$36,C46,L$6:L$36)</f>
        <v>0.0</v>
      </c>
      <c r="M46" s="10">
        <f>SUMIF($B$6:$B$36,C46,M$6:M$36)</f>
        <v>62115.28</v>
      </c>
      <c r="N46" s="15">
        <f>IFERROR(K46/$K$47,"")</f>
        <v>0.27253630291102127</v>
      </c>
    </row>
    <row r="47">
      <c r="C47" s="13" t="inlineStr">
        <is>
          <t>STARTUP COSTS TOTAL</t>
        </is>
      </c>
      <c r="K47" s="16">
        <f>SUM(K39:K46)</f>
        <v>227915.61834710746</v>
      </c>
      <c r="L47" s="16">
        <f>SUM(L39:L46)</f>
        <v>0.0</v>
      </c>
      <c r="M47" s="16">
        <f>SUM(M39:M46)</f>
        <v>227915.61834710746</v>
      </c>
    </row>
    <row r="48">
      <c r="C48" t="inlineStr">
        <is>
          <t>Of which, tax paid on purchases</t>
        </is>
      </c>
      <c r="K48" s="10">
        <f>L47</f>
        <v>0.0</v>
      </c>
    </row>
    <row r="49">
      <c r="C49" t="inlineStr">
        <is>
          <t>Total cash out, tax included</t>
        </is>
      </c>
      <c r="K49" s="17">
        <f>M47</f>
        <v>227915.61834710746</v>
      </c>
    </row>
    <row r="50"/>
    <row r="51">
      <c r="C51" s="4" t="inlineStr">
        <is>
          <t>Comparable subtotal (build-out, equipment, storefront, permits and marketing)</t>
        </is>
      </c>
      <c r="K51" s="17">
        <f>K39+K40+K41+K42+K45</f>
        <v>160900.33834710746</v>
      </c>
    </row>
    <row r="52">
      <c r="C52" t="inlineStr">
        <is>
          <t>Published reference for a shop like yours (type in one you trust)</t>
        </is>
      </c>
      <c r="K52" s="10"/>
    </row>
    <row r="53" ht="62" customHeight="1">
      <c r="C53" t="inlineStr">
        <is>
          <t>Deviation from the published reference</t>
        </is>
      </c>
      <c r="K53" s="15">
        <f>IFERROR(K51/K52-1,"")</f>
      </c>
      <c r="O53" s="4" t="inlineStr">
        <is>
          <t>Two independent sources: this line-by-line budget on a single pre-tax basis, and a published figure you trust for a shop of the same format and size (for example Zenind 2026 puts a small retail bakery at $50,000 to $100,000+; chapter 4 of the guide). Type it in K52: the deviation tells you what to explain, not what to dress up.</t>
        </is>
      </c>
    </row>
    <row r="54"/>
    <row r="55"/>
    <row r="56">
      <c r="C56" s="3" t="inlineStr">
        <is>
          <t>Validation lists (don't delete them: the dropdowns use them)</t>
        </is>
      </c>
    </row>
    <row r="57">
      <c r="C57" s="13" t="inlineStr">
        <is>
          <t>Buying it?</t>
        </is>
      </c>
      <c r="D57" s="13" t="inlineStr">
        <is>
          <t>Includes tax?</t>
        </is>
      </c>
    </row>
    <row r="58">
      <c r="C58" t="inlineStr">
        <is>
          <t>Yes</t>
        </is>
      </c>
      <c r="D58" t="inlineStr">
        <is>
          <t>Yes</t>
        </is>
      </c>
    </row>
    <row r="59">
      <c r="C59" t="inlineStr">
        <is>
          <t>No</t>
        </is>
      </c>
      <c r="D59" t="inlineStr">
        <is>
          <t>No</t>
        </is>
      </c>
    </row>
    <row r="60"/>
    <row r="61" ht="44" customHeight="1">
      <c r="C61" s="7" t="inlineStr">
        <is>
          <t>Minimum and maximum are for YOUR quotes: they come seeded with the same starting value so the workbook works from the first minute, and once you have two real offers you'll see at a glance how much each line moves. The total only uses "Your amount".</t>
        </is>
      </c>
    </row>
  </sheetData>
  <sheetProtection selectLockedCells="0" selectUnlockedCells="0" sheet="1" objects="0" insertRows="0" insertHyperlinks="1" autoFilter="1" scenarios="0" formatColumns="0" deleteColumns="1" insertColumns="1" pivotTables="1" deleteRows="1" formatCells="1" formatRows="0" sort="0"/>
  <mergeCells count="2">
    <mergeCell ref="C61:O61"/>
    <mergeCell ref="A3:O3"/>
  </mergeCells>
  <conditionalFormatting sqref="K53">
    <cfRule type="expression" priority="1" dxfId="0" stopIfTrue="1">
      <formula>=AND(ISNUMBER($K$53),ABS($K$53)&gt;0.5)</formula>
    </cfRule>
  </conditionalFormatting>
  <dataValidations count="2">
    <dataValidation sqref="D6 D7 D8 D9 D10 D11 D12 D13 D14 D15 D16 D17 D18 D19 D20 D21 D22 D23 D24 D25 D26 D27 D28 D29 D30 D31 D32 D33 D34 D35 D36" showDropDown="0" showInputMessage="0" showErrorMessage="1" allowBlank="0" errorTitle="Buying it?" error="Choose &quot;Yes&quot; or &quot;No&quot; from the list." type="list">
      <formula1>=$C$58:$C$59</formula1>
    </dataValidation>
    <dataValidation sqref="F6 F7 F8 F9 F10 F11 F12 F13 F14 F15 F16 F17 F18 F19 F20 F21 F22 F23 F24 F25 F26 F27 F28 F29 F30 F31 F32 F33 F34 F35 F36" showDropDown="0" showInputMessage="0" showErrorMessage="1" allowBlank="0" errorTitle="Price includes sales tax?" error="Choose &quot;Yes&quot; or &quot;No&quot; from the list." type="list">
      <formula1>=$D$58:$D$59</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O31"/>
  <sheetViews>
    <sheetView workbookViewId="0">
      <selection activeCell="A1" sqref="A1"/>
    </sheetView>
  </sheetViews>
  <sheetFormatPr baseColWidth="8" defaultRowHeight="15"/>
  <cols>
    <col width="5" customWidth="1" min="1" max="1"/>
    <col width="44" customWidth="1" min="2" max="2"/>
    <col width="16" customWidth="1" min="3" max="3"/>
    <col width="11" customWidth="1" min="4" max="4"/>
    <col width="12" customWidth="1" min="5" max="5"/>
    <col width="11" customWidth="1" min="6" max="6"/>
    <col width="12" customWidth="1" min="7" max="7"/>
    <col width="11" customWidth="1" min="8" max="8"/>
    <col width="16" customWidth="1" min="9" max="9"/>
    <col width="16" customWidth="1" min="10" max="10"/>
    <col width="14" customWidth="1" min="11" max="11"/>
    <col width="14" customWidth="1" min="12" max="12"/>
    <col width="14" customWidth="1" min="13" max="13"/>
    <col width="80" customWidth="1" min="14" max="14"/>
    <col width="34" customWidth="1" min="15" max="15"/>
  </cols>
  <sheetData>
    <row r="1" ht="28" customHeight="1">
      <c r="A1" s="1" t="inlineStr">
        <is>
          <t>Format Variant</t>
        </is>
      </c>
    </row>
    <row r="2">
      <c r="A2" t="inlineStr">
        <is>
          <t>AI Chef Pro · aichef.pro — How to Open a Pastry Shop</t>
        </is>
      </c>
    </row>
    <row r="3" ht="26" customHeight="1">
      <c r="A3" s="7" t="inlineStr">
        <is>
          <t>Your pastry shop may not be the one in the example. The coefficients are editable assumptions on the central case; the ranges on the right are published third-party estimates. "Opening investment" is startup costs without working capital, which is how those estimates are usually published.</t>
        </is>
      </c>
    </row>
    <row r="4"/>
    <row r="5">
      <c r="B5" s="3" t="inlineStr">
        <is>
          <t>Central case bases (from "Startup Costs by Block")</t>
        </is>
      </c>
    </row>
    <row r="6">
      <c r="B6" t="inlineStr">
        <is>
          <t>Build-out and building systems</t>
        </is>
      </c>
      <c r="C6" s="10">
        <f>'Startup Costs by Block'!K39</f>
        <v>81000.00000000001</v>
      </c>
    </row>
    <row r="7">
      <c r="B7" t="inlineStr">
        <is>
          <t>Production kitchen equipment</t>
        </is>
      </c>
      <c r="C7" s="10">
        <f>'Startup Costs by Block'!K40</f>
        <v>54296.23834710744</v>
      </c>
    </row>
    <row r="8">
      <c r="B8" t="inlineStr">
        <is>
          <t>Storefront and display</t>
        </is>
      </c>
      <c r="C8" s="10">
        <f>'Startup Costs by Block'!K41</f>
        <v>12684.1</v>
      </c>
    </row>
    <row r="9">
      <c r="B9" t="inlineStr">
        <is>
          <t>Permits, plans and fees</t>
        </is>
      </c>
      <c r="C9" s="10">
        <f>'Startup Costs by Block'!K42</f>
        <v>7920.0</v>
      </c>
    </row>
    <row r="10">
      <c r="B10" t="inlineStr">
        <is>
          <t>Other opening costs (security deposit, packaging and marketing)</t>
        </is>
      </c>
      <c r="C10" s="10">
        <f>'Startup Costs by Block'!K43+'Startup Costs by Block'!K44+'Startup Costs by Block'!K45</f>
        <v>9900.0</v>
      </c>
    </row>
    <row r="11">
      <c r="B11" t="inlineStr">
        <is>
          <t>Working capital</t>
        </is>
      </c>
      <c r="C11" s="10">
        <f>'Startup Costs by Block'!K46</f>
        <v>62115.28</v>
      </c>
    </row>
    <row r="12"/>
    <row r="13"/>
    <row r="14" ht="48" customHeight="1">
      <c r="A14" s="6" t="inlineStr">
        <is>
          <t>No.</t>
        </is>
      </c>
      <c r="B14" s="6" t="inlineStr">
        <is>
          <t>Variant</t>
        </is>
      </c>
      <c r="C14" s="6" t="inlineStr">
        <is>
          <t>Main permit (ch. 9)</t>
        </is>
      </c>
      <c r="D14" s="6" t="inlineStr">
        <is>
          <t>Build-out coef.</t>
        </is>
      </c>
      <c r="E14" s="6" t="inlineStr">
        <is>
          <t>Equipment coef.</t>
        </is>
      </c>
      <c r="F14" s="6" t="inlineStr">
        <is>
          <t>Storefront coef.</t>
        </is>
      </c>
      <c r="G14" s="6" t="inlineStr">
        <is>
          <t>Permits coef.</t>
        </is>
      </c>
      <c r="H14" s="6" t="inlineStr">
        <is>
          <t>Other coef.</t>
        </is>
      </c>
      <c r="I14" s="6" t="inlineStr">
        <is>
          <t>Opening investment</t>
        </is>
      </c>
      <c r="J14" s="6" t="inlineStr">
        <is>
          <t>With working capital</t>
        </is>
      </c>
      <c r="K14" s="6" t="inlineStr">
        <is>
          <t>Published low</t>
        </is>
      </c>
      <c r="L14" s="6" t="inlineStr">
        <is>
          <t>Published high</t>
        </is>
      </c>
      <c r="M14" s="6" t="inlineStr">
        <is>
          <t>Deviation from the midpoint</t>
        </is>
      </c>
      <c r="N14" s="6" t="inlineStr">
        <is>
          <t>What else changes</t>
        </is>
      </c>
      <c r="O14" s="6" t="inlineStr">
        <is>
          <t>Does it fit the published range?</t>
        </is>
      </c>
    </row>
    <row r="15" ht="68" customHeight="1">
      <c r="A15" s="14" t="n">
        <v>1</v>
      </c>
      <c r="B15" s="4" t="inlineStr">
        <is>
          <t>Mid-size pastry shop: its own production kitchen and a front counter on the street (this guide's case)</t>
        </is>
      </c>
      <c r="C15" t="inlineStr">
        <is>
          <t>Retail food permit</t>
        </is>
      </c>
      <c r="D15" s="18" t="n">
        <v>1</v>
      </c>
      <c r="E15" s="18" t="n">
        <v>1</v>
      </c>
      <c r="F15" s="18" t="n">
        <v>1</v>
      </c>
      <c r="G15" s="18" t="n">
        <v>1</v>
      </c>
      <c r="H15" s="18" t="n">
        <v>1</v>
      </c>
      <c r="I15" s="10">
        <f>IFERROR($C$6*D15+$C$7*E15+$C$8*F15+$C$9*G15+$C$10*H15,"")</f>
        <v>165800.33834710746</v>
      </c>
      <c r="J15" s="10">
        <f>IFERROR(I15+$C$11*H15,"")</f>
        <v>227915.61834710746</v>
      </c>
      <c r="K15" s="10" t="n">
        <v>50000</v>
      </c>
      <c r="L15" s="10" t="n">
        <v>100000</v>
      </c>
      <c r="M15" s="15">
        <f>IF(OR(K15="",L15=""),"",IFERROR(I15/((K15+L15)/2)-1,""))</f>
        <v>1.2106711779614328</v>
      </c>
      <c r="N15" s="4" t="inlineStr">
        <is>
          <t>It's the core case: every coefficient is 1.00, so the opening investment is exactly the total on the "Startup Costs by Block" sheet minus working capital, and the next column adds it back to give the total. The published range is for a small retail bakery; the case lands above it because it prices a full production kitchen line by line.</t>
        </is>
      </c>
      <c r="O15" t="str">
        <f>IF(M15="","",IF(ABS(M15)&gt;1,"More than double apart: check the range before the math","Same order of magnitude"))</f>
        <v>More than double apart: check the range before the math</v>
      </c>
    </row>
    <row r="16" ht="68" customHeight="1">
      <c r="A16" s="14" t="n">
        <v>2</v>
      </c>
      <c r="B16" s="4" t="inlineStr">
        <is>
          <t>Home-based bakery under cottage food, selling direct to customers</t>
        </is>
      </c>
      <c r="C16" t="inlineStr">
        <is>
          <t>Your state's cottage food rules</t>
        </is>
      </c>
      <c r="D16" s="18" t="n">
        <v>0.05</v>
      </c>
      <c r="E16" s="18" t="n">
        <v>0.15</v>
      </c>
      <c r="F16" s="18" t="n">
        <v>0</v>
      </c>
      <c r="G16" s="18" t="n">
        <v>0.1</v>
      </c>
      <c r="H16" s="18" t="n">
        <v>0.2</v>
      </c>
      <c r="I16" s="10">
        <f>IFERROR($C$6*D16+$C$7*E16+$C$8*F16+$C$9*G16+$C$10*H16,"")</f>
        <v>14966.435752066118</v>
      </c>
      <c r="J16" s="10">
        <f>IFERROR(I16+$C$11*H16,"")</f>
        <v>27389.49175206612</v>
      </c>
      <c r="K16" s="10" t="n">
        <v>15000</v>
      </c>
      <c r="L16" s="10" t="n">
        <v>25000</v>
      </c>
      <c r="M16" s="15">
        <f>IF(OR(K16="",L16=""),"",IFERROR(I16/((K16+L16)/2)-1,""))</f>
        <v>-0.2516782123966941</v>
      </c>
      <c r="N16" s="4" t="inlineStr">
        <is>
          <t>It isn't a storefront: it's your home, under your state's cottage food law, with its list of allowed foods and its sales cap (2026: California $88,878 for Class A and $177,756 for Class B, Texas $150,000, Florida $250,000; New York's page lists no cap). A registration, a permit or nothing at all, depending on the state. No build-out, no storefront and no lease deposit; the "Cottage Food Route" sheet in permits-and-licenses-checklist.xlsx is the one that rules.</t>
        </is>
      </c>
      <c r="O16" t="str">
        <f>IF(M16="","",IF(ABS(M16)&gt;1,"More than double apart: check the range before the math","Same order of magnitude"))</f>
        <v>Same order of magnitude</v>
      </c>
    </row>
    <row r="17" ht="68" customHeight="1">
      <c r="A17" s="14" t="n">
        <v>3</v>
      </c>
      <c r="B17" s="4" t="inlineStr">
        <is>
          <t>Closed-door production kitchen, no retail counter</t>
        </is>
      </c>
      <c r="C17" t="inlineStr">
        <is>
          <t>Food permit; FDA registration once wholesale passes half of sales</t>
        </is>
      </c>
      <c r="D17" s="18" t="n">
        <v>0.45</v>
      </c>
      <c r="E17" s="18" t="n">
        <v>0.45</v>
      </c>
      <c r="F17" s="18" t="n">
        <v>0</v>
      </c>
      <c r="G17" s="18" t="n">
        <v>0.6</v>
      </c>
      <c r="H17" s="18" t="n">
        <v>0.5</v>
      </c>
      <c r="I17" s="10">
        <f>IFERROR($C$6*D17+$C$7*E17+$C$8*F17+$C$9*G17+$C$10*H17,"")</f>
        <v>70585.30725619836</v>
      </c>
      <c r="J17" s="10">
        <f>IFERROR(I17+$C$11*H17,"")</f>
        <v>101642.94725619836</v>
      </c>
      <c r="K17" s="10" t="n">
        <v>75000</v>
      </c>
      <c r="L17" s="10" t="n">
        <v>150000</v>
      </c>
      <c r="M17" s="15">
        <f>IF(OR(K17="",L17=""),"",IFERROR(I17/((K17+L17)/2)-1,""))</f>
        <v>-0.37257504661157015</v>
      </c>
      <c r="N17" s="4" t="inlineStr">
        <is>
          <t>No display case or retail fixtures, but the 50% line hangs over you: once more than half of your food sales by value go to businesses rather than consumers, you're no longer exempt from FDA food facility registration. The "Selling Wholesale" sheet in permits-and-licenses-checklist.xlsx walks you through it.</t>
        </is>
      </c>
      <c r="O17" t="str">
        <f>IF(M17="","",IF(ABS(M17)&gt;1,"More than double apart: check the range before the math","Same order of magnitude"))</f>
        <v>Same order of magnitude</v>
      </c>
    </row>
    <row r="18" ht="68" customHeight="1">
      <c r="A18" s="14" t="n">
        <v>4</v>
      </c>
      <c r="B18" s="4" t="inlineStr">
        <is>
          <t>Storefront with a counter but no kitchen of its own</t>
        </is>
      </c>
      <c r="C18" t="inlineStr">
        <is>
          <t>Retail food permit</t>
        </is>
      </c>
      <c r="D18" s="18" t="n">
        <v>0.35</v>
      </c>
      <c r="E18" s="18" t="n">
        <v>0.1</v>
      </c>
      <c r="F18" s="18" t="n">
        <v>1</v>
      </c>
      <c r="G18" s="18" t="n">
        <v>0.7</v>
      </c>
      <c r="H18" s="18" t="n">
        <v>0.6</v>
      </c>
      <c r="I18" s="10">
        <f>IFERROR($C$6*D18+$C$7*E18+$C$8*F18+$C$9*G18+$C$10*H18,"")</f>
        <v>57947.72383471075</v>
      </c>
      <c r="J18" s="10">
        <f>IFERROR(I18+$C$11*H18,"")</f>
        <v>95216.89183471075</v>
      </c>
      <c r="K18" s="10"/>
      <c r="L18" s="10"/>
      <c r="M18" s="15">
        <f>IF(OR(K18="",L18=""),"",IFERROR(I18/((K18+L18)/2)-1,""))</f>
      </c>
      <c r="N18" s="4" t="inlineStr">
        <is>
          <t>You buy finished or par-baked product: almost all the production equipment goes and the display case stays whole. If you don't bake from scratch, don't say you do: "baked fresh daily" on product you only thaw and finish is a misleading-claim risk.</t>
        </is>
      </c>
      <c r="O18">
        <f>IF(M18="","",IF(ABS(M18)&gt;1,"More than double apart: check the range before the math","Same order of magnitude"))</f>
      </c>
    </row>
    <row r="19" ht="68" customHeight="1">
      <c r="A19" s="14" t="n">
        <v>5</v>
      </c>
      <c r="B19" s="4" t="inlineStr">
        <is>
          <t>Bakery-café with its own kitchen</t>
        </is>
      </c>
      <c r="C19" t="inlineStr">
        <is>
          <t>Food service permit (another agency in NY and FL)</t>
        </is>
      </c>
      <c r="D19" s="18" t="n">
        <v>1.25</v>
      </c>
      <c r="E19" s="18" t="n">
        <v>1.05</v>
      </c>
      <c r="F19" s="18" t="n">
        <v>1.6</v>
      </c>
      <c r="G19" s="18" t="n">
        <v>1.3</v>
      </c>
      <c r="H19" s="18" t="n">
        <v>1.2</v>
      </c>
      <c r="I19" s="10">
        <f>IFERROR($C$6*D19+$C$7*E19+$C$8*F19+$C$9*G19+$C$10*H19,"")</f>
        <v>200731.61026446283</v>
      </c>
      <c r="J19" s="10">
        <f>IFERROR(I19+$C$11*H19,"")</f>
        <v>275269.94626446284</v>
      </c>
      <c r="K19" s="10"/>
      <c r="L19" s="10"/>
      <c r="M19" s="15">
        <f>IF(OR(K19="",L19=""),"",IFERROR(I19/((K19+L19)/2)-1,""))</f>
      </c>
      <c r="N19" s="4" t="inlineStr">
        <is>
          <t>Adds seating, a coffee bar, an espresso machine and customer restrooms. The moment people eat at your tables, two things change: sales tax (pastries to go are generally exempt in the four example states; what's eaten on site generally isn't) and, in New York and Florida, the agency that permits you.</t>
        </is>
      </c>
      <c r="O19">
        <f>IF(M19="","",IF(ABS(M19)&gt;1,"More than double apart: check the range before the math","Same order of magnitude"))</f>
      </c>
    </row>
    <row r="20" ht="68" customHeight="1">
      <c r="A20" s="14" t="n">
        <v>6</v>
      </c>
      <c r="B20" s="4" t="inlineStr">
        <is>
          <t>Small bake-off shop</t>
        </is>
      </c>
      <c r="C20" t="inlineStr">
        <is>
          <t>Retail food permit</t>
        </is>
      </c>
      <c r="D20" s="18" t="n">
        <v>0.55</v>
      </c>
      <c r="E20" s="18" t="n">
        <v>0.3</v>
      </c>
      <c r="F20" s="18" t="n">
        <v>1</v>
      </c>
      <c r="G20" s="18" t="n">
        <v>0.7</v>
      </c>
      <c r="H20" s="18" t="n">
        <v>0.7</v>
      </c>
      <c r="I20" s="10">
        <f>IFERROR($C$6*D20+$C$7*E20+$C$8*F20+$C$9*G20+$C$10*H20,"")</f>
        <v>85996.97150413225</v>
      </c>
      <c r="J20" s="10">
        <f>IFERROR(I20+$C$11*H20,"")</f>
        <v>129477.66750413225</v>
      </c>
      <c r="K20" s="10"/>
      <c r="L20" s="10"/>
      <c r="M20" s="15">
        <f>IF(OR(K20="",L20=""),"",IFERROR(I20/((K20+L20)/2)-1,""))</f>
      </c>
      <c r="N20" s="4" t="inlineStr">
        <is>
          <t>Bakes off frozen product: ovens and a display case, yes; a real production kitchen, no. It doesn't bake from scratch, so it can't claim to either.</t>
        </is>
      </c>
      <c r="O20">
        <f>IF(M20="","",IF(ABS(M20)&gt;1,"More than double apart: check the range before the math","Same order of magnitude"))</f>
      </c>
    </row>
    <row r="21" ht="68" customHeight="1">
      <c r="A21" s="14" t="n">
        <v>7</v>
      </c>
      <c r="B21" s="4" t="inlineStr">
        <is>
          <t>Large or prime-location shop</t>
        </is>
      </c>
      <c r="C21" t="inlineStr">
        <is>
          <t>Retail food permit</t>
        </is>
      </c>
      <c r="D21" s="18" t="n">
        <v>1.8</v>
      </c>
      <c r="E21" s="18" t="n">
        <v>1.3</v>
      </c>
      <c r="F21" s="18" t="n">
        <v>1.8</v>
      </c>
      <c r="G21" s="18" t="n">
        <v>1.4</v>
      </c>
      <c r="H21" s="18" t="n">
        <v>1.5</v>
      </c>
      <c r="I21" s="10">
        <f>IFERROR($C$6*D21+$C$7*E21+$C$8*F21+$C$9*G21+$C$10*H21,"")</f>
        <v>265154.4898512397</v>
      </c>
      <c r="J21" s="10">
        <f>IFERROR(I21+$C$11*H21,"")</f>
        <v>358327.4098512397</v>
      </c>
      <c r="K21" s="10"/>
      <c r="L21" s="10"/>
      <c r="M21" s="15">
        <f>IF(OR(K21="",L21=""),"",IFERROR(I21/((K21+L21)/2)-1,""))</f>
      </c>
      <c r="N21" s="4" t="inlineStr">
        <is>
          <t>Build-out and rent dominate the investment, and the rent that doesn't show here eats the margin every month. Run the "Takeover vs New Build" sheet with the real rent before you fall in love with the street.</t>
        </is>
      </c>
      <c r="O21">
        <f>IF(M21="","",IF(ABS(M21)&gt;1,"More than double apart: check the range before the math","Same order of magnitude"))</f>
      </c>
    </row>
    <row r="22" ht="68" customHeight="1">
      <c r="A22" s="14" t="n">
        <v>8</v>
      </c>
      <c r="B22" s="4" t="inlineStr">
        <is>
          <t>Bakery franchise</t>
        </is>
      </c>
      <c r="C22" t="inlineStr">
        <is>
          <t>Retail food permit</t>
        </is>
      </c>
      <c r="D22" s="18" t="n">
        <v>1.1</v>
      </c>
      <c r="E22" s="18" t="n">
        <v>1</v>
      </c>
      <c r="F22" s="18" t="n">
        <v>1.2</v>
      </c>
      <c r="G22" s="18" t="n">
        <v>1</v>
      </c>
      <c r="H22" s="18" t="n">
        <v>1.1</v>
      </c>
      <c r="I22" s="10">
        <f>IFERROR($C$6*D22+$C$7*E22+$C$8*F22+$C$9*G22+$C$10*H22,"")</f>
        <v>177427.1583471075</v>
      </c>
      <c r="J22" s="10">
        <f>IFERROR(I22+$C$11*H22,"")</f>
        <v>245753.9663471075</v>
      </c>
      <c r="K22" s="10"/>
      <c r="L22" s="10"/>
      <c r="M22" s="15">
        <f>IF(OR(K22="",L22=""),"",IFERROR(I22/((K22+L22)/2)-1,""))</f>
      </c>
      <c r="N22" s="4" t="inlineStr">
        <is>
          <t>Entry figures vary widely by brand and format: get the franchisor's own numbers in writing, from its FDD. And this sheet leaves out what only the franchisor can tell you: the initial franchise fee and the monthly royalty, which is a cost every month, not part of the investment.</t>
        </is>
      </c>
      <c r="O22">
        <f>IF(M22="","",IF(ABS(M22)&gt;1,"More than double apart: check the range before the math","Same order of magnitude"))</f>
      </c>
    </row>
    <row r="23" ht="68" customHeight="1">
      <c r="A23" s="14" t="n">
        <v>9</v>
      </c>
      <c r="B23" s="4" t="inlineStr">
        <is>
          <t>Wholesale production kitchen for restaurants and cafés</t>
        </is>
      </c>
      <c r="C23" t="inlineStr">
        <is>
          <t>Food permit + FDA food facility registration</t>
        </is>
      </c>
      <c r="D23" s="18" t="n">
        <v>1.4</v>
      </c>
      <c r="E23" s="18" t="n">
        <v>1.6</v>
      </c>
      <c r="F23" s="18" t="n">
        <v>0.2</v>
      </c>
      <c r="G23" s="18" t="n">
        <v>1.1</v>
      </c>
      <c r="H23" s="18" t="n">
        <v>1.3</v>
      </c>
      <c r="I23" s="10">
        <f>IFERROR($C$6*D23+$C$7*E23+$C$8*F23+$C$9*G23+$C$10*H23,"")</f>
        <v>224392.80135537195</v>
      </c>
      <c r="J23" s="10">
        <f>IFERROR(I23+$C$11*H23,"")</f>
        <v>305142.66535537195</v>
      </c>
      <c r="M23" s="15">
        <f>IF(OR(K23="",L23=""),"",IFERROR(I23/((K23+L23)/2)-1,""))</f>
      </c>
      <c r="N23" s="4" t="inlineStr">
        <is>
          <t>No published investment figure. Volume production, invoices on credit terms and almost no display. This is the format where wholesale passes half of your food sales by value, so FDA food facility registration applies (21 CFR 1.227).</t>
        </is>
      </c>
      <c r="O23">
        <f>IF(M23="","",IF(ABS(M23)&gt;1,"More than double apart: check the range before the math","Same order of magnitude"))</f>
      </c>
    </row>
    <row r="24" ht="68" customHeight="1">
      <c r="A24" s="14" t="n">
        <v>10</v>
      </c>
      <c r="B24" s="4" t="inlineStr">
        <is>
          <t>Ventless pastry shop (no Type I hood)</t>
        </is>
      </c>
      <c r="C24" t="inlineStr">
        <is>
          <t>Retail food permit; hood answer in writing</t>
        </is>
      </c>
      <c r="D24" s="18" t="n">
        <v>0.95</v>
      </c>
      <c r="E24" s="18" t="n">
        <v>1.1</v>
      </c>
      <c r="F24" s="18" t="n">
        <v>1</v>
      </c>
      <c r="G24" s="18" t="n">
        <v>1</v>
      </c>
      <c r="H24" s="18" t="n">
        <v>1</v>
      </c>
      <c r="I24" s="10">
        <f>IFERROR($C$6*D24+$C$7*E24+$C$8*F24+$C$9*G24+$C$10*H24,"")</f>
        <v>167179.9621818182</v>
      </c>
      <c r="J24" s="10">
        <f>IFERROR(I24+$C$11*H24,"")</f>
        <v>229295.2421818182</v>
      </c>
      <c r="M24" s="15">
        <f>IF(OR(K24="",L24=""),"",IFERROR(I24/((K24+L24)/2)-1,""))</f>
      </c>
      <c r="N24" s="4" t="inlineStr">
        <is>
          <t>It has no published range because it isn't a business format but a constraint of the space: you skip the Type I hood, the duct and the fire suppression in exchange for all-electric enclosed ovens that need only a Type II hood (or none, if listed to UL 710B) and a menu with no frying. Get the answer in writing from the building department and check it on the "Site Visit Checklist" sheet in kitchen-capacity-and-site.xlsx before you sign.</t>
        </is>
      </c>
      <c r="O24">
        <f>IF(M24="","",IF(ABS(M24)&gt;1,"More than double apart: check the range before the math","Same order of magnitude"))</f>
      </c>
    </row>
    <row r="25"/>
    <row r="26">
      <c r="B26" t="inlineStr">
        <is>
          <t>Variants with a published range</t>
        </is>
      </c>
      <c r="I26" s="14">
        <f>COUNT(K15:K24)</f>
        <v>3.0</v>
      </c>
    </row>
    <row r="27">
      <c r="B27" t="inlineStr">
        <is>
          <t>Variants more than 50% away from the published midpoint</t>
        </is>
      </c>
      <c r="I27" s="14">
        <f>COUNTIF(M15:M24,"&gt;0.5")+COUNTIF(M15:M24,"&lt;-0.5")</f>
        <v>1.0</v>
      </c>
    </row>
    <row r="28"/>
    <row r="29" ht="62" customHeight="1">
      <c r="B29" s="7" t="inlineStr">
        <is>
          <t>THE COEFFICIENTS ARE ASSUMPTIONS, AND EDITABLE ON PURPOSE. They don't come from any statistic: they're each format's reasonable deviation from the central case, there for you to move. What is published data are the two columns on the right: third-party estimates (Zenind, 2026), not an industry average. If your math and the published range are more than double apart, one of the two is wrong, and it's usually the range: almost none of those figures says whether it includes the build-out or counts working capital.</t>
        </is>
      </c>
    </row>
    <row r="30"/>
    <row r="31" ht="48" customHeight="1">
      <c r="B31" s="7" t="inlineStr">
        <is>
          <t>Seven variants carry no range: we found no published US figure we could match to them. In those rows the deviation column is left empty on purpose: a zero there would say the math checks out, when what's really going on is that there's nothing to compare it with. The eleventh format, a rented commissary kitchen, has no row: there's nothing to build, only a monthly rent.</t>
        </is>
      </c>
    </row>
  </sheetData>
  <sheetProtection selectLockedCells="0" selectUnlockedCells="0" sheet="1" objects="0" insertRows="0" insertHyperlinks="1" autoFilter="1" scenarios="0" formatColumns="0" deleteColumns="1" insertColumns="1" pivotTables="1" deleteRows="1" formatCells="1" formatRows="0" sort="0"/>
  <mergeCells count="3">
    <mergeCell ref="B31:N31"/>
    <mergeCell ref="A3:N3"/>
    <mergeCell ref="B29:N29"/>
  </mergeCells>
  <conditionalFormatting sqref="M15:M24">
    <cfRule type="expression" priority="1" dxfId="0" stopIfTrue="1">
      <formula>=AND(ISNUMBER($M15),ABS($M15)&gt;0.5)</formula>
    </cfRule>
  </conditionalFormatting>
  <conditionalFormatting sqref="O15:O24">
    <cfRule type="cellIs" priority="2" operator="equal" dxfId="1" stopIfTrue="1">
      <formula>"More than double apart: check the range before the math"</formula>
    </cfRule>
    <cfRule type="cellIs" priority="3" operator="equal" dxfId="2" stopIfTrue="1">
      <formula>"Same order of magnitude"</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9"/>
  <sheetViews>
    <sheetView workbookViewId="0">
      <selection activeCell="A1" sqref="A1"/>
    </sheetView>
  </sheetViews>
  <sheetFormatPr baseColWidth="8" defaultRowHeight="15"/>
  <cols>
    <col width="52" customWidth="1" min="1" max="1"/>
    <col width="26" customWidth="1" min="2" max="2"/>
    <col width="18" customWidth="1" min="3" max="3"/>
    <col width="12" customWidth="1" min="4" max="4"/>
    <col width="16" customWidth="1" min="5" max="5"/>
    <col width="15" customWidth="1" min="6" max="6"/>
    <col width="14" customWidth="1" min="7" max="7"/>
    <col width="18" customWidth="1" min="8" max="8"/>
    <col width="12" customWidth="1" min="9" max="9"/>
    <col width="78" customWidth="1" min="10" max="10"/>
  </cols>
  <sheetData>
    <row r="1" ht="28" customHeight="1">
      <c r="A1" s="1" t="inlineStr">
        <is>
          <t>Takeover vs. New Build</t>
        </is>
      </c>
    </row>
    <row r="2">
      <c r="A2" t="inlineStr">
        <is>
          <t>AI Chef Pro · aichef.pro — How to Open a Pastry Shop</t>
        </is>
      </c>
    </row>
    <row r="3" ht="26" customHeight="1">
      <c r="A3" s="7" t="inlineStr">
        <is>
          <t>A takeover's asking price isn't what a takeover costs: the rent over the years of the lease weighs more than the price.</t>
        </is>
      </c>
    </row>
    <row r="4"/>
    <row r="5">
      <c r="A5" s="3" t="inlineStr">
        <is>
          <t>The space you're looking at (takeover)</t>
        </is>
      </c>
    </row>
    <row r="6" ht="40" customHeight="1">
      <c r="A6" s="4" t="inlineStr">
        <is>
          <t>Asking price for the takeover</t>
        </is>
      </c>
      <c r="B6" t="inlineStr">
        <is>
          <t>The seller's listing</t>
        </is>
      </c>
      <c r="C6" s="9" t="n">
        <v>43000</v>
      </c>
      <c r="J6" s="4" t="inlineStr">
        <is>
          <t>Seeded with the case's own takeover (915 sq ft), an ASKING price: what the seller wants for the business, its equipment and the lease, not what it would close for.</t>
        </is>
      </c>
    </row>
    <row r="7" ht="40" customHeight="1">
      <c r="A7" s="4" t="inlineStr">
        <is>
          <t>Fit-out you'd still have to pay for</t>
        </is>
      </c>
      <c r="B7" t="inlineStr">
        <is>
          <t>Assumption</t>
        </is>
      </c>
      <c r="C7" s="9" t="n">
        <v>25000</v>
      </c>
      <c r="J7" s="4" t="inlineStr">
        <is>
          <t>A takeover almost never opens as is: paint, display case, sign and the machine that's missing. Walk it with the "Site Visit Checklist" of kitchen-capacity-and-site.xlsx in hand.</t>
        </is>
      </c>
    </row>
    <row r="8" ht="40" customHeight="1">
      <c r="A8" s="4" t="inlineStr">
        <is>
          <t>Monthly rent of the space you'd take over</t>
        </is>
      </c>
      <c r="B8" t="inlineStr">
        <is>
          <t>The seller's listing</t>
        </is>
      </c>
      <c r="C8" s="9" t="n">
        <v>1250</v>
      </c>
      <c r="J8" s="4" t="inlineStr">
        <is>
          <t>Rent from the seller's listing: about $16 per sq ft a year on 915 sq ft. Most listings don't publish the rent, and that already tells you something.</t>
        </is>
      </c>
    </row>
    <row r="9" ht="40" customHeight="1">
      <c r="A9" s="4" t="inlineStr">
        <is>
          <t>Months closed before opening, takeover</t>
        </is>
      </c>
      <c r="B9" t="inlineStr">
        <is>
          <t>Assumption</t>
        </is>
      </c>
      <c r="C9" s="12" t="n">
        <v>1</v>
      </c>
      <c r="J9" s="4" t="inlineStr">
        <is>
          <t>You pay rent from the day you sign and don't sell until you open.</t>
        </is>
      </c>
    </row>
    <row r="10" ht="40" customHeight="1">
      <c r="A10" s="4" t="inlineStr">
        <is>
          <t>Comparable startup costs of the new build (from "Startup Costs by Block")</t>
        </is>
      </c>
      <c r="C10" s="10">
        <f>'Startup Costs by Block'!K51</f>
        <v>160900.33834710746</v>
      </c>
      <c r="J10" s="4" t="inlineStr">
        <is>
          <t>Without the security deposit, packaging or working capital: both sides of the comparison need them equally, so adding them to just one would skew the result.</t>
        </is>
      </c>
    </row>
    <row r="11">
      <c r="A11" t="inlineStr">
        <is>
          <t>Monthly rent of the new-build space</t>
        </is>
      </c>
      <c r="C11" s="10">
        <f>'Settings'!B20</f>
        <v>1200.0</v>
      </c>
    </row>
    <row r="12" ht="40" customHeight="1">
      <c r="A12" t="inlineStr">
        <is>
          <t>Build-out months without sales</t>
        </is>
      </c>
      <c r="B12" t="inlineStr">
        <is>
          <t>Assumption</t>
        </is>
      </c>
      <c r="C12" s="12" t="n">
        <v>4</v>
      </c>
      <c r="J12" s="4" t="inlineStr">
        <is>
          <t>Rent you pay while the space is under construction. It's the line almost nobody includes and the one most like a surprise.</t>
        </is>
      </c>
    </row>
    <row r="13">
      <c r="A13" t="inlineStr">
        <is>
          <t>Comparison horizon (years)</t>
        </is>
      </c>
      <c r="C13" s="14">
        <f>'Settings'!B22</f>
        <v>5.0</v>
      </c>
    </row>
    <row r="14">
      <c r="A14" s="3" t="inlineStr">
        <is>
          <t>The comparison</t>
        </is>
      </c>
    </row>
    <row r="15">
      <c r="A15" s="19" t="inlineStr">
        <is>
          <t>Cost of the takeover over the horizon</t>
        </is>
      </c>
      <c r="C15" s="20">
        <f>IFERROR(C6+C7+C8*12*C13,"")</f>
        <v>143000.0</v>
      </c>
    </row>
    <row r="16">
      <c r="A16" s="19" t="inlineStr">
        <is>
          <t>Cost of the new build over the horizon</t>
        </is>
      </c>
      <c r="C16" s="20">
        <f>IFERROR(C10+C11*12*C13,"")</f>
        <v>232900.33834710746</v>
      </c>
    </row>
    <row r="17">
      <c r="A17" s="19" t="inlineStr">
        <is>
          <t>Rent paid before you're selling, takeover</t>
        </is>
      </c>
      <c r="C17" s="20">
        <f>IFERROR(C8*C9,"")</f>
        <v>1250.0</v>
      </c>
    </row>
    <row r="18">
      <c r="A18" s="19" t="inlineStr">
        <is>
          <t>Rent paid before you're selling, new build</t>
        </is>
      </c>
      <c r="C18" s="20">
        <f>IFERROR(C11*C12,"")</f>
        <v>4800.0</v>
      </c>
    </row>
    <row r="19">
      <c r="A19" s="21" t="inlineStr">
        <is>
          <t>TOTAL for the takeover</t>
        </is>
      </c>
      <c r="C19" s="16">
        <f>IFERROR(C15+C17,"")</f>
        <v>144250.0</v>
      </c>
    </row>
    <row r="20">
      <c r="A20" s="21" t="inlineStr">
        <is>
          <t>TOTAL for the new build</t>
        </is>
      </c>
      <c r="C20" s="16">
        <f>IFERROR(C16+C18,"")</f>
        <v>237700.33834710746</v>
      </c>
    </row>
    <row r="21">
      <c r="A21" s="21" t="inlineStr">
        <is>
          <t>Difference (takeover minus new build)</t>
        </is>
      </c>
      <c r="C21" s="17">
        <f>IFERROR(C19-C20,"")</f>
        <v>-93450.33834710746</v>
      </c>
    </row>
    <row r="22" ht="56" customHeight="1">
      <c r="A22" s="13" t="inlineStr">
        <is>
          <t>VERDICT</t>
        </is>
      </c>
      <c r="C22" s="22" t="str">
        <f>IF(C21="","",IF(C21&lt;0,"The TAKEOVER comes out ahead","The NEW BUILD comes out ahead"))</f>
        <v>The TAKEOVER comes out ahead</v>
      </c>
      <c r="J22" s="4" t="inlineStr">
        <is>
          <t>The verdict compares money, and money isn't everything: a takeover gives you customers and a space that already worked, and ties you to a layout that may not allow a one-way flow. Run the space through the "Site Visit Checklist" of kitchen-capacity-and-site.xlsx before you trust this cell.</t>
        </is>
      </c>
    </row>
    <row r="23"/>
    <row r="24">
      <c r="A24" s="3" t="inlineStr">
        <is>
          <t>Your local takeover listings: the case plus fourteen rows for your area</t>
        </is>
      </c>
    </row>
    <row r="25" ht="30" customHeight="1">
      <c r="A25" s="6" t="inlineStr">
        <is>
          <t>City or area</t>
        </is>
      </c>
      <c r="B25" s="6" t="inlineStr">
        <is>
          <t>Type of business</t>
        </is>
      </c>
      <c r="C25" s="6" t="inlineStr">
        <is>
          <t>Square feet</t>
        </is>
      </c>
      <c r="D25" s="6" t="inlineStr">
        <is>
          <t>Asking price</t>
        </is>
      </c>
      <c r="E25" s="6" t="inlineStr">
        <is>
          <t>Monthly rent</t>
        </is>
      </c>
      <c r="F25" s="6" t="inlineStr">
        <is>
          <t>Dollars per square foot</t>
        </is>
      </c>
      <c r="G25" s="6" t="inlineStr">
        <is>
          <t>Cost over the horizon</t>
        </is>
      </c>
      <c r="H25" s="6" t="inlineStr">
        <is>
          <t>Source</t>
        </is>
      </c>
    </row>
    <row r="26">
      <c r="A26" t="inlineStr">
        <is>
          <t>The space you're looking at (the modeled case)</t>
        </is>
      </c>
      <c r="B26" t="inlineStr">
        <is>
          <t>Pastry and cake shop</t>
        </is>
      </c>
      <c r="C26" s="14" t="n">
        <v>914.9323854203263</v>
      </c>
      <c r="D26" s="10" t="n">
        <v>43000</v>
      </c>
      <c r="E26" s="10" t="n">
        <v>1250</v>
      </c>
      <c r="F26" s="10">
        <f>IF(ISNUMBER(C26),IFERROR(D26/C26,""),"")</f>
        <v>46.99800847058824</v>
      </c>
      <c r="G26" s="10">
        <f>IF(ISNUMBER(E26),IFERROR(D26+E26*12*$C$13,""),"")</f>
        <v>118000.0</v>
      </c>
      <c r="H26" t="inlineStr">
        <is>
          <t>The seller's listing</t>
        </is>
      </c>
    </row>
    <row r="27">
      <c r="A27"/>
      <c r="B27"/>
      <c r="C27" s="14"/>
      <c r="D27" s="10"/>
      <c r="E27" s="10"/>
      <c r="F27" s="10">
        <f>IF(ISNUMBER(C27),IFERROR(D27/C27,""),"")</f>
      </c>
      <c r="G27" s="10">
        <f>IF(ISNUMBER(E27),IFERROR(D27+E27*12*$C$13,""),"")</f>
      </c>
      <c r="H27"/>
    </row>
    <row r="28">
      <c r="A28"/>
      <c r="B28"/>
      <c r="C28" s="14"/>
      <c r="D28" s="10"/>
      <c r="E28" s="10"/>
      <c r="F28" s="10">
        <f>IF(ISNUMBER(C28),IFERROR(D28/C28,""),"")</f>
      </c>
      <c r="G28" s="10">
        <f>IF(ISNUMBER(E28),IFERROR(D28+E28*12*$C$13,""),"")</f>
      </c>
      <c r="H28"/>
    </row>
    <row r="29">
      <c r="A29"/>
      <c r="B29"/>
      <c r="C29" s="14"/>
      <c r="D29" s="10"/>
      <c r="E29" s="10"/>
      <c r="F29" s="10">
        <f>IF(ISNUMBER(C29),IFERROR(D29/C29,""),"")</f>
      </c>
      <c r="G29" s="10">
        <f>IF(ISNUMBER(E29),IFERROR(D29+E29*12*$C$13,""),"")</f>
      </c>
      <c r="H29"/>
    </row>
    <row r="30">
      <c r="A30"/>
      <c r="B30"/>
      <c r="C30" s="14"/>
      <c r="D30" s="10"/>
      <c r="E30" s="10"/>
      <c r="F30" s="10">
        <f>IF(ISNUMBER(C30),IFERROR(D30/C30,""),"")</f>
      </c>
      <c r="G30" s="10">
        <f>IF(ISNUMBER(E30),IFERROR(D30+E30*12*$C$13,""),"")</f>
      </c>
      <c r="H30"/>
    </row>
    <row r="31">
      <c r="A31"/>
      <c r="B31"/>
      <c r="D31" s="10"/>
      <c r="F31" s="10">
        <f>IF(ISNUMBER(C31),IFERROR(D31/C31,""),"")</f>
      </c>
      <c r="G31" s="10">
        <f>IF(ISNUMBER(E31),IFERROR(D31+E31*12*$C$13,""),"")</f>
      </c>
      <c r="H31"/>
    </row>
    <row r="32">
      <c r="A32"/>
      <c r="B32"/>
      <c r="D32" s="10"/>
      <c r="F32" s="10">
        <f>IF(ISNUMBER(C32),IFERROR(D32/C32,""),"")</f>
      </c>
      <c r="G32" s="10">
        <f>IF(ISNUMBER(E32),IFERROR(D32+E32*12*$C$13,""),"")</f>
      </c>
      <c r="H32"/>
    </row>
    <row r="33">
      <c r="A33"/>
      <c r="B33"/>
      <c r="D33" s="10"/>
      <c r="F33" s="10">
        <f>IF(ISNUMBER(C33),IFERROR(D33/C33,""),"")</f>
      </c>
      <c r="G33" s="10">
        <f>IF(ISNUMBER(E33),IFERROR(D33+E33*12*$C$13,""),"")</f>
      </c>
      <c r="H33"/>
    </row>
    <row r="34">
      <c r="A34"/>
      <c r="B34"/>
      <c r="D34" s="10"/>
      <c r="F34" s="10">
        <f>IF(ISNUMBER(C34),IFERROR(D34/C34,""),"")</f>
      </c>
      <c r="G34" s="10">
        <f>IF(ISNUMBER(E34),IFERROR(D34+E34*12*$C$13,""),"")</f>
      </c>
      <c r="H34"/>
    </row>
    <row r="35">
      <c r="A35"/>
      <c r="B35"/>
      <c r="D35" s="10"/>
      <c r="F35" s="10">
        <f>IF(ISNUMBER(C35),IFERROR(D35/C35,""),"")</f>
      </c>
      <c r="G35" s="10">
        <f>IF(ISNUMBER(E35),IFERROR(D35+E35*12*$C$13,""),"")</f>
      </c>
      <c r="H35"/>
    </row>
    <row r="36">
      <c r="A36"/>
      <c r="B36"/>
      <c r="D36" s="10"/>
      <c r="F36" s="10">
        <f>IF(ISNUMBER(C36),IFERROR(D36/C36,""),"")</f>
      </c>
      <c r="G36" s="10">
        <f>IF(ISNUMBER(E36),IFERROR(D36+E36*12*$C$13,""),"")</f>
      </c>
      <c r="H36"/>
    </row>
    <row r="37">
      <c r="A37"/>
      <c r="B37"/>
      <c r="D37" s="10"/>
      <c r="F37" s="10">
        <f>IF(ISNUMBER(C37),IFERROR(D37/C37,""),"")</f>
      </c>
      <c r="G37" s="10">
        <f>IF(ISNUMBER(E37),IFERROR(D37+E37*12*$C$13,""),"")</f>
      </c>
      <c r="H37"/>
    </row>
    <row r="38">
      <c r="A38"/>
      <c r="B38"/>
      <c r="D38" s="10"/>
      <c r="F38" s="10">
        <f>IF(ISNUMBER(C38),IFERROR(D38/C38,""),"")</f>
      </c>
      <c r="G38" s="10">
        <f>IF(ISNUMBER(E38),IFERROR(D38+E38*12*$C$13,""),"")</f>
      </c>
      <c r="H38"/>
    </row>
    <row r="39">
      <c r="A39"/>
      <c r="B39"/>
      <c r="D39" s="10"/>
      <c r="F39" s="10">
        <f>IF(ISNUMBER(C39),IFERROR(D39/C39,""),"")</f>
      </c>
      <c r="G39" s="10">
        <f>IF(ISNUMBER(E39),IFERROR(D39+E39*12*$C$13,""),"")</f>
      </c>
      <c r="H39"/>
    </row>
    <row r="40">
      <c r="A40"/>
      <c r="B40"/>
      <c r="D40" s="10"/>
      <c r="F40" s="10">
        <f>IF(ISNUMBER(C40),IFERROR(D40/C40,""),"")</f>
      </c>
      <c r="G40" s="10">
        <f>IF(ISNUMBER(E40),IFERROR(D40+E40*12*$C$13,""),"")</f>
      </c>
      <c r="H40"/>
    </row>
    <row r="41">
      <c r="A41" s="13" t="inlineStr">
        <is>
          <t>Listings with a published rent</t>
        </is>
      </c>
      <c r="D41" s="14">
        <f>COUNT(E26:E40)</f>
        <v>1.0</v>
      </c>
    </row>
    <row r="42">
      <c r="A42" t="inlineStr">
        <is>
          <t>Lowest asking price</t>
        </is>
      </c>
      <c r="D42" s="10">
        <f>IFERROR(MIN(D26:D40),"")</f>
        <v>43000.0</v>
      </c>
    </row>
    <row r="43">
      <c r="A43" t="inlineStr">
        <is>
          <t>Highest asking price</t>
        </is>
      </c>
      <c r="D43" s="10">
        <f>IFERROR(MAX(D26:D40),"")</f>
        <v>43000.0</v>
      </c>
    </row>
    <row r="44">
      <c r="A44" t="inlineStr">
        <is>
          <t>Average asking price</t>
        </is>
      </c>
      <c r="D44" s="10">
        <f>IFERROR(AVERAGE(D26:D40),"")</f>
        <v>43000.0</v>
      </c>
    </row>
    <row r="45">
      <c r="A45" t="inlineStr">
        <is>
          <t>The one you're asked, vs. the average</t>
        </is>
      </c>
      <c r="D45" s="15">
        <f>IFERROR(C6/D44-1,"")</f>
        <v>0.0</v>
      </c>
    </row>
    <row r="46"/>
    <row r="47" ht="48" customHeight="1">
      <c r="A47" s="7" t="inlineStr">
        <is>
          <t>These are ASKING prices, not prices paid, and none comes with its P&amp;L. Fill rows 2 to 15 with a dozen current listings of bakeries and cafés for sale in your area, from business-for-sale sites such as BizBuySell or BizQuest or through a local business broker, and note the date you read them. They're for seeing the range and negotiating, never for valuing a business. Most listings leave the rent out.</t>
        </is>
      </c>
    </row>
    <row r="48"/>
    <row r="49" ht="48" customHeight="1">
      <c r="A49" s="7" t="inlineStr">
        <is>
          <t>And what no listing brings: the P&amp;L. A takeover is valued by what the business earns, not by what the listing asks. Ask for three years of tax returns and P&amp;Ls, the sales tax returns, the payroll reports and the lease; if they won't show them to you, you already know what you're buying.</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9:J49"/>
    <mergeCell ref="A47:J47"/>
    <mergeCell ref="A3:J3"/>
  </mergeCells>
  <conditionalFormatting sqref="C22">
    <cfRule type="cellIs" priority="1" operator="equal" dxfId="2" stopIfTrue="1">
      <formula>"The TAKEOVER comes out ahead"</formula>
    </cfRule>
    <cfRule type="cellIs" priority="2" operator="equal" dxfId="1" stopIfTrue="1">
      <formula>"The NEW BUILD comes out ahead"</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30"/>
  <sheetViews>
    <sheetView workbookViewId="0">
      <selection activeCell="A1" sqref="A1"/>
    </sheetView>
  </sheetViews>
  <sheetFormatPr baseColWidth="8" defaultRowHeight="15"/>
  <cols>
    <col width="54" customWidth="1" min="1" max="1"/>
    <col width="18" customWidth="1" min="2" max="2"/>
    <col width="18" customWidth="1" min="3" max="3"/>
    <col width="16" customWidth="1" min="4" max="4"/>
    <col width="84" customWidth="1" min="5" max="5"/>
  </cols>
  <sheetData>
    <row r="1" ht="28" customHeight="1">
      <c r="A1" s="1" t="inlineStr">
        <is>
          <t>VAT/GST and Startup Cash</t>
        </is>
      </c>
    </row>
    <row r="2">
      <c r="A2" t="inlineStr">
        <is>
          <t>AI Chef Pro · aichef.pro — How to Open a Pastry Shop</t>
        </is>
      </c>
    </row>
    <row r="3" ht="26" customHeight="1">
      <c r="A3" s="7" t="inlineStr">
        <is>
          <t>In the US, sales tax on what you buy is a cost and never comes back; this sheet's recovery rows are for VAT/GST (UK, Canada, Australia). The cash-out rows work everywhere.</t>
        </is>
      </c>
    </row>
    <row r="4"/>
    <row r="5" ht="30" customHeight="1">
      <c r="A5" s="6" t="inlineStr">
        <is>
          <t>Block</t>
        </is>
      </c>
      <c r="B5" s="6" t="inlineStr">
        <is>
          <t>Pre-tax cost</t>
        </is>
      </c>
      <c r="C5" s="6" t="inlineStr">
        <is>
          <t>Tax paid</t>
        </is>
      </c>
      <c r="D5" s="6" t="inlineStr">
        <is>
          <t>Total with tax</t>
        </is>
      </c>
    </row>
    <row r="6">
      <c r="A6" t="inlineStr">
        <is>
          <t>Build-out and building systems</t>
        </is>
      </c>
      <c r="B6" s="10">
        <f>'Startup Costs by Block'!K39</f>
        <v>81000.00000000001</v>
      </c>
      <c r="C6" s="10">
        <f>'Startup Costs by Block'!L39</f>
        <v>0.0</v>
      </c>
      <c r="D6" s="10">
        <f>'Startup Costs by Block'!M39</f>
        <v>81000.00000000001</v>
      </c>
    </row>
    <row r="7">
      <c r="A7" t="inlineStr">
        <is>
          <t>Production kitchen equipment</t>
        </is>
      </c>
      <c r="B7" s="10">
        <f>'Startup Costs by Block'!K40</f>
        <v>54296.23834710744</v>
      </c>
      <c r="C7" s="10">
        <f>'Startup Costs by Block'!L40</f>
        <v>0.0</v>
      </c>
      <c r="D7" s="10">
        <f>'Startup Costs by Block'!M40</f>
        <v>54296.23834710744</v>
      </c>
    </row>
    <row r="8">
      <c r="A8" t="inlineStr">
        <is>
          <t>Storefront and display</t>
        </is>
      </c>
      <c r="B8" s="10">
        <f>'Startup Costs by Block'!K41</f>
        <v>12684.1</v>
      </c>
      <c r="C8" s="10">
        <f>'Startup Costs by Block'!L41</f>
        <v>0.0</v>
      </c>
      <c r="D8" s="10">
        <f>'Startup Costs by Block'!M41</f>
        <v>12684.1</v>
      </c>
    </row>
    <row r="9">
      <c r="A9" t="inlineStr">
        <is>
          <t>Permits, plans and fees</t>
        </is>
      </c>
      <c r="B9" s="10">
        <f>'Startup Costs by Block'!K42</f>
        <v>7920.0</v>
      </c>
      <c r="C9" s="10">
        <f>'Startup Costs by Block'!L42</f>
        <v>0.0</v>
      </c>
      <c r="D9" s="10">
        <f>'Startup Costs by Block'!M42</f>
        <v>7920.0</v>
      </c>
    </row>
    <row r="10">
      <c r="A10" t="inlineStr">
        <is>
          <t>Security deposit</t>
        </is>
      </c>
      <c r="B10" s="10">
        <f>'Startup Costs by Block'!K43</f>
        <v>2400.0</v>
      </c>
      <c r="C10" s="10">
        <f>'Startup Costs by Block'!L43</f>
        <v>0.0</v>
      </c>
      <c r="D10" s="10">
        <f>'Startup Costs by Block'!M43</f>
        <v>2400.0</v>
      </c>
    </row>
    <row r="11">
      <c r="A11" t="inlineStr">
        <is>
          <t>Opening packaging</t>
        </is>
      </c>
      <c r="B11" s="10">
        <f>'Startup Costs by Block'!K44</f>
        <v>2500.0</v>
      </c>
      <c r="C11" s="10">
        <f>'Startup Costs by Block'!L44</f>
        <v>0.0</v>
      </c>
      <c r="D11" s="10">
        <f>'Startup Costs by Block'!M44</f>
        <v>2500.0</v>
      </c>
    </row>
    <row r="12">
      <c r="A12" t="inlineStr">
        <is>
          <t>Opening marketing</t>
        </is>
      </c>
      <c r="B12" s="10">
        <f>'Startup Costs by Block'!K45</f>
        <v>5000.0</v>
      </c>
      <c r="C12" s="10">
        <f>'Startup Costs by Block'!L45</f>
        <v>0.0</v>
      </c>
      <c r="D12" s="10">
        <f>'Startup Costs by Block'!M45</f>
        <v>5000.0</v>
      </c>
    </row>
    <row r="13">
      <c r="A13" t="inlineStr">
        <is>
          <t>Working capital</t>
        </is>
      </c>
      <c r="B13" s="10">
        <f>'Startup Costs by Block'!K46</f>
        <v>62115.28</v>
      </c>
      <c r="C13" s="10">
        <f>'Startup Costs by Block'!L46</f>
        <v>0.0</v>
      </c>
      <c r="D13" s="10">
        <f>'Startup Costs by Block'!M46</f>
        <v>62115.28</v>
      </c>
    </row>
    <row r="14">
      <c r="A14" s="13" t="inlineStr">
        <is>
          <t>STARTUP COSTS TOTAL</t>
        </is>
      </c>
      <c r="B14" s="16">
        <f>SUM(B6:B13)</f>
        <v>227915.61834710746</v>
      </c>
      <c r="C14" s="16">
        <f>SUM(C6:C13)</f>
        <v>0.0</v>
      </c>
      <c r="D14" s="16">
        <f>SUM(D6:D13)</f>
        <v>227915.61834710746</v>
      </c>
    </row>
    <row r="15">
      <c r="A15" s="3" t="inlineStr">
        <is>
          <t>When it comes back (UK, Canada and Australia only; US sales tax on purchases is a cost and never comes back)</t>
        </is>
      </c>
    </row>
    <row r="16">
      <c r="A16" t="inlineStr">
        <is>
          <t>How often you file your VAT/GST return (months)</t>
        </is>
      </c>
      <c r="B16" s="14">
        <f>'Settings'!B23</f>
        <v>3.0</v>
      </c>
    </row>
    <row r="17">
      <c r="A17" t="inlineStr">
        <is>
          <t>Months until you recover it</t>
        </is>
      </c>
      <c r="B17" s="14">
        <f>'Settings'!B24</f>
        <v>4.0</v>
      </c>
    </row>
    <row r="18" ht="62" customHeight="1">
      <c r="A18" s="13" t="inlineStr">
        <is>
          <t>Tax you pay up front (VAT/GST: recovered later; US sales tax: a cost)</t>
        </is>
      </c>
      <c r="B18" s="16">
        <f>C14</f>
        <v>0.0</v>
      </c>
      <c r="E18" s="4" t="inlineStr">
        <is>
          <t>A VAT/GST-registered business usually offsets it on its returns at the pace it collects tax, not on a fixed date; ask your accountant.</t>
        </is>
      </c>
    </row>
    <row r="19"/>
    <row r="20">
      <c r="A20" s="3" t="inlineStr">
        <is>
          <t>The cash you need the day you open</t>
        </is>
      </c>
    </row>
    <row r="21">
      <c r="A21" t="inlineStr">
        <is>
          <t>Startup costs before tax</t>
        </is>
      </c>
      <c r="B21" s="10">
        <f>B14</f>
        <v>227915.61834710746</v>
      </c>
    </row>
    <row r="22">
      <c r="A22" t="inlineStr">
        <is>
          <t>Tax paid</t>
        </is>
      </c>
      <c r="B22" s="10">
        <f>C14</f>
        <v>0.0</v>
      </c>
    </row>
    <row r="23">
      <c r="A23" s="13" t="inlineStr">
        <is>
          <t>Total cash out, tax included</t>
        </is>
      </c>
      <c r="B23" s="16">
        <f>D14</f>
        <v>227915.61834710746</v>
      </c>
    </row>
    <row r="24">
      <c r="A24" s="4" t="inlineStr">
        <is>
          <t>Of which, working capital (it's cash, not an investment)</t>
        </is>
      </c>
      <c r="B24" s="10">
        <f>'Startup Costs by Block'!K46</f>
        <v>62115.28</v>
      </c>
    </row>
    <row r="25">
      <c r="A25" t="inlineStr">
        <is>
          <t>Bank financing available</t>
        </is>
      </c>
      <c r="B25" s="10">
        <f>'Settings'!B25</f>
        <v>60000.0</v>
      </c>
    </row>
    <row r="26">
      <c r="A26" s="13" t="inlineStr">
        <is>
          <t>Owner's cash needed</t>
        </is>
      </c>
      <c r="B26" s="16">
        <f>IFERROR(B23-B25,"")</f>
        <v>167915.61834710746</v>
      </c>
    </row>
    <row r="27" ht="44" customHeight="1">
      <c r="A27" t="inlineStr">
        <is>
          <t>Months of fixed costs the working capital covers</t>
        </is>
      </c>
      <c r="B27" s="23">
        <f>IFERROR(B24/'Settings'!B18,"")</f>
        <v>4.0</v>
      </c>
      <c r="E27" s="4" t="inlineStr">
        <is>
          <t>Below the minimum cushion in "Settings", the business depends on selling from the first week. It's the most common reason a shop that otherwise worked has to close.</t>
        </is>
      </c>
    </row>
    <row r="28">
      <c r="A28" s="13" t="inlineStr">
        <is>
          <t>CASH VERDICT</t>
        </is>
      </c>
      <c r="B28" s="22" t="str">
        <f>IF(B26="","",IF(B26&lt;=0,"The financing covers the cash out",IF(B27&lt;'Settings'!$B$17,"Cushion too thin: review your working capital","You need to put in your own cash")))</f>
        <v>You need to put in your own cash</v>
      </c>
    </row>
    <row r="29"/>
    <row r="30" ht="40" customHeight="1">
      <c r="A30" s="7" t="inlineStr">
        <is>
          <t>Needing your own cash isn't bad news: lenders rarely finance all of an opening, and one that did would leave you no room to maneuver. What is bad news is finding out the month you sign.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0:E30"/>
  </mergeCells>
  <conditionalFormatting sqref="B27">
    <cfRule type="expression" priority="1" dxfId="0" stopIfTrue="1">
      <formula>=AND(ISNUMBER($B$27),$B$27&lt;'Settings'!$B$17)</formula>
    </cfRule>
  </conditionalFormatting>
  <conditionalFormatting sqref="B28">
    <cfRule type="cellIs" priority="2" operator="equal" dxfId="0" stopIfTrue="1">
      <formula>"Cushion too thin: review your working capital"</formula>
    </cfRule>
    <cfRule type="cellIs" priority="3" operator="equal" dxfId="1" stopIfTrue="1">
      <formula>"You need to put in your own cash"</formula>
    </cfRule>
    <cfRule type="cellIs" priority="4" operator="equal" dxfId="2" stopIfTrue="1">
      <formula>"The financing covers the cash out"</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23"/>
  <sheetViews>
    <sheetView workbookViewId="0">
      <selection activeCell="A1" sqref="A1"/>
    </sheetView>
  </sheetViews>
  <sheetFormatPr baseColWidth="8" defaultRowHeight="15"/>
  <cols>
    <col width="58" customWidth="1" min="1" max="1"/>
    <col width="20" customWidth="1" min="2" max="2"/>
    <col width="22" customWidth="1" min="3" max="3"/>
    <col width="84" customWidth="1" min="4" max="4"/>
  </cols>
  <sheetData>
    <row r="1" ht="28" customHeight="1">
      <c r="A1" s="1" t="inlineStr">
        <is>
          <t>Summary</t>
        </is>
      </c>
    </row>
    <row r="2">
      <c r="A2" t="inlineStr">
        <is>
          <t>AI Chef Pro · aichef.pro — How to Open a Pastry Shop</t>
        </is>
      </c>
    </row>
    <row r="3" ht="26" customHeight="1">
      <c r="A3" s="7" t="inlineStr">
        <is>
          <t>The figures to take to the lender. All calculated from the previous sheets; nothing is typed here.</t>
        </is>
      </c>
    </row>
    <row r="4"/>
    <row r="5" ht="30" customHeight="1">
      <c r="A5" s="6" t="inlineStr">
        <is>
          <t>Figure</t>
        </is>
      </c>
      <c r="B5" s="6" t="inlineStr">
        <is>
          <t>Value</t>
        </is>
      </c>
      <c r="C5" s="6" t="inlineStr">
        <is>
          <t>Where it comes from</t>
        </is>
      </c>
      <c r="D5" s="6" t="inlineStr">
        <is>
          <t>What it says</t>
        </is>
      </c>
    </row>
    <row r="6" ht="40" customHeight="1">
      <c r="A6" s="4" t="inlineStr">
        <is>
          <t>Build-out scenario chosen</t>
        </is>
      </c>
      <c r="B6" t="str">
        <f>'Settings'!B10</f>
        <v>Middle</v>
      </c>
      <c r="C6" t="inlineStr">
        <is>
          <t>Settings</t>
        </is>
      </c>
      <c r="D6" s="4" t="inlineStr">
        <is>
          <t>Low, middle or high. Changing it recalculates the whole workbook.</t>
        </is>
      </c>
    </row>
    <row r="7" ht="40" customHeight="1">
      <c r="A7" s="4" t="inlineStr">
        <is>
          <t>Build-out</t>
        </is>
      </c>
      <c r="B7" s="10">
        <f>'Settings'!B12</f>
        <v>81000.00000000001</v>
      </c>
      <c r="C7" t="inlineStr">
        <is>
          <t>Settings</t>
        </is>
      </c>
      <c r="D7" s="4" t="inlineStr">
        <is>
          <t>Square feet times the scenario's price. The biggest line and the one that overruns most during construction.</t>
        </is>
      </c>
    </row>
    <row r="8" ht="40" customHeight="1">
      <c r="A8" s="4" t="inlineStr">
        <is>
          <t>Total startup costs before tax</t>
        </is>
      </c>
      <c r="B8" s="10">
        <f>'Startup Costs by Block'!K47</f>
        <v>227915.61834710746</v>
      </c>
      <c r="C8" t="inlineStr">
        <is>
          <t>Startup Costs by Block</t>
        </is>
      </c>
      <c r="D8" s="4" t="inlineStr">
        <is>
          <t>Everything on a pre-tax basis: it's the figure you compare with any other budget.</t>
        </is>
      </c>
    </row>
    <row r="9" ht="40" customHeight="1">
      <c r="A9" s="4" t="inlineStr">
        <is>
          <t>Tax paid</t>
        </is>
      </c>
      <c r="B9" s="10">
        <f>'Startup Costs by Block'!L47</f>
        <v>0.0</v>
      </c>
      <c r="C9" t="inlineStr">
        <is>
          <t>Startup Costs by Block</t>
        </is>
      </c>
      <c r="D9" s="4" t="inlineStr">
        <is>
          <t>In the US, sales tax on purchases is a cost you don't get back; with VAT/GST, money you front and recover at the pace you sell.</t>
        </is>
      </c>
    </row>
    <row r="10" ht="40" customHeight="1">
      <c r="A10" s="4" t="inlineStr">
        <is>
          <t>Total cash out, tax included</t>
        </is>
      </c>
      <c r="B10" s="10">
        <f>'Startup Costs by Block'!M47</f>
        <v>227915.61834710746</v>
      </c>
      <c r="C10" t="inlineStr">
        <is>
          <t>Startup Costs by Block</t>
        </is>
      </c>
      <c r="D10" s="4" t="inlineStr">
        <is>
          <t>What leaves the account. It's the number for the conversation with the lender.</t>
        </is>
      </c>
    </row>
    <row r="11" ht="40" customHeight="1">
      <c r="A11" s="4" t="inlineStr">
        <is>
          <t>Subtotal comparable with published figures</t>
        </is>
      </c>
      <c r="B11" s="10">
        <f>'Startup Costs by Block'!K51</f>
        <v>160900.33834710746</v>
      </c>
      <c r="C11" t="inlineStr">
        <is>
          <t>Startup Costs by Block</t>
        </is>
      </c>
      <c r="D11" s="4" t="inlineStr">
        <is>
          <t>Build-out, equipment, storefront, permits and marketing: what published estimates usually include.</t>
        </is>
      </c>
    </row>
    <row r="12" ht="40" customHeight="1">
      <c r="A12" s="4" t="inlineStr">
        <is>
          <t>Deviation from the published reference</t>
        </is>
      </c>
      <c r="B12" s="15">
        <f>'Startup Costs by Block'!K53</f>
      </c>
      <c r="C12" t="inlineStr">
        <is>
          <t>Startup Costs by Block</t>
        </is>
      </c>
      <c r="D12" s="4" t="inlineStr">
        <is>
          <t>Compare it with a published reference you trust (K52 on "Startup Costs by Block"): the deviation gets explained, not dressed up.</t>
        </is>
      </c>
    </row>
    <row r="13" ht="40" customHeight="1">
      <c r="A13" s="4" t="inlineStr">
        <is>
          <t>Production kitchen equipment</t>
        </is>
      </c>
      <c r="B13" s="10">
        <f>'Startup Costs by Block'!K40</f>
        <v>54296.23834710744</v>
      </c>
      <c r="C13" t="inlineStr">
        <is>
          <t>Startup Costs by Block</t>
        </is>
      </c>
      <c r="D13" s="4" t="inlineStr">
        <is>
          <t>Without the optional items, which come marked "No".</t>
        </is>
      </c>
    </row>
    <row r="14" ht="40" customHeight="1">
      <c r="A14" s="4" t="inlineStr">
        <is>
          <t>Storefront and display</t>
        </is>
      </c>
      <c r="B14" s="10">
        <f>'Startup Costs by Block'!K41</f>
        <v>12684.1</v>
      </c>
      <c r="C14" t="inlineStr">
        <is>
          <t>Startup Costs by Block</t>
        </is>
      </c>
      <c r="D14" s="4" t="inlineStr">
        <is>
          <t>Display cases, front-counter fixtures and POS.</t>
        </is>
      </c>
    </row>
    <row r="15" ht="40" customHeight="1">
      <c r="A15" s="4" t="inlineStr">
        <is>
          <t>Working capital</t>
        </is>
      </c>
      <c r="B15" s="10">
        <f>'Startup Costs by Block'!K46</f>
        <v>62115.28</v>
      </c>
      <c r="C15" t="inlineStr">
        <is>
          <t>Startup Costs by Block</t>
        </is>
      </c>
      <c r="D15" s="4" t="inlineStr">
        <is>
          <t>Months of cushion times fixed costs. It's a startup cost, not caution.</t>
        </is>
      </c>
    </row>
    <row r="16" ht="40" customHeight="1">
      <c r="A16" s="4" t="inlineStr">
        <is>
          <t>Owner's cash needed</t>
        </is>
      </c>
      <c r="B16" s="10">
        <f>'VAT-GST &amp; Cash'!B26</f>
        <v>167915.61834710746</v>
      </c>
      <c r="C16" t="inlineStr">
        <is>
          <t>VAT-GST &amp; Cash</t>
        </is>
      </c>
      <c r="D16" s="4" t="inlineStr">
        <is>
          <t>Total cash out minus bank financing.</t>
        </is>
      </c>
    </row>
    <row r="17" ht="40" customHeight="1">
      <c r="A17" s="4" t="inlineStr">
        <is>
          <t>Months of fixed costs covered</t>
        </is>
      </c>
      <c r="B17" s="23">
        <f>'VAT-GST &amp; Cash'!B27</f>
        <v>4.0</v>
      </c>
      <c r="C17" t="inlineStr">
        <is>
          <t>VAT-GST &amp; Cash</t>
        </is>
      </c>
      <c r="D17" s="4" t="inlineStr">
        <is>
          <t>Below three, the business depends on selling from the first week.</t>
        </is>
      </c>
    </row>
    <row r="18" ht="40" customHeight="1">
      <c r="A18" s="4" t="inlineStr">
        <is>
          <t>Cash verdict</t>
        </is>
      </c>
      <c r="B18" t="str">
        <f>'VAT-GST &amp; Cash'!B28</f>
        <v>You need to put in your own cash</v>
      </c>
      <c r="C18" t="inlineStr">
        <is>
          <t>VAT-GST &amp; Cash</t>
        </is>
      </c>
      <c r="D18" s="4" t="inlineStr">
        <is>
          <t>Whether the financing covers the cash out or you need to put in money.</t>
        </is>
      </c>
    </row>
    <row r="19" ht="40" customHeight="1">
      <c r="A19" s="4" t="inlineStr">
        <is>
          <t>Cost of the takeover over the horizon</t>
        </is>
      </c>
      <c r="B19" s="10">
        <f>'Takeover vs New Build'!C19</f>
        <v>144250.0</v>
      </c>
      <c r="C19" t="inlineStr">
        <is>
          <t>Takeover vs New Build</t>
        </is>
      </c>
      <c r="D19" s="4" t="inlineStr">
        <is>
          <t>Asking price, fit-out and rent for every year, plus the months closed before opening.</t>
        </is>
      </c>
    </row>
    <row r="20" ht="40" customHeight="1">
      <c r="A20" s="4" t="inlineStr">
        <is>
          <t>Cost of the new build over the horizon</t>
        </is>
      </c>
      <c r="B20" s="10">
        <f>'Takeover vs New Build'!C20</f>
        <v>237700.33834710746</v>
      </c>
      <c r="C20" t="inlineStr">
        <is>
          <t>Takeover vs New Build</t>
        </is>
      </c>
      <c r="D20" s="4" t="inlineStr">
        <is>
          <t>Comparable startup costs and rent for every year, plus the build-out months.</t>
        </is>
      </c>
    </row>
    <row r="21" ht="40" customHeight="1">
      <c r="A21" s="4" t="inlineStr">
        <is>
          <t>Takeover or new build</t>
        </is>
      </c>
      <c r="B21" t="str">
        <f>'Takeover vs New Build'!C22</f>
        <v>The TAKEOVER comes out ahead</v>
      </c>
      <c r="C21" t="inlineStr">
        <is>
          <t>Takeover vs New Build</t>
        </is>
      </c>
      <c r="D21" s="4" t="inlineStr">
        <is>
          <t>It compares money. The layout of the space and the existing customers don't show up in this cell.</t>
        </is>
      </c>
    </row>
    <row r="22"/>
    <row r="23" ht="40" customHeight="1">
      <c r="A23" s="7" t="inlineStr">
        <is>
          <t>If any of these figures doesn't add up for you, don't change it here: this sheet doesn't have a single editable cell. Go back to the sheet where it's born and change the setting or the amount. That's what keeps a summary and its source from saying different things.</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D3"/>
    <mergeCell ref="A23:D23"/>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Startup Cost Calculator (CAPEX)</dc:title>
  <dc:subject xmlns:dc="http://purl.org/dc/elements/1.1/">How to Open a Pastry Shop · Version 1.0 · October 2026</dc:subject>
  <dcterms:created xmlns:dcterms="http://purl.org/dc/terms/" xmlns:xsi="http://www.w3.org/2001/XMLSchema-instance" xsi:type="dcterms:W3CDTF">2026-09-12T09:53:24Z</dcterms:created>
  <dcterms:modified xmlns:dcterms="http://purl.org/dc/terms/" xmlns:xsi="http://www.w3.org/2001/XMLSchema-instance" xsi:type="dcterms:W3CDTF">2026-10-17T08:00:00Z</dcterms:modified>
  <cp:lastModifiedBy>AI Chef Pro</cp:lastModifiedBy>
</cp:coreProperties>
</file>