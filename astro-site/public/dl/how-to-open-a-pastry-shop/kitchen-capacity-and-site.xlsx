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tings" sheetId="2" state="visible" r:id="rId2"/>
    <sheet xmlns:r="http://schemas.openxmlformats.org/officeDocument/2006/relationships" name="Zones and Square Feet" sheetId="3" state="visible" r:id="rId3"/>
    <sheet xmlns:r="http://schemas.openxmlformats.org/officeDocument/2006/relationships" name="Capacity by Equipment" sheetId="4" state="visible" r:id="rId4"/>
    <sheet xmlns:r="http://schemas.openxmlformats.org/officeDocument/2006/relationships" name="Bottleneck" sheetId="5" state="visible" r:id="rId5"/>
    <sheet xmlns:r="http://schemas.openxmlformats.org/officeDocument/2006/relationships" name="Site Visit Checklist" sheetId="6" state="visible" r:id="rId6"/>
  </sheets>
  <definedNames>
    <definedName name="_xlnm.Print_Titles" localSheetId="1">'Settings'!$5:$5</definedName>
    <definedName name="_xlnm.Print_Titles" localSheetId="2">'Zones and Square Feet'!$5:$5</definedName>
    <definedName name="_xlnm.Print_Titles" localSheetId="3">'Capacity by Equipment'!$5:$5</definedName>
    <definedName name="_xlnm.Print_Titles" localSheetId="4">'Bottleneck'!$17:$17</definedName>
    <definedName name="_xlnm.Print_Titles" localSheetId="5">'Site Visit Checklist'!$5:$5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3" fontId="0" fillId="2" borderId="0" applyProtection="1" pivotButton="0" quotePrefix="0" xfId="0">
      <protection locked="0" hidden="0"/>
    </xf>
    <xf numFmtId="165" fontId="0" fillId="2" borderId="0" applyProtection="1" pivotButton="0" quotePrefix="0" xfId="0">
      <protection locked="0" hidden="0"/>
    </xf>
    <xf numFmtId="3" fontId="0" fillId="0" borderId="0" pivotButton="0" quotePrefix="0" xfId="0"/>
    <xf numFmtId="0" fontId="3" fillId="0" borderId="0" pivotButton="0" quotePrefix="0" xfId="0"/>
    <xf numFmtId="165" fontId="0" fillId="0" borderId="0" pivotButton="0" quotePrefix="0" xfId="0"/>
    <xf numFmtId="164" fontId="6" fillId="4" borderId="0" pivotButton="0" quotePrefix="0" xfId="0"/>
    <xf numFmtId="165" fontId="3" fillId="0" borderId="0" pivotButton="0" quotePrefix="0" xfId="0"/>
    <xf numFmtId="164" fontId="0" fillId="0" borderId="0" pivotButton="0" quotePrefix="0" xfId="0"/>
    <xf numFmtId="0" fontId="6" fillId="4" borderId="0" pivotButton="0" quotePrefix="0" xfId="0"/>
    <xf numFmtId="3" fontId="6" fillId="4"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AI Chef Pro</author>
  </authors>
  <commentList>
    <comment ref="A21" authorId="0" shapeId="0">
      <text>
        <t>Verified October 2026 · International Mechanical Code §507 (hoods), as adopted in Minnesota Rule 1346.0507 (Type I and Type II hoods; the airflow per kW in this row is a sizing rule of thumb, not a code figure) · https://www.revisor.mn.gov/rules/pdf/1346.0507/2015-01-28%2011:30:27+00:00</t>
      </text>
    </comment>
  </commentList>
</comments>
</file>

<file path=xl/comments/comment2.xml><?xml version="1.0" encoding="utf-8"?>
<comments xmlns="http://schemas.openxmlformats.org/spreadsheetml/2006/main">
  <authors>
    <author>AI Chef Pro</author>
  </authors>
  <commentList>
    <comment ref="G6" authorId="0" shapeId="0">
      <text>
        <t>Verified October 2026 · FDA Food Code 2022, 5-203.11 (hand sinks) and 8-201.11 and 8-201.12 (plan review: layout, equipment and finishes) · https://www.fda.gov/media/164194/download</t>
      </text>
    </comment>
    <comment ref="G9" authorId="0" shapeId="0">
      <text>
        <t>Verified October 2026 · FDA Food Code 2022, 3-501.16 (cold holding of TCS food at 41 °F or below) · https://www.fda.gov/media/164194/download</t>
      </text>
    </comment>
  </commentList>
</comments>
</file>

<file path=xl/comments/comment3.xml><?xml version="1.0" encoding="utf-8"?>
<comments xmlns="http://schemas.openxmlformats.org/spreadsheetml/2006/main">
  <authors>
    <author>AI Chef Pro</author>
  </authors>
  <commentList>
    <comment ref="B12" authorId="0" shapeId="0">
      <text>
        <t>Verified October 2026 · FDA Food Code 2022, 3-501.14 (cooling cooked TCS food from 135 °F to 70 °F within 2 hours and to 41 °F within a total of 6 hours) · https://www.fda.gov/media/164194/download</t>
      </text>
    </comment>
    <comment ref="B13" authorId="0" shapeId="0">
      <text>
        <t>Verified October 2026 · FDA Food Code 2022, 3-501.16 (cold holding of TCS food at 41 °F or below) · https://www.fda.gov/media/164194/download</t>
      </text>
    </comment>
  </commentList>
</comments>
</file>

<file path=xl/comments/comment4.xml><?xml version="1.0" encoding="utf-8"?>
<comments xmlns="http://schemas.openxmlformats.org/spreadsheetml/2006/main">
  <authors>
    <author>AI Chef Pro</author>
  </authors>
  <commentList>
    <comment ref="D6" authorId="0" shapeId="0">
      <text>
        <t>Verified October 2026 · International Mechanical Code §507 (hoods), as adopted in Minnesota Rule 1346.0507 (Type I and Type II hoods; the airflow per kW in this row is a sizing rule of thumb, not a code figure) · https://www.revisor.mn.gov/rules/pdf/1346.0507/2015-01-28%2011:30:27+00:00</t>
      </text>
    </comment>
    <comment ref="J7" authorId="0" shapeId="0">
      <text>
        <t>Verified October 2026 · International Mechanical Code §507 (hoods), as adopted in Minnesota Rule 1346.0507 (Type I and Type II hoods; the airflow per kW in this row is a sizing rule of thumb, not a code figure) · https://www.revisor.mn.gov/rules/pdf/1346.0507/2015-01-28%2011:30:27+00:00</t>
      </text>
    </comment>
    <comment ref="J14" authorId="0" shapeId="0">
      <text>
        <t>Verified October 2026 · FDA Food Code 2022, 5-203.11 (hand sinks) and 8-201.11 and 8-201.12 (plan review: layout, equipment and finishes) · https://www.fda.gov/media/164194/download</t>
      </text>
    </comment>
    <comment ref="J21" authorId="0" shapeId="0">
      <text>
        <t>Verified October 2026 · ADA Standards for Accessible Design, §904.4.1 (sales and service counters) · https://www.access-board.gov/ada/chapter/ch09/</t>
      </text>
    </comment>
    <comment ref="J22" authorId="0" shapeId="0">
      <text>
        <t>Gas piping permits and inspections vary by city and by utility, and no single national rule covers them: ask the building department and the gas utility.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5"/>
  <sheetViews>
    <sheetView workbookViewId="0">
      <selection activeCell="A1" sqref="A1"/>
    </sheetView>
  </sheetViews>
  <sheetFormatPr baseColWidth="8" defaultRowHeight="15"/>
  <cols>
    <col width="46" customWidth="1" min="1" max="1"/>
    <col width="46" customWidth="1" min="2" max="2"/>
    <col width="46" customWidth="1" min="3" max="3"/>
  </cols>
  <sheetData>
    <row r="1" ht="30" customHeight="1">
      <c r="A1" s="1" t="inlineStr">
        <is>
          <t>Kitchen Capacity and Site Visit Checklist</t>
        </is>
      </c>
    </row>
    <row r="2">
      <c r="A2" t="inlineStr">
        <is>
          <t>AI Chef Pro · aichef.pro — How to Open a Pastry Shop</t>
        </is>
      </c>
    </row>
    <row r="3">
      <c r="A3" s="2" t="inlineStr">
        <is>
          <t>Purpose: decide whether THAT space works and how many pieces a day the equipment you're buying can handle.</t>
        </is>
      </c>
    </row>
    <row r="4"/>
    <row r="5">
      <c r="A5" s="3" t="inlineStr">
        <is>
          <t>How to use it</t>
        </is>
      </c>
    </row>
    <row r="6" ht="62" customHeight="1">
      <c r="A6" s="4" t="inlineStr">
        <is>
          <t>1. "Settings" sheet: start here. Shift hours, shifts per day, pieces you want to turn out, square footage, power and fuel type of the ovens. Everything else in the workbook recalculates from here; there isn't a single number hidden inside a formula.</t>
        </is>
      </c>
    </row>
    <row r="7" ht="62" customHeight="1">
      <c r="A7" s="4" t="inlineStr">
        <is>
          <t>2. "Zones and Square Feet" sheet: split the square feet among the seven zones and number the one-way flow route from 1 to 7. The sheet tells you whether the split matches the declared square footage, what share of the space is production kitchen and whether the route has a crossing.</t>
        </is>
      </c>
    </row>
    <row r="8" ht="62" customHeight="1">
      <c r="A8" s="4" t="inlineStr">
        <is>
          <t>3. "Capacity by Equipment" sheet: one row per machine. Say whether you have it, how much fits in a cycle, how many pieces come out of that amount, how many minutes the cycle lasts and what share of your assortment goes through it. The sheet returns the pieces per day THAT machine allows the whole production kitchen.</t>
        </is>
      </c>
    </row>
    <row r="9" ht="62" customHeight="1">
      <c r="A9" s="4" t="inlineStr">
        <is>
          <t>4. "Bottleneck" sheet: the result. Which machine is in charge, how many pieces a day the whole kitchen can handle, how much cushion you have over a normal day and what happens in each of the six peaks of the year. This is where you see whether Three Kings Day fits in the production kitchen you're buying.</t>
        </is>
      </c>
    </row>
    <row r="10" ht="62" customHeight="1">
      <c r="A10" s="4" t="inlineStr">
        <is>
          <t>5. "Site Visit Checklist" sheet: print it and take it to every visit. Eighteen checks, eight of them deal-breakers. A single "No" on a deal-breaker item and the verdict is RULE OUT: it's not pessimism, it's that the defect can't be fixed with reasonable money.</t>
        </is>
      </c>
    </row>
    <row r="11"/>
    <row r="12">
      <c r="A12" s="5" t="inlineStr">
        <is>
          <t>Green cells = fields you can edit</t>
        </is>
      </c>
    </row>
    <row r="13"/>
    <row r="14">
      <c r="A14" s="3" t="inlineStr">
        <is>
          <t>What to know before you start</t>
        </is>
      </c>
    </row>
    <row r="15" ht="62" customHeight="1">
      <c r="A15" s="4" t="inlineStr">
        <is>
          <t>THIS WORKBOOK DECIDES A PURCHASE, NOT A WORK WEEK. Day-to-day production -what gets made on Tuesday and how much- belongs with your daily task checklists. Here we only answer how many pieces a day the equipment you're about to pay for allows, the question you can't answer after you've bought.</t>
        </is>
      </c>
    </row>
    <row r="16" ht="62" customHeight="1">
      <c r="A16" s="4" t="inlineStr">
        <is>
          <t>THE SHARE OF THE ASSORTMENT IS THE COLUMN MOST OFTEN FORGOTTEN. A blast chiller that 40% of what you make goes through, and that chills 192 pieces a day, doesn't limit your kitchen to 192 pieces: it limits it to 480. Without that column, any capacity calculation comes out wrong, and always on the low side.</t>
        </is>
      </c>
    </row>
    <row r="17" ht="62" customHeight="1">
      <c r="A17" s="4" t="inlineStr">
        <is>
          <t>PEAKS AREN'T SOLVED WITH OVERTIME. Three Kings Day multiplies a normal day's production by six. No team absorbs that: you absorb it with scheduled freezing, shelf-stable product made ahead and custom orders closed in advance. The peak calendar and what to do in each one belong in your annual task calendar and daily task checklists; the dollars of each campaign are in seasonal-peaks-planner.xlsx.</t>
        </is>
      </c>
    </row>
    <row r="18" ht="62" customHeight="1">
      <c r="A18" s="4" t="inlineStr">
        <is>
          <t>THE HOOD IS DECIDED BY TYPE, NOT BY ONE NUMBER. In the US the hood type follows the appliance, its listing and the mechanical code your jurisdiction has adopted (IMC 507): Type I with grease duct and fire suppression where appliances give off grease or smoke, Type II for heat and steam, and none for a single light-duty electric oven or an appliance listed to UL 710B. Get the answer in writing from the building or mechanical department. The airflow on the "Settings" sheet is a sizing rule of thumb, not a legal threshold.</t>
        </is>
      </c>
    </row>
    <row r="19" ht="62" customHeight="1">
      <c r="A19" s="4" t="inlineStr">
        <is>
          <t>PRICES AND LEAD TIMES AREN'T HERE. What each machine costs and how many weeks it takes to arrive are in startup-cost-calculator.xlsx and equipment-and-suppliers-checklist.xlsx. This workbook only looks at what the machines produce.</t>
        </is>
      </c>
    </row>
    <row r="20"/>
    <row r="21">
      <c r="A21" s="3" t="inlineStr">
        <is>
          <t>Where this workbook ends and your task calendar and checklists begin</t>
        </is>
      </c>
    </row>
    <row r="22" ht="26" customHeight="1">
      <c r="A22" s="6" t="inlineStr">
        <is>
          <t>What you need</t>
        </is>
      </c>
      <c r="B22" s="6" t="inlineStr">
        <is>
          <t>Where it is</t>
        </is>
      </c>
      <c r="C22" s="6" t="inlineStr">
        <is>
          <t>Why it isn't here</t>
        </is>
      </c>
    </row>
    <row r="23" ht="54" customHeight="1">
      <c r="A23" s="4" t="inlineStr">
        <is>
          <t>What gets produced each day of the week and in what order</t>
        </is>
      </c>
      <c r="B23" s="4" t="inlineStr">
        <is>
          <t>Your production schedule (daily task checklists)</t>
        </is>
      </c>
      <c r="C23" s="4" t="inlineStr">
        <is>
          <t>That's the operation of the production kitchen you ALREADY have. This workbook decides the purchase: how many pieces a day the machine allows.</t>
        </is>
      </c>
    </row>
    <row r="24" ht="54" customHeight="1">
      <c r="A24" s="4" t="inlineStr">
        <is>
          <t>The dates of each campaign and what you do in each one</t>
        </is>
      </c>
      <c r="B24" s="4" t="inlineStr">
        <is>
          <t>Your annual task calendar</t>
        </is>
      </c>
      <c r="C24" s="4" t="inlineStr">
        <is>
          <t>Your task calendar sets the dates and the what. Here the peak enters only as a multiplier of pieces per day; each campaign's dollars are in seasonal-peaks-planner.xlsx.</t>
        </is>
      </c>
    </row>
    <row r="25" ht="54" customHeight="1">
      <c r="A25" s="4" t="inlineStr">
        <is>
          <t>How many people you need and what they cost with payroll taxes</t>
        </is>
      </c>
      <c r="B25" s="4" t="inlineStr">
        <is>
          <t>staff-schedule-and-labor-cost.xlsx</t>
        </is>
      </c>
      <c r="C25" s="4" t="inlineStr">
        <is>
          <t>Here the shift hours are a capacity parameter, not a staffing plan.</t>
        </is>
      </c>
    </row>
    <row r="26" ht="54" customHeight="1">
      <c r="A26" s="4" t="inlineStr">
        <is>
          <t>What each machine costs and how long it takes to arrive</t>
        </is>
      </c>
      <c r="B26" s="4" t="inlineStr">
        <is>
          <t>startup-cost-calculator.xlsx and equipment-and-suppliers-checklist.xlsx</t>
        </is>
      </c>
      <c r="C26" s="4" t="inlineStr">
        <is>
          <t>Price and lead time don't change capacity. They're kept apart on purpose so you can decide first what you need and then what it costs.</t>
        </is>
      </c>
    </row>
    <row r="27" ht="56" customHeight="1">
      <c r="A27" s="7" t="inlineStr">
        <is>
          <t>It's a declared COPY, not a link: nowhere in this guide's workbooks is there a formula pointing to another file. A link between workbooks breaks as soon as someone moves a folder, and then the workbook lies without telling you. Where a green cell would bring in data from another workbook or from your own records, it comes with its own default value, declared as an assumption, and its note tells you what replaces it.</t>
        </is>
      </c>
    </row>
    <row r="28"/>
    <row r="29">
      <c r="A29" s="3" t="inlineStr">
        <is>
          <t>How often to use this workbook</t>
        </is>
      </c>
    </row>
    <row r="30" ht="44" customHeight="1">
      <c r="A30" s="4" t="inlineStr">
        <is>
          <t>Cadence: the "Site Visit Checklist" sheet, ONCE PER SPACE you visit, and you keep it even if you rule the space out -comparing three spaces is what shows you what you're accepting-. The capacity sheets, every time you change a piece of equipment in the budget and, after you open, ONCE A YEAR before the Three Kings Day campaign.</t>
        </is>
      </c>
    </row>
    <row r="31"/>
    <row r="32">
      <c r="A32" s="4" t="inlineStr">
        <is>
          <t>To edit the structure or a cell that isn't green: Review &gt; Unprotect Sheet (no password).</t>
        </is>
      </c>
    </row>
    <row r="33"/>
    <row r="34">
      <c r="A34" s="4" t="inlineStr">
        <is>
          <t>Designed by John Guerrero — chef and restaurant consultant since 2010, in the kitchen since age 17.</t>
        </is>
      </c>
    </row>
    <row r="35">
      <c r="A35" s="4"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5">
    <mergeCell ref="A6:C6"/>
    <mergeCell ref="A10:C10"/>
    <mergeCell ref="A16:C16"/>
    <mergeCell ref="A32:C32"/>
    <mergeCell ref="A35:C35"/>
    <mergeCell ref="A17:C17"/>
    <mergeCell ref="A9:C9"/>
    <mergeCell ref="A7:C7"/>
    <mergeCell ref="A18:C18"/>
    <mergeCell ref="A30:C30"/>
    <mergeCell ref="A34:C34"/>
    <mergeCell ref="A8:C8"/>
    <mergeCell ref="A19:C19"/>
    <mergeCell ref="A27:C27"/>
    <mergeCell ref="A15:C15"/>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0"/>
  <sheetViews>
    <sheetView workbookViewId="0">
      <selection activeCell="A1" sqref="A1"/>
    </sheetView>
  </sheetViews>
  <sheetFormatPr baseColWidth="8" defaultRowHeight="15"/>
  <cols>
    <col width="46" customWidth="1" min="1" max="1"/>
    <col width="14" customWidth="1" min="2" max="2"/>
    <col width="18" customWidth="1" min="3" max="3"/>
    <col width="18" customWidth="1" min="4" max="4"/>
    <col width="78" customWidth="1" min="5" max="5"/>
  </cols>
  <sheetData>
    <row r="1" ht="28" customHeight="1">
      <c r="A1" s="1" t="inlineStr">
        <is>
          <t>Settings</t>
        </is>
      </c>
    </row>
    <row r="2">
      <c r="A2" t="inlineStr">
        <is>
          <t>AI Chef Pro · aichef.pro — How to Open a Pastry Shop</t>
        </is>
      </c>
    </row>
    <row r="3" ht="26" customHeight="1">
      <c r="A3" s="7" t="inlineStr">
        <is>
          <t>Everything the workbook calculates comes from here. Not one number lives inside a formula.</t>
        </is>
      </c>
    </row>
    <row r="4"/>
    <row r="5" ht="30" customHeight="1">
      <c r="A5" s="6" t="inlineStr">
        <is>
          <t>Parameter</t>
        </is>
      </c>
      <c r="B5" s="6" t="inlineStr">
        <is>
          <t>Value</t>
        </is>
      </c>
      <c r="C5" s="6" t="inlineStr">
        <is>
          <t>Unit</t>
        </is>
      </c>
      <c r="D5" s="6" t="inlineStr">
        <is>
          <t>Source</t>
        </is>
      </c>
      <c r="E5" s="6" t="inlineStr">
        <is>
          <t>What it is and where it comes from</t>
        </is>
      </c>
    </row>
    <row r="6" ht="42" customHeight="1">
      <c r="A6" s="4" t="inlineStr">
        <is>
          <t>Production kitchen shift length</t>
        </is>
      </c>
      <c r="B6" s="8" t="n">
        <v>8</v>
      </c>
      <c r="C6" t="inlineStr">
        <is>
          <t>h per shift</t>
        </is>
      </c>
      <c r="D6" t="inlineStr">
        <is>
          <t>assumption</t>
        </is>
      </c>
      <c r="E6" s="4" t="inlineStr">
        <is>
          <t>Length of the production kitchen shift. It's the number that multiplies everything else: with two shifts, capacity doubles without buying a single machine.</t>
        </is>
      </c>
    </row>
    <row r="7" ht="42" customHeight="1">
      <c r="A7" s="4" t="inlineStr">
        <is>
          <t>Production kitchen shifts per day</t>
        </is>
      </c>
      <c r="B7" s="9" t="n">
        <v>1</v>
      </c>
      <c r="C7" t="inlineStr">
        <is>
          <t>shifts</t>
        </is>
      </c>
      <c r="D7" t="inlineStr">
        <is>
          <t>assumption</t>
        </is>
      </c>
      <c r="E7" s="4" t="inlineStr">
        <is>
          <t>La Clara works one early-morning shift. A second shift is the cheapest lever there is for raising capacity, and the most expensive one in labor.</t>
        </is>
      </c>
    </row>
    <row r="8" ht="42" customHeight="1">
      <c r="A8" s="4" t="inlineStr">
        <is>
          <t>Productive hours as a share of the workday</t>
        </is>
      </c>
      <c r="B8" s="10" t="n">
        <v>0.85</v>
      </c>
      <c r="C8" t="inlineStr">
        <is>
          <t>%</t>
        </is>
      </c>
      <c r="D8" t="inlineStr">
        <is>
          <t>assumption</t>
        </is>
      </c>
      <c r="E8" s="4" t="inlineStr">
        <is>
          <t>The share of the workday the machine is really working. The rest is receiving, cleaning, swapping trays and waiting.</t>
        </is>
      </c>
    </row>
    <row r="9" ht="42" customHeight="1">
      <c r="A9" s="4" t="inlineStr">
        <is>
          <t>Minutes available per day</t>
        </is>
      </c>
      <c r="B9" s="11">
        <f>IFERROR(B6*B7*B8*60,"")</f>
        <v>408.0</v>
      </c>
      <c r="C9" t="inlineStr">
        <is>
          <t>minutes</t>
        </is>
      </c>
      <c r="D9" t="inlineStr">
        <is>
          <t>Calculated</t>
        </is>
      </c>
      <c r="E9" s="4" t="inlineStr">
        <is>
          <t>Shift hours × shifts × productive hours × 60. This is where each piece of equipment's cycles per day come from.</t>
        </is>
      </c>
    </row>
    <row r="10" ht="42" customHeight="1">
      <c r="A10" s="4" t="inlineStr">
        <is>
          <t>Days open per week</t>
        </is>
      </c>
      <c r="B10" s="9" t="n">
        <v>6</v>
      </c>
      <c r="C10" t="inlineStr">
        <is>
          <t>days</t>
        </is>
      </c>
      <c r="D10" t="inlineStr">
        <is>
          <t>assumption</t>
        </is>
      </c>
      <c r="E10" s="4" t="inlineStr">
        <is>
          <t>6 days a week × 52 weeks = 312, minus 12 closing days for a vacation in August = 300. Holidays are NOT subtracted: you choose your own days and hours (check your lease and local rules).</t>
        </is>
      </c>
    </row>
    <row r="11" ht="42" customHeight="1">
      <c r="A11" s="4" t="inlineStr">
        <is>
          <t>Days open per year</t>
        </is>
      </c>
      <c r="B11" s="9" t="n">
        <v>300</v>
      </c>
      <c r="C11" t="inlineStr">
        <is>
          <t>days</t>
        </is>
      </c>
      <c r="D11" t="inlineStr">
        <is>
          <t>assumption</t>
        </is>
      </c>
      <c r="E11" s="4" t="inlineStr">
        <is>
          <t>312 days open minus 12 closing days for vacation.</t>
        </is>
      </c>
    </row>
    <row r="12" ht="42" customHeight="1">
      <c r="A12" s="4" t="inlineStr">
        <is>
          <t>Pieces per day at cruising speed</t>
        </is>
      </c>
      <c r="B12" s="9" t="n">
        <v>476</v>
      </c>
      <c r="C12" t="inlineStr">
        <is>
          <t>pieces per day</t>
        </is>
      </c>
      <c r="D12" t="inlineStr">
        <is>
          <t>assumption</t>
        </is>
      </c>
      <c r="E12" s="4" t="inlineStr">
        <is>
          <t>What you have to turn out every day once the business is running smoothly. It comes from customers per day times pieces per ticket, both assumptions: there's no public foot-traffic data for pastry shops. If you have your own production data, replace it.</t>
        </is>
      </c>
    </row>
    <row r="13" ht="42" customHeight="1">
      <c r="A13" s="4" t="inlineStr">
        <is>
          <t>Safety margin required over capacity</t>
        </is>
      </c>
      <c r="B13" s="10" t="n">
        <v>0.1</v>
      </c>
      <c r="C13" t="inlineStr">
        <is>
          <t>%</t>
        </is>
      </c>
      <c r="D13" t="inlineStr">
        <is>
          <t>assumption</t>
        </is>
      </c>
      <c r="E13" s="4" t="inlineStr">
        <is>
          <t>The minimum cushion you want over a normal day. Below it, the workbook warns you: a breakdown, a sick call or a big order leaves you short of product even if on paper you make it.</t>
        </is>
      </c>
    </row>
    <row r="14" ht="42" customHeight="1">
      <c r="A14" s="4" t="inlineStr">
        <is>
          <t>Total square footage of the space</t>
        </is>
      </c>
      <c r="B14" s="8" t="n">
        <v>968.751937503875</v>
      </c>
      <c r="C14" t="inlineStr">
        <is>
          <t>sq ft</t>
        </is>
      </c>
      <c r="D14" t="inlineStr">
        <is>
          <t>Assumption</t>
        </is>
      </c>
      <c r="E14" s="4" t="inlineStr">
        <is>
          <t>The 969 sq ft of the reference case. It's the area the build-out scenarios of $55.74, $83.61 and $111.48 per sq ft in startup-cost-calculator.xlsx are based on.</t>
        </is>
      </c>
    </row>
    <row r="15" ht="42" customHeight="1">
      <c r="A15" s="4" t="inlineStr">
        <is>
          <t>Minimum share of the space given to the production kitchen</t>
        </is>
      </c>
      <c r="B15" s="10" t="n">
        <v>0.45</v>
      </c>
      <c r="C15" t="inlineStr">
        <is>
          <t>%</t>
        </is>
      </c>
      <c r="D15" t="inlineStr">
        <is>
          <t>assumption</t>
        </is>
      </c>
      <c r="E15" s="4" t="inlineStr">
        <is>
          <t>House rule, not a code: below this, the front of the shop eats the kitchen and you end up buying semi-finished goods. If you sell mostly by custom order, lower it; if the sales floor is your showcase, raise it.</t>
        </is>
      </c>
    </row>
    <row r="16" ht="42" customHeight="1">
      <c r="A16" s="4" t="inlineStr">
        <is>
          <t>Electrical power of the ovens</t>
        </is>
      </c>
      <c r="B16" s="8" t="n">
        <v>34</v>
      </c>
      <c r="C16" t="inlineStr">
        <is>
          <t>kW</t>
        </is>
      </c>
      <c r="D16" t="inlineStr">
        <is>
          <t>Assumption</t>
        </is>
      </c>
      <c r="E16" s="4" t="inlineStr">
        <is>
          <t>The ovens ONLY. 34 kW is the working point of the case's two convection ovens.</t>
        </is>
      </c>
    </row>
    <row r="17" ht="42" customHeight="1">
      <c r="A17" s="4" t="inlineStr">
        <is>
          <t>Total connected load planned</t>
        </is>
      </c>
      <c r="B17" s="8" t="n">
        <v>62</v>
      </c>
      <c r="C17" t="inlineStr">
        <is>
          <t>kW</t>
        </is>
      </c>
      <c r="D17" t="inlineStr">
        <is>
          <t>assumption</t>
        </is>
      </c>
      <c r="E17" s="4" t="inlineStr">
        <is>
          <t>The ovens are only part of it. The 62 kW of connected load also covers refrigeration, mixing, HVAC and lighting, and it's an assumption: your electrician and the utility decide the service you need, not a table. Ask for it in amps and volts, and whether it's three-phase.</t>
        </is>
      </c>
    </row>
    <row r="18" ht="42" customHeight="1">
      <c r="A18" s="4" t="inlineStr">
        <is>
          <t>Oven fuel</t>
        </is>
      </c>
      <c r="B18" s="5" t="inlineStr">
        <is>
          <t>Electric</t>
        </is>
      </c>
      <c r="C18" t="inlineStr">
        <is>
          <t>Electric or Gas</t>
        </is>
      </c>
      <c r="D18" t="inlineStr">
        <is>
          <t>assumption</t>
        </is>
      </c>
      <c r="E18" s="4" t="inlineStr">
        <is>
          <t>Changes the hood airflow you need and, if you choose gas, adds a question for the gas utility and the building department: can the service and piping carry your ovens?</t>
        </is>
      </c>
    </row>
    <row r="19" ht="42" customHeight="1">
      <c r="A19" s="4" t="inlineStr">
        <is>
          <t>Exhaust airflow per kW, electric equipment</t>
        </is>
      </c>
      <c r="B19" s="9" t="n">
        <v>23.54311114765906</v>
      </c>
      <c r="C19" t="inlineStr">
        <is>
          <t>CFM per kW</t>
        </is>
      </c>
      <c r="D19" t="inlineStr">
        <is>
          <t>Assumption</t>
        </is>
      </c>
      <c r="E19" s="4" t="inlineStr">
        <is>
          <t>Hood sizing rule of thumb for electric equipment. A design assumption: the hood manufacturer and your mechanical code set the real number.</t>
        </is>
      </c>
    </row>
    <row r="20" ht="42" customHeight="1">
      <c r="A20" s="4" t="inlineStr">
        <is>
          <t>Exhaust airflow per kW, gas equipment</t>
        </is>
      </c>
      <c r="B20" s="9" t="n">
        <v>29.428888934573827</v>
      </c>
      <c r="C20" t="inlineStr">
        <is>
          <t>CFM per kW</t>
        </is>
      </c>
      <c r="D20" t="inlineStr">
        <is>
          <t>Assumption</t>
        </is>
      </c>
      <c r="E20" s="4" t="inlineStr">
        <is>
          <t>Hood sizing rule of thumb for gas equipment. A design assumption, like the one above.</t>
        </is>
      </c>
    </row>
    <row r="21" ht="42" customHeight="1">
      <c r="A21" s="4" t="inlineStr">
        <is>
          <t>Hood airflow needed</t>
        </is>
      </c>
      <c r="B21" s="11">
        <f>IFERROR(B16*IF(B18="Gas",B20,B19),"")</f>
        <v>800.465779020408</v>
      </c>
      <c r="C21" t="inlineStr">
        <is>
          <t>CFM</t>
        </is>
      </c>
      <c r="D21" t="inlineStr">
        <is>
          <t>Calculated</t>
        </is>
      </c>
      <c r="E21" s="4" t="inlineStr">
        <is>
          <t>Oven power × the airflow per kW that matches your fuel. It's the number to take to the visit: if the space can't deliver it, there's no pastry shop.</t>
        </is>
      </c>
    </row>
    <row r="22" ht="42" customHeight="1">
      <c r="A22" s="4" t="inlineStr">
        <is>
          <t>Minimum clear ceiling height you require</t>
        </is>
      </c>
      <c r="B22" s="8" t="n">
        <v>9.842519685039369</v>
      </c>
      <c r="C22" t="inlineStr">
        <is>
          <t>ft</t>
        </is>
      </c>
      <c r="D22" t="inlineStr">
        <is>
          <t>assumption</t>
        </is>
      </c>
      <c r="E22" s="4" t="inlineStr">
        <is>
          <t>With hood, duct and dropped ceiling, under 9.8 ft the production kitchen runs out of air and out of room for the duct.</t>
        </is>
      </c>
    </row>
    <row r="23" ht="42" customHeight="1">
      <c r="A23" s="4" t="inlineStr">
        <is>
          <t>Number of zones in the space</t>
        </is>
      </c>
      <c r="B23" s="9" t="n">
        <v>7</v>
      </c>
      <c r="C23" t="inlineStr">
        <is>
          <t>zones</t>
        </is>
      </c>
      <c r="D23" t="inlineStr">
        <is>
          <t>Assumption</t>
        </is>
      </c>
      <c r="E23" s="4" t="inlineStr">
        <is>
          <t>The zones in the case's plan for a pastry shop production kitchen. If your space doesn't allow all seven, it isn't tight: one is missing.</t>
        </is>
      </c>
    </row>
    <row r="24"/>
    <row r="25">
      <c r="A25" s="3" t="inlineStr">
        <is>
          <t>Validation lists (don't delete them: the dropdowns use them)</t>
        </is>
      </c>
    </row>
    <row r="26">
      <c r="A26" s="12" t="inlineStr">
        <is>
          <t>Oven fuel</t>
        </is>
      </c>
    </row>
    <row r="27">
      <c r="A27" t="inlineStr">
        <is>
          <t>Electric</t>
        </is>
      </c>
    </row>
    <row r="28">
      <c r="A28" t="inlineStr">
        <is>
          <t>Gas</t>
        </is>
      </c>
    </row>
    <row r="29"/>
    <row r="30" ht="42" customHeight="1">
      <c r="A30" s="7" t="inlineStr">
        <is>
          <t>The values marked "assumption" are from the example pastry shop "La Clara" (969 sq ft, a 484 sq ft production kitchen, one early-morning shift). They're not industry data: they're a consistent starting point so you can see the workbook working before you enter your own.</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E3"/>
    <mergeCell ref="A30:E30"/>
  </mergeCells>
  <dataValidations count="1">
    <dataValidation sqref="B18" showDropDown="0" showInputMessage="0" showErrorMessage="1" allowBlank="0" errorTitle="Oven fuel" error="Choose &quot;Electric&quot; or &quot;Gas&quot;." type="list">
      <formula1>=$A$27:$A$28</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37"/>
  <sheetViews>
    <sheetView workbookViewId="0">
      <selection activeCell="A1" sqref="A1"/>
    </sheetView>
  </sheetViews>
  <sheetFormatPr baseColWidth="8" defaultRowHeight="15"/>
  <cols>
    <col width="5" customWidth="1" min="1" max="1"/>
    <col width="34" customWidth="1" min="2" max="2"/>
    <col width="22" customWidth="1" min="3" max="3"/>
    <col width="11" customWidth="1" min="4" max="4"/>
    <col width="11" customWidth="1" min="5" max="5"/>
    <col width="11" customWidth="1" min="6" max="6"/>
    <col width="86" customWidth="1" min="7" max="7"/>
  </cols>
  <sheetData>
    <row r="1" ht="28" customHeight="1">
      <c r="A1" s="1" t="inlineStr">
        <is>
          <t>Zones and Square Feet</t>
        </is>
      </c>
    </row>
    <row r="2">
      <c r="A2" t="inlineStr">
        <is>
          <t>AI Chef Pro · aichef.pro — How to Open a Pastry Shop</t>
        </is>
      </c>
    </row>
    <row r="3" ht="26" customHeight="1">
      <c r="A3" s="7" t="inlineStr">
        <is>
          <t>The seven zones in the case's plan for a pastry shop, and the one-way flow route.</t>
        </is>
      </c>
    </row>
    <row r="4"/>
    <row r="5" ht="30" customHeight="1">
      <c r="A5" s="6" t="inlineStr">
        <is>
          <t>No.</t>
        </is>
      </c>
      <c r="B5" s="6" t="inlineStr">
        <is>
          <t>Zone</t>
        </is>
      </c>
      <c r="C5" s="6" t="inlineStr">
        <is>
          <t>Block</t>
        </is>
      </c>
      <c r="D5" s="6" t="inlineStr">
        <is>
          <t>sq ft</t>
        </is>
      </c>
      <c r="E5" s="6" t="inlineStr">
        <is>
          <t>Share of the space (%)</t>
        </is>
      </c>
      <c r="F5" s="6" t="inlineStr">
        <is>
          <t>Workflow step</t>
        </is>
      </c>
      <c r="G5" s="6" t="inlineStr">
        <is>
          <t>What it has to meet</t>
        </is>
      </c>
    </row>
    <row r="6" ht="44" customHeight="1">
      <c r="A6" s="11" t="n">
        <v>1</v>
      </c>
      <c r="B6" s="4" t="inlineStr">
        <is>
          <t>Production kitchen</t>
        </is>
      </c>
      <c r="C6" t="inlineStr">
        <is>
          <t>Production kitchen</t>
        </is>
      </c>
      <c r="D6" s="8" t="n">
        <v>484.3759687519375</v>
      </c>
      <c r="E6" s="13">
        <f>IFERROR(D6/$D$14,"")</f>
        <v>0.5</v>
      </c>
      <c r="F6" s="9" t="n">
        <v>3</v>
      </c>
      <c r="G6" s="4" t="inlineStr">
        <is>
          <t>Prep area, off-limits to customers. One-way flow: ingredients come in at one end and finished product leaves at the other without crossing them. Hand sinks where people work (Food Code 5-203.11).</t>
        </is>
      </c>
    </row>
    <row r="7" ht="44" customHeight="1">
      <c r="A7" s="11" t="n">
        <v>2</v>
      </c>
      <c r="B7" s="4" t="inlineStr">
        <is>
          <t>Sales floor (front counter)</t>
        </is>
      </c>
      <c r="C7" t="inlineStr">
        <is>
          <t>Front counter</t>
        </is>
      </c>
      <c r="D7" s="8" t="n">
        <v>236.80602916761387</v>
      </c>
      <c r="E7" s="13">
        <f>IFERROR(D7/$D$14,"")</f>
        <v>0.24444444444444444</v>
      </c>
      <c r="F7" s="9" t="n">
        <v>5</v>
      </c>
      <c r="G7" s="4" t="inlineStr">
        <is>
          <t>Counter, refrigerated display case, ambient display and room for a line, with a stretch of counter at least 36 inches long and no more than 36 inches high (ADA Standards 904.4.1).</t>
        </is>
      </c>
    </row>
    <row r="8" ht="44" customHeight="1">
      <c r="A8" s="11" t="n">
        <v>3</v>
      </c>
      <c r="B8" s="4" t="inlineStr">
        <is>
          <t>Dry storage</t>
        </is>
      </c>
      <c r="C8" t="inlineStr">
        <is>
          <t>Cold and dry storage</t>
        </is>
      </c>
      <c r="D8" s="8" t="n">
        <v>53.81955208354861</v>
      </c>
      <c r="E8" s="13">
        <f>IFERROR(D8/$D$14,"")</f>
        <v>0.05555555555555555</v>
      </c>
      <c r="F8" s="9" t="n">
        <v>1</v>
      </c>
      <c r="G8" s="4" t="inlineStr">
        <is>
          <t>Flour, sugar and dry goods on shelving, never on the floor.</t>
        </is>
      </c>
    </row>
    <row r="9" ht="44" customHeight="1">
      <c r="A9" s="11" t="n">
        <v>4</v>
      </c>
      <c r="B9" s="4" t="inlineStr">
        <is>
          <t>Walk-in cooler</t>
        </is>
      </c>
      <c r="C9" t="inlineStr">
        <is>
          <t>Cold and dry storage</t>
        </is>
      </c>
      <c r="D9" s="8" t="n">
        <v>43.05564166683889</v>
      </c>
      <c r="E9" s="13">
        <f>IFERROR(D9/$D$14,"")</f>
        <v>0.044444444444444446</v>
      </c>
      <c r="F9" s="9" t="n">
        <v>2</v>
      </c>
      <c r="G9" s="4" t="inlineStr">
        <is>
          <t>Filled pastries held at 41 °F or below (Food Code 3-501.16).</t>
        </is>
      </c>
    </row>
    <row r="10" ht="44" customHeight="1">
      <c r="A10" s="11" t="n">
        <v>5</v>
      </c>
      <c r="B10" s="4" t="inlineStr">
        <is>
          <t>Finished goods storage</t>
        </is>
      </c>
      <c r="C10" t="inlineStr">
        <is>
          <t>Cold and dry storage</t>
        </is>
      </c>
      <c r="D10" s="8" t="n">
        <v>32.29173125012917</v>
      </c>
      <c r="E10" s="13">
        <f>IFERROR(D10/$D$14,"")</f>
        <v>0.03333333333333333</v>
      </c>
      <c r="F10" s="9" t="n">
        <v>4</v>
      </c>
      <c r="G10" s="4" t="inlineStr">
        <is>
          <t>Shelf-stable product and assembled packaging.</t>
        </is>
      </c>
    </row>
    <row r="11" ht="44" customHeight="1">
      <c r="A11" s="11" t="n">
        <v>6</v>
      </c>
      <c r="B11" s="4" t="inlineStr">
        <is>
          <t>Staff restroom and lockers</t>
        </is>
      </c>
      <c r="C11" t="inlineStr">
        <is>
          <t>Restrooms and lockers</t>
        </is>
      </c>
      <c r="D11" s="8" t="n">
        <v>86.11128333367778</v>
      </c>
      <c r="E11" s="13">
        <f>IFERROR(D11/$D$14,"")</f>
        <v>0.08888888888888889</v>
      </c>
      <c r="F11" s="9" t="n">
        <v>7</v>
      </c>
      <c r="G11" s="4" t="inlineStr">
        <is>
          <t>Staff restroom and a place to change, with lockers; your local plumbing code sets how many restrooms you need.</t>
        </is>
      </c>
    </row>
    <row r="12" ht="44" customHeight="1">
      <c r="A12" s="11" t="n">
        <v>7</v>
      </c>
      <c r="B12" s="4" t="inlineStr">
        <is>
          <t>Trash and recycling</t>
        </is>
      </c>
      <c r="C12" t="inlineStr">
        <is>
          <t>Restrooms and lockers</t>
        </is>
      </c>
      <c r="D12" s="8" t="n">
        <v>32.29173125012917</v>
      </c>
      <c r="E12" s="13">
        <f>IFERROR(D12/$D$14,"")</f>
        <v>0.03333333333333333</v>
      </c>
      <c r="F12" s="9" t="n">
        <v>6</v>
      </c>
      <c r="G12" s="4" t="inlineStr">
        <is>
          <t>Enclosed, with labeled bins and its own way out: trash never crosses the production kitchen.</t>
        </is>
      </c>
    </row>
    <row r="13"/>
    <row r="14">
      <c r="B14" s="12" t="inlineStr">
        <is>
          <t>TOTAL allocated</t>
        </is>
      </c>
      <c r="D14" s="14">
        <f>SUM(D6:D12)</f>
        <v>968.751937503875</v>
      </c>
      <c r="E14" s="15">
        <f>SUM(E6:E12)</f>
        <v>1.0</v>
      </c>
    </row>
    <row r="15">
      <c r="B15" t="inlineStr">
        <is>
          <t>Square footage declared on "Settings"</t>
        </is>
      </c>
      <c r="D15" s="16">
        <f>'Settings'!B14</f>
        <v>968.751937503875</v>
      </c>
    </row>
    <row r="16">
      <c r="B16" t="inlineStr">
        <is>
          <t>Mismatch (sq ft)</t>
        </is>
      </c>
      <c r="D16" s="16">
        <f>IFERROR(D14-D15,"")</f>
        <v>0.0</v>
      </c>
      <c r="G16" s="4" t="inlineStr">
        <is>
          <t>If it isn't zero, you either have square feet left unassigned or you've allocated more than the space has.</t>
        </is>
      </c>
    </row>
    <row r="17"/>
    <row r="18">
      <c r="B18" t="inlineStr">
        <is>
          <t>Square feet of production kitchen</t>
        </is>
      </c>
      <c r="D18" s="16">
        <f>SUMIF(C6:C12,"Production kitchen",D6:D12)</f>
        <v>484.3759687519375</v>
      </c>
    </row>
    <row r="19">
      <c r="B19" t="inlineStr">
        <is>
          <t>Share of the space given to the production kitchen</t>
        </is>
      </c>
      <c r="D19" s="13">
        <f>IFERROR(D18/D14,"")</f>
        <v>0.5</v>
      </c>
    </row>
    <row r="20">
      <c r="B20" t="inlineStr">
        <is>
          <t>Square feet of sales floor (front counter)</t>
        </is>
      </c>
      <c r="D20" s="16">
        <f>SUMIF(C6:C12,"Front counter",D6:D12)</f>
        <v>236.80602916761387</v>
      </c>
    </row>
    <row r="21">
      <c r="B21" t="inlineStr">
        <is>
          <t>Share of the space given to sales</t>
        </is>
      </c>
      <c r="D21" s="13">
        <f>IFERROR(D20/D14,"")</f>
        <v>0.24444444444444444</v>
      </c>
    </row>
    <row r="22">
      <c r="B22" t="inlineStr">
        <is>
          <t>Minimum production kitchen you set</t>
        </is>
      </c>
      <c r="D22" s="13">
        <f>'Settings'!B15</f>
        <v>0.45</v>
      </c>
    </row>
    <row r="23">
      <c r="B23" s="12" t="inlineStr">
        <is>
          <t>Verdict on the allocation</t>
        </is>
      </c>
      <c r="D23" s="17" t="str">
        <f>IF(D19="","",IF(D19&lt;D22,"The production kitchen falls short","Allocation is enough"))</f>
        <v>Allocation is enough</v>
      </c>
    </row>
    <row r="24"/>
    <row r="25">
      <c r="B25" s="3" t="inlineStr">
        <is>
          <t>One-way flow: ingredients come in at one end and the product leaves at the other</t>
        </is>
      </c>
    </row>
    <row r="26">
      <c r="B26" t="inlineStr">
        <is>
          <t>Sum of the steps you numbered</t>
        </is>
      </c>
      <c r="D26" s="11">
        <f>SUM(F6:F12)</f>
        <v>28.0</v>
      </c>
    </row>
    <row r="27">
      <c r="B27" t="inlineStr">
        <is>
          <t>Sum it should come to (1 + 2 + ... + n)</t>
        </is>
      </c>
      <c r="D27" s="11">
        <f>IFERROR('Settings'!B23*('Settings'!B23+1)/2,"")</f>
        <v>28.0</v>
      </c>
    </row>
    <row r="28" ht="44" customHeight="1">
      <c r="B28" t="inlineStr">
        <is>
          <t>Are they numbered 1 to n with no repeats?</t>
        </is>
      </c>
      <c r="D28" t="str">
        <f>IF(AND(D26=D27,MIN(F6:F12)=1,MAX(F6:F12)='Settings'!B23),"Yes","Check the numbering")</f>
        <v>Yes</v>
      </c>
      <c r="G28" s="4" t="inlineStr">
        <is>
          <t>Numbering check: the sum has to match and the steps have to run from 1 to the number of zones. It won't catch a permutation that adds up the same; what it does catch -and it's what always happens- is a repeated number or a skipped one.</t>
        </is>
      </c>
    </row>
    <row r="29">
      <c r="B29" s="4" t="inlineStr">
        <is>
          <t>Ingredients come in before the production kitchen</t>
        </is>
      </c>
      <c r="D29" t="str">
        <f>IF(F8&lt;F6,"Yes","No")</f>
        <v>Yes</v>
      </c>
    </row>
    <row r="30">
      <c r="B30" s="4" t="inlineStr">
        <is>
          <t>The walk-in cooler comes before the production kitchen</t>
        </is>
      </c>
      <c r="D30" t="str">
        <f>IF(F9&lt;F6,"Yes","No")</f>
        <v>Yes</v>
      </c>
    </row>
    <row r="31">
      <c r="B31" s="4" t="inlineStr">
        <is>
          <t>Finished product leaves after the production kitchen</t>
        </is>
      </c>
      <c r="D31" t="str">
        <f>IF(F10&gt;F6,"Yes","No")</f>
        <v>Yes</v>
      </c>
    </row>
    <row r="32">
      <c r="B32" s="4" t="inlineStr">
        <is>
          <t>Finished product reaches the counter without going back</t>
        </is>
      </c>
      <c r="D32" t="str">
        <f>IF(F10&lt;=F7,"Yes","No")</f>
        <v>Yes</v>
      </c>
    </row>
    <row r="33">
      <c r="B33" s="4" t="inlineStr">
        <is>
          <t>Trash leaves after the production kitchen</t>
        </is>
      </c>
      <c r="D33" t="str">
        <f>IF(F12&gt;F6,"Yes","No")</f>
        <v>Yes</v>
      </c>
    </row>
    <row r="34"/>
    <row r="35">
      <c r="B35" s="12" t="inlineStr">
        <is>
          <t>ONE-WAY FLOW VERDICT</t>
        </is>
      </c>
      <c r="D35" s="17" t="str">
        <f>IF(COUNTIF(D29:D33,"No")&gt;0,"There is a crossing in the flow","One-way flow is correct")</f>
        <v>One-way flow is correct</v>
      </c>
    </row>
    <row r="36"/>
    <row r="37" ht="44" customHeight="1">
      <c r="B37" s="7" t="inlineStr">
        <is>
          <t>The one-way flow isn't a design preference: it's making sure raw ingredients and finished product never cross. When the space doesn't allow it, a sign or a schedule doesn't fix it; construction does, or it doesn't get fixed. That's why you draw this route on the plan BEFORE you sign.</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B37:G37"/>
  </mergeCells>
  <conditionalFormatting sqref="D16">
    <cfRule type="expression" priority="1" dxfId="0" stopIfTrue="1">
      <formula>=AND(ISNUMBER($D$16),ABS($D$16)&gt;0.05)</formula>
    </cfRule>
  </conditionalFormatting>
  <conditionalFormatting sqref="D23">
    <cfRule type="cellIs" priority="2" operator="equal" dxfId="0" stopIfTrue="1">
      <formula>"The production kitchen falls short"</formula>
    </cfRule>
    <cfRule type="cellIs" priority="3" operator="equal" dxfId="1" stopIfTrue="1">
      <formula>"Allocation is enough"</formula>
    </cfRule>
  </conditionalFormatting>
  <conditionalFormatting sqref="D29">
    <cfRule type="cellIs" priority="4" operator="equal" dxfId="0" stopIfTrue="1">
      <formula>"No"</formula>
    </cfRule>
    <cfRule type="cellIs" priority="5" operator="equal" dxfId="1" stopIfTrue="1">
      <formula>"Yes"</formula>
    </cfRule>
  </conditionalFormatting>
  <conditionalFormatting sqref="D30">
    <cfRule type="cellIs" priority="6" operator="equal" dxfId="0" stopIfTrue="1">
      <formula>"No"</formula>
    </cfRule>
    <cfRule type="cellIs" priority="7" operator="equal" dxfId="1" stopIfTrue="1">
      <formula>"Yes"</formula>
    </cfRule>
  </conditionalFormatting>
  <conditionalFormatting sqref="D31">
    <cfRule type="cellIs" priority="8" operator="equal" dxfId="0" stopIfTrue="1">
      <formula>"No"</formula>
    </cfRule>
    <cfRule type="cellIs" priority="9" operator="equal" dxfId="1" stopIfTrue="1">
      <formula>"Yes"</formula>
    </cfRule>
  </conditionalFormatting>
  <conditionalFormatting sqref="D32">
    <cfRule type="cellIs" priority="10" operator="equal" dxfId="0" stopIfTrue="1">
      <formula>"No"</formula>
    </cfRule>
    <cfRule type="cellIs" priority="11" operator="equal" dxfId="1" stopIfTrue="1">
      <formula>"Yes"</formula>
    </cfRule>
  </conditionalFormatting>
  <conditionalFormatting sqref="D33">
    <cfRule type="cellIs" priority="12" operator="equal" dxfId="0" stopIfTrue="1">
      <formula>"No"</formula>
    </cfRule>
    <cfRule type="cellIs" priority="13" operator="equal" dxfId="1" stopIfTrue="1">
      <formula>"Yes"</formula>
    </cfRule>
  </conditionalFormatting>
  <conditionalFormatting sqref="D35">
    <cfRule type="cellIs" priority="14" operator="equal" dxfId="0" stopIfTrue="1">
      <formula>"There is a crossing in the flow"</formula>
    </cfRule>
    <cfRule type="cellIs" priority="15" operator="equal" dxfId="1" stopIfTrue="1">
      <formula>"One-way flow is correct"</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P26"/>
  <sheetViews>
    <sheetView workbookViewId="0">
      <selection activeCell="A1" sqref="A1"/>
    </sheetView>
  </sheetViews>
  <sheetFormatPr baseColWidth="8" defaultRowHeight="15"/>
  <cols>
    <col width="5" customWidth="1" min="1" max="1"/>
    <col width="40" customWidth="1" min="2" max="2"/>
    <col width="18" customWidth="1" min="3" max="3"/>
    <col width="12" customWidth="1" min="4" max="4"/>
    <col width="12" customWidth="1" min="5" max="5"/>
    <col width="26" customWidth="1" min="6" max="6"/>
    <col width="12" customWidth="1" min="7" max="7"/>
    <col width="12" customWidth="1" min="8" max="8"/>
    <col width="12" customWidth="1" min="9" max="9"/>
    <col width="11" customWidth="1" min="10" max="10"/>
    <col width="13" customWidth="1" min="11" max="11"/>
    <col width="13" customWidth="1" min="12" max="12"/>
    <col width="15" customWidth="1" min="13" max="13"/>
    <col width="15" customWidth="1" min="14" max="14"/>
    <col width="14" customWidth="1" min="15" max="15"/>
    <col width="74" customWidth="1" min="16" max="16"/>
  </cols>
  <sheetData>
    <row r="1" ht="28" customHeight="1">
      <c r="A1" s="1" t="inlineStr">
        <is>
          <t>Capacity by Equipment</t>
        </is>
      </c>
    </row>
    <row r="2">
      <c r="A2" t="inlineStr">
        <is>
          <t>AI Chef Pro · aichef.pro — How to Open a Pastry Shop</t>
        </is>
      </c>
    </row>
    <row r="3" ht="26" customHeight="1">
      <c r="A3" s="7" t="inlineStr">
        <is>
          <t>One model for every machine: what fits in a cycle, how many pieces come out of that, how long the cycle lasts and what share of your assortment goes through it.</t>
        </is>
      </c>
    </row>
    <row r="4"/>
    <row r="5" ht="54" customHeight="1">
      <c r="A5" s="6" t="inlineStr">
        <is>
          <t>No.</t>
        </is>
      </c>
      <c r="B5" s="6" t="inlineStr">
        <is>
          <t>Equipment</t>
        </is>
      </c>
      <c r="C5" s="6" t="inlineStr">
        <is>
          <t>Category</t>
        </is>
      </c>
      <c r="D5" s="6" t="inlineStr">
        <is>
          <t>Have it?</t>
        </is>
      </c>
      <c r="E5" s="6" t="inlineStr">
        <is>
          <t>Capacity per cycle</t>
        </is>
      </c>
      <c r="F5" s="6" t="inlineStr">
        <is>
          <t>Unit of capacity</t>
        </is>
      </c>
      <c r="G5" s="6" t="inlineStr">
        <is>
          <t>Pieces per unit</t>
        </is>
      </c>
      <c r="H5" s="6" t="inlineStr">
        <is>
          <t>Pieces per cycle</t>
        </is>
      </c>
      <c r="I5" s="6" t="inlineStr">
        <is>
          <t>Minutes per cycle</t>
        </is>
      </c>
      <c r="J5" s="6" t="inlineStr">
        <is>
          <t>Cycles per day</t>
        </is>
      </c>
      <c r="K5" s="6" t="inlineStr">
        <is>
          <t>Pieces per day of the equipment</t>
        </is>
      </c>
      <c r="L5" s="6" t="inlineStr">
        <is>
          <t>Share of the assortment that goes through it (%)</t>
        </is>
      </c>
      <c r="M5" s="6" t="inlineStr">
        <is>
          <t>Kitchen pieces per day it allows</t>
        </is>
      </c>
      <c r="N5" s="6" t="inlineStr">
        <is>
          <t>Counts toward the bottleneck</t>
        </is>
      </c>
      <c r="O5" s="6" t="inlineStr">
        <is>
          <t>Source</t>
        </is>
      </c>
      <c r="P5" s="6" t="inlineStr">
        <is>
          <t>Note</t>
        </is>
      </c>
    </row>
    <row r="6" ht="46" customHeight="1">
      <c r="A6" s="11" t="n">
        <v>1</v>
      </c>
      <c r="B6" s="4" t="inlineStr">
        <is>
          <t>Spiral mixer, 25 kg (55 lb) of dough</t>
        </is>
      </c>
      <c r="C6" t="inlineStr">
        <is>
          <t>Mixing</t>
        </is>
      </c>
      <c r="D6" s="5" t="inlineStr">
        <is>
          <t>Yes</t>
        </is>
      </c>
      <c r="E6" s="8" t="n">
        <v>25</v>
      </c>
      <c r="F6" s="4" t="inlineStr">
        <is>
          <t>kg of dough per batch</t>
        </is>
      </c>
      <c r="G6" s="8" t="n">
        <v>19.6</v>
      </c>
      <c r="H6" s="11">
        <f>IFERROR(E6*G6,"")</f>
        <v>490.00000000000006</v>
      </c>
      <c r="I6" s="9" t="n">
        <v>30</v>
      </c>
      <c r="J6" s="11">
        <f>IFERROR(INT('Settings'!$B$9/I6),"")</f>
        <v>13.0</v>
      </c>
      <c r="K6" s="11">
        <f>IFERROR(H6*J6,"")</f>
        <v>6370.000000000001</v>
      </c>
      <c r="L6" s="10" t="n">
        <v>0.55</v>
      </c>
      <c r="M6" s="11">
        <f>IFERROR(K6/L6,"")</f>
        <v>11581.818181818182</v>
      </c>
      <c r="N6" s="11">
        <f>IF(D6="Yes",M6,"")</f>
        <v>11581.818181818182</v>
      </c>
      <c r="O6" t="inlineStr">
        <is>
          <t>assumption</t>
        </is>
      </c>
      <c r="P6" s="4" t="inlineStr">
        <is>
          <t>The pieces per kg come from the croissant batch in the opening menu: 1.02 kg of dough for 20 pieces, or 19.6 pieces per kg. Change the number if your assortment weighs more per piece.</t>
        </is>
      </c>
    </row>
    <row r="7" ht="46" customHeight="1">
      <c r="A7" s="11" t="n">
        <v>2</v>
      </c>
      <c r="B7" s="4" t="inlineStr">
        <is>
          <t>Planetary mixer, 20 L (about 21 qt)</t>
        </is>
      </c>
      <c r="C7" t="inlineStr">
        <is>
          <t>Mixing</t>
        </is>
      </c>
      <c r="D7" s="5" t="inlineStr">
        <is>
          <t>Yes</t>
        </is>
      </c>
      <c r="E7" s="8" t="n">
        <v>20</v>
      </c>
      <c r="F7" s="4" t="inlineStr">
        <is>
          <t>L of dough or cream per batch</t>
        </is>
      </c>
      <c r="G7" s="8" t="n">
        <v>8</v>
      </c>
      <c r="H7" s="11">
        <f>IFERROR(E7*G7,"")</f>
        <v>160.0</v>
      </c>
      <c r="I7" s="9" t="n">
        <v>25</v>
      </c>
      <c r="J7" s="11">
        <f>IFERROR(INT('Settings'!$B$9/I7),"")</f>
        <v>16.0</v>
      </c>
      <c r="K7" s="11">
        <f>IFERROR(H7*J7,"")</f>
        <v>2560.0</v>
      </c>
      <c r="L7" s="10" t="n">
        <v>0.3</v>
      </c>
      <c r="M7" s="11">
        <f>IFERROR(K7/L7,"")</f>
        <v>8533.333333333334</v>
      </c>
      <c r="N7" s="11">
        <f>IF(D7="Yes",M7,"")</f>
        <v>8533.333333333334</v>
      </c>
      <c r="O7" t="inlineStr">
        <is>
          <t>Assumption</t>
        </is>
      </c>
      <c r="P7" s="4" t="inlineStr">
        <is>
          <t>Planetary mixer, about 900 W. It's the one that sets the pace for creams, mousses and meringues, not for doughs.</t>
        </is>
      </c>
    </row>
    <row r="8" ht="46" customHeight="1">
      <c r="A8" s="11" t="n">
        <v>3</v>
      </c>
      <c r="B8" s="4" t="inlineStr">
        <is>
          <t>Dough sheeter, up to 16 in wide</t>
        </is>
      </c>
      <c r="C8" t="inlineStr">
        <is>
          <t>Sheeting</t>
        </is>
      </c>
      <c r="D8" s="5" t="inlineStr">
        <is>
          <t>Yes</t>
        </is>
      </c>
      <c r="E8" s="8" t="n">
        <v>3</v>
      </c>
      <c r="F8" s="4" t="inlineStr">
        <is>
          <t>dough blocks per cycle</t>
        </is>
      </c>
      <c r="G8" s="8" t="n">
        <v>20</v>
      </c>
      <c r="H8" s="11">
        <f>IFERROR(E8*G8,"")</f>
        <v>60.0</v>
      </c>
      <c r="I8" s="9" t="n">
        <v>20</v>
      </c>
      <c r="J8" s="11">
        <f>IFERROR(INT('Settings'!$B$9/I8),"")</f>
        <v>20.0</v>
      </c>
      <c r="K8" s="11">
        <f>IFERROR(H8*J8,"")</f>
        <v>1200.0</v>
      </c>
      <c r="L8" s="10" t="n">
        <v>0.25</v>
      </c>
      <c r="M8" s="11">
        <f>IFERROR(K8/L8,"")</f>
        <v>4800.0</v>
      </c>
      <c r="N8" s="11">
        <f>IF(D8="Yes",M8,"")</f>
        <v>4800.0</v>
      </c>
      <c r="O8" t="inlineStr">
        <is>
          <t>Assumption</t>
        </is>
      </c>
      <c r="P8" s="4" t="inlineStr">
        <is>
          <t>Dough sheeter, 16 in. One block of dough makes a batch of 20 viennoiserie pieces, so three blocks are 60 pieces per cycle.</t>
        </is>
      </c>
    </row>
    <row r="9" ht="46" customHeight="1">
      <c r="A9" s="11" t="n">
        <v>4</v>
      </c>
      <c r="B9" s="4" t="inlineStr">
        <is>
          <t>Convection oven, 6 trays</t>
        </is>
      </c>
      <c r="C9" t="inlineStr">
        <is>
          <t>Heat</t>
        </is>
      </c>
      <c r="D9" s="5" t="inlineStr">
        <is>
          <t>Yes</t>
        </is>
      </c>
      <c r="E9" s="8" t="n">
        <v>6</v>
      </c>
      <c r="F9" s="4" t="inlineStr">
        <is>
          <t>trays per bake</t>
        </is>
      </c>
      <c r="G9" s="8" t="n">
        <v>12</v>
      </c>
      <c r="H9" s="11">
        <f>IFERROR(E9*G9,"")</f>
        <v>72.0</v>
      </c>
      <c r="I9" s="9" t="n">
        <v>25</v>
      </c>
      <c r="J9" s="11">
        <f>IFERROR(INT('Settings'!$B$9/I9),"")</f>
        <v>16.0</v>
      </c>
      <c r="K9" s="11">
        <f>IFERROR(H9*J9,"")</f>
        <v>1152.0</v>
      </c>
      <c r="L9" s="10" t="n">
        <v>0.6</v>
      </c>
      <c r="M9" s="11">
        <f>IFERROR(K9/L9,"")</f>
        <v>1920.0</v>
      </c>
      <c r="N9" s="11">
        <f>IF(D9="Yes",M9,"")</f>
        <v>1920.0</v>
      </c>
      <c r="O9" t="inlineStr">
        <is>
          <t>Assumption</t>
        </is>
      </c>
      <c r="P9" s="4" t="inlineStr">
        <is>
          <t>Convection oven, 6 trays. The pieces per tray are for medium-size viennoiserie: lower them for cakes and raise them for petit fours.</t>
        </is>
      </c>
    </row>
    <row r="10" ht="46" customHeight="1">
      <c r="A10" s="11" t="n">
        <v>5</v>
      </c>
      <c r="B10" s="4" t="inlineStr">
        <is>
          <t>Convection oven, 4 trays</t>
        </is>
      </c>
      <c r="C10" t="inlineStr">
        <is>
          <t>Heat</t>
        </is>
      </c>
      <c r="D10" s="5" t="inlineStr">
        <is>
          <t>Yes</t>
        </is>
      </c>
      <c r="E10" s="8" t="n">
        <v>4</v>
      </c>
      <c r="F10" s="4" t="inlineStr">
        <is>
          <t>trays per bake</t>
        </is>
      </c>
      <c r="G10" s="8" t="n">
        <v>12</v>
      </c>
      <c r="H10" s="11">
        <f>IFERROR(E10*G10,"")</f>
        <v>48.0</v>
      </c>
      <c r="I10" s="9" t="n">
        <v>25</v>
      </c>
      <c r="J10" s="11">
        <f>IFERROR(INT('Settings'!$B$9/I10),"")</f>
        <v>16.0</v>
      </c>
      <c r="K10" s="11">
        <f>IFERROR(H10*J10,"")</f>
        <v>768.0</v>
      </c>
      <c r="L10" s="10" t="n">
        <v>0.25</v>
      </c>
      <c r="M10" s="11">
        <f>IFERROR(K10/L10,"")</f>
        <v>3072.0</v>
      </c>
      <c r="N10" s="11">
        <f>IF(D10="Yes",M10,"")</f>
        <v>3072.0</v>
      </c>
      <c r="O10" t="inlineStr">
        <is>
          <t>Assumption</t>
        </is>
      </c>
      <c r="P10" s="4" t="inlineStr">
        <is>
          <t>The second oven isn't there to produce more: it's there so you can bake at two temperatures at once.</t>
        </is>
      </c>
    </row>
    <row r="11" ht="46" customHeight="1">
      <c r="A11" s="11" t="n">
        <v>6</v>
      </c>
      <c r="B11" s="4" t="inlineStr">
        <is>
          <t>Retarder-proofer (roll-in)</t>
        </is>
      </c>
      <c r="C11" t="inlineStr">
        <is>
          <t>Refrigeration</t>
        </is>
      </c>
      <c r="D11" s="5" t="inlineStr">
        <is>
          <t>Yes</t>
        </is>
      </c>
      <c r="E11" s="8" t="n">
        <v>2</v>
      </c>
      <c r="F11" s="4" t="inlineStr">
        <is>
          <t>carts per cycle</t>
        </is>
      </c>
      <c r="G11" s="8" t="n">
        <v>90</v>
      </c>
      <c r="H11" s="11">
        <f>IFERROR(E11*G11,"")</f>
        <v>180.0</v>
      </c>
      <c r="I11" s="9" t="n">
        <v>120</v>
      </c>
      <c r="J11" s="11">
        <f>IFERROR(INT('Settings'!$B$9/I11),"")</f>
        <v>3.0</v>
      </c>
      <c r="K11" s="11">
        <f>IFERROR(H11*J11,"")</f>
        <v>540.0</v>
      </c>
      <c r="L11" s="10" t="n">
        <v>0.35</v>
      </c>
      <c r="M11" s="11">
        <f>IFERROR(K11/L11,"")</f>
        <v>1542.857142857143</v>
      </c>
      <c r="N11" s="11">
        <f>IF(D11="Yes",M11,"")</f>
        <v>1542.857142857143</v>
      </c>
      <c r="O11" t="inlineStr">
        <is>
          <t>Assumption</t>
        </is>
      </c>
      <c r="P11" s="4" t="inlineStr">
        <is>
          <t>It's what lets viennoiserie be baked at 7:00 without anyone coming in at 3:00. Its cycle is long, so it limits more than it seems.</t>
        </is>
      </c>
    </row>
    <row r="12" ht="46" customHeight="1">
      <c r="A12" s="11" t="n">
        <v>7</v>
      </c>
      <c r="B12" s="4" t="inlineStr">
        <is>
          <t>Blast chiller, 4 trays</t>
        </is>
      </c>
      <c r="C12" t="inlineStr">
        <is>
          <t>Freezing</t>
        </is>
      </c>
      <c r="D12" s="5" t="inlineStr">
        <is>
          <t>Yes</t>
        </is>
      </c>
      <c r="E12" s="8" t="n">
        <v>4</v>
      </c>
      <c r="F12" s="4" t="inlineStr">
        <is>
          <t>trays per cycle</t>
        </is>
      </c>
      <c r="G12" s="8" t="n">
        <v>12</v>
      </c>
      <c r="H12" s="11">
        <f>IFERROR(E12*G12,"")</f>
        <v>48.0</v>
      </c>
      <c r="I12" s="9" t="n">
        <v>90</v>
      </c>
      <c r="J12" s="11">
        <f>IFERROR(INT('Settings'!$B$9/I12),"")</f>
        <v>4.0</v>
      </c>
      <c r="K12" s="11">
        <f>IFERROR(H12*J12,"")</f>
        <v>192.0</v>
      </c>
      <c r="L12" s="10" t="n">
        <v>0.4</v>
      </c>
      <c r="M12" s="11">
        <f>IFERROR(K12/L12,"")</f>
        <v>480.0</v>
      </c>
      <c r="N12" s="11">
        <f>IF(D12="Yes",M12,"")</f>
        <v>480.0</v>
      </c>
      <c r="O12" t="inlineStr">
        <is>
          <t>Assumption</t>
        </is>
      </c>
      <c r="P12" s="4" t="inlineStr">
        <is>
          <t>Irinox MultiFresh line. Long, mandatory cycle for filled items: the number-one bottleneck candidate in a pastry shop. A household chest freezer is NOT a blast chiller: it can't meet the Food Code cooling rule (135 °F to 70 °F in 2 hours, to 41 °F within 6 hours total).</t>
        </is>
      </c>
    </row>
    <row r="13" ht="46" customHeight="1">
      <c r="A13" s="11" t="n">
        <v>8</v>
      </c>
      <c r="B13" s="4" t="inlineStr">
        <is>
          <t>Walk-in cooler, about 283 cu ft (8 m³)</t>
        </is>
      </c>
      <c r="C13" t="inlineStr">
        <is>
          <t>Refrigeration</t>
        </is>
      </c>
      <c r="D13" s="5" t="inlineStr">
        <is>
          <t>Yes</t>
        </is>
      </c>
      <c r="E13" s="8" t="n">
        <v>282.51733377190874</v>
      </c>
      <c r="F13" s="4" t="inlineStr">
        <is>
          <t>usable cu ft per rotation</t>
        </is>
      </c>
      <c r="G13" s="8" t="n">
        <v>1.9821792614399998</v>
      </c>
      <c r="H13" s="11">
        <f>IFERROR(E13*G13,"")</f>
        <v>560.0</v>
      </c>
      <c r="I13" s="9" t="n">
        <v>400</v>
      </c>
      <c r="J13" s="11">
        <f>IFERROR(INT('Settings'!$B$9/I13),"")</f>
        <v>1.0</v>
      </c>
      <c r="K13" s="11">
        <f>IFERROR(H13*J13,"")</f>
        <v>560.0</v>
      </c>
      <c r="L13" s="10" t="n">
        <v>0.45</v>
      </c>
      <c r="M13" s="11">
        <f>IFERROR(K13/L13,"")</f>
        <v>1244.4444444444443</v>
      </c>
      <c r="N13" s="11">
        <f>IF(D13="Yes",M13,"")</f>
        <v>1244.4444444444443</v>
      </c>
      <c r="O13" t="inlineStr">
        <is>
          <t>assumption</t>
        </is>
      </c>
      <c r="P13" s="4" t="inlineStr">
        <is>
          <t>Here the "cycle" is one rotation of the cooler: with 400 minutes, one rotation fits in a day. It's the one that holds filled pastries at 41 °F or below.</t>
        </is>
      </c>
    </row>
    <row r="14" ht="46" customHeight="1">
      <c r="A14" s="11" t="n">
        <v>9</v>
      </c>
      <c r="B14" s="4" t="inlineStr">
        <is>
          <t>Refrigerated bakery display case</t>
        </is>
      </c>
      <c r="C14" t="inlineStr">
        <is>
          <t>Storefront and display</t>
        </is>
      </c>
      <c r="D14" s="5" t="inlineStr">
        <is>
          <t>Yes</t>
        </is>
      </c>
      <c r="E14" s="8" t="n">
        <v>10.010436687540041</v>
      </c>
      <c r="F14" s="4" t="inlineStr">
        <is>
          <t>sq ft of display per restock</t>
        </is>
      </c>
      <c r="G14" s="8" t="n">
        <v>12.077395200000002</v>
      </c>
      <c r="H14" s="11">
        <f>IFERROR(E14*G14,"")</f>
        <v>120.9</v>
      </c>
      <c r="I14" s="9" t="n">
        <v>120</v>
      </c>
      <c r="J14" s="11">
        <f>IFERROR(INT('Settings'!$B$9/I14),"")</f>
        <v>3.0</v>
      </c>
      <c r="K14" s="11">
        <f>IFERROR(H14*J14,"")</f>
        <v>362.70000000000005</v>
      </c>
      <c r="L14" s="10" t="n">
        <v>0.35</v>
      </c>
      <c r="M14" s="11">
        <f>IFERROR(K14/L14,"")</f>
        <v>1036.2857142857144</v>
      </c>
      <c r="N14" s="11">
        <f>IF(D14="Yes",M14,"")</f>
        <v>1036.2857142857144</v>
      </c>
      <c r="O14" t="inlineStr">
        <is>
          <t>Assumption</t>
        </is>
      </c>
      <c r="P14" s="4" t="inlineStr">
        <is>
          <t>Refrigerated display case, curved glass, about 5 ft, with 10.0 sq ft of display. At 120 minutes per restock you get three restocks of the case a day.</t>
        </is>
      </c>
    </row>
    <row r="15" ht="46" customHeight="1">
      <c r="A15" s="11" t="n">
        <v>10</v>
      </c>
      <c r="B15" s="4" t="inlineStr">
        <is>
          <t>Modular deck oven</t>
        </is>
      </c>
      <c r="C15" t="inlineStr">
        <is>
          <t>Heat</t>
        </is>
      </c>
      <c r="D15" s="5" t="inlineStr">
        <is>
          <t>No</t>
        </is>
      </c>
      <c r="E15" s="8" t="n">
        <v>4</v>
      </c>
      <c r="F15" s="4" t="inlineStr">
        <is>
          <t>trays per bake</t>
        </is>
      </c>
      <c r="G15" s="8" t="n">
        <v>14</v>
      </c>
      <c r="H15" s="11">
        <f>IFERROR(E15*G15,"")</f>
        <v>56.0</v>
      </c>
      <c r="I15" s="9" t="n">
        <v>35</v>
      </c>
      <c r="J15" s="11">
        <f>IFERROR(INT('Settings'!$B$9/I15),"")</f>
        <v>11.0</v>
      </c>
      <c r="K15" s="11">
        <f>IFERROR(H15*J15,"")</f>
        <v>616.0</v>
      </c>
      <c r="L15" s="10" t="n">
        <v>0.2</v>
      </c>
      <c r="M15" s="11">
        <f>IFERROR(K15/L15,"")</f>
        <v>3080.0</v>
      </c>
      <c r="N15" s="11">
        <f>IF(D15="Yes",M15,"")</f>
      </c>
      <c r="O15" t="inlineStr">
        <is>
          <t>Assumption</t>
        </is>
      </c>
      <c r="P15" s="4" t="inlineStr">
        <is>
          <t>OPTIONAL. Marked "No" on purpose: change it to "Yes" and watch how the bottleneck moves before you spend the money.</t>
        </is>
      </c>
    </row>
    <row r="16"/>
    <row r="17">
      <c r="B17" t="inlineStr">
        <is>
          <t>Minutes available per day (from "Settings")</t>
        </is>
      </c>
      <c r="E17" s="11">
        <f>'Settings'!B9</f>
        <v>408.0</v>
      </c>
    </row>
    <row r="18">
      <c r="B18" t="inlineStr">
        <is>
          <t>Equipment you say you have</t>
        </is>
      </c>
      <c r="E18" s="11">
        <f>COUNTIF(D6:D15,"Yes")</f>
        <v>9.0</v>
      </c>
    </row>
    <row r="19" ht="44" customHeight="1">
      <c r="B19" t="inlineStr">
        <is>
          <t>Equipment that doesn't count (cycle longer than the workday)</t>
        </is>
      </c>
      <c r="E19" s="11">
        <f>COUNTIF(J6:J15,0)</f>
        <v>0.0</v>
      </c>
      <c r="P19" s="4" t="inlineStr">
        <is>
          <t>A zero in "cycles per day" means that machine's cycle doesn't fit in the workday you declared. It's not a workbook error: with that shift, that machine produces nothing.</t>
        </is>
      </c>
    </row>
    <row r="20"/>
    <row r="21">
      <c r="B21" s="3" t="inlineStr">
        <is>
          <t>Validation lists (don't delete them: the dropdowns use them)</t>
        </is>
      </c>
    </row>
    <row r="22">
      <c r="B22" s="12" t="inlineStr">
        <is>
          <t>Have it?</t>
        </is>
      </c>
    </row>
    <row r="23">
      <c r="B23" t="inlineStr">
        <is>
          <t>Yes</t>
        </is>
      </c>
    </row>
    <row r="24">
      <c r="B24" t="inlineStr">
        <is>
          <t>No</t>
        </is>
      </c>
    </row>
    <row r="25"/>
    <row r="26" ht="56" customHeight="1">
      <c r="B26" s="7" t="inlineStr">
        <is>
          <t>The green columns on this sheet are the ones to push back on with the salesperson: how much really fits in a cycle, how long the full cycle lasts (with loading and unloading, not the one in the brochure) and what share of your assortment goes through it. If you have your own production data, use it for each machine's real percentage; until then, the defaults are assumptions consistent with La Clara's 30-item menu.</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P3"/>
    <mergeCell ref="B26:P26"/>
  </mergeCells>
  <conditionalFormatting sqref="J6:J15">
    <cfRule type="expression" priority="1" dxfId="0" stopIfTrue="1">
      <formula>=AND(ISNUMBER($J6),$J6&lt;1)</formula>
    </cfRule>
  </conditionalFormatting>
  <dataValidations count="1">
    <dataValidation sqref="D6 D7 D8 D9 D10 D11 D12 D13 D14 D15" showDropDown="0" showInputMessage="0" showErrorMessage="1" allowBlank="0" errorTitle="Have it?" error="Choose &quot;Yes&quot; or &quot;No&quot; from the list." type="list">
      <formula1>=$B$23:$B$24</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32"/>
  <sheetViews>
    <sheetView workbookViewId="0">
      <selection activeCell="A1" sqref="A1"/>
    </sheetView>
  </sheetViews>
  <sheetFormatPr baseColWidth="8" defaultRowHeight="15"/>
  <cols>
    <col width="44" customWidth="1" min="1" max="1"/>
    <col width="20" customWidth="1" min="2" max="2"/>
    <col width="16" customWidth="1" min="3" max="3"/>
    <col width="16" customWidth="1" min="4" max="4"/>
    <col width="16" customWidth="1" min="5" max="5"/>
    <col width="15" customWidth="1" min="6" max="6"/>
    <col width="14" customWidth="1" min="7" max="7"/>
    <col width="26" customWidth="1" min="8" max="8"/>
    <col width="15" customWidth="1" min="9" max="9"/>
    <col width="74" customWidth="1" min="10" max="10"/>
  </cols>
  <sheetData>
    <row r="1" ht="28" customHeight="1">
      <c r="A1" s="1" t="inlineStr">
        <is>
          <t>Bottleneck</t>
        </is>
      </c>
    </row>
    <row r="2">
      <c r="A2" t="inlineStr">
        <is>
          <t>AI Chef Pro · aichef.pro — How to Open a Pastry Shop</t>
        </is>
      </c>
    </row>
    <row r="3" ht="26" customHeight="1">
      <c r="A3" s="7" t="inlineStr">
        <is>
          <t>The equipment in charge, the pieces per day the whole kitchen can handle and what happens in each of the six peaks of the year.</t>
        </is>
      </c>
    </row>
    <row r="4"/>
    <row r="5">
      <c r="A5" s="3" t="inlineStr">
        <is>
          <t>The normal day</t>
        </is>
      </c>
    </row>
    <row r="6">
      <c r="A6" t="inlineStr">
        <is>
          <t>Pieces per day you want to turn out</t>
        </is>
      </c>
      <c r="B6" s="11">
        <f>'Settings'!B12</f>
        <v>476.0</v>
      </c>
    </row>
    <row r="7">
      <c r="A7" t="inlineStr">
        <is>
          <t>Pieces per day the whole kitchen allows</t>
        </is>
      </c>
      <c r="B7" s="18">
        <f>IFERROR(MIN('Capacity by Equipment'!$N$6:$N$15),"")</f>
        <v>480.0</v>
      </c>
    </row>
    <row r="8">
      <c r="A8" s="12" t="inlineStr">
        <is>
          <t>The equipment that limits you</t>
        </is>
      </c>
      <c r="B8" s="17" t="str">
        <f>IFERROR(INDEX('Capacity by Equipment'!$B$6:$B$15,MATCH(B7,'Capacity by Equipment'!$N$6:$N$15,0)),"")</f>
        <v>Blast chiller, 4 trays</v>
      </c>
    </row>
    <row r="9">
      <c r="A9" t="inlineStr">
        <is>
          <t>Cushion over a normal day (pieces)</t>
        </is>
      </c>
      <c r="B9" s="11">
        <f>IFERROR(B7-B6,"")</f>
        <v>4.0</v>
      </c>
    </row>
    <row r="10">
      <c r="A10" t="inlineStr">
        <is>
          <t>Cushion over a normal day (%)</t>
        </is>
      </c>
      <c r="B10" s="13">
        <f>IFERROR(B9/B6,"")</f>
        <v>0.008403361344537815</v>
      </c>
    </row>
    <row r="11">
      <c r="A11" t="inlineStr">
        <is>
          <t>Safety margin you set</t>
        </is>
      </c>
      <c r="B11" s="13">
        <f>'Settings'!B13</f>
        <v>0.1</v>
      </c>
    </row>
    <row r="12" ht="44" customHeight="1">
      <c r="A12" s="12" t="inlineStr">
        <is>
          <t>NORMAL-DAY VERDICT</t>
        </is>
      </c>
      <c r="B12" s="17" t="str">
        <f>IF(B7="","",IF(B7&lt;B6,"YOU DON'T MAKE IT",IF(B10&lt;B11,"TIGHT","ENOUGH")))</f>
        <v>TIGHT</v>
      </c>
      <c r="J12" s="4" t="inlineStr">
        <is>
          <t>"TIGHT" means you get through the normal day, but with less than the safety margin you set yourself: a breakdown, a sick call or a big order leaves you short of product.</t>
        </is>
      </c>
    </row>
    <row r="13">
      <c r="A13" t="inlineStr">
        <is>
          <t>The second-tightest equipment allows</t>
        </is>
      </c>
      <c r="B13" s="11">
        <f>IFERROR(SMALL('Capacity by Equipment'!$N$6:$N$15,2),"")</f>
        <v>1036.2857142857144</v>
      </c>
    </row>
    <row r="14" ht="44" customHeight="1">
      <c r="A14" t="inlineStr">
        <is>
          <t>And it is</t>
        </is>
      </c>
      <c r="B14" t="str">
        <f>IFERROR(INDEX('Capacity by Equipment'!$B$6:$B$15,MATCH(B13,'Capacity by Equipment'!$N$6:$N$15,0)),"")</f>
        <v>Refrigerated bakery display case</v>
      </c>
      <c r="J14" s="4" t="inlineStr">
        <is>
          <t>Look at both together before buying: if the second is very close to the first, fixing only the bottleneck raises your capacity by four pieces and leaves your money out.</t>
        </is>
      </c>
    </row>
    <row r="15"/>
    <row r="16">
      <c r="A16" s="3" t="inlineStr">
        <is>
          <t>The six peaks of the year</t>
        </is>
      </c>
    </row>
    <row r="17" ht="54" customHeight="1">
      <c r="A17" s="6" t="inlineStr">
        <is>
          <t>Peak</t>
        </is>
      </c>
      <c r="B17" s="6" t="inlineStr">
        <is>
          <t>Dates</t>
        </is>
      </c>
      <c r="C17" s="6" t="inlineStr">
        <is>
          <t>Factor over a normal day</t>
        </is>
      </c>
      <c r="D17" s="6" t="inlineStr">
        <is>
          <t>Pieces per day needed</t>
        </is>
      </c>
      <c r="E17" s="6" t="inlineStr">
        <is>
          <t>Pieces per day the whole kitchen allows</t>
        </is>
      </c>
      <c r="F17" s="6" t="inlineStr">
        <is>
          <t>Shortfall (pieces per day)</t>
        </is>
      </c>
      <c r="G17" s="6" t="inlineStr">
        <is>
          <t>Can you handle it?</t>
        </is>
      </c>
      <c r="H17" s="6" t="inlineStr">
        <is>
          <t>Star product</t>
        </is>
      </c>
      <c r="I17" s="6" t="inlineStr">
        <is>
          <t>Star product units per day during the campaign</t>
        </is>
      </c>
      <c r="J17" s="6" t="inlineStr">
        <is>
          <t>Note</t>
        </is>
      </c>
    </row>
    <row r="18" ht="62" customHeight="1">
      <c r="A18" t="inlineStr">
        <is>
          <t>Día de Reyes (Three Kings Day)</t>
        </is>
      </c>
      <c r="B18" t="inlineStr">
        <is>
          <t>January 2–6</t>
        </is>
      </c>
      <c r="C18" s="8" t="n">
        <v>6</v>
      </c>
      <c r="D18" s="11">
        <f>IFERROR($B$6*C18,"")</f>
        <v>2856.0</v>
      </c>
      <c r="E18" s="11">
        <f>IFERROR($B$7,"")</f>
        <v>480.0</v>
      </c>
      <c r="F18" s="11">
        <f>IFERROR(E18-D18,"")</f>
        <v>-2376.0</v>
      </c>
      <c r="G18" t="str">
        <f>IF(F18="","",IF(F18&lt;0,"NO","YES"))</f>
        <v>NO</v>
      </c>
      <c r="H18" t="inlineStr">
        <is>
          <t>Rosca de Reyes</t>
        </is>
      </c>
      <c r="I18" s="9" t="n">
        <v>160</v>
      </c>
      <c r="J18" s="4" t="inlineStr">
        <is>
          <t>The peak that decides the year. The campaign units are those of the FIVE best-selling days: 160 a day, 800 in total, 47% of the roscas the menu mix assigns to the year (1.2% of the pieces). The rest sell in the week before, outside the campaign window, which is why they aren't in this row. In the US the rosca shares its season with the king cake (Epiphany to Mardi Gras), and searches average about 90,500 a month for "rosca de reyes" and 110,000 for "king cake" (DataForSEO, October 2026): scale references, never price or market share. A cream-filled rosca carries the 41 °F cold-holding limit (Food Code 3-501.16) and date marking (3-501.17) on the biggest production day: that limits production as much as the oven does.</t>
        </is>
      </c>
    </row>
    <row r="19" ht="62" customHeight="1">
      <c r="A19" t="inlineStr">
        <is>
          <t>Valentine's Day</t>
        </is>
      </c>
      <c r="B19" t="inlineStr">
        <is>
          <t>February 13–14</t>
        </is>
      </c>
      <c r="C19" s="8" t="n">
        <v>1.8</v>
      </c>
      <c r="D19" s="11">
        <f>IFERROR($B$6*C19,"")</f>
        <v>856.8000000000001</v>
      </c>
      <c r="E19" s="11">
        <f>IFERROR($B$7,"")</f>
        <v>480.0</v>
      </c>
      <c r="F19" s="11">
        <f>IFERROR(E19-D19,"")</f>
        <v>-376.80000000000007</v>
      </c>
      <c r="G19" t="str">
        <f>IF(F19="","",IF(F19&lt;0,"NO","YES"))</f>
        <v>NO</v>
      </c>
      <c r="H19" t="inlineStr">
        <is>
          <t>Raspberry macarons</t>
        </is>
      </c>
      <c r="I19" s="9" t="n">
        <v>260</v>
      </c>
      <c r="J19" s="4" t="inlineStr">
        <is>
          <t>Two-day, high-ticket campaign, not volume: you win with boxes and presentation, not with more oven. The special production for this date is heart-shaped cakes, bonbons and macarons.</t>
        </is>
      </c>
    </row>
    <row r="20" ht="62" customHeight="1">
      <c r="A20" t="inlineStr">
        <is>
          <t>Mother's Day</t>
        </is>
      </c>
      <c r="B20" t="inlineStr">
        <is>
          <t>Día de las Madres (May 10) and US Mother's Day (2nd Sunday of May)</t>
        </is>
      </c>
      <c r="C20" s="8" t="n">
        <v>1.9</v>
      </c>
      <c r="D20" s="11">
        <f>IFERROR($B$6*C20,"")</f>
        <v>904.4</v>
      </c>
      <c r="E20" s="11">
        <f>IFERROR($B$7,"")</f>
        <v>480.0</v>
      </c>
      <c r="F20" s="11">
        <f>IFERROR(E20-D20,"")</f>
        <v>-424.4</v>
      </c>
      <c r="G20" t="str">
        <f>IF(F20="","",IF(F20&lt;0,"NO","YES"))</f>
        <v>NO</v>
      </c>
      <c r="H20" t="inlineStr">
        <is>
          <t>70% chocolate cake</t>
        </is>
      </c>
      <c r="I20" s="9" t="n">
        <v>96</v>
      </c>
      <c r="J20" s="4" t="inlineStr">
        <is>
          <t>One operating date for Día de las Madres (May 10) and US Mother's Day (2nd Sunday of May): a personalized cake, made to order. What matters to this guide is the load on the production kitchen, not the calendar.</t>
        </is>
      </c>
    </row>
    <row r="21" ht="62" customHeight="1">
      <c r="A21" t="inlineStr">
        <is>
          <t>Easter (Holy Week)</t>
        </is>
      </c>
      <c r="B21" t="inlineStr">
        <is>
          <t>Palm Sunday to Easter Sunday</t>
        </is>
      </c>
      <c r="C21" s="8" t="n">
        <v>2.4</v>
      </c>
      <c r="D21" s="11">
        <f>IFERROR($B$6*C21,"")</f>
        <v>1142.3999999999999</v>
      </c>
      <c r="E21" s="11">
        <f>IFERROR($B$7,"")</f>
        <v>480.0</v>
      </c>
      <c r="F21" s="11">
        <f>IFERROR(E21-D21,"")</f>
        <v>-662.3999999999999</v>
      </c>
      <c r="G21" t="str">
        <f>IF(F21="","",IF(F21&lt;0,"NO","YES"))</f>
        <v>NO</v>
      </c>
      <c r="H21" t="inlineStr">
        <is>
          <t>Torrijas</t>
        </is>
      </c>
      <c r="I21" s="9" t="n">
        <v>230</v>
      </c>
      <c r="J21" s="4" t="inlineStr">
        <is>
          <t>Eight days in a row of extra production, more exhausting than the five of Three Kings Day even though the peak is smaller. Torrijas and Easter cakes (monas) at once: one needs a fryer and cold, the other an oven and chocolate. That's 230 torrijas a day and 1,840 over the campaign: 99% of the torrijas the menu mix assigns to the year, because they aren't made outside Holy Week.</t>
        </is>
      </c>
    </row>
    <row r="22" ht="62" customHeight="1">
      <c r="A22" t="inlineStr">
        <is>
          <t>First Communions and graduations</t>
        </is>
      </c>
      <c r="B22" t="inlineStr">
        <is>
          <t>mid-April to mid-June</t>
        </is>
      </c>
      <c r="C22" s="8" t="n">
        <v>1.6</v>
      </c>
      <c r="D22" s="11">
        <f>IFERROR($B$6*C22,"")</f>
        <v>761.6</v>
      </c>
      <c r="E22" s="11">
        <f>IFERROR($B$7,"")</f>
        <v>480.0</v>
      </c>
      <c r="F22" s="11">
        <f>IFERROR(E22-D22,"")</f>
        <v>-281.6</v>
      </c>
      <c r="G22" t="str">
        <f>IF(F22="","",IF(F22&lt;0,"NO","YES"))</f>
        <v>NO</v>
      </c>
      <c r="H22" t="inlineStr">
        <is>
          <t>Strawberries-and-cream cake</t>
        </is>
      </c>
      <c r="I22" s="9" t="n">
        <v>34</v>
      </c>
      <c r="J22" s="4" t="inlineStr">
        <is>
          <t>It's not a peak, it's a two-month PLATEAU, which is why you carry it with staff and not with overtime. Everything is by custom order: deposit, delivery calendar and cancellation risk (chapter 16).</t>
        </is>
      </c>
    </row>
    <row r="23" ht="62" customHeight="1">
      <c r="A23" t="inlineStr">
        <is>
          <t>All Saints' Day and Día de los Muertos</t>
        </is>
      </c>
      <c r="B23" t="inlineStr">
        <is>
          <t>October 30 – November 1</t>
        </is>
      </c>
      <c r="C23" s="8" t="n">
        <v>2.6</v>
      </c>
      <c r="D23" s="11">
        <f>IFERROR($B$6*C23,"")</f>
        <v>1237.6000000000001</v>
      </c>
      <c r="E23" s="11">
        <f>IFERROR($B$7,"")</f>
        <v>480.0</v>
      </c>
      <c r="F23" s="11">
        <f>IFERROR(E23-D23,"")</f>
        <v>-757.6000000000001</v>
      </c>
      <c r="G23" t="str">
        <f>IF(F23="","",IF(F23&lt;0,"NO","YES"))</f>
        <v>NO</v>
      </c>
      <c r="H23" t="inlineStr">
        <is>
          <t>Buñuelos (cream-filled fritters)</t>
        </is>
      </c>
      <c r="I23" s="9" t="n">
        <v>470</v>
      </c>
      <c r="J23" s="4" t="inlineStr">
        <is>
          <t>Three days with three items that are only made now: buñuelos, huesos de santo and panellets. The buñuelos are cream-filled (41 °F or below, and date-marked if held) and the other two are shelf-stable at room temperature: that's why buñuelos are made the same day and huesos de santo can be made ahead. That food-safety detail IS the campaign planning. It's 470 buñuelos a day and 1,410 over the three days: 99% of the buñuelos the menu mix assigns to the year, because they aren't made outside this date.</t>
        </is>
      </c>
    </row>
    <row r="24"/>
    <row r="25">
      <c r="A25" t="inlineStr">
        <is>
          <t>Peaks you can't handle</t>
        </is>
      </c>
      <c r="B25" s="11">
        <f>COUNTIF(G18:G23,"NO")</f>
        <v>6.0</v>
      </c>
    </row>
    <row r="26">
      <c r="A26" t="inlineStr">
        <is>
          <t>The worst shortfall (pieces per day)</t>
        </is>
      </c>
      <c r="B26" s="11">
        <f>IFERROR(MIN(F18:F23),"")</f>
        <v>-2376.0</v>
      </c>
    </row>
    <row r="27">
      <c r="A27" t="inlineStr">
        <is>
          <t>And it's the peak of</t>
        </is>
      </c>
      <c r="B27" t="str">
        <f>IFERROR(INDEX($A$18:$A$23,MATCH(B26,$F$18:$F$23,0)),"")</f>
        <v>Día de Reyes (Three Kings Day)</v>
      </c>
    </row>
    <row r="28">
      <c r="A28" s="12" t="inlineStr">
        <is>
          <t>CAMPAIGN VERDICT</t>
        </is>
      </c>
      <c r="B28" s="17" t="str">
        <f>IF(B25=0,"You handle all six peaks",IF(B25=1,"One peak is more than the kitchen can take","Several peaks are more than the kitchen can take"))</f>
        <v>Several peaks are more than the kitchen can take</v>
      </c>
    </row>
    <row r="29"/>
    <row r="30" ht="62" customHeight="1">
      <c r="A30" s="7" t="inlineStr">
        <is>
          <t>A peak that doesn't fit in the production kitchen is NOT a reason to buy more machine: buying for Three Kings Day means having money sitting idle the other 299 days. What you do is get ahead on production (scheduled freezing with a blast chiller, not a chest freezer), load the campaign onto shelf-stable items that can be made days ahead, and close orders with a date. Each campaign's dollars are in seasonal-peaks-planner.xlsx; its dates and task list belong in your annual task calendar.</t>
        </is>
      </c>
    </row>
    <row r="31"/>
    <row r="32" ht="44" customHeight="1">
      <c r="A32" s="7" t="inlineStr">
        <is>
          <t>The column "star product units per day during the campaign" is here as a contrast, not a calculation: it's the units of the product that defines the peak. The 420 roscas a day on Three Kings Day versus zero on a normal day are the reason this sheet exists.</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0:J30"/>
    <mergeCell ref="A32:J32"/>
    <mergeCell ref="A3:J3"/>
  </mergeCells>
  <conditionalFormatting sqref="B12">
    <cfRule type="cellIs" priority="1" operator="equal" dxfId="0" stopIfTrue="1">
      <formula>"YOU DON'T MAKE IT"</formula>
    </cfRule>
    <cfRule type="cellIs" priority="2" operator="equal" dxfId="2" stopIfTrue="1">
      <formula>"TIGHT"</formula>
    </cfRule>
    <cfRule type="cellIs" priority="3" operator="equal" dxfId="1" stopIfTrue="1">
      <formula>"ENOUGH"</formula>
    </cfRule>
  </conditionalFormatting>
  <conditionalFormatting sqref="F18:F23">
    <cfRule type="expression" priority="4" dxfId="0" stopIfTrue="1">
      <formula>=AND(ISNUMBER($F18),$F18&lt;0)</formula>
    </cfRule>
  </conditionalFormatting>
  <conditionalFormatting sqref="G18:G23">
    <cfRule type="cellIs" priority="5" operator="equal" dxfId="0" stopIfTrue="1">
      <formula>"NO"</formula>
    </cfRule>
    <cfRule type="cellIs" priority="6" operator="equal" dxfId="1" stopIfTrue="1">
      <formula>"YES"</formula>
    </cfRule>
  </conditionalFormatting>
  <conditionalFormatting sqref="B28">
    <cfRule type="cellIs" priority="7" operator="equal" dxfId="1" stopIfTrue="1">
      <formula>"You handle all six peaks"</formula>
    </cfRule>
    <cfRule type="cellIs" priority="8" operator="equal" dxfId="2" stopIfTrue="1">
      <formula>"One peak is more than the kitchen can take"</formula>
    </cfRule>
    <cfRule type="cellIs" priority="9" operator="equal" dxfId="0" stopIfTrue="1">
      <formula>"Several peaks are more than the kitchen can take"</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40"/>
  <sheetViews>
    <sheetView workbookViewId="0">
      <selection activeCell="A1" sqref="A1"/>
    </sheetView>
  </sheetViews>
  <sheetFormatPr baseColWidth="8" defaultRowHeight="15"/>
  <cols>
    <col width="5" customWidth="1" min="1" max="1"/>
    <col width="52" customWidth="1" min="2" max="2"/>
    <col width="13" customWidth="1" min="3" max="3"/>
    <col width="46" customWidth="1" min="4" max="4"/>
    <col width="15" customWidth="1" min="5" max="5"/>
    <col width="13" customWidth="1" min="6" max="6"/>
    <col width="13" customWidth="1" min="7" max="7"/>
    <col width="13" customWidth="1" min="8" max="8"/>
    <col width="15" customWidth="1" min="9" max="9"/>
    <col width="80" customWidth="1" min="10" max="10"/>
  </cols>
  <sheetData>
    <row r="1" ht="28" customHeight="1">
      <c r="A1" s="1" t="inlineStr">
        <is>
          <t>Site Visit Checklist</t>
        </is>
      </c>
    </row>
    <row r="2">
      <c r="A2" t="inlineStr">
        <is>
          <t>AI Chef Pro · aichef.pro — How to Open a Pastry Shop</t>
        </is>
      </c>
    </row>
    <row r="3" ht="26" customHeight="1">
      <c r="A3" s="7" t="inlineStr">
        <is>
          <t>Print it and take it to every visit. A single "No" on a deal-breaker item and the verdict is RULE OUT.</t>
        </is>
      </c>
    </row>
    <row r="4"/>
    <row r="5" ht="44" customHeight="1">
      <c r="A5" s="6" t="inlineStr">
        <is>
          <t>No.</t>
        </is>
      </c>
      <c r="B5" s="6" t="inlineStr">
        <is>
          <t>What you check</t>
        </is>
      </c>
      <c r="C5" s="6" t="inlineStr">
        <is>
          <t>Deal-breaker?</t>
        </is>
      </c>
      <c r="D5" s="6" t="inlineStr">
        <is>
          <t>How to check it</t>
        </is>
      </c>
      <c r="E5" s="6" t="inlineStr">
        <is>
          <t>Answer</t>
        </is>
      </c>
      <c r="F5" s="6" t="inlineStr">
        <is>
          <t>Measured value</t>
        </is>
      </c>
      <c r="G5" s="6" t="inlineStr">
        <is>
          <t>Threshold</t>
        </is>
      </c>
      <c r="H5" s="6" t="inlineStr">
        <is>
          <t>Does the value pass?</t>
        </is>
      </c>
      <c r="I5" s="6" t="inlineStr">
        <is>
          <t>Verdict</t>
        </is>
      </c>
      <c r="J5" s="6" t="inlineStr">
        <is>
          <t>Note and rule</t>
        </is>
      </c>
    </row>
    <row r="6" ht="58" customHeight="1">
      <c r="A6" s="11" t="n">
        <v>1</v>
      </c>
      <c r="B6" s="4" t="inlineStr">
        <is>
          <t>There's a route for the hood's own duct up to the roof</t>
        </is>
      </c>
      <c r="C6" t="inlineStr">
        <is>
          <t>Yes</t>
        </is>
      </c>
      <c r="D6" s="4" t="inlineStr">
        <is>
          <t>Go up on the roof with the landlord and look at where the duct would run; it can't tie into the restroom or front-of-house exhaust. Get it in writing before you sign.</t>
        </is>
      </c>
      <c r="E6" s="5" t="inlineStr">
        <is>
          <t>Yes</t>
        </is>
      </c>
      <c r="G6" t="inlineStr">
        <is>
          <t>Not applicable</t>
        </is>
      </c>
      <c r="H6" t="inlineStr"/>
      <c r="I6" t="str">
        <f>IF(H6="No",IF(C6="Yes","RULE OUT","Weak point"),IF(E6="","",IF(E6="No",IF(C6="Yes","RULE OUT","Weak point"),IF(E6="To check","Pending","OK"))))</f>
        <v>OK</v>
      </c>
      <c r="J6" s="4" t="inlineStr">
        <is>
          <t>Industry rule of thumb, NOT a verified code: the duct usually has to reach the roof, and how far above it and how far from air intakes and property lines is set by your adopted mechanical code and NFPA 96: ask the building department. It's the item that rules out the most spaces and the one to settle BEFORE you sign, not after.</t>
        </is>
      </c>
    </row>
    <row r="7" ht="58" customHeight="1">
      <c r="A7" s="11" t="n">
        <v>2</v>
      </c>
      <c r="B7" s="4" t="inlineStr">
        <is>
          <t>The hood type the space has (or can take) matches your ovens</t>
        </is>
      </c>
      <c r="C7" t="inlineStr">
        <is>
          <t>Yes</t>
        </is>
      </c>
      <c r="D7" s="4" t="inlineStr">
        <is>
          <t>Type I with fire suppression for deck ovens, Type II for enclosed electric convection: get the answer in writing from the building or mechanical department. Ask for the mechanical plans or open the dropped ceiling to see what's there.</t>
        </is>
      </c>
      <c r="E7" s="5" t="inlineStr">
        <is>
          <t>Yes</t>
        </is>
      </c>
      <c r="G7" t="inlineStr">
        <is>
          <t>Not applicable</t>
        </is>
      </c>
      <c r="H7" t="inlineStr"/>
      <c r="I7" t="str">
        <f>IF(H7="No",IF(C7="Yes","RULE OUT","Weak point"),IF(E7="","",IF(E7="No",IF(C7="Yes","RULE OUT","Weak point"),IF(E7="To check","Pending","OK"))))</f>
        <v>OK</v>
      </c>
      <c r="J7" s="4" t="inlineStr">
        <is>
          <t>Hood type follows the appliance, its listing and your jurisdiction's adopted mechanical code (IMC 507): Type I with grease duct and fire suppression where appliances give off grease or smoke, Type II for heat and steam, and none for a single light-duty electric oven or an appliance listed to UL 710B. Don't read those exceptions as yours: a Type II where your ovens need a Type I means a new hood, duct and fire suppression system to budget.</t>
        </is>
      </c>
    </row>
    <row r="8" ht="58" customHeight="1">
      <c r="A8" s="11" t="n">
        <v>3</v>
      </c>
      <c r="B8" s="4" t="inlineStr">
        <is>
          <t>The available exhaust airflow covers what your ovens need</t>
        </is>
      </c>
      <c r="C8" t="inlineStr">
        <is>
          <t>No</t>
        </is>
      </c>
      <c r="D8" s="4" t="inlineStr">
        <is>
          <t>Measure it, or ask for the spec sheet of the existing exhaust fan. The threshold is calculated on the "Settings" sheet from your oven power and your fuel type.</t>
        </is>
      </c>
      <c r="E8" s="5" t="inlineStr">
        <is>
          <t>Yes</t>
        </is>
      </c>
      <c r="F8" s="9" t="n">
        <v>824.0088901680672</v>
      </c>
      <c r="G8" s="11">
        <f>'Settings'!B21</f>
        <v>800.465779020408</v>
      </c>
      <c r="H8" t="str">
        <f>IF(AND(ISNUMBER(F8),ISNUMBER(G8)),IF(F8&gt;=G8,"Yes","No"),"")</f>
        <v>Yes</v>
      </c>
      <c r="I8" t="str">
        <f>IF(H8="No",IF(C8="Yes","RULE OUT","Weak point"),IF(E8="","",IF(E8="No",IF(C8="Yes","RULE OUT","Weak point"),IF(E8="To check","Pending","OK"))))</f>
        <v>OK</v>
      </c>
      <c r="J8" s="4" t="inlineStr">
        <is>
          <t>Sizing rule of thumb: 23.5 CFM per kW for electric equipment and 29.4 for gas. If the space falls short, the cost of replacing the exhaust fan goes into startup-cost-calculator.xlsx.</t>
        </is>
      </c>
    </row>
    <row r="9" ht="58" customHeight="1">
      <c r="A9" s="11" t="n">
        <v>4</v>
      </c>
      <c r="B9" s="4" t="inlineStr">
        <is>
          <t>The electrical service available covers what you're going to install</t>
        </is>
      </c>
      <c r="C9" t="inlineStr">
        <is>
          <t>Yes</t>
        </is>
      </c>
      <c r="D9" s="4" t="inlineStr">
        <is>
          <t>Ask for the service size (amps, voltage, single- or three-phase) and ask the utility what capacity the building's service can deliver.</t>
        </is>
      </c>
      <c r="E9" s="5" t="inlineStr">
        <is>
          <t>Yes</t>
        </is>
      </c>
      <c r="F9" s="8" t="n">
        <v>70</v>
      </c>
      <c r="G9" s="16">
        <f>'Settings'!B17</f>
        <v>62.0</v>
      </c>
      <c r="H9" t="str">
        <f>IF(AND(ISNUMBER(F9),ISNUMBER(G9)),IF(F9&gt;=G9,"Yes","No"),"")</f>
        <v>Yes</v>
      </c>
      <c r="I9" t="str">
        <f>IF(H9="No",IF(C9="Yes","RULE OUT","Weak point"),IF(E9="","",IF(E9="No",IF(C9="Yes","RULE OUT","Weak point"),IF(E9="To check","Pending","OK"))))</f>
        <v>OK</v>
      </c>
      <c r="J9" s="4" t="inlineStr">
        <is>
          <t>Raising the available power of a service can cost more than the whole build-out and depends on the utility, not on your budget.</t>
        </is>
      </c>
    </row>
    <row r="10" ht="58" customHeight="1">
      <c r="A10" s="11" t="n">
        <v>5</v>
      </c>
      <c r="B10" s="4" t="inlineStr">
        <is>
          <t>Zoning allows a bakery with on-site production at that address</t>
        </is>
      </c>
      <c r="C10" t="inlineStr">
        <is>
          <t>Yes</t>
        </is>
      </c>
      <c r="D10" s="4" t="inlineStr">
        <is>
          <t>Ask the planning or zoning department, in writing and for that specific address, not over the phone. Ask whether they issue a zoning verification letter.</t>
        </is>
      </c>
      <c r="E10" s="5" t="inlineStr">
        <is>
          <t>Yes</t>
        </is>
      </c>
      <c r="G10" t="inlineStr">
        <is>
          <t>Not applicable</t>
        </is>
      </c>
      <c r="H10" t="inlineStr"/>
      <c r="I10" t="str">
        <f>IF(H10="No",IF(C10="Yes","RULE OUT","Weak point"),IF(E10="","",IF(E10="No",IF(C10="Yes","RULE OUT","Weak point"),IF(E10="To check","Pending","OK"))))</f>
        <v>OK</v>
      </c>
      <c r="J10" s="4" t="inlineStr">
        <is>
          <t>A space that's a store today doesn't automatically allow a production kitchen: it's food production, with exhaust and early-morning hours.</t>
        </is>
      </c>
    </row>
    <row r="11" ht="58" customHeight="1">
      <c r="A11" s="11" t="n">
        <v>6</v>
      </c>
      <c r="B11" s="4" t="inlineStr">
        <is>
          <t>The landlord and the center's CC&amp;Rs or rules allow the use, the hood and the roof penetration</t>
        </is>
      </c>
      <c r="C11" t="inlineStr">
        <is>
          <t>Yes</t>
        </is>
      </c>
      <c r="D11" s="4" t="inlineStr">
        <is>
          <t>Get the landlord's written approval and read the CC&amp;Rs or the center or association rules. A restaurant next door isn't proof enough.</t>
        </is>
      </c>
      <c r="E11" s="5" t="inlineStr">
        <is>
          <t>Yes</t>
        </is>
      </c>
      <c r="G11" t="inlineStr">
        <is>
          <t>Not applicable</t>
        </is>
      </c>
      <c r="H11" t="inlineStr"/>
      <c r="I11" t="str">
        <f>IF(H11="No",IF(C11="Yes","RULE OUT","Weak point"),IF(E11="","",IF(E11="No",IF(C11="Yes","RULE OUT","Weak point"),IF(E11="To check","Pending","OK"))))</f>
        <v>OK</v>
      </c>
      <c r="J11" s="4" t="inlineStr">
        <is>
          <t>A recorded restriction or a center rule binds you even if the city gives you the permit, and the duct usually crosses a common area or the roof.</t>
        </is>
      </c>
    </row>
    <row r="12" ht="58" customHeight="1">
      <c r="A12" s="11" t="n">
        <v>7</v>
      </c>
      <c r="B12" s="4" t="inlineStr">
        <is>
          <t>The clear ceiling height reaches the height you've set</t>
        </is>
      </c>
      <c r="C12" t="inlineStr">
        <is>
          <t>No</t>
        </is>
      </c>
      <c r="D12" s="4" t="inlineStr">
        <is>
          <t>Laser measure from the finished floor to the underside of the structure, at the lowest point, not the highest.</t>
        </is>
      </c>
      <c r="E12" s="5" t="inlineStr">
        <is>
          <t>Yes</t>
        </is>
      </c>
      <c r="F12" s="8" t="n">
        <v>10.498687664041995</v>
      </c>
      <c r="G12" s="16">
        <f>'Settings'!B22</f>
        <v>9.842519685039369</v>
      </c>
      <c r="H12" t="str">
        <f>IF(AND(ISNUMBER(F12),ISNUMBER(G12)),IF(F12&gt;=G12,"Yes","No"),"")</f>
        <v>Yes</v>
      </c>
      <c r="I12" t="str">
        <f>IF(H12="No",IF(C12="Yes","RULE OUT","Weak point"),IF(E12="","",IF(E12="No",IF(C12="Yes","RULE OUT","Weak point"),IF(E12="To check","Pending","OK"))))</f>
        <v>OK</v>
      </c>
      <c r="J12" s="4" t="inlineStr">
        <is>
          <t>With hood, duct and dropped ceiling, every inch counts. Measure where the oven goes.</t>
        </is>
      </c>
    </row>
    <row r="13" ht="58" customHeight="1">
      <c r="A13" s="11" t="n">
        <v>8</v>
      </c>
      <c r="B13" s="4" t="inlineStr">
        <is>
          <t>The usable floor area covers the square feet you've allotted by zone</t>
        </is>
      </c>
      <c r="C13" t="inlineStr">
        <is>
          <t>No</t>
        </is>
      </c>
      <c r="D13" s="4" t="inlineStr">
        <is>
          <t>Real usable area, not counting walls or shafts. Compare it with the total on the "Zones and Square Feet" sheet.</t>
        </is>
      </c>
      <c r="E13" s="5" t="inlineStr">
        <is>
          <t>Yes</t>
        </is>
      </c>
      <c r="F13" s="8" t="n">
        <v>990.2797583372944</v>
      </c>
      <c r="G13" s="16">
        <f>'Settings'!B14</f>
        <v>968.751937503875</v>
      </c>
      <c r="H13" t="str">
        <f>IF(AND(ISNUMBER(F13),ISNUMBER(G13)),IF(F13&gt;=G13,"Yes","No"),"")</f>
        <v>Yes</v>
      </c>
      <c r="I13" t="str">
        <f>IF(H13="No",IF(C13="Yes","RULE OUT","Weak point"),IF(E13="","",IF(E13="No",IF(C13="Yes","RULE OUT","Weak point"),IF(E13="To check","Pending","OK"))))</f>
        <v>OK</v>
      </c>
      <c r="J13" s="4" t="inlineStr">
        <is>
          <t>A listing's square footage is usually gross. The one that matters is usable, and about 108 sq ft can easily vanish between the two.</t>
        </is>
      </c>
    </row>
    <row r="14" ht="58" customHeight="1">
      <c r="A14" s="11" t="n">
        <v>9</v>
      </c>
      <c r="B14" s="4" t="inlineStr">
        <is>
          <t>The production kitchen can be closed off so customers can't get in</t>
        </is>
      </c>
      <c r="C14" t="inlineStr">
        <is>
          <t>Yes</t>
        </is>
      </c>
      <c r="D14" s="4" t="inlineStr">
        <is>
          <t>Draw the seven zones on the floor plan before you sign. If they don't fit with the door where it is, they don't fit.</t>
        </is>
      </c>
      <c r="E14" s="5" t="inlineStr">
        <is>
          <t>Yes</t>
        </is>
      </c>
      <c r="G14" t="inlineStr">
        <is>
          <t>Not applicable</t>
        </is>
      </c>
      <c r="H14" t="inlineStr"/>
      <c r="I14" t="str">
        <f>IF(H14="No",IF(C14="Yes","RULE OUT","Weak point"),IF(E14="","",IF(E14="No",IF(C14="Yes","RULE OUT","Weak point"),IF(E14="To check","Pending","OK"))))</f>
        <v>OK</v>
      </c>
      <c r="J14" s="4" t="inlineStr">
        <is>
          <t>The production kitchen is a prep area off-limits to customers. It's not a design recommendation: it's what separates a production kitchen from a kitchen on display.</t>
        </is>
      </c>
    </row>
    <row r="15" ht="58" customHeight="1">
      <c r="A15" s="11" t="n">
        <v>10</v>
      </c>
      <c r="B15" s="4" t="inlineStr">
        <is>
          <t>The seven zones fit with a one-way flow and no crossings</t>
        </is>
      </c>
      <c r="C15" t="inlineStr">
        <is>
          <t>No</t>
        </is>
      </c>
      <c r="D15" s="4" t="inlineStr">
        <is>
          <t>Check the route on the "Zones and Square Feet" sheet: ingredients, production kitchen, finished goods, counter.</t>
        </is>
      </c>
      <c r="E15" s="5" t="inlineStr">
        <is>
          <t>Yes</t>
        </is>
      </c>
      <c r="G15" t="inlineStr">
        <is>
          <t>Not applicable</t>
        </is>
      </c>
      <c r="H15" t="inlineStr"/>
      <c r="I15" t="str">
        <f>IF(H15="No",IF(C15="Yes","RULE OUT","Weak point"),IF(E15="","",IF(E15="No",IF(C15="Yes","RULE OUT","Weak point"),IF(E15="To check","Pending","OK"))))</f>
        <v>OK</v>
      </c>
      <c r="J15" s="4" t="inlineStr">
        <is>
          <t>Fitting the square feet doesn't mean fitting the route. A production kitchen where the trash goes out the way the flour comes in won't pass plan review.</t>
        </is>
      </c>
    </row>
    <row r="16" ht="58" customHeight="1">
      <c r="A16" s="11" t="n">
        <v>11</v>
      </c>
      <c r="B16" s="4" t="inlineStr">
        <is>
          <t>There's hot and cold water and a drain where the equipment goes</t>
        </is>
      </c>
      <c r="C16" t="inlineStr">
        <is>
          <t>No</t>
        </is>
      </c>
      <c r="D16" s="4" t="inlineStr">
        <is>
          <t>Find the existing drains. Moving a drain means cutting up the slab across the whole space.</t>
        </is>
      </c>
      <c r="E16" s="5" t="inlineStr">
        <is>
          <t>Yes</t>
        </is>
      </c>
      <c r="G16" t="inlineStr">
        <is>
          <t>Not applicable</t>
        </is>
      </c>
      <c r="H16" t="inlineStr"/>
      <c r="I16" t="str">
        <f>IF(H16="No",IF(C16="Yes","RULE OUT","Weak point"),IF(E16="","",IF(E16="No",IF(C16="Yes","RULE OUT","Weak point"),IF(E16="To check","Pending","OK"))))</f>
        <v>OK</v>
      </c>
      <c r="J16" s="4" t="inlineStr">
        <is>
          <t>A steam oven, the blast chiller and the sinks need a drain at their spot, not at the far end of the space.</t>
        </is>
      </c>
    </row>
    <row r="17" ht="58" customHeight="1">
      <c r="A17" s="11" t="n">
        <v>12</v>
      </c>
      <c r="B17" s="4" t="inlineStr">
        <is>
          <t>Floors and walls can take a smooth, durable, easily cleanable finish, with coved floor-wall junctions</t>
        </is>
      </c>
      <c r="C17" t="inlineStr">
        <is>
          <t>No</t>
        </is>
      </c>
      <c r="D17" s="4" t="inlineStr">
        <is>
          <t>Look at the real condition: cracked tile, bare drywall, raw concrete. A kitchen finish is construction, not paint.</t>
        </is>
      </c>
      <c r="E17" s="5" t="inlineStr">
        <is>
          <t>Yes</t>
        </is>
      </c>
      <c r="G17" t="inlineStr">
        <is>
          <t>Not applicable</t>
        </is>
      </c>
      <c r="H17" t="inlineStr"/>
      <c r="I17" t="str">
        <f>IF(H17="No",IF(C17="Yes","RULE OUT","Weak point"),IF(E17="","",IF(E17="No",IF(C17="Yes","RULE OUT","Weak point"),IF(E17="To check","Pending","OK"))))</f>
        <v>OK</v>
      </c>
      <c r="J17" s="4" t="inlineStr">
        <is>
          <t>Smooth, durable, easily cleanable surfaces (Food Code 6-201.11), coved floor-wall junctions (6-201.13) and a hand sink where people work (5-203.11). In Texas, walls and ceilings in prep areas have to be light in color (25 TAC §228.171). It isn't an extra: it's a requirement.</t>
        </is>
      </c>
    </row>
    <row r="18" ht="58" customHeight="1">
      <c r="A18" s="11" t="n">
        <v>13</v>
      </c>
      <c r="B18" s="4" t="inlineStr">
        <is>
          <t>There's room for a staff restroom and changing area</t>
        </is>
      </c>
      <c r="C18" t="inlineStr">
        <is>
          <t>No</t>
        </is>
      </c>
      <c r="D18" s="4" t="inlineStr">
        <is>
          <t>Count the square feet and find where the drain stacks are; your local plumbing code sets how many restrooms you need. A new restroom with no stack nearby is a big job.</t>
        </is>
      </c>
      <c r="E18" s="5" t="inlineStr">
        <is>
          <t>Yes</t>
        </is>
      </c>
      <c r="G18" t="inlineStr">
        <is>
          <t>Not applicable</t>
        </is>
      </c>
      <c r="H18" t="inlineStr"/>
      <c r="I18" t="str">
        <f>IF(H18="No",IF(C18="Yes","RULE OUT","Weak point"),IF(E18="","",IF(E18="No",IF(C18="Yes","RULE OUT","Weak point"),IF(E18="To check","Pending","OK"))))</f>
        <v>OK</v>
      </c>
      <c r="J18" s="4" t="inlineStr">
        <is>
          <t>Staff need their own restroom and locker space; customers have theirs. The 118 sq ft on the zones sheet (restrooms and lockers) already account for it.</t>
        </is>
      </c>
    </row>
    <row r="19" ht="58" customHeight="1">
      <c r="A19" s="11" t="n">
        <v>14</v>
      </c>
      <c r="B19" s="4" t="inlineStr">
        <is>
          <t>Deliveries can come in without crossing the customer area</t>
        </is>
      </c>
      <c r="C19" t="inlineStr">
        <is>
          <t>No</t>
        </is>
      </c>
      <c r="D19" s="4" t="inlineStr">
        <is>
          <t>Go at the hour you'd take deliveries, not at noon. Check for a loading zone or a back door, and whether the building allows it.</t>
        </is>
      </c>
      <c r="E19" s="5" t="inlineStr">
        <is>
          <t>Yes</t>
        </is>
      </c>
      <c r="G19" t="inlineStr">
        <is>
          <t>Not applicable</t>
        </is>
      </c>
      <c r="H19" t="inlineStr"/>
      <c r="I19" t="str">
        <f>IF(H19="No",IF(C19="Yes","RULE OUT","Weak point"),IF(E19="","",IF(E19="No",IF(C19="Yes","RULE OUT","Weak point"),IF(E19="To check","Pending","OK"))))</f>
        <v>OK</v>
      </c>
      <c r="J19" s="4" t="inlineStr">
        <is>
          <t>Flour comes in sacks, every day. If it comes in through the front door, it comes past the customer every morning.</t>
        </is>
      </c>
    </row>
    <row r="20" ht="58" customHeight="1">
      <c r="A20" s="11" t="n">
        <v>15</v>
      </c>
      <c r="B20" s="4" t="inlineStr">
        <is>
          <t>Trash goes out without opening into the production kitchen</t>
        </is>
      </c>
      <c r="C20" t="inlineStr">
        <is>
          <t>No</t>
        </is>
      </c>
      <c r="D20" s="4" t="inlineStr">
        <is>
          <t>Find the trash room or enclosure and its door. It has to be closed, with labeled bins.</t>
        </is>
      </c>
      <c r="E20" s="5" t="inlineStr">
        <is>
          <t>Yes</t>
        </is>
      </c>
      <c r="G20" t="inlineStr">
        <is>
          <t>Not applicable</t>
        </is>
      </c>
      <c r="H20" t="inlineStr"/>
      <c r="I20" t="str">
        <f>IF(H20="No",IF(C20="Yes","RULE OUT","Weak point"),IF(E20="","",IF(E20="No",IF(C20="Yes","RULE OUT","Weak point"),IF(E20="To check","Pending","OK"))))</f>
        <v>OK</v>
      </c>
      <c r="J20" s="4" t="inlineStr">
        <is>
          <t>The trash area can't open into the production kitchen. It's one of the few floor-plan defects with no cheap fix.</t>
        </is>
      </c>
    </row>
    <row r="21" ht="58" customHeight="1">
      <c r="A21" s="11" t="n">
        <v>16</v>
      </c>
      <c r="B21" s="4" t="inlineStr">
        <is>
          <t>The space is accessible or can be made accessible</t>
        </is>
      </c>
      <c r="C21" t="inlineStr">
        <is>
          <t>No</t>
        </is>
      </c>
      <c r="D21" s="4" t="inlineStr">
        <is>
          <t>Measure the entry step and the door width. A step at the entrance may be the landlord's or the city's call, not yours.</t>
        </is>
      </c>
      <c r="E21" s="5" t="inlineStr">
        <is>
          <t>Yes</t>
        </is>
      </c>
      <c r="G21" t="inlineStr">
        <is>
          <t>Not applicable</t>
        </is>
      </c>
      <c r="H21" t="inlineStr"/>
      <c r="I21" t="str">
        <f>IF(H21="No",IF(C21="Yes","RULE OUT","Weak point"),IF(E21="","",IF(E21="No",IF(C21="Yes","RULE OUT","Weak point"),IF(E21="To check","Pending","OK"))))</f>
        <v>OK</v>
      </c>
      <c r="J21" s="4" t="inlineStr">
        <is>
          <t>Customers have to be able to get in and be served. The standard for a sales counter is a stretch no higher than 36 inches (ADA Standards 904.4.1). Who pays for entrance changes (you, the landlord or the city) depends on the lease and local rules: ask before you sign.</t>
        </is>
      </c>
    </row>
    <row r="22" ht="58" customHeight="1">
      <c r="A22" s="11" t="n">
        <v>17</v>
      </c>
      <c r="B22" s="4" t="inlineStr">
        <is>
          <t>If you'll bake on gas, the gas service and piping can carry your ovens</t>
        </is>
      </c>
      <c r="C22" t="inlineStr">
        <is>
          <t>Yes</t>
        </is>
      </c>
      <c r="D22" s="4" t="inlineStr">
        <is>
          <t>Ask the gas utility for the meter size and pressure at the space, and ask the building department what permit and inspection new gas piping needs.</t>
        </is>
      </c>
      <c r="E22" s="5" t="inlineStr">
        <is>
          <t>To check</t>
        </is>
      </c>
      <c r="G22" t="inlineStr">
        <is>
          <t>Not applicable</t>
        </is>
      </c>
      <c r="H22" t="inlineStr"/>
      <c r="I22" t="str">
        <f>IF(H22="No",IF(C22="Yes","RULE OUT","Weak point"),IF(E22="","",IF(E22="No",IF(C22="Yes","RULE OUT","Weak point"),IF(E22="To check","Pending","OK"))))</f>
        <v>Pending</v>
      </c>
      <c r="J22" s="4" t="inlineStr">
        <is>
          <t>Gas ovens need the service, meter and piping sized for their load, and new piping needs its own permit and inspection. Get it in writing before you commit to gas; if you go electric, this item doesn't apply.</t>
        </is>
      </c>
    </row>
    <row r="23" ht="58" customHeight="1">
      <c r="A23" s="11" t="n">
        <v>18</v>
      </c>
      <c r="B23" s="4" t="inlineStr">
        <is>
          <t>The lease and what comes with the space are clear before you sign</t>
        </is>
      </c>
      <c r="C23" t="inlineStr">
        <is>
          <t>Yes</t>
        </is>
      </c>
      <c r="D23" s="4" t="inlineStr">
        <is>
          <t>Read the whole lease: use clause, permit contingency, CAM and NNN charges, personal guarantee, and who pays for the build-out (TI allowance).</t>
        </is>
      </c>
      <c r="E23" s="5" t="inlineStr">
        <is>
          <t>To check</t>
        </is>
      </c>
      <c r="G23" t="inlineStr">
        <is>
          <t>Not applicable</t>
        </is>
      </c>
      <c r="H23" t="inlineStr"/>
      <c r="I23" t="str">
        <f>IF(H23="No",IF(C23="Yes","RULE OUT","Weak point"),IF(E23="","",IF(E23="No",IF(C23="Yes","RULE OUT","Weak point"),IF(E23="To check","Pending","OK"))))</f>
        <v>Pending</v>
      </c>
      <c r="J23" s="4" t="inlineStr">
        <is>
          <t>Who pays for the build-out, how many years the lease runs and what happens to the improvements at the end are three numbers in startup-cost-calculator.xlsx, not three details.</t>
        </is>
      </c>
    </row>
    <row r="24"/>
    <row r="25">
      <c r="B25" t="inlineStr">
        <is>
          <t>Items on the checklist</t>
        </is>
      </c>
      <c r="E25" s="11">
        <f>COUNTIF(C6:C23,"Yes")+COUNTIF(C6:C23,"No")</f>
        <v>18.0</v>
      </c>
    </row>
    <row r="26">
      <c r="B26" t="inlineStr">
        <is>
          <t>Of which, deal-breakers</t>
        </is>
      </c>
      <c r="E26" s="11">
        <f>COUNTIF(C6:C23,"Yes")</f>
        <v>8.0</v>
      </c>
    </row>
    <row r="27">
      <c r="B27" t="inlineStr">
        <is>
          <t>Reasons to rule out</t>
        </is>
      </c>
      <c r="E27" s="11">
        <f>COUNTIF(I6:I23,"RULE OUT")</f>
        <v>0.0</v>
      </c>
    </row>
    <row r="28">
      <c r="B28" t="inlineStr">
        <is>
          <t>Weak points</t>
        </is>
      </c>
      <c r="E28" s="11">
        <f>COUNTIF(I6:I23,"Weak point")</f>
        <v>0.0</v>
      </c>
    </row>
    <row r="29">
      <c r="B29" t="inlineStr">
        <is>
          <t>Items pending</t>
        </is>
      </c>
      <c r="E29" s="11">
        <f>COUNTIF(I6:I23,"Pending")</f>
        <v>2.0</v>
      </c>
    </row>
    <row r="30">
      <c r="B30" t="inlineStr">
        <is>
          <t>Resolved with no problem</t>
        </is>
      </c>
      <c r="E30" s="11">
        <f>COUNTIF(I6:I23,"OK")</f>
        <v>16.0</v>
      </c>
    </row>
    <row r="31">
      <c r="B31" t="inlineStr">
        <is>
          <t>Checklist completed</t>
        </is>
      </c>
      <c r="E31" s="13">
        <f>IFERROR((E25-E29)/E25,"")</f>
        <v>0.8888888888888888</v>
      </c>
    </row>
    <row r="32">
      <c r="B32" s="12" t="inlineStr">
        <is>
          <t>VERDICT ON THE SPACE</t>
        </is>
      </c>
      <c r="E32" s="17" t="str">
        <f>IF(E27&gt;0,"RULE OUT THIS SPACE",IF(E29&gt;0,"DON'T DECIDE YET",IF(E28&gt;0,"GO AHEAD WITH CAUTION","GO AHEAD")))</f>
        <v>DON'T DECIDE YET</v>
      </c>
    </row>
    <row r="33"/>
    <row r="34">
      <c r="B34" s="3" t="inlineStr">
        <is>
          <t>Validation lists (don't delete them: the dropdowns use them)</t>
        </is>
      </c>
    </row>
    <row r="35">
      <c r="B35" s="12" t="inlineStr">
        <is>
          <t>Answer</t>
        </is>
      </c>
    </row>
    <row r="36">
      <c r="B36" t="inlineStr">
        <is>
          <t>Yes</t>
        </is>
      </c>
    </row>
    <row r="37">
      <c r="B37" t="inlineStr">
        <is>
          <t>No</t>
        </is>
      </c>
    </row>
    <row r="38">
      <c r="B38" t="inlineStr">
        <is>
          <t>To check</t>
        </is>
      </c>
    </row>
    <row r="39"/>
    <row r="40" ht="56" customHeight="1">
      <c r="B40" s="7" t="inlineStr">
        <is>
          <t>The eight deal-breaker items aren't deal-breakers out of taste: they're the defects that can't be fixed with reasonable money, or that don't depend on you (the landlord, zoning, the electrical service, the roof). The rest make the build-out more expensive and have to go into startup-cost-calculator.xlsx as a line item, not rule out the space. And keep the checklist for the spaces you rule out: comparing three checklists is what shows you what you're accepting without realizing it.</t>
        </is>
      </c>
    </row>
  </sheetData>
  <sheetProtection selectLockedCells="0" selectUnlockedCells="0" sheet="1" objects="0" insertRows="0" insertHyperlinks="1" autoFilter="1" scenarios="0" formatColumns="0" deleteColumns="1" insertColumns="1" pivotTables="1" deleteRows="1" formatCells="1" formatRows="0" sort="0"/>
  <mergeCells count="2">
    <mergeCell ref="B40:J40"/>
    <mergeCell ref="A3:J3"/>
  </mergeCells>
  <conditionalFormatting sqref="I6:I23">
    <cfRule type="cellIs" priority="1" operator="equal" dxfId="0" stopIfTrue="1">
      <formula>"RULE OUT"</formula>
    </cfRule>
    <cfRule type="cellIs" priority="2" operator="equal" dxfId="2" stopIfTrue="1">
      <formula>"Weak point"</formula>
    </cfRule>
    <cfRule type="cellIs" priority="3" operator="equal" dxfId="3" stopIfTrue="1">
      <formula>"Pending"</formula>
    </cfRule>
    <cfRule type="cellIs" priority="4" operator="equal" dxfId="1" stopIfTrue="1">
      <formula>"OK"</formula>
    </cfRule>
  </conditionalFormatting>
  <conditionalFormatting sqref="H6:H23">
    <cfRule type="cellIs" priority="5" operator="equal" dxfId="0" stopIfTrue="1">
      <formula>"No"</formula>
    </cfRule>
    <cfRule type="cellIs" priority="6" operator="equal" dxfId="1" stopIfTrue="1">
      <formula>"Yes"</formula>
    </cfRule>
  </conditionalFormatting>
  <conditionalFormatting sqref="E32">
    <cfRule type="cellIs" priority="7" operator="equal" dxfId="0" stopIfTrue="1">
      <formula>"RULE OUT THIS SPACE"</formula>
    </cfRule>
    <cfRule type="cellIs" priority="8" operator="equal" dxfId="3" stopIfTrue="1">
      <formula>"DON'T DECIDE YET"</formula>
    </cfRule>
    <cfRule type="cellIs" priority="9" operator="equal" dxfId="2" stopIfTrue="1">
      <formula>"GO AHEAD WITH CAUTION"</formula>
    </cfRule>
    <cfRule type="cellIs" priority="10" operator="equal" dxfId="1" stopIfTrue="1">
      <formula>"GO AHEAD"</formula>
    </cfRule>
  </conditionalFormatting>
  <dataValidations count="1">
    <dataValidation sqref="E6 E7 E8 E9 E10 E11 E12 E13 E14 E15 E16 E17 E18 E19 E20 E21 E22 E23" showDropDown="0" showInputMessage="0" showErrorMessage="1" allowBlank="0" errorTitle="Answer" error="Choose &quot;Yes&quot;, &quot;No&quot; or &quot;To check&quot; from the list." type="list">
      <formula1>=$B$36:$B$38</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Production Kitchen Capacity and Site Visit Checklist</dc:title>
  <dc:subject xmlns:dc="http://purl.org/dc/elements/1.1/">How to Open a Pastry Shop · Version 1.0 · October 2026</dc:subject>
  <dcterms:created xmlns:dcterms="http://purl.org/dc/terms/" xmlns:xsi="http://www.w3.org/2001/XMLSchema-instance" xsi:type="dcterms:W3CDTF">2026-09-10T04:56:56Z</dcterms:created>
  <dcterms:modified xmlns:dcterms="http://purl.org/dc/terms/" xmlns:xsi="http://www.w3.org/2001/XMLSchema-instance" xsi:type="dcterms:W3CDTF">2026-10-17T08:00:00Z</dcterms:modified>
  <cp:lastModifiedBy>AI Chef Pro</cp:lastModifiedBy>
</cp:coreProperties>
</file>