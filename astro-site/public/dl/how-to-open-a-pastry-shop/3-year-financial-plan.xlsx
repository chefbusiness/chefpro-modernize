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0. Assumptions" sheetId="2" state="visible" r:id="rId2"/>
    <sheet xmlns:r="http://schemas.openxmlformats.org/officeDocument/2006/relationships" name="Startup Investment" sheetId="3" state="visible" r:id="rId3"/>
    <sheet xmlns:r="http://schemas.openxmlformats.org/officeDocument/2006/relationships" name="3-Year P&amp;L" sheetId="4" state="visible" r:id="rId4"/>
    <sheet xmlns:r="http://schemas.openxmlformats.org/officeDocument/2006/relationships" name="Break-Even" sheetId="5" state="visible" r:id="rId5"/>
    <sheet xmlns:r="http://schemas.openxmlformats.org/officeDocument/2006/relationships" name="Scenarios" sheetId="6" state="visible" r:id="rId6"/>
    <sheet xmlns:r="http://schemas.openxmlformats.org/officeDocument/2006/relationships" name="Staff" sheetId="7" state="visible" r:id="rId7"/>
    <sheet xmlns:r="http://schemas.openxmlformats.org/officeDocument/2006/relationships" name="12-Month Cash Flow" sheetId="8" state="visible" r:id="rId8"/>
    <sheet xmlns:r="http://schemas.openxmlformats.org/officeDocument/2006/relationships" name="Financing" sheetId="9" state="visible" r:id="rId9"/>
    <sheet xmlns:r="http://schemas.openxmlformats.org/officeDocument/2006/relationships" name="Channels and Break-Even" sheetId="10" state="visible" r:id="rId10"/>
  </sheets>
  <definedNames>
    <definedName name="_xlnm.Print_Area" localSheetId="0">'Instructions'!$A$1:$C$40</definedName>
    <definedName name="_xlnm.Print_Titles" localSheetId="1">'0. Assumptions'!$5:$5</definedName>
    <definedName name="_xlnm.Print_Area" localSheetId="1">'0. Assumptions'!$A$1:$C$65</definedName>
    <definedName name="_xlnm.Print_Titles" localSheetId="2">'Startup Investment'!$5:$5</definedName>
    <definedName name="_xlnm.Print_Area" localSheetId="2">'Startup Investment'!$A$1:$F$36</definedName>
    <definedName name="_xlnm.Print_Titles" localSheetId="3">'3-Year P&amp;L'!$5:$5</definedName>
    <definedName name="_xlnm.Print_Area" localSheetId="3">'3-Year P&amp;L'!$A$1:$G$54</definedName>
    <definedName name="_xlnm.Print_Titles" localSheetId="4">'Break-Even'!$5:$5</definedName>
    <definedName name="_xlnm.Print_Area" localSheetId="4">'Break-Even'!$A$1:$E$38</definedName>
    <definedName name="_xlnm.Print_Titles" localSheetId="5">'Scenarios'!$5:$5</definedName>
    <definedName name="_xlnm.Print_Area" localSheetId="5">'Scenarios'!$A$1:$E$25</definedName>
    <definedName name="_xlnm.Print_Titles" localSheetId="6">'Staff'!$5:$5</definedName>
    <definedName name="_xlnm.Print_Area" localSheetId="6">'Staff'!$A$1:$K$32</definedName>
    <definedName name="_xlnm.Print_Titles" localSheetId="7">'12-Month Cash Flow'!$5:$5</definedName>
    <definedName name="_xlnm.Print_Area" localSheetId="7">'12-Month Cash Flow'!$A$1:$O$34</definedName>
    <definedName name="_xlnm.Print_Titles" localSheetId="8">'Financing'!$25:$25</definedName>
    <definedName name="_xlnm.Print_Area" localSheetId="8">'Financing'!$A$1:$H$126</definedName>
    <definedName name="_xlnm.Print_Titles" localSheetId="9">'Channels and Break-Even'!$5:$5</definedName>
    <definedName name="_xlnm.Print_Area" localSheetId="9">'Channels and Break-Even'!$A$1:$J$31</definedName>
  </definedNames>
  <calcPr calcId="124519" fullCalcOnLoad="1"/>
</workbook>
</file>

<file path=xl/styles.xml><?xml version="1.0" encoding="utf-8"?>
<styleSheet xmlns="http://schemas.openxmlformats.org/spreadsheetml/2006/main">
  <numFmts count="4">
    <numFmt numFmtId="164" formatCode="#,##0.0"/>
    <numFmt numFmtId="165" formatCode="#,##0.00"/>
    <numFmt numFmtId="166" formatCode="0.0%"/>
    <numFmt numFmtId="167" formatCode="0.0000%"/>
  </numFmts>
  <fonts count="11">
    <font>
      <name val="Calibri"/>
      <family val="2"/>
      <color theme="1"/>
      <sz val="11"/>
      <scheme val="minor"/>
    </font>
    <font>
      <b val="1"/>
      <color rgb="00FFD700"/>
      <sz val="16"/>
    </font>
    <font>
      <color rgb="00808080"/>
      <sz val="9"/>
    </font>
    <font>
      <i val="1"/>
      <sz val="9"/>
    </font>
    <font>
      <b val="1"/>
      <color rgb="00FFD700"/>
      <sz val="11"/>
    </font>
    <font>
      <b val="1"/>
      <color rgb="00FFFFFF"/>
      <sz val="9"/>
    </font>
    <font>
      <b val="1"/>
      <color theme="1"/>
      <sz val="11"/>
    </font>
    <font>
      <sz val="9"/>
    </font>
    <font>
      <b val="1"/>
      <i val="1"/>
      <color rgb="00808080"/>
      <sz val="9"/>
    </font>
    <font>
      <b val="1"/>
      <sz val="9"/>
    </font>
    <font>
      <b val="1"/>
      <sz val="11"/>
    </font>
  </fonts>
  <fills count="5">
    <fill>
      <patternFill/>
    </fill>
    <fill>
      <patternFill patternType="gray125"/>
    </fill>
    <fill>
      <patternFill patternType="solid">
        <fgColor rgb="002D2D2D"/>
      </patternFill>
    </fill>
    <fill>
      <patternFill patternType="solid">
        <fgColor rgb="00E8F5E9"/>
      </patternFill>
    </fill>
    <fill>
      <patternFill patternType="solid">
        <fgColor rgb="00FFF6DC"/>
      </patternFill>
    </fill>
  </fills>
  <borders count="1">
    <border>
      <left/>
      <right/>
      <top/>
      <bottom/>
      <diagonal/>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3" fillId="0" borderId="0" applyAlignment="1" pivotButton="0" quotePrefix="0" xfId="0">
      <alignment horizontal="general" vertical="top" wrapText="1"/>
    </xf>
    <xf numFmtId="0" fontId="0" fillId="3" borderId="0" applyProtection="1" pivotButton="0" quotePrefix="0" xfId="0">
      <protection locked="0" hidden="0"/>
    </xf>
    <xf numFmtId="0" fontId="5" fillId="2" borderId="0" applyAlignment="1" pivotButton="0" quotePrefix="0" xfId="0">
      <alignment horizontal="center" vertical="center" wrapText="1"/>
    </xf>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2" borderId="0" pivotButton="0" quotePrefix="0" xfId="0"/>
    <xf numFmtId="3" fontId="0" fillId="3" borderId="0" applyProtection="1" pivotButton="0" quotePrefix="0" xfId="0">
      <protection locked="0" hidden="0"/>
    </xf>
    <xf numFmtId="164" fontId="0" fillId="3" borderId="0" applyProtection="1" pivotButton="0" quotePrefix="0" xfId="0">
      <protection locked="0" hidden="0"/>
    </xf>
    <xf numFmtId="165" fontId="0" fillId="3" borderId="0" applyProtection="1" pivotButton="0" quotePrefix="0" xfId="0">
      <protection locked="0" hidden="0"/>
    </xf>
    <xf numFmtId="165" fontId="0" fillId="0" borderId="0" pivotButton="0" quotePrefix="0" xfId="0"/>
    <xf numFmtId="166" fontId="0" fillId="0" borderId="0" pivotButton="0" quotePrefix="0" xfId="0"/>
    <xf numFmtId="166" fontId="0" fillId="3" borderId="0" applyProtection="1" pivotButton="0" quotePrefix="0" xfId="0">
      <protection locked="0" hidden="0"/>
    </xf>
    <xf numFmtId="10" fontId="0" fillId="3" borderId="0" applyProtection="1" pivotButton="0" quotePrefix="0" xfId="0">
      <protection locked="0" hidden="0"/>
    </xf>
    <xf numFmtId="10" fontId="0" fillId="0" borderId="0" pivotButton="0" quotePrefix="0" xfId="0"/>
    <xf numFmtId="164" fontId="0" fillId="0" borderId="0" pivotButton="0" quotePrefix="0" xfId="0"/>
    <xf numFmtId="4" fontId="0" fillId="3" borderId="0" applyProtection="1" pivotButton="0" quotePrefix="0" xfId="0">
      <protection locked="0" hidden="0"/>
    </xf>
    <xf numFmtId="0" fontId="0" fillId="3" borderId="0" applyAlignment="1" applyProtection="1" pivotButton="0" quotePrefix="0" xfId="0">
      <alignment horizontal="center" vertical="top"/>
      <protection locked="0" hidden="0"/>
    </xf>
    <xf numFmtId="0" fontId="10" fillId="4" borderId="0" pivotButton="0" quotePrefix="0" xfId="0"/>
    <xf numFmtId="165" fontId="10" fillId="4" borderId="0" pivotButton="0" quotePrefix="0" xfId="0"/>
    <xf numFmtId="166" fontId="10" fillId="4" borderId="0" pivotButton="0" quotePrefix="0" xfId="0"/>
    <xf numFmtId="0" fontId="3" fillId="4" borderId="0" applyAlignment="1" pivotButton="0" quotePrefix="0" xfId="0">
      <alignment horizontal="general" vertical="top" wrapText="1"/>
    </xf>
    <xf numFmtId="3" fontId="0" fillId="0" borderId="0" pivotButton="0" quotePrefix="0" xfId="0"/>
    <xf numFmtId="0" fontId="8" fillId="0" borderId="0" pivotButton="0" quotePrefix="0" xfId="0"/>
    <xf numFmtId="0" fontId="9" fillId="0" borderId="0" pivotButton="0" quotePrefix="0" xfId="0"/>
    <xf numFmtId="0" fontId="7" fillId="0" borderId="0" pivotButton="0" quotePrefix="0" xfId="0"/>
    <xf numFmtId="164" fontId="10" fillId="4" borderId="0" pivotButton="0" quotePrefix="0" xfId="0"/>
    <xf numFmtId="165" fontId="6" fillId="0" borderId="0" pivotButton="0" quotePrefix="0" xfId="0"/>
    <xf numFmtId="0" fontId="6" fillId="0" borderId="0" pivotButton="0" quotePrefix="0" xfId="0"/>
    <xf numFmtId="3" fontId="0" fillId="3" borderId="0" applyAlignment="1" applyProtection="1" pivotButton="0" quotePrefix="0" xfId="0">
      <alignment horizontal="center" vertical="top"/>
      <protection locked="0" hidden="0"/>
    </xf>
    <xf numFmtId="164" fontId="0" fillId="3" borderId="0" applyAlignment="1" applyProtection="1" pivotButton="0" quotePrefix="0" xfId="0">
      <alignment horizontal="center" vertical="top"/>
      <protection locked="0" hidden="0"/>
    </xf>
    <xf numFmtId="3" fontId="10" fillId="4" borderId="0" pivotButton="0" quotePrefix="0" xfId="0"/>
    <xf numFmtId="167" fontId="0" fillId="0" borderId="0" pivotButton="0" quotePrefix="0" xfId="0"/>
    <xf numFmtId="3" fontId="0" fillId="0" borderId="0" applyAlignment="1" pivotButton="0" quotePrefix="0" xfId="0">
      <alignment horizontal="center" vertical="top"/>
    </xf>
    <xf numFmtId="4" fontId="0" fillId="0" borderId="0" pivotButton="0" quotePrefix="0" xfId="0"/>
    <xf numFmtId="4" fontId="10" fillId="4" borderId="0" pivotButton="0" quotePrefix="0" xfId="0"/>
  </cellXfs>
  <cellStyles count="1">
    <cellStyle name="Normal" xfId="0" builtinId="0" hidden="0"/>
  </cellStyles>
  <dxfs count="1">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AI Chef Pro</author>
  </authors>
  <commentList>
    <comment ref="B15" authorId="0" shapeId="0">
      <text>
        <t>Verified October 2026 · Texas Comptroller, 34 TAC §3.293 (bakery items sold to go are exempt from sales tax unless sold with the seller's plates or utensils) · https://comptroller.texas.gov/taxes/publications/94-117.php</t>
      </text>
    </comment>
    <comment ref="B16" authorId="0" shapeId="0">
      <text>
        <t>Verified October 2026 · New York, TB-ST-283 (bread, rolls, cakes and other bakery products sold by food stores are exempt unless eaten on the premises) · https://www.tax.ny.gov/pubs_and_bulls/tg_bulletins/st/food_sold_by_food_stores.htm</t>
      </text>
    </comment>
    <comment ref="B26" authorId="0" shapeId="0">
      <text>
        <t>12 equal monthly payrolls: the US case has no extra-pay months, and the annual pay is the same as in the case's wage table.</t>
      </text>
    </comment>
    <comment ref="B27" authorId="0" shapeId="0">
      <text>
        <t>Verified October 2026 · U.S. Department of Labor, State Minimum Wage Laws (updated July 1, 2026): federal minimum $7.25 an hour, which Texas adopts · https://www.dol.gov/agencies/whd/minimum-wage/state</t>
      </text>
    </comment>
  </commentList>
</comments>
</file>

<file path=xl/comments/comment2.xml><?xml version="1.0" encoding="utf-8"?>
<comments xmlns="http://schemas.openxmlformats.org/spreadsheetml/2006/main">
  <authors>
    <author>AI Chef Pro</author>
  </authors>
  <commentList>
    <comment ref="B12" authorId="0" shapeId="0">
      <text>
        <t>Verified October 2026 · FDA Food Code 2022, §8-201.11 and Part 8-3 (plan review, pre-opening inspection and permit) · https://www.fda.gov/media/164194/download</t>
      </text>
    </comment>
  </commentList>
</comments>
</file>

<file path=xl/comments/comment3.xml><?xml version="1.0" encoding="utf-8"?>
<comments xmlns="http://schemas.openxmlformats.org/spreadsheetml/2006/main">
  <authors>
    <author>AI Chef Pro</author>
  </authors>
  <commentList>
    <comment ref="F12" authorId="0" shapeId="0">
      <text>
        <t>Verified October 2026 · Texas Comptroller, 34 TAC §3.293 (bakery items sold to go are exempt from sales tax unless sold with the seller's plates or utensils) · https://comptroller.texas.gov/taxes/publications/94-117.php</t>
      </text>
    </comment>
    <comment ref="F13" authorId="0" shapeId="0">
      <text>
        <t>Verified October 2026 · New York, TB-ST-283 (bread, rolls, cakes and other bakery products sold by food stores are exempt unless eaten on the premises) · https://www.tax.ny.gov/pubs_and_bulls/tg_bulletins/st/food_sold_by_food_stores.htm</t>
      </text>
    </comment>
  </commentList>
</comments>
</file>

<file path=xl/comments/comment4.xml><?xml version="1.0" encoding="utf-8"?>
<comments xmlns="http://schemas.openxmlformats.org/spreadsheetml/2006/main">
  <authors>
    <author>AI Chef Pro</author>
  </authors>
  <commentList>
    <comment ref="E15" authorId="0" shapeId="0">
      <text>
        <t>The modeled case's wage table: an example, not a legal schedule. Replace it with what you'll pay; check federal, state and city minimum wage. Verified October 2026 · U.S. Department of Labor, State Minimum Wage Laws (updated July 1, 2026) · https://www.dol.gov/agencies/whd/minimum-wage/state</t>
      </text>
    </comment>
    <comment ref="B24" authorId="0" shapeId="0">
      <text>
        <t>Verified October 2026 · U.S. Department of Labor, State Minimum Wage Laws (updated July 1, 2026): federal minimum $7.25 an hour, which Texas adopts · https://www.dol.gov/agencies/whd/minimum-wage/state</t>
      </text>
    </comment>
  </commentList>
</comments>
</file>

<file path=xl/comments/comment5.xml><?xml version="1.0" encoding="utf-8"?>
<comments xmlns="http://schemas.openxmlformats.org/spreadsheetml/2006/main">
  <authors>
    <author>AI Chef Pro</author>
  </authors>
  <commentList>
    <comment ref="B26" authorId="0" shapeId="0">
      <text>
        <t>Verified October 2026 · 21 CFR 1.227 (retail food establishment: the annual value of sales directly to consumers exceeds sales to all other buyers; consumers don't include businesses) · https://www.ecfr.gov/current/title-21/section-1.227</t>
      </text>
    </comment>
    <comment ref="B27" authorId="0" shapeId="0">
      <text>
        <t>Verified October 2026 · 21 CFR 1.226(c) (retail food establishments don't register with FDA) · https://www.ecfr.gov/current/title-21/section-1.226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C40"/>
  <sheetViews>
    <sheetView workbookViewId="0">
      <selection activeCell="A1" sqref="A1"/>
    </sheetView>
  </sheetViews>
  <sheetFormatPr baseColWidth="8" defaultRowHeight="15"/>
  <cols>
    <col width="44" customWidth="1" min="1" max="1"/>
    <col width="44" customWidth="1" min="2" max="2"/>
    <col width="44" customWidth="1" min="3" max="3"/>
  </cols>
  <sheetData>
    <row r="1" ht="26" customHeight="1">
      <c r="A1" s="1" t="inlineStr">
        <is>
          <t>3-Year Financial Plan</t>
        </is>
      </c>
    </row>
    <row r="2">
      <c r="A2" s="2" t="inlineStr">
        <is>
          <t>AI Chef Pro · aichef.pro — How to Open a Pastry Shop</t>
        </is>
      </c>
    </row>
    <row r="3">
      <c r="A3" s="3" t="inlineStr">
        <is>
          <t>What it's for: knowing whether the business holds up, when it reaches break-even and which channel carries it.</t>
        </is>
      </c>
    </row>
    <row r="4"/>
    <row r="5">
      <c r="A5" s="4" t="inlineStr">
        <is>
          <t>How to use it</t>
        </is>
      </c>
    </row>
    <row r="6" ht="54" customHeight="1">
      <c r="A6" s="5" t="inlineStr">
        <is>
          <t>1. "0. Assumptions" sheet: it's the control panel. This is where you type the RATES and DRIVERS (tickets a day, average ticket, days open, VAT/GST rates, target food cost, loan terms, control thresholds) and the rest of the workbook recalculates on its own. Expense lines are typed on their own sheet, not here.</t>
        </is>
      </c>
    </row>
    <row r="7" ht="54" customHeight="1">
      <c r="A7" s="5" t="inlineStr">
        <is>
          <t>2. "Startup Investment" sheet: what it costs to open, line by line, with its "Carries VAT/GST?" column and its rate per line. In the US leave the rates at 0% and put any sales tax you pay inside each line's amount: it's a cost, not something you get back. At the bottom, the VAT/GST you have to FRONT (UK, Canada and Australia only) and the total startup cash need.</t>
        </is>
      </c>
    </row>
    <row r="8" ht="54" customHeight="1">
      <c r="A8" s="5" t="inlineStr">
        <is>
          <t>3. "3-Year P&amp;L" sheet: the profit and loss statement. YEAR 2 is the steady-state year; year 1 carries the ramp-up and year 3 grows on top of steady state. The owner's pay, depreciation and interest go INSIDE fixed costs: otherwise the profitability a business plan publishes means nothing.</t>
        </is>
      </c>
    </row>
    <row r="9" ht="54" customHeight="1">
      <c r="A9" s="5" t="inlineStr">
        <is>
          <t>4. "Break-Even" sheet: how many tickets a day you need so you don't lose money, in two versions. The ACCOUNTING one includes depreciation; the CASH one takes out depreciation (which you don't pay out) and adds the loan principal you repay (which you do). The second is the one that decides whether you make it to the end of the month.</t>
        </is>
      </c>
    </row>
    <row r="10" ht="54" customHeight="1">
      <c r="A10" s="5" t="inlineStr">
        <is>
          <t>5. "Scenarios" sheet: the same model with three sets of tickets, average ticket and days open. The "Realistic" column reads the P&amp;L's steady-state year, so it can't drift away from it.</t>
        </is>
      </c>
    </row>
    <row r="11" ht="54" customHeight="1">
      <c r="A11" s="5" t="inlineStr">
        <is>
          <t>6. "Staff" sheet: five people and 3.5 FTEs, with base pay from the case's wage table in a green cell and payroll taxes, workers' comp and benefits INSIDE. From gross pay to employer cost there's a third more: it's the jump that surprises people most.</t>
        </is>
      </c>
    </row>
    <row r="12" ht="54" customHeight="1">
      <c r="A12" s="5" t="inlineStr">
        <is>
          <t>7. "12-Month Cash Flow" sheet: the P&amp;L says whether the business makes money; this sheet says whether it has the cash to reach the end of the month. It carries month-by-month seasonality, the ramp-up, the lag between collections and payments and, only where VAT or GST applies (UK, Canada, Australia), the quarterly return.</t>
        </is>
      </c>
    </row>
    <row r="13" ht="54" customHeight="1">
      <c r="A13" s="5" t="inlineStr">
        <is>
          <t>8. "Financing" sheet: where the money comes from and what it costs to pay it back. The amortization schedule is MONTHLY, with 84 rows, because this case has six interest-only months and a yearly schedule can't express half a year. At the bottom, the DSCR year by year: it's the number that decides the loan.</t>
        </is>
      </c>
    </row>
    <row r="14" ht="54" customHeight="1">
      <c r="A14" s="5" t="inlineStr">
        <is>
          <t>9. "Channels and Break-Even" sheet: counter, custom orders, wholesale and online, each with its margin, cost to serve, platform fee and days to collect. It tells you which channel carries the business and what happens to break-even if you drop wholesale. And it flags when wholesale brings FDA registration into play (the 50% line, 21 CFR 1.227).</t>
        </is>
      </c>
    </row>
    <row r="15"/>
    <row r="16">
      <c r="A16" s="6" t="inlineStr">
        <is>
          <t>Green cells = editable fields</t>
        </is>
      </c>
    </row>
    <row r="17"/>
    <row r="18">
      <c r="A18" s="4" t="inlineStr">
        <is>
          <t>Things to know before you start</t>
        </is>
      </c>
    </row>
    <row r="19" ht="68" customHeight="1">
      <c r="A19" s="5" t="inlineStr">
        <is>
          <t>THIS WORKBOOK IS THE SINGLE SOURCE OF THE GUIDE'S FINANCIAL FIGURES. If a dollar in the text doesn't come from a cell here, it's made up. Change it here and the whole chapter stops matching your numbers: that's what's supposed to happen.</t>
        </is>
      </c>
    </row>
    <row r="20" ht="68" customHeight="1">
      <c r="A20" s="5" t="inlineStr">
        <is>
          <t>HYBRID WORKBOOK. The structure and chained formulas are those of the house's business-plan template (nine sheets, with real cash flow, VAT/GST and financing), and on top sits the "Channels and Break-Even" sheet, which is this guide's own. The version that rules is the guide family's, the one at the foot of this sheet, not the template's.</t>
        </is>
      </c>
    </row>
    <row r="21" ht="68" customHeight="1">
      <c r="A21" s="5" t="inlineStr">
        <is>
          <t>THE P&amp;L FOOD COST ISN'T YOUR RECIPE COSTING, AND IT ISN'T A MISTAKE. The recipe costing in opening-menu-and-recipe-costing.xlsx measures the ingredients in a piece; the 32% rule this P&amp;L projects also includes four things the piece's costing leaves out: third-party products the counter resells (drinks, coffee, ice cream, bought-in chocolates), real waste on fresh product, packaging and ingredient price increases. That's why the plan is projected at 32% and not with the recipe costing: it's the CONSERVATIVE assumption. The gap between the two numbers is your cushion.</t>
        </is>
      </c>
    </row>
    <row r="22" ht="68" customHeight="1">
      <c r="A22" s="5" t="inlineStr">
        <is>
          <t>THE OWNER'S PAY IS A COST. It goes in as its own line among fixed costs, before the owner's own self-employment and income tax, and it isn't part of the five-person team. A business that's only profitable because its owner doesn't get paid isn't profitable: it's a badly paid job with your assets at risk.</t>
        </is>
      </c>
    </row>
    <row r="23" ht="68" customHeight="1">
      <c r="A23" s="5" t="inlineStr">
        <is>
          <t>THE 8-12% NET MARGIN ISN'T A TARGET: it's what a fourth-generation pastry chef in Mallorca, Spain, states about his own business. It's in the workbook as a contrast cell with its traffic light, so you can see whether your projection overshoots (and then distrust it) or falls short.</t>
        </is>
      </c>
    </row>
    <row r="24" ht="68" customHeight="1">
      <c r="A24" s="5" t="inlineStr">
        <is>
          <t>ALL FIGURES ARE BEFORE SALES TAX unless the sheet says otherwise. Cash flow is cash: where VAT or GST applies, it comes in and goes out there, and the quarterly return puts it back in its place; in the US those rows read $0. The year-2 and year-3 columns are in year-1 dollars as long as the "Annual increase in fixed costs" in "0. Assumptions" stays at zero.</t>
        </is>
      </c>
    </row>
    <row r="25"/>
    <row r="26">
      <c r="A26" s="4" t="inlineStr">
        <is>
          <t>WHAT THIS WORKBOOK DOES AND WHAT ANOTHER ONE DOES (so you don't type things twice)</t>
        </is>
      </c>
    </row>
    <row r="27" ht="26" customHeight="1">
      <c r="A27" s="7" t="inlineStr">
        <is>
          <t>Product or workbook</t>
        </is>
      </c>
      <c r="B27" s="7" t="inlineStr">
        <is>
          <t>What it brings</t>
        </is>
      </c>
      <c r="C27" s="7" t="inlineStr">
        <is>
          <t>What this workbook does NOT do</t>
        </is>
      </c>
    </row>
    <row r="28" ht="62" customHeight="1">
      <c r="A28" s="8" t="inlineStr">
        <is>
          <t>Your daily task checklists (outside this pack)</t>
        </is>
      </c>
      <c r="B28" s="9" t="inlineStr">
        <is>
          <t>Running the kitchen once you're open: weekly production plan, custom orders, display-case allergens, temperatures.</t>
        </is>
      </c>
      <c r="C28" s="9" t="inlineStr">
        <is>
          <t>This workbook does NOT plan production or track orders. It takes their result in dollars and projects it over three years.</t>
        </is>
      </c>
    </row>
    <row r="29" ht="62" customHeight="1">
      <c r="A29" s="8" t="inlineStr">
        <is>
          <t>Food Cost Kit Pro and opening-menu-and-recipe-costing.xlsx</t>
        </is>
      </c>
      <c r="B29" s="9" t="inlineStr">
        <is>
          <t>The real cost of each piece, with its labor and its margin.</t>
        </is>
      </c>
      <c r="C29" s="9" t="inlineStr">
        <is>
          <t>Here cost of sales comes in as ONE percentage of sales: the 32% rule. When you measure yours, change it in "0. Assumptions".</t>
        </is>
      </c>
    </row>
    <row r="30" ht="62" customHeight="1">
      <c r="A30" s="8" t="inlineStr">
        <is>
          <t>Bakery Business Plan Kit</t>
        </is>
      </c>
      <c r="B30" s="9" t="inlineStr">
        <is>
          <t>The complete package you hand the lender, with the written plan.</t>
        </is>
      </c>
      <c r="C30" s="9" t="inlineStr">
        <is>
          <t>This workbook is the numbers engine of an opening GUIDE. If you're going to apply for real financing, the lender's package is that product.</t>
        </is>
      </c>
    </row>
    <row r="31" ht="62" customHeight="1">
      <c r="A31" s="8" t="inlineStr">
        <is>
          <t>startup-cost-calculator.xlsx, in this same guide</t>
        </is>
      </c>
      <c r="B31" s="9" t="inlineStr">
        <is>
          <t>Startup costs line by line, the format variant and the takeover vs. new build comparison.</t>
        </is>
      </c>
      <c r="C31" s="9" t="inlineStr">
        <is>
          <t>Only the TOTALS by block come in here. The two equipment cells on the "Startup Investment" sheet come seeded and are green: replace them with that workbook's totals once you've closed it.</t>
        </is>
      </c>
    </row>
    <row r="32" ht="42" customHeight="1">
      <c r="A32" s="5" t="inlineStr">
        <is>
          <t>In this whole pack there isn't a single formula pointing to another file. Whatever comes from another workbook is COPIED and declared: a link between files breaks as soon as someone moves a folder, and then the workbook lies without warning.</t>
        </is>
      </c>
    </row>
    <row r="33"/>
    <row r="34">
      <c r="A34" s="4" t="inlineStr">
        <is>
          <t>How often to use this workbook</t>
        </is>
      </c>
    </row>
    <row r="35" ht="68" customHeight="1">
      <c r="A35" s="5" t="inlineStr">
        <is>
          <t>How often: "0. Assumptions" and "Startup Investment", WHILE YOU'RE LOOKING FOR A SPACE and getting quotes, as often as needed. The P&amp;L, break-even and scenarios, ONCE BEFORE YOU SIGN and again before you sit down with the lender. "12-Month Cash Flow", EVERY MONTH during the first year, replacing the forecast with what actually happened. "Channels and Break-Even", each time you consider opening or closing a channel.</t>
        </is>
      </c>
    </row>
    <row r="36"/>
    <row r="37" ht="28" customHeight="1">
      <c r="A37" s="5" t="inlineStr">
        <is>
          <t>To edit the structure or a cell that isn't green: Review &gt; Unprotect Sheet (no password).</t>
        </is>
      </c>
    </row>
    <row r="38"/>
    <row r="39">
      <c r="A39" s="10" t="inlineStr">
        <is>
          <t>Designed by John Guerrero — chef and restaurant consultant since 2010, in the kitchen since age 17.</t>
        </is>
      </c>
    </row>
    <row r="40">
      <c r="A40" s="2"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20">
    <mergeCell ref="A6:C6"/>
    <mergeCell ref="A39:C39"/>
    <mergeCell ref="A24:C24"/>
    <mergeCell ref="A19:C19"/>
    <mergeCell ref="A11:C11"/>
    <mergeCell ref="A20:C20"/>
    <mergeCell ref="A12:C12"/>
    <mergeCell ref="A10:C10"/>
    <mergeCell ref="A22:C22"/>
    <mergeCell ref="A32:C32"/>
    <mergeCell ref="A9:C9"/>
    <mergeCell ref="A40:C40"/>
    <mergeCell ref="A35:C35"/>
    <mergeCell ref="A7:C7"/>
    <mergeCell ref="A14:C14"/>
    <mergeCell ref="A21:C21"/>
    <mergeCell ref="A13:C13"/>
    <mergeCell ref="A23:C23"/>
    <mergeCell ref="A8:C8"/>
    <mergeCell ref="A37:C37"/>
  </mergeCells>
  <pageMargins left="0.39" right="0.39"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C65"/>
  <sheetViews>
    <sheetView workbookViewId="0">
      <pane ySplit="5" topLeftCell="A6" activePane="bottomLeft" state="frozen"/>
      <selection pane="bottomLeft" activeCell="A1" sqref="A1"/>
    </sheetView>
  </sheetViews>
  <sheetFormatPr baseColWidth="8" defaultRowHeight="15"/>
  <cols>
    <col width="54" customWidth="1" min="1" max="1"/>
    <col width="16" customWidth="1" min="2" max="2"/>
    <col width="96" customWidth="1" min="3" max="3"/>
  </cols>
  <sheetData>
    <row r="1" ht="26" customHeight="1">
      <c r="A1" s="1" t="inlineStr">
        <is>
          <t>Assumptions: the Model's Rates and Drivers</t>
        </is>
      </c>
    </row>
    <row r="2">
      <c r="A2" s="2" t="inlineStr">
        <is>
          <t>AI Chef Pro · aichef.pro — How to Open a Pastry Shop</t>
        </is>
      </c>
    </row>
    <row r="3" ht="28" customHeight="1">
      <c r="A3" s="5" t="inlineStr">
        <is>
          <t>Change the GREEN cells and the rest of the workbook recalculates on its own. Expense lines are typed on their own sheet, not here. Each assumption has next to it where it comes from and what happens if you move it.</t>
        </is>
      </c>
    </row>
    <row r="4"/>
    <row r="5">
      <c r="A5" s="4" t="inlineStr">
        <is>
          <t>ACTIVITY</t>
        </is>
      </c>
      <c r="B5" s="11" t="inlineStr"/>
      <c r="C5" s="11" t="inlineStr"/>
    </row>
    <row r="6">
      <c r="A6" t="inlineStr">
        <is>
          <t>Tickets a day at steady state</t>
        </is>
      </c>
      <c r="B6" s="12" t="n">
        <v>183</v>
      </c>
      <c r="C6" s="5" t="inlineStr">
        <is>
          <t>ASSUMPTION. We found no public data on bakery foot traffic, so this number isn't a benchmark: it's what gives the model something to calculate. Count them yourself at the door of three shops like the one you want to open, on a Saturday and on a Tuesday.</t>
        </is>
      </c>
    </row>
    <row r="7">
      <c r="A7" t="inlineStr">
        <is>
          <t>Items per ticket</t>
        </is>
      </c>
      <c r="B7" s="13" t="n">
        <v>2.6</v>
      </c>
      <c r="C7" s="5" t="inlineStr">
        <is>
          <t>ASSUMPTION. The average ticket comes from here and is NOT typed: it's calculated. Publishing a "bakery average ticket" would mean making up a figure that doesn't exist.</t>
        </is>
      </c>
    </row>
    <row r="8">
      <c r="A8" t="inlineStr">
        <is>
          <t>Weighted average menu price ($/item; VAT/GST included where it applies)</t>
        </is>
      </c>
      <c r="B8" s="14" t="n">
        <v>2.2572360422715043</v>
      </c>
      <c r="C8" s="5" t="inlineStr">
        <is>
          <t>In the US it's the pre-tax price ($2.26 in the case): sales tax goes on top at the register and isn't revenue. It comes from the 30 items in opening-menu-and-recipe-costing.xlsx, weighted by their sales mix. If you change the menu there, bring the new average price here: it's a declared COPY, not a link between files.</t>
        </is>
      </c>
    </row>
    <row r="9">
      <c r="A9" t="inlineStr">
        <is>
          <t>Average ticket, VAT/GST included where it applies ($)</t>
        </is>
      </c>
      <c r="B9" s="15">
        <f>IFERROR($B$7*$B$8,"")</f>
        <v>5.868813709905911</v>
      </c>
      <c r="C9" s="5" t="inlineStr">
        <is>
          <t>Items per ticket × weighted average price. In the US it equals the pre-tax ticket: sales tax is added at the register.</t>
        </is>
      </c>
    </row>
    <row r="10">
      <c r="A10" t="inlineStr">
        <is>
          <t>Average ticket before sales tax ($)</t>
        </is>
      </c>
      <c r="B10" s="15">
        <f>IFERROR($B$9/(1+$B$20),"")</f>
        <v>5.868813709905911</v>
      </c>
      <c r="C10" s="5" t="inlineStr">
        <is>
          <t>It's the one that goes into the P&amp;L: the P&amp;L is always before sales tax or VAT/GST. It's divided by the menu's AVERAGE VAT/GST rate (row 20), not by a single rate; in the US that rate is 0%.</t>
        </is>
      </c>
    </row>
    <row r="11">
      <c r="A11" t="inlineStr">
        <is>
          <t>Days open per year</t>
        </is>
      </c>
      <c r="B11" s="12" t="n">
        <v>300</v>
      </c>
      <c r="C11" s="5" t="inlineStr">
        <is>
          <t>ASSUMPTION: 6 days a week × 52 weeks = 312, minus 12 days closed in August. Holidays are NOT taken off: the case opens on them. Your hours depend on your lease, the center's rules and your city, so check them in writing. The SAME figure is used by the P&amp;L, break-even and scenarios.</t>
        </is>
      </c>
    </row>
    <row r="12">
      <c r="A12" t="inlineStr">
        <is>
          <t>Year-1 activity vs. steady state (%)</t>
        </is>
      </c>
      <c r="B12" s="16">
        <f>IFERROR(SUMPRODUCT('12-Month Cash Flow'!B6:M6,'12-Month Cash Flow'!B7:M7),"")</f>
        <v>0.87639985</v>
      </c>
      <c r="C12" s="5" t="inlineStr">
        <is>
          <t>NOT typed: it comes from the seasonality and ramp-up on the "12-Month Cash Flow" sheet. A new shop doesn't sell on day one what it sells six months in, and projecting year 1 at steady-state speed is the mistake that sinks more business plans than any other.</t>
        </is>
      </c>
    </row>
    <row r="13">
      <c r="A13" t="inlineStr">
        <is>
          <t>Year-3 volume growth (%)</t>
        </is>
      </c>
      <c r="B13" s="17" t="n">
        <v>0.04</v>
      </c>
      <c r="C13" s="5" t="inlineStr">
        <is>
          <t>ASSUMPTION. Year 2 is already steady state: year 3 only grows by what your regulars bring, not by a jump in business. 4% is cautious; if you put more, you'll have to say where it comes from.</t>
        </is>
      </c>
    </row>
    <row r="14">
      <c r="A14" s="4" t="inlineStr">
        <is>
          <t>SALES TAX AND VAT/GST RATES</t>
        </is>
      </c>
      <c r="B14" s="11" t="inlineStr"/>
      <c r="C14" s="11" t="inlineStr"/>
    </row>
    <row r="15">
      <c r="A15" t="inlineStr">
        <is>
          <t>VAT/GST rate on pastries, viennoiserie and cakes (UK, Canada, Australia; 0% in the US)</t>
        </is>
      </c>
      <c r="B15" s="17" t="n">
        <v>0</v>
      </c>
      <c r="C15" s="5" t="inlineStr">
        <is>
          <t>In the US, leave it at 0%: sales tax isn't part of the price in the P&amp;L, and pastries sold to go are generally exempt in the four example states (it follows how you sell, not what you sell: chapter 19 of the guide). Type a rate here only if you charge VAT or GST (UK, Canada, Australia).</t>
        </is>
      </c>
    </row>
    <row r="16">
      <c r="A16" t="inlineStr">
        <is>
          <t>VAT/GST rate on bread (UK, Canada, Australia; 0% in the US)</t>
        </is>
      </c>
      <c r="B16" s="17" t="n">
        <v>0</v>
      </c>
      <c r="C16" s="5" t="inlineStr">
        <is>
          <t>In the US bread carries no rate of its own: to go, it's generally exempt like the rest of the case (chapter 19 of the guide). What the bread you bag yourself does bring is the full label (Food Code 3-602.11). Leave it at 0%.</t>
        </is>
      </c>
    </row>
    <row r="17">
      <c r="A17" t="inlineStr">
        <is>
          <t>Standard VAT/GST rate (UK, Canada, Australia; 0% in the US)</t>
        </is>
      </c>
      <c r="B17" s="17" t="n">
        <v>0</v>
      </c>
      <c r="C17" s="5" t="inlineStr">
        <is>
          <t>The rate you pay on build-out, equipment, packaging and services if you charge and recover VAT or GST. In the US, sales tax on those purchases is a cost: put it inside the amounts on "Startup Investment" and leave this at 0%.</t>
        </is>
      </c>
    </row>
    <row r="18">
      <c r="A18" t="inlineStr">
        <is>
          <t>Average VAT/GST rate on ingredient purchases (UK, Canada, Australia; 0% in the US)</t>
        </is>
      </c>
      <c r="B18" s="17" t="n">
        <v>0</v>
      </c>
      <c r="C18" s="5" t="inlineStr">
        <is>
          <t>Working ASSUMPTION for VAT/GST countries. It only affects CASH FLOW (what you front to the supplier), never the result. Ask your supplier for a sample invoice to fine-tune it. In the US leave it at 0%, and ask your CPA how your state treats the ingredients you buy.</t>
        </is>
      </c>
    </row>
    <row r="19">
      <c r="A19" t="inlineStr">
        <is>
          <t>Bread's share of sales before tax (%)</t>
        </is>
      </c>
      <c r="B19" s="18" t="n">
        <v>0.201276</v>
      </c>
      <c r="C19" s="5" t="inlineStr">
        <is>
          <t>It comes from the Breads family of the menu in opening-menu-and-recipe-costing.xlsx, weighted by its mix. It splits revenue into its two P&amp;L lines; it only touches tax where bread and pastries carry different VAT/GST rates.</t>
        </is>
      </c>
    </row>
    <row r="20">
      <c r="A20" t="inlineStr">
        <is>
          <t>Weighted average VAT/GST rate of the menu (%)</t>
        </is>
      </c>
      <c r="B20" s="19">
        <f>IFERROR($B$19*$B$16+(1-$B$19)*$B$15,"")</f>
        <v>0.0</v>
      </c>
      <c r="C20" s="5" t="inlineStr">
        <is>
          <t>It isn't a legal rate: it's what's needed to go from cash to net sales when you sell at two different rates. 0% in the US.</t>
        </is>
      </c>
    </row>
    <row r="21">
      <c r="A21" s="4" t="inlineStr">
        <is>
          <t>COST OF SALES</t>
        </is>
      </c>
      <c r="B21" s="11" t="inlineStr"/>
      <c r="C21" s="11" t="inlineStr"/>
    </row>
    <row r="22">
      <c r="A22" t="inlineStr">
        <is>
          <t>Cost of sales as a share of sales (food cost, %)</t>
        </is>
      </c>
      <c r="B22" s="17" t="n">
        <v>0.32</v>
      </c>
      <c r="C22" s="5" t="inlineStr">
        <is>
          <t>The house's SINGLE RULE: a gross margin of 65-70% is a food cost of 30-35%, the same rule said twice. 32% is the midpoint. It includes what a piece's recipe costing leaves out: third-party products the counter resells, real waste, packaging and ingredient price increases. That's why it's HIGHER than your recipe costing, and why it's the conservative assumption.</t>
        </is>
      </c>
    </row>
    <row r="23">
      <c r="A23" t="inlineStr">
        <is>
          <t>Target gross margin (%)</t>
        </is>
      </c>
      <c r="B23" s="16">
        <f>IFERROR(1-$B$22,"")</f>
        <v>0.6799999999999999</v>
      </c>
      <c r="C23" s="5" t="inlineStr">
        <is>
          <t>DERIVED from food cost, not stored separately: if both were stored, sooner or later they'd say different things.</t>
        </is>
      </c>
    </row>
    <row r="24">
      <c r="A24" s="4" t="inlineStr">
        <is>
          <t>STAFF</t>
        </is>
      </c>
      <c r="B24" s="11" t="inlineStr"/>
      <c r="C24" s="11" t="inlineStr"/>
    </row>
    <row r="25">
      <c r="A25" t="inlineStr">
        <is>
          <t>Payroll taxes, workers' comp and benefits (% of gross pay)</t>
        </is>
      </c>
      <c r="B25" s="17" t="n">
        <v>0.33</v>
      </c>
      <c r="C25" s="9" t="inlineStr">
        <is>
          <t>The case's 33%: about 10% is mandatory (FICA 7.65%, FUTA, your state's unemployment tax and workers' comp, which is optional for private employers in Texas); the rest depends on whether you offer health insurance and paid time off. Adjust it to your state and your benefits.</t>
        </is>
      </c>
    </row>
    <row r="26">
      <c r="A26" t="inlineStr">
        <is>
          <t>Monthly pay installments per year</t>
        </is>
      </c>
      <c r="B26" s="12" t="n">
        <v>12</v>
      </c>
      <c r="C26" s="5" t="inlineStr">
        <is>
          <t>12 in the US case: the annual pay is split into 12 equal monthly amounts, with no extra-pay months (the annual total doesn't change). If you pay weekly or every two weeks, the annual total is still the same.</t>
        </is>
      </c>
    </row>
    <row r="27">
      <c r="A27" t="inlineStr">
        <is>
          <t>Minimum wage, full-time (annual: $7.25 × 2,080 h)</t>
        </is>
      </c>
      <c r="B27" s="14" t="n">
        <v>15080</v>
      </c>
      <c r="C27" s="9" t="inlineStr">
        <is>
          <t>$7.25 an hour × 2,080 hours = $15,080 a year ($1,256.67 a month): the federal minimum, which is also Texas's. Your state or city may set a higher one (California $16.90; New York $17.00 or $16.00 depending on the region; Florida $14.00 until September 29, 2026, so check FloridaCommerce for the current rate): put yours here.</t>
        </is>
      </c>
    </row>
    <row r="28">
      <c r="A28" t="inlineStr">
        <is>
          <t>Full-time hours (hours/week)</t>
        </is>
      </c>
      <c r="B28" s="12" t="n">
        <v>40</v>
      </c>
      <c r="C28" s="5" t="inlineStr">
        <is>
          <t>ASSUMPTION: 40 hours, the federal overtime threshold (overtime at 1.5× above 40 hours a week). Check your state's rules before you size the shifts.</t>
        </is>
      </c>
    </row>
    <row r="29">
      <c r="A29" s="4" t="inlineStr">
        <is>
          <t>SPACE AND FIXED COSTS</t>
        </is>
      </c>
      <c r="B29" s="11" t="inlineStr"/>
      <c r="C29" s="11" t="inlineStr"/>
    </row>
    <row r="30">
      <c r="A30" t="inlineStr">
        <is>
          <t>Monthly rent ($)</t>
        </is>
      </c>
      <c r="B30" s="14" t="n">
        <v>1200</v>
      </c>
      <c r="C30" s="5" t="inlineStr">
        <is>
          <t>ASSUMPTION for a mid-size city: $1,200 a month on 969 sq ft is about $15 per sq ft a year, below the national average asking rent for retail space (CBRE: $24.79 per sq ft a year, Q2 2026). Put in your own, plus NNN charges if your lease has them.</t>
        </is>
      </c>
    </row>
    <row r="31">
      <c r="A31" t="inlineStr">
        <is>
          <t>Security deposit (months of rent)</t>
        </is>
      </c>
      <c r="B31" s="12" t="n">
        <v>2</v>
      </c>
      <c r="C31" s="5" t="inlineStr">
        <is>
          <t>ASSUMPTION. The security deposit isn't an expense: it's money you get back. It goes into the investment because you need it the day you sign.</t>
        </is>
      </c>
    </row>
    <row r="32">
      <c r="A32" t="inlineStr">
        <is>
          <t>Monthly utilities: electricity, gas and water ($)</t>
        </is>
      </c>
      <c r="B32" s="14" t="n">
        <v>1450</v>
      </c>
      <c r="C32" s="5" t="inlineStr">
        <is>
          <t>ASSUMPTION. With 62 kW installed and refrigeration running 24 hours, it's the business's second-biggest line. Don't estimate it: ask the utility for a quote based on the connected load in your electrical plans.</t>
        </is>
      </c>
    </row>
    <row r="33">
      <c r="A33" t="inlineStr">
        <is>
          <t>Owner's monthly pay ($)</t>
        </is>
      </c>
      <c r="B33" s="14" t="n">
        <v>2400</v>
      </c>
      <c r="C33" s="5" t="inlineStr">
        <is>
          <t>ASSUMPTION, and a line of its own among fixed costs, before your own self-employment and income tax. If the owner works in the kitchen, that work has a cost even if you don't pay it to yourself at the end of the month.</t>
        </is>
      </c>
    </row>
    <row r="34">
      <c r="A34" t="inlineStr">
        <is>
          <t>Annual increase in fixed costs (%)</t>
        </is>
      </c>
      <c r="B34" s="17" t="n">
        <v>0</v>
      </c>
      <c r="C34" s="5" t="inlineStr">
        <is>
          <t>Set to ZERO: the three P&amp;L columns are in year-1 dollars (real terms). Raise it if you want to project in current dollars, but then raise the average ticket too, or you'll be projecting a margin loss you haven't decided on.</t>
        </is>
      </c>
    </row>
    <row r="35">
      <c r="A35" s="4" t="inlineStr">
        <is>
          <t>FINANCING</t>
        </is>
      </c>
      <c r="B35" s="11" t="inlineStr"/>
      <c r="C35" s="11" t="inlineStr"/>
    </row>
    <row r="36">
      <c r="A36" t="inlineStr">
        <is>
          <t>Owner's equity contributed ($)</t>
        </is>
      </c>
      <c r="B36" s="14" t="n">
        <v>167915.61</v>
      </c>
      <c r="C36" s="5" t="inlineStr">
        <is>
          <t>ASSUMPTION seeded so the plan is financed: it's the total startup cash need minus the loan. Look at it twice, because it's a lot of money: if you don't have it, either lower the investment (see the "Takeover vs New Build" sheet in startup-cost-calculator.xlsx) or raise the loan, and then watch the DSCR on the "Financing" sheet.</t>
        </is>
      </c>
    </row>
    <row r="37">
      <c r="A37" t="inlineStr">
        <is>
          <t>Bank loan requested ($)</t>
        </is>
      </c>
      <c r="B37" s="14" t="n">
        <v>60000</v>
      </c>
      <c r="C37" s="5" t="inlineStr">
        <is>
          <t>ASSUMPTION. Your lender sets the terms, and they depend on your credit and collateral. Get offers from two lenders, including an SBA-backed 7(a) loan, before you fix it.</t>
        </is>
      </c>
    </row>
    <row r="38">
      <c r="A38" t="inlineStr">
        <is>
          <t>Annual nominal interest rate (%)</t>
        </is>
      </c>
      <c r="B38" s="18" t="n">
        <v>0.062</v>
      </c>
      <c r="C38" s="5" t="inlineStr">
        <is>
          <t>ASSUMPTION.</t>
        </is>
      </c>
    </row>
    <row r="39">
      <c r="A39" t="inlineStr">
        <is>
          <t>Total loan term (months)</t>
        </is>
      </c>
      <c r="B39" s="12" t="n">
        <v>84</v>
      </c>
      <c r="C39" s="5" t="inlineStr">
        <is>
          <t>ASSUMPTION: 7 years, interest-only months included. The schedule on the "Financing" sheet has 84 rows; if you stretch the term past 84 months, you'll have to add them.</t>
        </is>
      </c>
    </row>
    <row r="40">
      <c r="A40" t="inlineStr">
        <is>
          <t>Interest-only period (months)</t>
        </is>
      </c>
      <c r="B40" s="12" t="n">
        <v>6</v>
      </c>
      <c r="C40" s="5" t="inlineStr">
        <is>
          <t>ASSUMPTION, and the FIRST thing to negotiate: the interest-only period keeps the loan from eating your cash during the ramp-up. During it you only pay interest.</t>
        </is>
      </c>
    </row>
    <row r="41">
      <c r="A41" t="inlineStr">
        <is>
          <t>Working capital (months of fixed costs)</t>
        </is>
      </c>
      <c r="B41" s="12" t="n">
        <v>4</v>
      </c>
      <c r="C41" s="5" t="inlineStr">
        <is>
          <t>ASSUMPTION. Months of fixed costs you need in the bank the day you open. It's a startup cost line, not a tip.</t>
        </is>
      </c>
    </row>
    <row r="42">
      <c r="A42" s="4" t="inlineStr">
        <is>
          <t>INCOME TAX (ILLUSTRATIVE)</t>
        </is>
      </c>
      <c r="B42" s="11" t="inlineStr"/>
      <c r="C42" s="11" t="inlineStr"/>
    </row>
    <row r="43">
      <c r="A43" t="inlineStr">
        <is>
          <t>Income tax rate, first two years with a profit (illustrative, %)</t>
        </is>
      </c>
      <c r="B43" s="17" t="n">
        <v>0.15</v>
      </c>
      <c r="C43" s="5" t="inlineStr">
        <is>
          <t>ILLUSTRATIVE rate, not a legal one: 15% for the first two years with a profit. By default a single-member LLC is reported on its owner's tax return and a multi-member LLC is classified as a partnership (IRS); your real rate depends on how you set up the business, so ask your CPA.</t>
        </is>
      </c>
    </row>
    <row r="44">
      <c r="A44" t="inlineStr">
        <is>
          <t>Income tax rate, from the third year with a profit (illustrative, %)</t>
        </is>
      </c>
      <c r="B44" s="17" t="n">
        <v>0.25</v>
      </c>
      <c r="C44" s="5" t="inlineStr">
        <is>
          <t>Illustrative: 25% from the third year with a profit on.</t>
        </is>
      </c>
    </row>
    <row r="45">
      <c r="A45" t="inlineStr">
        <is>
          <t>Net operating losses from earlier years ($)</t>
        </is>
      </c>
      <c r="B45" s="14" t="n">
        <v>0</v>
      </c>
      <c r="C45" s="5" t="inlineStr">
        <is>
          <t>Losses still to carry forward when you start. In a new opening they're zero: fill it in only if you start inside a business that already existed.</t>
        </is>
      </c>
    </row>
    <row r="46">
      <c r="A46" s="4" t="inlineStr">
        <is>
          <t>DEPRECIATION</t>
        </is>
      </c>
      <c r="B46" s="11" t="inlineStr"/>
      <c r="C46" s="11" t="inlineStr"/>
    </row>
    <row r="47">
      <c r="A47" t="inlineStr">
        <is>
          <t>Depreciation period for fixed assets (years)</t>
        </is>
      </c>
      <c r="B47" s="12" t="n">
        <v>10</v>
      </c>
      <c r="C47" s="5" t="inlineStr">
        <is>
          <t>ASSUMPTION; in practice build-out and equipment depreciate over different periods (your CPA sets them). Without depreciation the published profit is a lie: ovens wear out.</t>
        </is>
      </c>
    </row>
    <row r="48">
      <c r="A48" s="4" t="inlineStr">
        <is>
          <t>RAMP-UP</t>
        </is>
      </c>
      <c r="B48" s="11" t="inlineStr"/>
      <c r="C48" s="11" t="inlineStr"/>
    </row>
    <row r="49">
      <c r="A49" t="inlineStr">
        <is>
          <t>Month-1 activity vs. steady state (%)</t>
        </is>
      </c>
      <c r="B49" s="17" t="n">
        <v>0.55</v>
      </c>
      <c r="C49" s="5" t="inlineStr">
        <is>
          <t>ASSUMPTION. At 100% you remove the ramp-up and year 1 is projected as if you opened at full speed, which is exactly what doesn't happen.</t>
        </is>
      </c>
    </row>
    <row r="50">
      <c r="A50" t="inlineStr">
        <is>
          <t>Months to reach steady state</t>
        </is>
      </c>
      <c r="B50" s="12" t="n">
        <v>6</v>
      </c>
      <c r="C50" s="5" t="inlineStr">
        <is>
          <t>ASSUMPTION. The ramp climbs in a straight line from the percentage above to 100% over this number of months.</t>
        </is>
      </c>
    </row>
    <row r="51">
      <c r="A51" s="4" t="inlineStr">
        <is>
          <t>COLLECTIONS AND PAYMENTS</t>
        </is>
      </c>
      <c r="B51" s="11" t="inlineStr"/>
      <c r="C51" s="11" t="inlineStr"/>
    </row>
    <row r="52">
      <c r="A52" t="inlineStr">
        <is>
          <t>Average days to collect</t>
        </is>
      </c>
      <c r="B52" s="20">
        <f>IFERROR(SUMPRODUCT('Channels and Break-Even'!B6:B9,'Channels and Break-Even'!F6:F9),"")</f>
        <v>2.25</v>
      </c>
      <c r="C52" s="5" t="inlineStr">
        <is>
          <t>NOT typed: it comes from the "Channels and Break-Even" sheet, weighting each channel's days to collect by its share of sales. The counter collects on the spot; wholesale at 45 days, and that gap you finance yourself.</t>
        </is>
      </c>
    </row>
    <row r="53">
      <c r="A53" t="inlineStr">
        <is>
          <t>Average days to pay suppliers</t>
        </is>
      </c>
      <c r="B53" s="12" t="n">
        <v>30</v>
      </c>
      <c r="C53" s="5" t="inlineStr">
        <is>
          <t>ASSUMPTION. It's what your suppliers finance for you, and the first thing you lose if you pay late.</t>
        </is>
      </c>
    </row>
    <row r="54">
      <c r="A54" t="inlineStr">
        <is>
          <t>Month of the first extra payroll (1-12)</t>
        </is>
      </c>
      <c r="B54" s="12" t="n">
        <v>0</v>
      </c>
      <c r="C54" s="5" t="inlineStr">
        <is>
          <t>Set to 0 (none): the US case pays 12 equal monthly payrolls, so no month comes out double. Only if you pay more than 12 installments a year (a year-end bonus paid as a 13th payroll, for example) type the month it falls in here, and raise the installments above to match.</t>
        </is>
      </c>
    </row>
    <row r="55">
      <c r="A55" t="inlineStr">
        <is>
          <t>Month of the second extra payroll (1-12)</t>
        </is>
      </c>
      <c r="B55" s="12" t="n">
        <v>0</v>
      </c>
      <c r="C55" s="5" t="inlineStr">
        <is>
          <t>ASSUMPTION.</t>
        </is>
      </c>
    </row>
    <row r="56">
      <c r="A56" t="inlineStr">
        <is>
          <t>Month of the third extra payroll (1-12)</t>
        </is>
      </c>
      <c r="B56" s="12" t="n">
        <v>0</v>
      </c>
      <c r="C56" s="5" t="inlineStr">
        <is>
          <t>ASSUMPTION. With 12 installments leave all three at 0: a number outside 1-12 means none.</t>
        </is>
      </c>
    </row>
    <row r="57">
      <c r="A57" s="4" t="inlineStr">
        <is>
          <t>CONTROL THRESHOLDS AND FLOORS</t>
        </is>
      </c>
      <c r="B57" s="11" t="inlineStr"/>
      <c r="C57" s="11" t="inlineStr"/>
    </row>
    <row r="58">
      <c r="A58" t="inlineStr">
        <is>
          <t>Minimum acceptable DSCR</t>
        </is>
      </c>
      <c r="B58" s="21" t="n">
        <v>1</v>
      </c>
      <c r="C58" s="5" t="inlineStr">
        <is>
          <t>Below 1 the business doesn't generate enough to make the loan payments. Put the one your lender writes into the loan agreement.</t>
        </is>
      </c>
    </row>
    <row r="59">
      <c r="A59" t="inlineStr">
        <is>
          <t>Target DSCR (green)</t>
        </is>
      </c>
      <c r="B59" s="21" t="n">
        <v>1.25</v>
      </c>
      <c r="C59" s="5" t="inlineStr">
        <is>
          <t>A common lender target for lending without extra collateral; ask yours.</t>
        </is>
      </c>
    </row>
    <row r="60">
      <c r="A60" t="inlineStr">
        <is>
          <t>Minimum cushion above break-even (%)</t>
        </is>
      </c>
      <c r="B60" s="17" t="n">
        <v>0.15</v>
      </c>
      <c r="C60" s="5" t="inlineStr">
        <is>
          <t>Minimum margin of the plan over break-even, measured over break-even (the drop in sales it absorbs is smaller: 1 − 1/(1 + this %)).</t>
        </is>
      </c>
    </row>
    <row r="61">
      <c r="A61" t="inlineStr">
        <is>
          <t>Reference net margin, floor (%)</t>
        </is>
      </c>
      <c r="B61" s="17" t="n">
        <v>0.08</v>
      </c>
      <c r="C61" s="5" t="inlineStr">
        <is>
          <t>Net profitability of a pastry business "doing well", as stated by the head of a fourth-generation family bakery in Mallorca, Spain: 8-12%. It isn't a target or an industry benchmark: it's one testimony, here so you can test your projection against it. For a US contrast, third-party estimates put the food sector's typical net margin at 3% to 5% (Toast).</t>
        </is>
      </c>
    </row>
    <row r="62">
      <c r="A62" t="inlineStr">
        <is>
          <t>Reference net margin, ceiling (%)</t>
        </is>
      </c>
      <c r="B62" s="17" t="n">
        <v>0.12</v>
      </c>
      <c r="C62" s="5" t="inlineStr">
        <is>
          <t>If your projection comes out above 12%, distrust it before you show it to anyone: there's almost always a cost missing.</t>
        </is>
      </c>
    </row>
    <row r="63">
      <c r="A63" t="inlineStr">
        <is>
          <t>Ceiling for staff cost as a share of sales (%)</t>
        </is>
      </c>
      <c r="B63" s="17" t="n">
        <v>0.35</v>
      </c>
      <c r="C63" s="5" t="inlineStr">
        <is>
          <t>Control ASSUMPTION. In a production kitchen with a counter, staff is the biggest line; above this ceiling, either you raise prices or you resize the shifts.</t>
        </is>
      </c>
    </row>
    <row r="64">
      <c r="A64" t="inlineStr">
        <is>
          <t>Ceiling for rent as a share of sales (%)</t>
        </is>
      </c>
      <c r="B64" s="17" t="n">
        <v>0.1</v>
      </c>
      <c r="C64" s="5" t="inlineStr">
        <is>
          <t>Control ASSUMPTION. Rent above 10% of sales eats the margin on everything else.</t>
        </is>
      </c>
    </row>
    <row r="65">
      <c r="A65" t="inlineStr">
        <is>
          <t>Variable cost step for the sensitivity table ($)</t>
        </is>
      </c>
      <c r="B65" s="14" t="n">
        <v>0.2</v>
      </c>
      <c r="C65" s="5" t="inlineStr">
        <is>
          <t>How much the variable cost per ticket moves up and down in the break-even sensitivity table.</t>
        </is>
      </c>
    </row>
  </sheetData>
  <sheetProtection selectLockedCells="0" selectUnlockedCells="0" sheet="1" objects="0" insertRows="0" insertHyperlinks="1" autoFilter="1" scenarios="0" formatColumns="0" deleteColumns="1" insertColumns="1" pivotTables="1" deleteRows="1" formatCells="1" formatRows="0" sort="0"/>
  <mergeCells count="1">
    <mergeCell ref="A3:C3"/>
  </mergeCells>
  <pageMargins left="0.39" right="0.39" top="0.55" bottom="0.55" header="0.3" footer="0.3"/>
  <pageSetup orientation="portrait"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F34"/>
  <sheetViews>
    <sheetView workbookViewId="0">
      <selection activeCell="A1" sqref="A1"/>
    </sheetView>
  </sheetViews>
  <sheetFormatPr baseColWidth="8" defaultRowHeight="15"/>
  <cols>
    <col width="58" customWidth="1" min="1" max="1"/>
    <col width="15" customWidth="1" min="2" max="2"/>
    <col width="12" customWidth="1" min="3" max="3"/>
    <col width="12" customWidth="1" min="4" max="4"/>
    <col width="14" customWidth="1" min="5" max="5"/>
    <col width="80" customWidth="1" min="6" max="6"/>
  </cols>
  <sheetData>
    <row r="1" ht="26" customHeight="1">
      <c r="A1" s="1" t="inlineStr">
        <is>
          <t>Startup Investment: What It Costs to Open</t>
        </is>
      </c>
    </row>
    <row r="2">
      <c r="A2" s="2" t="inlineStr">
        <is>
          <t>AI Chef Pro · aichef.pro — How to Open a Pastry Shop</t>
        </is>
      </c>
    </row>
    <row r="3" ht="28" customHeight="1">
      <c r="A3" s="5" t="inlineStr">
        <is>
          <t>Each line has its "Carries VAT/GST?" column and its rate. VAT/GST you recover (UK, Canada, Australia) goes in the rate column; in the US, add your sales tax to each line's amount instead and leave the rate at 0%: it's a cost, not something you get back. Whatever you haven't had quoted, leave at its seeded value and flag it to ask for.</t>
        </is>
      </c>
    </row>
    <row r="4"/>
    <row r="5" ht="32" customHeight="1">
      <c r="A5" s="7" t="inlineStr">
        <is>
          <t>Line</t>
        </is>
      </c>
      <c r="B5" s="7" t="inlineStr">
        <is>
          <t>Amount ($, before VAT/GST)</t>
        </is>
      </c>
      <c r="C5" s="7" t="inlineStr">
        <is>
          <t>Share of the investment</t>
        </is>
      </c>
      <c r="D5" s="7" t="inlineStr">
        <is>
          <t>Carries VAT/GST?</t>
        </is>
      </c>
      <c r="E5" s="7" t="inlineStr">
        <is>
          <t>VAT/GST rate (UK, Canada, Australia; 0% in the US)</t>
        </is>
      </c>
      <c r="F5" s="7" t="inlineStr">
        <is>
          <t>Notes</t>
        </is>
      </c>
    </row>
    <row r="6" ht="30" customHeight="1">
      <c r="A6" s="9" t="inlineStr">
        <is>
          <t>Build-out and building systems · Build-out, middle scenario ($83.61 per sq ft × 969 sq ft)</t>
        </is>
      </c>
      <c r="B6" s="14" t="n">
        <v>81000</v>
      </c>
      <c r="C6" s="16">
        <f>IFERROR(B6/$B$19,"")</f>
        <v>0.3553947134513288</v>
      </c>
      <c r="D6" s="22" t="inlineStr">
        <is>
          <t>No</t>
        </is>
      </c>
      <c r="E6" s="17" t="n">
        <v>0</v>
      </c>
      <c r="F6" s="5" t="inlineStr">
        <is>
          <t>Reference scenario. The other two ($55.74 and $111.48 per sq ft) are in startup-cost-calculator.xlsx.  [Source: case assumption]</t>
        </is>
      </c>
    </row>
    <row r="7" ht="30" customHeight="1">
      <c r="A7" s="9" t="inlineStr">
        <is>
          <t>Production kitchen equipment · Production kitchen equipment (the modeled case's package)</t>
        </is>
      </c>
      <c r="B7" s="14" t="n">
        <v>54296.24</v>
      </c>
      <c r="C7" s="16">
        <f>IFERROR(B7/$B$19,"")</f>
        <v>0.23822958834919228</v>
      </c>
      <c r="D7" s="22" t="inlineStr">
        <is>
          <t>No</t>
        </is>
      </c>
      <c r="E7" s="17" t="n">
        <v>0</v>
      </c>
      <c r="F7" s="5" t="inlineStr">
        <is>
          <t>Block total, seeded from the modeled case's package in equipment-and-suppliers-checklist.xlsx, ALL on a pre-tax basis. Replace it with your real quotes when you have them: it's a declared COPY, not a link between files.  [Source: example prices + assumptions]</t>
        </is>
      </c>
    </row>
    <row r="8" ht="30" customHeight="1">
      <c r="A8" s="9" t="inlineStr">
        <is>
          <t>Storefront and display · Storefront and display (the modeled case's package)</t>
        </is>
      </c>
      <c r="B8" s="14" t="n">
        <v>12684.1</v>
      </c>
      <c r="C8" s="16">
        <f>IFERROR(B8/$B$19,"")</f>
        <v>0.055652618331950614</v>
      </c>
      <c r="D8" s="22" t="inlineStr">
        <is>
          <t>No</t>
        </is>
      </c>
      <c r="E8" s="17" t="n">
        <v>0</v>
      </c>
      <c r="F8" s="5" t="inlineStr">
        <is>
          <t>Block total, seeded from the modeled case's package in equipment-and-suppliers-checklist.xlsx, ALL on a pre-tax basis. Replace it with your real quotes when you have them: it's a declared COPY, not a link between files.  [Source: example prices + assumption]</t>
        </is>
      </c>
    </row>
    <row r="9" ht="30" customHeight="1">
      <c r="A9" s="9" t="inlineStr">
        <is>
          <t>Permits, plans and fees · Plans and specifications for plan review</t>
        </is>
      </c>
      <c r="B9" s="14" t="n">
        <v>5000</v>
      </c>
      <c r="C9" s="16">
        <f>IFERROR(B9/$B$19,"")</f>
        <v>0.02193794527477338</v>
      </c>
      <c r="D9" s="22" t="inlineStr">
        <is>
          <t>No</t>
        </is>
      </c>
      <c r="E9" s="17" t="n">
        <v>0</v>
      </c>
      <c r="F9" s="5" t="inlineStr">
        <is>
          <t xml:space="preserve">  [Source: example price]</t>
        </is>
      </c>
    </row>
    <row r="10" ht="30" customHeight="1">
      <c r="A10" s="9" t="inlineStr">
        <is>
          <t>Permits, plans and fees · Professional advice (CPA, attorney)</t>
        </is>
      </c>
      <c r="B10" s="14" t="n">
        <v>1000</v>
      </c>
      <c r="C10" s="16">
        <f>IFERROR(B10/$B$19,"")</f>
        <v>0.004387589054954676</v>
      </c>
      <c r="D10" s="22" t="inlineStr">
        <is>
          <t>No</t>
        </is>
      </c>
      <c r="E10" s="17" t="n">
        <v>0</v>
      </c>
      <c r="F10" s="5" t="inlineStr">
        <is>
          <t xml:space="preserve">  [Source: example amount]</t>
        </is>
      </c>
    </row>
    <row r="11" ht="30" customHeight="1">
      <c r="A11" s="9" t="inlineStr">
        <is>
          <t>Permits, plans and fees · City and county permit fees (building permit, certificate of occupancy)</t>
        </is>
      </c>
      <c r="B11" s="14" t="n">
        <v>1800</v>
      </c>
      <c r="C11" s="16">
        <f>IFERROR(B11/$B$19,"")</f>
        <v>0.007897660298918417</v>
      </c>
      <c r="D11" s="22" t="inlineStr">
        <is>
          <t>No</t>
        </is>
      </c>
      <c r="E11" s="17" t="n">
        <v>0</v>
      </c>
      <c r="F11" s="5" t="inlineStr">
        <is>
          <t>Government permit fees carry no sales tax, and the amount changes from one city or county to the next: it's a number to go and find, not copy.  [Source: assumption]</t>
        </is>
      </c>
    </row>
    <row r="12" ht="30" customHeight="1">
      <c r="A12" s="9" t="inlineStr">
        <is>
          <t>Permits, plans and fees · Health department plan review and food permit application</t>
        </is>
      </c>
      <c r="B12" s="14" t="n">
        <v>120</v>
      </c>
      <c r="C12" s="16">
        <f>IFERROR(B12/$B$19,"")</f>
        <v>0.0005265106865945612</v>
      </c>
      <c r="D12" s="22" t="inlineStr">
        <is>
          <t>No</t>
        </is>
      </c>
      <c r="E12" s="17" t="n">
        <v>0</v>
      </c>
      <c r="F12" s="5" t="inlineStr">
        <is>
          <t>The health department reviews your plans and inspects before it issues the food permit; you can't open without it. The amount is an assumption (Austin, for example, charges $312 for plan review and $178 for the pre-opening inspection, FY 2025-26).  [Source: Food Code + assumption]</t>
        </is>
      </c>
    </row>
    <row r="13" ht="30" customHeight="1">
      <c r="A13" s="9" t="inlineStr">
        <is>
          <t>Security deposit · Lease security deposit (2 months)</t>
        </is>
      </c>
      <c r="B13" s="14" t="n">
        <v>2400</v>
      </c>
      <c r="C13" s="16">
        <f>IFERROR(B13/$B$19,"")</f>
        <v>0.010530213731891223</v>
      </c>
      <c r="D13" s="22" t="inlineStr">
        <is>
          <t>No</t>
        </is>
      </c>
      <c r="E13" s="17" t="n">
        <v>0</v>
      </c>
      <c r="F13" s="5" t="inlineStr">
        <is>
          <t>The security deposit isn't an expense: it's money you get back. It goes into startup costs because you need it the day you sign.  [Source: assumption]</t>
        </is>
      </c>
    </row>
    <row r="14" ht="30" customHeight="1">
      <c r="A14" s="9" t="inlineStr">
        <is>
          <t>Opening packaging · First packaging order: bags, boxes and labels</t>
        </is>
      </c>
      <c r="B14" s="14" t="n">
        <v>2500</v>
      </c>
      <c r="C14" s="16">
        <f>IFERROR(B14/$B$19,"")</f>
        <v>0.01096897263738669</v>
      </c>
      <c r="D14" s="22" t="inlineStr">
        <is>
          <t>No</t>
        </is>
      </c>
      <c r="E14" s="17" t="n">
        <v>0</v>
      </c>
      <c r="F14" s="5" t="inlineStr">
        <is>
          <t>Start with the supplier's minimum: custom-printed packaging means big orders and money sitting in the storeroom.  [Source: assumption]</t>
        </is>
      </c>
    </row>
    <row r="15" ht="30" customHeight="1">
      <c r="A15" s="9" t="inlineStr">
        <is>
          <t>Opening marketing · Opening marketing</t>
        </is>
      </c>
      <c r="B15" s="14" t="n">
        <v>5000</v>
      </c>
      <c r="C15" s="16">
        <f>IFERROR(B15/$B$19,"")</f>
        <v>0.02193794527477338</v>
      </c>
      <c r="D15" s="22" t="inlineStr">
        <is>
          <t>No</t>
        </is>
      </c>
      <c r="E15" s="17" t="n">
        <v>0</v>
      </c>
      <c r="F15" s="5" t="inlineStr">
        <is>
          <t xml:space="preserve">  [Source: example amount]</t>
        </is>
      </c>
    </row>
    <row r="16" ht="30" customHeight="1">
      <c r="A16" s="9" t="inlineStr">
        <is>
          <t>Working capital · Cash cushion (months of fixed costs)</t>
        </is>
      </c>
      <c r="B16" s="15">
        <f>IFERROR('0. Assumptions'!$B$41*'3-Year P&amp;L'!C33/12,"")</f>
        <v>62115.261820264364</v>
      </c>
      <c r="C16" s="16">
        <f>IFERROR(B16/$B$19,"")</f>
        <v>0.272536242908236</v>
      </c>
      <c r="D16" s="22" t="inlineStr">
        <is>
          <t>No</t>
        </is>
      </c>
      <c r="E16" s="17" t="n">
        <v>0</v>
      </c>
      <c r="F16" s="5" t="inlineStr">
        <is>
          <t>Calculated: months of cushion × the steady-state year's monthly fixed costs. It isn't an investment you buy, it's cash: that's why it comes out of CAPEX in the row below.  [Source: assumption]</t>
        </is>
      </c>
    </row>
    <row r="17">
      <c r="A17" s="23" t="inlineStr">
        <is>
          <t>INVESTMENT SUBTOTAL (before working capital)</t>
        </is>
      </c>
      <c r="B17" s="24">
        <f>IFERROR(IF(COUNT(B6:B15)=0,"",SUM(B6:B15)),"")</f>
        <v>165800.34</v>
      </c>
      <c r="C17" s="25">
        <f>IFERROR(B17/$B$19,"")</f>
        <v>0.727463757091764</v>
      </c>
      <c r="D17" s="23" t="n"/>
      <c r="E17" s="23" t="n"/>
      <c r="F17" s="23" t="n"/>
    </row>
    <row r="18">
      <c r="A18" s="23" t="inlineStr">
        <is>
          <t>WORKING CAPITAL</t>
        </is>
      </c>
      <c r="B18" s="24">
        <f>IFERROR(B16,"")</f>
        <v>62115.261820264364</v>
      </c>
      <c r="C18" s="25">
        <f>IFERROR(B18/$B$19,"")</f>
        <v>0.272536242908236</v>
      </c>
      <c r="D18" s="23" t="n"/>
      <c r="E18" s="23" t="n"/>
      <c r="F18" s="23" t="n"/>
    </row>
    <row r="19">
      <c r="A19" s="23" t="inlineStr">
        <is>
          <t>TOTAL INVESTMENT (what you buy plus the startup cash)</t>
        </is>
      </c>
      <c r="B19" s="24">
        <f>IFERROR(B17+B18,"")</f>
        <v>227915.60182026436</v>
      </c>
      <c r="C19" s="23" t="n"/>
      <c r="D19" s="23" t="n"/>
      <c r="E19" s="23" t="n"/>
      <c r="F19" s="23" t="n"/>
    </row>
    <row r="20">
      <c r="A20" t="inlineStr">
        <is>
          <t>CAPEX (investment before working capital)</t>
        </is>
      </c>
      <c r="B20" s="15">
        <f>IFERROR(B19-B18,"")</f>
        <v>165800.34</v>
      </c>
      <c r="F20" s="5" t="inlineStr">
        <is>
          <t>It's what you BUY: build-out, equipment, permits, packaging and launch. The cash cushion isn't an investment, it's liquidity.</t>
        </is>
      </c>
    </row>
    <row r="21">
      <c r="A21" t="inlineStr">
        <is>
          <t>VAT/GST fronted on the investment (UK, Canada and Australia only; $0 in the US)</t>
        </is>
      </c>
      <c r="B21" s="15">
        <f>IFERROR(SUMPRODUCT(B6:B16,E6:E16),"")</f>
        <v>0.0</v>
      </c>
      <c r="F21" s="5" t="inlineStr">
        <is>
          <t>Each line at ITS rate, read from the column next to it. Outside the US it comes back on your VAT/GST returns, but it takes time: the "12-Month Cash Flow" sheet carries it forward. $0 in the US, where sales tax on purchases is a cost already inside each amount.</t>
        </is>
      </c>
    </row>
    <row r="22">
      <c r="A22" s="23" t="inlineStr">
        <is>
          <t>TOTAL STARTUP CASH NEED</t>
        </is>
      </c>
      <c r="B22" s="24">
        <f>IFERROR(B19+B21,"")</f>
        <v>227915.60182026436</v>
      </c>
      <c r="C22" s="23" t="n"/>
      <c r="D22" s="23" t="n"/>
      <c r="E22" s="23" t="n"/>
      <c r="F22" s="26" t="inlineStr">
        <is>
          <t>It's the figure the "Financing" sheet has to cover.</t>
        </is>
      </c>
    </row>
    <row r="23">
      <c r="A23" t="inlineStr">
        <is>
          <t>Check: lines with "Yes" and a zero rate, or the other way around</t>
        </is>
      </c>
      <c r="B23" s="27">
        <f>IFERROR(SUMPRODUCT((D6:D16="Yes")*(E6:E16=0))+SUMPRODUCT((D6:D16="No")*(E6:E16&gt;0)),"")</f>
        <v>0.0</v>
      </c>
      <c r="F23" s="5" t="inlineStr">
        <is>
          <t>It has to read zero. If it turns red, a line says "Yes" with its rate at zero (or the other way around) and the VAT/GST on the investment is miscalculated.</t>
        </is>
      </c>
    </row>
    <row r="24"/>
    <row r="25">
      <c r="A25" s="4" t="inlineStr">
        <is>
          <t>DEPRECIATION BASES (not added to the investment)</t>
        </is>
      </c>
    </row>
    <row r="26">
      <c r="A26" t="inlineStr">
        <is>
          <t>Depreciable fixed assets</t>
        </is>
      </c>
      <c r="B26" s="15">
        <f>IFERROR(B17-B13-B14,"")</f>
        <v>160900.34</v>
      </c>
      <c r="F26" s="5" t="inlineStr">
        <is>
          <t>The whole subtotal minus the security deposit (money you get back) and the first packaging order (inventory, not fixed assets).</t>
        </is>
      </c>
    </row>
    <row r="27">
      <c r="A27" t="inlineStr">
        <is>
          <t>Annual depreciation of fixed assets</t>
        </is>
      </c>
      <c r="B27" s="15">
        <f>IFERROR(B26/MAX(1,'0. Assumptions'!$B$47),"")</f>
        <v>16090.034</v>
      </c>
      <c r="F27" s="5" t="inlineStr">
        <is>
          <t>It's the line that goes into the P&amp;L's fixed costs. Without it the published profit is a lie: ovens wear out.</t>
        </is>
      </c>
    </row>
    <row r="28"/>
    <row r="29" ht="42" customHeight="1">
      <c r="A29" s="5" t="inlineStr">
        <is>
          <t>Every figure in the "Amount" column is BEFORE VAT/GST (in the US, include any sales tax you pay: it's part of the cost). VAT/GST is calculated separately below, so you can see how much you have to front and get back. Rent you pay BEFORE opening isn't here: if you'll pay it, add it to the security deposit line and say so in its note, so startup-cost-calculator.xlsx and this workbook keep saying the same thing.</t>
        </is>
      </c>
    </row>
    <row r="30"/>
    <row r="31">
      <c r="A31" s="28" t="inlineStr">
        <is>
          <t>Validation lists (don't delete them: the dropdowns come from here)</t>
        </is>
      </c>
    </row>
    <row r="32">
      <c r="A32" s="29" t="inlineStr">
        <is>
          <t>Carries VAT/GST?</t>
        </is>
      </c>
    </row>
    <row r="33">
      <c r="A33" s="30" t="inlineStr">
        <is>
          <t>Yes</t>
        </is>
      </c>
    </row>
    <row r="34">
      <c r="A34" s="30"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F3"/>
    <mergeCell ref="A29:F29"/>
  </mergeCells>
  <conditionalFormatting sqref="B23">
    <cfRule type="expression" priority="1" dxfId="0" stopIfTrue="1">
      <formula>=AND(ISNUMBER($B$23),$B$23&gt;0)</formula>
    </cfRule>
  </conditionalFormatting>
  <dataValidations count="1">
    <dataValidation sqref="D6 D7 D8 D9 D10 D11 D12 D13 D14 D15 D16" showDropDown="0" showInputMessage="0" showErrorMessage="1" allowBlank="0" errorTitle="Choose Yes or No" error="Choose &quot;Yes&quot; or &quot;No&quot; from the list at the bottom of the sheet." type="list">
      <formula1>'Startup Investment'!$A$33:$A$34</formula1>
    </dataValidation>
  </dataValidations>
  <pageMargins left="0.39" right="0.39" top="0.55" bottom="0.55"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G54"/>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3" customWidth="1" min="5" max="5"/>
    <col width="13" customWidth="1" min="6" max="6"/>
    <col width="78" customWidth="1" min="7" max="7"/>
  </cols>
  <sheetData>
    <row r="1" ht="26" customHeight="1">
      <c r="A1" s="1" t="inlineStr">
        <is>
          <t>3-Year Profit and Loss</t>
        </is>
      </c>
    </row>
    <row r="2">
      <c r="A2" s="2" t="inlineStr">
        <is>
          <t>AI Chef Pro · aichef.pro — How to Open a Pastry Shop</t>
        </is>
      </c>
    </row>
    <row r="3" ht="28" customHeight="1">
      <c r="A3" s="5" t="inlineStr">
        <is>
          <t>YEAR 2 is the steady-state year: it's the one the guide and the business plan quote. Year 1 carries the ramp-up and year 3 grows on top of steady state. Owner's pay, depreciation and interest go INSIDE fixed costs.</t>
        </is>
      </c>
    </row>
    <row r="4"/>
    <row r="5" ht="32" customHeight="1">
      <c r="A5" s="7" t="inlineStr">
        <is>
          <t>Line</t>
        </is>
      </c>
      <c r="B5" s="7" t="inlineStr">
        <is>
          <t>Year 1 (ramp-up)</t>
        </is>
      </c>
      <c r="C5" s="7" t="inlineStr">
        <is>
          <t>Year 2 (steady state)</t>
        </is>
      </c>
      <c r="D5" s="7" t="inlineStr">
        <is>
          <t>Year 3</t>
        </is>
      </c>
      <c r="E5" s="7" t="inlineStr">
        <is>
          <t>Share of year-2 sales (%)</t>
        </is>
      </c>
      <c r="F5" s="7" t="inlineStr">
        <is>
          <t>VAT/GST rate (UK, Canada, Australia; 0% in the US)</t>
        </is>
      </c>
      <c r="G5" s="7" t="inlineStr">
        <is>
          <t>Notes</t>
        </is>
      </c>
    </row>
    <row r="6">
      <c r="A6" s="4" t="inlineStr">
        <is>
          <t>REVENUE</t>
        </is>
      </c>
      <c r="B6" s="11" t="inlineStr"/>
      <c r="C6" s="11" t="inlineStr"/>
      <c r="D6" s="11" t="inlineStr"/>
      <c r="E6" s="11" t="inlineStr"/>
      <c r="F6" s="11" t="inlineStr"/>
      <c r="G6" s="11" t="inlineStr"/>
    </row>
    <row r="7">
      <c r="A7" t="inlineStr">
        <is>
          <t>Tickets a day</t>
        </is>
      </c>
      <c r="B7" s="27">
        <f>IFERROR('0. Assumptions'!$B$6,"")</f>
        <v>183.0</v>
      </c>
      <c r="C7" s="27">
        <f>IFERROR('0. Assumptions'!$B$6,"")</f>
        <v>183.0</v>
      </c>
      <c r="D7" s="27">
        <f>IFERROR(C7*(1+'0. Assumptions'!$B$13),"")</f>
        <v>190.32</v>
      </c>
      <c r="G7" s="5" t="inlineStr">
        <is>
          <t>Years 1 and 2 share steady-state traffic; what sets year 1 apart is the ramp-up in the row below, not fewer customers a day by month 12.</t>
        </is>
      </c>
    </row>
    <row r="8">
      <c r="A8" t="inlineStr">
        <is>
          <t>Average ticket before sales tax ($)</t>
        </is>
      </c>
      <c r="B8" s="15">
        <f>IFERROR('0. Assumptions'!$B$10,"")</f>
        <v>5.868813709905911</v>
      </c>
      <c r="C8" s="15">
        <f>IFERROR('0. Assumptions'!$B$10,"")</f>
        <v>5.868813709905911</v>
      </c>
      <c r="D8" s="15">
        <f>IFERROR('0. Assumptions'!$B$10,"")</f>
        <v>5.868813709905911</v>
      </c>
      <c r="G8" s="5" t="inlineStr">
        <is>
          <t>Constant in year-1 dollars: a price increase is a separate decision, and you make it on the menu, not here.</t>
        </is>
      </c>
    </row>
    <row r="9">
      <c r="A9" t="inlineStr">
        <is>
          <t>Days open per year</t>
        </is>
      </c>
      <c r="B9" s="27">
        <f>IFERROR('0. Assumptions'!$B$11,"")</f>
        <v>300.0</v>
      </c>
      <c r="C9" s="27">
        <f>IFERROR('0. Assumptions'!$B$11,"")</f>
        <v>300.0</v>
      </c>
      <c r="D9" s="27">
        <f>IFERROR('0. Assumptions'!$B$11,"")</f>
        <v>300.0</v>
      </c>
    </row>
    <row r="10">
      <c r="A10" t="inlineStr">
        <is>
          <t>Activity vs. steady-state speed (%)</t>
        </is>
      </c>
      <c r="B10" s="16">
        <f>IFERROR('0. Assumptions'!$B$12,"")</f>
        <v>0.87639985</v>
      </c>
      <c r="C10" s="17" t="n">
        <v>1</v>
      </c>
      <c r="D10" s="17" t="n">
        <v>1</v>
      </c>
      <c r="G10" s="5" t="inlineStr">
        <is>
          <t>"0. Assumptions" calculates year 1 from the ramp-up and seasonality on the "12-Month Cash Flow" sheet. Years 2 and 3 are at 100% because year 2 is, by definition, steady state: if you think you'll take longer to get there, lower them.</t>
        </is>
      </c>
    </row>
    <row r="11">
      <c r="A11" s="23" t="inlineStr">
        <is>
          <t>TOTAL REVENUE (before sales tax)</t>
        </is>
      </c>
      <c r="B11" s="24">
        <f>IFERROR(IF(B7*B8*B9*B10=0,"",B7*B8*B9*B10),"")</f>
        <v>282374.1672816677</v>
      </c>
      <c r="C11" s="24">
        <f>IFERROR(IF(C7*C8*C9*C10=0,"",C7*C8*C9*C10),"")</f>
        <v>322197.87267383456</v>
      </c>
      <c r="D11" s="24">
        <f>IFERROR(IF(D7*D8*D9*D10=0,"",D7*D8*D9*D10),"")</f>
        <v>335085.7875807879</v>
      </c>
      <c r="E11" s="25">
        <f>IFERROR(C11/$C$11,"")</f>
        <v>1.0</v>
      </c>
      <c r="F11" s="23" t="n"/>
      <c r="G11" s="23" t="n"/>
    </row>
    <row r="12">
      <c r="A12" t="inlineStr">
        <is>
          <t>Pastry, viennoiserie and cake sales</t>
        </is>
      </c>
      <c r="B12" s="15">
        <f>IFERROR(IF(B11="","",B11*(1-'0. Assumptions'!$B$19)),"")</f>
        <v>225539.02438788276</v>
      </c>
      <c r="C12" s="15">
        <f>IFERROR(IF(C11="","",C11*(1-'0. Assumptions'!$B$19)),"")</f>
        <v>257347.17365353584</v>
      </c>
      <c r="D12" s="15">
        <f>IFERROR(IF(D11="","",D11*(1-'0. Assumptions'!$B$19)),"")</f>
        <v>267641.0605996772</v>
      </c>
      <c r="E12" s="16">
        <f>IFERROR(C12/$C$11,"")</f>
        <v>0.798724</v>
      </c>
      <c r="F12" s="16">
        <f>IFERROR('0. Assumptions'!$B$15,"")</f>
        <v>0.0</v>
      </c>
    </row>
    <row r="13">
      <c r="A13" t="inlineStr">
        <is>
          <t>Bread sales</t>
        </is>
      </c>
      <c r="B13" s="15">
        <f>IFERROR(IF(B11="","",B11*'0. Assumptions'!$B$19),"")</f>
        <v>56835.14289378495</v>
      </c>
      <c r="C13" s="15">
        <f>IFERROR(IF(C11="","",C11*'0. Assumptions'!$B$19),"")</f>
        <v>64850.69902029873</v>
      </c>
      <c r="D13" s="15">
        <f>IFERROR(IF(D11="","",D11*'0. Assumptions'!$B$19),"")</f>
        <v>67444.72698111067</v>
      </c>
      <c r="E13" s="16">
        <f>IFERROR(C13/$C$11,"")</f>
        <v>0.201276</v>
      </c>
      <c r="F13" s="16">
        <f>IFERROR('0. Assumptions'!$B$16,"")</f>
        <v>0.0</v>
      </c>
      <c r="G13" s="5" t="inlineStr">
        <is>
          <t>Two lines so you can see bread's weight in your sales. Where bread and pastries carry different VAT/GST rates (outside the US), the split is also what makes cash and the tax return reconcile.</t>
        </is>
      </c>
    </row>
    <row r="14">
      <c r="A14" s="4" t="inlineStr">
        <is>
          <t>VARIABLE COSTS</t>
        </is>
      </c>
      <c r="B14" s="11" t="inlineStr"/>
      <c r="C14" s="11" t="inlineStr"/>
      <c r="D14" s="11" t="inlineStr"/>
      <c r="E14" s="11" t="inlineStr"/>
      <c r="F14" s="11" t="inlineStr"/>
      <c r="G14" s="11" t="inlineStr"/>
    </row>
    <row r="15">
      <c r="A15" t="inlineStr">
        <is>
          <t>Cost of sales (ingredients, packaging and waste)</t>
        </is>
      </c>
      <c r="B15" s="15">
        <f>IFERROR(IF(B11="","",B11*'0. Assumptions'!$B$22),"")</f>
        <v>90359.73353013367</v>
      </c>
      <c r="C15" s="15">
        <f>IFERROR(IF(C11="","",C11*'0. Assumptions'!$B$22),"")</f>
        <v>103103.31925562707</v>
      </c>
      <c r="D15" s="15">
        <f>IFERROR(IF(D11="","",D11*'0. Assumptions'!$B$22),"")</f>
        <v>107227.45202585214</v>
      </c>
      <c r="E15" s="16">
        <f>IFERROR(C15/$C$11,"")</f>
        <v>0.32</v>
      </c>
      <c r="F15" s="16">
        <f>IFERROR('0. Assumptions'!$B$18,"")</f>
        <v>0.0</v>
      </c>
      <c r="G15" s="5" t="inlineStr">
        <is>
          <t>At the SINGLE RULE of 32%, not at the menu's recipe-costing food cost: the rule includes third-party products the counter resells, real waste, packaging and ingredient price increases. It's the conservative assumption, and the gap with your recipe costing is your cushion.</t>
        </is>
      </c>
    </row>
    <row r="16">
      <c r="A16" s="23" t="inlineStr">
        <is>
          <t>TOTAL VARIABLE COSTS</t>
        </is>
      </c>
      <c r="B16" s="24">
        <f>IFERROR(IF(B11="","",SUM(B15:B15)),"")</f>
        <v>90359.73353013367</v>
      </c>
      <c r="C16" s="24">
        <f>IFERROR(IF(C11="","",SUM(C15:C15)),"")</f>
        <v>103103.31925562707</v>
      </c>
      <c r="D16" s="24">
        <f>IFERROR(IF(D11="","",SUM(D15:D15)),"")</f>
        <v>107227.45202585214</v>
      </c>
      <c r="E16" s="25">
        <f>IFERROR(C16/$C$11,"")</f>
        <v>0.32</v>
      </c>
      <c r="F16" s="23" t="n"/>
      <c r="G16" s="23" t="n"/>
    </row>
    <row r="17">
      <c r="A17" s="23" t="inlineStr">
        <is>
          <t>GROSS MARGIN</t>
        </is>
      </c>
      <c r="B17" s="24">
        <f>IFERROR(IF(B11="","",B11-B16),"")</f>
        <v>192014.43375153403</v>
      </c>
      <c r="C17" s="24">
        <f>IFERROR(IF(C11="","",C11-C16),"")</f>
        <v>219094.5534182075</v>
      </c>
      <c r="D17" s="24">
        <f>IFERROR(IF(D11="","",D11-D16),"")</f>
        <v>227858.33555493577</v>
      </c>
      <c r="E17" s="25">
        <f>IFERROR(C17/$C$11,"")</f>
        <v>0.68</v>
      </c>
      <c r="F17" s="23" t="n"/>
      <c r="G17" s="23" t="n"/>
    </row>
    <row r="18">
      <c r="A18" s="4" t="inlineStr">
        <is>
          <t>FIXED COSTS</t>
        </is>
      </c>
      <c r="B18" s="11" t="inlineStr"/>
      <c r="C18" s="11" t="inlineStr"/>
      <c r="D18" s="11" t="inlineStr"/>
      <c r="E18" s="11" t="inlineStr"/>
      <c r="F18" s="11" t="inlineStr"/>
      <c r="G18" s="11" t="inlineStr"/>
    </row>
    <row r="19">
      <c r="A19" t="inlineStr">
        <is>
          <t>Staff (wages plus payroll taxes, workers' comp and benefits)</t>
        </is>
      </c>
      <c r="B19" s="15">
        <f>IFERROR(IF(B11="","",'Staff'!$I$11),"")</f>
        <v>92776.0785</v>
      </c>
      <c r="C19" s="15">
        <f>IFERROR(IF(C11="","",'Staff'!$I$11),"")</f>
        <v>92776.0785</v>
      </c>
      <c r="D19" s="15">
        <f>IFERROR(IF(D11="","",'Staff'!$I$11),"")</f>
        <v>92776.0785</v>
      </c>
      <c r="E19" s="16">
        <f>IFERROR(C19/$C$11,"")</f>
        <v>0.287947520354731</v>
      </c>
      <c r="F19" s="16" t="n">
        <v>0</v>
      </c>
      <c r="G19" s="5" t="inlineStr">
        <is>
          <t>It comes from the "Staff" sheet: it's the SAME number, not a separate estimate. Payroll carries no sales tax or VAT/GST. If you hire someone in year 2 or 3, add them there and you'll see it here.</t>
        </is>
      </c>
    </row>
    <row r="20">
      <c r="A20" t="inlineStr">
        <is>
          <t>Owner's pay (before your own self-employment and income tax)</t>
        </is>
      </c>
      <c r="B20" s="15">
        <f>IFERROR(IF(B11="","",'0. Assumptions'!$B$33*12),"")</f>
        <v>28800.0</v>
      </c>
      <c r="C20" s="15">
        <f>IFERROR(IF(C11="","",B20*(1+'0. Assumptions'!$B$34)),"")</f>
        <v>28800.0</v>
      </c>
      <c r="D20" s="15">
        <f>IFERROR(IF(D11="","",C20*(1+'0. Assumptions'!$B$34)),"")</f>
        <v>28800.0</v>
      </c>
      <c r="E20" s="16">
        <f>IFERROR(C20/$C$11,"")</f>
        <v>0.08938606503201418</v>
      </c>
      <c r="F20" s="16" t="n">
        <v>0</v>
      </c>
      <c r="G20" s="5" t="inlineStr">
        <is>
          <t>A line of its own, and not part of the five-person team. A business that's only profitable because its owner doesn't get paid isn't profitable.</t>
        </is>
      </c>
    </row>
    <row r="21">
      <c r="A21" t="inlineStr">
        <is>
          <t>Rent</t>
        </is>
      </c>
      <c r="B21" s="15">
        <f>IFERROR(IF(B11="","",'0. Assumptions'!$B$30*12),"")</f>
        <v>14400.0</v>
      </c>
      <c r="C21" s="15">
        <f>IFERROR(IF(C11="","",B21*(1+'0. Assumptions'!$B$34)),"")</f>
        <v>14400.0</v>
      </c>
      <c r="D21" s="15">
        <f>IFERROR(IF(D11="","",C21*(1+'0. Assumptions'!$B$34)),"")</f>
        <v>14400.0</v>
      </c>
      <c r="E21" s="16">
        <f>IFERROR(C21/$C$11,"")</f>
        <v>0.04469303251600709</v>
      </c>
      <c r="F21" s="16">
        <f>IFERROR('0. Assumptions'!$B$17,"")</f>
        <v>0.0</v>
      </c>
      <c r="G21" s="5" t="inlineStr">
        <is>
          <t>The monthly amount is in "0. Assumptions"; here it's multiplied by twelve. If your lease is triple net (NNN), add the property taxes, insurance and CAM charges.</t>
        </is>
      </c>
    </row>
    <row r="22">
      <c r="A22" t="inlineStr">
        <is>
          <t>Utilities (electricity, gas and water)</t>
        </is>
      </c>
      <c r="B22" s="15">
        <f>IFERROR(IF(B11="","",'0. Assumptions'!$B$32*12),"")</f>
        <v>17400.0</v>
      </c>
      <c r="C22" s="15">
        <f>IFERROR(IF(C11="","",B22*(1+'0. Assumptions'!$B$34)),"")</f>
        <v>17400.0</v>
      </c>
      <c r="D22" s="15">
        <f>IFERROR(IF(D11="","",C22*(1+'0. Assumptions'!$B$34)),"")</f>
        <v>17400.0</v>
      </c>
      <c r="E22" s="16">
        <f>IFERROR(C22/$C$11,"")</f>
        <v>0.0540040809568419</v>
      </c>
      <c r="F22" s="16">
        <f>IFERROR('0. Assumptions'!$B$17,"")</f>
        <v>0.0</v>
      </c>
      <c r="G22" s="5" t="inlineStr">
        <is>
          <t>Assumption. Ask the utilities for an estimate based on your connected load. Outside the US, the workbook applies the VAT/GST rate in the next column to the whole line; in the US it stays at 0%.</t>
        </is>
      </c>
    </row>
    <row r="23">
      <c r="A23" t="inlineStr">
        <is>
          <t>Insurance (general liability and property)</t>
        </is>
      </c>
      <c r="B23" s="14" t="n">
        <v>1440</v>
      </c>
      <c r="C23" s="15">
        <f>IFERROR(IF(C11="","",B23*(1+'0. Assumptions'!$B$34)),"")</f>
        <v>1440.0</v>
      </c>
      <c r="D23" s="15">
        <f>IFERROR(IF(D11="","",C23*(1+'0. Assumptions'!$B$34)),"")</f>
        <v>1440.0</v>
      </c>
      <c r="E23" s="16">
        <f>IFERROR(C23/$C$11,"")</f>
        <v>0.004469303251600709</v>
      </c>
      <c r="F23" s="17" t="n">
        <v>0</v>
      </c>
      <c r="G23" s="5" t="inlineStr">
        <is>
          <t>Assumption. Ask your insurance agent what your landlord and lender require.</t>
        </is>
      </c>
    </row>
    <row r="24">
      <c r="A24" t="inlineStr">
        <is>
          <t>Accounting and bookkeeping</t>
        </is>
      </c>
      <c r="B24" s="14" t="n">
        <v>2640</v>
      </c>
      <c r="C24" s="15">
        <f>IFERROR(IF(C11="","",B24*(1+'0. Assumptions'!$B$34)),"")</f>
        <v>2640.0</v>
      </c>
      <c r="D24" s="15">
        <f>IFERROR(IF(D11="","",C24*(1+'0. Assumptions'!$B$34)),"")</f>
        <v>2640.0</v>
      </c>
      <c r="E24" s="16">
        <f>IFERROR(C24/$C$11,"")</f>
        <v>0.008193722627934634</v>
      </c>
      <c r="F24" s="17" t="n">
        <v>0</v>
      </c>
      <c r="G24" s="5" t="inlineStr">
        <is>
          <t>Assumption.</t>
        </is>
      </c>
    </row>
    <row r="25">
      <c r="A25" t="inlineStr">
        <is>
          <t>Software, POS and payment processing</t>
        </is>
      </c>
      <c r="B25" s="14" t="n">
        <v>720</v>
      </c>
      <c r="C25" s="15">
        <f>IFERROR(IF(C11="","",B25*(1+'0. Assumptions'!$B$34)),"")</f>
        <v>720.0</v>
      </c>
      <c r="D25" s="15">
        <f>IFERROR(IF(D11="","",C25*(1+'0. Assumptions'!$B$34)),"")</f>
        <v>720.0</v>
      </c>
      <c r="E25" s="16">
        <f>IFERROR(C25/$C$11,"")</f>
        <v>0.0022346516258003545</v>
      </c>
      <c r="F25" s="17" t="n">
        <v>0</v>
      </c>
      <c r="G25" s="5" t="inlineStr">
        <is>
          <t>Assumption. Your POS has to tag to-go and for-here sales separately from day one (chapter 19 of the guide).</t>
        </is>
      </c>
    </row>
    <row r="26">
      <c r="A26" t="inlineStr">
        <is>
          <t>Phone and internet</t>
        </is>
      </c>
      <c r="B26" s="14" t="n">
        <v>660</v>
      </c>
      <c r="C26" s="15">
        <f>IFERROR(IF(C11="","",B26*(1+'0. Assumptions'!$B$34)),"")</f>
        <v>660.0</v>
      </c>
      <c r="D26" s="15">
        <f>IFERROR(IF(D11="","",C26*(1+'0. Assumptions'!$B$34)),"")</f>
        <v>660.0</v>
      </c>
      <c r="E26" s="16">
        <f>IFERROR(C26/$C$11,"")</f>
        <v>0.0020484306569836584</v>
      </c>
      <c r="F26" s="17" t="n">
        <v>0</v>
      </c>
      <c r="G26" s="5" t="inlineStr">
        <is>
          <t>Assumption.</t>
        </is>
      </c>
    </row>
    <row r="27">
      <c r="A27" t="inlineStr">
        <is>
          <t>Cleaning and supplies</t>
        </is>
      </c>
      <c r="B27" s="14" t="n">
        <v>2160</v>
      </c>
      <c r="C27" s="15">
        <f>IFERROR(IF(C11="","",B27*(1+'0. Assumptions'!$B$34)),"")</f>
        <v>2160.0</v>
      </c>
      <c r="D27" s="15">
        <f>IFERROR(IF(D11="","",C27*(1+'0. Assumptions'!$B$34)),"")</f>
        <v>2160.0</v>
      </c>
      <c r="E27" s="16">
        <f>IFERROR(C27/$C$11,"")</f>
        <v>0.006703954877401063</v>
      </c>
      <c r="F27" s="17" t="n">
        <v>0</v>
      </c>
      <c r="G27" s="5" t="inlineStr">
        <is>
          <t>Assumption.</t>
        </is>
      </c>
    </row>
    <row r="28">
      <c r="A28" t="inlineStr">
        <is>
          <t>Equipment maintenance</t>
        </is>
      </c>
      <c r="B28" s="14" t="n">
        <v>1800</v>
      </c>
      <c r="C28" s="15">
        <f>IFERROR(IF(C11="","",B28*(1+'0. Assumptions'!$B$34)),"")</f>
        <v>1800.0</v>
      </c>
      <c r="D28" s="15">
        <f>IFERROR(IF(D11="","",C28*(1+'0. Assumptions'!$B$34)),"")</f>
        <v>1800.0</v>
      </c>
      <c r="E28" s="16">
        <f>IFERROR(C28/$C$11,"")</f>
        <v>0.0055866290645008865</v>
      </c>
      <c r="F28" s="17" t="n">
        <v>0</v>
      </c>
      <c r="G28" s="5" t="inlineStr">
        <is>
          <t>Assumption.</t>
        </is>
      </c>
    </row>
    <row r="29">
      <c r="A29" t="inlineStr">
        <is>
          <t>Advertising and social media</t>
        </is>
      </c>
      <c r="B29" s="14" t="n">
        <v>2400</v>
      </c>
      <c r="C29" s="15">
        <f>IFERROR(IF(C11="","",B29*(1+'0. Assumptions'!$B$34)),"")</f>
        <v>2400.0</v>
      </c>
      <c r="D29" s="15">
        <f>IFERROR(IF(D11="","",C29*(1+'0. Assumptions'!$B$34)),"")</f>
        <v>2400.0</v>
      </c>
      <c r="E29" s="16">
        <f>IFERROR(C29/$C$11,"")</f>
        <v>0.007448838752667848</v>
      </c>
      <c r="F29" s="17" t="n">
        <v>0</v>
      </c>
      <c r="G29" s="5" t="inlineStr">
        <is>
          <t>Assumption.</t>
        </is>
      </c>
    </row>
    <row r="30">
      <c r="A30" t="inlineStr">
        <is>
          <t>Other overhead</t>
        </is>
      </c>
      <c r="B30" s="14" t="n">
        <v>1800</v>
      </c>
      <c r="C30" s="15">
        <f>IFERROR(IF(C11="","",B30*(1+'0. Assumptions'!$B$34)),"")</f>
        <v>1800.0</v>
      </c>
      <c r="D30" s="15">
        <f>IFERROR(IF(D11="","",C30*(1+'0. Assumptions'!$B$34)),"")</f>
        <v>1800.0</v>
      </c>
      <c r="E30" s="16">
        <f>IFERROR(C30/$C$11,"")</f>
        <v>0.0055866290645008865</v>
      </c>
      <c r="F30" s="17" t="n">
        <v>0</v>
      </c>
      <c r="G30" s="5" t="inlineStr">
        <is>
          <t>Assumption.</t>
        </is>
      </c>
    </row>
    <row r="31">
      <c r="A31" t="inlineStr">
        <is>
          <t>Depreciation</t>
        </is>
      </c>
      <c r="B31" s="15">
        <f>IFERROR(IF(B11="","",'Startup Investment'!$B$27),"")</f>
        <v>16090.034</v>
      </c>
      <c r="C31" s="15">
        <f>IFERROR(IF(C11="","",'Startup Investment'!$B$27),"")</f>
        <v>16090.034</v>
      </c>
      <c r="D31" s="15">
        <f>IFERROR(IF(D11="","",'Startup Investment'!$B$27),"")</f>
        <v>16090.034</v>
      </c>
      <c r="E31" s="16">
        <f>IFERROR(C31/$C$11,"")</f>
        <v>0.04993836199622636</v>
      </c>
      <c r="F31" s="16" t="n">
        <v>0</v>
      </c>
      <c r="G31" s="5" t="inlineStr">
        <is>
          <t>It comes from the depreciation base on the "Startup Investment" sheet. It doesn't rise with inflation: it's an accounting spread of an investment already made.</t>
        </is>
      </c>
    </row>
    <row r="32">
      <c r="A32" t="inlineStr">
        <is>
          <t>Loan interest</t>
        </is>
      </c>
      <c r="B32" s="15">
        <f>IFERROR(IF(B11="","",'Financing'!$B$116),"")</f>
        <v>3671.104818691272</v>
      </c>
      <c r="C32" s="15">
        <f>IFERROR(IF(C11="","",'Financing'!$B$117),"")</f>
        <v>3259.672960793088</v>
      </c>
      <c r="D32" s="15">
        <f>IFERROR(IF(D11="","",'Financing'!$B$118),"")</f>
        <v>2750.659844445625</v>
      </c>
      <c r="E32" s="16">
        <f>IFERROR(C32/$C$11,"")</f>
        <v>0.010116990946407957</v>
      </c>
      <c r="F32" s="16" t="n">
        <v>0</v>
      </c>
      <c r="G32" s="5" t="inlineStr">
        <is>
          <t>Only the INTEREST is an expense. The principal repaid leaves your cash but not your profit: it's on the "12-Month Cash Flow" sheet.</t>
        </is>
      </c>
    </row>
    <row r="33">
      <c r="A33" s="23" t="inlineStr">
        <is>
          <t>TOTAL FIXED COSTS</t>
        </is>
      </c>
      <c r="B33" s="24">
        <f>IFERROR(IF(B11="","",SUM(B19:B32)),"")</f>
        <v>186757.21731869128</v>
      </c>
      <c r="C33" s="24">
        <f>IFERROR(IF(C11="","",SUM(C19:C32)),"")</f>
        <v>186345.7854607931</v>
      </c>
      <c r="D33" s="24">
        <f>IFERROR(IF(D11="","",SUM(D19:D32)),"")</f>
        <v>185836.77234444564</v>
      </c>
      <c r="E33" s="25">
        <f>IFERROR(C33/$C$11,"")</f>
        <v>0.5783582117236186</v>
      </c>
      <c r="F33" s="23" t="n"/>
      <c r="G33" s="23" t="n"/>
    </row>
    <row r="34">
      <c r="A34" t="inlineStr">
        <is>
          <t>Input VAT/GST on variable costs (UK, Canada, Australia; $0 in the US)</t>
        </is>
      </c>
      <c r="B34" s="15">
        <f>IFERROR(IF(B11="","",B15*$F$15),"")</f>
        <v>0.0</v>
      </c>
      <c r="C34" s="15">
        <f>IFERROR(IF(C11="","",C15*$F$15),"")</f>
        <v>0.0</v>
      </c>
      <c r="D34" s="15">
        <f>IFERROR(IF(D11="","",D15*$F$15),"")</f>
        <v>0.0</v>
      </c>
    </row>
    <row r="35">
      <c r="A35" t="inlineStr">
        <is>
          <t>Input VAT/GST on fixed costs (UK, Canada, Australia; $0 in the US)</t>
        </is>
      </c>
      <c r="B35" s="15">
        <f>IFERROR(IF(B11="","",SUMPRODUCT(B19:B32,$F$19:$F$32)),"")</f>
        <v>0.0</v>
      </c>
      <c r="C35" s="15">
        <f>IFERROR(IF(C11="","",SUMPRODUCT(C19:C32,$F$19:$F$32)),"")</f>
        <v>0.0</v>
      </c>
      <c r="D35" s="15">
        <f>IFERROR(IF(D11="","",SUMPRODUCT(D19:D32,$F$19:$F$32)),"")</f>
        <v>0.0</v>
      </c>
      <c r="G35" s="5" t="inlineStr">
        <is>
          <t>Each line at ITS rate, read from the column next to it. It's what the "12-Month Cash Flow" sheet pays suppliers on top and then recovers on the VAT/GST return. $0 in the US.</t>
        </is>
      </c>
    </row>
    <row r="36">
      <c r="A36" s="23" t="inlineStr">
        <is>
          <t>PRE-TAX PROFIT</t>
        </is>
      </c>
      <c r="B36" s="24">
        <f>IFERROR(IF(B11="","",B17-B33),"")</f>
        <v>5257.216432842746</v>
      </c>
      <c r="C36" s="24">
        <f>IFERROR(IF(C11="","",C17-C33),"")</f>
        <v>32748.767957414413</v>
      </c>
      <c r="D36" s="24">
        <f>IFERROR(IF(D11="","",D17-D33),"")</f>
        <v>42021.56321049013</v>
      </c>
      <c r="E36" s="25">
        <f>IFERROR(C36/$C$11,"")</f>
        <v>0.10164178827638148</v>
      </c>
      <c r="F36" s="23" t="n"/>
      <c r="G36" s="23" t="n"/>
    </row>
    <row r="37">
      <c r="A37" t="inlineStr">
        <is>
          <t>Net operating losses at the start of the year</t>
        </is>
      </c>
      <c r="B37" s="15">
        <f>IFERROR(IF(B11="","",'0. Assumptions'!$B$45),"")</f>
        <v>0.0</v>
      </c>
      <c r="C37" s="15">
        <f>IFERROR(IF(C11="","",B42),"")</f>
        <v>0.0</v>
      </c>
      <c r="D37" s="15">
        <f>IFERROR(IF(D11="","",C42),"")</f>
        <v>0.0</v>
      </c>
      <c r="G37" s="5" t="inlineStr">
        <is>
          <t>A loss in one year can be carried forward against later profits (a net operating loss); how much and for how long depends on your business structure: ask your CPA.</t>
        </is>
      </c>
    </row>
    <row r="38">
      <c r="A38" t="inlineStr">
        <is>
          <t>Taxable income (after losses)</t>
        </is>
      </c>
      <c r="B38" s="15">
        <f>IFERROR(IF(B11="","",MAX(0,B36-B37)),"")</f>
        <v>5257.216432842746</v>
      </c>
      <c r="C38" s="15">
        <f>IFERROR(IF(C11="","",MAX(0,C36-C37)),"")</f>
        <v>32748.767957414413</v>
      </c>
      <c r="D38" s="15">
        <f>IFERROR(IF(D11="","",MAX(0,D36-D37)),"")</f>
        <v>42021.56321049013</v>
      </c>
    </row>
    <row r="39">
      <c r="A39" t="inlineStr">
        <is>
          <t>Years with a profit (running count)</t>
        </is>
      </c>
      <c r="B39" s="27">
        <f>IFERROR(IF(B11="","",IF(B38&gt;0,1,0)),"")</f>
        <v>1.0</v>
      </c>
      <c r="C39" s="27">
        <f>IFERROR(IF(C11="","",B39+IF(C38&gt;0,1,0)),"")</f>
        <v>2.0</v>
      </c>
      <c r="D39" s="27">
        <f>IFERROR(IF(D11="","",C39+IF(D38&gt;0,1,0)),"")</f>
        <v>3.0</v>
      </c>
    </row>
    <row r="40">
      <c r="A40" t="inlineStr">
        <is>
          <t>Income tax rate (illustrative)</t>
        </is>
      </c>
      <c r="B40" s="16">
        <f>IFERROR(IF(B11="","",IF(B38&lt;=0,"",IF(B39&lt;=2,'0. Assumptions'!$B$43,'0. Assumptions'!$B$44))),"")</f>
        <v>0.15</v>
      </c>
      <c r="C40" s="16">
        <f>IFERROR(IF(C11="","",IF(C38&lt;=0,"",IF(C39&lt;=2,'0. Assumptions'!$B$43,'0. Assumptions'!$B$44))),"")</f>
        <v>0.15</v>
      </c>
      <c r="D40" s="16">
        <f>IFERROR(IF(D11="","",IF(D38&lt;=0,"",IF(D39&lt;=2,'0. Assumptions'!$B$43,'0. Assumptions'!$B$44))),"")</f>
        <v>0.25</v>
      </c>
      <c r="G40" s="5" t="inlineStr">
        <is>
          <t>Illustrative: 15% for the first two years with a profit, 25% after. By default a single-member LLC is reported on its owner's return and a multi-member LLC is classified as a partnership (IRS): ask your CPA.</t>
        </is>
      </c>
    </row>
    <row r="41">
      <c r="A41" t="inlineStr">
        <is>
          <t>Income tax (the workbook's illustrative rate)</t>
        </is>
      </c>
      <c r="B41" s="15">
        <f>IFERROR(IF(B11="","",IF(B40="",0,B38*B40)),"")</f>
        <v>788.582464926412</v>
      </c>
      <c r="C41" s="15">
        <f>IFERROR(IF(C11="","",IF(C40="",0,C38*C40)),"")</f>
        <v>4912.315193612162</v>
      </c>
      <c r="D41" s="15">
        <f>IFERROR(IF(D11="","",IF(D40="",0,D38*D40)),"")</f>
        <v>10505.390802622533</v>
      </c>
    </row>
    <row r="42">
      <c r="A42" t="inlineStr">
        <is>
          <t>Net operating losses at year end</t>
        </is>
      </c>
      <c r="B42" s="15">
        <f>IFERROR(IF(B11="","",MAX(0,B37-B36)),"")</f>
        <v>0.0</v>
      </c>
      <c r="C42" s="15">
        <f>IFERROR(IF(C11="","",MAX(0,C37-C36)),"")</f>
        <v>0.0</v>
      </c>
      <c r="D42" s="15">
        <f>IFERROR(IF(D11="","",MAX(0,D37-D36)),"")</f>
        <v>0.0</v>
      </c>
    </row>
    <row r="43">
      <c r="A43" s="23" t="inlineStr">
        <is>
          <t>NET PROFIT</t>
        </is>
      </c>
      <c r="B43" s="24">
        <f>IFERROR(IF(B11="","",B36-B41),"")</f>
        <v>4468.633967916334</v>
      </c>
      <c r="C43" s="24">
        <f>IFERROR(IF(C11="","",C36-C41),"")</f>
        <v>27836.452763802252</v>
      </c>
      <c r="D43" s="24">
        <f>IFERROR(IF(D11="","",D36-D41),"")</f>
        <v>31516.172407867598</v>
      </c>
      <c r="E43" s="25">
        <f>IFERROR(C43/$C$11,"")</f>
        <v>0.08639552003492426</v>
      </c>
      <c r="F43" s="23" t="n"/>
      <c r="G43" s="23" t="n"/>
    </row>
    <row r="44">
      <c r="A44" s="4" t="inlineStr">
        <is>
          <t>KEY RATIOS</t>
        </is>
      </c>
      <c r="B44" s="11" t="inlineStr"/>
      <c r="C44" s="11" t="inlineStr"/>
      <c r="D44" s="11" t="inlineStr"/>
      <c r="E44" s="11" t="inlineStr"/>
      <c r="F44" s="11" t="inlineStr"/>
      <c r="G44" s="11" t="inlineStr"/>
    </row>
    <row r="45" ht="22" customHeight="1">
      <c r="A45" s="7" t="inlineStr">
        <is>
          <t>Ratio</t>
        </is>
      </c>
      <c r="B45" s="7" t="inlineStr">
        <is>
          <t>Year 1</t>
        </is>
      </c>
      <c r="C45" s="7" t="inlineStr">
        <is>
          <t>Year 2</t>
        </is>
      </c>
      <c r="D45" s="7" t="inlineStr">
        <is>
          <t>Year 3</t>
        </is>
      </c>
      <c r="E45" s="7" t="inlineStr">
        <is>
          <t>Threshold</t>
        </is>
      </c>
      <c r="F45" s="7" t="inlineStr"/>
      <c r="G45" s="7" t="inlineStr">
        <is>
          <t>Comment</t>
        </is>
      </c>
    </row>
    <row r="46">
      <c r="A46" t="inlineStr">
        <is>
          <t>Gross margin / sales</t>
        </is>
      </c>
      <c r="B46" s="16">
        <f>IFERROR(IF(B11="","",B17/B11),"")</f>
        <v>0.6799999999999999</v>
      </c>
      <c r="C46" s="16">
        <f>IFERROR(IF(C11="","",C17/C11),"")</f>
        <v>0.68</v>
      </c>
      <c r="D46" s="16">
        <f>IFERROR(IF(D11="","",D17/D11),"")</f>
        <v>0.6799999999999999</v>
      </c>
      <c r="E46" s="16">
        <f>IFERROR('0. Assumptions'!$B$23,"")</f>
        <v>0.6799999999999999</v>
      </c>
      <c r="G46" s="5" t="inlineStr">
        <is>
          <t>The floor is the workbook's own single margin rule. Below it, either prices go up or ingredient costs come down.</t>
        </is>
      </c>
    </row>
    <row r="47">
      <c r="A47" t="inlineStr">
        <is>
          <t>Cost of sales / sales</t>
        </is>
      </c>
      <c r="B47" s="16">
        <f>IFERROR(IF(B11="","",B15/B11),"")</f>
        <v>0.32</v>
      </c>
      <c r="C47" s="16">
        <f>IFERROR(IF(C11="","",C15/C11),"")</f>
        <v>0.32</v>
      </c>
      <c r="D47" s="16">
        <f>IFERROR(IF(D11="","",D15/D11),"")</f>
        <v>0.32</v>
      </c>
      <c r="E47" s="16">
        <f>IFERROR('0. Assumptions'!$B$22,"")</f>
        <v>0.32</v>
      </c>
      <c r="G47" s="5" t="inlineStr">
        <is>
          <t>It's the projected food cost. When you measure yours with the recipe costing, change it in "0. Assumptions" and watch what happens to this table.</t>
        </is>
      </c>
    </row>
    <row r="48">
      <c r="A48" t="inlineStr">
        <is>
          <t>Staff cost / sales</t>
        </is>
      </c>
      <c r="B48" s="16">
        <f>IFERROR(IF(B11="","",B19/B11),"")</f>
        <v>0.32855724513728635</v>
      </c>
      <c r="C48" s="16">
        <f>IFERROR(IF(C11="","",C19/C11),"")</f>
        <v>0.287947520354731</v>
      </c>
      <c r="D48" s="16">
        <f>IFERROR(IF(D11="","",D19/D11),"")</f>
        <v>0.27687261572570293</v>
      </c>
      <c r="E48" s="16">
        <f>IFERROR('0. Assumptions'!$B$63,"")</f>
        <v>0.35</v>
      </c>
      <c r="G48" s="5" t="inlineStr">
        <is>
          <t>In a production kitchen with a counter, staff is the biggest line. Above the ceiling, either you raise prices or you resize the shifts.</t>
        </is>
      </c>
    </row>
    <row r="49">
      <c r="A49" t="inlineStr">
        <is>
          <t>Rent / sales</t>
        </is>
      </c>
      <c r="B49" s="16">
        <f>IFERROR(IF(B11="","",B21/B11),"")</f>
        <v>0.05099616632294847</v>
      </c>
      <c r="C49" s="16">
        <f>IFERROR(IF(C11="","",C21/C11),"")</f>
        <v>0.04469303251600709</v>
      </c>
      <c r="D49" s="16">
        <f>IFERROR(IF(D11="","",D21/D11),"")</f>
        <v>0.0429740697269299</v>
      </c>
      <c r="E49" s="16">
        <f>IFERROR('0. Assumptions'!$B$64,"")</f>
        <v>0.1</v>
      </c>
      <c r="G49" s="5" t="inlineStr">
        <is>
          <t>Rent above the ceiling eats the margin on everything else, and you can't renegotiate it once it's signed.</t>
        </is>
      </c>
    </row>
    <row r="50">
      <c r="A50" t="inlineStr">
        <is>
          <t>Net profit / sales</t>
        </is>
      </c>
      <c r="B50" s="16">
        <f>IFERROR(IF(B11="","",B43/B11),"")</f>
        <v>0.015825222296127674</v>
      </c>
      <c r="C50" s="16">
        <f>IFERROR(IF(C11="","",C43/C11),"")</f>
        <v>0.08639552003492426</v>
      </c>
      <c r="D50" s="16">
        <f>IFERROR(IF(D11="","",D43/D11),"")</f>
        <v>0.09405404101261433</v>
      </c>
      <c r="E50" s="16">
        <f>IFERROR('0. Assumptions'!$B$61,"")</f>
        <v>0.08</v>
      </c>
      <c r="G50" s="5" t="inlineStr">
        <is>
          <t>The floor is the low end of the reference band a fourth-generation pastry chef states about his own business (8-12%).</t>
        </is>
      </c>
    </row>
    <row r="51">
      <c r="A51" t="inlineStr">
        <is>
          <t>Net margin inside the reference band (8-12%)</t>
        </is>
      </c>
      <c r="B51" t="str">
        <f>IFERROR(IF(B50="","",IF(AND(B50&gt;='0. Assumptions'!$B$61,B50&lt;='0. Assumptions'!$B$62),"Yes","No: check it")),"")</f>
        <v>No: check it</v>
      </c>
      <c r="C51" t="str">
        <f>IFERROR(IF(C50="","",IF(AND(C50&gt;='0. Assumptions'!$B$61,C50&lt;='0. Assumptions'!$B$62),"Yes","No: check it")),"")</f>
        <v>Yes</v>
      </c>
      <c r="D51" t="str">
        <f>IFERROR(IF(D50="","",IF(AND(D50&gt;='0. Assumptions'!$B$61,D50&lt;='0. Assumptions'!$B$62),"Yes","No: check it")),"")</f>
        <v>Yes</v>
      </c>
      <c r="G51" s="5" t="inlineStr">
        <is>
          <t>If it comes out ABOVE 12%, distrust it before you show it: there's almost always a cost missing. If it comes out below 8%, the business isn't necessarily badly planned, but it has little room to fall.</t>
        </is>
      </c>
    </row>
    <row r="52">
      <c r="A52" t="inlineStr">
        <is>
          <t>Break-even reached</t>
        </is>
      </c>
      <c r="B52" t="str">
        <f>IFERROR(IF(B11="","",IF(B11&gt;='Break-Even'!$B$17,"Yes","No")),"")</f>
        <v>Yes</v>
      </c>
      <c r="C52" t="str">
        <f>IFERROR(IF(C11="","",IF(C11&gt;='Break-Even'!$C$17,"Yes","No")),"")</f>
        <v>Yes</v>
      </c>
      <c r="D52" t="str">
        <f>IFERROR(IF(D11="","",IF(D11&gt;='Break-Even'!$D$17,"Yes","No")),"")</f>
        <v>Yes</v>
      </c>
      <c r="G52" s="5" t="inlineStr">
        <is>
          <t>It compares EACH year's sales with that same year's accounting threshold, calculated on the "Break-Even" sheet. The cash threshold, the one that really lets you sleep at night, is there too.</t>
        </is>
      </c>
    </row>
    <row r="53"/>
    <row r="54" ht="44" customHeight="1">
      <c r="A54" s="5" t="inlineStr">
        <is>
          <t>All figures are BEFORE SALES TAX. The year-2 and year-3 columns are in year-1 dollars as long as the "Annual increase in fixed costs" in "0. Assumptions" stays at zero. And a warning worth money: if your year-1 projection comes out positive, look at it twice. Almost no opening makes money in its first year, and what decides whether you survive isn't this table but the "12-Month Cash Flow" sheet.</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G3"/>
    <mergeCell ref="A54:G54"/>
  </mergeCells>
  <conditionalFormatting sqref="B43:D43">
    <cfRule type="expression" priority="1" dxfId="0" stopIfTrue="1">
      <formula>=AND(ISNUMBER(B43),B43&lt;0)</formula>
    </cfRule>
  </conditionalFormatting>
  <pageMargins left="0.39" right="0.39" top="0.55" bottom="0.55"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E38"/>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80" customWidth="1" min="5" max="5"/>
  </cols>
  <sheetData>
    <row r="1" ht="26" customHeight="1">
      <c r="A1" s="1" t="inlineStr">
        <is>
          <t>Break-Even: How Many Tickets a Day</t>
        </is>
      </c>
    </row>
    <row r="2">
      <c r="A2" s="2" t="inlineStr">
        <is>
          <t>AI Chef Pro · aichef.pro — How to Open a Pastry Shop</t>
        </is>
      </c>
    </row>
    <row r="3" ht="28" customHeight="1">
      <c r="A3" s="5" t="inlineStr">
        <is>
          <t>Two thresholds, and they don't say the same thing. The ACCOUNTING one includes depreciation; the CASH one takes out depreciation (which you don't pay out) and adds the loan principal you repay (which you do). The second is the one that decides whether you make it to the end of the month.</t>
        </is>
      </c>
    </row>
    <row r="4"/>
    <row r="5" ht="32" customHeight="1">
      <c r="A5" s="7" t="inlineStr">
        <is>
          <t>Variable</t>
        </is>
      </c>
      <c r="B5" s="7" t="inlineStr">
        <is>
          <t>Year 1</t>
        </is>
      </c>
      <c r="C5" s="7" t="inlineStr">
        <is>
          <t>Year 2</t>
        </is>
      </c>
      <c r="D5" s="7" t="inlineStr">
        <is>
          <t>Year 3</t>
        </is>
      </c>
      <c r="E5" s="7" t="inlineStr">
        <is>
          <t>Notes</t>
        </is>
      </c>
    </row>
    <row r="6">
      <c r="A6" s="4" t="inlineStr">
        <is>
          <t>BASE DATA BY YEAR</t>
        </is>
      </c>
      <c r="B6" s="11" t="inlineStr"/>
      <c r="C6" s="11" t="inlineStr"/>
      <c r="D6" s="11" t="inlineStr"/>
      <c r="E6" s="11" t="inlineStr"/>
    </row>
    <row r="7">
      <c r="A7" t="inlineStr">
        <is>
          <t>Annual fixed costs</t>
        </is>
      </c>
      <c r="B7" s="15">
        <f>IFERROR(IF('3-Year P&amp;L'!B11="","",'3-Year P&amp;L'!B33),"")</f>
        <v>186757.21731869128</v>
      </c>
      <c r="C7" s="15">
        <f>IFERROR(IF('3-Year P&amp;L'!C11="","",'3-Year P&amp;L'!C33),"")</f>
        <v>186345.7854607931</v>
      </c>
      <c r="D7" s="15">
        <f>IFERROR(IF('3-Year P&amp;L'!D11="","",'3-Year P&amp;L'!D33),"")</f>
        <v>185836.77234444564</v>
      </c>
      <c r="E7" s="5" t="inlineStr">
        <is>
          <t>The SAME fixed costs as the P&amp;L. Each year has its own: that's why the threshold can't be a single one for all three.</t>
        </is>
      </c>
    </row>
    <row r="8">
      <c r="A8" t="inlineStr">
        <is>
          <t>Monthly fixed costs</t>
        </is>
      </c>
      <c r="B8" s="15">
        <f>IFERROR(IF('3-Year P&amp;L'!B11="","",B7/12),"")</f>
        <v>15563.101443224274</v>
      </c>
      <c r="C8" s="15">
        <f>IFERROR(IF('3-Year P&amp;L'!C11="","",C7/12),"")</f>
        <v>15528.815455066091</v>
      </c>
      <c r="D8" s="15">
        <f>IFERROR(IF('3-Year P&amp;L'!D11="","",D7/12),"")</f>
        <v>15486.39769537047</v>
      </c>
    </row>
    <row r="9">
      <c r="A9" t="inlineStr">
        <is>
          <t>Average ticket before sales tax ($)</t>
        </is>
      </c>
      <c r="B9" s="15">
        <f>IFERROR(IF('3-Year P&amp;L'!B11="","",'3-Year P&amp;L'!B8),"")</f>
        <v>5.868813709905911</v>
      </c>
      <c r="C9" s="15">
        <f>IFERROR(IF('3-Year P&amp;L'!C11="","",'3-Year P&amp;L'!C8),"")</f>
        <v>5.868813709905911</v>
      </c>
      <c r="D9" s="15">
        <f>IFERROR(IF('3-Year P&amp;L'!D11="","",'3-Year P&amp;L'!D8),"")</f>
        <v>5.868813709905911</v>
      </c>
    </row>
    <row r="10">
      <c r="A10" t="inlineStr">
        <is>
          <t>Variable cost per ticket ($)</t>
        </is>
      </c>
      <c r="B10" s="15">
        <f>IFERROR(IF('3-Year P&amp;L'!B11="","",'3-Year P&amp;L'!B16/('3-Year P&amp;L'!B7*'3-Year P&amp;L'!B9*'3-Year P&amp;L'!B10)),"")</f>
        <v>1.878020387169892</v>
      </c>
      <c r="C10" s="15">
        <f>IFERROR(IF('3-Year P&amp;L'!C11="","",'3-Year P&amp;L'!C16/('3-Year P&amp;L'!C7*'3-Year P&amp;L'!C9*'3-Year P&amp;L'!C10)),"")</f>
        <v>1.878020387169892</v>
      </c>
      <c r="D10" s="15">
        <f>IFERROR(IF('3-Year P&amp;L'!D11="","",'3-Year P&amp;L'!D16/('3-Year P&amp;L'!D7*'3-Year P&amp;L'!D9*'3-Year P&amp;L'!D10)),"")</f>
        <v>1.8780203871698917</v>
      </c>
      <c r="E10" s="5" t="inlineStr">
        <is>
          <t>It comes from the P&amp;L's total variable costs divided by that year's tickets, not from a separate estimate.</t>
        </is>
      </c>
    </row>
    <row r="11">
      <c r="A11" t="inlineStr">
        <is>
          <t>Contribution margin per ticket ($)</t>
        </is>
      </c>
      <c r="B11" s="15">
        <f>IFERROR(IF('3-Year P&amp;L'!B11="","",B9-B10),"")</f>
        <v>3.9907933227360193</v>
      </c>
      <c r="C11" s="15">
        <f>IFERROR(IF('3-Year P&amp;L'!C11="","",C9-C10),"")</f>
        <v>3.9907933227360193</v>
      </c>
      <c r="D11" s="15">
        <f>IFERROR(IF('3-Year P&amp;L'!D11="","",D9-D10),"")</f>
        <v>3.9907933227360193</v>
      </c>
      <c r="E11" s="5" t="inlineStr">
        <is>
          <t>Ticket minus unit variable cost. It's what each customer leaves behind to pay the fixed costs.</t>
        </is>
      </c>
    </row>
    <row r="12">
      <c r="A12" t="inlineStr">
        <is>
          <t>Days open per year</t>
        </is>
      </c>
      <c r="B12" s="27">
        <f>IFERROR(IF('3-Year P&amp;L'!B11="","",'3-Year P&amp;L'!B9),"")</f>
        <v>300.0</v>
      </c>
      <c r="C12" s="27">
        <f>IFERROR(IF('3-Year P&amp;L'!C11="","",'3-Year P&amp;L'!C9),"")</f>
        <v>300.0</v>
      </c>
      <c r="D12" s="27">
        <f>IFERROR(IF('3-Year P&amp;L'!D11="","",'3-Year P&amp;L'!D9),"")</f>
        <v>300.0</v>
      </c>
    </row>
    <row r="13">
      <c r="A13" t="inlineStr">
        <is>
          <t>Loan principal repaid this year (cash out)</t>
        </is>
      </c>
      <c r="B13" s="15">
        <f>IFERROR(IF('3-Year P&amp;L'!B11="","",'Financing'!$C$116),"")</f>
        <v>3808.3296827899585</v>
      </c>
      <c r="C13" s="15">
        <f>IFERROR(IF('3-Year P&amp;L'!C11="","",'Financing'!$C$117),"")</f>
        <v>7979.196042169373</v>
      </c>
      <c r="D13" s="15">
        <f>IFERROR(IF('3-Year P&amp;L'!D11="","",'Financing'!$C$118),"")</f>
        <v>8488.209158516836</v>
      </c>
      <c r="E13" s="5" t="inlineStr">
        <is>
          <t>Principal is NOT a P&amp;L expense, but it leaves your cash. Without it, the break-even threshold gets published below what you really need to sell.</t>
        </is>
      </c>
    </row>
    <row r="14">
      <c r="A14" s="4" t="inlineStr">
        <is>
          <t>ACCOUNTING BREAK-EVEN (includes depreciation)</t>
        </is>
      </c>
      <c r="B14" s="11" t="inlineStr"/>
      <c r="C14" s="11" t="inlineStr"/>
      <c r="D14" s="11" t="inlineStr"/>
      <c r="E14" s="11" t="inlineStr"/>
    </row>
    <row r="15">
      <c r="A15" t="inlineStr">
        <is>
          <t>Tickets needed per year</t>
        </is>
      </c>
      <c r="B15" s="27">
        <f>IFERROR(IF('3-Year P&amp;L'!B11="","",IF(B11&lt;=0,"",B7/B11)),"")</f>
        <v>46797.01558452387</v>
      </c>
      <c r="C15" s="27">
        <f>IFERROR(IF('3-Year P&amp;L'!C11="","",IF(C11&lt;=0,"",C7/C11)),"")</f>
        <v>46693.92032886274</v>
      </c>
      <c r="D15" s="27">
        <f>IFERROR(IF('3-Year P&amp;L'!D11="","",IF(D11&lt;=0,"",D7/D11)),"")</f>
        <v>46566.37347910544</v>
      </c>
    </row>
    <row r="16">
      <c r="A16" t="inlineStr">
        <is>
          <t>Tickets needed per day</t>
        </is>
      </c>
      <c r="B16" s="20">
        <f>IFERROR(IF('3-Year P&amp;L'!B11="","",B15/B12),"")</f>
        <v>155.9900519484129</v>
      </c>
      <c r="C16" s="20">
        <f>IFERROR(IF('3-Year P&amp;L'!C11="","",C15/C12),"")</f>
        <v>155.64640109620913</v>
      </c>
      <c r="D16" s="20">
        <f>IFERROR(IF('3-Year P&amp;L'!D11="","",D15/D12),"")</f>
        <v>155.22124493035145</v>
      </c>
    </row>
    <row r="17">
      <c r="A17" s="23" t="inlineStr">
        <is>
          <t>Revenue needed per year (before sales tax)</t>
        </is>
      </c>
      <c r="B17" s="24">
        <f>IFERROR(IF('3-Year P&amp;L'!B11="","",B15*B9),"")</f>
        <v>274642.96664513426</v>
      </c>
      <c r="C17" s="24">
        <f>IFERROR(IF('3-Year P&amp;L'!C11="","",C15*C9),"")</f>
        <v>274037.919795284</v>
      </c>
      <c r="D17" s="24">
        <f>IFERROR(IF('3-Year P&amp;L'!D11="","",D15*D9),"")</f>
        <v>273289.371094773</v>
      </c>
      <c r="E17" s="23" t="n"/>
    </row>
    <row r="18">
      <c r="A18" s="23" t="inlineStr">
        <is>
          <t>Revenue needed per month (before sales tax)</t>
        </is>
      </c>
      <c r="B18" s="24">
        <f>IFERROR(IF('3-Year P&amp;L'!B11="","",B17/12),"")</f>
        <v>22886.91388709452</v>
      </c>
      <c r="C18" s="24">
        <f>IFERROR(IF('3-Year P&amp;L'!C11="","",C17/12),"")</f>
        <v>22836.493316273667</v>
      </c>
      <c r="D18" s="24">
        <f>IFERROR(IF('3-Year P&amp;L'!D11="","",D17/12),"")</f>
        <v>22774.11425789775</v>
      </c>
      <c r="E18" s="23" t="n"/>
    </row>
    <row r="19">
      <c r="A19" s="4" t="inlineStr">
        <is>
          <t>CASH BREAK-EVEN (includes the loan payment)</t>
        </is>
      </c>
      <c r="B19" s="11" t="inlineStr"/>
      <c r="C19" s="11" t="inlineStr"/>
      <c r="D19" s="11" t="inlineStr"/>
      <c r="E19" s="11" t="inlineStr"/>
    </row>
    <row r="20">
      <c r="A20" t="inlineStr">
        <is>
          <t>Cash fixed costs plus the year's principal</t>
        </is>
      </c>
      <c r="B20" s="15">
        <f>IFERROR(IF('3-Year P&amp;L'!B11="","",B7-'3-Year P&amp;L'!B31+B13),"")</f>
        <v>174475.51300148122</v>
      </c>
      <c r="C20" s="15">
        <f>IFERROR(IF('3-Year P&amp;L'!C11="","",C7-'3-Year P&amp;L'!C31+C13),"")</f>
        <v>178234.94750296246</v>
      </c>
      <c r="D20" s="15">
        <f>IFERROR(IF('3-Year P&amp;L'!D11="","",D7-'3-Year P&amp;L'!D31+D13),"")</f>
        <v>178234.9475029625</v>
      </c>
      <c r="E20" s="5" t="inlineStr">
        <is>
          <t>The P&amp;L's fixed costs without depreciation (which you don't pay out) and WITH the principal repaid (which you do). It's the threshold that decides whether you survive, not the accounting one.</t>
        </is>
      </c>
    </row>
    <row r="21">
      <c r="A21" t="inlineStr">
        <is>
          <t>Tickets needed per year (cash)</t>
        </is>
      </c>
      <c r="B21" s="27">
        <f>IFERROR(IF('3-Year P&amp;L'!B11="","",IF(B11&lt;=0,"",B20/B11)),"")</f>
        <v>43719.506096062076</v>
      </c>
      <c r="C21" s="27">
        <f>IFERROR(IF('3-Year P&amp;L'!C11="","",IF(C11&lt;=0,"",C20/C11)),"")</f>
        <v>44661.532955750175</v>
      </c>
      <c r="D21" s="27">
        <f>IFERROR(IF('3-Year P&amp;L'!D11="","",IF(D11&lt;=0,"",D20/D11)),"")</f>
        <v>44661.53295575018</v>
      </c>
    </row>
    <row r="22">
      <c r="A22" s="23" t="inlineStr">
        <is>
          <t>Tickets needed per day (cash)</t>
        </is>
      </c>
      <c r="B22" s="31">
        <f>IFERROR(IF('3-Year P&amp;L'!B11="","",B21/B12),"")</f>
        <v>145.7316869868736</v>
      </c>
      <c r="C22" s="31">
        <f>IFERROR(IF('3-Year P&amp;L'!C11="","",C21/C12),"")</f>
        <v>148.87177651916724</v>
      </c>
      <c r="D22" s="31">
        <f>IFERROR(IF('3-Year P&amp;L'!D11="","",D21/D12),"")</f>
        <v>148.87177651916727</v>
      </c>
      <c r="E22" s="23" t="n"/>
    </row>
    <row r="23">
      <c r="A23" t="inlineStr">
        <is>
          <t>Revenue needed per year (cash, before sales tax)</t>
        </is>
      </c>
      <c r="B23" s="15">
        <f>IFERROR(IF('3-Year P&amp;L'!B11="","",B21*B9),"")</f>
        <v>256581.63676688418</v>
      </c>
      <c r="C23" s="15">
        <f>IFERROR(IF('3-Year P&amp;L'!C11="","",C21*C9),"")</f>
        <v>262110.2169161213</v>
      </c>
      <c r="D23" s="15">
        <f>IFERROR(IF('3-Year P&amp;L'!D11="","",D21*D9),"")</f>
        <v>262110.21691612134</v>
      </c>
    </row>
    <row r="24">
      <c r="A24" s="4" t="inlineStr">
        <is>
          <t>CHECK AGAINST THE PLAN</t>
        </is>
      </c>
      <c r="B24" s="11" t="inlineStr"/>
      <c r="C24" s="11" t="inlineStr"/>
      <c r="D24" s="11" t="inlineStr"/>
      <c r="E24" s="11" t="inlineStr"/>
    </row>
    <row r="25">
      <c r="A25" t="inlineStr">
        <is>
          <t>Tickets a day forecast in the plan</t>
        </is>
      </c>
      <c r="B25" s="20">
        <f>IFERROR(IF('3-Year P&amp;L'!B11="","",'3-Year P&amp;L'!B7*'3-Year P&amp;L'!B10),"")</f>
        <v>160.38117255</v>
      </c>
      <c r="C25" s="20">
        <f>IFERROR(IF('3-Year P&amp;L'!C11="","",'3-Year P&amp;L'!C7*'3-Year P&amp;L'!C10),"")</f>
        <v>183.0</v>
      </c>
      <c r="D25" s="20">
        <f>IFERROR(IF('3-Year P&amp;L'!D11="","",'3-Year P&amp;L'!D7*'3-Year P&amp;L'!D10),"")</f>
        <v>190.32</v>
      </c>
    </row>
    <row r="26">
      <c r="A26" t="inlineStr">
        <is>
          <t>Cushion above CASH break-even (%)</t>
        </is>
      </c>
      <c r="B26" s="16">
        <f>IFERROR(IF('3-Year P&amp;L'!B11="","",IF(B22&lt;=0,"",B25/B22-1)),"")</f>
        <v>0.10052368064912276</v>
      </c>
      <c r="C26" s="16">
        <f>IFERROR(IF('3-Year P&amp;L'!C11="","",IF(C22&lt;=0,"",C25/C22-1)),"")</f>
        <v>0.2292457595307782</v>
      </c>
      <c r="D26" s="16">
        <f>IFERROR(IF('3-Year P&amp;L'!D11="","",IF(D22&lt;=0,"",D25/D22-1)),"")</f>
        <v>0.2784155899120091</v>
      </c>
      <c r="E26" s="5" t="inlineStr">
        <is>
          <t>How far the plan sits above CASH break-even. The drop in sales it can absorb is smaller: 1 − 1/(1 + this %), about 18.6% in the case. The minimum required is in "0. Assumptions".</t>
        </is>
      </c>
    </row>
    <row r="27">
      <c r="A27" t="inlineStr">
        <is>
          <t>Reading the cushion</t>
        </is>
      </c>
      <c r="B27" t="str">
        <f>IFERROR(IF('3-Year P&amp;L'!B11="","",IF(B26&lt;0,"Below break-even",IF(B26&lt;'0. Assumptions'!$B$60,"Tight","Enough"))),"")</f>
        <v>Tight</v>
      </c>
      <c r="C27" t="str">
        <f>IFERROR(IF('3-Year P&amp;L'!C11="","",IF(C26&lt;0,"Below break-even",IF(C26&lt;'0. Assumptions'!$B$60,"Tight","Enough"))),"")</f>
        <v>Enough</v>
      </c>
      <c r="D27" t="str">
        <f>IFERROR(IF('3-Year P&amp;L'!D11="","",IF(D26&lt;0,"Below break-even",IF(D26&lt;'0. Assumptions'!$B$60,"Tight","Enough"))),"")</f>
        <v>Enough</v>
      </c>
    </row>
    <row r="28" ht="40" customHeight="1">
      <c r="A28" s="5" t="inlineStr">
        <is>
          <t>Quick read: if the tickets a day you forecast are below the CASH tickets a day, the business doesn't generate enough to pay the fixed costs and the loan payment, whatever the accounting result says. If they're just above, you have no room for a bad month: negotiate interest-only months, lower the investment or review the average ticket before you sign anything.</t>
        </is>
      </c>
    </row>
    <row r="29"/>
    <row r="30">
      <c r="A30" s="4" t="inlineStr">
        <is>
          <t>BREAK-EVEN SENSITIVITY (steady-state year)</t>
        </is>
      </c>
      <c r="B30" s="11" t="inlineStr"/>
      <c r="C30" s="11" t="inlineStr"/>
      <c r="D30" s="11" t="inlineStr"/>
      <c r="E30" s="11" t="inlineStr"/>
    </row>
    <row r="31" ht="30" customHeight="1">
      <c r="A31" s="9" t="inlineStr">
        <is>
          <t>Tickets a day needed: average ticket (columns) × variable cost per ticket (rows)</t>
        </is>
      </c>
      <c r="B31" s="32">
        <f>IFERROR($C$9-1,"")</f>
        <v>4.868813709905911</v>
      </c>
      <c r="C31" s="32">
        <f>IFERROR($C$9,"")</f>
        <v>5.868813709905911</v>
      </c>
      <c r="D31" s="32">
        <f>IFERROR($C$9+1,"")</f>
        <v>6.868813709905911</v>
      </c>
      <c r="E31" s="32">
        <f>IFERROR($C$9+2,"")</f>
        <v>7.868813709905911</v>
      </c>
    </row>
    <row r="32">
      <c r="A32" s="32">
        <f>IFERROR($C$10-2*'0. Assumptions'!$B$65,"")</f>
        <v>1.478020387169892</v>
      </c>
      <c r="B32" s="20">
        <f>IFERROR(IF(B$31-$A32&lt;=0,"",$C$7/(B$31-$A32)/$C$12),"")</f>
        <v>183.18799144662634</v>
      </c>
      <c r="C32" s="20">
        <f>IFERROR(IF(C$31-$A32&lt;=0,"",$C$7/(C$31-$A32)/$C$12),"")</f>
        <v>141.46705903606207</v>
      </c>
      <c r="D32" s="20">
        <f>IFERROR(IF(D$31-$A32&lt;=0,"",$C$7/(D$31-$A32)/$C$12),"")</f>
        <v>115.22471388077378</v>
      </c>
      <c r="E32" s="20">
        <f>IFERROR(IF(E$31-$A32&lt;=0,"",$C$7/(E$31-$A32)/$C$12),"")</f>
        <v>97.19491569111116</v>
      </c>
    </row>
    <row r="33">
      <c r="A33" s="32">
        <f>IFERROR($C$10-1*'0. Assumptions'!$B$65,"")</f>
        <v>1.678020387169892</v>
      </c>
      <c r="B33" s="20">
        <f>IFERROR(IF(B$31-$A33&lt;=0,"",$C$7/(B$31-$A33)/$C$12),"")</f>
        <v>194.67027644085138</v>
      </c>
      <c r="C33" s="20">
        <f>IFERROR(IF(C$31-$A33&lt;=0,"",$C$7/(C$31-$A33)/$C$12),"")</f>
        <v>148.21838500905008</v>
      </c>
      <c r="D33" s="20">
        <f>IFERROR(IF(D$31-$A33&lt;=0,"",$C$7/(D$31-$A33)/$C$12),"")</f>
        <v>119.66429398796403</v>
      </c>
      <c r="E33" s="20">
        <f>IFERROR(IF(E$31-$A33&lt;=0,"",$C$7/(E$31-$A33)/$C$12),"")</f>
        <v>100.33489826278442</v>
      </c>
    </row>
    <row r="34">
      <c r="A34" s="32">
        <f>IFERROR($C$10,"")</f>
        <v>1.878020387169892</v>
      </c>
      <c r="B34" s="20">
        <f>IFERROR(IF(B$31-$A34&lt;=0,"",$C$7/(B$31-$A34)/$C$12),"")</f>
        <v>207.68824561718782</v>
      </c>
      <c r="C34" s="20">
        <f>IFERROR(IF(C$31-$A34&lt;=0,"",$C$7/(C$31-$A34)/$C$12),"")</f>
        <v>155.64640109620913</v>
      </c>
      <c r="D34" s="20">
        <f>IFERROR(IF(D$31-$A34&lt;=0,"",$C$7/(D$31-$A34)/$C$12),"")</f>
        <v>124.45969569064815</v>
      </c>
      <c r="E34" s="20">
        <f>IFERROR(IF(E$31-$A34&lt;=0,"",$C$7/(E$31-$A34)/$C$12),"")</f>
        <v>103.68453470849514</v>
      </c>
    </row>
    <row r="35">
      <c r="A35" s="32">
        <f>IFERROR($C$10+1*'0. Assumptions'!$B$65,"")</f>
        <v>2.078020387169892</v>
      </c>
      <c r="B35" s="20">
        <f>IFERROR(IF(B$31-$A35&lt;=0,"",$C$7/(B$31-$A35)/$C$12),"")</f>
        <v>222.57205975886535</v>
      </c>
      <c r="C35" s="20">
        <f>IFERROR(IF(C$31-$A35&lt;=0,"",$C$7/(C$31-$A35)/$C$12),"")</f>
        <v>163.85821260081897</v>
      </c>
      <c r="D35" s="20">
        <f>IFERROR(IF(D$31-$A35&lt;=0,"",$C$7/(D$31-$A35)/$C$12),"")</f>
        <v>129.65548216300505</v>
      </c>
      <c r="E35" s="20">
        <f>IFERROR(IF(E$31-$A35&lt;=0,"",$C$7/(E$31-$A35)/$C$12),"")</f>
        <v>107.26554784192558</v>
      </c>
    </row>
    <row r="36">
      <c r="A36" s="32">
        <f>IFERROR($C$10+2*'0. Assumptions'!$B$65,"")</f>
        <v>2.278020387169892</v>
      </c>
      <c r="B36" s="20">
        <f>IFERROR(IF(B$31-$A36&lt;=0,"",$C$7/(B$31-$A36)/$C$12),"")</f>
        <v>239.7538285866325</v>
      </c>
      <c r="C36" s="20">
        <f>IFERROR(IF(C$31-$A36&lt;=0,"",$C$7/(C$31-$A36)/$C$12),"")</f>
        <v>172.9847870301134</v>
      </c>
      <c r="D36" s="20">
        <f>IFERROR(IF(D$31-$A36&lt;=0,"",$C$7/(D$31-$A36)/$C$12),"")</f>
        <v>135.30398223905436</v>
      </c>
      <c r="E36" s="20">
        <f>IFERROR(IF(E$31-$A36&lt;=0,"",$C$7/(E$31-$A36)/$C$12),"")</f>
        <v>111.10276884616874</v>
      </c>
    </row>
    <row r="37"/>
    <row r="38" ht="40" customHeight="1">
      <c r="A38" s="5" t="inlineStr">
        <is>
          <t>The center cell is your scenario. Move one column to the left and you're seeing what happens if you have to cut the average ticket by a dollar; one row down, what happens if butter and cocoa push up your variable cost. Both can happen in a single year.</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E3"/>
    <mergeCell ref="A28:E28"/>
    <mergeCell ref="A38:E38"/>
  </mergeCells>
  <conditionalFormatting sqref="B26:D26">
    <cfRule type="expression" priority="1" dxfId="0" stopIfTrue="1">
      <formula>=AND(ISNUMBER(B26),B26&lt;0)</formula>
    </cfRule>
  </conditionalFormatting>
  <pageMargins left="0.39" right="0.39" top="0.55" bottom="0.55" header="0.3" footer="0.3"/>
  <pageSetup orientation="landscape"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25"/>
  <sheetViews>
    <sheetView workbookViewId="0">
      <pane ySplit="5" topLeftCell="A6" activePane="bottomLeft" state="frozen"/>
      <selection pane="bottomLeft" activeCell="A1" sqref="A1"/>
    </sheetView>
  </sheetViews>
  <sheetFormatPr baseColWidth="8" defaultRowHeight="15"/>
  <cols>
    <col width="54" customWidth="1" min="1" max="1"/>
    <col width="16" customWidth="1" min="2" max="2"/>
    <col width="16" customWidth="1" min="3" max="3"/>
    <col width="16" customWidth="1" min="4" max="4"/>
    <col width="80" customWidth="1" min="5" max="5"/>
  </cols>
  <sheetData>
    <row r="1" ht="26" customHeight="1">
      <c r="A1" s="1" t="inlineStr">
        <is>
          <t>Scenarios: Pessimistic, Realistic and Optimistic</t>
        </is>
      </c>
    </row>
    <row r="2">
      <c r="A2" s="2" t="inlineStr">
        <is>
          <t>AI Chef Pro · aichef.pro — How to Open a Pastry Shop</t>
        </is>
      </c>
    </row>
    <row r="3" ht="28" customHeight="1">
      <c r="A3" s="5" t="inlineStr">
        <is>
          <t>The "Realistic" column READS the P&amp;L's steady-state year, so it can't drift away from it. The other two are green: they're your bets, and the one on the left is the one you have to be able to survive.</t>
        </is>
      </c>
    </row>
    <row r="4"/>
    <row r="5" ht="32" customHeight="1">
      <c r="A5" s="7" t="inlineStr">
        <is>
          <t>Metric</t>
        </is>
      </c>
      <c r="B5" s="7" t="inlineStr">
        <is>
          <t>Pessimistic</t>
        </is>
      </c>
      <c r="C5" s="7" t="inlineStr">
        <is>
          <t>Realistic</t>
        </is>
      </c>
      <c r="D5" s="7" t="inlineStr">
        <is>
          <t>Optimistic</t>
        </is>
      </c>
      <c r="E5" s="7" t="inlineStr">
        <is>
          <t>Notes</t>
        </is>
      </c>
    </row>
    <row r="6">
      <c r="A6" t="inlineStr">
        <is>
          <t>Tickets a day</t>
        </is>
      </c>
      <c r="B6" s="12" t="n">
        <v>140</v>
      </c>
      <c r="C6" s="27">
        <f>IFERROR('3-Year P&amp;L'!C7,"")</f>
        <v>183.0</v>
      </c>
      <c r="D6" s="12" t="n">
        <v>220</v>
      </c>
      <c r="E6" s="5" t="inlineStr">
        <is>
          <t>Both extremes are ASSUMPTIONS. The pessimistic one isn't "a bad day": it's the whole year going badly.</t>
        </is>
      </c>
    </row>
    <row r="7">
      <c r="A7" t="inlineStr">
        <is>
          <t>Average ticket before sales tax ($)</t>
        </is>
      </c>
      <c r="B7" s="14" t="n">
        <v>5.2</v>
      </c>
      <c r="C7" s="15">
        <f>IFERROR('3-Year P&amp;L'!C8,"")</f>
        <v>5.868813709905911</v>
      </c>
      <c r="D7" s="14" t="n">
        <v>6.6</v>
      </c>
      <c r="E7" s="5" t="inlineStr">
        <is>
          <t>ASSUMPTIONS. Cutting the average ticket by a dollar weighs more than losing twenty customers a day: see it in the break-even sensitivity table.</t>
        </is>
      </c>
    </row>
    <row r="8">
      <c r="A8" t="inlineStr">
        <is>
          <t>Days open per year</t>
        </is>
      </c>
      <c r="B8" s="12" t="n">
        <v>290</v>
      </c>
      <c r="C8" s="27">
        <f>IFERROR('3-Year P&amp;L'!C9,"")</f>
        <v>300.0</v>
      </c>
      <c r="D8" s="12" t="n">
        <v>305</v>
      </c>
      <c r="E8" s="5" t="inlineStr">
        <is>
          <t>ASSUMPTIONS.</t>
        </is>
      </c>
    </row>
    <row r="9">
      <c r="A9" s="23" t="inlineStr">
        <is>
          <t>ANNUAL REVENUE (before sales tax)</t>
        </is>
      </c>
      <c r="B9" s="24">
        <f>IFERROR(IF(B6*B7*B8=0,"",B6*B7*B8),"")</f>
        <v>211120.0</v>
      </c>
      <c r="C9" s="24">
        <f>IFERROR(IF(C6*C7*C8=0,"",C6*C7*C8),"")</f>
        <v>322197.87267383456</v>
      </c>
      <c r="D9" s="24">
        <f>IFERROR(IF(D6*D7*D8=0,"",D6*D7*D8),"")</f>
        <v>442860.0</v>
      </c>
      <c r="E9" s="23" t="n"/>
    </row>
    <row r="10">
      <c r="A10" t="inlineStr">
        <is>
          <t>Cost of sales (single food cost rule)</t>
        </is>
      </c>
      <c r="B10" s="15">
        <f>IFERROR(IF(B9="","",B9*'0. Assumptions'!$B$22),"")</f>
        <v>67558.4</v>
      </c>
      <c r="C10" s="15">
        <f>IFERROR(IF(C9="","",C9*'0. Assumptions'!$B$22),"")</f>
        <v>103103.31925562707</v>
      </c>
      <c r="D10" s="15">
        <f>IFERROR(IF(D9="","",D9*'0. Assumptions'!$B$22),"")</f>
        <v>141715.2</v>
      </c>
    </row>
    <row r="11">
      <c r="A11" t="inlineStr">
        <is>
          <t>TOTAL VARIABLE COSTS</t>
        </is>
      </c>
      <c r="B11" s="15">
        <f>IFERROR(IF(B9="","",SUM(B10:B10)),"")</f>
        <v>67558.4</v>
      </c>
      <c r="C11" s="15">
        <f>IFERROR(IF(C9="","",SUM(C10:C10)),"")</f>
        <v>103103.31925562707</v>
      </c>
      <c r="D11" s="15">
        <f>IFERROR(IF(D9="","",SUM(D10:D10)),"")</f>
        <v>141715.2</v>
      </c>
    </row>
    <row r="12">
      <c r="A12" s="33" t="inlineStr">
        <is>
          <t>GROSS MARGIN</t>
        </is>
      </c>
      <c r="B12" s="32">
        <f>IFERROR(IF(B9="","",B9-B11),"")</f>
        <v>143561.6</v>
      </c>
      <c r="C12" s="32">
        <f>IFERROR(IF(C9="","",C9-C11),"")</f>
        <v>219094.5534182075</v>
      </c>
      <c r="D12" s="32">
        <f>IFERROR(IF(D9="","",D9-D11),"")</f>
        <v>301144.8</v>
      </c>
    </row>
    <row r="13">
      <c r="A13" t="inlineStr">
        <is>
          <t>FIXED COSTS (the P&amp;L's steady-state year)</t>
        </is>
      </c>
      <c r="B13" s="15">
        <f>IFERROR(IF(B9="","",'3-Year P&amp;L'!$C$33),"")</f>
        <v>186345.7854607931</v>
      </c>
      <c r="C13" s="15">
        <f>IFERROR(IF(C9="","",'3-Year P&amp;L'!$C$33),"")</f>
        <v>186345.7854607931</v>
      </c>
      <c r="D13" s="15">
        <f>IFERROR(IF(D9="","",'3-Year P&amp;L'!$C$33),"")</f>
        <v>186345.7854607931</v>
      </c>
      <c r="E13" s="5" t="inlineStr">
        <is>
          <t>Fixed costs don't change with the scenario: that's why they're fixed. If they soar against sales in the pessimistic one, the adjustment is made on the "Staff" sheet, not here.</t>
        </is>
      </c>
    </row>
    <row r="14">
      <c r="A14" s="33" t="inlineStr">
        <is>
          <t>PRE-TAX PROFIT</t>
        </is>
      </c>
      <c r="B14" s="32">
        <f>IFERROR(IF(B9="","",B12-B13),"")</f>
        <v>-42784.18546079309</v>
      </c>
      <c r="C14" s="32">
        <f>IFERROR(IF(C9="","",C12-C13),"")</f>
        <v>32748.767957414413</v>
      </c>
      <c r="D14" s="32">
        <f>IFERROR(IF(D9="","",D12-D13),"")</f>
        <v>114799.0145392069</v>
      </c>
    </row>
    <row r="15">
      <c r="A15" t="inlineStr">
        <is>
          <t>Income tax (the workbook's illustrative rate)</t>
        </is>
      </c>
      <c r="B15" s="15">
        <f>IFERROR(IF(B9="","",MAX(0,B14-'0. Assumptions'!$B$45)*'0. Assumptions'!$B$43),"")</f>
        <v>0.0</v>
      </c>
      <c r="C15" s="15">
        <f>IFERROR(IF(C9="","",MAX(0,C14-'0. Assumptions'!$B$45)*'0. Assumptions'!$B$43),"")</f>
        <v>4912.315193612162</v>
      </c>
      <c r="D15" s="15">
        <f>IFERROR(IF(D9="","",MAX(0,D14-'0. Assumptions'!$B$45)*'0. Assumptions'!$B$43),"")</f>
        <v>17219.852180881033</v>
      </c>
      <c r="E15" s="5" t="inlineStr">
        <is>
          <t>At the workbook's illustrative income tax rate for the first years with a profit (15%), after any net operating losses carried forward. With a loss there's no tax.</t>
        </is>
      </c>
    </row>
    <row r="16">
      <c r="A16" s="23" t="inlineStr">
        <is>
          <t>NET PROFIT</t>
        </is>
      </c>
      <c r="B16" s="24">
        <f>IFERROR(IF(B9="","",B14-B15),"")</f>
        <v>-42784.18546079309</v>
      </c>
      <c r="C16" s="24">
        <f>IFERROR(IF(C9="","",C14-C15),"")</f>
        <v>27836.452763802252</v>
      </c>
      <c r="D16" s="24">
        <f>IFERROR(IF(D9="","",D14-D15),"")</f>
        <v>97579.16235832586</v>
      </c>
      <c r="E16" s="23" t="n"/>
    </row>
    <row r="17">
      <c r="A17" t="inlineStr">
        <is>
          <t>Net margin (%)</t>
        </is>
      </c>
      <c r="B17" s="16">
        <f>IFERROR(IF(B9="","",B16/B9),"")</f>
        <v>-0.2026533983554049</v>
      </c>
      <c r="C17" s="16">
        <f>IFERROR(IF(C9="","",C16/C9),"")</f>
        <v>0.08639552003492426</v>
      </c>
      <c r="D17" s="16">
        <f>IFERROR(IF(D9="","",D16/D9),"")</f>
        <v>0.2203386224954294</v>
      </c>
      <c r="E17" s="5" t="inlineStr">
        <is>
          <t>Compare it with the 8-12% reference band in "0. Assumptions". An optimistic scenario far above it is usually forgetting a cost, not discovering a better business.</t>
        </is>
      </c>
    </row>
    <row r="18">
      <c r="A18" t="inlineStr">
        <is>
          <t>Tickets a day to break even</t>
        </is>
      </c>
      <c r="B18" s="20">
        <f>IFERROR(IF(B9="","",IF(B7-B11/(B6*B8)&lt;=0,"",B13/(B7-B11/(B6*B8))/B8)),"")</f>
        <v>181.7227584849363</v>
      </c>
      <c r="C18" s="20">
        <f>IFERROR(IF(C9="","",IF(C7-C11/(C6*C8)&lt;=0,"",C13/(C7-C11/(C6*C8))/C8)),"")</f>
        <v>155.64640109620913</v>
      </c>
      <c r="D18" s="20">
        <f>IFERROR(IF(D9="","",IF(D7-D11/(D6*D8)&lt;=0,"",D13/(D7-D11/(D6*D8))/D8)),"")</f>
        <v>136.13408832353898</v>
      </c>
    </row>
    <row r="19">
      <c r="A19" s="4" t="inlineStr">
        <is>
          <t>WHAT EACH SCENARIO DEMANDS</t>
        </is>
      </c>
      <c r="B19" s="11" t="inlineStr"/>
      <c r="C19" s="11" t="inlineStr"/>
      <c r="D19" s="11" t="inlineStr"/>
      <c r="E19" s="11" t="inlineStr"/>
    </row>
    <row r="20">
      <c r="A20" t="inlineStr">
        <is>
          <t>Staff cost / sales</t>
        </is>
      </c>
      <c r="B20" s="16">
        <f>IFERROR(IF(B9="","",'3-Year P&amp;L'!$C$19/B9),"")</f>
        <v>0.4394471319628647</v>
      </c>
      <c r="C20" s="16">
        <f>IFERROR(IF(C9="","",'3-Year P&amp;L'!$C$19/C9),"")</f>
        <v>0.287947520354731</v>
      </c>
      <c r="D20" s="16">
        <f>IFERROR(IF(D9="","",'3-Year P&amp;L'!$C$19/D9),"")</f>
        <v>0.20949301923858557</v>
      </c>
      <c r="E20" s="5" t="inlineStr">
        <is>
          <t>The SAME team in all three scenarios: five people and 3.5 FTEs. The pessimistic one is where you see whether that team holds up.</t>
        </is>
      </c>
    </row>
    <row r="21">
      <c r="A21" t="inlineStr">
        <is>
          <t>Sales per year per FTE ($)</t>
        </is>
      </c>
      <c r="B21" s="15">
        <f>IFERROR(IF(B9="","",B9/'Staff'!$C$11),"")</f>
        <v>60320.0</v>
      </c>
      <c r="C21" s="15">
        <f>IFERROR(IF(C9="","",C9/'Staff'!$C$11),"")</f>
        <v>92056.53504966701</v>
      </c>
      <c r="D21" s="15">
        <f>IFERROR(IF(D9="","",D9/'Staff'!$C$11),"")</f>
        <v>126531.42857142857</v>
      </c>
      <c r="E21" s="5" t="inlineStr">
        <is>
          <t>How much each full-time equivalent on the "Staff" sheet would have to sell. In the optimistic one it tells you whether you'd need to hire before getting there.</t>
        </is>
      </c>
    </row>
    <row r="22">
      <c r="A22" t="inlineStr">
        <is>
          <t>Estimated cash balance at the end of year 1 (same method in all three)</t>
        </is>
      </c>
      <c r="B22" s="15">
        <f>IFERROR(IF(B9="","",'Startup Investment'!$B$18+B16+'3-Year P&amp;L'!$C$31-'Financing'!$C$116),"")</f>
        <v>31612.78067668132</v>
      </c>
      <c r="C22" s="15">
        <f>IFERROR(IF(C9="","",'Startup Investment'!$B$18+C16+'3-Year P&amp;L'!$C$31-'Financing'!$C$116),"")</f>
        <v>102233.41890127666</v>
      </c>
      <c r="D22" s="15">
        <f>IFERROR(IF(D9="","",'Startup Investment'!$B$18+D16+'3-Year P&amp;L'!$C$31-'Financing'!$C$116),"")</f>
        <v>171976.12849580028</v>
      </c>
      <c r="E22" s="5" t="inlineStr">
        <is>
          <t>Working capital plus the year's result, adding back depreciation (which you don't pay out) and subtracting principal (which you do). It's an ESTIMATE: the real balance, with the lag in collections and, where it applies, VAT/GST, is on the "12-Month Cash Flow" sheet.</t>
        </is>
      </c>
    </row>
    <row r="23">
      <c r="A23" t="inlineStr">
        <is>
          <t>Actual month-12 balance from the "12-Month Cash Flow" sheet (realistic only)</t>
        </is>
      </c>
      <c r="C23" s="15">
        <f>IFERROR(IF(C9="","",'12-Month Cash Flow'!M23),"")</f>
        <v>87811.1324006835</v>
      </c>
      <c r="E23" s="5" t="inlineStr">
        <is>
          <t>It only exists for the base case: the month-by-month cash flow is built on the P&amp;L's year 1, not on the scenarios.</t>
        </is>
      </c>
    </row>
    <row r="24"/>
    <row r="25" ht="30" customHeight="1">
      <c r="A25" s="5" t="inlineStr">
        <is>
          <t>The "Realistic" column reads its three inputs from the P&amp;L's steady-state year, so it reproduces that year EXACTLY. If you want to move the base case, move it in "0. Assumptions" and this column follows.</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25:E25"/>
  </mergeCells>
  <conditionalFormatting sqref="B16:D16">
    <cfRule type="expression" priority="1" dxfId="0" stopIfTrue="1">
      <formula>=AND(ISNUMBER(B16),B16&lt;0)</formula>
    </cfRule>
  </conditionalFormatting>
  <pageMargins left="0.39" right="0.39" top="0.55" bottom="0.55"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32"/>
  <sheetViews>
    <sheetView workbookViewId="0">
      <pane ySplit="5" topLeftCell="A6" activePane="bottomLeft" state="frozen"/>
      <selection pane="bottomLeft" activeCell="A1" sqref="A1"/>
    </sheetView>
  </sheetViews>
  <sheetFormatPr baseColWidth="8" defaultRowHeight="15"/>
  <cols>
    <col width="34" customWidth="1" min="1" max="1"/>
    <col width="10" customWidth="1" min="2" max="2"/>
    <col width="10" customWidth="1" min="3" max="3"/>
    <col width="12" customWidth="1" min="4" max="4"/>
    <col width="15" customWidth="1" min="5" max="5"/>
    <col width="15" customWidth="1" min="6" max="6"/>
    <col width="15" customWidth="1" min="7" max="7"/>
    <col width="15" customWidth="1" min="8" max="8"/>
    <col width="15" customWidth="1" min="9" max="9"/>
    <col width="11" customWidth="1" min="10" max="10"/>
    <col width="62" customWidth="1" min="11" max="11"/>
  </cols>
  <sheetData>
    <row r="1" ht="26" customHeight="1">
      <c r="A1" s="1" t="inlineStr">
        <is>
          <t>Staff: Five People and 3.5 FTEs</t>
        </is>
      </c>
    </row>
    <row r="2">
      <c r="A2" s="2" t="inlineStr">
        <is>
          <t>AI Chef Pro · aichef.pro — How to Open a Pastry Shop</t>
        </is>
      </c>
    </row>
    <row r="3" ht="28" customHeight="1">
      <c r="A3" s="5" t="inlineStr">
        <is>
          <t>The four roles are the case's (Head Pastry Chef, Pastry Cook, Bakery Assistant and Counter Associate), with TWO people as Counter Associate. Base pay comes from the case's wage table, in a green cell, and payroll taxes, workers' comp and benefits go INSIDE: from gross pay to employer cost there's a third more.</t>
        </is>
      </c>
    </row>
    <row r="4"/>
    <row r="5" ht="32" customHeight="1">
      <c r="A5" s="7" t="inlineStr">
        <is>
          <t>Person and role</t>
        </is>
      </c>
      <c r="B5" s="7" t="inlineStr">
        <is>
          <t>People</t>
        </is>
      </c>
      <c r="C5" s="7" t="inlineStr">
        <is>
          <t>FTE</t>
        </is>
      </c>
      <c r="D5" s="7" t="inlineStr">
        <is>
          <t>Pay grade</t>
        </is>
      </c>
      <c r="E5" s="7" t="inlineStr">
        <is>
          <t>Monthly pay for the grade ($)</t>
        </is>
      </c>
      <c r="F5" s="7" t="inlineStr">
        <is>
          <t>Monthly pay for the role ($)</t>
        </is>
      </c>
      <c r="G5" s="7" t="inlineStr">
        <is>
          <t>Payroll taxes, workers' comp and benefits ($)</t>
        </is>
      </c>
      <c r="H5" s="7" t="inlineStr">
        <is>
          <t>Monthly employer cost ($)</t>
        </is>
      </c>
      <c r="I5" s="7" t="inlineStr">
        <is>
          <t>Annual employer cost ($)</t>
        </is>
      </c>
      <c r="J5" s="7" t="inlineStr">
        <is>
          <t>Hours/week</t>
        </is>
      </c>
      <c r="K5" s="7" t="inlineStr">
        <is>
          <t>Notes</t>
        </is>
      </c>
    </row>
    <row r="6">
      <c r="A6" t="inlineStr">
        <is>
          <t>P1 · Head Pastry Chef</t>
        </is>
      </c>
      <c r="B6" s="34" t="n">
        <v>1</v>
      </c>
      <c r="C6" s="35" t="n">
        <v>1</v>
      </c>
      <c r="D6" s="22" t="inlineStr">
        <is>
          <t>Group 2</t>
        </is>
      </c>
      <c r="E6" s="15">
        <f>IFERROR(INDEX($E$15:$E$20,MATCH(D6,$A$15:$A$20,0)),"")</f>
        <v>1784.8625000000002</v>
      </c>
      <c r="F6" s="15">
        <f>IFERROR(E6*C6*B6,"")</f>
        <v>1784.8625000000002</v>
      </c>
      <c r="G6" s="15">
        <f>IFERROR(F6*'0. Assumptions'!$B$25,"")</f>
        <v>589.004625</v>
      </c>
      <c r="H6" s="15">
        <f>IFERROR(F6+G6,"")</f>
        <v>2373.867125</v>
      </c>
      <c r="I6" s="15">
        <f>IFERROR(H6*MAX(12,'0. Assumptions'!$B$26),"")</f>
        <v>28486.4055</v>
      </c>
      <c r="J6" s="34" t="n">
        <v>40</v>
      </c>
      <c r="K6" s="5" t="inlineStr">
        <is>
          <t>PRODUCTION KITCHEN area · Early bake shift (04:30-12:30)</t>
        </is>
      </c>
    </row>
    <row r="7">
      <c r="A7" t="inlineStr">
        <is>
          <t>P2 · Pastry Cook</t>
        </is>
      </c>
      <c r="B7" s="34" t="n">
        <v>1</v>
      </c>
      <c r="C7" s="35" t="n">
        <v>1</v>
      </c>
      <c r="D7" s="22" t="inlineStr">
        <is>
          <t>Group 3</t>
        </is>
      </c>
      <c r="E7" s="15">
        <f>IFERROR(INDEX($E$15:$E$20,MATCH(D7,$A$15:$A$20,0)),"")</f>
        <v>1721.1375</v>
      </c>
      <c r="F7" s="15">
        <f>IFERROR(E7*C7*B7,"")</f>
        <v>1721.1375</v>
      </c>
      <c r="G7" s="15">
        <f>IFERROR(F7*'0. Assumptions'!$B$25,"")</f>
        <v>567.975375</v>
      </c>
      <c r="H7" s="15">
        <f>IFERROR(F7+G7,"")</f>
        <v>2289.112875</v>
      </c>
      <c r="I7" s="15">
        <f>IFERROR(H7*MAX(12,'0. Assumptions'!$B$26),"")</f>
        <v>27469.354499999998</v>
      </c>
      <c r="J7" s="34" t="n">
        <v>40</v>
      </c>
      <c r="K7" s="5" t="inlineStr">
        <is>
          <t>PRODUCTION KITCHEN area · Early bake shift (05:00-13:00)</t>
        </is>
      </c>
    </row>
    <row r="8">
      <c r="A8" t="inlineStr">
        <is>
          <t>P3 · Bakery Assistant</t>
        </is>
      </c>
      <c r="B8" s="34" t="n">
        <v>1</v>
      </c>
      <c r="C8" s="35" t="n">
        <v>0.5</v>
      </c>
      <c r="D8" s="22" t="inlineStr">
        <is>
          <t>Group 5</t>
        </is>
      </c>
      <c r="E8" s="15">
        <f>IFERROR(INDEX($E$15:$E$20,MATCH(D8,$A$15:$A$20,0)),"")</f>
        <v>1490.525</v>
      </c>
      <c r="F8" s="15">
        <f>IFERROR(E8*C8*B8,"")</f>
        <v>745.2625</v>
      </c>
      <c r="G8" s="15">
        <f>IFERROR(F8*'0. Assumptions'!$B$25,"")</f>
        <v>245.93662500000002</v>
      </c>
      <c r="H8" s="15">
        <f>IFERROR(F8+G8,"")</f>
        <v>991.1991250000001</v>
      </c>
      <c r="I8" s="15">
        <f>IFERROR(H8*MAX(12,'0. Assumptions'!$B$26),"")</f>
        <v>11894.389500000001</v>
      </c>
      <c r="J8" s="34" t="n">
        <v>20</v>
      </c>
      <c r="K8" s="5" t="inlineStr">
        <is>
          <t>PRODUCTION KITCHEN area · Morning shift (07:00-11:00)</t>
        </is>
      </c>
    </row>
    <row r="9">
      <c r="A9" t="inlineStr">
        <is>
          <t>P4 · Counter Associate A</t>
        </is>
      </c>
      <c r="B9" s="34" t="n">
        <v>1</v>
      </c>
      <c r="C9" s="35" t="n">
        <v>0.5</v>
      </c>
      <c r="D9" s="22" t="inlineStr">
        <is>
          <t>Group 4</t>
        </is>
      </c>
      <c r="E9" s="15">
        <f>IFERROR(INDEX($E$15:$E$20,MATCH(D9,$A$15:$A$20,0)),"")</f>
        <v>1561.775</v>
      </c>
      <c r="F9" s="15">
        <f>IFERROR(E9*C9*B9,"")</f>
        <v>780.8875</v>
      </c>
      <c r="G9" s="15">
        <f>IFERROR(F9*'0. Assumptions'!$B$25,"")</f>
        <v>257.692875</v>
      </c>
      <c r="H9" s="15">
        <f>IFERROR(F9+G9,"")</f>
        <v>1038.580375</v>
      </c>
      <c r="I9" s="15">
        <f>IFERROR(H9*MAX(12,'0. Assumptions'!$B$26),"")</f>
        <v>12462.9645</v>
      </c>
      <c r="J9" s="34" t="n">
        <v>20</v>
      </c>
      <c r="K9" s="5" t="inlineStr">
        <is>
          <t>FRONT COUNTER area · Morning shift (08:00-12:00)</t>
        </is>
      </c>
    </row>
    <row r="10">
      <c r="A10" t="inlineStr">
        <is>
          <t>P5 · Counter Associate B</t>
        </is>
      </c>
      <c r="B10" s="34" t="n">
        <v>1</v>
      </c>
      <c r="C10" s="35" t="n">
        <v>0.5</v>
      </c>
      <c r="D10" s="22" t="inlineStr">
        <is>
          <t>Group 4</t>
        </is>
      </c>
      <c r="E10" s="15">
        <f>IFERROR(INDEX($E$15:$E$20,MATCH(D10,$A$15:$A$20,0)),"")</f>
        <v>1561.775</v>
      </c>
      <c r="F10" s="15">
        <f>IFERROR(E10*C10*B10,"")</f>
        <v>780.8875</v>
      </c>
      <c r="G10" s="15">
        <f>IFERROR(F10*'0. Assumptions'!$B$25,"")</f>
        <v>257.692875</v>
      </c>
      <c r="H10" s="15">
        <f>IFERROR(F10+G10,"")</f>
        <v>1038.580375</v>
      </c>
      <c r="I10" s="15">
        <f>IFERROR(H10*MAX(12,'0. Assumptions'!$B$26),"")</f>
        <v>12462.9645</v>
      </c>
      <c r="J10" s="34" t="n">
        <v>20</v>
      </c>
      <c r="K10" s="5" t="inlineStr">
        <is>
          <t>FRONT COUNTER area · Afternoon shift (16:30-20:30)</t>
        </is>
      </c>
    </row>
    <row r="11">
      <c r="A11" s="23" t="inlineStr">
        <is>
          <t>TOTAL for the team</t>
        </is>
      </c>
      <c r="B11" s="36">
        <f>IFERROR(IF(COUNT(E6:E10)=0,"",SUM(B6:B10)),"")</f>
        <v>5.0</v>
      </c>
      <c r="C11" s="31">
        <f>IFERROR(IF(COUNT(E6:E10)=0,"",SUM(C6:C10)),"")</f>
        <v>3.5</v>
      </c>
      <c r="D11" s="23" t="n"/>
      <c r="E11" s="23" t="n"/>
      <c r="F11" s="24">
        <f>IFERROR(IF(COUNT(E6:E10)=0,"",SUM(F6:F10)),"")</f>
        <v>5813.0375</v>
      </c>
      <c r="G11" s="24">
        <f>IFERROR(IF(COUNT(E6:E10)=0,"",SUM(G6:G10)),"")</f>
        <v>1918.302375</v>
      </c>
      <c r="H11" s="24">
        <f>IFERROR(IF(COUNT(E6:E10)=0,"",SUM(H6:H10)),"")</f>
        <v>7731.339875</v>
      </c>
      <c r="I11" s="24">
        <f>IFERROR(IF(COUNT(E6:E10)=0,"",SUM(I6:I10)),"")</f>
        <v>92776.0785</v>
      </c>
      <c r="J11" s="36">
        <f>IFERROR(IF(COUNT(E6:E10)=0,"",SUM(J6:J10)),"")</f>
        <v>140.0</v>
      </c>
      <c r="K11" s="26" t="inlineStr">
        <is>
          <t>This "Annual employer cost" is the one the P&amp;L reads. There's no second staffing estimate anywhere in the workbook.</t>
        </is>
      </c>
    </row>
    <row r="12"/>
    <row r="13">
      <c r="A13" s="4" t="inlineStr">
        <is>
          <t>THE CASE'S WAGE TABLE (replace it with yours)</t>
        </is>
      </c>
    </row>
    <row r="14" ht="26" customHeight="1">
      <c r="A14" s="7" t="inlineStr">
        <is>
          <t>Group</t>
        </is>
      </c>
      <c r="B14" s="7" t="inlineStr">
        <is>
          <t>Name</t>
        </is>
      </c>
      <c r="E14" s="7" t="inlineStr">
        <is>
          <t>Monthly pay ($)</t>
        </is>
      </c>
      <c r="F14" s="7" t="inlineStr">
        <is>
          <t>Annual pay ($)</t>
        </is>
      </c>
      <c r="G14" s="7" t="inlineStr">
        <is>
          <t>Functional areas</t>
        </is>
      </c>
      <c r="I14" s="7" t="inlineStr">
        <is>
          <t>Roles the table lists</t>
        </is>
      </c>
    </row>
    <row r="15" ht="26" customHeight="1">
      <c r="A15" t="inlineStr">
        <is>
          <t>Group 1</t>
        </is>
      </c>
      <c r="B15" s="9" t="inlineStr">
        <is>
          <t>Office and administration (degree-level)</t>
        </is>
      </c>
      <c r="E15" s="14" t="n">
        <v>2167.3500000000004</v>
      </c>
      <c r="F15" s="15">
        <f>IFERROR(E15*MAX(12,'0. Assumptions'!$B$26),"")</f>
        <v>26008.200000000004</v>
      </c>
      <c r="G15" s="9" t="inlineStr">
        <is>
          <t>ADMINISTRATION</t>
        </is>
      </c>
      <c r="I15" s="9" t="inlineStr">
        <is>
          <t>-</t>
        </is>
      </c>
    </row>
    <row r="16" ht="26" customHeight="1">
      <c r="A16" t="inlineStr">
        <is>
          <t>Group 2</t>
        </is>
      </c>
      <c r="B16" s="9" t="inlineStr">
        <is>
          <t>Management and supervisors</t>
        </is>
      </c>
      <c r="E16" s="14" t="n">
        <v>1784.8625000000002</v>
      </c>
      <c r="F16" s="15">
        <f>IFERROR(E16*MAX(12,'0. Assumptions'!$B$26),"")</f>
        <v>21418.350000000002</v>
      </c>
      <c r="G16" s="9" t="inlineStr">
        <is>
          <t>PRODUCTION KITCHEN / FRONT COUNTER / ADMINISTRATION</t>
        </is>
      </c>
      <c r="I16" s="9" t="inlineStr">
        <is>
          <t>head of the production kitchen</t>
        </is>
      </c>
    </row>
    <row r="17" ht="26" customHeight="1">
      <c r="A17" t="inlineStr">
        <is>
          <t>Group 3</t>
        </is>
      </c>
      <c r="B17" s="9" t="inlineStr">
        <is>
          <t>Skilled specialists</t>
        </is>
      </c>
      <c r="E17" s="14" t="n">
        <v>1721.1375</v>
      </c>
      <c r="F17" s="15">
        <f>IFERROR(E17*MAX(12,'0. Assumptions'!$B$26),"")</f>
        <v>20653.65</v>
      </c>
      <c r="G17" s="9" t="inlineStr">
        <is>
          <t>PRODUCTION KITCHEN / FRONT COUNTER</t>
        </is>
      </c>
      <c r="I17" s="9" t="inlineStr">
        <is>
          <t>lead production baker, section lead, head counter associate</t>
        </is>
      </c>
    </row>
    <row r="18" ht="26" customHeight="1">
      <c r="A18" t="inlineStr">
        <is>
          <t>Group 4</t>
        </is>
      </c>
      <c r="B18" s="9" t="inlineStr">
        <is>
          <t>Qualified staff</t>
        </is>
      </c>
      <c r="E18" s="14" t="n">
        <v>1561.775</v>
      </c>
      <c r="F18" s="15">
        <f>IFERROR(E18*MAX(12,'0. Assumptions'!$B$26),"")</f>
        <v>18741.300000000003</v>
      </c>
      <c r="G18" s="9" t="inlineStr">
        <is>
          <t>PRODUCTION KITCHEN / FRONT COUNTER</t>
        </is>
      </c>
      <c r="I18" s="9" t="inlineStr">
        <is>
          <t>production baker, lead packer, counter associate, delivery driver</t>
        </is>
      </c>
    </row>
    <row r="19" ht="26" customHeight="1">
      <c r="A19" t="inlineStr">
        <is>
          <t>Group 5</t>
        </is>
      </c>
      <c r="B19" s="9" t="inlineStr">
        <is>
          <t>Support staff</t>
        </is>
      </c>
      <c r="E19" s="14" t="n">
        <v>1490.525</v>
      </c>
      <c r="F19" s="15">
        <f>IFERROR(E19*MAX(12,'0. Assumptions'!$B$26),"")</f>
        <v>17886.300000000003</v>
      </c>
      <c r="G19" s="9" t="inlineStr">
        <is>
          <t>PRODUCTION KITCHEN / FRONT COUNTER</t>
        </is>
      </c>
      <c r="I19" s="9" t="inlineStr">
        <is>
          <t>production assistant, finisher, counter assistant</t>
        </is>
      </c>
    </row>
    <row r="20" ht="26" customHeight="1">
      <c r="A20" t="inlineStr">
        <is>
          <t>Group 6</t>
        </is>
      </c>
      <c r="B20" s="9" t="inlineStr">
        <is>
          <t>Auxiliary services</t>
        </is>
      </c>
      <c r="E20" s="14" t="n">
        <v>1490.525</v>
      </c>
      <c r="F20" s="15">
        <f>IFERROR(E20*MAX(12,'0. Assumptions'!$B$26),"")</f>
        <v>17886.300000000003</v>
      </c>
      <c r="G20" s="9" t="inlineStr">
        <is>
          <t>PRODUCTION KITCHEN / FRONT COUNTER</t>
        </is>
      </c>
      <c r="I20" s="9" t="inlineStr">
        <is>
          <t>general laborer, cleaner, stock clerk</t>
        </is>
      </c>
    </row>
    <row r="21"/>
    <row r="22">
      <c r="A22" s="4" t="inlineStr">
        <is>
          <t>MINIMUM WAGE CHECK</t>
        </is>
      </c>
    </row>
    <row r="23">
      <c r="A23" t="inlineStr">
        <is>
          <t>Annual pay of the lowest grade ($)</t>
        </is>
      </c>
      <c r="B23" s="15">
        <f>IFERROR(IF(COUNT(F15:F20)=0,"",MIN(F15:F20)),"")</f>
        <v>17886.300000000003</v>
      </c>
    </row>
    <row r="24">
      <c r="A24" t="inlineStr">
        <is>
          <t>Annual minimum wage for reference ($)</t>
        </is>
      </c>
      <c r="B24" s="15">
        <f>IFERROR('0. Assumptions'!$B$27,"")</f>
        <v>15080.0</v>
      </c>
    </row>
    <row r="25">
      <c r="A25" t="inlineStr">
        <is>
          <t>Is any grade below the minimum wage?</t>
        </is>
      </c>
      <c r="B25" t="str">
        <f>IFERROR(IF(B23="","",IF(B23&lt;B24,"Yes: below the annual minimum wage","No: every grade is above the minimum you entered")),"")</f>
        <v>No: every grade is above the minimum you entered</v>
      </c>
      <c r="K25" s="5" t="inlineStr">
        <is>
          <t>The minimum here is the federal one ($7.25 an hour × 2,080 hours = $15,080 a year), which is also Texas's. Many states and cities set a higher one (California $16.90; New York $17.00 or $16.00 depending on the region; Florida $14.00 until September 29, 2026, so check FloridaCommerce for the current rate): at those rates, the case's wage table would be illegal. Put yours in "0. Assumptions".</t>
        </is>
      </c>
    </row>
    <row r="26"/>
    <row r="27">
      <c r="A27" s="4" t="inlineStr">
        <is>
          <t>HOURS AND STAFFING</t>
        </is>
      </c>
    </row>
    <row r="28">
      <c r="A28" t="inlineStr">
        <is>
          <t>Hours scheduled per week</t>
        </is>
      </c>
      <c r="B28" s="27">
        <f>IFERROR(J11,"")</f>
        <v>140.0</v>
      </c>
    </row>
    <row r="29">
      <c r="A29" t="inlineStr">
        <is>
          <t>Full-time equivalents (FTEs)</t>
        </is>
      </c>
      <c r="B29" s="20">
        <f>IFERROR(C11,"")</f>
        <v>3.5</v>
      </c>
    </row>
    <row r="30">
      <c r="A30" t="inlineStr">
        <is>
          <t>People scheduled for more hours than their FTE</t>
        </is>
      </c>
      <c r="B30" s="27">
        <f>IFERROR(SUMPRODUCT((J6:J10&gt;C6:C10*'0. Assumptions'!$B$28)*1),"")</f>
        <v>0.0</v>
      </c>
      <c r="K30" s="5" t="inlineStr">
        <is>
          <t>It has to read zero. If it turns red, someone hired part-time is working more hours than they're paid for: that isn't a saving, it's a wage claim waiting to happen.</t>
        </is>
      </c>
    </row>
    <row r="31"/>
    <row r="32" ht="44" customHeight="1">
      <c r="A32" s="5" t="inlineStr">
        <is>
          <t>Seasonal extra staff is NOT in this table: the peaks call for three more people at Three Kings Day and one or two at the other peaks, and that's sized and costed in seasonal-peaks-planner.xlsx and staff-schedule-and-labor-cost.xlsx. This is the STEADY team, the one that goes into the P&amp;L's fixed costs.</t>
        </is>
      </c>
    </row>
  </sheetData>
  <sheetProtection selectLockedCells="0" selectUnlockedCells="0" sheet="1" objects="0" insertRows="0" insertHyperlinks="1" autoFilter="1" scenarios="0" formatColumns="0" deleteColumns="1" insertColumns="1" pivotTables="1" deleteRows="1" formatCells="1" formatRows="0" sort="0"/>
  <mergeCells count="23">
    <mergeCell ref="G19:H19"/>
    <mergeCell ref="G14:H14"/>
    <mergeCell ref="G15:H15"/>
    <mergeCell ref="G17:H17"/>
    <mergeCell ref="B19:D19"/>
    <mergeCell ref="I15:K15"/>
    <mergeCell ref="I20:K20"/>
    <mergeCell ref="B15:D15"/>
    <mergeCell ref="A3:K3"/>
    <mergeCell ref="I14:K14"/>
    <mergeCell ref="B17:D17"/>
    <mergeCell ref="G20:H20"/>
    <mergeCell ref="I19:K19"/>
    <mergeCell ref="B18:D18"/>
    <mergeCell ref="B16:D16"/>
    <mergeCell ref="G18:H18"/>
    <mergeCell ref="I16:K16"/>
    <mergeCell ref="A32:K32"/>
    <mergeCell ref="G16:H16"/>
    <mergeCell ref="I18:K18"/>
    <mergeCell ref="B14:D14"/>
    <mergeCell ref="B20:D20"/>
    <mergeCell ref="I17:K17"/>
  </mergeCells>
  <conditionalFormatting sqref="B30">
    <cfRule type="expression" priority="1" dxfId="0" stopIfTrue="1">
      <formula>=AND(ISNUMBER($B$30),$B$30&gt;0)</formula>
    </cfRule>
  </conditionalFormatting>
  <dataValidations count="1">
    <dataValidation sqref="D6 D7 D8 D9 D10" showDropDown="0" showInputMessage="0" showErrorMessage="1" allowBlank="0" errorTitle="Choose a pay grade" error="Type one of the groups from the wage table below." type="list">
      <formula1>'Staff'!$A$15:$A$20</formula1>
    </dataValidation>
  </dataValidations>
  <pageMargins left="0.39" right="0.39" top="0.55" bottom="0.55"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O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5" customWidth="1" min="14" max="14"/>
    <col width="84" customWidth="1" min="15" max="15"/>
  </cols>
  <sheetData>
    <row r="1" ht="26" customHeight="1">
      <c r="A1" s="1" t="inlineStr">
        <is>
          <t>Cash Flow for the First 12 Months</t>
        </is>
      </c>
    </row>
    <row r="2">
      <c r="A2" s="2" t="inlineStr">
        <is>
          <t>AI Chef Pro · aichef.pro — How to Open a Pastry Shop</t>
        </is>
      </c>
    </row>
    <row r="3" ht="28" customHeight="1">
      <c r="A3" s="5" t="inlineStr">
        <is>
          <t>The P&amp;L says whether the business makes money; this sheet says whether it has the cash to reach the end of the month. It's the first one a lender looks at, and the one that has saved the most openings.</t>
        </is>
      </c>
    </row>
    <row r="4"/>
    <row r="5" ht="32" customHeight="1">
      <c r="A5" s="7" t="inlineStr">
        <is>
          <t>Line</t>
        </is>
      </c>
      <c r="B5" s="7" t="inlineStr">
        <is>
          <t>Month 1</t>
        </is>
      </c>
      <c r="C5" s="7" t="inlineStr">
        <is>
          <t>Month 2</t>
        </is>
      </c>
      <c r="D5" s="7" t="inlineStr">
        <is>
          <t>Month 3</t>
        </is>
      </c>
      <c r="E5" s="7" t="inlineStr">
        <is>
          <t>Month 4</t>
        </is>
      </c>
      <c r="F5" s="7" t="inlineStr">
        <is>
          <t>Month 5</t>
        </is>
      </c>
      <c r="G5" s="7" t="inlineStr">
        <is>
          <t>Month 6</t>
        </is>
      </c>
      <c r="H5" s="7" t="inlineStr">
        <is>
          <t>Month 7</t>
        </is>
      </c>
      <c r="I5" s="7" t="inlineStr">
        <is>
          <t>Month 8</t>
        </is>
      </c>
      <c r="J5" s="7" t="inlineStr">
        <is>
          <t>Month 9</t>
        </is>
      </c>
      <c r="K5" s="7" t="inlineStr">
        <is>
          <t>Month 10</t>
        </is>
      </c>
      <c r="L5" s="7" t="inlineStr">
        <is>
          <t>Month 11</t>
        </is>
      </c>
      <c r="M5" s="7" t="inlineStr">
        <is>
          <t>Month 12</t>
        </is>
      </c>
      <c r="N5" s="7" t="inlineStr">
        <is>
          <t>Year ($)</t>
        </is>
      </c>
      <c r="O5" s="7" t="inlineStr">
        <is>
          <t>Notes</t>
        </is>
      </c>
    </row>
    <row r="6">
      <c r="A6" t="inlineStr">
        <is>
          <t>Monthly seasonality (has to add up to 100%)</t>
        </is>
      </c>
      <c r="B6" s="18" t="n">
        <v>0.111667</v>
      </c>
      <c r="C6" s="18" t="n">
        <v>0.0775</v>
      </c>
      <c r="D6" s="18" t="n">
        <v>0.080833</v>
      </c>
      <c r="E6" s="18" t="n">
        <v>0.08666699999999999</v>
      </c>
      <c r="F6" s="18" t="n">
        <v>0.089167</v>
      </c>
      <c r="G6" s="18" t="n">
        <v>0.080833</v>
      </c>
      <c r="H6" s="18" t="n">
        <v>0.07083299999999999</v>
      </c>
      <c r="I6" s="18" t="n">
        <v>0.054167</v>
      </c>
      <c r="J6" s="18" t="n">
        <v>0.075833</v>
      </c>
      <c r="K6" s="18" t="n">
        <v>0.079167</v>
      </c>
      <c r="L6" s="18" t="n">
        <v>0.09</v>
      </c>
      <c r="M6" s="18" t="n">
        <v>0.103333</v>
      </c>
      <c r="N6" s="16">
        <f>IFERROR(SUM(B6:M6),"")</f>
        <v>1.0</v>
      </c>
      <c r="O6" s="5" t="inlineStr">
        <is>
          <t>January leads with Three Kings Day and December with the holidays; August is the low point. It's a mid-size city's profile: in a beach town, summer goes up. It has to add up to 100%, and the year cell tells you.</t>
        </is>
      </c>
    </row>
    <row r="7">
      <c r="A7" t="inlineStr">
        <is>
          <t>Ramp-up (% of steady-state activity)</t>
        </is>
      </c>
      <c r="B7" s="16">
        <f>IFERROR(MIN(1,'0. Assumptions'!$B$49+(1-'0. Assumptions'!$B$49)*0/MAX(1,'0. Assumptions'!$B$50-1)),"")</f>
        <v>0.55</v>
      </c>
      <c r="C7" s="16">
        <f>IFERROR(MIN(1,'0. Assumptions'!$B$49+(1-'0. Assumptions'!$B$49)*1/MAX(1,'0. Assumptions'!$B$50-1)),"")</f>
        <v>0.64</v>
      </c>
      <c r="D7" s="16">
        <f>IFERROR(MIN(1,'0. Assumptions'!$B$49+(1-'0. Assumptions'!$B$49)*2/MAX(1,'0. Assumptions'!$B$50-1)),"")</f>
        <v>0.73</v>
      </c>
      <c r="E7" s="16">
        <f>IFERROR(MIN(1,'0. Assumptions'!$B$49+(1-'0. Assumptions'!$B$49)*3/MAX(1,'0. Assumptions'!$B$50-1)),"")</f>
        <v>0.8200000000000001</v>
      </c>
      <c r="F7" s="16">
        <f>IFERROR(MIN(1,'0. Assumptions'!$B$49+(1-'0. Assumptions'!$B$49)*4/MAX(1,'0. Assumptions'!$B$50-1)),"")</f>
        <v>0.91</v>
      </c>
      <c r="G7" s="16">
        <f>IFERROR(MIN(1,'0. Assumptions'!$B$49+(1-'0. Assumptions'!$B$49)*5/MAX(1,'0. Assumptions'!$B$50-1)),"")</f>
        <v>1.0</v>
      </c>
      <c r="H7" s="16">
        <f>IFERROR(MIN(1,'0. Assumptions'!$B$49+(1-'0. Assumptions'!$B$49)*6/MAX(1,'0. Assumptions'!$B$50-1)),"")</f>
        <v>1.0</v>
      </c>
      <c r="I7" s="16">
        <f>IFERROR(MIN(1,'0. Assumptions'!$B$49+(1-'0. Assumptions'!$B$49)*7/MAX(1,'0. Assumptions'!$B$50-1)),"")</f>
        <v>1.0</v>
      </c>
      <c r="J7" s="16">
        <f>IFERROR(MIN(1,'0. Assumptions'!$B$49+(1-'0. Assumptions'!$B$49)*8/MAX(1,'0. Assumptions'!$B$50-1)),"")</f>
        <v>1.0</v>
      </c>
      <c r="K7" s="16">
        <f>IFERROR(MIN(1,'0. Assumptions'!$B$49+(1-'0. Assumptions'!$B$49)*9/MAX(1,'0. Assumptions'!$B$50-1)),"")</f>
        <v>1.0</v>
      </c>
      <c r="L7" s="16">
        <f>IFERROR(MIN(1,'0. Assumptions'!$B$49+(1-'0. Assumptions'!$B$49)*10/MAX(1,'0. Assumptions'!$B$50-1)),"")</f>
        <v>1.0</v>
      </c>
      <c r="M7" s="16">
        <f>IFERROR(MIN(1,'0. Assumptions'!$B$49+(1-'0. Assumptions'!$B$49)*11/MAX(1,'0. Assumptions'!$B$50-1)),"")</f>
        <v>1.0</v>
      </c>
      <c r="O7" s="5" t="inlineStr">
        <is>
          <t>It climbs in a straight line from the month-1 percentage to 100% over the months you set in "0. Assumptions". With 100% in month 1 the ramp-up disappears, and then you're projecting an opening that doesn't exist.</t>
        </is>
      </c>
    </row>
    <row r="8">
      <c r="A8" t="inlineStr">
        <is>
          <t>Share of activity by month (calculated)</t>
        </is>
      </c>
      <c r="B8" s="19">
        <f>IFERROR(B6*B7/SUMPRODUCT($B$6:$M$6,$B$7:$M$7),"")</f>
        <v>0.07007857201253516</v>
      </c>
      <c r="C8" s="19">
        <f>IFERROR(C6*C7/SUMPRODUCT($B$6:$M$6,$B$7:$M$7),"")</f>
        <v>0.05659517171300292</v>
      </c>
      <c r="D8" s="19">
        <f>IFERROR(D6*D7/SUMPRODUCT($B$6:$M$6,$B$7:$M$7),"")</f>
        <v>0.06733010052432117</v>
      </c>
      <c r="E8" s="19">
        <f>IFERROR(E6*E7/SUMPRODUCT($B$6:$M$6,$B$7:$M$7),"")</f>
        <v>0.08108963049229184</v>
      </c>
      <c r="F8" s="19">
        <f>IFERROR(F6*F7/SUMPRODUCT($B$6:$M$6,$B$7:$M$7),"")</f>
        <v>0.09258555897744619</v>
      </c>
      <c r="G8" s="19">
        <f>IFERROR(G6*G7/SUMPRODUCT($B$6:$M$6,$B$7:$M$7),"")</f>
        <v>0.09223301441687833</v>
      </c>
      <c r="H8" s="19">
        <f>IFERROR(H6*H7/SUMPRODUCT($B$6:$M$6,$B$7:$M$7),"")</f>
        <v>0.08082269753925676</v>
      </c>
      <c r="I8" s="19">
        <f>IFERROR(I6*I7/SUMPRODUCT($B$6:$M$6,$B$7:$M$7),"")</f>
        <v>0.061806263431012684</v>
      </c>
      <c r="J8" s="19">
        <f>IFERROR(J6*J7/SUMPRODUCT($B$6:$M$6,$B$7:$M$7),"")</f>
        <v>0.08652785597806754</v>
      </c>
      <c r="K8" s="19">
        <f>IFERROR(K6*K7/SUMPRODUCT($B$6:$M$6,$B$7:$M$7),"")</f>
        <v>0.09033205562506658</v>
      </c>
      <c r="L8" s="19">
        <f>IFERROR(L6*L7/SUMPRODUCT($B$6:$M$6,$B$7:$M$7),"")</f>
        <v>0.102692851898594</v>
      </c>
      <c r="M8" s="19">
        <f>IFERROR(M6*M7/SUMPRODUCT($B$6:$M$6,$B$7:$M$7),"")</f>
        <v>0.11790622739152683</v>
      </c>
      <c r="N8" s="16">
        <f>IFERROR(SUM(B8:M8),"")</f>
        <v>0.9999999999999999</v>
      </c>
      <c r="O8" s="5" t="inlineStr">
        <is>
          <t>Seasonality × ramp-up, normalized to 100%: the YEAR sells what the P&amp;L says, but spread the way reality spreads it.</t>
        </is>
      </c>
    </row>
    <row r="9">
      <c r="A9" s="4" t="inlineStr">
        <is>
          <t>COLLECTIONS</t>
        </is>
      </c>
      <c r="B9" s="11" t="inlineStr"/>
      <c r="C9" s="11" t="inlineStr"/>
      <c r="D9" s="11" t="inlineStr"/>
      <c r="E9" s="11" t="inlineStr"/>
      <c r="F9" s="11" t="inlineStr"/>
      <c r="G9" s="11" t="inlineStr"/>
      <c r="H9" s="11" t="inlineStr"/>
      <c r="I9" s="11" t="inlineStr"/>
      <c r="J9" s="11" t="inlineStr"/>
      <c r="K9" s="11" t="inlineStr"/>
      <c r="L9" s="11" t="inlineStr"/>
      <c r="M9" s="11" t="inlineStr"/>
      <c r="N9" s="11" t="inlineStr"/>
      <c r="O9" s="11" t="inlineStr"/>
    </row>
    <row r="10">
      <c r="A10" t="inlineStr">
        <is>
          <t>Sales collected (VAT/GST included where it applies; $0 of tax in the US)</t>
        </is>
      </c>
      <c r="B10" s="15">
        <f>IFERROR(IF('3-Year P&amp;L'!$B$11="","",'3-Year P&amp;L'!$B$11*(1+'0. Assumptions'!$B$20)*(B8*(1-'0. Assumptions'!$B$52/30))),"")</f>
        <v>18304.2500351034</v>
      </c>
      <c r="C10" s="15">
        <f>IFERROR(IF('3-Year P&amp;L'!$B$11="","",'3-Year P&amp;L'!$B$11*(1+'0. Assumptions'!$B$20)*(C8*(1-'0. Assumptions'!$B$52/30)+B8*('0. Assumptions'!$B$52/30))),"")</f>
        <v>16266.566779500132</v>
      </c>
      <c r="D10" s="15">
        <f>IFERROR(IF('3-Year P&amp;L'!$B$11="","",'3-Year P&amp;L'!$B$11*(1+'0. Assumptions'!$B$20)*(D8*(1-'0. Assumptions'!$B$52/30)+C8*('0. Assumptions'!$B$52/30))),"")</f>
        <v>18784.936074751873</v>
      </c>
      <c r="E10" s="15">
        <f>IFERROR(IF('3-Year P&amp;L'!$B$11="","",'3-Year P&amp;L'!$B$11*(1+'0. Assumptions'!$B$20)*(E8*(1-'0. Assumptions'!$B$52/30)+D8*('0. Assumptions'!$B$52/30))),"")</f>
        <v>22606.216699172073</v>
      </c>
      <c r="F10" s="15">
        <f>IFERROR(IF('3-Year P&amp;L'!$B$11="","",'3-Year P&amp;L'!$B$11*(1+'0. Assumptions'!$B$20)*(F8*(1-'0. Assumptions'!$B$52/30)+E8*('0. Assumptions'!$B$52/30))),"")</f>
        <v>25900.30862607972</v>
      </c>
      <c r="G10" s="15">
        <f>IFERROR(IF('3-Year P&amp;L'!$B$11="","",'3-Year P&amp;L'!$B$11*(1+'0. Assumptions'!$B$20)*(G8*(1-'0. Assumptions'!$B$52/30)+F8*('0. Assumptions'!$B$52/30))),"")</f>
        <v>26051.68685259807</v>
      </c>
      <c r="H10" s="15">
        <f>IFERROR(IF('3-Year P&amp;L'!$B$11="","",'3-Year P&amp;L'!$B$11*(1+'0. Assumptions'!$B$20)*(H8*(1-'0. Assumptions'!$B$52/30)+G8*('0. Assumptions'!$B$52/30))),"")</f>
        <v>23063.8903196111</v>
      </c>
      <c r="I10" s="15">
        <f>IFERROR(IF('3-Year P&amp;L'!$B$11="","",'3-Year P&amp;L'!$B$11*(1+'0. Assumptions'!$B$20)*(I8*(1-'0. Assumptions'!$B$52/30)+H8*('0. Assumptions'!$B$52/30))),"")</f>
        <v>17855.22340007226</v>
      </c>
      <c r="J10" s="15">
        <f>IFERROR(IF('3-Year P&amp;L'!$B$11="","",'3-Year P&amp;L'!$B$11*(1+'0. Assumptions'!$B$20)*(J8*(1-'0. Assumptions'!$B$52/30)+I8*('0. Assumptions'!$B$52/30))),"")</f>
        <v>23909.675845273552</v>
      </c>
      <c r="K10" s="15">
        <f>IFERROR(IF('3-Year P&amp;L'!$B$11="","",'3-Year P&amp;L'!$B$11*(1+'0. Assumptions'!$B$20)*(K8*(1-'0. Assumptions'!$B$52/30)+J8*('0. Assumptions'!$B$52/30))),"")</f>
        <v>25426.873407907366</v>
      </c>
      <c r="L10" s="15">
        <f>IFERROR(IF('3-Year P&amp;L'!$B$11="","",'3-Year P&amp;L'!$B$11*(1+'0. Assumptions'!$B$20)*(L8*(1-'0. Assumptions'!$B$52/30)+K8*('0. Assumptions'!$B$52/30))),"")</f>
        <v>28736.03082404444</v>
      </c>
      <c r="M10" s="15">
        <f>IFERROR(IF('3-Year P&amp;L'!$B$11="","",'3-Year P&amp;L'!$B$11*(1+'0. Assumptions'!$B$20)*(M8*(1-'0. Assumptions'!$B$52/30)+L8*('0. Assumptions'!$B$52/30))),"")</f>
        <v>32971.48295927833</v>
      </c>
      <c r="N10" s="15">
        <f>IFERROR(IF('3-Year P&amp;L'!$B$11="","",SUM(B10:M10)),"")</f>
        <v>279877.1418233923</v>
      </c>
      <c r="O10" s="5" t="inlineStr">
        <is>
          <t>The month's sales, with VAT/GST where it applies (none in the US case: its counter sales are exempt and the tax layer reads zero), adjusted for the average days to collect from the channels sheet. The counter collects on the spot; wholesale at 45 days.</t>
        </is>
      </c>
    </row>
    <row r="11">
      <c r="A11" s="4" t="inlineStr">
        <is>
          <t>PAYMENTS</t>
        </is>
      </c>
      <c r="B11" s="11" t="inlineStr"/>
      <c r="C11" s="11" t="inlineStr"/>
      <c r="D11" s="11" t="inlineStr"/>
      <c r="E11" s="11" t="inlineStr"/>
      <c r="F11" s="11" t="inlineStr"/>
      <c r="G11" s="11" t="inlineStr"/>
      <c r="H11" s="11" t="inlineStr"/>
      <c r="I11" s="11" t="inlineStr"/>
      <c r="J11" s="11" t="inlineStr"/>
      <c r="K11" s="11" t="inlineStr"/>
      <c r="L11" s="11" t="inlineStr"/>
      <c r="M11" s="11" t="inlineStr"/>
      <c r="N11" s="11" t="inlineStr"/>
      <c r="O11" s="11" t="inlineStr"/>
    </row>
    <row r="12">
      <c r="A12" t="inlineStr">
        <is>
          <t>Purchases and cost of sales (VAT/GST included where it applies)</t>
        </is>
      </c>
      <c r="B12" s="15">
        <f>IFERROR(IF('3-Year P&amp;L'!$B$11="","",-'3-Year P&amp;L'!$B$15*(1+'3-Year P&amp;L'!$F$15)*(B8*(1-'0. Assumptions'!$B$53/30))+0),"")</f>
        <v>0.0</v>
      </c>
      <c r="C12" s="15">
        <f>IFERROR(IF('3-Year P&amp;L'!$B$11="","",-'3-Year P&amp;L'!$B$15*(1+'3-Year P&amp;L'!$F$15)*(C8*(1-'0. Assumptions'!$B$53/30)+B8*('0. Assumptions'!$B$53/30))+0),"")</f>
        <v>-6332.28109322496</v>
      </c>
      <c r="D12" s="15">
        <f>IFERROR(IF('3-Year P&amp;L'!$B$11="","",-'3-Year P&amp;L'!$B$15*(1+'3-Year P&amp;L'!$F$15)*(D8*(1-'0. Assumptions'!$B$53/30)+C8*('0. Assumptions'!$B$53/30))+0),"")</f>
        <v>-5113.924635079103</v>
      </c>
      <c r="E12" s="15">
        <f>IFERROR(IF('3-Year P&amp;L'!$B$11="","",-'3-Year P&amp;L'!$B$15*(1+'3-Year P&amp;L'!$F$15)*(E8*(1-'0. Assumptions'!$B$53/30)+D8*('0. Assumptions'!$B$53/30))+0),"")</f>
        <v>-6083.929941934774</v>
      </c>
      <c r="F12" s="15">
        <f>IFERROR(IF('3-Year P&amp;L'!$B$11="","",-'3-Year P&amp;L'!$B$15*(1+'3-Year P&amp;L'!$F$15)*(F8*(1-'0. Assumptions'!$B$53/30)+E8*('0. Assumptions'!$B$53/30))+0),"")</f>
        <v>-7327.237403340493</v>
      </c>
      <c r="G12" s="15">
        <f>IFERROR(IF('3-Year P&amp;L'!$B$11="","",-'3-Year P&amp;L'!$B$15*(1+'3-Year P&amp;L'!$F$15)*(G8*(1-'0. Assumptions'!$B$53/30)+F8*('0. Assumptions'!$B$53/30))+0),"")</f>
        <v>-8366.006437940514</v>
      </c>
      <c r="H12" s="15">
        <f>IFERROR(IF('3-Year P&amp;L'!$B$11="","",-'3-Year P&amp;L'!$B$15*(1+'3-Year P&amp;L'!$F$15)*(H8*(1-'0. Assumptions'!$B$53/30)+G8*('0. Assumptions'!$B$53/30))+0),"")</f>
        <v>-8334.150605390103</v>
      </c>
      <c r="I12" s="15">
        <f>IFERROR(IF('3-Year P&amp;L'!$B$11="","",-'3-Year P&amp;L'!$B$15*(1+'3-Year P&amp;L'!$F$15)*(I8*(1-'0. Assumptions'!$B$53/30)+H8*('0. Assumptions'!$B$53/30))+0),"")</f>
        <v>-7303.117412833832</v>
      </c>
      <c r="J12" s="15">
        <f>IFERROR(IF('3-Year P&amp;L'!$B$11="","",-'3-Year P&amp;L'!$B$15*(1+'3-Year P&amp;L'!$F$15)*(J8*(1-'0. Assumptions'!$B$53/30)+I8*('0. Assumptions'!$B$53/30))+0),"")</f>
        <v>-5584.797494119552</v>
      </c>
      <c r="K12" s="15">
        <f>IFERROR(IF('3-Year P&amp;L'!$B$11="","",-'3-Year P&amp;L'!$B$15*(1+'3-Year P&amp;L'!$F$15)*(K8*(1-'0. Assumptions'!$B$53/30)+J8*('0. Assumptions'!$B$53/30))+0),"")</f>
        <v>-7818.634009111967</v>
      </c>
      <c r="L12" s="15">
        <f>IFERROR(IF('3-Year P&amp;L'!$B$11="","",-'3-Year P&amp;L'!$B$15*(1+'3-Year P&amp;L'!$F$15)*(L8*(1-'0. Assumptions'!$B$53/30)+K8*('0. Assumptions'!$B$53/30))+0),"")</f>
        <v>-8162.380475510228</v>
      </c>
      <c r="M12" s="15">
        <f>IFERROR(IF('3-Year P&amp;L'!$B$11="","",-'3-Year P&amp;L'!$B$15*(1+'3-Year P&amp;L'!$F$15)*(M8*(1-'0. Assumptions'!$B$53/30)+L8*('0. Assumptions'!$B$53/30))+0),"")</f>
        <v>-9279.298733006435</v>
      </c>
      <c r="N12" s="15">
        <f>IFERROR(IF('3-Year P&amp;L'!$B$11="","",SUM(B12:M12)),"")</f>
        <v>-79705.75824149196</v>
      </c>
      <c r="O12" s="5" t="inlineStr">
        <is>
          <t>With the average days to pay suppliers from "0. Assumptions". At 30 days, month 1 pays nothing: the supplier is financing your opening, and that's why losing that credit over a late payment costs so much.</t>
        </is>
      </c>
    </row>
    <row r="13">
      <c r="A13" t="inlineStr">
        <is>
          <t>Fixed operating costs (VAT/GST included where it applies)</t>
        </is>
      </c>
      <c r="B13" s="15">
        <f>IFERROR(IF('3-Year P&amp;L'!$B$11="","",-(('3-Year P&amp;L'!$B$33-'3-Year P&amp;L'!$B$19-'3-Year P&amp;L'!$B$31-'3-Year P&amp;L'!$B$32)+'3-Year P&amp;L'!$B$35)/12),"")</f>
        <v>-6185.000000000001</v>
      </c>
      <c r="C13" s="15">
        <f>IFERROR(IF('3-Year P&amp;L'!$B$11="","",-(('3-Year P&amp;L'!$B$33-'3-Year P&amp;L'!$B$19-'3-Year P&amp;L'!$B$31-'3-Year P&amp;L'!$B$32)+'3-Year P&amp;L'!$B$35)/12),"")</f>
        <v>-6185.000000000001</v>
      </c>
      <c r="D13" s="15">
        <f>IFERROR(IF('3-Year P&amp;L'!$B$11="","",-(('3-Year P&amp;L'!$B$33-'3-Year P&amp;L'!$B$19-'3-Year P&amp;L'!$B$31-'3-Year P&amp;L'!$B$32)+'3-Year P&amp;L'!$B$35)/12),"")</f>
        <v>-6185.000000000001</v>
      </c>
      <c r="E13" s="15">
        <f>IFERROR(IF('3-Year P&amp;L'!$B$11="","",-(('3-Year P&amp;L'!$B$33-'3-Year P&amp;L'!$B$19-'3-Year P&amp;L'!$B$31-'3-Year P&amp;L'!$B$32)+'3-Year P&amp;L'!$B$35)/12),"")</f>
        <v>-6185.000000000001</v>
      </c>
      <c r="F13" s="15">
        <f>IFERROR(IF('3-Year P&amp;L'!$B$11="","",-(('3-Year P&amp;L'!$B$33-'3-Year P&amp;L'!$B$19-'3-Year P&amp;L'!$B$31-'3-Year P&amp;L'!$B$32)+'3-Year P&amp;L'!$B$35)/12),"")</f>
        <v>-6185.000000000001</v>
      </c>
      <c r="G13" s="15">
        <f>IFERROR(IF('3-Year P&amp;L'!$B$11="","",-(('3-Year P&amp;L'!$B$33-'3-Year P&amp;L'!$B$19-'3-Year P&amp;L'!$B$31-'3-Year P&amp;L'!$B$32)+'3-Year P&amp;L'!$B$35)/12),"")</f>
        <v>-6185.000000000001</v>
      </c>
      <c r="H13" s="15">
        <f>IFERROR(IF('3-Year P&amp;L'!$B$11="","",-(('3-Year P&amp;L'!$B$33-'3-Year P&amp;L'!$B$19-'3-Year P&amp;L'!$B$31-'3-Year P&amp;L'!$B$32)+'3-Year P&amp;L'!$B$35)/12),"")</f>
        <v>-6185.000000000001</v>
      </c>
      <c r="I13" s="15">
        <f>IFERROR(IF('3-Year P&amp;L'!$B$11="","",-(('3-Year P&amp;L'!$B$33-'3-Year P&amp;L'!$B$19-'3-Year P&amp;L'!$B$31-'3-Year P&amp;L'!$B$32)+'3-Year P&amp;L'!$B$35)/12),"")</f>
        <v>-6185.000000000001</v>
      </c>
      <c r="J13" s="15">
        <f>IFERROR(IF('3-Year P&amp;L'!$B$11="","",-(('3-Year P&amp;L'!$B$33-'3-Year P&amp;L'!$B$19-'3-Year P&amp;L'!$B$31-'3-Year P&amp;L'!$B$32)+'3-Year P&amp;L'!$B$35)/12),"")</f>
        <v>-6185.000000000001</v>
      </c>
      <c r="K13" s="15">
        <f>IFERROR(IF('3-Year P&amp;L'!$B$11="","",-(('3-Year P&amp;L'!$B$33-'3-Year P&amp;L'!$B$19-'3-Year P&amp;L'!$B$31-'3-Year P&amp;L'!$B$32)+'3-Year P&amp;L'!$B$35)/12),"")</f>
        <v>-6185.000000000001</v>
      </c>
      <c r="L13" s="15">
        <f>IFERROR(IF('3-Year P&amp;L'!$B$11="","",-(('3-Year P&amp;L'!$B$33-'3-Year P&amp;L'!$B$19-'3-Year P&amp;L'!$B$31-'3-Year P&amp;L'!$B$32)+'3-Year P&amp;L'!$B$35)/12),"")</f>
        <v>-6185.000000000001</v>
      </c>
      <c r="M13" s="15">
        <f>IFERROR(IF('3-Year P&amp;L'!$B$11="","",-(('3-Year P&amp;L'!$B$33-'3-Year P&amp;L'!$B$19-'3-Year P&amp;L'!$B$31-'3-Year P&amp;L'!$B$32)+'3-Year P&amp;L'!$B$35)/12),"")</f>
        <v>-6185.000000000001</v>
      </c>
      <c r="N13" s="15">
        <f>IFERROR(IF('3-Year P&amp;L'!$B$11="","",SUM(B13:M13)),"")</f>
        <v>-74220.00000000001</v>
      </c>
      <c r="O13" s="5" t="inlineStr">
        <is>
          <t>The fixed costs that leave your cash, each with its VAT/GST rate where it applies: without payroll (below), without depreciation (not paid out) and without interest (separate).</t>
        </is>
      </c>
    </row>
    <row r="14">
      <c r="A14" t="inlineStr">
        <is>
          <t>Payroll (wages plus payroll taxes, workers' comp and benefits)</t>
        </is>
      </c>
      <c r="B14" s="15">
        <f>IFERROR(IF('3-Year P&amp;L'!$B$11="","",-'3-Year P&amp;L'!$B$19/MAX(12,'0. Assumptions'!$B$26)*(1+IF(1='0. Assumptions'!$B$54,1,0)+IF(1='0. Assumptions'!$B$55,1,0)+IF(1='0. Assumptions'!$B$56,1,0))),"")</f>
        <v>-7731.339875000001</v>
      </c>
      <c r="C14" s="15">
        <f>IFERROR(IF('3-Year P&amp;L'!$B$11="","",-'3-Year P&amp;L'!$B$19/MAX(12,'0. Assumptions'!$B$26)*(1+IF(2='0. Assumptions'!$B$54,1,0)+IF(2='0. Assumptions'!$B$55,1,0)+IF(2='0. Assumptions'!$B$56,1,0))),"")</f>
        <v>-7731.339875000001</v>
      </c>
      <c r="D14" s="15">
        <f>IFERROR(IF('3-Year P&amp;L'!$B$11="","",-'3-Year P&amp;L'!$B$19/MAX(12,'0. Assumptions'!$B$26)*(1+IF(3='0. Assumptions'!$B$54,1,0)+IF(3='0. Assumptions'!$B$55,1,0)+IF(3='0. Assumptions'!$B$56,1,0))),"")</f>
        <v>-7731.339875000001</v>
      </c>
      <c r="E14" s="15">
        <f>IFERROR(IF('3-Year P&amp;L'!$B$11="","",-'3-Year P&amp;L'!$B$19/MAX(12,'0. Assumptions'!$B$26)*(1+IF(4='0. Assumptions'!$B$54,1,0)+IF(4='0. Assumptions'!$B$55,1,0)+IF(4='0. Assumptions'!$B$56,1,0))),"")</f>
        <v>-7731.339875000001</v>
      </c>
      <c r="F14" s="15">
        <f>IFERROR(IF('3-Year P&amp;L'!$B$11="","",-'3-Year P&amp;L'!$B$19/MAX(12,'0. Assumptions'!$B$26)*(1+IF(5='0. Assumptions'!$B$54,1,0)+IF(5='0. Assumptions'!$B$55,1,0)+IF(5='0. Assumptions'!$B$56,1,0))),"")</f>
        <v>-7731.339875000001</v>
      </c>
      <c r="G14" s="15">
        <f>IFERROR(IF('3-Year P&amp;L'!$B$11="","",-'3-Year P&amp;L'!$B$19/MAX(12,'0. Assumptions'!$B$26)*(1+IF(6='0. Assumptions'!$B$54,1,0)+IF(6='0. Assumptions'!$B$55,1,0)+IF(6='0. Assumptions'!$B$56,1,0))),"")</f>
        <v>-7731.339875000001</v>
      </c>
      <c r="H14" s="15">
        <f>IFERROR(IF('3-Year P&amp;L'!$B$11="","",-'3-Year P&amp;L'!$B$19/MAX(12,'0. Assumptions'!$B$26)*(1+IF(7='0. Assumptions'!$B$54,1,0)+IF(7='0. Assumptions'!$B$55,1,0)+IF(7='0. Assumptions'!$B$56,1,0))),"")</f>
        <v>-7731.339875000001</v>
      </c>
      <c r="I14" s="15">
        <f>IFERROR(IF('3-Year P&amp;L'!$B$11="","",-'3-Year P&amp;L'!$B$19/MAX(12,'0. Assumptions'!$B$26)*(1+IF(8='0. Assumptions'!$B$54,1,0)+IF(8='0. Assumptions'!$B$55,1,0)+IF(8='0. Assumptions'!$B$56,1,0))),"")</f>
        <v>-7731.339875000001</v>
      </c>
      <c r="J14" s="15">
        <f>IFERROR(IF('3-Year P&amp;L'!$B$11="","",-'3-Year P&amp;L'!$B$19/MAX(12,'0. Assumptions'!$B$26)*(1+IF(9='0. Assumptions'!$B$54,1,0)+IF(9='0. Assumptions'!$B$55,1,0)+IF(9='0. Assumptions'!$B$56,1,0))),"")</f>
        <v>-7731.339875000001</v>
      </c>
      <c r="K14" s="15">
        <f>IFERROR(IF('3-Year P&amp;L'!$B$11="","",-'3-Year P&amp;L'!$B$19/MAX(12,'0. Assumptions'!$B$26)*(1+IF(10='0. Assumptions'!$B$54,1,0)+IF(10='0. Assumptions'!$B$55,1,0)+IF(10='0. Assumptions'!$B$56,1,0))),"")</f>
        <v>-7731.339875000001</v>
      </c>
      <c r="L14" s="15">
        <f>IFERROR(IF('3-Year P&amp;L'!$B$11="","",-'3-Year P&amp;L'!$B$19/MAX(12,'0. Assumptions'!$B$26)*(1+IF(11='0. Assumptions'!$B$54,1,0)+IF(11='0. Assumptions'!$B$55,1,0)+IF(11='0. Assumptions'!$B$56,1,0))),"")</f>
        <v>-7731.339875000001</v>
      </c>
      <c r="M14" s="15">
        <f>IFERROR(IF('3-Year P&amp;L'!$B$11="","",-'3-Year P&amp;L'!$B$19/MAX(12,'0. Assumptions'!$B$26)*(1+IF(12='0. Assumptions'!$B$54,1,0)+IF(12='0. Assumptions'!$B$55,1,0)+IF(12='0. Assumptions'!$B$56,1,0))),"")</f>
        <v>-7731.339875000001</v>
      </c>
      <c r="N14" s="15">
        <f>IFERROR(IF('3-Year P&amp;L'!$B$11="","",SUM(B14:M14)),"")</f>
        <v>-92776.0785</v>
      </c>
      <c r="O14" s="5" t="inlineStr">
        <is>
          <t>12 equal payrolls: no extra-pay months, so no month comes out double (the extra-pay months in "0. Assumptions" are set to 0).</t>
        </is>
      </c>
    </row>
    <row r="15">
      <c r="A15" t="inlineStr">
        <is>
          <t>Loan interest</t>
        </is>
      </c>
      <c r="B15" s="15">
        <f>IFERROR(IF('3-Year P&amp;L'!$B$11="","",-IF('Financing'!C26="",0,'Financing'!C26)),"")</f>
        <v>-310.0</v>
      </c>
      <c r="C15" s="15">
        <f>IFERROR(IF('3-Year P&amp;L'!$B$11="","",-IF('Financing'!C27="",0,'Financing'!C27)),"")</f>
        <v>-310.0</v>
      </c>
      <c r="D15" s="15">
        <f>IFERROR(IF('3-Year P&amp;L'!$B$11="","",-IF('Financing'!C28="",0,'Financing'!C28)),"")</f>
        <v>-310.0</v>
      </c>
      <c r="E15" s="15">
        <f>IFERROR(IF('3-Year P&amp;L'!$B$11="","",-IF('Financing'!C29="",0,'Financing'!C29)),"")</f>
        <v>-310.0</v>
      </c>
      <c r="F15" s="15">
        <f>IFERROR(IF('3-Year P&amp;L'!$B$11="","",-IF('Financing'!C30="",0,'Financing'!C30)),"")</f>
        <v>-310.0</v>
      </c>
      <c r="G15" s="15">
        <f>IFERROR(IF('3-Year P&amp;L'!$B$11="","",-IF('Financing'!C31="",0,'Financing'!C31)),"")</f>
        <v>-310.0</v>
      </c>
      <c r="H15" s="15">
        <f>IFERROR(IF('3-Year P&amp;L'!$B$11="","",-IF('Financing'!C32="",0,'Financing'!C32)),"")</f>
        <v>-310.0</v>
      </c>
      <c r="I15" s="15">
        <f>IFERROR(IF('3-Year P&amp;L'!$B$11="","",-IF('Financing'!C33="",0,'Financing'!C33)),"")</f>
        <v>-306.7627091792801</v>
      </c>
      <c r="J15" s="15">
        <f>IFERROR(IF('3-Year P&amp;L'!$B$11="","",-IF('Financing'!C34="",0,'Financing'!C34)),"")</f>
        <v>-303.5086923559864</v>
      </c>
      <c r="K15" s="15">
        <f>IFERROR(IF('3-Year P&amp;L'!$B$11="","",-IF('Financing'!C35="",0,'Financing'!C35)),"")</f>
        <v>-300.2378631124391</v>
      </c>
      <c r="L15" s="15">
        <f>IFERROR(IF('3-Year P&amp;L'!$B$11="","",-IF('Financing'!C36="",0,'Financing'!C36)),"")</f>
        <v>-296.9501345844667</v>
      </c>
      <c r="M15" s="15">
        <f>IFERROR(IF('3-Year P&amp;L'!$B$11="","",-IF('Financing'!C37="",0,'Financing'!C37)),"")</f>
        <v>-293.6454194590998</v>
      </c>
      <c r="N15" s="15">
        <f>IFERROR(IF('3-Year P&amp;L'!$B$11="","",SUM(B15:M15)),"")</f>
        <v>-3671.104818691272</v>
      </c>
    </row>
    <row r="16">
      <c r="A16" t="inlineStr">
        <is>
          <t>Loan principal repaid</t>
        </is>
      </c>
      <c r="B16" s="15">
        <f>IFERROR(IF('3-Year P&amp;L'!$B$11="","",-IF('Financing'!D26="",0,'Financing'!D26)),"")</f>
        <v>0.0</v>
      </c>
      <c r="C16" s="15">
        <f>IFERROR(IF('3-Year P&amp;L'!$B$11="","",-IF('Financing'!D27="",0,'Financing'!D27)),"")</f>
        <v>0.0</v>
      </c>
      <c r="D16" s="15">
        <f>IFERROR(IF('3-Year P&amp;L'!$B$11="","",-IF('Financing'!D28="",0,'Financing'!D28)),"")</f>
        <v>0.0</v>
      </c>
      <c r="E16" s="15">
        <f>IFERROR(IF('3-Year P&amp;L'!$B$11="","",-IF('Financing'!D29="",0,'Financing'!D29)),"")</f>
        <v>0.0</v>
      </c>
      <c r="F16" s="15">
        <f>IFERROR(IF('3-Year P&amp;L'!$B$11="","",-IF('Financing'!D30="",0,'Financing'!D30)),"")</f>
        <v>0.0</v>
      </c>
      <c r="G16" s="15">
        <f>IFERROR(IF('3-Year P&amp;L'!$B$11="","",-IF('Financing'!D31="",0,'Financing'!D31)),"")</f>
        <v>0.0</v>
      </c>
      <c r="H16" s="15">
        <f>IFERROR(IF('3-Year P&amp;L'!$B$11="","",-IF('Financing'!D32="",0,'Financing'!D32)),"")</f>
        <v>-626.5724169135384</v>
      </c>
      <c r="I16" s="15">
        <f>IFERROR(IF('3-Year P&amp;L'!$B$11="","",-IF('Financing'!D33="",0,'Financing'!D33)),"")</f>
        <v>-629.8097077342584</v>
      </c>
      <c r="J16" s="15">
        <f>IFERROR(IF('3-Year P&amp;L'!$B$11="","",-IF('Financing'!D34="",0,'Financing'!D34)),"")</f>
        <v>-633.063724557552</v>
      </c>
      <c r="K16" s="15">
        <f>IFERROR(IF('3-Year P&amp;L'!$B$11="","",-IF('Financing'!D35="",0,'Financing'!D35)),"")</f>
        <v>-636.3345538010993</v>
      </c>
      <c r="L16" s="15">
        <f>IFERROR(IF('3-Year P&amp;L'!$B$11="","",-IF('Financing'!D36="",0,'Financing'!D36)),"")</f>
        <v>-639.6222823290717</v>
      </c>
      <c r="M16" s="15">
        <f>IFERROR(IF('3-Year P&amp;L'!$B$11="","",-IF('Financing'!D37="",0,'Financing'!D37)),"")</f>
        <v>-642.9269974544386</v>
      </c>
      <c r="N16" s="15">
        <f>IFERROR(IF('3-Year P&amp;L'!$B$11="","",SUM(B16:M16)),"")</f>
        <v>-3808.3296827899585</v>
      </c>
      <c r="O16" s="5" t="inlineStr">
        <is>
          <t>It comes from the MONTHLY schedule on the "Financing" sheet. During the interest-only months this row is zero, and that's exactly the effect you negotiate with the lender.</t>
        </is>
      </c>
    </row>
    <row r="17">
      <c r="A17" t="inlineStr">
        <is>
          <t>Output VAT/GST for the month (memo; UK, Canada and Australia only; $0 in the US)</t>
        </is>
      </c>
      <c r="B17" s="15">
        <f>IFERROR(IF('3-Year P&amp;L'!$B$11="","",'3-Year P&amp;L'!$B$11*B8*'0. Assumptions'!$B$20),"")</f>
        <v>0.0</v>
      </c>
      <c r="C17" s="15">
        <f>IFERROR(IF('3-Year P&amp;L'!$B$11="","",'3-Year P&amp;L'!$B$11*C8*'0. Assumptions'!$B$20),"")</f>
        <v>0.0</v>
      </c>
      <c r="D17" s="15">
        <f>IFERROR(IF('3-Year P&amp;L'!$B$11="","",'3-Year P&amp;L'!$B$11*D8*'0. Assumptions'!$B$20),"")</f>
        <v>0.0</v>
      </c>
      <c r="E17" s="15">
        <f>IFERROR(IF('3-Year P&amp;L'!$B$11="","",'3-Year P&amp;L'!$B$11*E8*'0. Assumptions'!$B$20),"")</f>
        <v>0.0</v>
      </c>
      <c r="F17" s="15">
        <f>IFERROR(IF('3-Year P&amp;L'!$B$11="","",'3-Year P&amp;L'!$B$11*F8*'0. Assumptions'!$B$20),"")</f>
        <v>0.0</v>
      </c>
      <c r="G17" s="15">
        <f>IFERROR(IF('3-Year P&amp;L'!$B$11="","",'3-Year P&amp;L'!$B$11*G8*'0. Assumptions'!$B$20),"")</f>
        <v>0.0</v>
      </c>
      <c r="H17" s="15">
        <f>IFERROR(IF('3-Year P&amp;L'!$B$11="","",'3-Year P&amp;L'!$B$11*H8*'0. Assumptions'!$B$20),"")</f>
        <v>0.0</v>
      </c>
      <c r="I17" s="15">
        <f>IFERROR(IF('3-Year P&amp;L'!$B$11="","",'3-Year P&amp;L'!$B$11*I8*'0. Assumptions'!$B$20),"")</f>
        <v>0.0</v>
      </c>
      <c r="J17" s="15">
        <f>IFERROR(IF('3-Year P&amp;L'!$B$11="","",'3-Year P&amp;L'!$B$11*J8*'0. Assumptions'!$B$20),"")</f>
        <v>0.0</v>
      </c>
      <c r="K17" s="15">
        <f>IFERROR(IF('3-Year P&amp;L'!$B$11="","",'3-Year P&amp;L'!$B$11*K8*'0. Assumptions'!$B$20),"")</f>
        <v>0.0</v>
      </c>
      <c r="L17" s="15">
        <f>IFERROR(IF('3-Year P&amp;L'!$B$11="","",'3-Year P&amp;L'!$B$11*L8*'0. Assumptions'!$B$20),"")</f>
        <v>0.0</v>
      </c>
      <c r="M17" s="15">
        <f>IFERROR(IF('3-Year P&amp;L'!$B$11="","",'3-Year P&amp;L'!$B$11*M8*'0. Assumptions'!$B$20),"")</f>
        <v>0.0</v>
      </c>
      <c r="N17" s="15">
        <f>IFERROR(IF('3-Year P&amp;L'!$B$11="","",SUM(B17:M17)),"")</f>
        <v>0.0</v>
      </c>
    </row>
    <row r="18">
      <c r="A18" t="inlineStr">
        <is>
          <t>Input VAT/GST for the month (memo; UK, Canada and Australia only; $0 in the US)</t>
        </is>
      </c>
      <c r="B18" s="15">
        <f>IFERROR(IF('3-Year P&amp;L'!$B$11="","",'3-Year P&amp;L'!$B$34*B8+'3-Year P&amp;L'!$B$35/12),"")</f>
        <v>0.0</v>
      </c>
      <c r="C18" s="15">
        <f>IFERROR(IF('3-Year P&amp;L'!$B$11="","",'3-Year P&amp;L'!$B$34*C8+'3-Year P&amp;L'!$B$35/12),"")</f>
        <v>0.0</v>
      </c>
      <c r="D18" s="15">
        <f>IFERROR(IF('3-Year P&amp;L'!$B$11="","",'3-Year P&amp;L'!$B$34*D8+'3-Year P&amp;L'!$B$35/12),"")</f>
        <v>0.0</v>
      </c>
      <c r="E18" s="15">
        <f>IFERROR(IF('3-Year P&amp;L'!$B$11="","",'3-Year P&amp;L'!$B$34*E8+'3-Year P&amp;L'!$B$35/12),"")</f>
        <v>0.0</v>
      </c>
      <c r="F18" s="15">
        <f>IFERROR(IF('3-Year P&amp;L'!$B$11="","",'3-Year P&amp;L'!$B$34*F8+'3-Year P&amp;L'!$B$35/12),"")</f>
        <v>0.0</v>
      </c>
      <c r="G18" s="15">
        <f>IFERROR(IF('3-Year P&amp;L'!$B$11="","",'3-Year P&amp;L'!$B$34*G8+'3-Year P&amp;L'!$B$35/12),"")</f>
        <v>0.0</v>
      </c>
      <c r="H18" s="15">
        <f>IFERROR(IF('3-Year P&amp;L'!$B$11="","",'3-Year P&amp;L'!$B$34*H8+'3-Year P&amp;L'!$B$35/12),"")</f>
        <v>0.0</v>
      </c>
      <c r="I18" s="15">
        <f>IFERROR(IF('3-Year P&amp;L'!$B$11="","",'3-Year P&amp;L'!$B$34*I8+'3-Year P&amp;L'!$B$35/12),"")</f>
        <v>0.0</v>
      </c>
      <c r="J18" s="15">
        <f>IFERROR(IF('3-Year P&amp;L'!$B$11="","",'3-Year P&amp;L'!$B$34*J8+'3-Year P&amp;L'!$B$35/12),"")</f>
        <v>0.0</v>
      </c>
      <c r="K18" s="15">
        <f>IFERROR(IF('3-Year P&amp;L'!$B$11="","",'3-Year P&amp;L'!$B$34*K8+'3-Year P&amp;L'!$B$35/12),"")</f>
        <v>0.0</v>
      </c>
      <c r="L18" s="15">
        <f>IFERROR(IF('3-Year P&amp;L'!$B$11="","",'3-Year P&amp;L'!$B$34*L8+'3-Year P&amp;L'!$B$35/12),"")</f>
        <v>0.0</v>
      </c>
      <c r="M18" s="15">
        <f>IFERROR(IF('3-Year P&amp;L'!$B$11="","",'3-Year P&amp;L'!$B$34*M8+'3-Year P&amp;L'!$B$35/12),"")</f>
        <v>0.0</v>
      </c>
      <c r="N18" s="15">
        <f>IFERROR(IF('3-Year P&amp;L'!$B$11="","",SUM(B18:M18)),"")</f>
        <v>0.0</v>
      </c>
    </row>
    <row r="19">
      <c r="A19" t="inlineStr">
        <is>
          <t>VAT/GST to carry forward, investment included (memo; UK, Canada and Australia only; $0 in the US)</t>
        </is>
      </c>
      <c r="E19" s="15">
        <f>IFERROR(IF('3-Year P&amp;L'!$B$11="","",'Startup Investment'!$B$21),"")</f>
        <v>0.0</v>
      </c>
      <c r="H19" s="15">
        <f>IFERROR(IF('3-Year P&amp;L'!$B$11="","",MAX(0,-E20)),"")</f>
        <v>0.0</v>
      </c>
      <c r="K19" s="15">
        <f>IFERROR(IF('3-Year P&amp;L'!$B$11="","",MAX(0,-H20)),"")</f>
        <v>0.0</v>
      </c>
      <c r="O19" s="5" t="inlineStr">
        <is>
          <t>The VAT/GST paid on the INVESTMENT comes in here and is offset against the tax you collect in the following quarters (UK, Canada, Australia). In the US this row is $0: sales tax on what you buy is a cost and is already inside each line's amount.</t>
        </is>
      </c>
    </row>
    <row r="20">
      <c r="A20" t="inlineStr">
        <is>
          <t>Result of the quarterly VAT/GST return (UK, Canada and Australia only)</t>
        </is>
      </c>
      <c r="E20" s="15">
        <f>IFERROR(IF('3-Year P&amp;L'!$B$11="","",SUM(B17:D17)-SUM(B18:D18)-E19),"")</f>
        <v>0.0</v>
      </c>
      <c r="H20" s="15">
        <f>IFERROR(IF('3-Year P&amp;L'!$B$11="","",SUM(E17:G17)-SUM(E18:G18)-H19),"")</f>
        <v>0.0</v>
      </c>
      <c r="K20" s="15">
        <f>IFERROR(IF('3-Year P&amp;L'!$B$11="","",SUM(H17:J17)-SUM(H18:J18)-K19),"")</f>
        <v>0.0</v>
      </c>
    </row>
    <row r="21">
      <c r="A21" t="inlineStr">
        <is>
          <t>VAT/GST payment on your return (UK, Canada and Australia only; $0 in the US)</t>
        </is>
      </c>
      <c r="E21" s="15">
        <f>IFERROR(IF('3-Year P&amp;L'!$B$11="","",IF(E20&lt;=0,"",-E20)),"")</f>
      </c>
      <c r="H21" s="15">
        <f>IFERROR(IF('3-Year P&amp;L'!$B$11="","",IF(H20&lt;=0,"",-H20)),"")</f>
      </c>
      <c r="K21" s="15">
        <f>IFERROR(IF('3-Year P&amp;L'!$B$11="","",IF(K20&lt;=0,"",-K20)),"")</f>
      </c>
      <c r="N21" s="15">
        <f>IFERROR(IF('3-Year P&amp;L'!$B$11="","",IF(E21="",0,E21)+IF(H21="",0,H21)+IF(K21="",0,K21)),"")</f>
        <v>0.0</v>
      </c>
      <c r="O21" s="5" t="inlineStr">
        <is>
          <t>Cash only goes out when the quarter's result is positive. Months with no return are left BLANK, not zero: zero would mean "I filed and paid nothing", which is something else. The fourth quarter is filed after month 12, so it doesn't show up here. Your filing schedule is the one your tax agency gives you.</t>
        </is>
      </c>
    </row>
    <row r="22">
      <c r="A22" s="23" t="inlineStr">
        <is>
          <t>NET CASH FLOW FOR THE MONTH</t>
        </is>
      </c>
      <c r="B22" s="24">
        <f>IFERROR(IF('3-Year P&amp;L'!$B$11="","",SUM(B10:B16)+IF(B21="",0,B21)),"")</f>
        <v>4077.910160103399</v>
      </c>
      <c r="C22" s="24">
        <f>IFERROR(IF('3-Year P&amp;L'!$B$11="","",SUM(C10:C16)+IF(C21="",0,C21)),"")</f>
        <v>-4292.054188724829</v>
      </c>
      <c r="D22" s="24">
        <f>IFERROR(IF('3-Year P&amp;L'!$B$11="","",SUM(D10:D16)+IF(D21="",0,D21)),"")</f>
        <v>-555.328435327232</v>
      </c>
      <c r="E22" s="24">
        <f>IFERROR(IF('3-Year P&amp;L'!$B$11="","",SUM(E10:E16)+IF(E21="",0,E21)),"")</f>
        <v>2295.946882237299</v>
      </c>
      <c r="F22" s="24">
        <f>IFERROR(IF('3-Year P&amp;L'!$B$11="","",SUM(F10:F16)+IF(F21="",0,F21)),"")</f>
        <v>4346.731347739228</v>
      </c>
      <c r="G22" s="24">
        <f>IFERROR(IF('3-Year P&amp;L'!$B$11="","",SUM(G10:G16)+IF(G21="",0,G21)),"")</f>
        <v>3459.340539657559</v>
      </c>
      <c r="H22" s="24">
        <f>IFERROR(IF('3-Year P&amp;L'!$B$11="","",SUM(H10:H16)+IF(H21="",0,H21)),"")</f>
        <v>-123.17257769254331</v>
      </c>
      <c r="I22" s="24">
        <f>IFERROR(IF('3-Year P&amp;L'!$B$11="","",SUM(I10:I16)+IF(I21="",0,I21)),"")</f>
        <v>-4300.806304675111</v>
      </c>
      <c r="J22" s="24">
        <f>IFERROR(IF('3-Year P&amp;L'!$B$11="","",SUM(J10:J16)+IF(J21="",0,J21)),"")</f>
        <v>3471.9660592404634</v>
      </c>
      <c r="K22" s="24">
        <f>IFERROR(IF('3-Year P&amp;L'!$B$11="","",SUM(K10:K16)+IF(K21="",0,K21)),"")</f>
        <v>2755.327106881859</v>
      </c>
      <c r="L22" s="24">
        <f>IFERROR(IF('3-Year P&amp;L'!$B$11="","",SUM(L10:L16)+IF(L21="",0,L21)),"")</f>
        <v>5720.738056620672</v>
      </c>
      <c r="M22" s="24">
        <f>IFERROR(IF('3-Year P&amp;L'!$B$11="","",SUM(M10:M16)+IF(M21="",0,M21)),"")</f>
        <v>8839.271934358352</v>
      </c>
      <c r="N22" s="24">
        <f>IFERROR(IF('3-Year P&amp;L'!$B$11="","",SUM(B22:M22)),"")</f>
        <v>25695.870580419116</v>
      </c>
      <c r="O22" s="23" t="n"/>
    </row>
    <row r="23">
      <c r="A23" s="23" t="inlineStr">
        <is>
          <t>CUMULATIVE CASH BALANCE</t>
        </is>
      </c>
      <c r="B23" s="24">
        <f>IFERROR(IF('3-Year P&amp;L'!$B$11="","",'Startup Investment'!$B$18+B22),"")</f>
        <v>66193.17198036777</v>
      </c>
      <c r="C23" s="24">
        <f>IFERROR(IF('3-Year P&amp;L'!$B$11="","",B23+C22),"")</f>
        <v>61901.117791642944</v>
      </c>
      <c r="D23" s="24">
        <f>IFERROR(IF('3-Year P&amp;L'!$B$11="","",C23+D22),"")</f>
        <v>61345.78935631571</v>
      </c>
      <c r="E23" s="24">
        <f>IFERROR(IF('3-Year P&amp;L'!$B$11="","",D23+E22),"")</f>
        <v>63641.736238553014</v>
      </c>
      <c r="F23" s="24">
        <f>IFERROR(IF('3-Year P&amp;L'!$B$11="","",E23+F22),"")</f>
        <v>67988.46758629224</v>
      </c>
      <c r="G23" s="24">
        <f>IFERROR(IF('3-Year P&amp;L'!$B$11="","",F23+G22),"")</f>
        <v>71447.8081259498</v>
      </c>
      <c r="H23" s="24">
        <f>IFERROR(IF('3-Year P&amp;L'!$B$11="","",G23+H22),"")</f>
        <v>71324.63554825725</v>
      </c>
      <c r="I23" s="24">
        <f>IFERROR(IF('3-Year P&amp;L'!$B$11="","",H23+I22),"")</f>
        <v>67023.82924358215</v>
      </c>
      <c r="J23" s="24">
        <f>IFERROR(IF('3-Year P&amp;L'!$B$11="","",I23+J22),"")</f>
        <v>70495.79530282262</v>
      </c>
      <c r="K23" s="24">
        <f>IFERROR(IF('3-Year P&amp;L'!$B$11="","",J23+K22),"")</f>
        <v>73251.12240970448</v>
      </c>
      <c r="L23" s="24">
        <f>IFERROR(IF('3-Year P&amp;L'!$B$11="","",K23+L22),"")</f>
        <v>78971.86046632515</v>
      </c>
      <c r="M23" s="24">
        <f>IFERROR(IF('3-Year P&amp;L'!$B$11="","",L23+M22),"")</f>
        <v>87811.1324006835</v>
      </c>
      <c r="N23" s="23" t="n"/>
      <c r="O23" s="23" t="n"/>
    </row>
    <row r="24">
      <c r="A24" t="inlineStr">
        <is>
          <t>Lowest balance of the year ($)</t>
        </is>
      </c>
      <c r="B24" s="15">
        <f>IFERROR(IF('3-Year P&amp;L'!$B$11="","",IF(COUNT(B23:M23)=0,"",MIN(B23:M23))),"")</f>
        <v>61345.78935631571</v>
      </c>
      <c r="O24" s="5" t="inlineStr">
        <is>
          <t>If it's negative you run out of cash: raise the working capital, raise the loan or negotiate more interest-only months. Don't wait to watch it happen.</t>
        </is>
      </c>
    </row>
    <row r="25">
      <c r="A25" t="inlineStr">
        <is>
          <t>Month when cash hits its low</t>
        </is>
      </c>
      <c r="B25" s="27">
        <f>IFERROR(IF('3-Year P&amp;L'!$B$11="","",IF(COUNT(B23:M23)=0,"",MATCH(MIN(B23:M23),B23:M23,0))),"")</f>
        <v>3.0</v>
      </c>
      <c r="O25" s="5" t="inlineStr">
        <is>
          <t>It's the answer to the question that decides a loan: in which month the cash runs out.</t>
        </is>
      </c>
    </row>
    <row r="26"/>
    <row r="27">
      <c r="A27" s="4" t="inlineStr">
        <is>
          <t>RETURN ON INVESTMENT</t>
        </is>
      </c>
      <c r="B27" s="11" t="inlineStr"/>
      <c r="C27" s="11" t="inlineStr"/>
      <c r="D27" s="11" t="inlineStr"/>
      <c r="E27" s="11" t="inlineStr"/>
      <c r="F27" s="11" t="inlineStr"/>
      <c r="G27" s="11" t="inlineStr"/>
      <c r="H27" s="11" t="inlineStr"/>
      <c r="I27" s="11" t="inlineStr"/>
      <c r="J27" s="11" t="inlineStr"/>
      <c r="K27" s="11" t="inlineStr"/>
      <c r="L27" s="11" t="inlineStr"/>
      <c r="M27" s="11" t="inlineStr"/>
      <c r="N27" s="11" t="inlineStr"/>
      <c r="O27" s="11" t="inlineStr"/>
    </row>
    <row r="28">
      <c r="A28" t="inlineStr">
        <is>
          <t>Free cash flow before debt, year 1</t>
        </is>
      </c>
      <c r="B28" s="15">
        <f>IFERROR(IF('3-Year P&amp;L'!$B$11="","",'3-Year P&amp;L'!B43+'3-Year P&amp;L'!B31+'Financing'!$B$116),"")</f>
        <v>24229.77278660761</v>
      </c>
      <c r="O28" s="5" t="inlineStr">
        <is>
          <t>Net profit plus depreciation (not paid out) plus that year's interest: principal isn't subtracted because this flow is compared with the investment, not with the debt.</t>
        </is>
      </c>
    </row>
    <row r="29">
      <c r="A29" t="inlineStr">
        <is>
          <t>Free cash flow before debt, year 2</t>
        </is>
      </c>
      <c r="B29" s="15">
        <f>IFERROR(IF('3-Year P&amp;L'!$B$11="","",'3-Year P&amp;L'!C43+'3-Year P&amp;L'!C31+'Financing'!$B$117),"")</f>
        <v>47186.159724595345</v>
      </c>
    </row>
    <row r="30">
      <c r="A30" t="inlineStr">
        <is>
          <t>Free cash flow before debt, year 3</t>
        </is>
      </c>
      <c r="B30" s="15">
        <f>IFERROR(IF('3-Year P&amp;L'!$B$11="","",'3-Year P&amp;L'!D43+'3-Year P&amp;L'!D31+'Financing'!$B$118),"")</f>
        <v>50356.86625231322</v>
      </c>
    </row>
    <row r="31">
      <c r="A31" t="inlineStr">
        <is>
          <t>Startup investment to pay back (before tax)</t>
        </is>
      </c>
      <c r="B31" s="15">
        <f>IFERROR(IF('3-Year P&amp;L'!$B$11="","",'Startup Investment'!$B$22-'Startup Investment'!$B$21),"")</f>
        <v>227915.60182026436</v>
      </c>
    </row>
    <row r="32">
      <c r="A32" t="inlineStr">
        <is>
          <t>Project payback (years), before debt</t>
        </is>
      </c>
      <c r="B32" s="20" t="str">
        <f>IFERROR(IF('3-Year P&amp;L'!$B$11="","",IF(B28&gt;=B31,ROUND(B31/B28,1),IF(B28+B29&gt;=B31,ROUND(1+(B31-B28)/B29,1),IF(B28+B29+B30&gt;=B31,ROUND(2+(B31-B28-B29)/B30,1),"More than 3 years")))),"")</f>
        <v>More than 3 years</v>
      </c>
      <c r="O32" s="5" t="inlineStr">
        <is>
          <t>How long the business takes to pay back the investment with what it generates BEFORE paying the lender. If it says "More than 3 years", this workbook doesn't project far enough to tell you: it's a signal, not a failure.</t>
        </is>
      </c>
    </row>
    <row r="33"/>
    <row r="34" ht="32" customHeight="1">
      <c r="A34" s="5" t="inlineStr">
        <is>
          <t>Enter revenue and expenses BEFORE SALES TAX everywhere else in the workbook: this sheet's VAT/GST layer adds it where it applies, because cash flow is cash. Income tax isn't in this table: ask your CPA when yours is due.</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O3"/>
    <mergeCell ref="A34:O34"/>
  </mergeCells>
  <conditionalFormatting sqref="B23:M23">
    <cfRule type="expression" priority="1" dxfId="0" stopIfTrue="1">
      <formula>=AND(ISNUMBER(B23),B23&lt;0)</formula>
    </cfRule>
  </conditionalFormatting>
  <conditionalFormatting sqref="B24">
    <cfRule type="expression" priority="2" dxfId="0" stopIfTrue="1">
      <formula>=AND(ISNUMBER($B$24),$B$24&lt;0)</formula>
    </cfRule>
  </conditionalFormatting>
  <pageMargins left="0.39" right="0.39" top="0.55" bottom="0.55"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126"/>
  <sheetViews>
    <sheetView workbookViewId="0">
      <pane ySplit="25" topLeftCell="A26" activePane="bottomLeft" state="frozen"/>
      <selection pane="bottomLeft" activeCell="A1" sqref="A1"/>
    </sheetView>
  </sheetViews>
  <sheetFormatPr baseColWidth="8" defaultRowHeight="15"/>
  <cols>
    <col width="52" customWidth="1" min="1" max="1"/>
    <col width="16" customWidth="1" min="2" max="2"/>
    <col width="16" customWidth="1" min="3" max="3"/>
    <col width="18" customWidth="1" min="4" max="4"/>
    <col width="16" customWidth="1" min="5" max="5"/>
    <col width="17" customWidth="1" min="6" max="6"/>
    <col width="14" customWidth="1" min="7" max="7"/>
    <col width="74" customWidth="1" min="8" max="8"/>
  </cols>
  <sheetData>
    <row r="1" ht="26" customHeight="1">
      <c r="A1" s="1" t="inlineStr">
        <is>
          <t>Financing: Where the Money Comes From and What It Costs to Pay Back</t>
        </is>
      </c>
    </row>
    <row r="2">
      <c r="A2" s="2" t="inlineStr">
        <is>
          <t>AI Chef Pro · aichef.pro — How to Open a Pastry Shop</t>
        </is>
      </c>
    </row>
    <row r="3" ht="28" customHeight="1">
      <c r="A3" s="5" t="inlineStr">
        <is>
          <t>The amortization schedule is MONTHLY, with 84 rows, because this case has six interest-only months and a yearly schedule can't express half a year. It's a level-payment (amortizing) loan, with a monthly schedule.</t>
        </is>
      </c>
    </row>
    <row r="4"/>
    <row r="5">
      <c r="A5" s="4" t="inlineStr">
        <is>
          <t>SOURCES OF FUNDS</t>
        </is>
      </c>
      <c r="B5" s="11" t="inlineStr"/>
      <c r="C5" s="11" t="inlineStr"/>
      <c r="D5" s="11" t="inlineStr"/>
      <c r="E5" s="11" t="inlineStr"/>
      <c r="F5" s="11" t="inlineStr"/>
      <c r="G5" s="11" t="inlineStr"/>
      <c r="H5" s="11" t="inlineStr"/>
    </row>
    <row r="6">
      <c r="A6" t="inlineStr">
        <is>
          <t>Owner's equity contributed</t>
        </is>
      </c>
      <c r="B6" s="15">
        <f>IFERROR('0. Assumptions'!$B$36,"")</f>
        <v>167915.61</v>
      </c>
      <c r="H6" s="5" t="inlineStr">
        <is>
          <t>What the owner or the partners put in. Ask your lender how much of your own money it expects to see.</t>
        </is>
      </c>
    </row>
    <row r="7">
      <c r="A7" t="inlineStr">
        <is>
          <t>Bank loan</t>
        </is>
      </c>
      <c r="B7" s="15">
        <f>IFERROR('0. Assumptions'!$B$37,"")</f>
        <v>60000.0</v>
      </c>
    </row>
    <row r="8">
      <c r="A8" t="inlineStr">
        <is>
          <t>Other sources (SBA Microloan, equipment financing, CDFI, grants, partners)</t>
        </is>
      </c>
      <c r="B8" s="14" t="n">
        <v>0</v>
      </c>
      <c r="H8" s="5" t="inlineStr">
        <is>
          <t>Zero by default. Count only money you have committed in writing.</t>
        </is>
      </c>
    </row>
    <row r="9">
      <c r="A9" s="23" t="inlineStr">
        <is>
          <t>TOTAL SOURCES OF FUNDS</t>
        </is>
      </c>
      <c r="B9" s="24">
        <f>IFERROR(IF(COUNT(B6:B8)=0,"",SUM(B6:B8)),"")</f>
        <v>227915.61</v>
      </c>
      <c r="C9" s="23" t="n"/>
      <c r="D9" s="23" t="n"/>
      <c r="E9" s="23" t="n"/>
      <c r="F9" s="23" t="n"/>
      <c r="G9" s="23" t="n"/>
      <c r="H9" s="23" t="n"/>
    </row>
    <row r="10">
      <c r="A10" s="4" t="inlineStr">
        <is>
          <t>USES</t>
        </is>
      </c>
      <c r="B10" s="11" t="inlineStr"/>
      <c r="C10" s="11" t="inlineStr"/>
      <c r="D10" s="11" t="inlineStr"/>
      <c r="E10" s="11" t="inlineStr"/>
      <c r="F10" s="11" t="inlineStr"/>
      <c r="G10" s="11" t="inlineStr"/>
      <c r="H10" s="11" t="inlineStr"/>
    </row>
    <row r="11">
      <c r="A11" t="inlineStr">
        <is>
          <t>Total startup cash need</t>
        </is>
      </c>
      <c r="B11" s="15">
        <f>IFERROR('Startup Investment'!$B$22,"")</f>
        <v>227915.60182026436</v>
      </c>
      <c r="H11" s="5" t="inlineStr">
        <is>
          <t>Startup costs plus any VAT/GST you front (outside the US); in the US, put sales tax inside the cost lines.</t>
        </is>
      </c>
    </row>
    <row r="12">
      <c r="A12" t="inlineStr">
        <is>
          <t>Difference (sources minus uses)</t>
        </is>
      </c>
      <c r="B12" s="15">
        <f>IFERROR(B9-B11,"")</f>
        <v>0.00817973562516272</v>
      </c>
      <c r="H12" s="5" t="inlineStr">
        <is>
          <t>Negative means the plan is NOT financed. Far above zero isn't free either: it's interest you pay on money you don't need.</t>
        </is>
      </c>
    </row>
    <row r="13">
      <c r="A13" t="inlineStr">
        <is>
          <t>Difference as a share of uses (%)</t>
        </is>
      </c>
      <c r="B13" s="16">
        <f>IFERROR(B12/B11,"")</f>
        <v>3.58893185013868e-08</v>
      </c>
    </row>
    <row r="14">
      <c r="A14" t="inlineStr">
        <is>
          <t>Loan that would match sources to the need</t>
        </is>
      </c>
      <c r="B14" s="15">
        <f>IFERROR(MAX(0,B11-B9+B7),"")</f>
        <v>59999.991820264375</v>
      </c>
      <c r="H14" s="5" t="inlineStr">
        <is>
          <t>Copy it into "Bank loan requested" in "0. Assumptions" and the difference above goes to zero. Then check the DSCR: you can always borrow more, but you can't always pay it back.</t>
        </is>
      </c>
    </row>
    <row r="15">
      <c r="A15" s="4" t="inlineStr">
        <is>
          <t>LOAN TERMS</t>
        </is>
      </c>
      <c r="B15" s="11" t="inlineStr"/>
      <c r="C15" s="11" t="inlineStr"/>
      <c r="D15" s="11" t="inlineStr"/>
      <c r="E15" s="11" t="inlineStr"/>
      <c r="F15" s="11" t="inlineStr"/>
      <c r="G15" s="11" t="inlineStr"/>
      <c r="H15" s="11" t="inlineStr"/>
    </row>
    <row r="16">
      <c r="A16" t="inlineStr">
        <is>
          <t>Principal amount</t>
        </is>
      </c>
      <c r="B16" s="15">
        <f>IFERROR(IF('0. Assumptions'!$B$37=0,"",'0. Assumptions'!$B$37),"")</f>
        <v>60000.0</v>
      </c>
    </row>
    <row r="17">
      <c r="A17" t="inlineStr">
        <is>
          <t>Annual nominal interest rate</t>
        </is>
      </c>
      <c r="B17" s="19">
        <f>IFERROR('0. Assumptions'!$B$38,"")</f>
        <v>0.062</v>
      </c>
    </row>
    <row r="18">
      <c r="A18" t="inlineStr">
        <is>
          <t>Monthly rate</t>
        </is>
      </c>
      <c r="B18" s="37">
        <f>IFERROR(B17/12,"")</f>
        <v>0.005166666666666667</v>
      </c>
    </row>
    <row r="19">
      <c r="A19" t="inlineStr">
        <is>
          <t>Total term (months)</t>
        </is>
      </c>
      <c r="B19" s="27">
        <f>IFERROR('0. Assumptions'!$B$39,"")</f>
        <v>84.0</v>
      </c>
    </row>
    <row r="20">
      <c r="A20" t="inlineStr">
        <is>
          <t>Interest-only period applied (months)</t>
        </is>
      </c>
      <c r="B20" s="27">
        <f>IFERROR(IF('0. Assumptions'!$B$40&gt;='0. Assumptions'!$B$39,'0. Assumptions'!$B$39-1,'0. Assumptions'!$B$40),"")</f>
        <v>6.0</v>
      </c>
      <c r="H20" s="5" t="inlineStr">
        <is>
          <t>An interest-only period equal to or longer than the term doesn't exist: the sheet cancels it at the source.</t>
        </is>
      </c>
    </row>
    <row r="21">
      <c r="A21" t="inlineStr">
        <is>
          <t>Amortizing months</t>
        </is>
      </c>
      <c r="B21" s="27">
        <f>IFERROR(B19-B20,"")</f>
        <v>78.0</v>
      </c>
    </row>
    <row r="22">
      <c r="A22" s="23" t="inlineStr">
        <is>
          <t>Monthly payment once amortization starts</t>
        </is>
      </c>
      <c r="B22" s="24">
        <f>IFERROR(IF(B21&lt;=0,"",IF(B18=0,B16/B21,B16*B18/(1-(1+B18)^(-B21)))),"")</f>
        <v>936.5724169135384</v>
      </c>
      <c r="C22" s="23" t="n"/>
      <c r="D22" s="23" t="n"/>
      <c r="E22" s="23" t="n"/>
      <c r="F22" s="23" t="n"/>
      <c r="G22" s="23" t="n"/>
      <c r="H22" s="23" t="n"/>
    </row>
    <row r="23" ht="40" customHeight="1">
      <c r="A23" s="5" t="inlineStr">
        <is>
          <t>Level-payment (amortizing) loan, written as an algebraic annuity: principal × monthly rate divided by one minus (one plus the rate) to the power of minus the number of payments. At a 0% rate it's the principal divided by the amortizing months. The PMT function isn't used: the guide family avoids it because not every spreadsheet engine evaluates it the same way.</t>
        </is>
      </c>
    </row>
    <row r="24"/>
    <row r="25" ht="32" customHeight="1">
      <c r="A25" s="7" t="inlineStr">
        <is>
          <t>Month</t>
        </is>
      </c>
      <c r="B25" s="7" t="inlineStr">
        <is>
          <t>Opening balance ($)</t>
        </is>
      </c>
      <c r="C25" s="7" t="inlineStr">
        <is>
          <t>Interest ($)</t>
        </is>
      </c>
      <c r="D25" s="7" t="inlineStr">
        <is>
          <t>Principal repaid ($)</t>
        </is>
      </c>
      <c r="E25" s="7" t="inlineStr">
        <is>
          <t>Total payment ($)</t>
        </is>
      </c>
      <c r="F25" s="7" t="inlineStr">
        <is>
          <t>Closing balance ($)</t>
        </is>
      </c>
      <c r="G25" s="7" t="inlineStr"/>
      <c r="H25" s="7" t="inlineStr">
        <is>
          <t>Notes</t>
        </is>
      </c>
    </row>
    <row r="26">
      <c r="A26" s="38" t="n">
        <v>1</v>
      </c>
      <c r="B26" s="15">
        <f>IFERROR(IF($B$16="","",$B$16),"")</f>
        <v>60000.0</v>
      </c>
      <c r="C26" s="15">
        <f>IFERROR(IF(OR(A26&gt;$B$19,B26=""),"",B26*$B$18),"")</f>
        <v>310.0</v>
      </c>
      <c r="D26" s="15">
        <f>IFERROR(IF(OR(A26&gt;$B$19,B26=""),"",IF(A26&lt;=$B$20,0,MIN(B26,$B$22-C26))),"")</f>
        <v>0.0</v>
      </c>
      <c r="E26" s="15">
        <f>IFERROR(IF(C26="","",C26+D26),"")</f>
        <v>310.0</v>
      </c>
      <c r="F26" s="15">
        <f>IFERROR(IF(D26="","",B26-D26),"")</f>
        <v>60000.0</v>
      </c>
      <c r="H26" s="5" t="inlineStr">
        <is>
          <t>During the interest-only months the principal column is zero and you only pay interest. That's what keeps the loan from eating your cash during the ramp-up, and it's the first thing to negotiate.</t>
        </is>
      </c>
    </row>
    <row r="27">
      <c r="A27" s="38" t="n">
        <v>2</v>
      </c>
      <c r="B27" s="15">
        <f>IFERROR(IF(OR(A27&gt;$B$19,F26=""),"",F26),"")</f>
        <v>60000.0</v>
      </c>
      <c r="C27" s="15">
        <f>IFERROR(IF(OR(A27&gt;$B$19,B27=""),"",B27*$B$18),"")</f>
        <v>310.0</v>
      </c>
      <c r="D27" s="15">
        <f>IFERROR(IF(OR(A27&gt;$B$19,B27=""),"",IF(A27&lt;=$B$20,0,MIN(B27,$B$22-C27))),"")</f>
        <v>0.0</v>
      </c>
      <c r="E27" s="15">
        <f>IFERROR(IF(C27="","",C27+D27),"")</f>
        <v>310.0</v>
      </c>
      <c r="F27" s="15">
        <f>IFERROR(IF(D27="","",B27-D27),"")</f>
        <v>60000.0</v>
      </c>
    </row>
    <row r="28">
      <c r="A28" s="38" t="n">
        <v>3</v>
      </c>
      <c r="B28" s="15">
        <f>IFERROR(IF(OR(A28&gt;$B$19,F27=""),"",F27),"")</f>
        <v>60000.0</v>
      </c>
      <c r="C28" s="15">
        <f>IFERROR(IF(OR(A28&gt;$B$19,B28=""),"",B28*$B$18),"")</f>
        <v>310.0</v>
      </c>
      <c r="D28" s="15">
        <f>IFERROR(IF(OR(A28&gt;$B$19,B28=""),"",IF(A28&lt;=$B$20,0,MIN(B28,$B$22-C28))),"")</f>
        <v>0.0</v>
      </c>
      <c r="E28" s="15">
        <f>IFERROR(IF(C28="","",C28+D28),"")</f>
        <v>310.0</v>
      </c>
      <c r="F28" s="15">
        <f>IFERROR(IF(D28="","",B28-D28),"")</f>
        <v>60000.0</v>
      </c>
    </row>
    <row r="29">
      <c r="A29" s="38" t="n">
        <v>4</v>
      </c>
      <c r="B29" s="15">
        <f>IFERROR(IF(OR(A29&gt;$B$19,F28=""),"",F28),"")</f>
        <v>60000.0</v>
      </c>
      <c r="C29" s="15">
        <f>IFERROR(IF(OR(A29&gt;$B$19,B29=""),"",B29*$B$18),"")</f>
        <v>310.0</v>
      </c>
      <c r="D29" s="15">
        <f>IFERROR(IF(OR(A29&gt;$B$19,B29=""),"",IF(A29&lt;=$B$20,0,MIN(B29,$B$22-C29))),"")</f>
        <v>0.0</v>
      </c>
      <c r="E29" s="15">
        <f>IFERROR(IF(C29="","",C29+D29),"")</f>
        <v>310.0</v>
      </c>
      <c r="F29" s="15">
        <f>IFERROR(IF(D29="","",B29-D29),"")</f>
        <v>60000.0</v>
      </c>
    </row>
    <row r="30">
      <c r="A30" s="38" t="n">
        <v>5</v>
      </c>
      <c r="B30" s="15">
        <f>IFERROR(IF(OR(A30&gt;$B$19,F29=""),"",F29),"")</f>
        <v>60000.0</v>
      </c>
      <c r="C30" s="15">
        <f>IFERROR(IF(OR(A30&gt;$B$19,B30=""),"",B30*$B$18),"")</f>
        <v>310.0</v>
      </c>
      <c r="D30" s="15">
        <f>IFERROR(IF(OR(A30&gt;$B$19,B30=""),"",IF(A30&lt;=$B$20,0,MIN(B30,$B$22-C30))),"")</f>
        <v>0.0</v>
      </c>
      <c r="E30" s="15">
        <f>IFERROR(IF(C30="","",C30+D30),"")</f>
        <v>310.0</v>
      </c>
      <c r="F30" s="15">
        <f>IFERROR(IF(D30="","",B30-D30),"")</f>
        <v>60000.0</v>
      </c>
    </row>
    <row r="31">
      <c r="A31" s="38" t="n">
        <v>6</v>
      </c>
      <c r="B31" s="15">
        <f>IFERROR(IF(OR(A31&gt;$B$19,F30=""),"",F30),"")</f>
        <v>60000.0</v>
      </c>
      <c r="C31" s="15">
        <f>IFERROR(IF(OR(A31&gt;$B$19,B31=""),"",B31*$B$18),"")</f>
        <v>310.0</v>
      </c>
      <c r="D31" s="15">
        <f>IFERROR(IF(OR(A31&gt;$B$19,B31=""),"",IF(A31&lt;=$B$20,0,MIN(B31,$B$22-C31))),"")</f>
        <v>0.0</v>
      </c>
      <c r="E31" s="15">
        <f>IFERROR(IF(C31="","",C31+D31),"")</f>
        <v>310.0</v>
      </c>
      <c r="F31" s="15">
        <f>IFERROR(IF(D31="","",B31-D31),"")</f>
        <v>60000.0</v>
      </c>
    </row>
    <row r="32">
      <c r="A32" s="38" t="n">
        <v>7</v>
      </c>
      <c r="B32" s="15">
        <f>IFERROR(IF(OR(A32&gt;$B$19,F31=""),"",F31),"")</f>
        <v>60000.0</v>
      </c>
      <c r="C32" s="15">
        <f>IFERROR(IF(OR(A32&gt;$B$19,B32=""),"",B32*$B$18),"")</f>
        <v>310.0</v>
      </c>
      <c r="D32" s="15">
        <f>IFERROR(IF(OR(A32&gt;$B$19,B32=""),"",IF(A32&lt;=$B$20,0,MIN(B32,$B$22-C32))),"")</f>
        <v>626.5724169135384</v>
      </c>
      <c r="E32" s="15">
        <f>IFERROR(IF(C32="","",C32+D32),"")</f>
        <v>936.5724169135384</v>
      </c>
      <c r="F32" s="15">
        <f>IFERROR(IF(D32="","",B32-D32),"")</f>
        <v>59373.427583086464</v>
      </c>
    </row>
    <row r="33">
      <c r="A33" s="38" t="n">
        <v>8</v>
      </c>
      <c r="B33" s="15">
        <f>IFERROR(IF(OR(A33&gt;$B$19,F32=""),"",F32),"")</f>
        <v>59373.427583086464</v>
      </c>
      <c r="C33" s="15">
        <f>IFERROR(IF(OR(A33&gt;$B$19,B33=""),"",B33*$B$18),"")</f>
        <v>306.7627091792801</v>
      </c>
      <c r="D33" s="15">
        <f>IFERROR(IF(OR(A33&gt;$B$19,B33=""),"",IF(A33&lt;=$B$20,0,MIN(B33,$B$22-C33))),"")</f>
        <v>629.8097077342584</v>
      </c>
      <c r="E33" s="15">
        <f>IFERROR(IF(C33="","",C33+D33),"")</f>
        <v>936.5724169135385</v>
      </c>
      <c r="F33" s="15">
        <f>IFERROR(IF(D33="","",B33-D33),"")</f>
        <v>58743.6178753522</v>
      </c>
    </row>
    <row r="34">
      <c r="A34" s="38" t="n">
        <v>9</v>
      </c>
      <c r="B34" s="15">
        <f>IFERROR(IF(OR(A34&gt;$B$19,F33=""),"",F33),"")</f>
        <v>58743.6178753522</v>
      </c>
      <c r="C34" s="15">
        <f>IFERROR(IF(OR(A34&gt;$B$19,B34=""),"",B34*$B$18),"")</f>
        <v>303.5086923559864</v>
      </c>
      <c r="D34" s="15">
        <f>IFERROR(IF(OR(A34&gt;$B$19,B34=""),"",IF(A34&lt;=$B$20,0,MIN(B34,$B$22-C34))),"")</f>
        <v>633.063724557552</v>
      </c>
      <c r="E34" s="15">
        <f>IFERROR(IF(C34="","",C34+D34),"")</f>
        <v>936.5724169135383</v>
      </c>
      <c r="F34" s="15">
        <f>IFERROR(IF(D34="","",B34-D34),"")</f>
        <v>58110.554150794655</v>
      </c>
    </row>
    <row r="35">
      <c r="A35" s="38" t="n">
        <v>10</v>
      </c>
      <c r="B35" s="15">
        <f>IFERROR(IF(OR(A35&gt;$B$19,F34=""),"",F34),"")</f>
        <v>58110.554150794655</v>
      </c>
      <c r="C35" s="15">
        <f>IFERROR(IF(OR(A35&gt;$B$19,B35=""),"",B35*$B$18),"")</f>
        <v>300.2378631124391</v>
      </c>
      <c r="D35" s="15">
        <f>IFERROR(IF(OR(A35&gt;$B$19,B35=""),"",IF(A35&lt;=$B$20,0,MIN(B35,$B$22-C35))),"")</f>
        <v>636.3345538010993</v>
      </c>
      <c r="E35" s="15">
        <f>IFERROR(IF(C35="","",C35+D35),"")</f>
        <v>936.5724169135384</v>
      </c>
      <c r="F35" s="15">
        <f>IFERROR(IF(D35="","",B35-D35),"")</f>
        <v>57474.21959699356</v>
      </c>
    </row>
    <row r="36">
      <c r="A36" s="38" t="n">
        <v>11</v>
      </c>
      <c r="B36" s="15">
        <f>IFERROR(IF(OR(A36&gt;$B$19,F35=""),"",F35),"")</f>
        <v>57474.21959699356</v>
      </c>
      <c r="C36" s="15">
        <f>IFERROR(IF(OR(A36&gt;$B$19,B36=""),"",B36*$B$18),"")</f>
        <v>296.9501345844667</v>
      </c>
      <c r="D36" s="15">
        <f>IFERROR(IF(OR(A36&gt;$B$19,B36=""),"",IF(A36&lt;=$B$20,0,MIN(B36,$B$22-C36))),"")</f>
        <v>639.6222823290717</v>
      </c>
      <c r="E36" s="15">
        <f>IFERROR(IF(C36="","",C36+D36),"")</f>
        <v>936.5724169135384</v>
      </c>
      <c r="F36" s="15">
        <f>IFERROR(IF(D36="","",B36-D36),"")</f>
        <v>56834.59731466448</v>
      </c>
    </row>
    <row r="37">
      <c r="A37" s="38" t="n">
        <v>12</v>
      </c>
      <c r="B37" s="15">
        <f>IFERROR(IF(OR(A37&gt;$B$19,F36=""),"",F36),"")</f>
        <v>56834.59731466448</v>
      </c>
      <c r="C37" s="15">
        <f>IFERROR(IF(OR(A37&gt;$B$19,B37=""),"",B37*$B$18),"")</f>
        <v>293.6454194590998</v>
      </c>
      <c r="D37" s="15">
        <f>IFERROR(IF(OR(A37&gt;$B$19,B37=""),"",IF(A37&lt;=$B$20,0,MIN(B37,$B$22-C37))),"")</f>
        <v>642.9269974544386</v>
      </c>
      <c r="E37" s="15">
        <f>IFERROR(IF(C37="","",C37+D37),"")</f>
        <v>936.5724169135384</v>
      </c>
      <c r="F37" s="15">
        <f>IFERROR(IF(D37="","",B37-D37),"")</f>
        <v>56191.670317210046</v>
      </c>
    </row>
    <row r="38">
      <c r="A38" s="38" t="n">
        <v>13</v>
      </c>
      <c r="B38" s="15">
        <f>IFERROR(IF(OR(A38&gt;$B$19,F37=""),"",F37),"")</f>
        <v>56191.670317210046</v>
      </c>
      <c r="C38" s="15">
        <f>IFERROR(IF(OR(A38&gt;$B$19,B38=""),"",B38*$B$18),"")</f>
        <v>290.3236299722519</v>
      </c>
      <c r="D38" s="15">
        <f>IFERROR(IF(OR(A38&gt;$B$19,B38=""),"",IF(A38&lt;=$B$20,0,MIN(B38,$B$22-C38))),"")</f>
        <v>646.2487869412864</v>
      </c>
      <c r="E38" s="15">
        <f>IFERROR(IF(C38="","",C38+D38),"")</f>
        <v>936.5724169135383</v>
      </c>
      <c r="F38" s="15">
        <f>IFERROR(IF(D38="","",B38-D38),"")</f>
        <v>55545.42153026876</v>
      </c>
    </row>
    <row r="39">
      <c r="A39" s="38" t="n">
        <v>14</v>
      </c>
      <c r="B39" s="15">
        <f>IFERROR(IF(OR(A39&gt;$B$19,F38=""),"",F38),"")</f>
        <v>55545.42153026876</v>
      </c>
      <c r="C39" s="15">
        <f>IFERROR(IF(OR(A39&gt;$B$19,B39=""),"",B39*$B$18),"")</f>
        <v>286.9846779063886</v>
      </c>
      <c r="D39" s="15">
        <f>IFERROR(IF(OR(A39&gt;$B$19,B39=""),"",IF(A39&lt;=$B$20,0,MIN(B39,$B$22-C39))),"")</f>
        <v>649.5877390071498</v>
      </c>
      <c r="E39" s="15">
        <f>IFERROR(IF(C39="","",C39+D39),"")</f>
        <v>936.5724169135384</v>
      </c>
      <c r="F39" s="15">
        <f>IFERROR(IF(D39="","",B39-D39),"")</f>
        <v>54895.83379126161</v>
      </c>
    </row>
    <row r="40">
      <c r="A40" s="38" t="n">
        <v>15</v>
      </c>
      <c r="B40" s="15">
        <f>IFERROR(IF(OR(A40&gt;$B$19,F39=""),"",F39),"")</f>
        <v>54895.83379126161</v>
      </c>
      <c r="C40" s="15">
        <f>IFERROR(IF(OR(A40&gt;$B$19,B40=""),"",B40*$B$18),"")</f>
        <v>283.628474588185</v>
      </c>
      <c r="D40" s="15">
        <f>IFERROR(IF(OR(A40&gt;$B$19,B40=""),"",IF(A40&lt;=$B$20,0,MIN(B40,$B$22-C40))),"")</f>
        <v>652.9439423253534</v>
      </c>
      <c r="E40" s="15">
        <f>IFERROR(IF(C40="","",C40+D40),"")</f>
        <v>936.5724169135384</v>
      </c>
      <c r="F40" s="15">
        <f>IFERROR(IF(D40="","",B40-D40),"")</f>
        <v>54242.88984893626</v>
      </c>
    </row>
    <row r="41">
      <c r="A41" s="38" t="n">
        <v>16</v>
      </c>
      <c r="B41" s="15">
        <f>IFERROR(IF(OR(A41&gt;$B$19,F40=""),"",F40),"")</f>
        <v>54242.88984893626</v>
      </c>
      <c r="C41" s="15">
        <f>IFERROR(IF(OR(A41&gt;$B$19,B41=""),"",B41*$B$18),"")</f>
        <v>280.2549308861707</v>
      </c>
      <c r="D41" s="15">
        <f>IFERROR(IF(OR(A41&gt;$B$19,B41=""),"",IF(A41&lt;=$B$20,0,MIN(B41,$B$22-C41))),"")</f>
        <v>656.3174860273677</v>
      </c>
      <c r="E41" s="15">
        <f>IFERROR(IF(C41="","",C41+D41),"")</f>
        <v>936.5724169135385</v>
      </c>
      <c r="F41" s="15">
        <f>IFERROR(IF(D41="","",B41-D41),"")</f>
        <v>53586.5723629089</v>
      </c>
    </row>
    <row r="42">
      <c r="A42" s="38" t="n">
        <v>17</v>
      </c>
      <c r="B42" s="15">
        <f>IFERROR(IF(OR(A42&gt;$B$19,F41=""),"",F41),"")</f>
        <v>53586.5723629089</v>
      </c>
      <c r="C42" s="15">
        <f>IFERROR(IF(OR(A42&gt;$B$19,B42=""),"",B42*$B$18),"")</f>
        <v>276.86395720836265</v>
      </c>
      <c r="D42" s="15">
        <f>IFERROR(IF(OR(A42&gt;$B$19,B42=""),"",IF(A42&lt;=$B$20,0,MIN(B42,$B$22-C42))),"")</f>
        <v>659.7084597051758</v>
      </c>
      <c r="E42" s="15">
        <f>IFERROR(IF(C42="","",C42+D42),"")</f>
        <v>936.5724169135384</v>
      </c>
      <c r="F42" s="15">
        <f>IFERROR(IF(D42="","",B42-D42),"")</f>
        <v>52926.863903203724</v>
      </c>
    </row>
    <row r="43">
      <c r="A43" s="38" t="n">
        <v>18</v>
      </c>
      <c r="B43" s="15">
        <f>IFERROR(IF(OR(A43&gt;$B$19,F42=""),"",F42),"")</f>
        <v>52926.863903203724</v>
      </c>
      <c r="C43" s="15">
        <f>IFERROR(IF(OR(A43&gt;$B$19,B43=""),"",B43*$B$18),"")</f>
        <v>273.4554634998859</v>
      </c>
      <c r="D43" s="15">
        <f>IFERROR(IF(OR(A43&gt;$B$19,B43=""),"",IF(A43&lt;=$B$20,0,MIN(B43,$B$22-C43))),"")</f>
        <v>663.1169534136525</v>
      </c>
      <c r="E43" s="15">
        <f>IFERROR(IF(C43="","",C43+D43),"")</f>
        <v>936.5724169135384</v>
      </c>
      <c r="F43" s="15">
        <f>IFERROR(IF(D43="","",B43-D43),"")</f>
        <v>52263.746949790075</v>
      </c>
    </row>
    <row r="44">
      <c r="A44" s="38" t="n">
        <v>19</v>
      </c>
      <c r="B44" s="15">
        <f>IFERROR(IF(OR(A44&gt;$B$19,F43=""),"",F43),"")</f>
        <v>52263.746949790075</v>
      </c>
      <c r="C44" s="15">
        <f>IFERROR(IF(OR(A44&gt;$B$19,B44=""),"",B44*$B$18),"")</f>
        <v>270.02935924058204</v>
      </c>
      <c r="D44" s="15">
        <f>IFERROR(IF(OR(A44&gt;$B$19,B44=""),"",IF(A44&lt;=$B$20,0,MIN(B44,$B$22-C44))),"")</f>
        <v>666.5430576729564</v>
      </c>
      <c r="E44" s="15">
        <f>IFERROR(IF(C44="","",C44+D44),"")</f>
        <v>936.5724169135384</v>
      </c>
      <c r="F44" s="15">
        <f>IFERROR(IF(D44="","",B44-D44),"")</f>
        <v>51597.20389211712</v>
      </c>
    </row>
    <row r="45">
      <c r="A45" s="38" t="n">
        <v>20</v>
      </c>
      <c r="B45" s="15">
        <f>IFERROR(IF(OR(A45&gt;$B$19,F44=""),"",F44),"")</f>
        <v>51597.20389211712</v>
      </c>
      <c r="C45" s="15">
        <f>IFERROR(IF(OR(A45&gt;$B$19,B45=""),"",B45*$B$18),"")</f>
        <v>266.5855534426051</v>
      </c>
      <c r="D45" s="15">
        <f>IFERROR(IF(OR(A45&gt;$B$19,B45=""),"",IF(A45&lt;=$B$20,0,MIN(B45,$B$22-C45))),"")</f>
        <v>669.9868634709333</v>
      </c>
      <c r="E45" s="15">
        <f>IFERROR(IF(C45="","",C45+D45),"")</f>
        <v>936.5724169135383</v>
      </c>
      <c r="F45" s="15">
        <f>IFERROR(IF(D45="","",B45-D45),"")</f>
        <v>50927.217028646184</v>
      </c>
    </row>
    <row r="46">
      <c r="A46" s="38" t="n">
        <v>21</v>
      </c>
      <c r="B46" s="15">
        <f>IFERROR(IF(OR(A46&gt;$B$19,F45=""),"",F45),"")</f>
        <v>50927.217028646184</v>
      </c>
      <c r="C46" s="15">
        <f>IFERROR(IF(OR(A46&gt;$B$19,B46=""),"",B46*$B$18),"")</f>
        <v>263.1239546480053</v>
      </c>
      <c r="D46" s="15">
        <f>IFERROR(IF(OR(A46&gt;$B$19,B46=""),"",IF(A46&lt;=$B$20,0,MIN(B46,$B$22-C46))),"")</f>
        <v>673.4484622655332</v>
      </c>
      <c r="E46" s="15">
        <f>IFERROR(IF(C46="","",C46+D46),"")</f>
        <v>936.5724169135385</v>
      </c>
      <c r="F46" s="15">
        <f>IFERROR(IF(D46="","",B46-D46),"")</f>
        <v>50253.76856638065</v>
      </c>
    </row>
    <row r="47">
      <c r="A47" s="38" t="n">
        <v>22</v>
      </c>
      <c r="B47" s="15">
        <f>IFERROR(IF(OR(A47&gt;$B$19,F46=""),"",F46),"")</f>
        <v>50253.76856638065</v>
      </c>
      <c r="C47" s="15">
        <f>IFERROR(IF(OR(A47&gt;$B$19,B47=""),"",B47*$B$18),"")</f>
        <v>259.6444709263</v>
      </c>
      <c r="D47" s="15">
        <f>IFERROR(IF(OR(A47&gt;$B$19,B47=""),"",IF(A47&lt;=$B$20,0,MIN(B47,$B$22-C47))),"")</f>
        <v>676.9279459872384</v>
      </c>
      <c r="E47" s="15">
        <f>IFERROR(IF(C47="","",C47+D47),"")</f>
        <v>936.5724169135385</v>
      </c>
      <c r="F47" s="15">
        <f>IFERROR(IF(D47="","",B47-D47),"")</f>
        <v>49576.84062039341</v>
      </c>
    </row>
    <row r="48">
      <c r="A48" s="38" t="n">
        <v>23</v>
      </c>
      <c r="B48" s="15">
        <f>IFERROR(IF(OR(A48&gt;$B$19,F47=""),"",F47),"")</f>
        <v>49576.84062039341</v>
      </c>
      <c r="C48" s="15">
        <f>IFERROR(IF(OR(A48&gt;$B$19,B48=""),"",B48*$B$18),"")</f>
        <v>256.1470098720326</v>
      </c>
      <c r="D48" s="15">
        <f>IFERROR(IF(OR(A48&gt;$B$19,B48=""),"",IF(A48&lt;=$B$20,0,MIN(B48,$B$22-C48))),"")</f>
        <v>680.4254070415059</v>
      </c>
      <c r="E48" s="15">
        <f>IFERROR(IF(C48="","",C48+D48),"")</f>
        <v>936.5724169135385</v>
      </c>
      <c r="F48" s="15">
        <f>IFERROR(IF(D48="","",B48-D48),"")</f>
        <v>48896.4152133519</v>
      </c>
    </row>
    <row r="49">
      <c r="A49" s="38" t="n">
        <v>24</v>
      </c>
      <c r="B49" s="15">
        <f>IFERROR(IF(OR(A49&gt;$B$19,F48=""),"",F48),"")</f>
        <v>48896.4152133519</v>
      </c>
      <c r="C49" s="15">
        <f>IFERROR(IF(OR(A49&gt;$B$19,B49=""),"",B49*$B$18),"")</f>
        <v>252.63147860231817</v>
      </c>
      <c r="D49" s="15">
        <f>IFERROR(IF(OR(A49&gt;$B$19,B49=""),"",IF(A49&lt;=$B$20,0,MIN(B49,$B$22-C49))),"")</f>
        <v>683.9409383112202</v>
      </c>
      <c r="E49" s="15">
        <f>IFERROR(IF(C49="","",C49+D49),"")</f>
        <v>936.5724169135383</v>
      </c>
      <c r="F49" s="15">
        <f>IFERROR(IF(D49="","",B49-D49),"")</f>
        <v>48212.47427504068</v>
      </c>
    </row>
    <row r="50">
      <c r="A50" s="38" t="n">
        <v>25</v>
      </c>
      <c r="B50" s="15">
        <f>IFERROR(IF(OR(A50&gt;$B$19,F49=""),"",F49),"")</f>
        <v>48212.47427504068</v>
      </c>
      <c r="C50" s="15">
        <f>IFERROR(IF(OR(A50&gt;$B$19,B50=""),"",B50*$B$18),"")</f>
        <v>249.09778375437685</v>
      </c>
      <c r="D50" s="15">
        <f>IFERROR(IF(OR(A50&gt;$B$19,B50=""),"",IF(A50&lt;=$B$20,0,MIN(B50,$B$22-C50))),"")</f>
        <v>687.4746331591616</v>
      </c>
      <c r="E50" s="15">
        <f>IFERROR(IF(C50="","",C50+D50),"")</f>
        <v>936.5724169135385</v>
      </c>
      <c r="F50" s="15">
        <f>IFERROR(IF(D50="","",B50-D50),"")</f>
        <v>47524.99964188152</v>
      </c>
    </row>
    <row r="51">
      <c r="A51" s="38" t="n">
        <v>26</v>
      </c>
      <c r="B51" s="15">
        <f>IFERROR(IF(OR(A51&gt;$B$19,F50=""),"",F50),"")</f>
        <v>47524.99964188152</v>
      </c>
      <c r="C51" s="15">
        <f>IFERROR(IF(OR(A51&gt;$B$19,B51=""),"",B51*$B$18),"")</f>
        <v>245.5458314830545</v>
      </c>
      <c r="D51" s="15">
        <f>IFERROR(IF(OR(A51&gt;$B$19,B51=""),"",IF(A51&lt;=$B$20,0,MIN(B51,$B$22-C51))),"")</f>
        <v>691.0265854304839</v>
      </c>
      <c r="E51" s="15">
        <f>IFERROR(IF(C51="","",C51+D51),"")</f>
        <v>936.5724169135384</v>
      </c>
      <c r="F51" s="15">
        <f>IFERROR(IF(D51="","",B51-D51),"")</f>
        <v>46833.97305645104</v>
      </c>
    </row>
    <row r="52">
      <c r="A52" s="38" t="n">
        <v>27</v>
      </c>
      <c r="B52" s="15">
        <f>IFERROR(IF(OR(A52&gt;$B$19,F51=""),"",F51),"")</f>
        <v>46833.97305645104</v>
      </c>
      <c r="C52" s="15">
        <f>IFERROR(IF(OR(A52&gt;$B$19,B52=""),"",B52*$B$18),"")</f>
        <v>241.97552745833036</v>
      </c>
      <c r="D52" s="15">
        <f>IFERROR(IF(OR(A52&gt;$B$19,B52=""),"",IF(A52&lt;=$B$20,0,MIN(B52,$B$22-C52))),"")</f>
        <v>694.596889455208</v>
      </c>
      <c r="E52" s="15">
        <f>IFERROR(IF(C52="","",C52+D52),"")</f>
        <v>936.5724169135384</v>
      </c>
      <c r="F52" s="15">
        <f>IFERROR(IF(D52="","",B52-D52),"")</f>
        <v>46139.37616699583</v>
      </c>
    </row>
    <row r="53">
      <c r="A53" s="38" t="n">
        <v>28</v>
      </c>
      <c r="B53" s="15">
        <f>IFERROR(IF(OR(A53&gt;$B$19,F52=""),"",F52),"")</f>
        <v>46139.37616699583</v>
      </c>
      <c r="C53" s="15">
        <f>IFERROR(IF(OR(A53&gt;$B$19,B53=""),"",B53*$B$18),"")</f>
        <v>238.38677686281181</v>
      </c>
      <c r="D53" s="15">
        <f>IFERROR(IF(OR(A53&gt;$B$19,B53=""),"",IF(A53&lt;=$B$20,0,MIN(B53,$B$22-C53))),"")</f>
        <v>698.1856400507265</v>
      </c>
      <c r="E53" s="15">
        <f>IFERROR(IF(C53="","",C53+D53),"")</f>
        <v>936.5724169135383</v>
      </c>
      <c r="F53" s="15">
        <f>IFERROR(IF(D53="","",B53-D53),"")</f>
        <v>45441.19052694511</v>
      </c>
    </row>
    <row r="54">
      <c r="A54" s="38" t="n">
        <v>29</v>
      </c>
      <c r="B54" s="15">
        <f>IFERROR(IF(OR(A54&gt;$B$19,F53=""),"",F53),"")</f>
        <v>45441.19052694511</v>
      </c>
      <c r="C54" s="15">
        <f>IFERROR(IF(OR(A54&gt;$B$19,B54=""),"",B54*$B$18),"")</f>
        <v>234.7794843892164</v>
      </c>
      <c r="D54" s="15">
        <f>IFERROR(IF(OR(A54&gt;$B$19,B54=""),"",IF(A54&lt;=$B$20,0,MIN(B54,$B$22-C54))),"")</f>
        <v>701.7929325243219</v>
      </c>
      <c r="E54" s="15">
        <f>IFERROR(IF(C54="","",C54+D54),"")</f>
        <v>936.5724169135383</v>
      </c>
      <c r="F54" s="15">
        <f>IFERROR(IF(D54="","",B54-D54),"")</f>
        <v>44739.397594420785</v>
      </c>
    </row>
    <row r="55">
      <c r="A55" s="38" t="n">
        <v>30</v>
      </c>
      <c r="B55" s="15">
        <f>IFERROR(IF(OR(A55&gt;$B$19,F54=""),"",F54),"")</f>
        <v>44739.397594420785</v>
      </c>
      <c r="C55" s="15">
        <f>IFERROR(IF(OR(A55&gt;$B$19,B55=""),"",B55*$B$18),"")</f>
        <v>231.15355423784072</v>
      </c>
      <c r="D55" s="15">
        <f>IFERROR(IF(OR(A55&gt;$B$19,B55=""),"",IF(A55&lt;=$B$20,0,MIN(B55,$B$22-C55))),"")</f>
        <v>705.4188626756977</v>
      </c>
      <c r="E55" s="15">
        <f>IFERROR(IF(C55="","",C55+D55),"")</f>
        <v>936.5724169135384</v>
      </c>
      <c r="F55" s="15">
        <f>IFERROR(IF(D55="","",B55-D55),"")</f>
        <v>44033.97873174509</v>
      </c>
    </row>
    <row r="56">
      <c r="A56" s="38" t="n">
        <v>31</v>
      </c>
      <c r="B56" s="15">
        <f>IFERROR(IF(OR(A56&gt;$B$19,F55=""),"",F55),"")</f>
        <v>44033.97873174509</v>
      </c>
      <c r="C56" s="15">
        <f>IFERROR(IF(OR(A56&gt;$B$19,B56=""),"",B56*$B$18),"")</f>
        <v>227.5088901140163</v>
      </c>
      <c r="D56" s="15">
        <f>IFERROR(IF(OR(A56&gt;$B$19,B56=""),"",IF(A56&lt;=$B$20,0,MIN(B56,$B$22-C56))),"")</f>
        <v>709.0635267995222</v>
      </c>
      <c r="E56" s="15">
        <f>IFERROR(IF(C56="","",C56+D56),"")</f>
        <v>936.5724169135385</v>
      </c>
      <c r="F56" s="15">
        <f>IFERROR(IF(D56="","",B56-D56),"")</f>
        <v>43324.915204945566</v>
      </c>
    </row>
    <row r="57">
      <c r="A57" s="38" t="n">
        <v>32</v>
      </c>
      <c r="B57" s="15">
        <f>IFERROR(IF(OR(A57&gt;$B$19,F56=""),"",F56),"")</f>
        <v>43324.915204945566</v>
      </c>
      <c r="C57" s="15">
        <f>IFERROR(IF(OR(A57&gt;$B$19,B57=""),"",B57*$B$18),"")</f>
        <v>223.8453952255521</v>
      </c>
      <c r="D57" s="15">
        <f>IFERROR(IF(OR(A57&gt;$B$19,B57=""),"",IF(A57&lt;=$B$20,0,MIN(B57,$B$22-C57))),"")</f>
        <v>712.7270216879863</v>
      </c>
      <c r="E57" s="15">
        <f>IFERROR(IF(C57="","",C57+D57),"")</f>
        <v>936.5724169135384</v>
      </c>
      <c r="F57" s="15">
        <f>IFERROR(IF(D57="","",B57-D57),"")</f>
        <v>42612.18818325758</v>
      </c>
    </row>
    <row r="58">
      <c r="A58" s="38" t="n">
        <v>33</v>
      </c>
      <c r="B58" s="15">
        <f>IFERROR(IF(OR(A58&gt;$B$19,F57=""),"",F57),"")</f>
        <v>42612.18818325758</v>
      </c>
      <c r="C58" s="15">
        <f>IFERROR(IF(OR(A58&gt;$B$19,B58=""),"",B58*$B$18),"")</f>
        <v>220.16297228016418</v>
      </c>
      <c r="D58" s="15">
        <f>IFERROR(IF(OR(A58&gt;$B$19,B58=""),"",IF(A58&lt;=$B$20,0,MIN(B58,$B$22-C58))),"")</f>
        <v>716.4094446333743</v>
      </c>
      <c r="E58" s="15">
        <f>IFERROR(IF(C58="","",C58+D58),"")</f>
        <v>936.5724169135385</v>
      </c>
      <c r="F58" s="15">
        <f>IFERROR(IF(D58="","",B58-D58),"")</f>
        <v>41895.778738624205</v>
      </c>
    </row>
    <row r="59">
      <c r="A59" s="38" t="n">
        <v>34</v>
      </c>
      <c r="B59" s="15">
        <f>IFERROR(IF(OR(A59&gt;$B$19,F58=""),"",F58),"")</f>
        <v>41895.778738624205</v>
      </c>
      <c r="C59" s="15">
        <f>IFERROR(IF(OR(A59&gt;$B$19,B59=""),"",B59*$B$18),"")</f>
        <v>216.46152348289172</v>
      </c>
      <c r="D59" s="15">
        <f>IFERROR(IF(OR(A59&gt;$B$19,B59=""),"",IF(A59&lt;=$B$20,0,MIN(B59,$B$22-C59))),"")</f>
        <v>720.1108934306467</v>
      </c>
      <c r="E59" s="15">
        <f>IFERROR(IF(C59="","",C59+D59),"")</f>
        <v>936.5724169135384</v>
      </c>
      <c r="F59" s="15">
        <f>IFERROR(IF(D59="","",B59-D59),"")</f>
        <v>41175.66784519356</v>
      </c>
    </row>
    <row r="60">
      <c r="A60" s="38" t="n">
        <v>35</v>
      </c>
      <c r="B60" s="15">
        <f>IFERROR(IF(OR(A60&gt;$B$19,F59=""),"",F59),"")</f>
        <v>41175.66784519356</v>
      </c>
      <c r="C60" s="15">
        <f>IFERROR(IF(OR(A60&gt;$B$19,B60=""),"",B60*$B$18),"")</f>
        <v>212.74095053350004</v>
      </c>
      <c r="D60" s="15">
        <f>IFERROR(IF(OR(A60&gt;$B$19,B60=""),"",IF(A60&lt;=$B$20,0,MIN(B60,$B$22-C60))),"")</f>
        <v>723.8314663800384</v>
      </c>
      <c r="E60" s="15">
        <f>IFERROR(IF(C60="","",C60+D60),"")</f>
        <v>936.5724169135384</v>
      </c>
      <c r="F60" s="15">
        <f>IFERROR(IF(D60="","",B60-D60),"")</f>
        <v>40451.83637881352</v>
      </c>
    </row>
    <row r="61">
      <c r="A61" s="38" t="n">
        <v>36</v>
      </c>
      <c r="B61" s="15">
        <f>IFERROR(IF(OR(A61&gt;$B$19,F60=""),"",F60),"")</f>
        <v>40451.83637881352</v>
      </c>
      <c r="C61" s="15">
        <f>IFERROR(IF(OR(A61&gt;$B$19,B61=""),"",B61*$B$18),"")</f>
        <v>209.00115462386984</v>
      </c>
      <c r="D61" s="15">
        <f>IFERROR(IF(OR(A61&gt;$B$19,B61=""),"",IF(A61&lt;=$B$20,0,MIN(B61,$B$22-C61))),"")</f>
        <v>727.5712622896685</v>
      </c>
      <c r="E61" s="15">
        <f>IFERROR(IF(C61="","",C61+D61),"")</f>
        <v>936.5724169135384</v>
      </c>
      <c r="F61" s="15">
        <f>IFERROR(IF(D61="","",B61-D61),"")</f>
        <v>39724.26511652385</v>
      </c>
    </row>
    <row r="62">
      <c r="A62" s="38" t="n">
        <v>37</v>
      </c>
      <c r="B62" s="15">
        <f>IFERROR(IF(OR(A62&gt;$B$19,F61=""),"",F61),"")</f>
        <v>39724.26511652385</v>
      </c>
      <c r="C62" s="15">
        <f>IFERROR(IF(OR(A62&gt;$B$19,B62=""),"",B62*$B$18),"")</f>
        <v>205.24203643537322</v>
      </c>
      <c r="D62" s="15">
        <f>IFERROR(IF(OR(A62&gt;$B$19,B62=""),"",IF(A62&lt;=$B$20,0,MIN(B62,$B$22-C62))),"")</f>
        <v>731.3303804781651</v>
      </c>
      <c r="E62" s="15">
        <f>IFERROR(IF(C62="","",C62+D62),"")</f>
        <v>936.5724169135383</v>
      </c>
      <c r="F62" s="15">
        <f>IFERROR(IF(D62="","",B62-D62),"")</f>
        <v>38992.93473604568</v>
      </c>
    </row>
    <row r="63">
      <c r="A63" s="38" t="n">
        <v>38</v>
      </c>
      <c r="B63" s="15">
        <f>IFERROR(IF(OR(A63&gt;$B$19,F62=""),"",F62),"")</f>
        <v>38992.93473604568</v>
      </c>
      <c r="C63" s="15">
        <f>IFERROR(IF(OR(A63&gt;$B$19,B63=""),"",B63*$B$18),"")</f>
        <v>201.46349613623602</v>
      </c>
      <c r="D63" s="15">
        <f>IFERROR(IF(OR(A63&gt;$B$19,B63=""),"",IF(A63&lt;=$B$20,0,MIN(B63,$B$22-C63))),"")</f>
        <v>735.1089207773024</v>
      </c>
      <c r="E63" s="15">
        <f>IFERROR(IF(C63="","",C63+D63),"")</f>
        <v>936.5724169135384</v>
      </c>
      <c r="F63" s="15">
        <f>IFERROR(IF(D63="","",B63-D63),"")</f>
        <v>38257.82581526838</v>
      </c>
    </row>
    <row r="64">
      <c r="A64" s="38" t="n">
        <v>39</v>
      </c>
      <c r="B64" s="15">
        <f>IFERROR(IF(OR(A64&gt;$B$19,F63=""),"",F63),"")</f>
        <v>38257.82581526838</v>
      </c>
      <c r="C64" s="15">
        <f>IFERROR(IF(OR(A64&gt;$B$19,B64=""),"",B64*$B$18),"")</f>
        <v>197.6654333788866</v>
      </c>
      <c r="D64" s="15">
        <f>IFERROR(IF(OR(A64&gt;$B$19,B64=""),"",IF(A64&lt;=$B$20,0,MIN(B64,$B$22-C64))),"")</f>
        <v>738.9069835346518</v>
      </c>
      <c r="E64" s="15">
        <f>IFERROR(IF(C64="","",C64+D64),"")</f>
        <v>936.5724169135384</v>
      </c>
      <c r="F64" s="15">
        <f>IFERROR(IF(D64="","",B64-D64),"")</f>
        <v>37518.918831733725</v>
      </c>
    </row>
    <row r="65">
      <c r="A65" s="38" t="n">
        <v>40</v>
      </c>
      <c r="B65" s="15">
        <f>IFERROR(IF(OR(A65&gt;$B$19,F64=""),"",F64),"")</f>
        <v>37518.918831733725</v>
      </c>
      <c r="C65" s="15">
        <f>IFERROR(IF(OR(A65&gt;$B$19,B65=""),"",B65*$B$18),"")</f>
        <v>193.8477472972909</v>
      </c>
      <c r="D65" s="15">
        <f>IFERROR(IF(OR(A65&gt;$B$19,B65=""),"",IF(A65&lt;=$B$20,0,MIN(B65,$B$22-C65))),"")</f>
        <v>742.7246696162475</v>
      </c>
      <c r="E65" s="15">
        <f>IFERROR(IF(C65="","",C65+D65),"")</f>
        <v>936.5724169135384</v>
      </c>
      <c r="F65" s="15">
        <f>IFERROR(IF(D65="","",B65-D65),"")</f>
        <v>36776.19416211748</v>
      </c>
    </row>
    <row r="66">
      <c r="A66" s="38" t="n">
        <v>41</v>
      </c>
      <c r="B66" s="15">
        <f>IFERROR(IF(OR(A66&gt;$B$19,F65=""),"",F65),"")</f>
        <v>36776.19416211748</v>
      </c>
      <c r="C66" s="15">
        <f>IFERROR(IF(OR(A66&gt;$B$19,B66=""),"",B66*$B$18),"")</f>
        <v>190.01033650427362</v>
      </c>
      <c r="D66" s="15">
        <f>IFERROR(IF(OR(A66&gt;$B$19,B66=""),"",IF(A66&lt;=$B$20,0,MIN(B66,$B$22-C66))),"")</f>
        <v>746.5620804092648</v>
      </c>
      <c r="E66" s="15">
        <f>IFERROR(IF(C66="","",C66+D66),"")</f>
        <v>936.5724169135384</v>
      </c>
      <c r="F66" s="15">
        <f>IFERROR(IF(D66="","",B66-D66),"")</f>
        <v>36029.632081708216</v>
      </c>
    </row>
    <row r="67">
      <c r="A67" s="38" t="n">
        <v>42</v>
      </c>
      <c r="B67" s="15">
        <f>IFERROR(IF(OR(A67&gt;$B$19,F66=""),"",F66),"")</f>
        <v>36029.632081708216</v>
      </c>
      <c r="C67" s="15">
        <f>IFERROR(IF(OR(A67&gt;$B$19,B67=""),"",B67*$B$18),"")</f>
        <v>186.15309908882577</v>
      </c>
      <c r="D67" s="15">
        <f>IFERROR(IF(OR(A67&gt;$B$19,B67=""),"",IF(A67&lt;=$B$20,0,MIN(B67,$B$22-C67))),"")</f>
        <v>750.4193178247126</v>
      </c>
      <c r="E67" s="15">
        <f>IFERROR(IF(C67="","",C67+D67),"")</f>
        <v>936.5724169135384</v>
      </c>
      <c r="F67" s="15">
        <f>IFERROR(IF(D67="","",B67-D67),"")</f>
        <v>35279.2127638835</v>
      </c>
    </row>
    <row r="68">
      <c r="A68" s="38" t="n">
        <v>43</v>
      </c>
      <c r="B68" s="15">
        <f>IFERROR(IF(OR(A68&gt;$B$19,F67=""),"",F67),"")</f>
        <v>35279.2127638835</v>
      </c>
      <c r="C68" s="15">
        <f>IFERROR(IF(OR(A68&gt;$B$19,B68=""),"",B68*$B$18),"")</f>
        <v>182.27593261339808</v>
      </c>
      <c r="D68" s="15">
        <f>IFERROR(IF(OR(A68&gt;$B$19,B68=""),"",IF(A68&lt;=$B$20,0,MIN(B68,$B$22-C68))),"")</f>
        <v>754.2964843001403</v>
      </c>
      <c r="E68" s="15">
        <f>IFERROR(IF(C68="","",C68+D68),"")</f>
        <v>936.5724169135383</v>
      </c>
      <c r="F68" s="15">
        <f>IFERROR(IF(D68="","",B68-D68),"")</f>
        <v>34524.91627958336</v>
      </c>
    </row>
    <row r="69">
      <c r="A69" s="38" t="n">
        <v>44</v>
      </c>
      <c r="B69" s="15">
        <f>IFERROR(IF(OR(A69&gt;$B$19,F68=""),"",F68),"")</f>
        <v>34524.91627958336</v>
      </c>
      <c r="C69" s="15">
        <f>IFERROR(IF(OR(A69&gt;$B$19,B69=""),"",B69*$B$18),"")</f>
        <v>178.3787341111807</v>
      </c>
      <c r="D69" s="15">
        <f>IFERROR(IF(OR(A69&gt;$B$19,B69=""),"",IF(A69&lt;=$B$20,0,MIN(B69,$B$22-C69))),"")</f>
        <v>758.1936828023577</v>
      </c>
      <c r="E69" s="15">
        <f>IFERROR(IF(C69="","",C69+D69),"")</f>
        <v>936.5724169135384</v>
      </c>
      <c r="F69" s="15">
        <f>IFERROR(IF(D69="","",B69-D69),"")</f>
        <v>33766.722596781</v>
      </c>
    </row>
    <row r="70">
      <c r="A70" s="38" t="n">
        <v>45</v>
      </c>
      <c r="B70" s="15">
        <f>IFERROR(IF(OR(A70&gt;$B$19,F69=""),"",F69),"")</f>
        <v>33766.722596781</v>
      </c>
      <c r="C70" s="15">
        <f>IFERROR(IF(OR(A70&gt;$B$19,B70=""),"",B70*$B$18),"")</f>
        <v>174.46140008336852</v>
      </c>
      <c r="D70" s="15">
        <f>IFERROR(IF(OR(A70&gt;$B$19,B70=""),"",IF(A70&lt;=$B$20,0,MIN(B70,$B$22-C70))),"")</f>
        <v>762.1110168301699</v>
      </c>
      <c r="E70" s="15">
        <f>IFERROR(IF(C70="","",C70+D70),"")</f>
        <v>936.5724169135384</v>
      </c>
      <c r="F70" s="15">
        <f>IFERROR(IF(D70="","",B70-D70),"")</f>
        <v>33004.61157995083</v>
      </c>
    </row>
    <row r="71">
      <c r="A71" s="38" t="n">
        <v>46</v>
      </c>
      <c r="B71" s="15">
        <f>IFERROR(IF(OR(A71&gt;$B$19,F70=""),"",F70),"")</f>
        <v>33004.61157995083</v>
      </c>
      <c r="C71" s="15">
        <f>IFERROR(IF(OR(A71&gt;$B$19,B71=""),"",B71*$B$18),"")</f>
        <v>170.52382649641262</v>
      </c>
      <c r="D71" s="15">
        <f>IFERROR(IF(OR(A71&gt;$B$19,B71=""),"",IF(A71&lt;=$B$20,0,MIN(B71,$B$22-C71))),"")</f>
        <v>766.0485904171258</v>
      </c>
      <c r="E71" s="15">
        <f>IFERROR(IF(C71="","",C71+D71),"")</f>
        <v>936.5724169135384</v>
      </c>
      <c r="F71" s="15">
        <f>IFERROR(IF(D71="","",B71-D71),"")</f>
        <v>32238.562989533708</v>
      </c>
    </row>
    <row r="72">
      <c r="A72" s="38" t="n">
        <v>47</v>
      </c>
      <c r="B72" s="15">
        <f>IFERROR(IF(OR(A72&gt;$B$19,F71=""),"",F71),"")</f>
        <v>32238.562989533708</v>
      </c>
      <c r="C72" s="15">
        <f>IFERROR(IF(OR(A72&gt;$B$19,B72=""),"",B72*$B$18),"")</f>
        <v>166.56590877925748</v>
      </c>
      <c r="D72" s="15">
        <f>IFERROR(IF(OR(A72&gt;$B$19,B72=""),"",IF(A72&lt;=$B$20,0,MIN(B72,$B$22-C72))),"")</f>
        <v>770.0065081342809</v>
      </c>
      <c r="E72" s="15">
        <f>IFERROR(IF(C72="","",C72+D72),"")</f>
        <v>936.5724169135384</v>
      </c>
      <c r="F72" s="15">
        <f>IFERROR(IF(D72="","",B72-D72),"")</f>
        <v>31468.556481399428</v>
      </c>
    </row>
    <row r="73">
      <c r="A73" s="38" t="n">
        <v>48</v>
      </c>
      <c r="B73" s="15">
        <f>IFERROR(IF(OR(A73&gt;$B$19,F72=""),"",F72),"")</f>
        <v>31468.556481399428</v>
      </c>
      <c r="C73" s="15">
        <f>IFERROR(IF(OR(A73&gt;$B$19,B73=""),"",B73*$B$18),"")</f>
        <v>162.5875418205637</v>
      </c>
      <c r="D73" s="15">
        <f>IFERROR(IF(OR(A73&gt;$B$19,B73=""),"",IF(A73&lt;=$B$20,0,MIN(B73,$B$22-C73))),"")</f>
        <v>773.9848750929747</v>
      </c>
      <c r="E73" s="15">
        <f>IFERROR(IF(C73="","",C73+D73),"")</f>
        <v>936.5724169135384</v>
      </c>
      <c r="F73" s="15">
        <f>IFERROR(IF(D73="","",B73-D73),"")</f>
        <v>30694.571606306454</v>
      </c>
    </row>
    <row r="74">
      <c r="A74" s="38" t="n">
        <v>49</v>
      </c>
      <c r="B74" s="15">
        <f>IFERROR(IF(OR(A74&gt;$B$19,F73=""),"",F73),"")</f>
        <v>30694.571606306454</v>
      </c>
      <c r="C74" s="15">
        <f>IFERROR(IF(OR(A74&gt;$B$19,B74=""),"",B74*$B$18),"")</f>
        <v>158.58861996591668</v>
      </c>
      <c r="D74" s="15">
        <f>IFERROR(IF(OR(A74&gt;$B$19,B74=""),"",IF(A74&lt;=$B$20,0,MIN(B74,$B$22-C74))),"")</f>
        <v>777.9837969476217</v>
      </c>
      <c r="E74" s="15">
        <f>IFERROR(IF(C74="","",C74+D74),"")</f>
        <v>936.5724169135384</v>
      </c>
      <c r="F74" s="15">
        <f>IFERROR(IF(D74="","",B74-D74),"")</f>
        <v>29916.587809358833</v>
      </c>
    </row>
    <row r="75">
      <c r="A75" s="38" t="n">
        <v>50</v>
      </c>
      <c r="B75" s="15">
        <f>IFERROR(IF(OR(A75&gt;$B$19,F74=""),"",F74),"")</f>
        <v>29916.587809358833</v>
      </c>
      <c r="C75" s="15">
        <f>IFERROR(IF(OR(A75&gt;$B$19,B75=""),"",B75*$B$18),"")</f>
        <v>154.56903701502063</v>
      </c>
      <c r="D75" s="15">
        <f>IFERROR(IF(OR(A75&gt;$B$19,B75=""),"",IF(A75&lt;=$B$20,0,MIN(B75,$B$22-C75))),"")</f>
        <v>782.0033798985178</v>
      </c>
      <c r="E75" s="15">
        <f>IFERROR(IF(C75="","",C75+D75),"")</f>
        <v>936.5724169135384</v>
      </c>
      <c r="F75" s="15">
        <f>IFERROR(IF(D75="","",B75-D75),"")</f>
        <v>29134.584429460316</v>
      </c>
    </row>
    <row r="76">
      <c r="A76" s="38" t="n">
        <v>51</v>
      </c>
      <c r="B76" s="15">
        <f>IFERROR(IF(OR(A76&gt;$B$19,F75=""),"",F75),"")</f>
        <v>29134.584429460316</v>
      </c>
      <c r="C76" s="15">
        <f>IFERROR(IF(OR(A76&gt;$B$19,B76=""),"",B76*$B$18),"")</f>
        <v>150.5286862188783</v>
      </c>
      <c r="D76" s="15">
        <f>IFERROR(IF(OR(A76&gt;$B$19,B76=""),"",IF(A76&lt;=$B$20,0,MIN(B76,$B$22-C76))),"")</f>
        <v>786.0437306946601</v>
      </c>
      <c r="E76" s="15">
        <f>IFERROR(IF(C76="","",C76+D76),"")</f>
        <v>936.5724169135384</v>
      </c>
      <c r="F76" s="15">
        <f>IFERROR(IF(D76="","",B76-D76),"")</f>
        <v>28348.540698765657</v>
      </c>
    </row>
    <row r="77">
      <c r="A77" s="38" t="n">
        <v>52</v>
      </c>
      <c r="B77" s="15">
        <f>IFERROR(IF(OR(A77&gt;$B$19,F76=""),"",F76),"")</f>
        <v>28348.540698765657</v>
      </c>
      <c r="C77" s="15">
        <f>IFERROR(IF(OR(A77&gt;$B$19,B77=""),"",B77*$B$18),"")</f>
        <v>146.4674602769559</v>
      </c>
      <c r="D77" s="15">
        <f>IFERROR(IF(OR(A77&gt;$B$19,B77=""),"",IF(A77&lt;=$B$20,0,MIN(B77,$B$22-C77))),"")</f>
        <v>790.1049566365825</v>
      </c>
      <c r="E77" s="15">
        <f>IFERROR(IF(C77="","",C77+D77),"")</f>
        <v>936.5724169135384</v>
      </c>
      <c r="F77" s="15">
        <f>IFERROR(IF(D77="","",B77-D77),"")</f>
        <v>27558.435742129073</v>
      </c>
    </row>
    <row r="78">
      <c r="A78" s="38" t="n">
        <v>53</v>
      </c>
      <c r="B78" s="15">
        <f>IFERROR(IF(OR(A78&gt;$B$19,F77=""),"",F77),"")</f>
        <v>27558.435742129073</v>
      </c>
      <c r="C78" s="15">
        <f>IFERROR(IF(OR(A78&gt;$B$19,B78=""),"",B78*$B$18),"")</f>
        <v>142.38525133433353</v>
      </c>
      <c r="D78" s="15">
        <f>IFERROR(IF(OR(A78&gt;$B$19,B78=""),"",IF(A78&lt;=$B$20,0,MIN(B78,$B$22-C78))),"")</f>
        <v>794.1871655792049</v>
      </c>
      <c r="E78" s="15">
        <f>IFERROR(IF(C78="","",C78+D78),"")</f>
        <v>936.5724169135385</v>
      </c>
      <c r="F78" s="15">
        <f>IFERROR(IF(D78="","",B78-D78),"")</f>
        <v>26764.248576549868</v>
      </c>
    </row>
    <row r="79">
      <c r="A79" s="38" t="n">
        <v>54</v>
      </c>
      <c r="B79" s="15">
        <f>IFERROR(IF(OR(A79&gt;$B$19,F78=""),"",F78),"")</f>
        <v>26764.248576549868</v>
      </c>
      <c r="C79" s="15">
        <f>IFERROR(IF(OR(A79&gt;$B$19,B79=""),"",B79*$B$18),"")</f>
        <v>138.281950978841</v>
      </c>
      <c r="D79" s="15">
        <f>IFERROR(IF(OR(A79&gt;$B$19,B79=""),"",IF(A79&lt;=$B$20,0,MIN(B79,$B$22-C79))),"")</f>
        <v>798.2904659346974</v>
      </c>
      <c r="E79" s="15">
        <f>IFERROR(IF(C79="","",C79+D79),"")</f>
        <v>936.5724169135384</v>
      </c>
      <c r="F79" s="15">
        <f>IFERROR(IF(D79="","",B79-D79),"")</f>
        <v>25965.95811061517</v>
      </c>
    </row>
    <row r="80">
      <c r="A80" s="38" t="n">
        <v>55</v>
      </c>
      <c r="B80" s="15">
        <f>IFERROR(IF(OR(A80&gt;$B$19,F79=""),"",F79),"")</f>
        <v>25965.95811061517</v>
      </c>
      <c r="C80" s="15">
        <f>IFERROR(IF(OR(A80&gt;$B$19,B80=""),"",B80*$B$18),"")</f>
        <v>134.15745023817837</v>
      </c>
      <c r="D80" s="15">
        <f>IFERROR(IF(OR(A80&gt;$B$19,B80=""),"",IF(A80&lt;=$B$20,0,MIN(B80,$B$22-C80))),"")</f>
        <v>802.41496667536</v>
      </c>
      <c r="E80" s="15">
        <f>IFERROR(IF(C80="","",C80+D80),"")</f>
        <v>936.5724169135384</v>
      </c>
      <c r="F80" s="15">
        <f>IFERROR(IF(D80="","",B80-D80),"")</f>
        <v>25163.543143939813</v>
      </c>
    </row>
    <row r="81">
      <c r="A81" s="38" t="n">
        <v>56</v>
      </c>
      <c r="B81" s="15">
        <f>IFERROR(IF(OR(A81&gt;$B$19,F80=""),"",F80),"")</f>
        <v>25163.543143939813</v>
      </c>
      <c r="C81" s="15">
        <f>IFERROR(IF(OR(A81&gt;$B$19,B81=""),"",B81*$B$18),"")</f>
        <v>130.01163957702235</v>
      </c>
      <c r="D81" s="15">
        <f>IFERROR(IF(OR(A81&gt;$B$19,B81=""),"",IF(A81&lt;=$B$20,0,MIN(B81,$B$22-C81))),"")</f>
        <v>806.560777336516</v>
      </c>
      <c r="E81" s="15">
        <f>IFERROR(IF(C81="","",C81+D81),"")</f>
        <v>936.5724169135384</v>
      </c>
      <c r="F81" s="15">
        <f>IFERROR(IF(D81="","",B81-D81),"")</f>
        <v>24356.982366603297</v>
      </c>
    </row>
    <row r="82">
      <c r="A82" s="38" t="n">
        <v>57</v>
      </c>
      <c r="B82" s="15">
        <f>IFERROR(IF(OR(A82&gt;$B$19,F81=""),"",F81),"")</f>
        <v>24356.982366603297</v>
      </c>
      <c r="C82" s="15">
        <f>IFERROR(IF(OR(A82&gt;$B$19,B82=""),"",B82*$B$18),"")</f>
        <v>125.84440889411704</v>
      </c>
      <c r="D82" s="15">
        <f>IFERROR(IF(OR(A82&gt;$B$19,B82=""),"",IF(A82&lt;=$B$20,0,MIN(B82,$B$22-C82))),"")</f>
        <v>810.7280080194214</v>
      </c>
      <c r="E82" s="15">
        <f>IFERROR(IF(C82="","",C82+D82),"")</f>
        <v>936.5724169135384</v>
      </c>
      <c r="F82" s="15">
        <f>IFERROR(IF(D82="","",B82-D82),"")</f>
        <v>23546.254358583876</v>
      </c>
    </row>
    <row r="83">
      <c r="A83" s="38" t="n">
        <v>58</v>
      </c>
      <c r="B83" s="15">
        <f>IFERROR(IF(OR(A83&gt;$B$19,F82=""),"",F82),"")</f>
        <v>23546.254358583876</v>
      </c>
      <c r="C83" s="15">
        <f>IFERROR(IF(OR(A83&gt;$B$19,B83=""),"",B83*$B$18),"")</f>
        <v>121.65564751935003</v>
      </c>
      <c r="D83" s="15">
        <f>IFERROR(IF(OR(A83&gt;$B$19,B83=""),"",IF(A83&lt;=$B$20,0,MIN(B83,$B$22-C83))),"")</f>
        <v>814.9167693941883</v>
      </c>
      <c r="E83" s="15">
        <f>IFERROR(IF(C83="","",C83+D83),"")</f>
        <v>936.5724169135384</v>
      </c>
      <c r="F83" s="15">
        <f>IFERROR(IF(D83="","",B83-D83),"")</f>
        <v>22731.337589189687</v>
      </c>
    </row>
    <row r="84">
      <c r="A84" s="38" t="n">
        <v>59</v>
      </c>
      <c r="B84" s="15">
        <f>IFERROR(IF(OR(A84&gt;$B$19,F83=""),"",F83),"")</f>
        <v>22731.337589189687</v>
      </c>
      <c r="C84" s="15">
        <f>IFERROR(IF(OR(A84&gt;$B$19,B84=""),"",B84*$B$18),"")</f>
        <v>117.44524421081339</v>
      </c>
      <c r="D84" s="15">
        <f>IFERROR(IF(OR(A84&gt;$B$19,B84=""),"",IF(A84&lt;=$B$20,0,MIN(B84,$B$22-C84))),"")</f>
        <v>819.127172702725</v>
      </c>
      <c r="E84" s="15">
        <f>IFERROR(IF(C84="","",C84+D84),"")</f>
        <v>936.5724169135384</v>
      </c>
      <c r="F84" s="15">
        <f>IFERROR(IF(D84="","",B84-D84),"")</f>
        <v>21912.210416486963</v>
      </c>
    </row>
    <row r="85">
      <c r="A85" s="38" t="n">
        <v>60</v>
      </c>
      <c r="B85" s="15">
        <f>IFERROR(IF(OR(A85&gt;$B$19,F84=""),"",F84),"")</f>
        <v>21912.210416486963</v>
      </c>
      <c r="C85" s="15">
        <f>IFERROR(IF(OR(A85&gt;$B$19,B85=""),"",B85*$B$18),"")</f>
        <v>113.21308715184931</v>
      </c>
      <c r="D85" s="15">
        <f>IFERROR(IF(OR(A85&gt;$B$19,B85=""),"",IF(A85&lt;=$B$20,0,MIN(B85,$B$22-C85))),"")</f>
        <v>823.3593297616891</v>
      </c>
      <c r="E85" s="15">
        <f>IFERROR(IF(C85="","",C85+D85),"")</f>
        <v>936.5724169135384</v>
      </c>
      <c r="F85" s="15">
        <f>IFERROR(IF(D85="","",B85-D85),"")</f>
        <v>21088.851086725273</v>
      </c>
    </row>
    <row r="86">
      <c r="A86" s="38" t="n">
        <v>61</v>
      </c>
      <c r="B86" s="15">
        <f>IFERROR(IF(OR(A86&gt;$B$19,F85=""),"",F85),"")</f>
        <v>21088.851086725273</v>
      </c>
      <c r="C86" s="15">
        <f>IFERROR(IF(OR(A86&gt;$B$19,B86=""),"",B86*$B$18),"")</f>
        <v>108.95906394808058</v>
      </c>
      <c r="D86" s="15">
        <f>IFERROR(IF(OR(A86&gt;$B$19,B86=""),"",IF(A86&lt;=$B$20,0,MIN(B86,$B$22-C86))),"")</f>
        <v>827.6133529654578</v>
      </c>
      <c r="E86" s="15">
        <f>IFERROR(IF(C86="","",C86+D86),"")</f>
        <v>936.5724169135384</v>
      </c>
      <c r="F86" s="15">
        <f>IFERROR(IF(D86="","",B86-D86),"")</f>
        <v>20261.237733759815</v>
      </c>
    </row>
    <row r="87">
      <c r="A87" s="38" t="n">
        <v>62</v>
      </c>
      <c r="B87" s="15">
        <f>IFERROR(IF(OR(A87&gt;$B$19,F86=""),"",F86),"")</f>
        <v>20261.237733759815</v>
      </c>
      <c r="C87" s="15">
        <f>IFERROR(IF(OR(A87&gt;$B$19,B87=""),"",B87*$B$18),"")</f>
        <v>104.68306162442572</v>
      </c>
      <c r="D87" s="15">
        <f>IFERROR(IF(OR(A87&gt;$B$19,B87=""),"",IF(A87&lt;=$B$20,0,MIN(B87,$B$22-C87))),"")</f>
        <v>831.8893552891127</v>
      </c>
      <c r="E87" s="15">
        <f>IFERROR(IF(C87="","",C87+D87),"")</f>
        <v>936.5724169135384</v>
      </c>
      <c r="F87" s="15">
        <f>IFERROR(IF(D87="","",B87-D87),"")</f>
        <v>19429.348378470702</v>
      </c>
    </row>
    <row r="88">
      <c r="A88" s="38" t="n">
        <v>63</v>
      </c>
      <c r="B88" s="15">
        <f>IFERROR(IF(OR(A88&gt;$B$19,F87=""),"",F87),"")</f>
        <v>19429.348378470702</v>
      </c>
      <c r="C88" s="15">
        <f>IFERROR(IF(OR(A88&gt;$B$19,B88=""),"",B88*$B$18),"")</f>
        <v>100.38496662209863</v>
      </c>
      <c r="D88" s="15">
        <f>IFERROR(IF(OR(A88&gt;$B$19,B88=""),"",IF(A88&lt;=$B$20,0,MIN(B88,$B$22-C88))),"")</f>
        <v>836.1874502914397</v>
      </c>
      <c r="E88" s="15">
        <f>IFERROR(IF(C88="","",C88+D88),"")</f>
        <v>936.5724169135384</v>
      </c>
      <c r="F88" s="15">
        <f>IFERROR(IF(D88="","",B88-D88),"")</f>
        <v>18593.160928179263</v>
      </c>
    </row>
    <row r="89">
      <c r="A89" s="38" t="n">
        <v>64</v>
      </c>
      <c r="B89" s="15">
        <f>IFERROR(IF(OR(A89&gt;$B$19,F88=""),"",F88),"")</f>
        <v>18593.160928179263</v>
      </c>
      <c r="C89" s="15">
        <f>IFERROR(IF(OR(A89&gt;$B$19,B89=""),"",B89*$B$18),"")</f>
        <v>96.06466479559286</v>
      </c>
      <c r="D89" s="15">
        <f>IFERROR(IF(OR(A89&gt;$B$19,B89=""),"",IF(A89&lt;=$B$20,0,MIN(B89,$B$22-C89))),"")</f>
        <v>840.5077521179455</v>
      </c>
      <c r="E89" s="15">
        <f>IFERROR(IF(C89="","",C89+D89),"")</f>
        <v>936.5724169135384</v>
      </c>
      <c r="F89" s="15">
        <f>IFERROR(IF(D89="","",B89-D89),"")</f>
        <v>17752.653176061318</v>
      </c>
    </row>
    <row r="90">
      <c r="A90" s="38" t="n">
        <v>65</v>
      </c>
      <c r="B90" s="15">
        <f>IFERROR(IF(OR(A90&gt;$B$19,F89=""),"",F89),"")</f>
        <v>17752.653176061318</v>
      </c>
      <c r="C90" s="15">
        <f>IFERROR(IF(OR(A90&gt;$B$19,B90=""),"",B90*$B$18),"")</f>
        <v>91.72204140965015</v>
      </c>
      <c r="D90" s="15">
        <f>IFERROR(IF(OR(A90&gt;$B$19,B90=""),"",IF(A90&lt;=$B$20,0,MIN(B90,$B$22-C90))),"")</f>
        <v>844.8503755038882</v>
      </c>
      <c r="E90" s="15">
        <f>IFERROR(IF(C90="","",C90+D90),"")</f>
        <v>936.5724169135384</v>
      </c>
      <c r="F90" s="15">
        <f>IFERROR(IF(D90="","",B90-D90),"")</f>
        <v>16907.80280055743</v>
      </c>
    </row>
    <row r="91">
      <c r="A91" s="38" t="n">
        <v>66</v>
      </c>
      <c r="B91" s="15">
        <f>IFERROR(IF(OR(A91&gt;$B$19,F90=""),"",F90),"")</f>
        <v>16907.80280055743</v>
      </c>
      <c r="C91" s="15">
        <f>IFERROR(IF(OR(A91&gt;$B$19,B91=""),"",B91*$B$18),"")</f>
        <v>87.35698113621339</v>
      </c>
      <c r="D91" s="15">
        <f>IFERROR(IF(OR(A91&gt;$B$19,B91=""),"",IF(A91&lt;=$B$20,0,MIN(B91,$B$22-C91))),"")</f>
        <v>849.215435777325</v>
      </c>
      <c r="E91" s="15">
        <f>IFERROR(IF(C91="","",C91+D91),"")</f>
        <v>936.5724169135383</v>
      </c>
      <c r="F91" s="15">
        <f>IFERROR(IF(D91="","",B91-D91),"")</f>
        <v>16058.587364780105</v>
      </c>
    </row>
    <row r="92">
      <c r="A92" s="38" t="n">
        <v>67</v>
      </c>
      <c r="B92" s="15">
        <f>IFERROR(IF(OR(A92&gt;$B$19,F91=""),"",F91),"")</f>
        <v>16058.587364780105</v>
      </c>
      <c r="C92" s="15">
        <f>IFERROR(IF(OR(A92&gt;$B$19,B92=""),"",B92*$B$18),"")</f>
        <v>82.96936805136387</v>
      </c>
      <c r="D92" s="15">
        <f>IFERROR(IF(OR(A92&gt;$B$19,B92=""),"",IF(A92&lt;=$B$20,0,MIN(B92,$B$22-C92))),"")</f>
        <v>853.6030488621745</v>
      </c>
      <c r="E92" s="15">
        <f>IFERROR(IF(C92="","",C92+D92),"")</f>
        <v>936.5724169135384</v>
      </c>
      <c r="F92" s="15">
        <f>IFERROR(IF(D92="","",B92-D92),"")</f>
        <v>15204.98431591793</v>
      </c>
    </row>
    <row r="93">
      <c r="A93" s="38" t="n">
        <v>68</v>
      </c>
      <c r="B93" s="15">
        <f>IFERROR(IF(OR(A93&gt;$B$19,F92=""),"",F92),"")</f>
        <v>15204.98431591793</v>
      </c>
      <c r="C93" s="15">
        <f>IFERROR(IF(OR(A93&gt;$B$19,B93=""),"",B93*$B$18),"")</f>
        <v>78.55908563224264</v>
      </c>
      <c r="D93" s="15">
        <f>IFERROR(IF(OR(A93&gt;$B$19,B93=""),"",IF(A93&lt;=$B$20,0,MIN(B93,$B$22-C93))),"")</f>
        <v>858.0133312812958</v>
      </c>
      <c r="E93" s="15">
        <f>IFERROR(IF(C93="","",C93+D93),"")</f>
        <v>936.5724169135384</v>
      </c>
      <c r="F93" s="15">
        <f>IFERROR(IF(D93="","",B93-D93),"")</f>
        <v>14346.970984636635</v>
      </c>
    </row>
    <row r="94">
      <c r="A94" s="38" t="n">
        <v>69</v>
      </c>
      <c r="B94" s="15">
        <f>IFERROR(IF(OR(A94&gt;$B$19,F93=""),"",F93),"")</f>
        <v>14346.970984636635</v>
      </c>
      <c r="C94" s="15">
        <f>IFERROR(IF(OR(A94&gt;$B$19,B94=""),"",B94*$B$18),"")</f>
        <v>74.12601675395595</v>
      </c>
      <c r="D94" s="15">
        <f>IFERROR(IF(OR(A94&gt;$B$19,B94=""),"",IF(A94&lt;=$B$20,0,MIN(B94,$B$22-C94))),"")</f>
        <v>862.4464001595825</v>
      </c>
      <c r="E94" s="15">
        <f>IFERROR(IF(C94="","",C94+D94),"")</f>
        <v>936.5724169135384</v>
      </c>
      <c r="F94" s="15">
        <f>IFERROR(IF(D94="","",B94-D94),"")</f>
        <v>13484.524584477052</v>
      </c>
    </row>
    <row r="95">
      <c r="A95" s="38" t="n">
        <v>70</v>
      </c>
      <c r="B95" s="15">
        <f>IFERROR(IF(OR(A95&gt;$B$19,F94=""),"",F94),"")</f>
        <v>13484.524584477052</v>
      </c>
      <c r="C95" s="15">
        <f>IFERROR(IF(OR(A95&gt;$B$19,B95=""),"",B95*$B$18),"")</f>
        <v>69.67004368646477</v>
      </c>
      <c r="D95" s="15">
        <f>IFERROR(IF(OR(A95&gt;$B$19,B95=""),"",IF(A95&lt;=$B$20,0,MIN(B95,$B$22-C95))),"")</f>
        <v>866.9023732270737</v>
      </c>
      <c r="E95" s="15">
        <f>IFERROR(IF(C95="","",C95+D95),"")</f>
        <v>936.5724169135384</v>
      </c>
      <c r="F95" s="15">
        <f>IFERROR(IF(D95="","",B95-D95),"")</f>
        <v>12617.622211249978</v>
      </c>
    </row>
    <row r="96">
      <c r="A96" s="38" t="n">
        <v>71</v>
      </c>
      <c r="B96" s="15">
        <f>IFERROR(IF(OR(A96&gt;$B$19,F95=""),"",F95),"")</f>
        <v>12617.622211249978</v>
      </c>
      <c r="C96" s="15">
        <f>IFERROR(IF(OR(A96&gt;$B$19,B96=""),"",B96*$B$18),"")</f>
        <v>65.19104809145821</v>
      </c>
      <c r="D96" s="15">
        <f>IFERROR(IF(OR(A96&gt;$B$19,B96=""),"",IF(A96&lt;=$B$20,0,MIN(B96,$B$22-C96))),"")</f>
        <v>871.3813688220802</v>
      </c>
      <c r="E96" s="15">
        <f>IFERROR(IF(C96="","",C96+D96),"")</f>
        <v>936.5724169135384</v>
      </c>
      <c r="F96" s="15">
        <f>IFERROR(IF(D96="","",B96-D96),"")</f>
        <v>11746.240842427898</v>
      </c>
    </row>
    <row r="97">
      <c r="A97" s="38" t="n">
        <v>72</v>
      </c>
      <c r="B97" s="15">
        <f>IFERROR(IF(OR(A97&gt;$B$19,F96=""),"",F96),"")</f>
        <v>11746.240842427898</v>
      </c>
      <c r="C97" s="15">
        <f>IFERROR(IF(OR(A97&gt;$B$19,B97=""),"",B97*$B$18),"")</f>
        <v>60.688911019210806</v>
      </c>
      <c r="D97" s="15">
        <f>IFERROR(IF(OR(A97&gt;$B$19,B97=""),"",IF(A97&lt;=$B$20,0,MIN(B97,$B$22-C97))),"")</f>
        <v>875.8835058943276</v>
      </c>
      <c r="E97" s="15">
        <f>IFERROR(IF(C97="","",C97+D97),"")</f>
        <v>936.5724169135384</v>
      </c>
      <c r="F97" s="15">
        <f>IFERROR(IF(D97="","",B97-D97),"")</f>
        <v>10870.35733653357</v>
      </c>
    </row>
    <row r="98">
      <c r="A98" s="38" t="n">
        <v>73</v>
      </c>
      <c r="B98" s="15">
        <f>IFERROR(IF(OR(A98&gt;$B$19,F97=""),"",F97),"")</f>
        <v>10870.35733653357</v>
      </c>
      <c r="C98" s="15">
        <f>IFERROR(IF(OR(A98&gt;$B$19,B98=""),"",B98*$B$18),"")</f>
        <v>56.163512905423445</v>
      </c>
      <c r="D98" s="15">
        <f>IFERROR(IF(OR(A98&gt;$B$19,B98=""),"",IF(A98&lt;=$B$20,0,MIN(B98,$B$22-C98))),"")</f>
        <v>880.408904008115</v>
      </c>
      <c r="E98" s="15">
        <f>IFERROR(IF(C98="","",C98+D98),"")</f>
        <v>936.5724169135384</v>
      </c>
      <c r="F98" s="15">
        <f>IFERROR(IF(D98="","",B98-D98),"")</f>
        <v>9989.948432525456</v>
      </c>
    </row>
    <row r="99">
      <c r="A99" s="38" t="n">
        <v>74</v>
      </c>
      <c r="B99" s="15">
        <f>IFERROR(IF(OR(A99&gt;$B$19,F98=""),"",F98),"")</f>
        <v>9989.948432525456</v>
      </c>
      <c r="C99" s="15">
        <f>IFERROR(IF(OR(A99&gt;$B$19,B99=""),"",B99*$B$18),"")</f>
        <v>51.61473356804819</v>
      </c>
      <c r="D99" s="15">
        <f>IFERROR(IF(OR(A99&gt;$B$19,B99=""),"",IF(A99&lt;=$B$20,0,MIN(B99,$B$22-C99))),"")</f>
        <v>884.9576833454902</v>
      </c>
      <c r="E99" s="15">
        <f>IFERROR(IF(C99="","",C99+D99),"")</f>
        <v>936.5724169135384</v>
      </c>
      <c r="F99" s="15">
        <f>IFERROR(IF(D99="","",B99-D99),"")</f>
        <v>9104.990749179966</v>
      </c>
    </row>
    <row r="100">
      <c r="A100" s="38" t="n">
        <v>75</v>
      </c>
      <c r="B100" s="15">
        <f>IFERROR(IF(OR(A100&gt;$B$19,F99=""),"",F99),"")</f>
        <v>9104.990749179966</v>
      </c>
      <c r="C100" s="15">
        <f>IFERROR(IF(OR(A100&gt;$B$19,B100=""),"",B100*$B$18),"")</f>
        <v>47.04245220409649</v>
      </c>
      <c r="D100" s="15">
        <f>IFERROR(IF(OR(A100&gt;$B$19,B100=""),"",IF(A100&lt;=$B$20,0,MIN(B100,$B$22-C100))),"")</f>
        <v>889.5299647094419</v>
      </c>
      <c r="E100" s="15">
        <f>IFERROR(IF(C100="","",C100+D100),"")</f>
        <v>936.5724169135383</v>
      </c>
      <c r="F100" s="15">
        <f>IFERROR(IF(D100="","",B100-D100),"")</f>
        <v>8215.460784470524</v>
      </c>
    </row>
    <row r="101">
      <c r="A101" s="38" t="n">
        <v>76</v>
      </c>
      <c r="B101" s="15">
        <f>IFERROR(IF(OR(A101&gt;$B$19,F100=""),"",F100),"")</f>
        <v>8215.460784470524</v>
      </c>
      <c r="C101" s="15">
        <f>IFERROR(IF(OR(A101&gt;$B$19,B101=""),"",B101*$B$18),"")</f>
        <v>42.44654738643104</v>
      </c>
      <c r="D101" s="15">
        <f>IFERROR(IF(OR(A101&gt;$B$19,B101=""),"",IF(A101&lt;=$B$20,0,MIN(B101,$B$22-C101))),"")</f>
        <v>894.1258695271074</v>
      </c>
      <c r="E101" s="15">
        <f>IFERROR(IF(C101="","",C101+D101),"")</f>
        <v>936.5724169135384</v>
      </c>
      <c r="F101" s="15">
        <f>IFERROR(IF(D101="","",B101-D101),"")</f>
        <v>7321.334914943417</v>
      </c>
    </row>
    <row r="102">
      <c r="A102" s="38" t="n">
        <v>77</v>
      </c>
      <c r="B102" s="15">
        <f>IFERROR(IF(OR(A102&gt;$B$19,F101=""),"",F101),"")</f>
        <v>7321.334914943417</v>
      </c>
      <c r="C102" s="15">
        <f>IFERROR(IF(OR(A102&gt;$B$19,B102=""),"",B102*$B$18),"")</f>
        <v>37.826897060540986</v>
      </c>
      <c r="D102" s="15">
        <f>IFERROR(IF(OR(A102&gt;$B$19,B102=""),"",IF(A102&lt;=$B$20,0,MIN(B102,$B$22-C102))),"")</f>
        <v>898.7455198529974</v>
      </c>
      <c r="E102" s="15">
        <f>IFERROR(IF(C102="","",C102+D102),"")</f>
        <v>936.5724169135384</v>
      </c>
      <c r="F102" s="15">
        <f>IFERROR(IF(D102="","",B102-D102),"")</f>
        <v>6422.589395090419</v>
      </c>
    </row>
    <row r="103">
      <c r="A103" s="38" t="n">
        <v>78</v>
      </c>
      <c r="B103" s="15">
        <f>IFERROR(IF(OR(A103&gt;$B$19,F102=""),"",F102),"")</f>
        <v>6422.589395090419</v>
      </c>
      <c r="C103" s="15">
        <f>IFERROR(IF(OR(A103&gt;$B$19,B103=""),"",B103*$B$18),"")</f>
        <v>33.1833785413005</v>
      </c>
      <c r="D103" s="15">
        <f>IFERROR(IF(OR(A103&gt;$B$19,B103=""),"",IF(A103&lt;=$B$20,0,MIN(B103,$B$22-C103))),"")</f>
        <v>903.3890383722379</v>
      </c>
      <c r="E103" s="15">
        <f>IFERROR(IF(C103="","",C103+D103),"")</f>
        <v>936.5724169135384</v>
      </c>
      <c r="F103" s="15">
        <f>IFERROR(IF(D103="","",B103-D103),"")</f>
        <v>5519.200356718181</v>
      </c>
    </row>
    <row r="104">
      <c r="A104" s="38" t="n">
        <v>79</v>
      </c>
      <c r="B104" s="15">
        <f>IFERROR(IF(OR(A104&gt;$B$19,F103=""),"",F103),"")</f>
        <v>5519.200356718181</v>
      </c>
      <c r="C104" s="15">
        <f>IFERROR(IF(OR(A104&gt;$B$19,B104=""),"",B104*$B$18),"")</f>
        <v>28.5158685097106</v>
      </c>
      <c r="D104" s="15">
        <f>IFERROR(IF(OR(A104&gt;$B$19,B104=""),"",IF(A104&lt;=$B$20,0,MIN(B104,$B$22-C104))),"")</f>
        <v>908.0565484038278</v>
      </c>
      <c r="E104" s="15">
        <f>IFERROR(IF(C104="","",C104+D104),"")</f>
        <v>936.5724169135384</v>
      </c>
      <c r="F104" s="15">
        <f>IFERROR(IF(D104="","",B104-D104),"")</f>
        <v>4611.143808314353</v>
      </c>
    </row>
    <row r="105">
      <c r="A105" s="38" t="n">
        <v>80</v>
      </c>
      <c r="B105" s="15">
        <f>IFERROR(IF(OR(A105&gt;$B$19,F104=""),"",F104),"")</f>
        <v>4611.143808314353</v>
      </c>
      <c r="C105" s="15">
        <f>IFERROR(IF(OR(A105&gt;$B$19,B105=""),"",B105*$B$18),"")</f>
        <v>23.82424300962416</v>
      </c>
      <c r="D105" s="15">
        <f>IFERROR(IF(OR(A105&gt;$B$19,B105=""),"",IF(A105&lt;=$B$20,0,MIN(B105,$B$22-C105))),"")</f>
        <v>912.7481739039142</v>
      </c>
      <c r="E105" s="15">
        <f>IFERROR(IF(C105="","",C105+D105),"")</f>
        <v>936.5724169135384</v>
      </c>
      <c r="F105" s="15">
        <f>IFERROR(IF(D105="","",B105-D105),"")</f>
        <v>3698.395634410439</v>
      </c>
    </row>
    <row r="106">
      <c r="A106" s="38" t="n">
        <v>81</v>
      </c>
      <c r="B106" s="15">
        <f>IFERROR(IF(OR(A106&gt;$B$19,F105=""),"",F105),"")</f>
        <v>3698.395634410439</v>
      </c>
      <c r="C106" s="15">
        <f>IFERROR(IF(OR(A106&gt;$B$19,B106=""),"",B106*$B$18),"")</f>
        <v>19.108377444453936</v>
      </c>
      <c r="D106" s="15">
        <f>IFERROR(IF(OR(A106&gt;$B$19,B106=""),"",IF(A106&lt;=$B$20,0,MIN(B106,$B$22-C106))),"")</f>
        <v>917.4640394690845</v>
      </c>
      <c r="E106" s="15">
        <f>IFERROR(IF(C106="","",C106+D106),"")</f>
        <v>936.5724169135384</v>
      </c>
      <c r="F106" s="15">
        <f>IFERROR(IF(D106="","",B106-D106),"")</f>
        <v>2780.9315949413544</v>
      </c>
    </row>
    <row r="107">
      <c r="A107" s="38" t="n">
        <v>82</v>
      </c>
      <c r="B107" s="15">
        <f>IFERROR(IF(OR(A107&gt;$B$19,F106=""),"",F106),"")</f>
        <v>2780.9315949413544</v>
      </c>
      <c r="C107" s="15">
        <f>IFERROR(IF(OR(A107&gt;$B$19,B107=""),"",B107*$B$18),"")</f>
        <v>14.368146573863665</v>
      </c>
      <c r="D107" s="15">
        <f>IFERROR(IF(OR(A107&gt;$B$19,B107=""),"",IF(A107&lt;=$B$20,0,MIN(B107,$B$22-C107))),"")</f>
        <v>922.2042703396747</v>
      </c>
      <c r="E107" s="15">
        <f>IFERROR(IF(C107="","",C107+D107),"")</f>
        <v>936.5724169135384</v>
      </c>
      <c r="F107" s="15">
        <f>IFERROR(IF(D107="","",B107-D107),"")</f>
        <v>1858.7273246016798</v>
      </c>
    </row>
    <row r="108">
      <c r="A108" s="38" t="n">
        <v>83</v>
      </c>
      <c r="B108" s="15">
        <f>IFERROR(IF(OR(A108&gt;$B$19,F107=""),"",F107),"")</f>
        <v>1858.7273246016798</v>
      </c>
      <c r="C108" s="15">
        <f>IFERROR(IF(OR(A108&gt;$B$19,B108=""),"",B108*$B$18),"")</f>
        <v>9.603424510442013</v>
      </c>
      <c r="D108" s="15">
        <f>IFERROR(IF(OR(A108&gt;$B$19,B108=""),"",IF(A108&lt;=$B$20,0,MIN(B108,$B$22-C108))),"")</f>
        <v>926.9689924030964</v>
      </c>
      <c r="E108" s="15">
        <f>IFERROR(IF(C108="","",C108+D108),"")</f>
        <v>936.5724169135384</v>
      </c>
      <c r="F108" s="15">
        <f>IFERROR(IF(D108="","",B108-D108),"")</f>
        <v>931.7583321985834</v>
      </c>
    </row>
    <row r="109">
      <c r="A109" s="38" t="n">
        <v>84</v>
      </c>
      <c r="B109" s="15">
        <f>IFERROR(IF(OR(A109&gt;$B$19,F108=""),"",F108),"")</f>
        <v>931.7583321985834</v>
      </c>
      <c r="C109" s="15">
        <f>IFERROR(IF(OR(A109&gt;$B$19,B109=""),"",B109*$B$18),"")</f>
        <v>4.814084716359347</v>
      </c>
      <c r="D109" s="15">
        <f>IFERROR(IF(OR(A109&gt;$B$19,B109=""),"",IF(A109&lt;=$B$20,0,MIN(B109,$B$22-C109))),"")</f>
        <v>931.758332197179</v>
      </c>
      <c r="E109" s="15">
        <f>IFERROR(IF(C109="","",C109+D109),"")</f>
        <v>936.5724169135384</v>
      </c>
      <c r="F109" s="15">
        <f>IFERROR(IF(D109="","",B109-D109),"")</f>
        <v>1.4043735063751228e-09</v>
      </c>
    </row>
    <row r="110">
      <c r="A110" t="inlineStr">
        <is>
          <t>Schedule closing tolerance ($)</t>
        </is>
      </c>
      <c r="B110" s="14" t="n">
        <v>0.01</v>
      </c>
    </row>
    <row r="111">
      <c r="A111" t="inlineStr">
        <is>
          <t>Principal outstanding at maturity</t>
        </is>
      </c>
      <c r="B111" s="15">
        <f>IFERROR(IF($B$16="","",ROUND($B$16-SUM(D26:D109),2)),"")</f>
        <v>0.0</v>
      </c>
    </row>
    <row r="112">
      <c r="A112" t="inlineStr">
        <is>
          <t>Does the amortization schedule close?</t>
        </is>
      </c>
      <c r="B112" t="str">
        <f>IFERROR(IF(B111="","",IF(ABS(B111)&lt;=B110,"Yes","No: check the term")),"")</f>
        <v>Yes</v>
      </c>
      <c r="H112" s="5" t="inlineStr">
        <is>
          <t>It has to say "Yes": the principal repaid in the schedule has to equal the amount borrowed. If it says no, the term isn't long enough to pay it off with that payment and principal is left over at maturity.</t>
        </is>
      </c>
    </row>
    <row r="113"/>
    <row r="114">
      <c r="A114" s="4" t="inlineStr">
        <is>
          <t>SUMMARY BY YEAR AND DEBT SERVICE COVERAGE (DSCR)</t>
        </is>
      </c>
    </row>
    <row r="115" ht="30" customHeight="1">
      <c r="A115" s="7" t="inlineStr">
        <is>
          <t>Year</t>
        </is>
      </c>
      <c r="B115" s="7" t="inlineStr">
        <is>
          <t>Interest ($)</t>
        </is>
      </c>
      <c r="C115" s="7" t="inlineStr">
        <is>
          <t>Principal repaid ($)</t>
        </is>
      </c>
      <c r="D115" s="7" t="inlineStr">
        <is>
          <t>Total payment ($)</t>
        </is>
      </c>
      <c r="E115" s="7" t="inlineStr">
        <is>
          <t>Cash flow available for debt service ($)</t>
        </is>
      </c>
      <c r="F115" s="7" t="inlineStr">
        <is>
          <t>Debt service coverage ratio (DSCR)</t>
        </is>
      </c>
      <c r="G115" s="7" t="inlineStr"/>
      <c r="H115" s="7" t="inlineStr">
        <is>
          <t>Notes</t>
        </is>
      </c>
    </row>
    <row r="116">
      <c r="A116" s="38" t="n">
        <v>1</v>
      </c>
      <c r="B116" s="15">
        <f>IFERROR(SUM(C26:C37),"")</f>
        <v>3671.104818691272</v>
      </c>
      <c r="C116" s="15">
        <f>IFERROR(SUM(D26:D37),"")</f>
        <v>3808.3296827899585</v>
      </c>
      <c r="D116" s="15">
        <f>IFERROR(B116+C116,"")</f>
        <v>7479.434501481231</v>
      </c>
      <c r="E116" s="15">
        <f>IFERROR('3-Year P&amp;L'!B36-'3-Year P&amp;L'!B41+'3-Year P&amp;L'!B31+B116,"")</f>
        <v>24229.77278660761</v>
      </c>
      <c r="F116" s="39">
        <f>IFERROR(IF(OR(D116="",D116=0),"",E116/D116),"")</f>
        <v>3.239519348930609</v>
      </c>
      <c r="H116" s="5" t="inlineStr">
        <is>
          <t>Cash flow available is calculated BEFORE debt and AFTER tax: from pre-tax profit, subtract the workbook's illustrative income tax and add back depreciation, which isn't paid out. From year 4 on, year 3's cash flow is held: this workbook doesn't project further, and saying so is more honest than making up growth.</t>
        </is>
      </c>
    </row>
    <row r="117">
      <c r="A117" s="38" t="n">
        <v>2</v>
      </c>
      <c r="B117" s="15">
        <f>IFERROR(SUM(C38:C49),"")</f>
        <v>3259.672960793088</v>
      </c>
      <c r="C117" s="15">
        <f>IFERROR(SUM(D38:D49),"")</f>
        <v>7979.196042169373</v>
      </c>
      <c r="D117" s="15">
        <f>IFERROR(B117+C117,"")</f>
        <v>11238.869002962461</v>
      </c>
      <c r="E117" s="15">
        <f>IFERROR('3-Year P&amp;L'!C36-'3-Year P&amp;L'!C41+'3-Year P&amp;L'!C31+B117,"")</f>
        <v>47186.159724595345</v>
      </c>
      <c r="F117" s="39">
        <f>IFERROR(IF(OR(D117="",D117=0),"",E117/D117),"")</f>
        <v>4.198479376542027</v>
      </c>
    </row>
    <row r="118">
      <c r="A118" s="38" t="n">
        <v>3</v>
      </c>
      <c r="B118" s="15">
        <f>IFERROR(SUM(C50:C61),"")</f>
        <v>2750.659844445625</v>
      </c>
      <c r="C118" s="15">
        <f>IFERROR(SUM(D50:D61),"")</f>
        <v>8488.209158516836</v>
      </c>
      <c r="D118" s="15">
        <f>IFERROR(B118+C118,"")</f>
        <v>11238.869002962461</v>
      </c>
      <c r="E118" s="15">
        <f>IFERROR('3-Year P&amp;L'!D36-'3-Year P&amp;L'!D41+'3-Year P&amp;L'!D31+B118,"")</f>
        <v>50356.86625231322</v>
      </c>
      <c r="F118" s="39">
        <f>IFERROR(IF(OR(D118="",D118=0),"",E118/D118),"")</f>
        <v>4.48059909222535</v>
      </c>
    </row>
    <row r="119">
      <c r="A119" s="38" t="n">
        <v>4</v>
      </c>
      <c r="B119" s="15">
        <f>IFERROR(SUM(C62:C73),"")</f>
        <v>2209.1754927450675</v>
      </c>
      <c r="C119" s="15">
        <f>IFERROR(SUM(D62:D73),"")</f>
        <v>9029.693510217394</v>
      </c>
      <c r="D119" s="15">
        <f>IFERROR(B119+C119,"")</f>
        <v>11238.869002962461</v>
      </c>
      <c r="E119" s="15">
        <f>IFERROR('3-Year P&amp;L'!D36-'3-Year P&amp;L'!D41+'3-Year P&amp;L'!D31+B119,"")</f>
        <v>49815.381900612665</v>
      </c>
      <c r="F119" s="39">
        <f>IFERROR(IF(OR(D119="",D119=0),"",E119/D119),"")</f>
        <v>4.432419479885547</v>
      </c>
    </row>
    <row r="120">
      <c r="A120" s="38" t="n">
        <v>5</v>
      </c>
      <c r="B120" s="15">
        <f>IFERROR(SUM(C74:C85),"")</f>
        <v>1633.1484833812765</v>
      </c>
      <c r="C120" s="15">
        <f>IFERROR(SUM(D74:D85),"")</f>
        <v>9605.720519581184</v>
      </c>
      <c r="D120" s="15">
        <f>IFERROR(B120+C120,"")</f>
        <v>11238.86900296246</v>
      </c>
      <c r="E120" s="15">
        <f>IFERROR('3-Year P&amp;L'!D36-'3-Year P&amp;L'!D41+'3-Year P&amp;L'!D31+B120,"")</f>
        <v>49239.35489124888</v>
      </c>
      <c r="F120" s="39">
        <f>IFERROR(IF(OR(D120="",D120=0),"",E120/D120),"")</f>
        <v>4.381166368098947</v>
      </c>
    </row>
    <row r="121">
      <c r="A121" s="38" t="n">
        <v>6</v>
      </c>
      <c r="B121" s="15">
        <f>IFERROR(SUM(C86:C97),"")</f>
        <v>1020.3752527707576</v>
      </c>
      <c r="C121" s="15">
        <f>IFERROR(SUM(D86:D97),"")</f>
        <v>10218.493750191703</v>
      </c>
      <c r="D121" s="15">
        <f>IFERROR(B121+C121,"")</f>
        <v>11238.869002962461</v>
      </c>
      <c r="E121" s="15">
        <f>IFERROR('3-Year P&amp;L'!D36-'3-Year P&amp;L'!D41+'3-Year P&amp;L'!D31+B121,"")</f>
        <v>48626.58166063835</v>
      </c>
      <c r="F121" s="39">
        <f>IFERROR(IF(OR(D121="",D121=0),"",E121/D121),"")</f>
        <v>4.326643690554702</v>
      </c>
    </row>
    <row r="122">
      <c r="A122" s="38" t="n">
        <v>7</v>
      </c>
      <c r="B122" s="15">
        <f>IFERROR(SUM(C98:C109),"")</f>
        <v>368.5116664302944</v>
      </c>
      <c r="C122" s="15">
        <f>IFERROR(SUM(D98:D109),"")</f>
        <v>10870.357336532166</v>
      </c>
      <c r="D122" s="15">
        <f>IFERROR(B122+C122,"")</f>
        <v>11238.869002962461</v>
      </c>
      <c r="E122" s="15">
        <f>IFERROR('3-Year P&amp;L'!D36-'3-Year P&amp;L'!D41+'3-Year P&amp;L'!D31+B122,"")</f>
        <v>47974.71807429789</v>
      </c>
      <c r="F122" s="39">
        <f>IFERROR(IF(OR(D122="",D122=0),"",E122/D122),"")</f>
        <v>4.268642873375621</v>
      </c>
    </row>
    <row r="123">
      <c r="A123" s="23" t="inlineStr">
        <is>
          <t>Lowest DSCR in the whole schedule</t>
        </is>
      </c>
      <c r="B123" s="40">
        <f>IFERROR(IF(COUNT(F116:F122)=0,"",MIN(F116:F122)),"")</f>
        <v>3.239519348930609</v>
      </c>
      <c r="C123" s="23" t="n"/>
      <c r="D123" s="23" t="n"/>
      <c r="E123" s="23" t="n"/>
      <c r="F123" s="23" t="n"/>
      <c r="G123" s="23" t="n"/>
      <c r="H123" s="26" t="inlineStr">
        <is>
          <t>It's the WORST year of the loan's life, not the best of the three the P&amp;L projects. It's the number that decides the loan.</t>
        </is>
      </c>
    </row>
    <row r="124">
      <c r="A124" t="inlineStr">
        <is>
          <t>Reading the DSCR</t>
        </is>
      </c>
      <c r="B124" t="str">
        <f>IFERROR(IF(B123="","",IF(B123&lt;'0. Assumptions'!$B$58,"Below the minimum",IF(B123&lt;'0. Assumptions'!$B$59,"Between the minimum and the target","On target"))),"")</f>
        <v>On target</v>
      </c>
    </row>
    <row r="125"/>
    <row r="126" ht="32" customHeight="1">
      <c r="A126" s="5" t="inlineStr">
        <is>
          <t>The interest-only year inflates the DSCR: with only interest in the denominator the ratio shoots up, and it isn't measuring the business, it's measuring that you're not paying anything back yet. Look at years 2 and 3, when the payment is complete (in this case year 1 is still the lowest, because of the ramp-up).</t>
        </is>
      </c>
    </row>
  </sheetData>
  <sheetProtection selectLockedCells="0" selectUnlockedCells="0" sheet="1" objects="0" insertRows="0" insertHyperlinks="1" autoFilter="1" scenarios="0" formatColumns="0" deleteColumns="1" insertColumns="1" pivotTables="1" deleteRows="1" formatCells="1" formatRows="0" sort="0"/>
  <mergeCells count="3">
    <mergeCell ref="A126:H126"/>
    <mergeCell ref="A3:H3"/>
    <mergeCell ref="A23:H23"/>
  </mergeCells>
  <conditionalFormatting sqref="B12">
    <cfRule type="expression" priority="1" dxfId="0" stopIfTrue="1">
      <formula>=AND(ISNUMBER($B$12),$B$12&lt;0)</formula>
    </cfRule>
  </conditionalFormatting>
  <conditionalFormatting sqref="B123">
    <cfRule type="expression" priority="2" dxfId="0" stopIfTrue="1">
      <formula>=AND(ISNUMBER($B$123),$B$123&lt;'0. Assumptions'!$B$58)</formula>
    </cfRule>
  </conditionalFormatting>
  <pageMargins left="0.39" right="0.39" top="0.55" bottom="0.55" header="0.3" footer="0.3"/>
  <pageSetup orientation="landscape" paperSize="1" fitToHeight="0" fitToWidth="1"/>
  <headerFooter>
    <oddHeader/>
    <oddFooter>&amp;C&amp;8 AI Chef Pro · aichef.pro ·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J31"/>
  <sheetViews>
    <sheetView workbookViewId="0">
      <pane ySplit="5" topLeftCell="A6" activePane="bottomLeft" state="frozen"/>
      <selection pane="bottomLeft" activeCell="A1" sqref="A1"/>
    </sheetView>
  </sheetViews>
  <sheetFormatPr baseColWidth="8" defaultRowHeight="15"/>
  <cols>
    <col width="44" customWidth="1" min="1" max="1"/>
    <col width="12" customWidth="1" min="2" max="2"/>
    <col width="12" customWidth="1" min="3" max="3"/>
    <col width="13" customWidth="1" min="4" max="4"/>
    <col width="14" customWidth="1" min="5" max="5"/>
    <col width="11" customWidth="1" min="6" max="6"/>
    <col width="15" customWidth="1" min="7" max="7"/>
    <col width="16" customWidth="1" min="8" max="8"/>
    <col width="17" customWidth="1" min="9" max="9"/>
    <col width="78" customWidth="1" min="10" max="10"/>
  </cols>
  <sheetData>
    <row r="1" ht="26" customHeight="1">
      <c r="A1" s="1" t="inlineStr">
        <is>
          <t>Channels and Break-Even: Which Channel Carries the Business</t>
        </is>
      </c>
    </row>
    <row r="2">
      <c r="A2" s="2" t="inlineStr">
        <is>
          <t>AI Chef Pro · aichef.pro — How to Open a Pastry Shop</t>
        </is>
      </c>
    </row>
    <row r="3" ht="28" customHeight="1">
      <c r="A3" s="5" t="inlineStr">
        <is>
          <t>Each channel has its own margin, cost to serve, platform fee and days to collect. The total isn't the interesting part: what's interesting is what happens to break-even when you take one away.</t>
        </is>
      </c>
    </row>
    <row r="4"/>
    <row r="5" ht="32" customHeight="1">
      <c r="A5" s="7" t="inlineStr">
        <is>
          <t>Channel</t>
        </is>
      </c>
      <c r="B5" s="7" t="inlineStr">
        <is>
          <t>Share of sales (%)</t>
        </is>
      </c>
      <c r="C5" s="7" t="inlineStr">
        <is>
          <t>Gross margin (%)</t>
        </is>
      </c>
      <c r="D5" s="7" t="inlineStr">
        <is>
          <t>Cost to serve (%)</t>
        </is>
      </c>
      <c r="E5" s="7" t="inlineStr">
        <is>
          <t>Platform fee (%)</t>
        </is>
      </c>
      <c r="F5" s="7" t="inlineStr">
        <is>
          <t>Days to collect</t>
        </is>
      </c>
      <c r="G5" s="7" t="inlineStr">
        <is>
          <t>Contribution margin (%)</t>
        </is>
      </c>
      <c r="H5" s="7" t="inlineStr">
        <is>
          <t>Steady-state year sales ($)</t>
        </is>
      </c>
      <c r="I5" s="7" t="inlineStr">
        <is>
          <t>Contribution margin ($)</t>
        </is>
      </c>
      <c r="J5" s="7" t="inlineStr">
        <is>
          <t>Notes</t>
        </is>
      </c>
    </row>
    <row r="6" ht="44" customHeight="1">
      <c r="A6" s="9" t="inlineStr">
        <is>
          <t>Counter</t>
        </is>
      </c>
      <c r="B6" s="17" t="n">
        <v>0.78</v>
      </c>
      <c r="C6" s="17" t="n">
        <v>0.68</v>
      </c>
      <c r="D6" s="17" t="n">
        <v>0</v>
      </c>
      <c r="E6" s="17" t="n">
        <v>0</v>
      </c>
      <c r="F6" s="34" t="n">
        <v>0</v>
      </c>
      <c r="G6" s="16">
        <f>IFERROR(C6-D6-E6,"")</f>
        <v>0.68</v>
      </c>
      <c r="H6" s="15">
        <f>IFERROR(IF('3-Year P&amp;L'!$C$11="","",'3-Year P&amp;L'!$C$11*B6),"")</f>
        <v>251314.34068559096</v>
      </c>
      <c r="I6" s="15">
        <f>IFERROR(IF(H6="","",H6*G6),"")</f>
        <v>170893.75166620186</v>
      </c>
      <c r="J6" s="5" t="inlineStr">
        <is>
          <t>Paid on the spot. It's the channel that pays the rent.</t>
        </is>
      </c>
    </row>
    <row r="7" ht="44" customHeight="1">
      <c r="A7" s="9" t="inlineStr">
        <is>
          <t>Custom orders</t>
        </is>
      </c>
      <c r="B7" s="17" t="n">
        <v>0.14</v>
      </c>
      <c r="C7" s="17" t="n">
        <v>0.7</v>
      </c>
      <c r="D7" s="17" t="n">
        <v>0.02</v>
      </c>
      <c r="E7" s="17" t="n">
        <v>0</v>
      </c>
      <c r="F7" s="34" t="n">
        <v>0</v>
      </c>
      <c r="G7" s="16">
        <f>IFERROR(C7-D7-E7,"")</f>
        <v>0.6799999999999999</v>
      </c>
      <c r="H7" s="15">
        <f>IFERROR(IF('3-Year P&amp;L'!$C$11="","",'3-Year P&amp;L'!$C$11*B7),"")</f>
        <v>45107.702174336846</v>
      </c>
      <c r="I7" s="15">
        <f>IFERROR(IF(H7="","",H7*G7),"")</f>
        <v>30673.237478549054</v>
      </c>
      <c r="J7" s="5" t="inlineStr">
        <is>
          <t>30% deposit at booking (assumption): it turns a cancellation into a nuisance instead of a loss. Many US bakeries ask 50%, often non-refundable: common practice, not law. Better margin because it's made to order with zero display waste.</t>
        </is>
      </c>
    </row>
    <row r="8" ht="44" customHeight="1">
      <c r="A8" s="9" t="inlineStr">
        <is>
          <t>Wholesale (local cafés and restaurants)</t>
        </is>
      </c>
      <c r="B8" s="17" t="n">
        <v>0.05</v>
      </c>
      <c r="C8" s="17" t="n">
        <v>0.52</v>
      </c>
      <c r="D8" s="17" t="n">
        <v>0.03</v>
      </c>
      <c r="E8" s="17" t="n">
        <v>0</v>
      </c>
      <c r="F8" s="34" t="n">
        <v>45</v>
      </c>
      <c r="G8" s="16">
        <f>IFERROR(C8-D8-E8,"")</f>
        <v>0.49</v>
      </c>
      <c r="H8" s="15">
        <f>IFERROR(IF('3-Year P&amp;L'!$C$11="","",'3-Year P&amp;L'!$C$11*B8),"")</f>
        <v>16109.893633691729</v>
      </c>
      <c r="I8" s="15">
        <f>IFERROR(IF(H8="","",H8*G8),"")</f>
        <v>7893.847880508947</v>
      </c>
      <c r="J8" s="5" t="inlineStr">
        <is>
          <t>The 5% comes from a published Spanish case (95% direct sales and 5% on credit at 30 to 60 days). Lower margin and paid at 45 days: you're the one financing it. And it's the channel that can bring FDA registration into play: you stay a retail food establishment while more than half of your food sales, by value, go directly to consumers (21 CFR 1.227). A single large account (a hotel or a chain) can tip that line on its own.</t>
        </is>
      </c>
    </row>
    <row r="9" ht="44" customHeight="1">
      <c r="A9" s="9" t="inlineStr">
        <is>
          <t>Online and shipping</t>
        </is>
      </c>
      <c r="B9" s="17" t="n">
        <v>0.03</v>
      </c>
      <c r="C9" s="17" t="n">
        <v>0.6</v>
      </c>
      <c r="D9" s="17" t="n">
        <v>0.09</v>
      </c>
      <c r="E9" s="17" t="n">
        <v>0</v>
      </c>
      <c r="F9" s="34" t="n">
        <v>0</v>
      </c>
      <c r="G9" s="16">
        <f>IFERROR(C9-D9-E9,"")</f>
        <v>0.51</v>
      </c>
      <c r="H9" s="15">
        <f>IFERROR(IF('3-Year P&amp;L'!$C$11="","",'3-Year P&amp;L'!$C$11*B9),"")</f>
        <v>9665.936180215036</v>
      </c>
      <c r="I9" s="15">
        <f>IFERROR(IF(H9="","",H9*G9),"")</f>
        <v>4929.627451909669</v>
      </c>
      <c r="J9" s="5" t="inlineStr">
        <is>
          <t>0% fee because it's your own website. If you sell through a delivery app, put its commission in the green cell (DoorDash: 15%, 25% or 30% depending on the plan): it's the number that decides whether the channel exists. Selling online generally keeps you a retail food establishment (21 CFR 1.227), and what you package ahead needs the full label (Food Code 3-602.11(B)).</t>
        </is>
      </c>
    </row>
    <row r="10">
      <c r="A10" s="23" t="inlineStr">
        <is>
          <t>TOTAL</t>
        </is>
      </c>
      <c r="B10" s="25">
        <f>IFERROR(IF(COUNT(B6:B9)=0,"",SUM(B6:B9)),"")</f>
        <v>1.0</v>
      </c>
      <c r="C10" s="23" t="n"/>
      <c r="D10" s="23" t="n"/>
      <c r="E10" s="23" t="n"/>
      <c r="F10" s="23" t="n"/>
      <c r="G10" s="25">
        <f>IFERROR(I10/H10,"")</f>
        <v>0.6654000000000001</v>
      </c>
      <c r="H10" s="24">
        <f>IFERROR(IF(COUNT(H6:H9)=0,"",SUM(H6:H9)),"")</f>
        <v>322197.87267383456</v>
      </c>
      <c r="I10" s="24">
        <f>IFERROR(IF(COUNT(I6:I9)=0,"",SUM(I6:I9)),"")</f>
        <v>214390.46447716953</v>
      </c>
      <c r="J10" s="26" t="inlineStr">
        <is>
          <t>The "Share of sales" column has to add up to 100%. If it doesn't, everything below is wrong.</t>
        </is>
      </c>
    </row>
    <row r="11"/>
    <row r="12">
      <c r="A12" s="4" t="inlineStr">
        <is>
          <t>BREAK-EVEN, CHANNEL BY CHANNEL</t>
        </is>
      </c>
    </row>
    <row r="13">
      <c r="A13" t="inlineStr">
        <is>
          <t>Steady-state year fixed costs ($)</t>
        </is>
      </c>
      <c r="B13" s="15">
        <f>IFERROR('3-Year P&amp;L'!$C$33,"")</f>
        <v>186345.7854607931</v>
      </c>
    </row>
    <row r="14">
      <c r="A14" t="inlineStr">
        <is>
          <t>Monthly fixed costs ($)</t>
        </is>
      </c>
      <c r="B14" s="15">
        <f>IFERROR(B13/12,"")</f>
        <v>15528.815455066091</v>
      </c>
    </row>
    <row r="15">
      <c r="A15" t="inlineStr">
        <is>
          <t>Weighted average contribution margin (%)</t>
        </is>
      </c>
      <c r="B15" s="16">
        <f>IFERROR(G10,"")</f>
        <v>0.6654000000000001</v>
      </c>
    </row>
    <row r="16">
      <c r="A16" t="inlineStr">
        <is>
          <t>Target gross margin from the single rule (%)</t>
        </is>
      </c>
      <c r="B16" s="16">
        <f>IFERROR('0. Assumptions'!$B$23,"")</f>
        <v>0.6799999999999999</v>
      </c>
    </row>
    <row r="17">
      <c r="A17" t="inlineStr">
        <is>
          <t>What serving, collecting and platform fees take (%)</t>
        </is>
      </c>
      <c r="B17" s="16">
        <f>IFERROR(B16-B15,"")</f>
        <v>0.014599999999999835</v>
      </c>
      <c r="J17" s="5" t="inlineStr">
        <is>
          <t>The gap between the menu's gross margin and the real contribution margin. It isn't a mistake in either one: it's what it costs to put the product in the customer's hands through each route.</t>
        </is>
      </c>
    </row>
    <row r="18">
      <c r="A18" s="23" t="inlineStr">
        <is>
          <t>Monthly break-even WITH all channels ($)</t>
        </is>
      </c>
      <c r="B18" s="24">
        <f>IFERROR(IF(B15&lt;=0,"",B14/B15),"")</f>
        <v>23337.564555254117</v>
      </c>
      <c r="C18" s="23" t="n"/>
      <c r="D18" s="23" t="n"/>
      <c r="E18" s="23" t="n"/>
      <c r="F18" s="23" t="n"/>
      <c r="G18" s="23" t="n"/>
      <c r="H18" s="23" t="n"/>
      <c r="I18" s="23" t="n"/>
      <c r="J18" s="23" t="n"/>
    </row>
    <row r="19">
      <c r="A19" s="23" t="inlineStr">
        <is>
          <t>Monthly break-even WITHOUT wholesale ($)</t>
        </is>
      </c>
      <c r="B19" s="24">
        <f>IFERROR(IF(OR(H10-H8&lt;=0,(I10-I8)/(H10-H8)&lt;=0),"",B14/((I10-I8)/(H10-H8))),"")</f>
        <v>23018.216074758602</v>
      </c>
      <c r="C19" s="23" t="n"/>
      <c r="D19" s="23" t="n"/>
      <c r="E19" s="23" t="n"/>
      <c r="F19" s="23" t="n"/>
      <c r="G19" s="23" t="n"/>
      <c r="H19" s="23" t="n"/>
      <c r="I19" s="23" t="n"/>
      <c r="J19" s="23" t="n"/>
    </row>
    <row r="20">
      <c r="A20" t="inlineStr">
        <is>
          <t>Difference ($/month)</t>
        </is>
      </c>
      <c r="B20" s="15">
        <f>IFERROR(IF(OR(B19="",B18=""),"",B19-B18),"")</f>
        <v>-319.3484804955151</v>
      </c>
      <c r="J20" s="5" t="inlineStr">
        <is>
          <t>If it comes out NEGATIVE, dropping wholesale LOWERS your break-even: that channel was pulling the average margin down, and what it brings is volume, not profitability. Careful: that doesn't say you should close it; it says what you have to demand from it.</t>
        </is>
      </c>
    </row>
    <row r="21">
      <c r="A21" s="33" t="inlineStr">
        <is>
          <t>Channel that carries the business</t>
        </is>
      </c>
      <c r="B21" s="33" t="str">
        <f>IFERROR(IF(COUNT(I6:I9)=0,"",INDEX($A$6:$A$9,MATCH(MAX($I$6:$I$9),$I$6:$I$9,0))),"")</f>
        <v>Counter</v>
      </c>
    </row>
    <row r="22">
      <c r="A22" t="inlineStr">
        <is>
          <t>That channel's share of the contribution margin (%)</t>
        </is>
      </c>
      <c r="B22" s="16">
        <f>IFERROR(IF(I10="","",MAX($I$6:$I$9)/I10),"")</f>
        <v>0.7971145175834085</v>
      </c>
      <c r="J22" s="5" t="inlineStr">
        <is>
          <t>It's the channel that pays the rent. Everything you start in the other three is financed by this one, so the first thing to protect is its margin.</t>
        </is>
      </c>
    </row>
    <row r="23"/>
    <row r="24">
      <c r="A24" s="4" t="inlineStr">
        <is>
          <t>THE FDA LINE: WHEN WHOLESALE CHANGES YOUR REGISTRATION</t>
        </is>
      </c>
    </row>
    <row r="25">
      <c r="A25" t="inlineStr">
        <is>
          <t>Wholesale share of food sales, by value (%)</t>
        </is>
      </c>
      <c r="B25" s="16">
        <f>IFERROR(B8,"")</f>
        <v>0.05</v>
      </c>
    </row>
    <row r="26">
      <c r="A26" t="inlineStr">
        <is>
          <t>Our cautious working line (the legal line is 50%: 21 CFR 1.227)</t>
        </is>
      </c>
      <c r="B26" s="17" t="n">
        <v>0.25</v>
      </c>
      <c r="J26" s="5" t="inlineStr">
        <is>
          <t>Only sales to businesses you don't own count, measured by value over the year, not by weight. 25% is our own cautious line, not the law's: the FDA's line is 50%. The full test, with its other two checks (cold chain and labels), is on the "Selling Wholesale" sheet of permits-and-licenses-checklist.xlsx.</t>
        </is>
      </c>
    </row>
    <row r="27">
      <c r="A27" s="33" t="inlineStr">
        <is>
          <t>Reading the FDA line by share of sales</t>
        </is>
      </c>
      <c r="B27" s="33" t="str">
        <f>IFERROR(IF(B25=0,"No wholesale: the FDA line doesn't come into play",IF(B25&lt;=B26,"Retail: below the working line; run the three checks in permits-and-licenses-checklist.xlsx","Above the working line: check the 50% FDA line before you grow it")),"")</f>
        <v>Retail: below the working line; run the three checks in permits-and-licenses-checklist.xlsx</v>
      </c>
    </row>
    <row r="28" ht="44" customHeight="1">
      <c r="A28" s="5" t="inlineStr">
        <is>
          <t>FDA registration only comes into play if you sell food you make to businesses you don't own (cafés, restaurants, specialty food stores, caterers). Above the 50% line you register your facility with the FDA; with any wholesale, keep a record of each account (what, how much and when) and ask your CPA about resale certificates. This flag only looks at the percentage: the full test is in permits-and-licenses-checklist.xlsx.</t>
        </is>
      </c>
    </row>
    <row r="29">
      <c r="A29" t="inlineStr">
        <is>
          <t>Weighted average days to collect</t>
        </is>
      </c>
      <c r="B29" s="20">
        <f>IFERROR('0. Assumptions'!$B$52,"")</f>
        <v>2.25</v>
      </c>
      <c r="J29" s="5" t="inlineStr">
        <is>
          <t>It's the number the "12-Month Cash Flow" sheet uses to lag collections. It rises on its own as wholesale grows, and that's its hidden cost: it doesn't just leave less margin, it leaves it later.</t>
        </is>
      </c>
    </row>
    <row r="30"/>
    <row r="31" ht="44" customHeight="1">
      <c r="A31" s="5" t="inlineStr">
        <is>
          <t>The percentages on this sheet are ASSUMPTIONS except wholesale's share, which comes from the one published collection structure we found, a Spanish case: 95% direct sales and 5% on credit at 30 to 60 days. The split between counter, custom orders and online is a working hypothesis: replace it with yours as soon as you have three months of real data from your POS.</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1:J31"/>
    <mergeCell ref="A28:J28"/>
    <mergeCell ref="A3:J3"/>
  </mergeCells>
  <pageMargins left="0.39" right="0.39" top="0.55" bottom="0.55"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3-Year Financial Plan</dc:title>
  <dc:subject xmlns:dc="http://purl.org/dc/elements/1.1/">How to Open a Pastry Shop · Version 1.0 · October 2026</dc:subject>
  <dcterms:created xmlns:dcterms="http://purl.org/dc/terms/" xmlns:xsi="http://www.w3.org/2001/XMLSchema-instance" xsi:type="dcterms:W3CDTF">2026-09-10T05:29:27Z</dcterms:created>
  <dcterms:modified xmlns:dcterms="http://purl.org/dc/terms/" xmlns:xsi="http://www.w3.org/2001/XMLSchema-instance" xsi:type="dcterms:W3CDTF">2026-10-17T08:00:00Z</dcterms:modified>
  <cp:lastModifiedBy>AI Chef Pro</cp:lastModifiedBy>
</cp:coreProperties>
</file>