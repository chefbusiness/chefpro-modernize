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ttings" sheetId="2" state="visible" r:id="rId2"/>
    <sheet xmlns:r="http://schemas.openxmlformats.org/officeDocument/2006/relationships" name="Weekly Schedule" sheetId="3" state="visible" r:id="rId3"/>
    <sheet xmlns:r="http://schemas.openxmlformats.org/officeDocument/2006/relationships" name="Hours and Cost" sheetId="4" state="visible" r:id="rId4"/>
    <sheet xmlns:r="http://schemas.openxmlformats.org/officeDocument/2006/relationships" name="Hiring Plan" sheetId="5" state="visible" r:id="rId5"/>
  </sheets>
  <definedNames>
    <definedName name="_xlnm.Print_Titles" localSheetId="1">'Settings'!$7:$7</definedName>
    <definedName name="_xlnm.Print_Area" localSheetId="1">'Settings'!$A$1:$G$32</definedName>
    <definedName name="_xlnm.Print_Titles" localSheetId="2">'Weekly Schedule'!$10:$10</definedName>
    <definedName name="_xlnm.Print_Area" localSheetId="2">'Weekly Schedule'!$A$1:$O$38</definedName>
    <definedName name="_xlnm.Print_Titles" localSheetId="3">'Hours and Cost'!$6:$6</definedName>
    <definedName name="_xlnm.Print_Area" localSheetId="3">'Hours and Cost'!$A$1:$N$36</definedName>
    <definedName name="_xlnm.Print_Titles" localSheetId="4">'Hiring Plan'!$6:$6</definedName>
    <definedName name="_xlnm.Print_Area" localSheetId="4">'Hiring Plan'!$A$1:$K$46</definedName>
  </definedNames>
  <calcPr calcId="124519" fullCalcOnLoad="1"/>
</workbook>
</file>

<file path=xl/styles.xml><?xml version="1.0" encoding="utf-8"?>
<styleSheet xmlns="http://schemas.openxmlformats.org/spreadsheetml/2006/main">
  <numFmts count="5">
    <numFmt numFmtId="164" formatCode="#,##0.00"/>
    <numFmt numFmtId="165" formatCode="0.0%"/>
    <numFmt numFmtId="166" formatCode="#,##0.0"/>
    <numFmt numFmtId="167" formatCode="mm/dd/yyyy"/>
    <numFmt numFmtId="168" formatCode="mm/dd/yyyy"/>
  </numFmts>
  <fonts count="8">
    <font>
      <name val="Calibri"/>
      <family val="2"/>
      <color theme="1"/>
      <sz val="11"/>
      <scheme val="minor"/>
    </font>
    <font>
      <b val="1"/>
      <color rgb="00FFD700"/>
      <sz val="16"/>
    </font>
    <font>
      <i val="1"/>
      <sz val="9"/>
    </font>
    <font>
      <b val="1"/>
      <color theme="1"/>
      <sz val="11"/>
    </font>
    <font>
      <b val="1"/>
      <sz val="12"/>
    </font>
    <font>
      <i val="1"/>
      <sz val="8"/>
    </font>
    <font>
      <b val="1"/>
      <color rgb="00FFFFFF"/>
      <sz val="9"/>
    </font>
    <font>
      <b val="1"/>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6DC"/>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0" fillId="0" borderId="0" applyAlignment="1" pivotButton="0" quotePrefix="0" xfId="0">
      <alignment horizontal="general" vertical="top" wrapText="1"/>
    </xf>
    <xf numFmtId="0" fontId="0" fillId="2" borderId="0" applyProtection="1" pivotButton="0" quotePrefix="0" xfId="0">
      <protection locked="0" hidden="0"/>
    </xf>
    <xf numFmtId="0" fontId="5" fillId="0" borderId="0" pivotButton="0" quotePrefix="0" xfId="0"/>
    <xf numFmtId="0" fontId="2" fillId="0" borderId="0" applyAlignment="1" pivotButton="0" quotePrefix="0" xfId="0">
      <alignment horizontal="general" vertical="top" wrapText="1"/>
    </xf>
    <xf numFmtId="0" fontId="6" fillId="3" borderId="0" applyAlignment="1" pivotButton="0" quotePrefix="0" xfId="0">
      <alignment horizontal="center" vertical="center" wrapText="1"/>
    </xf>
    <xf numFmtId="3" fontId="0" fillId="0" borderId="0" applyAlignment="1" pivotButton="0" quotePrefix="0" xfId="0">
      <alignment horizontal="center" vertical="top"/>
    </xf>
    <xf numFmtId="164" fontId="0" fillId="2" borderId="0" applyProtection="1" pivotButton="0" quotePrefix="0" xfId="0">
      <protection locked="0" hidden="0"/>
    </xf>
    <xf numFmtId="164" fontId="0" fillId="0" borderId="0" pivotButton="0" quotePrefix="0" xfId="0"/>
    <xf numFmtId="0" fontId="3" fillId="0" borderId="0" pivotButton="0" quotePrefix="0" xfId="0"/>
    <xf numFmtId="3" fontId="0" fillId="2" borderId="0" applyProtection="1" pivotButton="0" quotePrefix="0" xfId="0">
      <protection locked="0" hidden="0"/>
    </xf>
    <xf numFmtId="164" fontId="3" fillId="4" borderId="0" pivotButton="0" quotePrefix="0" xfId="0"/>
    <xf numFmtId="0" fontId="3" fillId="4" borderId="0" pivotButton="0" quotePrefix="0" xfId="0"/>
    <xf numFmtId="0" fontId="7" fillId="0" borderId="0" pivotButton="0" quotePrefix="0" xfId="0"/>
    <xf numFmtId="165" fontId="0" fillId="2" borderId="0" applyProtection="1" pivotButton="0" quotePrefix="0" xfId="0">
      <protection locked="0" hidden="0"/>
    </xf>
    <xf numFmtId="0" fontId="0" fillId="2" borderId="0" applyAlignment="1" applyProtection="1" pivotButton="0" quotePrefix="0" xfId="0">
      <alignment horizontal="center" vertical="top"/>
      <protection locked="0" hidden="0"/>
    </xf>
    <xf numFmtId="0" fontId="0" fillId="0" borderId="0" applyAlignment="1" pivotButton="0" quotePrefix="0" xfId="0">
      <alignment horizontal="center" vertical="top"/>
    </xf>
    <xf numFmtId="3" fontId="0" fillId="2" borderId="0" applyAlignment="1" applyProtection="1" pivotButton="0" quotePrefix="0" xfId="0">
      <alignment horizontal="center" vertical="top"/>
      <protection locked="0" hidden="0"/>
    </xf>
    <xf numFmtId="3" fontId="3" fillId="0" borderId="0" pivotButton="0" quotePrefix="0" xfId="0"/>
    <xf numFmtId="3" fontId="0" fillId="0" borderId="0" pivotButton="0" quotePrefix="0" xfId="0"/>
    <xf numFmtId="3" fontId="3" fillId="4" borderId="0" pivotButton="0" quotePrefix="0" xfId="0"/>
    <xf numFmtId="0" fontId="0" fillId="0" borderId="0" applyAlignment="1" pivotButton="0" quotePrefix="0" xfId="0">
      <alignment horizontal="center"/>
    </xf>
    <xf numFmtId="166" fontId="3" fillId="4" borderId="0" pivotButton="0" quotePrefix="0" xfId="0"/>
    <xf numFmtId="4" fontId="0" fillId="0" borderId="0" pivotButton="0" quotePrefix="0" xfId="0"/>
    <xf numFmtId="4" fontId="3" fillId="4" borderId="0" pivotButton="0" quotePrefix="0" xfId="0"/>
    <xf numFmtId="168" fontId="0" fillId="2" borderId="0" applyProtection="1" pivotButton="0" quotePrefix="0" xfId="0">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595959"/>
      </font>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AI Chef Pro</author>
  </authors>
  <commentList>
    <comment ref="C8" authorId="0" shapeId="0">
      <text>
        <t>Verified October 2026 · Group 1 monthly pay in the case's example wage table (12 pay periods): replace it with what you'll pay · U.S. Department of Labor, State Minimum Wage Laws (updated July 1, 2026) · https://www.dol.gov/agencies/whd/minimum-wage/state</t>
      </text>
    </comment>
    <comment ref="C9" authorId="0" shapeId="0">
      <text>
        <t>Verified October 2026 · Group 2 monthly pay in the case's example wage table (12 pay periods): replace it with what you'll pay · U.S. Department of Labor, State Minimum Wage Laws (updated July 1, 2026) · https://www.dol.gov/agencies/whd/minimum-wage/state</t>
      </text>
    </comment>
    <comment ref="C10" authorId="0" shapeId="0">
      <text>
        <t>Verified October 2026 · Group 3 monthly pay in the case's example wage table (12 pay periods): replace it with what you'll pay · U.S. Department of Labor, State Minimum Wage Laws (updated July 1, 2026) · https://www.dol.gov/agencies/whd/minimum-wage/state</t>
      </text>
    </comment>
    <comment ref="C11" authorId="0" shapeId="0">
      <text>
        <t>Verified October 2026 · Group 4 monthly pay in the case's example wage table (12 pay periods): replace it with what you'll pay · U.S. Department of Labor, State Minimum Wage Laws (updated July 1, 2026) · https://www.dol.gov/agencies/whd/minimum-wage/state</t>
      </text>
    </comment>
    <comment ref="C12" authorId="0" shapeId="0">
      <text>
        <t>Verified October 2026 · Group 5 monthly pay in the case's example wage table (12 pay periods): replace it with what you'll pay · U.S. Department of Labor, State Minimum Wage Laws (updated July 1, 2026) · https://www.dol.gov/agencies/whd/minimum-wage/state</t>
      </text>
    </comment>
    <comment ref="C13" authorId="0" shapeId="0">
      <text>
        <t>Verified October 2026 · Group 6 monthly pay in the case's example wage table (12 pay periods): replace it with what you'll pay · U.S. Department of Labor, State Minimum Wage Laws (updated July 1, 2026) · https://www.dol.gov/agencies/whd/minimum-wage/state</t>
      </text>
    </comment>
    <comment ref="C15" authorId="0" shapeId="0">
      <text>
        <t>The model uses 12 equal pay periods: the US has no mandatory extra pay months.</t>
      </text>
    </comment>
    <comment ref="C17" authorId="0" shapeId="0">
      <text>
        <t>Verified October 2026 · Federal minimum wage $7.25/h × 2,080 h = $15,080 a year (Texas applies the federal rate) · U.S. Department of Labor, State Minimum Wage Laws (updated July 1, 2026) · https://www.dol.gov/agencies/whd/minimum-wage/state</t>
      </text>
    </comment>
    <comment ref="C24" authorId="0" shapeId="0">
      <text>
        <t>Opening days are your decision: federal law doesn't set store hours. Check your lease and local rules.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C30"/>
  <sheetViews>
    <sheetView workbookViewId="0">
      <selection activeCell="A1" sqref="A1"/>
    </sheetView>
  </sheetViews>
  <sheetFormatPr baseColWidth="8" defaultRowHeight="15"/>
  <cols>
    <col width="48" customWidth="1" min="1" max="1"/>
    <col width="48" customWidth="1" min="2" max="2"/>
    <col width="48" customWidth="1" min="3" max="3"/>
  </cols>
  <sheetData>
    <row r="1" ht="30" customHeight="1">
      <c r="A1" s="1" t="inlineStr">
        <is>
          <t>Staff Schedule and Labor Cost</t>
        </is>
      </c>
    </row>
    <row r="2">
      <c r="A2" t="inlineStr">
        <is>
          <t>AI Chef Pro · aichef.pro — How to Open a Pastry Shop</t>
        </is>
      </c>
    </row>
    <row r="3">
      <c r="A3" s="2" t="inlineStr">
        <is>
          <t>Purpose: decide how many people you need, in which roles, on which shift, and what they really cost with payroll taxes, workers' comp and benefits included.</t>
        </is>
      </c>
    </row>
    <row r="4"/>
    <row r="5">
      <c r="A5" s="3" t="inlineStr">
        <is>
          <t>How to use it</t>
        </is>
      </c>
    </row>
    <row r="6" ht="62" customHeight="1">
      <c r="A6" s="4" t="inlineStr">
        <is>
          <t>1. "Settings" sheet: the six rows of the example wage table, the pay periods, the employer payroll cost, the full-time week and the month you plan to open. All in green: type the pay you'll actually offer in each row and the whole workbook recalculates.</t>
        </is>
      </c>
    </row>
    <row r="7" ht="62" customHeight="1">
      <c r="A7" s="4" t="inlineStr">
        <is>
          <t>2. "Weekly Schedule" sheet: how many hours each person works each day. It comes filled in with the team of the "La Clara" case: five people and 3.5 FTEs. The sheet adds up the hours per person and per day, separates production kitchen from front counter and warns you if any day you're open ends up with nobody at the counter.</t>
        </is>
      </c>
    </row>
    <row r="8" ht="62" customHeight="1">
      <c r="A8" s="4" t="inlineStr">
        <is>
          <t>3. "Hours and Cost" sheet: assign each person a pay grade and the sheet calculates the pay adjusted to their hours, the annual pay over 12 pay periods, the employer cost with payroll taxes, workers' comp and benefits included, and the cost per hour worked. It warns you if anyone goes over a full-time week and if a pay grade falls below the minimum wage.</t>
        </is>
      </c>
    </row>
    <row r="9" ht="62" customHeight="1">
      <c r="A9" s="4" t="inlineStr">
        <is>
          <t>4. "Hiring Plan" sheet: when you put each person on payroll and what the first year costs, which is NOT the steady-state year because nobody starts on day 1. Below it, the extra staff for the six campaigns: people, hours and cost of each peak.</t>
        </is>
      </c>
    </row>
    <row r="10" ht="62" customHeight="1">
      <c r="A10" s="4" t="inlineStr">
        <is>
          <t>5. Take only two numbers to 3-year-financial-plan.xlsx: the staff cost of the steady-state year and of the first year. They're copied by hand, on purpose: in this whole pack there isn't a single formula pointing to another file.</t>
        </is>
      </c>
    </row>
    <row r="11"/>
    <row r="12">
      <c r="A12" s="5" t="inlineStr">
        <is>
          <t>Green cells = fields you can edit</t>
        </is>
      </c>
    </row>
    <row r="13"/>
    <row r="14">
      <c r="A14" s="3" t="inlineStr">
        <is>
          <t>What to know before you start</t>
        </is>
      </c>
    </row>
    <row r="15" ht="76" customHeight="1">
      <c r="A15" s="4" t="inlineStr">
        <is>
          <t>FROM BASE PAY TO EMPLOYER COST THERE'S A 33% GAP, AND THAT'S THE NUMBER THAT SINKS PLANS. A Bakery Assistant at $1,490.53 a month doesn't cost $1,490.53: with payroll taxes, workers' comp and benefits on top, it costs almost $24,000 a year at full time. The La Clara team -five people, 3.5 FTEs- comes to more than $92,000 a year. That's the number you take to the financial plan.</t>
        </is>
      </c>
    </row>
    <row r="16" ht="76" customHeight="1">
      <c r="A16" s="4" t="inlineStr">
        <is>
          <t>THE MINIMUM WAGE IS A FLOOR, NOT A PAY SCALE. The lowest group in the example table comes to $17,886.30 a year, above the federal and Texas minimum of $15,080 a year ($7.25 × 2,080 hours). Here the minimum wage appears only as a warning: if you type a table whose lowest group falls below it, the sheet flags it. And watch your state and city: California, New York and Florida set higher minimums, and there the example table would be illegal. Check the U.S. Department of Labor's state table (updated July 1, 2026) and your city's rules.</t>
        </is>
      </c>
    </row>
    <row r="17" ht="76" customHeight="1">
      <c r="A17" s="4" t="inlineStr">
        <is>
          <t>THE MODEL USES 12 EQUAL PAY PERIODS. In the US there are no extra pay months, so the annual figure is the monthly figure times 12 (biweekly payroll doesn't change the annual total, only the size of each check). Overtime is a separate rule: the FLSA pays 1.5× over 40 hours worked in a week for non-exempt employees.</t>
        </is>
      </c>
    </row>
    <row r="18" ht="76" customHeight="1">
      <c r="A18" s="4" t="inlineStr">
        <is>
          <t>THIS WORKBOOK DOESN'T REDO JOB DESCRIPTIONS. What each role does -Head Pastry Chef, Pastry Cook, Bakery Assistant and Counter Associate- belongs with your daily task checklists, shift by shift. Here you decide how many people of each role you need, on what schedule and what they cost. They're two different questions and they don't step on each other.</t>
        </is>
      </c>
    </row>
    <row r="19" ht="76" customHeight="1">
      <c r="A19" s="4" t="inlineStr">
        <is>
          <t>CAMPAIGN EXTRA STAFF IS NOT BASE STAFF. Three Kings Day multiplies production kitchen output by six with the same equipment and the same people: either you bring in extra help or you don't get through it. The cost of that help is calculated below with the employer cost per hour worked, and it has to go into the cash plan for the month BEFORE the campaign, because payroll goes out before the campaign money comes in. If your extra hands are students: under 16 they can't bake, and under 18 they can't run mixers or the dough sheeter (chapter 14).</t>
        </is>
      </c>
    </row>
    <row r="20"/>
    <row r="21">
      <c r="A21" s="3" t="inlineStr">
        <is>
          <t>How often to use this workbook</t>
        </is>
      </c>
    </row>
    <row r="22" ht="52" customHeight="1">
      <c r="A22" s="4" t="inlineStr">
        <is>
          <t>Cadence: ONCE when you size the team, before you sign anything; AGAIN before each of the six campaigns, to decide on extra staff; and a yearly review when your state or city minimum wage changes. Day-to-day shifts aren't kept here: they're kept in the production kitchen's weekly schedule.</t>
        </is>
      </c>
    </row>
    <row r="23"/>
    <row r="24">
      <c r="A24" s="3" t="inlineStr">
        <is>
          <t>The boundary with your daily task checklists</t>
        </is>
      </c>
    </row>
    <row r="25" ht="76" customHeight="1">
      <c r="A25" s="4" t="inlineStr">
        <is>
          <t>Your daily task checklists have a page per role (Head Pastry Chef, Pastry Cook, Bakery Assistant and Counter Associate) with what each one does on each shift. This workbook doesn't repeat that and doesn't replace it: it builds the sizing (how many people of each role, with their pay and their payroll taxes, workers' comp and benefits) and the hiring plan with its dates. If you have both, the checklists tell you what each person does and this workbook tells you what it costs.</t>
        </is>
      </c>
    </row>
    <row r="26"/>
    <row r="27">
      <c r="A27" s="4" t="inlineStr">
        <is>
          <t>To edit the structure or a cell that isn't green: Review &gt; Unprotect Sheet (no password).</t>
        </is>
      </c>
    </row>
    <row r="28"/>
    <row r="29">
      <c r="A29" s="2" t="inlineStr">
        <is>
          <t>Designed by John Guerrero — chef and restaurant consultant since 2010, in the kitchen since age 17.</t>
        </is>
      </c>
    </row>
    <row r="30">
      <c r="A30" s="6"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13">
    <mergeCell ref="A6:C6"/>
    <mergeCell ref="A10:C10"/>
    <mergeCell ref="A22:C22"/>
    <mergeCell ref="A16:C16"/>
    <mergeCell ref="A17:C17"/>
    <mergeCell ref="A9:C9"/>
    <mergeCell ref="A7:C7"/>
    <mergeCell ref="A18:C18"/>
    <mergeCell ref="A25:C25"/>
    <mergeCell ref="A8:C8"/>
    <mergeCell ref="A19:C19"/>
    <mergeCell ref="A27:C27"/>
    <mergeCell ref="A15:C15"/>
  </mergeCell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G32"/>
  <sheetViews>
    <sheetView workbookViewId="0">
      <selection activeCell="A1" sqref="A1"/>
    </sheetView>
  </sheetViews>
  <sheetFormatPr baseColWidth="8" defaultRowHeight="15"/>
  <cols>
    <col width="8" customWidth="1" min="1" max="1"/>
    <col width="42" customWidth="1" min="2" max="2"/>
    <col width="16" customWidth="1" min="3" max="3"/>
    <col width="16" customWidth="1" min="4" max="4"/>
    <col width="30" customWidth="1" min="5" max="5"/>
    <col width="46" customWidth="1" min="6" max="6"/>
    <col width="60" customWidth="1" min="7" max="7"/>
  </cols>
  <sheetData>
    <row r="1" ht="30" customHeight="1">
      <c r="A1" s="1" t="inlineStr">
        <is>
          <t>Settings: Pay Grades, Payroll Costs and Hours</t>
        </is>
      </c>
    </row>
    <row r="2">
      <c r="A2" t="inlineStr">
        <is>
          <t>AI Chef Pro · aichef.pro — How to Open a Pastry Shop</t>
        </is>
      </c>
    </row>
    <row r="3" ht="28" customHeight="1">
      <c r="A3" s="7" t="inlineStr">
        <is>
          <t>Everything green on this sheet drives the other three. The six monthly pay figures are the example wage table of the modeled case: replace them with the pay you'll offer.</t>
        </is>
      </c>
    </row>
    <row r="4"/>
    <row r="5">
      <c r="A5" s="3" t="inlineStr">
        <is>
          <t>The six pay grades of the example wage table</t>
        </is>
      </c>
    </row>
    <row r="6" ht="30" customHeight="1">
      <c r="A6" s="7" t="inlineStr">
        <is>
          <t>The modeled case's wage table: an example, not a legal schedule. Replace it with what you'll pay; check federal, state and city minimum wage.</t>
        </is>
      </c>
    </row>
    <row r="7" ht="34" customHeight="1">
      <c r="A7" s="8" t="inlineStr">
        <is>
          <t>Group</t>
        </is>
      </c>
      <c r="B7" s="8" t="inlineStr">
        <is>
          <t>Name</t>
        </is>
      </c>
      <c r="C7" s="8" t="inlineStr">
        <is>
          <t>Monthly pay ($)</t>
        </is>
      </c>
      <c r="D7" s="8" t="inlineStr">
        <is>
          <t>Annual pay ($)</t>
        </is>
      </c>
      <c r="E7" s="8" t="inlineStr">
        <is>
          <t>Functional areas</t>
        </is>
      </c>
      <c r="F7" s="8" t="inlineStr">
        <is>
          <t>Roles the table lists</t>
        </is>
      </c>
      <c r="G7" s="8" t="inlineStr">
        <is>
          <t>Note</t>
        </is>
      </c>
    </row>
    <row r="8" ht="26" customHeight="1">
      <c r="A8" s="9" t="n">
        <v>1</v>
      </c>
      <c r="B8" t="inlineStr">
        <is>
          <t>Office and administration (degree-level)</t>
        </is>
      </c>
      <c r="C8" s="10" t="n">
        <v>2167.3500000000004</v>
      </c>
      <c r="D8" s="11" t="n">
        <v>26008.2</v>
      </c>
      <c r="E8" t="inlineStr">
        <is>
          <t>ADMINISTRATION</t>
        </is>
      </c>
      <c r="F8" s="4" t="inlineStr"/>
      <c r="G8" s="4" t="inlineStr">
        <is>
          <t>Base pay, before overtime. Federal law has no night or weekend premium; check your state.</t>
        </is>
      </c>
    </row>
    <row r="9" ht="26" customHeight="1">
      <c r="A9" s="9" t="n">
        <v>2</v>
      </c>
      <c r="B9" t="inlineStr">
        <is>
          <t>Management and supervisors</t>
        </is>
      </c>
      <c r="C9" s="10" t="n">
        <v>1784.8625000000002</v>
      </c>
      <c r="D9" s="11" t="n">
        <v>21418.35</v>
      </c>
      <c r="E9" t="inlineStr">
        <is>
          <t>PRODUCTION KITCHEN · FRONT COUNTER · ADMINISTRATION</t>
        </is>
      </c>
      <c r="F9" s="4" t="inlineStr">
        <is>
          <t>head of the production kitchen</t>
        </is>
      </c>
      <c r="G9" s="4" t="inlineStr">
        <is>
          <t>Base pay, before overtime. Federal law has no night or weekend premium; check your state.</t>
        </is>
      </c>
    </row>
    <row r="10" ht="26" customHeight="1">
      <c r="A10" s="9" t="n">
        <v>3</v>
      </c>
      <c r="B10" t="inlineStr">
        <is>
          <t>Skilled specialists</t>
        </is>
      </c>
      <c r="C10" s="10" t="n">
        <v>1721.1375</v>
      </c>
      <c r="D10" s="11" t="n">
        <v>20653.65</v>
      </c>
      <c r="E10" t="inlineStr">
        <is>
          <t>PRODUCTION KITCHEN · FRONT COUNTER</t>
        </is>
      </c>
      <c r="F10" s="4" t="inlineStr">
        <is>
          <t>lead production baker, section lead, head counter associate</t>
        </is>
      </c>
      <c r="G10" s="4" t="inlineStr">
        <is>
          <t>Base pay, before overtime. Federal law has no night or weekend premium; check your state.</t>
        </is>
      </c>
    </row>
    <row r="11" ht="26" customHeight="1">
      <c r="A11" s="9" t="n">
        <v>4</v>
      </c>
      <c r="B11" t="inlineStr">
        <is>
          <t>Qualified staff</t>
        </is>
      </c>
      <c r="C11" s="10" t="n">
        <v>1561.775</v>
      </c>
      <c r="D11" s="11" t="n">
        <v>18741.3</v>
      </c>
      <c r="E11" t="inlineStr">
        <is>
          <t>PRODUCTION KITCHEN · FRONT COUNTER</t>
        </is>
      </c>
      <c r="F11" s="4" t="inlineStr">
        <is>
          <t>production baker, lead packer, counter associate, delivery driver</t>
        </is>
      </c>
      <c r="G11" s="4" t="inlineStr">
        <is>
          <t>Base pay, before overtime. Federal law has no night or weekend premium; check your state.</t>
        </is>
      </c>
    </row>
    <row r="12" ht="26" customHeight="1">
      <c r="A12" s="9" t="n">
        <v>5</v>
      </c>
      <c r="B12" t="inlineStr">
        <is>
          <t>Support staff</t>
        </is>
      </c>
      <c r="C12" s="10" t="n">
        <v>1490.525</v>
      </c>
      <c r="D12" s="11" t="n">
        <v>17886.3</v>
      </c>
      <c r="E12" t="inlineStr">
        <is>
          <t>PRODUCTION KITCHEN · FRONT COUNTER</t>
        </is>
      </c>
      <c r="F12" s="4" t="inlineStr">
        <is>
          <t>production assistant, finisher, counter assistant</t>
        </is>
      </c>
      <c r="G12" s="4" t="inlineStr">
        <is>
          <t>Base pay, before overtime. Federal law has no night or weekend premium; check your state.</t>
        </is>
      </c>
    </row>
    <row r="13" ht="26" customHeight="1">
      <c r="A13" s="9" t="n">
        <v>6</v>
      </c>
      <c r="B13" t="inlineStr">
        <is>
          <t>Auxiliary services</t>
        </is>
      </c>
      <c r="C13" s="10" t="n">
        <v>1490.525</v>
      </c>
      <c r="D13" s="11" t="n">
        <v>17886.3</v>
      </c>
      <c r="E13" t="inlineStr">
        <is>
          <t>PRODUCTION KITCHEN · FRONT COUNTER</t>
        </is>
      </c>
      <c r="F13" s="4" t="inlineStr">
        <is>
          <t>general laborer, cleaner, stock clerk</t>
        </is>
      </c>
      <c r="G13" s="4" t="inlineStr">
        <is>
          <t>Base pay, before overtime. Federal law has no night or weekend premium; check your state.</t>
        </is>
      </c>
    </row>
    <row r="14"/>
    <row r="15" ht="28" customHeight="1">
      <c r="A15" s="12" t="inlineStr">
        <is>
          <t>Pay periods per year</t>
        </is>
      </c>
      <c r="C15" s="13" t="n">
        <v>12</v>
      </c>
      <c r="E15" s="7" t="inlineStr">
        <is>
          <t>12 equal pay periods: the US has no extra pay months. If you run biweekly payroll, the annual cost is the same; only the size and timing of each check change.</t>
        </is>
      </c>
    </row>
    <row r="16" ht="28" customHeight="1">
      <c r="A16" s="12" t="inlineStr">
        <is>
          <t>Annual pay of the lowest pay grade ($)</t>
        </is>
      </c>
      <c r="C16" s="14">
        <f>IFERROR(MIN($C$8:$C$13)*$C$15,"")</f>
        <v>17886.300000000003</v>
      </c>
      <c r="E16" s="7" t="inlineStr">
        <is>
          <t>Calculated from the pay above and the pay periods: it's the number compared with the minimum wage.</t>
        </is>
      </c>
    </row>
    <row r="17" ht="28" customHeight="1">
      <c r="A17" s="12" t="inlineStr">
        <is>
          <t>Minimum wage, full-time (annual: $7.25 × 2,080 h)</t>
        </is>
      </c>
      <c r="C17" s="10" t="n">
        <v>15080</v>
      </c>
      <c r="E17" s="7" t="inlineStr">
        <is>
          <t>Annual figure for a full-time job at the federal minimum ($7.25 × 2,080 hours = $15,080, or $1,256.67 a month). State and city minimums can be higher (California, New York and Florida are): replace it with the one that applies to you.</t>
        </is>
      </c>
    </row>
    <row r="18">
      <c r="A18" s="12" t="inlineStr">
        <is>
          <t>Wage table or minimum wage?</t>
        </is>
      </c>
      <c r="C18" s="15" t="str">
        <f>IF($C$16="","",IF($C$16&gt;=$C$17,"The wage table is above the minimum wage","WARNING: the lowest group falls below the annual minimum wage"))</f>
        <v>The wage table is above the minimum wage</v>
      </c>
      <c r="E18" s="7" t="inlineStr">
        <is>
          <t>This flag is here in case you type a different table: no group can fall below the minimum wage on an annual basis. Your state and city may require more than the federal minimum.</t>
        </is>
      </c>
    </row>
    <row r="19"/>
    <row r="20">
      <c r="A20" s="3" t="inlineStr">
        <is>
          <t>Payroll costs, hours and calendar</t>
        </is>
      </c>
    </row>
    <row r="21" ht="30" customHeight="1">
      <c r="A21" s="16" t="inlineStr">
        <is>
          <t>Payroll taxes, workers' comp and benefits (%)</t>
        </is>
      </c>
      <c r="C21" s="17" t="n">
        <v>0.33</v>
      </c>
      <c r="E21" s="7" t="inlineStr">
        <is>
          <t>Approximate employer cost on top of base pay: payroll taxes (FICA 7.65%, FUTA and state unemployment), workers' comp and benefits such as health insurance and paid time off. The mandatory part is around 10%; the rest depends on the benefits you offer. Adjust it to your state and your hires.</t>
        </is>
      </c>
    </row>
    <row r="22" ht="28" customHeight="1">
      <c r="A22" s="12" t="inlineStr">
        <is>
          <t>Hours per week for a full-time job</t>
        </is>
      </c>
      <c r="C22" s="13" t="n">
        <v>40</v>
      </c>
      <c r="E22" s="7" t="inlineStr">
        <is>
          <t>ASSUMPTION: the standard full-time week is 40 hours. Change it to your own policy: it decides who counts as over a full week and how many FTEs you have. Under the FLSA, overtime (1.5×) starts after 40 hours worked in a week.</t>
        </is>
      </c>
    </row>
    <row r="23" ht="28" customHeight="1">
      <c r="A23" s="12" t="inlineStr">
        <is>
          <t>Annual hours actually worked</t>
        </is>
      </c>
      <c r="C23" s="13" t="n">
        <v>1780</v>
      </c>
      <c r="E23" s="7" t="inlineStr">
        <is>
          <t>ASSUMPTION: 40 h × 52 weeks = 2,080, less paid time off and holidays, comes to about 1,780 hours actually worked. It's the divisor of the hourly cost, which is why the hourly cost comes out higher than people expect.</t>
        </is>
      </c>
    </row>
    <row r="24" ht="28" customHeight="1">
      <c r="A24" s="12" t="inlineStr">
        <is>
          <t>Days open per week</t>
        </is>
      </c>
      <c r="C24" s="13" t="n">
        <v>6</v>
      </c>
      <c r="E24" s="7" t="inlineStr">
        <is>
          <t>ASSUMPTION: six days a week, closed on Sunday. Opening days are your decision, not a permit you ask for; check your lease and any local rules.</t>
        </is>
      </c>
    </row>
    <row r="25" ht="28" customHeight="1">
      <c r="A25" s="12" t="inlineStr">
        <is>
          <t>Planned opening month (1 to 12)</t>
        </is>
      </c>
      <c r="C25" s="13" t="n">
        <v>9</v>
      </c>
      <c r="E25" s="7" t="inlineStr">
        <is>
          <t>ASSUMPTION: September. It's none of the six peaks and leaves three and a half months of running in before Three Kings Day, the campaign that decides the year. The realistic date comes from the critical path in permits-and-licenses-checklist.xlsx.</t>
        </is>
      </c>
    </row>
    <row r="26"/>
    <row r="27" ht="40" customHeight="1">
      <c r="A27" s="7" t="inlineStr">
        <is>
          <t>The monthly pay figures and the pay periods are the example wage table of the modeled case (hover over each cell for the note). Everything else on this sheet is an ASSUMPTION and each note says so. A different wage table doesn't change a formula in this workbook: it changes six numbers.</t>
        </is>
      </c>
    </row>
    <row r="28" ht="34" customHeight="1">
      <c r="A28" s="7" t="inlineStr">
        <is>
          <t>What this sheet leaves out on purpose: overtime, shift or night premiums, bonuses, transportation allowances and hiring tax credits. They're real and they change the cost, but they depend on your state and on each job: when you have them, add them to each group's monthly pay.</t>
        </is>
      </c>
    </row>
    <row r="29"/>
    <row r="30"/>
    <row r="31">
      <c r="A31" s="2" t="inlineStr">
        <is>
          <t>Designed by John Guerrero — chef and restaurant consultant since 2010, in the kitchen since age 17.</t>
        </is>
      </c>
    </row>
    <row r="32">
      <c r="A32" s="6"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22">
    <mergeCell ref="E25:G25"/>
    <mergeCell ref="A3:G3"/>
    <mergeCell ref="E21:G21"/>
    <mergeCell ref="A25:B25"/>
    <mergeCell ref="E16:G16"/>
    <mergeCell ref="A21:B21"/>
    <mergeCell ref="E23:G23"/>
    <mergeCell ref="A16:B16"/>
    <mergeCell ref="A23:B23"/>
    <mergeCell ref="E18:G18"/>
    <mergeCell ref="E22:G22"/>
    <mergeCell ref="A27:G27"/>
    <mergeCell ref="E24:G24"/>
    <mergeCell ref="A6:G6"/>
    <mergeCell ref="A28:G28"/>
    <mergeCell ref="E15:G15"/>
    <mergeCell ref="E17:G17"/>
    <mergeCell ref="A18:B18"/>
    <mergeCell ref="A24:B24"/>
    <mergeCell ref="A15:B15"/>
    <mergeCell ref="A17:B17"/>
    <mergeCell ref="A22:B22"/>
  </mergeCells>
  <dataValidations count="8">
    <dataValidation sqref="C8 C9 C10 C11 C12 C13" showDropDown="0" showInputMessage="0" showErrorMessage="1" allowBlank="1" errorTitle="Monthly pay" error="Enter the table's MONTHLY pay, in dollars." type="decimal" operator="greaterThanOrEqual">
      <formula1>0</formula1>
    </dataValidation>
    <dataValidation sqref="C15" showDropDown="0" showInputMessage="0" showErrorMessage="1" allowBlank="1" errorTitle="Pay periods" error="Between 12 and 16 pay periods." type="decimal" operator="between">
      <formula1>12</formula1>
      <formula2>16</formula2>
    </dataValidation>
    <dataValidation sqref="C17" showDropDown="0" showInputMessage="0" showErrorMessage="1" allowBlank="1" errorTitle="Annual minimum wage" error="Annual full-time minimum wage, in dollars." type="decimal" operator="greaterThanOrEqual">
      <formula1>0</formula1>
    </dataValidation>
    <dataValidation sqref="C21" showDropDown="0" showInputMessage="1" showErrorMessage="1" allowBlank="1" errorTitle="Percentage" error="Enter a percentage between 0 and 1 (0.20 = 20%)." promptTitle="Percentage" prompt="Enter it as a decimal: 0.20 = 20%." type="decimal" operator="between">
      <formula1>0</formula1>
      <formula2>1.0</formula2>
    </dataValidation>
    <dataValidation sqref="C22" showDropDown="0" showInputMessage="0" showErrorMessage="1" allowBlank="1" errorTitle="Full-time week" error="Hours per week for a full-time job (1 to 48)." type="decimal" operator="between">
      <formula1>1</formula1>
      <formula2>48</formula2>
    </dataValidation>
    <dataValidation sqref="C23" showDropDown="0" showInputMessage="0" showErrorMessage="1" allowBlank="1" errorTitle="Annual hours" error="Annual hours actually worked (1 to 2,200)." type="decimal" operator="between">
      <formula1>1</formula1>
      <formula2>2200</formula2>
    </dataValidation>
    <dataValidation sqref="C24" showDropDown="0" showInputMessage="0" showErrorMessage="1" allowBlank="1" errorTitle="Days open" error="Days open per week (1 to 7)." type="decimal" operator="between">
      <formula1>1</formula1>
      <formula2>7</formula2>
    </dataValidation>
    <dataValidation sqref="C25" showDropDown="0" showInputMessage="0" showErrorMessage="1" allowBlank="1" errorTitle="Opening month" error="Planned opening month (1 = January)." type="decimal" operator="between">
      <formula1>1</formula1>
      <formula2>12</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O38"/>
  <sheetViews>
    <sheetView workbookViewId="0">
      <pane xSplit="4" ySplit="10" topLeftCell="E11"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3" customWidth="1" min="3" max="3"/>
    <col width="26" customWidth="1" min="4" max="4"/>
    <col width="7" customWidth="1" min="5" max="5"/>
    <col width="7" customWidth="1" min="6" max="6"/>
    <col width="7" customWidth="1" min="7" max="7"/>
    <col width="7" customWidth="1" min="8" max="8"/>
    <col width="7" customWidth="1" min="9" max="9"/>
    <col width="7" customWidth="1" min="10" max="10"/>
    <col width="7" customWidth="1" min="11" max="11"/>
    <col width="15" customWidth="1" min="12" max="12"/>
    <col width="15" customWidth="1" min="13" max="13"/>
    <col width="14" customWidth="1" min="14" max="14"/>
    <col width="58" customWidth="1" min="15" max="15"/>
  </cols>
  <sheetData>
    <row r="1" ht="30" customHeight="1">
      <c r="A1" s="1" t="inlineStr">
        <is>
          <t>Weekly Schedule</t>
        </is>
      </c>
    </row>
    <row r="2">
      <c r="A2" t="inlineStr">
        <is>
          <t>AI Chef Pro · aichef.pro — How to Open a Pastry Shop</t>
        </is>
      </c>
    </row>
    <row r="3" ht="28" customHeight="1">
      <c r="A3" s="7" t="inlineStr">
        <is>
          <t>Five people and 3.5 FTEs: the staffing of the "La Clara" case. Four roles, with two people as Counter Associate.</t>
        </is>
      </c>
    </row>
    <row r="4"/>
    <row r="5">
      <c r="A5" s="3" t="inlineStr">
        <is>
          <t>Which days is the front counter open?</t>
        </is>
      </c>
    </row>
    <row r="6" ht="20" customHeight="1">
      <c r="A6" s="8" t="inlineStr">
        <is>
          <t>Day</t>
        </is>
      </c>
      <c r="E6" s="8" t="inlineStr">
        <is>
          <t>Mon</t>
        </is>
      </c>
      <c r="F6" s="8" t="inlineStr">
        <is>
          <t>Tue</t>
        </is>
      </c>
      <c r="G6" s="8" t="inlineStr">
        <is>
          <t>Wed</t>
        </is>
      </c>
      <c r="H6" s="8" t="inlineStr">
        <is>
          <t>Thu</t>
        </is>
      </c>
      <c r="I6" s="8" t="inlineStr">
        <is>
          <t>Fri</t>
        </is>
      </c>
      <c r="J6" s="8" t="inlineStr">
        <is>
          <t>Sat</t>
        </is>
      </c>
      <c r="K6" s="8" t="inlineStr">
        <is>
          <t>Sun</t>
        </is>
      </c>
    </row>
    <row r="7">
      <c r="A7" s="12" t="inlineStr">
        <is>
          <t>Is the front counter open?</t>
        </is>
      </c>
      <c r="E7" s="18" t="inlineStr">
        <is>
          <t>Yes</t>
        </is>
      </c>
      <c r="F7" s="18" t="inlineStr">
        <is>
          <t>Yes</t>
        </is>
      </c>
      <c r="G7" s="18" t="inlineStr">
        <is>
          <t>Yes</t>
        </is>
      </c>
      <c r="H7" s="18" t="inlineStr">
        <is>
          <t>Yes</t>
        </is>
      </c>
      <c r="I7" s="18" t="inlineStr">
        <is>
          <t>Yes</t>
        </is>
      </c>
      <c r="J7" s="18" t="inlineStr">
        <is>
          <t>Yes</t>
        </is>
      </c>
      <c r="K7" s="18" t="inlineStr">
        <is>
          <t>No</t>
        </is>
      </c>
      <c r="L7" s="7" t="inlineStr">
        <is>
          <t>ASSUMPTION: six days, closed on Sunday. It's your decision, not a permit.</t>
        </is>
      </c>
    </row>
    <row r="8"/>
    <row r="9">
      <c r="A9" s="3" t="inlineStr">
        <is>
          <t>Hours per person per day</t>
        </is>
      </c>
    </row>
    <row r="10" ht="40" customHeight="1">
      <c r="A10" s="8" t="inlineStr">
        <is>
          <t>ID</t>
        </is>
      </c>
      <c r="B10" s="8" t="inlineStr">
        <is>
          <t>Person (role)</t>
        </is>
      </c>
      <c r="C10" s="8" t="inlineStr">
        <is>
          <t>Area</t>
        </is>
      </c>
      <c r="D10" s="8" t="inlineStr">
        <is>
          <t>Shift</t>
        </is>
      </c>
      <c r="E10" s="8" t="inlineStr">
        <is>
          <t>Mon</t>
        </is>
      </c>
      <c r="F10" s="8" t="inlineStr">
        <is>
          <t>Tue</t>
        </is>
      </c>
      <c r="G10" s="8" t="inlineStr">
        <is>
          <t>Wed</t>
        </is>
      </c>
      <c r="H10" s="8" t="inlineStr">
        <is>
          <t>Thu</t>
        </is>
      </c>
      <c r="I10" s="8" t="inlineStr">
        <is>
          <t>Fri</t>
        </is>
      </c>
      <c r="J10" s="8" t="inlineStr">
        <is>
          <t>Sat</t>
        </is>
      </c>
      <c r="K10" s="8" t="inlineStr">
        <is>
          <t>Sun</t>
        </is>
      </c>
      <c r="L10" s="8" t="inlineStr">
        <is>
          <t>Planned hours / week</t>
        </is>
      </c>
      <c r="M10" s="8" t="inlineStr">
        <is>
          <t>Contracted hours / week</t>
        </is>
      </c>
      <c r="N10" s="8" t="inlineStr">
        <is>
          <t>Difference (h)</t>
        </is>
      </c>
      <c r="O10" s="8" t="inlineStr">
        <is>
          <t>Note</t>
        </is>
      </c>
    </row>
    <row r="11" ht="24" customHeight="1">
      <c r="A11" s="19" t="inlineStr">
        <is>
          <t>P1</t>
        </is>
      </c>
      <c r="B11" t="inlineStr">
        <is>
          <t>Head Pastry Chef</t>
        </is>
      </c>
      <c r="C11" t="inlineStr">
        <is>
          <t>PRODUCTION KITCHEN</t>
        </is>
      </c>
      <c r="D11" t="inlineStr">
        <is>
          <t>Early bake (04:30-12:30)</t>
        </is>
      </c>
      <c r="E11" s="20" t="n">
        <v>0</v>
      </c>
      <c r="F11" s="20" t="n">
        <v>8</v>
      </c>
      <c r="G11" s="20" t="n">
        <v>8</v>
      </c>
      <c r="H11" s="20" t="n">
        <v>8</v>
      </c>
      <c r="I11" s="20" t="n">
        <v>8</v>
      </c>
      <c r="J11" s="20" t="n">
        <v>8</v>
      </c>
      <c r="K11" s="20" t="n">
        <v>0</v>
      </c>
      <c r="L11" s="21">
        <f>SUM($E11:$K11)</f>
        <v>40.0</v>
      </c>
      <c r="M11" s="13" t="n">
        <v>40</v>
      </c>
      <c r="N11" s="22">
        <f>IFERROR(IF(OR($L11="",$M11=""),"",$L11-$M11),"")</f>
        <v>0.0</v>
      </c>
      <c r="O11" s="4" t="inlineStr">
        <is>
          <t>Contracted hours: full time. The split of hours is an ASSUMPTION that adds up to that.</t>
        </is>
      </c>
    </row>
    <row r="12" ht="24" customHeight="1">
      <c r="A12" s="19" t="inlineStr">
        <is>
          <t>P2</t>
        </is>
      </c>
      <c r="B12" t="inlineStr">
        <is>
          <t>Pastry Cook</t>
        </is>
      </c>
      <c r="C12" t="inlineStr">
        <is>
          <t>PRODUCTION KITCHEN</t>
        </is>
      </c>
      <c r="D12" t="inlineStr">
        <is>
          <t>Early bake (05:00-13:00)</t>
        </is>
      </c>
      <c r="E12" s="20" t="n">
        <v>8</v>
      </c>
      <c r="F12" s="20" t="n">
        <v>8</v>
      </c>
      <c r="G12" s="20" t="n">
        <v>8</v>
      </c>
      <c r="H12" s="20" t="n">
        <v>8</v>
      </c>
      <c r="I12" s="20" t="n">
        <v>8</v>
      </c>
      <c r="J12" s="20" t="n">
        <v>0</v>
      </c>
      <c r="K12" s="20" t="n">
        <v>0</v>
      </c>
      <c r="L12" s="21">
        <f>SUM($E12:$K12)</f>
        <v>40.0</v>
      </c>
      <c r="M12" s="13" t="n">
        <v>40</v>
      </c>
      <c r="N12" s="22">
        <f>IFERROR(IF(OR($L12="",$M12=""),"",$L12-$M12),"")</f>
        <v>0.0</v>
      </c>
      <c r="O12" s="4" t="inlineStr">
        <is>
          <t>Contracted hours: full time. The split of hours is an ASSUMPTION that adds up to that.</t>
        </is>
      </c>
    </row>
    <row r="13" ht="24" customHeight="1">
      <c r="A13" s="19" t="inlineStr">
        <is>
          <t>P3</t>
        </is>
      </c>
      <c r="B13" t="inlineStr">
        <is>
          <t>Bakery Assistant</t>
        </is>
      </c>
      <c r="C13" t="inlineStr">
        <is>
          <t>PRODUCTION KITCHEN</t>
        </is>
      </c>
      <c r="D13" t="inlineStr">
        <is>
          <t>Morning (07:00-11:00)</t>
        </is>
      </c>
      <c r="E13" s="20" t="n">
        <v>4</v>
      </c>
      <c r="F13" s="20" t="n">
        <v>4</v>
      </c>
      <c r="G13" s="20" t="n">
        <v>4</v>
      </c>
      <c r="H13" s="20" t="n">
        <v>4</v>
      </c>
      <c r="I13" s="20" t="n">
        <v>4</v>
      </c>
      <c r="J13" s="20" t="n">
        <v>0</v>
      </c>
      <c r="K13" s="20" t="n">
        <v>0</v>
      </c>
      <c r="L13" s="21">
        <f>SUM($E13:$K13)</f>
        <v>20.0</v>
      </c>
      <c r="M13" s="13" t="n">
        <v>20</v>
      </c>
      <c r="N13" s="22">
        <f>IFERROR(IF(OR($L13="",$M13=""),"",$L13-$M13),"")</f>
        <v>0.0</v>
      </c>
      <c r="O13" s="4" t="inlineStr">
        <is>
          <t>Contracted hours: 50%. The split of hours is an ASSUMPTION that adds up to that.</t>
        </is>
      </c>
    </row>
    <row r="14" ht="24" customHeight="1">
      <c r="A14" s="19" t="inlineStr">
        <is>
          <t>P4</t>
        </is>
      </c>
      <c r="B14" t="inlineStr">
        <is>
          <t>Counter Associate A</t>
        </is>
      </c>
      <c r="C14" t="inlineStr">
        <is>
          <t>FRONT COUNTER</t>
        </is>
      </c>
      <c r="D14" t="inlineStr">
        <is>
          <t>Morning (08:00-12:00)</t>
        </is>
      </c>
      <c r="E14" s="20" t="n">
        <v>4</v>
      </c>
      <c r="F14" s="20" t="n">
        <v>4</v>
      </c>
      <c r="G14" s="20" t="n">
        <v>4</v>
      </c>
      <c r="H14" s="20" t="n">
        <v>4</v>
      </c>
      <c r="I14" s="20" t="n">
        <v>4</v>
      </c>
      <c r="J14" s="20" t="n">
        <v>0</v>
      </c>
      <c r="K14" s="20" t="n">
        <v>0</v>
      </c>
      <c r="L14" s="21">
        <f>SUM($E14:$K14)</f>
        <v>20.0</v>
      </c>
      <c r="M14" s="13" t="n">
        <v>20</v>
      </c>
      <c r="N14" s="22">
        <f>IFERROR(IF(OR($L14="",$M14=""),"",$L14-$M14),"")</f>
        <v>0.0</v>
      </c>
      <c r="O14" s="4" t="inlineStr">
        <is>
          <t>Contracted hours: 50%. The split of hours is an ASSUMPTION that adds up to that.</t>
        </is>
      </c>
    </row>
    <row r="15" ht="24" customHeight="1">
      <c r="A15" s="19" t="inlineStr">
        <is>
          <t>P5</t>
        </is>
      </c>
      <c r="B15" t="inlineStr">
        <is>
          <t>Counter Associate B</t>
        </is>
      </c>
      <c r="C15" t="inlineStr">
        <is>
          <t>FRONT COUNTER</t>
        </is>
      </c>
      <c r="D15" t="inlineStr">
        <is>
          <t>Afternoon (16:30-20:30)</t>
        </is>
      </c>
      <c r="E15" s="20" t="n">
        <v>0</v>
      </c>
      <c r="F15" s="20" t="n">
        <v>4</v>
      </c>
      <c r="G15" s="20" t="n">
        <v>4</v>
      </c>
      <c r="H15" s="20" t="n">
        <v>4</v>
      </c>
      <c r="I15" s="20" t="n">
        <v>4</v>
      </c>
      <c r="J15" s="20" t="n">
        <v>4</v>
      </c>
      <c r="K15" s="20" t="n">
        <v>0</v>
      </c>
      <c r="L15" s="21">
        <f>SUM($E15:$K15)</f>
        <v>20.0</v>
      </c>
      <c r="M15" s="13" t="n">
        <v>20</v>
      </c>
      <c r="N15" s="22">
        <f>IFERROR(IF(OR($L15="",$M15=""),"",$L15-$M15),"")</f>
        <v>0.0</v>
      </c>
      <c r="O15" s="4" t="inlineStr">
        <is>
          <t>Contracted hours: 50%. The split of hours is an ASSUMPTION that adds up to that.</t>
        </is>
      </c>
    </row>
    <row r="16">
      <c r="A16" s="12" t="inlineStr">
        <is>
          <t>TOTAL for the team</t>
        </is>
      </c>
      <c r="E16" s="23">
        <f>SUM($E$11:$E$15)</f>
        <v>16.0</v>
      </c>
      <c r="F16" s="23">
        <f>SUM($F$11:$F$15)</f>
        <v>28.0</v>
      </c>
      <c r="G16" s="23">
        <f>SUM($G$11:$G$15)</f>
        <v>28.0</v>
      </c>
      <c r="H16" s="23">
        <f>SUM($H$11:$H$15)</f>
        <v>28.0</v>
      </c>
      <c r="I16" s="23">
        <f>SUM($I$11:$I$15)</f>
        <v>28.0</v>
      </c>
      <c r="J16" s="23">
        <f>SUM($J$11:$J$15)</f>
        <v>12.0</v>
      </c>
      <c r="K16" s="23">
        <f>SUM($K$11:$K$15)</f>
        <v>0.0</v>
      </c>
      <c r="L16" s="23">
        <f>SUM($L$11:$L$15)</f>
        <v>140.0</v>
      </c>
      <c r="M16" s="21">
        <f>SUM($M$11:$M$15)</f>
        <v>140.0</v>
      </c>
    </row>
    <row r="17">
      <c r="A17" s="12" t="inlineStr">
        <is>
          <t>PRODUCTION KITCHEN hours per day</t>
        </is>
      </c>
      <c r="E17" s="22">
        <f>SUMPRODUCT(--($C$11:$C$15="PRODUCTION KITCHEN"),$E$11:$E$15)</f>
        <v>12.0</v>
      </c>
      <c r="F17" s="22">
        <f>SUMPRODUCT(--($C$11:$C$15="PRODUCTION KITCHEN"),$F$11:$F$15)</f>
        <v>20.0</v>
      </c>
      <c r="G17" s="22">
        <f>SUMPRODUCT(--($C$11:$C$15="PRODUCTION KITCHEN"),$G$11:$G$15)</f>
        <v>20.0</v>
      </c>
      <c r="H17" s="22">
        <f>SUMPRODUCT(--($C$11:$C$15="PRODUCTION KITCHEN"),$H$11:$H$15)</f>
        <v>20.0</v>
      </c>
      <c r="I17" s="22">
        <f>SUMPRODUCT(--($C$11:$C$15="PRODUCTION KITCHEN"),$I$11:$I$15)</f>
        <v>20.0</v>
      </c>
      <c r="J17" s="22">
        <f>SUMPRODUCT(--($C$11:$C$15="PRODUCTION KITCHEN"),$J$11:$J$15)</f>
        <v>8.0</v>
      </c>
      <c r="K17" s="22">
        <f>SUMPRODUCT(--($C$11:$C$15="PRODUCTION KITCHEN"),$K$11:$K$15)</f>
        <v>0.0</v>
      </c>
    </row>
    <row r="18">
      <c r="A18" s="12" t="inlineStr">
        <is>
          <t>FRONT COUNTER hours per day</t>
        </is>
      </c>
      <c r="E18" s="22">
        <f>SUMPRODUCT(--($C$11:$C$15="FRONT COUNTER"),$E$11:$E$15)</f>
        <v>4.0</v>
      </c>
      <c r="F18" s="22">
        <f>SUMPRODUCT(--($C$11:$C$15="FRONT COUNTER"),$F$11:$F$15)</f>
        <v>8.0</v>
      </c>
      <c r="G18" s="22">
        <f>SUMPRODUCT(--($C$11:$C$15="FRONT COUNTER"),$G$11:$G$15)</f>
        <v>8.0</v>
      </c>
      <c r="H18" s="22">
        <f>SUMPRODUCT(--($C$11:$C$15="FRONT COUNTER"),$H$11:$H$15)</f>
        <v>8.0</v>
      </c>
      <c r="I18" s="22">
        <f>SUMPRODUCT(--($C$11:$C$15="FRONT COUNTER"),$I$11:$I$15)</f>
        <v>8.0</v>
      </c>
      <c r="J18" s="22">
        <f>SUMPRODUCT(--($C$11:$C$15="FRONT COUNTER"),$J$11:$J$15)</f>
        <v>4.0</v>
      </c>
      <c r="K18" s="22">
        <f>SUMPRODUCT(--($C$11:$C$15="FRONT COUNTER"),$K$11:$K$15)</f>
        <v>0.0</v>
      </c>
    </row>
    <row r="19">
      <c r="A19" s="12" t="inlineStr">
        <is>
          <t>Counter coverage</t>
        </is>
      </c>
      <c r="E19" s="24" t="str">
        <f>IF($E$7&lt;&gt;"Yes","Closed",IF($E$18=0,"NOBODY","Covered"))</f>
        <v>Covered</v>
      </c>
      <c r="F19" s="24" t="str">
        <f>IF($F$7&lt;&gt;"Yes","Closed",IF($F$18=0,"NOBODY","Covered"))</f>
        <v>Covered</v>
      </c>
      <c r="G19" s="24" t="str">
        <f>IF($G$7&lt;&gt;"Yes","Closed",IF($G$18=0,"NOBODY","Covered"))</f>
        <v>Covered</v>
      </c>
      <c r="H19" s="24" t="str">
        <f>IF($H$7&lt;&gt;"Yes","Closed",IF($H$18=0,"NOBODY","Covered"))</f>
        <v>Covered</v>
      </c>
      <c r="I19" s="24" t="str">
        <f>IF($I$7&lt;&gt;"Yes","Closed",IF($I$18=0,"NOBODY","Covered"))</f>
        <v>Covered</v>
      </c>
      <c r="J19" s="24" t="str">
        <f>IF($J$7&lt;&gt;"Yes","Closed",IF($J$18=0,"NOBODY","Covered"))</f>
        <v>Covered</v>
      </c>
      <c r="K19" s="24" t="str">
        <f>IF($K$7&lt;&gt;"Yes","Closed",IF($K$18=0,"NOBODY","Covered"))</f>
        <v>Closed</v>
      </c>
    </row>
    <row r="20"/>
    <row r="21">
      <c r="A21" s="3" t="inlineStr">
        <is>
          <t>Summary of the week</t>
        </is>
      </c>
    </row>
    <row r="22" ht="24" customHeight="1">
      <c r="A22" s="12" t="inlineStr">
        <is>
          <t>Planned hours per week</t>
        </is>
      </c>
      <c r="E22" s="23">
        <f>$L$16</f>
        <v>140.0</v>
      </c>
      <c r="H22" s="7" t="inlineStr">
        <is>
          <t>It's the standard cruising-speed week, with no campaigns.</t>
        </is>
      </c>
    </row>
    <row r="23" ht="24" customHeight="1">
      <c r="A23" s="12" t="inlineStr">
        <is>
          <t>FTEs</t>
        </is>
      </c>
      <c r="E23" s="25">
        <f>IFERROR($L$16/'Settings'!$C$22,"")</f>
        <v>3.5</v>
      </c>
      <c r="H23" s="7" t="inlineStr">
        <is>
          <t>Planned hours divided by the full-time week. The La Clara case is 3.5 FTEs spread across five people.</t>
        </is>
      </c>
    </row>
    <row r="24" ht="24" customHeight="1">
      <c r="A24" s="12" t="inlineStr">
        <is>
          <t>Production kitchen hours per week</t>
        </is>
      </c>
      <c r="E24" s="23">
        <f>SUMPRODUCT(--($C$11:$C$15="PRODUCTION KITCHEN"),$E$11:$E$15)+SUMPRODUCT(--($C$11:$C$15="PRODUCTION KITCHEN"),$F$11:$F$15)+SUMPRODUCT(--($C$11:$C$15="PRODUCTION KITCHEN"),$G$11:$G$15)+SUMPRODUCT(--($C$11:$C$15="PRODUCTION KITCHEN"),$H$11:$H$15)+SUMPRODUCT(--($C$11:$C$15="PRODUCTION KITCHEN"),$I$11:$I$15)+SUMPRODUCT(--($C$11:$C$15="PRODUCTION KITCHEN"),$J$11:$J$15)+SUMPRODUCT(--($C$11:$C$15="PRODUCTION KITCHEN"),$K$11:$K$15)</f>
        <v>100.0</v>
      </c>
      <c r="H24" s="7" t="inlineStr">
        <is>
          <t>These are the hours that have to deliver the production kitchen output that kitchen-capacity-and-site.xlsx calculates. If they don't reach, the problem isn't the oven.</t>
        </is>
      </c>
    </row>
    <row r="25" ht="24" customHeight="1">
      <c r="A25" s="12" t="inlineStr">
        <is>
          <t>Front counter hours per week</t>
        </is>
      </c>
      <c r="E25" s="23">
        <f>SUMPRODUCT(--($C$11:$C$15="FRONT COUNTER"),$E$11:$E$15)+SUMPRODUCT(--($C$11:$C$15="FRONT COUNTER"),$F$11:$F$15)+SUMPRODUCT(--($C$11:$C$15="FRONT COUNTER"),$G$11:$G$15)+SUMPRODUCT(--($C$11:$C$15="FRONT COUNTER"),$H$11:$H$15)+SUMPRODUCT(--($C$11:$C$15="FRONT COUNTER"),$I$11:$I$15)+SUMPRODUCT(--($C$11:$C$15="FRONT COUNTER"),$J$11:$J$15)+SUMPRODUCT(--($C$11:$C$15="FRONT COUNTER"),$K$11:$K$15)</f>
        <v>40.0</v>
      </c>
      <c r="H25" s="7" t="inlineStr">
        <is>
          <t>Counter and customer service. In a neighborhood pastry shop, sales concentrate in two windows and on Saturday.</t>
        </is>
      </c>
    </row>
    <row r="26" ht="24" customHeight="1">
      <c r="A26" s="12" t="inlineStr">
        <is>
          <t>Days open with nobody at the counter</t>
        </is>
      </c>
      <c r="E26" s="23">
        <f>COUNTIF($E$19:$K$19,"NOBODY")</f>
        <v>0.0</v>
      </c>
      <c r="H26" s="7" t="inlineStr">
        <is>
          <t>It has to be zero before you make job offers. It's the costliest sizing mistake and the easiest to see.</t>
        </is>
      </c>
    </row>
    <row r="27"/>
    <row r="28">
      <c r="A28" s="3" t="inlineStr">
        <is>
          <t>List (dropdown source)</t>
        </is>
      </c>
    </row>
    <row r="29" ht="20" customHeight="1">
      <c r="A29" s="8" t="inlineStr">
        <is>
          <t>No.</t>
        </is>
      </c>
      <c r="B29" s="8" t="inlineStr">
        <is>
          <t>Is the front counter open?</t>
        </is>
      </c>
    </row>
    <row r="30">
      <c r="A30" s="22" t="n">
        <v>1</v>
      </c>
      <c r="B30" t="inlineStr">
        <is>
          <t>Yes</t>
        </is>
      </c>
    </row>
    <row r="31">
      <c r="A31" s="22" t="n">
        <v>2</v>
      </c>
      <c r="B31" t="inlineStr">
        <is>
          <t>No</t>
        </is>
      </c>
    </row>
    <row r="32"/>
    <row r="33" ht="40" customHeight="1">
      <c r="A33" s="7" t="inlineStr">
        <is>
          <t>The split of hours by day is an ASSUMPTION that matches each person's contracted hours to the six days open. Your real split depends on what time the production kitchen starts (here, between 4:30 and 5:00) and where your sales peaks are. What doesn't change is the arithmetic: if you plan more hours than you contract, the "Difference" column says so.</t>
        </is>
      </c>
    </row>
    <row r="34" ht="26" customHeight="1">
      <c r="A34" s="7" t="inlineStr">
        <is>
          <t>This sheet is neither your day-to-day schedule nor your timekeeping record. The FLSA requires you to keep records of hours worked each day and each week for non-exempt employees (any complete and accurate method works), and that is kept separately. This is the sizing you hire from and calculate the cost with.</t>
        </is>
      </c>
    </row>
    <row r="35" ht="24" customHeight="1">
      <c r="A35" s="7" t="inlineStr">
        <is>
          <t>What each role does on its shift belongs with your daily task checklists: this workbook doesn't repeat it.</t>
        </is>
      </c>
    </row>
    <row r="36"/>
    <row r="37">
      <c r="A37" s="2" t="inlineStr">
        <is>
          <t>Designed by John Guerrero — chef and restaurant consultant since 2010, in the kitchen since age 17.</t>
        </is>
      </c>
    </row>
    <row r="38">
      <c r="A38" s="6"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26">
    <mergeCell ref="A6:D6"/>
    <mergeCell ref="H22:O22"/>
    <mergeCell ref="A33:O33"/>
    <mergeCell ref="E23:F23"/>
    <mergeCell ref="A35:O35"/>
    <mergeCell ref="A18:D18"/>
    <mergeCell ref="A23:D23"/>
    <mergeCell ref="H26:O26"/>
    <mergeCell ref="H24:O24"/>
    <mergeCell ref="A22:D22"/>
    <mergeCell ref="H25:O25"/>
    <mergeCell ref="E22:F22"/>
    <mergeCell ref="A16:D16"/>
    <mergeCell ref="E24:F24"/>
    <mergeCell ref="A19:D19"/>
    <mergeCell ref="A7:D7"/>
    <mergeCell ref="A26:D26"/>
    <mergeCell ref="A17:D17"/>
    <mergeCell ref="H23:O23"/>
    <mergeCell ref="E26:F26"/>
    <mergeCell ref="A3:O3"/>
    <mergeCell ref="L7:O7"/>
    <mergeCell ref="A24:D24"/>
    <mergeCell ref="E25:F25"/>
    <mergeCell ref="A34:O34"/>
    <mergeCell ref="A25:D25"/>
  </mergeCells>
  <conditionalFormatting sqref="E19:K19">
    <cfRule type="cellIs" priority="1" operator="equal" dxfId="0" stopIfTrue="1">
      <formula>"Covered"</formula>
    </cfRule>
    <cfRule type="cellIs" priority="2" operator="equal" dxfId="1" stopIfTrue="1">
      <formula>"NOBODY"</formula>
    </cfRule>
    <cfRule type="cellIs" priority="3" operator="equal" dxfId="2" stopIfTrue="1">
      <formula>"Closed"</formula>
    </cfRule>
  </conditionalFormatting>
  <conditionalFormatting sqref="N11:N15">
    <cfRule type="expression" priority="4" dxfId="1" stopIfTrue="1">
      <formula>=AND(ISNUMBER($N11),$N11&gt;0)</formula>
    </cfRule>
  </conditionalFormatting>
  <dataValidations count="3">
    <dataValidation sqref="E11 E12 E13 E14 E15 F11 F12 F13 F14 F15 G11 G12 G13 G14 G15 H11 H12 H13 H14 H15 I11 I12 I13 I14 I15 J11 J12 J13 J14 J15 K11 K12 K13 K14 K15" showDropDown="0" showInputMessage="0" showErrorMessage="1" allowBlank="1" errorTitle="Hours in the day" error="Hours this person works that day (0 to 12)." type="decimal" operator="between">
      <formula1>0</formula1>
      <formula2>12</formula2>
    </dataValidation>
    <dataValidation sqref="M11 M12 M13 M14 M15" showDropDown="0" showInputMessage="0" showErrorMessage="1" allowBlank="1" errorTitle="Contracted hours" error="Contract hours per week (0 to 48)." type="decimal" operator="between">
      <formula1>0</formula1>
      <formula2>48</formula2>
    </dataValidation>
    <dataValidation sqref="E7 F7 G7 H7 I7 J7 K7" showDropDown="0" showInputMessage="0" showErrorMessage="1" allowBlank="0" errorTitle="Yes or No" error="Choose Yes or No from this sheet's list." type="list">
      <formula1>$B$30:$B$31</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N36"/>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13" customWidth="1" min="3" max="3"/>
    <col width="34" customWidth="1" min="4" max="4"/>
    <col width="15" customWidth="1" min="5" max="5"/>
    <col width="13" customWidth="1" min="6" max="6"/>
    <col width="14" customWidth="1" min="7" max="7"/>
    <col width="16" customWidth="1" min="8" max="8"/>
    <col width="15" customWidth="1" min="9" max="9"/>
    <col width="16" customWidth="1" min="10" max="10"/>
    <col width="16" customWidth="1" min="11" max="11"/>
    <col width="13" customWidth="1" min="12" max="12"/>
    <col width="30" customWidth="1" min="13" max="13"/>
    <col width="34" customWidth="1" min="14" max="14"/>
  </cols>
  <sheetData>
    <row r="1" ht="30" customHeight="1">
      <c r="A1" s="1" t="inlineStr">
        <is>
          <t>Hours and Labor Cost</t>
        </is>
      </c>
    </row>
    <row r="2">
      <c r="A2" t="inlineStr">
        <is>
          <t>AI Chef Pro · aichef.pro — How to Open a Pastry Shop</t>
        </is>
      </c>
    </row>
    <row r="3" ht="28" customHeight="1">
      <c r="A3" s="7" t="inlineStr">
        <is>
          <t>From the table's pay to the employer cost there's a 33% gap: payroll taxes, workers' comp and benefits. That's the number you take to the financial plan, not the pay.</t>
        </is>
      </c>
    </row>
    <row r="4"/>
    <row r="5">
      <c r="A5" s="3" t="inlineStr">
        <is>
          <t>Cost person by person</t>
        </is>
      </c>
    </row>
    <row r="6" ht="44" customHeight="1">
      <c r="A6" s="8" t="inlineStr">
        <is>
          <t>ID</t>
        </is>
      </c>
      <c r="B6" s="8" t="inlineStr">
        <is>
          <t>Person (role)</t>
        </is>
      </c>
      <c r="C6" s="8" t="inlineStr">
        <is>
          <t>Area</t>
        </is>
      </c>
      <c r="D6" s="8" t="inlineStr">
        <is>
          <t>Pay grade</t>
        </is>
      </c>
      <c r="E6" s="8" t="inlineStr">
        <is>
          <t>Monthly pay of the group ($)</t>
        </is>
      </c>
      <c r="F6" s="8" t="inlineStr">
        <is>
          <t>FTE</t>
        </is>
      </c>
      <c r="G6" s="8" t="inlineStr">
        <is>
          <t>Hours / week</t>
        </is>
      </c>
      <c r="H6" s="8" t="inlineStr">
        <is>
          <t>Adjusted monthly pay ($)</t>
        </is>
      </c>
      <c r="I6" s="8" t="inlineStr">
        <is>
          <t>Annual pay ($)</t>
        </is>
      </c>
      <c r="J6" s="8" t="inlineStr">
        <is>
          <t>Employer cost per month ($)</t>
        </is>
      </c>
      <c r="K6" s="8" t="inlineStr">
        <is>
          <t>Employer cost per year ($)</t>
        </is>
      </c>
      <c r="L6" s="8" t="inlineStr">
        <is>
          <t>Employer cost per hour worked ($)</t>
        </is>
      </c>
      <c r="M6" s="8" t="inlineStr">
        <is>
          <t>Full-time week check</t>
        </is>
      </c>
      <c r="N6" s="8" t="inlineStr">
        <is>
          <t>Minimum wage check</t>
        </is>
      </c>
    </row>
    <row r="7" ht="24" customHeight="1">
      <c r="A7" s="19" t="inlineStr">
        <is>
          <t>P1</t>
        </is>
      </c>
      <c r="B7" t="inlineStr">
        <is>
          <t>Head Pastry Chef</t>
        </is>
      </c>
      <c r="C7" t="inlineStr">
        <is>
          <t>PRODUCTION KITCHEN</t>
        </is>
      </c>
      <c r="D7" s="5" t="inlineStr">
        <is>
          <t>Management and supervisors</t>
        </is>
      </c>
      <c r="E7" s="11">
        <f>IFERROR(INDEX('Settings'!$C$8:$C$13,MATCH($D7,'Settings'!$B$8:$B$13,0)),"")</f>
        <v>1784.8625000000002</v>
      </c>
      <c r="F7" s="26">
        <f>IFERROR(IF($G7="","",$G7/'Settings'!$C$22),"")</f>
        <v>1.0</v>
      </c>
      <c r="G7" s="22">
        <f>'Weekly Schedule'!$L$11</f>
        <v>40.0</v>
      </c>
      <c r="H7" s="11">
        <f>IFERROR(IF(OR($E7="",$F7=""),"",$E7*$F7),"")</f>
        <v>1784.8625000000002</v>
      </c>
      <c r="I7" s="11">
        <f>IFERROR(IF($H7="","",$H7*'Settings'!$C$15),"")</f>
        <v>21418.350000000002</v>
      </c>
      <c r="J7" s="11">
        <f>IFERROR(IF($K7="","",$K7/12),"")</f>
        <v>2373.867125</v>
      </c>
      <c r="K7" s="11">
        <f>IFERROR(IF($I7="","",$I7*(1+'Settings'!$C$21)),"")</f>
        <v>28486.405500000004</v>
      </c>
      <c r="L7" s="11">
        <f>IFERROR(IF(OR($K7="",$F7=""),"",$K7/('Settings'!$C$23*$F7)),"")</f>
        <v>16.003598595505622</v>
      </c>
      <c r="M7">
        <f>IF($G7="","",IF($G7&gt;'Settings'!$C$22,"Goes over a full-time week",""))</f>
      </c>
      <c r="N7">
        <f>IFERROR(IF($E7="","",IF($E7*'Settings'!$C$15&lt;'Settings'!$C$17,"Below the annual minimum wage","")),"")</f>
      </c>
    </row>
    <row r="8" ht="24" customHeight="1">
      <c r="A8" s="19" t="inlineStr">
        <is>
          <t>P2</t>
        </is>
      </c>
      <c r="B8" t="inlineStr">
        <is>
          <t>Pastry Cook</t>
        </is>
      </c>
      <c r="C8" t="inlineStr">
        <is>
          <t>PRODUCTION KITCHEN</t>
        </is>
      </c>
      <c r="D8" s="5" t="inlineStr">
        <is>
          <t>Skilled specialists</t>
        </is>
      </c>
      <c r="E8" s="11">
        <f>IFERROR(INDEX('Settings'!$C$8:$C$13,MATCH($D8,'Settings'!$B$8:$B$13,0)),"")</f>
        <v>1721.1375</v>
      </c>
      <c r="F8" s="26">
        <f>IFERROR(IF($G8="","",$G8/'Settings'!$C$22),"")</f>
        <v>1.0</v>
      </c>
      <c r="G8" s="22">
        <f>'Weekly Schedule'!$L$12</f>
        <v>40.0</v>
      </c>
      <c r="H8" s="11">
        <f>IFERROR(IF(OR($E8="",$F8=""),"",$E8*$F8),"")</f>
        <v>1721.1375</v>
      </c>
      <c r="I8" s="11">
        <f>IFERROR(IF($H8="","",$H8*'Settings'!$C$15),"")</f>
        <v>20653.65</v>
      </c>
      <c r="J8" s="11">
        <f>IFERROR(IF($K8="","",$K8/12),"")</f>
        <v>2289.1128750000003</v>
      </c>
      <c r="K8" s="11">
        <f>IFERROR(IF($I8="","",$I8*(1+'Settings'!$C$21)),"")</f>
        <v>27469.354500000005</v>
      </c>
      <c r="L8" s="11">
        <f>IFERROR(IF(OR($K8="",$F8=""),"",$K8/('Settings'!$C$23*$F8)),"")</f>
        <v>15.432221629213485</v>
      </c>
      <c r="M8">
        <f>IF($G8="","",IF($G8&gt;'Settings'!$C$22,"Goes over a full-time week",""))</f>
      </c>
      <c r="N8">
        <f>IFERROR(IF($E8="","",IF($E8*'Settings'!$C$15&lt;'Settings'!$C$17,"Below the annual minimum wage","")),"")</f>
      </c>
    </row>
    <row r="9" ht="24" customHeight="1">
      <c r="A9" s="19" t="inlineStr">
        <is>
          <t>P3</t>
        </is>
      </c>
      <c r="B9" t="inlineStr">
        <is>
          <t>Bakery Assistant</t>
        </is>
      </c>
      <c r="C9" t="inlineStr">
        <is>
          <t>PRODUCTION KITCHEN</t>
        </is>
      </c>
      <c r="D9" s="5" t="inlineStr">
        <is>
          <t>Support staff</t>
        </is>
      </c>
      <c r="E9" s="11">
        <f>IFERROR(INDEX('Settings'!$C$8:$C$13,MATCH($D9,'Settings'!$B$8:$B$13,0)),"")</f>
        <v>1490.525</v>
      </c>
      <c r="F9" s="26">
        <f>IFERROR(IF($G9="","",$G9/'Settings'!$C$22),"")</f>
        <v>0.5</v>
      </c>
      <c r="G9" s="22">
        <f>'Weekly Schedule'!$L$13</f>
        <v>20.0</v>
      </c>
      <c r="H9" s="11">
        <f>IFERROR(IF(OR($E9="",$F9=""),"",$E9*$F9),"")</f>
        <v>745.2625</v>
      </c>
      <c r="I9" s="11">
        <f>IFERROR(IF($H9="","",$H9*'Settings'!$C$15),"")</f>
        <v>8943.150000000001</v>
      </c>
      <c r="J9" s="11">
        <f>IFERROR(IF($K9="","",$K9/12),"")</f>
        <v>991.1991250000002</v>
      </c>
      <c r="K9" s="11">
        <f>IFERROR(IF($I9="","",$I9*(1+'Settings'!$C$21)),"")</f>
        <v>11894.389500000003</v>
      </c>
      <c r="L9" s="11">
        <f>IFERROR(IF(OR($K9="",$F9=""),"",$K9/('Settings'!$C$23*$F9)),"")</f>
        <v>13.364482584269666</v>
      </c>
      <c r="M9">
        <f>IF($G9="","",IF($G9&gt;'Settings'!$C$22,"Goes over a full-time week",""))</f>
      </c>
      <c r="N9">
        <f>IFERROR(IF($E9="","",IF($E9*'Settings'!$C$15&lt;'Settings'!$C$17,"Below the annual minimum wage","")),"")</f>
      </c>
    </row>
    <row r="10" ht="24" customHeight="1">
      <c r="A10" s="19" t="inlineStr">
        <is>
          <t>P4</t>
        </is>
      </c>
      <c r="B10" t="inlineStr">
        <is>
          <t>Counter Associate A</t>
        </is>
      </c>
      <c r="C10" t="inlineStr">
        <is>
          <t>FRONT COUNTER</t>
        </is>
      </c>
      <c r="D10" s="5" t="inlineStr">
        <is>
          <t>Qualified staff</t>
        </is>
      </c>
      <c r="E10" s="11">
        <f>IFERROR(INDEX('Settings'!$C$8:$C$13,MATCH($D10,'Settings'!$B$8:$B$13,0)),"")</f>
        <v>1561.775</v>
      </c>
      <c r="F10" s="26">
        <f>IFERROR(IF($G10="","",$G10/'Settings'!$C$22),"")</f>
        <v>0.5</v>
      </c>
      <c r="G10" s="22">
        <f>'Weekly Schedule'!$L$14</f>
        <v>20.0</v>
      </c>
      <c r="H10" s="11">
        <f>IFERROR(IF(OR($E10="",$F10=""),"",$E10*$F10),"")</f>
        <v>780.8875</v>
      </c>
      <c r="I10" s="11">
        <f>IFERROR(IF($H10="","",$H10*'Settings'!$C$15),"")</f>
        <v>9370.650000000001</v>
      </c>
      <c r="J10" s="11">
        <f>IFERROR(IF($K10="","",$K10/12),"")</f>
        <v>1038.5803750000002</v>
      </c>
      <c r="K10" s="11">
        <f>IFERROR(IF($I10="","",$I10*(1+'Settings'!$C$21)),"")</f>
        <v>12462.964500000002</v>
      </c>
      <c r="L10" s="11">
        <f>IFERROR(IF(OR($K10="",$F10=""),"",$K10/('Settings'!$C$23*$F10)),"")</f>
        <v>14.003330898876406</v>
      </c>
      <c r="M10">
        <f>IF($G10="","",IF($G10&gt;'Settings'!$C$22,"Goes over a full-time week",""))</f>
      </c>
      <c r="N10">
        <f>IFERROR(IF($E10="","",IF($E10*'Settings'!$C$15&lt;'Settings'!$C$17,"Below the annual minimum wage","")),"")</f>
      </c>
    </row>
    <row r="11" ht="24" customHeight="1">
      <c r="A11" s="19" t="inlineStr">
        <is>
          <t>P5</t>
        </is>
      </c>
      <c r="B11" t="inlineStr">
        <is>
          <t>Counter Associate B</t>
        </is>
      </c>
      <c r="C11" t="inlineStr">
        <is>
          <t>FRONT COUNTER</t>
        </is>
      </c>
      <c r="D11" s="5" t="inlineStr">
        <is>
          <t>Qualified staff</t>
        </is>
      </c>
      <c r="E11" s="11">
        <f>IFERROR(INDEX('Settings'!$C$8:$C$13,MATCH($D11,'Settings'!$B$8:$B$13,0)),"")</f>
        <v>1561.775</v>
      </c>
      <c r="F11" s="26">
        <f>IFERROR(IF($G11="","",$G11/'Settings'!$C$22),"")</f>
        <v>0.5</v>
      </c>
      <c r="G11" s="22">
        <f>'Weekly Schedule'!$L$15</f>
        <v>20.0</v>
      </c>
      <c r="H11" s="11">
        <f>IFERROR(IF(OR($E11="",$F11=""),"",$E11*$F11),"")</f>
        <v>780.8875</v>
      </c>
      <c r="I11" s="11">
        <f>IFERROR(IF($H11="","",$H11*'Settings'!$C$15),"")</f>
        <v>9370.650000000001</v>
      </c>
      <c r="J11" s="11">
        <f>IFERROR(IF($K11="","",$K11/12),"")</f>
        <v>1038.5803750000002</v>
      </c>
      <c r="K11" s="11">
        <f>IFERROR(IF($I11="","",$I11*(1+'Settings'!$C$21)),"")</f>
        <v>12462.964500000002</v>
      </c>
      <c r="L11" s="11">
        <f>IFERROR(IF(OR($K11="",$F11=""),"",$K11/('Settings'!$C$23*$F11)),"")</f>
        <v>14.003330898876406</v>
      </c>
      <c r="M11">
        <f>IF($G11="","",IF($G11&gt;'Settings'!$C$22,"Goes over a full-time week",""))</f>
      </c>
      <c r="N11">
        <f>IFERROR(IF($E11="","",IF($E11*'Settings'!$C$15&lt;'Settings'!$C$17,"Below the annual minimum wage","")),"")</f>
      </c>
    </row>
    <row r="12">
      <c r="A12" s="12" t="inlineStr">
        <is>
          <t>TOTAL for the team</t>
        </is>
      </c>
      <c r="F12" s="27">
        <f>SUM($F$7:$F$11)</f>
        <v>3.5</v>
      </c>
      <c r="G12" s="23">
        <f>SUM($G$7:$G$11)</f>
        <v>140.0</v>
      </c>
      <c r="H12" s="14">
        <f>SUM($H$7:$H$11)</f>
        <v>5813.0375</v>
      </c>
      <c r="I12" s="14">
        <f>SUM($I$7:$I$11)</f>
        <v>69756.45000000001</v>
      </c>
      <c r="J12" s="14">
        <f>SUM($J$7:$J$11)</f>
        <v>7731.3398750000015</v>
      </c>
      <c r="K12" s="14">
        <f>SUM($K$7:$K$11)</f>
        <v>92776.07850000002</v>
      </c>
    </row>
    <row r="13"/>
    <row r="14">
      <c r="A14" s="3" t="inlineStr">
        <is>
          <t>What goes to the financial plan</t>
        </is>
      </c>
    </row>
    <row r="15" ht="26" customHeight="1">
      <c r="A15" s="12" t="inlineStr">
        <is>
          <t>Staff cost per month ($)</t>
        </is>
      </c>
      <c r="E15" s="14">
        <f>$J$12</f>
        <v>7731.3398750000015</v>
      </c>
      <c r="G15" s="7" t="inlineStr">
        <is>
          <t>Employer cost, with payroll taxes, workers' comp and benefits inside. It's one of the two big lines of the fixed costs in 3-year-financial-plan.xlsx.</t>
        </is>
      </c>
    </row>
    <row r="16" ht="26" customHeight="1">
      <c r="A16" s="12" t="inlineStr">
        <is>
          <t>Staff cost per year ($)</t>
        </is>
      </c>
      <c r="E16" s="14">
        <f>$K$12</f>
        <v>92776.07850000002</v>
      </c>
      <c r="G16" s="7" t="inlineStr">
        <is>
          <t>The full steady-state year. The first year costs less because nobody starts on day 1: the "Hiring Plan" sheet calculates that.</t>
        </is>
      </c>
    </row>
    <row r="17" ht="26" customHeight="1">
      <c r="A17" s="12" t="inlineStr">
        <is>
          <t>FTEs</t>
        </is>
      </c>
      <c r="E17" s="25">
        <f>$F$12</f>
        <v>3.5</v>
      </c>
      <c r="G17" s="7" t="inlineStr">
        <is>
          <t>Five people, 3.5 FTEs. Counting people instead of FTEs is the mistake that makes a plan look oversized.</t>
        </is>
      </c>
    </row>
    <row r="18" ht="26" customHeight="1">
      <c r="A18" s="12" t="inlineStr">
        <is>
          <t>Average employer cost per hour worked for the team ($)</t>
        </is>
      </c>
      <c r="E18" s="14">
        <f>IFERROR(IF($F$12=0,"",$K$12/('Settings'!$C$23*$F$12)),"")</f>
        <v>14.891826404494385</v>
      </c>
      <c r="G18" s="7" t="inlineStr">
        <is>
          <t>Average for the WHOLE team (production kitchen + front counter), over hours worked. It is NOT the "productive-hour production kitchen cost" of opening-menu-and-recipe-costing.xlsx ($17.94, production kitchen only and productive hours only) nor the "employer cost per hour worked for the extra staff" of seasonal-peaks-planner.xlsx ($13.36, Group 5 only): all three are correct and measure a different denominator.</t>
        </is>
      </c>
    </row>
    <row r="19" ht="26" customHeight="1">
      <c r="A19" s="12" t="inlineStr">
        <is>
          <t>What payroll taxes, workers' comp and benefits cost per year ($)</t>
        </is>
      </c>
      <c r="E19" s="14">
        <f>IFERROR($K$12-$I$12,"")</f>
        <v>23019.628500000006</v>
      </c>
      <c r="G19" s="7" t="inlineStr">
        <is>
          <t>The difference between what they earn as pay and what you pay out. It isn't negotiable and it can't be forgotten.</t>
        </is>
      </c>
    </row>
    <row r="20" ht="26" customHeight="1">
      <c r="A20" s="12" t="inlineStr">
        <is>
          <t>Sum of annual pay ($)</t>
        </is>
      </c>
      <c r="E20" s="14">
        <f>$I$12</f>
        <v>69756.45000000001</v>
      </c>
      <c r="G20" s="7" t="inlineStr">
        <is>
          <t>What the five people earn, before payroll taxes, workers' comp and benefits.</t>
        </is>
      </c>
    </row>
    <row r="21"/>
    <row r="22">
      <c r="A22" s="3" t="inlineStr">
        <is>
          <t>Pay grade list (dropdown source)</t>
        </is>
      </c>
    </row>
    <row r="23" ht="20" customHeight="1">
      <c r="A23" s="8" t="inlineStr">
        <is>
          <t>Group</t>
        </is>
      </c>
      <c r="B23" s="8" t="inlineStr">
        <is>
          <t>Name</t>
        </is>
      </c>
    </row>
    <row r="24">
      <c r="A24" s="22">
        <f>'Settings'!$A$8</f>
        <v>1.0</v>
      </c>
      <c r="B24" t="str">
        <f>'Settings'!$B$8</f>
        <v>Office and administration (degree-level)</v>
      </c>
    </row>
    <row r="25">
      <c r="A25" s="22">
        <f>'Settings'!$A$9</f>
        <v>2.0</v>
      </c>
      <c r="B25" t="str">
        <f>'Settings'!$B$9</f>
        <v>Management and supervisors</v>
      </c>
    </row>
    <row r="26">
      <c r="A26" s="22">
        <f>'Settings'!$A$10</f>
        <v>3.0</v>
      </c>
      <c r="B26" t="str">
        <f>'Settings'!$B$10</f>
        <v>Skilled specialists</v>
      </c>
    </row>
    <row r="27">
      <c r="A27" s="22">
        <f>'Settings'!$A$11</f>
        <v>4.0</v>
      </c>
      <c r="B27" t="str">
        <f>'Settings'!$B$11</f>
        <v>Qualified staff</v>
      </c>
    </row>
    <row r="28">
      <c r="A28" s="22">
        <f>'Settings'!$A$12</f>
        <v>5.0</v>
      </c>
      <c r="B28" t="str">
        <f>'Settings'!$B$12</f>
        <v>Support staff</v>
      </c>
    </row>
    <row r="29">
      <c r="A29" s="22">
        <f>'Settings'!$A$13</f>
        <v>6.0</v>
      </c>
      <c r="B29" t="str">
        <f>'Settings'!$B$13</f>
        <v>Auxiliary services</v>
      </c>
    </row>
    <row r="30"/>
    <row r="31" ht="44" customHeight="1">
      <c r="A31" s="7" t="inlineStr">
        <is>
          <t>The hours in column G are read from the "Weekly Schedule" sheet: if you change a shift, the cost changes here. FTE is planned hours divided by the full-time week, so a 20-hour job costs half as much as a 40-hour one in the same group. What doesn't prorate is whatever doesn't depend on hours: work clothes, training and any medical exam cost almost the same for a half-time job as for a full-time one.</t>
        </is>
      </c>
    </row>
    <row r="32" ht="34" customHeight="1">
      <c r="A32" s="7" t="inlineStr">
        <is>
          <t>The 33% for payroll taxes, workers' comp and benefits is an approximation of your employer cost (FICA, FUTA and state unemployment, workers' comp and benefits). Your real rate depends on your state, your insurer and the benefits you offer: change it in "Settings" and the whole workbook recalculates. In Texas, workers' comp is optional for private employers (non-subscribers); the case keeps it inside the 33%.</t>
        </is>
      </c>
    </row>
    <row r="33" ht="26" customHeight="1">
      <c r="A33" s="7" t="inlineStr">
        <is>
          <t>This workbook doesn't calculate payroll or exact payroll taxes, and it doesn't replace your accountant or payroll provider: it calculates the SIZING and its cost, which is what you need to know before you sign the lease.</t>
        </is>
      </c>
    </row>
    <row r="34"/>
    <row r="35">
      <c r="A35" s="2" t="inlineStr">
        <is>
          <t>Designed by John Guerrero — chef and restaurant consultant since 2010, in the kitchen since age 17.</t>
        </is>
      </c>
    </row>
    <row r="36">
      <c r="A36" s="6"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17">
    <mergeCell ref="A19:D19"/>
    <mergeCell ref="G18:N18"/>
    <mergeCell ref="A31:N31"/>
    <mergeCell ref="A33:N33"/>
    <mergeCell ref="A15:D15"/>
    <mergeCell ref="A17:D17"/>
    <mergeCell ref="A3:N3"/>
    <mergeCell ref="A12:D12"/>
    <mergeCell ref="G15:N15"/>
    <mergeCell ref="G17:N17"/>
    <mergeCell ref="A20:D20"/>
    <mergeCell ref="A16:D16"/>
    <mergeCell ref="G19:N19"/>
    <mergeCell ref="G16:N16"/>
    <mergeCell ref="A18:D18"/>
    <mergeCell ref="A32:N32"/>
    <mergeCell ref="G20:N20"/>
  </mergeCells>
  <conditionalFormatting sqref="M7:M11">
    <cfRule type="cellIs" priority="1" operator="equal" dxfId="1" stopIfTrue="1">
      <formula>"Goes over a full-time week"</formula>
    </cfRule>
  </conditionalFormatting>
  <conditionalFormatting sqref="N7:N11">
    <cfRule type="cellIs" priority="2" operator="equal" dxfId="1" stopIfTrue="1">
      <formula>"Below the annual minimum wage"</formula>
    </cfRule>
  </conditionalFormatting>
  <dataValidations count="1">
    <dataValidation sqref="D7 D8 D9 D10 D11" showDropDown="0" showInputMessage="0" showErrorMessage="1" allowBlank="0" errorTitle="Pay grade" error="Choose one of the six pay grades from the list on this sheet." type="list">
      <formula1>$B$24:$B$29</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46"/>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17" customWidth="1" min="3" max="3"/>
    <col width="11" customWidth="1" min="4" max="4"/>
    <col width="15" customWidth="1" min="5" max="5"/>
    <col width="18" customWidth="1" min="6" max="6"/>
    <col width="17" customWidth="1" min="7" max="7"/>
    <col width="16" customWidth="1" min="8" max="8"/>
    <col width="14" customWidth="1" min="9" max="9"/>
    <col width="34" customWidth="1" min="10" max="10"/>
    <col width="52" customWidth="1" min="11" max="11"/>
  </cols>
  <sheetData>
    <row r="1" ht="30" customHeight="1">
      <c r="A1" s="1" t="inlineStr">
        <is>
          <t>Hiring Plan and Campaign Extra Staff</t>
        </is>
      </c>
    </row>
    <row r="2">
      <c r="A2" t="inlineStr">
        <is>
          <t>AI Chef Pro · aichef.pro — How to Open a Pastry Shop</t>
        </is>
      </c>
    </row>
    <row r="3" ht="28" customHeight="1">
      <c r="A3" s="7" t="inlineStr">
        <is>
          <t>The first year doesn't cost what the steady-state year does: nobody starts on day 1, and campaigns bring extra staff. These are the two numbers that go to the financial plan.</t>
        </is>
      </c>
    </row>
    <row r="4"/>
    <row r="5">
      <c r="A5" s="3" t="inlineStr">
        <is>
          <t>Hires</t>
        </is>
      </c>
    </row>
    <row r="6" ht="40" customHeight="1">
      <c r="A6" s="8" t="inlineStr">
        <is>
          <t>ID</t>
        </is>
      </c>
      <c r="B6" s="8" t="inlineStr">
        <is>
          <t>Person (role)</t>
        </is>
      </c>
      <c r="C6" s="8" t="inlineStr">
        <is>
          <t>Planned start date</t>
        </is>
      </c>
      <c r="D6" s="8" t="inlineStr">
        <is>
          <t>Start month</t>
        </is>
      </c>
      <c r="E6" s="8" t="inlineStr">
        <is>
          <t>Months in year 1</t>
        </is>
      </c>
      <c r="F6" s="8" t="inlineStr">
        <is>
          <t>Employer cost per month ($)</t>
        </is>
      </c>
      <c r="G6" s="8" t="inlineStr">
        <is>
          <t>Year 1 cost ($)</t>
        </is>
      </c>
      <c r="H6" s="8" t="inlineStr">
        <is>
          <t>Steady-state year cost ($)</t>
        </is>
      </c>
      <c r="I6" s="8" t="inlineStr">
        <is>
          <t>Year 1 savings ($)</t>
        </is>
      </c>
      <c r="J6" s="8" t="inlineStr">
        <is>
          <t>Why they start when they do</t>
        </is>
      </c>
      <c r="K6" s="8" t="inlineStr">
        <is>
          <t>Note</t>
        </is>
      </c>
    </row>
    <row r="7" ht="32" customHeight="1">
      <c r="A7" s="19" t="inlineStr">
        <is>
          <t>P1</t>
        </is>
      </c>
      <c r="B7" t="inlineStr">
        <is>
          <t>Head Pastry Chef</t>
        </is>
      </c>
      <c r="C7" s="28" t="n">
        <v>46601</v>
      </c>
      <c r="D7" s="22">
        <f>IFERROR(IF($C7="","",MONTH($C7)),"")</f>
        <v>8.0</v>
      </c>
      <c r="E7" s="22">
        <f>IFERROR(IF($D7="","",MIN(12,MAX(0,12-($D7-'Settings'!$C$25)))),"")</f>
        <v>12.0</v>
      </c>
      <c r="F7" s="11">
        <f>'Hours and Cost'!$J$7</f>
        <v>2373.867125</v>
      </c>
      <c r="G7" s="11">
        <f>IFERROR(IF(OR($E7="",$F7=""),"",$E7*$F7),"")</f>
        <v>28486.4055</v>
      </c>
      <c r="H7" s="11">
        <f>'Hours and Cost'!$K$7</f>
        <v>28486.405500000004</v>
      </c>
      <c r="I7" s="11">
        <f>IFERROR(IF(OR($G7="",$H7=""),"",$H7-$G7),"")</f>
        <v>3.637978807091713e-12</v>
      </c>
      <c r="J7" s="4" t="inlineStr">
        <is>
          <t>A month before opening: finishes the opening menu, runs the production tests and receives the equipment.</t>
        </is>
      </c>
      <c r="K7" s="4" t="inlineStr">
        <is>
          <t>Before the first shift: Form I-9, payroll setup and workers' comp (optional in Texas).</t>
        </is>
      </c>
    </row>
    <row r="8" ht="32" customHeight="1">
      <c r="A8" s="19" t="inlineStr">
        <is>
          <t>P2</t>
        </is>
      </c>
      <c r="B8" t="inlineStr">
        <is>
          <t>Pastry Cook</t>
        </is>
      </c>
      <c r="C8" s="28" t="n">
        <v>46615</v>
      </c>
      <c r="D8" s="22">
        <f>IFERROR(IF($C8="","",MONTH($C8)),"")</f>
        <v>8.0</v>
      </c>
      <c r="E8" s="22">
        <f>IFERROR(IF($D8="","",MIN(12,MAX(0,12-($D8-'Settings'!$C$25)))),"")</f>
        <v>12.0</v>
      </c>
      <c r="F8" s="11">
        <f>'Hours and Cost'!$J$8</f>
        <v>2289.1128750000003</v>
      </c>
      <c r="G8" s="11">
        <f>IFERROR(IF(OR($E8="",$F8=""),"",$E8*$F8),"")</f>
        <v>27469.3545</v>
      </c>
      <c r="H8" s="11">
        <f>'Hours and Cost'!$K$8</f>
        <v>27469.354500000005</v>
      </c>
      <c r="I8" s="11">
        <f>IFERROR(IF(OR($G8="",$H8=""),"",$H8-$G8),"")</f>
        <v>3.637978807091713e-12</v>
      </c>
      <c r="J8" s="4" t="inlineStr">
        <is>
          <t>Two weeks before: starts once the production kitchen is set up and the batches have to be tried for real.</t>
        </is>
      </c>
      <c r="K8" s="4" t="inlineStr">
        <is>
          <t>Before the first shift: Form I-9, payroll setup and workers' comp (optional in Texas).</t>
        </is>
      </c>
    </row>
    <row r="9" ht="32" customHeight="1">
      <c r="A9" s="19" t="inlineStr">
        <is>
          <t>P3</t>
        </is>
      </c>
      <c r="B9" t="inlineStr">
        <is>
          <t>Bakery Assistant</t>
        </is>
      </c>
      <c r="C9" s="28" t="n">
        <v>46631</v>
      </c>
      <c r="D9" s="22">
        <f>IFERROR(IF($C9="","",MONTH($C9)),"")</f>
        <v>9.0</v>
      </c>
      <c r="E9" s="22">
        <f>IFERROR(IF($D9="","",MIN(12,MAX(0,12-($D9-'Settings'!$C$25)))),"")</f>
        <v>12.0</v>
      </c>
      <c r="F9" s="11">
        <f>'Hours and Cost'!$J$9</f>
        <v>991.1991250000002</v>
      </c>
      <c r="G9" s="11">
        <f>IFERROR(IF(OR($E9="",$F9=""),"",$E9*$F9),"")</f>
        <v>11894.389500000003</v>
      </c>
      <c r="H9" s="11">
        <f>'Hours and Cost'!$K$9</f>
        <v>11894.389500000003</v>
      </c>
      <c r="I9" s="11">
        <f>IFERROR(IF(OR($G9="",$H9=""),"",$H9-$G9),"")</f>
        <v>0.0</v>
      </c>
      <c r="J9" s="4" t="inlineStr">
        <is>
          <t>Opening day: until daily production starts there's nothing to help with.</t>
        </is>
      </c>
      <c r="K9" s="4" t="inlineStr">
        <is>
          <t>Before the first shift: Form I-9, payroll setup and workers' comp (optional in Texas).</t>
        </is>
      </c>
    </row>
    <row r="10" ht="32" customHeight="1">
      <c r="A10" s="19" t="inlineStr">
        <is>
          <t>P4</t>
        </is>
      </c>
      <c r="B10" t="inlineStr">
        <is>
          <t>Counter Associate A</t>
        </is>
      </c>
      <c r="C10" s="28" t="n">
        <v>46631</v>
      </c>
      <c r="D10" s="22">
        <f>IFERROR(IF($C10="","",MONTH($C10)),"")</f>
        <v>9.0</v>
      </c>
      <c r="E10" s="22">
        <f>IFERROR(IF($D10="","",MIN(12,MAX(0,12-($D10-'Settings'!$C$25)))),"")</f>
        <v>12.0</v>
      </c>
      <c r="F10" s="11">
        <f>'Hours and Cost'!$J$10</f>
        <v>1038.5803750000002</v>
      </c>
      <c r="G10" s="11">
        <f>IFERROR(IF(OR($E10="",$F10=""),"",$E10*$F10),"")</f>
        <v>12462.964500000002</v>
      </c>
      <c r="H10" s="11">
        <f>'Hours and Cost'!$K$10</f>
        <v>12462.964500000002</v>
      </c>
      <c r="I10" s="11">
        <f>IFERROR(IF(OR($G10="",$H10=""),"",$H10-$G10),"")</f>
        <v>0.0</v>
      </c>
      <c r="J10" s="4" t="inlineStr">
        <is>
          <t>Opening day, morning shift.</t>
        </is>
      </c>
      <c r="K10" s="4" t="inlineStr">
        <is>
          <t>Before the first shift: Form I-9, payroll setup and workers' comp (optional in Texas).</t>
        </is>
      </c>
    </row>
    <row r="11" ht="32" customHeight="1">
      <c r="A11" s="19" t="inlineStr">
        <is>
          <t>P5</t>
        </is>
      </c>
      <c r="B11" t="inlineStr">
        <is>
          <t>Counter Associate B</t>
        </is>
      </c>
      <c r="C11" s="28" t="n">
        <v>46722</v>
      </c>
      <c r="D11" s="22">
        <f>IFERROR(IF($C11="","",MONTH($C11)),"")</f>
        <v>12.0</v>
      </c>
      <c r="E11" s="22">
        <f>IFERROR(IF($D11="","",MIN(12,MAX(0,12-($D11-'Settings'!$C$25)))),"")</f>
        <v>9.0</v>
      </c>
      <c r="F11" s="11">
        <f>'Hours and Cost'!$J$11</f>
        <v>1038.5803750000002</v>
      </c>
      <c r="G11" s="11">
        <f>IFERROR(IF(OR($E11="",$F11=""),"",$E11*$F11),"")</f>
        <v>9347.223375000001</v>
      </c>
      <c r="H11" s="11">
        <f>'Hours and Cost'!$K$11</f>
        <v>12462.964500000002</v>
      </c>
      <c r="I11" s="11">
        <f>IFERROR(IF(OR($G11="",$H11=""),"",$H11-$G11),"")</f>
        <v>3115.7411250000005</v>
      </c>
      <c r="J11" s="4" t="inlineStr">
        <is>
          <t>Three months after opening: the afternoon shift opens when afternoon sales justify it, and it arrives in time for the Christmas season.</t>
        </is>
      </c>
      <c r="K11" s="4" t="inlineStr">
        <is>
          <t>Before the first shift: Form I-9, payroll setup and workers' comp (optional in Texas).</t>
        </is>
      </c>
    </row>
    <row r="12">
      <c r="A12" s="12" t="inlineStr">
        <is>
          <t>TOTAL for the team</t>
        </is>
      </c>
      <c r="F12" s="14">
        <f>SUM($F$7:$F$11)</f>
        <v>7731.3398750000015</v>
      </c>
      <c r="G12" s="14">
        <f>SUM($G$7:$G$11)</f>
        <v>89660.337375</v>
      </c>
      <c r="H12" s="14">
        <f>SUM($H$7:$H$11)</f>
        <v>92776.07850000002</v>
      </c>
      <c r="I12" s="14">
        <f>SUM($I$7:$I$11)</f>
        <v>3115.7411250000077</v>
      </c>
    </row>
    <row r="13"/>
    <row r="14">
      <c r="A14" s="3" t="inlineStr">
        <is>
          <t>Extra staff for the six campaigns</t>
        </is>
      </c>
    </row>
    <row r="15" ht="40" customHeight="1">
      <c r="A15" s="8" t="inlineStr">
        <is>
          <t>No.</t>
        </is>
      </c>
      <c r="B15" s="8" t="inlineStr">
        <is>
          <t>Campaign</t>
        </is>
      </c>
      <c r="C15" s="8" t="inlineStr">
        <is>
          <t>Dates</t>
        </is>
      </c>
      <c r="D15" s="8" t="inlineStr">
        <is>
          <t>Month</t>
        </is>
      </c>
      <c r="E15" s="8" t="inlineStr">
        <is>
          <t>Extra staff (people)</t>
        </is>
      </c>
      <c r="F15" s="8" t="inlineStr">
        <is>
          <t>Hours per person</t>
        </is>
      </c>
      <c r="G15" s="8" t="inlineStr">
        <is>
          <t>Pay grade</t>
        </is>
      </c>
      <c r="H15" s="8" t="inlineStr">
        <is>
          <t>Employer cost per hour worked ($)</t>
        </is>
      </c>
      <c r="I15" s="8" t="inlineStr">
        <is>
          <t>Extra staff cost ($)</t>
        </is>
      </c>
      <c r="J15" s="8" t="inlineStr">
        <is>
          <t>Purchase lead time</t>
        </is>
      </c>
      <c r="K15" s="8" t="inlineStr">
        <is>
          <t>Note</t>
        </is>
      </c>
    </row>
    <row r="16" ht="44" customHeight="1">
      <c r="A16" s="9" t="n">
        <v>1</v>
      </c>
      <c r="B16" t="inlineStr">
        <is>
          <t>Día de Reyes (Three Kings Day)</t>
        </is>
      </c>
      <c r="C16" t="inlineStr">
        <is>
          <t>January 2–6</t>
        </is>
      </c>
      <c r="D16" s="9" t="n">
        <v>1</v>
      </c>
      <c r="E16" s="20" t="n">
        <v>3</v>
      </c>
      <c r="F16" s="20" t="n">
        <v>40</v>
      </c>
      <c r="G16" s="5" t="inlineStr">
        <is>
          <t>Support staff</t>
        </is>
      </c>
      <c r="H16" s="11">
        <f>IFERROR(INDEX('Settings'!$C$8:$C$13,MATCH($G16,'Settings'!$B$8:$B$13,0))*'Settings'!$C$15*(1+'Settings'!$C$21)/'Settings'!$C$23,"")</f>
        <v>13.364482584269666</v>
      </c>
      <c r="I16" s="11">
        <f>IFERROR(IF(OR($E16="",$F16="",$H16=""),"",$E16*$F16*$H16),"")</f>
        <v>1603.73791011236</v>
      </c>
      <c r="J16" t="inlineStr">
        <is>
          <t>6 weeks ahead</t>
        </is>
      </c>
      <c r="K16" s="4" t="inlineStr">
        <is>
          <t>The peak that decides the year. The campaign units are those of the FIVE best-selling days: 160 a day, 800 in total, 47% of the roscas the menu mix assigns to the year (1.2% of the pieces). The rest sell in the week before, outside the campaign window, so they aren't in this row.</t>
        </is>
      </c>
    </row>
    <row r="17" ht="44" customHeight="1">
      <c r="A17" s="9" t="n">
        <v>2</v>
      </c>
      <c r="B17" t="inlineStr">
        <is>
          <t>Valentine's Day</t>
        </is>
      </c>
      <c r="C17" t="inlineStr">
        <is>
          <t>February 13–14</t>
        </is>
      </c>
      <c r="D17" s="9" t="n">
        <v>2</v>
      </c>
      <c r="E17" s="20" t="n">
        <v>0</v>
      </c>
      <c r="F17" s="20" t="n">
        <v>0</v>
      </c>
      <c r="G17" s="5" t="inlineStr">
        <is>
          <t>Support staff</t>
        </is>
      </c>
      <c r="H17" s="11">
        <f>IFERROR(INDEX('Settings'!$C$8:$C$13,MATCH($G17,'Settings'!$B$8:$B$13,0))*'Settings'!$C$15*(1+'Settings'!$C$21)/'Settings'!$C$23,"")</f>
        <v>13.364482584269666</v>
      </c>
      <c r="I17" s="11">
        <f>IFERROR(IF(OR($E17="",$F17="",$H17=""),"",$E17*$F17*$H17),"")</f>
        <v>0.0</v>
      </c>
      <c r="J17" t="inlineStr">
        <is>
          <t>3 weeks ahead</t>
        </is>
      </c>
      <c r="K17" s="4" t="inlineStr">
        <is>
          <t>Two-day, high-ticket campaign, not volume: you win with boxes and presentation, not with more oven. The special production for this date is heart-shaped cakes, bonbons and macarons.</t>
        </is>
      </c>
    </row>
    <row r="18" ht="44" customHeight="1">
      <c r="A18" s="9" t="n">
        <v>3</v>
      </c>
      <c r="B18" t="inlineStr">
        <is>
          <t>Mother's Day</t>
        </is>
      </c>
      <c r="C18" t="inlineStr">
        <is>
          <t>Día de las Madres (May 10) and US Mother's Day (2nd Sunday of May)</t>
        </is>
      </c>
      <c r="D18" s="9" t="n">
        <v>5</v>
      </c>
      <c r="E18" s="20" t="n">
        <v>1</v>
      </c>
      <c r="F18" s="20" t="n">
        <v>16</v>
      </c>
      <c r="G18" s="5" t="inlineStr">
        <is>
          <t>Support staff</t>
        </is>
      </c>
      <c r="H18" s="11">
        <f>IFERROR(INDEX('Settings'!$C$8:$C$13,MATCH($G18,'Settings'!$B$8:$B$13,0))*'Settings'!$C$15*(1+'Settings'!$C$21)/'Settings'!$C$23,"")</f>
        <v>13.364482584269666</v>
      </c>
      <c r="I18" s="11">
        <f>IFERROR(IF(OR($E18="",$F18="",$H18=""),"",$E18*$F18*$H18),"")</f>
        <v>213.83172134831466</v>
      </c>
      <c r="J18" t="inlineStr">
        <is>
          <t>3 weeks ahead</t>
        </is>
      </c>
      <c r="K18" s="4" t="inlineStr">
        <is>
          <t>One operating date for Día de las Madres (May 10) and US Mother's Day (2nd Sunday of May): a personalized cake, made to order. What matters to this guide is the load on the production kitchen, not the calendar.</t>
        </is>
      </c>
    </row>
    <row r="19" ht="44" customHeight="1">
      <c r="A19" s="9" t="n">
        <v>4</v>
      </c>
      <c r="B19" t="inlineStr">
        <is>
          <t>Easter (Holy Week)</t>
        </is>
      </c>
      <c r="C19" t="inlineStr">
        <is>
          <t>Palm Sunday to Easter Sunday</t>
        </is>
      </c>
      <c r="D19" s="9" t="n">
        <v>4</v>
      </c>
      <c r="E19" s="20" t="n">
        <v>1</v>
      </c>
      <c r="F19" s="20" t="n">
        <v>40</v>
      </c>
      <c r="G19" s="5" t="inlineStr">
        <is>
          <t>Support staff</t>
        </is>
      </c>
      <c r="H19" s="11">
        <f>IFERROR(INDEX('Settings'!$C$8:$C$13,MATCH($G19,'Settings'!$B$8:$B$13,0))*'Settings'!$C$15*(1+'Settings'!$C$21)/'Settings'!$C$23,"")</f>
        <v>13.364482584269666</v>
      </c>
      <c r="I19" s="11">
        <f>IFERROR(IF(OR($E19="",$F19="",$H19=""),"",$E19*$F19*$H19),"")</f>
        <v>534.5793033707866</v>
      </c>
      <c r="J19" t="inlineStr">
        <is>
          <t>4 weeks ahead</t>
        </is>
      </c>
      <c r="K19" s="4" t="inlineStr">
        <is>
          <t>Eight days in a row of extra production, more exhausting than the five of Three Kings Day even though the peak is smaller. Torrijas and Easter cakes (monas) at once: one needs a fryer and cold, the other an oven and chocolate. That's 230 torrijas a day and 1,840 over the campaign: 99% of the torrijas the menu mix assigns to the year.</t>
        </is>
      </c>
    </row>
    <row r="20" ht="44" customHeight="1">
      <c r="A20" s="9" t="n">
        <v>5</v>
      </c>
      <c r="B20" t="inlineStr">
        <is>
          <t>First Communions and graduations</t>
        </is>
      </c>
      <c r="C20" t="inlineStr">
        <is>
          <t>mid-April to mid-June</t>
        </is>
      </c>
      <c r="D20" s="9" t="n">
        <v>5</v>
      </c>
      <c r="E20" s="20" t="n">
        <v>1</v>
      </c>
      <c r="F20" s="20" t="n">
        <v>60</v>
      </c>
      <c r="G20" s="5" t="inlineStr">
        <is>
          <t>Support staff</t>
        </is>
      </c>
      <c r="H20" s="11">
        <f>IFERROR(INDEX('Settings'!$C$8:$C$13,MATCH($G20,'Settings'!$B$8:$B$13,0))*'Settings'!$C$15*(1+'Settings'!$C$21)/'Settings'!$C$23,"")</f>
        <v>13.364482584269666</v>
      </c>
      <c r="I20" s="11">
        <f>IFERROR(IF(OR($E20="",$F20="",$H20=""),"",$E20*$F20*$H20),"")</f>
        <v>801.86895505618</v>
      </c>
      <c r="J20" t="inlineStr">
        <is>
          <t>5 weeks ahead</t>
        </is>
      </c>
      <c r="K20" s="4" t="inlineStr">
        <is>
          <t>It's not a peak, it's a two-month PLATEAU, which is why you carry it with staff and not with overtime. Everything is by custom order: deposit, delivery calendar and cancellation risk (chapter 16).</t>
        </is>
      </c>
    </row>
    <row r="21" ht="44" customHeight="1">
      <c r="A21" s="9" t="n">
        <v>6</v>
      </c>
      <c r="B21" t="inlineStr">
        <is>
          <t>All Saints' Day and Día de los Muertos</t>
        </is>
      </c>
      <c r="C21" t="inlineStr">
        <is>
          <t>October 30 – November 1</t>
        </is>
      </c>
      <c r="D21" s="9" t="n">
        <v>11</v>
      </c>
      <c r="E21" s="20" t="n">
        <v>2</v>
      </c>
      <c r="F21" s="20" t="n">
        <v>24</v>
      </c>
      <c r="G21" s="5" t="inlineStr">
        <is>
          <t>Support staff</t>
        </is>
      </c>
      <c r="H21" s="11">
        <f>IFERROR(INDEX('Settings'!$C$8:$C$13,MATCH($G21,'Settings'!$B$8:$B$13,0))*'Settings'!$C$15*(1+'Settings'!$C$21)/'Settings'!$C$23,"")</f>
        <v>13.364482584269666</v>
      </c>
      <c r="I21" s="11">
        <f>IFERROR(IF(OR($E21="",$F21="",$H21=""),"",$E21*$F21*$H21),"")</f>
        <v>641.495164044944</v>
      </c>
      <c r="J21" t="inlineStr">
        <is>
          <t>4 weeks ahead</t>
        </is>
      </c>
      <c r="K21" s="4" t="inlineStr">
        <is>
          <t>Three days with three items that are only made now: buñuelos, huesos de santo and panellets. The buñuelos are cream-filled (41 °F or below, and date-marked if held) and the other two are shelf-stable at room temperature: that's why buñuelos are made the same day and huesos de santo can be made ahead. That food-safety detail IS the campaign planning.</t>
        </is>
      </c>
    </row>
    <row r="22">
      <c r="A22" s="12" t="inlineStr">
        <is>
          <t>TOTAL extra staff for the six campaigns</t>
        </is>
      </c>
      <c r="E22" s="23">
        <f>SUM($E$16:$E$21)</f>
        <v>8.0</v>
      </c>
      <c r="F22" s="23">
        <f>SUM($F$16:$F$21)</f>
        <v>180.0</v>
      </c>
      <c r="I22" s="14">
        <f>SUM($I$16:$I$21)</f>
        <v>3795.513053932585</v>
      </c>
    </row>
    <row r="23"/>
    <row r="24">
      <c r="A24" s="3" t="inlineStr">
        <is>
          <t>The two numbers that go to the financial plan</t>
        </is>
      </c>
    </row>
    <row r="25" ht="26" customHeight="1">
      <c r="A25" s="12" t="inlineStr">
        <is>
          <t>Year 1 staff cost ($)</t>
        </is>
      </c>
      <c r="F25" s="14">
        <f>$G$12</f>
        <v>89660.337375</v>
      </c>
      <c r="H25" s="7" t="inlineStr">
        <is>
          <t>Only the months each person is on payroll from opening.</t>
        </is>
      </c>
    </row>
    <row r="26" ht="26" customHeight="1">
      <c r="A26" s="12" t="inlineStr">
        <is>
          <t>Campaign extra staff cost over a year ($)</t>
        </is>
      </c>
      <c r="F26" s="14">
        <f>$I$22</f>
        <v>3795.513053932585</v>
      </c>
      <c r="H26" s="7" t="inlineStr">
        <is>
          <t>The six campaigns together. It's paid in the month of the campaign or the next one: look at the cash flow in 3-year-financial-plan.xlsx right there.</t>
        </is>
      </c>
    </row>
    <row r="27" ht="26" customHeight="1">
      <c r="A27" s="12" t="inlineStr">
        <is>
          <t>Cumulative staff cost for the first year ($)</t>
        </is>
      </c>
      <c r="F27" s="14">
        <f>IFERROR($F$25+$F$26,"")</f>
        <v>93455.8504289326</v>
      </c>
      <c r="H27" s="7" t="inlineStr">
        <is>
          <t>This is the year 1 number. It's the one that goes in the plan, not the steady-state one.</t>
        </is>
      </c>
    </row>
    <row r="28" ht="26" customHeight="1">
      <c r="A28" s="12" t="inlineStr">
        <is>
          <t>Steady-state year staff cost ($)</t>
        </is>
      </c>
      <c r="F28" s="14">
        <f>'Hours and Cost'!$E$16</f>
        <v>92776.07850000002</v>
      </c>
      <c r="H28" s="7" t="inlineStr">
        <is>
          <t>Twelve months with the whole team, no extra staff. It's the one used from year 2 on.</t>
        </is>
      </c>
    </row>
    <row r="29" ht="26" customHeight="1">
      <c r="A29" s="12" t="inlineStr">
        <is>
          <t>Difference between year 1 and the steady-state year ($)</t>
        </is>
      </c>
      <c r="F29" s="14">
        <f>IFERROR($F$27-$F$28,"")</f>
        <v>679.771928932576</v>
      </c>
      <c r="H29" s="7" t="inlineStr">
        <is>
          <t>Negative = the first year costs less because not everyone is on board all twelve months.</t>
        </is>
      </c>
    </row>
    <row r="30">
      <c r="A30" s="12" t="inlineStr">
        <is>
          <t>Start-up verdict</t>
        </is>
      </c>
      <c r="F30" s="15" t="str">
        <f>IF($F$29="","",IF($F$29&lt;0,"The first year saves on staff: don't confuse that with the business going well","Extra staff eats the start-up savings: review the campaigns"))</f>
        <v>Extra staff eats the start-up savings: review the campaigns</v>
      </c>
      <c r="H30" s="7" t="inlineStr">
        <is>
          <t>In year 1 the staff savings coincide with the months when there are no sales either: the ramp-up in 3-year-financial-plan.xlsx puts it in its place.</t>
        </is>
      </c>
    </row>
    <row r="31"/>
    <row r="32">
      <c r="A32" s="3" t="inlineStr">
        <is>
          <t>Pay grade list (dropdown source)</t>
        </is>
      </c>
    </row>
    <row r="33" ht="20" customHeight="1">
      <c r="A33" s="8" t="inlineStr">
        <is>
          <t>Group</t>
        </is>
      </c>
      <c r="B33" s="8" t="inlineStr">
        <is>
          <t>Name</t>
        </is>
      </c>
    </row>
    <row r="34">
      <c r="A34" s="22">
        <f>'Settings'!$A$8</f>
        <v>1.0</v>
      </c>
      <c r="B34" t="str">
        <f>'Settings'!$B$8</f>
        <v>Office and administration (degree-level)</v>
      </c>
    </row>
    <row r="35">
      <c r="A35" s="22">
        <f>'Settings'!$A$9</f>
        <v>2.0</v>
      </c>
      <c r="B35" t="str">
        <f>'Settings'!$B$9</f>
        <v>Management and supervisors</v>
      </c>
    </row>
    <row r="36">
      <c r="A36" s="22">
        <f>'Settings'!$A$10</f>
        <v>3.0</v>
      </c>
      <c r="B36" t="str">
        <f>'Settings'!$B$10</f>
        <v>Skilled specialists</v>
      </c>
    </row>
    <row r="37">
      <c r="A37" s="22">
        <f>'Settings'!$A$11</f>
        <v>4.0</v>
      </c>
      <c r="B37" t="str">
        <f>'Settings'!$B$11</f>
        <v>Qualified staff</v>
      </c>
    </row>
    <row r="38">
      <c r="A38" s="22">
        <f>'Settings'!$A$12</f>
        <v>5.0</v>
      </c>
      <c r="B38" t="str">
        <f>'Settings'!$B$12</f>
        <v>Support staff</v>
      </c>
    </row>
    <row r="39">
      <c r="A39" s="22">
        <f>'Settings'!$A$13</f>
        <v>6.0</v>
      </c>
      <c r="B39" t="str">
        <f>'Settings'!$B$13</f>
        <v>Auxiliary services</v>
      </c>
    </row>
    <row r="40"/>
    <row r="41" ht="40" customHeight="1">
      <c r="A41" s="7" t="inlineStr">
        <is>
          <t>The start dates provided are ASSUMPTIONS consistent with the opening month in "Settings": the production kitchen starts earlier because the batches have to be rehearsed, and the front counter on opening day. The year 1 month count runs from the opening month, using month arithmetic and no calendar functions.</t>
        </is>
      </c>
    </row>
    <row r="42" ht="44" customHeight="1">
      <c r="A42" s="7" t="inlineStr">
        <is>
          <t>Campaign extra staff is calculated with the employer cost per hour worked of the pay grade you choose, which already includes payroll taxes, workers' comp and benefits. Valentine's Day comes with zero extra people on purpose: it's two days of high ticket and low volume, and the base team carries it. Three Kings Day comes with three, which is what multiplying production kitchen output by six for five days calls for.</t>
        </is>
      </c>
    </row>
    <row r="43" ht="30" customHeight="1">
      <c r="A43" s="7" t="inlineStr">
        <is>
          <t>What this workbook doesn't decide: how you classify the extra campaign help (employee, seasonal employee or independent contractor). It depends on the facts of the work and your state, and your accountant or payroll provider has to look at it before the first campaign, not during it.</t>
        </is>
      </c>
    </row>
    <row r="44"/>
    <row r="45">
      <c r="A45" s="2" t="inlineStr">
        <is>
          <t>Designed by John Guerrero — chef and restaurant consultant since 2010, in the kitchen since age 17.</t>
        </is>
      </c>
    </row>
    <row r="46">
      <c r="A46" s="6" t="inlineStr">
        <is>
          <t>Version 1.0 · October 2026 · aichef.pro/en/digital-products/how-to-open-a-pastry-shop · info@aichef.pro</t>
        </is>
      </c>
    </row>
  </sheetData>
  <sheetProtection selectLockedCells="0" selectUnlockedCells="0" sheet="1" objects="0" insertRows="0" insertHyperlinks="1" autoFilter="1" scenarios="0" formatColumns="0" deleteColumns="1" insertColumns="1" pivotTables="1" deleteRows="1" formatCells="1" formatRows="0" sort="0"/>
  <mergeCells count="18">
    <mergeCell ref="A25:E25"/>
    <mergeCell ref="H30:K30"/>
    <mergeCell ref="A22:D22"/>
    <mergeCell ref="A27:E27"/>
    <mergeCell ref="A29:E29"/>
    <mergeCell ref="A42:K42"/>
    <mergeCell ref="A3:K3"/>
    <mergeCell ref="A26:E26"/>
    <mergeCell ref="H28:K28"/>
    <mergeCell ref="H25:K25"/>
    <mergeCell ref="A12:E12"/>
    <mergeCell ref="H26:K26"/>
    <mergeCell ref="A28:E28"/>
    <mergeCell ref="H29:K29"/>
    <mergeCell ref="A41:K41"/>
    <mergeCell ref="A43:K43"/>
    <mergeCell ref="H27:K27"/>
    <mergeCell ref="A30:E30"/>
  </mergeCells>
  <dataValidations count="4">
    <dataValidation sqref="C7 C8 C9 C10 C11" showDropDown="0" showInputMessage="0" showErrorMessage="1" allowBlank="1" errorTitle="Invalid date" error="Enter a date (mm/dd/yyyy) between 2020 and 2040." type="date" operator="between">
      <formula1>DATE(2020,1,1)</formula1>
      <formula2>DATE(2040,12,31)</formula2>
    </dataValidation>
    <dataValidation sqref="E16 E17 E18 E19 E20 E21" showDropDown="0" showInputMessage="0" showErrorMessage="1" allowBlank="1" errorTitle="Extra staff (people)" error="How many extra people you hire (0 to 20)." type="decimal" operator="between">
      <formula1>0</formula1>
      <formula2>20</formula2>
    </dataValidation>
    <dataValidation sqref="F16 F17 F18 F19 F20 F21" showDropDown="0" showInputMessage="0" showErrorMessage="1" allowBlank="1" errorTitle="Hours per person" error="Hours of each extra person in the campaign (0 to 200)." type="decimal" operator="between">
      <formula1>0</formula1>
      <formula2>200</formula2>
    </dataValidation>
    <dataValidation sqref="G16 G17 G18 G19 G20 G21" showDropDown="0" showInputMessage="0" showErrorMessage="1" allowBlank="0" errorTitle="Pay grade" error="Choose one of the six pay grades from the list on this sheet." type="list">
      <formula1>$B$34:$B$39</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Staffing, Schedules and Labor Cost</dc:title>
  <dc:subject xmlns:dc="http://purl.org/dc/elements/1.1/">How to Open a Pastry Shop · Version 1.0 · October 2026</dc:subject>
  <dcterms:created xmlns:dcterms="http://purl.org/dc/terms/" xmlns:xsi="http://www.w3.org/2001/XMLSchema-instance" xsi:type="dcterms:W3CDTF">2026-09-10T04:58:23Z</dcterms:created>
  <dcterms:modified xmlns:dcterms="http://purl.org/dc/terms/" xmlns:xsi="http://www.w3.org/2001/XMLSchema-instance" xsi:type="dcterms:W3CDTF">2026-10-17T08:00:00Z</dcterms:modified>
  <cp:lastModifiedBy>AI Chef Pro</cp:lastModifiedBy>
</cp:coreProperties>
</file>