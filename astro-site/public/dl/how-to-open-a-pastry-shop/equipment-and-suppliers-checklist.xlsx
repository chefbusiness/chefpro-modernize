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quipment" sheetId="2" state="visible" r:id="rId2"/>
    <sheet xmlns:r="http://schemas.openxmlformats.org/officeDocument/2006/relationships" name="Format Variant" sheetId="3" state="visible" r:id="rId3"/>
    <sheet xmlns:r="http://schemas.openxmlformats.org/officeDocument/2006/relationships" name="Suppliers" sheetId="4" state="visible" r:id="rId4"/>
    <sheet xmlns:r="http://schemas.openxmlformats.org/officeDocument/2006/relationships" name="Counter" sheetId="5" state="visible" r:id="rId5"/>
  </sheets>
  <definedNames>
    <definedName name="_xlnm.Print_Titles" localSheetId="1">'Equipment'!$15:$15</definedName>
    <definedName name="_xlnm.Print_Area" localSheetId="1">'Equipment'!$A$1:$W$74</definedName>
    <definedName name="_xlnm.Print_Titles" localSheetId="2">'Format Variant'!$15:$15</definedName>
    <definedName name="_xlnm.Print_Area" localSheetId="2">'Format Variant'!$A$1:$M$56</definedName>
    <definedName name="_xlnm.Print_Titles" localSheetId="3">'Suppliers'!$6:$6</definedName>
    <definedName name="_xlnm.Print_Area" localSheetId="3">'Suppliers'!$A$1:$L$31</definedName>
    <definedName name="_xlnm.Print_Area" localSheetId="4">'Counter'!$A$1:$F$51</definedName>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
  </numFmts>
  <fonts count="7">
    <font>
      <name val="Calibri"/>
      <family val="2"/>
      <color theme="1"/>
      <sz val="11"/>
      <scheme val="minor"/>
    </font>
    <font>
      <b val="1"/>
      <color rgb="00FFD700"/>
      <sz val="16"/>
    </font>
    <font>
      <i val="1"/>
      <sz val="9"/>
    </font>
    <font>
      <b val="1"/>
      <color theme="1"/>
      <sz val="11"/>
    </font>
    <font>
      <b val="1"/>
      <sz val="12"/>
    </font>
    <font>
      <i val="1"/>
      <sz val="8"/>
    </font>
    <font>
      <b val="1"/>
      <color rgb="00FFFFFF"/>
      <sz val="9"/>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2" fillId="0" borderId="0" applyAlignment="1" pivotButton="0" quotePrefix="0" xfId="0">
      <alignment horizontal="general" vertical="top" wrapText="1"/>
    </xf>
    <xf numFmtId="0" fontId="6" fillId="3" borderId="0" applyAlignment="1" pivotButton="0" quotePrefix="0" xfId="0">
      <alignment horizontal="center" vertical="center" wrapText="1"/>
    </xf>
    <xf numFmtId="0" fontId="3" fillId="0" borderId="0" pivotButton="0" quotePrefix="0" xfId="0"/>
    <xf numFmtId="164" fontId="0" fillId="2" borderId="0" applyProtection="1" pivotButton="0" quotePrefix="0" xfId="0">
      <protection locked="0" hidden="0"/>
    </xf>
    <xf numFmtId="165" fontId="0" fillId="2" borderId="0" applyProtection="1" pivotButton="0" quotePrefix="0" xfId="0">
      <protection locked="0" hidden="0"/>
    </xf>
    <xf numFmtId="3" fontId="0" fillId="2" borderId="0" applyProtection="1" pivotButton="0" quotePrefix="0" xfId="0">
      <protection locked="0" hidden="0"/>
    </xf>
    <xf numFmtId="3" fontId="0" fillId="0" borderId="0" pivotButton="0" quotePrefix="0" xfId="0"/>
    <xf numFmtId="165" fontId="0" fillId="0" borderId="0" pivotButton="0" quotePrefix="0" xfId="0"/>
    <xf numFmtId="164" fontId="0" fillId="0" borderId="0" pivotButton="0" quotePrefix="0" xfId="0"/>
    <xf numFmtId="3" fontId="3" fillId="4" borderId="0" pivotButton="0" quotePrefix="0" xfId="0"/>
    <xf numFmtId="165" fontId="3" fillId="4" borderId="0" pivotButton="0" quotePrefix="0" xfId="0"/>
    <xf numFmtId="164" fontId="3" fillId="4" borderId="0" pivotButton="0" quotePrefix="0" xfId="0"/>
    <xf numFmtId="0" fontId="3" fillId="4" borderId="0" pivotButton="0" quotePrefix="0" xfId="0"/>
    <xf numFmtId="0" fontId="0" fillId="0" borderId="0" applyAlignment="1" pivotButton="0" quotePrefix="0" xfId="0">
      <alignment horizontal="center" vertical="top"/>
    </xf>
    <xf numFmtId="0" fontId="0" fillId="0" borderId="0" applyAlignment="1" pivotButton="0" quotePrefix="0" xfId="0">
      <alignment horizontal="center"/>
    </xf>
    <xf numFmtId="0" fontId="0" fillId="2" borderId="0" applyAlignment="1" applyProtection="1" pivotButton="0" quotePrefix="0" xfId="0">
      <alignment horizontal="center" vertical="top"/>
      <protection locked="0" hidden="0"/>
    </xf>
    <xf numFmtId="166" fontId="3" fillId="4" borderId="0" pivotButton="0" quotePrefix="0" xfId="0"/>
    <xf numFmtId="3" fontId="3" fillId="0" borderId="0" pivotButton="0" quotePrefix="0" xfId="0"/>
    <xf numFmtId="165" fontId="3" fillId="0" borderId="0" pivotButton="0" quotePrefix="0" xfId="0"/>
    <xf numFmtId="164" fontId="3"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AI Chef Pro</author>
  </authors>
  <commentList>
    <comment ref="C7" authorId="0" shapeId="0">
      <text>
        <t>Verified October 2026 · Texas Comptroller of Public Accounts: 6.25% state sales and use tax plus up to 2% local, for a maximum combined rate of 8.25% · https://comptroller.texas.gov/taxes/sales/</t>
      </text>
    </comment>
    <comment ref="C20" authorId="0" shapeId="0">
      <text>
        <t>Verified October 2026 · FDA Food Code 2022, 3-501.14 (cooling: cooked TCS food from 135 °F to 70 °F within 2 hours and to 41 °F within 6 hours in total; a blast chiller is how you meet it) · https://www.fda.gov/media/164194/download</t>
      </text>
    </comment>
    <comment ref="C28" authorId="0" shapeId="0">
      <text>
        <t>Verified October 2026 · FDA Food Code 2022, 3-501.16 (cold holding of TCS food at 41 °F or below: the walk-in is what holds your filled items there) · https://www.fda.gov/media/164194/download</t>
      </text>
    </comment>
    <comment ref="C34" authorId="0" shapeId="0">
      <text>
        <t>Verified October 2026 · Sales tax follows how you sell: Texas exempts bakery items unless they're sold with plates or utensils (34 TAC §3.293), so your POS has to tell to-go from for-here sales if you add seating · https://comptroller.texas.gov/taxes/publications/94-117.php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31"/>
  <sheetViews>
    <sheetView workbookViewId="0">
      <selection activeCell="A1" sqref="A1"/>
    </sheetView>
  </sheetViews>
  <sheetFormatPr baseColWidth="8" defaultRowHeight="15"/>
  <cols>
    <col width="48" customWidth="1" min="1" max="1"/>
    <col width="48" customWidth="1" min="2" max="2"/>
    <col width="48" customWidth="1" min="3" max="3"/>
  </cols>
  <sheetData>
    <row r="1" ht="30" customHeight="1">
      <c r="A1" s="1" t="inlineStr">
        <is>
          <t>Equipment and Suppliers Checklist</t>
        </is>
      </c>
    </row>
    <row r="2">
      <c r="A2" t="inlineStr">
        <is>
          <t>AI Chef Pro · aichef.pro — How to Open a Pastry Shop</t>
        </is>
      </c>
    </row>
    <row r="3">
      <c r="A3" s="2" t="inlineStr">
        <is>
          <t>What it's for: deciding what equipment you buy, from whom, at what real price and with what delivery lead time.</t>
        </is>
      </c>
    </row>
    <row r="4"/>
    <row r="5">
      <c r="A5" s="3" t="inlineStr">
        <is>
          <t>How to use it</t>
        </is>
      </c>
    </row>
    <row r="6" ht="58" customHeight="1">
      <c r="A6" s="4" t="inlineStr">
        <is>
          <t>1. "Equipment" sheet: the full equipment package of a pastry shop with its own production kitchen, line by line. Start with the green block at the top: the sales tax rate, the range you want to see around the reference price, the equipment startup cost from startup-cost-calculator.xlsx, the deviation you'll allow and the weeks left until the opening date you have in mind. Everything else on the sheet recalculates from that.</t>
        </is>
      </c>
    </row>
    <row r="7" ht="58" customHeight="1">
      <c r="A7" s="4" t="inlineStr">
        <is>
          <t>2. On each line, enter three things: the real price you've been quoted (BEFORE sales tax), who sells it to you and in how many weeks they deliver. All three come filled with a default value so you can see the sheet working; all three are assumptions and have to be replaced.</t>
        </is>
      </c>
    </row>
    <row r="8" ht="58" customHeight="1">
      <c r="A8" s="4" t="inlineStr">
        <is>
          <t>3. Mark the status of each line (Pending, Quoted, Ordered, Received, Installed or N/A). "N/A" is what your format doesn't need, and it counts neither for nor against your progress.</t>
        </is>
      </c>
    </row>
    <row r="9" ht="58" customHeight="1">
      <c r="A9" s="4" t="inlineStr">
        <is>
          <t>4. "Format Variant" sheet: choose at the top what you're going to open, and the sheet tells you which lines of the package you don't need, which ones you're missing and what that variant costs against the base case. It's the sheet that keeps you from buying another business's equipment.</t>
        </is>
      </c>
    </row>
    <row r="10" ht="58" customHeight="1">
      <c r="A10" s="4" t="inlineStr">
        <is>
          <t>5. "Suppliers" sheet: nine suppliers whose official websites were checked in October 2026, with green columns for your contact, your minimum order, your lead time and your payment terms. Anyone we couldn't verify stays out: a directory with a broken link is worth less than a short one.</t>
        </is>
      </c>
    </row>
    <row r="11" ht="58" customHeight="1">
      <c r="A11" s="4" t="inlineStr">
        <is>
          <t>6. "Counter" sheet: your checklist progress, progress on what's CRITICAL (the part that decides whether you can open), the split by startup cost block and by category, and what you negotiated against the reference.</t>
        </is>
      </c>
    </row>
    <row r="12"/>
    <row r="13">
      <c r="A13" s="5" t="inlineStr">
        <is>
          <t>Green cells = fields you can edit</t>
        </is>
      </c>
    </row>
    <row r="14"/>
    <row r="15">
      <c r="A15" s="3" t="inlineStr">
        <is>
          <t>What to know before you start</t>
        </is>
      </c>
    </row>
    <row r="16" ht="72" customHeight="1">
      <c r="A16" s="4" t="inlineStr">
        <is>
          <t>THE COLUMN THAT MOVES THE MOST MONEY IS "Price basis". US dealers list before sales tax, and the list price also leaves out freight (liftgate and inside delivery), installation and start-up; on top of that, the same model comes in different voltage and phase versions. Comparing a bare list price with a delivered, installed quote can throw your total off by thousands of dollars. Every figure this workbook adds up is pre-tax, and sales tax on equipment is calculated separately: in the US it's a cost, and it doesn't come back.</t>
        </is>
      </c>
    </row>
    <row r="17" ht="72" customHeight="1">
      <c r="A17" s="4" t="inlineStr">
        <is>
          <t>THE DELIVERY LEAD TIME IS A DECISION, NOT A DATA POINT. Few dealers commit to one in writing before you order, and the ones in the sheet are assumptions. But the longest lead time among what you can't open without is what sets your opening date, so the sheet calculates it, tells you which line sets it and warns you if it eats your calendar. Order first what takes longest, not what excites you most.</t>
        </is>
      </c>
    </row>
    <row r="18" ht="72" customHeight="1">
      <c r="A18" s="4" t="inlineStr">
        <is>
          <t>THE REFERENCE PRICE ISN'T YOUR PRICE. Eight lines carry an example price and fourteen an assumption, because production kitchen equipment is sold by quote. The green "Negotiated price" column is the only one that counts toward your totals: ask for three quotes per line and enter them here.</t>
        </is>
      </c>
    </row>
    <row r="19" ht="72" customHeight="1">
      <c r="A19" s="4" t="inlineStr">
        <is>
          <t>THIS WORKBOOK DOESN'T CALCULATE YOUR STARTUP COSTS. startup-cost-calculator.xlsx does that, and it also splits the investment by block and compares a takeover against a new build. Here you only compare: copy its equipment total into the green cell at the top and this sheet tells you how far you're drifting. There isn't a single formula pointing to another file: a link between workbooks breaks as soon as someone moves a folder, and then the workbook lies without warning.</t>
        </is>
      </c>
    </row>
    <row r="20" ht="72" customHeight="1">
      <c r="A20" s="4" t="inlineStr">
        <is>
          <t>THE CHOCOLATE TEMPERING MACHINE AND THE DECK OVEN ARE MARKED OPTIONAL on purpose. They're the two purchases people argue about most and the two most often bought when they aren't needed: they only come in if you open a bonbon line or if your bread and viennoiserie volume justifies it. That's why they stay out of the critical lead time and the comparable subtotal.</t>
        </is>
      </c>
    </row>
    <row r="21"/>
    <row r="22">
      <c r="A22" s="3" t="inlineStr">
        <is>
          <t>How often you use this workbook</t>
        </is>
      </c>
    </row>
    <row r="23" ht="44" customHeight="1">
      <c r="A23" s="4" t="inlineStr">
        <is>
          <t>Rhythm: EVERY WEEK from the day you choose the space until the day you open, which is when the checklist closes. After that, once a year for replacements and whenever you change suppliers. The "Suppliers" sheet stays alive: every time you negotiate new terms, note them here.</t>
        </is>
      </c>
    </row>
    <row r="24"/>
    <row r="25">
      <c r="A25" s="3" t="inlineStr">
        <is>
          <t>Where this workbook ends and the rest of the pack begins</t>
        </is>
      </c>
    </row>
    <row r="26" ht="72" customHeight="1">
      <c r="A26" s="4" t="inlineStr">
        <is>
          <t>The HACCP Food Safety Kit Pro runs the kitchen you ALREADY have open: temperature logs, cleaning records, the display-case allergen matrix. This workbook decides the kitchen you're going to buy, and those are two different questions. Within this pack, kitchen-capacity-and-site.xlsx tells you whether the space can handle production, startup-cost-calculator.xlsx sets out the full investment, and permits-and-licenses-checklist.xlsx chains the lead times up to your opening date. This is the one you take to the trade show and to the dealer.</t>
        </is>
      </c>
    </row>
    <row r="27"/>
    <row r="28">
      <c r="A28" s="4" t="inlineStr">
        <is>
          <t>To edit the structure or a cell that isn't green: Review &gt; Unprotect Sheet (no password).</t>
        </is>
      </c>
    </row>
    <row r="29"/>
    <row r="30">
      <c r="A30" s="2" t="inlineStr">
        <is>
          <t>Designed by John Guerrero — chef and restaurant consultant since 2010, in the kitchen since age 17.</t>
        </is>
      </c>
    </row>
    <row r="31">
      <c r="A31"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4">
    <mergeCell ref="A6:C6"/>
    <mergeCell ref="A10:C10"/>
    <mergeCell ref="A26:C26"/>
    <mergeCell ref="A28:C28"/>
    <mergeCell ref="A16:C16"/>
    <mergeCell ref="A9:C9"/>
    <mergeCell ref="A7:C7"/>
    <mergeCell ref="A18:C18"/>
    <mergeCell ref="A19:C19"/>
    <mergeCell ref="A23:C23"/>
    <mergeCell ref="A8:C8"/>
    <mergeCell ref="A11:C11"/>
    <mergeCell ref="A20:C20"/>
    <mergeCell ref="A17:C17"/>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W74"/>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15" customWidth="1" min="1" max="1"/>
    <col width="5" customWidth="1" min="2" max="2"/>
    <col width="46" customWidth="1" min="3" max="3"/>
    <col width="14" customWidth="1" min="4" max="4"/>
    <col width="22" customWidth="1" min="5" max="5"/>
    <col width="20" customWidth="1" min="6" max="6"/>
    <col width="22" customWidth="1" min="7" max="7"/>
    <col width="11" customWidth="1" min="8" max="8"/>
    <col width="15" customWidth="1" min="9" max="9"/>
    <col width="12" customWidth="1" min="10" max="10"/>
    <col width="11" customWidth="1" min="11" max="11"/>
    <col width="16" customWidth="1" min="12" max="12"/>
    <col width="14" customWidth="1" min="13" max="13"/>
    <col width="14" customWidth="1" min="14" max="14"/>
    <col width="17" customWidth="1" min="15" max="15"/>
    <col width="13" customWidth="1" min="16" max="16"/>
    <col width="26" customWidth="1" min="17" max="17"/>
    <col width="12" customWidth="1" min="18" max="18"/>
    <col width="14" customWidth="1" min="19" max="19"/>
    <col width="12" customWidth="1" min="20" max="20"/>
    <col width="12" customWidth="1" min="21" max="21"/>
    <col width="30" customWidth="1" min="22" max="22"/>
    <col width="74" customWidth="1" min="23" max="23"/>
  </cols>
  <sheetData>
    <row r="1" ht="30" customHeight="1">
      <c r="A1" s="1" t="inlineStr">
        <is>
          <t>Equipment, Line by Line</t>
        </is>
      </c>
    </row>
    <row r="2">
      <c r="A2" t="inlineStr">
        <is>
          <t>AI Chef Pro · aichef.pro — How to Open a Pastry Shop</t>
        </is>
      </c>
    </row>
    <row r="3" ht="28" customHeight="1">
      <c r="A3" s="7" t="inlineStr">
        <is>
          <t>Reference prices are example prices from a European dealer's listing (eight lines) or declared assumptions (fourteen), all before sales tax. What a US list price leaves out (freight, installation, voltage and phase) goes in your quotes.</t>
        </is>
      </c>
    </row>
    <row r="4"/>
    <row r="5">
      <c r="A5" s="3" t="inlineStr">
        <is>
          <t>Settings for this sheet</t>
        </is>
      </c>
    </row>
    <row r="6" ht="20" customHeight="1">
      <c r="A6" s="8" t="inlineStr">
        <is>
          <t>Parameter</t>
        </is>
      </c>
      <c r="C6" s="8" t="inlineStr">
        <is>
          <t>Value</t>
        </is>
      </c>
      <c r="D6" s="8" t="inlineStr">
        <is>
          <t>Note</t>
        </is>
      </c>
    </row>
    <row r="7" ht="26" customHeight="1">
      <c r="A7" s="9" t="inlineStr">
        <is>
          <t>Sales tax rate on equipment (%)</t>
        </is>
      </c>
      <c r="C7" s="10" t="n">
        <v>0</v>
      </c>
      <c r="D7" s="7" t="inlineStr">
        <is>
          <t>0% by default: the case is priced before sales tax. Type your combined state and local rate (e.g. 8.25%, the Texas maximum) and the sheet adds the tax to the cash-out line. In the US, sales tax on equipment is a cost: it doesn't come back the way VAT does. Ask your CPA whether your state exempts any of it.</t>
        </is>
      </c>
    </row>
    <row r="8" ht="26" customHeight="1">
      <c r="A8" s="9" t="inlineStr">
        <is>
          <t>Range around the reference price (±%)</t>
        </is>
      </c>
      <c r="C8" s="10" t="n">
        <v>0.25</v>
      </c>
      <c r="D8" s="7" t="inlineStr">
        <is>
          <t>ASSUMPTION. How wide you want to see the low and high estimates around the reference price. 25% is the band between what a web listing asks and what you close with three quotes; widen it if you buy from a single dealer.</t>
        </is>
      </c>
    </row>
    <row r="9" ht="26" customHeight="1">
      <c r="A9" s="9" t="inlineStr">
        <is>
          <t>Equipment startup cost from startup-cost-calculator.xlsx ($, pre-tax)</t>
        </is>
      </c>
      <c r="C9" s="11" t="n">
        <v>66980.34</v>
      </c>
      <c r="D9" s="7" t="inlineStr">
        <is>
          <t>COPY IT FROM startup-cost-calculator.xlsx, blocks "Production kitchen equipment" and "Storefront and display". It comes filled with the modeled case's value as an ASSUMPTION, so the sheet works before you open that workbook. There's no formula between workbooks: this is a declared copy, not a link.</t>
        </is>
      </c>
    </row>
    <row r="10" ht="26" customHeight="1">
      <c r="A10" s="9" t="inlineStr">
        <is>
          <t>Allowed deviation threshold (%)</t>
        </is>
      </c>
      <c r="C10" s="10" t="n">
        <v>0.1</v>
      </c>
      <c r="D10" s="7" t="inlineStr">
        <is>
          <t>ASSUMPTION. Above this deviation from startup-cost-calculator.xlsx, the sheet flags it in red: either you've bought too much, or the financial plan in 3-year-financial-plan.xlsx is built on an investment that's no longer yours.</t>
        </is>
      </c>
    </row>
    <row r="11" ht="26" customHeight="1">
      <c r="A11" s="9" t="inlineStr">
        <is>
          <t>Weeks left until your planned opening</t>
        </is>
      </c>
      <c r="C11" s="12" t="n">
        <v>20</v>
      </c>
      <c r="D11" s="7" t="inlineStr">
        <is>
          <t>ASSUMPTION. Count from today to the date you have in mind. The full timeline, with the critical path of permits and build-out, is on the "Timeline and Critical Path" sheet of permits-and-licenses-checklist.xlsx.</t>
        </is>
      </c>
    </row>
    <row r="12" ht="26" customHeight="1">
      <c r="A12" s="9" t="inlineStr">
        <is>
          <t>Safety margin between delivery and opening (weeks)</t>
        </is>
      </c>
      <c r="C12" s="12" t="n">
        <v>2</v>
      </c>
      <c r="D12" s="7" t="inlineStr">
        <is>
          <t>ASSUMPTION. What you need between the machine arriving and opening: setup, hookup, start-up and production tests. With less than two weeks, the first breakdown catches you with the doors open.</t>
        </is>
      </c>
    </row>
    <row r="13"/>
    <row r="14">
      <c r="A14" s="3" t="inlineStr">
        <is>
          <t>The full package, line by line</t>
        </is>
      </c>
    </row>
    <row r="15" ht="46" customHeight="1">
      <c r="A15" s="8" t="inlineStr">
        <is>
          <t>Status</t>
        </is>
      </c>
      <c r="B15" s="8" t="inlineStr">
        <is>
          <t>No.</t>
        </is>
      </c>
      <c r="C15" s="8" t="inlineStr">
        <is>
          <t>Line item</t>
        </is>
      </c>
      <c r="D15" s="8" t="inlineStr">
        <is>
          <t>Brand</t>
        </is>
      </c>
      <c r="E15" s="8" t="inlineStr">
        <is>
          <t>Model</t>
        </is>
      </c>
      <c r="F15" s="8" t="inlineStr">
        <is>
          <t>Category</t>
        </is>
      </c>
      <c r="G15" s="8" t="inlineStr">
        <is>
          <t>Startup cost block</t>
        </is>
      </c>
      <c r="H15" s="8" t="inlineStr">
        <is>
          <t>Priority</t>
        </is>
      </c>
      <c r="I15" s="8" t="inlineStr">
        <is>
          <t>Reference price ($)</t>
        </is>
      </c>
      <c r="J15" s="8" t="inlineStr">
        <is>
          <t>Price basis</t>
        </is>
      </c>
      <c r="K15" s="8" t="inlineStr">
        <is>
          <t>Sales tax rate (%)</t>
        </is>
      </c>
      <c r="L15" s="8" t="inlineStr">
        <is>
          <t>Pre-tax price ($)</t>
        </is>
      </c>
      <c r="M15" s="8" t="inlineStr">
        <is>
          <t>Low estimate ($)</t>
        </is>
      </c>
      <c r="N15" s="8" t="inlineStr">
        <is>
          <t>High estimate ($)</t>
        </is>
      </c>
      <c r="O15" s="8" t="inlineStr">
        <is>
          <t>Negotiated price ($, pre-tax)</t>
        </is>
      </c>
      <c r="P15" s="8" t="inlineStr">
        <is>
          <t>Deviation from reference (%)</t>
        </is>
      </c>
      <c r="Q15" s="8" t="inlineStr">
        <is>
          <t>Supplier</t>
        </is>
      </c>
      <c r="R15" s="8" t="inlineStr">
        <is>
          <t>Lead time (weeks)</t>
        </is>
      </c>
      <c r="S15" s="8" t="inlineStr">
        <is>
          <t>Margin to opening (weeks)</t>
        </is>
      </c>
      <c r="T15" s="8" t="inlineStr">
        <is>
          <t>Aux · lead time of critical lines</t>
        </is>
      </c>
      <c r="U15" s="8" t="inlineStr">
        <is>
          <t>Aux · lead time too long? (1 = yes)</t>
        </is>
      </c>
      <c r="V15" s="8" t="inlineStr">
        <is>
          <t>Source</t>
        </is>
      </c>
      <c r="W15" s="8" t="inlineStr">
        <is>
          <t>Note</t>
        </is>
      </c>
    </row>
    <row r="16" ht="34" customHeight="1">
      <c r="A16" s="5" t="inlineStr">
        <is>
          <t>Pending</t>
        </is>
      </c>
      <c r="B16" s="13" t="n">
        <v>1</v>
      </c>
      <c r="C16" s="4" t="inlineStr">
        <is>
          <t>Convection oven, 6 trays</t>
        </is>
      </c>
      <c r="D16" t="inlineStr">
        <is>
          <t>Not named</t>
        </is>
      </c>
      <c r="E16" t="inlineStr">
        <is>
          <t>Electric, with humidity, 6 trays (600 × 400 mm)</t>
        </is>
      </c>
      <c r="F16" t="inlineStr">
        <is>
          <t>Heat</t>
        </is>
      </c>
      <c r="G16" t="inlineStr">
        <is>
          <t>Production kitchen equipment</t>
        </is>
      </c>
      <c r="H16" t="inlineStr">
        <is>
          <t>Critical</t>
        </is>
      </c>
      <c r="I16" s="14" t="n">
        <v>2772</v>
      </c>
      <c r="J16" t="inlineStr">
        <is>
          <t>pre-tax</t>
        </is>
      </c>
      <c r="K16" s="15">
        <f>$C$7</f>
        <v>0.0</v>
      </c>
      <c r="L16" s="14">
        <f>IFERROR(IF($I16="","",IF($J16=$E$62,$I16/(1+$K16),$I16)),"")</f>
        <v>2772.0</v>
      </c>
      <c r="M16" s="14">
        <f>IF($L16="","",$L16*(1-$C$8))</f>
        <v>2079.0</v>
      </c>
      <c r="N16" s="14">
        <f>IF($L16="","",$L16*(1+$C$8))</f>
        <v>3465.0</v>
      </c>
      <c r="O16" s="11" t="n">
        <v>2772</v>
      </c>
      <c r="P16" s="15">
        <f>IFERROR(IF(OR($O16="",$L16=""),"",$O16/$L16-1),"")</f>
        <v>0.0</v>
      </c>
      <c r="Q16" s="5" t="inlineStr">
        <is>
          <t>Not named</t>
        </is>
      </c>
      <c r="R16" s="12" t="n">
        <v>5</v>
      </c>
      <c r="S16" s="13">
        <f>IFERROR(IF(OR($R16="",$C$11="",$C$12=""),"",$C$11-$R16-$C$12),"")</f>
        <v>13.0</v>
      </c>
      <c r="T16" s="13">
        <f>IF($H16=$C$61,$R16,"")</f>
        <v>5.0</v>
      </c>
      <c r="U16" s="13">
        <f>IF($S16="","",IF($S16&lt;0,1,0))</f>
        <v>0.0</v>
      </c>
      <c r="V16" t="inlineStr">
        <is>
          <t>Example price</t>
        </is>
      </c>
      <c r="W16" s="4" t="inlineStr">
        <is>
          <t>Example price from a European dealer's listing, before tax. Check that the model you buy matches your voltage and phase.</t>
        </is>
      </c>
    </row>
    <row r="17" ht="34" customHeight="1">
      <c r="A17" s="5" t="inlineStr">
        <is>
          <t>Pending</t>
        </is>
      </c>
      <c r="B17" s="13" t="n">
        <v>2</v>
      </c>
      <c r="C17" s="4" t="inlineStr">
        <is>
          <t>Convection oven, 4 trays</t>
        </is>
      </c>
      <c r="D17" t="inlineStr">
        <is>
          <t>Not named</t>
        </is>
      </c>
      <c r="E17" t="inlineStr">
        <is>
          <t>Electric, with humidity, 4 trays (600 × 400 mm)</t>
        </is>
      </c>
      <c r="F17" t="inlineStr">
        <is>
          <t>Heat</t>
        </is>
      </c>
      <c r="G17" t="inlineStr">
        <is>
          <t>Production kitchen equipment</t>
        </is>
      </c>
      <c r="H17" t="inlineStr">
        <is>
          <t>Critical</t>
        </is>
      </c>
      <c r="I17" s="14" t="n">
        <v>2077.198347107438</v>
      </c>
      <c r="J17" t="inlineStr">
        <is>
          <t>pre-tax</t>
        </is>
      </c>
      <c r="K17" s="15">
        <f>$C$7</f>
        <v>0.0</v>
      </c>
      <c r="L17" s="14">
        <f>IFERROR(IF($I17="","",IF($J17=$E$62,$I17/(1+$K17),$I17)),"")</f>
        <v>2077.198347107438</v>
      </c>
      <c r="M17" s="14">
        <f>IF($L17="","",$L17*(1-$C$8))</f>
        <v>1557.8987603305786</v>
      </c>
      <c r="N17" s="14">
        <f>IF($L17="","",$L17*(1+$C$8))</f>
        <v>2596.4979338842977</v>
      </c>
      <c r="O17" s="11" t="n">
        <v>2077.2</v>
      </c>
      <c r="P17" s="15">
        <f>IFERROR(IF(OR($O17="",$L17=""),"",$O17/$L17-1),"")</f>
        <v>7.957316949802618e-07</v>
      </c>
      <c r="Q17" s="5" t="inlineStr">
        <is>
          <t>Not named</t>
        </is>
      </c>
      <c r="R17" s="12" t="n">
        <v>5</v>
      </c>
      <c r="S17" s="13">
        <f>IFERROR(IF(OR($R17="",$C$11="",$C$12=""),"",$C$11-$R17-$C$12),"")</f>
        <v>13.0</v>
      </c>
      <c r="T17" s="13">
        <f>IF($H17=$C$61,$R17,"")</f>
        <v>5.0</v>
      </c>
      <c r="U17" s="13">
        <f>IF($S17="","",IF($S17&lt;0,1,0))</f>
        <v>0.0</v>
      </c>
      <c r="V17" t="inlineStr">
        <is>
          <t>Example price</t>
        </is>
      </c>
      <c r="W17" s="4" t="inlineStr">
        <is>
          <t>Second oven: without it you can't bake at two different temperatures at once.</t>
        </is>
      </c>
    </row>
    <row r="18" ht="34" customHeight="1">
      <c r="A18" s="5" t="inlineStr">
        <is>
          <t>Pending</t>
        </is>
      </c>
      <c r="B18" s="13" t="n">
        <v>3</v>
      </c>
      <c r="C18" s="4" t="inlineStr">
        <is>
          <t>Refrigerated bakery display case, curved glass, about 5 ft</t>
        </is>
      </c>
      <c r="D18" t="inlineStr">
        <is>
          <t>Not named</t>
        </is>
      </c>
      <c r="E18" t="inlineStr">
        <is>
          <t>452 L (about 16 cu ft)</t>
        </is>
      </c>
      <c r="F18" t="inlineStr">
        <is>
          <t>Storefront and display</t>
        </is>
      </c>
      <c r="G18" t="inlineStr">
        <is>
          <t>Storefront and display</t>
        </is>
      </c>
      <c r="H18" t="inlineStr">
        <is>
          <t>Critical</t>
        </is>
      </c>
      <c r="I18" s="14" t="n">
        <v>2284.1</v>
      </c>
      <c r="J18" t="inlineStr">
        <is>
          <t>pre-tax</t>
        </is>
      </c>
      <c r="K18" s="15">
        <f>$C$7</f>
        <v>0.0</v>
      </c>
      <c r="L18" s="14">
        <f>IFERROR(IF($I18="","",IF($J18=$E$62,$I18/(1+$K18),$I18)),"")</f>
        <v>2284.1</v>
      </c>
      <c r="M18" s="14">
        <f>IF($L18="","",$L18*(1-$C$8))</f>
        <v>1713.0749999999998</v>
      </c>
      <c r="N18" s="14">
        <f>IF($L18="","",$L18*(1+$C$8))</f>
        <v>2855.125</v>
      </c>
      <c r="O18" s="11" t="n">
        <v>2284.1</v>
      </c>
      <c r="P18" s="15">
        <f>IFERROR(IF(OR($O18="",$L18=""),"",$O18/$L18-1),"")</f>
        <v>0.0</v>
      </c>
      <c r="Q18" s="5" t="inlineStr">
        <is>
          <t>Not named</t>
        </is>
      </c>
      <c r="R18" s="12" t="n">
        <v>6</v>
      </c>
      <c r="S18" s="13">
        <f>IFERROR(IF(OR($R18="",$C$11="",$C$12=""),"",$C$11-$R18-$C$12),"")</f>
        <v>12.0</v>
      </c>
      <c r="T18" s="13">
        <f>IF($H18=$C$61,$R18,"")</f>
        <v>6.0</v>
      </c>
      <c r="U18" s="13">
        <f>IF($S18="","",IF($S18&lt;0,1,0))</f>
        <v>0.0</v>
      </c>
      <c r="V18" t="inlineStr">
        <is>
          <t>Example price</t>
        </is>
      </c>
      <c r="W18" s="4" t="inlineStr">
        <is>
          <t>59 × 35 × 51 in, 452 L (about 16 cu ft), about 10 sq ft of display, R-290 refrigerant. The price carries a 30% promotional discount off list: a DATED price that can expire, so check it again before you budget. One case, counted once.</t>
        </is>
      </c>
    </row>
    <row r="19" ht="34" customHeight="1">
      <c r="A19" s="5" t="inlineStr">
        <is>
          <t>Pending</t>
        </is>
      </c>
      <c r="B19" s="13" t="n">
        <v>4</v>
      </c>
      <c r="C19" s="4" t="inlineStr">
        <is>
          <t>Rear sliding doors for the display case (accessory)</t>
        </is>
      </c>
      <c r="D19" t="inlineStr">
        <is>
          <t>Not named</t>
        </is>
      </c>
      <c r="E19" t="inlineStr">
        <is>
          <t>Accessory for the case above</t>
        </is>
      </c>
      <c r="F19" t="inlineStr">
        <is>
          <t>Storefront and display</t>
        </is>
      </c>
      <c r="G19" t="inlineStr">
        <is>
          <t>Storefront and display</t>
        </is>
      </c>
      <c r="H19" t="inlineStr">
        <is>
          <t>Optional</t>
        </is>
      </c>
      <c r="I19" s="14" t="n">
        <v>120.4</v>
      </c>
      <c r="J19" t="inlineStr">
        <is>
          <t>pre-tax</t>
        </is>
      </c>
      <c r="K19" s="15">
        <f>$C$7</f>
        <v>0.0</v>
      </c>
      <c r="L19" s="14">
        <f>IFERROR(IF($I19="","",IF($J19=$E$62,$I19/(1+$K19),$I19)),"")</f>
        <v>120.4</v>
      </c>
      <c r="M19" s="14">
        <f>IF($L19="","",$L19*(1-$C$8))</f>
        <v>90.30000000000001</v>
      </c>
      <c r="N19" s="14">
        <f>IF($L19="","",$L19*(1+$C$8))</f>
        <v>150.5</v>
      </c>
      <c r="O19" s="11" t="n">
        <v>120.4</v>
      </c>
      <c r="P19" s="15">
        <f>IFERROR(IF(OR($O19="",$L19=""),"",$O19/$L19-1),"")</f>
        <v>0.0</v>
      </c>
      <c r="Q19" s="5" t="inlineStr">
        <is>
          <t>Not named</t>
        </is>
      </c>
      <c r="R19" s="12" t="n">
        <v>6</v>
      </c>
      <c r="S19" s="13">
        <f>IFERROR(IF(OR($R19="",$C$11="",$C$12=""),"",$C$11-$R19-$C$12),"")</f>
        <v>12.0</v>
      </c>
      <c r="T19" s="13">
        <f>IF($H19=$C$61,$R19,"")</f>
      </c>
      <c r="U19" s="13">
        <f>IF($S19="","",IF($S19&lt;0,1,0))</f>
        <v>0.0</v>
      </c>
      <c r="V19" t="inlineStr">
        <is>
          <t>Example price</t>
        </is>
      </c>
      <c r="W19" s="4" t="inlineStr">
        <is>
          <t>Accessory: it stays out of the comparable subtotal of the standard package.</t>
        </is>
      </c>
    </row>
    <row r="20" ht="34" customHeight="1">
      <c r="A20" s="5" t="inlineStr">
        <is>
          <t>Pending</t>
        </is>
      </c>
      <c r="B20" s="13" t="n">
        <v>5</v>
      </c>
      <c r="C20" s="4" t="inlineStr">
        <is>
          <t>Blast chiller, 4 trays</t>
        </is>
      </c>
      <c r="D20" t="inlineStr">
        <is>
          <t>Irinox</t>
        </is>
      </c>
      <c r="E20" t="inlineStr">
        <is>
          <t>MultiFresh line</t>
        </is>
      </c>
      <c r="F20" t="inlineStr">
        <is>
          <t>Freezing</t>
        </is>
      </c>
      <c r="G20" t="inlineStr">
        <is>
          <t>Production kitchen equipment</t>
        </is>
      </c>
      <c r="H20" t="inlineStr">
        <is>
          <t>Critical</t>
        </is>
      </c>
      <c r="I20" s="14" t="n">
        <v>10037</v>
      </c>
      <c r="J20" t="inlineStr">
        <is>
          <t>pre-tax</t>
        </is>
      </c>
      <c r="K20" s="15">
        <f>$C$7</f>
        <v>0.0</v>
      </c>
      <c r="L20" s="14">
        <f>IFERROR(IF($I20="","",IF($J20=$E$62,$I20/(1+$K20),$I20)),"")</f>
        <v>10037.0</v>
      </c>
      <c r="M20" s="14">
        <f>IF($L20="","",$L20*(1-$C$8))</f>
        <v>7527.75</v>
      </c>
      <c r="N20" s="14">
        <f>IF($L20="","",$L20*(1+$C$8))</f>
        <v>12546.25</v>
      </c>
      <c r="O20" s="11" t="n">
        <v>10037</v>
      </c>
      <c r="P20" s="15">
        <f>IFERROR(IF(OR($O20="",$L20=""),"",$O20/$L20-1),"")</f>
        <v>0.0</v>
      </c>
      <c r="Q20" s="5" t="inlineStr">
        <is>
          <t>Irinox</t>
        </is>
      </c>
      <c r="R20" s="12" t="n">
        <v>8</v>
      </c>
      <c r="S20" s="13">
        <f>IFERROR(IF(OR($R20="",$C$11="",$C$12=""),"",$C$11-$R20-$C$12),"")</f>
        <v>10.0</v>
      </c>
      <c r="T20" s="13">
        <f>IF($H20=$C$61,$R20,"")</f>
        <v>8.0</v>
      </c>
      <c r="U20" s="13">
        <f>IF($S20="","",IF($S20&lt;0,1,0))</f>
        <v>0.0</v>
      </c>
      <c r="V20" t="inlineStr">
        <is>
          <t>Example price</t>
        </is>
      </c>
      <c r="W20" s="4" t="inlineStr">
        <is>
          <t>The most expensive purchase and the most argued about. Cycles from above 185 °F down to -40 °F. A chest freezer is NOT a blast chiller: cooling cooked TCS food on time (135 °F to 70 °F in 2 hours, to 41 °F within 6 hours in total, Food Code 3-501.14) takes real blast capacity. For reference, a US dealer listed the Irinox MultiFresh Next S at $21,729 in October 2026.</t>
        </is>
      </c>
    </row>
    <row r="21" ht="34" customHeight="1">
      <c r="A21" s="5" t="inlineStr">
        <is>
          <t>Pending</t>
        </is>
      </c>
      <c r="B21" s="13" t="n">
        <v>6</v>
      </c>
      <c r="C21" s="4" t="inlineStr">
        <is>
          <t>Dough sheeter, up to 16 in wide</t>
        </is>
      </c>
      <c r="D21" t="inlineStr">
        <is>
          <t>Not named</t>
        </is>
      </c>
      <c r="E21" t="inlineStr">
        <is>
          <t>Automatic, up to 16 in (40 cm)</t>
        </is>
      </c>
      <c r="F21" t="inlineStr">
        <is>
          <t>Sheeting</t>
        </is>
      </c>
      <c r="G21" t="inlineStr">
        <is>
          <t>Production kitchen equipment</t>
        </is>
      </c>
      <c r="H21" t="inlineStr">
        <is>
          <t>Critical</t>
        </is>
      </c>
      <c r="I21" s="14" t="n">
        <v>1215</v>
      </c>
      <c r="J21" t="inlineStr">
        <is>
          <t>pre-tax</t>
        </is>
      </c>
      <c r="K21" s="15">
        <f>$C$7</f>
        <v>0.0</v>
      </c>
      <c r="L21" s="14">
        <f>IFERROR(IF($I21="","",IF($J21=$E$62,$I21/(1+$K21),$I21)),"")</f>
        <v>1215.0</v>
      </c>
      <c r="M21" s="14">
        <f>IF($L21="","",$L21*(1-$C$8))</f>
        <v>911.25</v>
      </c>
      <c r="N21" s="14">
        <f>IF($L21="","",$L21*(1+$C$8))</f>
        <v>1518.75</v>
      </c>
      <c r="O21" s="11" t="n">
        <v>1215</v>
      </c>
      <c r="P21" s="15">
        <f>IFERROR(IF(OR($O21="",$L21=""),"",$O21/$L21-1),"")</f>
        <v>0.0</v>
      </c>
      <c r="Q21" s="5" t="inlineStr">
        <is>
          <t>Not named</t>
        </is>
      </c>
      <c r="R21" s="12" t="n">
        <v>4</v>
      </c>
      <c r="S21" s="13">
        <f>IFERROR(IF(OR($R21="",$C$11="",$C$12=""),"",$C$11-$R21-$C$12),"")</f>
        <v>14.0</v>
      </c>
      <c r="T21" s="13">
        <f>IF($H21=$C$61,$R21,"")</f>
        <v>4.0</v>
      </c>
      <c r="U21" s="13">
        <f>IF($S21="","",IF($S21&lt;0,1,0))</f>
        <v>0.0</v>
      </c>
      <c r="V21" t="inlineStr">
        <is>
          <t>Example price</t>
        </is>
      </c>
      <c r="W21" s="4" t="inlineStr">
        <is>
          <t>Example price, before tax: $1,215.00. We found no comparable US listing for dough sheeters in October 2026: this line goes straight to quotes.</t>
        </is>
      </c>
    </row>
    <row r="22" ht="34" customHeight="1">
      <c r="A22" s="5" t="inlineStr">
        <is>
          <t>Pending</t>
        </is>
      </c>
      <c r="B22" s="13" t="n">
        <v>7</v>
      </c>
      <c r="C22" s="4" t="inlineStr">
        <is>
          <t>Planetary mixer, 20 L (about 21 qt)</t>
        </is>
      </c>
      <c r="D22" t="inlineStr">
        <is>
          <t>Not named</t>
        </is>
      </c>
      <c r="E22" t="inlineStr">
        <is>
          <t>20 L (about 21 qt) bowl</t>
        </is>
      </c>
      <c r="F22" t="inlineStr">
        <is>
          <t>Mixing</t>
        </is>
      </c>
      <c r="G22" t="inlineStr">
        <is>
          <t>Production kitchen equipment</t>
        </is>
      </c>
      <c r="H22" t="inlineStr">
        <is>
          <t>Critical</t>
        </is>
      </c>
      <c r="I22" s="14" t="n">
        <v>595.04</v>
      </c>
      <c r="J22" t="inlineStr">
        <is>
          <t>pre-tax</t>
        </is>
      </c>
      <c r="K22" s="15">
        <f>$C$7</f>
        <v>0.0</v>
      </c>
      <c r="L22" s="14">
        <f>IFERROR(IF($I22="","",IF($J22=$E$62,$I22/(1+$K22),$I22)),"")</f>
        <v>595.04</v>
      </c>
      <c r="M22" s="14">
        <f>IF($L22="","",$L22*(1-$C$8))</f>
        <v>446.28</v>
      </c>
      <c r="N22" s="14">
        <f>IF($L22="","",$L22*(1+$C$8))</f>
        <v>743.8</v>
      </c>
      <c r="O22" s="11" t="n">
        <v>595.04</v>
      </c>
      <c r="P22" s="15">
        <f>IFERROR(IF(OR($O22="",$L22=""),"",$O22/$L22-1),"")</f>
        <v>0.0</v>
      </c>
      <c r="Q22" s="5" t="inlineStr">
        <is>
          <t>Not named</t>
        </is>
      </c>
      <c r="R22" s="12" t="n">
        <v>3</v>
      </c>
      <c r="S22" s="13">
        <f>IFERROR(IF(OR($R22="",$C$11="",$C$12=""),"",$C$11-$R22-$C$12),"")</f>
        <v>15.0</v>
      </c>
      <c r="T22" s="13">
        <f>IF($H22=$C$61,$R22,"")</f>
        <v>3.0</v>
      </c>
      <c r="U22" s="13">
        <f>IF($S22="","",IF($S22&lt;0,1,0))</f>
        <v>0.0</v>
      </c>
      <c r="V22" t="inlineStr">
        <is>
          <t>Example price</t>
        </is>
      </c>
      <c r="W22" s="4" t="inlineStr">
        <is>
          <t>900 W, 95-392 rpm, 0-99 min timer. The listing behind it didn't say whether the price included tax; it's treated as pre-tax. At $595.04 it's below the cheapest 20-qt mixer a US dealer listed in October 2026 ($849): treat it as optimistic.</t>
        </is>
      </c>
    </row>
    <row r="23" ht="34" customHeight="1">
      <c r="A23" s="5" t="inlineStr">
        <is>
          <t>Pending</t>
        </is>
      </c>
      <c r="B23" s="13" t="n">
        <v>8</v>
      </c>
      <c r="C23" s="4" t="inlineStr">
        <is>
          <t>Chocolate tempering machine, 12 kg (26 lb)</t>
        </is>
      </c>
      <c r="D23" t="inlineStr">
        <is>
          <t>Not named</t>
        </is>
      </c>
      <c r="E23" t="inlineStr">
        <is>
          <t>12-kg (26-lb) tank</t>
        </is>
      </c>
      <c r="F23" t="inlineStr">
        <is>
          <t>Chocolate</t>
        </is>
      </c>
      <c r="G23" t="inlineStr">
        <is>
          <t>Production kitchen equipment</t>
        </is>
      </c>
      <c r="H23" t="inlineStr">
        <is>
          <t>Optional</t>
        </is>
      </c>
      <c r="I23" s="14" t="n">
        <v>7400</v>
      </c>
      <c r="J23" t="inlineStr">
        <is>
          <t>pre-tax</t>
        </is>
      </c>
      <c r="K23" s="15">
        <f>$C$7</f>
        <v>0.0</v>
      </c>
      <c r="L23" s="14">
        <f>IFERROR(IF($I23="","",IF($J23=$E$62,$I23/(1+$K23),$I23)),"")</f>
        <v>7400.0</v>
      </c>
      <c r="M23" s="14">
        <f>IF($L23="","",$L23*(1-$C$8))</f>
        <v>5550.0</v>
      </c>
      <c r="N23" s="14">
        <f>IF($L23="","",$L23*(1+$C$8))</f>
        <v>9250.0</v>
      </c>
      <c r="O23" s="11" t="n">
        <v>7400</v>
      </c>
      <c r="P23" s="15">
        <f>IFERROR(IF(OR($O23="",$L23=""),"",$O23/$L23-1),"")</f>
        <v>0.0</v>
      </c>
      <c r="Q23" s="5" t="inlineStr">
        <is>
          <t>Not named</t>
        </is>
      </c>
      <c r="R23" s="12" t="n">
        <v>7</v>
      </c>
      <c r="S23" s="13">
        <f>IFERROR(IF(OR($R23="",$C$11="",$C$12=""),"",$C$11-$R23-$C$12),"")</f>
        <v>11.0</v>
      </c>
      <c r="T23" s="13">
        <f>IF($H23=$C$61,$R23,"")</f>
      </c>
      <c r="U23" s="13">
        <f>IF($S23="","",IF($S23&lt;0,1,0))</f>
        <v>0.0</v>
      </c>
      <c r="V23" t="inlineStr">
        <is>
          <t>Example price</t>
        </is>
      </c>
      <c r="W23" s="4" t="inlineStr">
        <is>
          <t>OPTIONAL depending on the concept: only if you open a bonbon or chocolate line. That's why it stays OUT of the comparable subtotal of the standard package: with it inside, a single machine was 25% of the subtotal.</t>
        </is>
      </c>
    </row>
    <row r="24" ht="34" customHeight="1">
      <c r="A24" s="5" t="inlineStr">
        <is>
          <t>Pending</t>
        </is>
      </c>
      <c r="B24" s="13" t="n">
        <v>9</v>
      </c>
      <c r="C24" s="4" t="inlineStr">
        <is>
          <t>Modular deck oven, 1 to 5 decks</t>
        </is>
      </c>
      <c r="D24"/>
      <c r="E24"/>
      <c r="F24" t="inlineStr">
        <is>
          <t>Heat</t>
        </is>
      </c>
      <c r="G24" t="inlineStr">
        <is>
          <t>Production kitchen equipment</t>
        </is>
      </c>
      <c r="H24" t="inlineStr">
        <is>
          <t>Optional</t>
        </is>
      </c>
      <c r="I24" s="14" t="n">
        <v>12000</v>
      </c>
      <c r="J24" t="inlineStr">
        <is>
          <t>pre-tax</t>
        </is>
      </c>
      <c r="K24" s="15">
        <f>$C$7</f>
        <v>0.0</v>
      </c>
      <c r="L24" s="14">
        <f>IFERROR(IF($I24="","",IF($J24=$E$62,$I24/(1+$K24),$I24)),"")</f>
        <v>12000.0</v>
      </c>
      <c r="M24" s="14">
        <f>IF($L24="","",$L24*(1-$C$8))</f>
        <v>9000.0</v>
      </c>
      <c r="N24" s="14">
        <f>IF($L24="","",$L24*(1+$C$8))</f>
        <v>15000.0</v>
      </c>
      <c r="O24" s="11" t="n">
        <v>12000</v>
      </c>
      <c r="P24" s="15">
        <f>IFERROR(IF(OR($O24="",$L24=""),"",$O24/$L24-1),"")</f>
        <v>0.0</v>
      </c>
      <c r="Q24" s="5" t="inlineStr">
        <is>
          <t>Not named</t>
        </is>
      </c>
      <c r="R24" s="12" t="n">
        <v>12</v>
      </c>
      <c r="S24" s="13">
        <f>IFERROR(IF(OR($R24="",$C$11="",$C$12=""),"",$C$11-$R24-$C$12),"")</f>
        <v>6.0</v>
      </c>
      <c r="T24" s="13">
        <f>IF($H24=$C$61,$R24,"")</f>
      </c>
      <c r="U24" s="13">
        <f>IF($S24="","",IF($S24&lt;0,1,0))</f>
        <v>0.0</v>
      </c>
      <c r="V24" t="inlineStr">
        <is>
          <t>Assumption</t>
        </is>
      </c>
      <c r="W24" s="4" t="inlineStr">
        <is>
          <t>Deck ovens are sold through dealers and by quote: no pastry deck oven came up with a published price. For reference, electric pizza-style deck ovens listed from $6,749 for one deck to $32,376.50 for three (WebstaurantStore, October 2026). The default value is an ASSUMPTION so the cell isn't empty: get three quotes. A deck oven usually goes under a Type I hood.</t>
        </is>
      </c>
    </row>
    <row r="25" ht="34" customHeight="1">
      <c r="A25" s="5" t="inlineStr">
        <is>
          <t>Pending</t>
        </is>
      </c>
      <c r="B25" s="13" t="n">
        <v>10</v>
      </c>
      <c r="C25" s="4" t="inlineStr">
        <is>
          <t>Retarder-proofer (roll-in)</t>
        </is>
      </c>
      <c r="D25" t="inlineStr"/>
      <c r="E25" t="inlineStr"/>
      <c r="F25" t="inlineStr">
        <is>
          <t>Refrigeration</t>
        </is>
      </c>
      <c r="G25" t="inlineStr">
        <is>
          <t>Production kitchen equipment</t>
        </is>
      </c>
      <c r="H25" t="inlineStr">
        <is>
          <t>Critical</t>
        </is>
      </c>
      <c r="I25" s="14" t="n">
        <v>8500</v>
      </c>
      <c r="J25" t="inlineStr">
        <is>
          <t>pre-tax</t>
        </is>
      </c>
      <c r="K25" s="15">
        <f>$C$7</f>
        <v>0.0</v>
      </c>
      <c r="L25" s="14">
        <f>IFERROR(IF($I25="","",IF($J25=$E$62,$I25/(1+$K25),$I25)),"")</f>
        <v>8500.0</v>
      </c>
      <c r="M25" s="14">
        <f>IF($L25="","",$L25*(1-$C$8))</f>
        <v>6375.0</v>
      </c>
      <c r="N25" s="14">
        <f>IF($L25="","",$L25*(1+$C$8))</f>
        <v>10625.0</v>
      </c>
      <c r="O25" s="11" t="n">
        <v>8500</v>
      </c>
      <c r="P25" s="15">
        <f>IFERROR(IF(OR($O25="",$L25=""),"",$O25/$L25-1),"")</f>
        <v>0.0</v>
      </c>
      <c r="Q25" s="5" t="inlineStr">
        <is>
          <t>Pending: get three quotes</t>
        </is>
      </c>
      <c r="R25" s="12" t="n">
        <v>9</v>
      </c>
      <c r="S25" s="13">
        <f>IFERROR(IF(OR($R25="",$C$11="",$C$12=""),"",$C$11-$R25-$C$12),"")</f>
        <v>9.0</v>
      </c>
      <c r="T25" s="13">
        <f>IF($H25=$C$61,$R25,"")</f>
        <v>9.0</v>
      </c>
      <c r="U25" s="13">
        <f>IF($S25="","",IF($S25&lt;0,1,0))</f>
        <v>0.0</v>
      </c>
      <c r="V25" t="inlineStr">
        <is>
          <t>Assumption</t>
        </is>
      </c>
      <c r="W25" s="4" t="inlineStr">
        <is>
          <t>The case's value is an assumption well below what a US dealer listed in October 2026: $27,937.80 for a one-section roll-in Doyon KDPR11 (usually ships in 6 weeks). It's what lets the viennoiserie be baked by 7:00 without starting at 3:00.</t>
        </is>
      </c>
    </row>
    <row r="26" ht="34" customHeight="1">
      <c r="A26" s="5" t="inlineStr">
        <is>
          <t>Pending</t>
        </is>
      </c>
      <c r="B26" s="13" t="n">
        <v>11</v>
      </c>
      <c r="C26" s="4" t="inlineStr">
        <is>
          <t>Stainless steel exhaust duct</t>
        </is>
      </c>
      <c r="D26" t="inlineStr"/>
      <c r="E26" t="inlineStr"/>
      <c r="F26" t="inlineStr">
        <is>
          <t>Building systems</t>
        </is>
      </c>
      <c r="G26" t="inlineStr">
        <is>
          <t>Production kitchen equipment</t>
        </is>
      </c>
      <c r="H26" t="inlineStr">
        <is>
          <t>Critical</t>
        </is>
      </c>
      <c r="I26" s="14" t="n">
        <v>6500</v>
      </c>
      <c r="J26" t="inlineStr">
        <is>
          <t>pre-tax</t>
        </is>
      </c>
      <c r="K26" s="15">
        <f>$C$7</f>
        <v>0.0</v>
      </c>
      <c r="L26" s="14">
        <f>IFERROR(IF($I26="","",IF($J26=$E$62,$I26/(1+$K26),$I26)),"")</f>
        <v>6500.0</v>
      </c>
      <c r="M26" s="14">
        <f>IF($L26="","",$L26*(1-$C$8))</f>
        <v>4875.0</v>
      </c>
      <c r="N26" s="14">
        <f>IF($L26="","",$L26*(1+$C$8))</f>
        <v>8125.0</v>
      </c>
      <c r="O26" s="11" t="n">
        <v>6500</v>
      </c>
      <c r="P26" s="15">
        <f>IFERROR(IF(OR($O26="",$L26=""),"",$O26/$L26-1),"")</f>
        <v>0.0</v>
      </c>
      <c r="Q26" s="5" t="inlineStr">
        <is>
          <t>Pending: get three quotes</t>
        </is>
      </c>
      <c r="R26" s="12" t="n">
        <v>6</v>
      </c>
      <c r="S26" s="13">
        <f>IFERROR(IF(OR($R26="",$C$11="",$C$12=""),"",$C$11-$R26-$C$12),"")</f>
        <v>12.0</v>
      </c>
      <c r="T26" s="13">
        <f>IF($H26=$C$61,$R26,"")</f>
        <v>6.0</v>
      </c>
      <c r="U26" s="13">
        <f>IF($S26="","",IF($S26&lt;0,1,0))</f>
        <v>0.0</v>
      </c>
      <c r="V26" t="inlineStr">
        <is>
          <t>Assumption</t>
        </is>
      </c>
      <c r="W26" s="4" t="inlineStr">
        <is>
          <t>The line that kills the most spaces, and the one you have to settle BEFORE you sign (chapter 6). The hood type follows your ovens: Type I with fire suppression for deck ovens, Type II for enclosed electric convection (IMC 507). One published estimate puts a complete hood at $5,000 to $28,000 installed, plus $3,000 to $12,000 for suppression; the case's value is an assumption.</t>
        </is>
      </c>
    </row>
    <row r="27" ht="34" customHeight="1">
      <c r="A27" s="5" t="inlineStr">
        <is>
          <t>Pending</t>
        </is>
      </c>
      <c r="B27" s="13" t="n">
        <v>12</v>
      </c>
      <c r="C27" s="4" t="inlineStr">
        <is>
          <t>Spiral mixer, 25 kg (55 lb) of dough</t>
        </is>
      </c>
      <c r="D27" t="inlineStr"/>
      <c r="E27" t="inlineStr"/>
      <c r="F27" t="inlineStr">
        <is>
          <t>Mixing</t>
        </is>
      </c>
      <c r="G27" t="inlineStr">
        <is>
          <t>Production kitchen equipment</t>
        </is>
      </c>
      <c r="H27" t="inlineStr">
        <is>
          <t>Critical</t>
        </is>
      </c>
      <c r="I27" s="14" t="n">
        <v>5200</v>
      </c>
      <c r="J27" t="inlineStr">
        <is>
          <t>pre-tax</t>
        </is>
      </c>
      <c r="K27" s="15">
        <f>$C$7</f>
        <v>0.0</v>
      </c>
      <c r="L27" s="14">
        <f>IFERROR(IF($I27="","",IF($J27=$E$62,$I27/(1+$K27),$I27)),"")</f>
        <v>5200.0</v>
      </c>
      <c r="M27" s="14">
        <f>IF($L27="","",$L27*(1-$C$8))</f>
        <v>3900.0</v>
      </c>
      <c r="N27" s="14">
        <f>IF($L27="","",$L27*(1+$C$8))</f>
        <v>6500.0</v>
      </c>
      <c r="O27" s="11" t="n">
        <v>5200</v>
      </c>
      <c r="P27" s="15">
        <f>IFERROR(IF(OR($O27="",$L27=""),"",$O27/$L27-1),"")</f>
        <v>0.0</v>
      </c>
      <c r="Q27" s="5" t="inlineStr">
        <is>
          <t>Pending: get three quotes</t>
        </is>
      </c>
      <c r="R27" s="12" t="n">
        <v>6</v>
      </c>
      <c r="S27" s="13">
        <f>IFERROR(IF(OR($R27="",$C$11="",$C$12=""),"",$C$11-$R27-$C$12),"")</f>
        <v>12.0</v>
      </c>
      <c r="T27" s="13">
        <f>IF($H27=$C$61,$R27,"")</f>
        <v>6.0</v>
      </c>
      <c r="U27" s="13">
        <f>IF($S27="","",IF($S27&lt;0,1,0))</f>
        <v>0.0</v>
      </c>
      <c r="V27" t="inlineStr">
        <is>
          <t>Assumption</t>
        </is>
      </c>
      <c r="W27" s="4" t="inlineStr">
        <is>
          <t>Assumption. For reference, a US dealer listed a 60-qt spiral mixer (88 lb of dough) at $2,249 in October 2026: a figure without your spec, used as an order of magnitude, not as a price.</t>
        </is>
      </c>
    </row>
    <row r="28" ht="34" customHeight="1">
      <c r="A28" s="5" t="inlineStr">
        <is>
          <t>Pending</t>
        </is>
      </c>
      <c r="B28" s="13" t="n">
        <v>13</v>
      </c>
      <c r="C28" s="4" t="inlineStr">
        <is>
          <t>Modular walk-in cooler (8 m³, about 283 cu ft)</t>
        </is>
      </c>
      <c r="D28" t="inlineStr"/>
      <c r="E28" t="inlineStr"/>
      <c r="F28" t="inlineStr">
        <is>
          <t>Refrigeration</t>
        </is>
      </c>
      <c r="G28" t="inlineStr">
        <is>
          <t>Production kitchen equipment</t>
        </is>
      </c>
      <c r="H28" t="inlineStr">
        <is>
          <t>Critical</t>
        </is>
      </c>
      <c r="I28" s="14" t="n">
        <v>4800</v>
      </c>
      <c r="J28" t="inlineStr">
        <is>
          <t>pre-tax</t>
        </is>
      </c>
      <c r="K28" s="15">
        <f>$C$7</f>
        <v>0.0</v>
      </c>
      <c r="L28" s="14">
        <f>IFERROR(IF($I28="","",IF($J28=$E$62,$I28/(1+$K28),$I28)),"")</f>
        <v>4800.0</v>
      </c>
      <c r="M28" s="14">
        <f>IF($L28="","",$L28*(1-$C$8))</f>
        <v>3600.0</v>
      </c>
      <c r="N28" s="14">
        <f>IF($L28="","",$L28*(1+$C$8))</f>
        <v>6000.0</v>
      </c>
      <c r="O28" s="11" t="n">
        <v>4800</v>
      </c>
      <c r="P28" s="15">
        <f>IFERROR(IF(OR($O28="",$L28=""),"",$O28/$L28-1),"")</f>
        <v>0.0</v>
      </c>
      <c r="Q28" s="5" t="inlineStr">
        <is>
          <t>Pending: get three quotes</t>
        </is>
      </c>
      <c r="R28" s="12" t="n">
        <v>7</v>
      </c>
      <c r="S28" s="13">
        <f>IFERROR(IF(OR($R28="",$C$11="",$C$12=""),"",$C$11-$R28-$C$12),"")</f>
        <v>11.0</v>
      </c>
      <c r="T28" s="13">
        <f>IF($H28=$C$61,$R28,"")</f>
        <v>7.0</v>
      </c>
      <c r="U28" s="13">
        <f>IF($S28="","",IF($S28&lt;0,1,0))</f>
        <v>0.0</v>
      </c>
      <c r="V28" t="inlineStr">
        <is>
          <t>Assumption</t>
        </is>
      </c>
      <c r="W28" s="4" t="inlineStr">
        <is>
          <t>It holds TCS items at 41 °F or below (Food Code 3-501.16). A US dealer listed 8 × 10 ft walk-ins at about $10,000 to $17,000 (October 2026).</t>
        </is>
      </c>
    </row>
    <row r="29" ht="34" customHeight="1">
      <c r="A29" s="5" t="inlineStr">
        <is>
          <t>Pending</t>
        </is>
      </c>
      <c r="B29" s="13" t="n">
        <v>14</v>
      </c>
      <c r="C29" s="4" t="inlineStr">
        <is>
          <t>Reach-in freezer, 0 °F</t>
        </is>
      </c>
      <c r="D29" t="inlineStr"/>
      <c r="E29" t="inlineStr"/>
      <c r="F29" t="inlineStr">
        <is>
          <t>Freezing</t>
        </is>
      </c>
      <c r="G29" t="inlineStr">
        <is>
          <t>Production kitchen equipment</t>
        </is>
      </c>
      <c r="H29" t="inlineStr">
        <is>
          <t>Critical</t>
        </is>
      </c>
      <c r="I29" s="14" t="n">
        <v>1900</v>
      </c>
      <c r="J29" t="inlineStr">
        <is>
          <t>pre-tax</t>
        </is>
      </c>
      <c r="K29" s="15">
        <f>$C$7</f>
        <v>0.0</v>
      </c>
      <c r="L29" s="14">
        <f>IFERROR(IF($I29="","",IF($J29=$E$62,$I29/(1+$K29),$I29)),"")</f>
        <v>1900.0</v>
      </c>
      <c r="M29" s="14">
        <f>IF($L29="","",$L29*(1-$C$8))</f>
        <v>1425.0</v>
      </c>
      <c r="N29" s="14">
        <f>IF($L29="","",$L29*(1+$C$8))</f>
        <v>2375.0</v>
      </c>
      <c r="O29" s="11" t="n">
        <v>1900</v>
      </c>
      <c r="P29" s="15">
        <f>IFERROR(IF(OR($O29="",$L29=""),"",$O29/$L29-1),"")</f>
        <v>0.0</v>
      </c>
      <c r="Q29" s="5" t="inlineStr">
        <is>
          <t>Pending: get three quotes</t>
        </is>
      </c>
      <c r="R29" s="12" t="n">
        <v>4</v>
      </c>
      <c r="S29" s="13">
        <f>IFERROR(IF(OR($R29="",$C$11="",$C$12=""),"",$C$11-$R29-$C$12),"")</f>
        <v>14.0</v>
      </c>
      <c r="T29" s="13">
        <f>IF($H29=$C$61,$R29,"")</f>
        <v>4.0</v>
      </c>
      <c r="U29" s="13">
        <f>IF($S29="","",IF($S29&lt;0,1,0))</f>
        <v>0.0</v>
      </c>
      <c r="V29" t="inlineStr">
        <is>
          <t>Assumption</t>
        </is>
      </c>
      <c r="W29" s="4" t="inlineStr">
        <is>
          <t>It KEEPS frozen product frozen; it doesn't freeze it. It doesn't replace the blast chiller.</t>
        </is>
      </c>
    </row>
    <row r="30" ht="34" customHeight="1">
      <c r="A30" s="5" t="inlineStr">
        <is>
          <t>Pending</t>
        </is>
      </c>
      <c r="B30" s="13" t="n">
        <v>15</v>
      </c>
      <c r="C30" s="4" t="inlineStr">
        <is>
          <t>Refrigerated worktable with drawers (6.5 ft)</t>
        </is>
      </c>
      <c r="D30" t="inlineStr"/>
      <c r="E30" t="inlineStr"/>
      <c r="F30" t="inlineStr">
        <is>
          <t>Refrigeration</t>
        </is>
      </c>
      <c r="G30" t="inlineStr">
        <is>
          <t>Production kitchen equipment</t>
        </is>
      </c>
      <c r="H30" t="inlineStr">
        <is>
          <t>Critical</t>
        </is>
      </c>
      <c r="I30" s="14" t="n">
        <v>2400</v>
      </c>
      <c r="J30" t="inlineStr">
        <is>
          <t>pre-tax</t>
        </is>
      </c>
      <c r="K30" s="15">
        <f>$C$7</f>
        <v>0.0</v>
      </c>
      <c r="L30" s="14">
        <f>IFERROR(IF($I30="","",IF($J30=$E$62,$I30/(1+$K30),$I30)),"")</f>
        <v>2400.0</v>
      </c>
      <c r="M30" s="14">
        <f>IF($L30="","",$L30*(1-$C$8))</f>
        <v>1800.0</v>
      </c>
      <c r="N30" s="14">
        <f>IF($L30="","",$L30*(1+$C$8))</f>
        <v>3000.0</v>
      </c>
      <c r="O30" s="11" t="n">
        <v>2400</v>
      </c>
      <c r="P30" s="15">
        <f>IFERROR(IF(OR($O30="",$L30=""),"",$O30/$L30-1),"")</f>
        <v>0.0</v>
      </c>
      <c r="Q30" s="5" t="inlineStr">
        <is>
          <t>Pending: get three quotes</t>
        </is>
      </c>
      <c r="R30" s="12" t="n">
        <v>5</v>
      </c>
      <c r="S30" s="13">
        <f>IFERROR(IF(OR($R30="",$C$11="",$C$12=""),"",$C$11-$R30-$C$12),"")</f>
        <v>13.0</v>
      </c>
      <c r="T30" s="13">
        <f>IF($H30=$C$61,$R30,"")</f>
        <v>5.0</v>
      </c>
      <c r="U30" s="13">
        <f>IF($S30="","",IF($S30&lt;0,1,0))</f>
        <v>0.0</v>
      </c>
      <c r="V30" t="inlineStr">
        <is>
          <t>Assumption</t>
        </is>
      </c>
      <c r="W30" s="4" t="inlineStr"/>
    </row>
    <row r="31" ht="34" customHeight="1">
      <c r="A31" s="5" t="inlineStr">
        <is>
          <t>Pending</t>
        </is>
      </c>
      <c r="B31" s="13" t="n">
        <v>16</v>
      </c>
      <c r="C31" s="4" t="inlineStr">
        <is>
          <t>Stainless steel worktables and shelving (lot)</t>
        </is>
      </c>
      <c r="D31" t="inlineStr"/>
      <c r="E31" t="inlineStr"/>
      <c r="F31" t="inlineStr">
        <is>
          <t>Kitchen fixtures</t>
        </is>
      </c>
      <c r="G31" t="inlineStr">
        <is>
          <t>Production kitchen equipment</t>
        </is>
      </c>
      <c r="H31" t="inlineStr">
        <is>
          <t>Critical</t>
        </is>
      </c>
      <c r="I31" s="14" t="n">
        <v>2800</v>
      </c>
      <c r="J31" t="inlineStr">
        <is>
          <t>pre-tax</t>
        </is>
      </c>
      <c r="K31" s="15">
        <f>$C$7</f>
        <v>0.0</v>
      </c>
      <c r="L31" s="14">
        <f>IFERROR(IF($I31="","",IF($J31=$E$62,$I31/(1+$K31),$I31)),"")</f>
        <v>2800.0</v>
      </c>
      <c r="M31" s="14">
        <f>IF($L31="","",$L31*(1-$C$8))</f>
        <v>2100.0</v>
      </c>
      <c r="N31" s="14">
        <f>IF($L31="","",$L31*(1+$C$8))</f>
        <v>3500.0</v>
      </c>
      <c r="O31" s="11" t="n">
        <v>2800</v>
      </c>
      <c r="P31" s="15">
        <f>IFERROR(IF(OR($O31="",$L31=""),"",$O31/$L31-1),"")</f>
        <v>0.0</v>
      </c>
      <c r="Q31" s="5" t="inlineStr">
        <is>
          <t>Pending: get three quotes</t>
        </is>
      </c>
      <c r="R31" s="12" t="n">
        <v>4</v>
      </c>
      <c r="S31" s="13">
        <f>IFERROR(IF(OR($R31="",$C$11="",$C$12=""),"",$C$11-$R31-$C$12),"")</f>
        <v>14.0</v>
      </c>
      <c r="T31" s="13">
        <f>IF($H31=$C$61,$R31,"")</f>
        <v>4.0</v>
      </c>
      <c r="U31" s="13">
        <f>IF($S31="","",IF($S31&lt;0,1,0))</f>
        <v>0.0</v>
      </c>
      <c r="V31" t="inlineStr">
        <is>
          <t>Assumption</t>
        </is>
      </c>
      <c r="W31" s="4" t="inlineStr"/>
    </row>
    <row r="32" ht="34" customHeight="1">
      <c r="A32" s="5" t="inlineStr">
        <is>
          <t>Pending</t>
        </is>
      </c>
      <c r="B32" s="13" t="n">
        <v>17</v>
      </c>
      <c r="C32" s="4" t="inlineStr">
        <is>
          <t>Three-compartment sink, hand sink and mop sink</t>
        </is>
      </c>
      <c r="D32" t="inlineStr"/>
      <c r="E32" t="inlineStr"/>
      <c r="F32" t="inlineStr">
        <is>
          <t>Building systems</t>
        </is>
      </c>
      <c r="G32" t="inlineStr">
        <is>
          <t>Production kitchen equipment</t>
        </is>
      </c>
      <c r="H32" t="inlineStr">
        <is>
          <t>Critical</t>
        </is>
      </c>
      <c r="I32" s="14" t="n">
        <v>1400</v>
      </c>
      <c r="J32" t="inlineStr">
        <is>
          <t>pre-tax</t>
        </is>
      </c>
      <c r="K32" s="15">
        <f>$C$7</f>
        <v>0.0</v>
      </c>
      <c r="L32" s="14">
        <f>IFERROR(IF($I32="","",IF($J32=$E$62,$I32/(1+$K32),$I32)),"")</f>
        <v>1400.0</v>
      </c>
      <c r="M32" s="14">
        <f>IF($L32="","",$L32*(1-$C$8))</f>
        <v>1050.0</v>
      </c>
      <c r="N32" s="14">
        <f>IF($L32="","",$L32*(1+$C$8))</f>
        <v>1750.0</v>
      </c>
      <c r="O32" s="11" t="n">
        <v>1400</v>
      </c>
      <c r="P32" s="15">
        <f>IFERROR(IF(OR($O32="",$L32=""),"",$O32/$L32-1),"")</f>
        <v>0.0</v>
      </c>
      <c r="Q32" s="5" t="inlineStr">
        <is>
          <t>Pending: get three quotes</t>
        </is>
      </c>
      <c r="R32" s="12" t="n">
        <v>3</v>
      </c>
      <c r="S32" s="13">
        <f>IFERROR(IF(OR($R32="",$C$11="",$C$12=""),"",$C$11-$R32-$C$12),"")</f>
        <v>15.0</v>
      </c>
      <c r="T32" s="13">
        <f>IF($H32=$C$61,$R32,"")</f>
        <v>3.0</v>
      </c>
      <c r="U32" s="13">
        <f>IF($S32="","",IF($S32&lt;0,1,0))</f>
        <v>0.0</v>
      </c>
      <c r="V32" t="inlineStr">
        <is>
          <t>Food Code + assumption</t>
        </is>
      </c>
      <c r="W32" s="4" t="inlineStr">
        <is>
          <t>A requirement, not an extra: a 3-compartment sink (Food Code 4-301.12), handwashing sinks (5-203.11) and a mop sink (5-203.13).</t>
        </is>
      </c>
    </row>
    <row r="33" ht="34" customHeight="1">
      <c r="A33" s="5" t="inlineStr">
        <is>
          <t>Pending</t>
        </is>
      </c>
      <c r="B33" s="13" t="n">
        <v>18</v>
      </c>
      <c r="C33" s="4" t="inlineStr">
        <is>
          <t>Front-counter fixtures (counter, shelving, interior sign)</t>
        </is>
      </c>
      <c r="D33" t="inlineStr"/>
      <c r="E33" t="inlineStr"/>
      <c r="F33" t="inlineStr">
        <is>
          <t>Storefront and display</t>
        </is>
      </c>
      <c r="G33" t="inlineStr">
        <is>
          <t>Storefront and display</t>
        </is>
      </c>
      <c r="H33" t="inlineStr">
        <is>
          <t>Critical</t>
        </is>
      </c>
      <c r="I33" s="14" t="n">
        <v>7500</v>
      </c>
      <c r="J33" t="inlineStr">
        <is>
          <t>pre-tax</t>
        </is>
      </c>
      <c r="K33" s="15">
        <f>$C$7</f>
        <v>0.0</v>
      </c>
      <c r="L33" s="14">
        <f>IFERROR(IF($I33="","",IF($J33=$E$62,$I33/(1+$K33),$I33)),"")</f>
        <v>7500.0</v>
      </c>
      <c r="M33" s="14">
        <f>IF($L33="","",$L33*(1-$C$8))</f>
        <v>5625.0</v>
      </c>
      <c r="N33" s="14">
        <f>IF($L33="","",$L33*(1+$C$8))</f>
        <v>9375.0</v>
      </c>
      <c r="O33" s="11" t="n">
        <v>7500</v>
      </c>
      <c r="P33" s="15">
        <f>IFERROR(IF(OR($O33="",$L33=""),"",$O33/$L33-1),"")</f>
        <v>0.0</v>
      </c>
      <c r="Q33" s="5" t="inlineStr">
        <is>
          <t>Pending: get three quotes</t>
        </is>
      </c>
      <c r="R33" s="12" t="n">
        <v>8</v>
      </c>
      <c r="S33" s="13">
        <f>IFERROR(IF(OR($R33="",$C$11="",$C$12=""),"",$C$11-$R33-$C$12),"")</f>
        <v>10.0</v>
      </c>
      <c r="T33" s="13">
        <f>IF($H33=$C$61,$R33,"")</f>
        <v>8.0</v>
      </c>
      <c r="U33" s="13">
        <f>IF($S33="","",IF($S33&lt;0,1,0))</f>
        <v>0.0</v>
      </c>
      <c r="V33" t="inlineStr">
        <is>
          <t>Assumption</t>
        </is>
      </c>
      <c r="W33" s="4" t="inlineStr"/>
    </row>
    <row r="34" ht="34" customHeight="1">
      <c r="A34" s="5" t="inlineStr">
        <is>
          <t>Pending</t>
        </is>
      </c>
      <c r="B34" s="13" t="n">
        <v>19</v>
      </c>
      <c r="C34" s="4" t="inlineStr">
        <is>
          <t>POS terminal and software</t>
        </is>
      </c>
      <c r="D34" t="inlineStr"/>
      <c r="E34" t="inlineStr"/>
      <c r="F34" t="inlineStr">
        <is>
          <t>Storefront and display</t>
        </is>
      </c>
      <c r="G34" t="inlineStr">
        <is>
          <t>Storefront and display</t>
        </is>
      </c>
      <c r="H34" t="inlineStr">
        <is>
          <t>Critical</t>
        </is>
      </c>
      <c r="I34" s="14" t="n">
        <v>1300</v>
      </c>
      <c r="J34" t="inlineStr">
        <is>
          <t>pre-tax</t>
        </is>
      </c>
      <c r="K34" s="15">
        <f>$C$7</f>
        <v>0.0</v>
      </c>
      <c r="L34" s="14">
        <f>IFERROR(IF($I34="","",IF($J34=$E$62,$I34/(1+$K34),$I34)),"")</f>
        <v>1300.0</v>
      </c>
      <c r="M34" s="14">
        <f>IF($L34="","",$L34*(1-$C$8))</f>
        <v>975.0</v>
      </c>
      <c r="N34" s="14">
        <f>IF($L34="","",$L34*(1+$C$8))</f>
        <v>1625.0</v>
      </c>
      <c r="O34" s="11" t="n">
        <v>1300</v>
      </c>
      <c r="P34" s="15">
        <f>IFERROR(IF(OR($O34="",$L34=""),"",$O34/$L34-1),"")</f>
        <v>0.0</v>
      </c>
      <c r="Q34" s="5" t="inlineStr">
        <is>
          <t>Pending: get three quotes</t>
        </is>
      </c>
      <c r="R34" s="12" t="n">
        <v>3</v>
      </c>
      <c r="S34" s="13">
        <f>IFERROR(IF(OR($R34="",$C$11="",$C$12=""),"",$C$11-$R34-$C$12),"")</f>
        <v>15.0</v>
      </c>
      <c r="T34" s="13">
        <f>IF($H34=$C$61,$R34,"")</f>
        <v>3.0</v>
      </c>
      <c r="U34" s="13">
        <f>IF($S34="","",IF($S34&lt;0,1,0))</f>
        <v>0.0</v>
      </c>
      <c r="V34" t="inlineStr">
        <is>
          <t>Assumption</t>
        </is>
      </c>
      <c r="W34" s="4" t="inlineStr">
        <is>
          <t>The POS is what rings up to-go and for-here sales separately: if you ever add seating, what's eaten at your tables is generally taxable and pastries to go generally aren't (chapter 19 of the guide). Set the keys up from day one.</t>
        </is>
      </c>
    </row>
    <row r="35" ht="34" customHeight="1">
      <c r="A35" s="5" t="inlineStr">
        <is>
          <t>Pending</t>
        </is>
      </c>
      <c r="B35" s="13" t="n">
        <v>20</v>
      </c>
      <c r="C35" s="4" t="inlineStr">
        <is>
          <t>Ambient display case</t>
        </is>
      </c>
      <c r="D35" t="inlineStr"/>
      <c r="E35" t="inlineStr"/>
      <c r="F35" t="inlineStr">
        <is>
          <t>Storefront and display</t>
        </is>
      </c>
      <c r="G35" t="inlineStr">
        <is>
          <t>Storefront and display</t>
        </is>
      </c>
      <c r="H35" t="inlineStr">
        <is>
          <t>Critical</t>
        </is>
      </c>
      <c r="I35" s="14" t="n">
        <v>1600</v>
      </c>
      <c r="J35" t="inlineStr">
        <is>
          <t>pre-tax</t>
        </is>
      </c>
      <c r="K35" s="15">
        <f>$C$7</f>
        <v>0.0</v>
      </c>
      <c r="L35" s="14">
        <f>IFERROR(IF($I35="","",IF($J35=$E$62,$I35/(1+$K35),$I35)),"")</f>
        <v>1600.0</v>
      </c>
      <c r="M35" s="14">
        <f>IF($L35="","",$L35*(1-$C$8))</f>
        <v>1200.0</v>
      </c>
      <c r="N35" s="14">
        <f>IF($L35="","",$L35*(1+$C$8))</f>
        <v>2000.0</v>
      </c>
      <c r="O35" s="11" t="n">
        <v>1600</v>
      </c>
      <c r="P35" s="15">
        <f>IFERROR(IF(OR($O35="",$L35=""),"",$O35/$L35-1),"")</f>
        <v>0.0</v>
      </c>
      <c r="Q35" s="5" t="inlineStr">
        <is>
          <t>Pending: get three quotes</t>
        </is>
      </c>
      <c r="R35" s="12" t="n">
        <v>6</v>
      </c>
      <c r="S35" s="13">
        <f>IFERROR(IF(OR($R35="",$C$11="",$C$12=""),"",$C$11-$R35-$C$12),"")</f>
        <v>12.0</v>
      </c>
      <c r="T35" s="13">
        <f>IF($H35=$C$61,$R35,"")</f>
        <v>6.0</v>
      </c>
      <c r="U35" s="13">
        <f>IF($S35="","",IF($S35&lt;0,1,0))</f>
        <v>0.0</v>
      </c>
      <c r="V35" t="inlineStr">
        <is>
          <t>Assumption</t>
        </is>
      </c>
      <c r="W35" s="4" t="inlineStr">
        <is>
          <t>For what's shelf-stable at room temperature: palmiers, Sachertorte, huesos de santo, turrón and the breads. How many feet of this case you need, and how many of the refrigerated one, is decided by the "Egg &amp; TCS Decision" sheet in opening-menu-and-recipe-costing.xlsx, not by taste.</t>
        </is>
      </c>
    </row>
    <row r="36" ht="34" customHeight="1">
      <c r="A36" s="5" t="inlineStr">
        <is>
          <t>Pending</t>
        </is>
      </c>
      <c r="B36" s="13" t="n">
        <v>21</v>
      </c>
      <c r="C36" s="4" t="inlineStr">
        <is>
          <t>Vacuum packer, sealer and smallwares (lot)</t>
        </is>
      </c>
      <c r="D36" t="inlineStr"/>
      <c r="E36" t="inlineStr"/>
      <c r="F36" t="inlineStr">
        <is>
          <t>Kitchen fixtures</t>
        </is>
      </c>
      <c r="G36" t="inlineStr">
        <is>
          <t>Production kitchen equipment</t>
        </is>
      </c>
      <c r="H36" t="inlineStr">
        <is>
          <t>Critical</t>
        </is>
      </c>
      <c r="I36" s="14" t="n">
        <v>3200</v>
      </c>
      <c r="J36" t="inlineStr">
        <is>
          <t>pre-tax</t>
        </is>
      </c>
      <c r="K36" s="15">
        <f>$C$7</f>
        <v>0.0</v>
      </c>
      <c r="L36" s="14">
        <f>IFERROR(IF($I36="","",IF($J36=$E$62,$I36/(1+$K36),$I36)),"")</f>
        <v>3200.0</v>
      </c>
      <c r="M36" s="14">
        <f>IF($L36="","",$L36*(1-$C$8))</f>
        <v>2400.0</v>
      </c>
      <c r="N36" s="14">
        <f>IF($L36="","",$L36*(1+$C$8))</f>
        <v>4000.0</v>
      </c>
      <c r="O36" s="11" t="n">
        <v>3200</v>
      </c>
      <c r="P36" s="15">
        <f>IFERROR(IF(OR($O36="",$L36=""),"",$O36/$L36-1),"")</f>
        <v>0.0</v>
      </c>
      <c r="Q36" s="5" t="inlineStr">
        <is>
          <t>Pending: get three quotes</t>
        </is>
      </c>
      <c r="R36" s="12" t="n">
        <v>4</v>
      </c>
      <c r="S36" s="13">
        <f>IFERROR(IF(OR($R36="",$C$11="",$C$12=""),"",$C$11-$R36-$C$12),"")</f>
        <v>14.0</v>
      </c>
      <c r="T36" s="13">
        <f>IF($H36=$C$61,$R36,"")</f>
        <v>4.0</v>
      </c>
      <c r="U36" s="13">
        <f>IF($S36="","",IF($S36&lt;0,1,0))</f>
        <v>0.0</v>
      </c>
      <c r="V36" t="inlineStr">
        <is>
          <t>Assumption</t>
        </is>
      </c>
      <c r="W36" s="4" t="inlineStr"/>
    </row>
    <row r="37" ht="34" customHeight="1">
      <c r="A37" s="5" t="inlineStr">
        <is>
          <t>Pending</t>
        </is>
      </c>
      <c r="B37" s="13" t="n">
        <v>22</v>
      </c>
      <c r="C37" s="4" t="inlineStr">
        <is>
          <t>Probe thermometers, scales and temperature data loggers</t>
        </is>
      </c>
      <c r="D37" t="inlineStr"/>
      <c r="E37" t="inlineStr"/>
      <c r="F37" t="inlineStr">
        <is>
          <t>Monitoring</t>
        </is>
      </c>
      <c r="G37" t="inlineStr">
        <is>
          <t>Production kitchen equipment</t>
        </is>
      </c>
      <c r="H37" t="inlineStr">
        <is>
          <t>Critical</t>
        </is>
      </c>
      <c r="I37" s="14" t="n">
        <v>900</v>
      </c>
      <c r="J37" t="inlineStr">
        <is>
          <t>pre-tax</t>
        </is>
      </c>
      <c r="K37" s="15">
        <f>$C$7</f>
        <v>0.0</v>
      </c>
      <c r="L37" s="14">
        <f>IFERROR(IF($I37="","",IF($J37=$E$62,$I37/(1+$K37),$I37)),"")</f>
        <v>900.0</v>
      </c>
      <c r="M37" s="14">
        <f>IF($L37="","",$L37*(1-$C$8))</f>
        <v>675.0</v>
      </c>
      <c r="N37" s="14">
        <f>IF($L37="","",$L37*(1+$C$8))</f>
        <v>1125.0</v>
      </c>
      <c r="O37" s="11" t="n">
        <v>900</v>
      </c>
      <c r="P37" s="15">
        <f>IFERROR(IF(OR($O37="",$L37=""),"",$O37/$L37-1),"")</f>
        <v>0.0</v>
      </c>
      <c r="Q37" s="5" t="inlineStr">
        <is>
          <t>Pending: get three quotes</t>
        </is>
      </c>
      <c r="R37" s="12" t="n">
        <v>2</v>
      </c>
      <c r="S37" s="13">
        <f>IFERROR(IF(OR($R37="",$C$11="",$C$12=""),"",$C$11-$R37-$C$12),"")</f>
        <v>16.0</v>
      </c>
      <c r="T37" s="13">
        <f>IF($H37=$C$61,$R37,"")</f>
        <v>2.0</v>
      </c>
      <c r="U37" s="13">
        <f>IF($S37="","",IF($S37&lt;0,1,0))</f>
        <v>0.0</v>
      </c>
      <c r="V37" t="inlineStr">
        <is>
          <t>Assumption</t>
        </is>
      </c>
      <c r="W37" s="4" t="inlineStr">
        <is>
          <t>Without a probe you can't prove your cold holding and cooling temperatures (41 °F, Food Code 3-501.16 and 3-501.14). It's the cheapest purchase with the most consequences.</t>
        </is>
      </c>
    </row>
    <row r="38"/>
    <row r="39">
      <c r="A39" s="3" t="inlineStr">
        <is>
          <t>Summary of this sheet</t>
        </is>
      </c>
    </row>
    <row r="40" ht="24" customHeight="1">
      <c r="A40" s="9" t="inlineStr">
        <is>
          <t>Checklist lines</t>
        </is>
      </c>
      <c r="I40" s="16">
        <f>COUNTIF($C$16:$C$37,"&lt;&gt;")</f>
        <v>22.0</v>
      </c>
      <c r="K40" s="7" t="inlineStr">
        <is>
          <t>The 22 lines of the standard package for a pastry shop with its own production kitchen.</t>
        </is>
      </c>
    </row>
    <row r="41" ht="24" customHeight="1">
      <c r="A41" s="9" t="inlineStr">
        <is>
          <t>Pre-tax reference total, critical lines only ($)</t>
        </is>
      </c>
      <c r="I41" s="17">
        <f>SUMPRODUCT(--($H$16:$H$37=$C$61),$L$16:$L$37)</f>
        <v>66980.33834710743</v>
      </c>
      <c r="K41" s="7" t="inlineStr">
        <is>
          <t>What it costs to buy what you can't open without, at reference price and before sales tax.</t>
        </is>
      </c>
    </row>
    <row r="42" ht="24" customHeight="1">
      <c r="A42" s="9" t="inlineStr">
        <is>
          <t>Pre-tax reference total, all lines ($)</t>
        </is>
      </c>
      <c r="I42" s="17">
        <f>SUM($L$16:$L$37)</f>
        <v>86500.73834710744</v>
      </c>
      <c r="K42" s="7" t="inlineStr">
        <is>
          <t>With the chocolate tempering machine and the deck oven included, which are optional depending on the concept.</t>
        </is>
      </c>
    </row>
    <row r="43" ht="24" customHeight="1">
      <c r="A43" s="9" t="inlineStr">
        <is>
          <t>Pre-tax negotiated total, critical lines only ($)</t>
        </is>
      </c>
      <c r="I43" s="17">
        <f>SUMPRODUCT(--($H$16:$H$37=$C$61),$O$16:$O$37)</f>
        <v>66980.34</v>
      </c>
      <c r="K43" s="7" t="inlineStr">
        <is>
          <t>The same with YOUR prices: it's the number you take to startup-cost-calculator.xlsx.</t>
        </is>
      </c>
    </row>
    <row r="44" ht="24" customHeight="1">
      <c r="A44" s="9" t="inlineStr">
        <is>
          <t>Pre-tax negotiated total, all lines ($)</t>
        </is>
      </c>
      <c r="I44" s="17">
        <f>SUM($O$16:$O$37)</f>
        <v>86500.73999999999</v>
      </c>
      <c r="K44" s="7" t="inlineStr">
        <is>
          <t>The pre-tax total of your whole equipment purchase.</t>
        </is>
      </c>
    </row>
    <row r="45" ht="24" customHeight="1">
      <c r="A45" s="9" t="inlineStr">
        <is>
          <t>What you gained (or lost) negotiating ($)</t>
        </is>
      </c>
      <c r="I45" s="17">
        <f>IFERROR($I$44-$I$42,"")</f>
        <v>0.001652892548008822</v>
      </c>
      <c r="K45" s="7" t="inlineStr">
        <is>
          <t>Negative = you bought below the reference price. It's the only place in the pack that measures what asking for three quotes is worth.</t>
        </is>
      </c>
    </row>
    <row r="46" ht="24" customHeight="1">
      <c r="A46" s="9" t="inlineStr">
        <is>
          <t>Sales tax on the negotiated price ($)</t>
        </is>
      </c>
      <c r="I46" s="17">
        <f>SUMPRODUCT($O$16:$O$37,$K$16:$K$37)</f>
        <v>0.0</v>
      </c>
      <c r="K46" s="7" t="inlineStr">
        <is>
          <t>In the US it's a cost: you pay it with the machine and it doesn't come back. It reads 0 while the rate at the top is 0%.</t>
        </is>
      </c>
    </row>
    <row r="47" ht="24" customHeight="1">
      <c r="A47" s="9" t="inlineStr">
        <is>
          <t>Cash out with sales tax ($)</t>
        </is>
      </c>
      <c r="I47" s="17">
        <f>IFERROR($I$44+$I$46,"")</f>
        <v>86500.73999999999</v>
      </c>
      <c r="K47" s="7" t="inlineStr">
        <is>
          <t>What leaves your bank account, before freight and installation.</t>
        </is>
      </c>
    </row>
    <row r="48" ht="24" customHeight="1">
      <c r="A48" s="9" t="inlineStr">
        <is>
          <t>Equipment startup cost from startup-cost-calculator.xlsx ($, pre-tax)</t>
        </is>
      </c>
      <c r="I48" s="17">
        <f>$C$9</f>
        <v>66980.34</v>
      </c>
      <c r="K48" s="7" t="inlineStr">
        <is>
          <t>Copy of the green cell at the top, which you copy from startup-cost-calculator.xlsx.</t>
        </is>
      </c>
    </row>
    <row r="49" ht="24" customHeight="1">
      <c r="A49" s="9" t="inlineStr">
        <is>
          <t>Deviation from startup-cost-calculator.xlsx ($)</t>
        </is>
      </c>
      <c r="I49" s="17">
        <f>IFERROR(IF($C$9="","",$I$43-$C$9),"")</f>
        <v>0.0</v>
      </c>
      <c r="K49" s="7" t="inlineStr">
        <is>
          <t>Positive = you're buying more critical equipment than the plan budgeted. Optional lines aren't included: see the row below for that number.</t>
        </is>
      </c>
    </row>
    <row r="50" ht="24" customHeight="1">
      <c r="A50" s="9" t="inlineStr">
        <is>
          <t>Deviation from startup-cost-calculator.xlsx (%)</t>
        </is>
      </c>
      <c r="I50" s="18">
        <f>IFERROR(IF($C$9="","",$I$43/$C$9-1),"")</f>
        <v>0.0</v>
      </c>
      <c r="K50" s="7" t="inlineStr">
        <is>
          <t>It turns red if it goes past the threshold you set at the top.</t>
        </is>
      </c>
    </row>
    <row r="51" ht="24" customHeight="1">
      <c r="A51" s="9" t="inlineStr">
        <is>
          <t>Difference from optional lines ($)</t>
        </is>
      </c>
      <c r="I51" s="17">
        <f>IFERROR($I$44-$I$43,"")</f>
        <v>19520.399999999994</v>
      </c>
      <c r="K51" s="7" t="inlineStr">
        <is>
          <t>What the tempering machine, the deck oven and the sliding doors cost if you decide to take them: it is NOT a mismatch, it's your choice to expand the concept.</t>
        </is>
      </c>
    </row>
    <row r="52" ht="24" customHeight="1">
      <c r="A52" s="9" t="inlineStr">
        <is>
          <t>Deviation verdict</t>
        </is>
      </c>
      <c r="I52" s="19" t="str">
        <f>IF($I$50="","",IF(OR($I$50&gt;$C$10,$I$50&lt;-$C$10),"Outside the threshold: redo startup-cost-calculator.xlsx with these prices","In line with startup-cost-calculator.xlsx"))</f>
        <v>In line with startup-cost-calculator.xlsx</v>
      </c>
      <c r="K52" s="7" t="inlineStr">
        <is>
          <t>It compares critical lines only against critical lines. The financial plan in 3-year-financial-plan.xlsx is built on the startup costs in startup-cost-calculator.xlsx: if this goes off, you redo both, you don't change this number.</t>
        </is>
      </c>
    </row>
    <row r="53" ht="24" customHeight="1">
      <c r="A53" s="9" t="inlineStr">
        <is>
          <t>Critical delivery lead time (weeks)</t>
        </is>
      </c>
      <c r="I53" s="16">
        <f>IFERROR(MAX($T$16:$T$37),"")</f>
        <v>9.0</v>
      </c>
      <c r="K53" s="7" t="inlineStr">
        <is>
          <t>The longest lead time among the CRITICAL lines. Optional lines don't count: if the deck oven takes three months and you don't need it to open, it can't move your date.</t>
        </is>
      </c>
    </row>
    <row r="54" ht="24" customHeight="1">
      <c r="A54" s="9" t="inlineStr">
        <is>
          <t>Line that sets the critical lead time</t>
        </is>
      </c>
      <c r="I54" s="19" t="str">
        <f>IFERROR(INDEX($C$16:$C$37,MATCH($I$53,$T$16:$T$37,0)),"")</f>
        <v>Retarder-proofer (roll-in)</v>
      </c>
      <c r="K54" s="7" t="inlineStr">
        <is>
          <t>This is the first one to order, even if it's the last one you install.</t>
        </is>
      </c>
    </row>
    <row r="55" ht="24" customHeight="1">
      <c r="A55" s="9" t="inlineStr">
        <is>
          <t>Critical lead time margin (weeks)</t>
        </is>
      </c>
      <c r="I55" s="16">
        <f>IFERROR(IF(OR($C$11="",$I$53=""),"",$C$11-$I$53-$C$12),"")</f>
        <v>9.0</v>
      </c>
      <c r="K55" s="7" t="inlineStr">
        <is>
          <t>Weeks to spare between ordering the longest-lead equipment today and opening with the safety margin included.</t>
        </is>
      </c>
    </row>
    <row r="56" ht="24" customHeight="1">
      <c r="A56" s="9" t="inlineStr">
        <is>
          <t>Lead time verdict</t>
        </is>
      </c>
      <c r="I56" s="19" t="str">
        <f>IF($I$55="","",IF($I$55&lt;0,"The longest-lead equipment moves your opening: order it today or push the date back","You're on time, but order the longest-lead equipment first"))</f>
        <v>You're on time, but order the longest-lead equipment first</v>
      </c>
      <c r="K56" s="7" t="inlineStr">
        <is>
          <t>When a pastry shop can't open because a machine is missing, the missing one is almost always the last one ordered.</t>
        </is>
      </c>
    </row>
    <row r="57" ht="24" customHeight="1">
      <c r="A57" s="9" t="inlineStr">
        <is>
          <t>Lines whose lead time runs past opening</t>
        </is>
      </c>
      <c r="I57" s="16">
        <f>IFERROR(SUM($U$16:$U$37),"")</f>
        <v>0.0</v>
      </c>
      <c r="K57" s="7" t="inlineStr">
        <is>
          <t>It counts optional lines too: if you order it, it has to arrive.</t>
        </is>
      </c>
    </row>
    <row r="58"/>
    <row r="59">
      <c r="A59" s="3" t="inlineStr">
        <is>
          <t>Lists (source of the dropdowns)</t>
        </is>
      </c>
    </row>
    <row r="60" ht="20" customHeight="1">
      <c r="A60" s="8" t="inlineStr">
        <is>
          <t>Status</t>
        </is>
      </c>
      <c r="C60" s="8" t="inlineStr">
        <is>
          <t>Priority</t>
        </is>
      </c>
      <c r="E60" s="8" t="inlineStr">
        <is>
          <t>Price basis</t>
        </is>
      </c>
      <c r="G60" s="8" t="inlineStr">
        <is>
          <t>Fixed texts</t>
        </is>
      </c>
    </row>
    <row r="61">
      <c r="A61" t="inlineStr">
        <is>
          <t>Pending</t>
        </is>
      </c>
      <c r="C61" t="inlineStr">
        <is>
          <t>Critical</t>
        </is>
      </c>
      <c r="E61" t="inlineStr">
        <is>
          <t>pre-tax</t>
        </is>
      </c>
      <c r="G61" t="inlineStr">
        <is>
          <t>Pending: get three quotes</t>
        </is>
      </c>
    </row>
    <row r="62">
      <c r="A62" t="inlineStr">
        <is>
          <t>Quoted</t>
        </is>
      </c>
      <c r="C62" t="inlineStr">
        <is>
          <t>Optional</t>
        </is>
      </c>
      <c r="E62" t="inlineStr">
        <is>
          <t>incl. sales tax</t>
        </is>
      </c>
    </row>
    <row r="63">
      <c r="A63" t="inlineStr">
        <is>
          <t>Ordered</t>
        </is>
      </c>
      <c r="E63" t="inlineStr">
        <is>
          <t>not stated</t>
        </is>
      </c>
    </row>
    <row r="64">
      <c r="A64" t="inlineStr">
        <is>
          <t>Received</t>
        </is>
      </c>
    </row>
    <row r="65">
      <c r="A65" t="inlineStr">
        <is>
          <t>Installed</t>
        </is>
      </c>
    </row>
    <row r="66">
      <c r="A66" t="inlineStr">
        <is>
          <t>N/A</t>
        </is>
      </c>
    </row>
    <row r="67"/>
    <row r="68" ht="42" customHeight="1">
      <c r="A68" s="7" t="inlineStr">
        <is>
          <t>CRITICAL means "you don't open without it", and it's the list that sets the critical lead time. OPTIONAL means "depends on the concept": the chocolate tempering machine and the modular deck oven, plus the display case's sliding-door accessory. There's no middle level on purpose: in an opening, "recommended" always ends up getting bought.</t>
        </is>
      </c>
    </row>
    <row r="69" ht="28" customHeight="1">
      <c r="A69" s="7" t="inlineStr">
        <is>
          <t>Delivery lead times are ASSUMPTIONS. Replace them with the one each dealer commits to in writing in the quote, which is where an opening is really negotiated. For reference, one US dealer listed a one-section roll-in retarder-proofer as usually shipping in 6 weeks.</t>
        </is>
      </c>
    </row>
    <row r="70" ht="28" customHeight="1">
      <c r="A70" s="7" t="inlineStr">
        <is>
          <t>The refrigerated display case carries a 30% promotional discount off list: a dated price that can expire. The 20-qt mixer's listing didn't say whether its price included tax, and it's treated as pre-tax: that's exactly why the "Price basis" column exists. Freight, installation and voltage go in your quotes.</t>
        </is>
      </c>
    </row>
    <row r="71" ht="24" customHeight="1">
      <c r="A71" s="7" t="inlineStr">
        <is>
          <t>If you already have the HACCP Food Safety Kit Pro, none of its logs replaces this sheet: the kit runs the kitchen once it's built, not the purchase.</t>
        </is>
      </c>
    </row>
    <row r="72"/>
    <row r="73">
      <c r="A73" s="2" t="inlineStr">
        <is>
          <t>Designed by John Guerrero — chef and restaurant consultant since 2010, in the kitchen since age 17.</t>
        </is>
      </c>
    </row>
    <row r="74">
      <c r="A74"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55">
    <mergeCell ref="A50:H50"/>
    <mergeCell ref="A9:B9"/>
    <mergeCell ref="K45:W45"/>
    <mergeCell ref="K53:W53"/>
    <mergeCell ref="A3:W3"/>
    <mergeCell ref="K41:W41"/>
    <mergeCell ref="A68:W68"/>
    <mergeCell ref="A45:H45"/>
    <mergeCell ref="A53:H53"/>
    <mergeCell ref="A40:H40"/>
    <mergeCell ref="K48:W48"/>
    <mergeCell ref="K46:W46"/>
    <mergeCell ref="K44:W44"/>
    <mergeCell ref="K52:W52"/>
    <mergeCell ref="A7:B7"/>
    <mergeCell ref="K56:W56"/>
    <mergeCell ref="A47:H47"/>
    <mergeCell ref="A49:H49"/>
    <mergeCell ref="A70:W70"/>
    <mergeCell ref="A55:H55"/>
    <mergeCell ref="D9:W9"/>
    <mergeCell ref="A46:H46"/>
    <mergeCell ref="A48:H48"/>
    <mergeCell ref="D8:W8"/>
    <mergeCell ref="K43:W43"/>
    <mergeCell ref="D11:W11"/>
    <mergeCell ref="K40:W40"/>
    <mergeCell ref="A8:B8"/>
    <mergeCell ref="K51:W51"/>
    <mergeCell ref="A44:H44"/>
    <mergeCell ref="K42:W42"/>
    <mergeCell ref="A52:H52"/>
    <mergeCell ref="K54:W54"/>
    <mergeCell ref="A42:H42"/>
    <mergeCell ref="A54:H54"/>
    <mergeCell ref="D6:W6"/>
    <mergeCell ref="A43:H43"/>
    <mergeCell ref="A51:H51"/>
    <mergeCell ref="K55:W55"/>
    <mergeCell ref="A6:B6"/>
    <mergeCell ref="A57:H57"/>
    <mergeCell ref="K50:W50"/>
    <mergeCell ref="K47:W47"/>
    <mergeCell ref="D7:W7"/>
    <mergeCell ref="K49:W49"/>
    <mergeCell ref="A71:W71"/>
    <mergeCell ref="A11:B11"/>
    <mergeCell ref="D12:W12"/>
    <mergeCell ref="K57:W57"/>
    <mergeCell ref="A69:W69"/>
    <mergeCell ref="D10:W10"/>
    <mergeCell ref="A12:B12"/>
    <mergeCell ref="A56:H56"/>
    <mergeCell ref="A10:B10"/>
    <mergeCell ref="A41:H41"/>
  </mergeCells>
  <conditionalFormatting sqref="A16:A37">
    <cfRule type="cellIs" priority="1" operator="equal" dxfId="0" stopIfTrue="1">
      <formula>"Completed"</formula>
    </cfRule>
    <cfRule type="cellIs" priority="2" operator="equal" dxfId="0" stopIfTrue="1">
      <formula>"Installed"</formula>
    </cfRule>
    <cfRule type="cellIs" priority="3" operator="equal" dxfId="1" stopIfTrue="1">
      <formula>"Received"</formula>
    </cfRule>
    <cfRule type="cellIs" priority="4" operator="equal" dxfId="1" stopIfTrue="1">
      <formula>"Under way"</formula>
    </cfRule>
    <cfRule type="cellIs" priority="5" operator="equal" dxfId="1" stopIfTrue="1">
      <formula>"In progress"</formula>
    </cfRule>
    <cfRule type="cellIs" priority="6" operator="equal" dxfId="1" stopIfTrue="1">
      <formula>"Ordered"</formula>
    </cfRule>
    <cfRule type="cellIs" priority="7" operator="equal" dxfId="2" stopIfTrue="1">
      <formula>"Pending"</formula>
    </cfRule>
  </conditionalFormatting>
  <conditionalFormatting sqref="S16:S37">
    <cfRule type="expression" priority="8" dxfId="3" stopIfTrue="1">
      <formula>=AND(ISNUMBER($S16),$S16&lt;0)</formula>
    </cfRule>
  </conditionalFormatting>
  <conditionalFormatting sqref="P16:P37">
    <cfRule type="expression" priority="9" dxfId="3" stopIfTrue="1">
      <formula>=AND(ISNUMBER($P16),$P16&gt;$C$10)</formula>
    </cfRule>
  </conditionalFormatting>
  <conditionalFormatting sqref="I55">
    <cfRule type="expression" priority="10" dxfId="3" stopIfTrue="1">
      <formula>=AND(ISNUMBER($I$55),$I$55&lt;0)</formula>
    </cfRule>
  </conditionalFormatting>
  <conditionalFormatting sqref="I50">
    <cfRule type="expression" priority="11" dxfId="3" stopIfTrue="1">
      <formula>=AND(ISNUMBER($I$50),OR($I$50&gt;$C$10,$I$50&lt;-$C$10))</formula>
    </cfRule>
  </conditionalFormatting>
  <dataValidations count="6">
    <dataValidation sqref="A16 A17 A18 A19 A20 A21 A22 A23 A24 A25 A26 A27 A28 A29 A30 A31 A32 A33 A34 A35 A36 A37" showDropDown="0" showInputMessage="0" showErrorMessage="1" allowBlank="0" errorTitle="Invalid status" error="Choose a status from the sheet's own list: Pending, Quoted, Ordered, Received, Installed or N/A." type="list">
      <formula1>$A$61:$A$66</formula1>
    </dataValidation>
    <dataValidation sqref="O16 O17 O18 O19 O20 O21 O22 O23 O24 O25 O26 O27 O28 O29 O30 O31 O32 O33 O34 O35 O36 O37" showDropDown="0" showInputMessage="0" showErrorMessage="1" allowBlank="1" errorTitle="Negotiated price" error="Enter the price BEFORE sales tax, in dollars." type="decimal" operator="greaterThanOrEqual">
      <formula1>0</formula1>
    </dataValidation>
    <dataValidation sqref="R16 R17 R18 R19 R20 R21 R22 R23 R24 R25 R26 R27 R28 R29 R30 R31 R32 R33 R34 R35 R36 R37" showDropDown="0" showInputMessage="0" showErrorMessage="1" allowBlank="1" errorTitle="Lead time" error="Enter the lead time in WEEKS (0 to 104)." type="decimal" operator="between">
      <formula1>0</formula1>
      <formula2>104</formula2>
    </dataValidation>
    <dataValidation sqref="C7 C8 C10" showDropDown="0" showInputMessage="1" showErrorMessage="1" allowBlank="1" errorTitle="Percentage" error="Enter a percentage between 0 and 1 (0.20 = 20%)." promptTitle="Percentage" prompt="Enter it as a decimal: 0.20 = 20%." type="decimal" operator="between">
      <formula1>0</formula1>
      <formula2>1.0</formula2>
    </dataValidation>
    <dataValidation sqref="C9" showDropDown="0" showInputMessage="0" showErrorMessage="1" allowBlank="1" errorTitle="Startup costs (calculator)" error="Enter the pre-tax total, in dollars." type="decimal" operator="greaterThanOrEqual">
      <formula1>0</formula1>
    </dataValidation>
    <dataValidation sqref="C11 C12" showDropDown="0" showInputMessage="0" showErrorMessage="1" allowBlank="1" errorTitle="Weeks" error="Enter a number of weeks (0 to 104)." type="decimal" operator="between">
      <formula1>0</formula1>
      <formula2>104</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56"/>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16" customWidth="1" min="3" max="3"/>
    <col width="11"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6" customWidth="1" min="12" max="12"/>
    <col width="62" customWidth="1" min="13" max="13"/>
  </cols>
  <sheetData>
    <row r="1" ht="30" customHeight="1">
      <c r="A1" s="1" t="inlineStr">
        <is>
          <t>What Equipment Each Format Variant Needs</t>
        </is>
      </c>
    </row>
    <row r="2">
      <c r="A2" t="inlineStr">
        <is>
          <t>AI Chef Pro · aichef.pro — How to Open a Pastry Shop</t>
        </is>
      </c>
    </row>
    <row r="3" ht="28" customHeight="1">
      <c r="A3" s="7" t="inlineStr">
        <is>
          <t>The full package is the mid-size pastry shop with its own production kitchen and a counter (the case). The other six variants read as deviations from it: which lines you don't need and which ones you're missing.</t>
        </is>
      </c>
    </row>
    <row r="4"/>
    <row r="5">
      <c r="A5" s="3" t="inlineStr">
        <is>
          <t>Choose the variant you're opening</t>
        </is>
      </c>
    </row>
    <row r="6">
      <c r="A6" s="9" t="inlineStr">
        <is>
          <t>Variant you're opening</t>
        </is>
      </c>
      <c r="C6" s="5" t="inlineStr">
        <is>
          <t>Mid-size pastry shop (the case)</t>
        </is>
      </c>
      <c r="E6" s="7" t="inlineStr">
        <is>
          <t>Dropdown from the list further down. It comes set to the base case because that's the modeled case; change it to yours.</t>
        </is>
      </c>
    </row>
    <row r="7" ht="24" customHeight="1">
      <c r="A7" s="9" t="inlineStr">
        <is>
          <t>Equipment lines you need</t>
        </is>
      </c>
      <c r="C7" s="16">
        <f>IFERROR(INDEX($E$38:$K$38,MATCH($C$6,$E$15:$K$15,0)),"")</f>
        <v>19.0</v>
      </c>
      <c r="E7" s="7" t="inlineStr">
        <is>
          <t>Only the ones marked "Yes". The "Depends" lines aren't counted: those are the ones you have to decide.</t>
        </is>
      </c>
    </row>
    <row r="8" ht="24" customHeight="1">
      <c r="A8" s="9" t="inlineStr">
        <is>
          <t>Reference investment for that variant ($, pre-tax)</t>
        </is>
      </c>
      <c r="C8" s="17">
        <f>IFERROR(INDEX($E$39:$K$39,MATCH($C$6,$E$15:$K$15,0)),"")</f>
        <v>66980.33834710743</v>
      </c>
      <c r="E8" s="7" t="inlineStr">
        <is>
          <t>Sum of the pre-tax reference prices of the lines marked "Yes". It doesn't include build-out, permits or working capital: that's startup-cost-calculator.xlsx.</t>
        </is>
      </c>
    </row>
    <row r="9" ht="24" customHeight="1">
      <c r="A9" s="9" t="inlineStr">
        <is>
          <t>Reference investment for the base case ($, pre-tax)</t>
        </is>
      </c>
      <c r="C9" s="17">
        <f>$G$39</f>
        <v>66980.33834710743</v>
      </c>
      <c r="E9" s="7" t="inlineStr">
        <is>
          <t>The mid-size pastry shop with a counter: the modeled case.</t>
        </is>
      </c>
    </row>
    <row r="10" ht="24" customHeight="1">
      <c r="A10" s="9" t="inlineStr">
        <is>
          <t>Difference from the base case ($)</t>
        </is>
      </c>
      <c r="C10" s="17">
        <f>IFERROR(IF($C$8="","",$C$8-$C$9),"")</f>
        <v>0.0</v>
      </c>
      <c r="E10" s="7" t="inlineStr">
        <is>
          <t>Negative = your variant needs less equipment than the base case.</t>
        </is>
      </c>
    </row>
    <row r="11" ht="24" customHeight="1">
      <c r="A11" s="9" t="inlineStr">
        <is>
          <t>Base-case lines you don't need</t>
        </is>
      </c>
      <c r="C11" s="16">
        <f>SUMPRODUCT(--($L$16:$L$37&lt;&gt;$C$43),--($G$16:$G$37=$C$43))</f>
        <v>0.0</v>
      </c>
      <c r="E11" s="7" t="inlineStr">
        <is>
          <t>They're in the full package and your format doesn't call for them.</t>
        </is>
      </c>
    </row>
    <row r="12" ht="24" customHeight="1">
      <c r="A12" s="9" t="inlineStr">
        <is>
          <t>Lines you're missing compared with the base case</t>
        </is>
      </c>
      <c r="C12" s="16">
        <f>SUMPRODUCT(--($L$16:$L$37=$C$43),--($G$16:$G$37&lt;&gt;$C$43))</f>
        <v>0.0</v>
      </c>
      <c r="E12" s="7" t="inlineStr">
        <is>
          <t>Your format calls for them and they're not in the base case.</t>
        </is>
      </c>
    </row>
    <row r="13"/>
    <row r="14">
      <c r="A14" s="3" t="inlineStr">
        <is>
          <t>What each variant needs, line by line</t>
        </is>
      </c>
    </row>
    <row r="15" ht="52" customHeight="1">
      <c r="A15" s="8" t="inlineStr">
        <is>
          <t>No.</t>
        </is>
      </c>
      <c r="B15" s="8" t="inlineStr">
        <is>
          <t>Line item</t>
        </is>
      </c>
      <c r="C15" s="8" t="inlineStr">
        <is>
          <t>Pre-tax reference price ($)</t>
        </is>
      </c>
      <c r="D15" s="8" t="inlineStr">
        <is>
          <t>Priority</t>
        </is>
      </c>
      <c r="E15" s="8" t="inlineStr">
        <is>
          <t>Home-based bakery under cottage food</t>
        </is>
      </c>
      <c r="F15" s="8" t="inlineStr">
        <is>
          <t>Closed-door production kitchen</t>
        </is>
      </c>
      <c r="G15" s="8" t="inlineStr">
        <is>
          <t>Mid-size pastry shop (the case)</t>
        </is>
      </c>
      <c r="H15" s="8" t="inlineStr">
        <is>
          <t>Bakery-café</t>
        </is>
      </c>
      <c r="I15" s="8" t="inlineStr">
        <is>
          <t>Small bake-off shop</t>
        </is>
      </c>
      <c r="J15" s="8" t="inlineStr">
        <is>
          <t>Wholesale production kitchen for restaurants and cafés</t>
        </is>
      </c>
      <c r="K15" s="8" t="inlineStr">
        <is>
          <t>Ventless pastry shop (no Type I hood)</t>
        </is>
      </c>
      <c r="L15" s="8" t="inlineStr">
        <is>
          <t>Do you need it?</t>
        </is>
      </c>
      <c r="M15" s="8" t="inlineStr">
        <is>
          <t>Why</t>
        </is>
      </c>
    </row>
    <row r="16" ht="30" customHeight="1">
      <c r="A16" s="13" t="n">
        <v>1</v>
      </c>
      <c r="B16" s="4" t="inlineStr">
        <is>
          <t>Convection oven, 6 trays</t>
        </is>
      </c>
      <c r="C16" s="14">
        <f>'Equipment'!$L$16</f>
        <v>2772.0</v>
      </c>
      <c r="D16" t="str">
        <f>'Equipment'!$H$16</f>
        <v>Critical</v>
      </c>
      <c r="E16" s="20" t="inlineStr">
        <is>
          <t>No</t>
        </is>
      </c>
      <c r="F16" s="20" t="inlineStr">
        <is>
          <t>Yes</t>
        </is>
      </c>
      <c r="G16" s="20" t="inlineStr">
        <is>
          <t>Yes</t>
        </is>
      </c>
      <c r="H16" s="20" t="inlineStr">
        <is>
          <t>Yes</t>
        </is>
      </c>
      <c r="I16" s="20" t="inlineStr">
        <is>
          <t>Yes</t>
        </is>
      </c>
      <c r="J16" s="20" t="inlineStr">
        <is>
          <t>Yes</t>
        </is>
      </c>
      <c r="K16" s="20" t="inlineStr">
        <is>
          <t>Yes</t>
        </is>
      </c>
      <c r="L16" s="21" t="str">
        <f>IFERROR(INDEX($E16:$K16,MATCH($C$6,$E$15:$K$15,0)),"")</f>
        <v>Yes</v>
      </c>
      <c r="M16" s="4" t="inlineStr">
        <is>
          <t>Example price from a European dealer's listing, before tax. Check that the model you buy matches your voltage and phase.</t>
        </is>
      </c>
    </row>
    <row r="17" ht="30" customHeight="1">
      <c r="A17" s="13" t="n">
        <v>2</v>
      </c>
      <c r="B17" s="4" t="inlineStr">
        <is>
          <t>Convection oven, 4 trays</t>
        </is>
      </c>
      <c r="C17" s="14">
        <f>'Equipment'!$L$17</f>
        <v>2077.198347107438</v>
      </c>
      <c r="D17" t="str">
        <f>'Equipment'!$H$17</f>
        <v>Critical</v>
      </c>
      <c r="E17" s="20" t="inlineStr">
        <is>
          <t>No</t>
        </is>
      </c>
      <c r="F17" s="20" t="inlineStr">
        <is>
          <t>Depends</t>
        </is>
      </c>
      <c r="G17" s="20" t="inlineStr">
        <is>
          <t>Yes</t>
        </is>
      </c>
      <c r="H17" s="20" t="inlineStr">
        <is>
          <t>Yes</t>
        </is>
      </c>
      <c r="I17" s="20" t="inlineStr">
        <is>
          <t>Depends</t>
        </is>
      </c>
      <c r="J17" s="20" t="inlineStr">
        <is>
          <t>Yes</t>
        </is>
      </c>
      <c r="K17" s="20" t="inlineStr">
        <is>
          <t>Yes</t>
        </is>
      </c>
      <c r="L17" s="21" t="str">
        <f>IFERROR(INDEX($E17:$K17,MATCH($C$6,$E$15:$K$15,0)),"")</f>
        <v>Yes</v>
      </c>
      <c r="M17" s="4" t="inlineStr">
        <is>
          <t>Second oven: without it you can't bake at two different temperatures at once.</t>
        </is>
      </c>
    </row>
    <row r="18" ht="30" customHeight="1">
      <c r="A18" s="13" t="n">
        <v>3</v>
      </c>
      <c r="B18" s="4" t="inlineStr">
        <is>
          <t>Refrigerated bakery display case, curved glass, about 5 ft</t>
        </is>
      </c>
      <c r="C18" s="14">
        <f>'Equipment'!$L$18</f>
        <v>2284.1</v>
      </c>
      <c r="D18" t="str">
        <f>'Equipment'!$H$18</f>
        <v>Critical</v>
      </c>
      <c r="E18" s="20" t="inlineStr">
        <is>
          <t>No</t>
        </is>
      </c>
      <c r="F18" s="20" t="inlineStr">
        <is>
          <t>No</t>
        </is>
      </c>
      <c r="G18" s="20" t="inlineStr">
        <is>
          <t>Yes</t>
        </is>
      </c>
      <c r="H18" s="20" t="inlineStr">
        <is>
          <t>Yes</t>
        </is>
      </c>
      <c r="I18" s="20" t="inlineStr">
        <is>
          <t>Yes</t>
        </is>
      </c>
      <c r="J18" s="20" t="inlineStr">
        <is>
          <t>No</t>
        </is>
      </c>
      <c r="K18" s="20" t="inlineStr">
        <is>
          <t>Yes</t>
        </is>
      </c>
      <c r="L18" s="21" t="str">
        <f>IFERROR(INDEX($E18:$K18,MATCH($C$6,$E$15:$K$15,0)),"")</f>
        <v>Yes</v>
      </c>
      <c r="M18" s="4" t="inlineStr">
        <is>
          <t>59 × 35 × 51 in, 452 L (about 16 cu ft), about 10 sq ft of display, R-290 refrigerant. The price carries a 30% promotional discount off list: a DATED price that can expire, so check it again before you budget. One case, counted once.</t>
        </is>
      </c>
    </row>
    <row r="19" ht="30" customHeight="1">
      <c r="A19" s="13" t="n">
        <v>4</v>
      </c>
      <c r="B19" s="4" t="inlineStr">
        <is>
          <t>Rear sliding doors for the display case (accessory)</t>
        </is>
      </c>
      <c r="C19" s="14">
        <f>'Equipment'!$L$19</f>
        <v>120.4</v>
      </c>
      <c r="D19" t="str">
        <f>'Equipment'!$H$19</f>
        <v>Optional</v>
      </c>
      <c r="E19" s="20" t="inlineStr">
        <is>
          <t>No</t>
        </is>
      </c>
      <c r="F19" s="20" t="inlineStr">
        <is>
          <t>No</t>
        </is>
      </c>
      <c r="G19" s="20" t="inlineStr">
        <is>
          <t>Depends</t>
        </is>
      </c>
      <c r="H19" s="20" t="inlineStr">
        <is>
          <t>Depends</t>
        </is>
      </c>
      <c r="I19" s="20" t="inlineStr">
        <is>
          <t>Depends</t>
        </is>
      </c>
      <c r="J19" s="20" t="inlineStr">
        <is>
          <t>No</t>
        </is>
      </c>
      <c r="K19" s="20" t="inlineStr">
        <is>
          <t>Depends</t>
        </is>
      </c>
      <c r="L19" s="21" t="str">
        <f>IFERROR(INDEX($E19:$K19,MATCH($C$6,$E$15:$K$15,0)),"")</f>
        <v>Depends</v>
      </c>
      <c r="M19" s="4" t="inlineStr">
        <is>
          <t>Accessory: it stays out of the comparable subtotal of the standard package.</t>
        </is>
      </c>
    </row>
    <row r="20" ht="30" customHeight="1">
      <c r="A20" s="13" t="n">
        <v>5</v>
      </c>
      <c r="B20" s="4" t="inlineStr">
        <is>
          <t>Blast chiller, 4 trays</t>
        </is>
      </c>
      <c r="C20" s="14">
        <f>'Equipment'!$L$20</f>
        <v>10037.0</v>
      </c>
      <c r="D20" t="str">
        <f>'Equipment'!$H$20</f>
        <v>Critical</v>
      </c>
      <c r="E20" s="20" t="inlineStr">
        <is>
          <t>No</t>
        </is>
      </c>
      <c r="F20" s="20" t="inlineStr">
        <is>
          <t>Yes</t>
        </is>
      </c>
      <c r="G20" s="20" t="inlineStr">
        <is>
          <t>Yes</t>
        </is>
      </c>
      <c r="H20" s="20" t="inlineStr">
        <is>
          <t>Yes</t>
        </is>
      </c>
      <c r="I20" s="20" t="inlineStr">
        <is>
          <t>No</t>
        </is>
      </c>
      <c r="J20" s="20" t="inlineStr">
        <is>
          <t>Yes</t>
        </is>
      </c>
      <c r="K20" s="20" t="inlineStr">
        <is>
          <t>Yes</t>
        </is>
      </c>
      <c r="L20" s="21" t="str">
        <f>IFERROR(INDEX($E20:$K20,MATCH($C$6,$E$15:$K$15,0)),"")</f>
        <v>Yes</v>
      </c>
      <c r="M20" s="4" t="inlineStr">
        <is>
          <t>The most expensive purchase and the most argued about. Cycles from above 185 °F down to -40 °F. A chest freezer is NOT a blast chiller: cooling cooked TCS food on time (135 °F to 70 °F in 2 hours, to 41 °F within 6 hours in total, Food Code 3-501.14) takes real blast capacity. For reference, a US dealer listed the Irinox MultiFresh Next S at $21,729 in October 2026.</t>
        </is>
      </c>
    </row>
    <row r="21" ht="30" customHeight="1">
      <c r="A21" s="13" t="n">
        <v>6</v>
      </c>
      <c r="B21" s="4" t="inlineStr">
        <is>
          <t>Dough sheeter, up to 16 in wide</t>
        </is>
      </c>
      <c r="C21" s="14">
        <f>'Equipment'!$L$21</f>
        <v>1215.0</v>
      </c>
      <c r="D21" t="str">
        <f>'Equipment'!$H$21</f>
        <v>Critical</v>
      </c>
      <c r="E21" s="20" t="inlineStr">
        <is>
          <t>No</t>
        </is>
      </c>
      <c r="F21" s="20" t="inlineStr">
        <is>
          <t>Yes</t>
        </is>
      </c>
      <c r="G21" s="20" t="inlineStr">
        <is>
          <t>Yes</t>
        </is>
      </c>
      <c r="H21" s="20" t="inlineStr">
        <is>
          <t>Yes</t>
        </is>
      </c>
      <c r="I21" s="20" t="inlineStr">
        <is>
          <t>No</t>
        </is>
      </c>
      <c r="J21" s="20" t="inlineStr">
        <is>
          <t>Yes</t>
        </is>
      </c>
      <c r="K21" s="20" t="inlineStr">
        <is>
          <t>Yes</t>
        </is>
      </c>
      <c r="L21" s="21" t="str">
        <f>IFERROR(INDEX($E21:$K21,MATCH($C$6,$E$15:$K$15,0)),"")</f>
        <v>Yes</v>
      </c>
      <c r="M21" s="4" t="inlineStr">
        <is>
          <t>Example price, before tax: $1,215.00. We found no comparable US listing for dough sheeters in October 2026: this line goes straight to quotes.</t>
        </is>
      </c>
    </row>
    <row r="22" ht="30" customHeight="1">
      <c r="A22" s="13" t="n">
        <v>7</v>
      </c>
      <c r="B22" s="4" t="inlineStr">
        <is>
          <t>Planetary mixer, 20 L (about 21 qt)</t>
        </is>
      </c>
      <c r="C22" s="14">
        <f>'Equipment'!$L$22</f>
        <v>595.04</v>
      </c>
      <c r="D22" t="str">
        <f>'Equipment'!$H$22</f>
        <v>Critical</v>
      </c>
      <c r="E22" s="20" t="inlineStr">
        <is>
          <t>Depends</t>
        </is>
      </c>
      <c r="F22" s="20" t="inlineStr">
        <is>
          <t>Yes</t>
        </is>
      </c>
      <c r="G22" s="20" t="inlineStr">
        <is>
          <t>Yes</t>
        </is>
      </c>
      <c r="H22" s="20" t="inlineStr">
        <is>
          <t>Yes</t>
        </is>
      </c>
      <c r="I22" s="20" t="inlineStr">
        <is>
          <t>No</t>
        </is>
      </c>
      <c r="J22" s="20" t="inlineStr">
        <is>
          <t>Yes</t>
        </is>
      </c>
      <c r="K22" s="20" t="inlineStr">
        <is>
          <t>Yes</t>
        </is>
      </c>
      <c r="L22" s="21" t="str">
        <f>IFERROR(INDEX($E22:$K22,MATCH($C$6,$E$15:$K$15,0)),"")</f>
        <v>Yes</v>
      </c>
      <c r="M22" s="4" t="inlineStr">
        <is>
          <t>900 W, 95-392 rpm, 0-99 min timer. The listing behind it didn't say whether the price included tax; it's treated as pre-tax. At $595.04 it's below the cheapest 20-qt mixer a US dealer listed in October 2026 ($849): treat it as optimistic.</t>
        </is>
      </c>
    </row>
    <row r="23" ht="30" customHeight="1">
      <c r="A23" s="13" t="n">
        <v>8</v>
      </c>
      <c r="B23" s="4" t="inlineStr">
        <is>
          <t>Chocolate tempering machine, 12 kg (26 lb)</t>
        </is>
      </c>
      <c r="C23" s="14">
        <f>'Equipment'!$L$23</f>
        <v>7400.0</v>
      </c>
      <c r="D23" t="str">
        <f>'Equipment'!$H$23</f>
        <v>Optional</v>
      </c>
      <c r="E23" s="20" t="inlineStr">
        <is>
          <t>No</t>
        </is>
      </c>
      <c r="F23" s="20" t="inlineStr">
        <is>
          <t>Depends</t>
        </is>
      </c>
      <c r="G23" s="20" t="inlineStr">
        <is>
          <t>Depends</t>
        </is>
      </c>
      <c r="H23" s="20" t="inlineStr">
        <is>
          <t>Depends</t>
        </is>
      </c>
      <c r="I23" s="20" t="inlineStr">
        <is>
          <t>No</t>
        </is>
      </c>
      <c r="J23" s="20" t="inlineStr">
        <is>
          <t>Depends</t>
        </is>
      </c>
      <c r="K23" s="20" t="inlineStr">
        <is>
          <t>Depends</t>
        </is>
      </c>
      <c r="L23" s="21" t="str">
        <f>IFERROR(INDEX($E23:$K23,MATCH($C$6,$E$15:$K$15,0)),"")</f>
        <v>Depends</v>
      </c>
      <c r="M23" s="4" t="inlineStr">
        <is>
          <t>OPTIONAL depending on the concept: only if you open a bonbon or chocolate line. That's why it stays OUT of the comparable subtotal of the standard package: with it inside, a single machine was 25% of the subtotal.</t>
        </is>
      </c>
    </row>
    <row r="24" ht="30" customHeight="1">
      <c r="A24" s="13" t="n">
        <v>9</v>
      </c>
      <c r="B24" s="4" t="inlineStr">
        <is>
          <t>Modular deck oven, 1 to 5 decks</t>
        </is>
      </c>
      <c r="C24" s="14">
        <f>'Equipment'!$L$24</f>
        <v>12000.0</v>
      </c>
      <c r="D24" t="str">
        <f>'Equipment'!$H$24</f>
        <v>Optional</v>
      </c>
      <c r="E24" s="20" t="inlineStr">
        <is>
          <t>No</t>
        </is>
      </c>
      <c r="F24" s="20" t="inlineStr">
        <is>
          <t>Depends</t>
        </is>
      </c>
      <c r="G24" s="20" t="inlineStr">
        <is>
          <t>Depends</t>
        </is>
      </c>
      <c r="H24" s="20" t="inlineStr">
        <is>
          <t>Depends</t>
        </is>
      </c>
      <c r="I24" s="20" t="inlineStr">
        <is>
          <t>No</t>
        </is>
      </c>
      <c r="J24" s="20" t="inlineStr">
        <is>
          <t>Yes</t>
        </is>
      </c>
      <c r="K24" s="20" t="inlineStr">
        <is>
          <t>Depends</t>
        </is>
      </c>
      <c r="L24" s="21" t="str">
        <f>IFERROR(INDEX($E24:$K24,MATCH($C$6,$E$15:$K$15,0)),"")</f>
        <v>Depends</v>
      </c>
      <c r="M24" s="4" t="inlineStr">
        <is>
          <t>Deck ovens are sold through dealers and by quote: no pastry deck oven came up with a published price. For reference, electric pizza-style deck ovens listed from $6,749 for one deck to $32,376.50 for three (WebstaurantStore, October 2026). The default value is an ASSUMPTION so the cell isn't empty: get three quotes. A deck oven usually goes under a Type I hood.</t>
        </is>
      </c>
    </row>
    <row r="25" ht="30" customHeight="1">
      <c r="A25" s="13" t="n">
        <v>10</v>
      </c>
      <c r="B25" s="4" t="inlineStr">
        <is>
          <t>Retarder-proofer (roll-in)</t>
        </is>
      </c>
      <c r="C25" s="14">
        <f>'Equipment'!$L$25</f>
        <v>8500.0</v>
      </c>
      <c r="D25" t="str">
        <f>'Equipment'!$H$25</f>
        <v>Critical</v>
      </c>
      <c r="E25" s="20" t="inlineStr">
        <is>
          <t>No</t>
        </is>
      </c>
      <c r="F25" s="20" t="inlineStr">
        <is>
          <t>Yes</t>
        </is>
      </c>
      <c r="G25" s="20" t="inlineStr">
        <is>
          <t>Yes</t>
        </is>
      </c>
      <c r="H25" s="20" t="inlineStr">
        <is>
          <t>Yes</t>
        </is>
      </c>
      <c r="I25" s="20" t="inlineStr">
        <is>
          <t>No</t>
        </is>
      </c>
      <c r="J25" s="20" t="inlineStr">
        <is>
          <t>Yes</t>
        </is>
      </c>
      <c r="K25" s="20" t="inlineStr">
        <is>
          <t>Yes</t>
        </is>
      </c>
      <c r="L25" s="21" t="str">
        <f>IFERROR(INDEX($E25:$K25,MATCH($C$6,$E$15:$K$15,0)),"")</f>
        <v>Yes</v>
      </c>
      <c r="M25" s="4" t="inlineStr">
        <is>
          <t>The case's value is an assumption well below what a US dealer listed in October 2026: $27,937.80 for a one-section roll-in Doyon KDPR11 (usually ships in 6 weeks). It's what lets the viennoiserie be baked by 7:00 without starting at 3:00.</t>
        </is>
      </c>
    </row>
    <row r="26" ht="30" customHeight="1">
      <c r="A26" s="13" t="n">
        <v>11</v>
      </c>
      <c r="B26" s="4" t="inlineStr">
        <is>
          <t>Stainless steel exhaust duct</t>
        </is>
      </c>
      <c r="C26" s="14">
        <f>'Equipment'!$L$26</f>
        <v>6500.0</v>
      </c>
      <c r="D26" t="str">
        <f>'Equipment'!$H$26</f>
        <v>Critical</v>
      </c>
      <c r="E26" s="20" t="inlineStr">
        <is>
          <t>No</t>
        </is>
      </c>
      <c r="F26" s="20" t="inlineStr">
        <is>
          <t>Yes</t>
        </is>
      </c>
      <c r="G26" s="20" t="inlineStr">
        <is>
          <t>Yes</t>
        </is>
      </c>
      <c r="H26" s="20" t="inlineStr">
        <is>
          <t>Yes</t>
        </is>
      </c>
      <c r="I26" s="20" t="inlineStr">
        <is>
          <t>Depends</t>
        </is>
      </c>
      <c r="J26" s="20" t="inlineStr">
        <is>
          <t>Yes</t>
        </is>
      </c>
      <c r="K26" s="20" t="inlineStr">
        <is>
          <t>No</t>
        </is>
      </c>
      <c r="L26" s="21" t="str">
        <f>IFERROR(INDEX($E26:$K26,MATCH($C$6,$E$15:$K$15,0)),"")</f>
        <v>Yes</v>
      </c>
      <c r="M26" s="4" t="inlineStr">
        <is>
          <t>The line that kills the most spaces, and the one you have to settle BEFORE you sign (chapter 6). The hood type follows your ovens: Type I with fire suppression for deck ovens, Type II for enclosed electric convection (IMC 507). One published estimate puts a complete hood at $5,000 to $28,000 installed, plus $3,000 to $12,000 for suppression; the case's value is an assumption.</t>
        </is>
      </c>
    </row>
    <row r="27" ht="30" customHeight="1">
      <c r="A27" s="13" t="n">
        <v>12</v>
      </c>
      <c r="B27" s="4" t="inlineStr">
        <is>
          <t>Spiral mixer, 25 kg (55 lb) of dough</t>
        </is>
      </c>
      <c r="C27" s="14">
        <f>'Equipment'!$L$27</f>
        <v>5200.0</v>
      </c>
      <c r="D27" t="str">
        <f>'Equipment'!$H$27</f>
        <v>Critical</v>
      </c>
      <c r="E27" s="20" t="inlineStr">
        <is>
          <t>No</t>
        </is>
      </c>
      <c r="F27" s="20" t="inlineStr">
        <is>
          <t>Yes</t>
        </is>
      </c>
      <c r="G27" s="20" t="inlineStr">
        <is>
          <t>Yes</t>
        </is>
      </c>
      <c r="H27" s="20" t="inlineStr">
        <is>
          <t>Yes</t>
        </is>
      </c>
      <c r="I27" s="20" t="inlineStr">
        <is>
          <t>No</t>
        </is>
      </c>
      <c r="J27" s="20" t="inlineStr">
        <is>
          <t>Yes</t>
        </is>
      </c>
      <c r="K27" s="20" t="inlineStr">
        <is>
          <t>Yes</t>
        </is>
      </c>
      <c r="L27" s="21" t="str">
        <f>IFERROR(INDEX($E27:$K27,MATCH($C$6,$E$15:$K$15,0)),"")</f>
        <v>Yes</v>
      </c>
      <c r="M27" s="4" t="inlineStr">
        <is>
          <t>Assumption. For reference, a US dealer listed a 60-qt spiral mixer (88 lb of dough) at $2,249 in October 2026: a figure without your spec, used as an order of magnitude, not as a price.</t>
        </is>
      </c>
    </row>
    <row r="28" ht="30" customHeight="1">
      <c r="A28" s="13" t="n">
        <v>13</v>
      </c>
      <c r="B28" s="4" t="inlineStr">
        <is>
          <t>Modular walk-in cooler (8 m³, about 283 cu ft)</t>
        </is>
      </c>
      <c r="C28" s="14">
        <f>'Equipment'!$L$28</f>
        <v>4800.0</v>
      </c>
      <c r="D28" t="str">
        <f>'Equipment'!$H$28</f>
        <v>Critical</v>
      </c>
      <c r="E28" s="20" t="inlineStr">
        <is>
          <t>No</t>
        </is>
      </c>
      <c r="F28" s="20" t="inlineStr">
        <is>
          <t>Yes</t>
        </is>
      </c>
      <c r="G28" s="20" t="inlineStr">
        <is>
          <t>Yes</t>
        </is>
      </c>
      <c r="H28" s="20" t="inlineStr">
        <is>
          <t>Yes</t>
        </is>
      </c>
      <c r="I28" s="20" t="inlineStr">
        <is>
          <t>Depends</t>
        </is>
      </c>
      <c r="J28" s="20" t="inlineStr">
        <is>
          <t>Yes</t>
        </is>
      </c>
      <c r="K28" s="20" t="inlineStr">
        <is>
          <t>Yes</t>
        </is>
      </c>
      <c r="L28" s="21" t="str">
        <f>IFERROR(INDEX($E28:$K28,MATCH($C$6,$E$15:$K$15,0)),"")</f>
        <v>Yes</v>
      </c>
      <c r="M28" s="4" t="inlineStr">
        <is>
          <t>It holds TCS items at 41 °F or below (Food Code 3-501.16). A US dealer listed 8 × 10 ft walk-ins at about $10,000 to $17,000 (October 2026).</t>
        </is>
      </c>
    </row>
    <row r="29" ht="30" customHeight="1">
      <c r="A29" s="13" t="n">
        <v>14</v>
      </c>
      <c r="B29" s="4" t="inlineStr">
        <is>
          <t>Reach-in freezer, 0 °F</t>
        </is>
      </c>
      <c r="C29" s="14">
        <f>'Equipment'!$L$29</f>
        <v>1900.0</v>
      </c>
      <c r="D29" t="str">
        <f>'Equipment'!$H$29</f>
        <v>Critical</v>
      </c>
      <c r="E29" s="20" t="inlineStr">
        <is>
          <t>Depends</t>
        </is>
      </c>
      <c r="F29" s="20" t="inlineStr">
        <is>
          <t>Yes</t>
        </is>
      </c>
      <c r="G29" s="20" t="inlineStr">
        <is>
          <t>Yes</t>
        </is>
      </c>
      <c r="H29" s="20" t="inlineStr">
        <is>
          <t>Yes</t>
        </is>
      </c>
      <c r="I29" s="20" t="inlineStr">
        <is>
          <t>Yes</t>
        </is>
      </c>
      <c r="J29" s="20" t="inlineStr">
        <is>
          <t>Yes</t>
        </is>
      </c>
      <c r="K29" s="20" t="inlineStr">
        <is>
          <t>Yes</t>
        </is>
      </c>
      <c r="L29" s="21" t="str">
        <f>IFERROR(INDEX($E29:$K29,MATCH($C$6,$E$15:$K$15,0)),"")</f>
        <v>Yes</v>
      </c>
      <c r="M29" s="4" t="inlineStr">
        <is>
          <t>It KEEPS frozen product frozen; it doesn't freeze it. It doesn't replace the blast chiller.</t>
        </is>
      </c>
    </row>
    <row r="30" ht="30" customHeight="1">
      <c r="A30" s="13" t="n">
        <v>15</v>
      </c>
      <c r="B30" s="4" t="inlineStr">
        <is>
          <t>Refrigerated worktable with drawers (6.5 ft)</t>
        </is>
      </c>
      <c r="C30" s="14">
        <f>'Equipment'!$L$30</f>
        <v>2400.0</v>
      </c>
      <c r="D30" t="str">
        <f>'Equipment'!$H$30</f>
        <v>Critical</v>
      </c>
      <c r="E30" s="20" t="inlineStr">
        <is>
          <t>No</t>
        </is>
      </c>
      <c r="F30" s="20" t="inlineStr">
        <is>
          <t>Yes</t>
        </is>
      </c>
      <c r="G30" s="20" t="inlineStr">
        <is>
          <t>Yes</t>
        </is>
      </c>
      <c r="H30" s="20" t="inlineStr">
        <is>
          <t>Yes</t>
        </is>
      </c>
      <c r="I30" s="20" t="inlineStr">
        <is>
          <t>No</t>
        </is>
      </c>
      <c r="J30" s="20" t="inlineStr">
        <is>
          <t>Yes</t>
        </is>
      </c>
      <c r="K30" s="20" t="inlineStr">
        <is>
          <t>Yes</t>
        </is>
      </c>
      <c r="L30" s="21" t="str">
        <f>IFERROR(INDEX($E30:$K30,MATCH($C$6,$E$15:$K$15,0)),"")</f>
        <v>Yes</v>
      </c>
      <c r="M30" s="4" t="inlineStr"/>
    </row>
    <row r="31" ht="30" customHeight="1">
      <c r="A31" s="13" t="n">
        <v>16</v>
      </c>
      <c r="B31" s="4" t="inlineStr">
        <is>
          <t>Stainless steel worktables and shelving (lot)</t>
        </is>
      </c>
      <c r="C31" s="14">
        <f>'Equipment'!$L$31</f>
        <v>2800.0</v>
      </c>
      <c r="D31" t="str">
        <f>'Equipment'!$H$31</f>
        <v>Critical</v>
      </c>
      <c r="E31" s="20" t="inlineStr">
        <is>
          <t>Depends</t>
        </is>
      </c>
      <c r="F31" s="20" t="inlineStr">
        <is>
          <t>Yes</t>
        </is>
      </c>
      <c r="G31" s="20" t="inlineStr">
        <is>
          <t>Yes</t>
        </is>
      </c>
      <c r="H31" s="20" t="inlineStr">
        <is>
          <t>Yes</t>
        </is>
      </c>
      <c r="I31" s="20" t="inlineStr">
        <is>
          <t>Yes</t>
        </is>
      </c>
      <c r="J31" s="20" t="inlineStr">
        <is>
          <t>Yes</t>
        </is>
      </c>
      <c r="K31" s="20" t="inlineStr">
        <is>
          <t>Yes</t>
        </is>
      </c>
      <c r="L31" s="21" t="str">
        <f>IFERROR(INDEX($E31:$K31,MATCH($C$6,$E$15:$K$15,0)),"")</f>
        <v>Yes</v>
      </c>
      <c r="M31" s="4" t="inlineStr"/>
    </row>
    <row r="32" ht="30" customHeight="1">
      <c r="A32" s="13" t="n">
        <v>17</v>
      </c>
      <c r="B32" s="4" t="inlineStr">
        <is>
          <t>Three-compartment sink, hand sink and mop sink</t>
        </is>
      </c>
      <c r="C32" s="14">
        <f>'Equipment'!$L$32</f>
        <v>1400.0</v>
      </c>
      <c r="D32" t="str">
        <f>'Equipment'!$H$32</f>
        <v>Critical</v>
      </c>
      <c r="E32" s="20" t="inlineStr">
        <is>
          <t>Depends</t>
        </is>
      </c>
      <c r="F32" s="20" t="inlineStr">
        <is>
          <t>Yes</t>
        </is>
      </c>
      <c r="G32" s="20" t="inlineStr">
        <is>
          <t>Yes</t>
        </is>
      </c>
      <c r="H32" s="20" t="inlineStr">
        <is>
          <t>Yes</t>
        </is>
      </c>
      <c r="I32" s="20" t="inlineStr">
        <is>
          <t>Yes</t>
        </is>
      </c>
      <c r="J32" s="20" t="inlineStr">
        <is>
          <t>Yes</t>
        </is>
      </c>
      <c r="K32" s="20" t="inlineStr">
        <is>
          <t>Yes</t>
        </is>
      </c>
      <c r="L32" s="21" t="str">
        <f>IFERROR(INDEX($E32:$K32,MATCH($C$6,$E$15:$K$15,0)),"")</f>
        <v>Yes</v>
      </c>
      <c r="M32" s="4" t="inlineStr">
        <is>
          <t>A requirement, not an extra: a 3-compartment sink (Food Code 4-301.12), handwashing sinks (5-203.11) and a mop sink (5-203.13).</t>
        </is>
      </c>
    </row>
    <row r="33" ht="30" customHeight="1">
      <c r="A33" s="13" t="n">
        <v>18</v>
      </c>
      <c r="B33" s="4" t="inlineStr">
        <is>
          <t>Front-counter fixtures (counter, shelving, interior sign)</t>
        </is>
      </c>
      <c r="C33" s="14">
        <f>'Equipment'!$L$33</f>
        <v>7500.0</v>
      </c>
      <c r="D33" t="str">
        <f>'Equipment'!$H$33</f>
        <v>Critical</v>
      </c>
      <c r="E33" s="20" t="inlineStr">
        <is>
          <t>No</t>
        </is>
      </c>
      <c r="F33" s="20" t="inlineStr">
        <is>
          <t>No</t>
        </is>
      </c>
      <c r="G33" s="20" t="inlineStr">
        <is>
          <t>Yes</t>
        </is>
      </c>
      <c r="H33" s="20" t="inlineStr">
        <is>
          <t>Yes</t>
        </is>
      </c>
      <c r="I33" s="20" t="inlineStr">
        <is>
          <t>Yes</t>
        </is>
      </c>
      <c r="J33" s="20" t="inlineStr">
        <is>
          <t>No</t>
        </is>
      </c>
      <c r="K33" s="20" t="inlineStr">
        <is>
          <t>Yes</t>
        </is>
      </c>
      <c r="L33" s="21" t="str">
        <f>IFERROR(INDEX($E33:$K33,MATCH($C$6,$E$15:$K$15,0)),"")</f>
        <v>Yes</v>
      </c>
      <c r="M33" s="4" t="inlineStr"/>
    </row>
    <row r="34" ht="30" customHeight="1">
      <c r="A34" s="13" t="n">
        <v>19</v>
      </c>
      <c r="B34" s="4" t="inlineStr">
        <is>
          <t>POS terminal and software</t>
        </is>
      </c>
      <c r="C34" s="14">
        <f>'Equipment'!$L$34</f>
        <v>1300.0</v>
      </c>
      <c r="D34" t="str">
        <f>'Equipment'!$H$34</f>
        <v>Critical</v>
      </c>
      <c r="E34" s="20" t="inlineStr">
        <is>
          <t>Yes</t>
        </is>
      </c>
      <c r="F34" s="20" t="inlineStr">
        <is>
          <t>Yes</t>
        </is>
      </c>
      <c r="G34" s="20" t="inlineStr">
        <is>
          <t>Yes</t>
        </is>
      </c>
      <c r="H34" s="20" t="inlineStr">
        <is>
          <t>Yes</t>
        </is>
      </c>
      <c r="I34" s="20" t="inlineStr">
        <is>
          <t>Yes</t>
        </is>
      </c>
      <c r="J34" s="20" t="inlineStr">
        <is>
          <t>Yes</t>
        </is>
      </c>
      <c r="K34" s="20" t="inlineStr">
        <is>
          <t>Yes</t>
        </is>
      </c>
      <c r="L34" s="21" t="str">
        <f>IFERROR(INDEX($E34:$K34,MATCH($C$6,$E$15:$K$15,0)),"")</f>
        <v>Yes</v>
      </c>
      <c r="M34" s="4" t="inlineStr">
        <is>
          <t>The POS is what rings up to-go and for-here sales separately: if you ever add seating, what's eaten at your tables is generally taxable and pastries to go generally aren't (chapter 19 of the guide). Set the keys up from day one.</t>
        </is>
      </c>
    </row>
    <row r="35" ht="30" customHeight="1">
      <c r="A35" s="13" t="n">
        <v>20</v>
      </c>
      <c r="B35" s="4" t="inlineStr">
        <is>
          <t>Ambient display case</t>
        </is>
      </c>
      <c r="C35" s="14">
        <f>'Equipment'!$L$35</f>
        <v>1600.0</v>
      </c>
      <c r="D35" t="str">
        <f>'Equipment'!$H$35</f>
        <v>Critical</v>
      </c>
      <c r="E35" s="20" t="inlineStr">
        <is>
          <t>No</t>
        </is>
      </c>
      <c r="F35" s="20" t="inlineStr">
        <is>
          <t>No</t>
        </is>
      </c>
      <c r="G35" s="20" t="inlineStr">
        <is>
          <t>Yes</t>
        </is>
      </c>
      <c r="H35" s="20" t="inlineStr">
        <is>
          <t>Yes</t>
        </is>
      </c>
      <c r="I35" s="20" t="inlineStr">
        <is>
          <t>Yes</t>
        </is>
      </c>
      <c r="J35" s="20" t="inlineStr">
        <is>
          <t>No</t>
        </is>
      </c>
      <c r="K35" s="20" t="inlineStr">
        <is>
          <t>Yes</t>
        </is>
      </c>
      <c r="L35" s="21" t="str">
        <f>IFERROR(INDEX($E35:$K35,MATCH($C$6,$E$15:$K$15,0)),"")</f>
        <v>Yes</v>
      </c>
      <c r="M35" s="4" t="inlineStr">
        <is>
          <t>For what's shelf-stable at room temperature: palmiers, Sachertorte, huesos de santo, turrón and the breads. How many feet of this case you need, and how many of the refrigerated one, is decided by the "Egg &amp; TCS Decision" sheet in opening-menu-and-recipe-costing.xlsx, not by taste.</t>
        </is>
      </c>
    </row>
    <row r="36" ht="30" customHeight="1">
      <c r="A36" s="13" t="n">
        <v>21</v>
      </c>
      <c r="B36" s="4" t="inlineStr">
        <is>
          <t>Vacuum packer, sealer and smallwares (lot)</t>
        </is>
      </c>
      <c r="C36" s="14">
        <f>'Equipment'!$L$36</f>
        <v>3200.0</v>
      </c>
      <c r="D36" t="str">
        <f>'Equipment'!$H$36</f>
        <v>Critical</v>
      </c>
      <c r="E36" s="20" t="inlineStr">
        <is>
          <t>Depends</t>
        </is>
      </c>
      <c r="F36" s="20" t="inlineStr">
        <is>
          <t>Yes</t>
        </is>
      </c>
      <c r="G36" s="20" t="inlineStr">
        <is>
          <t>Yes</t>
        </is>
      </c>
      <c r="H36" s="20" t="inlineStr">
        <is>
          <t>Yes</t>
        </is>
      </c>
      <c r="I36" s="20" t="inlineStr">
        <is>
          <t>Depends</t>
        </is>
      </c>
      <c r="J36" s="20" t="inlineStr">
        <is>
          <t>Yes</t>
        </is>
      </c>
      <c r="K36" s="20" t="inlineStr">
        <is>
          <t>Yes</t>
        </is>
      </c>
      <c r="L36" s="21" t="str">
        <f>IFERROR(INDEX($E36:$K36,MATCH($C$6,$E$15:$K$15,0)),"")</f>
        <v>Yes</v>
      </c>
      <c r="M36" s="4" t="inlineStr"/>
    </row>
    <row r="37" ht="30" customHeight="1">
      <c r="A37" s="13" t="n">
        <v>22</v>
      </c>
      <c r="B37" s="4" t="inlineStr">
        <is>
          <t>Probe thermometers, scales and temperature data loggers</t>
        </is>
      </c>
      <c r="C37" s="14">
        <f>'Equipment'!$L$37</f>
        <v>900.0</v>
      </c>
      <c r="D37" t="str">
        <f>'Equipment'!$H$37</f>
        <v>Critical</v>
      </c>
      <c r="E37" s="20" t="inlineStr">
        <is>
          <t>Yes</t>
        </is>
      </c>
      <c r="F37" s="20" t="inlineStr">
        <is>
          <t>Yes</t>
        </is>
      </c>
      <c r="G37" s="20" t="inlineStr">
        <is>
          <t>Yes</t>
        </is>
      </c>
      <c r="H37" s="20" t="inlineStr">
        <is>
          <t>Yes</t>
        </is>
      </c>
      <c r="I37" s="20" t="inlineStr">
        <is>
          <t>Yes</t>
        </is>
      </c>
      <c r="J37" s="20" t="inlineStr">
        <is>
          <t>Yes</t>
        </is>
      </c>
      <c r="K37" s="20" t="inlineStr">
        <is>
          <t>Yes</t>
        </is>
      </c>
      <c r="L37" s="21" t="str">
        <f>IFERROR(INDEX($E37:$K37,MATCH($C$6,$E$15:$K$15,0)),"")</f>
        <v>Yes</v>
      </c>
      <c r="M37" s="4" t="inlineStr">
        <is>
          <t>Without a probe you can't prove your cold holding and cooling temperatures (41 °F, Food Code 3-501.16 and 3-501.14). It's the cheapest purchase with the most consequences.</t>
        </is>
      </c>
    </row>
    <row r="38">
      <c r="A38" s="9" t="inlineStr">
        <is>
          <t>Lines marked "Yes"</t>
        </is>
      </c>
      <c r="E38" s="16">
        <f>SUMPRODUCT(--($E$16:$E$37=$C$43))</f>
        <v>2.0</v>
      </c>
      <c r="F38" s="16">
        <f>SUMPRODUCT(--($F$16:$F$37=$C$43))</f>
        <v>15.0</v>
      </c>
      <c r="G38" s="16">
        <f>SUMPRODUCT(--($G$16:$G$37=$C$43))</f>
        <v>19.0</v>
      </c>
      <c r="H38" s="16">
        <f>SUMPRODUCT(--($H$16:$H$37=$C$43))</f>
        <v>19.0</v>
      </c>
      <c r="I38" s="16">
        <f>SUMPRODUCT(--($I$16:$I$37=$C$43))</f>
        <v>9.0</v>
      </c>
      <c r="J38" s="16">
        <f>SUMPRODUCT(--($J$16:$J$37=$C$43))</f>
        <v>17.0</v>
      </c>
      <c r="K38" s="16">
        <f>SUMPRODUCT(--($K$16:$K$37=$C$43))</f>
        <v>18.0</v>
      </c>
    </row>
    <row r="39">
      <c r="A39" s="9" t="inlineStr">
        <is>
          <t>Pre-tax reference investment ($)</t>
        </is>
      </c>
      <c r="E39" s="17">
        <f>SUMPRODUCT(--($E$16:$E$37=$C$43),$C$16:$C$37)</f>
        <v>2200.0</v>
      </c>
      <c r="F39" s="17">
        <f>SUMPRODUCT(--($F$16:$F$37=$C$43),$C$16:$C$37)</f>
        <v>53519.04</v>
      </c>
      <c r="G39" s="17">
        <f>SUMPRODUCT(--($G$16:$G$37=$C$43),$C$16:$C$37)</f>
        <v>66980.33834710743</v>
      </c>
      <c r="H39" s="17">
        <f>SUMPRODUCT(--($H$16:$H$37=$C$43),$C$16:$C$37)</f>
        <v>66980.33834710743</v>
      </c>
      <c r="I39" s="17">
        <f>SUMPRODUCT(--($I$16:$I$37=$C$43),$C$16:$C$37)</f>
        <v>22456.1</v>
      </c>
      <c r="J39" s="17">
        <f>SUMPRODUCT(--($J$16:$J$37=$C$43),$C$16:$C$37)</f>
        <v>67596.23834710743</v>
      </c>
      <c r="K39" s="17">
        <f>SUMPRODUCT(--($K$16:$K$37=$C$43),$C$16:$C$37)</f>
        <v>60480.33834710744</v>
      </c>
    </row>
    <row r="40"/>
    <row r="41">
      <c r="A41" s="3" t="inlineStr">
        <is>
          <t>The seven variants (dropdown list)</t>
        </is>
      </c>
    </row>
    <row r="42" ht="22" customHeight="1">
      <c r="A42" s="8" t="inlineStr">
        <is>
          <t>No.</t>
        </is>
      </c>
      <c r="B42" s="8" t="inlineStr">
        <is>
          <t>Variant</t>
        </is>
      </c>
      <c r="C42" s="8" t="inlineStr">
        <is>
          <t>Vocabulary</t>
        </is>
      </c>
      <c r="D42" s="8" t="inlineStr">
        <is>
          <t>Source</t>
        </is>
      </c>
      <c r="E42" s="8" t="inlineStr">
        <is>
          <t>What changes from the base case</t>
        </is>
      </c>
    </row>
    <row r="43" ht="28" customHeight="1">
      <c r="A43" s="13" t="n">
        <v>1</v>
      </c>
      <c r="B43" t="inlineStr">
        <is>
          <t>Home-based bakery under cottage food</t>
        </is>
      </c>
      <c r="C43" t="inlineStr">
        <is>
          <t>Yes</t>
        </is>
      </c>
      <c r="D43" t="inlineStr">
        <is>
          <t>Zenind, 2026</t>
        </is>
      </c>
      <c r="E43" s="4" t="inlineStr">
        <is>
          <t>Selling direct to consumers from your home under your state's cottage food law. Published range for a home bakery: $15,000 to $25,000 (third-party estimate).</t>
        </is>
      </c>
    </row>
    <row r="44" ht="28" customHeight="1">
      <c r="A44" s="13" t="n">
        <v>2</v>
      </c>
      <c r="B44" t="inlineStr">
        <is>
          <t>Closed-door production kitchen</t>
        </is>
      </c>
      <c r="C44" t="inlineStr">
        <is>
          <t>No</t>
        </is>
      </c>
      <c r="D44" t="inlineStr">
        <is>
          <t>Zenind, 2026</t>
        </is>
      </c>
      <c r="E44" s="4" t="inlineStr">
        <is>
          <t>Production with no retail counter. Published range for a production bakery: $75,000 to $150,000+ (third-party estimate).</t>
        </is>
      </c>
    </row>
    <row r="45" ht="28" customHeight="1">
      <c r="A45" s="13" t="n">
        <v>3</v>
      </c>
      <c r="B45" t="inlineStr">
        <is>
          <t>Mid-size pastry shop (the case)</t>
        </is>
      </c>
      <c r="C45" t="inlineStr">
        <is>
          <t>Depends</t>
        </is>
      </c>
      <c r="D45" t="inlineStr">
        <is>
          <t>Zenind, 2026</t>
        </is>
      </c>
      <c r="E45" s="4" t="inlineStr">
        <is>
          <t>The modeled case: its own production kitchen plus a front counter on the street. Published range for a small retail bakery: $50,000 to $100,000+ (third-party estimate).</t>
        </is>
      </c>
    </row>
    <row r="46" ht="28" customHeight="1">
      <c r="A46" s="13" t="n">
        <v>4</v>
      </c>
      <c r="B46" t="inlineStr">
        <is>
          <t>Bakery-café</t>
        </is>
      </c>
      <c r="C46" t="inlineStr"/>
      <c r="D46" t="inlineStr">
        <is>
          <t>No published range</t>
        </is>
      </c>
      <c r="E46" s="4" t="inlineStr">
        <is>
          <t>Adds seating: what's eaten at your tables is generally taxable, and in New York and Florida another agency permits you.</t>
        </is>
      </c>
    </row>
    <row r="47" ht="28" customHeight="1">
      <c r="A47" s="13" t="n">
        <v>5</v>
      </c>
      <c r="B47" t="inlineStr">
        <is>
          <t>Small bake-off shop</t>
        </is>
      </c>
      <c r="C47" t="inlineStr"/>
      <c r="D47" t="inlineStr">
        <is>
          <t>No published range</t>
        </is>
      </c>
      <c r="E47" s="4" t="inlineStr">
        <is>
          <t>Bakes off frozen product and doesn't bake from scratch, so it can't claim "baked fresh daily" or "made from scratch".</t>
        </is>
      </c>
    </row>
    <row r="48" ht="28" customHeight="1">
      <c r="A48" s="13" t="n">
        <v>6</v>
      </c>
      <c r="B48" t="inlineStr">
        <is>
          <t>Wholesale production kitchen for restaurants and cafés</t>
        </is>
      </c>
      <c r="C48" t="inlineStr"/>
      <c r="D48" t="inlineStr">
        <is>
          <t>No published range</t>
        </is>
      </c>
      <c r="E48" s="4" t="inlineStr">
        <is>
          <t>Volume production sold to other businesses: once more than half of your food sales by value go to businesses, FDA food facility registration applies (permits-and-licenses-checklist.xlsx).</t>
        </is>
      </c>
    </row>
    <row r="49" ht="28" customHeight="1">
      <c r="A49" s="13" t="n">
        <v>7</v>
      </c>
      <c r="B49" t="inlineStr">
        <is>
          <t>Ventless pastry shop (no Type I hood)</t>
        </is>
      </c>
      <c r="C49" t="inlineStr"/>
      <c r="D49" t="inlineStr">
        <is>
          <t>No published range</t>
        </is>
      </c>
      <c r="E49" s="4" t="inlineStr">
        <is>
          <t>All-electric ovens under a Type II hood, or listed to UL 710B; saves the exhaust duct and rules out frying.</t>
        </is>
      </c>
    </row>
    <row r="50"/>
    <row r="51" ht="24" customHeight="1">
      <c r="A51" s="7" t="inlineStr">
        <is>
          <t>The "Vocabulary" column in the first three rows is the source of the Yes / No / Depends values this sheet's formulas use. Don't delete it even if you don't read it.</t>
        </is>
      </c>
    </row>
    <row r="52" ht="40" customHeight="1">
      <c r="A52" s="7" t="inlineStr">
        <is>
          <t>WHAT'S JUDGMENT AND WHAT'S DATA: the published ranges are third-party estimates with their source (Zenind, 2026), there for contrast, not as a target. The Yes / No / Depends split, line by line, is HOUSE JUDGMENT, not a rule: it describes what equipment each format usually calls for, and some kitchens solve it differently. Change it if your project calls for it, by unprotecting the sheet.</t>
        </is>
      </c>
    </row>
    <row r="53" ht="28" customHeight="1">
      <c r="A53" s="7" t="inlineStr">
        <is>
          <t>What does NOT change with the variant is the legal side: which permit you need, the 50% wholesale line and the cottage food route are worked out in permits-and-licenses-checklist.xlsx, and there the differences between starting at home and opening a wholesale kitchen are big.</t>
        </is>
      </c>
    </row>
    <row r="54"/>
    <row r="55">
      <c r="A55" s="2" t="inlineStr">
        <is>
          <t>Designed by John Guerrero — chef and restaurant consultant since 2010, in the kitchen since age 17.</t>
        </is>
      </c>
    </row>
    <row r="56">
      <c r="A56"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28">
    <mergeCell ref="A3:M3"/>
    <mergeCell ref="A9:B9"/>
    <mergeCell ref="E47:M47"/>
    <mergeCell ref="E49:M49"/>
    <mergeCell ref="E46:M46"/>
    <mergeCell ref="E45:M45"/>
    <mergeCell ref="A52:M52"/>
    <mergeCell ref="A51:M51"/>
    <mergeCell ref="E42:M42"/>
    <mergeCell ref="A7:B7"/>
    <mergeCell ref="E44:M44"/>
    <mergeCell ref="E6:M6"/>
    <mergeCell ref="E48:M48"/>
    <mergeCell ref="A8:B8"/>
    <mergeCell ref="E11:M11"/>
    <mergeCell ref="E43:M43"/>
    <mergeCell ref="E8:M8"/>
    <mergeCell ref="A38:B38"/>
    <mergeCell ref="A6:B6"/>
    <mergeCell ref="E9:M9"/>
    <mergeCell ref="A53:M53"/>
    <mergeCell ref="E10:M10"/>
    <mergeCell ref="A39:B39"/>
    <mergeCell ref="A11:B11"/>
    <mergeCell ref="E12:M12"/>
    <mergeCell ref="A12:B12"/>
    <mergeCell ref="A10:B10"/>
    <mergeCell ref="E7:M7"/>
  </mergeCells>
  <dataValidations count="1">
    <dataValidation sqref="C6" showDropDown="0" showInputMessage="0" showErrorMessage="1" allowBlank="0" errorTitle="Invalid variant" error="Choose one of the seven variants from this sheet's list." type="list">
      <formula1>$B$43:$B$49</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3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0" customWidth="1" min="3" max="3"/>
    <col width="46" customWidth="1" min="4" max="4"/>
    <col width="8" customWidth="1" min="5" max="5"/>
    <col width="14" customWidth="1" min="6" max="6"/>
    <col width="28" customWidth="1" min="7" max="7"/>
    <col width="15" customWidth="1" min="8" max="8"/>
    <col width="14" customWidth="1" min="9" max="9"/>
    <col width="34" customWidth="1" min="10" max="10"/>
    <col width="44" customWidth="1" min="11" max="11"/>
    <col width="46" customWidth="1" min="12" max="12"/>
  </cols>
  <sheetData>
    <row r="1" ht="30" customHeight="1">
      <c r="A1" s="1" t="inlineStr">
        <is>
          <t>Ingredient and Packaging Suppliers</t>
        </is>
      </c>
    </row>
    <row r="2">
      <c r="A2" t="inlineStr">
        <is>
          <t>AI Chef Pro · aichef.pro — How to Open a Pastry Shop</t>
        </is>
      </c>
    </row>
    <row r="3" ht="28" customHeight="1">
      <c r="A3" s="7" t="inlineStr">
        <is>
          <t>The nine whose official websites we checked in October 2026. Anyone we couldn't verify stays out: a directory with a broken link is worth less than a short one.</t>
        </is>
      </c>
    </row>
    <row r="4"/>
    <row r="5">
      <c r="A5" s="3" t="inlineStr">
        <is>
          <t>The nine verified suppliers</t>
        </is>
      </c>
    </row>
    <row r="6" ht="40" customHeight="1">
      <c r="A6" s="8" t="inlineStr">
        <is>
          <t>No.</t>
        </is>
      </c>
      <c r="B6" s="8" t="inlineStr">
        <is>
          <t>Supplier</t>
        </is>
      </c>
      <c r="C6" s="8" t="inlineStr">
        <is>
          <t>What it sells you</t>
        </is>
      </c>
      <c r="D6" s="8" t="inlineStr">
        <is>
          <t>Link</t>
        </is>
      </c>
      <c r="E6" s="8" t="inlineStr">
        <is>
          <t>Source</t>
        </is>
      </c>
      <c r="F6" s="8" t="inlineStr">
        <is>
          <t>Do you buy from it?</t>
        </is>
      </c>
      <c r="G6" s="8" t="inlineStr">
        <is>
          <t>Sales rep</t>
        </is>
      </c>
      <c r="H6" s="8" t="inlineStr">
        <is>
          <t>Minimum order ($)</t>
        </is>
      </c>
      <c r="I6" s="8" t="inlineStr">
        <is>
          <t>Lead time (days)</t>
        </is>
      </c>
      <c r="J6" s="8" t="inlineStr">
        <is>
          <t>Payment terms</t>
        </is>
      </c>
      <c r="K6" s="8" t="inlineStr">
        <is>
          <t>Negotiation notes</t>
        </is>
      </c>
      <c r="L6" s="8" t="inlineStr">
        <is>
          <t>Why it's on the list</t>
        </is>
      </c>
    </row>
    <row r="7" ht="28" customHeight="1">
      <c r="A7" s="13" t="n">
        <v>1</v>
      </c>
      <c r="B7" t="inlineStr">
        <is>
          <t>AUI Fine Foods</t>
        </is>
      </c>
      <c r="C7" s="4" t="inlineStr">
        <is>
          <t>Specialty pastry ingredients, decorations and frozen desserts</t>
        </is>
      </c>
      <c r="D7" t="inlineStr">
        <is>
          <t>https://www.auifinefoods.com/</t>
        </is>
      </c>
      <c r="E7" t="inlineStr">
        <is>
          <t>Official website, Oct 2026</t>
        </is>
      </c>
      <c r="F7" s="22" t="inlineStr">
        <is>
          <t>No</t>
        </is>
      </c>
      <c r="G7" s="5" t="inlineStr">
        <is>
          <t>Pending: ask to open an account</t>
        </is>
      </c>
      <c r="H7" s="11" t="n">
        <v>300</v>
      </c>
      <c r="I7" s="12" t="n">
        <v>7</v>
      </c>
      <c r="J7" s="5" t="inlineStr">
        <is>
          <t>To be negotiated</t>
        </is>
      </c>
      <c r="K7" s="5" t="inlineStr">
        <is>
          <t>Pending the first sales visit</t>
        </is>
      </c>
      <c r="L7" s="4" t="inlineStr">
        <is>
          <t>Headquartered in Gaithersburg, Maryland; prices shown once you log in, plus a distributors page.</t>
        </is>
      </c>
    </row>
    <row r="8" ht="28" customHeight="1">
      <c r="A8" s="13" t="n">
        <v>2</v>
      </c>
      <c r="B8" t="inlineStr">
        <is>
          <t>Puratos</t>
        </is>
      </c>
      <c r="C8" s="4" t="inlineStr">
        <is>
          <t>Sourdough, improvers, mixes, fillings and chocolate</t>
        </is>
      </c>
      <c r="D8" t="inlineStr">
        <is>
          <t>https://www.puratos.us/</t>
        </is>
      </c>
      <c r="E8" t="inlineStr">
        <is>
          <t>Official website, Oct 2026</t>
        </is>
      </c>
      <c r="F8" s="22" t="inlineStr">
        <is>
          <t>No</t>
        </is>
      </c>
      <c r="G8" s="5" t="inlineStr">
        <is>
          <t>Pending: ask to open an account</t>
        </is>
      </c>
      <c r="H8" s="11" t="n">
        <v>300</v>
      </c>
      <c r="I8" s="12" t="n">
        <v>7</v>
      </c>
      <c r="J8" s="5" t="inlineStr">
        <is>
          <t>To be negotiated</t>
        </is>
      </c>
      <c r="K8" s="5" t="inlineStr">
        <is>
          <t>Pending the first sales visit</t>
        </is>
      </c>
      <c r="L8" s="4" t="inlineStr">
        <is>
          <t>Official website checked October 2026; it sells to bakeries and pastry shops.</t>
        </is>
      </c>
    </row>
    <row r="9" ht="28" customHeight="1">
      <c r="A9" s="13" t="n">
        <v>3</v>
      </c>
      <c r="B9" t="inlineStr">
        <is>
          <t>BakeMark</t>
        </is>
      </c>
      <c r="C9" s="4" t="inlineStr">
        <is>
          <t>Bakery mixes, fillings, icings and glazes</t>
        </is>
      </c>
      <c r="D9" t="inlineStr">
        <is>
          <t>https://bakemark.com/</t>
        </is>
      </c>
      <c r="E9" t="inlineStr">
        <is>
          <t>Official website, Oct 2026</t>
        </is>
      </c>
      <c r="F9" s="22" t="inlineStr">
        <is>
          <t>No</t>
        </is>
      </c>
      <c r="G9" s="5" t="inlineStr">
        <is>
          <t>Pending: ask to open an account</t>
        </is>
      </c>
      <c r="H9" s="11" t="n">
        <v>300</v>
      </c>
      <c r="I9" s="12" t="n">
        <v>7</v>
      </c>
      <c r="J9" s="5" t="inlineStr">
        <is>
          <t>To be negotiated</t>
        </is>
      </c>
      <c r="K9" s="5" t="inlineStr">
        <is>
          <t>Pending the first sales visit</t>
        </is>
      </c>
      <c r="L9" s="4" t="inlineStr">
        <is>
          <t>Bakery manufacturer and distributor based in Pico Rivera, California.</t>
        </is>
      </c>
    </row>
    <row r="10" ht="28" customHeight="1">
      <c r="A10" s="13" t="n">
        <v>4</v>
      </c>
      <c r="B10" t="inlineStr">
        <is>
          <t>Barry Callebaut (Callebaut)</t>
        </is>
      </c>
      <c r="C10" s="4" t="inlineStr">
        <is>
          <t>Chocolate and couverture</t>
        </is>
      </c>
      <c r="D10" t="inlineStr">
        <is>
          <t>https://www.callebaut.com/en-US</t>
        </is>
      </c>
      <c r="E10" t="inlineStr">
        <is>
          <t>Official website, Oct 2026</t>
        </is>
      </c>
      <c r="F10" s="22" t="inlineStr">
        <is>
          <t>No</t>
        </is>
      </c>
      <c r="G10" s="5" t="inlineStr">
        <is>
          <t>Pending: ask to open an account</t>
        </is>
      </c>
      <c r="H10" s="11" t="n">
        <v>300</v>
      </c>
      <c r="I10" s="12" t="n">
        <v>7</v>
      </c>
      <c r="J10" s="5" t="inlineStr">
        <is>
          <t>To be negotiated</t>
        </is>
      </c>
      <c r="K10" s="5" t="inlineStr">
        <is>
          <t>Pending the first sales visit</t>
        </is>
      </c>
      <c r="L10" s="4" t="inlineStr">
        <is>
          <t>Chocolate Academy courses in Chicago; where-to-buy map on its US site.</t>
        </is>
      </c>
    </row>
    <row r="11" ht="28" customHeight="1">
      <c r="A11" s="13" t="n">
        <v>5</v>
      </c>
      <c r="B11" t="inlineStr">
        <is>
          <t>Valrhona</t>
        </is>
      </c>
      <c r="C11" s="4" t="inlineStr">
        <is>
          <t>Premium chocolate and training</t>
        </is>
      </c>
      <c r="D11" t="inlineStr">
        <is>
          <t>https://valrhona.us/</t>
        </is>
      </c>
      <c r="E11" t="inlineStr">
        <is>
          <t>Official website, Oct 2026</t>
        </is>
      </c>
      <c r="F11" s="22" t="inlineStr">
        <is>
          <t>No</t>
        </is>
      </c>
      <c r="G11" s="5" t="inlineStr">
        <is>
          <t>Pending: ask to open an account</t>
        </is>
      </c>
      <c r="H11" s="11" t="n">
        <v>300</v>
      </c>
      <c r="I11" s="12" t="n">
        <v>7</v>
      </c>
      <c r="J11" s="5" t="inlineStr">
        <is>
          <t>To be negotiated</t>
        </is>
      </c>
      <c r="K11" s="5" t="inlineStr">
        <is>
          <t>Pending the first sales visit</t>
        </is>
      </c>
      <c r="L11" s="4" t="inlineStr">
        <is>
          <t>Its own US website; expert-led classes at L'Ecole Valrhona Brooklyn.</t>
        </is>
      </c>
    </row>
    <row r="12" ht="28" customHeight="1">
      <c r="A12" s="13" t="n">
        <v>6</v>
      </c>
      <c r="B12" t="inlineStr">
        <is>
          <t>Plugrà (Dairy Farmers of America)</t>
        </is>
      </c>
      <c r="C12" s="4" t="inlineStr">
        <is>
          <t>European-style butter, 82% butterfat</t>
        </is>
      </c>
      <c r="D12" t="inlineStr">
        <is>
          <t>https://www.plugra.com/</t>
        </is>
      </c>
      <c r="E12" t="inlineStr">
        <is>
          <t>Official website, Oct 2026</t>
        </is>
      </c>
      <c r="F12" s="22" t="inlineStr">
        <is>
          <t>No</t>
        </is>
      </c>
      <c r="G12" s="5" t="inlineStr">
        <is>
          <t>Pending: ask to open an account</t>
        </is>
      </c>
      <c r="H12" s="11" t="n">
        <v>300</v>
      </c>
      <c r="I12" s="12" t="n">
        <v>7</v>
      </c>
      <c r="J12" s="5" t="inlineStr">
        <is>
          <t>To be negotiated</t>
        </is>
      </c>
      <c r="K12" s="5" t="inlineStr">
        <is>
          <t>Pending the first sales visit</t>
        </is>
      </c>
      <c r="L12" s="4" t="inlineStr">
        <is>
          <t>82% butterfat; find-a-distributor link.</t>
        </is>
      </c>
    </row>
    <row r="13" ht="28" customHeight="1">
      <c r="A13" s="13" t="n">
        <v>7</v>
      </c>
      <c r="B13" t="inlineStr">
        <is>
          <t>King Arthur Baking</t>
        </is>
      </c>
      <c r="C13" s="4" t="inlineStr">
        <is>
          <t>Bakery flour</t>
        </is>
      </c>
      <c r="D13" t="inlineStr">
        <is>
          <t>https://www.kingarthurbaking.com/pro</t>
        </is>
      </c>
      <c r="E13" t="inlineStr">
        <is>
          <t>Official website, Oct 2026</t>
        </is>
      </c>
      <c r="F13" s="22" t="inlineStr">
        <is>
          <t>No</t>
        </is>
      </c>
      <c r="G13" s="5" t="inlineStr">
        <is>
          <t>Pending: ask to open an account</t>
        </is>
      </c>
      <c r="H13" s="11" t="n">
        <v>300</v>
      </c>
      <c r="I13" s="12" t="n">
        <v>7</v>
      </c>
      <c r="J13" s="5" t="inlineStr">
        <is>
          <t>To be negotiated</t>
        </is>
      </c>
      <c r="K13" s="5" t="inlineStr">
        <is>
          <t>Pending the first sales visit</t>
        </is>
      </c>
      <c r="L13" s="4" t="inlineStr">
        <is>
          <t>Professional sales team for bakery and pastry shops; distributor network.</t>
        </is>
      </c>
    </row>
    <row r="14" ht="28" customHeight="1">
      <c r="A14" s="13" t="n">
        <v>8</v>
      </c>
      <c r="B14" t="inlineStr">
        <is>
          <t>Sysco</t>
        </is>
      </c>
      <c r="C14" s="4" t="inlineStr">
        <is>
          <t>Broadline foodservice distribution</t>
        </is>
      </c>
      <c r="D14" t="inlineStr">
        <is>
          <t>https://www.sysco.com/</t>
        </is>
      </c>
      <c r="E14" t="inlineStr">
        <is>
          <t>Official website, Oct 2026</t>
        </is>
      </c>
      <c r="F14" s="22" t="inlineStr">
        <is>
          <t>No</t>
        </is>
      </c>
      <c r="G14" s="5" t="inlineStr">
        <is>
          <t>Pending: ask to open an account</t>
        </is>
      </c>
      <c r="H14" s="11" t="n">
        <v>300</v>
      </c>
      <c r="I14" s="12" t="n">
        <v>7</v>
      </c>
      <c r="J14" s="5" t="inlineStr">
        <is>
          <t>To be negotiated</t>
        </is>
      </c>
      <c r="K14" s="5" t="inlineStr">
        <is>
          <t>Pending the first sales visit</t>
        </is>
      </c>
      <c r="L14" s="4" t="inlineStr">
        <is>
          <t>Tax ID or EIN to open an account; several product families on one truck.</t>
        </is>
      </c>
    </row>
    <row r="15" ht="28" customHeight="1">
      <c r="A15" s="13" t="n">
        <v>9</v>
      </c>
      <c r="B15" t="inlineStr">
        <is>
          <t>WebstaurantStore</t>
        </is>
      </c>
      <c r="C15" s="4" t="inlineStr">
        <is>
          <t>Packaging: cake and bakery boxes</t>
        </is>
      </c>
      <c r="D15" t="inlineStr">
        <is>
          <t>https://www.webstaurantstore.com/</t>
        </is>
      </c>
      <c r="E15" t="inlineStr">
        <is>
          <t>Official website, Oct 2026</t>
        </is>
      </c>
      <c r="F15" s="22" t="inlineStr">
        <is>
          <t>No</t>
        </is>
      </c>
      <c r="G15" s="5" t="inlineStr">
        <is>
          <t>Pending: ask to open an account</t>
        </is>
      </c>
      <c r="H15" s="11" t="n">
        <v>300</v>
      </c>
      <c r="I15" s="12" t="n">
        <v>7</v>
      </c>
      <c r="J15" s="5" t="inlineStr">
        <is>
          <t>To be negotiated</t>
        </is>
      </c>
      <c r="K15" s="5" t="inlineStr">
        <is>
          <t>Pending the first sales visit</t>
        </is>
      </c>
      <c r="L15" s="4" t="inlineStr">
        <is>
          <t>Official website checked October 2026; it sells to bakeries and pastry shops.</t>
        </is>
      </c>
    </row>
    <row r="16">
      <c r="A16" s="9" t="inlineStr">
        <is>
          <t>Suppliers listed on this sheet</t>
        </is>
      </c>
      <c r="F16" s="16">
        <f>COUNTIF($B$7:$B$15,"&lt;&gt;")</f>
        <v>9.0</v>
      </c>
      <c r="G16" s="7" t="inlineStr">
        <is>
          <t>Nine verified, official websites checked October 2026.</t>
        </is>
      </c>
    </row>
    <row r="17">
      <c r="A17" s="9" t="inlineStr">
        <is>
          <t>Suppliers you already buy from</t>
        </is>
      </c>
      <c r="F17" s="16">
        <f>SUMPRODUCT(--($F$7:$F$15=$B$23))</f>
        <v>0.0</v>
      </c>
      <c r="G17" s="7" t="inlineStr">
        <is>
          <t>Start with two or three: opening accounts with nine suppliers at once is a week of paperwork and no discount.</t>
        </is>
      </c>
    </row>
    <row r="18">
      <c r="A18" s="9" t="inlineStr">
        <is>
          <t>Combined minimum order if you order from all at once ($)</t>
        </is>
      </c>
      <c r="F18" s="17">
        <f>SUM($H$7:$H$15)</f>
        <v>2700.0</v>
      </c>
      <c r="G18" s="7" t="inlineStr">
        <is>
          <t>It's money sitting on your shelves on the day you have the least cash. The minimum orders are ASSUMPTIONS: each sales rep confirms them.</t>
        </is>
      </c>
    </row>
    <row r="19">
      <c r="A19" s="9" t="inlineStr">
        <is>
          <t>Average committed lead time (days)</t>
        </is>
      </c>
      <c r="F19" s="23">
        <f>IFERROR(AVERAGE($I$7:$I$15),"")</f>
        <v>7.0</v>
      </c>
      <c r="G19" s="7" t="inlineStr">
        <is>
          <t>How far ahead you have to order ingredients for each peak. The purchasing lead time for each season is worked out in seasonal-peaks-planner.xlsx.</t>
        </is>
      </c>
    </row>
    <row r="20"/>
    <row r="21">
      <c r="A21" s="3" t="inlineStr">
        <is>
          <t>Lists (source of the dropdowns)</t>
        </is>
      </c>
    </row>
    <row r="22" ht="20" customHeight="1">
      <c r="A22" s="8" t="inlineStr">
        <is>
          <t>No.</t>
        </is>
      </c>
      <c r="B22" s="8" t="inlineStr">
        <is>
          <t>Do you buy from it?</t>
        </is>
      </c>
    </row>
    <row r="23">
      <c r="A23" s="13" t="n">
        <v>1</v>
      </c>
      <c r="B23" t="inlineStr">
        <is>
          <t>Yes</t>
        </is>
      </c>
    </row>
    <row r="24">
      <c r="A24" s="13" t="n">
        <v>2</v>
      </c>
      <c r="B24" t="inlineStr">
        <is>
          <t>No</t>
        </is>
      </c>
    </row>
    <row r="25"/>
    <row r="26" ht="40" customHeight="1">
      <c r="A26" s="7" t="inlineStr">
        <is>
          <t>Nine suppliers whose official websites were checked in October 2026. Anyone we couldn't verify stays out: a directory with a broken link is worth less than a short one.</t>
        </is>
      </c>
    </row>
    <row r="27" ht="26" customHeight="1">
      <c r="A27" s="7" t="inlineStr">
        <is>
          <t>Need more names? Start with each brand's distributor locator (Plugrà, Callebaut, AUI Fine Foods) and ask your broadline sales rep.</t>
        </is>
      </c>
    </row>
    <row r="28" ht="34" customHeight="1">
      <c r="A28" s="7" t="inlineStr">
        <is>
          <t>The minimum orders, lead times and payment terms filled in here are ASSUMPTIONS so the sheet works from the first minute: they aren't these companies' terms. Each one will give you its own, and they change with your volume and your area.</t>
        </is>
      </c>
    </row>
    <row r="29"/>
    <row r="30">
      <c r="A30" s="2" t="inlineStr">
        <is>
          <t>Designed by John Guerrero — chef and restaurant consultant since 2010, in the kitchen since age 17.</t>
        </is>
      </c>
    </row>
    <row r="31">
      <c r="A31"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2">
    <mergeCell ref="G16:L16"/>
    <mergeCell ref="G19:L19"/>
    <mergeCell ref="A19:E19"/>
    <mergeCell ref="A27:L27"/>
    <mergeCell ref="A26:L26"/>
    <mergeCell ref="G18:L18"/>
    <mergeCell ref="A17:E17"/>
    <mergeCell ref="A28:L28"/>
    <mergeCell ref="A3:L3"/>
    <mergeCell ref="A16:E16"/>
    <mergeCell ref="G17:L17"/>
    <mergeCell ref="A18:E18"/>
  </mergeCells>
  <dataValidations count="3">
    <dataValidation sqref="F7 F8 F9 F10 F11 F12 F13 F14 F15" showDropDown="0" showInputMessage="0" showErrorMessage="1" allowBlank="0" errorTitle="Invalid value" error="Choose Yes or No from this sheet's list." type="list">
      <formula1>$B$23:$B$24</formula1>
    </dataValidation>
    <dataValidation sqref="H7 H8 H9 H10 H11 H12 H13 H14 H15" showDropDown="0" showInputMessage="0" showErrorMessage="1" allowBlank="1" errorTitle="Minimum order" error="Enter the minimum order in dollars, before sales tax." type="decimal" operator="greaterThanOrEqual">
      <formula1>0</formula1>
    </dataValidation>
    <dataValidation sqref="I7 I8 I9 I10 I11 I12 I13 I14 I15" showDropDown="0" showInputMessage="0" showErrorMessage="1" allowBlank="1" errorTitle="Lead time" error="Enter the lead time in days (0 to 180)." type="decimal" operator="between">
      <formula1>0</formula1>
      <formula2>180</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51"/>
  <sheetViews>
    <sheetView workbookViewId="0">
      <pane ySplit="6" topLeftCell="A7" activePane="bottomLeft" state="frozen"/>
      <selection pane="bottomLeft" activeCell="A1" sqref="A1"/>
    </sheetView>
  </sheetViews>
  <sheetFormatPr baseColWidth="8" defaultRowHeight="15"/>
  <cols>
    <col width="54" customWidth="1" min="1" max="1"/>
    <col width="16" customWidth="1" min="2" max="2"/>
    <col width="16" customWidth="1" min="3" max="3"/>
    <col width="16" customWidth="1" min="4" max="4"/>
    <col width="14" customWidth="1" min="5" max="5"/>
    <col width="72" customWidth="1" min="6" max="6"/>
  </cols>
  <sheetData>
    <row r="1" ht="30" customHeight="1">
      <c r="A1" s="1" t="inlineStr">
        <is>
          <t>Checklist Counter</t>
        </is>
      </c>
    </row>
    <row r="2">
      <c r="A2" t="inlineStr">
        <is>
          <t>AI Chef Pro · aichef.pro — How to Open a Pastry Shop</t>
        </is>
      </c>
    </row>
    <row r="3" ht="28" customHeight="1">
      <c r="A3" s="7" t="inlineStr">
        <is>
          <t>Everything on this sheet is read from "Equipment" and "Suppliers": you don't type anything here.</t>
        </is>
      </c>
    </row>
    <row r="4"/>
    <row r="5">
      <c r="A5" s="3" t="inlineStr">
        <is>
          <t>Equipment checklist progress</t>
        </is>
      </c>
    </row>
    <row r="6" ht="20" customHeight="1">
      <c r="A6" s="8" t="inlineStr">
        <is>
          <t>Item</t>
        </is>
      </c>
      <c r="B6" s="8" t="inlineStr">
        <is>
          <t>Value</t>
        </is>
      </c>
      <c r="C6" s="8" t="inlineStr">
        <is>
          <t>Note</t>
        </is>
      </c>
    </row>
    <row r="7" ht="22" customHeight="1">
      <c r="A7" t="inlineStr">
        <is>
          <t>Checklist lines</t>
        </is>
      </c>
      <c r="B7" s="16">
        <f>COUNTIF('Equipment'!$C$16:$C$37,"&lt;&gt;")</f>
        <v>22.0</v>
      </c>
      <c r="C7" s="7" t="inlineStr">
        <is>
          <t>The full package of a pastry shop with its own production kitchen.</t>
        </is>
      </c>
    </row>
    <row r="8" ht="22" customHeight="1">
      <c r="A8" t="inlineStr">
        <is>
          <t>Lines marked "N/A" (outside your scope)</t>
        </is>
      </c>
      <c r="B8" s="16">
        <f>SUMPRODUCT(--('Equipment'!$A$16:$A$37='Equipment'!$A$66))</f>
        <v>0.0</v>
      </c>
      <c r="C8" s="7" t="inlineStr">
        <is>
          <t>What your format doesn't need. It counts neither for nor against you.</t>
        </is>
      </c>
    </row>
    <row r="9" ht="22" customHeight="1">
      <c r="A9" t="inlineStr">
        <is>
          <t>Lines within your scope</t>
        </is>
      </c>
      <c r="B9" s="16">
        <f>$B$7-$B$8</f>
        <v>22.0</v>
      </c>
      <c r="C9" s="7" t="inlineStr">
        <is>
          <t>It's the denominator of your progress.</t>
        </is>
      </c>
    </row>
    <row r="10" ht="22" customHeight="1">
      <c r="A10" t="inlineStr">
        <is>
          <t>Lines installed</t>
        </is>
      </c>
      <c r="B10" s="16">
        <f>SUMPRODUCT(--('Equipment'!$A$16:$A$37='Equipment'!$A$65))</f>
        <v>0.0</v>
      </c>
      <c r="C10" s="7" t="inlineStr">
        <is>
          <t>Installed means set up, hooked up and tested; received isn't installed, and that difference is days.</t>
        </is>
      </c>
    </row>
    <row r="11" ht="22" customHeight="1">
      <c r="A11" t="inlineStr">
        <is>
          <t>Lines received</t>
        </is>
      </c>
      <c r="B11" s="16">
        <f>COUNTIF('Equipment'!$A$16:$A$37,"Received")</f>
        <v>0.0</v>
      </c>
      <c r="C11" s="7" t="inlineStr">
        <is>
          <t>They're on site, in their crates.</t>
        </is>
      </c>
    </row>
    <row r="12" ht="22" customHeight="1">
      <c r="A12" t="inlineStr">
        <is>
          <t>Lines ordered</t>
        </is>
      </c>
      <c r="B12" s="16">
        <f>COUNTIF('Equipment'!$A$16:$A$37,"Ordered")</f>
        <v>0.0</v>
      </c>
      <c r="C12" s="7" t="inlineStr">
        <is>
          <t>Ordered and paid, or with a deposit: the lead time is already running.</t>
        </is>
      </c>
    </row>
    <row r="13" ht="22" customHeight="1">
      <c r="A13" t="inlineStr">
        <is>
          <t>Lines quoted</t>
        </is>
      </c>
      <c r="B13" s="16">
        <f>COUNTIF('Equipment'!$A$16:$A$37,"Quoted")</f>
        <v>0.0</v>
      </c>
      <c r="C13" s="7" t="inlineStr">
        <is>
          <t>You have the price; you haven't ordered.</t>
        </is>
      </c>
    </row>
    <row r="14" ht="22" customHeight="1">
      <c r="A14" t="inlineStr">
        <is>
          <t>Lines pending</t>
        </is>
      </c>
      <c r="B14" s="16">
        <f>COUNTIF('Equipment'!$A$16:$A$37,"Pending")</f>
        <v>22.0</v>
      </c>
      <c r="C14" s="7" t="inlineStr">
        <is>
          <t>You haven't even asked for a quote.</t>
        </is>
      </c>
    </row>
    <row r="15" ht="22" customHeight="1">
      <c r="A15" t="inlineStr">
        <is>
          <t>Checklist progress (% installed)</t>
        </is>
      </c>
      <c r="B15" s="18">
        <f>IFERROR(IF($B$9=0,"",$B$10/$B$9),"")</f>
        <v>0.0</v>
      </c>
      <c r="C15" s="7" t="inlineStr">
        <is>
          <t>Measured against what's within your scope, not against the 22 lines.</t>
        </is>
      </c>
    </row>
    <row r="16"/>
    <row r="17">
      <c r="A17" s="3" t="inlineStr">
        <is>
          <t>What's critical, which is what decides whether you open</t>
        </is>
      </c>
    </row>
    <row r="18" ht="22" customHeight="1">
      <c r="A18" t="inlineStr">
        <is>
          <t>Critical lines</t>
        </is>
      </c>
      <c r="B18" s="16">
        <f>SUMPRODUCT(--('Equipment'!$H$16:$H$37='Equipment'!$C$61))</f>
        <v>19.0</v>
      </c>
      <c r="C18" s="7" t="inlineStr">
        <is>
          <t>You don't open without them. Optional lines aren't counted here.</t>
        </is>
      </c>
    </row>
    <row r="19" ht="22" customHeight="1">
      <c r="A19" t="inlineStr">
        <is>
          <t>Critical lines installed</t>
        </is>
      </c>
      <c r="B19" s="16">
        <f>SUMPRODUCT(--('Equipment'!$H$16:$H$37='Equipment'!$C$61),--('Equipment'!$A$16:$A$37='Equipment'!$A$65))</f>
        <v>0.0</v>
      </c>
      <c r="C19" s="7" t="inlineStr"/>
    </row>
    <row r="20" ht="22" customHeight="1">
      <c r="A20" t="inlineStr">
        <is>
          <t>Critical progress (%)</t>
        </is>
      </c>
      <c r="B20" s="18">
        <f>IFERROR(IF($B$18=0,"",$B$19/$B$18),"")</f>
        <v>0.0</v>
      </c>
      <c r="C20" s="7" t="inlineStr">
        <is>
          <t>This is the percentage to watch the week before you open.</t>
        </is>
      </c>
    </row>
    <row r="21">
      <c r="A21" s="9" t="inlineStr">
        <is>
          <t>Can you open with what's installed?</t>
        </is>
      </c>
      <c r="B21" s="19" t="str">
        <f>IF($B$18=0,"",IF($B$19=$B$18,"Yes: everything critical is installed",CONCATENATE("No: missing ",$B$18-$B$19," critical lines")))</f>
        <v>No: missing 19 critical lines</v>
      </c>
      <c r="C21" s="7" t="inlineStr">
        <is>
          <t>The permits run on their own track: permits-and-licenses-checklist.xlsx answers that.</t>
        </is>
      </c>
    </row>
    <row r="22"/>
    <row r="23">
      <c r="A23" s="3" t="inlineStr">
        <is>
          <t>By startup cost block</t>
        </is>
      </c>
    </row>
    <row r="24" ht="30" customHeight="1">
      <c r="A24" s="8" t="inlineStr">
        <is>
          <t>Block</t>
        </is>
      </c>
      <c r="B24" s="8" t="inlineStr">
        <is>
          <t>Lines</t>
        </is>
      </c>
      <c r="C24" s="8" t="inlineStr">
        <is>
          <t>Pre-tax reference ($)</t>
        </is>
      </c>
      <c r="D24" s="8" t="inlineStr">
        <is>
          <t>Negotiated ($)</t>
        </is>
      </c>
      <c r="E24" s="8" t="inlineStr">
        <is>
          <t>Deviation (%)</t>
        </is>
      </c>
      <c r="F24" s="8" t="inlineStr">
        <is>
          <t>Note</t>
        </is>
      </c>
    </row>
    <row r="25">
      <c r="A25" t="inlineStr">
        <is>
          <t>Production kitchen equipment</t>
        </is>
      </c>
      <c r="B25" s="13">
        <f>SUMPRODUCT(--('Equipment'!$G$16:$G$37=$A25))</f>
        <v>17.0</v>
      </c>
      <c r="C25" s="14">
        <f>SUMPRODUCT(--('Equipment'!$G$16:$G$37=$A25),'Equipment'!$L$16:$L$37)</f>
        <v>73696.23834710743</v>
      </c>
      <c r="D25" s="14">
        <f>SUMPRODUCT(--('Equipment'!$G$16:$G$37=$A25),'Equipment'!$O$16:$O$37)</f>
        <v>73696.23999999999</v>
      </c>
      <c r="E25" s="15">
        <f>IFERROR(IF($C25=0,"",$D25/$C25-1),"")</f>
        <v>2.242845220656875e-08</v>
      </c>
      <c r="F25" s="4" t="inlineStr">
        <is>
          <t>It's the block startup-cost-calculator.xlsx carries to its "Startup Costs by Block" sheet under this same name.</t>
        </is>
      </c>
    </row>
    <row r="26">
      <c r="A26" t="inlineStr">
        <is>
          <t>Storefront and display</t>
        </is>
      </c>
      <c r="B26" s="13">
        <f>SUMPRODUCT(--('Equipment'!$G$16:$G$37=$A26))</f>
        <v>5.0</v>
      </c>
      <c r="C26" s="14">
        <f>SUMPRODUCT(--('Equipment'!$G$16:$G$37=$A26),'Equipment'!$L$16:$L$37)</f>
        <v>12804.5</v>
      </c>
      <c r="D26" s="14">
        <f>SUMPRODUCT(--('Equipment'!$G$16:$G$37=$A26),'Equipment'!$O$16:$O$37)</f>
        <v>12804.5</v>
      </c>
      <c r="E26" s="15">
        <f>IFERROR(IF($C26=0,"",$D26/$C26-1),"")</f>
        <v>0.0</v>
      </c>
      <c r="F26" s="4" t="inlineStr">
        <is>
          <t>It's the block startup-cost-calculator.xlsx carries to its "Startup Costs by Block" sheet under this same name.</t>
        </is>
      </c>
    </row>
    <row r="27">
      <c r="A27" s="9" t="inlineStr">
        <is>
          <t>TOTAL</t>
        </is>
      </c>
      <c r="B27" s="24">
        <f>SUMPRODUCT(--('Equipment'!$G$16:$G$37&lt;&gt;""))</f>
        <v>22.0</v>
      </c>
      <c r="C27" s="25">
        <f>SUMPRODUCT('Equipment'!$L$16:$L$37)</f>
        <v>86500.73834710743</v>
      </c>
      <c r="D27" s="25">
        <f>SUMPRODUCT('Equipment'!$O$16:$O$37)</f>
        <v>86500.73999999999</v>
      </c>
      <c r="E27" s="26">
        <f>IFERROR(IF($C$27=0,"",$D$27/$C$27-1),"")</f>
        <v>1.9108421511759843e-08</v>
      </c>
    </row>
    <row r="28"/>
    <row r="29">
      <c r="A29" s="3" t="inlineStr">
        <is>
          <t>By equipment category</t>
        </is>
      </c>
    </row>
    <row r="30" ht="30" customHeight="1">
      <c r="A30" s="8" t="inlineStr">
        <is>
          <t>Category</t>
        </is>
      </c>
      <c r="B30" s="8" t="inlineStr">
        <is>
          <t>Lines</t>
        </is>
      </c>
      <c r="C30" s="8" t="inlineStr">
        <is>
          <t>Pre-tax reference ($)</t>
        </is>
      </c>
      <c r="D30" s="8" t="inlineStr">
        <is>
          <t>Negotiated ($)</t>
        </is>
      </c>
      <c r="E30" s="8" t="inlineStr">
        <is>
          <t>Installed</t>
        </is>
      </c>
      <c r="F30" s="8" t="inlineStr">
        <is>
          <t>Note</t>
        </is>
      </c>
    </row>
    <row r="31">
      <c r="A31" t="inlineStr">
        <is>
          <t>Heat</t>
        </is>
      </c>
      <c r="B31" s="13">
        <f>SUMPRODUCT(--('Equipment'!$F$16:$F$37=$A31))</f>
        <v>3.0</v>
      </c>
      <c r="C31" s="14">
        <f>SUMPRODUCT(--('Equipment'!$F$16:$F$37=$A31),'Equipment'!$L$16:$L$37)</f>
        <v>16849.198347107438</v>
      </c>
      <c r="D31" s="14">
        <f>SUMPRODUCT(--('Equipment'!$F$16:$F$37=$A31),'Equipment'!$O$16:$O$37)</f>
        <v>16849.2</v>
      </c>
      <c r="E31" s="13">
        <f>SUMPRODUCT(--('Equipment'!$F$16:$F$37=$A31),--('Equipment'!$A$16:$A$37='Equipment'!$A$65))</f>
        <v>0.0</v>
      </c>
      <c r="F31" s="4" t="inlineStr"/>
    </row>
    <row r="32">
      <c r="A32" t="inlineStr">
        <is>
          <t>Storefront and display</t>
        </is>
      </c>
      <c r="B32" s="13">
        <f>SUMPRODUCT(--('Equipment'!$F$16:$F$37=$A32))</f>
        <v>5.0</v>
      </c>
      <c r="C32" s="14">
        <f>SUMPRODUCT(--('Equipment'!$F$16:$F$37=$A32),'Equipment'!$L$16:$L$37)</f>
        <v>12804.5</v>
      </c>
      <c r="D32" s="14">
        <f>SUMPRODUCT(--('Equipment'!$F$16:$F$37=$A32),'Equipment'!$O$16:$O$37)</f>
        <v>12804.5</v>
      </c>
      <c r="E32" s="13">
        <f>SUMPRODUCT(--('Equipment'!$F$16:$F$37=$A32),--('Equipment'!$A$16:$A$37='Equipment'!$A$65))</f>
        <v>0.0</v>
      </c>
      <c r="F32" s="4" t="inlineStr"/>
    </row>
    <row r="33">
      <c r="A33" t="inlineStr">
        <is>
          <t>Freezing</t>
        </is>
      </c>
      <c r="B33" s="13">
        <f>SUMPRODUCT(--('Equipment'!$F$16:$F$37=$A33))</f>
        <v>2.0</v>
      </c>
      <c r="C33" s="14">
        <f>SUMPRODUCT(--('Equipment'!$F$16:$F$37=$A33),'Equipment'!$L$16:$L$37)</f>
        <v>11937.0</v>
      </c>
      <c r="D33" s="14">
        <f>SUMPRODUCT(--('Equipment'!$F$16:$F$37=$A33),'Equipment'!$O$16:$O$37)</f>
        <v>11937.0</v>
      </c>
      <c r="E33" s="13">
        <f>SUMPRODUCT(--('Equipment'!$F$16:$F$37=$A33),--('Equipment'!$A$16:$A$37='Equipment'!$A$65))</f>
        <v>0.0</v>
      </c>
      <c r="F33" s="4" t="inlineStr"/>
    </row>
    <row r="34">
      <c r="A34" t="inlineStr">
        <is>
          <t>Sheeting</t>
        </is>
      </c>
      <c r="B34" s="13">
        <f>SUMPRODUCT(--('Equipment'!$F$16:$F$37=$A34))</f>
        <v>1.0</v>
      </c>
      <c r="C34" s="14">
        <f>SUMPRODUCT(--('Equipment'!$F$16:$F$37=$A34),'Equipment'!$L$16:$L$37)</f>
        <v>1215.0</v>
      </c>
      <c r="D34" s="14">
        <f>SUMPRODUCT(--('Equipment'!$F$16:$F$37=$A34),'Equipment'!$O$16:$O$37)</f>
        <v>1215.0</v>
      </c>
      <c r="E34" s="13">
        <f>SUMPRODUCT(--('Equipment'!$F$16:$F$37=$A34),--('Equipment'!$A$16:$A$37='Equipment'!$A$65))</f>
        <v>0.0</v>
      </c>
      <c r="F34" s="4" t="inlineStr"/>
    </row>
    <row r="35">
      <c r="A35" t="inlineStr">
        <is>
          <t>Mixing</t>
        </is>
      </c>
      <c r="B35" s="13">
        <f>SUMPRODUCT(--('Equipment'!$F$16:$F$37=$A35))</f>
        <v>2.0</v>
      </c>
      <c r="C35" s="14">
        <f>SUMPRODUCT(--('Equipment'!$F$16:$F$37=$A35),'Equipment'!$L$16:$L$37)</f>
        <v>5795.04</v>
      </c>
      <c r="D35" s="14">
        <f>SUMPRODUCT(--('Equipment'!$F$16:$F$37=$A35),'Equipment'!$O$16:$O$37)</f>
        <v>5795.04</v>
      </c>
      <c r="E35" s="13">
        <f>SUMPRODUCT(--('Equipment'!$F$16:$F$37=$A35),--('Equipment'!$A$16:$A$37='Equipment'!$A$65))</f>
        <v>0.0</v>
      </c>
      <c r="F35" s="4" t="inlineStr"/>
    </row>
    <row r="36">
      <c r="A36" t="inlineStr">
        <is>
          <t>Chocolate</t>
        </is>
      </c>
      <c r="B36" s="13">
        <f>SUMPRODUCT(--('Equipment'!$F$16:$F$37=$A36))</f>
        <v>1.0</v>
      </c>
      <c r="C36" s="14">
        <f>SUMPRODUCT(--('Equipment'!$F$16:$F$37=$A36),'Equipment'!$L$16:$L$37)</f>
        <v>7400.0</v>
      </c>
      <c r="D36" s="14">
        <f>SUMPRODUCT(--('Equipment'!$F$16:$F$37=$A36),'Equipment'!$O$16:$O$37)</f>
        <v>7400.0</v>
      </c>
      <c r="E36" s="13">
        <f>SUMPRODUCT(--('Equipment'!$F$16:$F$37=$A36),--('Equipment'!$A$16:$A$37='Equipment'!$A$65))</f>
        <v>0.0</v>
      </c>
      <c r="F36" s="4" t="inlineStr"/>
    </row>
    <row r="37">
      <c r="A37" t="inlineStr">
        <is>
          <t>Refrigeration</t>
        </is>
      </c>
      <c r="B37" s="13">
        <f>SUMPRODUCT(--('Equipment'!$F$16:$F$37=$A37))</f>
        <v>3.0</v>
      </c>
      <c r="C37" s="14">
        <f>SUMPRODUCT(--('Equipment'!$F$16:$F$37=$A37),'Equipment'!$L$16:$L$37)</f>
        <v>15700.0</v>
      </c>
      <c r="D37" s="14">
        <f>SUMPRODUCT(--('Equipment'!$F$16:$F$37=$A37),'Equipment'!$O$16:$O$37)</f>
        <v>15700.0</v>
      </c>
      <c r="E37" s="13">
        <f>SUMPRODUCT(--('Equipment'!$F$16:$F$37=$A37),--('Equipment'!$A$16:$A$37='Equipment'!$A$65))</f>
        <v>0.0</v>
      </c>
      <c r="F37" s="4" t="inlineStr"/>
    </row>
    <row r="38">
      <c r="A38" t="inlineStr">
        <is>
          <t>Building systems</t>
        </is>
      </c>
      <c r="B38" s="13">
        <f>SUMPRODUCT(--('Equipment'!$F$16:$F$37=$A38))</f>
        <v>2.0</v>
      </c>
      <c r="C38" s="14">
        <f>SUMPRODUCT(--('Equipment'!$F$16:$F$37=$A38),'Equipment'!$L$16:$L$37)</f>
        <v>7900.0</v>
      </c>
      <c r="D38" s="14">
        <f>SUMPRODUCT(--('Equipment'!$F$16:$F$37=$A38),'Equipment'!$O$16:$O$37)</f>
        <v>7900.0</v>
      </c>
      <c r="E38" s="13">
        <f>SUMPRODUCT(--('Equipment'!$F$16:$F$37=$A38),--('Equipment'!$A$16:$A$37='Equipment'!$A$65))</f>
        <v>0.0</v>
      </c>
      <c r="F38" s="4" t="inlineStr"/>
    </row>
    <row r="39">
      <c r="A39" t="inlineStr">
        <is>
          <t>Kitchen fixtures</t>
        </is>
      </c>
      <c r="B39" s="13">
        <f>SUMPRODUCT(--('Equipment'!$F$16:$F$37=$A39))</f>
        <v>2.0</v>
      </c>
      <c r="C39" s="14">
        <f>SUMPRODUCT(--('Equipment'!$F$16:$F$37=$A39),'Equipment'!$L$16:$L$37)</f>
        <v>6000.0</v>
      </c>
      <c r="D39" s="14">
        <f>SUMPRODUCT(--('Equipment'!$F$16:$F$37=$A39),'Equipment'!$O$16:$O$37)</f>
        <v>6000.0</v>
      </c>
      <c r="E39" s="13">
        <f>SUMPRODUCT(--('Equipment'!$F$16:$F$37=$A39),--('Equipment'!$A$16:$A$37='Equipment'!$A$65))</f>
        <v>0.0</v>
      </c>
      <c r="F39" s="4" t="inlineStr"/>
    </row>
    <row r="40">
      <c r="A40" t="inlineStr">
        <is>
          <t>Monitoring</t>
        </is>
      </c>
      <c r="B40" s="13">
        <f>SUMPRODUCT(--('Equipment'!$F$16:$F$37=$A40))</f>
        <v>1.0</v>
      </c>
      <c r="C40" s="14">
        <f>SUMPRODUCT(--('Equipment'!$F$16:$F$37=$A40),'Equipment'!$L$16:$L$37)</f>
        <v>900.0</v>
      </c>
      <c r="D40" s="14">
        <f>SUMPRODUCT(--('Equipment'!$F$16:$F$37=$A40),'Equipment'!$O$16:$O$37)</f>
        <v>900.0</v>
      </c>
      <c r="E40" s="13">
        <f>SUMPRODUCT(--('Equipment'!$F$16:$F$37=$A40),--('Equipment'!$A$16:$A$37='Equipment'!$A$65))</f>
        <v>0.0</v>
      </c>
      <c r="F40" s="4" t="inlineStr"/>
    </row>
    <row r="41"/>
    <row r="42">
      <c r="A42" s="3" t="inlineStr">
        <is>
          <t>Suppliers</t>
        </is>
      </c>
    </row>
    <row r="43" ht="22" customHeight="1">
      <c r="A43" t="inlineStr">
        <is>
          <t>Verified suppliers listed</t>
        </is>
      </c>
      <c r="B43" s="16">
        <f>'Suppliers'!$F$16</f>
        <v>9.0</v>
      </c>
      <c r="C43" s="7" t="inlineStr">
        <is>
          <t>The nine with official websites checked October 2026.</t>
        </is>
      </c>
    </row>
    <row r="44" ht="22" customHeight="1">
      <c r="A44" t="inlineStr">
        <is>
          <t>Suppliers you already buy from</t>
        </is>
      </c>
      <c r="B44" s="16">
        <f>'Suppliers'!$F$17</f>
        <v>0.0</v>
      </c>
      <c r="C44" s="7" t="inlineStr"/>
    </row>
    <row r="45" ht="22" customHeight="1">
      <c r="A45" t="inlineStr">
        <is>
          <t>Equipment lines with no supplier assigned</t>
        </is>
      </c>
      <c r="B45" s="16">
        <f>SUMPRODUCT(--('Equipment'!$Q$16:$Q$37='Equipment'!$G$61))</f>
        <v>13.0</v>
      </c>
      <c r="C45" s="7" t="inlineStr">
        <is>
          <t>The ones still reading "Pending: get three quotes". Production kitchen equipment is sold by quote: until there's a name, there's no price.</t>
        </is>
      </c>
    </row>
    <row r="46"/>
    <row r="47" ht="40" customHeight="1">
      <c r="A47" s="7" t="inlineStr">
        <is>
          <t>This counter does NOT tell you whether you can open: it tells you whether you have the equipment. The rest (the food permit, the food safety plan with a CFPM as person in charge, and the training log) is counted in permits-and-licenses-checklist.xlsx, which also chains the lead times and works out your opening date.</t>
        </is>
      </c>
    </row>
    <row r="48" ht="32" customHeight="1">
      <c r="A48" s="7" t="inlineStr">
        <is>
          <t>And it doesn't tell you whether the kitchen can keep up: how many pieces a day the equipment you're buying can handle is worked out in kitchen-capacity-and-site.xlsx. Buying the full package doesn't guarantee you can produce enough for Three Kings Day.</t>
        </is>
      </c>
    </row>
    <row r="49"/>
    <row r="50">
      <c r="A50" s="2" t="inlineStr">
        <is>
          <t>Designed by John Guerrero — chef and restaurant consultant since 2010, in the kitchen since age 17.</t>
        </is>
      </c>
    </row>
    <row r="51">
      <c r="A51"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20">
    <mergeCell ref="C6:F6"/>
    <mergeCell ref="C21:F21"/>
    <mergeCell ref="C18:F18"/>
    <mergeCell ref="C10:F10"/>
    <mergeCell ref="C44:F44"/>
    <mergeCell ref="C19:F19"/>
    <mergeCell ref="C43:F43"/>
    <mergeCell ref="C11:F11"/>
    <mergeCell ref="C15:F15"/>
    <mergeCell ref="C8:F8"/>
    <mergeCell ref="C9:F9"/>
    <mergeCell ref="A47:F47"/>
    <mergeCell ref="C14:F14"/>
    <mergeCell ref="A48:F48"/>
    <mergeCell ref="C7:F7"/>
    <mergeCell ref="C13:F13"/>
    <mergeCell ref="A3:F3"/>
    <mergeCell ref="C12:F12"/>
    <mergeCell ref="C20:F20"/>
    <mergeCell ref="C45:F45"/>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Equipment and Suppliers Checklist</dc:title>
  <dc:subject xmlns:dc="http://purl.org/dc/elements/1.1/">How to Open a Pastry Shop · Version 1.0 · October 2026</dc:subject>
  <dcterms:created xmlns:dcterms="http://purl.org/dc/terms/" xmlns:xsi="http://www.w3.org/2001/XMLSchema-instance" xsi:type="dcterms:W3CDTF">2026-09-10T04:58:09Z</dcterms:created>
  <dcterms:modified xmlns:dcterms="http://purl.org/dc/terms/" xmlns:xsi="http://www.w3.org/2001/XMLSchema-instance" xsi:type="dcterms:W3CDTF">2026-10-17T08:00:00Z</dcterms:modified>
  <cp:lastModifiedBy>AI Chef Pro</cp:lastModifiedBy>
</cp:coreProperties>
</file>