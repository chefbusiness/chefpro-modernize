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'Instrucciones'!$A$1:$B$57</definedName>
    <definedName name="_xlnm.Print_Titles" localSheetId="1">'Apertura de Caja'!$4:$4</definedName>
    <definedName name="_xlnm.Print_Area" localSheetId="1">'Apertura de Caja'!$A$1:$G$26</definedName>
    <definedName name="_xlnm.Print_Titles" localSheetId="2">'Cierre de Caja'!$4:$4</definedName>
    <definedName name="_xlnm.Print_Area" localSheetId="2">'Cierre de Caja'!$A$1:$G$57</definedName>
    <definedName name="_xlnm.Print_Titles" localSheetId="3">'Registro Mensual'!$4:$4</definedName>
    <definedName name="_xlnm.Print_Area" localSheetId="3">'Registro Mensual'!$A$1:$J$38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27" t="inlineStr">
        <is>
          <t>Apertura y Cierre de Caja — Hamburguesería</t>
        </is>
      </c>
    </row>
    <row r="3">
      <c r="A3" s="3" t="n"/>
    </row>
    <row r="4" ht="18" customHeight="1">
      <c r="B4" s="28" t="inlineStr">
        <is>
          <t>Qué resuelve</t>
        </is>
      </c>
    </row>
    <row r="5">
      <c r="A5" s="4" t="n"/>
    </row>
    <row r="6" ht="32" customHeight="1">
      <c r="A6" s="5" t="n"/>
      <c r="B6" s="29" t="inlineStr">
        <is>
          <t>▸ El arqueo diario: fondo de caja, recuento del cajón por denominaciones, Z del TPV y descuadre — y el registro mensual para ver de un vistazo qué días no cuadraron.</t>
        </is>
      </c>
    </row>
    <row r="7">
      <c r="A7" s="5" t="n"/>
    </row>
    <row r="8" ht="18" customHeight="1">
      <c r="A8" s="5" t="n"/>
      <c r="B8" s="28" t="inlineStr">
        <is>
          <t>Cómo usar — Apertura de Caja</t>
        </is>
      </c>
    </row>
    <row r="9">
      <c r="A9" s="5" t="n"/>
    </row>
    <row r="10" ht="32" customHeight="1">
      <c r="A10" s="5" t="n"/>
      <c r="B10" s="29" t="inlineStr">
        <is>
          <t>▸ Cuenta el fondo y escribe el importe en la celda VERDE «Fondo de caja inicial (€)». De ahí lo lee el cierre: no hay que volver a teclearlo.</t>
        </is>
      </c>
    </row>
    <row r="11">
      <c r="A11" s="5" t="n"/>
    </row>
    <row r="12" ht="18" customHeight="1">
      <c r="A12" s="5" t="n"/>
      <c r="B12" s="28" t="inlineStr">
        <is>
          <t>Cómo usar — Cierre de Caja</t>
        </is>
      </c>
    </row>
    <row r="13">
      <c r="A13" s="5" t="n"/>
    </row>
    <row r="14" ht="32" customHeight="1">
      <c r="A14" s="5" t="n"/>
      <c r="B14" s="29" t="inlineStr">
        <is>
          <t>▸ En «Recuento de Efectivo por Denominación» rellena SOLO la columna «Cantidad» (número de billetes o monedas, entero): el subtotal y el TOTAL EFECTIVO se calculan solos.</t>
        </is>
      </c>
    </row>
    <row r="15" ht="32" customHeight="1">
      <c r="A15" s="5" t="n"/>
      <c r="B15" s="29" t="inlineStr">
        <is>
          <t>▸ En el «Resumen de Cierre» sólo escribes tres cifras: Total Tarjetas, Total Otros y la Z del TPV. Lo demás es fórmula.</t>
        </is>
      </c>
    </row>
    <row r="16" ht="16" customHeight="1">
      <c r="A16" s="5" t="n"/>
      <c r="B16" s="29" t="inlineStr">
        <is>
          <t>▸ El fondo se descuenta solo: TOTAL FACTURADO = (efectivo contado − fondo) + tarjetas + otros.</t>
        </is>
      </c>
    </row>
    <row r="17" ht="32" customHeight="1">
      <c r="A17" s="5" t="n"/>
      <c r="B17" s="29" t="inlineStr">
        <is>
          <t>▸ DESCUADRE = TOTAL FACTURADO − Z del TPV. Si la casilla se pone ÁMBAR, la caja no cuadra: revísalo ANTES de firmar.</t>
        </is>
      </c>
    </row>
    <row r="18">
      <c r="A18" s="5" t="n"/>
    </row>
    <row r="19" ht="18" customHeight="1">
      <c r="B19" s="28" t="inlineStr">
        <is>
          <t>Registro Mensual</t>
        </is>
      </c>
    </row>
    <row r="20">
      <c r="A20" s="5" t="n"/>
    </row>
    <row r="21" ht="32" customHeight="1">
      <c r="B21" s="29" t="inlineStr">
        <is>
          <t>▸ Una fila por día: escribe fondo, ventas por medio de pago, Z del TPV y depósito; el Total Facturado y el Descuadre se calculan solos y el descuadre se pone ámbar.</t>
        </is>
      </c>
    </row>
    <row r="22" ht="32" customHeight="1">
      <c r="B22" s="29" t="inlineStr">
        <is>
          <t>▸ El fondo de caja es un saldo, no una venta: la fila TOTALES muestra el fondo MEDIO de los días anotados, no su suma.</t>
        </is>
      </c>
    </row>
    <row r="24" ht="18" customHeight="1">
      <c r="B24" s="28" t="inlineStr">
        <is>
          <t>Celdas editables</t>
        </is>
      </c>
    </row>
    <row r="26" ht="32" customHeight="1">
      <c r="B26" s="29" t="inlineStr">
        <is>
          <t>▸ Todo lo que se rellena a diario va en VERDE: Responsable, Hora Límite, ✓ Completada, Firma, Notas, las cantidades del recuento y los importes del resumen.</t>
        </is>
      </c>
    </row>
    <row r="28" ht="18" customHeight="1">
      <c r="B28" s="28" t="inlineStr">
        <is>
          <t>Cómo cuenta el contador</t>
        </is>
      </c>
    </row>
    <row r="30" ht="32" customHeight="1">
      <c r="B30" s="29" t="inlineStr">
        <is>
          <t>▸ Marca con ✓ en la columna «✓ Completada» (desplegable): es la que cuenta el total de tareas completadas.</t>
        </is>
      </c>
    </row>
    <row r="31" ht="32" customHeight="1">
      <c r="B31" s="29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32" ht="32" customHeight="1">
      <c r="B32" s="29" t="inlineStr">
        <is>
          <t>▸ El denominador cuenta las tareas escritas en la columna «Tarea», no un número fijo: si añades o borras tareas, el total se ajusta solo.</t>
        </is>
      </c>
    </row>
    <row r="34" ht="18" customHeight="1">
      <c r="B34" s="28" t="inlineStr">
        <is>
          <t>Filas libres</t>
        </is>
      </c>
    </row>
    <row r="36" ht="32" customHeight="1">
      <c r="B36" s="29" t="inlineStr">
        <is>
          <t>▸ Al final de cada tabla hay 5 filas verdes libres DENTRO del rango que cuenta el contador: escribe ahí tus tareas propias.</t>
        </is>
      </c>
    </row>
    <row r="37" ht="32" customHeight="1">
      <c r="B37" s="29" t="inlineStr">
        <is>
          <t>▸ Si necesitas más, inserta filas DENTRO de la tabla (clic derecho → Insertar), nunca por debajo de la última: lo que se escriba fuera del rango no lo cuenta nadie.</t>
        </is>
      </c>
    </row>
    <row r="39" ht="18" customHeight="1">
      <c r="B39" s="28" t="inlineStr">
        <is>
          <t>Protección de la hoja</t>
        </is>
      </c>
    </row>
    <row r="41" ht="32" customHeight="1">
      <c r="B41" s="29" t="inlineStr">
        <is>
          <t>▸ Las hojas con fórmulas van protegidas SIN contraseña: las celdas de entrada (las verdes) están desbloqueadas y los cálculos no se pisan por accidente.</t>
        </is>
      </c>
    </row>
    <row r="42" ht="32" customHeight="1">
      <c r="B42" s="29" t="inlineStr">
        <is>
          <t>▸ Puedes insertar y borrar filas con la protección puesta. Para cambiar la estructura: Revisar → Desproteger hoja.</t>
        </is>
      </c>
    </row>
    <row r="44" ht="18" customHeight="1">
      <c r="B44" s="28" t="inlineStr">
        <is>
          <t>Se conecta con</t>
        </is>
      </c>
    </row>
    <row r="46" ht="16" customHeight="1">
      <c r="B46" s="29" t="inlineStr">
        <is>
          <t>▸ 08-apertura-cierre-negocio.xlsx — checklist del LOCAL completo: es el MARCO del día.</t>
        </is>
      </c>
    </row>
    <row r="47" ht="16" customHeight="1">
      <c r="B47" s="29" t="inlineStr">
        <is>
          <t>▸ 01-apertura-cierre.xlsx — el mismo día con el DETALLE por área (cocina, sala).</t>
        </is>
      </c>
    </row>
    <row r="48" ht="16" customHeight="1">
      <c r="B48" s="29" t="inlineStr">
        <is>
          <t>▸ 09-apertura-cierre-caja.xlsx — la CAJA: fondo, recuento por denominaciones, Z del TPV y descuadre.</t>
        </is>
      </c>
    </row>
    <row r="49" ht="48" customHeight="1">
      <c r="B49" s="29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50" ht="48" customHeight="1">
      <c r="B50" s="29" t="inlineStr">
        <is>
          <t>▸ Estás en 09-apertura-cierre-caja.xlsx: esta es la CAJA — el DINERO del día (fondo, recuento, Z del TPV y descuadre); el marco del día está en 08-apertura-cierre-negocio.xlsx y el detalle por zona, en 01-apertura-cierre.xlsx.</t>
        </is>
      </c>
    </row>
    <row r="52" ht="18" customHeight="1">
      <c r="B52" s="28" t="inlineStr">
        <is>
          <t>— Kit de Tareas Recurrentes · Hamburguesería · AI Chef Pro · aichef.pro</t>
        </is>
      </c>
    </row>
    <row r="54" ht="35" customHeight="1">
      <c r="B54" s="28" t="inlineStr">
        <is>
          <t>Diseñado por John Guerrero — chef y consultor gastronómico desde 2010, en cocina desde los 17 años · johnguerrero.es</t>
        </is>
      </c>
    </row>
    <row r="55" ht="18" customHeight="1">
      <c r="B55" s="28" t="inlineStr">
        <is>
          <t>Contacto: info@aichef.pro</t>
        </is>
      </c>
    </row>
    <row r="57" ht="18" customHeight="1">
      <c r="B57" s="28" t="inlineStr">
        <is>
          <t>Versión 2.0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Apertura de Caja — Hamburguesería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Hora Límite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Verificar fondo de caja del día anterior</t>
        </is>
      </c>
      <c r="C5" s="32" t="inlineStr">
        <is>
          <t>Responsable de caja</t>
        </is>
      </c>
      <c r="D5" s="32" t="inlineStr">
        <is>
          <t>10:15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Contar fondo de caja inicial</t>
        </is>
      </c>
      <c r="C6" s="32" t="inlineStr">
        <is>
          <t>Responsable de caja</t>
        </is>
      </c>
      <c r="D6" s="32" t="inlineStr">
        <is>
          <t>10:15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Anotar el fondo de caja en la celda verde de abajo</t>
        </is>
      </c>
      <c r="C7" s="32" t="inlineStr">
        <is>
          <t>Responsable de caja</t>
        </is>
      </c>
      <c r="D7" s="32" t="inlineStr">
        <is>
          <t>10:15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Verificar cambio suficiente (monedas, billetes pequeños)</t>
        </is>
      </c>
      <c r="C8" s="32" t="inlineStr">
        <is>
          <t>Responsable de caja</t>
        </is>
      </c>
      <c r="D8" s="32" t="inlineStr">
        <is>
          <t>10:15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Comprobar que el TPV está encendido y abrir turno de caja</t>
        </is>
      </c>
      <c r="C9" s="32" t="inlineStr">
        <is>
          <t>Responsable de caja</t>
        </is>
      </c>
      <c r="D9" s="32" t="inlineStr">
        <is>
          <t>10:30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Imprimir X de apertura (informe de inicio)</t>
        </is>
      </c>
      <c r="C10" s="32" t="inlineStr">
        <is>
          <t>Responsable de caja</t>
        </is>
      </c>
      <c r="D10" s="32" t="inlineStr">
        <is>
          <t>10:30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Comprobar rollo de papel de ticket</t>
        </is>
      </c>
      <c r="C11" s="32" t="inlineStr">
        <is>
          <t>Responsable de caja</t>
        </is>
      </c>
      <c r="D11" s="32" t="inlineStr">
        <is>
          <t>10:30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Verificar datáfono operativo</t>
        </is>
      </c>
      <c r="C12" s="32" t="inlineStr">
        <is>
          <t>Responsable de caja</t>
        </is>
      </c>
      <c r="D12" s="32" t="inlineStr">
        <is>
          <t>10:30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Verificar conexión de pasarela de pago</t>
        </is>
      </c>
      <c r="C13" s="32" t="inlineStr">
        <is>
          <t>Responsable de caja</t>
        </is>
      </c>
      <c r="D13" s="32" t="inlineStr">
        <is>
          <t>10:45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Anotar incidencias del turno anterior</t>
        </is>
      </c>
      <c r="C14" s="32" t="inlineStr">
        <is>
          <t>Responsable de caja</t>
        </is>
      </c>
      <c r="D14" s="32" t="inlineStr">
        <is>
          <t>10:45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Firma del responsable de apertura</t>
        </is>
      </c>
      <c r="C15" s="32" t="inlineStr">
        <is>
          <t>Responsable de caja</t>
        </is>
      </c>
      <c r="D15" s="32" t="inlineStr">
        <is>
          <t>10:45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/>
    <row r="22">
      <c r="A22" s="25" t="inlineStr">
        <is>
          <t>Tareas completadas:</t>
        </is>
      </c>
      <c r="C22">
        <f>COUNTIFS(B5:B20,"?*",E5:E20,"✓")</f>
        <v>0.0</v>
      </c>
      <c r="D22" t="inlineStr">
        <is>
          <t>de</t>
        </is>
      </c>
      <c r="E22">
        <f>COUNTIF(B5:B20,"?*")-COUNTIF(E5:E20,"N/A")</f>
        <v>11.0</v>
      </c>
    </row>
    <row r="23">
      <c r="B23" t="inlineStr">
        <is>
          <t>Fondo de caja inicial (€)</t>
        </is>
      </c>
      <c r="C23" s="36" t="n">
        <v>0</v>
      </c>
      <c r="D23" t="inlineStr">
        <is>
          <t>Se descuenta del efectivo en el Cierre de Caja</t>
        </is>
      </c>
    </row>
    <row r="24">
      <c r="A24" s="12" t="n"/>
    </row>
    <row r="25" ht="30" customHeight="1">
      <c r="A25" s="6" t="inlineStr">
        <is>
          <t>Firma del responsable: _________________________     Hora: ________</t>
        </is>
      </c>
    </row>
    <row r="26">
      <c r="A26" s="12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C2"/>
    <mergeCell ref="D23:G23"/>
    <mergeCell ref="A25:G25"/>
    <mergeCell ref="D2:G2"/>
    <mergeCell ref="A22:B22"/>
    <mergeCell ref="A26:G26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Cierre de Caja — Hamburguesería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Cuándo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 ht="24" customHeight="1">
      <c r="A5" s="30" t="n">
        <v>1</v>
      </c>
      <c r="B5" s="31" t="inlineStr">
        <is>
          <t>Imprimir Z de cierre (informe final del día)</t>
        </is>
      </c>
      <c r="C5" s="32" t="inlineStr">
        <is>
          <t>Responsable de caja</t>
        </is>
      </c>
      <c r="D5" s="32" t="inlineStr">
        <is>
          <t>Cierre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Recuento de efectivo por denominación (ver tabla inferior)</t>
        </is>
      </c>
      <c r="C6" s="32" t="inlineStr">
        <is>
          <t>Responsable de caja</t>
        </is>
      </c>
      <c r="D6" s="32" t="inlineStr">
        <is>
          <t>Cierre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Calcular total efectivo</t>
        </is>
      </c>
      <c r="C7" s="32" t="inlineStr">
        <is>
          <t>Responsable de caja</t>
        </is>
      </c>
      <c r="D7" s="32" t="inlineStr">
        <is>
          <t>Cierre</t>
        </is>
      </c>
      <c r="E7" s="32" t="inlineStr"/>
      <c r="F7" s="32" t="n"/>
      <c r="G7" s="32" t="n"/>
    </row>
    <row r="8" ht="24" customHeight="1">
      <c r="A8" s="33" t="n">
        <v>4</v>
      </c>
      <c r="B8" s="34" t="inlineStr">
        <is>
          <t>Anotar total tarjetas (Visa/Mastercard)</t>
        </is>
      </c>
      <c r="C8" s="32" t="inlineStr">
        <is>
          <t>Responsable de caja</t>
        </is>
      </c>
      <c r="D8" s="32" t="inlineStr">
        <is>
          <t>Cierre</t>
        </is>
      </c>
      <c r="E8" s="32" t="inlineStr"/>
      <c r="F8" s="32" t="n"/>
      <c r="G8" s="32" t="n"/>
    </row>
    <row r="9" ht="24" customHeight="1">
      <c r="A9" s="30" t="n">
        <v>5</v>
      </c>
      <c r="B9" s="31" t="inlineStr">
        <is>
          <t>Anotar otros medios (Bizum, vales, invitaciones)</t>
        </is>
      </c>
      <c r="C9" s="32" t="inlineStr">
        <is>
          <t>Responsable de caja</t>
        </is>
      </c>
      <c r="D9" s="32" t="inlineStr">
        <is>
          <t>Cierre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facturado = efectivo contado − fondo + tarjetas + otros</t>
        </is>
      </c>
      <c r="C10" s="32" t="inlineStr">
        <is>
          <t>Responsable de caja</t>
        </is>
      </c>
      <c r="D10" s="32" t="inlineStr">
        <is>
          <t>Cierre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Comparar con Z del TPV → calcular diferencia/descuadre</t>
        </is>
      </c>
      <c r="C11" s="32" t="inlineStr">
        <is>
          <t>Responsable de caja</t>
        </is>
      </c>
      <c r="D11" s="32" t="inlineStr">
        <is>
          <t>Cierre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Registrar devoluciones del día</t>
        </is>
      </c>
      <c r="C12" s="32" t="inlineStr">
        <is>
          <t>Responsable de caja</t>
        </is>
      </c>
      <c r="D12" s="32" t="inlineStr">
        <is>
          <t>Cierre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Registrar anulaciones del día</t>
        </is>
      </c>
      <c r="C13" s="32" t="inlineStr">
        <is>
          <t>Responsable de caja</t>
        </is>
      </c>
      <c r="D13" s="32" t="inlineStr">
        <is>
          <t>Cierre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Separar fondo de caja para mañana</t>
        </is>
      </c>
      <c r="C14" s="32" t="inlineStr">
        <is>
          <t>Responsable de caja</t>
        </is>
      </c>
      <c r="D14" s="32" t="inlineStr">
        <is>
          <t>Cierre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Preparar depósito bancario / guardar en caja fuerte</t>
        </is>
      </c>
      <c r="C15" s="32" t="inlineStr">
        <is>
          <t>Responsable de caja</t>
        </is>
      </c>
      <c r="D15" s="32" t="inlineStr">
        <is>
          <t>Cierre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Firma del responsable de cierre</t>
        </is>
      </c>
      <c r="C16" s="32" t="inlineStr">
        <is>
          <t>Responsable de caja</t>
        </is>
      </c>
      <c r="D16" s="32" t="inlineStr">
        <is>
          <t>Cierre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18" t="n"/>
    </row>
    <row r="23">
      <c r="A23" s="25" t="inlineStr">
        <is>
          <t>Tareas completadas:</t>
        </is>
      </c>
      <c r="C23">
        <f>COUNTIFS(B5:B21,"?*",E5:E21,"✓")</f>
        <v>0.0</v>
      </c>
      <c r="D23" t="inlineStr">
        <is>
          <t>de</t>
        </is>
      </c>
      <c r="E23">
        <f>COUNTIF(B5:B21,"?*")-COUNTIF(E5:E21,"N/A")</f>
        <v>12.0</v>
      </c>
    </row>
    <row r="24" ht="32" customHeight="1">
      <c r="A24" s="13" t="inlineStr">
        <is>
          <t>💰 Recuento de Efectivo por Denominación</t>
        </is>
      </c>
    </row>
    <row r="25" ht="26" customHeight="1">
      <c r="A25" s="7" t="inlineStr">
        <is>
          <t>Denominación</t>
        </is>
      </c>
      <c r="B25" s="7" t="inlineStr">
        <is>
          <t>Cantidad</t>
        </is>
      </c>
      <c r="C25" s="7" t="inlineStr">
        <is>
          <t>Subtotal (€)</t>
        </is>
      </c>
    </row>
    <row r="26" ht="24" customHeight="1">
      <c r="A26" s="14" t="inlineStr">
        <is>
          <t>BILLETES</t>
        </is>
      </c>
      <c r="B26" s="26" t="n"/>
      <c r="C26" s="20" t="n"/>
    </row>
    <row r="27" ht="22" customHeight="1">
      <c r="A27" s="37" t="inlineStr">
        <is>
          <t>500 €</t>
        </is>
      </c>
      <c r="B27" s="38" t="n">
        <v>0</v>
      </c>
      <c r="C27" s="39">
        <f>B27*500</f>
        <v>0.0</v>
      </c>
    </row>
    <row r="28" ht="22" customHeight="1">
      <c r="A28" s="40" t="inlineStr">
        <is>
          <t>200 €</t>
        </is>
      </c>
      <c r="B28" s="38" t="n">
        <v>0</v>
      </c>
      <c r="C28" s="41">
        <f>B28*200</f>
        <v>0.0</v>
      </c>
    </row>
    <row r="29" ht="22" customHeight="1">
      <c r="A29" s="37" t="inlineStr">
        <is>
          <t>100 €</t>
        </is>
      </c>
      <c r="B29" s="38" t="n">
        <v>0</v>
      </c>
      <c r="C29" s="39">
        <f>B29*100</f>
        <v>0.0</v>
      </c>
    </row>
    <row r="30" ht="22" customHeight="1">
      <c r="A30" s="40" t="inlineStr">
        <is>
          <t>50 €</t>
        </is>
      </c>
      <c r="B30" s="38" t="n">
        <v>0</v>
      </c>
      <c r="C30" s="41">
        <f>B30*50</f>
        <v>0.0</v>
      </c>
    </row>
    <row r="31" ht="22" customHeight="1">
      <c r="A31" s="37" t="inlineStr">
        <is>
          <t>20 €</t>
        </is>
      </c>
      <c r="B31" s="38" t="n">
        <v>0</v>
      </c>
      <c r="C31" s="39">
        <f>B31*20</f>
        <v>0.0</v>
      </c>
    </row>
    <row r="32" ht="22" customHeight="1">
      <c r="A32" s="40" t="inlineStr">
        <is>
          <t>10 €</t>
        </is>
      </c>
      <c r="B32" s="38" t="n">
        <v>0</v>
      </c>
      <c r="C32" s="41">
        <f>B32*10</f>
        <v>0.0</v>
      </c>
    </row>
    <row r="33" ht="22" customHeight="1">
      <c r="A33" s="37" t="inlineStr">
        <is>
          <t>5 €</t>
        </is>
      </c>
      <c r="B33" s="38" t="n">
        <v>0</v>
      </c>
      <c r="C33" s="39">
        <f>B33*5</f>
        <v>0.0</v>
      </c>
    </row>
    <row r="34" ht="24" customHeight="1">
      <c r="A34" s="14" t="inlineStr">
        <is>
          <t>MONEDAS</t>
        </is>
      </c>
      <c r="B34" s="26" t="n"/>
      <c r="C34" s="20" t="n"/>
    </row>
    <row r="35" ht="22" customHeight="1">
      <c r="A35" s="37" t="inlineStr">
        <is>
          <t>2 €</t>
        </is>
      </c>
      <c r="B35" s="38" t="n">
        <v>0</v>
      </c>
      <c r="C35" s="39">
        <f>B35*2</f>
        <v>0.0</v>
      </c>
    </row>
    <row r="36" ht="22" customHeight="1">
      <c r="A36" s="40" t="inlineStr">
        <is>
          <t>1 €</t>
        </is>
      </c>
      <c r="B36" s="38" t="n">
        <v>0</v>
      </c>
      <c r="C36" s="41">
        <f>B36*1</f>
        <v>0.0</v>
      </c>
    </row>
    <row r="37" ht="22" customHeight="1">
      <c r="A37" s="37" t="inlineStr">
        <is>
          <t>0,50 €</t>
        </is>
      </c>
      <c r="B37" s="38" t="n">
        <v>0</v>
      </c>
      <c r="C37" s="39">
        <f>B37*0.5</f>
        <v>0.0</v>
      </c>
    </row>
    <row r="38" ht="22" customHeight="1">
      <c r="A38" s="40" t="inlineStr">
        <is>
          <t>0,20 €</t>
        </is>
      </c>
      <c r="B38" s="38" t="n">
        <v>0</v>
      </c>
      <c r="C38" s="41">
        <f>B38*0.2</f>
        <v>0.0</v>
      </c>
    </row>
    <row r="39" ht="22" customHeight="1">
      <c r="A39" s="37" t="inlineStr">
        <is>
          <t>0,10 €</t>
        </is>
      </c>
      <c r="B39" s="38" t="n">
        <v>0</v>
      </c>
      <c r="C39" s="39">
        <f>B39*0.1</f>
        <v>0.0</v>
      </c>
    </row>
    <row r="40" ht="22" customHeight="1">
      <c r="A40" s="40" t="inlineStr">
        <is>
          <t>0,05 €</t>
        </is>
      </c>
      <c r="B40" s="38" t="n">
        <v>0</v>
      </c>
      <c r="C40" s="41">
        <f>B40*0.05</f>
        <v>0.0</v>
      </c>
    </row>
    <row r="41" ht="22" customHeight="1">
      <c r="A41" s="37" t="inlineStr">
        <is>
          <t>0,02 €</t>
        </is>
      </c>
      <c r="B41" s="38" t="n">
        <v>0</v>
      </c>
      <c r="C41" s="39">
        <f>B41*0.02</f>
        <v>0.0</v>
      </c>
    </row>
    <row r="42" ht="22" customHeight="1">
      <c r="A42" s="40" t="inlineStr">
        <is>
          <t>0,01 €</t>
        </is>
      </c>
      <c r="B42" s="38" t="n">
        <v>0</v>
      </c>
      <c r="C42" s="41">
        <f>B42*0.01</f>
        <v>0.0</v>
      </c>
    </row>
    <row r="43" ht="28" customHeight="1">
      <c r="A43" s="19" t="inlineStr">
        <is>
          <t>TOTAL EFECTIVO</t>
        </is>
      </c>
      <c r="B43" s="20" t="n"/>
      <c r="C43" s="21">
        <f>SUM(C27:C42)</f>
        <v>0.0</v>
      </c>
    </row>
    <row r="44"/>
    <row r="45" ht="30" customHeight="1">
      <c r="A45" s="13" t="inlineStr">
        <is>
          <t>📊 Resumen de Cierre</t>
        </is>
      </c>
    </row>
    <row r="46" ht="26" customHeight="1">
      <c r="A46" s="7" t="inlineStr">
        <is>
          <t>Concepto</t>
        </is>
      </c>
      <c r="B46" s="20" t="n"/>
      <c r="C46" s="42" t="inlineStr">
        <is>
          <t>Importe (€)</t>
        </is>
      </c>
    </row>
    <row r="47" ht="24" customHeight="1">
      <c r="A47" s="9" t="inlineStr">
        <is>
          <t>Total Efectivo (recuento)</t>
        </is>
      </c>
      <c r="B47" s="20" t="n"/>
      <c r="C47" s="43">
        <f>C43</f>
        <v>0.0</v>
      </c>
    </row>
    <row r="48" ht="24" customHeight="1">
      <c r="A48" s="9" t="inlineStr">
        <is>
          <t>Fondo de caja inicial (−)</t>
        </is>
      </c>
      <c r="B48" s="20" t="n"/>
      <c r="C48" s="43">
        <f>IFERROR('Apertura de Caja'!C23,0)</f>
        <v>0.0</v>
      </c>
    </row>
    <row r="49" ht="24" customHeight="1">
      <c r="A49" s="9" t="inlineStr">
        <is>
          <t>Ventas en efectivo (contado − fondo)</t>
        </is>
      </c>
      <c r="B49" s="20" t="n"/>
      <c r="C49" s="43">
        <f>IFERROR(C47-C48,0)</f>
        <v>0.0</v>
      </c>
    </row>
    <row r="50" ht="24" customHeight="1">
      <c r="A50" s="11" t="inlineStr">
        <is>
          <t>Total Tarjetas (Visa/MC)</t>
        </is>
      </c>
      <c r="B50" s="20" t="n"/>
      <c r="C50" s="44" t="n">
        <v>0</v>
      </c>
    </row>
    <row r="51" ht="24" customHeight="1">
      <c r="A51" s="9" t="inlineStr">
        <is>
          <t>Total Otros (Bizum, Vales)</t>
        </is>
      </c>
      <c r="B51" s="20" t="n"/>
      <c r="C51" s="44" t="n">
        <v>0</v>
      </c>
    </row>
    <row r="52" ht="24" customHeight="1">
      <c r="A52" s="22" t="inlineStr">
        <is>
          <t>TOTAL FACTURADO</t>
        </is>
      </c>
      <c r="B52" s="20" t="n"/>
      <c r="C52" s="45">
        <f>C49+C50+C51</f>
        <v>0.0</v>
      </c>
    </row>
    <row r="53" ht="24" customHeight="1">
      <c r="A53" s="9" t="inlineStr">
        <is>
          <t>Z del TPV</t>
        </is>
      </c>
      <c r="B53" s="20" t="n"/>
      <c r="C53" s="44" t="n">
        <v>0</v>
      </c>
    </row>
    <row r="54" ht="24" customHeight="1">
      <c r="A54" s="22" t="inlineStr">
        <is>
          <t>DESCUADRE</t>
        </is>
      </c>
      <c r="B54" s="20" t="n"/>
      <c r="C54" s="45">
        <f>IFERROR(C52-C53,0)</f>
        <v>0.0</v>
      </c>
    </row>
    <row r="55"/>
    <row r="56" ht="30" customHeight="1">
      <c r="A56" s="6" t="inlineStr">
        <is>
          <t>Firma del responsable: _________________________     Hora: ________</t>
        </is>
      </c>
    </row>
    <row r="57">
      <c r="A57" s="12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26:C26"/>
    <mergeCell ref="A1:G1"/>
    <mergeCell ref="A23:B23"/>
    <mergeCell ref="D2:G2"/>
    <mergeCell ref="A2:C2"/>
    <mergeCell ref="A34:C34"/>
    <mergeCell ref="A45:C45"/>
    <mergeCell ref="A46:B46"/>
    <mergeCell ref="A50:B50"/>
    <mergeCell ref="A43:B43"/>
    <mergeCell ref="A51:B51"/>
    <mergeCell ref="A53:B53"/>
    <mergeCell ref="A24:G24"/>
    <mergeCell ref="A57:G57"/>
    <mergeCell ref="A52:B52"/>
    <mergeCell ref="A47:B47"/>
    <mergeCell ref="A49:B49"/>
    <mergeCell ref="A54:B54"/>
    <mergeCell ref="A56:G56"/>
    <mergeCell ref="A48:B48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  <dataValidation sqref="B27 B28 B29 B30 B31 B32 B33 B35 B36 B37 B38 B39 B40 B41 B42" showDropDown="0" showInputMessage="0" showErrorMessage="1" allowBlank="1" errorTitle="Cantidad no válida" error="Escribe el número de billetes o monedas: un número entero y positivo, sin decimales." type="whole" errorStyle="stop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Registro Mensual de Caja — Hamburguesería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Efectivo Contado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Z del TPV</t>
        </is>
      </c>
      <c r="H4" s="7" t="inlineStr">
        <is>
          <t>Descuadre</t>
        </is>
      </c>
      <c r="I4" s="7" t="inlineStr">
        <is>
          <t>Depósito</t>
        </is>
      </c>
      <c r="J4" s="7" t="inlineStr">
        <is>
          <t>Responsable</t>
        </is>
      </c>
    </row>
    <row r="5" ht="22" customHeight="1">
      <c r="A5" s="15" t="n">
        <v>1</v>
      </c>
      <c r="B5" s="46" t="n">
        <v>0</v>
      </c>
      <c r="C5" s="46" t="n">
        <v>0</v>
      </c>
      <c r="D5" s="46" t="n">
        <v>0</v>
      </c>
      <c r="E5" s="46" t="n">
        <v>0</v>
      </c>
      <c r="F5" s="16">
        <f>IF(SUM(C5:E5)=0,0,SUM(C5:E5)-B5)</f>
        <v>0.0</v>
      </c>
      <c r="G5" s="46" t="n">
        <v>0</v>
      </c>
      <c r="H5" s="16">
        <f>IFERROR(F5-G5,0)</f>
        <v>0.0</v>
      </c>
      <c r="I5" s="46" t="n">
        <v>0</v>
      </c>
      <c r="J5" s="32" t="n"/>
    </row>
    <row r="6" ht="22" customHeight="1">
      <c r="A6" s="17" t="n">
        <v>2</v>
      </c>
      <c r="B6" s="46" t="n">
        <v>0</v>
      </c>
      <c r="C6" s="46" t="n">
        <v>0</v>
      </c>
      <c r="D6" s="46" t="n">
        <v>0</v>
      </c>
      <c r="E6" s="46" t="n">
        <v>0</v>
      </c>
      <c r="F6" s="18">
        <f>IF(SUM(C6:E6)=0,0,SUM(C6:E6)-B6)</f>
        <v>0.0</v>
      </c>
      <c r="G6" s="46" t="n">
        <v>0</v>
      </c>
      <c r="H6" s="18">
        <f>IFERROR(F6-G6,0)</f>
        <v>0.0</v>
      </c>
      <c r="I6" s="46" t="n">
        <v>0</v>
      </c>
      <c r="J6" s="32" t="n"/>
    </row>
    <row r="7" ht="22" customHeight="1">
      <c r="A7" s="15" t="n">
        <v>3</v>
      </c>
      <c r="B7" s="46" t="n">
        <v>0</v>
      </c>
      <c r="C7" s="46" t="n">
        <v>0</v>
      </c>
      <c r="D7" s="46" t="n">
        <v>0</v>
      </c>
      <c r="E7" s="46" t="n">
        <v>0</v>
      </c>
      <c r="F7" s="16">
        <f>IF(SUM(C7:E7)=0,0,SUM(C7:E7)-B7)</f>
        <v>0.0</v>
      </c>
      <c r="G7" s="46" t="n">
        <v>0</v>
      </c>
      <c r="H7" s="16">
        <f>IFERROR(F7-G7,0)</f>
        <v>0.0</v>
      </c>
      <c r="I7" s="46" t="n">
        <v>0</v>
      </c>
      <c r="J7" s="32" t="n"/>
    </row>
    <row r="8" ht="22" customHeight="1">
      <c r="A8" s="17" t="n">
        <v>4</v>
      </c>
      <c r="B8" s="46" t="n">
        <v>0</v>
      </c>
      <c r="C8" s="46" t="n">
        <v>0</v>
      </c>
      <c r="D8" s="46" t="n">
        <v>0</v>
      </c>
      <c r="E8" s="46" t="n">
        <v>0</v>
      </c>
      <c r="F8" s="18">
        <f>IF(SUM(C8:E8)=0,0,SUM(C8:E8)-B8)</f>
        <v>0.0</v>
      </c>
      <c r="G8" s="46" t="n">
        <v>0</v>
      </c>
      <c r="H8" s="18">
        <f>IFERROR(F8-G8,0)</f>
        <v>0.0</v>
      </c>
      <c r="I8" s="46" t="n">
        <v>0</v>
      </c>
      <c r="J8" s="32" t="n"/>
    </row>
    <row r="9" ht="22" customHeight="1">
      <c r="A9" s="15" t="n">
        <v>5</v>
      </c>
      <c r="B9" s="46" t="n">
        <v>0</v>
      </c>
      <c r="C9" s="46" t="n">
        <v>0</v>
      </c>
      <c r="D9" s="46" t="n">
        <v>0</v>
      </c>
      <c r="E9" s="46" t="n">
        <v>0</v>
      </c>
      <c r="F9" s="16">
        <f>IF(SUM(C9:E9)=0,0,SUM(C9:E9)-B9)</f>
        <v>0.0</v>
      </c>
      <c r="G9" s="46" t="n">
        <v>0</v>
      </c>
      <c r="H9" s="16">
        <f>IFERROR(F9-G9,0)</f>
        <v>0.0</v>
      </c>
      <c r="I9" s="46" t="n">
        <v>0</v>
      </c>
      <c r="J9" s="32" t="n"/>
    </row>
    <row r="10" ht="22" customHeight="1">
      <c r="A10" s="17" t="n">
        <v>6</v>
      </c>
      <c r="B10" s="46" t="n">
        <v>0</v>
      </c>
      <c r="C10" s="46" t="n">
        <v>0</v>
      </c>
      <c r="D10" s="46" t="n">
        <v>0</v>
      </c>
      <c r="E10" s="46" t="n">
        <v>0</v>
      </c>
      <c r="F10" s="18">
        <f>IF(SUM(C10:E10)=0,0,SUM(C10:E10)-B10)</f>
        <v>0.0</v>
      </c>
      <c r="G10" s="46" t="n">
        <v>0</v>
      </c>
      <c r="H10" s="18">
        <f>IFERROR(F10-G10,0)</f>
        <v>0.0</v>
      </c>
      <c r="I10" s="46" t="n">
        <v>0</v>
      </c>
      <c r="J10" s="32" t="n"/>
    </row>
    <row r="11" ht="22" customHeight="1">
      <c r="A11" s="15" t="n">
        <v>7</v>
      </c>
      <c r="B11" s="46" t="n">
        <v>0</v>
      </c>
      <c r="C11" s="46" t="n">
        <v>0</v>
      </c>
      <c r="D11" s="46" t="n">
        <v>0</v>
      </c>
      <c r="E11" s="46" t="n">
        <v>0</v>
      </c>
      <c r="F11" s="16">
        <f>IF(SUM(C11:E11)=0,0,SUM(C11:E11)-B11)</f>
        <v>0.0</v>
      </c>
      <c r="G11" s="46" t="n">
        <v>0</v>
      </c>
      <c r="H11" s="16">
        <f>IFERROR(F11-G11,0)</f>
        <v>0.0</v>
      </c>
      <c r="I11" s="46" t="n">
        <v>0</v>
      </c>
      <c r="J11" s="32" t="n"/>
    </row>
    <row r="12" ht="22" customHeight="1">
      <c r="A12" s="17" t="n">
        <v>8</v>
      </c>
      <c r="B12" s="46" t="n">
        <v>0</v>
      </c>
      <c r="C12" s="46" t="n">
        <v>0</v>
      </c>
      <c r="D12" s="46" t="n">
        <v>0</v>
      </c>
      <c r="E12" s="46" t="n">
        <v>0</v>
      </c>
      <c r="F12" s="18">
        <f>IF(SUM(C12:E12)=0,0,SUM(C12:E12)-B12)</f>
        <v>0.0</v>
      </c>
      <c r="G12" s="46" t="n">
        <v>0</v>
      </c>
      <c r="H12" s="18">
        <f>IFERROR(F12-G12,0)</f>
        <v>0.0</v>
      </c>
      <c r="I12" s="46" t="n">
        <v>0</v>
      </c>
      <c r="J12" s="32" t="n"/>
    </row>
    <row r="13" ht="22" customHeight="1">
      <c r="A13" s="15" t="n">
        <v>9</v>
      </c>
      <c r="B13" s="46" t="n">
        <v>0</v>
      </c>
      <c r="C13" s="46" t="n">
        <v>0</v>
      </c>
      <c r="D13" s="46" t="n">
        <v>0</v>
      </c>
      <c r="E13" s="46" t="n">
        <v>0</v>
      </c>
      <c r="F13" s="16">
        <f>IF(SUM(C13:E13)=0,0,SUM(C13:E13)-B13)</f>
        <v>0.0</v>
      </c>
      <c r="G13" s="46" t="n">
        <v>0</v>
      </c>
      <c r="H13" s="16">
        <f>IFERROR(F13-G13,0)</f>
        <v>0.0</v>
      </c>
      <c r="I13" s="46" t="n">
        <v>0</v>
      </c>
      <c r="J13" s="32" t="n"/>
    </row>
    <row r="14" ht="22" customHeight="1">
      <c r="A14" s="17" t="n">
        <v>10</v>
      </c>
      <c r="B14" s="46" t="n">
        <v>0</v>
      </c>
      <c r="C14" s="46" t="n">
        <v>0</v>
      </c>
      <c r="D14" s="46" t="n">
        <v>0</v>
      </c>
      <c r="E14" s="46" t="n">
        <v>0</v>
      </c>
      <c r="F14" s="18">
        <f>IF(SUM(C14:E14)=0,0,SUM(C14:E14)-B14)</f>
        <v>0.0</v>
      </c>
      <c r="G14" s="46" t="n">
        <v>0</v>
      </c>
      <c r="H14" s="18">
        <f>IFERROR(F14-G14,0)</f>
        <v>0.0</v>
      </c>
      <c r="I14" s="46" t="n">
        <v>0</v>
      </c>
      <c r="J14" s="32" t="n"/>
    </row>
    <row r="15" ht="22" customHeight="1">
      <c r="A15" s="15" t="n">
        <v>11</v>
      </c>
      <c r="B15" s="46" t="n">
        <v>0</v>
      </c>
      <c r="C15" s="46" t="n">
        <v>0</v>
      </c>
      <c r="D15" s="46" t="n">
        <v>0</v>
      </c>
      <c r="E15" s="46" t="n">
        <v>0</v>
      </c>
      <c r="F15" s="16">
        <f>IF(SUM(C15:E15)=0,0,SUM(C15:E15)-B15)</f>
        <v>0.0</v>
      </c>
      <c r="G15" s="46" t="n">
        <v>0</v>
      </c>
      <c r="H15" s="16">
        <f>IFERROR(F15-G15,0)</f>
        <v>0.0</v>
      </c>
      <c r="I15" s="46" t="n">
        <v>0</v>
      </c>
      <c r="J15" s="32" t="n"/>
    </row>
    <row r="16" ht="22" customHeight="1">
      <c r="A16" s="17" t="n">
        <v>12</v>
      </c>
      <c r="B16" s="46" t="n">
        <v>0</v>
      </c>
      <c r="C16" s="46" t="n">
        <v>0</v>
      </c>
      <c r="D16" s="46" t="n">
        <v>0</v>
      </c>
      <c r="E16" s="46" t="n">
        <v>0</v>
      </c>
      <c r="F16" s="18">
        <f>IF(SUM(C16:E16)=0,0,SUM(C16:E16)-B16)</f>
        <v>0.0</v>
      </c>
      <c r="G16" s="46" t="n">
        <v>0</v>
      </c>
      <c r="H16" s="18">
        <f>IFERROR(F16-G16,0)</f>
        <v>0.0</v>
      </c>
      <c r="I16" s="46" t="n">
        <v>0</v>
      </c>
      <c r="J16" s="32" t="n"/>
    </row>
    <row r="17" ht="22" customHeight="1">
      <c r="A17" s="15" t="n">
        <v>13</v>
      </c>
      <c r="B17" s="46" t="n">
        <v>0</v>
      </c>
      <c r="C17" s="46" t="n">
        <v>0</v>
      </c>
      <c r="D17" s="46" t="n">
        <v>0</v>
      </c>
      <c r="E17" s="46" t="n">
        <v>0</v>
      </c>
      <c r="F17" s="16">
        <f>IF(SUM(C17:E17)=0,0,SUM(C17:E17)-B17)</f>
        <v>0.0</v>
      </c>
      <c r="G17" s="46" t="n">
        <v>0</v>
      </c>
      <c r="H17" s="16">
        <f>IFERROR(F17-G17,0)</f>
        <v>0.0</v>
      </c>
      <c r="I17" s="46" t="n">
        <v>0</v>
      </c>
      <c r="J17" s="32" t="n"/>
    </row>
    <row r="18" ht="22" customHeight="1">
      <c r="A18" s="17" t="n">
        <v>14</v>
      </c>
      <c r="B18" s="46" t="n">
        <v>0</v>
      </c>
      <c r="C18" s="46" t="n">
        <v>0</v>
      </c>
      <c r="D18" s="46" t="n">
        <v>0</v>
      </c>
      <c r="E18" s="46" t="n">
        <v>0</v>
      </c>
      <c r="F18" s="18">
        <f>IF(SUM(C18:E18)=0,0,SUM(C18:E18)-B18)</f>
        <v>0.0</v>
      </c>
      <c r="G18" s="46" t="n">
        <v>0</v>
      </c>
      <c r="H18" s="18">
        <f>IFERROR(F18-G18,0)</f>
        <v>0.0</v>
      </c>
      <c r="I18" s="46" t="n">
        <v>0</v>
      </c>
      <c r="J18" s="32" t="n"/>
    </row>
    <row r="19" ht="22" customHeight="1">
      <c r="A19" s="15" t="n">
        <v>15</v>
      </c>
      <c r="B19" s="46" t="n">
        <v>0</v>
      </c>
      <c r="C19" s="46" t="n">
        <v>0</v>
      </c>
      <c r="D19" s="46" t="n">
        <v>0</v>
      </c>
      <c r="E19" s="46" t="n">
        <v>0</v>
      </c>
      <c r="F19" s="16">
        <f>IF(SUM(C19:E19)=0,0,SUM(C19:E19)-B19)</f>
        <v>0.0</v>
      </c>
      <c r="G19" s="46" t="n">
        <v>0</v>
      </c>
      <c r="H19" s="16">
        <f>IFERROR(F19-G19,0)</f>
        <v>0.0</v>
      </c>
      <c r="I19" s="46" t="n">
        <v>0</v>
      </c>
      <c r="J19" s="32" t="n"/>
    </row>
    <row r="20" ht="22" customHeight="1">
      <c r="A20" s="17" t="n">
        <v>16</v>
      </c>
      <c r="B20" s="46" t="n">
        <v>0</v>
      </c>
      <c r="C20" s="46" t="n">
        <v>0</v>
      </c>
      <c r="D20" s="46" t="n">
        <v>0</v>
      </c>
      <c r="E20" s="46" t="n">
        <v>0</v>
      </c>
      <c r="F20" s="18">
        <f>IF(SUM(C20:E20)=0,0,SUM(C20:E20)-B20)</f>
        <v>0.0</v>
      </c>
      <c r="G20" s="46" t="n">
        <v>0</v>
      </c>
      <c r="H20" s="18">
        <f>IFERROR(F20-G20,0)</f>
        <v>0.0</v>
      </c>
      <c r="I20" s="46" t="n">
        <v>0</v>
      </c>
      <c r="J20" s="32" t="n"/>
    </row>
    <row r="21" ht="22" customHeight="1">
      <c r="A21" s="15" t="n">
        <v>17</v>
      </c>
      <c r="B21" s="46" t="n">
        <v>0</v>
      </c>
      <c r="C21" s="46" t="n">
        <v>0</v>
      </c>
      <c r="D21" s="46" t="n">
        <v>0</v>
      </c>
      <c r="E21" s="46" t="n">
        <v>0</v>
      </c>
      <c r="F21" s="16">
        <f>IF(SUM(C21:E21)=0,0,SUM(C21:E21)-B21)</f>
        <v>0.0</v>
      </c>
      <c r="G21" s="46" t="n">
        <v>0</v>
      </c>
      <c r="H21" s="16">
        <f>IFERROR(F21-G21,0)</f>
        <v>0.0</v>
      </c>
      <c r="I21" s="46" t="n">
        <v>0</v>
      </c>
      <c r="J21" s="32" t="n"/>
    </row>
    <row r="22" ht="22" customHeight="1">
      <c r="A22" s="17" t="n">
        <v>18</v>
      </c>
      <c r="B22" s="46" t="n">
        <v>0</v>
      </c>
      <c r="C22" s="46" t="n">
        <v>0</v>
      </c>
      <c r="D22" s="46" t="n">
        <v>0</v>
      </c>
      <c r="E22" s="46" t="n">
        <v>0</v>
      </c>
      <c r="F22" s="18">
        <f>IF(SUM(C22:E22)=0,0,SUM(C22:E22)-B22)</f>
        <v>0.0</v>
      </c>
      <c r="G22" s="46" t="n">
        <v>0</v>
      </c>
      <c r="H22" s="18">
        <f>IFERROR(F22-G22,0)</f>
        <v>0.0</v>
      </c>
      <c r="I22" s="46" t="n">
        <v>0</v>
      </c>
      <c r="J22" s="32" t="n"/>
    </row>
    <row r="23" ht="22" customHeight="1">
      <c r="A23" s="15" t="n">
        <v>19</v>
      </c>
      <c r="B23" s="46" t="n">
        <v>0</v>
      </c>
      <c r="C23" s="46" t="n">
        <v>0</v>
      </c>
      <c r="D23" s="46" t="n">
        <v>0</v>
      </c>
      <c r="E23" s="46" t="n">
        <v>0</v>
      </c>
      <c r="F23" s="16">
        <f>IF(SUM(C23:E23)=0,0,SUM(C23:E23)-B23)</f>
        <v>0.0</v>
      </c>
      <c r="G23" s="46" t="n">
        <v>0</v>
      </c>
      <c r="H23" s="16">
        <f>IFERROR(F23-G23,0)</f>
        <v>0.0</v>
      </c>
      <c r="I23" s="46" t="n">
        <v>0</v>
      </c>
      <c r="J23" s="32" t="n"/>
    </row>
    <row r="24" ht="22" customHeight="1">
      <c r="A24" s="17" t="n">
        <v>20</v>
      </c>
      <c r="B24" s="46" t="n">
        <v>0</v>
      </c>
      <c r="C24" s="46" t="n">
        <v>0</v>
      </c>
      <c r="D24" s="46" t="n">
        <v>0</v>
      </c>
      <c r="E24" s="46" t="n">
        <v>0</v>
      </c>
      <c r="F24" s="18">
        <f>IF(SUM(C24:E24)=0,0,SUM(C24:E24)-B24)</f>
        <v>0.0</v>
      </c>
      <c r="G24" s="46" t="n">
        <v>0</v>
      </c>
      <c r="H24" s="18">
        <f>IFERROR(F24-G24,0)</f>
        <v>0.0</v>
      </c>
      <c r="I24" s="46" t="n">
        <v>0</v>
      </c>
      <c r="J24" s="32" t="n"/>
    </row>
    <row r="25" ht="22" customHeight="1">
      <c r="A25" s="15" t="n">
        <v>21</v>
      </c>
      <c r="B25" s="46" t="n">
        <v>0</v>
      </c>
      <c r="C25" s="46" t="n">
        <v>0</v>
      </c>
      <c r="D25" s="46" t="n">
        <v>0</v>
      </c>
      <c r="E25" s="46" t="n">
        <v>0</v>
      </c>
      <c r="F25" s="16">
        <f>IF(SUM(C25:E25)=0,0,SUM(C25:E25)-B25)</f>
        <v>0.0</v>
      </c>
      <c r="G25" s="46" t="n">
        <v>0</v>
      </c>
      <c r="H25" s="16">
        <f>IFERROR(F25-G25,0)</f>
        <v>0.0</v>
      </c>
      <c r="I25" s="46" t="n">
        <v>0</v>
      </c>
      <c r="J25" s="32" t="n"/>
    </row>
    <row r="26" ht="22" customHeight="1">
      <c r="A26" s="17" t="n">
        <v>22</v>
      </c>
      <c r="B26" s="46" t="n">
        <v>0</v>
      </c>
      <c r="C26" s="46" t="n">
        <v>0</v>
      </c>
      <c r="D26" s="46" t="n">
        <v>0</v>
      </c>
      <c r="E26" s="46" t="n">
        <v>0</v>
      </c>
      <c r="F26" s="18">
        <f>IF(SUM(C26:E26)=0,0,SUM(C26:E26)-B26)</f>
        <v>0.0</v>
      </c>
      <c r="G26" s="46" t="n">
        <v>0</v>
      </c>
      <c r="H26" s="18">
        <f>IFERROR(F26-G26,0)</f>
        <v>0.0</v>
      </c>
      <c r="I26" s="46" t="n">
        <v>0</v>
      </c>
      <c r="J26" s="32" t="n"/>
    </row>
    <row r="27" ht="22" customHeight="1">
      <c r="A27" s="15" t="n">
        <v>23</v>
      </c>
      <c r="B27" s="46" t="n">
        <v>0</v>
      </c>
      <c r="C27" s="46" t="n">
        <v>0</v>
      </c>
      <c r="D27" s="46" t="n">
        <v>0</v>
      </c>
      <c r="E27" s="46" t="n">
        <v>0</v>
      </c>
      <c r="F27" s="16">
        <f>IF(SUM(C27:E27)=0,0,SUM(C27:E27)-B27)</f>
        <v>0.0</v>
      </c>
      <c r="G27" s="46" t="n">
        <v>0</v>
      </c>
      <c r="H27" s="16">
        <f>IFERROR(F27-G27,0)</f>
        <v>0.0</v>
      </c>
      <c r="I27" s="46" t="n">
        <v>0</v>
      </c>
      <c r="J27" s="32" t="n"/>
    </row>
    <row r="28" ht="22" customHeight="1">
      <c r="A28" s="17" t="n">
        <v>24</v>
      </c>
      <c r="B28" s="46" t="n">
        <v>0</v>
      </c>
      <c r="C28" s="46" t="n">
        <v>0</v>
      </c>
      <c r="D28" s="46" t="n">
        <v>0</v>
      </c>
      <c r="E28" s="46" t="n">
        <v>0</v>
      </c>
      <c r="F28" s="18">
        <f>IF(SUM(C28:E28)=0,0,SUM(C28:E28)-B28)</f>
        <v>0.0</v>
      </c>
      <c r="G28" s="46" t="n">
        <v>0</v>
      </c>
      <c r="H28" s="18">
        <f>IFERROR(F28-G28,0)</f>
        <v>0.0</v>
      </c>
      <c r="I28" s="46" t="n">
        <v>0</v>
      </c>
      <c r="J28" s="32" t="n"/>
    </row>
    <row r="29" ht="22" customHeight="1">
      <c r="A29" s="15" t="n">
        <v>25</v>
      </c>
      <c r="B29" s="46" t="n">
        <v>0</v>
      </c>
      <c r="C29" s="46" t="n">
        <v>0</v>
      </c>
      <c r="D29" s="46" t="n">
        <v>0</v>
      </c>
      <c r="E29" s="46" t="n">
        <v>0</v>
      </c>
      <c r="F29" s="16">
        <f>IF(SUM(C29:E29)=0,0,SUM(C29:E29)-B29)</f>
        <v>0.0</v>
      </c>
      <c r="G29" s="46" t="n">
        <v>0</v>
      </c>
      <c r="H29" s="16">
        <f>IFERROR(F29-G29,0)</f>
        <v>0.0</v>
      </c>
      <c r="I29" s="46" t="n">
        <v>0</v>
      </c>
      <c r="J29" s="32" t="n"/>
    </row>
    <row r="30" ht="22" customHeight="1">
      <c r="A30" s="17" t="n">
        <v>26</v>
      </c>
      <c r="B30" s="46" t="n">
        <v>0</v>
      </c>
      <c r="C30" s="46" t="n">
        <v>0</v>
      </c>
      <c r="D30" s="46" t="n">
        <v>0</v>
      </c>
      <c r="E30" s="46" t="n">
        <v>0</v>
      </c>
      <c r="F30" s="18">
        <f>IF(SUM(C30:E30)=0,0,SUM(C30:E30)-B30)</f>
        <v>0.0</v>
      </c>
      <c r="G30" s="46" t="n">
        <v>0</v>
      </c>
      <c r="H30" s="18">
        <f>IFERROR(F30-G30,0)</f>
        <v>0.0</v>
      </c>
      <c r="I30" s="46" t="n">
        <v>0</v>
      </c>
      <c r="J30" s="32" t="n"/>
    </row>
    <row r="31" ht="22" customHeight="1">
      <c r="A31" s="15" t="n">
        <v>27</v>
      </c>
      <c r="B31" s="46" t="n">
        <v>0</v>
      </c>
      <c r="C31" s="46" t="n">
        <v>0</v>
      </c>
      <c r="D31" s="46" t="n">
        <v>0</v>
      </c>
      <c r="E31" s="46" t="n">
        <v>0</v>
      </c>
      <c r="F31" s="16">
        <f>IF(SUM(C31:E31)=0,0,SUM(C31:E31)-B31)</f>
        <v>0.0</v>
      </c>
      <c r="G31" s="46" t="n">
        <v>0</v>
      </c>
      <c r="H31" s="16">
        <f>IFERROR(F31-G31,0)</f>
        <v>0.0</v>
      </c>
      <c r="I31" s="46" t="n">
        <v>0</v>
      </c>
      <c r="J31" s="32" t="n"/>
    </row>
    <row r="32" ht="22" customHeight="1">
      <c r="A32" s="17" t="n">
        <v>28</v>
      </c>
      <c r="B32" s="46" t="n">
        <v>0</v>
      </c>
      <c r="C32" s="46" t="n">
        <v>0</v>
      </c>
      <c r="D32" s="46" t="n">
        <v>0</v>
      </c>
      <c r="E32" s="46" t="n">
        <v>0</v>
      </c>
      <c r="F32" s="18">
        <f>IF(SUM(C32:E32)=0,0,SUM(C32:E32)-B32)</f>
        <v>0.0</v>
      </c>
      <c r="G32" s="46" t="n">
        <v>0</v>
      </c>
      <c r="H32" s="18">
        <f>IFERROR(F32-G32,0)</f>
        <v>0.0</v>
      </c>
      <c r="I32" s="46" t="n">
        <v>0</v>
      </c>
      <c r="J32" s="32" t="n"/>
    </row>
    <row r="33" ht="22" customHeight="1">
      <c r="A33" s="15" t="n">
        <v>29</v>
      </c>
      <c r="B33" s="46" t="n">
        <v>0</v>
      </c>
      <c r="C33" s="46" t="n">
        <v>0</v>
      </c>
      <c r="D33" s="46" t="n">
        <v>0</v>
      </c>
      <c r="E33" s="46" t="n">
        <v>0</v>
      </c>
      <c r="F33" s="16">
        <f>IF(SUM(C33:E33)=0,0,SUM(C33:E33)-B33)</f>
        <v>0.0</v>
      </c>
      <c r="G33" s="46" t="n">
        <v>0</v>
      </c>
      <c r="H33" s="16">
        <f>IFERROR(F33-G33,0)</f>
        <v>0.0</v>
      </c>
      <c r="I33" s="46" t="n">
        <v>0</v>
      </c>
      <c r="J33" s="32" t="n"/>
    </row>
    <row r="34" ht="22" customHeight="1">
      <c r="A34" s="17" t="n">
        <v>30</v>
      </c>
      <c r="B34" s="46" t="n">
        <v>0</v>
      </c>
      <c r="C34" s="46" t="n">
        <v>0</v>
      </c>
      <c r="D34" s="46" t="n">
        <v>0</v>
      </c>
      <c r="E34" s="46" t="n">
        <v>0</v>
      </c>
      <c r="F34" s="18">
        <f>IF(SUM(C34:E34)=0,0,SUM(C34:E34)-B34)</f>
        <v>0.0</v>
      </c>
      <c r="G34" s="46" t="n">
        <v>0</v>
      </c>
      <c r="H34" s="18">
        <f>IFERROR(F34-G34,0)</f>
        <v>0.0</v>
      </c>
      <c r="I34" s="46" t="n">
        <v>0</v>
      </c>
      <c r="J34" s="32" t="n"/>
    </row>
    <row r="35" ht="22" customHeight="1">
      <c r="A35" s="15" t="n">
        <v>31</v>
      </c>
      <c r="B35" s="46" t="n">
        <v>0</v>
      </c>
      <c r="C35" s="46" t="n">
        <v>0</v>
      </c>
      <c r="D35" s="46" t="n">
        <v>0</v>
      </c>
      <c r="E35" s="46" t="n">
        <v>0</v>
      </c>
      <c r="F35" s="16">
        <f>IF(SUM(C35:E35)=0,0,SUM(C35:E35)-B35)</f>
        <v>0.0</v>
      </c>
      <c r="G35" s="46" t="n">
        <v>0</v>
      </c>
      <c r="H35" s="16">
        <f>IFERROR(F35-G35,0)</f>
        <v>0.0</v>
      </c>
      <c r="I35" s="46" t="n">
        <v>0</v>
      </c>
      <c r="J35" s="32" t="n"/>
    </row>
    <row r="36" ht="28" customHeight="1">
      <c r="A36" s="19" t="inlineStr">
        <is>
          <t>TOTALES</t>
        </is>
      </c>
      <c r="B36" s="24">
        <f>IFERROR(AVERAGEIF(B5:B35,"&gt;0"),0)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SUMIF(H5:H35,"&gt;0")-SUMIF(H5:H35,"&lt;0")</f>
        <v>0.0</v>
      </c>
      <c r="I36" s="24">
        <f>SUM(I5:I35)</f>
        <v>0.0</v>
      </c>
      <c r="J36" s="19" t="n"/>
    </row>
    <row r="37">
      <c r="A37" s="47" t="inlineStr">
        <is>
          <t>«Efectivo Contado» es el recuento del cajón TAL CUAL, con el fondo dentro: el Total Facturado ya lo descuenta. En TOTALES, «Fondo Apertura» es el fondo MEDIO de los días anotados (un saldo no se suma) y «Descuadre» es el descuadre ACUMULADO en valor absoluto: un +50 y un −50 son 100 € de descuadre, no 0.</t>
        </is>
      </c>
    </row>
    <row r="38">
      <c r="A38" s="12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38:J38"/>
    <mergeCell ref="F2:J2"/>
    <mergeCell ref="A37:J37"/>
    <mergeCell ref="A1:J1"/>
    <mergeCell ref="A2:E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 Caja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2026-08-23T15:35:19Z</dcterms:modified>
  <cp:lastModifiedBy>AI Chef Pro</cp:lastModifiedBy>
  <cp:category>AI Chef Pro · Productos digitales</cp:category>
  <cp:keywords>kit tareas hamburgueseria, AI Chef Pro</cp:keywords>
</cp:coreProperties>
</file>