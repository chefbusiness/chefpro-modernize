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ventario Diario" sheetId="2" state="visible" r:id="rId2"/>
    <sheet xmlns:r="http://schemas.openxmlformats.org/officeDocument/2006/relationships" name="Limpieza Semanal" sheetId="3" state="visible" r:id="rId3"/>
    <sheet xmlns:r="http://schemas.openxmlformats.org/officeDocument/2006/relationships" name="FIFO Semanal" sheetId="4" state="visible" r:id="rId4"/>
    <sheet xmlns:r="http://schemas.openxmlformats.org/officeDocument/2006/relationships" name="Mantenimiento Mensual" sheetId="5" state="visible" r:id="rId5"/>
    <sheet xmlns:r="http://schemas.openxmlformats.org/officeDocument/2006/relationships" name="Trimestral y Anual" sheetId="6" state="visible" r:id="rId6"/>
  </sheets>
  <definedNames>
    <definedName name="_xlnm.Print_Area" localSheetId="0">'Instrucciones'!$A$1:$B$40</definedName>
    <definedName name="_xlnm.Print_Titles" localSheetId="1">'Inventario Diario'!$4:$4</definedName>
    <definedName name="_xlnm.Print_Area" localSheetId="1">'Inventario Diario'!$A$1:$F$40</definedName>
    <definedName name="_xlnm.Print_Titles" localSheetId="2">'Limpieza Semanal'!$4:$4</definedName>
    <definedName name="_xlnm.Print_Area" localSheetId="2">'Limpieza Semanal'!$A$1:$G$25</definedName>
    <definedName name="_xlnm.Print_Titles" localSheetId="3">'FIFO Semanal'!$4:$4</definedName>
    <definedName name="_xlnm.Print_Area" localSheetId="3">'FIFO Semanal'!$A$1:$G$38</definedName>
    <definedName name="_xlnm.Print_Titles" localSheetId="4">'Mantenimiento Mensual'!$4:$4</definedName>
    <definedName name="_xlnm.Print_Area" localSheetId="4">'Mantenimiento Mensual'!$A$1:$G$25</definedName>
    <definedName name="_xlnm.Print_Titles" localSheetId="5">'Trimestral y Anual'!$4:$4</definedName>
    <definedName name="_xlnm.Print_Area" localSheetId="5">'Trimestral y Anual'!$A$1:$G$32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name val="Calibri"/>
      <sz val="10"/>
    </font>
    <font>
      <b val="1"/>
      <sz val="9"/>
    </font>
    <font>
      <name val="Calibri"/>
      <i val="1"/>
      <color rgb="00888888"/>
      <sz val="8"/>
    </font>
    <font>
      <sz val="10"/>
    </font>
    <font>
      <b val="1"/>
      <sz val="10"/>
    </font>
    <font>
      <b val="1"/>
      <color rgb="00228B22"/>
      <sz val="10"/>
    </font>
    <font>
      <name val="Calibri"/>
      <color rgb="00666666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0" pivotButton="0" quotePrefix="0" xfId="0"/>
    <xf numFmtId="0" fontId="6" fillId="4" borderId="1" pivotButton="0" quotePrefix="0" xfId="0"/>
    <xf numFmtId="0" fontId="0" fillId="4" borderId="1" pivotButton="0" quotePrefix="0" xfId="0"/>
    <xf numFmtId="0" fontId="4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6" fillId="5" borderId="1" pivotButton="0" quotePrefix="0" xfId="0"/>
    <xf numFmtId="0" fontId="0" fillId="5" borderId="1" pivotButton="0" quotePrefix="0" xfId="0"/>
    <xf numFmtId="0" fontId="4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  <xf numFmtId="0" fontId="12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3" fillId="3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2" fillId="4" borderId="1" applyAlignment="1" applyProtection="1" pivotButton="0" quotePrefix="0" xfId="0">
      <alignment horizontal="center" vertical="center"/>
      <protection locked="0" hidden="0"/>
    </xf>
    <xf numFmtId="0" fontId="6" fillId="4" borderId="1" applyProtection="1" pivotButton="0" quotePrefix="0" xfId="0">
      <protection locked="0" hidden="0"/>
    </xf>
    <xf numFmtId="0" fontId="4" fillId="6" borderId="1" applyAlignment="1" applyProtection="1" pivotButton="0" quotePrefix="0" xfId="0">
      <alignment horizontal="center"/>
      <protection locked="0" hidden="0"/>
    </xf>
    <xf numFmtId="0" fontId="0" fillId="6" borderId="1" applyProtection="1" pivotButton="0" quotePrefix="0" xfId="0">
      <protection locked="0" hidden="0"/>
    </xf>
    <xf numFmtId="0" fontId="12" fillId="5" borderId="1" applyAlignment="1" applyProtection="1" pivotButton="0" quotePrefix="0" xfId="0">
      <alignment horizontal="center" vertical="center"/>
      <protection locked="0" hidden="0"/>
    </xf>
    <xf numFmtId="0" fontId="6" fillId="5" borderId="1" applyProtection="1" pivotButton="0" quotePrefix="0" xfId="0">
      <protection locked="0" hidden="0"/>
    </xf>
    <xf numFmtId="0" fontId="12" fillId="6" borderId="1" applyAlignment="1" applyProtection="1" pivotButton="0" quotePrefix="0" xfId="0">
      <alignment horizontal="center" vertical="center"/>
      <protection locked="0" hidden="0"/>
    </xf>
    <xf numFmtId="0" fontId="6" fillId="6" borderId="1" applyProtection="1" pivotButton="0" quotePrefix="0" xfId="0"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40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22" t="inlineStr">
        <is>
          <t>Tareas Semanales, Mensuales e Inventarios — Hamburguesería</t>
        </is>
      </c>
    </row>
    <row r="3"/>
    <row r="4" ht="18" customHeight="1">
      <c r="B4" s="23" t="inlineStr">
        <is>
          <t>Trimestral, anual y vida útil en congelación</t>
        </is>
      </c>
    </row>
    <row r="5"/>
    <row r="6" ht="48" customHeight="1">
      <c r="B6" s="24" t="inlineStr">
        <is>
          <t>▸ La hoja «Trimestral y Anual» recoge el mantenimiento que se CONTRATA y que se pide en una inspección: DDD, conductos de extracción, extintores y BIE, instalación de gas, frigorista, aceite usado por gestor autorizado, legionela, agua, seguro y facturación.</t>
        </is>
      </c>
    </row>
    <row r="7" ht="32" customHeight="1">
      <c r="B7" s="24" t="inlineStr">
        <is>
          <t>▸ Anota el número de parte en la columna verde y firma cuando la empresa haya venido; la última tarea de la hoja es apuntar la fecha de la próxima revisión.</t>
        </is>
      </c>
    </row>
    <row r="8" ht="32" customHeight="1">
      <c r="B8" s="24" t="inlineStr">
        <is>
          <t>▸ En la hoja mensual quedan las comprobaciones que hace tu propio equipo (filtros de campana, vista del extintor): no sustituyen a la revisión contratada, la preparan.</t>
        </is>
      </c>
    </row>
    <row r="9" ht="32" customHeight="1">
      <c r="B9" s="24" t="inlineStr">
        <is>
          <t>▸ Al pie de «FIFO Semanal» tienes una tabla editable de vida útil en congelación por familia: una regla única para todo el congelador o tiras patatas buenas o sirves bacon rancio.</t>
        </is>
      </c>
    </row>
    <row r="10"/>
    <row r="11" ht="18" customHeight="1">
      <c r="B11" s="23" t="inlineStr">
        <is>
          <t>Cómo cuenta el contador</t>
        </is>
      </c>
    </row>
    <row r="12"/>
    <row r="13" ht="32" customHeight="1">
      <c r="B13" s="24" t="inlineStr">
        <is>
          <t>▸ Marca con ✓ en la columna «✓ Completada» (desplegable): es la que cuenta el total de tareas completadas.</t>
        </is>
      </c>
    </row>
    <row r="14" ht="32" customHeight="1">
      <c r="B14" s="24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15" ht="32" customHeight="1">
      <c r="B15" s="24" t="inlineStr">
        <is>
          <t>▸ El denominador cuenta las tareas escritas en la columna «Tarea», no un número fijo: si añades o borras tareas, el total se ajusta solo.</t>
        </is>
      </c>
    </row>
    <row r="16"/>
    <row r="17" ht="18" customHeight="1">
      <c r="B17" s="23" t="inlineStr">
        <is>
          <t>Filas libres</t>
        </is>
      </c>
    </row>
    <row r="18"/>
    <row r="19" ht="32" customHeight="1">
      <c r="B19" s="24" t="inlineStr">
        <is>
          <t>▸ Al final de cada tabla hay 5 filas verdes libres DENTRO del rango que cuenta el contador: escribe ahí tus tareas propias.</t>
        </is>
      </c>
    </row>
    <row r="20" ht="32" customHeight="1">
      <c r="B20" s="24" t="inlineStr">
        <is>
          <t>▸ Si necesitas más, inserta filas DENTRO de la tabla (clic derecho → Insertar), nunca por debajo de la última: lo que se escriba fuera del rango no lo cuenta nadie.</t>
        </is>
      </c>
    </row>
    <row r="21"/>
    <row r="22" ht="18" customHeight="1">
      <c r="B22" s="23" t="inlineStr">
        <is>
          <t>Protección de la hoja</t>
        </is>
      </c>
    </row>
    <row r="23"/>
    <row r="24" ht="32" customHeight="1">
      <c r="B24" s="24" t="inlineStr">
        <is>
          <t>▸ Las hojas con fórmulas van protegidas SIN contraseña: las celdas de entrada (las verdes) están desbloqueadas y los cálculos no se pisan por accidente.</t>
        </is>
      </c>
    </row>
    <row r="25" ht="32" customHeight="1">
      <c r="B25" s="24" t="inlineStr">
        <is>
          <t>▸ Puedes insertar y borrar filas con la protección puesta. Para cambiar la estructura: Revisar → Desproteger hoja.</t>
        </is>
      </c>
    </row>
    <row r="26"/>
    <row r="27" ht="18" customHeight="1">
      <c r="B27" s="23" t="inlineStr">
        <is>
          <t>Se conecta con</t>
        </is>
      </c>
    </row>
    <row r="28"/>
    <row r="29" ht="16" customHeight="1">
      <c r="B29" s="24" t="inlineStr">
        <is>
          <t>▸ 08-apertura-cierre-negocio.xlsx — checklist del LOCAL completo: es el MARCO del día.</t>
        </is>
      </c>
    </row>
    <row r="30" ht="16" customHeight="1">
      <c r="B30" s="24" t="inlineStr">
        <is>
          <t>▸ 01-apertura-cierre.xlsx — el mismo día con el DETALLE por área (cocina, sala).</t>
        </is>
      </c>
    </row>
    <row r="31" ht="16" customHeight="1">
      <c r="B31" s="24" t="inlineStr">
        <is>
          <t>▸ 09-apertura-cierre-caja.xlsx — la CAJA: fondo, recuento por denominaciones, Z del TPV y descuadre.</t>
        </is>
      </c>
    </row>
    <row r="32" ht="48" customHeight="1">
      <c r="B32" s="24" t="inlineStr">
        <is>
          <t>▸ Orden de uso: local → áreas → caja. Cada fichero cubre un nivel: el de negocio marca el HITO (encender, abrir, cerrar), el de áreas detalla CÓMO se hace en cada zona y el de caja lleva el DINERO. Si una tarea aparece en dos, es a propósito: una es el hito y la otra el detalle.</t>
        </is>
      </c>
    </row>
    <row r="33" ht="32" customHeight="1">
      <c r="B33" s="24" t="inlineStr">
        <is>
          <t>▸ Estás en 05-tareas-semanales-mensuales.xlsx: lo que NO es diario (semanal, mensual, trimestral y anual). El día a día está en 08-apertura-cierre-negocio.xlsx y 01-apertura-cierre.xlsx.</t>
        </is>
      </c>
    </row>
    <row r="34"/>
    <row r="35" ht="18" customHeight="1">
      <c r="B35" s="23" t="inlineStr">
        <is>
          <t>— Kit de Tareas Recurrentes · Hamburguesería · AI Chef Pro · aichef.pro</t>
        </is>
      </c>
    </row>
    <row r="36"/>
    <row r="37" ht="35" customHeight="1">
      <c r="B37" s="23" t="inlineStr">
        <is>
          <t>Diseñado por John Guerrero — chef y consultor gastronómico desde 2010, en cocina desde los 17 años · johnguerrero.es</t>
        </is>
      </c>
    </row>
    <row r="38" ht="18" customHeight="1">
      <c r="B38" s="23" t="inlineStr">
        <is>
          <t>Contacto: info@aichef.pro</t>
        </is>
      </c>
    </row>
    <row r="39"/>
    <row r="40" ht="18" customHeight="1">
      <c r="B40" s="23" t="inlineStr">
        <is>
          <t>Versión 2.0 · agosto 2026 · aichef.pro/kit-tareas-hamburgueseria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 fitToPage="1"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4" customWidth="1" min="5" max="5"/>
    <col width="20" customWidth="1" min="6" max="6"/>
  </cols>
  <sheetData>
    <row r="1" ht="30" customHeight="1">
      <c r="A1" s="1" t="inlineStr">
        <is>
          <t>Inventario Diario — Stock de Producción Hamburguesería</t>
        </is>
      </c>
    </row>
    <row r="2">
      <c r="A2" s="4" t="inlineStr">
        <is>
          <t>Fecha: ___/___/______    Turno: ☐ Mañana  ☐ Noche    Responsable: ________________</t>
        </is>
      </c>
    </row>
    <row r="3"/>
    <row r="4">
      <c r="A4" s="5" t="inlineStr">
        <is>
          <t>Producto</t>
        </is>
      </c>
      <c r="B4" s="5" t="inlineStr">
        <is>
          <t>Stock</t>
        </is>
      </c>
      <c r="C4" s="5" t="inlineStr">
        <is>
          <t>Unidad</t>
        </is>
      </c>
      <c r="D4" s="5" t="inlineStr">
        <is>
          <t>Mínimo</t>
        </is>
      </c>
      <c r="E4" s="5" t="inlineStr">
        <is>
          <t>Estado</t>
        </is>
      </c>
      <c r="F4" s="5" t="inlineStr">
        <is>
          <t>Pedido</t>
        </is>
      </c>
    </row>
    <row r="5">
      <c r="A5" s="6" t="inlineStr">
        <is>
          <t xml:space="preserve">  CARNE</t>
        </is>
      </c>
    </row>
    <row r="6">
      <c r="A6" s="7" t="inlineStr">
        <is>
          <t>Patties clásicos (150g)</t>
        </is>
      </c>
      <c r="B6" s="8" t="n"/>
      <c r="C6" s="9" t="inlineStr">
        <is>
          <t>uds</t>
        </is>
      </c>
      <c r="D6" s="9" t="n">
        <v>40</v>
      </c>
      <c r="E6" s="10">
        <f>IF(B6="","",IF(B6&lt;D6,"⚠️ PEDIR","OK"))</f>
        <v/>
      </c>
      <c r="F6" s="8" t="n"/>
    </row>
    <row r="7">
      <c r="A7" s="11" t="inlineStr">
        <is>
          <t>Carne para smash (bolas 80g)</t>
        </is>
      </c>
      <c r="B7" s="12" t="n"/>
      <c r="C7" s="13" t="inlineStr">
        <is>
          <t>uds</t>
        </is>
      </c>
      <c r="D7" s="13" t="n">
        <v>50</v>
      </c>
      <c r="E7" s="14">
        <f>IF(B7="","",IF(B7&lt;D7,"⚠️ PEDIR","OK"))</f>
        <v/>
      </c>
      <c r="F7" s="12" t="n"/>
    </row>
    <row r="8">
      <c r="A8" s="7" t="inlineStr">
        <is>
          <t>Bacon</t>
        </is>
      </c>
      <c r="B8" s="8" t="n"/>
      <c r="C8" s="9" t="inlineStr">
        <is>
          <t>kg</t>
        </is>
      </c>
      <c r="D8" s="9" t="n">
        <v>2</v>
      </c>
      <c r="E8" s="10">
        <f>IF(B8="","",IF(B8&lt;D8,"⚠️ PEDIR","OK"))</f>
        <v/>
      </c>
      <c r="F8" s="8" t="n"/>
    </row>
    <row r="9">
      <c r="A9" s="11" t="inlineStr">
        <is>
          <t>Pollo empanado/crispy</t>
        </is>
      </c>
      <c r="B9" s="12" t="n"/>
      <c r="C9" s="13" t="inlineStr">
        <is>
          <t>uds</t>
        </is>
      </c>
      <c r="D9" s="13" t="n">
        <v>20</v>
      </c>
      <c r="E9" s="14">
        <f>IF(B9="","",IF(B9&lt;D9,"⚠️ PEDIR","OK"))</f>
        <v/>
      </c>
      <c r="F9" s="12" t="n"/>
    </row>
    <row r="10">
      <c r="A10" s="6" t="inlineStr">
        <is>
          <t xml:space="preserve">  PAN</t>
        </is>
      </c>
    </row>
    <row r="11">
      <c r="A11" s="11" t="inlineStr">
        <is>
          <t>Pan brioche</t>
        </is>
      </c>
      <c r="B11" s="12" t="n"/>
      <c r="C11" s="13" t="inlineStr">
        <is>
          <t>uds</t>
        </is>
      </c>
      <c r="D11" s="13" t="n">
        <v>40</v>
      </c>
      <c r="E11" s="14">
        <f>IF(B11="","",IF(B11&lt;D11,"⚠️ PEDIR","OK"))</f>
        <v/>
      </c>
      <c r="F11" s="12" t="n"/>
    </row>
    <row r="12">
      <c r="A12" s="7" t="inlineStr">
        <is>
          <t>Pan pretzel</t>
        </is>
      </c>
      <c r="B12" s="8" t="n"/>
      <c r="C12" s="9" t="inlineStr">
        <is>
          <t>uds</t>
        </is>
      </c>
      <c r="D12" s="9" t="n">
        <v>20</v>
      </c>
      <c r="E12" s="10">
        <f>IF(B12="","",IF(B12&lt;D12,"⚠️ PEDIR","OK"))</f>
        <v/>
      </c>
      <c r="F12" s="8" t="n"/>
    </row>
    <row r="13">
      <c r="A13" s="11" t="inlineStr">
        <is>
          <t>Pan clásico/sesamo</t>
        </is>
      </c>
      <c r="B13" s="12" t="n"/>
      <c r="C13" s="13" t="inlineStr">
        <is>
          <t>uds</t>
        </is>
      </c>
      <c r="D13" s="13" t="n">
        <v>20</v>
      </c>
      <c r="E13" s="14">
        <f>IF(B13="","",IF(B13&lt;D13,"⚠️ PEDIR","OK"))</f>
        <v/>
      </c>
      <c r="F13" s="12" t="n"/>
    </row>
    <row r="14">
      <c r="A14" s="6" t="inlineStr">
        <is>
          <t xml:space="preserve">  QUESOS</t>
        </is>
      </c>
    </row>
    <row r="15">
      <c r="A15" s="11" t="inlineStr">
        <is>
          <t>Cheddar lonchas</t>
        </is>
      </c>
      <c r="B15" s="12" t="n"/>
      <c r="C15" s="13" t="inlineStr">
        <is>
          <t>uds</t>
        </is>
      </c>
      <c r="D15" s="13" t="n">
        <v>50</v>
      </c>
      <c r="E15" s="14">
        <f>IF(B15="","",IF(B15&lt;D15,"⚠️ PEDIR","OK"))</f>
        <v/>
      </c>
      <c r="F15" s="12" t="n"/>
    </row>
    <row r="16">
      <c r="A16" s="7" t="inlineStr">
        <is>
          <t>Gouda ahumado</t>
        </is>
      </c>
      <c r="B16" s="8" t="n"/>
      <c r="C16" s="9" t="inlineStr">
        <is>
          <t>uds</t>
        </is>
      </c>
      <c r="D16" s="9" t="n">
        <v>20</v>
      </c>
      <c r="E16" s="10">
        <f>IF(B16="","",IF(B16&lt;D16,"⚠️ PEDIR","OK"))</f>
        <v/>
      </c>
      <c r="F16" s="8" t="n"/>
    </row>
    <row r="17">
      <c r="A17" s="11" t="inlineStr">
        <is>
          <t>Blue cheese</t>
        </is>
      </c>
      <c r="B17" s="12" t="n"/>
      <c r="C17" s="13" t="inlineStr">
        <is>
          <t>g</t>
        </is>
      </c>
      <c r="D17" s="13" t="n">
        <v>300</v>
      </c>
      <c r="E17" s="14">
        <f>IF(B17="","",IF(B17&lt;D17,"⚠️ PEDIR","OK"))</f>
        <v/>
      </c>
      <c r="F17" s="12" t="n"/>
    </row>
    <row r="18">
      <c r="A18" s="7" t="inlineStr">
        <is>
          <t>Emmental</t>
        </is>
      </c>
      <c r="B18" s="8" t="n"/>
      <c r="C18" s="9" t="inlineStr">
        <is>
          <t>uds</t>
        </is>
      </c>
      <c r="D18" s="9" t="n">
        <v>20</v>
      </c>
      <c r="E18" s="10">
        <f>IF(B18="","",IF(B18&lt;D18,"⚠️ PEDIR","OK"))</f>
        <v/>
      </c>
      <c r="F18" s="8" t="n"/>
    </row>
    <row r="19">
      <c r="A19" s="6" t="inlineStr">
        <is>
          <t xml:space="preserve">  TOPPINGS Y SALSAS</t>
        </is>
      </c>
    </row>
    <row r="20">
      <c r="A20" s="7" t="inlineStr">
        <is>
          <t>Lechuga</t>
        </is>
      </c>
      <c r="B20" s="8" t="n"/>
      <c r="C20" s="9" t="inlineStr">
        <is>
          <t>uds</t>
        </is>
      </c>
      <c r="D20" s="9" t="n">
        <v>5</v>
      </c>
      <c r="E20" s="10">
        <f>IF(B20="","",IF(B20&lt;D20,"⚠️ PEDIR","OK"))</f>
        <v/>
      </c>
      <c r="F20" s="8" t="n"/>
    </row>
    <row r="21">
      <c r="A21" s="11" t="inlineStr">
        <is>
          <t>Tomate</t>
        </is>
      </c>
      <c r="B21" s="12" t="n"/>
      <c r="C21" s="13" t="inlineStr">
        <is>
          <t>uds</t>
        </is>
      </c>
      <c r="D21" s="13" t="n">
        <v>8</v>
      </c>
      <c r="E21" s="14">
        <f>IF(B21="","",IF(B21&lt;D21,"⚠️ PEDIR","OK"))</f>
        <v/>
      </c>
      <c r="F21" s="12" t="n"/>
    </row>
    <row r="22">
      <c r="A22" s="7" t="inlineStr">
        <is>
          <t>Cebolla</t>
        </is>
      </c>
      <c r="B22" s="8" t="n"/>
      <c r="C22" s="9" t="inlineStr">
        <is>
          <t>uds</t>
        </is>
      </c>
      <c r="D22" s="9" t="n">
        <v>5</v>
      </c>
      <c r="E22" s="10">
        <f>IF(B22="","",IF(B22&lt;D22,"⚠️ PEDIR","OK"))</f>
        <v/>
      </c>
      <c r="F22" s="8" t="n"/>
    </row>
    <row r="23">
      <c r="A23" s="11" t="inlineStr">
        <is>
          <t>Pepinillos</t>
        </is>
      </c>
      <c r="B23" s="12" t="n"/>
      <c r="C23" s="13" t="inlineStr">
        <is>
          <t>kg</t>
        </is>
      </c>
      <c r="D23" s="13" t="n">
        <v>0.5</v>
      </c>
      <c r="E23" s="14">
        <f>IF(B23="","",IF(B23&lt;D23,"⚠️ PEDIR","OK"))</f>
        <v/>
      </c>
      <c r="F23" s="12" t="n"/>
    </row>
    <row r="24">
      <c r="A24" s="7" t="inlineStr">
        <is>
          <t>Jalapeños</t>
        </is>
      </c>
      <c r="B24" s="8" t="n"/>
      <c r="C24" s="9" t="inlineStr">
        <is>
          <t>g</t>
        </is>
      </c>
      <c r="D24" s="9" t="n">
        <v>300</v>
      </c>
      <c r="E24" s="10">
        <f>IF(B24="","",IF(B24&lt;D24,"⚠️ PEDIR","OK"))</f>
        <v/>
      </c>
      <c r="F24" s="8" t="n"/>
    </row>
    <row r="25">
      <c r="A25" s="11" t="inlineStr">
        <is>
          <t>Burger sauce casera</t>
        </is>
      </c>
      <c r="B25" s="12" t="n"/>
      <c r="C25" s="13" t="inlineStr">
        <is>
          <t>L</t>
        </is>
      </c>
      <c r="D25" s="13" t="n">
        <v>1</v>
      </c>
      <c r="E25" s="14">
        <f>IF(B25="","",IF(B25&lt;D25,"⚠️ PEDIR","OK"))</f>
        <v/>
      </c>
      <c r="F25" s="12" t="n"/>
    </row>
    <row r="26">
      <c r="A26" s="7" t="inlineStr">
        <is>
          <t>Salsa BBQ</t>
        </is>
      </c>
      <c r="B26" s="8" t="n"/>
      <c r="C26" s="9" t="inlineStr">
        <is>
          <t>L</t>
        </is>
      </c>
      <c r="D26" s="9" t="n">
        <v>0.5</v>
      </c>
      <c r="E26" s="10">
        <f>IF(B26="","",IF(B26&lt;D26,"⚠️ PEDIR","OK"))</f>
        <v/>
      </c>
      <c r="F26" s="8" t="n"/>
    </row>
    <row r="27">
      <c r="A27" s="11" t="inlineStr">
        <is>
          <t>Mostaza</t>
        </is>
      </c>
      <c r="B27" s="12" t="n"/>
      <c r="C27" s="13" t="inlineStr">
        <is>
          <t>L</t>
        </is>
      </c>
      <c r="D27" s="13" t="n">
        <v>0.5</v>
      </c>
      <c r="E27" s="14">
        <f>IF(B27="","",IF(B27&lt;D27,"⚠️ PEDIR","OK"))</f>
        <v/>
      </c>
      <c r="F27" s="12" t="n"/>
    </row>
    <row r="28">
      <c r="A28" s="7" t="inlineStr">
        <is>
          <t>Mayonesa</t>
        </is>
      </c>
      <c r="B28" s="8" t="n"/>
      <c r="C28" s="9" t="inlineStr">
        <is>
          <t>L</t>
        </is>
      </c>
      <c r="D28" s="9" t="n">
        <v>0.5</v>
      </c>
      <c r="E28" s="10">
        <f>IF(B28="","",IF(B28&lt;D28,"⚠️ PEDIR","OK"))</f>
        <v/>
      </c>
      <c r="F28" s="8" t="n"/>
    </row>
    <row r="29">
      <c r="A29" s="6" t="inlineStr">
        <is>
          <t xml:space="preserve">  PATATAS Y SIDES</t>
        </is>
      </c>
    </row>
    <row r="30">
      <c r="A30" s="7" t="inlineStr">
        <is>
          <t>Patatas frescas/congeladas</t>
        </is>
      </c>
      <c r="B30" s="8" t="n"/>
      <c r="C30" s="9" t="inlineStr">
        <is>
          <t>kg</t>
        </is>
      </c>
      <c r="D30" s="9" t="n">
        <v>10</v>
      </c>
      <c r="E30" s="10">
        <f>IF(B30="","",IF(B30&lt;D30,"⚠️ PEDIR","OK"))</f>
        <v/>
      </c>
      <c r="F30" s="8" t="n"/>
    </row>
    <row r="31">
      <c r="A31" s="11" t="inlineStr">
        <is>
          <t>Aros de cebolla</t>
        </is>
      </c>
      <c r="B31" s="12" t="n"/>
      <c r="C31" s="13" t="inlineStr">
        <is>
          <t>kg</t>
        </is>
      </c>
      <c r="D31" s="13" t="n">
        <v>2</v>
      </c>
      <c r="E31" s="14">
        <f>IF(B31="","",IF(B31&lt;D31,"⚠️ PEDIR","OK"))</f>
        <v/>
      </c>
      <c r="F31" s="12" t="n"/>
    </row>
    <row r="32">
      <c r="A32" s="7" t="inlineStr">
        <is>
          <t>Nuggets de pollo</t>
        </is>
      </c>
      <c r="B32" s="8" t="n"/>
      <c r="C32" s="9" t="inlineStr">
        <is>
          <t>uds</t>
        </is>
      </c>
      <c r="D32" s="9" t="n">
        <v>30</v>
      </c>
      <c r="E32" s="10">
        <f>IF(B32="","",IF(B32&lt;D32,"⚠️ PEDIR","OK"))</f>
        <v/>
      </c>
      <c r="F32" s="8" t="n"/>
    </row>
    <row r="33">
      <c r="A33" s="11" t="inlineStr">
        <is>
          <t>Coleslaw</t>
        </is>
      </c>
      <c r="B33" s="12" t="n"/>
      <c r="C33" s="13" t="inlineStr">
        <is>
          <t>kg</t>
        </is>
      </c>
      <c r="D33" s="13" t="n">
        <v>1</v>
      </c>
      <c r="E33" s="14">
        <f>IF(B33="","",IF(B33&lt;D33,"⚠️ PEDIR","OK"))</f>
        <v/>
      </c>
      <c r="F33" s="12" t="n"/>
    </row>
    <row r="34">
      <c r="A34" s="6" t="inlineStr">
        <is>
          <t xml:space="preserve">  PACKAGING</t>
        </is>
      </c>
    </row>
    <row r="35">
      <c r="A35" s="11" t="inlineStr">
        <is>
          <t>Cajas burger</t>
        </is>
      </c>
      <c r="B35" s="12" t="n"/>
      <c r="C35" s="13" t="inlineStr">
        <is>
          <t>uds</t>
        </is>
      </c>
      <c r="D35" s="13" t="n">
        <v>40</v>
      </c>
      <c r="E35" s="14">
        <f>IF(B35="","",IF(B35&lt;D35,"⚠️ PEDIR","OK"))</f>
        <v/>
      </c>
      <c r="F35" s="12" t="n"/>
    </row>
    <row r="36">
      <c r="A36" s="7" t="inlineStr">
        <is>
          <t>Envases patatas</t>
        </is>
      </c>
      <c r="B36" s="8" t="n"/>
      <c r="C36" s="9" t="inlineStr">
        <is>
          <t>uds</t>
        </is>
      </c>
      <c r="D36" s="9" t="n">
        <v>40</v>
      </c>
      <c r="E36" s="10">
        <f>IF(B36="","",IF(B36&lt;D36,"⚠️ PEDIR","OK"))</f>
        <v/>
      </c>
      <c r="F36" s="8" t="n"/>
    </row>
    <row r="37">
      <c r="A37" s="11" t="inlineStr">
        <is>
          <t>Bolsas delivery</t>
        </is>
      </c>
      <c r="B37" s="12" t="n"/>
      <c r="C37" s="13" t="inlineStr">
        <is>
          <t>uds</t>
        </is>
      </c>
      <c r="D37" s="13" t="n">
        <v>30</v>
      </c>
      <c r="E37" s="14">
        <f>IF(B37="","",IF(B37&lt;D37,"⚠️ PEDIR","OK"))</f>
        <v/>
      </c>
      <c r="F37" s="12" t="n"/>
    </row>
    <row r="38">
      <c r="A38" s="7" t="inlineStr">
        <is>
          <t>Servilletas</t>
        </is>
      </c>
      <c r="B38" s="8" t="n"/>
      <c r="C38" s="9" t="inlineStr">
        <is>
          <t>uds</t>
        </is>
      </c>
      <c r="D38" s="9" t="n">
        <v>100</v>
      </c>
      <c r="E38" s="10">
        <f>IF(B38="","",IF(B38&lt;D38,"⚠️ PEDIR","OK"))</f>
        <v/>
      </c>
      <c r="F38" s="8" t="n"/>
    </row>
    <row r="39"/>
    <row r="40">
      <c r="A40" s="15" t="inlineStr">
        <is>
          <t>— Kit de Tareas Recurrentes: Hamburguesería · AI Chef Pro · aichef.pro —</t>
        </is>
      </c>
    </row>
  </sheetData>
  <mergeCells count="9">
    <mergeCell ref="A2:F2"/>
    <mergeCell ref="A10:F10"/>
    <mergeCell ref="A19:F19"/>
    <mergeCell ref="A14:F14"/>
    <mergeCell ref="A5:F5"/>
    <mergeCell ref="A1:F1"/>
    <mergeCell ref="A34:F34"/>
    <mergeCell ref="A40:F40"/>
    <mergeCell ref="A29:F29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28B22"/>
    <outlinePr summaryBelow="1" summaryRight="1"/>
    <pageSetUpPr fitToPage="1"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Limpieza Profunda Semanal</t>
        </is>
      </c>
    </row>
    <row r="2">
      <c r="A2" s="4" t="inlineStr">
        <is>
          <t>Semana del ___/___/______ al ___/___/______    Responsable: _________________________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Día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25" t="inlineStr">
        <is>
          <t xml:space="preserve">  COCINA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28" t="inlineStr">
        <is>
          <t>Desmontar y limpiar plancha a fondo</t>
        </is>
      </c>
      <c r="C6" s="29" t="inlineStr">
        <is>
          <t>Cocina</t>
        </is>
      </c>
      <c r="D6" s="29" t="inlineStr">
        <is>
          <t>Auxiliar</t>
        </is>
      </c>
      <c r="E6" s="29" t="inlineStr">
        <is>
          <t>Lunes</t>
        </is>
      </c>
      <c r="F6" s="30" t="n"/>
      <c r="G6" s="30" t="n"/>
    </row>
    <row r="7">
      <c r="A7" s="31" t="n">
        <v>2</v>
      </c>
      <c r="B7" s="32" t="inlineStr">
        <is>
          <t>Limpiar freidora interior (desmontar cestas)</t>
        </is>
      </c>
      <c r="C7" s="29" t="inlineStr">
        <is>
          <t>Cocina</t>
        </is>
      </c>
      <c r="D7" s="29" t="inlineStr">
        <is>
          <t>Auxiliar</t>
        </is>
      </c>
      <c r="E7" s="29" t="inlineStr">
        <is>
          <t>Lunes</t>
        </is>
      </c>
      <c r="F7" s="30" t="n"/>
      <c r="G7" s="30" t="n"/>
    </row>
    <row r="8">
      <c r="A8" s="27" t="n">
        <v>3</v>
      </c>
      <c r="B8" s="28" t="inlineStr">
        <is>
          <t>Limpiar interior cámaras</t>
        </is>
      </c>
      <c r="C8" s="29" t="inlineStr">
        <is>
          <t>Cámara</t>
        </is>
      </c>
      <c r="D8" s="29" t="inlineStr">
        <is>
          <t>Auxiliar</t>
        </is>
      </c>
      <c r="E8" s="29" t="inlineStr">
        <is>
          <t>Lunes</t>
        </is>
      </c>
      <c r="F8" s="30" t="n"/>
      <c r="G8" s="30" t="n"/>
    </row>
    <row r="9">
      <c r="A9" s="31" t="n">
        <v>4</v>
      </c>
      <c r="B9" s="32" t="inlineStr">
        <is>
          <t>Desmontar campana y limpiar filtros</t>
        </is>
      </c>
      <c r="C9" s="29" t="inlineStr">
        <is>
          <t>Cocina</t>
        </is>
      </c>
      <c r="D9" s="29" t="inlineStr">
        <is>
          <t>Auxiliar</t>
        </is>
      </c>
      <c r="E9" s="29" t="inlineStr">
        <is>
          <t>Lunes</t>
        </is>
      </c>
      <c r="F9" s="30" t="n"/>
      <c r="G9" s="30" t="n"/>
    </row>
    <row r="10">
      <c r="A10" s="27" t="n">
        <v>5</v>
      </c>
      <c r="B10" s="28" t="inlineStr">
        <is>
          <t>Limpiar detrás y debajo de equipos</t>
        </is>
      </c>
      <c r="C10" s="29" t="inlineStr">
        <is>
          <t>Cocina</t>
        </is>
      </c>
      <c r="D10" s="29" t="inlineStr">
        <is>
          <t>Auxiliar</t>
        </is>
      </c>
      <c r="E10" s="29" t="inlineStr">
        <is>
          <t>Lunes</t>
        </is>
      </c>
      <c r="F10" s="30" t="n"/>
      <c r="G10" s="30" t="n"/>
    </row>
    <row r="11">
      <c r="A11" s="25" t="inlineStr">
        <is>
          <t xml:space="preserve">  SALA Y BAÑOS</t>
        </is>
      </c>
      <c r="B11" s="26" t="n"/>
      <c r="C11" s="26" t="n"/>
      <c r="D11" s="26" t="n"/>
      <c r="E11" s="26" t="n"/>
      <c r="F11" s="26" t="n"/>
      <c r="G11" s="26" t="n"/>
    </row>
    <row r="12">
      <c r="A12" s="27" t="n">
        <v>6</v>
      </c>
      <c r="B12" s="28" t="inlineStr">
        <is>
          <t>Limpiar cristales</t>
        </is>
      </c>
      <c r="C12" s="29" t="inlineStr">
        <is>
          <t>Sala</t>
        </is>
      </c>
      <c r="D12" s="29" t="inlineStr">
        <is>
          <t>Auxiliar</t>
        </is>
      </c>
      <c r="E12" s="29" t="inlineStr">
        <is>
          <t>Lunes</t>
        </is>
      </c>
      <c r="F12" s="30" t="n"/>
      <c r="G12" s="30" t="n"/>
    </row>
    <row r="13">
      <c r="A13" s="31" t="n">
        <v>7</v>
      </c>
      <c r="B13" s="32" t="inlineStr">
        <is>
          <t>Fregar suelos con desengrasante</t>
        </is>
      </c>
      <c r="C13" s="29" t="inlineStr">
        <is>
          <t>General</t>
        </is>
      </c>
      <c r="D13" s="29" t="inlineStr">
        <is>
          <t>Auxiliar</t>
        </is>
      </c>
      <c r="E13" s="29" t="inlineStr">
        <is>
          <t>Lunes</t>
        </is>
      </c>
      <c r="F13" s="30" t="n"/>
      <c r="G13" s="30" t="n"/>
    </row>
    <row r="14">
      <c r="A14" s="27" t="n">
        <v>8</v>
      </c>
      <c r="B14" s="28" t="inlineStr">
        <is>
          <t>Limpieza profunda baños</t>
        </is>
      </c>
      <c r="C14" s="29" t="inlineStr">
        <is>
          <t>Baños</t>
        </is>
      </c>
      <c r="D14" s="29" t="inlineStr">
        <is>
          <t>Auxiliar</t>
        </is>
      </c>
      <c r="E14" s="29" t="inlineStr">
        <is>
          <t>Lunes</t>
        </is>
      </c>
      <c r="F14" s="30" t="n"/>
      <c r="G14" s="30" t="n"/>
    </row>
    <row r="15">
      <c r="A15" s="33" t="n"/>
      <c r="B15" s="34" t="n"/>
      <c r="C15" s="29" t="n"/>
      <c r="D15" s="29" t="n"/>
      <c r="E15" s="29" t="n"/>
      <c r="F15" s="30" t="n"/>
      <c r="G15" s="30" t="n"/>
    </row>
    <row r="16">
      <c r="A16" s="33" t="n"/>
      <c r="B16" s="34" t="n"/>
      <c r="C16" s="29" t="n"/>
      <c r="D16" s="29" t="n"/>
      <c r="E16" s="29" t="n"/>
      <c r="F16" s="30" t="n"/>
      <c r="G16" s="30" t="n"/>
    </row>
    <row r="17">
      <c r="A17" s="33" t="n"/>
      <c r="B17" s="34" t="n"/>
      <c r="C17" s="29" t="n"/>
      <c r="D17" s="29" t="n"/>
      <c r="E17" s="29" t="n"/>
      <c r="F17" s="30" t="n"/>
      <c r="G17" s="30" t="n"/>
    </row>
    <row r="18">
      <c r="A18" s="33" t="n"/>
      <c r="B18" s="34" t="n"/>
      <c r="C18" s="29" t="n"/>
      <c r="D18" s="29" t="n"/>
      <c r="E18" s="29" t="n"/>
      <c r="F18" s="30" t="n"/>
      <c r="G18" s="30" t="n"/>
    </row>
    <row r="19">
      <c r="A19" s="33" t="n"/>
      <c r="B19" s="34" t="n"/>
      <c r="C19" s="29" t="n"/>
      <c r="D19" s="29" t="n"/>
      <c r="E19" s="29" t="n"/>
      <c r="F19" s="30" t="n"/>
      <c r="G19" s="30" t="n"/>
    </row>
    <row r="20"/>
    <row r="21">
      <c r="A21" s="18" t="inlineStr">
        <is>
          <t>Tareas completadas:</t>
        </is>
      </c>
      <c r="D21" s="19">
        <f>COUNTIFS(B5:B19,"?*",F5:F19,"✓")</f>
        <v/>
      </c>
      <c r="E21" s="18" t="inlineStr">
        <is>
          <t>de</t>
        </is>
      </c>
      <c r="F21">
        <f>COUNTIF(B5:B19,"?*")-COUNTIF(F5:F19,"N/A")</f>
        <v/>
      </c>
    </row>
    <row r="22"/>
    <row r="23">
      <c r="A23" s="4" t="inlineStr">
        <is>
          <t>Firma encargado/a: _________________________    Hora: _________</t>
        </is>
      </c>
    </row>
    <row r="24"/>
    <row r="25">
      <c r="A25" s="15" t="inlineStr">
        <is>
          <t>— Kit de Tareas Recurrentes · Hamburguesería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A2:G2"/>
    <mergeCell ref="A21:C21"/>
    <mergeCell ref="A25:G25"/>
    <mergeCell ref="A11:G11"/>
    <mergeCell ref="A5:G5"/>
    <mergeCell ref="A23:G23"/>
  </mergeCells>
  <conditionalFormatting sqref="A5:G19">
    <cfRule type="expression" priority="1" dxfId="0">
      <formula>$F5="✓"</formula>
    </cfRule>
  </conditionalFormatting>
  <dataValidations count="1">
    <dataValidation sqref="F6 F7 F8 F9 F10 F12 F13 F14 F15 F16 F17 F18 F19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G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Revisión FIFO — Caducidades</t>
        </is>
      </c>
    </row>
    <row r="2">
      <c r="A2" s="4" t="inlineStr">
        <is>
          <t>Semana del ___/___/______ al ___/___/______    Responsable: _________________________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Día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25" t="inlineStr">
        <is>
          <t xml:space="preserve">  CÁMARAS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28" t="inlineStr">
        <is>
          <t>Verificar fecha de carne (fresca max 3 días)</t>
        </is>
      </c>
      <c r="C6" s="29" t="inlineStr">
        <is>
          <t>Cámara</t>
        </is>
      </c>
      <c r="D6" s="29" t="inlineStr">
        <is>
          <t>Cocinero</t>
        </is>
      </c>
      <c r="E6" s="29" t="inlineStr">
        <is>
          <t>Lunes</t>
        </is>
      </c>
      <c r="F6" s="30" t="n"/>
      <c r="G6" s="30" t="n"/>
    </row>
    <row r="7">
      <c r="A7" s="31" t="n">
        <v>2</v>
      </c>
      <c r="B7" s="32" t="inlineStr">
        <is>
          <t>Revisar quesos abiertos</t>
        </is>
      </c>
      <c r="C7" s="29" t="inlineStr">
        <is>
          <t>Cámara</t>
        </is>
      </c>
      <c r="D7" s="29" t="inlineStr">
        <is>
          <t>Cocinero</t>
        </is>
      </c>
      <c r="E7" s="29" t="inlineStr">
        <is>
          <t>Lunes</t>
        </is>
      </c>
      <c r="F7" s="30" t="n"/>
      <c r="G7" s="30" t="n"/>
    </row>
    <row r="8">
      <c r="A8" s="27" t="n">
        <v>3</v>
      </c>
      <c r="B8" s="28" t="inlineStr">
        <is>
          <t>Revisar salsas caseras (max 5 días)</t>
        </is>
      </c>
      <c r="C8" s="29" t="inlineStr">
        <is>
          <t>Cámara</t>
        </is>
      </c>
      <c r="D8" s="29" t="inlineStr">
        <is>
          <t>Cocinero</t>
        </is>
      </c>
      <c r="E8" s="29" t="inlineStr">
        <is>
          <t>Lunes</t>
        </is>
      </c>
      <c r="F8" s="30" t="n"/>
      <c r="G8" s="30" t="n"/>
    </row>
    <row r="9">
      <c r="A9" s="31" t="n">
        <v>4</v>
      </c>
      <c r="B9" s="32" t="inlineStr">
        <is>
          <t>Rotar: antiguo delante</t>
        </is>
      </c>
      <c r="C9" s="29" t="inlineStr">
        <is>
          <t>Cámara</t>
        </is>
      </c>
      <c r="D9" s="29" t="inlineStr">
        <is>
          <t>Cocinero</t>
        </is>
      </c>
      <c r="E9" s="29" t="inlineStr">
        <is>
          <t>Lunes</t>
        </is>
      </c>
      <c r="F9" s="30" t="n"/>
      <c r="G9" s="30" t="n"/>
    </row>
    <row r="10">
      <c r="A10" s="27" t="n">
        <v>5</v>
      </c>
      <c r="B10" s="28" t="inlineStr">
        <is>
          <t>Desechar caducado</t>
        </is>
      </c>
      <c r="C10" s="29" t="inlineStr">
        <is>
          <t>Cámara</t>
        </is>
      </c>
      <c r="D10" s="29" t="inlineStr">
        <is>
          <t>Cocinero</t>
        </is>
      </c>
      <c r="E10" s="29" t="inlineStr">
        <is>
          <t>Lunes</t>
        </is>
      </c>
      <c r="F10" s="30" t="n"/>
      <c r="G10" s="30" t="n"/>
    </row>
    <row r="11">
      <c r="A11" s="27" t="n">
        <v>6</v>
      </c>
      <c r="B11" s="28" t="inlineStr">
        <is>
          <t>Comprobar que ningún producto congelado supera su vida útil (ver la tabla al pie de esta hoja)</t>
        </is>
      </c>
      <c r="C11" s="29" t="inlineStr">
        <is>
          <t>Cámara</t>
        </is>
      </c>
      <c r="D11" s="29" t="inlineStr">
        <is>
          <t>Cocinero</t>
        </is>
      </c>
      <c r="E11" s="29" t="inlineStr">
        <is>
          <t>Lunes</t>
        </is>
      </c>
      <c r="F11" s="30" t="n"/>
      <c r="G11" s="30" t="n"/>
    </row>
    <row r="12">
      <c r="A12" s="25" t="inlineStr">
        <is>
          <t xml:space="preserve">  ALMACÉN</t>
        </is>
      </c>
      <c r="B12" s="26" t="n"/>
      <c r="C12" s="26" t="n"/>
      <c r="D12" s="26" t="n"/>
      <c r="E12" s="26" t="n"/>
      <c r="F12" s="26" t="n"/>
      <c r="G12" s="26" t="n"/>
    </row>
    <row r="13">
      <c r="A13" s="27" t="n">
        <v>7</v>
      </c>
      <c r="B13" s="28" t="inlineStr">
        <is>
          <t>Revisar pan: fecha, frescura</t>
        </is>
      </c>
      <c r="C13" s="29" t="inlineStr">
        <is>
          <t>Almacén</t>
        </is>
      </c>
      <c r="D13" s="29" t="inlineStr">
        <is>
          <t>Cocinero</t>
        </is>
      </c>
      <c r="E13" s="29" t="inlineStr">
        <is>
          <t>Lunes</t>
        </is>
      </c>
      <c r="F13" s="30" t="n"/>
      <c r="G13" s="30" t="n"/>
    </row>
    <row r="14">
      <c r="A14" s="31" t="n">
        <v>8</v>
      </c>
      <c r="B14" s="32" t="inlineStr">
        <is>
          <t>Revisar stock packaging</t>
        </is>
      </c>
      <c r="C14" s="29" t="inlineStr">
        <is>
          <t>Almacén</t>
        </is>
      </c>
      <c r="D14" s="29" t="inlineStr">
        <is>
          <t>Manager</t>
        </is>
      </c>
      <c r="E14" s="29" t="inlineStr">
        <is>
          <t>Lunes</t>
        </is>
      </c>
      <c r="F14" s="30" t="n"/>
      <c r="G14" s="30" t="n"/>
    </row>
    <row r="15">
      <c r="A15" s="27" t="n">
        <v>9</v>
      </c>
      <c r="B15" s="28" t="inlineStr">
        <is>
          <t>Verificar aceite freidora: test polares</t>
        </is>
      </c>
      <c r="C15" s="29" t="inlineStr">
        <is>
          <t>Cocina</t>
        </is>
      </c>
      <c r="D15" s="29" t="inlineStr">
        <is>
          <t>Manager</t>
        </is>
      </c>
      <c r="E15" s="29" t="inlineStr">
        <is>
          <t>Lunes</t>
        </is>
      </c>
      <c r="F15" s="30" t="n"/>
      <c r="G15" s="30" t="n"/>
    </row>
    <row r="16">
      <c r="A16" s="33" t="n"/>
      <c r="B16" s="34" t="n"/>
      <c r="C16" s="29" t="n"/>
      <c r="D16" s="29" t="n"/>
      <c r="E16" s="29" t="n"/>
      <c r="F16" s="30" t="n"/>
      <c r="G16" s="30" t="n"/>
    </row>
    <row r="17">
      <c r="A17" s="33" t="n"/>
      <c r="B17" s="34" t="n"/>
      <c r="C17" s="29" t="n"/>
      <c r="D17" s="29" t="n"/>
      <c r="E17" s="29" t="n"/>
      <c r="F17" s="30" t="n"/>
      <c r="G17" s="30" t="n"/>
    </row>
    <row r="18">
      <c r="A18" s="33" t="n"/>
      <c r="B18" s="34" t="n"/>
      <c r="C18" s="29" t="n"/>
      <c r="D18" s="29" t="n"/>
      <c r="E18" s="29" t="n"/>
      <c r="F18" s="30" t="n"/>
      <c r="G18" s="30" t="n"/>
    </row>
    <row r="19">
      <c r="A19" s="33" t="n"/>
      <c r="B19" s="34" t="n"/>
      <c r="C19" s="29" t="n"/>
      <c r="D19" s="29" t="n"/>
      <c r="E19" s="29" t="n"/>
      <c r="F19" s="30" t="n"/>
      <c r="G19" s="30" t="n"/>
    </row>
    <row r="20">
      <c r="A20" s="33" t="n"/>
      <c r="B20" s="34" t="n"/>
      <c r="C20" s="29" t="n"/>
      <c r="D20" s="29" t="n"/>
      <c r="E20" s="29" t="n"/>
      <c r="F20" s="30" t="n"/>
      <c r="G20" s="30" t="n"/>
    </row>
    <row r="21"/>
    <row r="22">
      <c r="A22" s="18" t="inlineStr">
        <is>
          <t>Tareas completadas:</t>
        </is>
      </c>
      <c r="D22" s="19">
        <f>COUNTIFS(B5:B20,"?*",F5:F20,"✓")</f>
        <v/>
      </c>
      <c r="E22" s="18" t="inlineStr">
        <is>
          <t>de</t>
        </is>
      </c>
      <c r="F22">
        <f>COUNTIF(B5:B20,"?*")-COUNTIF(F5:F20,"N/A")</f>
        <v/>
      </c>
    </row>
    <row r="23"/>
    <row r="24">
      <c r="A24" s="4" t="inlineStr">
        <is>
          <t>Firma encargado/a: _________________________    Hora: _________</t>
        </is>
      </c>
    </row>
    <row r="25"/>
    <row r="26">
      <c r="A26" s="6" t="inlineStr">
        <is>
          <t>VIDA ÚTIL ORIENTATIVA EN CONGELACIÓN A −18 °C — ajústala a tu producto y a tu proveedor</t>
        </is>
      </c>
    </row>
    <row r="27">
      <c r="A27" s="5" t="n"/>
      <c r="B27" s="5" t="inlineStr">
        <is>
          <t>Familia</t>
        </is>
      </c>
      <c r="C27" s="5" t="inlineStr">
        <is>
          <t>Vida útil</t>
        </is>
      </c>
      <c r="D27" s="5" t="inlineStr">
        <is>
          <t>Notas</t>
        </is>
      </c>
      <c r="E27" s="35" t="n"/>
      <c r="F27" s="35" t="n"/>
      <c r="G27" s="36" t="n"/>
    </row>
    <row r="28">
      <c r="A28" s="20" t="n"/>
      <c r="B28" s="34" t="inlineStr">
        <is>
          <t>Patties y carne picada cruda</t>
        </is>
      </c>
      <c r="C28" s="29" t="inlineStr">
        <is>
          <t>3-4 meses</t>
        </is>
      </c>
      <c r="D28" s="29" t="inlineStr">
        <is>
          <t>Congélalos ya porcionados y separados con papel: la picada tiene mucha superficie expuesta y se enrancia antes que la pieza entera</t>
        </is>
      </c>
      <c r="E28" s="37" t="n"/>
      <c r="F28" s="37" t="n"/>
      <c r="G28" s="38" t="n"/>
    </row>
    <row r="29">
      <c r="A29" s="20" t="n"/>
      <c r="B29" s="34" t="inlineStr">
        <is>
          <t>Bacon y panceta</t>
        </is>
      </c>
      <c r="C29" s="29" t="inlineStr">
        <is>
          <t>1-2 meses</t>
        </is>
      </c>
      <c r="D29" s="29" t="inlineStr">
        <is>
          <t>La grasa se enrancia aunque esté congelada: es lo primero que sabe a viejo</t>
        </is>
      </c>
      <c r="E29" s="37" t="n"/>
      <c r="F29" s="37" t="n"/>
      <c r="G29" s="38" t="n"/>
    </row>
    <row r="30">
      <c r="A30" s="20" t="n"/>
      <c r="B30" s="34" t="inlineStr">
        <is>
          <t>Pollo crudo (crispy, tenders, nuggets)</t>
        </is>
      </c>
      <c r="C30" s="29" t="inlineStr">
        <is>
          <t>3-6 meses</t>
        </is>
      </c>
      <c r="D30" s="29" t="inlineStr">
        <is>
          <t>Del congelador a la freidora, sin descongelar: si se atempera suelta agua y el rebozado se despega</t>
        </is>
      </c>
      <c r="E30" s="37" t="n"/>
      <c r="F30" s="37" t="n"/>
      <c r="G30" s="38" t="n"/>
    </row>
    <row r="31">
      <c r="A31" s="20" t="n"/>
      <c r="B31" s="34" t="inlineStr">
        <is>
          <t>Pan de burger (brioche, pretzel, sésamo)</t>
        </is>
      </c>
      <c r="C31" s="29" t="inlineStr">
        <is>
          <t>2-3 meses</t>
        </is>
      </c>
      <c r="D31" s="29" t="inlineStr">
        <is>
          <t>Congélalo el día que llega, no cuando ya se está pasando; descongela a temperatura ambiente dentro de su bolsa</t>
        </is>
      </c>
      <c r="E31" s="37" t="n"/>
      <c r="F31" s="37" t="n"/>
      <c r="G31" s="38" t="n"/>
    </row>
    <row r="32">
      <c r="A32" s="20" t="n"/>
      <c r="B32" s="34" t="inlineStr">
        <is>
          <t>Patatas prefritas congeladas</t>
        </is>
      </c>
      <c r="C32" s="29" t="inlineStr">
        <is>
          <t>6-12 meses</t>
        </is>
      </c>
      <c r="D32" s="29" t="inlineStr">
        <is>
          <t>NUNCA se descongelan: van del congelador al aceite o quedan blandas y salpican</t>
        </is>
      </c>
      <c r="E32" s="37" t="n"/>
      <c r="F32" s="37" t="n"/>
      <c r="G32" s="38" t="n"/>
    </row>
    <row r="33">
      <c r="A33" s="20" t="n"/>
      <c r="B33" s="34" t="inlineStr">
        <is>
          <t>Aros de cebolla y rebozados</t>
        </is>
      </c>
      <c r="C33" s="29" t="inlineStr">
        <is>
          <t>6 meses</t>
        </is>
      </c>
      <c r="D33" s="29" t="inlineStr">
        <is>
          <t>Igual que las patatas: directos al aceite</t>
        </is>
      </c>
      <c r="E33" s="37" t="n"/>
      <c r="F33" s="37" t="n"/>
      <c r="G33" s="38" t="n"/>
    </row>
    <row r="34">
      <c r="A34" s="20" t="n"/>
      <c r="B34" s="34" t="inlineStr">
        <is>
          <t>Queso en lonchas</t>
        </is>
      </c>
      <c r="C34" s="29" t="inlineStr">
        <is>
          <t>2-3 meses</t>
        </is>
      </c>
      <c r="D34" s="29" t="inlineStr">
        <is>
          <t>Se vuelve quebradizo al descongelar pero funde igual: úsalo sólo para fundir, no en frío</t>
        </is>
      </c>
      <c r="E34" s="37" t="n"/>
      <c r="F34" s="37" t="n"/>
      <c r="G34" s="38" t="n"/>
    </row>
    <row r="35">
      <c r="A35" s="20" t="n"/>
      <c r="B35" s="34" t="inlineStr">
        <is>
          <t>Salsas caseras y fondos</t>
        </is>
      </c>
      <c r="C35" s="29" t="inlineStr">
        <is>
          <t>3 meses</t>
        </is>
      </c>
      <c r="D35" s="29" t="inlineStr">
        <is>
          <t>Etiquetar con fecha de producción Y de congelación: la vida útil de esta tabla se cuenta desde la de congelación</t>
        </is>
      </c>
      <c r="E35" s="37" t="n"/>
      <c r="F35" s="37" t="n"/>
      <c r="G35" s="38" t="n"/>
    </row>
    <row r="36">
      <c r="A36" s="20" t="n"/>
      <c r="B36" s="34" t="inlineStr">
        <is>
          <t>Verdura escaldada (cebolla, pimiento)</t>
        </is>
      </c>
      <c r="C36" s="29" t="inlineStr">
        <is>
          <t>8-12 meses</t>
        </is>
      </c>
      <c r="D36" s="29" t="inlineStr">
        <is>
          <t>Sin escaldar previamente, la mitad</t>
        </is>
      </c>
      <c r="E36" s="37" t="n"/>
      <c r="F36" s="37" t="n"/>
      <c r="G36" s="38" t="n"/>
    </row>
    <row r="37"/>
    <row r="38">
      <c r="A38" s="15" t="inlineStr">
        <is>
          <t>— Kit de Tareas Recurrentes · Hamburguesería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18">
    <mergeCell ref="D31:G31"/>
    <mergeCell ref="A1:G1"/>
    <mergeCell ref="D35:G35"/>
    <mergeCell ref="D36:G36"/>
    <mergeCell ref="A12:G12"/>
    <mergeCell ref="A22:C22"/>
    <mergeCell ref="D30:G30"/>
    <mergeCell ref="A26:G26"/>
    <mergeCell ref="A38:G38"/>
    <mergeCell ref="A2:G2"/>
    <mergeCell ref="D33:G33"/>
    <mergeCell ref="D34:G34"/>
    <mergeCell ref="D29:G29"/>
    <mergeCell ref="D27:G27"/>
    <mergeCell ref="A24:G24"/>
    <mergeCell ref="D32:G32"/>
    <mergeCell ref="D28:G28"/>
    <mergeCell ref="A5:G5"/>
  </mergeCells>
  <conditionalFormatting sqref="A5:G20">
    <cfRule type="expression" priority="1" dxfId="0">
      <formula>$F5="✓"</formula>
    </cfRule>
  </conditionalFormatting>
  <dataValidations count="1">
    <dataValidation sqref="F6 F7 F8 F9 F10 F11 F13 F14 F15 F16 F17 F18 F19 F20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Mantenimiento Mensual</t>
        </is>
      </c>
    </row>
    <row r="2">
      <c r="A2" s="4" t="inlineStr">
        <is>
          <t>Mes: ________________   Año: ______    Responsable: _________________________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Cadencia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25" t="inlineStr">
        <is>
          <t xml:space="preserve">  EQUIPOS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28" t="inlineStr">
        <is>
          <t>Revisión plancha: superficie, termostato</t>
        </is>
      </c>
      <c r="C6" s="29" t="inlineStr">
        <is>
          <t>Cocina</t>
        </is>
      </c>
      <c r="D6" s="29" t="inlineStr">
        <is>
          <t>Técnico</t>
        </is>
      </c>
      <c r="E6" s="29" t="inlineStr">
        <is>
          <t>Mensual</t>
        </is>
      </c>
      <c r="F6" s="30" t="n"/>
      <c r="G6" s="30" t="n"/>
    </row>
    <row r="7">
      <c r="A7" s="31" t="n">
        <v>2</v>
      </c>
      <c r="B7" s="32" t="inlineStr">
        <is>
          <t>Cambio completo aceite freidora</t>
        </is>
      </c>
      <c r="C7" s="29" t="inlineStr">
        <is>
          <t>Cocina</t>
        </is>
      </c>
      <c r="D7" s="29" t="inlineStr">
        <is>
          <t>Manager</t>
        </is>
      </c>
      <c r="E7" s="29" t="inlineStr">
        <is>
          <t>Mensual</t>
        </is>
      </c>
      <c r="F7" s="30" t="n"/>
      <c r="G7" s="30" t="n"/>
    </row>
    <row r="8">
      <c r="A8" s="27" t="n">
        <v>3</v>
      </c>
      <c r="B8" s="28" t="inlineStr">
        <is>
          <t>Lavavajillas: filtros, sal</t>
        </is>
      </c>
      <c r="C8" s="29" t="inlineStr">
        <is>
          <t>Cocina</t>
        </is>
      </c>
      <c r="D8" s="29" t="inlineStr">
        <is>
          <t>Manager</t>
        </is>
      </c>
      <c r="E8" s="29" t="inlineStr">
        <is>
          <t>Mensual</t>
        </is>
      </c>
      <c r="F8" s="30" t="n"/>
      <c r="G8" s="30" t="n"/>
    </row>
    <row r="9">
      <c r="A9" s="31" t="n">
        <v>4</v>
      </c>
      <c r="B9" s="32" t="inlineStr">
        <is>
          <t>Campana: motor y filtros; la limpieza de los CONDUCTOS de extracción por empresa homologada está en la hoja «Trimestral y Anual»</t>
        </is>
      </c>
      <c r="C9" s="29" t="inlineStr">
        <is>
          <t>Cocina</t>
        </is>
      </c>
      <c r="D9" s="29" t="inlineStr">
        <is>
          <t>Técnico</t>
        </is>
      </c>
      <c r="E9" s="29" t="inlineStr">
        <is>
          <t>Mensual</t>
        </is>
      </c>
      <c r="F9" s="30" t="n"/>
      <c r="G9" s="30" t="n"/>
    </row>
    <row r="10">
      <c r="A10" s="27" t="n">
        <v>5</v>
      </c>
      <c r="B10" s="28" t="inlineStr">
        <is>
          <t>Climatización: filtros</t>
        </is>
      </c>
      <c r="C10" s="29" t="inlineStr">
        <is>
          <t>General</t>
        </is>
      </c>
      <c r="D10" s="29" t="inlineStr">
        <is>
          <t>Técnico</t>
        </is>
      </c>
      <c r="E10" s="29" t="inlineStr">
        <is>
          <t>Mensual</t>
        </is>
      </c>
      <c r="F10" s="30" t="n"/>
      <c r="G10" s="30" t="n"/>
    </row>
    <row r="11">
      <c r="A11" s="25" t="inlineStr">
        <is>
          <t xml:space="preserve">  SEGURIDAD</t>
        </is>
      </c>
      <c r="B11" s="26" t="n"/>
      <c r="C11" s="26" t="n"/>
      <c r="D11" s="26" t="n"/>
      <c r="E11" s="26" t="n"/>
      <c r="F11" s="26" t="n"/>
      <c r="G11" s="26" t="n"/>
    </row>
    <row r="12">
      <c r="A12" s="27" t="n">
        <v>6</v>
      </c>
      <c r="B12" s="28" t="inlineStr">
        <is>
          <t>Extintor: comprobación visual del usuario (aguja en zona verde, precinto intacto, acceso libre); la revisión oficial la hace el mantenedor y está en la hoja «Trimestral y Anual»</t>
        </is>
      </c>
      <c r="C12" s="29" t="inlineStr">
        <is>
          <t>General</t>
        </is>
      </c>
      <c r="D12" s="29" t="inlineStr">
        <is>
          <t>Manager</t>
        </is>
      </c>
      <c r="E12" s="29" t="inlineStr">
        <is>
          <t>Mensual</t>
        </is>
      </c>
      <c r="F12" s="30" t="n"/>
      <c r="G12" s="30" t="n"/>
    </row>
    <row r="13">
      <c r="A13" s="31" t="n">
        <v>7</v>
      </c>
      <c r="B13" s="32" t="inlineStr">
        <is>
          <t>Botiquín: stock, caducidades</t>
        </is>
      </c>
      <c r="C13" s="29" t="inlineStr">
        <is>
          <t>General</t>
        </is>
      </c>
      <c r="D13" s="29" t="inlineStr">
        <is>
          <t>Manager</t>
        </is>
      </c>
      <c r="E13" s="29" t="inlineStr">
        <is>
          <t>Mensual</t>
        </is>
      </c>
      <c r="F13" s="30" t="n"/>
      <c r="G13" s="30" t="n"/>
    </row>
    <row r="14">
      <c r="A14" s="27" t="n">
        <v>8</v>
      </c>
      <c r="B14" s="28" t="inlineStr">
        <is>
          <t>Salidas emergencia despejadas</t>
        </is>
      </c>
      <c r="C14" s="29" t="inlineStr">
        <is>
          <t>General</t>
        </is>
      </c>
      <c r="D14" s="29" t="inlineStr">
        <is>
          <t>Manager</t>
        </is>
      </c>
      <c r="E14" s="29" t="inlineStr">
        <is>
          <t>Mensual</t>
        </is>
      </c>
      <c r="F14" s="30" t="n"/>
      <c r="G14" s="30" t="n"/>
    </row>
    <row r="15">
      <c r="A15" s="33" t="n"/>
      <c r="B15" s="34" t="n"/>
      <c r="C15" s="29" t="n"/>
      <c r="D15" s="29" t="n"/>
      <c r="E15" s="29" t="n"/>
      <c r="F15" s="30" t="n"/>
      <c r="G15" s="30" t="n"/>
    </row>
    <row r="16">
      <c r="A16" s="33" t="n"/>
      <c r="B16" s="34" t="n"/>
      <c r="C16" s="29" t="n"/>
      <c r="D16" s="29" t="n"/>
      <c r="E16" s="29" t="n"/>
      <c r="F16" s="30" t="n"/>
      <c r="G16" s="30" t="n"/>
    </row>
    <row r="17">
      <c r="A17" s="33" t="n"/>
      <c r="B17" s="34" t="n"/>
      <c r="C17" s="29" t="n"/>
      <c r="D17" s="29" t="n"/>
      <c r="E17" s="29" t="n"/>
      <c r="F17" s="30" t="n"/>
      <c r="G17" s="30" t="n"/>
    </row>
    <row r="18">
      <c r="A18" s="33" t="n"/>
      <c r="B18" s="34" t="n"/>
      <c r="C18" s="29" t="n"/>
      <c r="D18" s="29" t="n"/>
      <c r="E18" s="29" t="n"/>
      <c r="F18" s="30" t="n"/>
      <c r="G18" s="30" t="n"/>
    </row>
    <row r="19">
      <c r="A19" s="33" t="n"/>
      <c r="B19" s="34" t="n"/>
      <c r="C19" s="29" t="n"/>
      <c r="D19" s="29" t="n"/>
      <c r="E19" s="29" t="n"/>
      <c r="F19" s="30" t="n"/>
      <c r="G19" s="30" t="n"/>
    </row>
    <row r="20"/>
    <row r="21">
      <c r="A21" s="18" t="inlineStr">
        <is>
          <t>Tareas completadas:</t>
        </is>
      </c>
      <c r="D21" s="19">
        <f>COUNTIFS(B5:B19,"?*",F5:F19,"✓")</f>
        <v/>
      </c>
      <c r="E21" s="18" t="inlineStr">
        <is>
          <t>de</t>
        </is>
      </c>
      <c r="F21">
        <f>COUNTIF(B5:B19,"?*")-COUNTIF(F5:F19,"N/A")</f>
        <v/>
      </c>
    </row>
    <row r="22"/>
    <row r="23">
      <c r="A23" s="4" t="inlineStr">
        <is>
          <t>Firma encargado/a: _________________________    Hora: _________</t>
        </is>
      </c>
    </row>
    <row r="24"/>
    <row r="25">
      <c r="A25" s="15" t="inlineStr">
        <is>
          <t>— Kit de Tareas Recurrentes · Hamburguesería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A2:G2"/>
    <mergeCell ref="A21:C21"/>
    <mergeCell ref="A25:G25"/>
    <mergeCell ref="A11:G11"/>
    <mergeCell ref="A5:G5"/>
    <mergeCell ref="A23:G23"/>
  </mergeCells>
  <conditionalFormatting sqref="A5:G19">
    <cfRule type="expression" priority="1" dxfId="0">
      <formula>$F5="✓"</formula>
    </cfRule>
  </conditionalFormatting>
  <dataValidations count="1">
    <dataValidation sqref="F6 F7 F8 F9 F10 F12 F13 F14 F15 F16 F17 F18 F19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Mantenimiento Trimestral y Anual — Revisiones Contratadas</t>
        </is>
      </c>
    </row>
    <row r="2">
      <c r="A2" s="4" t="inlineStr">
        <is>
          <t>Mes: ________________   Año: ______    Responsable: _________________________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Nº de parte</t>
        </is>
      </c>
      <c r="D4" s="5" t="inlineStr">
        <is>
          <t>Responsable</t>
        </is>
      </c>
      <c r="E4" s="5" t="inlineStr">
        <is>
          <t>Cadencia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25" t="inlineStr">
        <is>
          <t xml:space="preserve">  CONTRATADO — EMPRESA AUTORIZADA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28" t="inlineStr">
        <is>
          <t>Control de plagas (DDD): visita de la empresa autorizada, parte firmado y certificado en vigor</t>
        </is>
      </c>
      <c r="C6" s="29" t="n"/>
      <c r="D6" s="29" t="inlineStr">
        <is>
          <t>Empresa DDD</t>
        </is>
      </c>
      <c r="E6" s="29" t="inlineStr">
        <is>
          <t>Trimestral</t>
        </is>
      </c>
      <c r="F6" s="30" t="n"/>
      <c r="G6" s="30" t="n"/>
    </row>
    <row r="7">
      <c r="A7" s="31" t="n">
        <v>2</v>
      </c>
      <c r="B7" s="32" t="inlineStr">
        <is>
          <t>Limpieza de la campana y de los CONDUCTOS de extracción por empresa homologada: plancha y freidora juntas engrasan el conducto el doble de rápido</t>
        </is>
      </c>
      <c r="C7" s="29" t="n"/>
      <c r="D7" s="29" t="inlineStr">
        <is>
          <t>Empresa externa</t>
        </is>
      </c>
      <c r="E7" s="29" t="inlineStr">
        <is>
          <t>Anual</t>
        </is>
      </c>
      <c r="F7" s="30" t="n"/>
      <c r="G7" s="30" t="n"/>
    </row>
    <row r="8">
      <c r="A8" s="27" t="n">
        <v>3</v>
      </c>
      <c r="B8" s="28" t="inlineStr">
        <is>
          <t>Revisión de extintores y BIE por empresa mantenedora (etiqueta y acta de revisión)</t>
        </is>
      </c>
      <c r="C8" s="29" t="n"/>
      <c r="D8" s="29" t="inlineStr">
        <is>
          <t>Mantenedor</t>
        </is>
      </c>
      <c r="E8" s="29" t="inlineStr">
        <is>
          <t>Anual</t>
        </is>
      </c>
      <c r="F8" s="30" t="n"/>
      <c r="G8" s="30" t="n"/>
    </row>
    <row r="9">
      <c r="A9" s="31" t="n">
        <v>4</v>
      </c>
      <c r="B9" s="32" t="inlineStr">
        <is>
          <t>Retimbrado de extintores: prueba de presión cada 5 años desde su fabricación</t>
        </is>
      </c>
      <c r="C9" s="29" t="n"/>
      <c r="D9" s="29" t="inlineStr">
        <is>
          <t>Mantenedor</t>
        </is>
      </c>
      <c r="E9" s="29" t="inlineStr">
        <is>
          <t>Cada 5 años</t>
        </is>
      </c>
      <c r="F9" s="30" t="n"/>
      <c r="G9" s="30" t="n"/>
    </row>
    <row r="10">
      <c r="A10" s="27" t="n">
        <v>5</v>
      </c>
      <c r="B10" s="28" t="inlineStr">
        <is>
          <t>Revisión periódica de la instalación de gas por empresa habilitada (plancha, freidora y cocina de gas)</t>
        </is>
      </c>
      <c r="C10" s="29" t="n"/>
      <c r="D10" s="29" t="inlineStr">
        <is>
          <t>Instalador gas</t>
        </is>
      </c>
      <c r="E10" s="29" t="inlineStr">
        <is>
          <t>Cada 5 años</t>
        </is>
      </c>
      <c r="F10" s="30" t="n"/>
      <c r="G10" s="30" t="n"/>
    </row>
    <row r="11">
      <c r="A11" s="27" t="n">
        <v>6</v>
      </c>
      <c r="B11" s="28" t="inlineStr">
        <is>
          <t>Revisión de los equipos de frío por frigorista (estanqueidad y gas refrigerante)</t>
        </is>
      </c>
      <c r="C11" s="29" t="n"/>
      <c r="D11" s="29" t="inlineStr">
        <is>
          <t>Frigorista</t>
        </is>
      </c>
      <c r="E11" s="29" t="inlineStr">
        <is>
          <t>Anual</t>
        </is>
      </c>
      <c r="F11" s="30" t="n"/>
      <c r="G11" s="30" t="n"/>
    </row>
    <row r="12">
      <c r="A12" s="25" t="inlineStr">
        <is>
          <t xml:space="preserve">  AGUA, RESIDUOS Y ACEITE USADO</t>
        </is>
      </c>
      <c r="B12" s="26" t="n"/>
      <c r="C12" s="26" t="n"/>
      <c r="D12" s="26" t="n"/>
      <c r="E12" s="26" t="n"/>
      <c r="F12" s="26" t="n"/>
      <c r="G12" s="26" t="n"/>
    </row>
    <row r="13">
      <c r="A13" s="27" t="n">
        <v>7</v>
      </c>
      <c r="B13" s="28" t="inlineStr">
        <is>
          <t>Retirada del aceite usado de fritura por gestor autorizado y archivo de los documentos de entrega: en una hamburguesería es el residuo que más volumen genera</t>
        </is>
      </c>
      <c r="C13" s="29" t="n"/>
      <c r="D13" s="29" t="inlineStr">
        <is>
          <t>Gestor autorizado</t>
        </is>
      </c>
      <c r="E13" s="29" t="inlineStr">
        <is>
          <t>Trimestral</t>
        </is>
      </c>
      <c r="F13" s="30" t="n"/>
      <c r="G13" s="30" t="n"/>
    </row>
    <row r="14">
      <c r="A14" s="31" t="n">
        <v>8</v>
      </c>
      <c r="B14" s="32" t="inlineStr">
        <is>
          <t>Revisar el contrato de residuos y la retirada de cartón y envases: el delivery multiplica el volumen de envase</t>
        </is>
      </c>
      <c r="C14" s="29" t="n"/>
      <c r="D14" s="29" t="inlineStr">
        <is>
          <t>Manager</t>
        </is>
      </c>
      <c r="E14" s="29" t="inlineStr">
        <is>
          <t>Trimestral</t>
        </is>
      </c>
      <c r="F14" s="30" t="n"/>
      <c r="G14" s="30" t="n"/>
    </row>
    <row r="15">
      <c r="A15" s="27" t="n">
        <v>9</v>
      </c>
      <c r="B15" s="28" t="inlineStr">
        <is>
          <t>Prevención de legionela si hay torre de refrigeración o agua caliente sanitaria de riesgo</t>
        </is>
      </c>
      <c r="C15" s="29" t="n"/>
      <c r="D15" s="29" t="inlineStr">
        <is>
          <t>Empresa autorizada</t>
        </is>
      </c>
      <c r="E15" s="29" t="inlineStr">
        <is>
          <t>Anual</t>
        </is>
      </c>
      <c r="F15" s="30" t="n"/>
      <c r="G15" s="30" t="n"/>
    </row>
    <row r="16">
      <c r="A16" s="27" t="n">
        <v>10</v>
      </c>
      <c r="B16" s="28" t="inlineStr">
        <is>
          <t>Analítica del agua de consumo si el local tiene depósito propio o descalcificador</t>
        </is>
      </c>
      <c r="C16" s="29" t="n"/>
      <c r="D16" s="29" t="inlineStr">
        <is>
          <t>Laboratorio</t>
        </is>
      </c>
      <c r="E16" s="29" t="inlineStr">
        <is>
          <t>Anual</t>
        </is>
      </c>
      <c r="F16" s="30" t="n"/>
      <c r="G16" s="30" t="n"/>
    </row>
    <row r="17">
      <c r="A17" s="25" t="inlineStr">
        <is>
          <t xml:space="preserve">  ADMINISTRACIÓN Y EQUIPOS</t>
        </is>
      </c>
      <c r="B17" s="26" t="n"/>
      <c r="C17" s="26" t="n"/>
      <c r="D17" s="26" t="n"/>
      <c r="E17" s="26" t="n"/>
      <c r="F17" s="26" t="n"/>
      <c r="G17" s="26" t="n"/>
    </row>
    <row r="18">
      <c r="A18" s="27" t="n">
        <v>11</v>
      </c>
      <c r="B18" s="28" t="inlineStr">
        <is>
          <t>Revisar la póliza del local (continente, contenido y responsabilidad civil) y su vencimiento</t>
        </is>
      </c>
      <c r="C18" s="29" t="n"/>
      <c r="D18" s="29" t="inlineStr">
        <is>
          <t>Manager</t>
        </is>
      </c>
      <c r="E18" s="29" t="inlineStr">
        <is>
          <t>Anual</t>
        </is>
      </c>
      <c r="F18" s="30" t="n"/>
      <c r="G18" s="30" t="n"/>
    </row>
    <row r="19">
      <c r="A19" s="27" t="n">
        <v>12</v>
      </c>
      <c r="B19" s="28" t="inlineStr">
        <is>
          <t>Revisión del TPV y del software de facturación (requisitos antifraude / Verifactu), también el de las apps de delivery</t>
        </is>
      </c>
      <c r="C19" s="29" t="n"/>
      <c r="D19" s="29" t="inlineStr">
        <is>
          <t>Manager</t>
        </is>
      </c>
      <c r="E19" s="29" t="inlineStr">
        <is>
          <t>Anual</t>
        </is>
      </c>
      <c r="F19" s="30" t="n"/>
      <c r="G19" s="30" t="n"/>
    </row>
    <row r="20">
      <c r="A20" s="27" t="n">
        <v>13</v>
      </c>
      <c r="B20" s="28" t="inlineStr">
        <is>
          <t>Calibrar los termómetros y la sonda de la plancha contra un patrón conocido: de esa sonda depende el núcleo de la carne picada</t>
        </is>
      </c>
      <c r="C20" s="29" t="n"/>
      <c r="D20" s="29" t="inlineStr">
        <is>
          <t>Técnico</t>
        </is>
      </c>
      <c r="E20" s="29" t="inlineStr">
        <is>
          <t>Anual</t>
        </is>
      </c>
      <c r="F20" s="30" t="n"/>
      <c r="G20" s="30" t="n"/>
    </row>
    <row r="21">
      <c r="A21" s="27" t="n">
        <v>14</v>
      </c>
      <c r="B21" s="28" t="inlineStr">
        <is>
          <t>Anotar la fecha de la próxima revisión de cada contrato y archivar el parte firmado</t>
        </is>
      </c>
      <c r="C21" s="29" t="n"/>
      <c r="D21" s="29" t="inlineStr">
        <is>
          <t>Manager</t>
        </is>
      </c>
      <c r="E21" s="29" t="inlineStr">
        <is>
          <t>Trimestral</t>
        </is>
      </c>
      <c r="F21" s="30" t="n"/>
      <c r="G21" s="30" t="n"/>
    </row>
    <row r="22">
      <c r="A22" s="33" t="n"/>
      <c r="B22" s="34" t="n"/>
      <c r="C22" s="29" t="n"/>
      <c r="D22" s="29" t="n"/>
      <c r="E22" s="29" t="n"/>
      <c r="F22" s="30" t="n"/>
      <c r="G22" s="30" t="n"/>
    </row>
    <row r="23">
      <c r="A23" s="33" t="n"/>
      <c r="B23" s="34" t="n"/>
      <c r="C23" s="29" t="n"/>
      <c r="D23" s="29" t="n"/>
      <c r="E23" s="29" t="n"/>
      <c r="F23" s="30" t="n"/>
      <c r="G23" s="30" t="n"/>
    </row>
    <row r="24">
      <c r="A24" s="33" t="n"/>
      <c r="B24" s="34" t="n"/>
      <c r="C24" s="29" t="n"/>
      <c r="D24" s="29" t="n"/>
      <c r="E24" s="29" t="n"/>
      <c r="F24" s="30" t="n"/>
      <c r="G24" s="30" t="n"/>
    </row>
    <row r="25">
      <c r="A25" s="33" t="n"/>
      <c r="B25" s="34" t="n"/>
      <c r="C25" s="29" t="n"/>
      <c r="D25" s="29" t="n"/>
      <c r="E25" s="29" t="n"/>
      <c r="F25" s="30" t="n"/>
      <c r="G25" s="30" t="n"/>
    </row>
    <row r="26">
      <c r="A26" s="33" t="n"/>
      <c r="B26" s="34" t="n"/>
      <c r="C26" s="29" t="n"/>
      <c r="D26" s="29" t="n"/>
      <c r="E26" s="29" t="n"/>
      <c r="F26" s="30" t="n"/>
      <c r="G26" s="30" t="n"/>
    </row>
    <row r="27"/>
    <row r="28">
      <c r="A28" s="18" t="inlineStr">
        <is>
          <t>Tareas completadas:</t>
        </is>
      </c>
      <c r="D28" s="19">
        <f>COUNTIFS(B5:B26,"?*",F5:F26,"✓")</f>
        <v/>
      </c>
      <c r="E28" s="18" t="inlineStr">
        <is>
          <t>de</t>
        </is>
      </c>
      <c r="F28">
        <f>COUNTIF(B5:B26,"?*")-COUNTIF(F5:F26,"N/A")</f>
        <v/>
      </c>
    </row>
    <row r="29"/>
    <row r="30">
      <c r="A30" s="4" t="inlineStr">
        <is>
          <t>Firma encargado/a: _________________________    Hora: _________</t>
        </is>
      </c>
    </row>
    <row r="31"/>
    <row r="32">
      <c r="A32" s="15" t="inlineStr">
        <is>
          <t>— Kit de Tareas Recurrentes · Hamburguesería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32:G32"/>
    <mergeCell ref="A28:C28"/>
    <mergeCell ref="A1:G1"/>
    <mergeCell ref="A17:G17"/>
    <mergeCell ref="A12:G12"/>
    <mergeCell ref="A30:G30"/>
    <mergeCell ref="A2:G2"/>
    <mergeCell ref="A5:G5"/>
  </mergeCells>
  <conditionalFormatting sqref="A5:G26">
    <cfRule type="expression" priority="1" dxfId="0">
      <formula>$F5="✓"</formula>
    </cfRule>
  </conditionalFormatting>
  <dataValidations count="1">
    <dataValidation sqref="F6 F7 F8 F9 F10 F11 F13 F14 F15 F16 F18 F19 F20 F21 F22 F23 F24 F25 F26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Semanales, Mensuales e Inventarios — Hamburguesería · Kit de Tareas Recurrentes — Checklists Operativos para Hamburguesería</dc:title>
  <dc:description xmlns:dc="http://purl.org/dc/elements/1.1/">aichef.pro/kit-tareas-hamburgueseria</dc:description>
  <dc:subject xmlns:dc="http://purl.org/dc/elements/1.1/">Kit de Tareas Recurrentes — Checklists Operativos para Hamburguesería · v2.0</dc:subject>
  <dcterms:created xmlns:dcterms="http://purl.org/dc/terms/" xmlns:xsi="http://www.w3.org/2001/XMLSchema-instance" xsi:type="dcterms:W3CDTF">2026-03-19T20:22:59Z</dcterms:created>
  <dcterms:modified xmlns:dcterms="http://purl.org/dc/terms/" xmlns:xsi="http://www.w3.org/2001/XMLSchema-instance" xsi:type="dcterms:W3CDTF">2026-10-18T12:12:55Z</dcterms:modified>
  <cp:lastModifiedBy>AI Chef Pro</cp:lastModifiedBy>
  <cp:category>AI Chef Pro · Productos digitales</cp:category>
  <cp:keywords>kit tareas hamburgueseria, AI Chef Pro</cp:keywords>
</cp:coreProperties>
</file>