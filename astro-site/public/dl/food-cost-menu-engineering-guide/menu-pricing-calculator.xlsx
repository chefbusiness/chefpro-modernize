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y Dish" sheetId="2" state="visible" r:id="rId2"/>
  </sheets>
  <definedNames>
    <definedName name="_xlnm._FilterDatabase" localSheetId="1" hidden="1">'By Dish'!$A$8:$W$33</definedName>
    <definedName name="_xlnm.Print_Titles" localSheetId="1">'By Dish'!$8:$8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"/>
  </numFmts>
  <fonts count="7">
    <font>
      <name val="Calibri"/>
      <family val="2"/>
      <color theme="1"/>
      <sz val="11"/>
      <scheme val="minor"/>
    </font>
    <font>
      <b val="1"/>
      <color theme="1"/>
      <sz val="11"/>
    </font>
    <font>
      <b val="1"/>
      <sz val="16"/>
    </font>
    <font>
      <color rgb="00595959"/>
      <sz val="10"/>
    </font>
    <font>
      <b val="1"/>
      <sz val="11"/>
    </font>
    <font>
      <b val="1"/>
      <color rgb="00FFFFFF"/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8F5E9"/>
      </patternFill>
    </fill>
    <fill>
      <patternFill patternType="solid">
        <fgColor rgb="00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1" fillId="0" borderId="0" pivotButton="0" quotePrefix="0" xfId="0"/>
    <xf numFmtId="0" fontId="0" fillId="3" borderId="0" applyAlignment="1" applyProtection="1" pivotButton="0" quotePrefix="0" xfId="0">
      <alignment horizontal="general" vertical="top" wrapText="1"/>
      <protection locked="0" hidden="0"/>
    </xf>
    <xf numFmtId="0" fontId="4" fillId="2" borderId="0" pivotButton="0" quotePrefix="0" xfId="0"/>
    <xf numFmtId="164" fontId="0" fillId="3" borderId="0" applyProtection="1" pivotButton="0" quotePrefix="0" xfId="0">
      <protection locked="0" hidden="0"/>
    </xf>
    <xf numFmtId="0" fontId="5" fillId="4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top"/>
    </xf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4" fontId="0" fillId="0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4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Menu Pricing Calculator: Four Methods</t>
        </is>
      </c>
    </row>
    <row r="2">
      <c r="A2" s="2" t="inlineStr">
        <is>
          <t>AI Chef Pro · aichef.pro — Food Cost + Menu Engineering Guide</t>
        </is>
      </c>
    </row>
    <row r="3"/>
    <row r="4">
      <c r="A4" s="3" t="inlineStr">
        <is>
          <t>How to use this workbook</t>
        </is>
      </c>
    </row>
    <row r="5">
      <c r="A5" s="4" t="inlineStr">
        <is>
          <t>1. Bring each dish's plate cost from your recipe cost card into column D. It's the one number that isn't up for negotiation.</t>
        </is>
      </c>
    </row>
    <row r="6">
      <c r="A6" s="4" t="inlineStr">
        <is>
          <t>2. Fill in the three method inputs: target margin in dollars (B), local market price (C) and perceived value price (D).</t>
        </is>
      </c>
    </row>
    <row r="7">
      <c r="A7" s="4" t="inlineStr">
        <is>
          <t>3. Look at the four "Resulting food cost" columns: the same dish with four different prices and four different food costs.</t>
        </is>
      </c>
    </row>
    <row r="8">
      <c r="A8" s="4" t="inlineStr">
        <is>
          <t>4. Pick the method in the "Method chosen" column and the workbook keeps that price, adds the tax and works out the margin.</t>
        </is>
      </c>
    </row>
    <row r="9">
      <c r="A9" s="4" t="inlineStr">
        <is>
          <t>5. The traffic light compares the final food cost with your target: green if you meet it, red if you go over.</t>
        </is>
      </c>
    </row>
    <row r="10">
      <c r="A10" s="4" t="inlineStr">
        <is>
          <t>6. Leave the "Dish target FC" column empty to use the overall target; type a target of its own for high-cost dishes.</t>
        </is>
      </c>
    </row>
    <row r="11">
      <c r="A11" s="4" t="inlineStr">
        <is>
          <t>7. The "Difference from current menu price" column is the increase (or decrease) you're proposing: take it to the 90-day plan before you touch the menu.</t>
        </is>
      </c>
    </row>
    <row r="12">
      <c r="A12" s="4" t="inlineStr">
        <is>
          <t>8. The table holds the 20 example dishes and 5 empty rows already formatted and validated: add your dishes there before inserting new rows.</t>
        </is>
      </c>
    </row>
    <row r="13"/>
    <row r="14">
      <c r="A14" s="5" t="inlineStr">
        <is>
          <t>Why each dish carries a method</t>
        </is>
      </c>
    </row>
    <row r="15">
      <c r="A15" s="4" t="inlineStr">
        <is>
          <t>The methods seeded in the example follow a rule: plate cost of $6 or more, target margin; $2 or less, perceived value; the rest of the mains, market price; everything else, cost factor. The factor only works in the middle band: on the ribeye it sends the price through the roof, and on a dessert it leaves it below what the guest would pay. The target margin (method B) is seeded in DOLLARS PER CATEGORY ($6.50 starters, $10.50 mains, $4.20 desserts) — the weighted average contribution margin of the menu, not a multiple of the cost: that's why the ribeye comes out at $25.30 (14.80 + 10.50) and not $49.33, and its food cost lands above target instead of off the chart. Market price and perceived value carry their own spread per dish (between 5% and 25% over the current menu price, depending on how different each dish is from the competition), not a single factor for the whole menu.</t>
        </is>
      </c>
    </row>
    <row r="16"/>
    <row r="17">
      <c r="A17" s="6" t="inlineStr">
        <is>
          <t>Green cells = editable fields</t>
        </is>
      </c>
    </row>
    <row r="18">
      <c r="A18" s="4" t="inlineStr">
        <is>
          <t xml:space="preserve">Amounts carry no currency symbol: they are in your currency. Tax on the menu price by market (cell "Tax rate (%)", 0% by default):
• US: menu prices are pre-tax and sales tax is added on the bill. Leave 0%.
• Canada: GST/HST is usually added on the bill, as in the US. Leave 0%.
• UK: printed prices must include VAT. Type 20% (most cold takeaway food is zero-rated, but not soft drinks, confectionery or crisps).
• Australia: prices include GST. Type 10%.</t>
        </is>
      </c>
    </row>
    <row r="19">
      <c r="A19" s="4" t="inlineStr">
        <is>
          <t>To edit the structure or any cell that isn't green, unprotect the sheet (no password).</t>
        </is>
      </c>
    </row>
    <row r="20">
      <c r="A20" s="4" t="inlineStr">
        <is>
          <t>Designed by John Guerrero — chef and restaurant consultant since 2010 · johnguerrero.es</t>
        </is>
      </c>
    </row>
    <row r="21">
      <c r="A21" s="4" t="inlineStr">
        <is>
          <t>Version 1.0 · October 2026 · aichef.pro/en/digital-products/food-cost-menu-engineering-guide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43" right="0.43" top="0.55" bottom="0.55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55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4" customWidth="1" min="17" max="17"/>
    <col width="14" customWidth="1" min="18" max="18"/>
    <col width="13" customWidth="1" min="19" max="19"/>
    <col width="11" customWidth="1" min="20" max="20"/>
    <col width="21" customWidth="1" min="21" max="21"/>
    <col width="13" customWidth="1" min="22" max="22"/>
    <col width="13" customWidth="1" min="23" max="23"/>
  </cols>
  <sheetData>
    <row r="1">
      <c r="A1" s="1" t="inlineStr">
        <is>
          <t>Menu Pricing Calculator: Four Methods</t>
        </is>
      </c>
    </row>
    <row r="2">
      <c r="A2" s="2" t="inlineStr">
        <is>
          <t>AI Chef Pro · aichef.pro — Food Cost + Menu Engineering Guide</t>
        </is>
      </c>
    </row>
    <row r="3">
      <c r="B3" s="4" t="inlineStr">
        <is>
          <t>The same dish under all four methods at once. Pick the method in column F and the workbook keeps that price.</t>
        </is>
      </c>
    </row>
    <row r="4">
      <c r="B4" s="7" t="inlineStr">
        <is>
          <t>INPUTS — change them and the whole workbook recalculates</t>
        </is>
      </c>
      <c r="C4" s="7" t="n"/>
      <c r="D4" s="7" t="n"/>
      <c r="E4" s="7" t="n"/>
      <c r="F4" s="7" t="n"/>
      <c r="G4" s="7" t="n"/>
      <c r="H4" s="7" t="n"/>
      <c r="I4" s="7" t="n"/>
    </row>
    <row r="5">
      <c r="B5" s="5" t="inlineStr">
        <is>
          <t>Overall target food cost (%)</t>
        </is>
      </c>
      <c r="E5" s="8" t="n">
        <v>0.3</v>
      </c>
      <c r="J5" s="4" t="inlineStr">
        <is>
          <t>Applies to every dish except those with a target of their own in column E.</t>
        </is>
      </c>
    </row>
    <row r="6">
      <c r="B6" t="inlineStr">
        <is>
          <t>Tax rate (%)</t>
        </is>
      </c>
      <c r="E6" s="8" t="n">
        <v>0</v>
      </c>
      <c r="J6" s="4" t="inlineStr">
        <is>
          <t>Ships at 0%: US and Canadian menus are printed pre-tax. In the UK type 20% (VAT is included in printed prices); in Australia type 10% (GST included). Change it here and the whole workbook recalculates.</t>
        </is>
      </c>
    </row>
    <row r="7"/>
    <row r="8" ht="52" customHeight="1">
      <c r="A8" s="9" t="inlineStr">
        <is>
          <t>#</t>
        </is>
      </c>
      <c r="B8" s="9" t="inlineStr">
        <is>
          <t>Dish</t>
        </is>
      </c>
      <c r="C8" s="9" t="inlineStr">
        <is>
          <t>Category</t>
        </is>
      </c>
      <c r="D8" s="9" t="inlineStr">
        <is>
          <t>Plate cost</t>
        </is>
      </c>
      <c r="E8" s="9" t="inlineStr">
        <is>
          <t>Dish target FC (%) — optional</t>
        </is>
      </c>
      <c r="F8" s="9" t="inlineStr">
        <is>
          <t>Method chosen</t>
        </is>
      </c>
      <c r="G8" s="9" t="inlineStr">
        <is>
          <t>Target margin — method B</t>
        </is>
      </c>
      <c r="H8" s="9" t="inlineStr">
        <is>
          <t>Local market price — method C</t>
        </is>
      </c>
      <c r="I8" s="9" t="inlineStr">
        <is>
          <t>Perceived value price — method D</t>
        </is>
      </c>
      <c r="J8" s="9" t="inlineStr">
        <is>
          <t>Target FC applied (%)</t>
        </is>
      </c>
      <c r="K8" s="9" t="inlineStr">
        <is>
          <t>A · Cost factor menu price</t>
        </is>
      </c>
      <c r="L8" s="9" t="inlineStr">
        <is>
          <t>B · Target margin menu price</t>
        </is>
      </c>
      <c r="M8" s="9" t="inlineStr">
        <is>
          <t>Resulting food cost with A (%)</t>
        </is>
      </c>
      <c r="N8" s="9" t="inlineStr">
        <is>
          <t>Resulting food cost with B (%)</t>
        </is>
      </c>
      <c r="O8" s="9" t="inlineStr">
        <is>
          <t>Resulting food cost with C (%)</t>
        </is>
      </c>
      <c r="P8" s="9" t="inlineStr">
        <is>
          <t>Resulting food cost with D (%)</t>
        </is>
      </c>
      <c r="Q8" s="9" t="inlineStr">
        <is>
          <t>CHOSEN menu price pre-tax</t>
        </is>
      </c>
      <c r="R8" s="9" t="inlineStr">
        <is>
          <t>Chosen menu price WITH tax</t>
        </is>
      </c>
      <c r="S8" s="9" t="inlineStr">
        <is>
          <t>Contribution margin</t>
        </is>
      </c>
      <c r="T8" s="9" t="inlineStr">
        <is>
          <t>Final food cost (%)</t>
        </is>
      </c>
      <c r="U8" s="9" t="inlineStr">
        <is>
          <t>Status vs. target</t>
        </is>
      </c>
      <c r="V8" s="9" t="inlineStr">
        <is>
          <t>Current menu price pre-tax</t>
        </is>
      </c>
      <c r="W8" s="9" t="inlineStr">
        <is>
          <t>Difference from current menu price</t>
        </is>
      </c>
    </row>
    <row r="9">
      <c r="A9" s="10" t="n">
        <v>1</v>
      </c>
      <c r="B9" s="11" t="inlineStr">
        <is>
          <t>Iberico ham croquettes (6 pcs)</t>
        </is>
      </c>
      <c r="C9" s="11" t="inlineStr">
        <is>
          <t>Starters</t>
        </is>
      </c>
      <c r="D9" s="12" t="n">
        <v>2.1</v>
      </c>
      <c r="E9" s="8" t="n"/>
      <c r="F9" s="11" t="inlineStr">
        <is>
          <t>A · Cost Factor</t>
        </is>
      </c>
      <c r="G9" s="12" t="n">
        <v>6.5</v>
      </c>
      <c r="H9" s="12" t="n">
        <v>9.119999999999999</v>
      </c>
      <c r="I9" s="12" t="n">
        <v>9.630000000000001</v>
      </c>
      <c r="J9" s="13">
        <f>IF(ISNUMBER($E9),$E9,IF($E$5="","",$E$5))</f>
        <v>0.3</v>
      </c>
      <c r="K9" s="14">
        <f>IFERROR(IF(OR($D9="",$J9="",$J9=0),"",$D9/$J9),"")</f>
        <v>7.000000000000001</v>
      </c>
      <c r="L9" s="14">
        <f>IFERROR(IF(OR($D9="",$G9=""),"",$D9+$G9),"")</f>
        <v>8.6</v>
      </c>
      <c r="M9" s="13">
        <f>IFERROR(IF(OR($D9="",$K9="",$K9=0),"",$D9/$K9),"")</f>
        <v>0.3</v>
      </c>
      <c r="N9" s="13">
        <f>IFERROR(IF(OR($D9="",$L9="",$L9=0),"",$D9/$L9),"")</f>
        <v>0.24418604651162792</v>
      </c>
      <c r="O9" s="13">
        <f>IFERROR(IF(OR($D9="",$H9="",$H9=0),"",$D9/$H9),"")</f>
        <v>0.23026315789473686</v>
      </c>
      <c r="P9" s="13">
        <f>IFERROR(IF(OR($D9="",$I9="",$I9=0),"",$D9/$I9),"")</f>
        <v>0.21806853582554517</v>
      </c>
      <c r="Q9" s="15">
        <f>IF($F9="","",IF($F9="A · Cost Factor",$K9,IF($F9="B · Target Margin",$L9,IF($F9="C · Market Price",$H9,IF($F9="D · Perceived Value",$I9,"")))))</f>
        <v>7.000000000000001</v>
      </c>
      <c r="R9" s="14">
        <f>IFERROR(IF($Q9="","",$Q9*(1+$E$6)),"")</f>
        <v>7.000000000000001</v>
      </c>
      <c r="S9" s="14">
        <f>IFERROR(IF(OR($Q9="",$D9=""),"",$Q9-$D9),"")</f>
        <v>4.9</v>
      </c>
      <c r="T9" s="16">
        <f>IFERROR(IF(OR($D9="",$Q9="",$Q9=0),"",$D9/$Q9),"")</f>
        <v>0.3</v>
      </c>
      <c r="U9" t="str">
        <f>IF(OR($T9="",$J9=""),"",IF($T9&lt;=$J9,"On target","Above target"))</f>
        <v>On target</v>
      </c>
      <c r="V9" s="12" t="n">
        <v>8.6</v>
      </c>
      <c r="W9" s="14">
        <f>IFERROR(IF(OR($Q9="",$V9=""),"",$Q9-$V9),"")</f>
        <v>-1.5999999999999988</v>
      </c>
    </row>
    <row r="10">
      <c r="A10" s="10" t="n">
        <v>2</v>
      </c>
      <c r="B10" s="11" t="inlineStr">
        <is>
          <t>Heirloom tomato salad with tuna belly and scallions</t>
        </is>
      </c>
      <c r="C10" s="11" t="inlineStr">
        <is>
          <t>Starters</t>
        </is>
      </c>
      <c r="D10" s="12" t="n">
        <v>3.6</v>
      </c>
      <c r="E10" s="8" t="n"/>
      <c r="F10" s="11" t="inlineStr">
        <is>
          <t>A · Cost Factor</t>
        </is>
      </c>
      <c r="G10" s="12" t="n">
        <v>6.5</v>
      </c>
      <c r="H10" s="12" t="n">
        <v>11.21</v>
      </c>
      <c r="I10" s="12" t="n">
        <v>12.63</v>
      </c>
      <c r="J10" s="13">
        <f>IF(ISNUMBER($E10),$E10,IF($E$5="","",$E$5))</f>
        <v>0.3</v>
      </c>
      <c r="K10" s="14">
        <f>IFERROR(IF(OR($D10="",$J10="",$J10=0),"",$D10/$J10),"")</f>
        <v>12.0</v>
      </c>
      <c r="L10" s="14">
        <f>IFERROR(IF(OR($D10="",$G10=""),"",$D10+$G10),"")</f>
        <v>10.1</v>
      </c>
      <c r="M10" s="13">
        <f>IFERROR(IF(OR($D10="",$K10="",$K10=0),"",$D10/$K10),"")</f>
        <v>0.3</v>
      </c>
      <c r="N10" s="13">
        <f>IFERROR(IF(OR($D10="",$L10="",$L10=0),"",$D10/$L10),"")</f>
        <v>0.3564356435643565</v>
      </c>
      <c r="O10" s="13">
        <f>IFERROR(IF(OR($D10="",$H10="",$H10=0),"",$D10/$H10),"")</f>
        <v>0.32114183764495985</v>
      </c>
      <c r="P10" s="13">
        <f>IFERROR(IF(OR($D10="",$I10="",$I10=0),"",$D10/$I10),"")</f>
        <v>0.2850356294536817</v>
      </c>
      <c r="Q10" s="15">
        <f>IF($F10="","",IF($F10="A · Cost Factor",$K10,IF($F10="B · Target Margin",$L10,IF($F10="C · Market Price",$H10,IF($F10="D · Perceived Value",$I10,"")))))</f>
        <v>12.0</v>
      </c>
      <c r="R10" s="14">
        <f>IFERROR(IF($Q10="","",$Q10*(1+$E$6)),"")</f>
        <v>12.0</v>
      </c>
      <c r="S10" s="14">
        <f>IFERROR(IF(OR($Q10="",$D10=""),"",$Q10-$D10),"")</f>
        <v>8.4</v>
      </c>
      <c r="T10" s="16">
        <f>IFERROR(IF(OR($D10="",$Q10="",$Q10=0),"",$D10/$Q10),"")</f>
        <v>0.3</v>
      </c>
      <c r="U10" t="str">
        <f>IF(OR($T10="",$J10=""),"",IF($T10&lt;=$J10,"On target","Above target"))</f>
        <v>On target</v>
      </c>
      <c r="V10" s="12" t="n">
        <v>11.8</v>
      </c>
      <c r="W10" s="14">
        <f>IFERROR(IF(OR($Q10="",$V10=""),"",$Q10-$V10),"")</f>
        <v>0.1999999999999993</v>
      </c>
    </row>
    <row r="11">
      <c r="A11" s="10" t="n">
        <v>3</v>
      </c>
      <c r="B11" s="11" t="inlineStr">
        <is>
          <t>Garlic shrimp</t>
        </is>
      </c>
      <c r="C11" s="11" t="inlineStr">
        <is>
          <t>Starters</t>
        </is>
      </c>
      <c r="D11" s="12" t="n">
        <v>6.9</v>
      </c>
      <c r="E11" s="8" t="n"/>
      <c r="F11" s="11" t="inlineStr">
        <is>
          <t>B · Target Margin</t>
        </is>
      </c>
      <c r="G11" s="12" t="n">
        <v>6.5</v>
      </c>
      <c r="H11" s="12" t="n">
        <v>17.36</v>
      </c>
      <c r="I11" s="12" t="n">
        <v>18.6</v>
      </c>
      <c r="J11" s="13">
        <f>IF(ISNUMBER($E11),$E11,IF($E$5="","",$E$5))</f>
        <v>0.3</v>
      </c>
      <c r="K11" s="14">
        <f>IFERROR(IF(OR($D11="",$J11="",$J11=0),"",$D11/$J11),"")</f>
        <v>23.000000000000004</v>
      </c>
      <c r="L11" s="14">
        <f>IFERROR(IF(OR($D11="",$G11=""),"",$D11+$G11),"")</f>
        <v>13.4</v>
      </c>
      <c r="M11" s="13">
        <f>IFERROR(IF(OR($D11="",$K11="",$K11=0),"",$D11/$K11),"")</f>
        <v>0.3</v>
      </c>
      <c r="N11" s="13">
        <f>IFERROR(IF(OR($D11="",$L11="",$L11=0),"",$D11/$L11),"")</f>
        <v>0.5149253731343284</v>
      </c>
      <c r="O11" s="13">
        <f>IFERROR(IF(OR($D11="",$H11="",$H11=0),"",$D11/$H11),"")</f>
        <v>0.39746543778801846</v>
      </c>
      <c r="P11" s="13">
        <f>IFERROR(IF(OR($D11="",$I11="",$I11=0),"",$D11/$I11),"")</f>
        <v>0.3709677419354839</v>
      </c>
      <c r="Q11" s="15">
        <f>IF($F11="","",IF($F11="A · Cost Factor",$K11,IF($F11="B · Target Margin",$L11,IF($F11="C · Market Price",$H11,IF($F11="D · Perceived Value",$I11,"")))))</f>
        <v>13.4</v>
      </c>
      <c r="R11" s="14">
        <f>IFERROR(IF($Q11="","",$Q11*(1+$E$6)),"")</f>
        <v>13.4</v>
      </c>
      <c r="S11" s="14">
        <f>IFERROR(IF(OR($Q11="",$D11=""),"",$Q11-$D11),"")</f>
        <v>6.5</v>
      </c>
      <c r="T11" s="16">
        <f>IFERROR(IF(OR($D11="",$Q11="",$Q11=0),"",$D11/$Q11),"")</f>
        <v>0.5149253731343284</v>
      </c>
      <c r="U11" t="str">
        <f>IF(OR($T11="",$J11=""),"",IF($T11&lt;=$J11,"On target","Above target"))</f>
        <v>Above target</v>
      </c>
      <c r="V11" s="12" t="n">
        <v>15.5</v>
      </c>
      <c r="W11" s="14">
        <f>IFERROR(IF(OR($Q11="",$V11=""),"",$Q11-$V11),"")</f>
        <v>-2.0999999999999996</v>
      </c>
    </row>
    <row r="12">
      <c r="A12" s="10" t="n">
        <v>4</v>
      </c>
      <c r="B12" s="11" t="inlineStr">
        <is>
          <t>Broken eggs with potatoes and chistorra sausage</t>
        </is>
      </c>
      <c r="C12" s="11" t="inlineStr">
        <is>
          <t>Starters</t>
        </is>
      </c>
      <c r="D12" s="12" t="n">
        <v>2.4</v>
      </c>
      <c r="E12" s="8" t="n"/>
      <c r="F12" s="11" t="inlineStr">
        <is>
          <t>A · Cost Factor</t>
        </is>
      </c>
      <c r="G12" s="12" t="n">
        <v>6.5</v>
      </c>
      <c r="H12" s="12" t="n">
        <v>9.210000000000001</v>
      </c>
      <c r="I12" s="12" t="n">
        <v>10.58</v>
      </c>
      <c r="J12" s="13">
        <f>IF(ISNUMBER($E12),$E12,IF($E$5="","",$E$5))</f>
        <v>0.3</v>
      </c>
      <c r="K12" s="14">
        <f>IFERROR(IF(OR($D12="",$J12="",$J12=0),"",$D12/$J12),"")</f>
        <v>8.0</v>
      </c>
      <c r="L12" s="14">
        <f>IFERROR(IF(OR($D12="",$G12=""),"",$D12+$G12),"")</f>
        <v>8.9</v>
      </c>
      <c r="M12" s="13">
        <f>IFERROR(IF(OR($D12="",$K12="",$K12=0),"",$D12/$K12),"")</f>
        <v>0.3</v>
      </c>
      <c r="N12" s="13">
        <f>IFERROR(IF(OR($D12="",$L12="",$L12=0),"",$D12/$L12),"")</f>
        <v>0.2696629213483146</v>
      </c>
      <c r="O12" s="13">
        <f>IFERROR(IF(OR($D12="",$H12="",$H12=0),"",$D12/$H12),"")</f>
        <v>0.260586319218241</v>
      </c>
      <c r="P12" s="13">
        <f>IFERROR(IF(OR($D12="",$I12="",$I12=0),"",$D12/$I12),"")</f>
        <v>0.22684310018903592</v>
      </c>
      <c r="Q12" s="15">
        <f>IF($F12="","",IF($F12="A · Cost Factor",$K12,IF($F12="B · Target Margin",$L12,IF($F12="C · Market Price",$H12,IF($F12="D · Perceived Value",$I12,"")))))</f>
        <v>8.0</v>
      </c>
      <c r="R12" s="14">
        <f>IFERROR(IF($Q12="","",$Q12*(1+$E$6)),"")</f>
        <v>8.0</v>
      </c>
      <c r="S12" s="14">
        <f>IFERROR(IF(OR($Q12="",$D12=""),"",$Q12-$D12),"")</f>
        <v>5.6</v>
      </c>
      <c r="T12" s="16">
        <f>IFERROR(IF(OR($D12="",$Q12="",$Q12=0),"",$D12/$Q12),"")</f>
        <v>0.3</v>
      </c>
      <c r="U12" t="str">
        <f>IF(OR($T12="",$J12=""),"",IF($T12&lt;=$J12,"On target","Above target"))</f>
        <v>On target</v>
      </c>
      <c r="V12" s="12" t="n">
        <v>9.800000000000001</v>
      </c>
      <c r="W12" s="14">
        <f>IFERROR(IF(OR($Q12="",$V12=""),"",$Q12-$V12),"")</f>
        <v>-1.8000000000000007</v>
      </c>
    </row>
    <row r="13">
      <c r="A13" s="10" t="n">
        <v>5</v>
      </c>
      <c r="B13" s="11" t="inlineStr">
        <is>
          <t>Local cheese board</t>
        </is>
      </c>
      <c r="C13" s="11" t="inlineStr">
        <is>
          <t>Starters</t>
        </is>
      </c>
      <c r="D13" s="12" t="n">
        <v>5.2</v>
      </c>
      <c r="E13" s="8" t="n"/>
      <c r="F13" s="11" t="inlineStr">
        <is>
          <t>A · Cost Factor</t>
        </is>
      </c>
      <c r="G13" s="12" t="n">
        <v>6.5</v>
      </c>
      <c r="H13" s="12" t="n">
        <v>15.64</v>
      </c>
      <c r="I13" s="12" t="n">
        <v>16.59</v>
      </c>
      <c r="J13" s="13">
        <f>IF(ISNUMBER($E13),$E13,IF($E$5="","",$E$5))</f>
        <v>0.3</v>
      </c>
      <c r="K13" s="14">
        <f>IFERROR(IF(OR($D13="",$J13="",$J13=0),"",$D13/$J13),"")</f>
        <v>17.333333333333336</v>
      </c>
      <c r="L13" s="14">
        <f>IFERROR(IF(OR($D13="",$G13=""),"",$D13+$G13),"")</f>
        <v>11.7</v>
      </c>
      <c r="M13" s="13">
        <f>IFERROR(IF(OR($D13="",$K13="",$K13=0),"",$D13/$K13),"")</f>
        <v>0.3</v>
      </c>
      <c r="N13" s="13">
        <f>IFERROR(IF(OR($D13="",$L13="",$L13=0),"",$D13/$L13),"")</f>
        <v>0.4444444444444445</v>
      </c>
      <c r="O13" s="13">
        <f>IFERROR(IF(OR($D13="",$H13="",$H13=0),"",$D13/$H13),"")</f>
        <v>0.33248081841432225</v>
      </c>
      <c r="P13" s="13">
        <f>IFERROR(IF(OR($D13="",$I13="",$I13=0),"",$D13/$I13),"")</f>
        <v>0.3134418324291742</v>
      </c>
      <c r="Q13" s="15">
        <f>IF($F13="","",IF($F13="A · Cost Factor",$K13,IF($F13="B · Target Margin",$L13,IF($F13="C · Market Price",$H13,IF($F13="D · Perceived Value",$I13,"")))))</f>
        <v>17.333333333333336</v>
      </c>
      <c r="R13" s="14">
        <f>IFERROR(IF($Q13="","",$Q13*(1+$E$6)),"")</f>
        <v>17.333333333333336</v>
      </c>
      <c r="S13" s="14">
        <f>IFERROR(IF(OR($Q13="",$D13=""),"",$Q13-$D13),"")</f>
        <v>12.133333333333336</v>
      </c>
      <c r="T13" s="16">
        <f>IFERROR(IF(OR($D13="",$Q13="",$Q13=0),"",$D13/$Q13),"")</f>
        <v>0.3</v>
      </c>
      <c r="U13" t="str">
        <f>IF(OR($T13="",$J13=""),"",IF($T13&lt;=$J13,"On target","Above target"))</f>
        <v>On target</v>
      </c>
      <c r="V13" s="12" t="n">
        <v>13.6</v>
      </c>
      <c r="W13" s="14">
        <f>IFERROR(IF(OR($Q13="",$V13=""),"",$Q13-$V13),"")</f>
        <v>3.733333333333336</v>
      </c>
    </row>
    <row r="14">
      <c r="A14" s="10" t="n">
        <v>6</v>
      </c>
      <c r="B14" s="11" t="inlineStr">
        <is>
          <t>Confit artichokes with ham</t>
        </is>
      </c>
      <c r="C14" s="11" t="inlineStr">
        <is>
          <t>Starters</t>
        </is>
      </c>
      <c r="D14" s="12" t="n">
        <v>3.1</v>
      </c>
      <c r="E14" s="8" t="n"/>
      <c r="F14" s="11" t="inlineStr">
        <is>
          <t>A · Cost Factor</t>
        </is>
      </c>
      <c r="G14" s="12" t="n">
        <v>6.5</v>
      </c>
      <c r="H14" s="12" t="n">
        <v>10.14</v>
      </c>
      <c r="I14" s="12" t="n">
        <v>11.55</v>
      </c>
      <c r="J14" s="13">
        <f>IF(ISNUMBER($E14),$E14,IF($E$5="","",$E$5))</f>
        <v>0.3</v>
      </c>
      <c r="K14" s="14">
        <f>IFERROR(IF(OR($D14="",$J14="",$J14=0),"",$D14/$J14),"")</f>
        <v>10.333333333333334</v>
      </c>
      <c r="L14" s="14">
        <f>IFERROR(IF(OR($D14="",$G14=""),"",$D14+$G14),"")</f>
        <v>9.6</v>
      </c>
      <c r="M14" s="13">
        <f>IFERROR(IF(OR($D14="",$K14="",$K14=0),"",$D14/$K14),"")</f>
        <v>0.3</v>
      </c>
      <c r="N14" s="13">
        <f>IFERROR(IF(OR($D14="",$L14="",$L14=0),"",$D14/$L14),"")</f>
        <v>0.3229166666666667</v>
      </c>
      <c r="O14" s="13">
        <f>IFERROR(IF(OR($D14="",$H14="",$H14=0),"",$D14/$H14),"")</f>
        <v>0.3057199211045365</v>
      </c>
      <c r="P14" s="13">
        <f>IFERROR(IF(OR($D14="",$I14="",$I14=0),"",$D14/$I14),"")</f>
        <v>0.2683982683982684</v>
      </c>
      <c r="Q14" s="15">
        <f>IF($F14="","",IF($F14="A · Cost Factor",$K14,IF($F14="B · Target Margin",$L14,IF($F14="C · Market Price",$H14,IF($F14="D · Perceived Value",$I14,"")))))</f>
        <v>10.333333333333334</v>
      </c>
      <c r="R14" s="14">
        <f>IFERROR(IF($Q14="","",$Q14*(1+$E$6)),"")</f>
        <v>10.333333333333334</v>
      </c>
      <c r="S14" s="14">
        <f>IFERROR(IF(OR($Q14="",$D14=""),"",$Q14-$D14),"")</f>
        <v>7.233333333333334</v>
      </c>
      <c r="T14" s="16">
        <f>IFERROR(IF(OR($D14="",$Q14="",$Q14=0),"",$D14/$Q14),"")</f>
        <v>0.3</v>
      </c>
      <c r="U14" t="str">
        <f>IF(OR($T14="",$J14=""),"",IF($T14&lt;=$J14,"On target","Above target"))</f>
        <v>On target</v>
      </c>
      <c r="V14" s="12" t="n">
        <v>10.9</v>
      </c>
      <c r="W14" s="14">
        <f>IFERROR(IF(OR($Q14="",$V14=""),"",$Q14-$V14),"")</f>
        <v>-0.5666666666666664</v>
      </c>
    </row>
    <row r="15">
      <c r="A15" s="10" t="n">
        <v>7</v>
      </c>
      <c r="B15" s="11" t="inlineStr">
        <is>
          <t>Roasted tomato soup with basil</t>
        </is>
      </c>
      <c r="C15" s="11" t="inlineStr">
        <is>
          <t>Starters</t>
        </is>
      </c>
      <c r="D15" s="12" t="n">
        <v>1.2</v>
      </c>
      <c r="E15" s="8" t="n"/>
      <c r="F15" s="11" t="inlineStr">
        <is>
          <t>D · Perceived Value</t>
        </is>
      </c>
      <c r="G15" s="12" t="n">
        <v>6.5</v>
      </c>
      <c r="H15" s="12" t="n">
        <v>6.48</v>
      </c>
      <c r="I15" s="12" t="n">
        <v>7.56</v>
      </c>
      <c r="J15" s="13">
        <f>IF(ISNUMBER($E15),$E15,IF($E$5="","",$E$5))</f>
        <v>0.3</v>
      </c>
      <c r="K15" s="14">
        <f>IFERROR(IF(OR($D15="",$J15="",$J15=0),"",$D15/$J15),"")</f>
        <v>4.0</v>
      </c>
      <c r="L15" s="14">
        <f>IFERROR(IF(OR($D15="",$G15=""),"",$D15+$G15),"")</f>
        <v>7.7</v>
      </c>
      <c r="M15" s="13">
        <f>IFERROR(IF(OR($D15="",$K15="",$K15=0),"",$D15/$K15),"")</f>
        <v>0.3</v>
      </c>
      <c r="N15" s="13">
        <f>IFERROR(IF(OR($D15="",$L15="",$L15=0),"",$D15/$L15),"")</f>
        <v>0.15584415584415584</v>
      </c>
      <c r="O15" s="13">
        <f>IFERROR(IF(OR($D15="",$H15="",$H15=0),"",$D15/$H15),"")</f>
        <v>0.18518518518518517</v>
      </c>
      <c r="P15" s="13">
        <f>IFERROR(IF(OR($D15="",$I15="",$I15=0),"",$D15/$I15),"")</f>
        <v>0.15873015873015872</v>
      </c>
      <c r="Q15" s="15">
        <f>IF($F15="","",IF($F15="A · Cost Factor",$K15,IF($F15="B · Target Margin",$L15,IF($F15="C · Market Price",$H15,IF($F15="D · Perceived Value",$I15,"")))))</f>
        <v>7.56</v>
      </c>
      <c r="R15" s="14">
        <f>IFERROR(IF($Q15="","",$Q15*(1+$E$6)),"")</f>
        <v>7.56</v>
      </c>
      <c r="S15" s="14">
        <f>IFERROR(IF(OR($Q15="",$D15=""),"",$Q15-$D15),"")</f>
        <v>6.359999999999999</v>
      </c>
      <c r="T15" s="16">
        <f>IFERROR(IF(OR($D15="",$Q15="",$Q15=0),"",$D15/$Q15),"")</f>
        <v>0.15873015873015872</v>
      </c>
      <c r="U15" t="str">
        <f>IF(OR($T15="",$J15=""),"",IF($T15&lt;=$J15,"On target","Above target"))</f>
        <v>On target</v>
      </c>
      <c r="V15" s="12" t="n">
        <v>7.2</v>
      </c>
      <c r="W15" s="14">
        <f>IFERROR(IF(OR($Q15="",$V15=""),"",$Q15-$V15),"")</f>
        <v>0.35999999999999943</v>
      </c>
    </row>
    <row r="16">
      <c r="A16" s="10" t="n">
        <v>8</v>
      </c>
      <c r="B16" s="11" t="inlineStr">
        <is>
          <t>Iberico pork tenderloin with sweet potato purée</t>
        </is>
      </c>
      <c r="C16" s="11" t="inlineStr">
        <is>
          <t>Mains</t>
        </is>
      </c>
      <c r="D16" s="12" t="n">
        <v>5.67</v>
      </c>
      <c r="E16" s="8" t="n"/>
      <c r="F16" s="11" t="inlineStr">
        <is>
          <t>C · Market Price</t>
        </is>
      </c>
      <c r="G16" s="12" t="n">
        <v>10.5</v>
      </c>
      <c r="H16" s="12" t="n">
        <v>18.68</v>
      </c>
      <c r="I16" s="12" t="n">
        <v>20.07</v>
      </c>
      <c r="J16" s="13">
        <f>IF(ISNUMBER($E16),$E16,IF($E$5="","",$E$5))</f>
        <v>0.3</v>
      </c>
      <c r="K16" s="14">
        <f>IFERROR(IF(OR($D16="",$J16="",$J16=0),"",$D16/$J16),"")</f>
        <v>18.900000000000002</v>
      </c>
      <c r="L16" s="14">
        <f>IFERROR(IF(OR($D16="",$G16=""),"",$D16+$G16),"")</f>
        <v>16.17</v>
      </c>
      <c r="M16" s="13">
        <f>IFERROR(IF(OR($D16="",$K16="",$K16=0),"",$D16/$K16),"")</f>
        <v>0.3</v>
      </c>
      <c r="N16" s="13">
        <f>IFERROR(IF(OR($D16="",$L16="",$L16=0),"",$D16/$L16),"")</f>
        <v>0.3506493506493506</v>
      </c>
      <c r="O16" s="13">
        <f>IFERROR(IF(OR($D16="",$H16="",$H16=0),"",$D16/$H16),"")</f>
        <v>0.3035331905781585</v>
      </c>
      <c r="P16" s="13">
        <f>IFERROR(IF(OR($D16="",$I16="",$I16=0),"",$D16/$I16),"")</f>
        <v>0.2825112107623318</v>
      </c>
      <c r="Q16" s="15">
        <f>IF($F16="","",IF($F16="A · Cost Factor",$K16,IF($F16="B · Target Margin",$L16,IF($F16="C · Market Price",$H16,IF($F16="D · Perceived Value",$I16,"")))))</f>
        <v>18.68</v>
      </c>
      <c r="R16" s="14">
        <f>IFERROR(IF($Q16="","",$Q16*(1+$E$6)),"")</f>
        <v>18.68</v>
      </c>
      <c r="S16" s="14">
        <f>IFERROR(IF(OR($Q16="",$D16=""),"",$Q16-$D16),"")</f>
        <v>13.01</v>
      </c>
      <c r="T16" s="16">
        <f>IFERROR(IF(OR($D16="",$Q16="",$Q16=0),"",$D16/$Q16),"")</f>
        <v>0.3035331905781585</v>
      </c>
      <c r="U16" t="str">
        <f>IF(OR($T16="",$J16=""),"",IF($T16&lt;=$J16,"On target","Above target"))</f>
        <v>Above target</v>
      </c>
      <c r="V16" s="12" t="n">
        <v>17.3</v>
      </c>
      <c r="W16" s="14">
        <f>IFERROR(IF(OR($Q16="",$V16=""),"",$Q16-$V16),"")</f>
        <v>1.379999999999999</v>
      </c>
    </row>
    <row r="17">
      <c r="A17" s="10" t="n">
        <v>9</v>
      </c>
      <c r="B17" s="11" t="inlineStr">
        <is>
          <t>Confit cod in pil-pil sauce</t>
        </is>
      </c>
      <c r="C17" s="11" t="inlineStr">
        <is>
          <t>Mains</t>
        </is>
      </c>
      <c r="D17" s="12" t="n">
        <v>7.4</v>
      </c>
      <c r="E17" s="8" t="n"/>
      <c r="F17" s="11" t="inlineStr">
        <is>
          <t>B · Target Margin</t>
        </is>
      </c>
      <c r="G17" s="12" t="n">
        <v>10.5</v>
      </c>
      <c r="H17" s="12" t="n">
        <v>21.39</v>
      </c>
      <c r="I17" s="12" t="n">
        <v>22.92</v>
      </c>
      <c r="J17" s="13">
        <f>IF(ISNUMBER($E17),$E17,IF($E$5="","",$E$5))</f>
        <v>0.3</v>
      </c>
      <c r="K17" s="14">
        <f>IFERROR(IF(OR($D17="",$J17="",$J17=0),"",$D17/$J17),"")</f>
        <v>24.666666666666668</v>
      </c>
      <c r="L17" s="14">
        <f>IFERROR(IF(OR($D17="",$G17=""),"",$D17+$G17),"")</f>
        <v>17.9</v>
      </c>
      <c r="M17" s="13">
        <f>IFERROR(IF(OR($D17="",$K17="",$K17=0),"",$D17/$K17),"")</f>
        <v>0.3</v>
      </c>
      <c r="N17" s="13">
        <f>IFERROR(IF(OR($D17="",$L17="",$L17=0),"",$D17/$L17),"")</f>
        <v>0.41340782122905034</v>
      </c>
      <c r="O17" s="13">
        <f>IFERROR(IF(OR($D17="",$H17="",$H17=0),"",$D17/$H17),"")</f>
        <v>0.34595605423094905</v>
      </c>
      <c r="P17" s="13">
        <f>IFERROR(IF(OR($D17="",$I17="",$I17=0),"",$D17/$I17),"")</f>
        <v>0.32286212914485163</v>
      </c>
      <c r="Q17" s="15">
        <f>IF($F17="","",IF($F17="A · Cost Factor",$K17,IF($F17="B · Target Margin",$L17,IF($F17="C · Market Price",$H17,IF($F17="D · Perceived Value",$I17,"")))))</f>
        <v>17.9</v>
      </c>
      <c r="R17" s="14">
        <f>IFERROR(IF($Q17="","",$Q17*(1+$E$6)),"")</f>
        <v>17.9</v>
      </c>
      <c r="S17" s="14">
        <f>IFERROR(IF(OR($Q17="",$D17=""),"",$Q17-$D17),"")</f>
        <v>10.499999999999998</v>
      </c>
      <c r="T17" s="16">
        <f>IFERROR(IF(OR($D17="",$Q17="",$Q17=0),"",$D17/$Q17),"")</f>
        <v>0.41340782122905034</v>
      </c>
      <c r="U17" t="str">
        <f>IF(OR($T17="",$J17=""),"",IF($T17&lt;=$J17,"On target","Above target"))</f>
        <v>Above target</v>
      </c>
      <c r="V17" s="12" t="n">
        <v>19.1</v>
      </c>
      <c r="W17" s="14">
        <f>IFERROR(IF(OR($Q17="",$V17=""),"",$Q17-$V17),"")</f>
        <v>-1.2000000000000028</v>
      </c>
    </row>
    <row r="18">
      <c r="A18" s="10" t="n">
        <v>10</v>
      </c>
      <c r="B18" s="11" t="inlineStr">
        <is>
          <t>Dry-aged beef burger with fries</t>
        </is>
      </c>
      <c r="C18" s="11" t="inlineStr">
        <is>
          <t>Mains</t>
        </is>
      </c>
      <c r="D18" s="12" t="n">
        <v>4.3</v>
      </c>
      <c r="E18" s="8" t="n"/>
      <c r="F18" s="11" t="inlineStr">
        <is>
          <t>C · Market Price</t>
        </is>
      </c>
      <c r="G18" s="12" t="n">
        <v>10.5</v>
      </c>
      <c r="H18" s="12" t="n">
        <v>12.92</v>
      </c>
      <c r="I18" s="12" t="n">
        <v>14.42</v>
      </c>
      <c r="J18" s="13">
        <f>IF(ISNUMBER($E18),$E18,IF($E$5="","",$E$5))</f>
        <v>0.3</v>
      </c>
      <c r="K18" s="14">
        <f>IFERROR(IF(OR($D18="",$J18="",$J18=0),"",$D18/$J18),"")</f>
        <v>14.333333333333334</v>
      </c>
      <c r="L18" s="14">
        <f>IFERROR(IF(OR($D18="",$G18=""),"",$D18+$G18),"")</f>
        <v>14.8</v>
      </c>
      <c r="M18" s="13">
        <f>IFERROR(IF(OR($D18="",$K18="",$K18=0),"",$D18/$K18),"")</f>
        <v>0.3</v>
      </c>
      <c r="N18" s="13">
        <f>IFERROR(IF(OR($D18="",$L18="",$L18=0),"",$D18/$L18),"")</f>
        <v>0.2905405405405405</v>
      </c>
      <c r="O18" s="13">
        <f>IFERROR(IF(OR($D18="",$H18="",$H18=0),"",$D18/$H18),"")</f>
        <v>0.3328173374613003</v>
      </c>
      <c r="P18" s="13">
        <f>IFERROR(IF(OR($D18="",$I18="",$I18=0),"",$D18/$I18),"")</f>
        <v>0.29819694868238555</v>
      </c>
      <c r="Q18" s="15">
        <f>IF($F18="","",IF($F18="A · Cost Factor",$K18,IF($F18="B · Target Margin",$L18,IF($F18="C · Market Price",$H18,IF($F18="D · Perceived Value",$I18,"")))))</f>
        <v>12.92</v>
      </c>
      <c r="R18" s="14">
        <f>IFERROR(IF($Q18="","",$Q18*(1+$E$6)),"")</f>
        <v>12.92</v>
      </c>
      <c r="S18" s="14">
        <f>IFERROR(IF(OR($Q18="",$D18=""),"",$Q18-$D18),"")</f>
        <v>8.620000000000001</v>
      </c>
      <c r="T18" s="16">
        <f>IFERROR(IF(OR($D18="",$Q18="",$Q18=0),"",$D18/$Q18),"")</f>
        <v>0.3328173374613003</v>
      </c>
      <c r="U18" t="str">
        <f>IF(OR($T18="",$J18=""),"",IF($T18&lt;=$J18,"On target","Above target"))</f>
        <v>Above target</v>
      </c>
      <c r="V18" s="12" t="n">
        <v>13.6</v>
      </c>
      <c r="W18" s="14">
        <f>IFERROR(IF(OR($Q18="",$V18=""),"",$Q18-$V18),"")</f>
        <v>-0.6799999999999997</v>
      </c>
    </row>
    <row r="19">
      <c r="A19" s="10" t="n">
        <v>11</v>
      </c>
      <c r="B19" s="11" t="inlineStr">
        <is>
          <t>Creamy rice with Iberico pork secreto and mushrooms</t>
        </is>
      </c>
      <c r="C19" s="11" t="inlineStr">
        <is>
          <t>Mains</t>
        </is>
      </c>
      <c r="D19" s="12" t="n">
        <v>6.2</v>
      </c>
      <c r="E19" s="8" t="n"/>
      <c r="F19" s="11" t="inlineStr">
        <is>
          <t>B · Target Margin</t>
        </is>
      </c>
      <c r="G19" s="12" t="n">
        <v>10.5</v>
      </c>
      <c r="H19" s="12" t="n">
        <v>17.38</v>
      </c>
      <c r="I19" s="12" t="n">
        <v>18.7</v>
      </c>
      <c r="J19" s="13">
        <f>IF(ISNUMBER($E19),$E19,IF($E$5="","",$E$5))</f>
        <v>0.3</v>
      </c>
      <c r="K19" s="14">
        <f>IFERROR(IF(OR($D19="",$J19="",$J19=0),"",$D19/$J19),"")</f>
        <v>20.666666666666668</v>
      </c>
      <c r="L19" s="14">
        <f>IFERROR(IF(OR($D19="",$G19=""),"",$D19+$G19),"")</f>
        <v>16.7</v>
      </c>
      <c r="M19" s="13">
        <f>IFERROR(IF(OR($D19="",$K19="",$K19=0),"",$D19/$K19),"")</f>
        <v>0.3</v>
      </c>
      <c r="N19" s="13">
        <f>IFERROR(IF(OR($D19="",$L19="",$L19=0),"",$D19/$L19),"")</f>
        <v>0.37125748502994016</v>
      </c>
      <c r="O19" s="13">
        <f>IFERROR(IF(OR($D19="",$H19="",$H19=0),"",$D19/$H19),"")</f>
        <v>0.3567318757192175</v>
      </c>
      <c r="P19" s="13">
        <f>IFERROR(IF(OR($D19="",$I19="",$I19=0),"",$D19/$I19),"")</f>
        <v>0.3315508021390375</v>
      </c>
      <c r="Q19" s="15">
        <f>IF($F19="","",IF($F19="A · Cost Factor",$K19,IF($F19="B · Target Margin",$L19,IF($F19="C · Market Price",$H19,IF($F19="D · Perceived Value",$I19,"")))))</f>
        <v>16.7</v>
      </c>
      <c r="R19" s="14">
        <f>IFERROR(IF($Q19="","",$Q19*(1+$E$6)),"")</f>
        <v>16.7</v>
      </c>
      <c r="S19" s="14">
        <f>IFERROR(IF(OR($Q19="",$D19=""),"",$Q19-$D19),"")</f>
        <v>10.5</v>
      </c>
      <c r="T19" s="16">
        <f>IFERROR(IF(OR($D19="",$Q19="",$Q19=0),"",$D19/$Q19),"")</f>
        <v>0.37125748502994016</v>
      </c>
      <c r="U19" t="str">
        <f>IF(OR($T19="",$J19=""),"",IF($T19&lt;=$J19,"On target","Above target"))</f>
        <v>Above target</v>
      </c>
      <c r="V19" s="12" t="n">
        <v>16.4</v>
      </c>
      <c r="W19" s="14">
        <f>IFERROR(IF(OR($Q19="",$V19=""),"",$Q19-$V19),"")</f>
        <v>0.3000000000000007</v>
      </c>
    </row>
    <row r="20">
      <c r="A20" s="10" t="n">
        <v>12</v>
      </c>
      <c r="B20" s="11" t="inlineStr">
        <is>
          <t>Dry-aged bone-in ribeye (17.64 oz)</t>
        </is>
      </c>
      <c r="C20" s="11" t="inlineStr">
        <is>
          <t>Mains</t>
        </is>
      </c>
      <c r="D20" s="12" t="n">
        <v>14.8</v>
      </c>
      <c r="E20" s="8" t="n"/>
      <c r="F20" s="11" t="inlineStr">
        <is>
          <t>B · Target Margin</t>
        </is>
      </c>
      <c r="G20" s="12" t="n">
        <v>10.5</v>
      </c>
      <c r="H20" s="12" t="n">
        <v>39.24</v>
      </c>
      <c r="I20" s="12" t="n">
        <v>40.88</v>
      </c>
      <c r="J20" s="13">
        <f>IF(ISNUMBER($E20),$E20,IF($E$5="","",$E$5))</f>
        <v>0.3</v>
      </c>
      <c r="K20" s="14">
        <f>IFERROR(IF(OR($D20="",$J20="",$J20=0),"",$D20/$J20),"")</f>
        <v>49.333333333333336</v>
      </c>
      <c r="L20" s="14">
        <f>IFERROR(IF(OR($D20="",$G20=""),"",$D20+$G20),"")</f>
        <v>25.3</v>
      </c>
      <c r="M20" s="13">
        <f>IFERROR(IF(OR($D20="",$K20="",$K20=0),"",$D20/$K20),"")</f>
        <v>0.3</v>
      </c>
      <c r="N20" s="13">
        <f>IFERROR(IF(OR($D20="",$L20="",$L20=0),"",$D20/$L20),"")</f>
        <v>0.5849802371541503</v>
      </c>
      <c r="O20" s="13">
        <f>IFERROR(IF(OR($D20="",$H20="",$H20=0),"",$D20/$H20),"")</f>
        <v>0.37716615698267075</v>
      </c>
      <c r="P20" s="13">
        <f>IFERROR(IF(OR($D20="",$I20="",$I20=0),"",$D20/$I20),"")</f>
        <v>0.36203522504892366</v>
      </c>
      <c r="Q20" s="15">
        <f>IF($F20="","",IF($F20="A · Cost Factor",$K20,IF($F20="B · Target Margin",$L20,IF($F20="C · Market Price",$H20,IF($F20="D · Perceived Value",$I20,"")))))</f>
        <v>25.3</v>
      </c>
      <c r="R20" s="14">
        <f>IFERROR(IF($Q20="","",$Q20*(1+$E$6)),"")</f>
        <v>25.3</v>
      </c>
      <c r="S20" s="14">
        <f>IFERROR(IF(OR($Q20="",$D20=""),"",$Q20-$D20),"")</f>
        <v>10.5</v>
      </c>
      <c r="T20" s="16">
        <f>IFERROR(IF(OR($D20="",$Q20="",$Q20=0),"",$D20/$Q20),"")</f>
        <v>0.5849802371541503</v>
      </c>
      <c r="U20" t="str">
        <f>IF(OR($T20="",$J20=""),"",IF($T20&lt;=$J20,"On target","Above target"))</f>
        <v>Above target</v>
      </c>
      <c r="V20" s="12" t="n">
        <v>32.7</v>
      </c>
      <c r="W20" s="14">
        <f>IFERROR(IF(OR($Q20="",$V20=""),"",$Q20-$V20),"")</f>
        <v>-7.400000000000002</v>
      </c>
    </row>
    <row r="21">
      <c r="A21" s="10" t="n">
        <v>13</v>
      </c>
      <c r="B21" s="11" t="inlineStr">
        <is>
          <t>Salt-baked sea bass</t>
        </is>
      </c>
      <c r="C21" s="11" t="inlineStr">
        <is>
          <t>Mains</t>
        </is>
      </c>
      <c r="D21" s="12" t="n">
        <v>8.9</v>
      </c>
      <c r="E21" s="8" t="n"/>
      <c r="F21" s="11" t="inlineStr">
        <is>
          <t>B · Target Margin</t>
        </is>
      </c>
      <c r="G21" s="12" t="n">
        <v>10.5</v>
      </c>
      <c r="H21" s="12" t="n">
        <v>23.98</v>
      </c>
      <c r="I21" s="12" t="n">
        <v>25.72</v>
      </c>
      <c r="J21" s="13">
        <f>IF(ISNUMBER($E21),$E21,IF($E$5="","",$E$5))</f>
        <v>0.3</v>
      </c>
      <c r="K21" s="14">
        <f>IFERROR(IF(OR($D21="",$J21="",$J21=0),"",$D21/$J21),"")</f>
        <v>29.666666666666668</v>
      </c>
      <c r="L21" s="14">
        <f>IFERROR(IF(OR($D21="",$G21=""),"",$D21+$G21),"")</f>
        <v>19.4</v>
      </c>
      <c r="M21" s="13">
        <f>IFERROR(IF(OR($D21="",$K21="",$K21=0),"",$D21/$K21),"")</f>
        <v>0.3</v>
      </c>
      <c r="N21" s="13">
        <f>IFERROR(IF(OR($D21="",$L21="",$L21=0),"",$D21/$L21),"")</f>
        <v>0.4587628865979382</v>
      </c>
      <c r="O21" s="13">
        <f>IFERROR(IF(OR($D21="",$H21="",$H21=0),"",$D21/$H21),"")</f>
        <v>0.3711426188490409</v>
      </c>
      <c r="P21" s="13">
        <f>IFERROR(IF(OR($D21="",$I21="",$I21=0),"",$D21/$I21),"")</f>
        <v>0.3460342146189736</v>
      </c>
      <c r="Q21" s="15">
        <f>IF($F21="","",IF($F21="A · Cost Factor",$K21,IF($F21="B · Target Margin",$L21,IF($F21="C · Market Price",$H21,IF($F21="D · Perceived Value",$I21,"")))))</f>
        <v>19.4</v>
      </c>
      <c r="R21" s="14">
        <f>IFERROR(IF($Q21="","",$Q21*(1+$E$6)),"")</f>
        <v>19.4</v>
      </c>
      <c r="S21" s="14">
        <f>IFERROR(IF(OR($Q21="",$D21=""),"",$Q21-$D21),"")</f>
        <v>10.499999999999998</v>
      </c>
      <c r="T21" s="16">
        <f>IFERROR(IF(OR($D21="",$Q21="",$Q21=0),"",$D21/$Q21),"")</f>
        <v>0.4587628865979382</v>
      </c>
      <c r="U21" t="str">
        <f>IF(OR($T21="",$J21=""),"",IF($T21&lt;=$J21,"On target","Above target"))</f>
        <v>Above target</v>
      </c>
      <c r="V21" s="12" t="n">
        <v>21.8</v>
      </c>
      <c r="W21" s="14">
        <f>IFERROR(IF(OR($Q21="",$V21=""),"",$Q21-$V21),"")</f>
        <v>-2.400000000000002</v>
      </c>
    </row>
    <row r="22">
      <c r="A22" s="10" t="n">
        <v>14</v>
      </c>
      <c r="B22" s="11" t="inlineStr">
        <is>
          <t>Free-range roast chicken with potatoes</t>
        </is>
      </c>
      <c r="C22" s="11" t="inlineStr">
        <is>
          <t>Mains</t>
        </is>
      </c>
      <c r="D22" s="12" t="n">
        <v>3.7</v>
      </c>
      <c r="E22" s="8" t="n"/>
      <c r="F22" s="11" t="inlineStr">
        <is>
          <t>C · Market Price</t>
        </is>
      </c>
      <c r="G22" s="12" t="n">
        <v>10.5</v>
      </c>
      <c r="H22" s="12" t="n">
        <v>11.94</v>
      </c>
      <c r="I22" s="12" t="n">
        <v>13.59</v>
      </c>
      <c r="J22" s="13">
        <f>IF(ISNUMBER($E22),$E22,IF($E$5="","",$E$5))</f>
        <v>0.3</v>
      </c>
      <c r="K22" s="14">
        <f>IFERROR(IF(OR($D22="",$J22="",$J22=0),"",$D22/$J22),"")</f>
        <v>12.333333333333334</v>
      </c>
      <c r="L22" s="14">
        <f>IFERROR(IF(OR($D22="",$G22=""),"",$D22+$G22),"")</f>
        <v>14.2</v>
      </c>
      <c r="M22" s="13">
        <f>IFERROR(IF(OR($D22="",$K22="",$K22=0),"",$D22/$K22),"")</f>
        <v>0.3</v>
      </c>
      <c r="N22" s="13">
        <f>IFERROR(IF(OR($D22="",$L22="",$L22=0),"",$D22/$L22),"")</f>
        <v>0.2605633802816902</v>
      </c>
      <c r="O22" s="13">
        <f>IFERROR(IF(OR($D22="",$H22="",$H22=0),"",$D22/$H22),"")</f>
        <v>0.30988274706867674</v>
      </c>
      <c r="P22" s="13">
        <f>IFERROR(IF(OR($D22="",$I22="",$I22=0),"",$D22/$I22),"")</f>
        <v>0.2722590139808683</v>
      </c>
      <c r="Q22" s="15">
        <f>IF($F22="","",IF($F22="A · Cost Factor",$K22,IF($F22="B · Target Margin",$L22,IF($F22="C · Market Price",$H22,IF($F22="D · Perceived Value",$I22,"")))))</f>
        <v>11.94</v>
      </c>
      <c r="R22" s="14">
        <f>IFERROR(IF($Q22="","",$Q22*(1+$E$6)),"")</f>
        <v>11.94</v>
      </c>
      <c r="S22" s="14">
        <f>IFERROR(IF(OR($Q22="",$D22=""),"",$Q22-$D22),"")</f>
        <v>8.239999999999998</v>
      </c>
      <c r="T22" s="16">
        <f>IFERROR(IF(OR($D22="",$Q22="",$Q22=0),"",$D22/$Q22),"")</f>
        <v>0.30988274706867674</v>
      </c>
      <c r="U22" t="str">
        <f>IF(OR($T22="",$J22=""),"",IF($T22&lt;=$J22,"On target","Above target"))</f>
        <v>Above target</v>
      </c>
      <c r="V22" s="12" t="n">
        <v>12.7</v>
      </c>
      <c r="W22" s="14">
        <f>IFERROR(IF(OR($Q22="",$V22=""),"",$Q22-$V22),"")</f>
        <v>-0.7599999999999998</v>
      </c>
    </row>
    <row r="23">
      <c r="A23" s="10" t="n">
        <v>15</v>
      </c>
      <c r="B23" s="11" t="inlineStr">
        <is>
          <t>Seasonal vegetable lasagna</t>
        </is>
      </c>
      <c r="C23" s="11" t="inlineStr">
        <is>
          <t>Mains</t>
        </is>
      </c>
      <c r="D23" s="12" t="n">
        <v>2.6</v>
      </c>
      <c r="E23" s="8" t="n"/>
      <c r="F23" s="11" t="inlineStr">
        <is>
          <t>C · Market Price</t>
        </is>
      </c>
      <c r="G23" s="12" t="n">
        <v>10.5</v>
      </c>
      <c r="H23" s="12" t="n">
        <v>10.49</v>
      </c>
      <c r="I23" s="12" t="n">
        <v>11.97</v>
      </c>
      <c r="J23" s="13">
        <f>IF(ISNUMBER($E23),$E23,IF($E$5="","",$E$5))</f>
        <v>0.3</v>
      </c>
      <c r="K23" s="14">
        <f>IFERROR(IF(OR($D23="",$J23="",$J23=0),"",$D23/$J23),"")</f>
        <v>8.666666666666668</v>
      </c>
      <c r="L23" s="14">
        <f>IFERROR(IF(OR($D23="",$G23=""),"",$D23+$G23),"")</f>
        <v>13.1</v>
      </c>
      <c r="M23" s="13">
        <f>IFERROR(IF(OR($D23="",$K23="",$K23=0),"",$D23/$K23),"")</f>
        <v>0.3</v>
      </c>
      <c r="N23" s="13">
        <f>IFERROR(IF(OR($D23="",$L23="",$L23=0),"",$D23/$L23),"")</f>
        <v>0.19847328244274812</v>
      </c>
      <c r="O23" s="13">
        <f>IFERROR(IF(OR($D23="",$H23="",$H23=0),"",$D23/$H23),"")</f>
        <v>0.24785510009532888</v>
      </c>
      <c r="P23" s="13">
        <f>IFERROR(IF(OR($D23="",$I23="",$I23=0),"",$D23/$I23),"")</f>
        <v>0.2172096908939014</v>
      </c>
      <c r="Q23" s="15">
        <f>IF($F23="","",IF($F23="A · Cost Factor",$K23,IF($F23="B · Target Margin",$L23,IF($F23="C · Market Price",$H23,IF($F23="D · Perceived Value",$I23,"")))))</f>
        <v>10.49</v>
      </c>
      <c r="R23" s="14">
        <f>IFERROR(IF($Q23="","",$Q23*(1+$E$6)),"")</f>
        <v>10.49</v>
      </c>
      <c r="S23" s="14">
        <f>IFERROR(IF(OR($Q23="",$D23=""),"",$Q23-$D23),"")</f>
        <v>7.890000000000001</v>
      </c>
      <c r="T23" s="16">
        <f>IFERROR(IF(OR($D23="",$Q23="",$Q23=0),"",$D23/$Q23),"")</f>
        <v>0.24785510009532888</v>
      </c>
      <c r="U23" t="str">
        <f>IF(OR($T23="",$J23=""),"",IF($T23&lt;=$J23,"On target","Above target"))</f>
        <v>On target</v>
      </c>
      <c r="V23" s="12" t="n">
        <v>11.4</v>
      </c>
      <c r="W23" s="14">
        <f>IFERROR(IF(OR($Q23="",$V23=""),"",$Q23-$V23),"")</f>
        <v>-0.9100000000000001</v>
      </c>
    </row>
    <row r="24">
      <c r="A24" s="10" t="n">
        <v>16</v>
      </c>
      <c r="B24" s="11" t="inlineStr">
        <is>
          <t>Seared bluefin tuna tataki with sesame</t>
        </is>
      </c>
      <c r="C24" s="11" t="inlineStr">
        <is>
          <t>Mains</t>
        </is>
      </c>
      <c r="D24" s="12" t="n">
        <v>9.6</v>
      </c>
      <c r="E24" s="8" t="n"/>
      <c r="F24" s="11" t="inlineStr">
        <is>
          <t>B · Target Margin</t>
        </is>
      </c>
      <c r="G24" s="12" t="n">
        <v>10.5</v>
      </c>
      <c r="H24" s="12" t="n">
        <v>25.76</v>
      </c>
      <c r="I24" s="12" t="n">
        <v>27.33</v>
      </c>
      <c r="J24" s="13">
        <f>IF(ISNUMBER($E24),$E24,IF($E$5="","",$E$5))</f>
        <v>0.3</v>
      </c>
      <c r="K24" s="14">
        <f>IFERROR(IF(OR($D24="",$J24="",$J24=0),"",$D24/$J24),"")</f>
        <v>32.0</v>
      </c>
      <c r="L24" s="14">
        <f>IFERROR(IF(OR($D24="",$G24=""),"",$D24+$G24),"")</f>
        <v>20.1</v>
      </c>
      <c r="M24" s="13">
        <f>IFERROR(IF(OR($D24="",$K24="",$K24=0),"",$D24/$K24),"")</f>
        <v>0.3</v>
      </c>
      <c r="N24" s="13">
        <f>IFERROR(IF(OR($D24="",$L24="",$L24=0),"",$D24/$L24),"")</f>
        <v>0.4776119402985074</v>
      </c>
      <c r="O24" s="13">
        <f>IFERROR(IF(OR($D24="",$H24="",$H24=0),"",$D24/$H24),"")</f>
        <v>0.37267080745341613</v>
      </c>
      <c r="P24" s="13">
        <f>IFERROR(IF(OR($D24="",$I24="",$I24=0),"",$D24/$I24),"")</f>
        <v>0.3512623490669594</v>
      </c>
      <c r="Q24" s="15">
        <f>IF($F24="","",IF($F24="A · Cost Factor",$K24,IF($F24="B · Target Margin",$L24,IF($F24="C · Market Price",$H24,IF($F24="D · Perceived Value",$I24,"")))))</f>
        <v>20.1</v>
      </c>
      <c r="R24" s="14">
        <f>IFERROR(IF($Q24="","",$Q24*(1+$E$6)),"")</f>
        <v>20.1</v>
      </c>
      <c r="S24" s="14">
        <f>IFERROR(IF(OR($Q24="",$D24=""),"",$Q24-$D24),"")</f>
        <v>10.500000000000002</v>
      </c>
      <c r="T24" s="16">
        <f>IFERROR(IF(OR($D24="",$Q24="",$Q24=0),"",$D24/$Q24),"")</f>
        <v>0.4776119402985074</v>
      </c>
      <c r="U24" t="str">
        <f>IF(OR($T24="",$J24=""),"",IF($T24&lt;=$J24,"On target","Above target"))</f>
        <v>Above target</v>
      </c>
      <c r="V24" s="12" t="n">
        <v>22.4</v>
      </c>
      <c r="W24" s="14">
        <f>IFERROR(IF(OR($Q24="",$V24=""),"",$Q24-$V24),"")</f>
        <v>-2.299999999999997</v>
      </c>
    </row>
    <row r="25">
      <c r="A25" s="10" t="n">
        <v>17</v>
      </c>
      <c r="B25" s="11" t="inlineStr">
        <is>
          <t>Creamy cheesecake</t>
        </is>
      </c>
      <c r="C25" s="11" t="inlineStr">
        <is>
          <t>Desserts</t>
        </is>
      </c>
      <c r="D25" s="12" t="n">
        <v>1.3</v>
      </c>
      <c r="E25" s="8" t="n"/>
      <c r="F25" s="11" t="inlineStr">
        <is>
          <t>D · Perceived Value</t>
        </is>
      </c>
      <c r="G25" s="12" t="n">
        <v>4.2</v>
      </c>
      <c r="H25" s="12" t="n">
        <v>6.25</v>
      </c>
      <c r="I25" s="12" t="n">
        <v>6.61</v>
      </c>
      <c r="J25" s="13">
        <f>IF(ISNUMBER($E25),$E25,IF($E$5="","",$E$5))</f>
        <v>0.3</v>
      </c>
      <c r="K25" s="14">
        <f>IFERROR(IF(OR($D25="",$J25="",$J25=0),"",$D25/$J25),"")</f>
        <v>4.333333333333334</v>
      </c>
      <c r="L25" s="14">
        <f>IFERROR(IF(OR($D25="",$G25=""),"",$D25+$G25),"")</f>
        <v>5.5</v>
      </c>
      <c r="M25" s="13">
        <f>IFERROR(IF(OR($D25="",$K25="",$K25=0),"",$D25/$K25),"")</f>
        <v>0.3</v>
      </c>
      <c r="N25" s="13">
        <f>IFERROR(IF(OR($D25="",$L25="",$L25=0),"",$D25/$L25),"")</f>
        <v>0.23636363636363636</v>
      </c>
      <c r="O25" s="13">
        <f>IFERROR(IF(OR($D25="",$H25="",$H25=0),"",$D25/$H25),"")</f>
        <v>0.20800000000000002</v>
      </c>
      <c r="P25" s="13">
        <f>IFERROR(IF(OR($D25="",$I25="",$I25=0),"",$D25/$I25),"")</f>
        <v>0.19667170953101362</v>
      </c>
      <c r="Q25" s="15">
        <f>IF($F25="","",IF($F25="A · Cost Factor",$K25,IF($F25="B · Target Margin",$L25,IF($F25="C · Market Price",$H25,IF($F25="D · Perceived Value",$I25,"")))))</f>
        <v>6.61</v>
      </c>
      <c r="R25" s="14">
        <f>IFERROR(IF($Q25="","",$Q25*(1+$E$6)),"")</f>
        <v>6.61</v>
      </c>
      <c r="S25" s="14">
        <f>IFERROR(IF(OR($Q25="",$D25=""),"",$Q25-$D25),"")</f>
        <v>5.3100000000000005</v>
      </c>
      <c r="T25" s="16">
        <f>IFERROR(IF(OR($D25="",$Q25="",$Q25=0),"",$D25/$Q25),"")</f>
        <v>0.19667170953101362</v>
      </c>
      <c r="U25" t="str">
        <f>IF(OR($T25="",$J25=""),"",IF($T25&lt;=$J25,"On target","Above target"))</f>
        <v>On target</v>
      </c>
      <c r="V25" s="12" t="n">
        <v>5.9</v>
      </c>
      <c r="W25" s="14">
        <f>IFERROR(IF(OR($Q25="",$V25=""),"",$Q25-$V25),"")</f>
        <v>0.71</v>
      </c>
    </row>
    <row r="26">
      <c r="A26" s="10" t="n">
        <v>18</v>
      </c>
      <c r="B26" s="11" t="inlineStr">
        <is>
          <t>Caramelized torrija with ice cream</t>
        </is>
      </c>
      <c r="C26" s="11" t="inlineStr">
        <is>
          <t>Desserts</t>
        </is>
      </c>
      <c r="D26" s="12" t="n">
        <v>1.1</v>
      </c>
      <c r="E26" s="8" t="n"/>
      <c r="F26" s="11" t="inlineStr">
        <is>
          <t>D · Perceived Value</t>
        </is>
      </c>
      <c r="G26" s="12" t="n">
        <v>4.2</v>
      </c>
      <c r="H26" s="12" t="n">
        <v>5.17</v>
      </c>
      <c r="I26" s="12" t="n">
        <v>5.83</v>
      </c>
      <c r="J26" s="13">
        <f>IF(ISNUMBER($E26),$E26,IF($E$5="","",$E$5))</f>
        <v>0.3</v>
      </c>
      <c r="K26" s="14">
        <f>IFERROR(IF(OR($D26="",$J26="",$J26=0),"",$D26/$J26),"")</f>
        <v>3.666666666666667</v>
      </c>
      <c r="L26" s="14">
        <f>IFERROR(IF(OR($D26="",$G26=""),"",$D26+$G26),"")</f>
        <v>5.300000000000001</v>
      </c>
      <c r="M26" s="13">
        <f>IFERROR(IF(OR($D26="",$K26="",$K26=0),"",$D26/$K26),"")</f>
        <v>0.3</v>
      </c>
      <c r="N26" s="13">
        <f>IFERROR(IF(OR($D26="",$L26="",$L26=0),"",$D26/$L26),"")</f>
        <v>0.20754716981132074</v>
      </c>
      <c r="O26" s="13">
        <f>IFERROR(IF(OR($D26="",$H26="",$H26=0),"",$D26/$H26),"")</f>
        <v>0.21276595744680854</v>
      </c>
      <c r="P26" s="13">
        <f>IFERROR(IF(OR($D26="",$I26="",$I26=0),"",$D26/$I26),"")</f>
        <v>0.18867924528301888</v>
      </c>
      <c r="Q26" s="15">
        <f>IF($F26="","",IF($F26="A · Cost Factor",$K26,IF($F26="B · Target Margin",$L26,IF($F26="C · Market Price",$H26,IF($F26="D · Perceived Value",$I26,"")))))</f>
        <v>5.83</v>
      </c>
      <c r="R26" s="14">
        <f>IFERROR(IF($Q26="","",$Q26*(1+$E$6)),"")</f>
        <v>5.83</v>
      </c>
      <c r="S26" s="14">
        <f>IFERROR(IF(OR($Q26="",$D26=""),"",$Q26-$D26),"")</f>
        <v>4.73</v>
      </c>
      <c r="T26" s="16">
        <f>IFERROR(IF(OR($D26="",$Q26="",$Q26=0),"",$D26/$Q26),"")</f>
        <v>0.18867924528301888</v>
      </c>
      <c r="U26" t="str">
        <f>IF(OR($T26="",$J26=""),"",IF($T26&lt;=$J26,"On target","Above target"))</f>
        <v>On target</v>
      </c>
      <c r="V26" s="12" t="n">
        <v>5.5</v>
      </c>
      <c r="W26" s="14">
        <f>IFERROR(IF(OR($Q26="",$V26=""),"",$Q26-$V26),"")</f>
        <v>0.33000000000000007</v>
      </c>
    </row>
    <row r="27">
      <c r="A27" s="10" t="n">
        <v>19</v>
      </c>
      <c r="B27" s="11" t="inlineStr">
        <is>
          <t>Chocolate lava cake</t>
        </is>
      </c>
      <c r="C27" s="11" t="inlineStr">
        <is>
          <t>Desserts</t>
        </is>
      </c>
      <c r="D27" s="12" t="n">
        <v>1.6</v>
      </c>
      <c r="E27" s="8" t="n"/>
      <c r="F27" s="11" t="inlineStr">
        <is>
          <t>D · Perceived Value</t>
        </is>
      </c>
      <c r="G27" s="12" t="n">
        <v>4.2</v>
      </c>
      <c r="H27" s="12" t="n">
        <v>6.7</v>
      </c>
      <c r="I27" s="12" t="n">
        <v>7.13</v>
      </c>
      <c r="J27" s="13">
        <f>IF(ISNUMBER($E27),$E27,IF($E$5="","",$E$5))</f>
        <v>0.3</v>
      </c>
      <c r="K27" s="14">
        <f>IFERROR(IF(OR($D27="",$J27="",$J27=0),"",$D27/$J27),"")</f>
        <v>5.333333333333334</v>
      </c>
      <c r="L27" s="14">
        <f>IFERROR(IF(OR($D27="",$G27=""),"",$D27+$G27),"")</f>
        <v>5.800000000000001</v>
      </c>
      <c r="M27" s="13">
        <f>IFERROR(IF(OR($D27="",$K27="",$K27=0),"",$D27/$K27),"")</f>
        <v>0.3</v>
      </c>
      <c r="N27" s="13">
        <f>IFERROR(IF(OR($D27="",$L27="",$L27=0),"",$D27/$L27),"")</f>
        <v>0.27586206896551724</v>
      </c>
      <c r="O27" s="13">
        <f>IFERROR(IF(OR($D27="",$H27="",$H27=0),"",$D27/$H27),"")</f>
        <v>0.23880597014925373</v>
      </c>
      <c r="P27" s="13">
        <f>IFERROR(IF(OR($D27="",$I27="",$I27=0),"",$D27/$I27),"")</f>
        <v>0.22440392706872372</v>
      </c>
      <c r="Q27" s="15">
        <f>IF($F27="","",IF($F27="A · Cost Factor",$K27,IF($F27="B · Target Margin",$L27,IF($F27="C · Market Price",$H27,IF($F27="D · Perceived Value",$I27,"")))))</f>
        <v>7.13</v>
      </c>
      <c r="R27" s="14">
        <f>IFERROR(IF($Q27="","",$Q27*(1+$E$6)),"")</f>
        <v>7.13</v>
      </c>
      <c r="S27" s="14">
        <f>IFERROR(IF(OR($Q27="",$D27=""),"",$Q27-$D27),"")</f>
        <v>5.529999999999999</v>
      </c>
      <c r="T27" s="16">
        <f>IFERROR(IF(OR($D27="",$Q27="",$Q27=0),"",$D27/$Q27),"")</f>
        <v>0.22440392706872372</v>
      </c>
      <c r="U27" t="str">
        <f>IF(OR($T27="",$J27=""),"",IF($T27&lt;=$J27,"On target","Above target"))</f>
        <v>On target</v>
      </c>
      <c r="V27" s="12" t="n">
        <v>6.2</v>
      </c>
      <c r="W27" s="14">
        <f>IFERROR(IF(OR($Q27="",$V27=""),"",$Q27-$V27),"")</f>
        <v>0.9299999999999997</v>
      </c>
    </row>
    <row r="28">
      <c r="A28" s="10" t="n">
        <v>20</v>
      </c>
      <c r="B28" s="11" t="inlineStr">
        <is>
          <t>Prepared seasonal fruit</t>
        </is>
      </c>
      <c r="C28" s="11" t="inlineStr">
        <is>
          <t>Desserts</t>
        </is>
      </c>
      <c r="D28" s="12" t="n">
        <v>1.4</v>
      </c>
      <c r="E28" s="8" t="n"/>
      <c r="F28" s="11" t="inlineStr">
        <is>
          <t>D · Perceived Value</t>
        </is>
      </c>
      <c r="G28" s="12" t="n">
        <v>4.2</v>
      </c>
      <c r="H28" s="12" t="n">
        <v>4.05</v>
      </c>
      <c r="I28" s="12" t="n">
        <v>4.73</v>
      </c>
      <c r="J28" s="13">
        <f>IF(ISNUMBER($E28),$E28,IF($E$5="","",$E$5))</f>
        <v>0.3</v>
      </c>
      <c r="K28" s="14">
        <f>IFERROR(IF(OR($D28="",$J28="",$J28=0),"",$D28/$J28),"")</f>
        <v>4.666666666666667</v>
      </c>
      <c r="L28" s="14">
        <f>IFERROR(IF(OR($D28="",$G28=""),"",$D28+$G28),"")</f>
        <v>5.6</v>
      </c>
      <c r="M28" s="13">
        <f>IFERROR(IF(OR($D28="",$K28="",$K28=0),"",$D28/$K28),"")</f>
        <v>0.3</v>
      </c>
      <c r="N28" s="13">
        <f>IFERROR(IF(OR($D28="",$L28="",$L28=0),"",$D28/$L28),"")</f>
        <v>0.25</v>
      </c>
      <c r="O28" s="13">
        <f>IFERROR(IF(OR($D28="",$H28="",$H28=0),"",$D28/$H28),"")</f>
        <v>0.345679012345679</v>
      </c>
      <c r="P28" s="13">
        <f>IFERROR(IF(OR($D28="",$I28="",$I28=0),"",$D28/$I28),"")</f>
        <v>0.29598308668076106</v>
      </c>
      <c r="Q28" s="15">
        <f>IF($F28="","",IF($F28="A · Cost Factor",$K28,IF($F28="B · Target Margin",$L28,IF($F28="C · Market Price",$H28,IF($F28="D · Perceived Value",$I28,"")))))</f>
        <v>4.73</v>
      </c>
      <c r="R28" s="14">
        <f>IFERROR(IF($Q28="","",$Q28*(1+$E$6)),"")</f>
        <v>4.73</v>
      </c>
      <c r="S28" s="14">
        <f>IFERROR(IF(OR($Q28="",$D28=""),"",$Q28-$D28),"")</f>
        <v>3.3300000000000005</v>
      </c>
      <c r="T28" s="16">
        <f>IFERROR(IF(OR($D28="",$Q28="",$Q28=0),"",$D28/$Q28),"")</f>
        <v>0.29598308668076106</v>
      </c>
      <c r="U28" t="str">
        <f>IF(OR($T28="",$J28=""),"",IF($T28&lt;=$J28,"On target","Above target"))</f>
        <v>On target</v>
      </c>
      <c r="V28" s="12" t="n">
        <v>4.5</v>
      </c>
      <c r="W28" s="14">
        <f>IFERROR(IF(OR($Q28="",$V28=""),"",$Q28-$V28),"")</f>
        <v>0.23000000000000043</v>
      </c>
    </row>
    <row r="29">
      <c r="A29" s="10" t="n">
        <v>21</v>
      </c>
      <c r="B29" s="11" t="n"/>
      <c r="C29" s="11" t="n"/>
      <c r="D29" s="12" t="n"/>
      <c r="E29" s="8" t="n"/>
      <c r="F29" s="11" t="n"/>
      <c r="G29" s="12" t="n"/>
      <c r="H29" s="12" t="n"/>
      <c r="I29" s="12" t="n"/>
      <c r="J29" s="13">
        <f>IF(ISNUMBER($E29),$E29,IF($E$5="","",$E$5))</f>
        <v>0.3</v>
      </c>
      <c r="K29" s="14">
        <f>IFERROR(IF(OR($D29="",$J29="",$J29=0),"",$D29/$J29),"")</f>
      </c>
      <c r="L29" s="14">
        <f>IFERROR(IF(OR($D29="",$G29=""),"",$D29+$G29),"")</f>
      </c>
      <c r="M29" s="13">
        <f>IFERROR(IF(OR($D29="",$K29="",$K29=0),"",$D29/$K29),"")</f>
      </c>
      <c r="N29" s="13">
        <f>IFERROR(IF(OR($D29="",$L29="",$L29=0),"",$D29/$L29),"")</f>
      </c>
      <c r="O29" s="13">
        <f>IFERROR(IF(OR($D29="",$H29="",$H29=0),"",$D29/$H29),"")</f>
      </c>
      <c r="P29" s="13">
        <f>IFERROR(IF(OR($D29="",$I29="",$I29=0),"",$D29/$I29),"")</f>
      </c>
      <c r="Q29" s="15">
        <f>IF($F29="","",IF($F29="A · Cost Factor",$K29,IF($F29="B · Target Margin",$L29,IF($F29="C · Market Price",$H29,IF($F29="D · Perceived Value",$I29,"")))))</f>
      </c>
      <c r="R29" s="14">
        <f>IFERROR(IF($Q29="","",$Q29*(1+$E$6)),"")</f>
      </c>
      <c r="S29" s="14">
        <f>IFERROR(IF(OR($Q29="",$D29=""),"",$Q29-$D29),"")</f>
      </c>
      <c r="T29" s="16">
        <f>IFERROR(IF(OR($D29="",$Q29="",$Q29=0),"",$D29/$Q29),"")</f>
      </c>
      <c r="U29">
        <f>IF(OR($T29="",$J29=""),"",IF($T29&lt;=$J29,"On target","Above target"))</f>
      </c>
      <c r="V29" s="12" t="n"/>
      <c r="W29" s="14">
        <f>IFERROR(IF(OR($Q29="",$V29=""),"",$Q29-$V29),"")</f>
      </c>
    </row>
    <row r="30">
      <c r="A30" s="10" t="n">
        <v>22</v>
      </c>
      <c r="B30" s="11" t="n"/>
      <c r="C30" s="11" t="n"/>
      <c r="D30" s="12" t="n"/>
      <c r="E30" s="8" t="n"/>
      <c r="F30" s="11" t="n"/>
      <c r="G30" s="12" t="n"/>
      <c r="H30" s="12" t="n"/>
      <c r="I30" s="12" t="n"/>
      <c r="J30" s="13">
        <f>IF(ISNUMBER($E30),$E30,IF($E$5="","",$E$5))</f>
        <v>0.3</v>
      </c>
      <c r="K30" s="14">
        <f>IFERROR(IF(OR($D30="",$J30="",$J30=0),"",$D30/$J30),"")</f>
      </c>
      <c r="L30" s="14">
        <f>IFERROR(IF(OR($D30="",$G30=""),"",$D30+$G30),"")</f>
      </c>
      <c r="M30" s="13">
        <f>IFERROR(IF(OR($D30="",$K30="",$K30=0),"",$D30/$K30),"")</f>
      </c>
      <c r="N30" s="13">
        <f>IFERROR(IF(OR($D30="",$L30="",$L30=0),"",$D30/$L30),"")</f>
      </c>
      <c r="O30" s="13">
        <f>IFERROR(IF(OR($D30="",$H30="",$H30=0),"",$D30/$H30),"")</f>
      </c>
      <c r="P30" s="13">
        <f>IFERROR(IF(OR($D30="",$I30="",$I30=0),"",$D30/$I30),"")</f>
      </c>
      <c r="Q30" s="15">
        <f>IF($F30="","",IF($F30="A · Cost Factor",$K30,IF($F30="B · Target Margin",$L30,IF($F30="C · Market Price",$H30,IF($F30="D · Perceived Value",$I30,"")))))</f>
      </c>
      <c r="R30" s="14">
        <f>IFERROR(IF($Q30="","",$Q30*(1+$E$6)),"")</f>
      </c>
      <c r="S30" s="14">
        <f>IFERROR(IF(OR($Q30="",$D30=""),"",$Q30-$D30),"")</f>
      </c>
      <c r="T30" s="16">
        <f>IFERROR(IF(OR($D30="",$Q30="",$Q30=0),"",$D30/$Q30),"")</f>
      </c>
      <c r="U30">
        <f>IF(OR($T30="",$J30=""),"",IF($T30&lt;=$J30,"On target","Above target"))</f>
      </c>
      <c r="V30" s="12" t="n"/>
      <c r="W30" s="14">
        <f>IFERROR(IF(OR($Q30="",$V30=""),"",$Q30-$V30),"")</f>
      </c>
    </row>
    <row r="31">
      <c r="A31" s="10" t="n">
        <v>23</v>
      </c>
      <c r="B31" s="11" t="n"/>
      <c r="C31" s="11" t="n"/>
      <c r="D31" s="12" t="n"/>
      <c r="E31" s="8" t="n"/>
      <c r="F31" s="11" t="n"/>
      <c r="G31" s="12" t="n"/>
      <c r="H31" s="12" t="n"/>
      <c r="I31" s="12" t="n"/>
      <c r="J31" s="13">
        <f>IF(ISNUMBER($E31),$E31,IF($E$5="","",$E$5))</f>
        <v>0.3</v>
      </c>
      <c r="K31" s="14">
        <f>IFERROR(IF(OR($D31="",$J31="",$J31=0),"",$D31/$J31),"")</f>
      </c>
      <c r="L31" s="14">
        <f>IFERROR(IF(OR($D31="",$G31=""),"",$D31+$G31),"")</f>
      </c>
      <c r="M31" s="13">
        <f>IFERROR(IF(OR($D31="",$K31="",$K31=0),"",$D31/$K31),"")</f>
      </c>
      <c r="N31" s="13">
        <f>IFERROR(IF(OR($D31="",$L31="",$L31=0),"",$D31/$L31),"")</f>
      </c>
      <c r="O31" s="13">
        <f>IFERROR(IF(OR($D31="",$H31="",$H31=0),"",$D31/$H31),"")</f>
      </c>
      <c r="P31" s="13">
        <f>IFERROR(IF(OR($D31="",$I31="",$I31=0),"",$D31/$I31),"")</f>
      </c>
      <c r="Q31" s="15">
        <f>IF($F31="","",IF($F31="A · Cost Factor",$K31,IF($F31="B · Target Margin",$L31,IF($F31="C · Market Price",$H31,IF($F31="D · Perceived Value",$I31,"")))))</f>
      </c>
      <c r="R31" s="14">
        <f>IFERROR(IF($Q31="","",$Q31*(1+$E$6)),"")</f>
      </c>
      <c r="S31" s="14">
        <f>IFERROR(IF(OR($Q31="",$D31=""),"",$Q31-$D31),"")</f>
      </c>
      <c r="T31" s="16">
        <f>IFERROR(IF(OR($D31="",$Q31="",$Q31=0),"",$D31/$Q31),"")</f>
      </c>
      <c r="U31">
        <f>IF(OR($T31="",$J31=""),"",IF($T31&lt;=$J31,"On target","Above target"))</f>
      </c>
      <c r="V31" s="12" t="n"/>
      <c r="W31" s="14">
        <f>IFERROR(IF(OR($Q31="",$V31=""),"",$Q31-$V31),"")</f>
      </c>
    </row>
    <row r="32">
      <c r="A32" s="10" t="n">
        <v>24</v>
      </c>
      <c r="B32" s="11" t="n"/>
      <c r="C32" s="11" t="n"/>
      <c r="D32" s="12" t="n"/>
      <c r="E32" s="8" t="n"/>
      <c r="F32" s="11" t="n"/>
      <c r="G32" s="12" t="n"/>
      <c r="H32" s="12" t="n"/>
      <c r="I32" s="12" t="n"/>
      <c r="J32" s="13">
        <f>IF(ISNUMBER($E32),$E32,IF($E$5="","",$E$5))</f>
        <v>0.3</v>
      </c>
      <c r="K32" s="14">
        <f>IFERROR(IF(OR($D32="",$J32="",$J32=0),"",$D32/$J32),"")</f>
      </c>
      <c r="L32" s="14">
        <f>IFERROR(IF(OR($D32="",$G32=""),"",$D32+$G32),"")</f>
      </c>
      <c r="M32" s="13">
        <f>IFERROR(IF(OR($D32="",$K32="",$K32=0),"",$D32/$K32),"")</f>
      </c>
      <c r="N32" s="13">
        <f>IFERROR(IF(OR($D32="",$L32="",$L32=0),"",$D32/$L32),"")</f>
      </c>
      <c r="O32" s="13">
        <f>IFERROR(IF(OR($D32="",$H32="",$H32=0),"",$D32/$H32),"")</f>
      </c>
      <c r="P32" s="13">
        <f>IFERROR(IF(OR($D32="",$I32="",$I32=0),"",$D32/$I32),"")</f>
      </c>
      <c r="Q32" s="15">
        <f>IF($F32="","",IF($F32="A · Cost Factor",$K32,IF($F32="B · Target Margin",$L32,IF($F32="C · Market Price",$H32,IF($F32="D · Perceived Value",$I32,"")))))</f>
      </c>
      <c r="R32" s="14">
        <f>IFERROR(IF($Q32="","",$Q32*(1+$E$6)),"")</f>
      </c>
      <c r="S32" s="14">
        <f>IFERROR(IF(OR($Q32="",$D32=""),"",$Q32-$D32),"")</f>
      </c>
      <c r="T32" s="16">
        <f>IFERROR(IF(OR($D32="",$Q32="",$Q32=0),"",$D32/$Q32),"")</f>
      </c>
      <c r="U32">
        <f>IF(OR($T32="",$J32=""),"",IF($T32&lt;=$J32,"On target","Above target"))</f>
      </c>
      <c r="V32" s="12" t="n"/>
      <c r="W32" s="14">
        <f>IFERROR(IF(OR($Q32="",$V32=""),"",$Q32-$V32),"")</f>
      </c>
    </row>
    <row r="33">
      <c r="A33" s="10" t="n">
        <v>25</v>
      </c>
      <c r="B33" s="11" t="n"/>
      <c r="C33" s="11" t="n"/>
      <c r="D33" s="12" t="n"/>
      <c r="E33" s="8" t="n"/>
      <c r="F33" s="11" t="n"/>
      <c r="G33" s="12" t="n"/>
      <c r="H33" s="12" t="n"/>
      <c r="I33" s="12" t="n"/>
      <c r="J33" s="13">
        <f>IF(ISNUMBER($E33),$E33,IF($E$5="","",$E$5))</f>
        <v>0.3</v>
      </c>
      <c r="K33" s="14">
        <f>IFERROR(IF(OR($D33="",$J33="",$J33=0),"",$D33/$J33),"")</f>
      </c>
      <c r="L33" s="14">
        <f>IFERROR(IF(OR($D33="",$G33=""),"",$D33+$G33),"")</f>
      </c>
      <c r="M33" s="13">
        <f>IFERROR(IF(OR($D33="",$K33="",$K33=0),"",$D33/$K33),"")</f>
      </c>
      <c r="N33" s="13">
        <f>IFERROR(IF(OR($D33="",$L33="",$L33=0),"",$D33/$L33),"")</f>
      </c>
      <c r="O33" s="13">
        <f>IFERROR(IF(OR($D33="",$H33="",$H33=0),"",$D33/$H33),"")</f>
      </c>
      <c r="P33" s="13">
        <f>IFERROR(IF(OR($D33="",$I33="",$I33=0),"",$D33/$I33),"")</f>
      </c>
      <c r="Q33" s="15">
        <f>IF($F33="","",IF($F33="A · Cost Factor",$K33,IF($F33="B · Target Margin",$L33,IF($F33="C · Market Price",$H33,IF($F33="D · Perceived Value",$I33,"")))))</f>
      </c>
      <c r="R33" s="14">
        <f>IFERROR(IF($Q33="","",$Q33*(1+$E$6)),"")</f>
      </c>
      <c r="S33" s="14">
        <f>IFERROR(IF(OR($Q33="",$D33=""),"",$Q33-$D33),"")</f>
      </c>
      <c r="T33" s="16">
        <f>IFERROR(IF(OR($D33="",$Q33="",$Q33=0),"",$D33/$Q33),"")</f>
      </c>
      <c r="U33">
        <f>IF(OR($T33="",$J33=""),"",IF($T33&lt;=$J33,"On target","Above target"))</f>
      </c>
      <c r="V33" s="12" t="n"/>
      <c r="W33" s="14">
        <f>IFERROR(IF(OR($Q33="",$V33=""),"",$Q33-$V33),"")</f>
      </c>
    </row>
    <row r="34"/>
    <row r="35">
      <c r="B35" s="7" t="inlineStr">
        <is>
          <t>SUMMARY — calculated by the workbook</t>
        </is>
      </c>
      <c r="C35" s="7" t="n"/>
      <c r="D35" s="7" t="n"/>
      <c r="E35" s="7" t="n"/>
      <c r="F35" s="7" t="n"/>
      <c r="G35" s="7" t="n"/>
      <c r="H35" s="7" t="n"/>
      <c r="I35" s="7" t="n"/>
    </row>
    <row r="36">
      <c r="B36" t="inlineStr">
        <is>
          <t>Dishes with a calculated price (no.)</t>
        </is>
      </c>
      <c r="E36" s="17">
        <f>COUNTIF($Q$9:$Q$33,"&gt;0")</f>
        <v>20.0</v>
      </c>
    </row>
    <row r="37">
      <c r="B37" s="5" t="inlineStr">
        <is>
          <t>Dishes on target (no.)</t>
        </is>
      </c>
      <c r="E37" s="18">
        <f>COUNTIF($U$9:$U$33,"On target")</f>
        <v>11.0</v>
      </c>
    </row>
    <row r="38">
      <c r="B38" s="5" t="inlineStr">
        <is>
          <t>Dishes above target (no.)</t>
        </is>
      </c>
      <c r="E38" s="18">
        <f>COUNTIF($U$9:$U$33,"Above target")</f>
        <v>9.0</v>
      </c>
    </row>
    <row r="39">
      <c r="B39" s="5" t="inlineStr">
        <is>
          <t>Food cost of the set (sum of costs ÷ sum of chosen prices) (%)</t>
        </is>
      </c>
      <c r="E39" s="16">
        <f>IFERROR(IF(SUM($Q$9:$Q$33)=0,"",SUMIF($Q$9:$Q$33,"&gt;0",$D$9:$D$33)/SUM($Q$9:$Q$33)),"")</f>
        <v>0.36734774428671046</v>
      </c>
      <c r="J39" s="4" t="inlineStr">
        <is>
          <t>Not weighted by sales: that's what the menu engineering matrix is for.</t>
        </is>
      </c>
    </row>
    <row r="40">
      <c r="B40" t="inlineStr">
        <is>
          <t>Average contribution margin per dish</t>
        </is>
      </c>
      <c r="E40" s="14">
        <f>IFERROR(IF(COUNTIF($Q$9:$Q$33,"&gt;0")=0,"",SUM($S$9:$S$33)/COUNTIF($Q$9:$Q$33,"&gt;0")),"")</f>
        <v>8.014333333333333</v>
      </c>
    </row>
    <row r="41">
      <c r="B41" t="inlineStr">
        <is>
          <t>Total difference from current menu prices</t>
        </is>
      </c>
      <c r="E41" s="14">
        <f>IFERROR(IF(COUNTIF($Q$9:$Q$33,"&gt;0")=0,"",SUM($W$9:$W$33)),"")</f>
        <v>-13.543333333333335</v>
      </c>
    </row>
    <row r="42">
      <c r="B42" t="inlineStr">
        <is>
          <t>Average increase over current menu prices (%)</t>
        </is>
      </c>
      <c r="E42" s="13">
        <f>IFERROR(IF(SUMIF($Q$9:$Q$33,"&gt;0",$V$9:$V$33)=0,"",SUM($W$9:$W$33)/SUMIF($Q$9:$Q$33,"&gt;0",$V$9:$V$33)),"")</f>
        <v>-0.050743099787685784</v>
      </c>
    </row>
    <row r="43"/>
    <row r="44">
      <c r="B44" s="7" t="inlineStr">
        <is>
          <t>THE WHOLE MENU UNDER EACH METHOD — to see what we're talking about</t>
        </is>
      </c>
      <c r="C44" s="7" t="n"/>
      <c r="D44" s="7" t="n"/>
      <c r="E44" s="7" t="n"/>
      <c r="F44" s="7" t="n"/>
      <c r="G44" s="7" t="n"/>
      <c r="H44" s="7" t="n"/>
      <c r="I44" s="7" t="n"/>
    </row>
    <row r="45">
      <c r="B45" t="inlineStr">
        <is>
          <t>Menu revenue if ALL of it were priced by cost factor</t>
        </is>
      </c>
      <c r="E45" s="14">
        <f>IF(COUNTIF($K$9:$K$33,"&gt;0")=0,"",SUM($K$9:$K$33))</f>
        <v>310.23333333333335</v>
      </c>
      <c r="J45" s="4" t="inlineStr">
        <is>
          <t>The sum of one menu price per dish, not weighted by units sold: an order of magnitude to compare methods, not a sales forecast.</t>
        </is>
      </c>
    </row>
    <row r="46">
      <c r="B46" t="inlineStr">
        <is>
          <t>Revenue if ALL of it were priced by target margin</t>
        </is>
      </c>
      <c r="E46" s="14">
        <f>IF(COUNTIF($L$9:$L$33,"&gt;0")=0,"",SUM($L$9:$L$33))</f>
        <v>249.87</v>
      </c>
    </row>
    <row r="47">
      <c r="B47" t="inlineStr">
        <is>
          <t>Revenue if ALL of it were at market price</t>
        </is>
      </c>
      <c r="E47" s="14">
        <f>IF(COUNTIF($H$9:$H$33,"&gt;0")=0,"",SUM($H$9:$H$33))</f>
        <v>283.11</v>
      </c>
    </row>
    <row r="48">
      <c r="B48" t="inlineStr">
        <is>
          <t>Revenue if ALL of it were at perceived value</t>
        </is>
      </c>
      <c r="E48" s="14">
        <f>IF(COUNTIF($I$9:$I$33,"&gt;0")=0,"",SUM($I$9:$I$33))</f>
        <v>307.04</v>
      </c>
    </row>
    <row r="49">
      <c r="B49" t="inlineStr">
        <is>
          <t>Revenue at current menu prices</t>
        </is>
      </c>
      <c r="E49" s="14">
        <f>IF(COUNTIF($V$9:$V$33,"&gt;0")=0,"",SUM($V$9:$V$33))</f>
        <v>266.9</v>
      </c>
    </row>
    <row r="50"/>
    <row r="51">
      <c r="B51" s="7" t="inlineStr">
        <is>
          <t>HOW THE METHODS ARE SPREAD ACROSS YOUR MENU</t>
        </is>
      </c>
      <c r="C51" s="7" t="n"/>
      <c r="D51" s="7" t="n"/>
      <c r="E51" s="7" t="n"/>
      <c r="F51" s="7" t="n"/>
      <c r="G51" s="7" t="n"/>
      <c r="H51" s="7" t="n"/>
      <c r="I51" s="7" t="n"/>
    </row>
    <row r="52">
      <c r="B52" t="inlineStr">
        <is>
          <t>Dishes using method A · Cost Factor (no.)</t>
        </is>
      </c>
      <c r="E52" s="17">
        <f>COUNTIF($F$9:$F$33,"A · Cost Factor")</f>
        <v>5.0</v>
      </c>
    </row>
    <row r="53">
      <c r="B53" t="inlineStr">
        <is>
          <t>Dishes using method B · Target Margin (no.)</t>
        </is>
      </c>
      <c r="E53" s="17">
        <f>COUNTIF($F$9:$F$33,"B · Target Margin")</f>
        <v>6.0</v>
      </c>
    </row>
    <row r="54">
      <c r="B54" t="inlineStr">
        <is>
          <t>Dishes using method C · Market Price (no.)</t>
        </is>
      </c>
      <c r="E54" s="17">
        <f>COUNTIF($F$9:$F$33,"C · Market Price")</f>
        <v>4.0</v>
      </c>
    </row>
    <row r="55">
      <c r="B55" t="inlineStr">
        <is>
          <t>Dishes using method D · Perceived Value (no.)</t>
        </is>
      </c>
      <c r="E55" s="17">
        <f>COUNTIF($F$9:$F$33,"D · Perceived Value")</f>
        <v>5.0</v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autoFilter ref="A8:W33"/>
  <conditionalFormatting sqref="T9:T33">
    <cfRule type="expression" priority="1" dxfId="0" stopIfTrue="1">
      <formula>=AND(ISNUMBER($T9),$T9&gt;$J9)</formula>
    </cfRule>
    <cfRule type="expression" priority="2" dxfId="1" stopIfTrue="1">
      <formula>=AND(ISNUMBER($T9),$T9&lt;=$J9)</formula>
    </cfRule>
  </conditionalFormatting>
  <conditionalFormatting sqref="U9:U33">
    <cfRule type="cellIs" priority="3" operator="equal" dxfId="1" stopIfTrue="1">
      <formula>"On target"</formula>
    </cfRule>
    <cfRule type="cellIs" priority="4" operator="equal" dxfId="0" stopIfTrue="1">
      <formula>"Above target"</formula>
    </cfRule>
  </conditionalFormatting>
  <dataValidations count="10">
    <dataValidation sqref="C9 C10 C11 C12 C13 C14 C15 C16 C17 C18 C19 C20 C21 C22 C23 C24 C25 C26 C27 C28 C29 C30 C31 C32 C33" showDropDown="0" showInputMessage="0" showErrorMessage="1" allowBlank="1" errorTitle="Invalid category" error="Choose a value from the list: Starters, Mains, Desserts, Prix fixe, Drinks" type="list">
      <formula1>"Starters,Mains,Desserts,Prix fixe,Drinks"</formula1>
    </dataValidation>
    <dataValidation sqref="F9 F10 F11 F12 F13 F14 F15 F16 F17 F18 F19 F20 F21 F22 F23 F24 F25 F26 F27 F28 F29 F30 F31 F32 F33" showDropDown="0" showInputMessage="0" showErrorMessage="1" allowBlank="1" errorTitle="Invalid method" error="Choose one of the four methods on the list." type="list">
      <formula1>"A · Cost Factor,B · Target Margin,C · Market Price,D · Perceived Value"</formula1>
    </dataValidation>
    <dataValidation sqref="D9 D10 D11 D12 D13 D14 D15 D16 D17 D18 D19 D20 D21 D22 D23 D24 D25 D26 D27 D28 D29 D30 D31 D32 D33" showDropDown="0" showInputMessage="1" showErrorMessage="1" allowBlank="1" errorTitle="Plate cost" error="Type a number greater than or equal to 0." promptTitle="Plate cost" prompt="The plate cost from your recipe cost card, before tax." type="decimal" operator="greaterThanOrEqual">
      <formula1>0</formula1>
    </dataValidation>
    <dataValidation sqref="E9 E10 E11 E12 E13 E14 E15 E16 E17 E18 E19 E20 E21 E22 E23 E24 E25 E26 E27 E28 E29 E30 E31 E32 E33" showDropDown="0" showInputMessage="1" showErrorMessage="1" allowBlank="1" errorTitle="Dish target FC" error="Type a percentage between 0 and 1 (0.20 = 20%)." promptTitle="Dish target FC" prompt="Leave it empty to use the overall target. Type it as a decimal: 0.45 = 45%." type="decimal" operator="between">
      <formula1>0</formula1>
      <formula2>1.0</formula2>
    </dataValidation>
    <dataValidation sqref="G9 G10 G11 G12 G13 G14 G15 G16 G17 G18 G19 G20 G21 G22 G23 G24 G25 G26 G27 G28 G29 G30 G31 G32 G33" showDropDown="0" showInputMessage="1" showErrorMessage="1" allowBlank="1" errorTitle="Target margin" error="Type a number greater than or equal to 0." promptTitle="Target margin" prompt="The dollars of margin you want the dish to leave (method B)." type="decimal" operator="greaterThanOrEqual">
      <formula1>0</formula1>
    </dataValidation>
    <dataValidation sqref="H9 H10 H11 H12 H13 H14 H15 H16 H17 H18 H19 H20 H21 H22 H23 H24 H25 H26 H27 H28 H29 H30 H31 H32 H33" showDropDown="0" showInputMessage="1" showErrorMessage="1" allowBlank="1" errorTitle="Market price" error="Type a number greater than or equal to 0." promptTitle="Market price" prompt="What places around you charge for that dish, before tax (method C)." type="decimal" operator="greaterThanOrEqual">
      <formula1>0</formula1>
    </dataValidation>
    <dataValidation sqref="I9 I10 I11 I12 I13 I14 I15 I16 I17 I18 I19 I20 I21 I22 I23 I24 I25 I26 I27 I28 I29 I30 I31 I32 I33" showDropDown="0" showInputMessage="1" showErrorMessage="1" allowBlank="1" errorTitle="Perceived value price" error="Type a number greater than or equal to 0." promptTitle="Perceived value price" prompt="What your guests would accept to pay, before tax (method D)." type="decimal" operator="greaterThanOrEqual">
      <formula1>0</formula1>
    </dataValidation>
    <dataValidation sqref="V9 V10 V11 V12 V13 V14 V15 V16 V17 V18 V19 V20 V21 V22 V23 V24 V25 V26 V27 V28 V29 V30 V31 V32 V33" showDropDown="0" showInputMessage="1" showErrorMessage="1" allowBlank="1" errorTitle="Current menu price" error="Type a number greater than or equal to 0." promptTitle="Current menu price" prompt="The price on your menu today, before tax." type="decimal" operator="greaterThanOrEqual">
      <formula1>0</formula1>
    </dataValidation>
    <dataValidation sqref="E5" showDropDown="0" showInputMessage="1" showErrorMessage="1" allowBlank="1" errorTitle="Target food cost" error="Type a percentage between 0 and 1 (0.20 = 20%)." promptTitle="Target food cost" prompt="Type it as a decimal: 0.30 = 30%." type="decimal" operator="between">
      <formula1>0</formula1>
      <formula2>1.0</formula2>
    </dataValidation>
    <dataValidation sqref="E6" showDropDown="0" showInputMessage="1" showErrorMessage="1" allowBlank="1" errorTitle="Tax rate" error="Type a percentage between 0 and 0.21 (0.20 = 20%)." promptTitle="Tax rate" prompt="0 in the US and Canada (menu prices are pre-tax). UK 0.20; Australia 0.10." type="decimal" operator="between">
      <formula1>0</formula1>
      <formula2>0.21</formula2>
    </dataValidation>
  </dataValidations>
  <pageMargins left="0.43" right="0.43" top="0.55" bottom="0.55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Menu Pricing Calculator</dc:title>
  <dc:subject xmlns:dc="http://purl.org/dc/elements/1.1/">Food Cost + Menu Engineering Guide · Version 1.0 · October 2026</dc:subject>
  <dcterms:created xmlns:dcterms="http://purl.org/dc/terms/" xmlns:xsi="http://www.w3.org/2001/XMLSchema-instance" xsi:type="dcterms:W3CDTF">2026-09-03T21:53:23Z</dcterms:created>
  <dcterms:modified xmlns:dcterms="http://purl.org/dc/terms/" xmlns:xsi="http://www.w3.org/2001/XMLSchema-instance" xsi:type="dcterms:W3CDTF">2026-10-15T08:00:00Z</dcterms:modified>
  <cp:lastModifiedBy>AI Chef Pro</cp:lastModifiedBy>
</cp:coreProperties>
</file>