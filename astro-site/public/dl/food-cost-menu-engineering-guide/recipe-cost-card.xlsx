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st Card" sheetId="2" state="visible" r:id="rId2"/>
    <sheet xmlns:r="http://schemas.openxmlformats.org/officeDocument/2006/relationships" name="Invoice &amp; Tax Check" sheetId="3" state="visible" r:id="rId3"/>
  </sheets>
  <definedNames>
    <definedName name="_xlnm._FilterDatabase" localSheetId="1" hidden="1">'Cost Card'!$A$9:$L$29</definedName>
    <definedName name="_xlnm.Print_Titles" localSheetId="1">'Cost Card'!$9:$9</definedName>
  </definedNames>
  <calcPr calcId="124519" fullCalcOnLoad="1"/>
</workbook>
</file>

<file path=xl/styles.xml><?xml version="1.0" encoding="utf-8"?>
<styleSheet xmlns="http://schemas.openxmlformats.org/spreadsheetml/2006/main">
  <numFmts count="3">
    <numFmt numFmtId="164" formatCode="0.0%"/>
    <numFmt numFmtId="165" formatCode="0.000"/>
    <numFmt numFmtId="166" formatCode="#,##0.00"/>
  </numFmts>
  <fonts count="8">
    <font>
      <name val="Calibri"/>
      <family val="2"/>
      <color theme="1"/>
      <sz val="11"/>
      <scheme val="minor"/>
    </font>
    <font>
      <b val="1"/>
      <color theme="1"/>
      <sz val="11"/>
    </font>
    <font>
      <b val="1"/>
      <sz val="16"/>
    </font>
    <font>
      <color rgb="00595959"/>
      <sz val="10"/>
    </font>
    <font>
      <b val="1"/>
      <color rgb="00FFFFFF"/>
      <sz val="10"/>
    </font>
    <font>
      <b val="1"/>
      <sz val="11"/>
    </font>
    <font>
      <b val="1"/>
      <sz val="10"/>
    </font>
    <font>
      <b val="1"/>
      <sz val="12"/>
    </font>
  </fonts>
  <fills count="5">
    <fill>
      <patternFill/>
    </fill>
    <fill>
      <patternFill patternType="gray125"/>
    </fill>
    <fill>
      <patternFill patternType="solid">
        <fgColor rgb="00E8F5E9"/>
      </patternFill>
    </fill>
    <fill>
      <patternFill patternType="solid">
        <fgColor rgb="002D2D2D"/>
      </patternFill>
    </fill>
    <fill>
      <patternFill patternType="solid">
        <fgColor rgb="00FFF8DC"/>
      </patternFill>
    </fill>
  </fills>
  <borders count="1">
    <border>
      <left/>
      <right/>
      <top/>
      <bottom/>
      <diagonal/>
    </border>
  </borders>
  <cellStyleXfs count="1">
    <xf numFmtId="0" fontId="0" fillId="0" borderId="0"/>
  </cellStyleXfs>
  <cellXfs count="23">
    <xf numFmtId="0" fontId="0" fillId="0" borderId="0" pivotButton="0" quotePrefix="0" xfId="0"/>
    <xf numFmtId="0" fontId="2" fillId="0" borderId="0" pivotButton="0" quotePrefix="0" xfId="0"/>
    <xf numFmtId="0" fontId="3" fillId="0" borderId="0" pivotButton="0" quotePrefix="0" xfId="0"/>
    <xf numFmtId="0" fontId="7" fillId="0" borderId="0" pivotButton="0" quotePrefix="0" xfId="0"/>
    <xf numFmtId="0" fontId="0" fillId="0" borderId="0" applyAlignment="1" pivotButton="0" quotePrefix="0" xfId="0">
      <alignment horizontal="general" vertical="top" wrapText="1"/>
    </xf>
    <xf numFmtId="0" fontId="0" fillId="2" borderId="0" applyAlignment="1" applyProtection="1" pivotButton="0" quotePrefix="0" xfId="0">
      <alignment horizontal="general" vertical="top" wrapText="1"/>
      <protection locked="0" hidden="0"/>
    </xf>
    <xf numFmtId="0" fontId="1" fillId="0" borderId="0" pivotButton="0" quotePrefix="0" xfId="0"/>
    <xf numFmtId="0" fontId="0" fillId="2" borderId="0" applyProtection="1" pivotButton="0" quotePrefix="0" xfId="0">
      <protection locked="0" hidden="0"/>
    </xf>
    <xf numFmtId="3" fontId="0" fillId="2" borderId="0" applyProtection="1" pivotButton="0" quotePrefix="0" xfId="0">
      <protection locked="0" hidden="0"/>
    </xf>
    <xf numFmtId="164" fontId="0" fillId="2" borderId="0" applyProtection="1" pivotButton="0" quotePrefix="0" xfId="0">
      <protection locked="0" hidden="0"/>
    </xf>
    <xf numFmtId="0" fontId="4" fillId="3" borderId="0" applyAlignment="1" pivotButton="0" quotePrefix="0" xfId="0">
      <alignment horizontal="center" vertical="center" wrapText="1"/>
    </xf>
    <xf numFmtId="3" fontId="0" fillId="0" borderId="0" applyAlignment="1" pivotButton="0" quotePrefix="0" xfId="0">
      <alignment horizontal="center" vertical="top"/>
    </xf>
    <xf numFmtId="0" fontId="0" fillId="2" borderId="0" applyAlignment="1" applyProtection="1" pivotButton="0" quotePrefix="0" xfId="0">
      <alignment horizontal="center" vertical="top"/>
      <protection locked="0" hidden="0"/>
    </xf>
    <xf numFmtId="165" fontId="0" fillId="2" borderId="0" applyProtection="1" pivotButton="0" quotePrefix="0" xfId="0">
      <protection locked="0" hidden="0"/>
    </xf>
    <xf numFmtId="166" fontId="0" fillId="2" borderId="0" applyProtection="1" pivotButton="0" quotePrefix="0" xfId="0">
      <protection locked="0" hidden="0"/>
    </xf>
    <xf numFmtId="165" fontId="0" fillId="0" borderId="0" pivotButton="0" quotePrefix="0" xfId="0"/>
    <xf numFmtId="166" fontId="0" fillId="0" borderId="0" pivotButton="0" quotePrefix="0" xfId="0"/>
    <xf numFmtId="0" fontId="5" fillId="4" borderId="0" pivotButton="0" quotePrefix="0" xfId="0"/>
    <xf numFmtId="166" fontId="1" fillId="0" borderId="0" pivotButton="0" quotePrefix="0" xfId="0"/>
    <xf numFmtId="164" fontId="1" fillId="0" borderId="0" pivotButton="0" quotePrefix="0" xfId="0"/>
    <xf numFmtId="164" fontId="0" fillId="0" borderId="0" pivotButton="0" quotePrefix="0" xfId="0"/>
    <xf numFmtId="0" fontId="6" fillId="4" borderId="0" pivotButton="0" quotePrefix="0" xfId="0"/>
    <xf numFmtId="166" fontId="6" fillId="4" borderId="0" pivotButton="0" quotePrefix="0" xfId="0"/>
  </cellXfs>
  <cellStyles count="1">
    <cellStyle name="Normal" xfId="0" builtinId="0" hidden="0"/>
  </cellStyles>
  <dxfs count="2">
    <dxf>
      <font>
        <b val="1"/>
        <color rgb="009C0006"/>
      </font>
      <fill>
        <patternFill patternType="solid">
          <fgColor rgb="00FFC7CE"/>
          <bgColor rgb="00FFC7CE"/>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17"/>
  <sheetViews>
    <sheetView workbookViewId="0">
      <selection activeCell="A1" sqref="A1"/>
    </sheetView>
  </sheetViews>
  <sheetFormatPr baseColWidth="8" defaultRowHeight="15"/>
  <cols>
    <col width="108" customWidth="1" min="1" max="1"/>
  </cols>
  <sheetData>
    <row r="1">
      <c r="A1" s="1" t="inlineStr">
        <is>
          <t>Recipe Cost Card</t>
        </is>
      </c>
    </row>
    <row r="2">
      <c r="A2" s="2" t="inlineStr">
        <is>
          <t>AI Chef Pro · aichef.pro — Food Cost + Menu Engineering Guide</t>
        </is>
      </c>
    </row>
    <row r="3"/>
    <row r="4">
      <c r="A4" s="3" t="inlineStr">
        <is>
          <t>How to use this workbook</t>
        </is>
      </c>
    </row>
    <row r="5">
      <c r="A5" s="4" t="inlineStr">
        <is>
          <t>1. At the top, enter the dish name, its menu category, the number of portions the card yields and your target food cost.</t>
        </is>
      </c>
    </row>
    <row r="6">
      <c r="A6" s="4" t="inlineStr">
        <is>
          <t>2. Fill in one line per ingredient: NET quantity per portion (what goes on the plate), purchase price before tax and trim loss as a decimal (0.12 = 12%).</t>
        </is>
      </c>
    </row>
    <row r="7">
      <c r="A7" s="4" t="inlineStr">
        <is>
          <t>3. The workbook works out the GROSS quantity to buy with the formula net quantity / (1 − trim loss), and from there the cost of each line.</t>
        </is>
      </c>
    </row>
    <row r="8">
      <c r="A8" s="4" t="inlineStr">
        <is>
          <t>4. The "Purchase tax rate (%)" column ships at 0%. In the US, sales tax you pay on supplies is a cost: type unit prices that already include any sales tax your vendor charged, or type the rate and read the rows "with that tax included" in the summary. If you are registered for VAT or GST/HST, that tax comes back to you, so it stays out of the plate cost and the food cost. The "Invoice &amp; Tax Check" sheet walks through a sample invoice line by line.</t>
        </is>
      </c>
    </row>
    <row r="9">
      <c r="A9" s="4" t="inlineStr">
        <is>
          <t>5. The SUMMARY block shows the plate cost, the target menu price before and with tax, and the real food cost of the price on your menu today.</t>
        </is>
      </c>
    </row>
    <row r="10">
      <c r="A10" s="4" t="inlineStr">
        <is>
          <t>6. If the real food cost shows red, your current price is above target: raise the price, lower the cost or check the portion size.</t>
        </is>
      </c>
    </row>
    <row r="11">
      <c r="A11" s="4" t="inlineStr">
        <is>
          <t>7. Duplicate the "Cost Card" sheet (right-click the tab, Move or Copy, Create a copy) to keep one card per dish.</t>
        </is>
      </c>
    </row>
    <row r="12"/>
    <row r="13">
      <c r="A13" s="5" t="inlineStr">
        <is>
          <t>Green cells = editable fields</t>
        </is>
      </c>
    </row>
    <row r="14">
      <c r="A14" s="4" t="inlineStr">
        <is>
          <t xml:space="preserve">Amounts carry no currency symbol: they are in your currency. Tax on the menu price by market (cell "Tax rate (%)", 0% by default):
• US: menu prices are pre-tax and sales tax is added on the bill. Leave 0%.
• Canada: GST/HST is usually added on the bill, as in the US. Leave 0%.
• UK: printed prices must include VAT. Type 20% (most cold takeaway food is zero-rated, but not soft drinks, confectionery or crisps).
• Australia: prices include GST. Type 10%.</t>
        </is>
      </c>
    </row>
    <row r="15">
      <c r="A15" s="4" t="inlineStr">
        <is>
          <t>To edit the structure or any cell that isn't green, unprotect the sheet (no password).</t>
        </is>
      </c>
    </row>
    <row r="16">
      <c r="A16" s="4" t="inlineStr">
        <is>
          <t>Designed by John Guerrero — chef and restaurant consultant since 2010 · johnguerrero.es</t>
        </is>
      </c>
    </row>
    <row r="17">
      <c r="A17" s="4" t="inlineStr">
        <is>
          <t>Version 1.0 · October 2026 · aichef.pro/en/digital-products/food-cost-menu-engineering-guide · info@aichef.pro</t>
        </is>
      </c>
    </row>
  </sheetData>
  <sheetProtection selectLockedCells="0" selectUnlockedCells="0" sheet="1" objects="0" insertRows="0" insertHyperlinks="1" autoFilter="1" scenarios="0" formatColumns="0" deleteColumns="1" insertColumns="1" pivotTables="1" deleteRows="1" formatCells="1" formatRows="0" sort="0"/>
  <pageMargins left="0.51" right="0.51" top="0.55" bottom="0.55" header="0.3" footer="0.3"/>
  <pageSetup orientation="portrait" paperSize="1" fitToHeight="0" fitToWidth="1"/>
  <headerFooter>
    <oddHeader/>
    <oddFooter>&amp;C&amp;8 AI Chef Pro · aichef.pro · Page &amp;P of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L47"/>
  <sheetViews>
    <sheetView workbookViewId="0">
      <pane xSplit="1" ySplit="9" topLeftCell="B10"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10" customWidth="1" min="3" max="3"/>
    <col width="15" customWidth="1" min="4" max="4"/>
    <col width="15" customWidth="1" min="5" max="5"/>
    <col width="11" customWidth="1" min="6" max="6"/>
    <col width="13" customWidth="1" min="7" max="7"/>
    <col width="15" customWidth="1" min="8" max="8"/>
    <col width="14" customWidth="1" min="9" max="9"/>
    <col width="14" customWidth="1" min="10" max="10"/>
    <col width="14" customWidth="1" min="11" max="11"/>
    <col width="34" customWidth="1" min="12" max="12"/>
  </cols>
  <sheetData>
    <row r="1">
      <c r="A1" s="1" t="inlineStr">
        <is>
          <t>Recipe Cost Card</t>
        </is>
      </c>
    </row>
    <row r="2">
      <c r="A2" s="2" t="inlineStr">
        <is>
          <t>AI Chef Pro · aichef.pro — Food Cost + Menu Engineering Guide</t>
        </is>
      </c>
    </row>
    <row r="3"/>
    <row r="4">
      <c r="B4" s="6" t="inlineStr">
        <is>
          <t>Dish name</t>
        </is>
      </c>
      <c r="D4" s="7" t="inlineStr">
        <is>
          <t>Iberico pork tenderloin with sweet potato purée</t>
        </is>
      </c>
      <c r="E4" s="7" t="n"/>
      <c r="F4" s="7" t="n"/>
      <c r="G4" s="7" t="n"/>
    </row>
    <row r="5">
      <c r="B5" s="6" t="inlineStr">
        <is>
          <t>Menu category</t>
        </is>
      </c>
      <c r="D5" s="7" t="inlineStr">
        <is>
          <t>Mains</t>
        </is>
      </c>
    </row>
    <row r="6">
      <c r="B6" s="6" t="inlineStr">
        <is>
          <t>Portions this card yields</t>
        </is>
      </c>
      <c r="D6" s="8" t="n">
        <v>1</v>
      </c>
    </row>
    <row r="7">
      <c r="B7" s="6" t="inlineStr">
        <is>
          <t>Target food cost (%)</t>
        </is>
      </c>
      <c r="D7" s="9" t="n">
        <v>0.3</v>
      </c>
      <c r="H7" s="4" t="inlineStr">
        <is>
          <t>The example restaurant's target. Change it and the target menu price and the traffic light recalculate.</t>
        </is>
      </c>
    </row>
    <row r="8"/>
    <row r="9" ht="32" customHeight="1">
      <c r="A9" s="10" t="inlineStr">
        <is>
          <t>#</t>
        </is>
      </c>
      <c r="B9" s="10" t="inlineStr">
        <is>
          <t>Ingredient</t>
        </is>
      </c>
      <c r="C9" s="10" t="inlineStr">
        <is>
          <t>Unit</t>
        </is>
      </c>
      <c r="D9" s="10" t="inlineStr">
        <is>
          <t>Net quantity/portion</t>
        </is>
      </c>
      <c r="E9" s="10" t="inlineStr">
        <is>
          <t>Price/unit pre-tax</t>
        </is>
      </c>
      <c r="F9" s="10" t="inlineStr">
        <is>
          <t>Trim loss (%)</t>
        </is>
      </c>
      <c r="G9" s="10" t="inlineStr">
        <is>
          <t>Purchase tax rate (%)</t>
        </is>
      </c>
      <c r="H9" s="10" t="inlineStr">
        <is>
          <t>Gross quantity to buy</t>
        </is>
      </c>
      <c r="I9" s="10" t="inlineStr">
        <is>
          <t>Line cost pre-tax</t>
        </is>
      </c>
      <c r="J9" s="10" t="inlineStr">
        <is>
          <t>Tax on purchase</t>
        </is>
      </c>
      <c r="K9" s="10" t="inlineStr">
        <is>
          <t>Line cost incl. tax</t>
        </is>
      </c>
      <c r="L9" s="10" t="inlineStr">
        <is>
          <t>Notes</t>
        </is>
      </c>
    </row>
    <row r="10">
      <c r="A10" s="11" t="n">
        <v>1</v>
      </c>
      <c r="B10" s="7" t="inlineStr">
        <is>
          <t>Iberico pork tenderloin</t>
        </is>
      </c>
      <c r="C10" s="12" t="inlineStr">
        <is>
          <t>lb</t>
        </is>
      </c>
      <c r="D10" s="13" t="n">
        <v>0.48501697680673067</v>
      </c>
      <c r="E10" s="14" t="n">
        <v>7.166759446</v>
      </c>
      <c r="F10" s="9" t="n">
        <v>0.12</v>
      </c>
      <c r="G10" s="9" t="n">
        <v>0</v>
      </c>
      <c r="H10" s="15">
        <f>IFERROR(IF(OR($D10="",$F10&gt;=1),"",$D10/(1-$F10)),"")</f>
        <v>0.5511556554621939</v>
      </c>
      <c r="I10" s="16">
        <f>IFERROR(IF(OR($H10="",$E10=""),"",$H10*$E10),"")</f>
        <v>3.9499999999999997</v>
      </c>
      <c r="J10" s="16">
        <f>IFERROR(IF(OR($I10="",$G10=""),"",$I10*$G10),"")</f>
        <v>0.0</v>
      </c>
      <c r="K10" s="16">
        <f>IFERROR(IF($I10="","",$I10+IF($J10="",0,$J10)),"")</f>
        <v>3.9499999999999997</v>
      </c>
      <c r="L10" s="7" t="n"/>
    </row>
    <row r="11">
      <c r="A11" s="11" t="n">
        <v>2</v>
      </c>
      <c r="B11" s="7" t="inlineStr">
        <is>
          <t>Iberico pork belly (crispy)</t>
        </is>
      </c>
      <c r="C11" s="12" t="inlineStr">
        <is>
          <t>lb</t>
        </is>
      </c>
      <c r="D11" s="13" t="n">
        <v>0.06613867865546327</v>
      </c>
      <c r="E11" s="14" t="n">
        <v>5.216312255</v>
      </c>
      <c r="F11" s="9" t="n">
        <v>0.05</v>
      </c>
      <c r="G11" s="9" t="n">
        <v>0</v>
      </c>
      <c r="H11" s="15">
        <f>IFERROR(IF(OR($D11="",$F11&gt;=1),"",$D11/(1-$F11)),"")</f>
        <v>0.06961966174259292</v>
      </c>
      <c r="I11" s="16">
        <f>IFERROR(IF(OR($H11="",$E11=""),"",$H11*$E11),"")</f>
        <v>0.36315789473684207</v>
      </c>
      <c r="J11" s="16">
        <f>IFERROR(IF(OR($I11="",$G11=""),"",$I11*$G11),"")</f>
        <v>0.0</v>
      </c>
      <c r="K11" s="16">
        <f>IFERROR(IF($I11="","",$I11+IF($J11="",0,$J11)),"")</f>
        <v>0.36315789473684207</v>
      </c>
      <c r="L11" s="7" t="n"/>
    </row>
    <row r="12">
      <c r="A12" s="11" t="n">
        <v>3</v>
      </c>
      <c r="B12" s="7" t="inlineStr">
        <is>
          <t>Sweet potato</t>
        </is>
      </c>
      <c r="C12" s="12" t="inlineStr">
        <is>
          <t>lb</t>
        </is>
      </c>
      <c r="D12" s="13" t="n">
        <v>0.3968320719327796</v>
      </c>
      <c r="E12" s="14" t="n">
        <v>0.7257477920000001</v>
      </c>
      <c r="F12" s="9" t="n">
        <v>0.18</v>
      </c>
      <c r="G12" s="9" t="n">
        <v>0</v>
      </c>
      <c r="H12" s="15">
        <f>IFERROR(IF(OR($D12="",$F12&gt;=1),"",$D12/(1-$F12)),"")</f>
        <v>0.48394155113753606</v>
      </c>
      <c r="I12" s="16">
        <f>IFERROR(IF(OR($H12="",$E12=""),"",$H12*$E12),"")</f>
        <v>0.35121951219512193</v>
      </c>
      <c r="J12" s="16">
        <f>IFERROR(IF(OR($I12="",$G12=""),"",$I12*$G12),"")</f>
        <v>0.0</v>
      </c>
      <c r="K12" s="16">
        <f>IFERROR(IF($I12="","",$I12+IF($J12="",0,$J12)),"")</f>
        <v>0.35121951219512193</v>
      </c>
      <c r="L12" s="7" t="n"/>
    </row>
    <row r="13">
      <c r="A13" s="11" t="n">
        <v>4</v>
      </c>
      <c r="B13" s="7" t="inlineStr">
        <is>
          <t>Butter</t>
        </is>
      </c>
      <c r="C13" s="12" t="inlineStr">
        <is>
          <t>lb</t>
        </is>
      </c>
      <c r="D13" s="13" t="n">
        <v>0.03306933932773164</v>
      </c>
      <c r="E13" s="14" t="n">
        <v>4.036972093</v>
      </c>
      <c r="F13" s="9" t="n">
        <v>0</v>
      </c>
      <c r="G13" s="9" t="n">
        <v>0</v>
      </c>
      <c r="H13" s="15">
        <f>IFERROR(IF(OR($D13="",$F13&gt;=1),"",$D13/(1-$F13)),"")</f>
        <v>0.03306933932773164</v>
      </c>
      <c r="I13" s="16">
        <f>IFERROR(IF(OR($H13="",$E13=""),"",$H13*$E13),"")</f>
        <v>0.1335</v>
      </c>
      <c r="J13" s="16">
        <f>IFERROR(IF(OR($I13="",$G13=""),"",$I13*$G13),"")</f>
        <v>0.0</v>
      </c>
      <c r="K13" s="16">
        <f>IFERROR(IF($I13="","",$I13+IF($J13="",0,$J13)),"")</f>
        <v>0.1335</v>
      </c>
      <c r="L13" s="7" t="n"/>
    </row>
    <row r="14">
      <c r="A14" s="11" t="n">
        <v>5</v>
      </c>
      <c r="B14" s="7" t="inlineStr">
        <is>
          <t>Heavy cream (35% fat)</t>
        </is>
      </c>
      <c r="C14" s="12" t="inlineStr">
        <is>
          <t>L</t>
        </is>
      </c>
      <c r="D14" s="13" t="n">
        <v>0.03</v>
      </c>
      <c r="E14" s="14" t="n">
        <v>3.4</v>
      </c>
      <c r="F14" s="9" t="n">
        <v>0</v>
      </c>
      <c r="G14" s="9" t="n">
        <v>0</v>
      </c>
      <c r="H14" s="15">
        <f>IFERROR(IF(OR($D14="",$F14&gt;=1),"",$D14/(1-$F14)),"")</f>
        <v>0.03</v>
      </c>
      <c r="I14" s="16">
        <f>IFERROR(IF(OR($H14="",$E14=""),"",$H14*$E14),"")</f>
        <v>0.102</v>
      </c>
      <c r="J14" s="16">
        <f>IFERROR(IF(OR($I14="",$G14=""),"",$I14*$G14),"")</f>
        <v>0.0</v>
      </c>
      <c r="K14" s="16">
        <f>IFERROR(IF($I14="","",$I14+IF($J14="",0,$J14)),"")</f>
        <v>0.102</v>
      </c>
      <c r="L14" s="7" t="n"/>
    </row>
    <row r="15">
      <c r="A15" s="11" t="n">
        <v>6</v>
      </c>
      <c r="B15" s="7" t="inlineStr">
        <is>
          <t>Onion</t>
        </is>
      </c>
      <c r="C15" s="12" t="inlineStr">
        <is>
          <t>lb</t>
        </is>
      </c>
      <c r="D15" s="13" t="n">
        <v>0.08818490487395103</v>
      </c>
      <c r="E15" s="14" t="n">
        <v>0.4309127515</v>
      </c>
      <c r="F15" s="9" t="n">
        <v>0.12</v>
      </c>
      <c r="G15" s="9" t="n">
        <v>0</v>
      </c>
      <c r="H15" s="15">
        <f>IFERROR(IF(OR($D15="",$F15&gt;=1),"",$D15/(1-$F15)),"")</f>
        <v>0.10021011917494435</v>
      </c>
      <c r="I15" s="16">
        <f>IFERROR(IF(OR($H15="",$E15=""),"",$H15*$E15),"")</f>
        <v>0.04318181818181818</v>
      </c>
      <c r="J15" s="16">
        <f>IFERROR(IF(OR($I15="",$G15=""),"",$I15*$G15),"")</f>
        <v>0.0</v>
      </c>
      <c r="K15" s="16">
        <f>IFERROR(IF($I15="","",$I15+IF($J15="",0,$J15)),"")</f>
        <v>0.04318181818181818</v>
      </c>
      <c r="L15" s="7" t="n"/>
    </row>
    <row r="16">
      <c r="A16" s="11" t="n">
        <v>7</v>
      </c>
      <c r="B16" s="7" t="inlineStr">
        <is>
          <t>Pedro Ximénez wine (for the sauce)</t>
        </is>
      </c>
      <c r="C16" s="12" t="inlineStr">
        <is>
          <t>L</t>
        </is>
      </c>
      <c r="D16" s="13" t="n">
        <v>0.03</v>
      </c>
      <c r="E16" s="14" t="n">
        <v>9.800000000000001</v>
      </c>
      <c r="F16" s="9" t="n">
        <v>0</v>
      </c>
      <c r="G16" s="9" t="n">
        <v>0</v>
      </c>
      <c r="H16" s="15">
        <f>IFERROR(IF(OR($D16="",$F16&gt;=1),"",$D16/(1-$F16)),"")</f>
        <v>0.03</v>
      </c>
      <c r="I16" s="16">
        <f>IFERROR(IF(OR($H16="",$E16=""),"",$H16*$E16),"")</f>
        <v>0.294</v>
      </c>
      <c r="J16" s="16">
        <f>IFERROR(IF(OR($I16="",$G16=""),"",$I16*$G16),"")</f>
        <v>0.0</v>
      </c>
      <c r="K16" s="16">
        <f>IFERROR(IF($I16="","",$I16+IF($J16="",0,$J16)),"")</f>
        <v>0.294</v>
      </c>
      <c r="L16" s="7" t="n"/>
    </row>
    <row r="17">
      <c r="A17" s="11" t="n">
        <v>8</v>
      </c>
      <c r="B17" s="7" t="inlineStr">
        <is>
          <t>Beef stock</t>
        </is>
      </c>
      <c r="C17" s="12" t="inlineStr">
        <is>
          <t>L</t>
        </is>
      </c>
      <c r="D17" s="13" t="n">
        <v>0.06</v>
      </c>
      <c r="E17" s="14" t="n">
        <v>2.2</v>
      </c>
      <c r="F17" s="9" t="n">
        <v>0</v>
      </c>
      <c r="G17" s="9" t="n">
        <v>0</v>
      </c>
      <c r="H17" s="15">
        <f>IFERROR(IF(OR($D17="",$F17&gt;=1),"",$D17/(1-$F17)),"")</f>
        <v>0.06</v>
      </c>
      <c r="I17" s="16">
        <f>IFERROR(IF(OR($H17="",$E17=""),"",$H17*$E17),"")</f>
        <v>0.132</v>
      </c>
      <c r="J17" s="16">
        <f>IFERROR(IF(OR($I17="",$G17=""),"",$I17*$G17),"")</f>
        <v>0.0</v>
      </c>
      <c r="K17" s="16">
        <f>IFERROR(IF($I17="","",$I17+IF($J17="",0,$J17)),"")</f>
        <v>0.132</v>
      </c>
      <c r="L17" s="7" t="n"/>
    </row>
    <row r="18">
      <c r="A18" s="11" t="n">
        <v>9</v>
      </c>
      <c r="B18" s="7" t="inlineStr">
        <is>
          <t>Extra virgin olive oil</t>
        </is>
      </c>
      <c r="C18" s="12" t="inlineStr">
        <is>
          <t>L</t>
        </is>
      </c>
      <c r="D18" s="13" t="n">
        <v>0.015</v>
      </c>
      <c r="E18" s="14" t="n">
        <v>7.2</v>
      </c>
      <c r="F18" s="9" t="n">
        <v>0</v>
      </c>
      <c r="G18" s="9" t="n">
        <v>0</v>
      </c>
      <c r="H18" s="15">
        <f>IFERROR(IF(OR($D18="",$F18&gt;=1),"",$D18/(1-$F18)),"")</f>
        <v>0.015</v>
      </c>
      <c r="I18" s="16">
        <f>IFERROR(IF(OR($H18="",$E18=""),"",$H18*$E18),"")</f>
        <v>0.108</v>
      </c>
      <c r="J18" s="16">
        <f>IFERROR(IF(OR($I18="",$G18=""),"",$I18*$G18),"")</f>
        <v>0.0</v>
      </c>
      <c r="K18" s="16">
        <f>IFERROR(IF($I18="","",$I18+IF($J18="",0,$J18)),"")</f>
        <v>0.108</v>
      </c>
      <c r="L18" s="7" t="n"/>
    </row>
    <row r="19">
      <c r="A19" s="11" t="n">
        <v>10</v>
      </c>
      <c r="B19" s="7" t="inlineStr">
        <is>
          <t>Arugula sprouts</t>
        </is>
      </c>
      <c r="C19" s="12" t="inlineStr">
        <is>
          <t>lb</t>
        </is>
      </c>
      <c r="D19" s="13" t="n">
        <v>0.022046226218487758</v>
      </c>
      <c r="E19" s="14" t="n">
        <v>5.4431084400000005</v>
      </c>
      <c r="F19" s="9" t="n">
        <v>0.1</v>
      </c>
      <c r="G19" s="9" t="n">
        <v>0</v>
      </c>
      <c r="H19" s="15">
        <f>IFERROR(IF(OR($D19="",$F19&gt;=1),"",$D19/(1-$F19)),"")</f>
        <v>0.02449580690943084</v>
      </c>
      <c r="I19" s="16">
        <f>IFERROR(IF(OR($H19="",$E19=""),"",$H19*$E19),"")</f>
        <v>0.13333333333333333</v>
      </c>
      <c r="J19" s="16">
        <f>IFERROR(IF(OR($I19="",$G19=""),"",$I19*$G19),"")</f>
        <v>0.0</v>
      </c>
      <c r="K19" s="16">
        <f>IFERROR(IF($I19="","",$I19+IF($J19="",0,$J19)),"")</f>
        <v>0.13333333333333333</v>
      </c>
      <c r="L19" s="7" t="n"/>
    </row>
    <row r="20">
      <c r="A20" s="11" t="n">
        <v>11</v>
      </c>
      <c r="B20" s="7" t="inlineStr">
        <is>
          <t>Salt, pepper, thyme and paprika (allocated)</t>
        </is>
      </c>
      <c r="C20" s="12" t="inlineStr">
        <is>
          <t>lb</t>
        </is>
      </c>
      <c r="D20" s="13" t="n">
        <v>0.022046226218487758</v>
      </c>
      <c r="E20" s="14" t="n">
        <v>2.7215542200000002</v>
      </c>
      <c r="F20" s="9" t="n">
        <v>0</v>
      </c>
      <c r="G20" s="9" t="n">
        <v>0</v>
      </c>
      <c r="H20" s="15">
        <f>IFERROR(IF(OR($D20="",$F20&gt;=1),"",$D20/(1-$F20)),"")</f>
        <v>0.022046226218487758</v>
      </c>
      <c r="I20" s="16">
        <f>IFERROR(IF(OR($H20="",$E20=""),"",$H20*$E20),"")</f>
        <v>0.060000000000000005</v>
      </c>
      <c r="J20" s="16">
        <f>IFERROR(IF(OR($I20="",$G20=""),"",$I20*$G20),"")</f>
        <v>0.0</v>
      </c>
      <c r="K20" s="16">
        <f>IFERROR(IF($I20="","",$I20+IF($J20="",0,$J20)),"")</f>
        <v>0.060000000000000005</v>
      </c>
      <c r="L20" s="7" t="n"/>
    </row>
    <row r="21">
      <c r="A21" s="11" t="n">
        <v>12</v>
      </c>
      <c r="B21" s="7" t="n"/>
      <c r="C21" s="7" t="n"/>
      <c r="D21" s="13" t="n"/>
      <c r="E21" s="14" t="n"/>
      <c r="F21" s="9" t="n"/>
      <c r="G21" s="9" t="n"/>
      <c r="H21" s="15">
        <f>IFERROR(IF(OR($D21="",$F21&gt;=1),"",$D21/(1-$F21)),"")</f>
      </c>
      <c r="I21" s="16">
        <f>IFERROR(IF(OR($H21="",$E21=""),"",$H21*$E21),"")</f>
      </c>
      <c r="J21" s="16">
        <f>IFERROR(IF(OR($I21="",$G21=""),"",$I21*$G21),"")</f>
      </c>
      <c r="K21" s="16">
        <f>IFERROR(IF($I21="","",$I21+IF($J21="",0,$J21)),"")</f>
      </c>
      <c r="L21" s="7" t="n"/>
    </row>
    <row r="22">
      <c r="A22" s="11" t="n">
        <v>13</v>
      </c>
      <c r="B22" s="7" t="n"/>
      <c r="C22" s="7" t="n"/>
      <c r="D22" s="13" t="n"/>
      <c r="E22" s="14" t="n"/>
      <c r="F22" s="9" t="n"/>
      <c r="G22" s="9" t="n"/>
      <c r="H22" s="15">
        <f>IFERROR(IF(OR($D22="",$F22&gt;=1),"",$D22/(1-$F22)),"")</f>
      </c>
      <c r="I22" s="16">
        <f>IFERROR(IF(OR($H22="",$E22=""),"",$H22*$E22),"")</f>
      </c>
      <c r="J22" s="16">
        <f>IFERROR(IF(OR($I22="",$G22=""),"",$I22*$G22),"")</f>
      </c>
      <c r="K22" s="16">
        <f>IFERROR(IF($I22="","",$I22+IF($J22="",0,$J22)),"")</f>
      </c>
      <c r="L22" s="7" t="n"/>
    </row>
    <row r="23">
      <c r="A23" s="11" t="n">
        <v>14</v>
      </c>
      <c r="B23" s="7" t="n"/>
      <c r="C23" s="7" t="n"/>
      <c r="D23" s="13" t="n"/>
      <c r="E23" s="14" t="n"/>
      <c r="F23" s="9" t="n"/>
      <c r="G23" s="9" t="n"/>
      <c r="H23" s="15">
        <f>IFERROR(IF(OR($D23="",$F23&gt;=1),"",$D23/(1-$F23)),"")</f>
      </c>
      <c r="I23" s="16">
        <f>IFERROR(IF(OR($H23="",$E23=""),"",$H23*$E23),"")</f>
      </c>
      <c r="J23" s="16">
        <f>IFERROR(IF(OR($I23="",$G23=""),"",$I23*$G23),"")</f>
      </c>
      <c r="K23" s="16">
        <f>IFERROR(IF($I23="","",$I23+IF($J23="",0,$J23)),"")</f>
      </c>
      <c r="L23" s="7" t="n"/>
    </row>
    <row r="24">
      <c r="A24" s="11" t="n">
        <v>15</v>
      </c>
      <c r="B24" s="7" t="n"/>
      <c r="C24" s="7" t="n"/>
      <c r="D24" s="13" t="n"/>
      <c r="E24" s="14" t="n"/>
      <c r="F24" s="9" t="n"/>
      <c r="G24" s="9" t="n"/>
      <c r="H24" s="15">
        <f>IFERROR(IF(OR($D24="",$F24&gt;=1),"",$D24/(1-$F24)),"")</f>
      </c>
      <c r="I24" s="16">
        <f>IFERROR(IF(OR($H24="",$E24=""),"",$H24*$E24),"")</f>
      </c>
      <c r="J24" s="16">
        <f>IFERROR(IF(OR($I24="",$G24=""),"",$I24*$G24),"")</f>
      </c>
      <c r="K24" s="16">
        <f>IFERROR(IF($I24="","",$I24+IF($J24="",0,$J24)),"")</f>
      </c>
      <c r="L24" s="7" t="n"/>
    </row>
    <row r="25">
      <c r="A25" s="11" t="n">
        <v>16</v>
      </c>
      <c r="B25" s="7" t="n"/>
      <c r="C25" s="7" t="n"/>
      <c r="D25" s="13" t="n"/>
      <c r="E25" s="14" t="n"/>
      <c r="F25" s="9" t="n"/>
      <c r="G25" s="9" t="n"/>
      <c r="H25" s="15">
        <f>IFERROR(IF(OR($D25="",$F25&gt;=1),"",$D25/(1-$F25)),"")</f>
      </c>
      <c r="I25" s="16">
        <f>IFERROR(IF(OR($H25="",$E25=""),"",$H25*$E25),"")</f>
      </c>
      <c r="J25" s="16">
        <f>IFERROR(IF(OR($I25="",$G25=""),"",$I25*$G25),"")</f>
      </c>
      <c r="K25" s="16">
        <f>IFERROR(IF($I25="","",$I25+IF($J25="",0,$J25)),"")</f>
      </c>
      <c r="L25" s="7" t="n"/>
    </row>
    <row r="26">
      <c r="A26" s="11" t="n">
        <v>17</v>
      </c>
      <c r="B26" s="7" t="n"/>
      <c r="C26" s="7" t="n"/>
      <c r="D26" s="13" t="n"/>
      <c r="E26" s="14" t="n"/>
      <c r="F26" s="9" t="n"/>
      <c r="G26" s="9" t="n"/>
      <c r="H26" s="15">
        <f>IFERROR(IF(OR($D26="",$F26&gt;=1),"",$D26/(1-$F26)),"")</f>
      </c>
      <c r="I26" s="16">
        <f>IFERROR(IF(OR($H26="",$E26=""),"",$H26*$E26),"")</f>
      </c>
      <c r="J26" s="16">
        <f>IFERROR(IF(OR($I26="",$G26=""),"",$I26*$G26),"")</f>
      </c>
      <c r="K26" s="16">
        <f>IFERROR(IF($I26="","",$I26+IF($J26="",0,$J26)),"")</f>
      </c>
      <c r="L26" s="7" t="n"/>
    </row>
    <row r="27">
      <c r="A27" s="11" t="n">
        <v>18</v>
      </c>
      <c r="B27" s="7" t="n"/>
      <c r="C27" s="7" t="n"/>
      <c r="D27" s="13" t="n"/>
      <c r="E27" s="14" t="n"/>
      <c r="F27" s="9" t="n"/>
      <c r="G27" s="9" t="n"/>
      <c r="H27" s="15">
        <f>IFERROR(IF(OR($D27="",$F27&gt;=1),"",$D27/(1-$F27)),"")</f>
      </c>
      <c r="I27" s="16">
        <f>IFERROR(IF(OR($H27="",$E27=""),"",$H27*$E27),"")</f>
      </c>
      <c r="J27" s="16">
        <f>IFERROR(IF(OR($I27="",$G27=""),"",$I27*$G27),"")</f>
      </c>
      <c r="K27" s="16">
        <f>IFERROR(IF($I27="","",$I27+IF($J27="",0,$J27)),"")</f>
      </c>
      <c r="L27" s="7" t="n"/>
    </row>
    <row r="28">
      <c r="A28" s="11" t="n">
        <v>19</v>
      </c>
      <c r="B28" s="7" t="n"/>
      <c r="C28" s="7" t="n"/>
      <c r="D28" s="13" t="n"/>
      <c r="E28" s="14" t="n"/>
      <c r="F28" s="9" t="n"/>
      <c r="G28" s="9" t="n"/>
      <c r="H28" s="15">
        <f>IFERROR(IF(OR($D28="",$F28&gt;=1),"",$D28/(1-$F28)),"")</f>
      </c>
      <c r="I28" s="16">
        <f>IFERROR(IF(OR($H28="",$E28=""),"",$H28*$E28),"")</f>
      </c>
      <c r="J28" s="16">
        <f>IFERROR(IF(OR($I28="",$G28=""),"",$I28*$G28),"")</f>
      </c>
      <c r="K28" s="16">
        <f>IFERROR(IF($I28="","",$I28+IF($J28="",0,$J28)),"")</f>
      </c>
      <c r="L28" s="7" t="n"/>
    </row>
    <row r="29">
      <c r="A29" s="11" t="n">
        <v>20</v>
      </c>
      <c r="B29" s="7" t="n"/>
      <c r="C29" s="7" t="n"/>
      <c r="D29" s="13" t="n"/>
      <c r="E29" s="14" t="n"/>
      <c r="F29" s="9" t="n"/>
      <c r="G29" s="9" t="n"/>
      <c r="H29" s="15">
        <f>IFERROR(IF(OR($D29="",$F29&gt;=1),"",$D29/(1-$F29)),"")</f>
      </c>
      <c r="I29" s="16">
        <f>IFERROR(IF(OR($H29="",$E29=""),"",$H29*$E29),"")</f>
      </c>
      <c r="J29" s="16">
        <f>IFERROR(IF(OR($I29="",$G29=""),"",$I29*$G29),"")</f>
      </c>
      <c r="K29" s="16">
        <f>IFERROR(IF($I29="","",$I29+IF($J29="",0,$J29)),"")</f>
      </c>
      <c r="L29" s="7" t="n"/>
    </row>
    <row r="30"/>
    <row r="31">
      <c r="B31" s="17" t="inlineStr">
        <is>
          <t>SUMMARY — calculated by the workbook</t>
        </is>
      </c>
      <c r="C31" s="17" t="n"/>
      <c r="D31" s="17" t="n"/>
      <c r="E31" s="17" t="n"/>
      <c r="F31" s="17" t="n"/>
      <c r="G31" s="17" t="n"/>
    </row>
    <row r="32">
      <c r="B32" s="6" t="inlineStr">
        <is>
          <t>TOTAL CARD COST, pre-tax</t>
        </is>
      </c>
      <c r="E32" s="18">
        <f>IF(COUNTIF($I$10:$I$29,"&gt;0")=0,"",SUM($I$10:$I$29))</f>
        <v>5.670392558447115</v>
      </c>
    </row>
    <row r="33">
      <c r="B33" s="6" t="inlineStr">
        <is>
          <t>Plate cost, pre-tax</t>
        </is>
      </c>
      <c r="E33" s="18">
        <f>IFERROR(IF(OR($E$32="",$D$6="",$D$6=0),"",$E$32/$D$6),"")</f>
        <v>5.670392558447115</v>
      </c>
    </row>
    <row r="34">
      <c r="B34" t="inlineStr">
        <is>
          <t>Target menu price (pre-tax) = plate cost ÷ target food cost</t>
        </is>
      </c>
      <c r="E34" s="16">
        <f>IFERROR(IF(OR($E$33="",$D$7="",$D$7=0),"",$E$33/$D$7),"")</f>
        <v>18.90130852815705</v>
      </c>
    </row>
    <row r="35">
      <c r="B35" t="inlineStr">
        <is>
          <t>Tax rate (%)</t>
        </is>
      </c>
      <c r="E35" s="9" t="n">
        <v>0</v>
      </c>
      <c r="H35" s="4" t="inlineStr">
        <is>
          <t>Ships at 0%: US and Canadian menus are printed pre-tax. In the UK type 20% (VAT is included in printed prices); in Australia type 10% (GST included). Change it here and the whole workbook recalculates.</t>
        </is>
      </c>
    </row>
    <row r="36">
      <c r="B36" t="inlineStr">
        <is>
          <t>Target price WITH tax, what the guest pays</t>
        </is>
      </c>
      <c r="E36" s="16">
        <f>IFERROR(IF($E$34="","",$E$34*(1+$E$35)),"")</f>
        <v>18.90130852815705</v>
      </c>
    </row>
    <row r="37">
      <c r="B37" s="6" t="inlineStr">
        <is>
          <t>CURRENT menu price (pre-tax)</t>
        </is>
      </c>
      <c r="E37" s="14" t="n">
        <v>17.3</v>
      </c>
      <c r="H37" s="4" t="inlineStr">
        <is>
          <t>The price on your menu today, before tax (in the UK or Australia, take the VAT or GST out first). It's what the REAL food cost below is measured against.</t>
        </is>
      </c>
    </row>
    <row r="38">
      <c r="B38" t="inlineStr">
        <is>
          <t>Current price WITH tax, what the guest pays</t>
        </is>
      </c>
      <c r="E38" s="16">
        <f>IFERROR(IF($E$37="","",$E$37*(1+$E$35)),"")</f>
        <v>17.3</v>
      </c>
    </row>
    <row r="39">
      <c r="B39" s="6" t="inlineStr">
        <is>
          <t>REAL food cost at the current menu price (%)</t>
        </is>
      </c>
      <c r="E39" s="19">
        <f>IFERROR(IF(OR($E$33="",$E$37="",$E$37=0),"",$E$33/$E$37),"")</f>
        <v>0.327768355979602</v>
      </c>
      <c r="H39" s="4" t="inlineStr">
        <is>
          <t>Green if it meets the target in D7; red if it's above.</t>
        </is>
      </c>
    </row>
    <row r="40">
      <c r="B40" s="6" t="inlineStr">
        <is>
          <t>Contribution margin at the current menu price</t>
        </is>
      </c>
      <c r="E40" s="18">
        <f>IFERROR(IF(OR($E$33="",$E$37=""),"",$E$37-$E$33),"")</f>
        <v>11.629607441552885</v>
      </c>
    </row>
    <row r="41">
      <c r="B41" t="inlineStr">
        <is>
          <t>Difference between target and current menu price</t>
        </is>
      </c>
      <c r="E41" s="16">
        <f>IFERROR(IF(OR($E$34="",$E$37=""),"",$E$34-$E$37),"")</f>
        <v>1.6013085281570483</v>
      </c>
    </row>
    <row r="42">
      <c r="B42" t="inlineStr">
        <is>
          <t>Increase needed over the current menu price to reach the target (%)</t>
        </is>
      </c>
      <c r="E42" s="20">
        <f>IFERROR(IF(OR($E$34="",$E$37="",$E$37=0),"",$E$34/$E$37-1),"")</f>
        <v>0.0925611865986733</v>
      </c>
    </row>
    <row r="43"/>
    <row r="44">
      <c r="B44" s="17" t="inlineStr">
        <is>
          <t>TAX ON PURCHASES — a cost if you can't reclaim it, cash flow if you can</t>
        </is>
      </c>
      <c r="C44" s="17" t="n"/>
      <c r="D44" s="17" t="n"/>
      <c r="E44" s="17" t="n"/>
      <c r="F44" s="17" t="n"/>
      <c r="G44" s="17" t="n"/>
    </row>
    <row r="45">
      <c r="B45" t="inlineStr">
        <is>
          <t>Tax on this card's ingredients</t>
        </is>
      </c>
      <c r="E45" s="16">
        <f>IF(COUNTIF($J$10:$J$29,"&gt;0")=0,"",SUM($J$10:$J$29))</f>
      </c>
    </row>
    <row r="46">
      <c r="B46" s="6" t="inlineStr">
        <is>
          <t>Card cost with that tax included</t>
        </is>
      </c>
      <c r="E46" s="18">
        <f>IF(COUNTIF($K$10:$K$29,"&gt;0")=0,"",SUM($K$10:$K$29))</f>
        <v>5.670392558447115</v>
      </c>
      <c r="H46" s="4" t="inlineStr">
        <is>
          <t>What leaves your bank account when you pay the invoice. In the US, sales tax on supplies is a cost. If you're registered for VAT or GST/HST, it comes back as a credit: it's cash flow, not cost, and stays out of the food cost.</t>
        </is>
      </c>
    </row>
    <row r="47">
      <c r="B47" t="inlineStr">
        <is>
          <t>Food cost % with that tax included — right only if you can't reclaim it</t>
        </is>
      </c>
      <c r="E47" s="20">
        <f>IFERROR(IF(OR($E$46="",$D$6="",$D$6=0,$E$37="",$E$37=0),"",($E$46/$D$6)/$E$37),"")</f>
        <v>0.327768355979602</v>
      </c>
      <c r="H47" s="4" t="inlineStr">
        <is>
          <t>For a registered business this figure is the mistake: counting reclaimable tax as cost inflates the food cost and pushes you to raise prices you don't need to. For a US kitchen that really paid that tax, it's the right one.</t>
        </is>
      </c>
    </row>
  </sheetData>
  <sheetProtection selectLockedCells="0" selectUnlockedCells="0" sheet="1" objects="0" insertRows="0" insertHyperlinks="1" autoFilter="1" scenarios="0" formatColumns="0" deleteColumns="1" insertColumns="1" pivotTables="1" deleteRows="1" formatCells="1" formatRows="0" sort="0"/>
  <autoFilter ref="A9:L29"/>
  <mergeCells count="1">
    <mergeCell ref="D4:G4"/>
  </mergeCells>
  <conditionalFormatting sqref="E39">
    <cfRule type="expression" priority="1" dxfId="0" stopIfTrue="1">
      <formula>=AND(ISNUMBER($E$39),$E$39&gt;$D$7)</formula>
    </cfRule>
    <cfRule type="expression" priority="2" dxfId="1" stopIfTrue="1">
      <formula>=AND(ISNUMBER($E$39),$E$39&lt;=$D$7)</formula>
    </cfRule>
  </conditionalFormatting>
  <dataValidations count="10">
    <dataValidation sqref="C10 C11 C12 C13 C14 C15 C16 C17 C18 C19 C20 C21 C22 C23 C24 C25 C26 C27 C28 C29" showDropDown="0" showInputMessage="0" showErrorMessage="1" allowBlank="1" errorTitle="Invalid unit" error="Choose a value from the list: lb, oz, kg, g, L, ml, cl, fl oz, qt, gal, each, dozen, portion" type="list">
      <formula1>"lb,oz,kg,g,L,ml,cl,fl oz,qt,gal,each,dozen,portion"</formula1>
    </dataValidation>
    <dataValidation sqref="D5" showDropDown="0" showInputMessage="0" showErrorMessage="1" allowBlank="1" errorTitle="Invalid category" error="Choose a value from the list: Starters, Mains, Desserts, Prix fixe, Drinks" type="list">
      <formula1>"Starters,Mains,Desserts,Prix fixe,Drinks"</formula1>
    </dataValidation>
    <dataValidation sqref="D10 D11 D12 D13 D14 D15 D16 D17 D18 D19 D20 D21 D22 D23 D24 D25 D26 D27 D28 D29" showDropDown="0" showInputMessage="1" showErrorMessage="1" allowBlank="1" errorTitle="Net quantity" error="Type a number greater than or equal to 0." promptTitle="Net quantity" prompt="The quantity SERVED on the plate, already cleaned, in the purchase unit (0.485 lb)." type="decimal" operator="greaterThanOrEqual">
      <formula1>0</formula1>
    </dataValidation>
    <dataValidation sqref="E10 E11 E12 E13 E14 E15 E16 E17 E18 E19 E20 E21 E22 E23 E24 E25 E26 E27 E28 E29" showDropDown="0" showInputMessage="1" showErrorMessage="1" allowBlank="1" errorTitle="Purchase price" error="Type a number greater than or equal to 0." promptTitle="Purchase price" prompt="Price per purchase unit BEFORE tax, as on your invoice." type="decimal" operator="greaterThanOrEqual">
      <formula1>0</formula1>
    </dataValidation>
    <dataValidation sqref="F10 F11 F12 F13 F14 F15 F16 F17 F18 F19 F20 F21 F22 F23 F24 F25 F26 F27 F28 F29" showDropDown="0" showInputMessage="1" showErrorMessage="1" allowBlank="1" errorTitle="Trim loss (%)" error="Type a percentage between 0 and 0.95 (0.20 = 20%)." promptTitle="Trim loss (%)" prompt="Type it as a decimal: 0.20 = 20%. The cap is 0.95 because trim loss enters the cost as net/(1 − trim loss)." type="decimal" operator="between">
      <formula1>0</formula1>
      <formula2>0.95</formula2>
    </dataValidation>
    <dataValidation sqref="G10 G11 G12 G13 G14 G15 G16 G17 G18 G19 G20 G21 G22 G23 G24 G25 G26 G27 G28 G29" showDropDown="0" showInputMessage="0" showErrorMessage="1" allowBlank="1" errorTitle="Invalid tax rate" error="Type a rate between 0 and 0.21 (0.08 = 8%). It ships at 0%: see the &quot;Invoice &amp; Tax Check&quot; sheet for when tax on purchases is a cost." type="decimal" operator="between">
      <formula1>0</formula1>
      <formula2>0.21</formula2>
    </dataValidation>
    <dataValidation sqref="D6" showDropDown="0" showInputMessage="1" showErrorMessage="1" allowBlank="1" errorTitle="Portions" error="Type a number greater than or equal to 1." promptTitle="Portions" prompt="How many portions the quantities on this card yield." type="decimal" operator="greaterThanOrEqual">
      <formula1>1</formula1>
    </dataValidation>
    <dataValidation sqref="D7" showDropDown="0" showInputMessage="1" showErrorMessage="1" allowBlank="1" errorTitle="Target food cost" error="Type a percentage between 0 and 1 (0.20 = 20%)." promptTitle="Target food cost" prompt="Type it as a decimal: 0.30 = 30%." type="decimal" operator="between">
      <formula1>0</formula1>
      <formula2>1.0</formula2>
    </dataValidation>
    <dataValidation sqref="E35" showDropDown="0" showInputMessage="1" showErrorMessage="1" allowBlank="1" errorTitle="Tax rate" error="Type a percentage between 0 and 0.21 (0.20 = 20%)." promptTitle="Tax rate" prompt="0 in the US and Canada (menu prices are pre-tax). UK 0.20; Australia 0.10." type="decimal" operator="between">
      <formula1>0</formula1>
      <formula2>0.21</formula2>
    </dataValidation>
    <dataValidation sqref="E37" showDropDown="0" showInputMessage="1" showErrorMessage="1" allowBlank="1" errorTitle="Current menu price" error="Type a number greater than or equal to 0." promptTitle="Current menu price" prompt="Your menu price BEFORE tax." type="decimal" operator="greaterThanOrEqual">
      <formula1>0</formula1>
    </dataValidation>
  </dataValidations>
  <pageMargins left="0.51" right="0.51" top="0.55" bottom="0.55" header="0.3" footer="0.3"/>
  <pageSetup orientation="landscape" paperSize="1" fitToHeight="0" fitToWidth="1"/>
  <headerFooter>
    <oddHeader/>
    <oddFooter>&amp;C&amp;8 AI Chef Pro · aichef.pro · Page &amp;P of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I20"/>
  <sheetViews>
    <sheetView workbookViewId="0">
      <pane xSplit="1" ySplit="10" topLeftCell="B11"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11" customWidth="1" min="3" max="3"/>
    <col width="10" customWidth="1" min="4" max="4"/>
    <col width="15" customWidth="1" min="5" max="5"/>
    <col width="15" customWidth="1" min="6" max="6"/>
    <col width="12" customWidth="1" min="7" max="7"/>
    <col width="13" customWidth="1" min="8" max="8"/>
    <col width="14" customWidth="1" min="9" max="9"/>
  </cols>
  <sheetData>
    <row r="1">
      <c r="A1" s="1" t="inlineStr">
        <is>
          <t>Recipe Cost Card</t>
        </is>
      </c>
    </row>
    <row r="2">
      <c r="A2" s="2" t="inlineStr">
        <is>
          <t>AI Chef Pro · aichef.pro — Food Cost + Menu Engineering Guide</t>
        </is>
      </c>
    </row>
    <row r="3">
      <c r="A3" s="17" t="inlineStr">
        <is>
          <t>TAX ON PURCHASES: WHAT GOES INTO THE COST</t>
        </is>
      </c>
      <c r="B3" s="17" t="n"/>
      <c r="C3" s="17" t="n"/>
      <c r="D3" s="17" t="n"/>
    </row>
    <row r="4" ht="32" customHeight="1">
      <c r="A4" s="10" t="inlineStr">
        <is>
          <t>#</t>
        </is>
      </c>
      <c r="B4" s="10" t="inlineStr">
        <is>
          <t>Where you buy: what goes into the cost of a taxed line</t>
        </is>
      </c>
    </row>
    <row r="5" ht="44" customHeight="1">
      <c r="A5" s="11" t="n">
        <v>1</v>
      </c>
      <c r="B5" s="4" t="inlineStr">
        <is>
          <t>US: the line total, tax included. Sales tax you pay on supplies is a cost (nothing to reclaim).</t>
        </is>
      </c>
    </row>
    <row r="6" ht="44" customHeight="1">
      <c r="A6" s="11" t="n">
        <v>2</v>
      </c>
      <c r="B6" s="4" t="inlineStr">
        <is>
          <t>UK, Canada, Australia, registered for VAT or GST/HST: the pre-tax amount. The tax comes back as a credit.</t>
        </is>
      </c>
    </row>
    <row r="7" ht="44" customHeight="1">
      <c r="A7" s="11" t="n">
        <v>3</v>
      </c>
      <c r="B7" s="4" t="inlineStr">
        <is>
          <t>UK, Canada, Australia, not registered: the line total, tax included, as in the US.</t>
        </is>
      </c>
    </row>
    <row r="8">
      <c r="A8" s="4" t="inlineStr">
        <is>
          <t>Source: the Hospitality Equivalents Guide (US, UK, Canada, Australia) that comes with this guide. Whether a line is taxed depends on your state or country, and registration thresholds change: check with your accountant.</t>
        </is>
      </c>
    </row>
    <row r="9"/>
    <row r="10" ht="32" customHeight="1">
      <c r="A10" s="10" t="inlineStr">
        <is>
          <t>#</t>
        </is>
      </c>
      <c r="B10" s="10" t="inlineStr">
        <is>
          <t>Item</t>
        </is>
      </c>
      <c r="C10" s="10" t="inlineStr">
        <is>
          <t>Quantity</t>
        </is>
      </c>
      <c r="D10" s="10" t="inlineStr">
        <is>
          <t>Unit</t>
        </is>
      </c>
      <c r="E10" s="10" t="inlineStr">
        <is>
          <t>Unit price pre-tax</t>
        </is>
      </c>
      <c r="F10" s="10" t="inlineStr">
        <is>
          <t>Line amount pre-tax</t>
        </is>
      </c>
      <c r="G10" s="10" t="inlineStr">
        <is>
          <t>Tax rate (%)</t>
        </is>
      </c>
      <c r="H10" s="10" t="inlineStr">
        <is>
          <t>Tax</t>
        </is>
      </c>
      <c r="I10" s="10" t="inlineStr">
        <is>
          <t>Line total</t>
        </is>
      </c>
    </row>
    <row r="11">
      <c r="A11" s="11" t="n">
        <v>1</v>
      </c>
      <c r="B11" s="7" t="inlineStr">
        <is>
          <t>Iberico pork tenderloin</t>
        </is>
      </c>
      <c r="C11" s="13" t="n">
        <v>26.455471462185308</v>
      </c>
      <c r="D11" s="7" t="inlineStr">
        <is>
          <t>lb</t>
        </is>
      </c>
      <c r="E11" s="14" t="n">
        <v>7.166759446</v>
      </c>
      <c r="F11" s="16">
        <f>IFERROR(IF(OR($C11="",$E11=""),"",$C11*$E11),"")</f>
        <v>189.6</v>
      </c>
      <c r="G11" s="9" t="n">
        <v>0</v>
      </c>
      <c r="H11" s="16">
        <f>IFERROR(IF(OR($F11="",$G11=""),"",$F11*$G11),"")</f>
        <v>0.0</v>
      </c>
      <c r="I11" s="16">
        <f>IFERROR(IF($F11="","",$F11+IF($H11="",0,$H11)),"")</f>
        <v>189.6</v>
      </c>
    </row>
    <row r="12">
      <c r="A12" s="11" t="n">
        <v>2</v>
      </c>
      <c r="B12" s="7" t="inlineStr">
        <is>
          <t>Heirloom tomatoes</t>
        </is>
      </c>
      <c r="C12" s="13" t="n">
        <v>44.09245243697551</v>
      </c>
      <c r="D12" s="7" t="inlineStr">
        <is>
          <t>lb</t>
        </is>
      </c>
      <c r="E12" s="14" t="n">
        <v>1.723651006</v>
      </c>
      <c r="F12" s="16">
        <f>IFERROR(IF(OR($C12="",$E12=""),"",$C12*$E12),"")</f>
        <v>76.0</v>
      </c>
      <c r="G12" s="9" t="n">
        <v>0</v>
      </c>
      <c r="H12" s="16">
        <f>IFERROR(IF(OR($F12="",$G12=""),"",$F12*$G12),"")</f>
        <v>0.0</v>
      </c>
      <c r="I12" s="16">
        <f>IFERROR(IF($F12="","",$F12+IF($H12="",0,$H12)),"")</f>
        <v>76.0</v>
      </c>
    </row>
    <row r="13">
      <c r="A13" s="11" t="n">
        <v>3</v>
      </c>
      <c r="B13" s="7" t="inlineStr">
        <is>
          <t>Extra virgin olive oil</t>
        </is>
      </c>
      <c r="C13" s="13" t="n">
        <v>25</v>
      </c>
      <c r="D13" s="7" t="inlineStr">
        <is>
          <t>L</t>
        </is>
      </c>
      <c r="E13" s="14" t="n">
        <v>7.2</v>
      </c>
      <c r="F13" s="16">
        <f>IFERROR(IF(OR($C13="",$E13=""),"",$C13*$E13),"")</f>
        <v>180.0</v>
      </c>
      <c r="G13" s="9" t="n">
        <v>0</v>
      </c>
      <c r="H13" s="16">
        <f>IFERROR(IF(OR($F13="",$G13=""),"",$F13*$G13),"")</f>
        <v>0.0</v>
      </c>
      <c r="I13" s="16">
        <f>IFERROR(IF($F13="","",$F13+IF($H13="",0,$H13)),"")</f>
        <v>180.0</v>
      </c>
    </row>
    <row r="14">
      <c r="A14" s="11" t="n">
        <v>4</v>
      </c>
      <c r="B14" s="7" t="inlineStr">
        <is>
          <t>Aged sheep's milk cheese</t>
        </is>
      </c>
      <c r="C14" s="13" t="n">
        <v>8.818490487395103</v>
      </c>
      <c r="D14" s="7" t="inlineStr">
        <is>
          <t>lb</t>
        </is>
      </c>
      <c r="E14" s="14" t="n">
        <v>8.391458845</v>
      </c>
      <c r="F14" s="16">
        <f>IFERROR(IF(OR($C14="",$E14=""),"",$C14*$E14),"")</f>
        <v>74.0</v>
      </c>
      <c r="G14" s="9" t="n">
        <v>0</v>
      </c>
      <c r="H14" s="16">
        <f>IFERROR(IF(OR($F14="",$G14=""),"",$F14*$G14),"")</f>
        <v>0.0</v>
      </c>
      <c r="I14" s="16">
        <f>IFERROR(IF($F14="","",$F14+IF($H14="",0,$H14)),"")</f>
        <v>74.0</v>
      </c>
    </row>
    <row r="15">
      <c r="A15" s="11" t="n">
        <v>5</v>
      </c>
      <c r="B15" s="7" t="inlineStr">
        <is>
          <t>Red wine (750 ml bottle)</t>
        </is>
      </c>
      <c r="C15" s="13" t="n">
        <v>24</v>
      </c>
      <c r="D15" s="7" t="inlineStr">
        <is>
          <t>each</t>
        </is>
      </c>
      <c r="E15" s="14" t="n">
        <v>6.1</v>
      </c>
      <c r="F15" s="16">
        <f>IFERROR(IF(OR($C15="",$E15=""),"",$C15*$E15),"")</f>
        <v>146.39999999999998</v>
      </c>
      <c r="G15" s="9" t="n">
        <v>0</v>
      </c>
      <c r="H15" s="16">
        <f>IFERROR(IF(OR($F15="",$G15=""),"",$F15*$G15),"")</f>
        <v>0.0</v>
      </c>
      <c r="I15" s="16">
        <f>IFERROR(IF($F15="","",$F15+IF($H15="",0,$H15)),"")</f>
        <v>146.39999999999998</v>
      </c>
    </row>
    <row r="16">
      <c r="A16" s="11" t="n">
        <v>6</v>
      </c>
      <c r="B16" s="7" t="inlineStr">
        <is>
          <t>Cola (can)</t>
        </is>
      </c>
      <c r="C16" s="13" t="n">
        <v>48</v>
      </c>
      <c r="D16" s="7" t="inlineStr">
        <is>
          <t>each</t>
        </is>
      </c>
      <c r="E16" s="14" t="n">
        <v>0.55</v>
      </c>
      <c r="F16" s="16">
        <f>IFERROR(IF(OR($C16="",$E16=""),"",$C16*$E16),"")</f>
        <v>26.400000000000002</v>
      </c>
      <c r="G16" s="9" t="n">
        <v>0</v>
      </c>
      <c r="H16" s="16">
        <f>IFERROR(IF(OR($F16="",$G16=""),"",$F16*$G16),"")</f>
        <v>0.0</v>
      </c>
      <c r="I16" s="16">
        <f>IFERROR(IF($F16="","",$F16+IF($H16="",0,$H16)),"")</f>
        <v>26.400000000000002</v>
      </c>
    </row>
    <row r="17">
      <c r="A17" s="11" t="n">
        <v>7</v>
      </c>
      <c r="B17" s="7" t="inlineStr">
        <is>
          <t>Takeout containers (case)</t>
        </is>
      </c>
      <c r="C17" s="13" t="n">
        <v>2</v>
      </c>
      <c r="D17" s="7" t="inlineStr">
        <is>
          <t>case</t>
        </is>
      </c>
      <c r="E17" s="14" t="n">
        <v>38</v>
      </c>
      <c r="F17" s="16">
        <f>IFERROR(IF(OR($C17="",$E17=""),"",$C17*$E17),"")</f>
        <v>76.0</v>
      </c>
      <c r="G17" s="9" t="n">
        <v>0</v>
      </c>
      <c r="H17" s="16">
        <f>IFERROR(IF(OR($F17="",$G17=""),"",$F17*$G17),"")</f>
        <v>0.0</v>
      </c>
      <c r="I17" s="16">
        <f>IFERROR(IF($F17="","",$F17+IF($H17="",0,$H17)),"")</f>
        <v>76.0</v>
      </c>
    </row>
    <row r="18">
      <c r="A18" s="21" t="n"/>
      <c r="B18" s="21" t="inlineStr">
        <is>
          <t>INVOICE TOTAL</t>
        </is>
      </c>
      <c r="C18" s="21" t="n"/>
      <c r="D18" s="21" t="n"/>
      <c r="E18" s="21" t="n"/>
      <c r="F18" s="22">
        <f>IF(COUNT(F11:F17)=0,"",SUM(F11:F17))</f>
        <v>768.4</v>
      </c>
      <c r="G18" s="21" t="n"/>
      <c r="H18" s="22">
        <f>IF(COUNT(H11:H17)=0,"",SUM(H11:H17))</f>
        <v>0.0</v>
      </c>
      <c r="I18" s="22">
        <f>IF(COUNT(I11:I17)=0,"",SUM(I11:I17))</f>
        <v>768.4</v>
      </c>
    </row>
    <row r="19"/>
    <row r="20">
      <c r="B20" s="4" t="inlineStr">
        <is>
          <t>The invoice ships at 0% on every line, the US default. Type the rate your vendor charged on each taxed line: in the US the line total is your cost; if you reclaim VAT or GST/HST, cost from the pre-tax amount. Do it before you carry a single price to the "Cost Card".</t>
        </is>
      </c>
    </row>
  </sheetData>
  <sheetProtection selectLockedCells="0" selectUnlockedCells="0" sheet="1" objects="0" insertRows="0" insertHyperlinks="1" autoFilter="1" scenarios="0" formatColumns="0" deleteColumns="1" insertColumns="1" pivotTables="1" deleteRows="1" formatCells="1" formatRows="0" sort="0"/>
  <dataValidations count="3">
    <dataValidation sqref="G11 G12 G13 G14 G15 G16 G17" showDropDown="0" showInputMessage="0" showErrorMessage="1" allowBlank="1" errorTitle="Invalid tax rate" error="Type a rate between 0 and 0.21 (0.08 = 8%)." type="decimal" operator="between">
      <formula1>0</formula1>
      <formula2>0.21</formula2>
    </dataValidation>
    <dataValidation sqref="C11 C12 C13 C14 C15 C16 C17" showDropDown="0" showInputMessage="0" showErrorMessage="1" allowBlank="1" errorTitle="Quantity" error="Type a number greater than or equal to 0." type="decimal" operator="greaterThanOrEqual">
      <formula1>0</formula1>
    </dataValidation>
    <dataValidation sqref="E11 E12 E13 E14 E15 E16 E17" showDropDown="0" showInputMessage="0" showErrorMessage="1" allowBlank="1" errorTitle="Purchase price" error="Type a number greater than or equal to 0." type="decimal" operator="greaterThanOrEqual">
      <formula1>0</formula1>
    </dataValidation>
  </dataValidations>
  <pageMargins left="0.51" right="0.51" top="0.55" bottom="0.55" header="0.3" footer="0.3"/>
  <pageSetup orientation="landscape" paperSize="1" fitToHeight="0" fitToWidth="1"/>
  <headerFooter>
    <oddHeader/>
    <oddFooter>&amp;C&amp;8 AI Chef Pro · aichef.pro · Page &amp;P of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Recipe Cost Card</dc:title>
  <dc:subject xmlns:dc="http://purl.org/dc/elements/1.1/">Food Cost + Menu Engineering Guide · Version 1.0 · October 2026</dc:subject>
  <dcterms:created xmlns:dcterms="http://purl.org/dc/terms/" xmlns:xsi="http://www.w3.org/2001/XMLSchema-instance" xsi:type="dcterms:W3CDTF">2026-09-03T21:49:57Z</dcterms:created>
  <dcterms:modified xmlns:dcterms="http://purl.org/dc/terms/" xmlns:xsi="http://www.w3.org/2001/XMLSchema-instance" xsi:type="dcterms:W3CDTF">2026-10-15T08:00:00Z</dcterms:modified>
  <cp:lastModifiedBy>AI Chef Pro</cp:lastModifiedBy>
</cp:coreProperties>
</file>