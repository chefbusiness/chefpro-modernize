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ecisions" sheetId="2" state="visible" r:id="rId2"/>
    <sheet xmlns:r="http://schemas.openxmlformats.org/officeDocument/2006/relationships" name="90-Day Calendar" sheetId="3" state="visible" r:id="rId3"/>
    <sheet xmlns:r="http://schemas.openxmlformats.org/officeDocument/2006/relationships" name="Tracking KPIs" sheetId="4" state="visible" r:id="rId4"/>
  </sheets>
  <definedNames/>
  <calcPr calcId="124519" fullCalcOnLoad="1"/>
</workbook>
</file>

<file path=xl/styles.xml><?xml version="1.0" encoding="utf-8"?>
<styleSheet xmlns="http://schemas.openxmlformats.org/spreadsheetml/2006/main">
  <numFmts count="4">
    <numFmt numFmtId="164" formatCode="#,##0.00"/>
    <numFmt numFmtId="165" formatCode="mm/dd/yyyy"/>
    <numFmt numFmtId="166" formatCode="0.0%"/>
    <numFmt numFmtId="167" formatCode="mm/dd/yyyy"/>
  </numFmts>
  <fonts count="8">
    <font>
      <name val="Calibri"/>
      <family val="2"/>
      <color theme="1"/>
      <sz val="11"/>
      <scheme val="minor"/>
    </font>
    <font>
      <b val="1"/>
      <color theme="1"/>
      <sz val="11"/>
    </font>
    <font>
      <b val="1"/>
      <color rgb="00FFD700"/>
      <sz val="16"/>
    </font>
    <font>
      <color rgb="00888888"/>
      <sz val="10"/>
    </font>
    <font>
      <b val="1"/>
      <color rgb="00FFD700"/>
      <sz val="12"/>
    </font>
    <font>
      <color rgb="00888888"/>
      <sz val="9"/>
    </font>
    <font>
      <b val="1"/>
      <color rgb="00FFFFFF"/>
    </font>
    <font>
      <b val="1"/>
      <color rgb="001565C0"/>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29">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0" borderId="0" pivotButton="0" quotePrefix="0" xfId="0"/>
    <xf numFmtId="0" fontId="6" fillId="3" borderId="0" applyAlignment="1" pivotButton="0" quotePrefix="0" xfId="0">
      <alignment horizontal="center" vertical="center" wrapText="1"/>
    </xf>
    <xf numFmtId="3" fontId="0" fillId="0" borderId="0" pivotButton="0" quotePrefix="0" xfId="0"/>
    <xf numFmtId="3" fontId="0" fillId="2" borderId="0" applyProtection="1" pivotButton="0" quotePrefix="0" xfId="0">
      <protection locked="0" hidden="0"/>
    </xf>
    <xf numFmtId="165" fontId="0" fillId="0" borderId="0" pivotButton="0" quotePrefix="0" xfId="0"/>
    <xf numFmtId="164" fontId="0" fillId="2" borderId="0" applyProtection="1" pivotButton="0" quotePrefix="0" xfId="0">
      <protection locked="0" hidden="0"/>
    </xf>
    <xf numFmtId="164" fontId="7" fillId="0" borderId="0" pivotButton="0" quotePrefix="0" xfId="0"/>
    <xf numFmtId="0" fontId="1" fillId="0" borderId="0" pivotButton="0" quotePrefix="0" xfId="0"/>
    <xf numFmtId="166" fontId="1" fillId="0" borderId="0" pivotButton="0" quotePrefix="0" xfId="0"/>
    <xf numFmtId="0" fontId="1" fillId="4" borderId="0" pivotButton="0" quotePrefix="0" xfId="0"/>
    <xf numFmtId="164" fontId="1" fillId="4" borderId="0" pivotButton="0" quotePrefix="0" xfId="0"/>
    <xf numFmtId="164" fontId="0" fillId="0" borderId="0" pivotButton="0" quotePrefix="0" xfId="0"/>
    <xf numFmtId="166" fontId="0" fillId="2" borderId="0" applyProtection="1" pivotButton="0" quotePrefix="0" xfId="0">
      <protection locked="0" hidden="0"/>
    </xf>
    <xf numFmtId="165" fontId="0" fillId="2" borderId="0" applyProtection="1" pivotButton="0" quotePrefix="0" xfId="0">
      <protection locked="0" hidden="0"/>
    </xf>
    <xf numFmtId="0" fontId="0" fillId="2" borderId="0" applyAlignment="1" applyProtection="1" pivotButton="0" quotePrefix="0" xfId="0">
      <alignment horizontal="general" vertical="top" wrapText="1"/>
      <protection locked="0" hidden="0"/>
    </xf>
    <xf numFmtId="166" fontId="1" fillId="4" borderId="0" pivotButton="0" quotePrefix="0" xfId="0"/>
    <xf numFmtId="166" fontId="0" fillId="0" borderId="0" pivotButton="0" quotePrefix="0" xfId="0"/>
    <xf numFmtId="166" fontId="7" fillId="0" borderId="0" pivotButton="0" quotePrefix="0" xfId="0"/>
    <xf numFmtId="3" fontId="7" fillId="0" borderId="0" pivotButton="0" quotePrefix="0" xfId="0"/>
    <xf numFmtId="4" fontId="0" fillId="2" borderId="0" applyProtection="1" pivotButton="0" quotePrefix="0" xfId="0">
      <protection locked="0" hidden="0"/>
    </xf>
    <xf numFmtId="4" fontId="0" fillId="0" borderId="0" pivotButton="0" quotePrefix="0" xfId="0"/>
    <xf numFmtId="4" fontId="7" fillId="0" borderId="0" pivotButton="0" quotePrefix="0" xfId="0"/>
    <xf numFmtId="3" fontId="1" fillId="4"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2"/>
  <sheetViews>
    <sheetView workbookViewId="0">
      <selection activeCell="A1" sqref="A1"/>
    </sheetView>
  </sheetViews>
  <sheetFormatPr baseColWidth="8" defaultRowHeight="15"/>
  <cols>
    <col width="118" customWidth="1" min="1" max="1"/>
  </cols>
  <sheetData>
    <row r="1">
      <c r="A1" s="1" t="inlineStr">
        <is>
          <t>90-Day Action Plan</t>
        </is>
      </c>
    </row>
    <row r="2">
      <c r="A2" s="2" t="inlineStr">
        <is>
          <t>AI Chef Pro · aichef.pro — Food Cost + Menu Engineering Guide</t>
        </is>
      </c>
    </row>
    <row r="3"/>
    <row r="4">
      <c r="A4" s="3" t="inlineStr">
        <is>
          <t>How to use this workbook</t>
        </is>
      </c>
    </row>
    <row r="5">
      <c r="A5" s="4" t="inlineStr">
        <is>
          <t>1. Open "Decisions" and enter what the other tools in the pack have told you: which dish, which sheet it comes from and what you decide to do with it.</t>
        </is>
      </c>
    </row>
    <row r="6">
      <c r="A6" s="4" t="inlineStr">
        <is>
          <t>2. Give each decision an owner, by name, and a plan week (1-13). The workbook works out the "Target date" on its own from the "Plan start date" in green cell D36: a decision with no owner and no date doesn't get done.</t>
        </is>
      </c>
    </row>
    <row r="7">
      <c r="A7" s="4" t="inlineStr">
        <is>
          <t>3. Estimate the impact in dollars per month. You don't need precision: you need an order of magnitude to know where to start.</t>
        </is>
      </c>
    </row>
    <row r="8">
      <c r="A8" s="4" t="inlineStr">
        <is>
          <t>4. Change the "Status" as you go. The workbook counts how many you've closed, how much impact you've achieved and how much is still pending.</t>
        </is>
      </c>
    </row>
    <row r="9">
      <c r="A9" s="4" t="inlineStr">
        <is>
          <t>5. "90-Day Calendar" gives you 13 weeks with two milestones each. They're a proposal: rewrite them with whatever your restaurant needs.</t>
        </is>
      </c>
    </row>
    <row r="10">
      <c r="A10" s="4" t="inlineStr">
        <is>
          <t>6. Mark "Done" = Yes as you close milestones; the progress of the plan and of each block is calculated on its own.</t>
        </is>
      </c>
    </row>
    <row r="11">
      <c r="A11" s="4" t="inlineStr">
        <is>
          <t>7. In "Tracking KPIs", record the month 0 snapshot and then months 1, 2 and 3. The reading tells you whether each KPI is improving or getting worse.</t>
        </is>
      </c>
    </row>
    <row r="12">
      <c r="A12" s="4" t="inlineStr">
        <is>
          <t>8. After 90 days, go back to the matrix with the new sales: dishes will have moved quadrant and the cycle starts again.</t>
        </is>
      </c>
    </row>
    <row r="13"/>
    <row r="14">
      <c r="A14" s="5" t="inlineStr">
        <is>
          <t>Green cells = editable fields</t>
        </is>
      </c>
    </row>
    <row r="15"/>
    <row r="16">
      <c r="A16" s="4" t="inlineStr">
        <is>
          <t>THIS PLAN IS NOT THE 30-DAY PLAN IN THE FOOD COST KIT PRO BONUS GUIDE (How to Reduce Food Cost in 30 Days). That one goes day by day and builds the habit of costing and measuring. This one is QUARTERLY and decides what happens to each dish on the menu. They complement each other without replacing or overlapping: if you have both, start with the 30-day plan to get data, then use this one to decide with it.</t>
        </is>
      </c>
    </row>
    <row r="17"/>
    <row r="18">
      <c r="A18" s="4" t="inlineStr">
        <is>
          <t>The 10 seeded decisions are an EXAMPLE of how to fill it in, taken from the pack's modeled menu. Delete them and enter yours.</t>
        </is>
      </c>
    </row>
    <row r="19"/>
    <row r="20">
      <c r="A20" s="4" t="inlineStr">
        <is>
          <t>The "Suggested decision" column on the matrix's "Comparison" sheet is an automatic suggestion, not an order. Here a person decides: you can remove a dish the matrix wanted to keep if it takes up walk-in space, labor or room on the menu. What doesn't work is deciding without looking at the data.</t>
        </is>
      </c>
    </row>
    <row r="21"/>
    <row r="22">
      <c r="A22" s="4" t="inlineStr">
        <is>
          <t>The impact in dollars per month is YOUR ESTIMATE, not a calculation by the workbook: the total helps you prioritize, not budget.</t>
        </is>
      </c>
    </row>
    <row r="23"/>
    <row r="24">
      <c r="A24" s="4" t="inlineStr">
        <is>
          <t>The calendar starts with every milestone at "No". That's correct: a newly opened plan is 0% complete.</t>
        </is>
      </c>
    </row>
    <row r="25"/>
    <row r="26">
      <c r="A26" s="4" t="inlineStr">
        <is>
          <t>For KPIs expressed as a percentage, the change is in percentage POINTS: the straight difference between the month and month 0, not a percentage of month 0.</t>
        </is>
      </c>
    </row>
    <row r="27"/>
    <row r="28">
      <c r="A28" s="4" t="inlineStr">
        <is>
          <t>Every amount in this workbook is pre-tax, as in the rest of the pack: food cost and margin are measured on net sales. Sales tax, VAT or GST collected from guests isn't revenue, and tips never count as sales; amounts carry no currency symbol and are in your currency.</t>
        </is>
      </c>
    </row>
    <row r="29"/>
    <row r="30">
      <c r="A30" s="4" t="inlineStr">
        <is>
          <t>To edit the structure or any cell that isn't green, unprotect the sheet (no password).</t>
        </is>
      </c>
    </row>
    <row r="31">
      <c r="A31" s="4" t="inlineStr">
        <is>
          <t>Designed by John Guerrero — chef and restaurant consultant since 2010 · johnguerrero.es</t>
        </is>
      </c>
    </row>
    <row r="32">
      <c r="A32" s="4" t="inlineStr">
        <is>
          <t>Version 1.0 · October 2026 · aichef.pro/en/digital-products/food-cost-menu-engineering-guide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K5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24" customWidth="1" min="3" max="3"/>
    <col width="15" customWidth="1" min="4" max="4"/>
    <col width="18" customWidth="1" min="5" max="5"/>
    <col width="11" customWidth="1" min="6" max="6"/>
    <col width="14" customWidth="1" min="7" max="7"/>
    <col width="14" customWidth="1" min="8" max="8"/>
    <col width="14" customWidth="1" min="9" max="9"/>
    <col width="14" customWidth="1" min="10" max="10"/>
    <col width="40" customWidth="1" min="11" max="11"/>
  </cols>
  <sheetData>
    <row r="1">
      <c r="A1" s="1" t="inlineStr">
        <is>
          <t>Decisions — what gets done, by whom and when</t>
        </is>
      </c>
    </row>
    <row r="2">
      <c r="A2" s="2" t="inlineStr">
        <is>
          <t>AI Chef Pro · aichef.pro — Food Cost + Menu Engineering Guide</t>
        </is>
      </c>
    </row>
    <row r="3">
      <c r="E3" s="6" t="inlineStr">
        <is>
          <t>Each row comes from a sheet in the pack. Without an owner and a date it isn't a decision: it's an opinion.</t>
        </is>
      </c>
    </row>
    <row r="4" ht="40" customHeight="1">
      <c r="A4" s="7" t="inlineStr">
        <is>
          <t>#</t>
        </is>
      </c>
      <c r="B4" s="7" t="inlineStr">
        <is>
          <t>Dish or area</t>
        </is>
      </c>
      <c r="C4" s="7" t="inlineStr">
        <is>
          <t>Source tool</t>
        </is>
      </c>
      <c r="D4" s="7" t="inlineStr">
        <is>
          <t>Decision</t>
        </is>
      </c>
      <c r="E4" s="7" t="inlineStr">
        <is>
          <t>Owner</t>
        </is>
      </c>
      <c r="F4" s="7" t="inlineStr">
        <is>
          <t>Plan week</t>
        </is>
      </c>
      <c r="G4" s="7" t="inlineStr">
        <is>
          <t>Target date</t>
        </is>
      </c>
      <c r="H4" s="7" t="inlineStr">
        <is>
          <t>Status</t>
        </is>
      </c>
      <c r="I4" s="7" t="inlineStr">
        <is>
          <t>Estimated impact (per month)</t>
        </is>
      </c>
      <c r="J4" s="7" t="inlineStr">
        <is>
          <t>Impact achieved (per month)</t>
        </is>
      </c>
      <c r="K4" s="7" t="inlineStr">
        <is>
          <t>Notes</t>
        </is>
      </c>
    </row>
    <row r="5">
      <c r="A5" s="8" t="n">
        <v>1</v>
      </c>
      <c r="B5" s="5" t="inlineStr">
        <is>
          <t>Garlic shrimp (S3)</t>
        </is>
      </c>
      <c r="C5" s="5" t="inlineStr">
        <is>
          <t>Multi-method matrix</t>
        </is>
      </c>
      <c r="D5" s="5" t="inlineStr">
        <is>
          <t>Review</t>
        </is>
      </c>
      <c r="E5" s="5" t="inlineStr">
        <is>
          <t>General manager</t>
        </is>
      </c>
      <c r="F5" s="9" t="n">
        <v>2</v>
      </c>
      <c r="G5" s="10">
        <f>IFERROR(IF(OR($F5="",$D$36=""),"",$D$36+7*($F5-1)),"")</f>
        <v>46273.0</v>
      </c>
      <c r="H5" s="5" t="inlineStr">
        <is>
          <t>Pending</t>
        </is>
      </c>
      <c r="I5" s="11" t="n">
        <v>180</v>
      </c>
      <c r="J5" s="12">
        <f>IFERROR(IF(OR($B5="",$I5=""),"",IF($H5="Done",$I5,0)),"")</f>
        <v>0.0</v>
      </c>
      <c r="K5" s="5" t="n"/>
    </row>
    <row r="6">
      <c r="A6" s="8" t="n">
        <v>2</v>
      </c>
      <c r="B6" s="5" t="inlineStr">
        <is>
          <t>Dry-aged bone-in ribeye (M5)</t>
        </is>
      </c>
      <c r="C6" s="5" t="inlineStr">
        <is>
          <t>Multi-method matrix</t>
        </is>
      </c>
      <c r="D6" s="5" t="inlineStr">
        <is>
          <t>Redesign</t>
        </is>
      </c>
      <c r="E6" s="5" t="inlineStr">
        <is>
          <t>Head chef</t>
        </is>
      </c>
      <c r="F6" s="9" t="n">
        <v>1</v>
      </c>
      <c r="G6" s="10">
        <f>IFERROR(IF(OR($F6="",$D$36=""),"",$D$36+7*($F6-1)),"")</f>
        <v>46266.0</v>
      </c>
      <c r="H6" s="5" t="inlineStr">
        <is>
          <t>Pending</t>
        </is>
      </c>
      <c r="I6" s="11" t="n">
        <v>260</v>
      </c>
      <c r="J6" s="12">
        <f>IFERROR(IF(OR($B6="",$I6=""),"",IF($H6="Done",$I6,0)),"")</f>
        <v>0.0</v>
      </c>
      <c r="K6" s="5" t="n"/>
    </row>
    <row r="7">
      <c r="A7" s="8" t="n">
        <v>3</v>
      </c>
      <c r="B7" s="5" t="inlineStr">
        <is>
          <t>Local cheese board (S5)</t>
        </is>
      </c>
      <c r="C7" s="5" t="inlineStr">
        <is>
          <t>Multi-method matrix</t>
        </is>
      </c>
      <c r="D7" s="5" t="inlineStr">
        <is>
          <t>Redesign</t>
        </is>
      </c>
      <c r="E7" s="5" t="inlineStr">
        <is>
          <t>General manager</t>
        </is>
      </c>
      <c r="F7" s="9" t="n">
        <v>4</v>
      </c>
      <c r="G7" s="10">
        <f>IFERROR(IF(OR($F7="",$D$36=""),"",$D$36+7*($F7-1)),"")</f>
        <v>46287.0</v>
      </c>
      <c r="H7" s="5" t="inlineStr">
        <is>
          <t>Pending</t>
        </is>
      </c>
      <c r="I7" s="11" t="n">
        <v>140</v>
      </c>
      <c r="J7" s="12">
        <f>IFERROR(IF(OR($B7="",$I7=""),"",IF($H7="Done",$I7,0)),"")</f>
        <v>0.0</v>
      </c>
      <c r="K7" s="5" t="n"/>
    </row>
    <row r="8">
      <c r="A8" s="8" t="n">
        <v>4</v>
      </c>
      <c r="B8" s="5" t="inlineStr">
        <is>
          <t>Seasonal vegetable lasagna (M8)</t>
        </is>
      </c>
      <c r="C8" s="5" t="inlineStr">
        <is>
          <t>Multi-method matrix</t>
        </is>
      </c>
      <c r="D8" s="5" t="inlineStr">
        <is>
          <t>Review</t>
        </is>
      </c>
      <c r="E8" s="5" t="inlineStr">
        <is>
          <t>Head chef</t>
        </is>
      </c>
      <c r="F8" s="9" t="n">
        <v>3</v>
      </c>
      <c r="G8" s="10">
        <f>IFERROR(IF(OR($F8="",$D$36=""),"",$D$36+7*($F8-1)),"")</f>
        <v>46280.0</v>
      </c>
      <c r="H8" s="5" t="inlineStr">
        <is>
          <t>Pending</t>
        </is>
      </c>
      <c r="I8" s="11" t="n">
        <v>120</v>
      </c>
      <c r="J8" s="12">
        <f>IFERROR(IF(OR($B8="",$I8=""),"",IF($H8="Done",$I8,0)),"")</f>
        <v>0.0</v>
      </c>
      <c r="K8" s="5" t="n"/>
    </row>
    <row r="9">
      <c r="A9" s="8" t="n">
        <v>5</v>
      </c>
      <c r="B9" s="5" t="inlineStr">
        <is>
          <t>Prepared seasonal fruit (D4)</t>
        </is>
      </c>
      <c r="C9" s="5" t="inlineStr">
        <is>
          <t>Multi-method matrix</t>
        </is>
      </c>
      <c r="D9" s="5" t="inlineStr">
        <is>
          <t>Remove</t>
        </is>
      </c>
      <c r="E9" s="5" t="inlineStr">
        <is>
          <t>Head chef</t>
        </is>
      </c>
      <c r="F9" s="9" t="n">
        <v>3</v>
      </c>
      <c r="G9" s="10">
        <f>IFERROR(IF(OR($F9="",$D$36=""),"",$D$36+7*($F9-1)),"")</f>
        <v>46280.0</v>
      </c>
      <c r="H9" s="5" t="inlineStr">
        <is>
          <t>Pending</t>
        </is>
      </c>
      <c r="I9" s="11" t="n">
        <v>60</v>
      </c>
      <c r="J9" s="12">
        <f>IFERROR(IF(OR($B9="",$I9=""),"",IF($H9="Done",$I9,0)),"")</f>
        <v>0.0</v>
      </c>
      <c r="K9" s="5" t="n"/>
    </row>
    <row r="10">
      <c r="A10" s="8" t="n">
        <v>6</v>
      </c>
      <c r="B10" s="5" t="inlineStr">
        <is>
          <t>Salt-baked sea bass (M6) on delivery</t>
        </is>
      </c>
      <c r="C10" s="5" t="inlineStr">
        <is>
          <t>Multichannel simulator</t>
        </is>
      </c>
      <c r="D10" s="5" t="inlineStr">
        <is>
          <t>Remove</t>
        </is>
      </c>
      <c r="E10" s="5" t="inlineStr">
        <is>
          <t>General manager</t>
        </is>
      </c>
      <c r="F10" s="9" t="n">
        <v>2</v>
      </c>
      <c r="G10" s="10">
        <f>IFERROR(IF(OR($F10="",$D$36=""),"",$D$36+7*($F10-1)),"")</f>
        <v>46273.0</v>
      </c>
      <c r="H10" s="5" t="inlineStr">
        <is>
          <t>Pending</t>
        </is>
      </c>
      <c r="I10" s="11" t="n">
        <v>90</v>
      </c>
      <c r="J10" s="12">
        <f>IFERROR(IF(OR($B10="",$I10=""),"",IF($H10="Done",$I10,0)),"")</f>
        <v>0.0</v>
      </c>
      <c r="K10" s="5" t="n"/>
    </row>
    <row r="11">
      <c r="A11" s="8" t="n">
        <v>7</v>
      </c>
      <c r="B11" s="5" t="inlineStr">
        <is>
          <t>Ribeye (M5) on delivery</t>
        </is>
      </c>
      <c r="C11" s="5" t="inlineStr">
        <is>
          <t>Multichannel simulator</t>
        </is>
      </c>
      <c r="D11" s="5" t="inlineStr">
        <is>
          <t>Remove</t>
        </is>
      </c>
      <c r="E11" s="5" t="inlineStr">
        <is>
          <t>General manager</t>
        </is>
      </c>
      <c r="F11" s="9" t="n">
        <v>2</v>
      </c>
      <c r="G11" s="10">
        <f>IFERROR(IF(OR($F11="",$D$36=""),"",$D$36+7*($F11-1)),"")</f>
        <v>46273.0</v>
      </c>
      <c r="H11" s="5" t="inlineStr">
        <is>
          <t>Pending</t>
        </is>
      </c>
      <c r="I11" s="11" t="n">
        <v>140</v>
      </c>
      <c r="J11" s="12">
        <f>IFERROR(IF(OR($B11="",$I11=""),"",IF($H11="Done",$I11,0)),"")</f>
        <v>0.0</v>
      </c>
      <c r="K11" s="5" t="n"/>
    </row>
    <row r="12">
      <c r="A12" s="8" t="n">
        <v>8</v>
      </c>
      <c r="B12" s="5" t="inlineStr">
        <is>
          <t>Whole fish: switch to fillets</t>
        </is>
      </c>
      <c r="C12" s="5" t="inlineStr">
        <is>
          <t>Yield test</t>
        </is>
      </c>
      <c r="D12" s="5" t="inlineStr">
        <is>
          <t>Negotiate</t>
        </is>
      </c>
      <c r="E12" s="5" t="inlineStr">
        <is>
          <t>Purchasing manager</t>
        </is>
      </c>
      <c r="F12" s="9" t="n">
        <v>5</v>
      </c>
      <c r="G12" s="10">
        <f>IFERROR(IF(OR($F12="",$D$36=""),"",$D$36+7*($F12-1)),"")</f>
        <v>46294.0</v>
      </c>
      <c r="H12" s="5" t="inlineStr">
        <is>
          <t>Pending</t>
        </is>
      </c>
      <c r="I12" s="11" t="n">
        <v>260</v>
      </c>
      <c r="J12" s="12">
        <f>IFERROR(IF(OR($B12="",$I12=""),"",IF($H12="Done",$I12,0)),"")</f>
        <v>0.0</v>
      </c>
      <c r="K12" s="5" t="n"/>
    </row>
    <row r="13">
      <c r="A13" s="8" t="n">
        <v>9</v>
      </c>
      <c r="B13" s="5" t="inlineStr">
        <is>
          <t>Crianza by the glass: menu price</t>
        </is>
      </c>
      <c r="C13" s="5" t="inlineStr">
        <is>
          <t>Beverage menu</t>
        </is>
      </c>
      <c r="D13" s="5" t="inlineStr">
        <is>
          <t>Reprice</t>
        </is>
      </c>
      <c r="E13" s="5" t="inlineStr">
        <is>
          <t>Front-of-house manager</t>
        </is>
      </c>
      <c r="F13" s="9" t="n">
        <v>2</v>
      </c>
      <c r="G13" s="10">
        <f>IFERROR(IF(OR($F13="",$D$36=""),"",$D$36+7*($F13-1)),"")</f>
        <v>46273.0</v>
      </c>
      <c r="H13" s="5" t="inlineStr">
        <is>
          <t>Pending</t>
        </is>
      </c>
      <c r="I13" s="11" t="n">
        <v>210</v>
      </c>
      <c r="J13" s="12">
        <f>IFERROR(IF(OR($B13="",$I13=""),"",IF($H13="Done",$I13,0)),"")</f>
        <v>0.0</v>
      </c>
      <c r="K13" s="5" t="n"/>
    </row>
    <row r="14">
      <c r="A14" s="8" t="n">
        <v>10</v>
      </c>
      <c r="B14" s="5" t="inlineStr">
        <is>
          <t>Dine-in staffing schedule in slow months</t>
        </is>
      </c>
      <c r="C14" s="5" t="inlineStr">
        <is>
          <t>Prime cost dashboard</t>
        </is>
      </c>
      <c r="D14" s="5" t="inlineStr">
        <is>
          <t>Reformulate</t>
        </is>
      </c>
      <c r="E14" s="5" t="inlineStr">
        <is>
          <t>General manager</t>
        </is>
      </c>
      <c r="F14" s="9" t="n">
        <v>6</v>
      </c>
      <c r="G14" s="10">
        <f>IFERROR(IF(OR($F14="",$D$36=""),"",$D$36+7*($F14-1)),"")</f>
        <v>46301.0</v>
      </c>
      <c r="H14" s="5" t="inlineStr">
        <is>
          <t>Pending</t>
        </is>
      </c>
      <c r="I14" s="11" t="n">
        <v>900</v>
      </c>
      <c r="J14" s="12">
        <f>IFERROR(IF(OR($B14="",$I14=""),"",IF($H14="Done",$I14,0)),"")</f>
        <v>0.0</v>
      </c>
      <c r="K14" s="5" t="n"/>
    </row>
    <row r="15">
      <c r="A15" s="8" t="n">
        <v>11</v>
      </c>
      <c r="B15" s="5" t="n"/>
      <c r="C15" s="5" t="n"/>
      <c r="D15" s="5" t="n"/>
      <c r="E15" s="5" t="n"/>
      <c r="F15" s="9" t="n"/>
      <c r="G15" s="10">
        <f>IFERROR(IF(OR($F15="",$D$36=""),"",$D$36+7*($F15-1)),"")</f>
      </c>
      <c r="H15" s="5" t="n"/>
      <c r="I15" s="11" t="n"/>
      <c r="J15" s="12">
        <f>IFERROR(IF(OR($B15="",$I15=""),"",IF($H15="Done",$I15,0)),"")</f>
      </c>
      <c r="K15" s="5" t="n"/>
    </row>
    <row r="16">
      <c r="A16" s="8" t="n">
        <v>12</v>
      </c>
      <c r="B16" s="5" t="n"/>
      <c r="C16" s="5" t="n"/>
      <c r="D16" s="5" t="n"/>
      <c r="E16" s="5" t="n"/>
      <c r="F16" s="9" t="n"/>
      <c r="G16" s="10">
        <f>IFERROR(IF(OR($F16="",$D$36=""),"",$D$36+7*($F16-1)),"")</f>
      </c>
      <c r="H16" s="5" t="n"/>
      <c r="I16" s="11" t="n"/>
      <c r="J16" s="12">
        <f>IFERROR(IF(OR($B16="",$I16=""),"",IF($H16="Done",$I16,0)),"")</f>
      </c>
      <c r="K16" s="5" t="n"/>
    </row>
    <row r="17">
      <c r="A17" s="8" t="n">
        <v>13</v>
      </c>
      <c r="B17" s="5" t="n"/>
      <c r="C17" s="5" t="n"/>
      <c r="D17" s="5" t="n"/>
      <c r="E17" s="5" t="n"/>
      <c r="F17" s="9" t="n"/>
      <c r="G17" s="10">
        <f>IFERROR(IF(OR($F17="",$D$36=""),"",$D$36+7*($F17-1)),"")</f>
      </c>
      <c r="H17" s="5" t="n"/>
      <c r="I17" s="11" t="n"/>
      <c r="J17" s="12">
        <f>IFERROR(IF(OR($B17="",$I17=""),"",IF($H17="Done",$I17,0)),"")</f>
      </c>
      <c r="K17" s="5" t="n"/>
    </row>
    <row r="18">
      <c r="A18" s="8" t="n">
        <v>14</v>
      </c>
      <c r="B18" s="5" t="n"/>
      <c r="C18" s="5" t="n"/>
      <c r="D18" s="5" t="n"/>
      <c r="E18" s="5" t="n"/>
      <c r="F18" s="9" t="n"/>
      <c r="G18" s="10">
        <f>IFERROR(IF(OR($F18="",$D$36=""),"",$D$36+7*($F18-1)),"")</f>
      </c>
      <c r="H18" s="5" t="n"/>
      <c r="I18" s="11" t="n"/>
      <c r="J18" s="12">
        <f>IFERROR(IF(OR($B18="",$I18=""),"",IF($H18="Done",$I18,0)),"")</f>
      </c>
      <c r="K18" s="5" t="n"/>
    </row>
    <row r="19">
      <c r="A19" s="8" t="n">
        <v>15</v>
      </c>
      <c r="B19" s="5" t="n"/>
      <c r="C19" s="5" t="n"/>
      <c r="D19" s="5" t="n"/>
      <c r="E19" s="5" t="n"/>
      <c r="F19" s="9" t="n"/>
      <c r="G19" s="10">
        <f>IFERROR(IF(OR($F19="",$D$36=""),"",$D$36+7*($F19-1)),"")</f>
      </c>
      <c r="H19" s="5" t="n"/>
      <c r="I19" s="11" t="n"/>
      <c r="J19" s="12">
        <f>IFERROR(IF(OR($B19="",$I19=""),"",IF($H19="Done",$I19,0)),"")</f>
      </c>
      <c r="K19" s="5" t="n"/>
    </row>
    <row r="20">
      <c r="A20" s="8" t="n">
        <v>16</v>
      </c>
      <c r="B20" s="5" t="n"/>
      <c r="C20" s="5" t="n"/>
      <c r="D20" s="5" t="n"/>
      <c r="E20" s="5" t="n"/>
      <c r="F20" s="9" t="n"/>
      <c r="G20" s="10">
        <f>IFERROR(IF(OR($F20="",$D$36=""),"",$D$36+7*($F20-1)),"")</f>
      </c>
      <c r="H20" s="5" t="n"/>
      <c r="I20" s="11" t="n"/>
      <c r="J20" s="12">
        <f>IFERROR(IF(OR($B20="",$I20=""),"",IF($H20="Done",$I20,0)),"")</f>
      </c>
      <c r="K20" s="5" t="n"/>
    </row>
    <row r="21">
      <c r="A21" s="8" t="n">
        <v>17</v>
      </c>
      <c r="B21" s="5" t="n"/>
      <c r="C21" s="5" t="n"/>
      <c r="D21" s="5" t="n"/>
      <c r="E21" s="5" t="n"/>
      <c r="F21" s="9" t="n"/>
      <c r="G21" s="10">
        <f>IFERROR(IF(OR($F21="",$D$36=""),"",$D$36+7*($F21-1)),"")</f>
      </c>
      <c r="H21" s="5" t="n"/>
      <c r="I21" s="11" t="n"/>
      <c r="J21" s="12">
        <f>IFERROR(IF(OR($B21="",$I21=""),"",IF($H21="Done",$I21,0)),"")</f>
      </c>
      <c r="K21" s="5" t="n"/>
    </row>
    <row r="22">
      <c r="A22" s="8" t="n">
        <v>18</v>
      </c>
      <c r="B22" s="5" t="n"/>
      <c r="C22" s="5" t="n"/>
      <c r="D22" s="5" t="n"/>
      <c r="E22" s="5" t="n"/>
      <c r="F22" s="9" t="n"/>
      <c r="G22" s="10">
        <f>IFERROR(IF(OR($F22="",$D$36=""),"",$D$36+7*($F22-1)),"")</f>
      </c>
      <c r="H22" s="5" t="n"/>
      <c r="I22" s="11" t="n"/>
      <c r="J22" s="12">
        <f>IFERROR(IF(OR($B22="",$I22=""),"",IF($H22="Done",$I22,0)),"")</f>
      </c>
      <c r="K22" s="5" t="n"/>
    </row>
    <row r="23">
      <c r="A23" s="8" t="n">
        <v>19</v>
      </c>
      <c r="B23" s="5" t="n"/>
      <c r="C23" s="5" t="n"/>
      <c r="D23" s="5" t="n"/>
      <c r="E23" s="5" t="n"/>
      <c r="F23" s="9" t="n"/>
      <c r="G23" s="10">
        <f>IFERROR(IF(OR($F23="",$D$36=""),"",$D$36+7*($F23-1)),"")</f>
      </c>
      <c r="H23" s="5" t="n"/>
      <c r="I23" s="11" t="n"/>
      <c r="J23" s="12">
        <f>IFERROR(IF(OR($B23="",$I23=""),"",IF($H23="Done",$I23,0)),"")</f>
      </c>
      <c r="K23" s="5" t="n"/>
    </row>
    <row r="24">
      <c r="A24" s="8" t="n">
        <v>20</v>
      </c>
      <c r="B24" s="5" t="n"/>
      <c r="C24" s="5" t="n"/>
      <c r="D24" s="5" t="n"/>
      <c r="E24" s="5" t="n"/>
      <c r="F24" s="9" t="n"/>
      <c r="G24" s="10">
        <f>IFERROR(IF(OR($F24="",$D$36=""),"",$D$36+7*($F24-1)),"")</f>
      </c>
      <c r="H24" s="5" t="n"/>
      <c r="I24" s="11" t="n"/>
      <c r="J24" s="12">
        <f>IFERROR(IF(OR($B24="",$I24=""),"",IF($H24="Done",$I24,0)),"")</f>
      </c>
      <c r="K24" s="5" t="n"/>
    </row>
    <row r="25"/>
    <row r="26">
      <c r="A26" s="13" t="inlineStr">
        <is>
          <t>SUMMARY AND INPUTS — calculated by the workbook</t>
        </is>
      </c>
    </row>
    <row r="27">
      <c r="B27" t="inlineStr">
        <is>
          <t>Decisions logged</t>
        </is>
      </c>
      <c r="D27" s="8">
        <f>COUNTIF($B$5:$B$24,"&lt;&gt;")</f>
        <v>10.0</v>
      </c>
    </row>
    <row r="28">
      <c r="B28" t="inlineStr">
        <is>
          <t>Decisions closed (status "Done")</t>
        </is>
      </c>
      <c r="D28" s="8">
        <f>COUNTIF($H$5:$H$24,"Done")</f>
        <v>0.0</v>
      </c>
    </row>
    <row r="29">
      <c r="B29" t="inlineStr">
        <is>
          <t>Decisions dropped</t>
        </is>
      </c>
      <c r="D29" s="8">
        <f>COUNTIF($H$5:$H$24,"Dropped")</f>
        <v>0.0</v>
      </c>
    </row>
    <row r="30">
      <c r="B30" s="13" t="inlineStr">
        <is>
          <t>Decisions closed (%)</t>
        </is>
      </c>
      <c r="D30" s="14">
        <f>IFERROR(IF($D$27=0,"",$D$28/$D$27),"")</f>
        <v>0.0</v>
      </c>
    </row>
    <row r="31">
      <c r="B31" s="15" t="inlineStr">
        <is>
          <t>TOTAL ESTIMATED IMPACT (per month)</t>
        </is>
      </c>
      <c r="D31" s="16">
        <f>IFERROR(SUM($I$5:$I$24),"")</f>
        <v>2360.0</v>
      </c>
    </row>
    <row r="32">
      <c r="B32" t="inlineStr">
        <is>
          <t>Impact achieved (per month)</t>
        </is>
      </c>
      <c r="D32" s="17">
        <f>IFERROR(SUMIF($H$5:$H$24,"Done",$I$5:$I$24),"")</f>
        <v>0.0</v>
      </c>
    </row>
    <row r="33">
      <c r="B33" t="inlineStr">
        <is>
          <t>Impact pending (per month)</t>
        </is>
      </c>
      <c r="D33" s="17">
        <f>IFERROR(IF(OR($D$31="",$D$32=""),"",$D$31-$D$32),"")</f>
        <v>2360.0</v>
      </c>
    </row>
    <row r="34">
      <c r="B34" t="inlineStr">
        <is>
          <t>Total estimated impact over 12 months</t>
        </is>
      </c>
      <c r="D34" s="17">
        <f>IFERROR(IF($D$31="","",$D$31*12),"")</f>
        <v>28320.0</v>
      </c>
    </row>
    <row r="35">
      <c r="B35" t="inlineStr">
        <is>
          <t>90-day close target (%)</t>
        </is>
      </c>
      <c r="D35" s="18" t="n">
        <v>0.8</v>
      </c>
      <c r="F35" t="inlineStr">
        <is>
          <t>The share of decisions you commit to closing this quarter. If the closed percentage falls below it, the cell turns red.</t>
        </is>
      </c>
    </row>
    <row r="36">
      <c r="B36" t="inlineStr">
        <is>
          <t>Plan start date</t>
        </is>
      </c>
      <c r="D36" s="19" t="n">
        <v>46266</v>
      </c>
      <c r="F36" t="inlineStr">
        <is>
          <t>Week 1 starts on this day; the target dates of the decisions and the calendar come from here. Change it to your real date.</t>
        </is>
      </c>
    </row>
    <row r="37">
      <c r="A37" s="13" t="inlineStr">
        <is>
          <t>SUMMARY BY DECISION TYPE — calculated by the workbook</t>
        </is>
      </c>
    </row>
    <row r="38" ht="34" customHeight="1">
      <c r="B38" s="7" t="inlineStr">
        <is>
          <t>Decision</t>
        </is>
      </c>
      <c r="C38" s="7" t="inlineStr">
        <is>
          <t>Decisions</t>
        </is>
      </c>
      <c r="D38" s="7" t="inlineStr">
        <is>
          <t>Estimated impact (per month)</t>
        </is>
      </c>
      <c r="E38" s="7" t="inlineStr">
        <is>
          <t>Impact achieved (per month)</t>
        </is>
      </c>
    </row>
    <row r="39">
      <c r="B39" s="13" t="inlineStr">
        <is>
          <t>Reformulate</t>
        </is>
      </c>
      <c r="C39" s="8">
        <f>COUNTIF($D$5:$D$24,$B39)</f>
        <v>1.0</v>
      </c>
      <c r="D39" s="17">
        <f>IFERROR(SUMIF($D$5:$D$24,$B39,$I$5:$I$24),"")</f>
        <v>900.0</v>
      </c>
      <c r="E39" s="17">
        <f>IFERROR(SUMPRODUCT(--($D$5:$D$24=$B39),--($H$5:$H$24="Done"),$I$5:$I$24),"")</f>
        <v>0.0</v>
      </c>
    </row>
    <row r="40">
      <c r="B40" s="13" t="inlineStr">
        <is>
          <t>Reprice</t>
        </is>
      </c>
      <c r="C40" s="8">
        <f>COUNTIF($D$5:$D$24,$B40)</f>
        <v>1.0</v>
      </c>
      <c r="D40" s="17">
        <f>IFERROR(SUMIF($D$5:$D$24,$B40,$I$5:$I$24),"")</f>
        <v>210.0</v>
      </c>
      <c r="E40" s="17">
        <f>IFERROR(SUMPRODUCT(--($D$5:$D$24=$B40),--($H$5:$H$24="Done"),$I$5:$I$24),"")</f>
        <v>0.0</v>
      </c>
    </row>
    <row r="41">
      <c r="B41" s="13" t="inlineStr">
        <is>
          <t>Redesign</t>
        </is>
      </c>
      <c r="C41" s="8">
        <f>COUNTIF($D$5:$D$24,$B41)</f>
        <v>2.0</v>
      </c>
      <c r="D41" s="17">
        <f>IFERROR(SUMIF($D$5:$D$24,$B41,$I$5:$I$24),"")</f>
        <v>400.0</v>
      </c>
      <c r="E41" s="17">
        <f>IFERROR(SUMPRODUCT(--($D$5:$D$24=$B41),--($H$5:$H$24="Done"),$I$5:$I$24),"")</f>
        <v>0.0</v>
      </c>
    </row>
    <row r="42">
      <c r="B42" s="13" t="inlineStr">
        <is>
          <t>Remove</t>
        </is>
      </c>
      <c r="C42" s="8">
        <f>COUNTIF($D$5:$D$24,$B42)</f>
        <v>3.0</v>
      </c>
      <c r="D42" s="17">
        <f>IFERROR(SUMIF($D$5:$D$24,$B42,$I$5:$I$24),"")</f>
        <v>290.0</v>
      </c>
      <c r="E42" s="17">
        <f>IFERROR(SUMPRODUCT(--($D$5:$D$24=$B42),--($H$5:$H$24="Done"),$I$5:$I$24),"")</f>
        <v>0.0</v>
      </c>
    </row>
    <row r="43">
      <c r="B43" s="13" t="inlineStr">
        <is>
          <t>Review</t>
        </is>
      </c>
      <c r="C43" s="8">
        <f>COUNTIF($D$5:$D$24,$B43)</f>
        <v>2.0</v>
      </c>
      <c r="D43" s="17">
        <f>IFERROR(SUMIF($D$5:$D$24,$B43,$I$5:$I$24),"")</f>
        <v>300.0</v>
      </c>
      <c r="E43" s="17">
        <f>IFERROR(SUMPRODUCT(--($D$5:$D$24=$B43),--($H$5:$H$24="Done"),$I$5:$I$24),"")</f>
        <v>0.0</v>
      </c>
    </row>
    <row r="44">
      <c r="B44" s="13" t="inlineStr">
        <is>
          <t>Negotiate</t>
        </is>
      </c>
      <c r="C44" s="8">
        <f>COUNTIF($D$5:$D$24,$B44)</f>
        <v>1.0</v>
      </c>
      <c r="D44" s="17">
        <f>IFERROR(SUMIF($D$5:$D$24,$B44,$I$5:$I$24),"")</f>
        <v>260.0</v>
      </c>
      <c r="E44" s="17">
        <f>IFERROR(SUMPRODUCT(--($D$5:$D$24=$B44),--($H$5:$H$24="Done"),$I$5:$I$24),"")</f>
        <v>0.0</v>
      </c>
    </row>
    <row r="45">
      <c r="B45" s="13" t="inlineStr">
        <is>
          <t>Keep</t>
        </is>
      </c>
      <c r="C45" s="8">
        <f>COUNTIF($D$5:$D$24,$B45)</f>
        <v>0.0</v>
      </c>
      <c r="D45" s="17">
        <f>IFERROR(SUMIF($D$5:$D$24,$B45,$I$5:$I$24),"")</f>
        <v>0.0</v>
      </c>
      <c r="E45" s="17">
        <f>IFERROR(SUMPRODUCT(--($D$5:$D$24=$B45),--($H$5:$H$24="Done"),$I$5:$I$24),"")</f>
        <v>0.0</v>
      </c>
    </row>
    <row r="46">
      <c r="A46" s="13" t="inlineStr">
        <is>
          <t>SUMMARY BY SOURCE TOOL — calculated by the workbook</t>
        </is>
      </c>
    </row>
    <row r="47" ht="34" customHeight="1">
      <c r="B47" s="7" t="inlineStr">
        <is>
          <t>Source tool</t>
        </is>
      </c>
      <c r="C47" s="7" t="inlineStr">
        <is>
          <t>Decisions</t>
        </is>
      </c>
      <c r="D47" s="7" t="inlineStr">
        <is>
          <t>Estimated impact (per month)</t>
        </is>
      </c>
      <c r="E47" s="7" t="inlineStr">
        <is>
          <t>Impact achieved (per month)</t>
        </is>
      </c>
    </row>
    <row r="48">
      <c r="B48" s="13" t="inlineStr">
        <is>
          <t>Recipe cost card</t>
        </is>
      </c>
      <c r="C48" s="8">
        <f>COUNTIF($C$5:$C$24,$B48)</f>
        <v>0.0</v>
      </c>
      <c r="D48" s="17">
        <f>IFERROR(SUMIF($C$5:$C$24,$B48,$I$5:$I$24),"")</f>
        <v>0.0</v>
      </c>
      <c r="E48" s="17">
        <f>IFERROR(SUMPRODUCT(--($C$5:$C$24=$B48),--($H$5:$H$24="Done"),$I$5:$I$24),"")</f>
        <v>0.0</v>
      </c>
    </row>
    <row r="49">
      <c r="B49" s="13" t="inlineStr">
        <is>
          <t>Yield test</t>
        </is>
      </c>
      <c r="C49" s="8">
        <f>COUNTIF($C$5:$C$24,$B49)</f>
        <v>1.0</v>
      </c>
      <c r="D49" s="17">
        <f>IFERROR(SUMIF($C$5:$C$24,$B49,$I$5:$I$24),"")</f>
        <v>260.0</v>
      </c>
      <c r="E49" s="17">
        <f>IFERROR(SUMPRODUCT(--($C$5:$C$24=$B49),--($H$5:$H$24="Done"),$I$5:$I$24),"")</f>
        <v>0.0</v>
      </c>
    </row>
    <row r="50">
      <c r="B50" s="13" t="inlineStr">
        <is>
          <t>Menu pricing calculator</t>
        </is>
      </c>
      <c r="C50" s="8">
        <f>COUNTIF($C$5:$C$24,$B50)</f>
        <v>0.0</v>
      </c>
      <c r="D50" s="17">
        <f>IFERROR(SUMIF($C$5:$C$24,$B50,$I$5:$I$24),"")</f>
        <v>0.0</v>
      </c>
      <c r="E50" s="17">
        <f>IFERROR(SUMPRODUCT(--($C$5:$C$24=$B50),--($H$5:$H$24="Done"),$I$5:$I$24),"")</f>
        <v>0.0</v>
      </c>
    </row>
    <row r="51">
      <c r="B51" s="13" t="inlineStr">
        <is>
          <t>Multi-method matrix</t>
        </is>
      </c>
      <c r="C51" s="8">
        <f>COUNTIF($C$5:$C$24,$B51)</f>
        <v>5.0</v>
      </c>
      <c r="D51" s="17">
        <f>IFERROR(SUMIF($C$5:$C$24,$B51,$I$5:$I$24),"")</f>
        <v>760.0</v>
      </c>
      <c r="E51" s="17">
        <f>IFERROR(SUMPRODUCT(--($C$5:$C$24=$B51),--($H$5:$H$24="Done"),$I$5:$I$24),"")</f>
        <v>0.0</v>
      </c>
    </row>
    <row r="52">
      <c r="B52" s="13" t="inlineStr">
        <is>
          <t>Multichannel simulator</t>
        </is>
      </c>
      <c r="C52" s="8">
        <f>COUNTIF($C$5:$C$24,$B52)</f>
        <v>2.0</v>
      </c>
      <c r="D52" s="17">
        <f>IFERROR(SUMIF($C$5:$C$24,$B52,$I$5:$I$24),"")</f>
        <v>230.0</v>
      </c>
      <c r="E52" s="17">
        <f>IFERROR(SUMPRODUCT(--($C$5:$C$24=$B52),--($H$5:$H$24="Done"),$I$5:$I$24),"")</f>
        <v>0.0</v>
      </c>
    </row>
    <row r="53">
      <c r="B53" s="13" t="inlineStr">
        <is>
          <t>Beverage menu</t>
        </is>
      </c>
      <c r="C53" s="8">
        <f>COUNTIF($C$5:$C$24,$B53)</f>
        <v>1.0</v>
      </c>
      <c r="D53" s="17">
        <f>IFERROR(SUMIF($C$5:$C$24,$B53,$I$5:$I$24),"")</f>
        <v>210.0</v>
      </c>
      <c r="E53" s="17">
        <f>IFERROR(SUMPRODUCT(--($C$5:$C$24=$B53),--($H$5:$H$24="Done"),$I$5:$I$24),"")</f>
        <v>0.0</v>
      </c>
    </row>
    <row r="54">
      <c r="B54" s="13" t="inlineStr">
        <is>
          <t>Prime cost dashboard</t>
        </is>
      </c>
      <c r="C54" s="8">
        <f>COUNTIF($C$5:$C$24,$B54)</f>
        <v>1.0</v>
      </c>
      <c r="D54" s="17">
        <f>IFERROR(SUMIF($C$5:$C$24,$B54,$I$5:$I$24),"")</f>
        <v>900.0</v>
      </c>
      <c r="E54" s="17">
        <f>IFERROR(SUMPRODUCT(--($C$5:$C$24=$B54),--($H$5:$H$24="Done"),$I$5:$I$24),"")</f>
        <v>0.0</v>
      </c>
    </row>
  </sheetData>
  <sheetProtection selectLockedCells="0" selectUnlockedCells="0" sheet="1" objects="0" insertRows="0" insertHyperlinks="1" autoFilter="1" scenarios="0" formatColumns="0" deleteColumns="1" insertColumns="1" pivotTables="1" deleteRows="1" formatCells="1" formatRows="0" sort="0"/>
  <conditionalFormatting sqref="H5:H24">
    <cfRule type="cellIs" priority="1" operator="equal" dxfId="0" stopIfTrue="1">
      <formula>"Done"</formula>
    </cfRule>
    <cfRule type="cellIs" priority="2" operator="equal" dxfId="1" stopIfTrue="1">
      <formula>"In progress"</formula>
    </cfRule>
    <cfRule type="cellIs" priority="3" operator="equal" dxfId="2" stopIfTrue="1">
      <formula>"Dropped"</formula>
    </cfRule>
    <cfRule type="cellIs" priority="4" operator="equal" dxfId="2" stopIfTrue="1">
      <formula>"Pending"</formula>
    </cfRule>
  </conditionalFormatting>
  <conditionalFormatting sqref="D30">
    <cfRule type="expression" priority="5" dxfId="3" stopIfTrue="1">
      <formula>=AND(ISNUMBER($D$30),$D$30&lt;$D$35)</formula>
    </cfRule>
  </conditionalFormatting>
  <dataValidations count="7">
    <dataValidation sqref="C5 C6 C7 C8 C9 C10 C11 C12 C13 C14 C15 C16 C17 C18 C19 C20 C21 C22 C23 C24" showDropDown="0" showInputMessage="0" showErrorMessage="1" allowBlank="1" errorTitle="Invalid tool" error="Choose a value from the list: Recipe cost card, Yield test, Menu pricing calculator, Multi-method matrix, Multichannel simulator, Beverage menu, Prime cost dashboard" type="list">
      <formula1>"Recipe cost card,Yield test,Menu pricing calculator,Multi-method matrix,Multichannel simulator,Beverage menu,Prime cost dashboard"</formula1>
    </dataValidation>
    <dataValidation sqref="D5 D6 D7 D8 D9 D10 D11 D12 D13 D14 D15 D16 D17 D18 D19 D20 D21 D22 D23 D24" showDropDown="0" showInputMessage="0" showErrorMessage="1" allowBlank="1" errorTitle="Invalid decision" error="Choose a value from the list: Reformulate, Reprice, Redesign, Remove, Review, Negotiate, Keep" type="list">
      <formula1>"Reformulate,Reprice,Redesign,Remove,Review,Negotiate,Keep"</formula1>
    </dataValidation>
    <dataValidation sqref="H5 H6 H7 H8 H9 H10 H11 H12 H13 H14 H15 H16 H17 H18 H19 H20 H21 H22 H23 H24" showDropDown="0" showInputMessage="0" showErrorMessage="1" allowBlank="1" errorTitle="Invalid status" error="Choose a value from the list: Pending, In progress, Done, Dropped" type="list">
      <formula1>"Pending,In progress,Done,Dropped"</formula1>
    </dataValidation>
    <dataValidation sqref="F5 F6 F7 F8 F9 F10 F11 F12 F13 F14 F15 F16 F17 F18 F19 F20 F21 F22 F23 F24" showDropDown="0" showInputMessage="0" showErrorMessage="1" allowBlank="1" errorTitle="Plan week" error="The plan has 13 weeks: type a number between 1 and 13." type="decimal" operator="between">
      <formula1>1</formula1>
      <formula2>13</formula2>
    </dataValidation>
    <dataValidation sqref="I5 I6 I7 I8 I9 I10 I11 I12 I13 I14 I15 I16 I17 I18 I19 I20 I21 I22 I23 I24" showDropDown="0" showInputMessage="0" showErrorMessage="1" allowBlank="1" errorTitle="Estimated impact" error="Type the estimated impact in dollars per month (0 or more)." type="decimal" operator="greaterThanOrEqual">
      <formula1>0</formula1>
    </dataValidation>
    <dataValidation sqref="D35" showDropDown="0" showInputMessage="1" showErrorMessage="1" allowBlank="1" errorTitle="Close target" error="Type a percentage between 0 and 1 (0.20 = 20%)." promptTitle="Close target" prompt="Type it as a decimal: 0.80 = 80%." type="decimal" operator="between">
      <formula1>0</formula1>
      <formula2>1.0</formula2>
    </dataValidation>
    <dataValidation sqref="D36" showDropDown="0" showInputMessage="0" showErrorMessage="1" allowBlank="1" errorTitle="Invalid date" error="Type a date (mm/dd/yyyy) between 2020 and 2040." type="date" operator="between">
      <formula1>DATE(2020,1,1)</formula1>
      <formula2>DATE(2040,12,31)</formula2>
    </dataValidation>
  </dataValidations>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4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76" customWidth="1" min="3" max="3"/>
    <col width="18" customWidth="1" min="4" max="4"/>
    <col width="14" customWidth="1" min="5" max="5"/>
    <col width="10" customWidth="1" min="6" max="6"/>
    <col width="32" customWidth="1" min="7" max="7"/>
  </cols>
  <sheetData>
    <row r="1">
      <c r="A1" s="1" t="inlineStr">
        <is>
          <t>90-day calendar — 13 weeks, two milestones a week</t>
        </is>
      </c>
    </row>
    <row r="2">
      <c r="A2" s="2" t="inlineStr">
        <is>
          <t>AI Chef Pro · aichef.pro — Food Cost + Menu Engineering Guide</t>
        </is>
      </c>
    </row>
    <row r="3">
      <c r="C3" s="6" t="inlineStr">
        <is>
          <t>Measure · Cost and Classify · Apply Decisions · Measure the Effect · Review. The milestones are a proposal: rewrite them with whatever your restaurant needs.</t>
        </is>
      </c>
    </row>
    <row r="4" ht="40" customHeight="1">
      <c r="A4" s="7" t="inlineStr">
        <is>
          <t>Week</t>
        </is>
      </c>
      <c r="B4" s="7" t="inlineStr">
        <is>
          <t>Block</t>
        </is>
      </c>
      <c r="C4" s="7" t="inlineStr">
        <is>
          <t>Milestone</t>
        </is>
      </c>
      <c r="D4" s="7" t="inlineStr">
        <is>
          <t>Owner</t>
        </is>
      </c>
      <c r="E4" s="7" t="inlineStr">
        <is>
          <t>Target date</t>
        </is>
      </c>
      <c r="F4" s="7" t="inlineStr">
        <is>
          <t>Done</t>
        </is>
      </c>
      <c r="G4" s="7" t="inlineStr">
        <is>
          <t>Note</t>
        </is>
      </c>
    </row>
    <row r="5">
      <c r="A5" s="9" t="n">
        <v>1</v>
      </c>
      <c r="B5" s="5" t="inlineStr">
        <is>
          <t>Measure</t>
        </is>
      </c>
      <c r="C5" s="20" t="inlineStr">
        <is>
          <t>Pull last month's sales-by-dish report and enter it on the matrix's "Data" sheet.</t>
        </is>
      </c>
      <c r="D5" s="5" t="inlineStr">
        <is>
          <t>General manager</t>
        </is>
      </c>
      <c r="E5" s="10">
        <f>IFERROR(IF(OR($A5="",'Decisions'!$D$36=""),"",'Decisions'!$D$36+7*($A5-1)),"")</f>
        <v>46266.0</v>
      </c>
      <c r="F5" s="5" t="inlineStr">
        <is>
          <t>No</t>
        </is>
      </c>
      <c r="G5" s="5" t="n"/>
    </row>
    <row r="6">
      <c r="A6" s="9" t="n">
        <v>1</v>
      </c>
      <c r="B6" s="5" t="inlineStr">
        <is>
          <t>Measure</t>
        </is>
      </c>
      <c r="C6" s="20" t="inlineStr">
        <is>
          <t>Take a closing inventory and record the month's beginning inventory, purchases and ending inventory.</t>
        </is>
      </c>
      <c r="D6" s="5" t="inlineStr">
        <is>
          <t>Head chef</t>
        </is>
      </c>
      <c r="E6" s="10">
        <f>IFERROR(IF(OR($A6="",'Decisions'!$D$36=""),"",'Decisions'!$D$36+7*($A6-1)),"")</f>
        <v>46266.0</v>
      </c>
      <c r="F6" s="5" t="inlineStr">
        <is>
          <t>No</t>
        </is>
      </c>
      <c r="G6" s="5" t="n"/>
    </row>
    <row r="7">
      <c r="A7" s="9" t="n">
        <v>2</v>
      </c>
      <c r="B7" s="5" t="inlineStr">
        <is>
          <t>Measure</t>
        </is>
      </c>
      <c r="C7" s="20" t="inlineStr">
        <is>
          <t>Run a yield test on the 10 products that weigh most in your purchasing, with a scale and the yield sheet.</t>
        </is>
      </c>
      <c r="D7" s="5" t="inlineStr">
        <is>
          <t>Head chef</t>
        </is>
      </c>
      <c r="E7" s="10">
        <f>IFERROR(IF(OR($A7="",'Decisions'!$D$36=""),"",'Decisions'!$D$36+7*($A7-1)),"")</f>
        <v>46273.0</v>
      </c>
      <c r="F7" s="5" t="inlineStr">
        <is>
          <t>No</t>
        </is>
      </c>
      <c r="G7" s="5" t="n"/>
    </row>
    <row r="8">
      <c r="A8" s="9" t="n">
        <v>2</v>
      </c>
      <c r="B8" s="5" t="inlineStr">
        <is>
          <t>Measure</t>
        </is>
      </c>
      <c r="C8" s="20" t="inlineStr">
        <is>
          <t>Measure the cooking loss of the five best-selling preparations.</t>
        </is>
      </c>
      <c r="D8" s="5" t="inlineStr">
        <is>
          <t>Head chef</t>
        </is>
      </c>
      <c r="E8" s="10">
        <f>IFERROR(IF(OR($A8="",'Decisions'!$D$36=""),"",'Decisions'!$D$36+7*($A8-1)),"")</f>
        <v>46273.0</v>
      </c>
      <c r="F8" s="5" t="inlineStr">
        <is>
          <t>No</t>
        </is>
      </c>
      <c r="G8" s="5" t="n"/>
    </row>
    <row r="9">
      <c r="A9" s="9" t="n">
        <v>3</v>
      </c>
      <c r="B9" s="5" t="inlineStr">
        <is>
          <t>Cost and Classify</t>
        </is>
      </c>
      <c r="C9" s="20" t="inlineStr">
        <is>
          <t>Cost the best-selling dishes with MEASURED trim loss, not the reference figures.</t>
        </is>
      </c>
      <c r="D9" s="5" t="inlineStr">
        <is>
          <t>Head chef</t>
        </is>
      </c>
      <c r="E9" s="10">
        <f>IFERROR(IF(OR($A9="",'Decisions'!$D$36=""),"",'Decisions'!$D$36+7*($A9-1)),"")</f>
        <v>46280.0</v>
      </c>
      <c r="F9" s="5" t="inlineStr">
        <is>
          <t>No</t>
        </is>
      </c>
      <c r="G9" s="5" t="n"/>
    </row>
    <row r="10">
      <c r="A10" s="9" t="n">
        <v>3</v>
      </c>
      <c r="B10" s="5" t="inlineStr">
        <is>
          <t>Cost and Classify</t>
        </is>
      </c>
      <c r="C10" s="20" t="inlineStr">
        <is>
          <t>Fill in plate cost and pre-tax menu price for the whole menu in the multi-method matrix.</t>
        </is>
      </c>
      <c r="D10" s="5" t="inlineStr">
        <is>
          <t>General manager</t>
        </is>
      </c>
      <c r="E10" s="10">
        <f>IFERROR(IF(OR($A10="",'Decisions'!$D$36=""),"",'Decisions'!$D$36+7*($A10-1)),"")</f>
        <v>46280.0</v>
      </c>
      <c r="F10" s="5" t="inlineStr">
        <is>
          <t>No</t>
        </is>
      </c>
      <c r="G10" s="5" t="n"/>
    </row>
    <row r="11">
      <c r="A11" s="9" t="n">
        <v>4</v>
      </c>
      <c r="B11" s="5" t="inlineStr">
        <is>
          <t>Cost and Classify</t>
        </is>
      </c>
      <c r="C11" s="20" t="inlineStr">
        <is>
          <t>Read the four classifications and the "Comparison" sheet dish by dish.</t>
        </is>
      </c>
      <c r="D11" s="5" t="inlineStr">
        <is>
          <t>General manager</t>
        </is>
      </c>
      <c r="E11" s="10">
        <f>IFERROR(IF(OR($A11="",'Decisions'!$D$36=""),"",'Decisions'!$D$36+7*($A11-1)),"")</f>
        <v>46287.0</v>
      </c>
      <c r="F11" s="5" t="inlineStr">
        <is>
          <t>No</t>
        </is>
      </c>
      <c r="G11" s="5" t="n"/>
    </row>
    <row r="12">
      <c r="A12" s="9" t="n">
        <v>4</v>
      </c>
      <c r="B12" s="5" t="inlineStr">
        <is>
          <t>Cost and Classify</t>
        </is>
      </c>
      <c r="C12" s="20" t="inlineStr">
        <is>
          <t>Move the dishes with three or four readings off the best category to the "Decisions" sheet.</t>
        </is>
      </c>
      <c r="D12" s="5" t="inlineStr">
        <is>
          <t>General manager</t>
        </is>
      </c>
      <c r="E12" s="10">
        <f>IFERROR(IF(OR($A12="",'Decisions'!$D$36=""),"",'Decisions'!$D$36+7*($A12-1)),"")</f>
        <v>46287.0</v>
      </c>
      <c r="F12" s="5" t="inlineStr">
        <is>
          <t>No</t>
        </is>
      </c>
      <c r="G12" s="5" t="n"/>
    </row>
    <row r="13">
      <c r="A13" s="9" t="n">
        <v>5</v>
      </c>
      <c r="B13" s="5" t="inlineStr">
        <is>
          <t>Apply Decisions</t>
        </is>
      </c>
      <c r="C13" s="20" t="inlineStr">
        <is>
          <t>Apply the price increases you decided on and reprint the menu.</t>
        </is>
      </c>
      <c r="D13" s="5" t="inlineStr">
        <is>
          <t>General manager</t>
        </is>
      </c>
      <c r="E13" s="10">
        <f>IFERROR(IF(OR($A13="",'Decisions'!$D$36=""),"",'Decisions'!$D$36+7*($A13-1)),"")</f>
        <v>46294.0</v>
      </c>
      <c r="F13" s="5" t="inlineStr">
        <is>
          <t>No</t>
        </is>
      </c>
      <c r="G13" s="5" t="n"/>
    </row>
    <row r="14">
      <c r="A14" s="9" t="n">
        <v>5</v>
      </c>
      <c r="B14" s="5" t="inlineStr">
        <is>
          <t>Apply Decisions</t>
        </is>
      </c>
      <c r="C14" s="20" t="inlineStr">
        <is>
          <t>Brief the floor staff on the price changes and on which dishes to suggest.</t>
        </is>
      </c>
      <c r="D14" s="5" t="inlineStr">
        <is>
          <t>Front-of-house manager</t>
        </is>
      </c>
      <c r="E14" s="10">
        <f>IFERROR(IF(OR($A14="",'Decisions'!$D$36=""),"",'Decisions'!$D$36+7*($A14-1)),"")</f>
        <v>46294.0</v>
      </c>
      <c r="F14" s="5" t="inlineStr">
        <is>
          <t>No</t>
        </is>
      </c>
      <c r="G14" s="5" t="n"/>
    </row>
    <row r="15">
      <c r="A15" s="9" t="n">
        <v>6</v>
      </c>
      <c r="B15" s="5" t="inlineStr">
        <is>
          <t>Apply Decisions</t>
        </is>
      </c>
      <c r="C15" s="20" t="inlineStr">
        <is>
          <t>Rework the flagged recipes: new cost card and a test in the kitchen.</t>
        </is>
      </c>
      <c r="D15" s="5" t="inlineStr">
        <is>
          <t>Head chef</t>
        </is>
      </c>
      <c r="E15" s="10">
        <f>IFERROR(IF(OR($A15="",'Decisions'!$D$36=""),"",'Decisions'!$D$36+7*($A15-1)),"")</f>
        <v>46301.0</v>
      </c>
      <c r="F15" s="5" t="inlineStr">
        <is>
          <t>No</t>
        </is>
      </c>
      <c r="G15" s="5" t="n"/>
    </row>
    <row r="16">
      <c r="A16" s="9" t="n">
        <v>6</v>
      </c>
      <c r="B16" s="5" t="inlineStr">
        <is>
          <t>Apply Decisions</t>
        </is>
      </c>
      <c r="C16" s="20" t="inlineStr">
        <is>
          <t>Negotiate with the suppliers of the three lines that weigh most in your purchasing.</t>
        </is>
      </c>
      <c r="D16" s="5" t="inlineStr">
        <is>
          <t>Purchasing manager</t>
        </is>
      </c>
      <c r="E16" s="10">
        <f>IFERROR(IF(OR($A16="",'Decisions'!$D$36=""),"",'Decisions'!$D$36+7*($A16-1)),"")</f>
        <v>46301.0</v>
      </c>
      <c r="F16" s="5" t="inlineStr">
        <is>
          <t>No</t>
        </is>
      </c>
      <c r="G16" s="5" t="n"/>
    </row>
    <row r="17">
      <c r="A17" s="9" t="n">
        <v>7</v>
      </c>
      <c r="B17" s="5" t="inlineStr">
        <is>
          <t>Apply Decisions</t>
        </is>
      </c>
      <c r="C17" s="20" t="inlineStr">
        <is>
          <t>Redesign the menu: order, grouping and placement of the dishes you need to push.</t>
        </is>
      </c>
      <c r="D17" s="5" t="inlineStr">
        <is>
          <t>General manager</t>
        </is>
      </c>
      <c r="E17" s="10">
        <f>IFERROR(IF(OR($A17="",'Decisions'!$D$36=""),"",'Decisions'!$D$36+7*($A17-1)),"")</f>
        <v>46308.0</v>
      </c>
      <c r="F17" s="5" t="inlineStr">
        <is>
          <t>No</t>
        </is>
      </c>
      <c r="G17" s="5" t="n"/>
    </row>
    <row r="18">
      <c r="A18" s="9" t="n">
        <v>7</v>
      </c>
      <c r="B18" s="5" t="inlineStr">
        <is>
          <t>Apply Decisions</t>
        </is>
      </c>
      <c r="C18" s="20" t="inlineStr">
        <is>
          <t>Take off delivery the dishes that aren't viable at the app's ceiling price.</t>
        </is>
      </c>
      <c r="D18" s="5" t="inlineStr">
        <is>
          <t>General manager</t>
        </is>
      </c>
      <c r="E18" s="10">
        <f>IFERROR(IF(OR($A18="",'Decisions'!$D$36=""),"",'Decisions'!$D$36+7*($A18-1)),"")</f>
        <v>46308.0</v>
      </c>
      <c r="F18" s="5" t="inlineStr">
        <is>
          <t>No</t>
        </is>
      </c>
      <c r="G18" s="5" t="n"/>
    </row>
    <row r="19">
      <c r="A19" s="9" t="n">
        <v>8</v>
      </c>
      <c r="B19" s="5" t="inlineStr">
        <is>
          <t>Apply Decisions</t>
        </is>
      </c>
      <c r="C19" s="20" t="inlineStr">
        <is>
          <t>Remove the dishes marked for removal and adjust the following week's ordering.</t>
        </is>
      </c>
      <c r="D19" s="5" t="inlineStr">
        <is>
          <t>Head chef</t>
        </is>
      </c>
      <c r="E19" s="10">
        <f>IFERROR(IF(OR($A19="",'Decisions'!$D$36=""),"",'Decisions'!$D$36+7*($A19-1)),"")</f>
        <v>46315.0</v>
      </c>
      <c r="F19" s="5" t="inlineStr">
        <is>
          <t>No</t>
        </is>
      </c>
      <c r="G19" s="5" t="n"/>
    </row>
    <row r="20">
      <c r="A20" s="9" t="n">
        <v>8</v>
      </c>
      <c r="B20" s="5" t="inlineStr">
        <is>
          <t>Apply Decisions</t>
        </is>
      </c>
      <c r="C20" s="20" t="inlineStr">
        <is>
          <t>Review the beverage menu: glass, bottle and keg with their beverage cost.</t>
        </is>
      </c>
      <c r="D20" s="5" t="inlineStr">
        <is>
          <t>Front-of-house manager</t>
        </is>
      </c>
      <c r="E20" s="10">
        <f>IFERROR(IF(OR($A20="",'Decisions'!$D$36=""),"",'Decisions'!$D$36+7*($A20-1)),"")</f>
        <v>46315.0</v>
      </c>
      <c r="F20" s="5" t="inlineStr">
        <is>
          <t>No</t>
        </is>
      </c>
      <c r="G20" s="5" t="n"/>
    </row>
    <row r="21">
      <c r="A21" s="9" t="n">
        <v>9</v>
      </c>
      <c r="B21" s="5" t="inlineStr">
        <is>
          <t>Measure the Effect</t>
        </is>
      </c>
      <c r="C21" s="20" t="inlineStr">
        <is>
          <t>Close month 1: sales, purchases and inventory; actual food cost and prime cost.</t>
        </is>
      </c>
      <c r="D21" s="5" t="inlineStr">
        <is>
          <t>General manager</t>
        </is>
      </c>
      <c r="E21" s="10">
        <f>IFERROR(IF(OR($A21="",'Decisions'!$D$36=""),"",'Decisions'!$D$36+7*($A21-1)),"")</f>
        <v>46322.0</v>
      </c>
      <c r="F21" s="5" t="inlineStr">
        <is>
          <t>No</t>
        </is>
      </c>
      <c r="G21" s="5" t="n"/>
    </row>
    <row r="22">
      <c r="A22" s="9" t="n">
        <v>9</v>
      </c>
      <c r="B22" s="5" t="inlineStr">
        <is>
          <t>Measure the Effect</t>
        </is>
      </c>
      <c r="C22" s="20" t="inlineStr">
        <is>
          <t>Compare the sales mix with month 0: did what we wanted to move actually move?</t>
        </is>
      </c>
      <c r="D22" s="5" t="inlineStr">
        <is>
          <t>General manager</t>
        </is>
      </c>
      <c r="E22" s="10">
        <f>IFERROR(IF(OR($A22="",'Decisions'!$D$36=""),"",'Decisions'!$D$36+7*($A22-1)),"")</f>
        <v>46322.0</v>
      </c>
      <c r="F22" s="5" t="inlineStr">
        <is>
          <t>No</t>
        </is>
      </c>
      <c r="G22" s="5" t="n"/>
    </row>
    <row r="23">
      <c r="A23" s="9" t="n">
        <v>10</v>
      </c>
      <c r="B23" s="5" t="inlineStr">
        <is>
          <t>Measure the Effect</t>
        </is>
      </c>
      <c r="C23" s="20" t="inlineStr">
        <is>
          <t>Recalculate the matrix with the new sales and see which dishes have changed quadrant.</t>
        </is>
      </c>
      <c r="D23" s="5" t="inlineStr">
        <is>
          <t>General manager</t>
        </is>
      </c>
      <c r="E23" s="10">
        <f>IFERROR(IF(OR($A23="",'Decisions'!$D$36=""),"",'Decisions'!$D$36+7*($A23-1)),"")</f>
        <v>46329.0</v>
      </c>
      <c r="F23" s="5" t="inlineStr">
        <is>
          <t>No</t>
        </is>
      </c>
      <c r="G23" s="5" t="n"/>
    </row>
    <row r="24">
      <c r="A24" s="9" t="n">
        <v>10</v>
      </c>
      <c r="B24" s="5" t="inlineStr">
        <is>
          <t>Measure the Effect</t>
        </is>
      </c>
      <c r="C24" s="20" t="inlineStr">
        <is>
          <t>Record in "Decisions" the real status of each one and the impact achieved.</t>
        </is>
      </c>
      <c r="D24" s="5" t="inlineStr">
        <is>
          <t>General manager</t>
        </is>
      </c>
      <c r="E24" s="10">
        <f>IFERROR(IF(OR($A24="",'Decisions'!$D$36=""),"",'Decisions'!$D$36+7*($A24-1)),"")</f>
        <v>46329.0</v>
      </c>
      <c r="F24" s="5" t="inlineStr">
        <is>
          <t>No</t>
        </is>
      </c>
      <c r="G24" s="5" t="n"/>
    </row>
    <row r="25">
      <c r="A25" s="9" t="n">
        <v>11</v>
      </c>
      <c r="B25" s="5" t="inlineStr">
        <is>
          <t>Measure the Effect</t>
        </is>
      </c>
      <c r="C25" s="20" t="inlineStr">
        <is>
          <t>Re-cost the items whose supplier raised prices during the quarter.</t>
        </is>
      </c>
      <c r="D25" s="5" t="inlineStr">
        <is>
          <t>Head chef</t>
        </is>
      </c>
      <c r="E25" s="10">
        <f>IFERROR(IF(OR($A25="",'Decisions'!$D$36=""),"",'Decisions'!$D$36+7*($A25-1)),"")</f>
        <v>46336.0</v>
      </c>
      <c r="F25" s="5" t="inlineStr">
        <is>
          <t>No</t>
        </is>
      </c>
      <c r="G25" s="5" t="n"/>
    </row>
    <row r="26">
      <c r="A26" s="9" t="n">
        <v>11</v>
      </c>
      <c r="B26" s="5" t="inlineStr">
        <is>
          <t>Measure the Effect</t>
        </is>
      </c>
      <c r="C26" s="20" t="inlineStr">
        <is>
          <t>Check the delivery apps' packaging and commission against the contract you signed.</t>
        </is>
      </c>
      <c r="D26" s="5" t="inlineStr">
        <is>
          <t>Purchasing manager</t>
        </is>
      </c>
      <c r="E26" s="10">
        <f>IFERROR(IF(OR($A26="",'Decisions'!$D$36=""),"",'Decisions'!$D$36+7*($A26-1)),"")</f>
        <v>46336.0</v>
      </c>
      <c r="F26" s="5" t="inlineStr">
        <is>
          <t>No</t>
        </is>
      </c>
      <c r="G26" s="5" t="n"/>
    </row>
    <row r="27">
      <c r="A27" s="9" t="n">
        <v>12</v>
      </c>
      <c r="B27" s="5" t="inlineStr">
        <is>
          <t>Measure the Effect</t>
        </is>
      </c>
      <c r="C27" s="20" t="inlineStr">
        <is>
          <t>Close month 2 and update the tracking KPIs sheet.</t>
        </is>
      </c>
      <c r="D27" s="5" t="inlineStr">
        <is>
          <t>General manager</t>
        </is>
      </c>
      <c r="E27" s="10">
        <f>IFERROR(IF(OR($A27="",'Decisions'!$D$36=""),"",'Decisions'!$D$36+7*($A27-1)),"")</f>
        <v>46343.0</v>
      </c>
      <c r="F27" s="5" t="inlineStr">
        <is>
          <t>No</t>
        </is>
      </c>
      <c r="G27" s="5" t="n"/>
    </row>
    <row r="28">
      <c r="A28" s="9" t="n">
        <v>12</v>
      </c>
      <c r="B28" s="5" t="inlineStr">
        <is>
          <t>Measure the Effect</t>
        </is>
      </c>
      <c r="C28" s="20" t="inlineStr">
        <is>
          <t>Spot the stalled decisions and give them a new date or drop them with a reason.</t>
        </is>
      </c>
      <c r="D28" s="5" t="inlineStr">
        <is>
          <t>General manager</t>
        </is>
      </c>
      <c r="E28" s="10">
        <f>IFERROR(IF(OR($A28="",'Decisions'!$D$36=""),"",'Decisions'!$D$36+7*($A28-1)),"")</f>
        <v>46343.0</v>
      </c>
      <c r="F28" s="5" t="inlineStr">
        <is>
          <t>No</t>
        </is>
      </c>
      <c r="G28" s="5" t="n"/>
    </row>
    <row r="29">
      <c r="A29" s="9" t="n">
        <v>13</v>
      </c>
      <c r="B29" s="5" t="inlineStr">
        <is>
          <t>Review</t>
        </is>
      </c>
      <c r="C29" s="20" t="inlineStr">
        <is>
          <t>Close month 3, update the KPIs and compare them with month 0.</t>
        </is>
      </c>
      <c r="D29" s="5" t="inlineStr">
        <is>
          <t>General manager</t>
        </is>
      </c>
      <c r="E29" s="10">
        <f>IFERROR(IF(OR($A29="",'Decisions'!$D$36=""),"",'Decisions'!$D$36+7*($A29-1)),"")</f>
        <v>46350.0</v>
      </c>
      <c r="F29" s="5" t="inlineStr">
        <is>
          <t>No</t>
        </is>
      </c>
      <c r="G29" s="5" t="n"/>
    </row>
    <row r="30">
      <c r="A30" s="9" t="n">
        <v>13</v>
      </c>
      <c r="B30" s="5" t="inlineStr">
        <is>
          <t>Review</t>
        </is>
      </c>
      <c r="C30" s="20" t="inlineStr">
        <is>
          <t>Decide the next quarter: what stays, what repeats and what comes in new.</t>
        </is>
      </c>
      <c r="D30" s="5" t="inlineStr">
        <is>
          <t>General manager</t>
        </is>
      </c>
      <c r="E30" s="10">
        <f>IFERROR(IF(OR($A30="",'Decisions'!$D$36=""),"",'Decisions'!$D$36+7*($A30-1)),"")</f>
        <v>46350.0</v>
      </c>
      <c r="F30" s="5" t="inlineStr">
        <is>
          <t>No</t>
        </is>
      </c>
      <c r="G30" s="5" t="n"/>
    </row>
    <row r="31"/>
    <row r="32">
      <c r="A32" s="13" t="inlineStr">
        <is>
          <t>SUMMARY — calculated by the workbook</t>
        </is>
      </c>
    </row>
    <row r="33">
      <c r="C33" t="inlineStr">
        <is>
          <t>Milestones logged</t>
        </is>
      </c>
      <c r="D33" s="8">
        <f>COUNTIF($C$5:$C$30,"&lt;&gt;")</f>
        <v>26.0</v>
      </c>
    </row>
    <row r="34">
      <c r="C34" t="inlineStr">
        <is>
          <t>Milestones done</t>
        </is>
      </c>
      <c r="D34" s="8">
        <f>COUNTIF($F$5:$F$30,"Yes")</f>
        <v>0.0</v>
      </c>
    </row>
    <row r="35">
      <c r="C35" t="inlineStr">
        <is>
          <t>Milestones pending</t>
        </is>
      </c>
      <c r="D35" s="8">
        <f>IFERROR(IF(OR($D$33="",$D$34=""),"",$D$33-$D$34),"")</f>
        <v>26.0</v>
      </c>
    </row>
    <row r="36">
      <c r="C36" s="15" t="inlineStr">
        <is>
          <t>CALENDAR PROGRESS (%)</t>
        </is>
      </c>
      <c r="D36" s="21">
        <f>IFERROR(IF($D$33=0,"",$D$34/$D$33),"")</f>
        <v>0.0</v>
      </c>
    </row>
    <row r="37"/>
    <row r="38">
      <c r="A38" s="13" t="inlineStr">
        <is>
          <t>PROGRESS BY BLOCK — calculated by the workbook</t>
        </is>
      </c>
    </row>
    <row r="39" ht="30" customHeight="1">
      <c r="C39" s="7" t="inlineStr">
        <is>
          <t>Block</t>
        </is>
      </c>
      <c r="D39" s="7" t="inlineStr">
        <is>
          <t>Milestones</t>
        </is>
      </c>
      <c r="E39" s="7" t="inlineStr">
        <is>
          <t>Done</t>
        </is>
      </c>
      <c r="F39" s="7" t="inlineStr">
        <is>
          <t>Progress (%)</t>
        </is>
      </c>
    </row>
    <row r="40">
      <c r="C40" s="13" t="inlineStr">
        <is>
          <t>Measure</t>
        </is>
      </c>
      <c r="D40" s="8">
        <f>COUNTIF($B$5:$B$30,$C40)</f>
        <v>4.0</v>
      </c>
      <c r="E40" s="8">
        <f>IFERROR(SUMPRODUCT(--($B$5:$B$30=$C40),--($F$5:$F$30="Yes")),"")</f>
        <v>0.0</v>
      </c>
      <c r="F40" s="22">
        <f>IFERROR(IF($D40=0,"",$E40/$D40),"")</f>
        <v>0.0</v>
      </c>
    </row>
    <row r="41">
      <c r="C41" s="13" t="inlineStr">
        <is>
          <t>Cost and Classify</t>
        </is>
      </c>
      <c r="D41" s="8">
        <f>COUNTIF($B$5:$B$30,$C41)</f>
        <v>4.0</v>
      </c>
      <c r="E41" s="8">
        <f>IFERROR(SUMPRODUCT(--($B$5:$B$30=$C41),--($F$5:$F$30="Yes")),"")</f>
        <v>0.0</v>
      </c>
      <c r="F41" s="22">
        <f>IFERROR(IF($D41=0,"",$E41/$D41),"")</f>
        <v>0.0</v>
      </c>
    </row>
    <row r="42">
      <c r="C42" s="13" t="inlineStr">
        <is>
          <t>Apply Decisions</t>
        </is>
      </c>
      <c r="D42" s="8">
        <f>COUNTIF($B$5:$B$30,$C42)</f>
        <v>8.0</v>
      </c>
      <c r="E42" s="8">
        <f>IFERROR(SUMPRODUCT(--($B$5:$B$30=$C42),--($F$5:$F$30="Yes")),"")</f>
        <v>0.0</v>
      </c>
      <c r="F42" s="22">
        <f>IFERROR(IF($D42=0,"",$E42/$D42),"")</f>
        <v>0.0</v>
      </c>
    </row>
    <row r="43">
      <c r="C43" s="13" t="inlineStr">
        <is>
          <t>Measure the Effect</t>
        </is>
      </c>
      <c r="D43" s="8">
        <f>COUNTIF($B$5:$B$30,$C43)</f>
        <v>8.0</v>
      </c>
      <c r="E43" s="8">
        <f>IFERROR(SUMPRODUCT(--($B$5:$B$30=$C43),--($F$5:$F$30="Yes")),"")</f>
        <v>0.0</v>
      </c>
      <c r="F43" s="22">
        <f>IFERROR(IF($D43=0,"",$E43/$D43),"")</f>
        <v>0.0</v>
      </c>
    </row>
    <row r="44">
      <c r="C44" s="13" t="inlineStr">
        <is>
          <t>Review</t>
        </is>
      </c>
      <c r="D44" s="8">
        <f>COUNTIF($B$5:$B$30,$C44)</f>
        <v>2.0</v>
      </c>
      <c r="E44" s="8">
        <f>IFERROR(SUMPRODUCT(--($B$5:$B$30=$C44),--($F$5:$F$30="Yes")),"")</f>
        <v>0.0</v>
      </c>
      <c r="F44" s="22">
        <f>IFERROR(IF($D44=0,"",$E44/$D44),"")</f>
        <v>0.0</v>
      </c>
    </row>
    <row r="45"/>
    <row r="46">
      <c r="C46" t="inlineStr">
        <is>
          <t>A newly opened plan shows 0% progress: that's correct. You earn progress by marking "Done" = Yes.</t>
        </is>
      </c>
    </row>
  </sheetData>
  <sheetProtection selectLockedCells="0" selectUnlockedCells="0" sheet="1" objects="0" insertRows="0" insertHyperlinks="1" autoFilter="1" scenarios="0" formatColumns="0" deleteColumns="1" insertColumns="1" pivotTables="1" deleteRows="1" formatCells="1" formatRows="0" sort="0"/>
  <conditionalFormatting sqref="F5:F30">
    <cfRule type="cellIs" priority="1" operator="equal" dxfId="0" stopIfTrue="1">
      <formula>"Yes"</formula>
    </cfRule>
    <cfRule type="cellIs" priority="2" operator="equal" dxfId="2" stopIfTrue="1">
      <formula>"No"</formula>
    </cfRule>
  </conditionalFormatting>
  <dataValidations count="4">
    <dataValidation sqref="B5 B6 B7 B8 B9 B10 B11 B12 B13 B14 B15 B16 B17 B18 B19 B20 B21 B22 B23 B24 B25 B26 B27 B28 B29 B30" showDropDown="0" showInputMessage="0" showErrorMessage="1" allowBlank="1" errorTitle="Invalid block" error="Choose a value from the list: Measure, Cost and Classify, Apply Decisions, Measure the Effect, Review" type="list">
      <formula1>"Measure,Cost and Classify,Apply Decisions,Measure the Effect,Review"</formula1>
    </dataValidation>
    <dataValidation sqref="D5 D6 D7 D8 D9 D10 D11 D12 D13 D14 D15 D16 D17 D18 D19 D20 D21 D22 D23 D24 D25 D26 D27 D28 D29 D30" showDropDown="0" showInputMessage="0" showErrorMessage="1" allowBlank="1" errorTitle="Invalid owner" error="Choose a value from the list: General manager, Head chef, Front-of-house manager, Purchasing manager" type="list">
      <formula1>"General manager,Head chef,Front-of-house manager,Purchasing manager"</formula1>
    </dataValidation>
    <dataValidation sqref="F5 F6 F7 F8 F9 F10 F11 F12 F13 F14 F15 F16 F17 F18 F19 F20 F21 F22 F23 F24 F25 F26 F27 F28 F29 F30" showDropDown="0" showInputMessage="0" showErrorMessage="1" allowBlank="1" errorTitle="Mark Yes or No" error="Choose a value from the list: Yes, No" type="list">
      <formula1>"Yes,No"</formula1>
    </dataValidation>
    <dataValidation sqref="A5 A6 A7 A8 A9 A10 A11 A12 A13 A14 A15 A16 A17 A18 A19 A20 A21 A22 A23 A24 A25 A26 A27 A28 A29 A30" showDropDown="0" showInputMessage="0" showErrorMessage="1" allowBlank="1" errorTitle="Plan week" error="The plan has 13 weeks: type a number between 1 and 13." type="decimal" operator="between">
      <formula1>1</formula1>
      <formula2>13</formula2>
    </dataValidation>
  </dataValidations>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14" customWidth="1" min="6" max="6"/>
    <col width="14" customWidth="1" min="7" max="7"/>
    <col width="14" customWidth="1" min="8" max="8"/>
    <col width="13" customWidth="1" min="9" max="9"/>
    <col width="18" customWidth="1" min="10" max="10"/>
    <col width="52" customWidth="1" min="11" max="11"/>
  </cols>
  <sheetData>
    <row r="1">
      <c r="A1" s="1" t="inlineStr">
        <is>
          <t>Tracking KPIs — month 0 vs. month 3</t>
        </is>
      </c>
    </row>
    <row r="2">
      <c r="A2" s="2" t="inlineStr">
        <is>
          <t>AI Chef Pro · aichef.pro — Food Cost + Menu Engineering Guide</t>
        </is>
      </c>
    </row>
    <row r="3">
      <c r="C3" s="6" t="inlineStr">
        <is>
          <t>Month 0 is the starting snapshot. For KPIs in percent, the change is in percentage POINTS.</t>
        </is>
      </c>
    </row>
    <row r="4" ht="40" customHeight="1">
      <c r="A4" s="7" t="inlineStr">
        <is>
          <t>KPI</t>
        </is>
      </c>
      <c r="B4" s="7" t="inlineStr">
        <is>
          <t>Month 0</t>
        </is>
      </c>
      <c r="C4" s="7" t="inlineStr">
        <is>
          <t>Month 1</t>
        </is>
      </c>
      <c r="D4" s="7" t="inlineStr">
        <is>
          <t>Month 2</t>
        </is>
      </c>
      <c r="E4" s="7" t="inlineStr">
        <is>
          <t>Month 3</t>
        </is>
      </c>
      <c r="F4" s="7" t="inlineStr">
        <is>
          <t>Change month 1 vs. month 0</t>
        </is>
      </c>
      <c r="G4" s="7" t="inlineStr">
        <is>
          <t>Change month 2 vs. month 0</t>
        </is>
      </c>
      <c r="H4" s="7" t="inlineStr">
        <is>
          <t>Change month 3 vs. month 0</t>
        </is>
      </c>
      <c r="I4" s="7" t="inlineStr">
        <is>
          <t>Is lower better?</t>
        </is>
      </c>
      <c r="J4" s="7" t="inlineStr">
        <is>
          <t>Reading month 3 vs. month 0</t>
        </is>
      </c>
      <c r="K4" s="7" t="inlineStr">
        <is>
          <t>Note</t>
        </is>
      </c>
    </row>
    <row r="5">
      <c r="A5" s="5" t="inlineStr">
        <is>
          <t>Food cost (%)</t>
        </is>
      </c>
      <c r="B5" s="18" t="n">
        <v>0.331</v>
      </c>
      <c r="C5" s="18" t="n">
        <v>0.322</v>
      </c>
      <c r="D5" s="18" t="n">
        <v>0.311</v>
      </c>
      <c r="E5" s="18" t="n">
        <v>0.298</v>
      </c>
      <c r="F5" s="22">
        <f>IFERROR(IF(OR($B5="",$C5=""),"",$C5-$B5),"")</f>
        <v>-0.009000000000000008</v>
      </c>
      <c r="G5" s="22">
        <f>IFERROR(IF(OR($B5="",$D5=""),"",$D5-$B5),"")</f>
        <v>-0.020000000000000018</v>
      </c>
      <c r="H5" s="23">
        <f>IFERROR(IF(OR($B5="",$E5=""),"",$E5-$B5),"")</f>
        <v>-0.03300000000000003</v>
      </c>
      <c r="I5" s="5" t="inlineStr">
        <is>
          <t>Yes</t>
        </is>
      </c>
      <c r="J5" s="13" t="str">
        <f>IFERROR(IF(OR($B5="",$E5="",$I5=""),"",IF($H5=0,"No change",IF(OR(AND($I5="Yes",$H5&lt;0),AND($I5="No",$H5&gt;0)),"Improvement","Decline"))),"")</f>
        <v>Improvement</v>
      </c>
      <c r="K5" s="5" t="inlineStr">
        <is>
          <t>Product cost over net food sales. The house target is in the prime cost dashboard.</t>
        </is>
      </c>
    </row>
    <row r="6">
      <c r="A6" s="5" t="inlineStr">
        <is>
          <t>Prime cost (%)</t>
        </is>
      </c>
      <c r="B6" s="18" t="n">
        <v>0.668</v>
      </c>
      <c r="C6" s="18" t="n">
        <v>0.661</v>
      </c>
      <c r="D6" s="18" t="n">
        <v>0.652</v>
      </c>
      <c r="E6" s="18" t="n">
        <v>0.638</v>
      </c>
      <c r="F6" s="22">
        <f>IFERROR(IF(OR($B6="",$C6=""),"",$C6-$B6),"")</f>
        <v>-0.007000000000000006</v>
      </c>
      <c r="G6" s="22">
        <f>IFERROR(IF(OR($B6="",$D6=""),"",$D6-$B6),"")</f>
        <v>-0.016000000000000014</v>
      </c>
      <c r="H6" s="23">
        <f>IFERROR(IF(OR($B6="",$E6=""),"",$E6-$B6),"")</f>
        <v>-0.030000000000000027</v>
      </c>
      <c r="I6" s="5" t="inlineStr">
        <is>
          <t>Yes</t>
        </is>
      </c>
      <c r="J6" s="13" t="str">
        <f>IFERROR(IF(OR($B6="",$E6="",$I6=""),"",IF($H6=0,"No change",IF(OR(AND($I6="Yes",$H6&lt;0),AND($I6="No",$H6&gt;0)),"Improvement","Decline"))),"")</f>
        <v>Improvement</v>
      </c>
      <c r="K6" s="5" t="inlineStr">
        <is>
          <t>Product + labor with payroll taxes and benefits, over net sales.</t>
        </is>
      </c>
    </row>
    <row r="7">
      <c r="A7" s="5" t="inlineStr">
        <is>
          <t>Average check pre-tax</t>
        </is>
      </c>
      <c r="B7" s="11" t="n">
        <v>27.4</v>
      </c>
      <c r="C7" s="11" t="n">
        <v>27.9</v>
      </c>
      <c r="D7" s="11" t="n">
        <v>28.6</v>
      </c>
      <c r="E7" s="11" t="n">
        <v>29.1</v>
      </c>
      <c r="F7" s="17">
        <f>IFERROR(IF(OR($B7="",$C7=""),"",$C7-$B7),"")</f>
        <v>0.5</v>
      </c>
      <c r="G7" s="17">
        <f>IFERROR(IF(OR($B7="",$D7=""),"",$D7-$B7),"")</f>
        <v>1.2000000000000028</v>
      </c>
      <c r="H7" s="12">
        <f>IFERROR(IF(OR($B7="",$E7=""),"",$E7-$B7),"")</f>
        <v>1.7000000000000028</v>
      </c>
      <c r="I7" s="5" t="inlineStr">
        <is>
          <t>No</t>
        </is>
      </c>
      <c r="J7" s="13" t="str">
        <f>IFERROR(IF(OR($B7="",$E7="",$I7=""),"",IF($H7=0,"No change",IF(OR(AND($I7="Yes",$H7&lt;0),AND($I7="No",$H7&gt;0)),"Improvement","Decline"))),"")</f>
        <v>Improvement</v>
      </c>
      <c r="K7" s="5" t="inlineStr">
        <is>
          <t>Net sales ÷ covers. It goes up when the menu pushes the right dishes.</t>
        </is>
      </c>
    </row>
    <row r="8">
      <c r="A8" s="5" t="inlineStr">
        <is>
          <t>Contribution margin per cover</t>
        </is>
      </c>
      <c r="B8" s="11" t="n">
        <v>18.1</v>
      </c>
      <c r="C8" s="11" t="n">
        <v>18.6</v>
      </c>
      <c r="D8" s="11" t="n">
        <v>19.4</v>
      </c>
      <c r="E8" s="11" t="n">
        <v>20.2</v>
      </c>
      <c r="F8" s="17">
        <f>IFERROR(IF(OR($B8="",$C8=""),"",$C8-$B8),"")</f>
        <v>0.5</v>
      </c>
      <c r="G8" s="17">
        <f>IFERROR(IF(OR($B8="",$D8=""),"",$D8-$B8),"")</f>
        <v>1.2999999999999972</v>
      </c>
      <c r="H8" s="12">
        <f>IFERROR(IF(OR($B8="",$E8=""),"",$E8-$B8),"")</f>
        <v>2.099999999999998</v>
      </c>
      <c r="I8" s="5" t="inlineStr">
        <is>
          <t>No</t>
        </is>
      </c>
      <c r="J8" s="13" t="str">
        <f>IFERROR(IF(OR($B8="",$E8="",$I8=""),"",IF($H8=0,"No change",IF(OR(AND($I8="Yes",$H8&lt;0),AND($I8="No",$H8&gt;0)),"Improvement","Decline"))),"")</f>
        <v>Improvement</v>
      </c>
      <c r="K8" s="5" t="inlineStr">
        <is>
          <t>The dollar each guest leaves to pay for labor, rent and utilities.</t>
        </is>
      </c>
    </row>
    <row r="9">
      <c r="A9" s="5" t="inlineStr">
        <is>
          <t>Dishes on the menu (no.)</t>
        </is>
      </c>
      <c r="B9" s="9" t="n">
        <v>20</v>
      </c>
      <c r="C9" s="9" t="n">
        <v>20</v>
      </c>
      <c r="D9" s="9" t="n">
        <v>19</v>
      </c>
      <c r="E9" s="9" t="n">
        <v>18</v>
      </c>
      <c r="F9" s="8">
        <f>IFERROR(IF(OR($B9="",$C9=""),"",$C9-$B9),"")</f>
        <v>0.0</v>
      </c>
      <c r="G9" s="8">
        <f>IFERROR(IF(OR($B9="",$D9=""),"",$D9-$B9),"")</f>
        <v>-1.0</v>
      </c>
      <c r="H9" s="24">
        <f>IFERROR(IF(OR($B9="",$E9=""),"",$E9-$B9),"")</f>
        <v>-2.0</v>
      </c>
      <c r="I9" s="5" t="inlineStr">
        <is>
          <t>Yes</t>
        </is>
      </c>
      <c r="J9" s="13" t="str">
        <f>IFERROR(IF(OR($B9="",$E9="",$I9=""),"",IF($H9=0,"No change",IF(OR(AND($I9="Yes",$H9&lt;0),AND($I9="No",$H9&gt;0)),"Improvement","Decline"))),"")</f>
        <v>Improvement</v>
      </c>
      <c r="K9" s="5" t="inlineStr">
        <is>
          <t>Pruning is a goal, not an accident. Change it to "No" if your plan is to grow the menu.</t>
        </is>
      </c>
    </row>
    <row r="10">
      <c r="A10" s="5" t="n"/>
      <c r="B10" s="25" t="n"/>
      <c r="C10" s="25" t="n"/>
      <c r="D10" s="25" t="n"/>
      <c r="E10" s="25" t="n"/>
      <c r="F10" s="26">
        <f>IFERROR(IF(OR($B10="",$C10=""),"",$C10-$B10),"")</f>
      </c>
      <c r="G10" s="26">
        <f>IFERROR(IF(OR($B10="",$D10=""),"",$D10-$B10),"")</f>
      </c>
      <c r="H10" s="27">
        <f>IFERROR(IF(OR($B10="",$E10=""),"",$E10-$B10),"")</f>
      </c>
      <c r="I10" s="5" t="n"/>
      <c r="J10" s="13">
        <f>IFERROR(IF(OR($B10="",$E10="",$I10=""),"",IF($H10=0,"No change",IF(OR(AND($I10="Yes",$H10&lt;0),AND($I10="No",$H10&gt;0)),"Improvement","Decline"))),"")</f>
      </c>
      <c r="K10" s="5" t="n"/>
    </row>
    <row r="11">
      <c r="A11" s="5" t="n"/>
      <c r="B11" s="25" t="n"/>
      <c r="C11" s="25" t="n"/>
      <c r="D11" s="25" t="n"/>
      <c r="E11" s="25" t="n"/>
      <c r="F11" s="26">
        <f>IFERROR(IF(OR($B11="",$C11=""),"",$C11-$B11),"")</f>
      </c>
      <c r="G11" s="26">
        <f>IFERROR(IF(OR($B11="",$D11=""),"",$D11-$B11),"")</f>
      </c>
      <c r="H11" s="27">
        <f>IFERROR(IF(OR($B11="",$E11=""),"",$E11-$B11),"")</f>
      </c>
      <c r="I11" s="5" t="n"/>
      <c r="J11" s="13">
        <f>IFERROR(IF(OR($B11="",$E11="",$I11=""),"",IF($H11=0,"No change",IF(OR(AND($I11="Yes",$H11&lt;0),AND($I11="No",$H11&gt;0)),"Improvement","Decline"))),"")</f>
      </c>
      <c r="K11" s="5" t="n"/>
    </row>
    <row r="12">
      <c r="A12" s="5" t="n"/>
      <c r="B12" s="25" t="n"/>
      <c r="C12" s="25" t="n"/>
      <c r="D12" s="25" t="n"/>
      <c r="E12" s="25" t="n"/>
      <c r="F12" s="26">
        <f>IFERROR(IF(OR($B12="",$C12=""),"",$C12-$B12),"")</f>
      </c>
      <c r="G12" s="26">
        <f>IFERROR(IF(OR($B12="",$D12=""),"",$D12-$B12),"")</f>
      </c>
      <c r="H12" s="27">
        <f>IFERROR(IF(OR($B12="",$E12=""),"",$E12-$B12),"")</f>
      </c>
      <c r="I12" s="5" t="n"/>
      <c r="J12" s="13">
        <f>IFERROR(IF(OR($B12="",$E12="",$I12=""),"",IF($H12=0,"No change",IF(OR(AND($I12="Yes",$H12&lt;0),AND($I12="No",$H12&gt;0)),"Improvement","Decline"))),"")</f>
      </c>
      <c r="K12" s="5" t="n"/>
    </row>
    <row r="13"/>
    <row r="14">
      <c r="A14" s="13" t="inlineStr">
        <is>
          <t>SUMMARY — calculated by the workbook</t>
        </is>
      </c>
    </row>
    <row r="15">
      <c r="A15" t="inlineStr">
        <is>
          <t>KPIs logged</t>
        </is>
      </c>
      <c r="C15" s="8">
        <f>COUNTIF($A$5:$A$12,"&lt;&gt;")</f>
        <v>5.0</v>
      </c>
    </row>
    <row r="16">
      <c r="A16" s="15" t="inlineStr">
        <is>
          <t>KPIs IMPROVING</t>
        </is>
      </c>
      <c r="C16" s="28">
        <f>COUNTIF($J$5:$J$12,"Improvement")</f>
        <v>5.0</v>
      </c>
    </row>
    <row r="17">
      <c r="A17" t="inlineStr">
        <is>
          <t>KPIs getting worse</t>
        </is>
      </c>
      <c r="C17" s="8">
        <f>COUNTIF($J$5:$J$12,"Decline")</f>
        <v>0.0</v>
      </c>
    </row>
    <row r="18">
      <c r="A18" t="inlineStr">
        <is>
          <t>KPIs with no change</t>
        </is>
      </c>
      <c r="C18" s="8">
        <f>COUNTIF($J$5:$J$12,"No change")</f>
        <v>0.0</v>
      </c>
    </row>
    <row r="19">
      <c r="A19" t="inlineStr">
        <is>
          <t>KPIs improving (%)</t>
        </is>
      </c>
      <c r="C19" s="22">
        <f>IFERROR(IF($C$15=0,"",$C$16/$C$15),"")</f>
        <v>1.0</v>
      </c>
    </row>
    <row r="20"/>
    <row r="21">
      <c r="A21" t="inlineStr">
        <is>
          <t>The first four KPIs are read together: a food cost going down while the margin per cover also goes down means you've made the dish cheaper, not that you've made money.</t>
        </is>
      </c>
    </row>
    <row r="22">
      <c r="A22" t="inlineStr">
        <is>
          <t>The last three rows are free for your restaurant's own KPIs (table turns, beverage-to-food ratio, waste in dollars…). Mark the direction of each one in "Is lower better?".</t>
        </is>
      </c>
    </row>
  </sheetData>
  <sheetProtection selectLockedCells="0" selectUnlockedCells="0" sheet="1" objects="0" insertRows="0" insertHyperlinks="1" autoFilter="1" scenarios="0" formatColumns="0" deleteColumns="1" insertColumns="1" pivotTables="1" deleteRows="1" formatCells="1" formatRows="0" sort="0"/>
  <conditionalFormatting sqref="J5:J12">
    <cfRule type="cellIs" priority="1" operator="equal" dxfId="0" stopIfTrue="1">
      <formula>"Improvement"</formula>
    </cfRule>
    <cfRule type="cellIs" priority="2" operator="equal" dxfId="3" stopIfTrue="1">
      <formula>"Decline"</formula>
    </cfRule>
    <cfRule type="cellIs" priority="3" operator="equal" dxfId="2" stopIfTrue="1">
      <formula>"No change"</formula>
    </cfRule>
  </conditionalFormatting>
  <conditionalFormatting sqref="C19">
    <cfRule type="expression" priority="4" dxfId="1" stopIfTrue="1">
      <formula>=AND(ISNUMBER($C$19),$C$19&lt;1)</formula>
    </cfRule>
  </conditionalFormatting>
  <dataValidations count="2">
    <dataValidation sqref="I5 I6 I7 I8 I9 I10 I11 I12" showDropDown="0" showInputMessage="0" showErrorMessage="1" allowBlank="1" errorTitle="Mark Yes or No" error="&quot;Yes&quot; if going down is an improvement (food cost, prime cost); &quot;No&quot; if going up is good (average check, margin)." type="list">
      <formula1>"Yes,No"</formula1>
    </dataValidation>
    <dataValidation sqref="B5 B6 B7 B8 B9 B10 B11 B12 C5 C6 C7 C8 C9 C10 C11 C12 D5 D6 D7 D8 D9 D10 D11 D12 E5 E6 E7 E8 E9 E10 E11 E12" showDropDown="0" showInputMessage="0" showErrorMessage="1" allowBlank="1" errorTitle="KPI value" error="Type the KPI value. Percentages go in as decimals: 0.30 = 30%." type="decimal" operator="greaterThanOrEqual">
      <formula1>-1000000</formula1>
    </dataValidation>
  </dataValidations>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90-Day Action Plan</dc:title>
  <dc:subject xmlns:dc="http://purl.org/dc/elements/1.1/">Food Cost + Menu Engineering Guide · Version 1.0 · October 2026</dc:subject>
  <dcterms:created xmlns:dcterms="http://purl.org/dc/terms/" xmlns:xsi="http://www.w3.org/2001/XMLSchema-instance" xsi:type="dcterms:W3CDTF">2026-09-03T21:37:04Z</dcterms:created>
  <dcterms:modified xmlns:dcterms="http://purl.org/dc/terms/" xmlns:xsi="http://www.w3.org/2001/XMLSchema-instance" xsi:type="dcterms:W3CDTF">2026-10-15T08:00:00Z</dcterms:modified>
  <cp:lastModifiedBy>AI Chef Pro</cp:lastModifiedBy>
</cp:coreProperties>
</file>