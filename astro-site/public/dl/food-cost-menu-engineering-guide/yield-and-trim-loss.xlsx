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Yield Test" sheetId="2" state="visible" r:id="rId2"/>
    <sheet xmlns:r="http://schemas.openxmlformats.org/officeDocument/2006/relationships" name="Cooking Loss Test" sheetId="3" state="visible" r:id="rId3"/>
    <sheet xmlns:r="http://schemas.openxmlformats.org/officeDocument/2006/relationships" name="My Trim Loss Table" sheetId="4" state="visible" r:id="rId4"/>
  </sheets>
  <definedNames>
    <definedName name="_xlnm._FilterDatabase" localSheetId="1" hidden="1">'Yield Test'!$A$5:$P$20</definedName>
    <definedName name="_xlnm.Print_Titles" localSheetId="1">'Yield Test'!$5:$5</definedName>
    <definedName name="_xlnm._FilterDatabase" localSheetId="2" hidden="1">'Cooking Loss Test'!$A$5:$L$15</definedName>
    <definedName name="_xlnm.Print_Titles" localSheetId="2">'Cooking Loss Test'!$5:$5</definedName>
    <definedName name="_xlnm._FilterDatabase" localSheetId="3" hidden="1">'My Trim Loss Table'!$A$5:$J$23</definedName>
    <definedName name="_xlnm.Print_Titles" localSheetId="3">'My Trim Loss Table'!$5:$5</definedName>
  </definedNames>
  <calcPr calcId="124519" fullCalcOnLoad="1"/>
</workbook>
</file>

<file path=xl/styles.xml><?xml version="1.0" encoding="utf-8"?>
<styleSheet xmlns="http://schemas.openxmlformats.org/spreadsheetml/2006/main">
  <numFmts count="3">
    <numFmt numFmtId="164" formatCode="0.000"/>
    <numFmt numFmtId="165" formatCode="#,##0.00"/>
    <numFmt numFmtId="166" formatCode="0.0%"/>
  </numFmts>
  <fonts count="7">
    <font>
      <name val="Calibri"/>
      <family val="2"/>
      <color theme="1"/>
      <sz val="11"/>
      <scheme val="minor"/>
    </font>
    <font>
      <b val="1"/>
      <color theme="1"/>
      <sz val="11"/>
    </font>
    <font>
      <b val="1"/>
      <sz val="16"/>
    </font>
    <font>
      <color rgb="00595959"/>
      <sz val="10"/>
    </font>
    <font>
      <b val="1"/>
      <color rgb="00FFFFFF"/>
      <sz val="10"/>
    </font>
    <font>
      <b val="1"/>
      <sz val="11"/>
    </font>
    <font>
      <b val="1"/>
      <sz val="12"/>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8DC"/>
      </patternFill>
    </fill>
  </fills>
  <borders count="1">
    <border>
      <left/>
      <right/>
      <top/>
      <bottom/>
      <diagonal/>
    </border>
  </borders>
  <cellStyleXfs count="1">
    <xf numFmtId="0" fontId="0" fillId="0" borderId="0"/>
  </cellStyleXfs>
  <cellXfs count="21">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0" fillId="0" borderId="0" applyAlignment="1" pivotButton="0" quotePrefix="0" xfId="0">
      <alignment horizontal="general" vertical="top" wrapText="1"/>
    </xf>
    <xf numFmtId="0" fontId="1" fillId="0" borderId="0" pivotButton="0" quotePrefix="0" xfId="0"/>
    <xf numFmtId="0" fontId="0" fillId="3" borderId="0" applyAlignment="1" applyProtection="1" pivotButton="0" quotePrefix="0" xfId="0">
      <alignment horizontal="general" vertical="top" wrapText="1"/>
      <protection locked="0" hidden="0"/>
    </xf>
    <xf numFmtId="0" fontId="4" fillId="2" borderId="0" applyAlignment="1" pivotButton="0" quotePrefix="0" xfId="0">
      <alignment horizontal="center" vertical="center" wrapText="1"/>
    </xf>
    <xf numFmtId="3" fontId="0" fillId="0" borderId="0" applyAlignment="1" pivotButton="0" quotePrefix="0" xfId="0">
      <alignment horizontal="center" vertical="top"/>
    </xf>
    <xf numFmtId="0" fontId="0" fillId="3" borderId="0" applyProtection="1" pivotButton="0" quotePrefix="0" xfId="0">
      <protection locked="0" hidden="0"/>
    </xf>
    <xf numFmtId="164" fontId="0" fillId="3" borderId="0" applyProtection="1" pivotButton="0" quotePrefix="0" xfId="0">
      <protection locked="0" hidden="0"/>
    </xf>
    <xf numFmtId="165" fontId="0" fillId="3" borderId="0" applyProtection="1" pivotButton="0" quotePrefix="0" xfId="0">
      <protection locked="0" hidden="0"/>
    </xf>
    <xf numFmtId="166" fontId="0" fillId="0" borderId="0" pivotButton="0" quotePrefix="0" xfId="0"/>
    <xf numFmtId="164" fontId="0" fillId="0" borderId="0" pivotButton="0" quotePrefix="0" xfId="0"/>
    <xf numFmtId="165" fontId="0" fillId="0" borderId="0" pivotButton="0" quotePrefix="0" xfId="0"/>
    <xf numFmtId="0" fontId="5" fillId="4" borderId="0" pivotButton="0" quotePrefix="0" xfId="0"/>
    <xf numFmtId="3" fontId="0" fillId="0" borderId="0" pivotButton="0" quotePrefix="0" xfId="0"/>
    <xf numFmtId="166" fontId="1" fillId="0" borderId="0" pivotButton="0" quotePrefix="0" xfId="0"/>
    <xf numFmtId="0" fontId="0" fillId="3" borderId="0" applyAlignment="1" applyProtection="1" pivotButton="0" quotePrefix="0" xfId="0">
      <alignment horizontal="center" vertical="top"/>
      <protection locked="0" hidden="0"/>
    </xf>
    <xf numFmtId="166" fontId="0" fillId="3" borderId="0" applyProtection="1" pivotButton="0" quotePrefix="0" xfId="0">
      <protection locked="0" hidden="0"/>
    </xf>
    <xf numFmtId="3" fontId="1" fillId="0" borderId="0" pivotButton="0" quotePrefix="0" xfId="0"/>
  </cellXfs>
  <cellStyles count="1">
    <cellStyle name="Normal" xfId="0" builtinId="0" hidden="0"/>
  </cellStyles>
  <dxfs count="2">
    <dxf>
      <font>
        <b val="1"/>
        <color rgb="00006100"/>
      </font>
      <fill>
        <patternFill patternType="solid">
          <fgColor rgb="00C6EFCE"/>
          <bgColor rgb="00C6EF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9"/>
  <sheetViews>
    <sheetView workbookViewId="0">
      <selection activeCell="A1" sqref="A1"/>
    </sheetView>
  </sheetViews>
  <sheetFormatPr baseColWidth="8" defaultRowHeight="15"/>
  <cols>
    <col width="112" customWidth="1" min="1" max="1"/>
  </cols>
  <sheetData>
    <row r="1">
      <c r="A1" s="1" t="inlineStr">
        <is>
          <t>Yield, Trim Loss and Net Product Cost</t>
        </is>
      </c>
    </row>
    <row r="2">
      <c r="A2" s="2" t="inlineStr">
        <is>
          <t>AI Chef Pro · aichef.pro — Food Cost + Menu Engineering Guide</t>
        </is>
      </c>
    </row>
    <row r="3"/>
    <row r="4">
      <c r="A4" s="3" t="inlineStr">
        <is>
          <t>How to use this workbook</t>
        </is>
      </c>
    </row>
    <row r="5">
      <c r="A5" s="4" t="inlineStr">
        <is>
          <t>1. "Yield Test" sheet: weigh the whole product as purchased, clean it, weigh what's left and weigh separately the byproducts you will actually use.</t>
        </is>
      </c>
    </row>
    <row r="6">
      <c r="A6" s="4" t="inlineStr">
        <is>
          <t>2. The workbook gives you the yield, the trim loss, the AP/EP factor and the NET cost per clean pound, with and without using the byproducts.</t>
        </is>
      </c>
    </row>
    <row r="7">
      <c r="A7" s="4" t="inlineStr">
        <is>
          <t>3. Compare that net cost with the price on the invoice: the difference is what the pound that goes to the pass really costs you.</t>
        </is>
      </c>
    </row>
    <row r="8">
      <c r="A8" s="4" t="inlineStr">
        <is>
          <t>4. "Cooking Loss Test" sheet: weigh the piece raw and again cooked and rested; you get the cost per pound of the finished product.</t>
        </is>
      </c>
    </row>
    <row r="9">
      <c r="A9" s="4" t="inlineStr">
        <is>
          <t>5. "My Trim Loss Table" sheet: type your measured trim loss and the "Trim loss you use" column switches on its own from the reference to yours.</t>
        </is>
      </c>
    </row>
    <row r="10">
      <c r="A10" s="4" t="inlineStr">
        <is>
          <t>6. Carry the trim loss from the "Trim loss you use" column to the "Trim loss (%)" column of recipe-cost-card.xlsx: that's where it turns into money.</t>
        </is>
      </c>
    </row>
    <row r="11"/>
    <row r="12">
      <c r="A12" s="5" t="inlineStr">
        <is>
          <t>Where the reference trim loss figures come from</t>
        </is>
      </c>
    </row>
    <row r="13">
      <c r="A13" s="4" t="inlineStr">
        <is>
          <t>A working reference table for professional use (compiled from professional kitchen trim loss tables and from the trim loss article on aichef.pro/blog). It isn't an official table: measure your own with the yield test.</t>
        </is>
      </c>
    </row>
    <row r="14"/>
    <row r="15">
      <c r="A15" s="6" t="inlineStr">
        <is>
          <t>Green cells = editable fields</t>
        </is>
      </c>
    </row>
    <row r="16">
      <c r="A16" s="4" t="inlineStr">
        <is>
          <t>Weights are in pounds (lb) and prices per pound; amounts carry no currency symbol and are in your currency. Every price in this workbook is pre-tax, as in the rest of the pack. In the US, sales tax you pay on supplies is a cost: include it in the price. If you're registered for VAT or GST/HST (UK, Canada, Australia), leave the reclaimable tax out: it's cash flow, not cost.</t>
        </is>
      </c>
    </row>
    <row r="17">
      <c r="A17" s="4" t="inlineStr">
        <is>
          <t>To edit the structure or any cell that isn't green, unprotect the sheet (no password).</t>
        </is>
      </c>
    </row>
    <row r="18">
      <c r="A18" s="4" t="inlineStr">
        <is>
          <t>Designed by John Guerrero — chef and restaurant consultant since 2010 · johnguerrero.es</t>
        </is>
      </c>
    </row>
    <row r="19">
      <c r="A19" s="4"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1" right="0.51"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P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2" customWidth="1" min="3" max="3"/>
    <col width="14" customWidth="1" min="4" max="4"/>
    <col width="12" customWidth="1" min="5" max="5"/>
    <col width="14" customWidth="1" min="6" max="6"/>
    <col width="14" customWidth="1" min="7" max="7"/>
    <col width="12" customWidth="1" min="8" max="8"/>
    <col width="11" customWidth="1" min="9" max="9"/>
    <col width="13" customWidth="1" min="10" max="10"/>
    <col width="13" customWidth="1" min="11" max="11"/>
    <col width="13" customWidth="1" min="12" max="12"/>
    <col width="15" customWidth="1" min="13" max="13"/>
    <col width="15" customWidth="1" min="14" max="14"/>
    <col width="14" customWidth="1" min="15" max="15"/>
    <col width="14" customWidth="1" min="16" max="16"/>
  </cols>
  <sheetData>
    <row r="1">
      <c r="A1" s="1" t="inlineStr">
        <is>
          <t>Yield, Trim Loss and Net Product Cost</t>
        </is>
      </c>
    </row>
    <row r="2">
      <c r="A2" s="2" t="inlineStr">
        <is>
          <t>AI Chef Pro · aichef.pro — Food Cost + Menu Engineering Guide</t>
        </is>
      </c>
    </row>
    <row r="3">
      <c r="B3" s="4" t="inlineStr">
        <is>
          <t>Weigh the whole product, clean it, weigh what's left and weigh separately what you will use (fish bones, heads, carcasses, trimmings).</t>
        </is>
      </c>
    </row>
    <row r="4"/>
    <row r="5" ht="42" customHeight="1">
      <c r="A5" s="7" t="inlineStr">
        <is>
          <t>#</t>
        </is>
      </c>
      <c r="B5" s="7" t="inlineStr">
        <is>
          <t>Product</t>
        </is>
      </c>
      <c r="C5" s="7" t="inlineStr">
        <is>
          <t>AP weight (lb)</t>
        </is>
      </c>
      <c r="D5" s="7" t="inlineStr">
        <is>
          <t>AP price/lb pre-tax</t>
        </is>
      </c>
      <c r="E5" s="7" t="inlineStr">
        <is>
          <t>Clean weight (lb)</t>
        </is>
      </c>
      <c r="F5" s="7" t="inlineStr">
        <is>
          <t>Usable byproducts (lb)</t>
        </is>
      </c>
      <c r="G5" s="7" t="inlineStr">
        <is>
          <t>Use value of the byproduct (per lb)</t>
        </is>
      </c>
      <c r="H5" s="7" t="inlineStr">
        <is>
          <t>Yield (%)</t>
        </is>
      </c>
      <c r="I5" s="7" t="inlineStr">
        <is>
          <t>Trim loss (%)</t>
        </is>
      </c>
      <c r="J5" s="7" t="inlineStr">
        <is>
          <t>AP/EP factor (1 ÷ yield)</t>
        </is>
      </c>
      <c r="K5" s="7" t="inlineStr">
        <is>
          <t>Purchase cost</t>
        </is>
      </c>
      <c r="L5" s="7" t="inlineStr">
        <is>
          <t>Value of the byproducts</t>
        </is>
      </c>
      <c r="M5" s="7" t="inlineStr">
        <is>
          <t>Net cost per clean lb, byproducts NOT used</t>
        </is>
      </c>
      <c r="N5" s="7" t="inlineStr">
        <is>
          <t>Net cost per clean lb, byproducts USED</t>
        </is>
      </c>
      <c r="O5" s="7" t="inlineStr">
        <is>
          <t>Savings from using byproducts (per lb)</t>
        </is>
      </c>
      <c r="P5" s="7" t="inlineStr">
        <is>
          <t>Extra cost over the AP price (per lb)</t>
        </is>
      </c>
    </row>
    <row r="6">
      <c r="A6" s="8" t="n">
        <v>1</v>
      </c>
      <c r="B6" s="9" t="inlineStr">
        <is>
          <t>Whole sea bass (2.65 lb)</t>
        </is>
      </c>
      <c r="C6" s="10" t="n">
        <v>2.6455471462185307</v>
      </c>
      <c r="D6" s="11" t="n">
        <v>6.758526313000001</v>
      </c>
      <c r="E6" s="10" t="n">
        <v>1.3668660255462408</v>
      </c>
      <c r="F6" s="10" t="n">
        <v>0.6613867865546327</v>
      </c>
      <c r="G6" s="11" t="n">
        <v>1.1339809250000001</v>
      </c>
      <c r="H6" s="12">
        <f>IFERROR(IF(OR($C6="",$E6="",$C6=0),"",$E6/$C6),"")</f>
        <v>0.5166666666666666</v>
      </c>
      <c r="I6" s="12">
        <f>IFERROR(IF($H6="","",1-$H6),"")</f>
        <v>0.4833333333333334</v>
      </c>
      <c r="J6" s="13">
        <f>IFERROR(IF(OR($H6="",$H6=0),"",1/$H6),"")</f>
        <v>1.9354838709677422</v>
      </c>
      <c r="K6" s="14">
        <f>IFERROR(IF(OR($C6="",$D6=""),"",$C6*$D6),"")</f>
        <v>17.88</v>
      </c>
      <c r="L6" s="14">
        <f>IFERROR(IF(OR($F6="",$G6=""),"",$F6*$G6),"")</f>
        <v>0.75</v>
      </c>
      <c r="M6" s="14">
        <f>IFERROR(IF(OR($K6="",$E6="",$E6=0),"",$K6/$E6),"")</f>
        <v>13.081018670322582</v>
      </c>
      <c r="N6" s="14">
        <f>IFERROR(IF(OR($K6="",$E6="",$E6=0),"",($K6-IF($L6="",0,$L6))/$E6),"")</f>
        <v>12.532318222741937</v>
      </c>
      <c r="O6" s="14">
        <f>IFERROR(IF(OR($M6="",$N6=""),"",$M6-$N6),"")</f>
        <v>0.5487004475806447</v>
      </c>
      <c r="P6" s="14">
        <f>IFERROR(IF(OR($N6="",$D6=""),"",$N6-$D6),"")</f>
        <v>5.773791909741936</v>
      </c>
    </row>
    <row r="7">
      <c r="A7" s="8" t="n">
        <v>2</v>
      </c>
      <c r="B7" s="9" t="inlineStr">
        <is>
          <t>Whole hake</t>
        </is>
      </c>
      <c r="C7" s="10" t="n">
        <v>5.291094292437061</v>
      </c>
      <c r="D7" s="11" t="n">
        <v>5.3523899660000005</v>
      </c>
      <c r="E7" s="10" t="n">
        <v>2.8660094084034085</v>
      </c>
      <c r="F7" s="10" t="n">
        <v>1.2125424420168267</v>
      </c>
      <c r="G7" s="11" t="n">
        <v>1.1339809250000001</v>
      </c>
      <c r="H7" s="12">
        <f>IFERROR(IF(OR($C7="",$E7="",$C7=0),"",$E7/$C7),"")</f>
        <v>0.5416666666666667</v>
      </c>
      <c r="I7" s="12">
        <f>IFERROR(IF($H7="","",1-$H7),"")</f>
        <v>0.45833333333333326</v>
      </c>
      <c r="J7" s="13">
        <f>IFERROR(IF(OR($H7="",$H7=0),"",1/$H7),"")</f>
        <v>1.8461538461538458</v>
      </c>
      <c r="K7" s="14">
        <f>IFERROR(IF(OR($C7="",$D7=""),"",$C7*$D7),"")</f>
        <v>28.32</v>
      </c>
      <c r="L7" s="14">
        <f>IFERROR(IF(OR($F7="",$G7=""),"",$F7*$G7),"")</f>
        <v>1.3750000000000002</v>
      </c>
      <c r="M7" s="14">
        <f>IFERROR(IF(OR($K7="",$E7="",$E7=0),"",$K7/$E7),"")</f>
        <v>9.881335321846155</v>
      </c>
      <c r="N7" s="14">
        <f>IFERROR(IF(OR($K7="",$E7="",$E7=0),"",($K7-IF($L7="",0,$L7))/$E7),"")</f>
        <v>9.401574161269231</v>
      </c>
      <c r="O7" s="14">
        <f>IFERROR(IF(OR($M7="",$N7=""),"",$M7-$N7),"")</f>
        <v>0.4797611605769241</v>
      </c>
      <c r="P7" s="14">
        <f>IFERROR(IF(OR($N7="",$D7=""),"",$N7-$D7),"")</f>
        <v>4.0491841952692305</v>
      </c>
    </row>
    <row r="8">
      <c r="A8" s="8" t="n">
        <v>3</v>
      </c>
      <c r="B8" s="9" t="inlineStr">
        <is>
          <t>Beef tenderloin (whole piece)</t>
        </is>
      </c>
      <c r="C8" s="10" t="n">
        <v>4.629707505882429</v>
      </c>
      <c r="D8" s="11" t="n">
        <v>12.020197805</v>
      </c>
      <c r="E8" s="10" t="n">
        <v>4.078551850420236</v>
      </c>
      <c r="F8" s="10" t="n">
        <v>0.2645547146218531</v>
      </c>
      <c r="G8" s="11" t="n">
        <v>2.7215542200000002</v>
      </c>
      <c r="H8" s="12">
        <f>IFERROR(IF(OR($C8="",$E8="",$C8=0),"",$E8/$C8),"")</f>
        <v>0.880952380952381</v>
      </c>
      <c r="I8" s="12">
        <f>IFERROR(IF($H8="","",1-$H8),"")</f>
        <v>0.11904761904761896</v>
      </c>
      <c r="J8" s="13">
        <f>IFERROR(IF(OR($H8="",$H8=0),"",1/$H8),"")</f>
        <v>1.135135135135135</v>
      </c>
      <c r="K8" s="14">
        <f>IFERROR(IF(OR($C8="",$D8=""),"",$C8*$D8),"")</f>
        <v>55.65</v>
      </c>
      <c r="L8" s="14">
        <f>IFERROR(IF(OR($F8="",$G8=""),"",$F8*$G8),"")</f>
        <v>0.7200000000000001</v>
      </c>
      <c r="M8" s="14">
        <f>IFERROR(IF(OR($K8="",$E8="",$E8=0),"",$K8/$E8),"")</f>
        <v>13.644548859729728</v>
      </c>
      <c r="N8" s="14">
        <f>IFERROR(IF(OR($K8="",$E8="",$E8=0),"",($K8-IF($L8="",0,$L8))/$E8),"")</f>
        <v>13.468015613027026</v>
      </c>
      <c r="O8" s="14">
        <f>IFERROR(IF(OR($M8="",$N8=""),"",$M8-$N8),"")</f>
        <v>0.17653324670270187</v>
      </c>
      <c r="P8" s="14">
        <f>IFERROR(IF(OR($N8="",$D8=""),"",$N8-$D8),"")</f>
        <v>1.4478178080270254</v>
      </c>
    </row>
    <row r="9">
      <c r="A9" s="8" t="n">
        <v>4</v>
      </c>
      <c r="B9" s="9" t="inlineStr">
        <is>
          <t>Whole free-range chicken</t>
        </is>
      </c>
      <c r="C9" s="10" t="n">
        <v>4.850169768067307</v>
      </c>
      <c r="D9" s="11" t="n">
        <v>2.4493987980000003</v>
      </c>
      <c r="E9" s="10" t="n">
        <v>3.3069339327731635</v>
      </c>
      <c r="F9" s="10" t="n">
        <v>0.9920801798319491</v>
      </c>
      <c r="G9" s="11" t="n">
        <v>0.816466266</v>
      </c>
      <c r="H9" s="12">
        <f>IFERROR(IF(OR($C9="",$E9="",$C9=0),"",$E9/$C9),"")</f>
        <v>0.6818181818181818</v>
      </c>
      <c r="I9" s="12">
        <f>IFERROR(IF($H9="","",1-$H9),"")</f>
        <v>0.31818181818181823</v>
      </c>
      <c r="J9" s="13">
        <f>IFERROR(IF(OR($H9="",$H9=0),"",1/$H9),"")</f>
        <v>1.4666666666666668</v>
      </c>
      <c r="K9" s="14">
        <f>IFERROR(IF(OR($C9="",$D9=""),"",$C9*$D9),"")</f>
        <v>11.88</v>
      </c>
      <c r="L9" s="14">
        <f>IFERROR(IF(OR($F9="",$G9=""),"",$F9*$G9),"")</f>
        <v>0.81</v>
      </c>
      <c r="M9" s="14">
        <f>IFERROR(IF(OR($K9="",$E9="",$E9=0),"",$K9/$E9),"")</f>
        <v>3.5924515704000006</v>
      </c>
      <c r="N9" s="14">
        <f>IFERROR(IF(OR($K9="",$E9="",$E9=0),"",($K9-IF($L9="",0,$L9))/$E9),"")</f>
        <v>3.3475116906</v>
      </c>
      <c r="O9" s="14">
        <f>IFERROR(IF(OR($M9="",$N9=""),"",$M9-$N9),"")</f>
        <v>0.24493987980000043</v>
      </c>
      <c r="P9" s="14">
        <f>IFERROR(IF(OR($N9="",$D9=""),"",$N9-$D9),"")</f>
        <v>0.8981128925999999</v>
      </c>
    </row>
    <row r="10">
      <c r="A10" s="8" t="n">
        <v>5</v>
      </c>
      <c r="B10" s="9" t="inlineStr">
        <is>
          <t>Lamb (shoulder)</t>
        </is>
      </c>
      <c r="C10" s="10" t="n">
        <v>3.5273961949580412</v>
      </c>
      <c r="D10" s="11" t="n">
        <v>5.987419284</v>
      </c>
      <c r="E10" s="10" t="n">
        <v>2.9762405394958473</v>
      </c>
      <c r="F10" s="10" t="n">
        <v>0</v>
      </c>
      <c r="G10" s="11" t="n">
        <v>0</v>
      </c>
      <c r="H10" s="12">
        <f>IFERROR(IF(OR($C10="",$E10="",$C10=0),"",$E10/$C10),"")</f>
        <v>0.84375</v>
      </c>
      <c r="I10" s="12">
        <f>IFERROR(IF($H10="","",1-$H10),"")</f>
        <v>0.15625</v>
      </c>
      <c r="J10" s="13">
        <f>IFERROR(IF(OR($H10="",$H10=0),"",1/$H10),"")</f>
        <v>1.1851851851851851</v>
      </c>
      <c r="K10" s="14">
        <f>IFERROR(IF(OR($C10="",$D10=""),"",$C10*$D10),"")</f>
        <v>21.119999999999997</v>
      </c>
      <c r="L10" s="14">
        <f>IFERROR(IF(OR($F10="",$G10=""),"",$F10*$G10),"")</f>
        <v>0.0</v>
      </c>
      <c r="M10" s="14">
        <f>IFERROR(IF(OR($K10="",$E10="",$E10=0),"",$K10/$E10),"")</f>
        <v>7.0962006328888885</v>
      </c>
      <c r="N10" s="14">
        <f>IFERROR(IF(OR($K10="",$E10="",$E10=0),"",($K10-IF($L10="",0,$L10))/$E10),"")</f>
        <v>7.0962006328888885</v>
      </c>
      <c r="O10" s="14">
        <f>IFERROR(IF(OR($M10="",$N10=""),"",$M10-$N10),"")</f>
        <v>0.0</v>
      </c>
      <c r="P10" s="14">
        <f>IFERROR(IF(OR($N10="",$D10=""),"",$N10-$D10),"")</f>
        <v>1.108781348888889</v>
      </c>
    </row>
    <row r="11">
      <c r="A11" s="8" t="n">
        <v>6</v>
      </c>
      <c r="B11" s="9" t="inlineStr">
        <is>
          <t>Heirloom tomato</t>
        </is>
      </c>
      <c r="C11" s="10" t="n">
        <v>11.023113109243878</v>
      </c>
      <c r="D11" s="11" t="n">
        <v>1.723651006</v>
      </c>
      <c r="E11" s="10" t="n">
        <v>9.700339536134614</v>
      </c>
      <c r="F11" s="10" t="n">
        <v>0</v>
      </c>
      <c r="G11" s="11" t="n">
        <v>0</v>
      </c>
      <c r="H11" s="12">
        <f>IFERROR(IF(OR($C11="",$E11="",$C11=0),"",$E11/$C11),"")</f>
        <v>0.8800000000000001</v>
      </c>
      <c r="I11" s="12">
        <f>IFERROR(IF($H11="","",1-$H11),"")</f>
        <v>0.11999999999999988</v>
      </c>
      <c r="J11" s="13">
        <f>IFERROR(IF(OR($H11="",$H11=0),"",1/$H11),"")</f>
        <v>1.1363636363636362</v>
      </c>
      <c r="K11" s="14">
        <f>IFERROR(IF(OR($C11="",$D11=""),"",$C11*$D11),"")</f>
        <v>19.0</v>
      </c>
      <c r="L11" s="14">
        <f>IFERROR(IF(OR($F11="",$G11=""),"",$F11*$G11),"")</f>
        <v>0.0</v>
      </c>
      <c r="M11" s="14">
        <f>IFERROR(IF(OR($K11="",$E11="",$E11=0),"",$K11/$E11),"")</f>
        <v>1.958694325</v>
      </c>
      <c r="N11" s="14">
        <f>IFERROR(IF(OR($K11="",$E11="",$E11=0),"",($K11-IF($L11="",0,$L11))/$E11),"")</f>
        <v>1.958694325</v>
      </c>
      <c r="O11" s="14">
        <f>IFERROR(IF(OR($M11="",$N11=""),"",$M11-$N11),"")</f>
        <v>0.0</v>
      </c>
      <c r="P11" s="14">
        <f>IFERROR(IF(OR($N11="",$D11=""),"",$N11-$D11),"")</f>
        <v>0.23504331899999986</v>
      </c>
    </row>
    <row r="12">
      <c r="A12" s="8" t="n">
        <v>7</v>
      </c>
      <c r="B12" s="9" t="inlineStr">
        <is>
          <t>Artichoke</t>
        </is>
      </c>
      <c r="C12" s="10" t="n">
        <v>11.023113109243878</v>
      </c>
      <c r="D12" s="11" t="n">
        <v>1.3154178730000001</v>
      </c>
      <c r="E12" s="10" t="n">
        <v>4.188782981512674</v>
      </c>
      <c r="F12" s="10" t="n">
        <v>0</v>
      </c>
      <c r="G12" s="11" t="n">
        <v>0</v>
      </c>
      <c r="H12" s="12">
        <f>IFERROR(IF(OR($C12="",$E12="",$C12=0),"",$E12/$C12),"")</f>
        <v>0.38</v>
      </c>
      <c r="I12" s="12">
        <f>IFERROR(IF($H12="","",1-$H12),"")</f>
        <v>0.62</v>
      </c>
      <c r="J12" s="13">
        <f>IFERROR(IF(OR($H12="",$H12=0),"",1/$H12),"")</f>
        <v>2.6315789473684212</v>
      </c>
      <c r="K12" s="14">
        <f>IFERROR(IF(OR($C12="",$D12=""),"",$C12*$D12),"")</f>
        <v>14.5</v>
      </c>
      <c r="L12" s="14">
        <f>IFERROR(IF(OR($F12="",$G12=""),"",$F12*$G12),"")</f>
        <v>0.0</v>
      </c>
      <c r="M12" s="14">
        <f>IFERROR(IF(OR($K12="",$E12="",$E12=0),"",$K12/$E12),"")</f>
        <v>3.4616259815789476</v>
      </c>
      <c r="N12" s="14">
        <f>IFERROR(IF(OR($K12="",$E12="",$E12=0),"",($K12-IF($L12="",0,$L12))/$E12),"")</f>
        <v>3.4616259815789476</v>
      </c>
      <c r="O12" s="14">
        <f>IFERROR(IF(OR($M12="",$N12=""),"",$M12-$N12),"")</f>
        <v>0.0</v>
      </c>
      <c r="P12" s="14">
        <f>IFERROR(IF(OR($N12="",$D12=""),"",$N12-$D12),"")</f>
        <v>2.1462081085789473</v>
      </c>
    </row>
    <row r="13">
      <c r="A13" s="8" t="n">
        <v>8</v>
      </c>
      <c r="B13" s="9" t="inlineStr">
        <is>
          <t>Sweet potato</t>
        </is>
      </c>
      <c r="C13" s="10" t="n">
        <v>11.023113109243878</v>
      </c>
      <c r="D13" s="11" t="n">
        <v>0.7257477920000001</v>
      </c>
      <c r="E13" s="10" t="n">
        <v>9.038952749579979</v>
      </c>
      <c r="F13" s="10" t="n">
        <v>0</v>
      </c>
      <c r="G13" s="11" t="n">
        <v>0</v>
      </c>
      <c r="H13" s="12">
        <f>IFERROR(IF(OR($C13="",$E13="",$C13=0),"",$E13/$C13),"")</f>
        <v>0.8199999999999998</v>
      </c>
      <c r="I13" s="12">
        <f>IFERROR(IF($H13="","",1-$H13),"")</f>
        <v>0.18000000000000016</v>
      </c>
      <c r="J13" s="13">
        <f>IFERROR(IF(OR($H13="",$H13=0),"",1/$H13),"")</f>
        <v>1.2195121951219514</v>
      </c>
      <c r="K13" s="14">
        <f>IFERROR(IF(OR($C13="",$D13=""),"",$C13*$D13),"")</f>
        <v>8.0</v>
      </c>
      <c r="L13" s="14">
        <f>IFERROR(IF(OR($F13="",$G13=""),"",$F13*$G13),"")</f>
        <v>0.0</v>
      </c>
      <c r="M13" s="14">
        <f>IFERROR(IF(OR($K13="",$E13="",$E13=0),"",$K13/$E13),"")</f>
        <v>0.8850582829268295</v>
      </c>
      <c r="N13" s="14">
        <f>IFERROR(IF(OR($K13="",$E13="",$E13=0),"",($K13-IF($L13="",0,$L13))/$E13),"")</f>
        <v>0.8850582829268295</v>
      </c>
      <c r="O13" s="14">
        <f>IFERROR(IF(OR($M13="",$N13=""),"",$M13-$N13),"")</f>
        <v>0.0</v>
      </c>
      <c r="P13" s="14">
        <f>IFERROR(IF(OR($N13="",$D13=""),"",$N13-$D13),"")</f>
        <v>0.15931049092682947</v>
      </c>
    </row>
    <row r="14">
      <c r="A14" s="8" t="n">
        <v>9</v>
      </c>
      <c r="B14" s="9" t="inlineStr">
        <is>
          <t>Mussels (in the shell)</t>
        </is>
      </c>
      <c r="C14" s="10" t="n">
        <v>11.023113109243878</v>
      </c>
      <c r="D14" s="11" t="n">
        <v>1.1793401620000001</v>
      </c>
      <c r="E14" s="10" t="n">
        <v>2.2046226218487757</v>
      </c>
      <c r="F14" s="10" t="n">
        <v>0</v>
      </c>
      <c r="G14" s="11" t="n">
        <v>0</v>
      </c>
      <c r="H14" s="12">
        <f>IFERROR(IF(OR($C14="",$E14="",$C14=0),"",$E14/$C14),"")</f>
        <v>0.2</v>
      </c>
      <c r="I14" s="12">
        <f>IFERROR(IF($H14="","",1-$H14),"")</f>
        <v>0.8</v>
      </c>
      <c r="J14" s="13">
        <f>IFERROR(IF(OR($H14="",$H14=0),"",1/$H14),"")</f>
        <v>5.0</v>
      </c>
      <c r="K14" s="14">
        <f>IFERROR(IF(OR($C14="",$D14=""),"",$C14*$D14),"")</f>
        <v>13.0</v>
      </c>
      <c r="L14" s="14">
        <f>IFERROR(IF(OR($F14="",$G14=""),"",$F14*$G14),"")</f>
        <v>0.0</v>
      </c>
      <c r="M14" s="14">
        <f>IFERROR(IF(OR($K14="",$E14="",$E14=0),"",$K14/$E14),"")</f>
        <v>5.8967008100000005</v>
      </c>
      <c r="N14" s="14">
        <f>IFERROR(IF(OR($K14="",$E14="",$E14=0),"",($K14-IF($L14="",0,$L14))/$E14),"")</f>
        <v>5.8967008100000005</v>
      </c>
      <c r="O14" s="14">
        <f>IFERROR(IF(OR($M14="",$N14=""),"",$M14-$N14),"")</f>
        <v>0.0</v>
      </c>
      <c r="P14" s="14">
        <f>IFERROR(IF(OR($N14="",$D14=""),"",$N14-$D14),"")</f>
        <v>4.7173606480000005</v>
      </c>
    </row>
    <row r="15">
      <c r="A15" s="8" t="n">
        <v>10</v>
      </c>
      <c r="B15" s="9" t="inlineStr">
        <is>
          <t>White shrimp (whole)</t>
        </is>
      </c>
      <c r="C15" s="10" t="n">
        <v>4.409245243697551</v>
      </c>
      <c r="D15" s="11" t="n">
        <v>10.886216880000001</v>
      </c>
      <c r="E15" s="10" t="n">
        <v>2.3148537529412145</v>
      </c>
      <c r="F15" s="10" t="n">
        <v>1.1023113109243878</v>
      </c>
      <c r="G15" s="11" t="n">
        <v>1.3607771100000001</v>
      </c>
      <c r="H15" s="12">
        <f>IFERROR(IF(OR($C15="",$E15="",$C15=0),"",$E15/$C15),"")</f>
        <v>0.525</v>
      </c>
      <c r="I15" s="12">
        <f>IFERROR(IF($H15="","",1-$H15),"")</f>
        <v>0.475</v>
      </c>
      <c r="J15" s="13">
        <f>IFERROR(IF(OR($H15="",$H15=0),"",1/$H15),"")</f>
        <v>1.9047619047619047</v>
      </c>
      <c r="K15" s="14">
        <f>IFERROR(IF(OR($C15="",$D15=""),"",$C15*$D15),"")</f>
        <v>48.0</v>
      </c>
      <c r="L15" s="14">
        <f>IFERROR(IF(OR($F15="",$G15=""),"",$F15*$G15),"")</f>
        <v>1.5</v>
      </c>
      <c r="M15" s="14">
        <f>IFERROR(IF(OR($K15="",$E15="",$E15=0),"",$K15/$E15),"")</f>
        <v>20.7356512</v>
      </c>
      <c r="N15" s="14">
        <f>IFERROR(IF(OR($K15="",$E15="",$E15=0),"",($K15-IF($L15="",0,$L15))/$E15),"")</f>
        <v>20.0876621</v>
      </c>
      <c r="O15" s="14">
        <f>IFERROR(IF(OR($M15="",$N15=""),"",$M15-$N15),"")</f>
        <v>0.6479891000000002</v>
      </c>
      <c r="P15" s="14">
        <f>IFERROR(IF(OR($N15="",$D15=""),"",$N15-$D15),"")</f>
        <v>9.201445219999998</v>
      </c>
    </row>
    <row r="16">
      <c r="A16" s="8" t="n">
        <v>11</v>
      </c>
      <c r="B16" s="9" t="n"/>
      <c r="C16" s="10" t="n"/>
      <c r="D16" s="11" t="n"/>
      <c r="E16" s="10" t="n"/>
      <c r="F16" s="10" t="n"/>
      <c r="G16" s="11" t="n"/>
      <c r="H16" s="12">
        <f>IFERROR(IF(OR($C16="",$E16="",$C16=0),"",$E16/$C16),"")</f>
      </c>
      <c r="I16" s="12">
        <f>IFERROR(IF($H16="","",1-$H16),"")</f>
      </c>
      <c r="J16" s="13">
        <f>IFERROR(IF(OR($H16="",$H16=0),"",1/$H16),"")</f>
      </c>
      <c r="K16" s="14">
        <f>IFERROR(IF(OR($C16="",$D16=""),"",$C16*$D16),"")</f>
      </c>
      <c r="L16" s="14">
        <f>IFERROR(IF(OR($F16="",$G16=""),"",$F16*$G16),"")</f>
      </c>
      <c r="M16" s="14">
        <f>IFERROR(IF(OR($K16="",$E16="",$E16=0),"",$K16/$E16),"")</f>
      </c>
      <c r="N16" s="14">
        <f>IFERROR(IF(OR($K16="",$E16="",$E16=0),"",($K16-IF($L16="",0,$L16))/$E16),"")</f>
      </c>
      <c r="O16" s="14">
        <f>IFERROR(IF(OR($M16="",$N16=""),"",$M16-$N16),"")</f>
      </c>
      <c r="P16" s="14">
        <f>IFERROR(IF(OR($N16="",$D16=""),"",$N16-$D16),"")</f>
      </c>
    </row>
    <row r="17">
      <c r="A17" s="8" t="n">
        <v>12</v>
      </c>
      <c r="B17" s="9" t="n"/>
      <c r="C17" s="10" t="n"/>
      <c r="D17" s="11" t="n"/>
      <c r="E17" s="10" t="n"/>
      <c r="F17" s="10" t="n"/>
      <c r="G17" s="11" t="n"/>
      <c r="H17" s="12">
        <f>IFERROR(IF(OR($C17="",$E17="",$C17=0),"",$E17/$C17),"")</f>
      </c>
      <c r="I17" s="12">
        <f>IFERROR(IF($H17="","",1-$H17),"")</f>
      </c>
      <c r="J17" s="13">
        <f>IFERROR(IF(OR($H17="",$H17=0),"",1/$H17),"")</f>
      </c>
      <c r="K17" s="14">
        <f>IFERROR(IF(OR($C17="",$D17=""),"",$C17*$D17),"")</f>
      </c>
      <c r="L17" s="14">
        <f>IFERROR(IF(OR($F17="",$G17=""),"",$F17*$G17),"")</f>
      </c>
      <c r="M17" s="14">
        <f>IFERROR(IF(OR($K17="",$E17="",$E17=0),"",$K17/$E17),"")</f>
      </c>
      <c r="N17" s="14">
        <f>IFERROR(IF(OR($K17="",$E17="",$E17=0),"",($K17-IF($L17="",0,$L17))/$E17),"")</f>
      </c>
      <c r="O17" s="14">
        <f>IFERROR(IF(OR($M17="",$N17=""),"",$M17-$N17),"")</f>
      </c>
      <c r="P17" s="14">
        <f>IFERROR(IF(OR($N17="",$D17=""),"",$N17-$D17),"")</f>
      </c>
    </row>
    <row r="18">
      <c r="A18" s="8" t="n">
        <v>13</v>
      </c>
      <c r="B18" s="9" t="n"/>
      <c r="C18" s="10" t="n"/>
      <c r="D18" s="11" t="n"/>
      <c r="E18" s="10" t="n"/>
      <c r="F18" s="10" t="n"/>
      <c r="G18" s="11" t="n"/>
      <c r="H18" s="12">
        <f>IFERROR(IF(OR($C18="",$E18="",$C18=0),"",$E18/$C18),"")</f>
      </c>
      <c r="I18" s="12">
        <f>IFERROR(IF($H18="","",1-$H18),"")</f>
      </c>
      <c r="J18" s="13">
        <f>IFERROR(IF(OR($H18="",$H18=0),"",1/$H18),"")</f>
      </c>
      <c r="K18" s="14">
        <f>IFERROR(IF(OR($C18="",$D18=""),"",$C18*$D18),"")</f>
      </c>
      <c r="L18" s="14">
        <f>IFERROR(IF(OR($F18="",$G18=""),"",$F18*$G18),"")</f>
      </c>
      <c r="M18" s="14">
        <f>IFERROR(IF(OR($K18="",$E18="",$E18=0),"",$K18/$E18),"")</f>
      </c>
      <c r="N18" s="14">
        <f>IFERROR(IF(OR($K18="",$E18="",$E18=0),"",($K18-IF($L18="",0,$L18))/$E18),"")</f>
      </c>
      <c r="O18" s="14">
        <f>IFERROR(IF(OR($M18="",$N18=""),"",$M18-$N18),"")</f>
      </c>
      <c r="P18" s="14">
        <f>IFERROR(IF(OR($N18="",$D18=""),"",$N18-$D18),"")</f>
      </c>
    </row>
    <row r="19">
      <c r="A19" s="8" t="n">
        <v>14</v>
      </c>
      <c r="B19" s="9" t="n"/>
      <c r="C19" s="10" t="n"/>
      <c r="D19" s="11" t="n"/>
      <c r="E19" s="10" t="n"/>
      <c r="F19" s="10" t="n"/>
      <c r="G19" s="11" t="n"/>
      <c r="H19" s="12">
        <f>IFERROR(IF(OR($C19="",$E19="",$C19=0),"",$E19/$C19),"")</f>
      </c>
      <c r="I19" s="12">
        <f>IFERROR(IF($H19="","",1-$H19),"")</f>
      </c>
      <c r="J19" s="13">
        <f>IFERROR(IF(OR($H19="",$H19=0),"",1/$H19),"")</f>
      </c>
      <c r="K19" s="14">
        <f>IFERROR(IF(OR($C19="",$D19=""),"",$C19*$D19),"")</f>
      </c>
      <c r="L19" s="14">
        <f>IFERROR(IF(OR($F19="",$G19=""),"",$F19*$G19),"")</f>
      </c>
      <c r="M19" s="14">
        <f>IFERROR(IF(OR($K19="",$E19="",$E19=0),"",$K19/$E19),"")</f>
      </c>
      <c r="N19" s="14">
        <f>IFERROR(IF(OR($K19="",$E19="",$E19=0),"",($K19-IF($L19="",0,$L19))/$E19),"")</f>
      </c>
      <c r="O19" s="14">
        <f>IFERROR(IF(OR($M19="",$N19=""),"",$M19-$N19),"")</f>
      </c>
      <c r="P19" s="14">
        <f>IFERROR(IF(OR($N19="",$D19=""),"",$N19-$D19),"")</f>
      </c>
    </row>
    <row r="20">
      <c r="A20" s="8" t="n">
        <v>15</v>
      </c>
      <c r="B20" s="9" t="n"/>
      <c r="C20" s="10" t="n"/>
      <c r="D20" s="11" t="n"/>
      <c r="E20" s="10" t="n"/>
      <c r="F20" s="10" t="n"/>
      <c r="G20" s="11" t="n"/>
      <c r="H20" s="12">
        <f>IFERROR(IF(OR($C20="",$E20="",$C20=0),"",$E20/$C20),"")</f>
      </c>
      <c r="I20" s="12">
        <f>IFERROR(IF($H20="","",1-$H20),"")</f>
      </c>
      <c r="J20" s="13">
        <f>IFERROR(IF(OR($H20="",$H20=0),"",1/$H20),"")</f>
      </c>
      <c r="K20" s="14">
        <f>IFERROR(IF(OR($C20="",$D20=""),"",$C20*$D20),"")</f>
      </c>
      <c r="L20" s="14">
        <f>IFERROR(IF(OR($F20="",$G20=""),"",$F20*$G20),"")</f>
      </c>
      <c r="M20" s="14">
        <f>IFERROR(IF(OR($K20="",$E20="",$E20=0),"",$K20/$E20),"")</f>
      </c>
      <c r="N20" s="14">
        <f>IFERROR(IF(OR($K20="",$E20="",$E20=0),"",($K20-IF($L20="",0,$L20))/$E20),"")</f>
      </c>
      <c r="O20" s="14">
        <f>IFERROR(IF(OR($M20="",$N20=""),"",$M20-$N20),"")</f>
      </c>
      <c r="P20" s="14">
        <f>IFERROR(IF(OR($N20="",$D20=""),"",$N20-$D20),"")</f>
      </c>
    </row>
    <row r="21"/>
    <row r="22">
      <c r="B22" s="15" t="inlineStr">
        <is>
          <t>SUMMARY — calculated by the workbook</t>
        </is>
      </c>
      <c r="C22" s="15" t="n"/>
      <c r="D22" s="15" t="n"/>
      <c r="E22" s="15" t="n"/>
      <c r="F22" s="15" t="n"/>
      <c r="G22" s="15" t="n"/>
      <c r="H22" s="15" t="n"/>
    </row>
    <row r="23">
      <c r="B23" t="inlineStr">
        <is>
          <t>Products measured (no.)</t>
        </is>
      </c>
      <c r="E23" s="16">
        <f>IF(COUNTIF($E$6:$E$20,"&gt;0")=0,"",COUNTIF($E$6:$E$20,"&gt;0"))</f>
        <v>10.0</v>
      </c>
    </row>
    <row r="24">
      <c r="B24" t="inlineStr">
        <is>
          <t>Total AP weight purchased (lb)</t>
        </is>
      </c>
      <c r="E24" s="13">
        <f>IF(COUNTIF($C$6:$C$20,"&gt;0")=0,"",SUM($C$6:$C$20))</f>
        <v>69.44561258823643</v>
      </c>
    </row>
    <row r="25">
      <c r="B25" t="inlineStr">
        <is>
          <t>Total clean weight (lb)</t>
        </is>
      </c>
      <c r="E25" s="13">
        <f>IF(COUNTIF($E$6:$E$20,"&gt;0")=0,"",SUM($E$6:$E$20))</f>
        <v>42.042153398656154</v>
      </c>
    </row>
    <row r="26">
      <c r="B26" s="5" t="inlineStr">
        <is>
          <t>Weighted average yield (%)</t>
        </is>
      </c>
      <c r="E26" s="17">
        <f>IFERROR(IF(SUM($C$6:$C$20)=0,"",SUM($E$6:$E$20)/SUM($C$6:$C$20)),"")</f>
        <v>0.6053968253968255</v>
      </c>
    </row>
    <row r="27">
      <c r="B27" s="5" t="inlineStr">
        <is>
          <t>Weighted average trim loss (%)</t>
        </is>
      </c>
      <c r="E27" s="17">
        <f>IFERROR(IF($E$26="","",1-$E$26),"")</f>
        <v>0.3946031746031745</v>
      </c>
    </row>
    <row r="28">
      <c r="B28" t="inlineStr">
        <is>
          <t>Total purchase cost</t>
        </is>
      </c>
      <c r="E28" s="14">
        <f>IF(COUNTIF($K$6:$K$20,"&gt;0")=0,"",SUM($K$6:$K$20))</f>
        <v>237.35</v>
      </c>
    </row>
    <row r="29">
      <c r="B29" t="inlineStr">
        <is>
          <t>Use value of the usable byproducts</t>
        </is>
      </c>
      <c r="E29" s="14">
        <f>IF(COUNTIF($L$6:$L$20,"&gt;0")=0,"",SUM($L$6:$L$20))</f>
        <v>5.155</v>
      </c>
    </row>
    <row r="30">
      <c r="B30" t="inlineStr">
        <is>
          <t>Average savings from using byproducts (per clean lb)</t>
        </is>
      </c>
      <c r="E30" s="14">
        <f>IFERROR(IF(OR($E$29="",$E$25="",$E$25=0),"",$E$29/$E$25),"")</f>
        <v>0.12261503237283693</v>
      </c>
      <c r="I30" s="4" t="inlineStr">
        <is>
          <t>If these savings don't pay for the butchering hours, buy the product already cleaned and work with the supplier's yield.</t>
        </is>
      </c>
    </row>
  </sheetData>
  <sheetProtection selectLockedCells="0" selectUnlockedCells="0" sheet="1" objects="0" insertRows="0" insertHyperlinks="1" autoFilter="1" scenarios="0" formatColumns="0" deleteColumns="1" insertColumns="1" pivotTables="1" deleteRows="1" formatCells="1" formatRows="0" sort="0"/>
  <autoFilter ref="A5:P20"/>
  <dataValidations count="5">
    <dataValidation sqref="C6 C7 C8 C9 C10 C11 C12 C13 C14 C15 C16 C17 C18 C19 C20" showDropDown="0" showInputMessage="1" showErrorMessage="1" allowBlank="1" errorTitle="AP weight" error="Type a number greater than or equal to 0." promptTitle="AP weight" prompt="The weight of the product as it arrives, in lb." type="decimal" operator="greaterThanOrEqual">
      <formula1>0</formula1>
    </dataValidation>
    <dataValidation sqref="E6 E7 E8 E9 E10 E11 E12 E13 E14 E15 E16 E17 E18 E19 E20" showDropDown="0" showInputMessage="1" showErrorMessage="1" allowBlank="1" errorTitle="Clean weight" error="Type a number greater than or equal to 0." promptTitle="Clean weight" prompt="What's left ready to portion, in lb." type="decimal" operator="greaterThanOrEqual">
      <formula1>0</formula1>
    </dataValidation>
    <dataValidation sqref="F6 F7 F8 F9 F10 F11 F12 F13 F14 F15 F16 F17 F18 F19 F20" showDropDown="0" showInputMessage="1" showErrorMessage="1" allowBlank="1" errorTitle="Byproducts" error="Type a number greater than or equal to 0." promptTitle="Byproducts" prompt="Usable pounds: fish bones, heads, carcasses, trimmings." type="decimal" operator="greaterThanOrEqual">
      <formula1>0</formula1>
    </dataValidation>
    <dataValidation sqref="D6 D7 D8 D9 D10 D11 D12 D13 D14 D15 D16 D17 D18 D19 D20" showDropDown="0" showInputMessage="1" showErrorMessage="1" allowBlank="1" errorTitle="Purchase price" error="Type a number greater than or equal to 0." promptTitle="Purchase price" prompt="Price per AP pound before tax, as on the invoice." type="decimal" operator="greaterThanOrEqual">
      <formula1>0</formula1>
    </dataValidation>
    <dataValidation sqref="G6 G7 G8 G9 G10 G11 G12 G13 G14 G15 G16 G17 G18 G19 G20" showDropDown="0" showInputMessage="1" showErrorMessage="1" allowBlank="1" errorTitle="Byproduct value" error="Type a number greater than or equal to 0." promptTitle="Byproduct value" prompt="What it would cost you to buy that byproduct ready-made (a fish stock, a broth): that's its use value." type="decimal" operator="greaterThanOrEqual">
      <formula1>0</formula1>
    </dataValidation>
  </dataValidations>
  <pageMargins left="0.51" right="0.51"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4" customWidth="1" min="3" max="3"/>
    <col width="13" customWidth="1" min="4" max="4"/>
    <col width="13" customWidth="1" min="5" max="5"/>
    <col width="13" customWidth="1" min="6" max="6"/>
    <col width="13" customWidth="1" min="7" max="7"/>
    <col width="13" customWidth="1" min="8" max="8"/>
    <col width="14" customWidth="1" min="9" max="9"/>
    <col width="15" customWidth="1" min="10" max="10"/>
    <col width="14" customWidth="1" min="11" max="11"/>
    <col width="30" customWidth="1" min="12" max="12"/>
  </cols>
  <sheetData>
    <row r="1">
      <c r="A1" s="1" t="inlineStr">
        <is>
          <t>Cooking Loss Test</t>
        </is>
      </c>
    </row>
    <row r="2">
      <c r="A2" s="2" t="inlineStr">
        <is>
          <t>AI Chef Pro · aichef.pro — Food Cost + Menu Engineering Guide</t>
        </is>
      </c>
    </row>
    <row r="3">
      <c r="B3" s="4" t="inlineStr">
        <is>
          <t>Weigh the piece raw and again when it comes off the heat, rested. Cooking loss doesn't show on the invoice, but it does on the plate.</t>
        </is>
      </c>
    </row>
    <row r="4"/>
    <row r="5" ht="42" customHeight="1">
      <c r="A5" s="7" t="inlineStr">
        <is>
          <t>#</t>
        </is>
      </c>
      <c r="B5" s="7" t="inlineStr">
        <is>
          <t>Preparation</t>
        </is>
      </c>
      <c r="C5" s="7" t="inlineStr">
        <is>
          <t>Technique</t>
        </is>
      </c>
      <c r="D5" s="7" t="inlineStr">
        <is>
          <t>Raw weight (lb)</t>
        </is>
      </c>
      <c r="E5" s="7" t="inlineStr">
        <is>
          <t>Cooked weight (lb)</t>
        </is>
      </c>
      <c r="F5" s="7" t="inlineStr">
        <is>
          <t>Cooking yield (%)</t>
        </is>
      </c>
      <c r="G5" s="7" t="inlineStr">
        <is>
          <t>Cooking loss (%)</t>
        </is>
      </c>
      <c r="H5" s="7" t="inlineStr">
        <is>
          <t>Cooking factor (1 ÷ cooking yield)</t>
        </is>
      </c>
      <c r="I5" s="7" t="inlineStr">
        <is>
          <t>Cost/lb of the raw product</t>
        </is>
      </c>
      <c r="J5" s="7" t="inlineStr">
        <is>
          <t>Cost/lb of the cooked product</t>
        </is>
      </c>
      <c r="K5" s="7" t="inlineStr">
        <is>
          <t>Extra cost from cooking (per lb)</t>
        </is>
      </c>
      <c r="L5" s="7" t="inlineStr">
        <is>
          <t>Notes</t>
        </is>
      </c>
    </row>
    <row r="6">
      <c r="A6" s="8" t="n">
        <v>1</v>
      </c>
      <c r="B6" s="9" t="inlineStr">
        <is>
          <t>Pan-seared Iberico pork tenderloin</t>
        </is>
      </c>
      <c r="C6" s="18" t="inlineStr">
        <is>
          <t>Flat-top</t>
        </is>
      </c>
      <c r="D6" s="10" t="n">
        <v>0.5511556554621939</v>
      </c>
      <c r="E6" s="10" t="n">
        <v>0.4299014112605113</v>
      </c>
      <c r="F6" s="12">
        <f>IFERROR(IF(OR($D6="",$E6="",$D6=0),"",$E6/$D6),"")</f>
        <v>0.78</v>
      </c>
      <c r="G6" s="12">
        <f>IFERROR(IF($F6="","",1-$F6),"")</f>
        <v>0.21999999999999997</v>
      </c>
      <c r="H6" s="13">
        <f>IFERROR(IF(OR($F6="",$F6=0),"",1/$F6),"")</f>
        <v>1.282051282051282</v>
      </c>
      <c r="I6" s="11" t="n">
        <v>8.1419830415</v>
      </c>
      <c r="J6" s="14">
        <f>IFERROR(IF(OR($I6="",$F6="",$F6=0),"",$I6/$F6),"")</f>
        <v>10.43843979679487</v>
      </c>
      <c r="K6" s="14">
        <f>IFERROR(IF(OR($J6="",$I6=""),"",$J6-$I6),"")</f>
        <v>2.296456755294871</v>
      </c>
      <c r="L6" s="9" t="n"/>
      <c r="M6" s="4" t="inlineStr">
        <is>
          <t>Type the cost per pound of the raw product in column I. If the product is butchered first, use the "Net cost per clean lb, byproducts USED" from the "Yield Test" sheet.</t>
        </is>
      </c>
    </row>
    <row r="7">
      <c r="A7" s="8" t="n">
        <v>2</v>
      </c>
      <c r="B7" s="9" t="inlineStr">
        <is>
          <t>Oven-roasted free-range chicken</t>
        </is>
      </c>
      <c r="C7" s="18" t="inlineStr">
        <is>
          <t>Oven</t>
        </is>
      </c>
      <c r="D7" s="10" t="n">
        <v>3.3069339327731635</v>
      </c>
      <c r="E7" s="10" t="n">
        <v>2.380992431596678</v>
      </c>
      <c r="F7" s="12">
        <f>IFERROR(IF(OR($D7="",$E7="",$D7=0),"",$E7/$D7),"")</f>
        <v>0.7200000000000001</v>
      </c>
      <c r="G7" s="12">
        <f>IFERROR(IF($F7="","",1-$F7),"")</f>
        <v>0.2799999999999999</v>
      </c>
      <c r="H7" s="13">
        <f>IFERROR(IF(OR($F7="",$F7=0),"",1/$F7),"")</f>
        <v>1.3888888888888886</v>
      </c>
      <c r="I7" s="11" t="n">
        <v>2.4493987980000003</v>
      </c>
      <c r="J7" s="14">
        <f>IFERROR(IF(OR($I7="",$F7="",$F7=0),"",$I7/$F7),"")</f>
        <v>3.4019427749999998</v>
      </c>
      <c r="K7" s="14">
        <f>IFERROR(IF(OR($J7="",$I7=""),"",$J7-$I7),"")</f>
        <v>0.9525439769999995</v>
      </c>
      <c r="L7" s="9" t="n"/>
    </row>
    <row r="8">
      <c r="A8" s="8" t="n">
        <v>3</v>
      </c>
      <c r="B8" s="9" t="inlineStr">
        <is>
          <t>Confit cod</t>
        </is>
      </c>
      <c r="C8" s="18" t="inlineStr">
        <is>
          <t>Confit</t>
        </is>
      </c>
      <c r="D8" s="10" t="n">
        <v>0.44092452436975516</v>
      </c>
      <c r="E8" s="10" t="n">
        <v>0.3880135814453845</v>
      </c>
      <c r="F8" s="12">
        <f>IFERROR(IF(OR($D8="",$E8="",$D8=0),"",$E8/$D8),"")</f>
        <v>0.8799999999999999</v>
      </c>
      <c r="G8" s="12">
        <f>IFERROR(IF($F8="","",1-$F8),"")</f>
        <v>0.1200000000000001</v>
      </c>
      <c r="H8" s="13">
        <f>IFERROR(IF(OR($F8="",$F8=0),"",1/$F8),"")</f>
        <v>1.1363636363636365</v>
      </c>
      <c r="I8" s="11" t="n">
        <v>6.758526313000001</v>
      </c>
      <c r="J8" s="14">
        <f>IFERROR(IF(OR($I8="",$F8="",$F8=0),"",$I8/$F8),"")</f>
        <v>7.680143537500002</v>
      </c>
      <c r="K8" s="14">
        <f>IFERROR(IF(OR($J8="",$I8=""),"",$J8-$I8),"")</f>
        <v>0.9216172245000012</v>
      </c>
      <c r="L8" s="9" t="n"/>
    </row>
    <row r="9">
      <c r="A9" s="8" t="n">
        <v>4</v>
      </c>
      <c r="B9" s="9" t="inlineStr">
        <is>
          <t>Charcoal-grilled Iberico pork secreto</t>
        </is>
      </c>
      <c r="C9" s="18" t="inlineStr">
        <is>
          <t>Charcoal</t>
        </is>
      </c>
      <c r="D9" s="10" t="n">
        <v>0.6613867865546327</v>
      </c>
      <c r="E9" s="10" t="n">
        <v>0.4894262220504282</v>
      </c>
      <c r="F9" s="12">
        <f>IFERROR(IF(OR($D9="",$E9="",$D9=0),"",$E9/$D9),"")</f>
        <v>0.74</v>
      </c>
      <c r="G9" s="12">
        <f>IFERROR(IF($F9="","",1-$F9),"")</f>
        <v>0.26</v>
      </c>
      <c r="H9" s="13">
        <f>IFERROR(IF(OR($F9="",$F9=0),"",1/$F9),"")</f>
        <v>1.3513513513513513</v>
      </c>
      <c r="I9" s="11" t="n">
        <v>7.484274105000001</v>
      </c>
      <c r="J9" s="14">
        <f>IFERROR(IF(OR($I9="",$F9="",$F9=0),"",$I9/$F9),"")</f>
        <v>10.113883925675676</v>
      </c>
      <c r="K9" s="14">
        <f>IFERROR(IF(OR($J9="",$I9=""),"",$J9-$I9),"")</f>
        <v>2.6296098206756753</v>
      </c>
      <c r="L9" s="9" t="n"/>
    </row>
    <row r="10">
      <c r="A10" s="8" t="n">
        <v>5</v>
      </c>
      <c r="B10" s="9" t="inlineStr">
        <is>
          <t>Roasted vegetables</t>
        </is>
      </c>
      <c r="C10" s="18" t="inlineStr">
        <is>
          <t>Oven</t>
        </is>
      </c>
      <c r="D10" s="10" t="n">
        <v>2.2046226218487757</v>
      </c>
      <c r="E10" s="10" t="n">
        <v>1.5211896090756551</v>
      </c>
      <c r="F10" s="12">
        <f>IFERROR(IF(OR($D10="",$E10="",$D10=0),"",$E10/$D10),"")</f>
        <v>0.69</v>
      </c>
      <c r="G10" s="12">
        <f>IFERROR(IF($F10="","",1-$F10),"")</f>
        <v>0.31000000000000005</v>
      </c>
      <c r="H10" s="13">
        <f>IFERROR(IF(OR($F10="",$F10=0),"",1/$F10),"")</f>
        <v>1.4492753623188408</v>
      </c>
      <c r="I10" s="11" t="n">
        <v>0.9979032140000001</v>
      </c>
      <c r="J10" s="14">
        <f>IFERROR(IF(OR($I10="",$F10="",$F10=0),"",$I10/$F10),"")</f>
        <v>1.4462365420289858</v>
      </c>
      <c r="K10" s="14">
        <f>IFERROR(IF(OR($J10="",$I10=""),"",$J10-$I10),"")</f>
        <v>0.4483333280289856</v>
      </c>
      <c r="L10" s="9" t="n"/>
    </row>
    <row r="11">
      <c r="A11" s="8" t="n">
        <v>6</v>
      </c>
      <c r="B11" s="9" t="n"/>
      <c r="C11" s="9" t="n"/>
      <c r="D11" s="10" t="n"/>
      <c r="E11" s="10" t="n"/>
      <c r="F11" s="12">
        <f>IFERROR(IF(OR($D11="",$E11="",$D11=0),"",$E11/$D11),"")</f>
      </c>
      <c r="G11" s="12">
        <f>IFERROR(IF($F11="","",1-$F11),"")</f>
      </c>
      <c r="H11" s="13">
        <f>IFERROR(IF(OR($F11="",$F11=0),"",1/$F11),"")</f>
      </c>
      <c r="I11" s="11" t="n"/>
      <c r="J11" s="14">
        <f>IFERROR(IF(OR($I11="",$F11="",$F11=0),"",$I11/$F11),"")</f>
      </c>
      <c r="K11" s="14">
        <f>IFERROR(IF(OR($J11="",$I11=""),"",$J11-$I11),"")</f>
      </c>
      <c r="L11" s="9" t="n"/>
    </row>
    <row r="12">
      <c r="A12" s="8" t="n">
        <v>7</v>
      </c>
      <c r="B12" s="9" t="n"/>
      <c r="C12" s="9" t="n"/>
      <c r="D12" s="10" t="n"/>
      <c r="E12" s="10" t="n"/>
      <c r="F12" s="12">
        <f>IFERROR(IF(OR($D12="",$E12="",$D12=0),"",$E12/$D12),"")</f>
      </c>
      <c r="G12" s="12">
        <f>IFERROR(IF($F12="","",1-$F12),"")</f>
      </c>
      <c r="H12" s="13">
        <f>IFERROR(IF(OR($F12="",$F12=0),"",1/$F12),"")</f>
      </c>
      <c r="I12" s="11" t="n"/>
      <c r="J12" s="14">
        <f>IFERROR(IF(OR($I12="",$F12="",$F12=0),"",$I12/$F12),"")</f>
      </c>
      <c r="K12" s="14">
        <f>IFERROR(IF(OR($J12="",$I12=""),"",$J12-$I12),"")</f>
      </c>
      <c r="L12" s="9" t="n"/>
    </row>
    <row r="13">
      <c r="A13" s="8" t="n">
        <v>8</v>
      </c>
      <c r="B13" s="9" t="n"/>
      <c r="C13" s="9" t="n"/>
      <c r="D13" s="10" t="n"/>
      <c r="E13" s="10" t="n"/>
      <c r="F13" s="12">
        <f>IFERROR(IF(OR($D13="",$E13="",$D13=0),"",$E13/$D13),"")</f>
      </c>
      <c r="G13" s="12">
        <f>IFERROR(IF($F13="","",1-$F13),"")</f>
      </c>
      <c r="H13" s="13">
        <f>IFERROR(IF(OR($F13="",$F13=0),"",1/$F13),"")</f>
      </c>
      <c r="I13" s="11" t="n"/>
      <c r="J13" s="14">
        <f>IFERROR(IF(OR($I13="",$F13="",$F13=0),"",$I13/$F13),"")</f>
      </c>
      <c r="K13" s="14">
        <f>IFERROR(IF(OR($J13="",$I13=""),"",$J13-$I13),"")</f>
      </c>
      <c r="L13" s="9" t="n"/>
    </row>
    <row r="14">
      <c r="A14" s="8" t="n">
        <v>9</v>
      </c>
      <c r="B14" s="9" t="n"/>
      <c r="C14" s="9" t="n"/>
      <c r="D14" s="10" t="n"/>
      <c r="E14" s="10" t="n"/>
      <c r="F14" s="12">
        <f>IFERROR(IF(OR($D14="",$E14="",$D14=0),"",$E14/$D14),"")</f>
      </c>
      <c r="G14" s="12">
        <f>IFERROR(IF($F14="","",1-$F14),"")</f>
      </c>
      <c r="H14" s="13">
        <f>IFERROR(IF(OR($F14="",$F14=0),"",1/$F14),"")</f>
      </c>
      <c r="I14" s="11" t="n"/>
      <c r="J14" s="14">
        <f>IFERROR(IF(OR($I14="",$F14="",$F14=0),"",$I14/$F14),"")</f>
      </c>
      <c r="K14" s="14">
        <f>IFERROR(IF(OR($J14="",$I14=""),"",$J14-$I14),"")</f>
      </c>
      <c r="L14" s="9" t="n"/>
    </row>
    <row r="15">
      <c r="A15" s="8" t="n">
        <v>10</v>
      </c>
      <c r="B15" s="9" t="n"/>
      <c r="C15" s="9" t="n"/>
      <c r="D15" s="10" t="n"/>
      <c r="E15" s="10" t="n"/>
      <c r="F15" s="12">
        <f>IFERROR(IF(OR($D15="",$E15="",$D15=0),"",$E15/$D15),"")</f>
      </c>
      <c r="G15" s="12">
        <f>IFERROR(IF($F15="","",1-$F15),"")</f>
      </c>
      <c r="H15" s="13">
        <f>IFERROR(IF(OR($F15="",$F15=0),"",1/$F15),"")</f>
      </c>
      <c r="I15" s="11" t="n"/>
      <c r="J15" s="14">
        <f>IFERROR(IF(OR($I15="",$F15="",$F15=0),"",$I15/$F15),"")</f>
      </c>
      <c r="K15" s="14">
        <f>IFERROR(IF(OR($J15="",$I15=""),"",$J15-$I15),"")</f>
      </c>
      <c r="L15" s="9" t="n"/>
    </row>
    <row r="16"/>
    <row r="17">
      <c r="B17" s="15" t="inlineStr">
        <is>
          <t>SUMMARY — calculated by the workbook</t>
        </is>
      </c>
      <c r="C17" s="15" t="n"/>
      <c r="D17" s="15" t="n"/>
      <c r="E17" s="15" t="n"/>
      <c r="F17" s="15" t="n"/>
      <c r="G17" s="15" t="n"/>
      <c r="H17" s="15" t="n"/>
    </row>
    <row r="18">
      <c r="B18" s="5" t="inlineStr">
        <is>
          <t>Weighted average cooking yield (%)</t>
        </is>
      </c>
      <c r="E18" s="17">
        <f>IFERROR(IF(SUM($D$6:$D$15)=0,"",SUM($E$6:$E$15)/SUM($D$6:$D$15)),"")</f>
        <v>0.7270769230769231</v>
      </c>
    </row>
    <row r="19">
      <c r="B19" s="5" t="inlineStr">
        <is>
          <t>Average cooking loss (%)</t>
        </is>
      </c>
      <c r="E19" s="17">
        <f>IFERROR(IF($E$18="","",1-$E$18),"")</f>
        <v>0.27292307692307693</v>
      </c>
    </row>
    <row r="20">
      <c r="B20" t="inlineStr">
        <is>
          <t>Cooking tests recorded (no.)</t>
        </is>
      </c>
      <c r="E20" s="16">
        <f>IF(COUNTIF($E$6:$E$15,"&gt;0")=0,"",COUNTIF($E$6:$E$15,"&gt;0"))</f>
        <v>5.0</v>
      </c>
    </row>
  </sheetData>
  <sheetProtection selectLockedCells="0" selectUnlockedCells="0" sheet="1" objects="0" insertRows="0" insertHyperlinks="1" autoFilter="1" scenarios="0" formatColumns="0" deleteColumns="1" insertColumns="1" pivotTables="1" deleteRows="1" formatCells="1" formatRows="0" sort="0"/>
  <autoFilter ref="A5:L15"/>
  <dataValidations count="4">
    <dataValidation sqref="C6 C7 C8 C9 C10 C11 C12 C13 C14 C15" showDropDown="0" showInputMessage="0" showErrorMessage="1" allowBlank="1" errorTitle="Invalid technique" error="Choose a value from the list: Flat-top, Oven, Charcoal, Confit, Boiled, Steamed, Fried, Braised, Sous vide" type="list">
      <formula1>"Flat-top,Oven,Charcoal,Confit,Boiled,Steamed,Fried,Braised,Sous vide"</formula1>
    </dataValidation>
    <dataValidation sqref="D6 D7 D8 D9 D10 D11 D12 D13 D14 D15" showDropDown="0" showInputMessage="1" showErrorMessage="1" allowBlank="1" errorTitle="Raw weight" error="Type a number greater than or equal to 0." promptTitle="Raw weight" prompt="Weight before cooking, in lb." type="decimal" operator="greaterThanOrEqual">
      <formula1>0</formula1>
    </dataValidation>
    <dataValidation sqref="E6 E7 E8 E9 E10 E11 E12 E13 E14 E15" showDropDown="0" showInputMessage="1" showErrorMessage="1" allowBlank="1" errorTitle="Cooked weight" error="Type a number greater than or equal to 0." promptTitle="Cooked weight" prompt="Weight after cooking and resting, in lb." type="decimal" operator="greaterThanOrEqual">
      <formula1>0</formula1>
    </dataValidation>
    <dataValidation sqref="I6 I7 I8 I9 I10 I11 I12 I13 I14 I15" showDropDown="0" showInputMessage="1" showErrorMessage="1" allowBlank="1" errorTitle="Raw product cost" error="Type a number greater than or equal to 0." promptTitle="Raw product cost" prompt="Cost per pound of the raw product, before tax." type="decimal" operator="greaterThanOrEqual">
      <formula1>0</formula1>
    </dataValidation>
  </dataValidations>
  <pageMargins left="0.51" right="0.51"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4" customWidth="1" min="3" max="3"/>
    <col width="14" customWidth="1" min="4" max="4"/>
    <col width="14" customWidth="1" min="5" max="5"/>
    <col width="13" customWidth="1" min="6" max="6"/>
    <col width="13" customWidth="1" min="7" max="7"/>
    <col width="20" customWidth="1" min="8" max="8"/>
    <col width="15" customWidth="1" min="9" max="9"/>
    <col width="40" customWidth="1" min="10" max="10"/>
  </cols>
  <sheetData>
    <row r="1">
      <c r="A1" s="1" t="inlineStr">
        <is>
          <t>My Trim Loss Table</t>
        </is>
      </c>
    </row>
    <row r="2">
      <c r="A2" s="2" t="inlineStr">
        <is>
          <t>AI Chef Pro · aichef.pro — Food Cost + Menu Engineering Guide</t>
        </is>
      </c>
    </row>
    <row r="3">
      <c r="B3" s="4" t="inlineStr">
        <is>
          <t>The reference is only the starting point. As soon as you type your measured trim loss, the workbook stops using the reference and uses yours.</t>
        </is>
      </c>
    </row>
    <row r="4"/>
    <row r="5" ht="42" customHeight="1">
      <c r="A5" s="7" t="inlineStr">
        <is>
          <t>#</t>
        </is>
      </c>
      <c r="B5" s="7" t="inlineStr">
        <is>
          <t>Category</t>
        </is>
      </c>
      <c r="C5" s="7" t="inlineStr">
        <is>
          <t>Reference minimum (%)</t>
        </is>
      </c>
      <c r="D5" s="7" t="inlineStr">
        <is>
          <t>Reference maximum (%)</t>
        </is>
      </c>
      <c r="E5" s="7" t="inlineStr">
        <is>
          <t>Reference average (%)</t>
        </is>
      </c>
      <c r="F5" s="7" t="inlineStr">
        <is>
          <t>Your measured trim loss (%)</t>
        </is>
      </c>
      <c r="G5" s="7" t="inlineStr">
        <is>
          <t>Trim loss you use (%)</t>
        </is>
      </c>
      <c r="H5" s="7" t="inlineStr">
        <is>
          <t>Where the number comes from</t>
        </is>
      </c>
      <c r="I5" s="7" t="inlineStr">
        <is>
          <t>Difference from the reference (points)</t>
        </is>
      </c>
      <c r="J5" s="7" t="inlineStr">
        <is>
          <t>Note</t>
        </is>
      </c>
    </row>
    <row r="6">
      <c r="A6" s="8" t="n">
        <v>1</v>
      </c>
      <c r="B6" s="9" t="inlineStr">
        <is>
          <t>Meats (bone-in/fatty cuts)</t>
        </is>
      </c>
      <c r="C6" s="19" t="n">
        <v>0.15</v>
      </c>
      <c r="D6" s="19" t="n">
        <v>0.3</v>
      </c>
      <c r="E6" s="12">
        <f>IFERROR(IF(OR($C6="",$D6=""),"",($C6+$D6)/2),"")</f>
        <v>0.22499999999999998</v>
      </c>
      <c r="F6" s="19" t="n"/>
      <c r="G6" s="17">
        <f>IF(ISNUMBER($F6),$F6,IF($E6="","",$E6))</f>
        <v>0.22499999999999998</v>
      </c>
      <c r="H6" t="str">
        <f>IF(ISNUMBER($F6),"Your measurement",IF($E6="","","Reference range"))</f>
        <v>Reference range</v>
      </c>
      <c r="I6" s="12">
        <f>IF(ISNUMBER($F6),IF($E6="","",$F6-$E6),"")</f>
      </c>
      <c r="J6" s="6" t="inlineStr">
        <is>
          <t>Yield 70-85%</t>
        </is>
      </c>
    </row>
    <row r="7">
      <c r="A7" s="8" t="n">
        <v>2</v>
      </c>
      <c r="B7" s="9" t="inlineStr">
        <is>
          <t>Beef tenderloin (trimming)</t>
        </is>
      </c>
      <c r="C7" s="19" t="n">
        <v>0.1</v>
      </c>
      <c r="D7" s="19" t="n">
        <v>0.15</v>
      </c>
      <c r="E7" s="12">
        <f>IFERROR(IF(OR($C7="",$D7=""),"",($C7+$D7)/2),"")</f>
        <v>0.125</v>
      </c>
      <c r="F7" s="19" t="n">
        <v>0.119</v>
      </c>
      <c r="G7" s="17">
        <f>IF(ISNUMBER($F7),$F7,IF($E7="","",$E7))</f>
        <v>0.119</v>
      </c>
      <c r="H7" t="str">
        <f>IF(ISNUMBER($F7),"Your measurement",IF($E7="","","Reference range"))</f>
        <v>Your measurement</v>
      </c>
      <c r="I7" s="12">
        <f>IF(ISNUMBER($F7),IF($E7="","",$F7-$E7),"")</f>
        <v>-0.006000000000000005</v>
      </c>
      <c r="J7" s="9" t="n"/>
    </row>
    <row r="8">
      <c r="A8" s="8" t="n">
        <v>3</v>
      </c>
      <c r="B8" s="9" t="inlineStr">
        <is>
          <t>Whole fish</t>
        </is>
      </c>
      <c r="C8" s="19" t="n">
        <v>0.45</v>
      </c>
      <c r="D8" s="19" t="n">
        <v>0.55</v>
      </c>
      <c r="E8" s="12">
        <f>IFERROR(IF(OR($C8="",$D8=""),"",($C8+$D8)/2),"")</f>
        <v>0.5</v>
      </c>
      <c r="F8" s="19" t="n">
        <v>0.4833</v>
      </c>
      <c r="G8" s="17">
        <f>IF(ISNUMBER($F8),$F8,IF($E8="","",$E8))</f>
        <v>0.4833</v>
      </c>
      <c r="H8" t="str">
        <f>IF(ISNUMBER($F8),"Your measurement",IF($E8="","","Reference range"))</f>
        <v>Your measurement</v>
      </c>
      <c r="I8" s="12">
        <f>IF(ISNUMBER($F8),IF($E8="","",$F8-$E8),"")</f>
        <v>-0.016699999999999993</v>
      </c>
      <c r="J8" s="6" t="inlineStr">
        <is>
          <t>Head and bones usable for fish stock</t>
        </is>
      </c>
    </row>
    <row r="9">
      <c r="A9" s="8" t="n">
        <v>4</v>
      </c>
      <c r="B9" s="9" t="inlineStr">
        <is>
          <t>Fish loins/fillets</t>
        </is>
      </c>
      <c r="C9" s="19" t="n">
        <v>0.05</v>
      </c>
      <c r="D9" s="19" t="n">
        <v>0.12</v>
      </c>
      <c r="E9" s="12">
        <f>IFERROR(IF(OR($C9="",$D9=""),"",($C9+$D9)/2),"")</f>
        <v>0.08499999999999999</v>
      </c>
      <c r="F9" s="19" t="n"/>
      <c r="G9" s="17">
        <f>IF(ISNUMBER($F9),$F9,IF($E9="","",$E9))</f>
        <v>0.08499999999999999</v>
      </c>
      <c r="H9" t="str">
        <f>IF(ISNUMBER($F9),"Your measurement",IF($E9="","","Reference range"))</f>
        <v>Reference range</v>
      </c>
      <c r="I9" s="12">
        <f>IF(ISNUMBER($F9),IF($E9="","",$F9-$E9),"")</f>
      </c>
      <c r="J9" s="6" t="inlineStr">
        <is>
          <t>Skin and trimmings</t>
        </is>
      </c>
    </row>
    <row r="10">
      <c r="A10" s="8" t="n">
        <v>5</v>
      </c>
      <c r="B10" s="9" t="inlineStr">
        <is>
          <t>Leafy greens</t>
        </is>
      </c>
      <c r="C10" s="19" t="n">
        <v>0.1</v>
      </c>
      <c r="D10" s="19" t="n">
        <v>0.15</v>
      </c>
      <c r="E10" s="12">
        <f>IFERROR(IF(OR($C10="",$D10=""),"",($C10+$D10)/2),"")</f>
        <v>0.125</v>
      </c>
      <c r="F10" s="19" t="n"/>
      <c r="G10" s="17">
        <f>IF(ISNUMBER($F10),$F10,IF($E10="","",$E10))</f>
        <v>0.125</v>
      </c>
      <c r="H10" t="str">
        <f>IF(ISNUMBER($F10),"Your measurement",IF($E10="","","Reference range"))</f>
        <v>Reference range</v>
      </c>
      <c r="I10" s="12">
        <f>IF(ISNUMBER($F10),IF($E10="","",$F10-$E10),"")</f>
      </c>
      <c r="J10" s="9" t="n"/>
    </row>
    <row r="11">
      <c r="A11" s="8" t="n">
        <v>6</v>
      </c>
      <c r="B11" s="9" t="inlineStr">
        <is>
          <t>Vegetables and produce (general)</t>
        </is>
      </c>
      <c r="C11" s="19" t="n">
        <v>0.1</v>
      </c>
      <c r="D11" s="19" t="n">
        <v>0.25</v>
      </c>
      <c r="E11" s="12">
        <f>IFERROR(IF(OR($C11="",$D11=""),"",($C11+$D11)/2),"")</f>
        <v>0.175</v>
      </c>
      <c r="F11" s="19" t="n"/>
      <c r="G11" s="17">
        <f>IF(ISNUMBER($F11),$F11,IF($E11="","",$E11))</f>
        <v>0.175</v>
      </c>
      <c r="H11" t="str">
        <f>IF(ISNUMBER($F11),"Your measurement",IF($E11="","","Reference range"))</f>
        <v>Reference range</v>
      </c>
      <c r="I11" s="12">
        <f>IF(ISNUMBER($F11),IF($E11="","",$F11-$E11),"")</f>
      </c>
      <c r="J11" s="6" t="inlineStr">
        <is>
          <t>Yield 75-90%</t>
        </is>
      </c>
    </row>
    <row r="12">
      <c r="A12" s="8" t="n">
        <v>7</v>
      </c>
      <c r="B12" s="9" t="inlineStr">
        <is>
          <t>Artichoke</t>
        </is>
      </c>
      <c r="C12" s="19" t="n">
        <v>0.55</v>
      </c>
      <c r="D12" s="19" t="n">
        <v>0.65</v>
      </c>
      <c r="E12" s="12">
        <f>IFERROR(IF(OR($C12="",$D12=""),"",($C12+$D12)/2),"")</f>
        <v>0.6000000000000001</v>
      </c>
      <c r="F12" s="19" t="n">
        <v>0.62</v>
      </c>
      <c r="G12" s="17">
        <f>IF(ISNUMBER($F12),$F12,IF($E12="","",$E12))</f>
        <v>0.62</v>
      </c>
      <c r="H12" t="str">
        <f>IF(ISNUMBER($F12),"Your measurement",IF($E12="","","Reference range"))</f>
        <v>Your measurement</v>
      </c>
      <c r="I12" s="12">
        <f>IF(ISNUMBER($F12),IF($E12="","",$F12-$E12),"")</f>
        <v>0.019999999999999907</v>
      </c>
      <c r="J12" s="6" t="inlineStr">
        <is>
          <t>You keep the heart</t>
        </is>
      </c>
    </row>
    <row r="13">
      <c r="A13" s="8" t="n">
        <v>8</v>
      </c>
      <c r="B13" s="9" t="inlineStr">
        <is>
          <t>Mussels, snails, tripe</t>
        </is>
      </c>
      <c r="C13" s="19" t="n">
        <v>0.8</v>
      </c>
      <c r="D13" s="19" t="n">
        <v>0.85</v>
      </c>
      <c r="E13" s="12">
        <f>IFERROR(IF(OR($C13="",$D13=""),"",($C13+$D13)/2),"")</f>
        <v>0.825</v>
      </c>
      <c r="F13" s="19" t="n">
        <v>0.8</v>
      </c>
      <c r="G13" s="17">
        <f>IF(ISNUMBER($F13),$F13,IF($E13="","",$E13))</f>
        <v>0.8</v>
      </c>
      <c r="H13" t="str">
        <f>IF(ISNUMBER($F13),"Your measurement",IF($E13="","","Reference range"))</f>
        <v>Your measurement</v>
      </c>
      <c r="I13" s="12">
        <f>IF(ISNUMBER($F13),IF($E13="","",$F13-$E13),"")</f>
        <v>-0.02499999999999991</v>
      </c>
      <c r="J13" s="6" t="inlineStr">
        <is>
          <t>Yield 15-20%</t>
        </is>
      </c>
    </row>
    <row r="14">
      <c r="A14" s="8" t="n">
        <v>9</v>
      </c>
      <c r="B14" s="9" t="inlineStr">
        <is>
          <t>Whole shellfish (shrimp, langoustine)</t>
        </is>
      </c>
      <c r="C14" s="19" t="n">
        <v>0.45</v>
      </c>
      <c r="D14" s="19" t="n">
        <v>0.55</v>
      </c>
      <c r="E14" s="12">
        <f>IFERROR(IF(OR($C14="",$D14=""),"",($C14+$D14)/2),"")</f>
        <v>0.5</v>
      </c>
      <c r="F14" s="19" t="n">
        <v>0.475</v>
      </c>
      <c r="G14" s="17">
        <f>IF(ISNUMBER($F14),$F14,IF($E14="","",$E14))</f>
        <v>0.475</v>
      </c>
      <c r="H14" t="str">
        <f>IF(ISNUMBER($F14),"Your measurement",IF($E14="","","Reference range"))</f>
        <v>Your measurement</v>
      </c>
      <c r="I14" s="12">
        <f>IF(ISNUMBER($F14),IF($E14="","",$F14-$E14),"")</f>
        <v>-0.025000000000000022</v>
      </c>
      <c r="J14" s="6" t="inlineStr">
        <is>
          <t>Heads and shells usable for stock</t>
        </is>
      </c>
    </row>
    <row r="15">
      <c r="A15" s="8" t="n">
        <v>10</v>
      </c>
      <c r="B15" s="9" t="inlineStr">
        <is>
          <t>Fruit</t>
        </is>
      </c>
      <c r="C15" s="19" t="n">
        <v>0.15</v>
      </c>
      <c r="D15" s="19" t="n">
        <v>0.3</v>
      </c>
      <c r="E15" s="12">
        <f>IFERROR(IF(OR($C15="",$D15=""),"",($C15+$D15)/2),"")</f>
        <v>0.22499999999999998</v>
      </c>
      <c r="F15" s="19" t="n"/>
      <c r="G15" s="17">
        <f>IF(ISNUMBER($F15),$F15,IF($E15="","",$E15))</f>
        <v>0.22499999999999998</v>
      </c>
      <c r="H15" t="str">
        <f>IF(ISNUMBER($F15),"Your measurement",IF($E15="","","Reference range"))</f>
        <v>Reference range</v>
      </c>
      <c r="I15" s="12">
        <f>IF(ISNUMBER($F15),IF($E15="","",$F15-$E15),"")</f>
      </c>
      <c r="J15" s="6" t="inlineStr">
        <is>
          <t>Peel, pit, core</t>
        </is>
      </c>
    </row>
    <row r="16">
      <c r="A16" s="8" t="n">
        <v>11</v>
      </c>
      <c r="B16" s="9" t="inlineStr">
        <is>
          <t>Whole poultry</t>
        </is>
      </c>
      <c r="C16" s="19" t="n">
        <v>0.28</v>
      </c>
      <c r="D16" s="19" t="n">
        <v>0.35</v>
      </c>
      <c r="E16" s="12">
        <f>IFERROR(IF(OR($C16="",$D16=""),"",($C16+$D16)/2),"")</f>
        <v>0.315</v>
      </c>
      <c r="F16" s="19" t="n">
        <v>0.3182</v>
      </c>
      <c r="G16" s="17">
        <f>IF(ISNUMBER($F16),$F16,IF($E16="","",$E16))</f>
        <v>0.3182</v>
      </c>
      <c r="H16" t="str">
        <f>IF(ISNUMBER($F16),"Your measurement",IF($E16="","","Reference range"))</f>
        <v>Your measurement</v>
      </c>
      <c r="I16" s="12">
        <f>IF(ISNUMBER($F16),IF($E16="","",$F16-$E16),"")</f>
        <v>0.0031999999999999806</v>
      </c>
      <c r="J16" s="6" t="inlineStr">
        <is>
          <t>Carcass usable for broth</t>
        </is>
      </c>
    </row>
    <row r="17">
      <c r="A17" s="8" t="n">
        <v>12</v>
      </c>
      <c r="B17" s="9" t="inlineStr">
        <is>
          <t>Cheeses, cured meats (rind/skin)</t>
        </is>
      </c>
      <c r="C17" s="19" t="n">
        <v>0.03</v>
      </c>
      <c r="D17" s="19" t="n">
        <v>0.08</v>
      </c>
      <c r="E17" s="12">
        <f>IFERROR(IF(OR($C17="",$D17=""),"",($C17+$D17)/2),"")</f>
        <v>0.055</v>
      </c>
      <c r="F17" s="19" t="n"/>
      <c r="G17" s="17">
        <f>IF(ISNUMBER($F17),$F17,IF($E17="","",$E17))</f>
        <v>0.055</v>
      </c>
      <c r="H17" t="str">
        <f>IF(ISNUMBER($F17),"Your measurement",IF($E17="","","Reference range"))</f>
        <v>Reference range</v>
      </c>
      <c r="I17" s="12">
        <f>IF(ISNUMBER($F17),IF($E17="","",$F17-$E17),"")</f>
      </c>
      <c r="J17" s="9" t="n"/>
    </row>
    <row r="18">
      <c r="A18" s="8" t="n">
        <v>13</v>
      </c>
      <c r="B18" s="9" t="n"/>
      <c r="C18" s="19" t="n"/>
      <c r="D18" s="19" t="n"/>
      <c r="E18" s="12">
        <f>IFERROR(IF(OR($C18="",$D18=""),"",($C18+$D18)/2),"")</f>
      </c>
      <c r="F18" s="19" t="n"/>
      <c r="G18" s="17">
        <f>IF(ISNUMBER($F18),$F18,IF($E18="","",$E18))</f>
      </c>
      <c r="H18">
        <f>IF(ISNUMBER($F18),"Your measurement",IF($E18="","","Reference range"))</f>
      </c>
      <c r="I18" s="12">
        <f>IF(ISNUMBER($F18),IF($E18="","",$F18-$E18),"")</f>
      </c>
      <c r="J18" s="9" t="n"/>
    </row>
    <row r="19">
      <c r="A19" s="8" t="n">
        <v>14</v>
      </c>
      <c r="B19" s="9" t="n"/>
      <c r="C19" s="19" t="n"/>
      <c r="D19" s="19" t="n"/>
      <c r="E19" s="12">
        <f>IFERROR(IF(OR($C19="",$D19=""),"",($C19+$D19)/2),"")</f>
      </c>
      <c r="F19" s="19" t="n"/>
      <c r="G19" s="17">
        <f>IF(ISNUMBER($F19),$F19,IF($E19="","",$E19))</f>
      </c>
      <c r="H19">
        <f>IF(ISNUMBER($F19),"Your measurement",IF($E19="","","Reference range"))</f>
      </c>
      <c r="I19" s="12">
        <f>IF(ISNUMBER($F19),IF($E19="","",$F19-$E19),"")</f>
      </c>
      <c r="J19" s="9" t="n"/>
    </row>
    <row r="20">
      <c r="A20" s="8" t="n">
        <v>15</v>
      </c>
      <c r="B20" s="9" t="n"/>
      <c r="C20" s="19" t="n"/>
      <c r="D20" s="19" t="n"/>
      <c r="E20" s="12">
        <f>IFERROR(IF(OR($C20="",$D20=""),"",($C20+$D20)/2),"")</f>
      </c>
      <c r="F20" s="19" t="n"/>
      <c r="G20" s="17">
        <f>IF(ISNUMBER($F20),$F20,IF($E20="","",$E20))</f>
      </c>
      <c r="H20">
        <f>IF(ISNUMBER($F20),"Your measurement",IF($E20="","","Reference range"))</f>
      </c>
      <c r="I20" s="12">
        <f>IF(ISNUMBER($F20),IF($E20="","",$F20-$E20),"")</f>
      </c>
      <c r="J20" s="9" t="n"/>
    </row>
    <row r="21">
      <c r="A21" s="8" t="n">
        <v>16</v>
      </c>
      <c r="B21" s="9" t="n"/>
      <c r="C21" s="19" t="n"/>
      <c r="D21" s="19" t="n"/>
      <c r="E21" s="12">
        <f>IFERROR(IF(OR($C21="",$D21=""),"",($C21+$D21)/2),"")</f>
      </c>
      <c r="F21" s="19" t="n"/>
      <c r="G21" s="17">
        <f>IF(ISNUMBER($F21),$F21,IF($E21="","",$E21))</f>
      </c>
      <c r="H21">
        <f>IF(ISNUMBER($F21),"Your measurement",IF($E21="","","Reference range"))</f>
      </c>
      <c r="I21" s="12">
        <f>IF(ISNUMBER($F21),IF($E21="","",$F21-$E21),"")</f>
      </c>
      <c r="J21" s="9" t="n"/>
    </row>
    <row r="22">
      <c r="A22" s="8" t="n">
        <v>17</v>
      </c>
      <c r="B22" s="9" t="n"/>
      <c r="C22" s="19" t="n"/>
      <c r="D22" s="19" t="n"/>
      <c r="E22" s="12">
        <f>IFERROR(IF(OR($C22="",$D22=""),"",($C22+$D22)/2),"")</f>
      </c>
      <c r="F22" s="19" t="n"/>
      <c r="G22" s="17">
        <f>IF(ISNUMBER($F22),$F22,IF($E22="","",$E22))</f>
      </c>
      <c r="H22">
        <f>IF(ISNUMBER($F22),"Your measurement",IF($E22="","","Reference range"))</f>
      </c>
      <c r="I22" s="12">
        <f>IF(ISNUMBER($F22),IF($E22="","",$F22-$E22),"")</f>
      </c>
      <c r="J22" s="9" t="n"/>
    </row>
    <row r="23">
      <c r="A23" s="8" t="n">
        <v>18</v>
      </c>
      <c r="B23" s="9" t="n"/>
      <c r="C23" s="19" t="n"/>
      <c r="D23" s="19" t="n"/>
      <c r="E23" s="12">
        <f>IFERROR(IF(OR($C23="",$D23=""),"",($C23+$D23)/2),"")</f>
      </c>
      <c r="F23" s="19" t="n"/>
      <c r="G23" s="17">
        <f>IF(ISNUMBER($F23),$F23,IF($E23="","",$E23))</f>
      </c>
      <c r="H23">
        <f>IF(ISNUMBER($F23),"Your measurement",IF($E23="","","Reference range"))</f>
      </c>
      <c r="I23" s="12">
        <f>IF(ISNUMBER($F23),IF($E23="","",$F23-$E23),"")</f>
      </c>
      <c r="J23" s="9" t="n"/>
    </row>
    <row r="24"/>
    <row r="25">
      <c r="B25" s="15" t="inlineStr">
        <is>
          <t>SUMMARY — calculated by the workbook</t>
        </is>
      </c>
      <c r="C25" s="15" t="n"/>
      <c r="D25" s="15" t="n"/>
      <c r="E25" s="15" t="n"/>
      <c r="F25" s="15" t="n"/>
      <c r="G25" s="15" t="n"/>
      <c r="H25" s="15" t="n"/>
    </row>
    <row r="26">
      <c r="B26" s="5" t="inlineStr">
        <is>
          <t>Categories with your own measurement (no.)</t>
        </is>
      </c>
      <c r="E26" s="20">
        <f>COUNTIF($H$6:$H$23,"Your measurement")</f>
        <v>6.0</v>
      </c>
    </row>
    <row r="27">
      <c r="B27" t="inlineStr">
        <is>
          <t>Categories still on the reference (no.)</t>
        </is>
      </c>
      <c r="E27" s="16">
        <f>COUNTIF($H$6:$H$23,"Reference range")</f>
        <v>6.0</v>
      </c>
    </row>
    <row r="28">
      <c r="B28" t="inlineStr">
        <is>
          <t>Average deviation of your measurements from the reference (points)</t>
        </is>
      </c>
      <c r="E28" s="12">
        <f>IFERROR(IF(COUNTIF($H$6:$H$23,"Your measurement")=0,"",SUM($I$6:$I$23)/COUNTIF($H$6:$H$23,"Your measurement")),"")</f>
        <v>-0.008250000000000007</v>
      </c>
      <c r="J28" s="4" t="inlineStr">
        <is>
          <t>If your trim loss is consistently above the reference, the problem isn't the table: it's the butchering, the supplier or the size they send you.</t>
        </is>
      </c>
    </row>
  </sheetData>
  <sheetProtection selectLockedCells="0" selectUnlockedCells="0" sheet="1" objects="0" insertRows="0" insertHyperlinks="1" autoFilter="1" scenarios="0" formatColumns="0" deleteColumns="1" insertColumns="1" pivotTables="1" deleteRows="1" formatCells="1" formatRows="0" sort="0"/>
  <autoFilter ref="A5:J23"/>
  <conditionalFormatting sqref="H6:H23">
    <cfRule type="cellIs" priority="1" operator="equal" dxfId="0" stopIfTrue="1">
      <formula>"Your measurement"</formula>
    </cfRule>
    <cfRule type="cellIs" priority="2" operator="equal" dxfId="1" stopIfTrue="1">
      <formula>"Reference range"</formula>
    </cfRule>
  </conditionalFormatting>
  <dataValidations count="3">
    <dataValidation sqref="C6 C7 C8 C9 C10 C11 C12 C13 C14 C15 C16 C17 C18 C19 C20 C21 C22 C23" showDropDown="0" showInputMessage="1" showErrorMessage="1" allowBlank="1" errorTitle="Reference minimum" error="Type a percentage between 0 and 0.95 (0.20 = 20%)." promptTitle="Reference minimum" prompt="Type it as a decimal: 0.20 = 20%. The cap is 0.95 because trim loss enters the cost as net/(1 − trim loss)." type="decimal" operator="between">
      <formula1>0</formula1>
      <formula2>0.95</formula2>
    </dataValidation>
    <dataValidation sqref="D6 D7 D8 D9 D10 D11 D12 D13 D14 D15 D16 D17 D18 D19 D20 D21 D22 D23" showDropDown="0" showInputMessage="1" showErrorMessage="1" allowBlank="1" errorTitle="Reference maximum" error="Type a percentage between 0 and 0.95 (0.20 = 20%)." promptTitle="Reference maximum" prompt="Type it as a decimal: 0.20 = 20%. The cap is 0.95 because trim loss enters the cost as net/(1 − trim loss)." type="decimal" operator="between">
      <formula1>0</formula1>
      <formula2>0.95</formula2>
    </dataValidation>
    <dataValidation sqref="F6 F7 F8 F9 F10 F11 F12 F13 F14 F15 F16 F17 F18 F19 F20 F21 F22 F23" showDropDown="0" showInputMessage="1" showErrorMessage="1" allowBlank="1" errorTitle="Your measured trim loss" error="Type a percentage between 0 and 0.95 (0.20 = 20%)." promptTitle="Your measured trim loss" prompt="Type it as a decimal: 0.20 = 20%. The cap is 0.95 because trim loss enters the cost as net/(1 − trim loss)." type="decimal" operator="between">
      <formula1>0</formula1>
      <formula2>0.95</formula2>
    </dataValidation>
  </dataValidations>
  <pageMargins left="0.51" right="0.51"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Yield, Trim Loss and Net Product Cost</dc:title>
  <dc:subject xmlns:dc="http://purl.org/dc/elements/1.1/">Food Cost + Menu Engineering Guide · Version 1.0 · October 2026</dc:subject>
  <dcterms:created xmlns:dcterms="http://purl.org/dc/terms/" xmlns:xsi="http://www.w3.org/2001/XMLSchema-instance" xsi:type="dcterms:W3CDTF">2026-09-03T21:53:58Z</dcterms:created>
  <dcterms:modified xmlns:dcterms="http://purl.org/dc/terms/" xmlns:xsi="http://www.w3.org/2001/XMLSchema-instance" xsi:type="dcterms:W3CDTF">2026-10-15T08:00:00Z</dcterms:modified>
  <cp:lastModifiedBy>AI Chef Pro</cp:lastModifiedBy>
</cp:coreProperties>
</file>