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Monthly" sheetId="3" state="visible" r:id="rId3"/>
  </sheets>
  <definedNames>
    <definedName name="_xlnm.Print_Titles" localSheetId="2">'Monthly'!$4:$4</definedName>
  </definedNames>
  <calcPr calcId="124519" fullCalcOnLoad="1"/>
</workbook>
</file>

<file path=xl/styles.xml><?xml version="1.0" encoding="utf-8"?>
<styleSheet xmlns="http://schemas.openxmlformats.org/spreadsheetml/2006/main">
  <numFmts count="2">
    <numFmt numFmtId="164" formatCode="0.0%"/>
    <numFmt numFmtId="165" formatCode="#,##0.00"/>
  </numFmts>
  <fonts count="7">
    <font>
      <name val="Calibri"/>
      <family val="2"/>
      <color theme="1"/>
      <sz val="11"/>
      <scheme val="minor"/>
    </font>
    <font>
      <b val="1"/>
      <color rgb="00FFD700"/>
      <sz val="16"/>
    </font>
    <font>
      <b val="1"/>
      <color theme="1"/>
      <sz val="11"/>
    </font>
    <font>
      <b val="1"/>
      <sz val="12"/>
    </font>
    <font>
      <b val="1"/>
      <color rgb="00FFFFFF"/>
    </font>
    <font>
      <i val="1"/>
      <sz val="9"/>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2F2F2"/>
      </patternFill>
    </fill>
    <fill>
      <patternFill patternType="solid">
        <fgColor rgb="00FFF6DC"/>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3"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2" fillId="0" borderId="0" pivotButton="0" quotePrefix="0" xfId="0"/>
    <xf numFmtId="0" fontId="4" fillId="3" borderId="0" applyAlignment="1" pivotButton="0" quotePrefix="0" xfId="0">
      <alignment horizontal="center" vertical="center" wrapText="1"/>
    </xf>
    <xf numFmtId="164" fontId="0" fillId="2" borderId="0" applyProtection="1" pivotButton="0" quotePrefix="0" xfId="0">
      <protection locked="0" hidden="0"/>
    </xf>
    <xf numFmtId="164" fontId="0" fillId="4" borderId="0" pivotButton="0" quotePrefix="0" xfId="0"/>
    <xf numFmtId="0" fontId="5" fillId="0" borderId="0" pivotButton="0" quotePrefix="0" xfId="0"/>
    <xf numFmtId="165" fontId="0" fillId="2" borderId="0" applyProtection="1" pivotButton="0" quotePrefix="0" xfId="0">
      <protection locked="0" hidden="0"/>
    </xf>
    <xf numFmtId="165" fontId="0" fillId="0" borderId="0" pivotButton="0" quotePrefix="0" xfId="0"/>
    <xf numFmtId="164" fontId="0" fillId="0" borderId="0" pivotButton="0" quotePrefix="0" xfId="0"/>
    <xf numFmtId="0" fontId="6" fillId="5" borderId="0" pivotButton="0" quotePrefix="0" xfId="0"/>
    <xf numFmtId="165" fontId="6" fillId="5" borderId="0" pivotButton="0" quotePrefix="0" xfId="0"/>
    <xf numFmtId="164" fontId="6" fillId="5" borderId="0" pivotButton="0" quotePrefix="0" xfId="0"/>
    <xf numFmtId="0" fontId="0" fillId="4" borderId="0" pivotButton="0" quotePrefix="0" xfId="0"/>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Monthly prime cost vs. target</a:t>
            </a:r>
          </a:p>
        </rich>
      </tx>
    </title>
    <plotArea>
      <lineChart>
        <grouping val="standard"/>
        <ser>
          <idx val="0"/>
          <order val="0"/>
          <tx>
            <strRef>
              <f>'Monthly'!N4</f>
            </strRef>
          </tx>
          <spPr>
            <a:ln xmlns:a="http://schemas.openxmlformats.org/drawingml/2006/main">
              <a:prstDash val="solid"/>
            </a:ln>
          </spPr>
          <marker>
            <symbol val="none"/>
            <spPr>
              <a:ln xmlns:a="http://schemas.openxmlformats.org/drawingml/2006/main">
                <a:prstDash val="solid"/>
              </a:ln>
            </spPr>
          </marker>
          <cat>
            <numRef>
              <f>'Monthly'!$A$5:$A$16</f>
            </numRef>
          </cat>
          <val>
            <numRef>
              <f>'Monthly'!$N$5:$N$16</f>
            </numRef>
          </val>
        </ser>
        <ser>
          <idx val="1"/>
          <order val="1"/>
          <tx>
            <strRef>
              <f>'Monthly'!O4</f>
            </strRef>
          </tx>
          <spPr>
            <a:ln xmlns:a="http://schemas.openxmlformats.org/drawingml/2006/main">
              <a:prstDash val="solid"/>
            </a:ln>
          </spPr>
          <marker>
            <symbol val="none"/>
            <spPr>
              <a:ln xmlns:a="http://schemas.openxmlformats.org/drawingml/2006/main">
                <a:prstDash val="solid"/>
              </a:ln>
            </spPr>
          </marker>
          <cat>
            <numRef>
              <f>'Monthly'!$A$5:$A$16</f>
            </numRef>
          </cat>
          <val>
            <numRef>
              <f>'Monthly'!$O$5:$O$16</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Month</a:t>
                </a:r>
              </a:p>
            </rich>
          </tx>
        </title>
        <majorTickMark val="none"/>
        <minorTickMark val="none"/>
        <tickLblPos val="low"/>
        <crossAx val="100"/>
        <lblOffset val="100"/>
      </catAx>
      <valAx>
        <axId val="100"/>
        <scaling>
          <orientation val="minMax"/>
        </scaling>
        <delete val="0"/>
        <axPos val="l"/>
        <title>
          <tx>
            <rich>
              <a:bodyPr xmlns:a="http://schemas.openxmlformats.org/drawingml/2006/main"/>
              <a:p xmlns:a="http://schemas.openxmlformats.org/drawingml/2006/main">
                <a:pPr>
                  <a:defRPr/>
                </a:pPr>
                <a:r>
                  <a:t>Prime cost (%)</a:t>
                </a:r>
              </a:p>
            </rich>
          </tx>
        </title>
        <numFmt formatCode="0.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19</row>
      <rowOff>0</rowOff>
    </from>
    <ext cx="864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23"/>
  <sheetViews>
    <sheetView workbookViewId="0">
      <selection activeCell="A1" sqref="A1"/>
    </sheetView>
  </sheetViews>
  <sheetFormatPr baseColWidth="8" defaultRowHeight="15"/>
  <cols>
    <col width="110" customWidth="1" min="1" max="1"/>
  </cols>
  <sheetData>
    <row r="1" ht="30" customHeight="1">
      <c r="A1" s="1" t="inlineStr">
        <is>
          <t>Prime Cost Dashboard</t>
        </is>
      </c>
    </row>
    <row r="2">
      <c r="A2" t="inlineStr">
        <is>
          <t>AI Chef Pro · aichef.pro — Food Cost + Menu Engineering Guide</t>
        </is>
      </c>
    </row>
    <row r="3"/>
    <row r="4">
      <c r="A4" s="2" t="inlineStr">
        <is>
          <t>How to use this workbook</t>
        </is>
      </c>
    </row>
    <row r="5" ht="30" customHeight="1">
      <c r="A5" s="3" t="inlineStr">
        <is>
          <t>1. "Inputs" sheet: choose your business type. The prime cost target changes on its own (65% for full service, 55% for counter or self-service), and both targets are green cells you can adjust.</t>
        </is>
      </c>
    </row>
    <row r="6" ht="30" customHeight="1">
      <c r="A6" s="3" t="inlineStr">
        <is>
          <t>2. Check the employer payroll taxes and benefits rate and your target food cost: the whole workbook reads those two cells.</t>
        </is>
      </c>
    </row>
    <row r="7" ht="30" customHeight="1">
      <c r="A7" s="3" t="inlineStr">
        <is>
          <t>3. "Monthly" sheet: for each month, net food and beverage sales, beginning inventory, purchases, ending inventory, gross wages and other labor costs. All PRE-TAX.</t>
        </is>
      </c>
    </row>
    <row r="8" ht="30" customHeight="1">
      <c r="A8" s="3" t="inlineStr">
        <is>
          <t>4. Product usage is calculated on its own: beginning inventory + purchases − ending inventory. It isn't the same as the month's purchases.</t>
        </is>
      </c>
    </row>
    <row r="9" ht="30" customHeight="1">
      <c r="A9" s="3" t="inlineStr">
        <is>
          <t>5. Labor cost adds employer payroll taxes and benefits to gross wages: $15,400 of wages costs $20,482 with a 33% load. Counting gross wages alone is the most expensive mistake on this sheet.</t>
        </is>
      </c>
    </row>
    <row r="10" ht="30" customHeight="1">
      <c r="A10" s="3" t="inlineStr">
        <is>
          <t>6. Read the "Prime cost" column: if it's above target, it turns red. The chart shows the twelve months against the target line.</t>
        </is>
      </c>
    </row>
    <row r="11" ht="30" customHeight="1">
      <c r="A11" s="3" t="inlineStr">
        <is>
          <t>7. The TOTAL / AVERAGE row is a WEIGHTED average: it divides the year's usage by the year's sales; it doesn't average the twelve percentages.</t>
        </is>
      </c>
    </row>
    <row r="12"/>
    <row r="13">
      <c r="A13" s="4" t="inlineStr">
        <is>
          <t>Green cells = editable fields</t>
        </is>
      </c>
    </row>
    <row r="14"/>
    <row r="15" ht="30" customHeight="1">
      <c r="A15" s="3" t="inlineStr">
        <is>
          <t>All figures are PRE-TAX; amounts carry no currency symbol and are in your currency. Food cost and prime cost are measured on NET sales (before sales tax, VAT or GST, and without tips) and on cost NET of any tax you get back: in the US, sales tax you pay on supplies is a cost; if you're registered for VAT or GST/HST, the tax on purchases is cash flow, not cost.</t>
        </is>
      </c>
    </row>
    <row r="16" ht="30" customHeight="1">
      <c r="A16" s="3" t="inlineStr">
        <is>
          <t>Prime cost = product cost + labor cost with payroll taxes and benefits, over net sales. It's the metric that measures the health of the business because it brings together the two lines you can really move.</t>
        </is>
      </c>
    </row>
    <row r="17" ht="30" customHeight="1">
      <c r="A17" s="3" t="inlineStr">
        <is>
          <t>A "good" food cost can be hiding a broken labor cost: that's why the two columns sit together and the traffic light looks at the sum.</t>
        </is>
      </c>
    </row>
    <row r="18" ht="30" customHeight="1">
      <c r="A18" s="3" t="inlineStr">
        <is>
          <t>Margin after prime cost isn't profit: it hasn't paid rent, utilities, depreciation or taxes yet.</t>
        </is>
      </c>
    </row>
    <row r="19" ht="30" customHeight="1">
      <c r="A19" s="3" t="inlineStr">
        <is>
          <t>The "Product cost on total sales" column on this sheet is NOT the same number as the menu food cost % (menu-engineering-matrix.xlsx): here the usage of ALL product (food + beverage) is compared with TOTAL sales, because that's what prime cost needs. The matrix calculates the food cost of food ONLY, over food sales ONLY. Both are right; they measure different things.</t>
        </is>
      </c>
    </row>
    <row r="20"/>
    <row r="21">
      <c r="A21" t="inlineStr">
        <is>
          <t>To edit the structure or any cell that isn't green, unprotect the sheet (no password).</t>
        </is>
      </c>
    </row>
    <row r="22">
      <c r="A22" t="inlineStr">
        <is>
          <t>Designed by John Guerrero — chef and restaurant consultant since 2010 · johnguerrero.es</t>
        </is>
      </c>
    </row>
    <row r="23">
      <c r="A23" t="inlineStr">
        <is>
          <t>Version 1.0 · October 2026 · aichef.pro/en/digital-products/food-cost-menu-engineering-guide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24"/>
  <sheetViews>
    <sheetView workbookViewId="0">
      <selection activeCell="A1" sqref="A1"/>
    </sheetView>
  </sheetViews>
  <sheetFormatPr baseColWidth="8" defaultRowHeight="15"/>
  <cols>
    <col width="42" customWidth="1" min="1" max="1"/>
    <col width="20" customWidth="1" min="2" max="2"/>
    <col width="18" customWidth="1" min="3" max="3"/>
    <col width="18" customWidth="1" min="4" max="4"/>
  </cols>
  <sheetData>
    <row r="1" ht="30" customHeight="1">
      <c r="A1" s="1" t="inlineStr">
        <is>
          <t>Dashboard inputs</t>
        </is>
      </c>
    </row>
    <row r="2">
      <c r="A2" t="inlineStr">
        <is>
          <t>AI Chef Pro · aichef.pro — Food Cost + Menu Engineering Guide</t>
        </is>
      </c>
    </row>
    <row r="3"/>
    <row r="4">
      <c r="A4" s="2" t="inlineStr">
        <is>
          <t>BUSINESS TYPE AND PRIME COST TARGET</t>
        </is>
      </c>
    </row>
    <row r="5">
      <c r="A5" s="5" t="inlineStr">
        <is>
          <t>Business type</t>
        </is>
      </c>
      <c r="B5" s="4" t="inlineStr">
        <is>
          <t>Full service</t>
        </is>
      </c>
    </row>
    <row r="6"/>
    <row r="7" ht="32" customHeight="1">
      <c r="A7" s="6" t="inlineStr">
        <is>
          <t>Business type</t>
        </is>
      </c>
      <c r="B7" s="6" t="inlineStr">
        <is>
          <t>Prime cost target (%)</t>
        </is>
      </c>
    </row>
    <row r="8">
      <c r="A8" s="5" t="inlineStr">
        <is>
          <t>Full service</t>
        </is>
      </c>
      <c r="B8" s="7" t="n">
        <v>0.65</v>
      </c>
    </row>
    <row r="9">
      <c r="A9" s="5" t="inlineStr">
        <is>
          <t>Counter / self-service</t>
        </is>
      </c>
      <c r="B9" s="7" t="n">
        <v>0.55</v>
      </c>
    </row>
    <row r="10"/>
    <row r="11">
      <c r="A11" s="5" t="inlineStr">
        <is>
          <t>Prime cost target in use (%)</t>
        </is>
      </c>
      <c r="B11" s="8">
        <f>IF($B$5=$A$8,$B$8,IF($B$5=$A$9,$B$9,""))</f>
        <v>0.65</v>
      </c>
    </row>
    <row r="12"/>
    <row r="13">
      <c r="A13" t="inlineStr">
        <is>
          <t>Commonly cited reference structure: product cost around 30% and labor cost of 30-35% for full service (15-25% for counter or self-service). Hence the two targets: 65% and 55%.</t>
        </is>
      </c>
    </row>
    <row r="14">
      <c r="A14" t="inlineStr">
        <is>
          <t>Source: Toast, How to Calculate Prime Cost (2026): 60% at most; 60-65% for full service and 55-60% for quick service.</t>
        </is>
      </c>
    </row>
    <row r="15">
      <c r="A15" t="inlineStr">
        <is>
          <t>The 60% often quoted as the prime cost ceiling comes from Toast, a US benchmark. This workbook ships with 65% and 55% as a starting point: tighten them if you want to work to that benchmark.</t>
        </is>
      </c>
    </row>
    <row r="16">
      <c r="A16" t="inlineStr">
        <is>
          <t>Both targets are green cells: if your labor setup, your hours or your service model are different, change them and the traffic light on the "Monthly" sheet recalculates.</t>
        </is>
      </c>
    </row>
    <row r="17"/>
    <row r="18">
      <c r="A18" s="2" t="inlineStr">
        <is>
          <t>OTHER INPUTS</t>
        </is>
      </c>
    </row>
    <row r="19" ht="20" customHeight="1">
      <c r="A19" s="6" t="inlineStr">
        <is>
          <t>Input</t>
        </is>
      </c>
      <c r="B19" s="6" t="inlineStr">
        <is>
          <t>Value</t>
        </is>
      </c>
    </row>
    <row r="20">
      <c r="A20" t="inlineStr">
        <is>
          <t>Employer payroll taxes and benefits (%)</t>
        </is>
      </c>
      <c r="B20" s="7" t="n">
        <v>0.33</v>
      </c>
    </row>
    <row r="21">
      <c r="A21" s="5" t="inlineStr">
        <is>
          <t>Target food cost (%)</t>
        </is>
      </c>
      <c r="B21" s="7" t="n">
        <v>0.3</v>
      </c>
    </row>
    <row r="22"/>
    <row r="23">
      <c r="A23" t="inlineStr">
        <is>
          <t>An approximate load on top of gross wages (employer payroll taxes, insurance and benefits). It's a model parameter: replace it with your own.</t>
        </is>
      </c>
    </row>
    <row r="24">
      <c r="A24" t="inlineStr">
        <is>
          <t>The target food cost is your restaurant's own. A 2026 European industry study puts the average around 30%, with food at 28% and beverage at 34.5% of their own revenue.</t>
        </is>
      </c>
    </row>
  </sheetData>
  <sheetProtection selectLockedCells="0" selectUnlockedCells="0" sheet="1" objects="0" insertRows="0" insertHyperlinks="1" autoFilter="1" scenarios="0" formatColumns="0" deleteColumns="1" insertColumns="1" pivotTables="1" deleteRows="1" formatCells="1" formatRows="0" sort="0"/>
  <dataValidations count="2">
    <dataValidation sqref="B5" showDropDown="0" showInputMessage="0" showErrorMessage="1" allowBlank="1" errorTitle="Business type" error="Choose a value from the list: Full service, Counter / self-service" type="list">
      <formula1>"Full service,Counter / self-service"</formula1>
    </dataValidation>
    <dataValidation sqref="B8 B9 B20 B21" showDropDown="0" showInputMessage="1" showErrorMessage="1" allowBlank="1" errorTitle="Percentage" error="Type a percentage between 0 and 1 (0.20 = 20%)." promptTitle="Percentage" prompt="Type it as a decimal: 0.65 = 65%." type="decimal" operator="between">
      <formula1>0</formula1>
      <formula2>1.0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R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5" customWidth="1" min="6" max="6"/>
    <col width="16" customWidth="1" min="7" max="7"/>
    <col width="17" customWidth="1" min="8" max="8"/>
    <col width="12" customWidth="1" min="9" max="9"/>
    <col width="15" customWidth="1" min="10" max="10"/>
    <col width="16" customWidth="1" min="11" max="11"/>
    <col width="18" customWidth="1" min="12" max="12"/>
    <col width="12" customWidth="1" min="13" max="13"/>
    <col width="12" customWidth="1" min="14" max="14"/>
    <col width="14" customWidth="1" min="15" max="15"/>
    <col width="17" customWidth="1" min="16" max="16"/>
    <col width="16" customWidth="1" min="17" max="17"/>
    <col width="24" customWidth="1" min="18" max="18"/>
  </cols>
  <sheetData>
    <row r="1" ht="30" customHeight="1">
      <c r="A1" s="1" t="inlineStr">
        <is>
          <t>Prime cost month by month</t>
        </is>
      </c>
    </row>
    <row r="2">
      <c r="A2" t="inlineStr">
        <is>
          <t>AI Chef Pro · aichef.pro — Food Cost + Menu Engineering Guide</t>
        </is>
      </c>
    </row>
    <row r="3">
      <c r="A3" s="9" t="inlineStr">
        <is>
          <t>All figures are pre-tax. Usage is beginning inventory + purchases − ending inventory, not the month's purchases.</t>
        </is>
      </c>
    </row>
    <row r="4" ht="62" customHeight="1">
      <c r="A4" s="6" t="inlineStr">
        <is>
          <t>Month</t>
        </is>
      </c>
      <c r="B4" s="6" t="inlineStr">
        <is>
          <t>Net food sales</t>
        </is>
      </c>
      <c r="C4" s="6" t="inlineStr">
        <is>
          <t>Net beverage sales</t>
        </is>
      </c>
      <c r="D4" s="6" t="inlineStr">
        <is>
          <t>Total net sales</t>
        </is>
      </c>
      <c r="E4" s="6" t="inlineStr">
        <is>
          <t>Beginning inventory</t>
        </is>
      </c>
      <c r="F4" s="6" t="inlineStr">
        <is>
          <t>Purchases for the month</t>
        </is>
      </c>
      <c r="G4" s="6" t="inlineStr">
        <is>
          <t>Ending inventory</t>
        </is>
      </c>
      <c r="H4" s="6" t="inlineStr">
        <is>
          <t>Product usage</t>
        </is>
      </c>
      <c r="I4" s="6" t="inlineStr">
        <is>
          <t>Product cost on total sales (%)</t>
        </is>
      </c>
      <c r="J4" s="6" t="inlineStr">
        <is>
          <t>Gross wages</t>
        </is>
      </c>
      <c r="K4" s="6" t="inlineStr">
        <is>
          <t>Other labor costs</t>
        </is>
      </c>
      <c r="L4" s="6" t="inlineStr">
        <is>
          <t>Labor cost with payroll taxes and benefits</t>
        </is>
      </c>
      <c r="M4" s="6" t="inlineStr">
        <is>
          <t>Labor cost (%)</t>
        </is>
      </c>
      <c r="N4" s="6" t="inlineStr">
        <is>
          <t>Prime cost (%)</t>
        </is>
      </c>
      <c r="O4" s="6" t="inlineStr">
        <is>
          <t>Prime cost target (%)</t>
        </is>
      </c>
      <c r="P4" s="6" t="inlineStr">
        <is>
          <t>Margin after prime cost</t>
        </is>
      </c>
      <c r="Q4" s="6" t="inlineStr">
        <is>
          <t>Margin after prime cost (%)</t>
        </is>
      </c>
      <c r="R4" s="6" t="inlineStr">
        <is>
          <t>Prime cost reading</t>
        </is>
      </c>
    </row>
    <row r="5">
      <c r="A5" s="4" t="inlineStr">
        <is>
          <t>January</t>
        </is>
      </c>
      <c r="B5" s="10" t="n">
        <v>51500</v>
      </c>
      <c r="C5" s="10" t="n">
        <v>38100</v>
      </c>
      <c r="D5" s="11">
        <f>IFERROR(IF(AND($B5="",$C5=""),"",IF($B5="",0,$B5)+IF($C5="",0,$C5)),"")</f>
        <v>89600.0</v>
      </c>
      <c r="E5" s="10" t="n">
        <v>9700</v>
      </c>
      <c r="F5" s="10" t="n">
        <v>28100</v>
      </c>
      <c r="G5" s="10" t="n">
        <v>9400</v>
      </c>
      <c r="H5" s="11">
        <f>IFERROR(IF(OR($E5="",$F5="",$G5=""),"",$E5+$F5-$G5),"")</f>
        <v>28400.0</v>
      </c>
      <c r="I5" s="12">
        <f>IFERROR(IF(OR($H5="",$D5="",$D5=0),"",$H5/$D5),"")</f>
        <v>0.3169642857142857</v>
      </c>
      <c r="J5" s="10" t="n">
        <v>21600</v>
      </c>
      <c r="K5" s="10" t="n">
        <v>1260</v>
      </c>
      <c r="L5" s="11">
        <f>IFERROR(IF($J5="","",$J5*(1+Inputs!$B$20)+IF($K5="",0,$K5)),"")</f>
        <v>29988.0</v>
      </c>
      <c r="M5" s="12">
        <f>IFERROR(IF(OR($L5="",$D5="",$D5=0),"",$L5/$D5),"")</f>
        <v>0.3346875</v>
      </c>
      <c r="N5" s="12">
        <f>IFERROR(IF(OR($H5="",$L5="",$D5="",$D5=0),"",($H5+$L5)/$D5),"")</f>
        <v>0.6516517857142857</v>
      </c>
      <c r="O5" s="12">
        <f>IF(Inputs!$B$11="","",Inputs!$B$11)</f>
        <v>0.65</v>
      </c>
      <c r="P5" s="11">
        <f>IFERROR(IF(OR($D5="",$H5="",$L5=""),"",$D5-$H5-$L5),"")</f>
        <v>31212.0</v>
      </c>
      <c r="Q5" s="12">
        <f>IFERROR(IF(OR($P5="",$D5="",$D5=0),"",$P5/$D5),"")</f>
        <v>0.3483482142857143</v>
      </c>
      <c r="R5" t="str">
        <f>IF(OR($N5="",$O5=""),"",IF($N5&lt;=$O5,"On target","Above target"))</f>
        <v>Above target</v>
      </c>
    </row>
    <row r="6">
      <c r="A6" s="4" t="inlineStr">
        <is>
          <t>February</t>
        </is>
      </c>
      <c r="B6" s="10" t="n">
        <v>48400</v>
      </c>
      <c r="C6" s="10" t="n">
        <v>35700</v>
      </c>
      <c r="D6" s="11">
        <f>IFERROR(IF(AND($B6="",$C6=""),"",IF($B6="",0,$B6)+IF($C6="",0,$C6)),"")</f>
        <v>84100.0</v>
      </c>
      <c r="E6" s="10" t="n">
        <v>9400</v>
      </c>
      <c r="F6" s="10" t="n">
        <v>27000</v>
      </c>
      <c r="G6" s="10" t="n">
        <v>9100</v>
      </c>
      <c r="H6" s="11">
        <f>IFERROR(IF(OR($E6="",$F6="",$G6=""),"",$E6+$F6-$G6),"")</f>
        <v>27300.0</v>
      </c>
      <c r="I6" s="12">
        <f>IFERROR(IF(OR($H6="",$D6="",$D6=0),"",$H6/$D6),"")</f>
        <v>0.32461355529131986</v>
      </c>
      <c r="J6" s="10" t="n">
        <v>21600</v>
      </c>
      <c r="K6" s="10" t="n">
        <v>1190</v>
      </c>
      <c r="L6" s="11">
        <f>IFERROR(IF($J6="","",$J6*(1+Inputs!$B$20)+IF($K6="",0,$K6)),"")</f>
        <v>29918.0</v>
      </c>
      <c r="M6" s="12">
        <f>IFERROR(IF(OR($L6="",$D6="",$D6=0),"",$L6/$D6),"")</f>
        <v>0.355743162901308</v>
      </c>
      <c r="N6" s="12">
        <f>IFERROR(IF(OR($H6="",$L6="",$D6="",$D6=0),"",($H6+$L6)/$D6),"")</f>
        <v>0.6803567181926278</v>
      </c>
      <c r="O6" s="12">
        <f>IF(Inputs!$B$11="","",Inputs!$B$11)</f>
        <v>0.65</v>
      </c>
      <c r="P6" s="11">
        <f>IFERROR(IF(OR($D6="",$H6="",$L6=""),"",$D6-$H6-$L6),"")</f>
        <v>26882.0</v>
      </c>
      <c r="Q6" s="12">
        <f>IFERROR(IF(OR($P6="",$D6="",$D6=0),"",$P6/$D6),"")</f>
        <v>0.31964328180737217</v>
      </c>
      <c r="R6" t="str">
        <f>IF(OR($N6="",$O6=""),"",IF($N6&lt;=$O6,"On target","Above target"))</f>
        <v>Above target</v>
      </c>
    </row>
    <row r="7">
      <c r="A7" s="4" t="inlineStr">
        <is>
          <t>March</t>
        </is>
      </c>
      <c r="B7" s="10" t="n">
        <v>54700</v>
      </c>
      <c r="C7" s="10" t="n">
        <v>40500</v>
      </c>
      <c r="D7" s="11">
        <f>IFERROR(IF(AND($B7="",$C7=""),"",IF($B7="",0,$B7)+IF($C7="",0,$C7)),"")</f>
        <v>95200.0</v>
      </c>
      <c r="E7" s="10" t="n">
        <v>9100</v>
      </c>
      <c r="F7" s="10" t="n">
        <v>30700</v>
      </c>
      <c r="G7" s="10" t="n">
        <v>9500</v>
      </c>
      <c r="H7" s="11">
        <f>IFERROR(IF(OR($E7="",$F7="",$G7=""),"",$E7+$F7-$G7),"")</f>
        <v>30300.0</v>
      </c>
      <c r="I7" s="12">
        <f>IFERROR(IF(OR($H7="",$D7="",$D7=0),"",$H7/$D7),"")</f>
        <v>0.3182773109243697</v>
      </c>
      <c r="J7" s="10" t="n">
        <v>22300</v>
      </c>
      <c r="K7" s="10" t="n">
        <v>1260</v>
      </c>
      <c r="L7" s="11">
        <f>IFERROR(IF($J7="","",$J7*(1+Inputs!$B$20)+IF($K7="",0,$K7)),"")</f>
        <v>30919.0</v>
      </c>
      <c r="M7" s="12">
        <f>IFERROR(IF(OR($L7="",$D7="",$D7=0),"",$L7/$D7),"")</f>
        <v>0.32477941176470587</v>
      </c>
      <c r="N7" s="12">
        <f>IFERROR(IF(OR($H7="",$L7="",$D7="",$D7=0),"",($H7+$L7)/$D7),"")</f>
        <v>0.6430567226890757</v>
      </c>
      <c r="O7" s="12">
        <f>IF(Inputs!$B$11="","",Inputs!$B$11)</f>
        <v>0.65</v>
      </c>
      <c r="P7" s="11">
        <f>IFERROR(IF(OR($D7="",$H7="",$L7=""),"",$D7-$H7-$L7),"")</f>
        <v>33981.0</v>
      </c>
      <c r="Q7" s="12">
        <f>IFERROR(IF(OR($P7="",$D7="",$D7=0),"",$P7/$D7),"")</f>
        <v>0.35694327731092435</v>
      </c>
      <c r="R7" t="str">
        <f>IF(OR($N7="",$O7=""),"",IF($N7&lt;=$O7,"On target","Above target"))</f>
        <v>On target</v>
      </c>
    </row>
    <row r="8">
      <c r="A8" s="4" t="inlineStr">
        <is>
          <t>April</t>
        </is>
      </c>
      <c r="B8" s="10" t="n">
        <v>57700</v>
      </c>
      <c r="C8" s="10" t="n">
        <v>42700</v>
      </c>
      <c r="D8" s="11">
        <f>IFERROR(IF(AND($B8="",$C8=""),"",IF($B8="",0,$B8)+IF($C8="",0,$C8)),"")</f>
        <v>100400.0</v>
      </c>
      <c r="E8" s="10" t="n">
        <v>9500</v>
      </c>
      <c r="F8" s="10" t="n">
        <v>31400</v>
      </c>
      <c r="G8" s="10" t="n">
        <v>9200</v>
      </c>
      <c r="H8" s="11">
        <f>IFERROR(IF(OR($E8="",$F8="",$G8=""),"",$E8+$F8-$G8),"")</f>
        <v>31700.0</v>
      </c>
      <c r="I8" s="12">
        <f>IFERROR(IF(OR($H8="",$D8="",$D8=0),"",$H8/$D8),"")</f>
        <v>0.3157370517928287</v>
      </c>
      <c r="J8" s="10" t="n">
        <v>22500</v>
      </c>
      <c r="K8" s="10" t="n">
        <v>1330</v>
      </c>
      <c r="L8" s="11">
        <f>IFERROR(IF($J8="","",$J8*(1+Inputs!$B$20)+IF($K8="",0,$K8)),"")</f>
        <v>31255.0</v>
      </c>
      <c r="M8" s="12">
        <f>IFERROR(IF(OR($L8="",$D8="",$D8=0),"",$L8/$D8),"")</f>
        <v>0.31130478087649405</v>
      </c>
      <c r="N8" s="12">
        <f>IFERROR(IF(OR($H8="",$L8="",$D8="",$D8=0),"",($H8+$L8)/$D8),"")</f>
        <v>0.6270418326693227</v>
      </c>
      <c r="O8" s="12">
        <f>IF(Inputs!$B$11="","",Inputs!$B$11)</f>
        <v>0.65</v>
      </c>
      <c r="P8" s="11">
        <f>IFERROR(IF(OR($D8="",$H8="",$L8=""),"",$D8-$H8-$L8),"")</f>
        <v>37445.0</v>
      </c>
      <c r="Q8" s="12">
        <f>IFERROR(IF(OR($P8="",$D8="",$D8=0),"",$P8/$D8),"")</f>
        <v>0.37295816733067727</v>
      </c>
      <c r="R8" t="str">
        <f>IF(OR($N8="",$O8=""),"",IF($N8&lt;=$O8,"On target","Above target"))</f>
        <v>On target</v>
      </c>
    </row>
    <row r="9">
      <c r="A9" s="4" t="inlineStr">
        <is>
          <t>May</t>
        </is>
      </c>
      <c r="B9" s="10" t="n">
        <v>62000</v>
      </c>
      <c r="C9" s="10" t="n">
        <v>45900</v>
      </c>
      <c r="D9" s="11">
        <f>IFERROR(IF(AND($B9="",$C9=""),"",IF($B9="",0,$B9)+IF($C9="",0,$C9)),"")</f>
        <v>107900.0</v>
      </c>
      <c r="E9" s="10" t="n">
        <v>9200</v>
      </c>
      <c r="F9" s="10" t="n">
        <v>34700</v>
      </c>
      <c r="G9" s="10" t="n">
        <v>9700</v>
      </c>
      <c r="H9" s="11">
        <f>IFERROR(IF(OR($E9="",$F9="",$G9=""),"",$E9+$F9-$G9),"")</f>
        <v>34200.0</v>
      </c>
      <c r="I9" s="12">
        <f>IFERROR(IF(OR($H9="",$D9="",$D9=0),"",$H9/$D9),"")</f>
        <v>0.3169601482854495</v>
      </c>
      <c r="J9" s="10" t="n">
        <v>23200</v>
      </c>
      <c r="K9" s="10" t="n">
        <v>1400</v>
      </c>
      <c r="L9" s="11">
        <f>IFERROR(IF($J9="","",$J9*(1+Inputs!$B$20)+IF($K9="",0,$K9)),"")</f>
        <v>32256.0</v>
      </c>
      <c r="M9" s="12">
        <f>IFERROR(IF(OR($L9="",$D9="",$D9=0),"",$L9/$D9),"")</f>
        <v>0.2989434661723818</v>
      </c>
      <c r="N9" s="12">
        <f>IFERROR(IF(OR($H9="",$L9="",$D9="",$D9=0),"",($H9+$L9)/$D9),"")</f>
        <v>0.6159036144578314</v>
      </c>
      <c r="O9" s="12">
        <f>IF(Inputs!$B$11="","",Inputs!$B$11)</f>
        <v>0.65</v>
      </c>
      <c r="P9" s="11">
        <f>IFERROR(IF(OR($D9="",$H9="",$L9=""),"",$D9-$H9-$L9),"")</f>
        <v>41444.0</v>
      </c>
      <c r="Q9" s="12">
        <f>IFERROR(IF(OR($P9="",$D9="",$D9=0),"",$P9/$D9),"")</f>
        <v>0.3840963855421687</v>
      </c>
      <c r="R9" t="str">
        <f>IF(OR($N9="",$O9=""),"",IF($N9&lt;=$O9,"On target","Above target"))</f>
        <v>On target</v>
      </c>
    </row>
    <row r="10">
      <c r="A10" s="4" t="inlineStr">
        <is>
          <t>June</t>
        </is>
      </c>
      <c r="B10" s="10" t="n">
        <v>63700</v>
      </c>
      <c r="C10" s="10" t="n">
        <v>47000</v>
      </c>
      <c r="D10" s="11">
        <f>IFERROR(IF(AND($B10="",$C10=""),"",IF($B10="",0,$B10)+IF($C10="",0,$C10)),"")</f>
        <v>110700.0</v>
      </c>
      <c r="E10" s="10" t="n">
        <v>9700</v>
      </c>
      <c r="F10" s="10" t="n">
        <v>37700</v>
      </c>
      <c r="G10" s="10" t="n">
        <v>9000</v>
      </c>
      <c r="H10" s="11">
        <f>IFERROR(IF(OR($E10="",$F10="",$G10=""),"",$E10+$F10-$G10),"")</f>
        <v>38400.0</v>
      </c>
      <c r="I10" s="12">
        <f>IFERROR(IF(OR($H10="",$D10="",$D10=0),"",$H10/$D10),"")</f>
        <v>0.34688346883468835</v>
      </c>
      <c r="J10" s="10" t="n">
        <v>24200</v>
      </c>
      <c r="K10" s="10" t="n">
        <v>1470</v>
      </c>
      <c r="L10" s="11">
        <f>IFERROR(IF($J10="","",$J10*(1+Inputs!$B$20)+IF($K10="",0,$K10)),"")</f>
        <v>33656.0</v>
      </c>
      <c r="M10" s="12">
        <f>IFERROR(IF(OR($L10="",$D10="",$D10=0),"",$L10/$D10),"")</f>
        <v>0.3040289069557362</v>
      </c>
      <c r="N10" s="12">
        <f>IFERROR(IF(OR($H10="",$L10="",$D10="",$D10=0),"",($H10+$L10)/$D10),"")</f>
        <v>0.6509123757904246</v>
      </c>
      <c r="O10" s="12">
        <f>IF(Inputs!$B$11="","",Inputs!$B$11)</f>
        <v>0.65</v>
      </c>
      <c r="P10" s="11">
        <f>IFERROR(IF(OR($D10="",$H10="",$L10=""),"",$D10-$H10-$L10),"")</f>
        <v>38644.0</v>
      </c>
      <c r="Q10" s="12">
        <f>IFERROR(IF(OR($P10="",$D10="",$D10=0),"",$P10/$D10),"")</f>
        <v>0.34908762420957545</v>
      </c>
      <c r="R10" t="str">
        <f>IF(OR($N10="",$O10=""),"",IF($N10&lt;=$O10,"On target","Above target"))</f>
        <v>Above target</v>
      </c>
    </row>
    <row r="11">
      <c r="A11" s="4" t="inlineStr">
        <is>
          <t>July</t>
        </is>
      </c>
      <c r="B11" s="10" t="n">
        <v>66800</v>
      </c>
      <c r="C11" s="10" t="n">
        <v>49400</v>
      </c>
      <c r="D11" s="11">
        <f>IFERROR(IF(AND($B11="",$C11=""),"",IF($B11="",0,$B11)+IF($C11="",0,$C11)),"")</f>
        <v>116200.0</v>
      </c>
      <c r="E11" s="10" t="n">
        <v>9000</v>
      </c>
      <c r="F11" s="10" t="n">
        <v>38100</v>
      </c>
      <c r="G11" s="10" t="n">
        <v>9400</v>
      </c>
      <c r="H11" s="11">
        <f>IFERROR(IF(OR($E11="",$F11="",$G11=""),"",$E11+$F11-$G11),"")</f>
        <v>37700.0</v>
      </c>
      <c r="I11" s="12">
        <f>IFERROR(IF(OR($H11="",$D11="",$D11=0),"",$H11/$D11),"")</f>
        <v>0.3244406196213425</v>
      </c>
      <c r="J11" s="10" t="n">
        <v>24900</v>
      </c>
      <c r="K11" s="10" t="n">
        <v>1540</v>
      </c>
      <c r="L11" s="11">
        <f>IFERROR(IF($J11="","",$J11*(1+Inputs!$B$20)+IF($K11="",0,$K11)),"")</f>
        <v>34657.0</v>
      </c>
      <c r="M11" s="12">
        <f>IFERROR(IF(OR($L11="",$D11="",$D11=0),"",$L11/$D11),"")</f>
        <v>0.29825301204819277</v>
      </c>
      <c r="N11" s="12">
        <f>IFERROR(IF(OR($H11="",$L11="",$D11="",$D11=0),"",($H11+$L11)/$D11),"")</f>
        <v>0.6226936316695353</v>
      </c>
      <c r="O11" s="12">
        <f>IF(Inputs!$B$11="","",Inputs!$B$11)</f>
        <v>0.65</v>
      </c>
      <c r="P11" s="11">
        <f>IFERROR(IF(OR($D11="",$H11="",$L11=""),"",$D11-$H11-$L11),"")</f>
        <v>43843.0</v>
      </c>
      <c r="Q11" s="12">
        <f>IFERROR(IF(OR($P11="",$D11="",$D11=0),"",$P11/$D11),"")</f>
        <v>0.3773063683304647</v>
      </c>
      <c r="R11" t="str">
        <f>IF(OR($N11="",$O11=""),"",IF($N11&lt;=$O11,"On target","Above target"))</f>
        <v>On target</v>
      </c>
    </row>
    <row r="12">
      <c r="A12" s="4" t="inlineStr">
        <is>
          <t>August</t>
        </is>
      </c>
      <c r="B12" s="10" t="n">
        <v>57300</v>
      </c>
      <c r="C12" s="10" t="n">
        <v>42300</v>
      </c>
      <c r="D12" s="11">
        <f>IFERROR(IF(AND($B12="",$C12=""),"",IF($B12="",0,$B12)+IF($C12="",0,$C12)),"")</f>
        <v>99600.0</v>
      </c>
      <c r="E12" s="10" t="n">
        <v>9400</v>
      </c>
      <c r="F12" s="10" t="n">
        <v>34400</v>
      </c>
      <c r="G12" s="10" t="n">
        <v>8700</v>
      </c>
      <c r="H12" s="11">
        <f>IFERROR(IF(OR($E12="",$F12="",$G12=""),"",$E12+$F12-$G12),"")</f>
        <v>35100.0</v>
      </c>
      <c r="I12" s="12">
        <f>IFERROR(IF(OR($H12="",$D12="",$D12=0),"",$H12/$D12),"")</f>
        <v>0.35240963855421686</v>
      </c>
      <c r="J12" s="10" t="n">
        <v>24900</v>
      </c>
      <c r="K12" s="10" t="n">
        <v>1400</v>
      </c>
      <c r="L12" s="11">
        <f>IFERROR(IF($J12="","",$J12*(1+Inputs!$B$20)+IF($K12="",0,$K12)),"")</f>
        <v>34517.0</v>
      </c>
      <c r="M12" s="12">
        <f>IFERROR(IF(OR($L12="",$D12="",$D12=0),"",$L12/$D12),"")</f>
        <v>0.3465562248995984</v>
      </c>
      <c r="N12" s="12">
        <f>IFERROR(IF(OR($H12="",$L12="",$D12="",$D12=0),"",($H12+$L12)/$D12),"")</f>
        <v>0.6989658634538153</v>
      </c>
      <c r="O12" s="12">
        <f>IF(Inputs!$B$11="","",Inputs!$B$11)</f>
        <v>0.65</v>
      </c>
      <c r="P12" s="11">
        <f>IFERROR(IF(OR($D12="",$H12="",$L12=""),"",$D12-$H12-$L12),"")</f>
        <v>29983.0</v>
      </c>
      <c r="Q12" s="12">
        <f>IFERROR(IF(OR($P12="",$D12="",$D12=0),"",$P12/$D12),"")</f>
        <v>0.3010341365461847</v>
      </c>
      <c r="R12" t="str">
        <f>IF(OR($N12="",$O12=""),"",IF($N12&lt;=$O12,"On target","Above target"))</f>
        <v>Above target</v>
      </c>
    </row>
    <row r="13">
      <c r="A13" s="4" t="inlineStr">
        <is>
          <t>September</t>
        </is>
      </c>
      <c r="B13" s="10" t="n">
        <v>60600</v>
      </c>
      <c r="C13" s="10" t="n">
        <v>44900</v>
      </c>
      <c r="D13" s="11">
        <f>IFERROR(IF(AND($B13="",$C13=""),"",IF($B13="",0,$B13)+IF($C13="",0,$C13)),"")</f>
        <v>105500.0</v>
      </c>
      <c r="E13" s="10" t="n">
        <v>8700</v>
      </c>
      <c r="F13" s="10" t="n">
        <v>32600</v>
      </c>
      <c r="G13" s="10" t="n">
        <v>9500</v>
      </c>
      <c r="H13" s="11">
        <f>IFERROR(IF(OR($E13="",$F13="",$G13=""),"",$E13+$F13-$G13),"")</f>
        <v>31800.0</v>
      </c>
      <c r="I13" s="12">
        <f>IFERROR(IF(OR($H13="",$D13="",$D13=0),"",$H13/$D13),"")</f>
        <v>0.3014218009478673</v>
      </c>
      <c r="J13" s="10" t="n">
        <v>23000</v>
      </c>
      <c r="K13" s="10" t="n">
        <v>1330</v>
      </c>
      <c r="L13" s="11">
        <f>IFERROR(IF($J13="","",$J13*(1+Inputs!$B$20)+IF($K13="",0,$K13)),"")</f>
        <v>31920.0</v>
      </c>
      <c r="M13" s="12">
        <f>IFERROR(IF(OR($L13="",$D13="",$D13=0),"",$L13/$D13),"")</f>
        <v>0.30255924170616116</v>
      </c>
      <c r="N13" s="12">
        <f>IFERROR(IF(OR($H13="",$L13="",$D13="",$D13=0),"",($H13+$L13)/$D13),"")</f>
        <v>0.6039810426540284</v>
      </c>
      <c r="O13" s="12">
        <f>IF(Inputs!$B$11="","",Inputs!$B$11)</f>
        <v>0.65</v>
      </c>
      <c r="P13" s="11">
        <f>IFERROR(IF(OR($D13="",$H13="",$L13=""),"",$D13-$H13-$L13),"")</f>
        <v>41780.0</v>
      </c>
      <c r="Q13" s="12">
        <f>IFERROR(IF(OR($P13="",$D13="",$D13=0),"",$P13/$D13),"")</f>
        <v>0.3960189573459716</v>
      </c>
      <c r="R13" t="str">
        <f>IF(OR($N13="",$O13=""),"",IF($N13&lt;=$O13,"On target","Above target"))</f>
        <v>On target</v>
      </c>
    </row>
    <row r="14">
      <c r="A14" s="4" t="inlineStr">
        <is>
          <t>October</t>
        </is>
      </c>
      <c r="B14" s="10" t="n">
        <v>59000</v>
      </c>
      <c r="C14" s="10" t="n">
        <v>43700</v>
      </c>
      <c r="D14" s="11">
        <f>IFERROR(IF(AND($B14="",$C14=""),"",IF($B14="",0,$B14)+IF($C14="",0,$C14)),"")</f>
        <v>102700.0</v>
      </c>
      <c r="E14" s="10" t="n">
        <v>9500</v>
      </c>
      <c r="F14" s="10" t="n">
        <v>31800</v>
      </c>
      <c r="G14" s="10" t="n">
        <v>9200</v>
      </c>
      <c r="H14" s="11">
        <f>IFERROR(IF(OR($E14="",$F14="",$G14=""),"",$E14+$F14-$G14),"")</f>
        <v>32100.0</v>
      </c>
      <c r="I14" s="12">
        <f>IFERROR(IF(OR($H14="",$D14="",$D14=0),"",$H14/$D14),"")</f>
        <v>0.31256085686465435</v>
      </c>
      <c r="J14" s="10" t="n">
        <v>22500</v>
      </c>
      <c r="K14" s="10" t="n">
        <v>1330</v>
      </c>
      <c r="L14" s="11">
        <f>IFERROR(IF($J14="","",$J14*(1+Inputs!$B$20)+IF($K14="",0,$K14)),"")</f>
        <v>31255.0</v>
      </c>
      <c r="M14" s="12">
        <f>IFERROR(IF(OR($L14="",$D14="",$D14=0),"",$L14/$D14),"")</f>
        <v>0.30433300876338854</v>
      </c>
      <c r="N14" s="12">
        <f>IFERROR(IF(OR($H14="",$L14="",$D14="",$D14=0),"",($H14+$L14)/$D14),"")</f>
        <v>0.6168938656280428</v>
      </c>
      <c r="O14" s="12">
        <f>IF(Inputs!$B$11="","",Inputs!$B$11)</f>
        <v>0.65</v>
      </c>
      <c r="P14" s="11">
        <f>IFERROR(IF(OR($D14="",$H14="",$L14=""),"",$D14-$H14-$L14),"")</f>
        <v>39345.0</v>
      </c>
      <c r="Q14" s="12">
        <f>IFERROR(IF(OR($P14="",$D14="",$D14=0),"",$P14/$D14),"")</f>
        <v>0.3831061343719572</v>
      </c>
      <c r="R14" t="str">
        <f>IF(OR($N14="",$O14=""),"",IF($N14&lt;=$O14,"On target","Above target"))</f>
        <v>On target</v>
      </c>
    </row>
    <row r="15">
      <c r="A15" s="4" t="inlineStr">
        <is>
          <t>November</t>
        </is>
      </c>
      <c r="B15" s="10" t="n">
        <v>56200</v>
      </c>
      <c r="C15" s="10" t="n">
        <v>41700</v>
      </c>
      <c r="D15" s="11">
        <f>IFERROR(IF(AND($B15="",$C15=""),"",IF($B15="",0,$B15)+IF($C15="",0,$C15)),"")</f>
        <v>97900.0</v>
      </c>
      <c r="E15" s="10" t="n">
        <v>9200</v>
      </c>
      <c r="F15" s="10" t="n">
        <v>30500</v>
      </c>
      <c r="G15" s="10" t="n">
        <v>9700</v>
      </c>
      <c r="H15" s="11">
        <f>IFERROR(IF(OR($E15="",$F15="",$G15=""),"",$E15+$F15-$G15),"")</f>
        <v>30000.0</v>
      </c>
      <c r="I15" s="12">
        <f>IFERROR(IF(OR($H15="",$D15="",$D15=0),"",$H15/$D15),"")</f>
        <v>0.30643513789581206</v>
      </c>
      <c r="J15" s="10" t="n">
        <v>22300</v>
      </c>
      <c r="K15" s="10" t="n">
        <v>1260</v>
      </c>
      <c r="L15" s="11">
        <f>IFERROR(IF($J15="","",$J15*(1+Inputs!$B$20)+IF($K15="",0,$K15)),"")</f>
        <v>30919.0</v>
      </c>
      <c r="M15" s="12">
        <f>IFERROR(IF(OR($L15="",$D15="",$D15=0),"",$L15/$D15),"")</f>
        <v>0.3158222676200204</v>
      </c>
      <c r="N15" s="12">
        <f>IFERROR(IF(OR($H15="",$L15="",$D15="",$D15=0),"",($H15+$L15)/$D15),"")</f>
        <v>0.6222574055158325</v>
      </c>
      <c r="O15" s="12">
        <f>IF(Inputs!$B$11="","",Inputs!$B$11)</f>
        <v>0.65</v>
      </c>
      <c r="P15" s="11">
        <f>IFERROR(IF(OR($D15="",$H15="",$L15=""),"",$D15-$H15-$L15),"")</f>
        <v>36981.0</v>
      </c>
      <c r="Q15" s="12">
        <f>IFERROR(IF(OR($P15="",$D15="",$D15=0),"",$P15/$D15),"")</f>
        <v>0.3777425944841675</v>
      </c>
      <c r="R15" t="str">
        <f>IF(OR($N15="",$O15=""),"",IF($N15&lt;=$O15,"On target","Above target"))</f>
        <v>On target</v>
      </c>
    </row>
    <row r="16">
      <c r="A16" s="4" t="inlineStr">
        <is>
          <t>December</t>
        </is>
      </c>
      <c r="B16" s="10" t="n">
        <v>70400</v>
      </c>
      <c r="C16" s="10" t="n">
        <v>52000</v>
      </c>
      <c r="D16" s="11">
        <f>IFERROR(IF(AND($B16="",$C16=""),"",IF($B16="",0,$B16)+IF($C16="",0,$C16)),"")</f>
        <v>122400.0</v>
      </c>
      <c r="E16" s="10" t="n">
        <v>9700</v>
      </c>
      <c r="F16" s="10" t="n">
        <v>39100</v>
      </c>
      <c r="G16" s="10" t="n">
        <v>10400</v>
      </c>
      <c r="H16" s="11">
        <f>IFERROR(IF(OR($E16="",$F16="",$G16=""),"",$E16+$F16-$G16),"")</f>
        <v>38400.0</v>
      </c>
      <c r="I16" s="12">
        <f>IFERROR(IF(OR($H16="",$D16="",$D16=0),"",$H16/$D16),"")</f>
        <v>0.3137254901960784</v>
      </c>
      <c r="J16" s="10" t="n">
        <v>24600</v>
      </c>
      <c r="K16" s="10" t="n">
        <v>1680</v>
      </c>
      <c r="L16" s="11">
        <f>IFERROR(IF($J16="","",$J16*(1+Inputs!$B$20)+IF($K16="",0,$K16)),"")</f>
        <v>34398.0</v>
      </c>
      <c r="M16" s="12">
        <f>IFERROR(IF(OR($L16="",$D16="",$D16=0),"",$L16/$D16),"")</f>
        <v>0.28102941176470586</v>
      </c>
      <c r="N16" s="12">
        <f>IFERROR(IF(OR($H16="",$L16="",$D16="",$D16=0),"",($H16+$L16)/$D16),"")</f>
        <v>0.5947549019607843</v>
      </c>
      <c r="O16" s="12">
        <f>IF(Inputs!$B$11="","",Inputs!$B$11)</f>
        <v>0.65</v>
      </c>
      <c r="P16" s="11">
        <f>IFERROR(IF(OR($D16="",$H16="",$L16=""),"",$D16-$H16-$L16),"")</f>
        <v>49602.0</v>
      </c>
      <c r="Q16" s="12">
        <f>IFERROR(IF(OR($P16="",$D16="",$D16=0),"",$P16/$D16),"")</f>
        <v>0.4052450980392157</v>
      </c>
      <c r="R16" t="str">
        <f>IF(OR($N16="",$O16=""),"",IF($N16&lt;=$O16,"On target","Above target"))</f>
        <v>On target</v>
      </c>
    </row>
    <row r="17">
      <c r="A17" s="13" t="inlineStr">
        <is>
          <t>TOTAL / AVERAGE</t>
        </is>
      </c>
      <c r="B17" s="14">
        <f>IF(COUNT(B5:B16)=0,"",SUM(B5:B16))</f>
        <v>708300.0</v>
      </c>
      <c r="C17" s="14">
        <f>IF(COUNT(C5:C16)=0,"",SUM(C5:C16))</f>
        <v>523900.0</v>
      </c>
      <c r="D17" s="14">
        <f>IF(COUNT(D5:D16)=0,"",SUM(D5:D16))</f>
        <v>1232200.0</v>
      </c>
      <c r="E17" s="13" t="n"/>
      <c r="F17" s="14">
        <f>IF(COUNT(F5:F16)=0,"",SUM(F5:F16))</f>
        <v>396100.0</v>
      </c>
      <c r="G17" s="13" t="n"/>
      <c r="H17" s="14">
        <f>IF(COUNT(H5:H16)=0,"",SUM(H5:H16))</f>
        <v>395400.0</v>
      </c>
      <c r="I17" s="15">
        <f>IFERROR(IF(OR($H$17="",$D$17="",$D$17=0),"",$H$17/$D$17),"")</f>
        <v>0.3208894659957799</v>
      </c>
      <c r="J17" s="14">
        <f>IF(COUNT(J5:J16)=0,"",SUM(J5:J16))</f>
        <v>277600.0</v>
      </c>
      <c r="K17" s="14">
        <f>IF(COUNT(K5:K16)=0,"",SUM(K5:K16))</f>
        <v>16450.0</v>
      </c>
      <c r="L17" s="14">
        <f>IF(COUNT(L5:L16)=0,"",SUM(L5:L16))</f>
        <v>385658.0</v>
      </c>
      <c r="M17" s="15">
        <f>IFERROR(IF(OR($L$17="",$D$17="",$D$17=0),"",$L$17/$D$17),"")</f>
        <v>0.31298328193475083</v>
      </c>
      <c r="N17" s="15">
        <f>IFERROR(IF(OR($H$17="",$L$17="",$D$17="",$D$17=0),"",($H$17+$L$17)/$D$17),"")</f>
        <v>0.6338727479305307</v>
      </c>
      <c r="O17" s="15">
        <f>IF(Inputs!$B$11="","",Inputs!$B$11)</f>
        <v>0.65</v>
      </c>
      <c r="P17" s="14">
        <f>IF(COUNT(P5:P16)=0,"",SUM(P5:P16))</f>
        <v>451142.0</v>
      </c>
      <c r="Q17" s="15">
        <f>IFERROR(IF(OR($P$17="",$D$17="",$D$17=0),"",$P$17/$D$17),"")</f>
        <v>0.3661272520694692</v>
      </c>
      <c r="R17" s="13" t="str">
        <f>IF(OR($N$17="",$O$17=""),"",IF($N$17&lt;=$O$17,"On target","Above target"))</f>
        <v>On target</v>
      </c>
    </row>
    <row r="18">
      <c r="A18" t="inlineStr">
        <is>
          <t>Inventories aren't added up in the TOTAL row: the year's usage is the sum of the twelve months' usage, and the percentages are weighted averages over the year's sales.</t>
        </is>
      </c>
    </row>
    <row r="19"/>
    <row r="20">
      <c r="A20" s="2" t="inlineStr">
        <is>
          <t>INPUTS IN USE — read from the "Inputs" sheet; change them there, not here</t>
        </is>
      </c>
    </row>
    <row r="21">
      <c r="A21" t="inlineStr">
        <is>
          <t>Business type</t>
        </is>
      </c>
      <c r="E21" s="16" t="str">
        <f>Inputs!$B$5</f>
        <v>Full service</v>
      </c>
    </row>
    <row r="22">
      <c r="A22" t="inlineStr">
        <is>
          <t>Prime cost target (%)</t>
        </is>
      </c>
      <c r="E22" s="8">
        <f>IF(Inputs!$B$11="","",Inputs!$B$11)</f>
        <v>0.65</v>
      </c>
    </row>
    <row r="23">
      <c r="A23" t="inlineStr">
        <is>
          <t>Target food cost (%)</t>
        </is>
      </c>
      <c r="E23" s="8">
        <f>IF(Inputs!$B$21="","",Inputs!$B$21)</f>
        <v>0.3</v>
      </c>
    </row>
    <row r="24">
      <c r="A24" t="inlineStr">
        <is>
          <t>Employer payroll taxes and benefits (%)</t>
        </is>
      </c>
      <c r="E24" s="8">
        <f>IF(Inputs!$B$20="","",Inputs!$B$20)</f>
        <v>0.33</v>
      </c>
    </row>
  </sheetData>
  <sheetProtection selectLockedCells="0" selectUnlockedCells="0" sheet="1" objects="0" insertRows="0" insertHyperlinks="1" autoFilter="1" scenarios="0" formatColumns="0" deleteColumns="1" insertColumns="1" pivotTables="1" deleteRows="1" formatCells="1" formatRows="0" sort="0"/>
  <conditionalFormatting sqref="N5:N17">
    <cfRule type="expression" priority="1" dxfId="0" stopIfTrue="1">
      <formula>=AND(ISNUMBER($N5),ISNUMBER($O5),$N5&gt;$O5)</formula>
    </cfRule>
    <cfRule type="expression" priority="2" dxfId="1" stopIfTrue="1">
      <formula>=AND(ISNUMBER($N5),ISNUMBER($O5),$N5&lt;=$O5)</formula>
    </cfRule>
  </conditionalFormatting>
  <conditionalFormatting sqref="I5:I17">
    <cfRule type="expression" priority="3" dxfId="0" stopIfTrue="1">
      <formula>=AND(ISNUMBER($I5),ISNUMBER($E$23),$I5&gt;$E$23)</formula>
    </cfRule>
    <cfRule type="expression" priority="4" dxfId="1" stopIfTrue="1">
      <formula>=AND(ISNUMBER($I5),ISNUMBER($E$23),$I5&lt;=$E$23)</formula>
    </cfRule>
  </conditionalFormatting>
  <conditionalFormatting sqref="R5:R17">
    <cfRule type="cellIs" priority="5" operator="equal" dxfId="1" stopIfTrue="1">
      <formula>"On target"</formula>
    </cfRule>
    <cfRule type="cellIs" priority="6" operator="equal" dxfId="0" stopIfTrue="1">
      <formula>"Above target"</formula>
    </cfRule>
  </conditionalFormatting>
  <dataValidations count="1">
    <dataValidation sqref="B5 B6 B7 B8 B9 B10 B11 B12 B13 B14 B15 B16 C5 C6 C7 C8 C9 C10 C11 C12 C13 C14 C15 C16 E5 E6 E7 E8 E9 E10 E11 E12 E13 E14 E15 E16 F5 F6 F7 F8 F9 F10 F11 F12 F13 F14 F15 F16 G5 G6 G7 G8 G9 G10 G11 G12 G13 G14 G15 G16 J5 J6 J7 J8 J9 J10 J11 J12 J13 J14 J15 J16 K5 K6 K7 K8 K9 K10 K11 K12 K13 K14 K15 K16" showDropDown="0" showInputMessage="0" showErrorMessage="1" allowBlank="1" errorTitle="Amount" error="Type a number greater than or equal to 0." type="decimal" operator="greaterThanOrEqual">
      <formula1>0</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Prime Cost Dashboard</dc:title>
  <dc:subject xmlns:dc="http://purl.org/dc/elements/1.1/">Food Cost + Menu Engineering Guide · Version 1.0 · October 2026</dc:subject>
  <dcterms:created xmlns:dcterms="http://purl.org/dc/terms/" xmlns:xsi="http://www.w3.org/2001/XMLSchema-instance" xsi:type="dcterms:W3CDTF">2026-09-03T21:32:04Z</dcterms:created>
  <dcterms:modified xmlns:dcterms="http://purl.org/dc/terms/" xmlns:xsi="http://www.w3.org/2001/XMLSchema-instance" xsi:type="dcterms:W3CDTF">2026-10-15T08:00:00Z</dcterms:modified>
  <cp:lastModifiedBy>AI Chef Pro</cp:lastModifiedBy>
</cp:coreProperties>
</file>