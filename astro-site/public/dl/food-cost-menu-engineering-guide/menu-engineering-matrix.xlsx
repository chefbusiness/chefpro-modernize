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ata" sheetId="2" state="visible" r:id="rId2"/>
    <sheet xmlns:r="http://schemas.openxmlformats.org/officeDocument/2006/relationships" name="Kasavana-Smith" sheetId="3" state="visible" r:id="rId3"/>
    <sheet xmlns:r="http://schemas.openxmlformats.org/officeDocument/2006/relationships" name="Miller" sheetId="4" state="visible" r:id="rId4"/>
    <sheet xmlns:r="http://schemas.openxmlformats.org/officeDocument/2006/relationships" name="Pavesic" sheetId="5" state="visible" r:id="rId5"/>
    <sheet xmlns:r="http://schemas.openxmlformats.org/officeDocument/2006/relationships" name="Goal Value" sheetId="6" state="visible" r:id="rId6"/>
    <sheet xmlns:r="http://schemas.openxmlformats.org/officeDocument/2006/relationships" name="Comparison" sheetId="7" state="visible" r:id="rId7"/>
    <sheet xmlns:r="http://schemas.openxmlformats.org/officeDocument/2006/relationships" name="Prix Fixe Menu" sheetId="8" state="visible" r:id="rId8"/>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8">
    <font>
      <name val="Calibri"/>
      <family val="2"/>
      <color theme="1"/>
      <sz val="11"/>
      <scheme val="minor"/>
    </font>
    <font>
      <b val="1"/>
      <color theme="1"/>
      <sz val="11"/>
    </font>
    <font>
      <b val="1"/>
      <color rgb="00FFD700"/>
      <sz val="16"/>
    </font>
    <font>
      <color rgb="00888888"/>
      <sz val="10"/>
    </font>
    <font>
      <b val="1"/>
      <color rgb="00FFD700"/>
      <sz val="12"/>
    </font>
    <font>
      <color rgb="00888888"/>
      <sz val="9"/>
    </font>
    <font>
      <b val="1"/>
      <color rgb="00FFFFFF"/>
    </font>
    <font>
      <b val="1"/>
      <color rgb="001565C0"/>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30">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0" borderId="0" pivotButton="0" quotePrefix="0" xfId="0"/>
    <xf numFmtId="0" fontId="6" fillId="3" borderId="0" applyAlignment="1" pivotButton="0" quotePrefix="0" xfId="0">
      <alignment horizontal="center" vertical="center" wrapText="1"/>
    </xf>
    <xf numFmtId="3" fontId="0" fillId="0" borderId="0" pivotButton="0" quotePrefix="0" xfId="0"/>
    <xf numFmtId="3" fontId="0" fillId="2" borderId="0" applyProtection="1" pivotButton="0" quotePrefix="0" xfId="0">
      <protection locked="0" hidden="0"/>
    </xf>
    <xf numFmtId="164" fontId="0" fillId="2" borderId="0" applyProtection="1" pivotButton="0" quotePrefix="0" xfId="0">
      <protection locked="0" hidden="0"/>
    </xf>
    <xf numFmtId="164" fontId="7" fillId="0" borderId="0" pivotButton="0" quotePrefix="0" xfId="0"/>
    <xf numFmtId="165" fontId="7" fillId="0" borderId="0" pivotButton="0" quotePrefix="0" xfId="0"/>
    <xf numFmtId="164" fontId="0" fillId="0" borderId="0" pivotButton="0" quotePrefix="0" xfId="0"/>
    <xf numFmtId="165" fontId="0" fillId="0" borderId="0" pivotButton="0" quotePrefix="0" xfId="0"/>
    <xf numFmtId="0" fontId="1" fillId="0" borderId="0" pivotButton="0" quotePrefix="0" xfId="0"/>
    <xf numFmtId="0" fontId="1" fillId="4" borderId="0" pivotButton="0" quotePrefix="0" xfId="0"/>
    <xf numFmtId="3" fontId="1" fillId="4" borderId="0" pivotButton="0" quotePrefix="0" xfId="0"/>
    <xf numFmtId="164" fontId="1" fillId="4" borderId="0" pivotButton="0" quotePrefix="0" xfId="0"/>
    <xf numFmtId="165" fontId="1" fillId="4" borderId="0" pivotButton="0" quotePrefix="0" xfId="0"/>
    <xf numFmtId="9" fontId="0" fillId="2" borderId="0" applyProtection="1" pivotButton="0" quotePrefix="0" xfId="0">
      <protection locked="0" hidden="0"/>
    </xf>
    <xf numFmtId="165" fontId="0" fillId="2" borderId="0" applyProtection="1" pivotButton="0" quotePrefix="0" xfId="0">
      <protection locked="0" hidden="0"/>
    </xf>
    <xf numFmtId="4" fontId="7" fillId="0" borderId="0" pivotButton="0" quotePrefix="0" xfId="0"/>
    <xf numFmtId="4" fontId="0" fillId="0" borderId="0" pivotButton="0" quotePrefix="0" xfId="0"/>
    <xf numFmtId="3" fontId="7" fillId="0" borderId="0" pivotButton="0" quotePrefix="0" xfId="0"/>
    <xf numFmtId="0" fontId="0" fillId="0" borderId="0" applyAlignment="1" pivotButton="0" quotePrefix="0" xfId="0">
      <alignment vertical="top" wrapText="1"/>
    </xf>
    <xf numFmtId="3" fontId="1" fillId="0" borderId="0" pivotButton="0" quotePrefix="0" xfId="0"/>
    <xf numFmtId="164" fontId="1" fillId="0" borderId="0" pivotButton="0" quotePrefix="0" xfId="0"/>
    <xf numFmtId="9" fontId="0" fillId="0" borderId="0" pivotButton="0" quotePrefix="0" xfId="0"/>
    <xf numFmtId="165" fontId="1"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9C0006"/>
      </font>
      <fill>
        <patternFill patternType="solid">
          <fgColor rgb="00FFC7CE"/>
          <bgColor rgb="00FFC7CE"/>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0"/>
  <sheetViews>
    <sheetView workbookViewId="0">
      <selection activeCell="A1" sqref="A1"/>
    </sheetView>
  </sheetViews>
  <sheetFormatPr baseColWidth="8" defaultRowHeight="15"/>
  <cols>
    <col width="118" customWidth="1" min="1" max="1"/>
  </cols>
  <sheetData>
    <row r="1">
      <c r="A1" s="1" t="inlineStr">
        <is>
          <t>Multi-Method Menu Engineering Matrix</t>
        </is>
      </c>
    </row>
    <row r="2">
      <c r="A2" s="2" t="inlineStr">
        <is>
          <t>AI Chef Pro · aichef.pro — Food Cost + Menu Engineering Guide</t>
        </is>
      </c>
    </row>
    <row r="3"/>
    <row r="4">
      <c r="A4" s="3" t="inlineStr">
        <is>
          <t>How to use this workbook</t>
        </is>
      </c>
    </row>
    <row r="5">
      <c r="A5" s="4" t="inlineStr">
        <is>
          <t>1. Enter your menu on the "Data" sheet: dish, category, units sold last month, plate cost and menu price BEFORE tax.</t>
        </is>
      </c>
    </row>
    <row r="6">
      <c r="A6" s="4" t="inlineStr">
        <is>
          <t>2. The plate cost comes from your recipe cost card (recipe-cost-card.xlsx, in this same pack). The workbook works out the dine-in menu price with tax.</t>
        </is>
      </c>
    </row>
    <row r="7">
      <c r="A7" s="4" t="inlineStr">
        <is>
          <t>3. The Kasavana-Smith, Miller, Pavesic and Goal Value sheets read that data and classify each dish with their own method. You don't type anything there.</t>
        </is>
      </c>
    </row>
    <row r="8">
      <c r="A8" s="4" t="inlineStr">
        <is>
          <t>4. Each method is applied WITHIN its category: a dessert is compared with the desserts, not with the ribeyes.</t>
        </is>
      </c>
    </row>
    <row r="9">
      <c r="A9" s="4" t="inlineStr">
        <is>
          <t>5. Open "Comparison": it shows the four readings of the same dish, how many fall outside the best category and a diagnosis of what to do.</t>
        </is>
      </c>
    </row>
    <row r="10">
      <c r="A10" s="4" t="inlineStr">
        <is>
          <t>6. Take the decisions to 90-day-action-plan.xlsx with an owner and a date. An analysis without a date changes nothing.</t>
        </is>
      </c>
    </row>
    <row r="11">
      <c r="A11" s="4" t="inlineStr">
        <is>
          <t>7. The "Prix Fixe Menu" sheet stands apart: on a set-price menu the margin isn't decided by the price, it's decided by the mix of choices your guests make.</t>
        </is>
      </c>
    </row>
    <row r="12">
      <c r="A12" s="4" t="inlineStr">
        <is>
          <t>8. Adjust the popularity threshold factor and the labor and other variable cost percentages if your restaurant doesn't look like the example.</t>
        </is>
      </c>
    </row>
    <row r="13"/>
    <row r="14">
      <c r="A14" s="5" t="inlineStr">
        <is>
          <t>Green cells = editable fields</t>
        </is>
      </c>
    </row>
    <row r="15"/>
    <row r="16">
      <c r="A16" s="4" t="inlineStr">
        <is>
          <t>The example data comes from a MODELED restaurant, not a real client. Delete it and enter yours: there are 20 dishes filled in and 5 empty rows.</t>
        </is>
      </c>
    </row>
    <row r="17"/>
    <row r="18">
      <c r="A18" s="4" t="inlineStr">
        <is>
          <t>Kasavana &amp; Smith crosses popularity with contribution margin in dollars. Miller crosses popularity with food cost %. Pavesic crosses food cost % with the margin weighted by units. Goal Value (Hayes &amp; Huffman) adds the weight of labor and other variable costs WITHOUT dropping food cost %: that's why its final factor is (1 − (labor % + other variable % + food cost %)) and not just labor + other. None of them measures all three variables at once: that's why they disagree.</t>
        </is>
      </c>
    </row>
    <row r="19"/>
    <row r="20">
      <c r="A20" s="4" t="inlineStr">
        <is>
          <t>The classic popularity threshold is 70% of the average mix: threshold = factor ÷ number of dishes in the category with sales. Raise it if the category is very short.</t>
        </is>
      </c>
    </row>
    <row r="21"/>
    <row r="22">
      <c r="A22" s="4" t="inlineStr">
        <is>
          <t>When the four methods agree, it does NOT mean "more certainty": it means the dish is so good or so bad that it shows from any angle. The interesting part is in the rows where they disagree.</t>
        </is>
      </c>
    </row>
    <row r="23"/>
    <row r="24">
      <c r="A24" s="4" t="inlineStr">
        <is>
          <t>Contribution margin is the dollar left over to pay for labor, rent and utilities. Food cost % measures efficiency. A dish can be efficient and bring in little money, and the other way round.</t>
        </is>
      </c>
    </row>
    <row r="25"/>
    <row r="26">
      <c r="A26" s="4" t="inlineStr">
        <is>
          <t xml:space="preserve">Menu prices on the "Data" sheet are pre-tax; amounts carry no currency symbol and are in your currency. The "Dine-in menu price WITH tax" column applies the "Tax rate (%)" cell, 0% by default:
• US and Canada: menu prices are pre-tax and tax is added on the bill. Leave 0%.
• UK: printed prices must include VAT. Type 20%.
• Australia: prices include GST. Type 10%.
Takeout and third-party delivery are worked out in multichannel-repricing-simulator.xlsx, in this pack.</t>
        </is>
      </c>
    </row>
    <row r="27"/>
    <row r="28">
      <c r="A28" s="4" t="inlineStr">
        <is>
          <t>To edit the structure or any cell that isn't green, unprotect the sheet (no password).</t>
        </is>
      </c>
    </row>
    <row r="29">
      <c r="A29" s="4" t="inlineStr">
        <is>
          <t>Designed by John Guerrero — chef and restaurant consultant since 2010 · johnguerrero.es</t>
        </is>
      </c>
    </row>
    <row r="30">
      <c r="A30" s="4" t="inlineStr">
        <is>
          <t>Version 1.0 · October 2026 · aichef.pro/en/digital-products/food-cost-menu-engineering-guide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Q4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2" customWidth="1" min="4" max="4"/>
    <col width="13" customWidth="1" min="5" max="5"/>
    <col width="12" customWidth="1" min="6" max="6"/>
    <col width="14" customWidth="1" min="7" max="7"/>
    <col width="11" customWidth="1" min="8" max="8"/>
    <col width="13" customWidth="1" min="9" max="9"/>
    <col width="12" customWidth="1" min="10" max="10"/>
    <col width="13" customWidth="1" min="11" max="11"/>
    <col width="13" customWidth="1" min="12" max="12"/>
    <col width="14" customWidth="1" min="13" max="13"/>
    <col width="15" customWidth="1" min="14" max="14"/>
    <col width="15" customWidth="1" min="15" max="15"/>
    <col width="15" customWidth="1" min="16" max="16"/>
    <col width="16" customWidth="1" min="17" max="17"/>
  </cols>
  <sheetData>
    <row r="1">
      <c r="A1" s="1" t="inlineStr">
        <is>
          <t>Menu data</t>
        </is>
      </c>
    </row>
    <row r="2">
      <c r="A2" s="2" t="inlineStr">
        <is>
          <t>AI Chef Pro · aichef.pro — Food Cost + Menu Engineering Guide</t>
        </is>
      </c>
    </row>
    <row r="3">
      <c r="E3" s="6" t="inlineStr">
        <is>
          <t>The plate cost comes from your recipe cost card; the menu price goes in BEFORE tax.</t>
        </is>
      </c>
    </row>
    <row r="4" ht="46" customHeight="1">
      <c r="A4" s="7" t="inlineStr">
        <is>
          <t>#</t>
        </is>
      </c>
      <c r="B4" s="7" t="inlineStr">
        <is>
          <t>Dish</t>
        </is>
      </c>
      <c r="C4" s="7" t="inlineStr">
        <is>
          <t>Category</t>
        </is>
      </c>
      <c r="D4" s="7" t="inlineStr">
        <is>
          <t>Units sold (month)</t>
        </is>
      </c>
      <c r="E4" s="7" t="inlineStr">
        <is>
          <t>Plate cost</t>
        </is>
      </c>
      <c r="F4" s="7" t="inlineStr">
        <is>
          <t>Menu price pre-tax</t>
        </is>
      </c>
      <c r="G4" s="7" t="inlineStr">
        <is>
          <t>Contribution margin</t>
        </is>
      </c>
      <c r="H4" s="7" t="inlineStr">
        <is>
          <t>Food cost (%)</t>
        </is>
      </c>
      <c r="I4" s="7" t="inlineStr">
        <is>
          <t>Dine-in menu price WITH tax</t>
        </is>
      </c>
      <c r="J4" s="7" t="inlineStr">
        <is>
          <t>Units in its category</t>
        </is>
      </c>
      <c r="K4" s="7" t="inlineStr">
        <is>
          <t>Dishes in its category with sales</t>
        </is>
      </c>
      <c r="L4" s="7" t="inlineStr">
        <is>
          <t>Menu Mix in Category (MM%)</t>
        </is>
      </c>
      <c r="M4" s="7" t="inlineStr">
        <is>
          <t>Popularity threshold in its category (%)</t>
        </is>
      </c>
      <c r="N4" s="7" t="inlineStr">
        <is>
          <t>Category weighted avg CM</t>
        </is>
      </c>
      <c r="O4" s="7" t="inlineStr">
        <is>
          <t>Category weighted avg food cost (%)</t>
        </is>
      </c>
      <c r="P4" s="7" t="inlineStr">
        <is>
          <t>Dish weighted CM: CM × units</t>
        </is>
      </c>
      <c r="Q4" s="7" t="inlineStr">
        <is>
          <t>Category average of weighted CM</t>
        </is>
      </c>
    </row>
    <row r="5">
      <c r="A5" s="8" t="n">
        <v>1</v>
      </c>
      <c r="B5" s="5" t="inlineStr">
        <is>
          <t>Iberico ham croquettes (6 pcs)</t>
        </is>
      </c>
      <c r="C5" s="5" t="inlineStr">
        <is>
          <t>Starters</t>
        </is>
      </c>
      <c r="D5" s="9" t="n">
        <v>420</v>
      </c>
      <c r="E5" s="10" t="n">
        <v>2.1</v>
      </c>
      <c r="F5" s="10" t="n">
        <v>8.6</v>
      </c>
      <c r="G5" s="11">
        <f>IFERROR(IF(OR($E5="",$F5=""),"",$F5-$E5),"")</f>
        <v>6.5</v>
      </c>
      <c r="H5" s="12">
        <f>IFERROR(IF(OR($E5="",$F5="",$F5=0),"",$E5/$F5),"")</f>
        <v>0.24418604651162792</v>
      </c>
      <c r="I5" s="13">
        <f>IFERROR(IF(OR($F5="",$D$34=""),"",$F5*(1+$D$34)),"")</f>
        <v>8.6</v>
      </c>
      <c r="J5" s="8">
        <f>IFERROR(IF($C5="","",SUMPRODUCT(--($C$5:$C$29=$C5),$D$5:$D$29)),"")</f>
        <v>1730.0</v>
      </c>
      <c r="K5" s="8">
        <f>IFERROR(IF($C5="","",SUMPRODUCT(--($C$5:$C$29=$C5),--($D$5:$D$29&gt;0))),"")</f>
        <v>7.0</v>
      </c>
      <c r="L5" s="14">
        <f>IFERROR(IF(OR($D5="",$J5="",$J5=0),"",$D5/$J5),"")</f>
        <v>0.24277456647398843</v>
      </c>
      <c r="M5" s="14">
        <f>IFERROR(IF(OR($K5="",$K5=0,$D$33=""),"",$D$33/$K5),"")</f>
        <v>0.09999999999999999</v>
      </c>
      <c r="N5" s="13">
        <f>IFERROR(IF(OR($J5="",$J5=0),"",SUMPRODUCT(--($C$5:$C$29=$C5),$D$5:$D$29,$G$5:$G$29)/$J5),"")</f>
        <v>7.463583815028902</v>
      </c>
      <c r="O5" s="14">
        <f>IFERROR(IF(SUMPRODUCT(--($C$5:$C$29=$C5),$D$5:$D$29,$F$5:$F$29)=0,"",SUMPRODUCT(--($C$5:$C$29=$C5),$D$5:$D$29,$E$5:$E$29)/SUMPRODUCT(--($C$5:$C$29=$C5),$D$5:$D$29,$F$5:$F$29)),"")</f>
        <v>0.3071474565357373</v>
      </c>
      <c r="P5" s="13">
        <f>IFERROR(IF(OR($G5="",$D5=""),"",$G5*$D5),"")</f>
        <v>2730.0</v>
      </c>
      <c r="Q5" s="13">
        <f>IFERROR(IF(OR($K5="",$K5=0),"",SUMPRODUCT(--($C$5:$C$29=$C5),$D$5:$D$29,$G$5:$G$29)/$K5),"")</f>
        <v>1844.5714285714287</v>
      </c>
    </row>
    <row r="6">
      <c r="A6" s="8" t="n">
        <v>2</v>
      </c>
      <c r="B6" s="5" t="inlineStr">
        <is>
          <t>Heirloom tomato salad with tuna belly and scallions</t>
        </is>
      </c>
      <c r="C6" s="5" t="inlineStr">
        <is>
          <t>Starters</t>
        </is>
      </c>
      <c r="D6" s="9" t="n">
        <v>310</v>
      </c>
      <c r="E6" s="10" t="n">
        <v>3.6</v>
      </c>
      <c r="F6" s="10" t="n">
        <v>11.8</v>
      </c>
      <c r="G6" s="11">
        <f>IFERROR(IF(OR($E6="",$F6=""),"",$F6-$E6),"")</f>
        <v>8.200000000000001</v>
      </c>
      <c r="H6" s="12">
        <f>IFERROR(IF(OR($E6="",$F6="",$F6=0),"",$E6/$F6),"")</f>
        <v>0.30508474576271183</v>
      </c>
      <c r="I6" s="13">
        <f>IFERROR(IF(OR($F6="",$D$34=""),"",$F6*(1+$D$34)),"")</f>
        <v>11.8</v>
      </c>
      <c r="J6" s="8">
        <f>IFERROR(IF($C6="","",SUMPRODUCT(--($C$5:$C$29=$C6),$D$5:$D$29)),"")</f>
        <v>1730.0</v>
      </c>
      <c r="K6" s="8">
        <f>IFERROR(IF($C6="","",SUMPRODUCT(--($C$5:$C$29=$C6),--($D$5:$D$29&gt;0))),"")</f>
        <v>7.0</v>
      </c>
      <c r="L6" s="14">
        <f>IFERROR(IF(OR($D6="",$J6="",$J6=0),"",$D6/$J6),"")</f>
        <v>0.1791907514450867</v>
      </c>
      <c r="M6" s="14">
        <f>IFERROR(IF(OR($K6="",$K6=0,$D$33=""),"",$D$33/$K6),"")</f>
        <v>0.09999999999999999</v>
      </c>
      <c r="N6" s="13">
        <f>IFERROR(IF(OR($J6="",$J6=0),"",SUMPRODUCT(--($C$5:$C$29=$C6),$D$5:$D$29,$G$5:$G$29)/$J6),"")</f>
        <v>7.463583815028902</v>
      </c>
      <c r="O6" s="14">
        <f>IFERROR(IF(SUMPRODUCT(--($C$5:$C$29=$C6),$D$5:$D$29,$F$5:$F$29)=0,"",SUMPRODUCT(--($C$5:$C$29=$C6),$D$5:$D$29,$E$5:$E$29)/SUMPRODUCT(--($C$5:$C$29=$C6),$D$5:$D$29,$F$5:$F$29)),"")</f>
        <v>0.3071474565357373</v>
      </c>
      <c r="P6" s="13">
        <f>IFERROR(IF(OR($G6="",$D6=""),"",$G6*$D6),"")</f>
        <v>2542.0000000000005</v>
      </c>
      <c r="Q6" s="13">
        <f>IFERROR(IF(OR($K6="",$K6=0),"",SUMPRODUCT(--($C$5:$C$29=$C6),$D$5:$D$29,$G$5:$G$29)/$K6),"")</f>
        <v>1844.5714285714287</v>
      </c>
    </row>
    <row r="7">
      <c r="A7" s="8" t="n">
        <v>3</v>
      </c>
      <c r="B7" s="5" t="inlineStr">
        <is>
          <t>Garlic shrimp</t>
        </is>
      </c>
      <c r="C7" s="5" t="inlineStr">
        <is>
          <t>Starters</t>
        </is>
      </c>
      <c r="D7" s="9" t="n">
        <v>260</v>
      </c>
      <c r="E7" s="10" t="n">
        <v>6.9</v>
      </c>
      <c r="F7" s="10" t="n">
        <v>15.5</v>
      </c>
      <c r="G7" s="11">
        <f>IFERROR(IF(OR($E7="",$F7=""),"",$F7-$E7),"")</f>
        <v>8.6</v>
      </c>
      <c r="H7" s="12">
        <f>IFERROR(IF(OR($E7="",$F7="",$F7=0),"",$E7/$F7),"")</f>
        <v>0.44516129032258067</v>
      </c>
      <c r="I7" s="13">
        <f>IFERROR(IF(OR($F7="",$D$34=""),"",$F7*(1+$D$34)),"")</f>
        <v>15.5</v>
      </c>
      <c r="J7" s="8">
        <f>IFERROR(IF($C7="","",SUMPRODUCT(--($C$5:$C$29=$C7),$D$5:$D$29)),"")</f>
        <v>1730.0</v>
      </c>
      <c r="K7" s="8">
        <f>IFERROR(IF($C7="","",SUMPRODUCT(--($C$5:$C$29=$C7),--($D$5:$D$29&gt;0))),"")</f>
        <v>7.0</v>
      </c>
      <c r="L7" s="14">
        <f>IFERROR(IF(OR($D7="",$J7="",$J7=0),"",$D7/$J7),"")</f>
        <v>0.15028901734104047</v>
      </c>
      <c r="M7" s="14">
        <f>IFERROR(IF(OR($K7="",$K7=0,$D$33=""),"",$D$33/$K7),"")</f>
        <v>0.09999999999999999</v>
      </c>
      <c r="N7" s="13">
        <f>IFERROR(IF(OR($J7="",$J7=0),"",SUMPRODUCT(--($C$5:$C$29=$C7),$D$5:$D$29,$G$5:$G$29)/$J7),"")</f>
        <v>7.463583815028902</v>
      </c>
      <c r="O7" s="14">
        <f>IFERROR(IF(SUMPRODUCT(--($C$5:$C$29=$C7),$D$5:$D$29,$F$5:$F$29)=0,"",SUMPRODUCT(--($C$5:$C$29=$C7),$D$5:$D$29,$E$5:$E$29)/SUMPRODUCT(--($C$5:$C$29=$C7),$D$5:$D$29,$F$5:$F$29)),"")</f>
        <v>0.3071474565357373</v>
      </c>
      <c r="P7" s="13">
        <f>IFERROR(IF(OR($G7="",$D7=""),"",$G7*$D7),"")</f>
        <v>2236.0</v>
      </c>
      <c r="Q7" s="13">
        <f>IFERROR(IF(OR($K7="",$K7=0),"",SUMPRODUCT(--($C$5:$C$29=$C7),$D$5:$D$29,$G$5:$G$29)/$K7),"")</f>
        <v>1844.5714285714287</v>
      </c>
    </row>
    <row r="8">
      <c r="A8" s="8" t="n">
        <v>4</v>
      </c>
      <c r="B8" s="5" t="inlineStr">
        <is>
          <t>Broken eggs with potatoes and chistorra sausage</t>
        </is>
      </c>
      <c r="C8" s="5" t="inlineStr">
        <is>
          <t>Starters</t>
        </is>
      </c>
      <c r="D8" s="9" t="n">
        <v>380</v>
      </c>
      <c r="E8" s="10" t="n">
        <v>2.4</v>
      </c>
      <c r="F8" s="10" t="n">
        <v>9.800000000000001</v>
      </c>
      <c r="G8" s="11">
        <f>IFERROR(IF(OR($E8="",$F8=""),"",$F8-$E8),"")</f>
        <v>7.4</v>
      </c>
      <c r="H8" s="12">
        <f>IFERROR(IF(OR($E8="",$F8="",$F8=0),"",$E8/$F8),"")</f>
        <v>0.24489795918367344</v>
      </c>
      <c r="I8" s="13">
        <f>IFERROR(IF(OR($F8="",$D$34=""),"",$F8*(1+$D$34)),"")</f>
        <v>9.8</v>
      </c>
      <c r="J8" s="8">
        <f>IFERROR(IF($C8="","",SUMPRODUCT(--($C$5:$C$29=$C8),$D$5:$D$29)),"")</f>
        <v>1730.0</v>
      </c>
      <c r="K8" s="8">
        <f>IFERROR(IF($C8="","",SUMPRODUCT(--($C$5:$C$29=$C8),--($D$5:$D$29&gt;0))),"")</f>
        <v>7.0</v>
      </c>
      <c r="L8" s="14">
        <f>IFERROR(IF(OR($D8="",$J8="",$J8=0),"",$D8/$J8),"")</f>
        <v>0.21965317919075145</v>
      </c>
      <c r="M8" s="14">
        <f>IFERROR(IF(OR($K8="",$K8=0,$D$33=""),"",$D$33/$K8),"")</f>
        <v>0.09999999999999999</v>
      </c>
      <c r="N8" s="13">
        <f>IFERROR(IF(OR($J8="",$J8=0),"",SUMPRODUCT(--($C$5:$C$29=$C8),$D$5:$D$29,$G$5:$G$29)/$J8),"")</f>
        <v>7.463583815028902</v>
      </c>
      <c r="O8" s="14">
        <f>IFERROR(IF(SUMPRODUCT(--($C$5:$C$29=$C8),$D$5:$D$29,$F$5:$F$29)=0,"",SUMPRODUCT(--($C$5:$C$29=$C8),$D$5:$D$29,$E$5:$E$29)/SUMPRODUCT(--($C$5:$C$29=$C8),$D$5:$D$29,$F$5:$F$29)),"")</f>
        <v>0.3071474565357373</v>
      </c>
      <c r="P8" s="13">
        <f>IFERROR(IF(OR($G8="",$D8=""),"",$G8*$D8),"")</f>
        <v>2812.0</v>
      </c>
      <c r="Q8" s="13">
        <f>IFERROR(IF(OR($K8="",$K8=0),"",SUMPRODUCT(--($C$5:$C$29=$C8),$D$5:$D$29,$G$5:$G$29)/$K8),"")</f>
        <v>1844.5714285714287</v>
      </c>
    </row>
    <row r="9">
      <c r="A9" s="8" t="n">
        <v>5</v>
      </c>
      <c r="B9" s="5" t="inlineStr">
        <is>
          <t>Local cheese board</t>
        </is>
      </c>
      <c r="C9" s="5" t="inlineStr">
        <is>
          <t>Starters</t>
        </is>
      </c>
      <c r="D9" s="9" t="n">
        <v>90</v>
      </c>
      <c r="E9" s="10" t="n">
        <v>5.2</v>
      </c>
      <c r="F9" s="10" t="n">
        <v>13.6</v>
      </c>
      <c r="G9" s="11">
        <f>IFERROR(IF(OR($E9="",$F9=""),"",$F9-$E9),"")</f>
        <v>8.399999999999999</v>
      </c>
      <c r="H9" s="12">
        <f>IFERROR(IF(OR($E9="",$F9="",$F9=0),"",$E9/$F9),"")</f>
        <v>0.3823529411764706</v>
      </c>
      <c r="I9" s="13">
        <f>IFERROR(IF(OR($F9="",$D$34=""),"",$F9*(1+$D$34)),"")</f>
        <v>13.6</v>
      </c>
      <c r="J9" s="8">
        <f>IFERROR(IF($C9="","",SUMPRODUCT(--($C$5:$C$29=$C9),$D$5:$D$29)),"")</f>
        <v>1730.0</v>
      </c>
      <c r="K9" s="8">
        <f>IFERROR(IF($C9="","",SUMPRODUCT(--($C$5:$C$29=$C9),--($D$5:$D$29&gt;0))),"")</f>
        <v>7.0</v>
      </c>
      <c r="L9" s="14">
        <f>IFERROR(IF(OR($D9="",$J9="",$J9=0),"",$D9/$J9),"")</f>
        <v>0.05202312138728324</v>
      </c>
      <c r="M9" s="14">
        <f>IFERROR(IF(OR($K9="",$K9=0,$D$33=""),"",$D$33/$K9),"")</f>
        <v>0.09999999999999999</v>
      </c>
      <c r="N9" s="13">
        <f>IFERROR(IF(OR($J9="",$J9=0),"",SUMPRODUCT(--($C$5:$C$29=$C9),$D$5:$D$29,$G$5:$G$29)/$J9),"")</f>
        <v>7.463583815028902</v>
      </c>
      <c r="O9" s="14">
        <f>IFERROR(IF(SUMPRODUCT(--($C$5:$C$29=$C9),$D$5:$D$29,$F$5:$F$29)=0,"",SUMPRODUCT(--($C$5:$C$29=$C9),$D$5:$D$29,$E$5:$E$29)/SUMPRODUCT(--($C$5:$C$29=$C9),$D$5:$D$29,$F$5:$F$29)),"")</f>
        <v>0.3071474565357373</v>
      </c>
      <c r="P9" s="13">
        <f>IFERROR(IF(OR($G9="",$D9=""),"",$G9*$D9),"")</f>
        <v>755.9999999999999</v>
      </c>
      <c r="Q9" s="13">
        <f>IFERROR(IF(OR($K9="",$K9=0),"",SUMPRODUCT(--($C$5:$C$29=$C9),$D$5:$D$29,$G$5:$G$29)/$K9),"")</f>
        <v>1844.5714285714287</v>
      </c>
    </row>
    <row r="10">
      <c r="A10" s="8" t="n">
        <v>6</v>
      </c>
      <c r="B10" s="5" t="inlineStr">
        <is>
          <t>Confit artichokes with ham</t>
        </is>
      </c>
      <c r="C10" s="5" t="inlineStr">
        <is>
          <t>Starters</t>
        </is>
      </c>
      <c r="D10" s="9" t="n">
        <v>120</v>
      </c>
      <c r="E10" s="10" t="n">
        <v>3.1</v>
      </c>
      <c r="F10" s="10" t="n">
        <v>10.9</v>
      </c>
      <c r="G10" s="11">
        <f>IFERROR(IF(OR($E10="",$F10=""),"",$F10-$E10),"")</f>
        <v>7.800000000000001</v>
      </c>
      <c r="H10" s="12">
        <f>IFERROR(IF(OR($E10="",$F10="",$F10=0),"",$E10/$F10),"")</f>
        <v>0.28440366972477066</v>
      </c>
      <c r="I10" s="13">
        <f>IFERROR(IF(OR($F10="",$D$34=""),"",$F10*(1+$D$34)),"")</f>
        <v>10.9</v>
      </c>
      <c r="J10" s="8">
        <f>IFERROR(IF($C10="","",SUMPRODUCT(--($C$5:$C$29=$C10),$D$5:$D$29)),"")</f>
        <v>1730.0</v>
      </c>
      <c r="K10" s="8">
        <f>IFERROR(IF($C10="","",SUMPRODUCT(--($C$5:$C$29=$C10),--($D$5:$D$29&gt;0))),"")</f>
        <v>7.0</v>
      </c>
      <c r="L10" s="14">
        <f>IFERROR(IF(OR($D10="",$J10="",$J10=0),"",$D10/$J10),"")</f>
        <v>0.06936416184971098</v>
      </c>
      <c r="M10" s="14">
        <f>IFERROR(IF(OR($K10="",$K10=0,$D$33=""),"",$D$33/$K10),"")</f>
        <v>0.09999999999999999</v>
      </c>
      <c r="N10" s="13">
        <f>IFERROR(IF(OR($J10="",$J10=0),"",SUMPRODUCT(--($C$5:$C$29=$C10),$D$5:$D$29,$G$5:$G$29)/$J10),"")</f>
        <v>7.463583815028902</v>
      </c>
      <c r="O10" s="14">
        <f>IFERROR(IF(SUMPRODUCT(--($C$5:$C$29=$C10),$D$5:$D$29,$F$5:$F$29)=0,"",SUMPRODUCT(--($C$5:$C$29=$C10),$D$5:$D$29,$E$5:$E$29)/SUMPRODUCT(--($C$5:$C$29=$C10),$D$5:$D$29,$F$5:$F$29)),"")</f>
        <v>0.3071474565357373</v>
      </c>
      <c r="P10" s="13">
        <f>IFERROR(IF(OR($G10="",$D10=""),"",$G10*$D10),"")</f>
        <v>936.0000000000001</v>
      </c>
      <c r="Q10" s="13">
        <f>IFERROR(IF(OR($K10="",$K10=0),"",SUMPRODUCT(--($C$5:$C$29=$C10),$D$5:$D$29,$G$5:$G$29)/$K10),"")</f>
        <v>1844.5714285714287</v>
      </c>
    </row>
    <row r="11">
      <c r="A11" s="8" t="n">
        <v>7</v>
      </c>
      <c r="B11" s="5" t="inlineStr">
        <is>
          <t>Roasted tomato soup with basil</t>
        </is>
      </c>
      <c r="C11" s="5" t="inlineStr">
        <is>
          <t>Starters</t>
        </is>
      </c>
      <c r="D11" s="9" t="n">
        <v>150</v>
      </c>
      <c r="E11" s="10" t="n">
        <v>1.2</v>
      </c>
      <c r="F11" s="10" t="n">
        <v>7.2</v>
      </c>
      <c r="G11" s="11">
        <f>IFERROR(IF(OR($E11="",$F11=""),"",$F11-$E11),"")</f>
        <v>6.0</v>
      </c>
      <c r="H11" s="12">
        <f>IFERROR(IF(OR($E11="",$F11="",$F11=0),"",$E11/$F11),"")</f>
        <v>0.16666666666666666</v>
      </c>
      <c r="I11" s="13">
        <f>IFERROR(IF(OR($F11="",$D$34=""),"",$F11*(1+$D$34)),"")</f>
        <v>7.2</v>
      </c>
      <c r="J11" s="8">
        <f>IFERROR(IF($C11="","",SUMPRODUCT(--($C$5:$C$29=$C11),$D$5:$D$29)),"")</f>
        <v>1730.0</v>
      </c>
      <c r="K11" s="8">
        <f>IFERROR(IF($C11="","",SUMPRODUCT(--($C$5:$C$29=$C11),--($D$5:$D$29&gt;0))),"")</f>
        <v>7.0</v>
      </c>
      <c r="L11" s="14">
        <f>IFERROR(IF(OR($D11="",$J11="",$J11=0),"",$D11/$J11),"")</f>
        <v>0.08670520231213873</v>
      </c>
      <c r="M11" s="14">
        <f>IFERROR(IF(OR($K11="",$K11=0,$D$33=""),"",$D$33/$K11),"")</f>
        <v>0.09999999999999999</v>
      </c>
      <c r="N11" s="13">
        <f>IFERROR(IF(OR($J11="",$J11=0),"",SUMPRODUCT(--($C$5:$C$29=$C11),$D$5:$D$29,$G$5:$G$29)/$J11),"")</f>
        <v>7.463583815028902</v>
      </c>
      <c r="O11" s="14">
        <f>IFERROR(IF(SUMPRODUCT(--($C$5:$C$29=$C11),$D$5:$D$29,$F$5:$F$29)=0,"",SUMPRODUCT(--($C$5:$C$29=$C11),$D$5:$D$29,$E$5:$E$29)/SUMPRODUCT(--($C$5:$C$29=$C11),$D$5:$D$29,$F$5:$F$29)),"")</f>
        <v>0.3071474565357373</v>
      </c>
      <c r="P11" s="13">
        <f>IFERROR(IF(OR($G11="",$D11=""),"",$G11*$D11),"")</f>
        <v>900.0</v>
      </c>
      <c r="Q11" s="13">
        <f>IFERROR(IF(OR($K11="",$K11=0),"",SUMPRODUCT(--($C$5:$C$29=$C11),$D$5:$D$29,$G$5:$G$29)/$K11),"")</f>
        <v>1844.5714285714287</v>
      </c>
    </row>
    <row r="12">
      <c r="A12" s="8" t="n">
        <v>8</v>
      </c>
      <c r="B12" s="5" t="inlineStr">
        <is>
          <t>Iberico pork tenderloin with sweet potato purée</t>
        </is>
      </c>
      <c r="C12" s="5" t="inlineStr">
        <is>
          <t>Mains</t>
        </is>
      </c>
      <c r="D12" s="9" t="n">
        <v>340</v>
      </c>
      <c r="E12" s="10" t="n">
        <v>5.67</v>
      </c>
      <c r="F12" s="10" t="n">
        <v>17.3</v>
      </c>
      <c r="G12" s="11">
        <f>IFERROR(IF(OR($E12="",$F12=""),"",$F12-$E12),"")</f>
        <v>11.63</v>
      </c>
      <c r="H12" s="12">
        <f>IFERROR(IF(OR($E12="",$F12="",$F12=0),"",$E12/$F12),"")</f>
        <v>0.32774566473988437</v>
      </c>
      <c r="I12" s="13">
        <f>IFERROR(IF(OR($F12="",$D$34=""),"",$F12*(1+$D$34)),"")</f>
        <v>17.3</v>
      </c>
      <c r="J12" s="8">
        <f>IFERROR(IF($C12="","",SUMPRODUCT(--($C$5:$C$29=$C12),$D$5:$D$29)),"")</f>
        <v>2020.0</v>
      </c>
      <c r="K12" s="8">
        <f>IFERROR(IF($C12="","",SUMPRODUCT(--($C$5:$C$29=$C12),--($D$5:$D$29&gt;0))),"")</f>
        <v>9.0</v>
      </c>
      <c r="L12" s="14">
        <f>IFERROR(IF(OR($D12="",$J12="",$J12=0),"",$D12/$J12),"")</f>
        <v>0.16831683168316833</v>
      </c>
      <c r="M12" s="14">
        <f>IFERROR(IF(OR($K12="",$K12=0,$D$33=""),"",$D$33/$K12),"")</f>
        <v>0.07777777777777778</v>
      </c>
      <c r="N12" s="13">
        <f>IFERROR(IF(OR($J12="",$J12=0),"",SUMPRODUCT(--($C$5:$C$29=$C12),$D$5:$D$29,$G$5:$G$29)/$J12),"")</f>
        <v>10.795148514851485</v>
      </c>
      <c r="O12" s="14">
        <f>IFERROR(IF(SUMPRODUCT(--($C$5:$C$29=$C12),$D$5:$D$29,$F$5:$F$29)=0,"",SUMPRODUCT(--($C$5:$C$29=$C12),$D$5:$D$29,$E$5:$E$29)/SUMPRODUCT(--($C$5:$C$29=$C12),$D$5:$D$29,$F$5:$F$29)),"")</f>
        <v>0.3558752289242039</v>
      </c>
      <c r="P12" s="13">
        <f>IFERROR(IF(OR($G12="",$D12=""),"",$G12*$D12),"")</f>
        <v>3954.2000000000003</v>
      </c>
      <c r="Q12" s="13">
        <f>IFERROR(IF(OR($K12="",$K12=0),"",SUMPRODUCT(--($C$5:$C$29=$C12),$D$5:$D$29,$G$5:$G$29)/$K12),"")</f>
        <v>2422.911111111111</v>
      </c>
    </row>
    <row r="13">
      <c r="A13" s="8" t="n">
        <v>9</v>
      </c>
      <c r="B13" s="5" t="inlineStr">
        <is>
          <t>Confit cod in pil-pil sauce</t>
        </is>
      </c>
      <c r="C13" s="5" t="inlineStr">
        <is>
          <t>Mains</t>
        </is>
      </c>
      <c r="D13" s="9" t="n">
        <v>190</v>
      </c>
      <c r="E13" s="10" t="n">
        <v>7.4</v>
      </c>
      <c r="F13" s="10" t="n">
        <v>19.1</v>
      </c>
      <c r="G13" s="11">
        <f>IFERROR(IF(OR($E13="",$F13=""),"",$F13-$E13),"")</f>
        <v>11.700000000000001</v>
      </c>
      <c r="H13" s="12">
        <f>IFERROR(IF(OR($E13="",$F13="",$F13=0),"",$E13/$F13),"")</f>
        <v>0.38743455497382195</v>
      </c>
      <c r="I13" s="13">
        <f>IFERROR(IF(OR($F13="",$D$34=""),"",$F13*(1+$D$34)),"")</f>
        <v>19.1</v>
      </c>
      <c r="J13" s="8">
        <f>IFERROR(IF($C13="","",SUMPRODUCT(--($C$5:$C$29=$C13),$D$5:$D$29)),"")</f>
        <v>2020.0</v>
      </c>
      <c r="K13" s="8">
        <f>IFERROR(IF($C13="","",SUMPRODUCT(--($C$5:$C$29=$C13),--($D$5:$D$29&gt;0))),"")</f>
        <v>9.0</v>
      </c>
      <c r="L13" s="14">
        <f>IFERROR(IF(OR($D13="",$J13="",$J13=0),"",$D13/$J13),"")</f>
        <v>0.09405940594059406</v>
      </c>
      <c r="M13" s="14">
        <f>IFERROR(IF(OR($K13="",$K13=0,$D$33=""),"",$D$33/$K13),"")</f>
        <v>0.07777777777777778</v>
      </c>
      <c r="N13" s="13">
        <f>IFERROR(IF(OR($J13="",$J13=0),"",SUMPRODUCT(--($C$5:$C$29=$C13),$D$5:$D$29,$G$5:$G$29)/$J13),"")</f>
        <v>10.795148514851485</v>
      </c>
      <c r="O13" s="14">
        <f>IFERROR(IF(SUMPRODUCT(--($C$5:$C$29=$C13),$D$5:$D$29,$F$5:$F$29)=0,"",SUMPRODUCT(--($C$5:$C$29=$C13),$D$5:$D$29,$E$5:$E$29)/SUMPRODUCT(--($C$5:$C$29=$C13),$D$5:$D$29,$F$5:$F$29)),"")</f>
        <v>0.3558752289242039</v>
      </c>
      <c r="P13" s="13">
        <f>IFERROR(IF(OR($G13="",$D13=""),"",$G13*$D13),"")</f>
        <v>2223.0</v>
      </c>
      <c r="Q13" s="13">
        <f>IFERROR(IF(OR($K13="",$K13=0),"",SUMPRODUCT(--($C$5:$C$29=$C13),$D$5:$D$29,$G$5:$G$29)/$K13),"")</f>
        <v>2422.911111111111</v>
      </c>
    </row>
    <row r="14">
      <c r="A14" s="8" t="n">
        <v>10</v>
      </c>
      <c r="B14" s="5" t="inlineStr">
        <is>
          <t>Dry-aged beef burger with fries</t>
        </is>
      </c>
      <c r="C14" s="5" t="inlineStr">
        <is>
          <t>Mains</t>
        </is>
      </c>
      <c r="D14" s="9" t="n">
        <v>460</v>
      </c>
      <c r="E14" s="10" t="n">
        <v>4.3</v>
      </c>
      <c r="F14" s="10" t="n">
        <v>13.6</v>
      </c>
      <c r="G14" s="11">
        <f>IFERROR(IF(OR($E14="",$F14=""),"",$F14-$E14),"")</f>
        <v>9.3</v>
      </c>
      <c r="H14" s="12">
        <f>IFERROR(IF(OR($E14="",$F14="",$F14=0),"",$E14/$F14),"")</f>
        <v>0.3161764705882353</v>
      </c>
      <c r="I14" s="13">
        <f>IFERROR(IF(OR($F14="",$D$34=""),"",$F14*(1+$D$34)),"")</f>
        <v>13.6</v>
      </c>
      <c r="J14" s="8">
        <f>IFERROR(IF($C14="","",SUMPRODUCT(--($C$5:$C$29=$C14),$D$5:$D$29)),"")</f>
        <v>2020.0</v>
      </c>
      <c r="K14" s="8">
        <f>IFERROR(IF($C14="","",SUMPRODUCT(--($C$5:$C$29=$C14),--($D$5:$D$29&gt;0))),"")</f>
        <v>9.0</v>
      </c>
      <c r="L14" s="14">
        <f>IFERROR(IF(OR($D14="",$J14="",$J14=0),"",$D14/$J14),"")</f>
        <v>0.22772277227722773</v>
      </c>
      <c r="M14" s="14">
        <f>IFERROR(IF(OR($K14="",$K14=0,$D$33=""),"",$D$33/$K14),"")</f>
        <v>0.07777777777777778</v>
      </c>
      <c r="N14" s="13">
        <f>IFERROR(IF(OR($J14="",$J14=0),"",SUMPRODUCT(--($C$5:$C$29=$C14),$D$5:$D$29,$G$5:$G$29)/$J14),"")</f>
        <v>10.795148514851485</v>
      </c>
      <c r="O14" s="14">
        <f>IFERROR(IF(SUMPRODUCT(--($C$5:$C$29=$C14),$D$5:$D$29,$F$5:$F$29)=0,"",SUMPRODUCT(--($C$5:$C$29=$C14),$D$5:$D$29,$E$5:$E$29)/SUMPRODUCT(--($C$5:$C$29=$C14),$D$5:$D$29,$F$5:$F$29)),"")</f>
        <v>0.3558752289242039</v>
      </c>
      <c r="P14" s="13">
        <f>IFERROR(IF(OR($G14="",$D14=""),"",$G14*$D14),"")</f>
        <v>4278.0</v>
      </c>
      <c r="Q14" s="13">
        <f>IFERROR(IF(OR($K14="",$K14=0),"",SUMPRODUCT(--($C$5:$C$29=$C14),$D$5:$D$29,$G$5:$G$29)/$K14),"")</f>
        <v>2422.911111111111</v>
      </c>
    </row>
    <row r="15">
      <c r="A15" s="8" t="n">
        <v>11</v>
      </c>
      <c r="B15" s="5" t="inlineStr">
        <is>
          <t>Creamy rice with Iberico pork secreto and mushrooms</t>
        </is>
      </c>
      <c r="C15" s="5" t="inlineStr">
        <is>
          <t>Mains</t>
        </is>
      </c>
      <c r="D15" s="9" t="n">
        <v>270</v>
      </c>
      <c r="E15" s="10" t="n">
        <v>6.2</v>
      </c>
      <c r="F15" s="10" t="n">
        <v>16.4</v>
      </c>
      <c r="G15" s="11">
        <f>IFERROR(IF(OR($E15="",$F15=""),"",$F15-$E15),"")</f>
        <v>10.2</v>
      </c>
      <c r="H15" s="12">
        <f>IFERROR(IF(OR($E15="",$F15="",$F15=0),"",$E15/$F15),"")</f>
        <v>0.37804878048780494</v>
      </c>
      <c r="I15" s="13">
        <f>IFERROR(IF(OR($F15="",$D$34=""),"",$F15*(1+$D$34)),"")</f>
        <v>16.4</v>
      </c>
      <c r="J15" s="8">
        <f>IFERROR(IF($C15="","",SUMPRODUCT(--($C$5:$C$29=$C15),$D$5:$D$29)),"")</f>
        <v>2020.0</v>
      </c>
      <c r="K15" s="8">
        <f>IFERROR(IF($C15="","",SUMPRODUCT(--($C$5:$C$29=$C15),--($D$5:$D$29&gt;0))),"")</f>
        <v>9.0</v>
      </c>
      <c r="L15" s="14">
        <f>IFERROR(IF(OR($D15="",$J15="",$J15=0),"",$D15/$J15),"")</f>
        <v>0.13366336633663367</v>
      </c>
      <c r="M15" s="14">
        <f>IFERROR(IF(OR($K15="",$K15=0,$D$33=""),"",$D$33/$K15),"")</f>
        <v>0.07777777777777778</v>
      </c>
      <c r="N15" s="13">
        <f>IFERROR(IF(OR($J15="",$J15=0),"",SUMPRODUCT(--($C$5:$C$29=$C15),$D$5:$D$29,$G$5:$G$29)/$J15),"")</f>
        <v>10.795148514851485</v>
      </c>
      <c r="O15" s="14">
        <f>IFERROR(IF(SUMPRODUCT(--($C$5:$C$29=$C15),$D$5:$D$29,$F$5:$F$29)=0,"",SUMPRODUCT(--($C$5:$C$29=$C15),$D$5:$D$29,$E$5:$E$29)/SUMPRODUCT(--($C$5:$C$29=$C15),$D$5:$D$29,$F$5:$F$29)),"")</f>
        <v>0.3558752289242039</v>
      </c>
      <c r="P15" s="13">
        <f>IFERROR(IF(OR($G15="",$D15=""),"",$G15*$D15),"")</f>
        <v>2754.0</v>
      </c>
      <c r="Q15" s="13">
        <f>IFERROR(IF(OR($K15="",$K15=0),"",SUMPRODUCT(--($C$5:$C$29=$C15),$D$5:$D$29,$G$5:$G$29)/$K15),"")</f>
        <v>2422.911111111111</v>
      </c>
    </row>
    <row r="16">
      <c r="A16" s="8" t="n">
        <v>12</v>
      </c>
      <c r="B16" s="5" t="inlineStr">
        <is>
          <t>Dry-aged bone-in ribeye (17.64 oz)</t>
        </is>
      </c>
      <c r="C16" s="5" t="inlineStr">
        <is>
          <t>Mains</t>
        </is>
      </c>
      <c r="D16" s="9" t="n">
        <v>110</v>
      </c>
      <c r="E16" s="10" t="n">
        <v>14.8</v>
      </c>
      <c r="F16" s="10" t="n">
        <v>32.7</v>
      </c>
      <c r="G16" s="11">
        <f>IFERROR(IF(OR($E16="",$F16=""),"",$F16-$E16),"")</f>
        <v>17.900000000000002</v>
      </c>
      <c r="H16" s="12">
        <f>IFERROR(IF(OR($E16="",$F16="",$F16=0),"",$E16/$F16),"")</f>
        <v>0.4525993883792049</v>
      </c>
      <c r="I16" s="13">
        <f>IFERROR(IF(OR($F16="",$D$34=""),"",$F16*(1+$D$34)),"")</f>
        <v>32.7</v>
      </c>
      <c r="J16" s="8">
        <f>IFERROR(IF($C16="","",SUMPRODUCT(--($C$5:$C$29=$C16),$D$5:$D$29)),"")</f>
        <v>2020.0</v>
      </c>
      <c r="K16" s="8">
        <f>IFERROR(IF($C16="","",SUMPRODUCT(--($C$5:$C$29=$C16),--($D$5:$D$29&gt;0))),"")</f>
        <v>9.0</v>
      </c>
      <c r="L16" s="14">
        <f>IFERROR(IF(OR($D16="",$J16="",$J16=0),"",$D16/$J16),"")</f>
        <v>0.054455445544554455</v>
      </c>
      <c r="M16" s="14">
        <f>IFERROR(IF(OR($K16="",$K16=0,$D$33=""),"",$D$33/$K16),"")</f>
        <v>0.07777777777777778</v>
      </c>
      <c r="N16" s="13">
        <f>IFERROR(IF(OR($J16="",$J16=0),"",SUMPRODUCT(--($C$5:$C$29=$C16),$D$5:$D$29,$G$5:$G$29)/$J16),"")</f>
        <v>10.795148514851485</v>
      </c>
      <c r="O16" s="14">
        <f>IFERROR(IF(SUMPRODUCT(--($C$5:$C$29=$C16),$D$5:$D$29,$F$5:$F$29)=0,"",SUMPRODUCT(--($C$5:$C$29=$C16),$D$5:$D$29,$E$5:$E$29)/SUMPRODUCT(--($C$5:$C$29=$C16),$D$5:$D$29,$F$5:$F$29)),"")</f>
        <v>0.3558752289242039</v>
      </c>
      <c r="P16" s="13">
        <f>IFERROR(IF(OR($G16="",$D16=""),"",$G16*$D16),"")</f>
        <v>1969.0000000000002</v>
      </c>
      <c r="Q16" s="13">
        <f>IFERROR(IF(OR($K16="",$K16=0),"",SUMPRODUCT(--($C$5:$C$29=$C16),$D$5:$D$29,$G$5:$G$29)/$K16),"")</f>
        <v>2422.911111111111</v>
      </c>
    </row>
    <row r="17">
      <c r="A17" s="8" t="n">
        <v>13</v>
      </c>
      <c r="B17" s="5" t="inlineStr">
        <is>
          <t>Salt-baked sea bass</t>
        </is>
      </c>
      <c r="C17" s="5" t="inlineStr">
        <is>
          <t>Mains</t>
        </is>
      </c>
      <c r="D17" s="9" t="n">
        <v>80</v>
      </c>
      <c r="E17" s="10" t="n">
        <v>8.9</v>
      </c>
      <c r="F17" s="10" t="n">
        <v>21.8</v>
      </c>
      <c r="G17" s="11">
        <f>IFERROR(IF(OR($E17="",$F17=""),"",$F17-$E17),"")</f>
        <v>12.9</v>
      </c>
      <c r="H17" s="12">
        <f>IFERROR(IF(OR($E17="",$F17="",$F17=0),"",$E17/$F17),"")</f>
        <v>0.40825688073394495</v>
      </c>
      <c r="I17" s="13">
        <f>IFERROR(IF(OR($F17="",$D$34=""),"",$F17*(1+$D$34)),"")</f>
        <v>21.8</v>
      </c>
      <c r="J17" s="8">
        <f>IFERROR(IF($C17="","",SUMPRODUCT(--($C$5:$C$29=$C17),$D$5:$D$29)),"")</f>
        <v>2020.0</v>
      </c>
      <c r="K17" s="8">
        <f>IFERROR(IF($C17="","",SUMPRODUCT(--($C$5:$C$29=$C17),--($D$5:$D$29&gt;0))),"")</f>
        <v>9.0</v>
      </c>
      <c r="L17" s="14">
        <f>IFERROR(IF(OR($D17="",$J17="",$J17=0),"",$D17/$J17),"")</f>
        <v>0.039603960396039604</v>
      </c>
      <c r="M17" s="14">
        <f>IFERROR(IF(OR($K17="",$K17=0,$D$33=""),"",$D$33/$K17),"")</f>
        <v>0.07777777777777778</v>
      </c>
      <c r="N17" s="13">
        <f>IFERROR(IF(OR($J17="",$J17=0),"",SUMPRODUCT(--($C$5:$C$29=$C17),$D$5:$D$29,$G$5:$G$29)/$J17),"")</f>
        <v>10.795148514851485</v>
      </c>
      <c r="O17" s="14">
        <f>IFERROR(IF(SUMPRODUCT(--($C$5:$C$29=$C17),$D$5:$D$29,$F$5:$F$29)=0,"",SUMPRODUCT(--($C$5:$C$29=$C17),$D$5:$D$29,$E$5:$E$29)/SUMPRODUCT(--($C$5:$C$29=$C17),$D$5:$D$29,$F$5:$F$29)),"")</f>
        <v>0.3558752289242039</v>
      </c>
      <c r="P17" s="13">
        <f>IFERROR(IF(OR($G17="",$D17=""),"",$G17*$D17),"")</f>
        <v>1032.0</v>
      </c>
      <c r="Q17" s="13">
        <f>IFERROR(IF(OR($K17="",$K17=0),"",SUMPRODUCT(--($C$5:$C$29=$C17),$D$5:$D$29,$G$5:$G$29)/$K17),"")</f>
        <v>2422.911111111111</v>
      </c>
    </row>
    <row r="18">
      <c r="A18" s="8" t="n">
        <v>14</v>
      </c>
      <c r="B18" s="5" t="inlineStr">
        <is>
          <t>Free-range roast chicken with potatoes</t>
        </is>
      </c>
      <c r="C18" s="5" t="inlineStr">
        <is>
          <t>Mains</t>
        </is>
      </c>
      <c r="D18" s="9" t="n">
        <v>300</v>
      </c>
      <c r="E18" s="10" t="n">
        <v>3.7</v>
      </c>
      <c r="F18" s="10" t="n">
        <v>12.7</v>
      </c>
      <c r="G18" s="11">
        <f>IFERROR(IF(OR($E18="",$F18=""),"",$F18-$E18),"")</f>
        <v>9.0</v>
      </c>
      <c r="H18" s="12">
        <f>IFERROR(IF(OR($E18="",$F18="",$F18=0),"",$E18/$F18),"")</f>
        <v>0.2913385826771654</v>
      </c>
      <c r="I18" s="13">
        <f>IFERROR(IF(OR($F18="",$D$34=""),"",$F18*(1+$D$34)),"")</f>
        <v>12.7</v>
      </c>
      <c r="J18" s="8">
        <f>IFERROR(IF($C18="","",SUMPRODUCT(--($C$5:$C$29=$C18),$D$5:$D$29)),"")</f>
        <v>2020.0</v>
      </c>
      <c r="K18" s="8">
        <f>IFERROR(IF($C18="","",SUMPRODUCT(--($C$5:$C$29=$C18),--($D$5:$D$29&gt;0))),"")</f>
        <v>9.0</v>
      </c>
      <c r="L18" s="14">
        <f>IFERROR(IF(OR($D18="",$J18="",$J18=0),"",$D18/$J18),"")</f>
        <v>0.1485148514851485</v>
      </c>
      <c r="M18" s="14">
        <f>IFERROR(IF(OR($K18="",$K18=0,$D$33=""),"",$D$33/$K18),"")</f>
        <v>0.07777777777777778</v>
      </c>
      <c r="N18" s="13">
        <f>IFERROR(IF(OR($J18="",$J18=0),"",SUMPRODUCT(--($C$5:$C$29=$C18),$D$5:$D$29,$G$5:$G$29)/$J18),"")</f>
        <v>10.795148514851485</v>
      </c>
      <c r="O18" s="14">
        <f>IFERROR(IF(SUMPRODUCT(--($C$5:$C$29=$C18),$D$5:$D$29,$F$5:$F$29)=0,"",SUMPRODUCT(--($C$5:$C$29=$C18),$D$5:$D$29,$E$5:$E$29)/SUMPRODUCT(--($C$5:$C$29=$C18),$D$5:$D$29,$F$5:$F$29)),"")</f>
        <v>0.3558752289242039</v>
      </c>
      <c r="P18" s="13">
        <f>IFERROR(IF(OR($G18="",$D18=""),"",$G18*$D18),"")</f>
        <v>2700.0</v>
      </c>
      <c r="Q18" s="13">
        <f>IFERROR(IF(OR($K18="",$K18=0),"",SUMPRODUCT(--($C$5:$C$29=$C18),$D$5:$D$29,$G$5:$G$29)/$K18),"")</f>
        <v>2422.911111111111</v>
      </c>
    </row>
    <row r="19">
      <c r="A19" s="8" t="n">
        <v>15</v>
      </c>
      <c r="B19" s="5" t="inlineStr">
        <is>
          <t>Seasonal vegetable lasagna</t>
        </is>
      </c>
      <c r="C19" s="5" t="inlineStr">
        <is>
          <t>Mains</t>
        </is>
      </c>
      <c r="D19" s="9" t="n">
        <v>140</v>
      </c>
      <c r="E19" s="10" t="n">
        <v>2.6</v>
      </c>
      <c r="F19" s="10" t="n">
        <v>11.4</v>
      </c>
      <c r="G19" s="11">
        <f>IFERROR(IF(OR($E19="",$F19=""),"",$F19-$E19),"")</f>
        <v>8.8</v>
      </c>
      <c r="H19" s="12">
        <f>IFERROR(IF(OR($E19="",$F19="",$F19=0),"",$E19/$F19),"")</f>
        <v>0.22807017543859648</v>
      </c>
      <c r="I19" s="13">
        <f>IFERROR(IF(OR($F19="",$D$34=""),"",$F19*(1+$D$34)),"")</f>
        <v>11.4</v>
      </c>
      <c r="J19" s="8">
        <f>IFERROR(IF($C19="","",SUMPRODUCT(--($C$5:$C$29=$C19),$D$5:$D$29)),"")</f>
        <v>2020.0</v>
      </c>
      <c r="K19" s="8">
        <f>IFERROR(IF($C19="","",SUMPRODUCT(--($C$5:$C$29=$C19),--($D$5:$D$29&gt;0))),"")</f>
        <v>9.0</v>
      </c>
      <c r="L19" s="14">
        <f>IFERROR(IF(OR($D19="",$J19="",$J19=0),"",$D19/$J19),"")</f>
        <v>0.06930693069306931</v>
      </c>
      <c r="M19" s="14">
        <f>IFERROR(IF(OR($K19="",$K19=0,$D$33=""),"",$D$33/$K19),"")</f>
        <v>0.07777777777777778</v>
      </c>
      <c r="N19" s="13">
        <f>IFERROR(IF(OR($J19="",$J19=0),"",SUMPRODUCT(--($C$5:$C$29=$C19),$D$5:$D$29,$G$5:$G$29)/$J19),"")</f>
        <v>10.795148514851485</v>
      </c>
      <c r="O19" s="14">
        <f>IFERROR(IF(SUMPRODUCT(--($C$5:$C$29=$C19),$D$5:$D$29,$F$5:$F$29)=0,"",SUMPRODUCT(--($C$5:$C$29=$C19),$D$5:$D$29,$E$5:$E$29)/SUMPRODUCT(--($C$5:$C$29=$C19),$D$5:$D$29,$F$5:$F$29)),"")</f>
        <v>0.3558752289242039</v>
      </c>
      <c r="P19" s="13">
        <f>IFERROR(IF(OR($G19="",$D19=""),"",$G19*$D19),"")</f>
        <v>1232.0</v>
      </c>
      <c r="Q19" s="13">
        <f>IFERROR(IF(OR($K19="",$K19=0),"",SUMPRODUCT(--($C$5:$C$29=$C19),$D$5:$D$29,$G$5:$G$29)/$K19),"")</f>
        <v>2422.911111111111</v>
      </c>
    </row>
    <row r="20">
      <c r="A20" s="8" t="n">
        <v>16</v>
      </c>
      <c r="B20" s="5" t="inlineStr">
        <is>
          <t>Seared bluefin tuna tataki with sesame</t>
        </is>
      </c>
      <c r="C20" s="5" t="inlineStr">
        <is>
          <t>Mains</t>
        </is>
      </c>
      <c r="D20" s="9" t="n">
        <v>130</v>
      </c>
      <c r="E20" s="10" t="n">
        <v>9.6</v>
      </c>
      <c r="F20" s="10" t="n">
        <v>22.4</v>
      </c>
      <c r="G20" s="11">
        <f>IFERROR(IF(OR($E20="",$F20=""),"",$F20-$E20),"")</f>
        <v>12.799999999999999</v>
      </c>
      <c r="H20" s="12">
        <f>IFERROR(IF(OR($E20="",$F20="",$F20=0),"",$E20/$F20),"")</f>
        <v>0.4285714285714286</v>
      </c>
      <c r="I20" s="13">
        <f>IFERROR(IF(OR($F20="",$D$34=""),"",$F20*(1+$D$34)),"")</f>
        <v>22.4</v>
      </c>
      <c r="J20" s="8">
        <f>IFERROR(IF($C20="","",SUMPRODUCT(--($C$5:$C$29=$C20),$D$5:$D$29)),"")</f>
        <v>2020.0</v>
      </c>
      <c r="K20" s="8">
        <f>IFERROR(IF($C20="","",SUMPRODUCT(--($C$5:$C$29=$C20),--($D$5:$D$29&gt;0))),"")</f>
        <v>9.0</v>
      </c>
      <c r="L20" s="14">
        <f>IFERROR(IF(OR($D20="",$J20="",$J20=0),"",$D20/$J20),"")</f>
        <v>0.06435643564356436</v>
      </c>
      <c r="M20" s="14">
        <f>IFERROR(IF(OR($K20="",$K20=0,$D$33=""),"",$D$33/$K20),"")</f>
        <v>0.07777777777777778</v>
      </c>
      <c r="N20" s="13">
        <f>IFERROR(IF(OR($J20="",$J20=0),"",SUMPRODUCT(--($C$5:$C$29=$C20),$D$5:$D$29,$G$5:$G$29)/$J20),"")</f>
        <v>10.795148514851485</v>
      </c>
      <c r="O20" s="14">
        <f>IFERROR(IF(SUMPRODUCT(--($C$5:$C$29=$C20),$D$5:$D$29,$F$5:$F$29)=0,"",SUMPRODUCT(--($C$5:$C$29=$C20),$D$5:$D$29,$E$5:$E$29)/SUMPRODUCT(--($C$5:$C$29=$C20),$D$5:$D$29,$F$5:$F$29)),"")</f>
        <v>0.3558752289242039</v>
      </c>
      <c r="P20" s="13">
        <f>IFERROR(IF(OR($G20="",$D20=""),"",$G20*$D20),"")</f>
        <v>1663.9999999999998</v>
      </c>
      <c r="Q20" s="13">
        <f>IFERROR(IF(OR($K20="",$K20=0),"",SUMPRODUCT(--($C$5:$C$29=$C20),$D$5:$D$29,$G$5:$G$29)/$K20),"")</f>
        <v>2422.911111111111</v>
      </c>
    </row>
    <row r="21">
      <c r="A21" s="8" t="n">
        <v>17</v>
      </c>
      <c r="B21" s="5" t="inlineStr">
        <is>
          <t>Creamy cheesecake</t>
        </is>
      </c>
      <c r="C21" s="5" t="inlineStr">
        <is>
          <t>Desserts</t>
        </is>
      </c>
      <c r="D21" s="9" t="n">
        <v>520</v>
      </c>
      <c r="E21" s="10" t="n">
        <v>1.3</v>
      </c>
      <c r="F21" s="10" t="n">
        <v>5.9</v>
      </c>
      <c r="G21" s="11">
        <f>IFERROR(IF(OR($E21="",$F21=""),"",$F21-$E21),"")</f>
        <v>4.6000000000000005</v>
      </c>
      <c r="H21" s="12">
        <f>IFERROR(IF(OR($E21="",$F21="",$F21=0),"",$E21/$F21),"")</f>
        <v>0.22033898305084745</v>
      </c>
      <c r="I21" s="13">
        <f>IFERROR(IF(OR($F21="",$D$34=""),"",$F21*(1+$D$34)),"")</f>
        <v>5.9</v>
      </c>
      <c r="J21" s="8">
        <f>IFERROR(IF($C21="","",SUMPRODUCT(--($C$5:$C$29=$C21),$D$5:$D$29)),"")</f>
        <v>1120.0</v>
      </c>
      <c r="K21" s="8">
        <f>IFERROR(IF($C21="","",SUMPRODUCT(--($C$5:$C$29=$C21),--($D$5:$D$29&gt;0))),"")</f>
        <v>4.0</v>
      </c>
      <c r="L21" s="14">
        <f>IFERROR(IF(OR($D21="",$J21="",$J21=0),"",$D21/$J21),"")</f>
        <v>0.4642857142857143</v>
      </c>
      <c r="M21" s="14">
        <f>IFERROR(IF(OR($K21="",$K21=0,$D$33=""),"",$D$33/$K21),"")</f>
        <v>0.175</v>
      </c>
      <c r="N21" s="13">
        <f>IFERROR(IF(OR($J21="",$J21=0),"",SUMPRODUCT(--($C$5:$C$29=$C21),$D$5:$D$29,$G$5:$G$29)/$J21),"")</f>
        <v>4.482142857142857</v>
      </c>
      <c r="O21" s="14">
        <f>IFERROR(IF(SUMPRODUCT(--($C$5:$C$29=$C21),$D$5:$D$29,$F$5:$F$29)=0,"",SUMPRODUCT(--($C$5:$C$29=$C21),$D$5:$D$29,$E$5:$E$29)/SUMPRODUCT(--($C$5:$C$29=$C21),$D$5:$D$29,$F$5:$F$29)),"")</f>
        <v>0.2322985165927512</v>
      </c>
      <c r="P21" s="13">
        <f>IFERROR(IF(OR($G21="",$D21=""),"",$G21*$D21),"")</f>
        <v>2392.0000000000005</v>
      </c>
      <c r="Q21" s="13">
        <f>IFERROR(IF(OR($K21="",$K21=0),"",SUMPRODUCT(--($C$5:$C$29=$C21),$D$5:$D$29,$G$5:$G$29)/$K21),"")</f>
        <v>1255.0</v>
      </c>
    </row>
    <row r="22">
      <c r="A22" s="8" t="n">
        <v>18</v>
      </c>
      <c r="B22" s="5" t="inlineStr">
        <is>
          <t>Caramelized torrija with ice cream</t>
        </is>
      </c>
      <c r="C22" s="5" t="inlineStr">
        <is>
          <t>Desserts</t>
        </is>
      </c>
      <c r="D22" s="9" t="n">
        <v>210</v>
      </c>
      <c r="E22" s="10" t="n">
        <v>1.1</v>
      </c>
      <c r="F22" s="10" t="n">
        <v>5.5</v>
      </c>
      <c r="G22" s="11">
        <f>IFERROR(IF(OR($E22="",$F22=""),"",$F22-$E22),"")</f>
        <v>4.4</v>
      </c>
      <c r="H22" s="12">
        <f>IFERROR(IF(OR($E22="",$F22="",$F22=0),"",$E22/$F22),"")</f>
        <v>0.2</v>
      </c>
      <c r="I22" s="13">
        <f>IFERROR(IF(OR($F22="",$D$34=""),"",$F22*(1+$D$34)),"")</f>
        <v>5.5</v>
      </c>
      <c r="J22" s="8">
        <f>IFERROR(IF($C22="","",SUMPRODUCT(--($C$5:$C$29=$C22),$D$5:$D$29)),"")</f>
        <v>1120.0</v>
      </c>
      <c r="K22" s="8">
        <f>IFERROR(IF($C22="","",SUMPRODUCT(--($C$5:$C$29=$C22),--($D$5:$D$29&gt;0))),"")</f>
        <v>4.0</v>
      </c>
      <c r="L22" s="14">
        <f>IFERROR(IF(OR($D22="",$J22="",$J22=0),"",$D22/$J22),"")</f>
        <v>0.1875</v>
      </c>
      <c r="M22" s="14">
        <f>IFERROR(IF(OR($K22="",$K22=0,$D$33=""),"",$D$33/$K22),"")</f>
        <v>0.175</v>
      </c>
      <c r="N22" s="13">
        <f>IFERROR(IF(OR($J22="",$J22=0),"",SUMPRODUCT(--($C$5:$C$29=$C22),$D$5:$D$29,$G$5:$G$29)/$J22),"")</f>
        <v>4.482142857142857</v>
      </c>
      <c r="O22" s="14">
        <f>IFERROR(IF(SUMPRODUCT(--($C$5:$C$29=$C22),$D$5:$D$29,$F$5:$F$29)=0,"",SUMPRODUCT(--($C$5:$C$29=$C22),$D$5:$D$29,$E$5:$E$29)/SUMPRODUCT(--($C$5:$C$29=$C22),$D$5:$D$29,$F$5:$F$29)),"")</f>
        <v>0.2322985165927512</v>
      </c>
      <c r="P22" s="13">
        <f>IFERROR(IF(OR($G22="",$D22=""),"",$G22*$D22),"")</f>
        <v>924.0000000000001</v>
      </c>
      <c r="Q22" s="13">
        <f>IFERROR(IF(OR($K22="",$K22=0),"",SUMPRODUCT(--($C$5:$C$29=$C22),$D$5:$D$29,$G$5:$G$29)/$K22),"")</f>
        <v>1255.0</v>
      </c>
    </row>
    <row r="23">
      <c r="A23" s="8" t="n">
        <v>19</v>
      </c>
      <c r="B23" s="5" t="inlineStr">
        <is>
          <t>Chocolate lava cake</t>
        </is>
      </c>
      <c r="C23" s="5" t="inlineStr">
        <is>
          <t>Desserts</t>
        </is>
      </c>
      <c r="D23" s="9" t="n">
        <v>330</v>
      </c>
      <c r="E23" s="10" t="n">
        <v>1.6</v>
      </c>
      <c r="F23" s="10" t="n">
        <v>6.2</v>
      </c>
      <c r="G23" s="11">
        <f>IFERROR(IF(OR($E23="",$F23=""),"",$F23-$E23),"")</f>
        <v>4.6</v>
      </c>
      <c r="H23" s="12">
        <f>IFERROR(IF(OR($E23="",$F23="",$F23=0),"",$E23/$F23),"")</f>
        <v>0.25806451612903225</v>
      </c>
      <c r="I23" s="13">
        <f>IFERROR(IF(OR($F23="",$D$34=""),"",$F23*(1+$D$34)),"")</f>
        <v>6.2</v>
      </c>
      <c r="J23" s="8">
        <f>IFERROR(IF($C23="","",SUMPRODUCT(--($C$5:$C$29=$C23),$D$5:$D$29)),"")</f>
        <v>1120.0</v>
      </c>
      <c r="K23" s="8">
        <f>IFERROR(IF($C23="","",SUMPRODUCT(--($C$5:$C$29=$C23),--($D$5:$D$29&gt;0))),"")</f>
        <v>4.0</v>
      </c>
      <c r="L23" s="14">
        <f>IFERROR(IF(OR($D23="",$J23="",$J23=0),"",$D23/$J23),"")</f>
        <v>0.29464285714285715</v>
      </c>
      <c r="M23" s="14">
        <f>IFERROR(IF(OR($K23="",$K23=0,$D$33=""),"",$D$33/$K23),"")</f>
        <v>0.175</v>
      </c>
      <c r="N23" s="13">
        <f>IFERROR(IF(OR($J23="",$J23=0),"",SUMPRODUCT(--($C$5:$C$29=$C23),$D$5:$D$29,$G$5:$G$29)/$J23),"")</f>
        <v>4.482142857142857</v>
      </c>
      <c r="O23" s="14">
        <f>IFERROR(IF(SUMPRODUCT(--($C$5:$C$29=$C23),$D$5:$D$29,$F$5:$F$29)=0,"",SUMPRODUCT(--($C$5:$C$29=$C23),$D$5:$D$29,$E$5:$E$29)/SUMPRODUCT(--($C$5:$C$29=$C23),$D$5:$D$29,$F$5:$F$29)),"")</f>
        <v>0.2322985165927512</v>
      </c>
      <c r="P23" s="13">
        <f>IFERROR(IF(OR($G23="",$D23=""),"",$G23*$D23),"")</f>
        <v>1517.9999999999998</v>
      </c>
      <c r="Q23" s="13">
        <f>IFERROR(IF(OR($K23="",$K23=0),"",SUMPRODUCT(--($C$5:$C$29=$C23),$D$5:$D$29,$G$5:$G$29)/$K23),"")</f>
        <v>1255.0</v>
      </c>
    </row>
    <row r="24">
      <c r="A24" s="8" t="n">
        <v>20</v>
      </c>
      <c r="B24" s="5" t="inlineStr">
        <is>
          <t>Prepared seasonal fruit</t>
        </is>
      </c>
      <c r="C24" s="5" t="inlineStr">
        <is>
          <t>Desserts</t>
        </is>
      </c>
      <c r="D24" s="9" t="n">
        <v>60</v>
      </c>
      <c r="E24" s="10" t="n">
        <v>1.4</v>
      </c>
      <c r="F24" s="10" t="n">
        <v>4.5</v>
      </c>
      <c r="G24" s="11">
        <f>IFERROR(IF(OR($E24="",$F24=""),"",$F24-$E24),"")</f>
        <v>3.1</v>
      </c>
      <c r="H24" s="12">
        <f>IFERROR(IF(OR($E24="",$F24="",$F24=0),"",$E24/$F24),"")</f>
        <v>0.3111111111111111</v>
      </c>
      <c r="I24" s="13">
        <f>IFERROR(IF(OR($F24="",$D$34=""),"",$F24*(1+$D$34)),"")</f>
        <v>4.5</v>
      </c>
      <c r="J24" s="8">
        <f>IFERROR(IF($C24="","",SUMPRODUCT(--($C$5:$C$29=$C24),$D$5:$D$29)),"")</f>
        <v>1120.0</v>
      </c>
      <c r="K24" s="8">
        <f>IFERROR(IF($C24="","",SUMPRODUCT(--($C$5:$C$29=$C24),--($D$5:$D$29&gt;0))),"")</f>
        <v>4.0</v>
      </c>
      <c r="L24" s="14">
        <f>IFERROR(IF(OR($D24="",$J24="",$J24=0),"",$D24/$J24),"")</f>
        <v>0.05357142857142857</v>
      </c>
      <c r="M24" s="14">
        <f>IFERROR(IF(OR($K24="",$K24=0,$D$33=""),"",$D$33/$K24),"")</f>
        <v>0.175</v>
      </c>
      <c r="N24" s="13">
        <f>IFERROR(IF(OR($J24="",$J24=0),"",SUMPRODUCT(--($C$5:$C$29=$C24),$D$5:$D$29,$G$5:$G$29)/$J24),"")</f>
        <v>4.482142857142857</v>
      </c>
      <c r="O24" s="14">
        <f>IFERROR(IF(SUMPRODUCT(--($C$5:$C$29=$C24),$D$5:$D$29,$F$5:$F$29)=0,"",SUMPRODUCT(--($C$5:$C$29=$C24),$D$5:$D$29,$E$5:$E$29)/SUMPRODUCT(--($C$5:$C$29=$C24),$D$5:$D$29,$F$5:$F$29)),"")</f>
        <v>0.2322985165927512</v>
      </c>
      <c r="P24" s="13">
        <f>IFERROR(IF(OR($G24="",$D24=""),"",$G24*$D24),"")</f>
        <v>186.0</v>
      </c>
      <c r="Q24" s="13">
        <f>IFERROR(IF(OR($K24="",$K24=0),"",SUMPRODUCT(--($C$5:$C$29=$C24),$D$5:$D$29,$G$5:$G$29)/$K24),"")</f>
        <v>1255.0</v>
      </c>
    </row>
    <row r="25">
      <c r="A25" s="8" t="n">
        <v>21</v>
      </c>
      <c r="B25" s="5" t="n"/>
      <c r="C25" s="5" t="n"/>
      <c r="D25" s="9" t="n"/>
      <c r="E25" s="10" t="n"/>
      <c r="F25" s="10" t="n"/>
      <c r="G25" s="11">
        <f>IFERROR(IF(OR($E25="",$F25=""),"",$F25-$E25),"")</f>
      </c>
      <c r="H25" s="12">
        <f>IFERROR(IF(OR($E25="",$F25="",$F25=0),"",$E25/$F25),"")</f>
      </c>
      <c r="I25" s="13">
        <f>IFERROR(IF(OR($F25="",$D$34=""),"",$F25*(1+$D$34)),"")</f>
      </c>
      <c r="J25" s="8">
        <f>IFERROR(IF($C25="","",SUMPRODUCT(--($C$5:$C$29=$C25),$D$5:$D$29)),"")</f>
      </c>
      <c r="K25" s="8">
        <f>IFERROR(IF($C25="","",SUMPRODUCT(--($C$5:$C$29=$C25),--($D$5:$D$29&gt;0))),"")</f>
      </c>
      <c r="L25" s="14">
        <f>IFERROR(IF(OR($D25="",$J25="",$J25=0),"",$D25/$J25),"")</f>
      </c>
      <c r="M25" s="14">
        <f>IFERROR(IF(OR($K25="",$K25=0,$D$33=""),"",$D$33/$K25),"")</f>
      </c>
      <c r="N25" s="13">
        <f>IFERROR(IF(OR($J25="",$J25=0),"",SUMPRODUCT(--($C$5:$C$29=$C25),$D$5:$D$29,$G$5:$G$29)/$J25),"")</f>
      </c>
      <c r="O25" s="14">
        <f>IFERROR(IF(SUMPRODUCT(--($C$5:$C$29=$C25),$D$5:$D$29,$F$5:$F$29)=0,"",SUMPRODUCT(--($C$5:$C$29=$C25),$D$5:$D$29,$E$5:$E$29)/SUMPRODUCT(--($C$5:$C$29=$C25),$D$5:$D$29,$F$5:$F$29)),"")</f>
      </c>
      <c r="P25" s="13">
        <f>IFERROR(IF(OR($G25="",$D25=""),"",$G25*$D25),"")</f>
      </c>
      <c r="Q25" s="13">
        <f>IFERROR(IF(OR($K25="",$K25=0),"",SUMPRODUCT(--($C$5:$C$29=$C25),$D$5:$D$29,$G$5:$G$29)/$K25),"")</f>
      </c>
    </row>
    <row r="26">
      <c r="A26" s="8" t="n">
        <v>22</v>
      </c>
      <c r="B26" s="5" t="n"/>
      <c r="C26" s="5" t="n"/>
      <c r="D26" s="9" t="n"/>
      <c r="E26" s="10" t="n"/>
      <c r="F26" s="10" t="n"/>
      <c r="G26" s="11">
        <f>IFERROR(IF(OR($E26="",$F26=""),"",$F26-$E26),"")</f>
      </c>
      <c r="H26" s="12">
        <f>IFERROR(IF(OR($E26="",$F26="",$F26=0),"",$E26/$F26),"")</f>
      </c>
      <c r="I26" s="13">
        <f>IFERROR(IF(OR($F26="",$D$34=""),"",$F26*(1+$D$34)),"")</f>
      </c>
      <c r="J26" s="8">
        <f>IFERROR(IF($C26="","",SUMPRODUCT(--($C$5:$C$29=$C26),$D$5:$D$29)),"")</f>
      </c>
      <c r="K26" s="8">
        <f>IFERROR(IF($C26="","",SUMPRODUCT(--($C$5:$C$29=$C26),--($D$5:$D$29&gt;0))),"")</f>
      </c>
      <c r="L26" s="14">
        <f>IFERROR(IF(OR($D26="",$J26="",$J26=0),"",$D26/$J26),"")</f>
      </c>
      <c r="M26" s="14">
        <f>IFERROR(IF(OR($K26="",$K26=0,$D$33=""),"",$D$33/$K26),"")</f>
      </c>
      <c r="N26" s="13">
        <f>IFERROR(IF(OR($J26="",$J26=0),"",SUMPRODUCT(--($C$5:$C$29=$C26),$D$5:$D$29,$G$5:$G$29)/$J26),"")</f>
      </c>
      <c r="O26" s="14">
        <f>IFERROR(IF(SUMPRODUCT(--($C$5:$C$29=$C26),$D$5:$D$29,$F$5:$F$29)=0,"",SUMPRODUCT(--($C$5:$C$29=$C26),$D$5:$D$29,$E$5:$E$29)/SUMPRODUCT(--($C$5:$C$29=$C26),$D$5:$D$29,$F$5:$F$29)),"")</f>
      </c>
      <c r="P26" s="13">
        <f>IFERROR(IF(OR($G26="",$D26=""),"",$G26*$D26),"")</f>
      </c>
      <c r="Q26" s="13">
        <f>IFERROR(IF(OR($K26="",$K26=0),"",SUMPRODUCT(--($C$5:$C$29=$C26),$D$5:$D$29,$G$5:$G$29)/$K26),"")</f>
      </c>
    </row>
    <row r="27">
      <c r="A27" s="8" t="n">
        <v>23</v>
      </c>
      <c r="B27" s="5" t="n"/>
      <c r="C27" s="5" t="n"/>
      <c r="D27" s="9" t="n"/>
      <c r="E27" s="10" t="n"/>
      <c r="F27" s="10" t="n"/>
      <c r="G27" s="11">
        <f>IFERROR(IF(OR($E27="",$F27=""),"",$F27-$E27),"")</f>
      </c>
      <c r="H27" s="12">
        <f>IFERROR(IF(OR($E27="",$F27="",$F27=0),"",$E27/$F27),"")</f>
      </c>
      <c r="I27" s="13">
        <f>IFERROR(IF(OR($F27="",$D$34=""),"",$F27*(1+$D$34)),"")</f>
      </c>
      <c r="J27" s="8">
        <f>IFERROR(IF($C27="","",SUMPRODUCT(--($C$5:$C$29=$C27),$D$5:$D$29)),"")</f>
      </c>
      <c r="K27" s="8">
        <f>IFERROR(IF($C27="","",SUMPRODUCT(--($C$5:$C$29=$C27),--($D$5:$D$29&gt;0))),"")</f>
      </c>
      <c r="L27" s="14">
        <f>IFERROR(IF(OR($D27="",$J27="",$J27=0),"",$D27/$J27),"")</f>
      </c>
      <c r="M27" s="14">
        <f>IFERROR(IF(OR($K27="",$K27=0,$D$33=""),"",$D$33/$K27),"")</f>
      </c>
      <c r="N27" s="13">
        <f>IFERROR(IF(OR($J27="",$J27=0),"",SUMPRODUCT(--($C$5:$C$29=$C27),$D$5:$D$29,$G$5:$G$29)/$J27),"")</f>
      </c>
      <c r="O27" s="14">
        <f>IFERROR(IF(SUMPRODUCT(--($C$5:$C$29=$C27),$D$5:$D$29,$F$5:$F$29)=0,"",SUMPRODUCT(--($C$5:$C$29=$C27),$D$5:$D$29,$E$5:$E$29)/SUMPRODUCT(--($C$5:$C$29=$C27),$D$5:$D$29,$F$5:$F$29)),"")</f>
      </c>
      <c r="P27" s="13">
        <f>IFERROR(IF(OR($G27="",$D27=""),"",$G27*$D27),"")</f>
      </c>
      <c r="Q27" s="13">
        <f>IFERROR(IF(OR($K27="",$K27=0),"",SUMPRODUCT(--($C$5:$C$29=$C27),$D$5:$D$29,$G$5:$G$29)/$K27),"")</f>
      </c>
    </row>
    <row r="28">
      <c r="A28" s="8" t="n">
        <v>24</v>
      </c>
      <c r="B28" s="5" t="n"/>
      <c r="C28" s="5" t="n"/>
      <c r="D28" s="9" t="n"/>
      <c r="E28" s="10" t="n"/>
      <c r="F28" s="10" t="n"/>
      <c r="G28" s="11">
        <f>IFERROR(IF(OR($E28="",$F28=""),"",$F28-$E28),"")</f>
      </c>
      <c r="H28" s="12">
        <f>IFERROR(IF(OR($E28="",$F28="",$F28=0),"",$E28/$F28),"")</f>
      </c>
      <c r="I28" s="13">
        <f>IFERROR(IF(OR($F28="",$D$34=""),"",$F28*(1+$D$34)),"")</f>
      </c>
      <c r="J28" s="8">
        <f>IFERROR(IF($C28="","",SUMPRODUCT(--($C$5:$C$29=$C28),$D$5:$D$29)),"")</f>
      </c>
      <c r="K28" s="8">
        <f>IFERROR(IF($C28="","",SUMPRODUCT(--($C$5:$C$29=$C28),--($D$5:$D$29&gt;0))),"")</f>
      </c>
      <c r="L28" s="14">
        <f>IFERROR(IF(OR($D28="",$J28="",$J28=0),"",$D28/$J28),"")</f>
      </c>
      <c r="M28" s="14">
        <f>IFERROR(IF(OR($K28="",$K28=0,$D$33=""),"",$D$33/$K28),"")</f>
      </c>
      <c r="N28" s="13">
        <f>IFERROR(IF(OR($J28="",$J28=0),"",SUMPRODUCT(--($C$5:$C$29=$C28),$D$5:$D$29,$G$5:$G$29)/$J28),"")</f>
      </c>
      <c r="O28" s="14">
        <f>IFERROR(IF(SUMPRODUCT(--($C$5:$C$29=$C28),$D$5:$D$29,$F$5:$F$29)=0,"",SUMPRODUCT(--($C$5:$C$29=$C28),$D$5:$D$29,$E$5:$E$29)/SUMPRODUCT(--($C$5:$C$29=$C28),$D$5:$D$29,$F$5:$F$29)),"")</f>
      </c>
      <c r="P28" s="13">
        <f>IFERROR(IF(OR($G28="",$D28=""),"",$G28*$D28),"")</f>
      </c>
      <c r="Q28" s="13">
        <f>IFERROR(IF(OR($K28="",$K28=0),"",SUMPRODUCT(--($C$5:$C$29=$C28),$D$5:$D$29,$G$5:$G$29)/$K28),"")</f>
      </c>
    </row>
    <row r="29">
      <c r="A29" s="8" t="n">
        <v>25</v>
      </c>
      <c r="B29" s="5" t="n"/>
      <c r="C29" s="5" t="n"/>
      <c r="D29" s="9" t="n"/>
      <c r="E29" s="10" t="n"/>
      <c r="F29" s="10" t="n"/>
      <c r="G29" s="11">
        <f>IFERROR(IF(OR($E29="",$F29=""),"",$F29-$E29),"")</f>
      </c>
      <c r="H29" s="12">
        <f>IFERROR(IF(OR($E29="",$F29="",$F29=0),"",$E29/$F29),"")</f>
      </c>
      <c r="I29" s="13">
        <f>IFERROR(IF(OR($F29="",$D$34=""),"",$F29*(1+$D$34)),"")</f>
      </c>
      <c r="J29" s="8">
        <f>IFERROR(IF($C29="","",SUMPRODUCT(--($C$5:$C$29=$C29),$D$5:$D$29)),"")</f>
      </c>
      <c r="K29" s="8">
        <f>IFERROR(IF($C29="","",SUMPRODUCT(--($C$5:$C$29=$C29),--($D$5:$D$29&gt;0))),"")</f>
      </c>
      <c r="L29" s="14">
        <f>IFERROR(IF(OR($D29="",$J29="",$J29=0),"",$D29/$J29),"")</f>
      </c>
      <c r="M29" s="14">
        <f>IFERROR(IF(OR($K29="",$K29=0,$D$33=""),"",$D$33/$K29),"")</f>
      </c>
      <c r="N29" s="13">
        <f>IFERROR(IF(OR($J29="",$J29=0),"",SUMPRODUCT(--($C$5:$C$29=$C29),$D$5:$D$29,$G$5:$G$29)/$J29),"")</f>
      </c>
      <c r="O29" s="14">
        <f>IFERROR(IF(SUMPRODUCT(--($C$5:$C$29=$C29),$D$5:$D$29,$F$5:$F$29)=0,"",SUMPRODUCT(--($C$5:$C$29=$C29),$D$5:$D$29,$E$5:$E$29)/SUMPRODUCT(--($C$5:$C$29=$C29),$D$5:$D$29,$F$5:$F$29)),"")</f>
      </c>
      <c r="P29" s="13">
        <f>IFERROR(IF(OR($G29="",$D29=""),"",$G29*$D29),"")</f>
      </c>
      <c r="Q29" s="13">
        <f>IFERROR(IF(OR($K29="",$K29=0),"",SUMPRODUCT(--($C$5:$C$29=$C29),$D$5:$D$29,$G$5:$G$29)/$K29),"")</f>
      </c>
    </row>
    <row r="30"/>
    <row r="31">
      <c r="A31" s="15" t="inlineStr">
        <is>
          <t>SUMMARY AND INPUTS — calculated by the workbook</t>
        </is>
      </c>
    </row>
    <row r="32">
      <c r="B32" s="16" t="inlineStr">
        <is>
          <t>MENU TOTAL</t>
        </is>
      </c>
      <c r="D32" s="17">
        <f>IFERROR(SUM($D$5:$D$29),"")</f>
        <v>4870.0</v>
      </c>
      <c r="G32" s="18">
        <f>IFERROR(IF($D$32=0,"",SUMPRODUCT($D$5:$D$29,$G$5:$G$29)/$D$32),"")</f>
        <v>8.159794661190965</v>
      </c>
      <c r="H32" s="19">
        <f>IFERROR(IF(SUMPRODUCT($D$5:$D$29,$F$5:$F$29)=0,"",SUMPRODUCT($D$5:$D$29,$E$5:$E$29)/SUMPRODUCT($D$5:$D$29,$F$5:$F$29)),"")</f>
        <v>0.3268020803333954</v>
      </c>
      <c r="I32" s="18">
        <f>IFERROR(SUMPRODUCT($D$5:$D$29,$F$5:$F$29),"")</f>
        <v>59029.0</v>
      </c>
      <c r="J32" s="6" t="inlineStr">
        <is>
          <t>Units · weighted avg CM · weighted avg food cost · net sales for the month</t>
        </is>
      </c>
    </row>
    <row r="33">
      <c r="B33" t="inlineStr">
        <is>
          <t>Popularity threshold factor (%)</t>
        </is>
      </c>
      <c r="D33" s="20" t="n">
        <v>0.7</v>
      </c>
      <c r="F33" t="inlineStr">
        <is>
          <t>The classic is 70% of the average mix: each category's threshold = this factor ÷ number of dishes in the category with sales. Raise it if the category is very short.</t>
        </is>
      </c>
    </row>
    <row r="34">
      <c r="B34" t="inlineStr">
        <is>
          <t>Tax rate (%)</t>
        </is>
      </c>
      <c r="D34" s="21" t="n">
        <v>0</v>
      </c>
      <c r="F34" t="inlineStr">
        <is>
          <t>Ships at 0%: US and Canadian menus are printed pre-tax. In the UK type 20% (VAT is included in printed prices); in Australia type 10% (GST included). Change it here and the whole workbook recalculates.</t>
        </is>
      </c>
    </row>
    <row r="35">
      <c r="B35" t="inlineStr">
        <is>
          <t>Dishes with sales on the menu</t>
        </is>
      </c>
      <c r="D35" s="8">
        <f>COUNTIF($D$5:$D$29,"&gt;0")</f>
        <v>20.0</v>
      </c>
    </row>
    <row r="36">
      <c r="B36" t="inlineStr">
        <is>
          <t>Dishes listed on the menu</t>
        </is>
      </c>
      <c r="D36" s="8">
        <f>COUNTIF($B$5:$B$29,"&lt;&gt;")</f>
        <v>20.0</v>
      </c>
    </row>
    <row r="37"/>
    <row r="38">
      <c r="A38" s="15" t="inlineStr">
        <is>
          <t>SUMMARY BY CATEGORY — calculated by the workbook</t>
        </is>
      </c>
    </row>
    <row r="39" ht="34" customHeight="1">
      <c r="B39" s="7" t="inlineStr">
        <is>
          <t>Category</t>
        </is>
      </c>
      <c r="C39" s="7" t="inlineStr">
        <is>
          <t>Dishes on the menu</t>
        </is>
      </c>
      <c r="D39" s="7" t="inlineStr">
        <is>
          <t>Dishes with sales</t>
        </is>
      </c>
      <c r="E39" s="7" t="inlineStr">
        <is>
          <t>Units sold</t>
        </is>
      </c>
      <c r="F39" s="7" t="inlineStr">
        <is>
          <t>Share of menu mix (%)</t>
        </is>
      </c>
      <c r="G39" s="7" t="inlineStr">
        <is>
          <t>Weighted avg CM</t>
        </is>
      </c>
      <c r="H39" s="7" t="inlineStr">
        <is>
          <t>Weighted avg food cost (%)</t>
        </is>
      </c>
      <c r="I39" s="7" t="inlineStr">
        <is>
          <t>Net sales for the month</t>
        </is>
      </c>
    </row>
    <row r="40">
      <c r="B40" s="15" t="inlineStr">
        <is>
          <t>Starters</t>
        </is>
      </c>
      <c r="C40" s="8">
        <f>COUNTIF($C$5:$C$29,$B40)</f>
        <v>7.0</v>
      </c>
      <c r="D40" s="8">
        <f>IFERROR(IF($C40=0,"",SUMPRODUCT(--($C$5:$C$29=$B40),--($D$5:$D$29&gt;0))),"")</f>
        <v>7.0</v>
      </c>
      <c r="E40" s="8">
        <f>IFERROR(IF($C40=0,"",SUMIF($C$5:$C$29,$B40,$D$5:$D$29)),"")</f>
        <v>1730.0</v>
      </c>
      <c r="F40" s="14">
        <f>IFERROR(IF(OR($D$32=0,$C40=0),"",$E40/$D$32),"")</f>
        <v>0.35523613963039014</v>
      </c>
      <c r="G40" s="13">
        <f>IFERROR(IF($E40=0,"",SUMPRODUCT(--($C$5:$C$29=$B40),$D$5:$D$29,$G$5:$G$29)/$E40),"")</f>
        <v>7.463583815028902</v>
      </c>
      <c r="H40" s="14">
        <f>IFERROR(IF(SUMPRODUCT(--($C$5:$C$29=$B40),$D$5:$D$29,$F$5:$F$29)=0,"",SUMPRODUCT(--($C$5:$C$29=$B40),$D$5:$D$29,$E$5:$E$29)/SUMPRODUCT(--($C$5:$C$29=$B40),$D$5:$D$29,$F$5:$F$29)),"")</f>
        <v>0.3071474565357373</v>
      </c>
      <c r="I40" s="13">
        <f>IFERROR(SUMPRODUCT(--($C$5:$C$29=$B40),$D$5:$D$29,$F$5:$F$29),"")</f>
        <v>18636.0</v>
      </c>
    </row>
    <row r="41">
      <c r="B41" s="15" t="inlineStr">
        <is>
          <t>Mains</t>
        </is>
      </c>
      <c r="C41" s="8">
        <f>COUNTIF($C$5:$C$29,$B41)</f>
        <v>9.0</v>
      </c>
      <c r="D41" s="8">
        <f>IFERROR(IF($C41=0,"",SUMPRODUCT(--($C$5:$C$29=$B41),--($D$5:$D$29&gt;0))),"")</f>
        <v>9.0</v>
      </c>
      <c r="E41" s="8">
        <f>IFERROR(IF($C41=0,"",SUMIF($C$5:$C$29,$B41,$D$5:$D$29)),"")</f>
        <v>2020.0</v>
      </c>
      <c r="F41" s="14">
        <f>IFERROR(IF(OR($D$32=0,$C41=0),"",$E41/$D$32),"")</f>
        <v>0.41478439425051333</v>
      </c>
      <c r="G41" s="13">
        <f>IFERROR(IF($E41=0,"",SUMPRODUCT(--($C$5:$C$29=$B41),$D$5:$D$29,$G$5:$G$29)/$E41),"")</f>
        <v>10.795148514851485</v>
      </c>
      <c r="H41" s="14">
        <f>IFERROR(IF(SUMPRODUCT(--($C$5:$C$29=$B41),$D$5:$D$29,$F$5:$F$29)=0,"",SUMPRODUCT(--($C$5:$C$29=$B41),$D$5:$D$29,$E$5:$E$29)/SUMPRODUCT(--($C$5:$C$29=$B41),$D$5:$D$29,$F$5:$F$29)),"")</f>
        <v>0.3558752289242039</v>
      </c>
      <c r="I41" s="13">
        <f>IFERROR(SUMPRODUCT(--($C$5:$C$29=$B41),$D$5:$D$29,$F$5:$F$29),"")</f>
        <v>33854.0</v>
      </c>
    </row>
    <row r="42">
      <c r="B42" s="15" t="inlineStr">
        <is>
          <t>Desserts</t>
        </is>
      </c>
      <c r="C42" s="8">
        <f>COUNTIF($C$5:$C$29,$B42)</f>
        <v>4.0</v>
      </c>
      <c r="D42" s="8">
        <f>IFERROR(IF($C42=0,"",SUMPRODUCT(--($C$5:$C$29=$B42),--($D$5:$D$29&gt;0))),"")</f>
        <v>4.0</v>
      </c>
      <c r="E42" s="8">
        <f>IFERROR(IF($C42=0,"",SUMIF($C$5:$C$29,$B42,$D$5:$D$29)),"")</f>
        <v>1120.0</v>
      </c>
      <c r="F42" s="14">
        <f>IFERROR(IF(OR($D$32=0,$C42=0),"",$E42/$D$32),"")</f>
        <v>0.2299794661190965</v>
      </c>
      <c r="G42" s="13">
        <f>IFERROR(IF($E42=0,"",SUMPRODUCT(--($C$5:$C$29=$B42),$D$5:$D$29,$G$5:$G$29)/$E42),"")</f>
        <v>4.482142857142857</v>
      </c>
      <c r="H42" s="14">
        <f>IFERROR(IF(SUMPRODUCT(--($C$5:$C$29=$B42),$D$5:$D$29,$F$5:$F$29)=0,"",SUMPRODUCT(--($C$5:$C$29=$B42),$D$5:$D$29,$E$5:$E$29)/SUMPRODUCT(--($C$5:$C$29=$B42),$D$5:$D$29,$F$5:$F$29)),"")</f>
        <v>0.2322985165927512</v>
      </c>
      <c r="I42" s="13">
        <f>IFERROR(SUMPRODUCT(--($C$5:$C$29=$B42),$D$5:$D$29,$F$5:$F$29),"")</f>
        <v>6539.0</v>
      </c>
    </row>
    <row r="43">
      <c r="B43" s="15" t="inlineStr">
        <is>
          <t>Prix fixe</t>
        </is>
      </c>
      <c r="C43" s="8">
        <f>COUNTIF($C$5:$C$29,$B43)</f>
        <v>0.0</v>
      </c>
      <c r="D43" s="8">
        <f>IFERROR(IF($C43=0,"",SUMPRODUCT(--($C$5:$C$29=$B43),--($D$5:$D$29&gt;0))),"")</f>
      </c>
      <c r="E43" s="8">
        <f>IFERROR(IF($C43=0,"",SUMIF($C$5:$C$29,$B43,$D$5:$D$29)),"")</f>
      </c>
      <c r="F43" s="14">
        <f>IFERROR(IF(OR($D$32=0,$C43=0),"",$E43/$D$32),"")</f>
      </c>
      <c r="G43" s="13">
        <f>IFERROR(IF($E43=0,"",SUMPRODUCT(--($C$5:$C$29=$B43),$D$5:$D$29,$G$5:$G$29)/$E43),"")</f>
      </c>
      <c r="H43" s="14">
        <f>IFERROR(IF(SUMPRODUCT(--($C$5:$C$29=$B43),$D$5:$D$29,$F$5:$F$29)=0,"",SUMPRODUCT(--($C$5:$C$29=$B43),$D$5:$D$29,$E$5:$E$29)/SUMPRODUCT(--($C$5:$C$29=$B43),$D$5:$D$29,$F$5:$F$29)),"")</f>
      </c>
      <c r="I43" s="13">
        <f>IFERROR(SUMPRODUCT(--($C$5:$C$29=$B43),$D$5:$D$29,$F$5:$F$29),"")</f>
        <v>0.0</v>
      </c>
    </row>
  </sheetData>
  <sheetProtection selectLockedCells="0" selectUnlockedCells="0" sheet="1" objects="0" insertRows="0" insertHyperlinks="1" autoFilter="1" scenarios="0" formatColumns="0" deleteColumns="1" insertColumns="1" pivotTables="1" deleteRows="1" formatCells="1" formatRows="0" sort="0"/>
  <dataValidations count="5">
    <dataValidation sqref="C5 C6 C7 C8 C9 C10 C11 C12 C13 C14 C15 C16 C17 C18 C19 C20 C21 C22 C23 C24 C25 C26 C27 C28 C29" showDropDown="0" showInputMessage="0" showErrorMessage="1" allowBlank="1" errorTitle="Invalid category" error="Choose a value from the list: Starters, Mains, Desserts, Prix fixe" type="list">
      <formula1>"Starters,Mains,Desserts,Prix fixe"</formula1>
    </dataValidation>
    <dataValidation sqref="D5 D6 D7 D8 D9 D10 D11 D12 D13 D14 D15 D16 D17 D18 D19 D20 D21 D22 D23 D24 D25 D26 D27 D28 D29" showDropDown="0" showInputMessage="0" showErrorMessage="1" allowBlank="1" errorTitle="Invalid units" error="Type the units sold last month (0 or more)." type="decimal" operator="greaterThanOrEqual">
      <formula1>0</formula1>
    </dataValidation>
    <dataValidation sqref="E5 E6 E7 E8 E9 E10 E11 E12 E13 E14 E15 E16 E17 E18 E19 E20 E21 E22 E23 E24 E25 E26 E27 E28 E29 F5 F6 F7 F8 F9 F10 F11 F12 F13 F14 F15 F16 F17 F18 F19 F20 F21 F22 F23 F24 F25 F26 F27 F28 F29" showDropDown="0" showInputMessage="0" showErrorMessage="1" allowBlank="1" errorTitle="Invalid amount" error="Type a number greater than or equal to 0." type="decimal" operator="greaterThanOrEqual">
      <formula1>0</formula1>
    </dataValidation>
    <dataValidation sqref="D33" showDropDown="0" showInputMessage="1" showErrorMessage="1" allowBlank="1" errorTitle="Threshold factor" error="Type a percentage between 0 and 1 (0.20 = 20%)." promptTitle="Threshold factor" prompt="Type it as a decimal: 0.70 = 70%." type="decimal" operator="between">
      <formula1>0</formula1>
      <formula2>1.0</formula2>
    </dataValidation>
    <dataValidation sqref="D34" showDropDown="0" showInputMessage="1" showErrorMessage="1" allowBlank="1" errorTitle="Tax rate" error="Type a percentage between 0 and 1 (0.20 = 20%)." promptTitle="Tax rate" prompt="Type it as a decimal: 0.10 = 10%. 0 in the US and Canada." type="decimal" operator="between">
      <formula1>0</formula1>
      <formula2>1.0</formula2>
    </dataValidation>
  </dataValidations>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2" customWidth="1" min="4" max="4"/>
    <col width="13" customWidth="1" min="5" max="5"/>
    <col width="14" customWidth="1" min="6" max="6"/>
    <col width="12" customWidth="1" min="7" max="7"/>
    <col width="12" customWidth="1" min="8" max="8"/>
    <col width="15" customWidth="1" min="9" max="9"/>
    <col width="12" customWidth="1" min="10" max="10"/>
    <col width="14" customWidth="1" min="11" max="11"/>
    <col width="46" customWidth="1" min="12" max="12"/>
    <col width="42" customWidth="1" min="13" max="13"/>
  </cols>
  <sheetData>
    <row r="1">
      <c r="A1" s="1" t="inlineStr">
        <is>
          <t>Kasavana &amp; Smith — popularity × contribution margin</t>
        </is>
      </c>
    </row>
    <row r="2">
      <c r="A2" s="2" t="inlineStr">
        <is>
          <t>AI Chef Pro · aichef.pro — Food Cost + Menu Engineering Guide</t>
        </is>
      </c>
    </row>
    <row r="3">
      <c r="E3" s="6" t="inlineStr">
        <is>
          <t>Everything is calculated from the "Data" sheet. You don't type anything here.</t>
        </is>
      </c>
    </row>
    <row r="4" ht="46" customHeight="1">
      <c r="A4" s="7" t="inlineStr">
        <is>
          <t>#</t>
        </is>
      </c>
      <c r="B4" s="7" t="inlineStr">
        <is>
          <t>Dish</t>
        </is>
      </c>
      <c r="C4" s="7" t="inlineStr">
        <is>
          <t>Category</t>
        </is>
      </c>
      <c r="D4" s="7" t="inlineStr">
        <is>
          <t>Units sold</t>
        </is>
      </c>
      <c r="E4" s="7" t="inlineStr">
        <is>
          <t>Menu Mix in Category (MM%)</t>
        </is>
      </c>
      <c r="F4" s="7" t="inlineStr">
        <is>
          <t>Popularity threshold in its category (%)</t>
        </is>
      </c>
      <c r="G4" s="7" t="inlineStr">
        <is>
          <t>Popularity</t>
        </is>
      </c>
      <c r="H4" s="7" t="inlineStr">
        <is>
          <t>Dish CM</t>
        </is>
      </c>
      <c r="I4" s="7" t="inlineStr">
        <is>
          <t>Category weighted avg CM</t>
        </is>
      </c>
      <c r="J4" s="7" t="inlineStr">
        <is>
          <t>Margin level</t>
        </is>
      </c>
      <c r="K4" s="7" t="inlineStr">
        <is>
          <t>Classification</t>
        </is>
      </c>
      <c r="L4" s="7" t="inlineStr">
        <is>
          <t>What it means</t>
        </is>
      </c>
      <c r="M4" s="7" t="inlineStr">
        <is>
          <t>Recommended action</t>
        </is>
      </c>
    </row>
    <row r="5">
      <c r="A5" s="8" t="n">
        <v>1</v>
      </c>
      <c r="B5" t="str">
        <f>IFERROR(IF('Data'!$B5="","",'Data'!$B5),"")</f>
        <v>Iberico ham croquettes (6 pcs)</v>
      </c>
      <c r="C5" t="str">
        <f>IFERROR(IF('Data'!$C5="","",'Data'!$C5),"")</f>
        <v>Starters</v>
      </c>
      <c r="D5" s="8">
        <f>IFERROR(IF('Data'!$D5="","",'Data'!$D5),"")</f>
        <v>420.0</v>
      </c>
      <c r="E5" s="14">
        <f>IFERROR(IF('Data'!$L5="","",'Data'!$L5),"")</f>
        <v>0.24277456647398843</v>
      </c>
      <c r="F5" s="14">
        <f>IFERROR(IF('Data'!$M5="","",'Data'!$M5),"")</f>
        <v>0.09999999999999999</v>
      </c>
      <c r="G5" t="str">
        <f>IFERROR(IF(OR($E5="",$F5=""),"",IF($E5&gt;=$F5,"High","Low")),"")</f>
        <v>High</v>
      </c>
      <c r="H5" s="11">
        <f>IFERROR(IF('Data'!$G5="","",'Data'!$G5),"")</f>
        <v>6.5</v>
      </c>
      <c r="I5" s="13">
        <f>IFERROR(IF('Data'!$N5="","",'Data'!$N5),"")</f>
        <v>7.463583815028902</v>
      </c>
      <c r="J5" t="str">
        <f>IFERROR(IF(OR($H5="",$I5=""),"",IF($H5&gt;=$I5,"High","Low")),"")</f>
        <v>Low</v>
      </c>
      <c r="K5" s="15" t="str">
        <f>IFERROR(IF(OR($G5="",$J5=""),"",IF(AND($G5="High",$J5="High"),"Star",IF(AND($G5="High",$J5="Low"),"Plowhorse",IF(AND($G5="Low",$J5="High"),"Puzzle","Dog")))),"")</f>
        <v>Plowhorse</v>
      </c>
      <c r="L5" t="str">
        <f>IFERROR(IF($K5="","",IF($K5="Star","It sells and leaves margin: it's the dish that carries its category.",IF($K5="Plowhorse","It sells a lot, but leaves little margin in dollars per unit.",IF($K5="Puzzle","It leaves a good margin in dollars, but few guests order it.","It neither sells nor leaves margin.")))),"")</f>
        <v>It sells a lot, but leaves little margin in dollars per unit.</v>
      </c>
      <c r="M5" t="str">
        <f>IFERROR(IF($K5="","",IF($K5="Star","Keep the recipe and the supplier, and give it a prominent spot on the menu.",IF($K5="Plowhorse","Raise the price carefully or lower the cost without touching the portion.",IF($K5="Puzzle","Move it on the menu, rename it and have the floor staff suggest it.","Remove or rework it: it takes up space on the menu and in the kitchen.")))),"")</f>
        <v>Raise the price carefully or lower the cost without touching the portion.</v>
      </c>
    </row>
    <row r="6">
      <c r="A6" s="8" t="n">
        <v>2</v>
      </c>
      <c r="B6" t="str">
        <f>IFERROR(IF('Data'!$B6="","",'Data'!$B6),"")</f>
        <v>Heirloom tomato salad with tuna belly and scallions</v>
      </c>
      <c r="C6" t="str">
        <f>IFERROR(IF('Data'!$C6="","",'Data'!$C6),"")</f>
        <v>Starters</v>
      </c>
      <c r="D6" s="8">
        <f>IFERROR(IF('Data'!$D6="","",'Data'!$D6),"")</f>
        <v>310.0</v>
      </c>
      <c r="E6" s="14">
        <f>IFERROR(IF('Data'!$L6="","",'Data'!$L6),"")</f>
        <v>0.1791907514450867</v>
      </c>
      <c r="F6" s="14">
        <f>IFERROR(IF('Data'!$M6="","",'Data'!$M6),"")</f>
        <v>0.09999999999999999</v>
      </c>
      <c r="G6" t="str">
        <f>IFERROR(IF(OR($E6="",$F6=""),"",IF($E6&gt;=$F6,"High","Low")),"")</f>
        <v>High</v>
      </c>
      <c r="H6" s="11">
        <f>IFERROR(IF('Data'!$G6="","",'Data'!$G6),"")</f>
        <v>8.200000000000001</v>
      </c>
      <c r="I6" s="13">
        <f>IFERROR(IF('Data'!$N6="","",'Data'!$N6),"")</f>
        <v>7.463583815028902</v>
      </c>
      <c r="J6" t="str">
        <f>IFERROR(IF(OR($H6="",$I6=""),"",IF($H6&gt;=$I6,"High","Low")),"")</f>
        <v>High</v>
      </c>
      <c r="K6" s="15" t="str">
        <f>IFERROR(IF(OR($G6="",$J6=""),"",IF(AND($G6="High",$J6="High"),"Star",IF(AND($G6="High",$J6="Low"),"Plowhorse",IF(AND($G6="Low",$J6="High"),"Puzzle","Dog")))),"")</f>
        <v>Star</v>
      </c>
      <c r="L6" t="str">
        <f>IFERROR(IF($K6="","",IF($K6="Star","It sells and leaves margin: it's the dish that carries its category.",IF($K6="Plowhorse","It sells a lot, but leaves little margin in dollars per unit.",IF($K6="Puzzle","It leaves a good margin in dollars, but few guests order it.","It neither sells nor leaves margin.")))),"")</f>
        <v>It sells and leaves margin: it's the dish that carries its category.</v>
      </c>
      <c r="M6" t="str">
        <f>IFERROR(IF($K6="","",IF($K6="Star","Keep the recipe and the supplier, and give it a prominent spot on the menu.",IF($K6="Plowhorse","Raise the price carefully or lower the cost without touching the portion.",IF($K6="Puzzle","Move it on the menu, rename it and have the floor staff suggest it.","Remove or rework it: it takes up space on the menu and in the kitchen.")))),"")</f>
        <v>Keep the recipe and the supplier, and give it a prominent spot on the menu.</v>
      </c>
    </row>
    <row r="7">
      <c r="A7" s="8" t="n">
        <v>3</v>
      </c>
      <c r="B7" t="str">
        <f>IFERROR(IF('Data'!$B7="","",'Data'!$B7),"")</f>
        <v>Garlic shrimp</v>
      </c>
      <c r="C7" t="str">
        <f>IFERROR(IF('Data'!$C7="","",'Data'!$C7),"")</f>
        <v>Starters</v>
      </c>
      <c r="D7" s="8">
        <f>IFERROR(IF('Data'!$D7="","",'Data'!$D7),"")</f>
        <v>260.0</v>
      </c>
      <c r="E7" s="14">
        <f>IFERROR(IF('Data'!$L7="","",'Data'!$L7),"")</f>
        <v>0.15028901734104047</v>
      </c>
      <c r="F7" s="14">
        <f>IFERROR(IF('Data'!$M7="","",'Data'!$M7),"")</f>
        <v>0.09999999999999999</v>
      </c>
      <c r="G7" t="str">
        <f>IFERROR(IF(OR($E7="",$F7=""),"",IF($E7&gt;=$F7,"High","Low")),"")</f>
        <v>High</v>
      </c>
      <c r="H7" s="11">
        <f>IFERROR(IF('Data'!$G7="","",'Data'!$G7),"")</f>
        <v>8.6</v>
      </c>
      <c r="I7" s="13">
        <f>IFERROR(IF('Data'!$N7="","",'Data'!$N7),"")</f>
        <v>7.463583815028902</v>
      </c>
      <c r="J7" t="str">
        <f>IFERROR(IF(OR($H7="",$I7=""),"",IF($H7&gt;=$I7,"High","Low")),"")</f>
        <v>High</v>
      </c>
      <c r="K7" s="15" t="str">
        <f>IFERROR(IF(OR($G7="",$J7=""),"",IF(AND($G7="High",$J7="High"),"Star",IF(AND($G7="High",$J7="Low"),"Plowhorse",IF(AND($G7="Low",$J7="High"),"Puzzle","Dog")))),"")</f>
        <v>Star</v>
      </c>
      <c r="L7" t="str">
        <f>IFERROR(IF($K7="","",IF($K7="Star","It sells and leaves margin: it's the dish that carries its category.",IF($K7="Plowhorse","It sells a lot, but leaves little margin in dollars per unit.",IF($K7="Puzzle","It leaves a good margin in dollars, but few guests order it.","It neither sells nor leaves margin.")))),"")</f>
        <v>It sells and leaves margin: it's the dish that carries its category.</v>
      </c>
      <c r="M7" t="str">
        <f>IFERROR(IF($K7="","",IF($K7="Star","Keep the recipe and the supplier, and give it a prominent spot on the menu.",IF($K7="Plowhorse","Raise the price carefully or lower the cost without touching the portion.",IF($K7="Puzzle","Move it on the menu, rename it and have the floor staff suggest it.","Remove or rework it: it takes up space on the menu and in the kitchen.")))),"")</f>
        <v>Keep the recipe and the supplier, and give it a prominent spot on the menu.</v>
      </c>
    </row>
    <row r="8">
      <c r="A8" s="8" t="n">
        <v>4</v>
      </c>
      <c r="B8" t="str">
        <f>IFERROR(IF('Data'!$B8="","",'Data'!$B8),"")</f>
        <v>Broken eggs with potatoes and chistorra sausage</v>
      </c>
      <c r="C8" t="str">
        <f>IFERROR(IF('Data'!$C8="","",'Data'!$C8),"")</f>
        <v>Starters</v>
      </c>
      <c r="D8" s="8">
        <f>IFERROR(IF('Data'!$D8="","",'Data'!$D8),"")</f>
        <v>380.0</v>
      </c>
      <c r="E8" s="14">
        <f>IFERROR(IF('Data'!$L8="","",'Data'!$L8),"")</f>
        <v>0.21965317919075145</v>
      </c>
      <c r="F8" s="14">
        <f>IFERROR(IF('Data'!$M8="","",'Data'!$M8),"")</f>
        <v>0.09999999999999999</v>
      </c>
      <c r="G8" t="str">
        <f>IFERROR(IF(OR($E8="",$F8=""),"",IF($E8&gt;=$F8,"High","Low")),"")</f>
        <v>High</v>
      </c>
      <c r="H8" s="11">
        <f>IFERROR(IF('Data'!$G8="","",'Data'!$G8),"")</f>
        <v>7.4</v>
      </c>
      <c r="I8" s="13">
        <f>IFERROR(IF('Data'!$N8="","",'Data'!$N8),"")</f>
        <v>7.463583815028902</v>
      </c>
      <c r="J8" t="str">
        <f>IFERROR(IF(OR($H8="",$I8=""),"",IF($H8&gt;=$I8,"High","Low")),"")</f>
        <v>Low</v>
      </c>
      <c r="K8" s="15" t="str">
        <f>IFERROR(IF(OR($G8="",$J8=""),"",IF(AND($G8="High",$J8="High"),"Star",IF(AND($G8="High",$J8="Low"),"Plowhorse",IF(AND($G8="Low",$J8="High"),"Puzzle","Dog")))),"")</f>
        <v>Plowhorse</v>
      </c>
      <c r="L8" t="str">
        <f>IFERROR(IF($K8="","",IF($K8="Star","It sells and leaves margin: it's the dish that carries its category.",IF($K8="Plowhorse","It sells a lot, but leaves little margin in dollars per unit.",IF($K8="Puzzle","It leaves a good margin in dollars, but few guests order it.","It neither sells nor leaves margin.")))),"")</f>
        <v>It sells a lot, but leaves little margin in dollars per unit.</v>
      </c>
      <c r="M8" t="str">
        <f>IFERROR(IF($K8="","",IF($K8="Star","Keep the recipe and the supplier, and give it a prominent spot on the menu.",IF($K8="Plowhorse","Raise the price carefully or lower the cost without touching the portion.",IF($K8="Puzzle","Move it on the menu, rename it and have the floor staff suggest it.","Remove or rework it: it takes up space on the menu and in the kitchen.")))),"")</f>
        <v>Raise the price carefully or lower the cost without touching the portion.</v>
      </c>
    </row>
    <row r="9">
      <c r="A9" s="8" t="n">
        <v>5</v>
      </c>
      <c r="B9" t="str">
        <f>IFERROR(IF('Data'!$B9="","",'Data'!$B9),"")</f>
        <v>Local cheese board</v>
      </c>
      <c r="C9" t="str">
        <f>IFERROR(IF('Data'!$C9="","",'Data'!$C9),"")</f>
        <v>Starters</v>
      </c>
      <c r="D9" s="8">
        <f>IFERROR(IF('Data'!$D9="","",'Data'!$D9),"")</f>
        <v>90.0</v>
      </c>
      <c r="E9" s="14">
        <f>IFERROR(IF('Data'!$L9="","",'Data'!$L9),"")</f>
        <v>0.05202312138728324</v>
      </c>
      <c r="F9" s="14">
        <f>IFERROR(IF('Data'!$M9="","",'Data'!$M9),"")</f>
        <v>0.09999999999999999</v>
      </c>
      <c r="G9" t="str">
        <f>IFERROR(IF(OR($E9="",$F9=""),"",IF($E9&gt;=$F9,"High","Low")),"")</f>
        <v>Low</v>
      </c>
      <c r="H9" s="11">
        <f>IFERROR(IF('Data'!$G9="","",'Data'!$G9),"")</f>
        <v>8.399999999999999</v>
      </c>
      <c r="I9" s="13">
        <f>IFERROR(IF('Data'!$N9="","",'Data'!$N9),"")</f>
        <v>7.463583815028902</v>
      </c>
      <c r="J9" t="str">
        <f>IFERROR(IF(OR($H9="",$I9=""),"",IF($H9&gt;=$I9,"High","Low")),"")</f>
        <v>High</v>
      </c>
      <c r="K9" s="15" t="str">
        <f>IFERROR(IF(OR($G9="",$J9=""),"",IF(AND($G9="High",$J9="High"),"Star",IF(AND($G9="High",$J9="Low"),"Plowhorse",IF(AND($G9="Low",$J9="High"),"Puzzle","Dog")))),"")</f>
        <v>Puzzle</v>
      </c>
      <c r="L9" t="str">
        <f>IFERROR(IF($K9="","",IF($K9="Star","It sells and leaves margin: it's the dish that carries its category.",IF($K9="Plowhorse","It sells a lot, but leaves little margin in dollars per unit.",IF($K9="Puzzle","It leaves a good margin in dollars, but few guests order it.","It neither sells nor leaves margin.")))),"")</f>
        <v>It leaves a good margin in dollars, but few guests order it.</v>
      </c>
      <c r="M9" t="str">
        <f>IFERROR(IF($K9="","",IF($K9="Star","Keep the recipe and the supplier, and give it a prominent spot on the menu.",IF($K9="Plowhorse","Raise the price carefully or lower the cost without touching the portion.",IF($K9="Puzzle","Move it on the menu, rename it and have the floor staff suggest it.","Remove or rework it: it takes up space on the menu and in the kitchen.")))),"")</f>
        <v>Move it on the menu, rename it and have the floor staff suggest it.</v>
      </c>
    </row>
    <row r="10">
      <c r="A10" s="8" t="n">
        <v>6</v>
      </c>
      <c r="B10" t="str">
        <f>IFERROR(IF('Data'!$B10="","",'Data'!$B10),"")</f>
        <v>Confit artichokes with ham</v>
      </c>
      <c r="C10" t="str">
        <f>IFERROR(IF('Data'!$C10="","",'Data'!$C10),"")</f>
        <v>Starters</v>
      </c>
      <c r="D10" s="8">
        <f>IFERROR(IF('Data'!$D10="","",'Data'!$D10),"")</f>
        <v>120.0</v>
      </c>
      <c r="E10" s="14">
        <f>IFERROR(IF('Data'!$L10="","",'Data'!$L10),"")</f>
        <v>0.06936416184971098</v>
      </c>
      <c r="F10" s="14">
        <f>IFERROR(IF('Data'!$M10="","",'Data'!$M10),"")</f>
        <v>0.09999999999999999</v>
      </c>
      <c r="G10" t="str">
        <f>IFERROR(IF(OR($E10="",$F10=""),"",IF($E10&gt;=$F10,"High","Low")),"")</f>
        <v>Low</v>
      </c>
      <c r="H10" s="11">
        <f>IFERROR(IF('Data'!$G10="","",'Data'!$G10),"")</f>
        <v>7.800000000000001</v>
      </c>
      <c r="I10" s="13">
        <f>IFERROR(IF('Data'!$N10="","",'Data'!$N10),"")</f>
        <v>7.463583815028902</v>
      </c>
      <c r="J10" t="str">
        <f>IFERROR(IF(OR($H10="",$I10=""),"",IF($H10&gt;=$I10,"High","Low")),"")</f>
        <v>High</v>
      </c>
      <c r="K10" s="15" t="str">
        <f>IFERROR(IF(OR($G10="",$J10=""),"",IF(AND($G10="High",$J10="High"),"Star",IF(AND($G10="High",$J10="Low"),"Plowhorse",IF(AND($G10="Low",$J10="High"),"Puzzle","Dog")))),"")</f>
        <v>Puzzle</v>
      </c>
      <c r="L10" t="str">
        <f>IFERROR(IF($K10="","",IF($K10="Star","It sells and leaves margin: it's the dish that carries its category.",IF($K10="Plowhorse","It sells a lot, but leaves little margin in dollars per unit.",IF($K10="Puzzle","It leaves a good margin in dollars, but few guests order it.","It neither sells nor leaves margin.")))),"")</f>
        <v>It leaves a good margin in dollars, but few guests order it.</v>
      </c>
      <c r="M10" t="str">
        <f>IFERROR(IF($K10="","",IF($K10="Star","Keep the recipe and the supplier, and give it a prominent spot on the menu.",IF($K10="Plowhorse","Raise the price carefully or lower the cost without touching the portion.",IF($K10="Puzzle","Move it on the menu, rename it and have the floor staff suggest it.","Remove or rework it: it takes up space on the menu and in the kitchen.")))),"")</f>
        <v>Move it on the menu, rename it and have the floor staff suggest it.</v>
      </c>
    </row>
    <row r="11">
      <c r="A11" s="8" t="n">
        <v>7</v>
      </c>
      <c r="B11" t="str">
        <f>IFERROR(IF('Data'!$B11="","",'Data'!$B11),"")</f>
        <v>Roasted tomato soup with basil</v>
      </c>
      <c r="C11" t="str">
        <f>IFERROR(IF('Data'!$C11="","",'Data'!$C11),"")</f>
        <v>Starters</v>
      </c>
      <c r="D11" s="8">
        <f>IFERROR(IF('Data'!$D11="","",'Data'!$D11),"")</f>
        <v>150.0</v>
      </c>
      <c r="E11" s="14">
        <f>IFERROR(IF('Data'!$L11="","",'Data'!$L11),"")</f>
        <v>0.08670520231213873</v>
      </c>
      <c r="F11" s="14">
        <f>IFERROR(IF('Data'!$M11="","",'Data'!$M11),"")</f>
        <v>0.09999999999999999</v>
      </c>
      <c r="G11" t="str">
        <f>IFERROR(IF(OR($E11="",$F11=""),"",IF($E11&gt;=$F11,"High","Low")),"")</f>
        <v>Low</v>
      </c>
      <c r="H11" s="11">
        <f>IFERROR(IF('Data'!$G11="","",'Data'!$G11),"")</f>
        <v>6.0</v>
      </c>
      <c r="I11" s="13">
        <f>IFERROR(IF('Data'!$N11="","",'Data'!$N11),"")</f>
        <v>7.463583815028902</v>
      </c>
      <c r="J11" t="str">
        <f>IFERROR(IF(OR($H11="",$I11=""),"",IF($H11&gt;=$I11,"High","Low")),"")</f>
        <v>Low</v>
      </c>
      <c r="K11" s="15" t="str">
        <f>IFERROR(IF(OR($G11="",$J11=""),"",IF(AND($G11="High",$J11="High"),"Star",IF(AND($G11="High",$J11="Low"),"Plowhorse",IF(AND($G11="Low",$J11="High"),"Puzzle","Dog")))),"")</f>
        <v>Dog</v>
      </c>
      <c r="L11" t="str">
        <f>IFERROR(IF($K11="","",IF($K11="Star","It sells and leaves margin: it's the dish that carries its category.",IF($K11="Plowhorse","It sells a lot, but leaves little margin in dollars per unit.",IF($K11="Puzzle","It leaves a good margin in dollars, but few guests order it.","It neither sells nor leaves margin.")))),"")</f>
        <v>It neither sells nor leaves margin.</v>
      </c>
      <c r="M11" t="str">
        <f>IFERROR(IF($K11="","",IF($K11="Star","Keep the recipe and the supplier, and give it a prominent spot on the menu.",IF($K11="Plowhorse","Raise the price carefully or lower the cost without touching the portion.",IF($K11="Puzzle","Move it on the menu, rename it and have the floor staff suggest it.","Remove or rework it: it takes up space on the menu and in the kitchen.")))),"")</f>
        <v>Remove or rework it: it takes up space on the menu and in the kitchen.</v>
      </c>
    </row>
    <row r="12">
      <c r="A12" s="8" t="n">
        <v>8</v>
      </c>
      <c r="B12" t="str">
        <f>IFERROR(IF('Data'!$B12="","",'Data'!$B12),"")</f>
        <v>Iberico pork tenderloin with sweet potato purée</v>
      </c>
      <c r="C12" t="str">
        <f>IFERROR(IF('Data'!$C12="","",'Data'!$C12),"")</f>
        <v>Mains</v>
      </c>
      <c r="D12" s="8">
        <f>IFERROR(IF('Data'!$D12="","",'Data'!$D12),"")</f>
        <v>340.0</v>
      </c>
      <c r="E12" s="14">
        <f>IFERROR(IF('Data'!$L12="","",'Data'!$L12),"")</f>
        <v>0.16831683168316833</v>
      </c>
      <c r="F12" s="14">
        <f>IFERROR(IF('Data'!$M12="","",'Data'!$M12),"")</f>
        <v>0.07777777777777778</v>
      </c>
      <c r="G12" t="str">
        <f>IFERROR(IF(OR($E12="",$F12=""),"",IF($E12&gt;=$F12,"High","Low")),"")</f>
        <v>High</v>
      </c>
      <c r="H12" s="11">
        <f>IFERROR(IF('Data'!$G12="","",'Data'!$G12),"")</f>
        <v>11.63</v>
      </c>
      <c r="I12" s="13">
        <f>IFERROR(IF('Data'!$N12="","",'Data'!$N12),"")</f>
        <v>10.795148514851485</v>
      </c>
      <c r="J12" t="str">
        <f>IFERROR(IF(OR($H12="",$I12=""),"",IF($H12&gt;=$I12,"High","Low")),"")</f>
        <v>High</v>
      </c>
      <c r="K12" s="15" t="str">
        <f>IFERROR(IF(OR($G12="",$J12=""),"",IF(AND($G12="High",$J12="High"),"Star",IF(AND($G12="High",$J12="Low"),"Plowhorse",IF(AND($G12="Low",$J12="High"),"Puzzle","Dog")))),"")</f>
        <v>Star</v>
      </c>
      <c r="L12" t="str">
        <f>IFERROR(IF($K12="","",IF($K12="Star","It sells and leaves margin: it's the dish that carries its category.",IF($K12="Plowhorse","It sells a lot, but leaves little margin in dollars per unit.",IF($K12="Puzzle","It leaves a good margin in dollars, but few guests order it.","It neither sells nor leaves margin.")))),"")</f>
        <v>It sells and leaves margin: it's the dish that carries its category.</v>
      </c>
      <c r="M12" t="str">
        <f>IFERROR(IF($K12="","",IF($K12="Star","Keep the recipe and the supplier, and give it a prominent spot on the menu.",IF($K12="Plowhorse","Raise the price carefully or lower the cost without touching the portion.",IF($K12="Puzzle","Move it on the menu, rename it and have the floor staff suggest it.","Remove or rework it: it takes up space on the menu and in the kitchen.")))),"")</f>
        <v>Keep the recipe and the supplier, and give it a prominent spot on the menu.</v>
      </c>
    </row>
    <row r="13">
      <c r="A13" s="8" t="n">
        <v>9</v>
      </c>
      <c r="B13" t="str">
        <f>IFERROR(IF('Data'!$B13="","",'Data'!$B13),"")</f>
        <v>Confit cod in pil-pil sauce</v>
      </c>
      <c r="C13" t="str">
        <f>IFERROR(IF('Data'!$C13="","",'Data'!$C13),"")</f>
        <v>Mains</v>
      </c>
      <c r="D13" s="8">
        <f>IFERROR(IF('Data'!$D13="","",'Data'!$D13),"")</f>
        <v>190.0</v>
      </c>
      <c r="E13" s="14">
        <f>IFERROR(IF('Data'!$L13="","",'Data'!$L13),"")</f>
        <v>0.09405940594059406</v>
      </c>
      <c r="F13" s="14">
        <f>IFERROR(IF('Data'!$M13="","",'Data'!$M13),"")</f>
        <v>0.07777777777777778</v>
      </c>
      <c r="G13" t="str">
        <f>IFERROR(IF(OR($E13="",$F13=""),"",IF($E13&gt;=$F13,"High","Low")),"")</f>
        <v>High</v>
      </c>
      <c r="H13" s="11">
        <f>IFERROR(IF('Data'!$G13="","",'Data'!$G13),"")</f>
        <v>11.700000000000001</v>
      </c>
      <c r="I13" s="13">
        <f>IFERROR(IF('Data'!$N13="","",'Data'!$N13),"")</f>
        <v>10.795148514851485</v>
      </c>
      <c r="J13" t="str">
        <f>IFERROR(IF(OR($H13="",$I13=""),"",IF($H13&gt;=$I13,"High","Low")),"")</f>
        <v>High</v>
      </c>
      <c r="K13" s="15" t="str">
        <f>IFERROR(IF(OR($G13="",$J13=""),"",IF(AND($G13="High",$J13="High"),"Star",IF(AND($G13="High",$J13="Low"),"Plowhorse",IF(AND($G13="Low",$J13="High"),"Puzzle","Dog")))),"")</f>
        <v>Star</v>
      </c>
      <c r="L13" t="str">
        <f>IFERROR(IF($K13="","",IF($K13="Star","It sells and leaves margin: it's the dish that carries its category.",IF($K13="Plowhorse","It sells a lot, but leaves little margin in dollars per unit.",IF($K13="Puzzle","It leaves a good margin in dollars, but few guests order it.","It neither sells nor leaves margin.")))),"")</f>
        <v>It sells and leaves margin: it's the dish that carries its category.</v>
      </c>
      <c r="M13" t="str">
        <f>IFERROR(IF($K13="","",IF($K13="Star","Keep the recipe and the supplier, and give it a prominent spot on the menu.",IF($K13="Plowhorse","Raise the price carefully or lower the cost without touching the portion.",IF($K13="Puzzle","Move it on the menu, rename it and have the floor staff suggest it.","Remove or rework it: it takes up space on the menu and in the kitchen.")))),"")</f>
        <v>Keep the recipe and the supplier, and give it a prominent spot on the menu.</v>
      </c>
    </row>
    <row r="14">
      <c r="A14" s="8" t="n">
        <v>10</v>
      </c>
      <c r="B14" t="str">
        <f>IFERROR(IF('Data'!$B14="","",'Data'!$B14),"")</f>
        <v>Dry-aged beef burger with fries</v>
      </c>
      <c r="C14" t="str">
        <f>IFERROR(IF('Data'!$C14="","",'Data'!$C14),"")</f>
        <v>Mains</v>
      </c>
      <c r="D14" s="8">
        <f>IFERROR(IF('Data'!$D14="","",'Data'!$D14),"")</f>
        <v>460.0</v>
      </c>
      <c r="E14" s="14">
        <f>IFERROR(IF('Data'!$L14="","",'Data'!$L14),"")</f>
        <v>0.22772277227722773</v>
      </c>
      <c r="F14" s="14">
        <f>IFERROR(IF('Data'!$M14="","",'Data'!$M14),"")</f>
        <v>0.07777777777777778</v>
      </c>
      <c r="G14" t="str">
        <f>IFERROR(IF(OR($E14="",$F14=""),"",IF($E14&gt;=$F14,"High","Low")),"")</f>
        <v>High</v>
      </c>
      <c r="H14" s="11">
        <f>IFERROR(IF('Data'!$G14="","",'Data'!$G14),"")</f>
        <v>9.3</v>
      </c>
      <c r="I14" s="13">
        <f>IFERROR(IF('Data'!$N14="","",'Data'!$N14),"")</f>
        <v>10.795148514851485</v>
      </c>
      <c r="J14" t="str">
        <f>IFERROR(IF(OR($H14="",$I14=""),"",IF($H14&gt;=$I14,"High","Low")),"")</f>
        <v>Low</v>
      </c>
      <c r="K14" s="15" t="str">
        <f>IFERROR(IF(OR($G14="",$J14=""),"",IF(AND($G14="High",$J14="High"),"Star",IF(AND($G14="High",$J14="Low"),"Plowhorse",IF(AND($G14="Low",$J14="High"),"Puzzle","Dog")))),"")</f>
        <v>Plowhorse</v>
      </c>
      <c r="L14" t="str">
        <f>IFERROR(IF($K14="","",IF($K14="Star","It sells and leaves margin: it's the dish that carries its category.",IF($K14="Plowhorse","It sells a lot, but leaves little margin in dollars per unit.",IF($K14="Puzzle","It leaves a good margin in dollars, but few guests order it.","It neither sells nor leaves margin.")))),"")</f>
        <v>It sells a lot, but leaves little margin in dollars per unit.</v>
      </c>
      <c r="M14" t="str">
        <f>IFERROR(IF($K14="","",IF($K14="Star","Keep the recipe and the supplier, and give it a prominent spot on the menu.",IF($K14="Plowhorse","Raise the price carefully or lower the cost without touching the portion.",IF($K14="Puzzle","Move it on the menu, rename it and have the floor staff suggest it.","Remove or rework it: it takes up space on the menu and in the kitchen.")))),"")</f>
        <v>Raise the price carefully or lower the cost without touching the portion.</v>
      </c>
    </row>
    <row r="15">
      <c r="A15" s="8" t="n">
        <v>11</v>
      </c>
      <c r="B15" t="str">
        <f>IFERROR(IF('Data'!$B15="","",'Data'!$B15),"")</f>
        <v>Creamy rice with Iberico pork secreto and mushrooms</v>
      </c>
      <c r="C15" t="str">
        <f>IFERROR(IF('Data'!$C15="","",'Data'!$C15),"")</f>
        <v>Mains</v>
      </c>
      <c r="D15" s="8">
        <f>IFERROR(IF('Data'!$D15="","",'Data'!$D15),"")</f>
        <v>270.0</v>
      </c>
      <c r="E15" s="14">
        <f>IFERROR(IF('Data'!$L15="","",'Data'!$L15),"")</f>
        <v>0.13366336633663367</v>
      </c>
      <c r="F15" s="14">
        <f>IFERROR(IF('Data'!$M15="","",'Data'!$M15),"")</f>
        <v>0.07777777777777778</v>
      </c>
      <c r="G15" t="str">
        <f>IFERROR(IF(OR($E15="",$F15=""),"",IF($E15&gt;=$F15,"High","Low")),"")</f>
        <v>High</v>
      </c>
      <c r="H15" s="11">
        <f>IFERROR(IF('Data'!$G15="","",'Data'!$G15),"")</f>
        <v>10.2</v>
      </c>
      <c r="I15" s="13">
        <f>IFERROR(IF('Data'!$N15="","",'Data'!$N15),"")</f>
        <v>10.795148514851485</v>
      </c>
      <c r="J15" t="str">
        <f>IFERROR(IF(OR($H15="",$I15=""),"",IF($H15&gt;=$I15,"High","Low")),"")</f>
        <v>Low</v>
      </c>
      <c r="K15" s="15" t="str">
        <f>IFERROR(IF(OR($G15="",$J15=""),"",IF(AND($G15="High",$J15="High"),"Star",IF(AND($G15="High",$J15="Low"),"Plowhorse",IF(AND($G15="Low",$J15="High"),"Puzzle","Dog")))),"")</f>
        <v>Plowhorse</v>
      </c>
      <c r="L15" t="str">
        <f>IFERROR(IF($K15="","",IF($K15="Star","It sells and leaves margin: it's the dish that carries its category.",IF($K15="Plowhorse","It sells a lot, but leaves little margin in dollars per unit.",IF($K15="Puzzle","It leaves a good margin in dollars, but few guests order it.","It neither sells nor leaves margin.")))),"")</f>
        <v>It sells a lot, but leaves little margin in dollars per unit.</v>
      </c>
      <c r="M15" t="str">
        <f>IFERROR(IF($K15="","",IF($K15="Star","Keep the recipe and the supplier, and give it a prominent spot on the menu.",IF($K15="Plowhorse","Raise the price carefully or lower the cost without touching the portion.",IF($K15="Puzzle","Move it on the menu, rename it and have the floor staff suggest it.","Remove or rework it: it takes up space on the menu and in the kitchen.")))),"")</f>
        <v>Raise the price carefully or lower the cost without touching the portion.</v>
      </c>
    </row>
    <row r="16">
      <c r="A16" s="8" t="n">
        <v>12</v>
      </c>
      <c r="B16" t="str">
        <f>IFERROR(IF('Data'!$B16="","",'Data'!$B16),"")</f>
        <v>Dry-aged bone-in ribeye (17.64 oz)</v>
      </c>
      <c r="C16" t="str">
        <f>IFERROR(IF('Data'!$C16="","",'Data'!$C16),"")</f>
        <v>Mains</v>
      </c>
      <c r="D16" s="8">
        <f>IFERROR(IF('Data'!$D16="","",'Data'!$D16),"")</f>
        <v>110.0</v>
      </c>
      <c r="E16" s="14">
        <f>IFERROR(IF('Data'!$L16="","",'Data'!$L16),"")</f>
        <v>0.054455445544554455</v>
      </c>
      <c r="F16" s="14">
        <f>IFERROR(IF('Data'!$M16="","",'Data'!$M16),"")</f>
        <v>0.07777777777777778</v>
      </c>
      <c r="G16" t="str">
        <f>IFERROR(IF(OR($E16="",$F16=""),"",IF($E16&gt;=$F16,"High","Low")),"")</f>
        <v>Low</v>
      </c>
      <c r="H16" s="11">
        <f>IFERROR(IF('Data'!$G16="","",'Data'!$G16),"")</f>
        <v>17.900000000000002</v>
      </c>
      <c r="I16" s="13">
        <f>IFERROR(IF('Data'!$N16="","",'Data'!$N16),"")</f>
        <v>10.795148514851485</v>
      </c>
      <c r="J16" t="str">
        <f>IFERROR(IF(OR($H16="",$I16=""),"",IF($H16&gt;=$I16,"High","Low")),"")</f>
        <v>High</v>
      </c>
      <c r="K16" s="15" t="str">
        <f>IFERROR(IF(OR($G16="",$J16=""),"",IF(AND($G16="High",$J16="High"),"Star",IF(AND($G16="High",$J16="Low"),"Plowhorse",IF(AND($G16="Low",$J16="High"),"Puzzle","Dog")))),"")</f>
        <v>Puzzle</v>
      </c>
      <c r="L16" t="str">
        <f>IFERROR(IF($K16="","",IF($K16="Star","It sells and leaves margin: it's the dish that carries its category.",IF($K16="Plowhorse","It sells a lot, but leaves little margin in dollars per unit.",IF($K16="Puzzle","It leaves a good margin in dollars, but few guests order it.","It neither sells nor leaves margin.")))),"")</f>
        <v>It leaves a good margin in dollars, but few guests order it.</v>
      </c>
      <c r="M16" t="str">
        <f>IFERROR(IF($K16="","",IF($K16="Star","Keep the recipe and the supplier, and give it a prominent spot on the menu.",IF($K16="Plowhorse","Raise the price carefully or lower the cost without touching the portion.",IF($K16="Puzzle","Move it on the menu, rename it and have the floor staff suggest it.","Remove or rework it: it takes up space on the menu and in the kitchen.")))),"")</f>
        <v>Move it on the menu, rename it and have the floor staff suggest it.</v>
      </c>
    </row>
    <row r="17">
      <c r="A17" s="8" t="n">
        <v>13</v>
      </c>
      <c r="B17" t="str">
        <f>IFERROR(IF('Data'!$B17="","",'Data'!$B17),"")</f>
        <v>Salt-baked sea bass</v>
      </c>
      <c r="C17" t="str">
        <f>IFERROR(IF('Data'!$C17="","",'Data'!$C17),"")</f>
        <v>Mains</v>
      </c>
      <c r="D17" s="8">
        <f>IFERROR(IF('Data'!$D17="","",'Data'!$D17),"")</f>
        <v>80.0</v>
      </c>
      <c r="E17" s="14">
        <f>IFERROR(IF('Data'!$L17="","",'Data'!$L17),"")</f>
        <v>0.039603960396039604</v>
      </c>
      <c r="F17" s="14">
        <f>IFERROR(IF('Data'!$M17="","",'Data'!$M17),"")</f>
        <v>0.07777777777777778</v>
      </c>
      <c r="G17" t="str">
        <f>IFERROR(IF(OR($E17="",$F17=""),"",IF($E17&gt;=$F17,"High","Low")),"")</f>
        <v>Low</v>
      </c>
      <c r="H17" s="11">
        <f>IFERROR(IF('Data'!$G17="","",'Data'!$G17),"")</f>
        <v>12.9</v>
      </c>
      <c r="I17" s="13">
        <f>IFERROR(IF('Data'!$N17="","",'Data'!$N17),"")</f>
        <v>10.795148514851485</v>
      </c>
      <c r="J17" t="str">
        <f>IFERROR(IF(OR($H17="",$I17=""),"",IF($H17&gt;=$I17,"High","Low")),"")</f>
        <v>High</v>
      </c>
      <c r="K17" s="15" t="str">
        <f>IFERROR(IF(OR($G17="",$J17=""),"",IF(AND($G17="High",$J17="High"),"Star",IF(AND($G17="High",$J17="Low"),"Plowhorse",IF(AND($G17="Low",$J17="High"),"Puzzle","Dog")))),"")</f>
        <v>Puzzle</v>
      </c>
      <c r="L17" t="str">
        <f>IFERROR(IF($K17="","",IF($K17="Star","It sells and leaves margin: it's the dish that carries its category.",IF($K17="Plowhorse","It sells a lot, but leaves little margin in dollars per unit.",IF($K17="Puzzle","It leaves a good margin in dollars, but few guests order it.","It neither sells nor leaves margin.")))),"")</f>
        <v>It leaves a good margin in dollars, but few guests order it.</v>
      </c>
      <c r="M17" t="str">
        <f>IFERROR(IF($K17="","",IF($K17="Star","Keep the recipe and the supplier, and give it a prominent spot on the menu.",IF($K17="Plowhorse","Raise the price carefully or lower the cost without touching the portion.",IF($K17="Puzzle","Move it on the menu, rename it and have the floor staff suggest it.","Remove or rework it: it takes up space on the menu and in the kitchen.")))),"")</f>
        <v>Move it on the menu, rename it and have the floor staff suggest it.</v>
      </c>
    </row>
    <row r="18">
      <c r="A18" s="8" t="n">
        <v>14</v>
      </c>
      <c r="B18" t="str">
        <f>IFERROR(IF('Data'!$B18="","",'Data'!$B18),"")</f>
        <v>Free-range roast chicken with potatoes</v>
      </c>
      <c r="C18" t="str">
        <f>IFERROR(IF('Data'!$C18="","",'Data'!$C18),"")</f>
        <v>Mains</v>
      </c>
      <c r="D18" s="8">
        <f>IFERROR(IF('Data'!$D18="","",'Data'!$D18),"")</f>
        <v>300.0</v>
      </c>
      <c r="E18" s="14">
        <f>IFERROR(IF('Data'!$L18="","",'Data'!$L18),"")</f>
        <v>0.1485148514851485</v>
      </c>
      <c r="F18" s="14">
        <f>IFERROR(IF('Data'!$M18="","",'Data'!$M18),"")</f>
        <v>0.07777777777777778</v>
      </c>
      <c r="G18" t="str">
        <f>IFERROR(IF(OR($E18="",$F18=""),"",IF($E18&gt;=$F18,"High","Low")),"")</f>
        <v>High</v>
      </c>
      <c r="H18" s="11">
        <f>IFERROR(IF('Data'!$G18="","",'Data'!$G18),"")</f>
        <v>9.0</v>
      </c>
      <c r="I18" s="13">
        <f>IFERROR(IF('Data'!$N18="","",'Data'!$N18),"")</f>
        <v>10.795148514851485</v>
      </c>
      <c r="J18" t="str">
        <f>IFERROR(IF(OR($H18="",$I18=""),"",IF($H18&gt;=$I18,"High","Low")),"")</f>
        <v>Low</v>
      </c>
      <c r="K18" s="15" t="str">
        <f>IFERROR(IF(OR($G18="",$J18=""),"",IF(AND($G18="High",$J18="High"),"Star",IF(AND($G18="High",$J18="Low"),"Plowhorse",IF(AND($G18="Low",$J18="High"),"Puzzle","Dog")))),"")</f>
        <v>Plowhorse</v>
      </c>
      <c r="L18" t="str">
        <f>IFERROR(IF($K18="","",IF($K18="Star","It sells and leaves margin: it's the dish that carries its category.",IF($K18="Plowhorse","It sells a lot, but leaves little margin in dollars per unit.",IF($K18="Puzzle","It leaves a good margin in dollars, but few guests order it.","It neither sells nor leaves margin.")))),"")</f>
        <v>It sells a lot, but leaves little margin in dollars per unit.</v>
      </c>
      <c r="M18" t="str">
        <f>IFERROR(IF($K18="","",IF($K18="Star","Keep the recipe and the supplier, and give it a prominent spot on the menu.",IF($K18="Plowhorse","Raise the price carefully or lower the cost without touching the portion.",IF($K18="Puzzle","Move it on the menu, rename it and have the floor staff suggest it.","Remove or rework it: it takes up space on the menu and in the kitchen.")))),"")</f>
        <v>Raise the price carefully or lower the cost without touching the portion.</v>
      </c>
    </row>
    <row r="19">
      <c r="A19" s="8" t="n">
        <v>15</v>
      </c>
      <c r="B19" t="str">
        <f>IFERROR(IF('Data'!$B19="","",'Data'!$B19),"")</f>
        <v>Seasonal vegetable lasagna</v>
      </c>
      <c r="C19" t="str">
        <f>IFERROR(IF('Data'!$C19="","",'Data'!$C19),"")</f>
        <v>Mains</v>
      </c>
      <c r="D19" s="8">
        <f>IFERROR(IF('Data'!$D19="","",'Data'!$D19),"")</f>
        <v>140.0</v>
      </c>
      <c r="E19" s="14">
        <f>IFERROR(IF('Data'!$L19="","",'Data'!$L19),"")</f>
        <v>0.06930693069306931</v>
      </c>
      <c r="F19" s="14">
        <f>IFERROR(IF('Data'!$M19="","",'Data'!$M19),"")</f>
        <v>0.07777777777777778</v>
      </c>
      <c r="G19" t="str">
        <f>IFERROR(IF(OR($E19="",$F19=""),"",IF($E19&gt;=$F19,"High","Low")),"")</f>
        <v>Low</v>
      </c>
      <c r="H19" s="11">
        <f>IFERROR(IF('Data'!$G19="","",'Data'!$G19),"")</f>
        <v>8.8</v>
      </c>
      <c r="I19" s="13">
        <f>IFERROR(IF('Data'!$N19="","",'Data'!$N19),"")</f>
        <v>10.795148514851485</v>
      </c>
      <c r="J19" t="str">
        <f>IFERROR(IF(OR($H19="",$I19=""),"",IF($H19&gt;=$I19,"High","Low")),"")</f>
        <v>Low</v>
      </c>
      <c r="K19" s="15" t="str">
        <f>IFERROR(IF(OR($G19="",$J19=""),"",IF(AND($G19="High",$J19="High"),"Star",IF(AND($G19="High",$J19="Low"),"Plowhorse",IF(AND($G19="Low",$J19="High"),"Puzzle","Dog")))),"")</f>
        <v>Dog</v>
      </c>
      <c r="L19" t="str">
        <f>IFERROR(IF($K19="","",IF($K19="Star","It sells and leaves margin: it's the dish that carries its category.",IF($K19="Plowhorse","It sells a lot, but leaves little margin in dollars per unit.",IF($K19="Puzzle","It leaves a good margin in dollars, but few guests order it.","It neither sells nor leaves margin.")))),"")</f>
        <v>It neither sells nor leaves margin.</v>
      </c>
      <c r="M19" t="str">
        <f>IFERROR(IF($K19="","",IF($K19="Star","Keep the recipe and the supplier, and give it a prominent spot on the menu.",IF($K19="Plowhorse","Raise the price carefully or lower the cost without touching the portion.",IF($K19="Puzzle","Move it on the menu, rename it and have the floor staff suggest it.","Remove or rework it: it takes up space on the menu and in the kitchen.")))),"")</f>
        <v>Remove or rework it: it takes up space on the menu and in the kitchen.</v>
      </c>
    </row>
    <row r="20">
      <c r="A20" s="8" t="n">
        <v>16</v>
      </c>
      <c r="B20" t="str">
        <f>IFERROR(IF('Data'!$B20="","",'Data'!$B20),"")</f>
        <v>Seared bluefin tuna tataki with sesame</v>
      </c>
      <c r="C20" t="str">
        <f>IFERROR(IF('Data'!$C20="","",'Data'!$C20),"")</f>
        <v>Mains</v>
      </c>
      <c r="D20" s="8">
        <f>IFERROR(IF('Data'!$D20="","",'Data'!$D20),"")</f>
        <v>130.0</v>
      </c>
      <c r="E20" s="14">
        <f>IFERROR(IF('Data'!$L20="","",'Data'!$L20),"")</f>
        <v>0.06435643564356436</v>
      </c>
      <c r="F20" s="14">
        <f>IFERROR(IF('Data'!$M20="","",'Data'!$M20),"")</f>
        <v>0.07777777777777778</v>
      </c>
      <c r="G20" t="str">
        <f>IFERROR(IF(OR($E20="",$F20=""),"",IF($E20&gt;=$F20,"High","Low")),"")</f>
        <v>Low</v>
      </c>
      <c r="H20" s="11">
        <f>IFERROR(IF('Data'!$G20="","",'Data'!$G20),"")</f>
        <v>12.799999999999999</v>
      </c>
      <c r="I20" s="13">
        <f>IFERROR(IF('Data'!$N20="","",'Data'!$N20),"")</f>
        <v>10.795148514851485</v>
      </c>
      <c r="J20" t="str">
        <f>IFERROR(IF(OR($H20="",$I20=""),"",IF($H20&gt;=$I20,"High","Low")),"")</f>
        <v>High</v>
      </c>
      <c r="K20" s="15" t="str">
        <f>IFERROR(IF(OR($G20="",$J20=""),"",IF(AND($G20="High",$J20="High"),"Star",IF(AND($G20="High",$J20="Low"),"Plowhorse",IF(AND($G20="Low",$J20="High"),"Puzzle","Dog")))),"")</f>
        <v>Puzzle</v>
      </c>
      <c r="L20" t="str">
        <f>IFERROR(IF($K20="","",IF($K20="Star","It sells and leaves margin: it's the dish that carries its category.",IF($K20="Plowhorse","It sells a lot, but leaves little margin in dollars per unit.",IF($K20="Puzzle","It leaves a good margin in dollars, but few guests order it.","It neither sells nor leaves margin.")))),"")</f>
        <v>It leaves a good margin in dollars, but few guests order it.</v>
      </c>
      <c r="M20" t="str">
        <f>IFERROR(IF($K20="","",IF($K20="Star","Keep the recipe and the supplier, and give it a prominent spot on the menu.",IF($K20="Plowhorse","Raise the price carefully or lower the cost without touching the portion.",IF($K20="Puzzle","Move it on the menu, rename it and have the floor staff suggest it.","Remove or rework it: it takes up space on the menu and in the kitchen.")))),"")</f>
        <v>Move it on the menu, rename it and have the floor staff suggest it.</v>
      </c>
    </row>
    <row r="21">
      <c r="A21" s="8" t="n">
        <v>17</v>
      </c>
      <c r="B21" t="str">
        <f>IFERROR(IF('Data'!$B21="","",'Data'!$B21),"")</f>
        <v>Creamy cheesecake</v>
      </c>
      <c r="C21" t="str">
        <f>IFERROR(IF('Data'!$C21="","",'Data'!$C21),"")</f>
        <v>Desserts</v>
      </c>
      <c r="D21" s="8">
        <f>IFERROR(IF('Data'!$D21="","",'Data'!$D21),"")</f>
        <v>520.0</v>
      </c>
      <c r="E21" s="14">
        <f>IFERROR(IF('Data'!$L21="","",'Data'!$L21),"")</f>
        <v>0.4642857142857143</v>
      </c>
      <c r="F21" s="14">
        <f>IFERROR(IF('Data'!$M21="","",'Data'!$M21),"")</f>
        <v>0.175</v>
      </c>
      <c r="G21" t="str">
        <f>IFERROR(IF(OR($E21="",$F21=""),"",IF($E21&gt;=$F21,"High","Low")),"")</f>
        <v>High</v>
      </c>
      <c r="H21" s="11">
        <f>IFERROR(IF('Data'!$G21="","",'Data'!$G21),"")</f>
        <v>4.6000000000000005</v>
      </c>
      <c r="I21" s="13">
        <f>IFERROR(IF('Data'!$N21="","",'Data'!$N21),"")</f>
        <v>4.482142857142857</v>
      </c>
      <c r="J21" t="str">
        <f>IFERROR(IF(OR($H21="",$I21=""),"",IF($H21&gt;=$I21,"High","Low")),"")</f>
        <v>High</v>
      </c>
      <c r="K21" s="15" t="str">
        <f>IFERROR(IF(OR($G21="",$J21=""),"",IF(AND($G21="High",$J21="High"),"Star",IF(AND($G21="High",$J21="Low"),"Plowhorse",IF(AND($G21="Low",$J21="High"),"Puzzle","Dog")))),"")</f>
        <v>Star</v>
      </c>
      <c r="L21" t="str">
        <f>IFERROR(IF($K21="","",IF($K21="Star","It sells and leaves margin: it's the dish that carries its category.",IF($K21="Plowhorse","It sells a lot, but leaves little margin in dollars per unit.",IF($K21="Puzzle","It leaves a good margin in dollars, but few guests order it.","It neither sells nor leaves margin.")))),"")</f>
        <v>It sells and leaves margin: it's the dish that carries its category.</v>
      </c>
      <c r="M21" t="str">
        <f>IFERROR(IF($K21="","",IF($K21="Star","Keep the recipe and the supplier, and give it a prominent spot on the menu.",IF($K21="Plowhorse","Raise the price carefully or lower the cost without touching the portion.",IF($K21="Puzzle","Move it on the menu, rename it and have the floor staff suggest it.","Remove or rework it: it takes up space on the menu and in the kitchen.")))),"")</f>
        <v>Keep the recipe and the supplier, and give it a prominent spot on the menu.</v>
      </c>
    </row>
    <row r="22">
      <c r="A22" s="8" t="n">
        <v>18</v>
      </c>
      <c r="B22" t="str">
        <f>IFERROR(IF('Data'!$B22="","",'Data'!$B22),"")</f>
        <v>Caramelized torrija with ice cream</v>
      </c>
      <c r="C22" t="str">
        <f>IFERROR(IF('Data'!$C22="","",'Data'!$C22),"")</f>
        <v>Desserts</v>
      </c>
      <c r="D22" s="8">
        <f>IFERROR(IF('Data'!$D22="","",'Data'!$D22),"")</f>
        <v>210.0</v>
      </c>
      <c r="E22" s="14">
        <f>IFERROR(IF('Data'!$L22="","",'Data'!$L22),"")</f>
        <v>0.1875</v>
      </c>
      <c r="F22" s="14">
        <f>IFERROR(IF('Data'!$M22="","",'Data'!$M22),"")</f>
        <v>0.175</v>
      </c>
      <c r="G22" t="str">
        <f>IFERROR(IF(OR($E22="",$F22=""),"",IF($E22&gt;=$F22,"High","Low")),"")</f>
        <v>High</v>
      </c>
      <c r="H22" s="11">
        <f>IFERROR(IF('Data'!$G22="","",'Data'!$G22),"")</f>
        <v>4.4</v>
      </c>
      <c r="I22" s="13">
        <f>IFERROR(IF('Data'!$N22="","",'Data'!$N22),"")</f>
        <v>4.482142857142857</v>
      </c>
      <c r="J22" t="str">
        <f>IFERROR(IF(OR($H22="",$I22=""),"",IF($H22&gt;=$I22,"High","Low")),"")</f>
        <v>Low</v>
      </c>
      <c r="K22" s="15" t="str">
        <f>IFERROR(IF(OR($G22="",$J22=""),"",IF(AND($G22="High",$J22="High"),"Star",IF(AND($G22="High",$J22="Low"),"Plowhorse",IF(AND($G22="Low",$J22="High"),"Puzzle","Dog")))),"")</f>
        <v>Plowhorse</v>
      </c>
      <c r="L22" t="str">
        <f>IFERROR(IF($K22="","",IF($K22="Star","It sells and leaves margin: it's the dish that carries its category.",IF($K22="Plowhorse","It sells a lot, but leaves little margin in dollars per unit.",IF($K22="Puzzle","It leaves a good margin in dollars, but few guests order it.","It neither sells nor leaves margin.")))),"")</f>
        <v>It sells a lot, but leaves little margin in dollars per unit.</v>
      </c>
      <c r="M22" t="str">
        <f>IFERROR(IF($K22="","",IF($K22="Star","Keep the recipe and the supplier, and give it a prominent spot on the menu.",IF($K22="Plowhorse","Raise the price carefully or lower the cost without touching the portion.",IF($K22="Puzzle","Move it on the menu, rename it and have the floor staff suggest it.","Remove or rework it: it takes up space on the menu and in the kitchen.")))),"")</f>
        <v>Raise the price carefully or lower the cost without touching the portion.</v>
      </c>
    </row>
    <row r="23">
      <c r="A23" s="8" t="n">
        <v>19</v>
      </c>
      <c r="B23" t="str">
        <f>IFERROR(IF('Data'!$B23="","",'Data'!$B23),"")</f>
        <v>Chocolate lava cake</v>
      </c>
      <c r="C23" t="str">
        <f>IFERROR(IF('Data'!$C23="","",'Data'!$C23),"")</f>
        <v>Desserts</v>
      </c>
      <c r="D23" s="8">
        <f>IFERROR(IF('Data'!$D23="","",'Data'!$D23),"")</f>
        <v>330.0</v>
      </c>
      <c r="E23" s="14">
        <f>IFERROR(IF('Data'!$L23="","",'Data'!$L23),"")</f>
        <v>0.29464285714285715</v>
      </c>
      <c r="F23" s="14">
        <f>IFERROR(IF('Data'!$M23="","",'Data'!$M23),"")</f>
        <v>0.175</v>
      </c>
      <c r="G23" t="str">
        <f>IFERROR(IF(OR($E23="",$F23=""),"",IF($E23&gt;=$F23,"High","Low")),"")</f>
        <v>High</v>
      </c>
      <c r="H23" s="11">
        <f>IFERROR(IF('Data'!$G23="","",'Data'!$G23),"")</f>
        <v>4.6</v>
      </c>
      <c r="I23" s="13">
        <f>IFERROR(IF('Data'!$N23="","",'Data'!$N23),"")</f>
        <v>4.482142857142857</v>
      </c>
      <c r="J23" t="str">
        <f>IFERROR(IF(OR($H23="",$I23=""),"",IF($H23&gt;=$I23,"High","Low")),"")</f>
        <v>High</v>
      </c>
      <c r="K23" s="15" t="str">
        <f>IFERROR(IF(OR($G23="",$J23=""),"",IF(AND($G23="High",$J23="High"),"Star",IF(AND($G23="High",$J23="Low"),"Plowhorse",IF(AND($G23="Low",$J23="High"),"Puzzle","Dog")))),"")</f>
        <v>Star</v>
      </c>
      <c r="L23" t="str">
        <f>IFERROR(IF($K23="","",IF($K23="Star","It sells and leaves margin: it's the dish that carries its category.",IF($K23="Plowhorse","It sells a lot, but leaves little margin in dollars per unit.",IF($K23="Puzzle","It leaves a good margin in dollars, but few guests order it.","It neither sells nor leaves margin.")))),"")</f>
        <v>It sells and leaves margin: it's the dish that carries its category.</v>
      </c>
      <c r="M23" t="str">
        <f>IFERROR(IF($K23="","",IF($K23="Star","Keep the recipe and the supplier, and give it a prominent spot on the menu.",IF($K23="Plowhorse","Raise the price carefully or lower the cost without touching the portion.",IF($K23="Puzzle","Move it on the menu, rename it and have the floor staff suggest it.","Remove or rework it: it takes up space on the menu and in the kitchen.")))),"")</f>
        <v>Keep the recipe and the supplier, and give it a prominent spot on the menu.</v>
      </c>
    </row>
    <row r="24">
      <c r="A24" s="8" t="n">
        <v>20</v>
      </c>
      <c r="B24" t="str">
        <f>IFERROR(IF('Data'!$B24="","",'Data'!$B24),"")</f>
        <v>Prepared seasonal fruit</v>
      </c>
      <c r="C24" t="str">
        <f>IFERROR(IF('Data'!$C24="","",'Data'!$C24),"")</f>
        <v>Desserts</v>
      </c>
      <c r="D24" s="8">
        <f>IFERROR(IF('Data'!$D24="","",'Data'!$D24),"")</f>
        <v>60.0</v>
      </c>
      <c r="E24" s="14">
        <f>IFERROR(IF('Data'!$L24="","",'Data'!$L24),"")</f>
        <v>0.05357142857142857</v>
      </c>
      <c r="F24" s="14">
        <f>IFERROR(IF('Data'!$M24="","",'Data'!$M24),"")</f>
        <v>0.175</v>
      </c>
      <c r="G24" t="str">
        <f>IFERROR(IF(OR($E24="",$F24=""),"",IF($E24&gt;=$F24,"High","Low")),"")</f>
        <v>Low</v>
      </c>
      <c r="H24" s="11">
        <f>IFERROR(IF('Data'!$G24="","",'Data'!$G24),"")</f>
        <v>3.1</v>
      </c>
      <c r="I24" s="13">
        <f>IFERROR(IF('Data'!$N24="","",'Data'!$N24),"")</f>
        <v>4.482142857142857</v>
      </c>
      <c r="J24" t="str">
        <f>IFERROR(IF(OR($H24="",$I24=""),"",IF($H24&gt;=$I24,"High","Low")),"")</f>
        <v>Low</v>
      </c>
      <c r="K24" s="15" t="str">
        <f>IFERROR(IF(OR($G24="",$J24=""),"",IF(AND($G24="High",$J24="High"),"Star",IF(AND($G24="High",$J24="Low"),"Plowhorse",IF(AND($G24="Low",$J24="High"),"Puzzle","Dog")))),"")</f>
        <v>Dog</v>
      </c>
      <c r="L24" t="str">
        <f>IFERROR(IF($K24="","",IF($K24="Star","It sells and leaves margin: it's the dish that carries its category.",IF($K24="Plowhorse","It sells a lot, but leaves little margin in dollars per unit.",IF($K24="Puzzle","It leaves a good margin in dollars, but few guests order it.","It neither sells nor leaves margin.")))),"")</f>
        <v>It neither sells nor leaves margin.</v>
      </c>
      <c r="M24" t="str">
        <f>IFERROR(IF($K24="","",IF($K24="Star","Keep the recipe and the supplier, and give it a prominent spot on the menu.",IF($K24="Plowhorse","Raise the price carefully or lower the cost without touching the portion.",IF($K24="Puzzle","Move it on the menu, rename it and have the floor staff suggest it.","Remove or rework it: it takes up space on the menu and in the kitchen.")))),"")</f>
        <v>Remove or rework it: it takes up space on the menu and in the kitchen.</v>
      </c>
    </row>
    <row r="25">
      <c r="A25" s="8" t="n">
        <v>21</v>
      </c>
      <c r="B25">
        <f>IFERROR(IF('Data'!$B25="","",'Data'!$B25),"")</f>
      </c>
      <c r="C25">
        <f>IFERROR(IF('Data'!$C25="","",'Data'!$C25),"")</f>
      </c>
      <c r="D25" s="8">
        <f>IFERROR(IF('Data'!$D25="","",'Data'!$D25),"")</f>
      </c>
      <c r="E25" s="14">
        <f>IFERROR(IF('Data'!$L25="","",'Data'!$L25),"")</f>
      </c>
      <c r="F25" s="14">
        <f>IFERROR(IF('Data'!$M25="","",'Data'!$M25),"")</f>
      </c>
      <c r="G25">
        <f>IFERROR(IF(OR($E25="",$F25=""),"",IF($E25&gt;=$F25,"High","Low")),"")</f>
      </c>
      <c r="H25" s="11">
        <f>IFERROR(IF('Data'!$G25="","",'Data'!$G25),"")</f>
      </c>
      <c r="I25" s="13">
        <f>IFERROR(IF('Data'!$N25="","",'Data'!$N25),"")</f>
      </c>
      <c r="J25">
        <f>IFERROR(IF(OR($H25="",$I25=""),"",IF($H25&gt;=$I25,"High","Low")),"")</f>
      </c>
      <c r="K25" s="15">
        <f>IFERROR(IF(OR($G25="",$J25=""),"",IF(AND($G25="High",$J25="High"),"Star",IF(AND($G25="High",$J25="Low"),"Plowhorse",IF(AND($G25="Low",$J25="High"),"Puzzle","Dog")))),"")</f>
      </c>
      <c r="L25">
        <f>IFERROR(IF($K25="","",IF($K25="Star","It sells and leaves margin: it's the dish that carries its category.",IF($K25="Plowhorse","It sells a lot, but leaves little margin in dollars per unit.",IF($K25="Puzzle","It leaves a good margin in dollars, but few guests order it.","It neither sells nor leaves margin.")))),"")</f>
      </c>
      <c r="M25">
        <f>IFERROR(IF($K25="","",IF($K25="Star","Keep the recipe and the supplier, and give it a prominent spot on the menu.",IF($K25="Plowhorse","Raise the price carefully or lower the cost without touching the portion.",IF($K25="Puzzle","Move it on the menu, rename it and have the floor staff suggest it.","Remove or rework it: it takes up space on the menu and in the kitchen.")))),"")</f>
      </c>
    </row>
    <row r="26">
      <c r="A26" s="8" t="n">
        <v>22</v>
      </c>
      <c r="B26">
        <f>IFERROR(IF('Data'!$B26="","",'Data'!$B26),"")</f>
      </c>
      <c r="C26">
        <f>IFERROR(IF('Data'!$C26="","",'Data'!$C26),"")</f>
      </c>
      <c r="D26" s="8">
        <f>IFERROR(IF('Data'!$D26="","",'Data'!$D26),"")</f>
      </c>
      <c r="E26" s="14">
        <f>IFERROR(IF('Data'!$L26="","",'Data'!$L26),"")</f>
      </c>
      <c r="F26" s="14">
        <f>IFERROR(IF('Data'!$M26="","",'Data'!$M26),"")</f>
      </c>
      <c r="G26">
        <f>IFERROR(IF(OR($E26="",$F26=""),"",IF($E26&gt;=$F26,"High","Low")),"")</f>
      </c>
      <c r="H26" s="11">
        <f>IFERROR(IF('Data'!$G26="","",'Data'!$G26),"")</f>
      </c>
      <c r="I26" s="13">
        <f>IFERROR(IF('Data'!$N26="","",'Data'!$N26),"")</f>
      </c>
      <c r="J26">
        <f>IFERROR(IF(OR($H26="",$I26=""),"",IF($H26&gt;=$I26,"High","Low")),"")</f>
      </c>
      <c r="K26" s="15">
        <f>IFERROR(IF(OR($G26="",$J26=""),"",IF(AND($G26="High",$J26="High"),"Star",IF(AND($G26="High",$J26="Low"),"Plowhorse",IF(AND($G26="Low",$J26="High"),"Puzzle","Dog")))),"")</f>
      </c>
      <c r="L26">
        <f>IFERROR(IF($K26="","",IF($K26="Star","It sells and leaves margin: it's the dish that carries its category.",IF($K26="Plowhorse","It sells a lot, but leaves little margin in dollars per unit.",IF($K26="Puzzle","It leaves a good margin in dollars, but few guests order it.","It neither sells nor leaves margin.")))),"")</f>
      </c>
      <c r="M26">
        <f>IFERROR(IF($K26="","",IF($K26="Star","Keep the recipe and the supplier, and give it a prominent spot on the menu.",IF($K26="Plowhorse","Raise the price carefully or lower the cost without touching the portion.",IF($K26="Puzzle","Move it on the menu, rename it and have the floor staff suggest it.","Remove or rework it: it takes up space on the menu and in the kitchen.")))),"")</f>
      </c>
    </row>
    <row r="27">
      <c r="A27" s="8" t="n">
        <v>23</v>
      </c>
      <c r="B27">
        <f>IFERROR(IF('Data'!$B27="","",'Data'!$B27),"")</f>
      </c>
      <c r="C27">
        <f>IFERROR(IF('Data'!$C27="","",'Data'!$C27),"")</f>
      </c>
      <c r="D27" s="8">
        <f>IFERROR(IF('Data'!$D27="","",'Data'!$D27),"")</f>
      </c>
      <c r="E27" s="14">
        <f>IFERROR(IF('Data'!$L27="","",'Data'!$L27),"")</f>
      </c>
      <c r="F27" s="14">
        <f>IFERROR(IF('Data'!$M27="","",'Data'!$M27),"")</f>
      </c>
      <c r="G27">
        <f>IFERROR(IF(OR($E27="",$F27=""),"",IF($E27&gt;=$F27,"High","Low")),"")</f>
      </c>
      <c r="H27" s="11">
        <f>IFERROR(IF('Data'!$G27="","",'Data'!$G27),"")</f>
      </c>
      <c r="I27" s="13">
        <f>IFERROR(IF('Data'!$N27="","",'Data'!$N27),"")</f>
      </c>
      <c r="J27">
        <f>IFERROR(IF(OR($H27="",$I27=""),"",IF($H27&gt;=$I27,"High","Low")),"")</f>
      </c>
      <c r="K27" s="15">
        <f>IFERROR(IF(OR($G27="",$J27=""),"",IF(AND($G27="High",$J27="High"),"Star",IF(AND($G27="High",$J27="Low"),"Plowhorse",IF(AND($G27="Low",$J27="High"),"Puzzle","Dog")))),"")</f>
      </c>
      <c r="L27">
        <f>IFERROR(IF($K27="","",IF($K27="Star","It sells and leaves margin: it's the dish that carries its category.",IF($K27="Plowhorse","It sells a lot, but leaves little margin in dollars per unit.",IF($K27="Puzzle","It leaves a good margin in dollars, but few guests order it.","It neither sells nor leaves margin.")))),"")</f>
      </c>
      <c r="M27">
        <f>IFERROR(IF($K27="","",IF($K27="Star","Keep the recipe and the supplier, and give it a prominent spot on the menu.",IF($K27="Plowhorse","Raise the price carefully or lower the cost without touching the portion.",IF($K27="Puzzle","Move it on the menu, rename it and have the floor staff suggest it.","Remove or rework it: it takes up space on the menu and in the kitchen.")))),"")</f>
      </c>
    </row>
    <row r="28">
      <c r="A28" s="8" t="n">
        <v>24</v>
      </c>
      <c r="B28">
        <f>IFERROR(IF('Data'!$B28="","",'Data'!$B28),"")</f>
      </c>
      <c r="C28">
        <f>IFERROR(IF('Data'!$C28="","",'Data'!$C28),"")</f>
      </c>
      <c r="D28" s="8">
        <f>IFERROR(IF('Data'!$D28="","",'Data'!$D28),"")</f>
      </c>
      <c r="E28" s="14">
        <f>IFERROR(IF('Data'!$L28="","",'Data'!$L28),"")</f>
      </c>
      <c r="F28" s="14">
        <f>IFERROR(IF('Data'!$M28="","",'Data'!$M28),"")</f>
      </c>
      <c r="G28">
        <f>IFERROR(IF(OR($E28="",$F28=""),"",IF($E28&gt;=$F28,"High","Low")),"")</f>
      </c>
      <c r="H28" s="11">
        <f>IFERROR(IF('Data'!$G28="","",'Data'!$G28),"")</f>
      </c>
      <c r="I28" s="13">
        <f>IFERROR(IF('Data'!$N28="","",'Data'!$N28),"")</f>
      </c>
      <c r="J28">
        <f>IFERROR(IF(OR($H28="",$I28=""),"",IF($H28&gt;=$I28,"High","Low")),"")</f>
      </c>
      <c r="K28" s="15">
        <f>IFERROR(IF(OR($G28="",$J28=""),"",IF(AND($G28="High",$J28="High"),"Star",IF(AND($G28="High",$J28="Low"),"Plowhorse",IF(AND($G28="Low",$J28="High"),"Puzzle","Dog")))),"")</f>
      </c>
      <c r="L28">
        <f>IFERROR(IF($K28="","",IF($K28="Star","It sells and leaves margin: it's the dish that carries its category.",IF($K28="Plowhorse","It sells a lot, but leaves little margin in dollars per unit.",IF($K28="Puzzle","It leaves a good margin in dollars, but few guests order it.","It neither sells nor leaves margin.")))),"")</f>
      </c>
      <c r="M28">
        <f>IFERROR(IF($K28="","",IF($K28="Star","Keep the recipe and the supplier, and give it a prominent spot on the menu.",IF($K28="Plowhorse","Raise the price carefully or lower the cost without touching the portion.",IF($K28="Puzzle","Move it on the menu, rename it and have the floor staff suggest it.","Remove or rework it: it takes up space on the menu and in the kitchen.")))),"")</f>
      </c>
    </row>
    <row r="29">
      <c r="A29" s="8" t="n">
        <v>25</v>
      </c>
      <c r="B29">
        <f>IFERROR(IF('Data'!$B29="","",'Data'!$B29),"")</f>
      </c>
      <c r="C29">
        <f>IFERROR(IF('Data'!$C29="","",'Data'!$C29),"")</f>
      </c>
      <c r="D29" s="8">
        <f>IFERROR(IF('Data'!$D29="","",'Data'!$D29),"")</f>
      </c>
      <c r="E29" s="14">
        <f>IFERROR(IF('Data'!$L29="","",'Data'!$L29),"")</f>
      </c>
      <c r="F29" s="14">
        <f>IFERROR(IF('Data'!$M29="","",'Data'!$M29),"")</f>
      </c>
      <c r="G29">
        <f>IFERROR(IF(OR($E29="",$F29=""),"",IF($E29&gt;=$F29,"High","Low")),"")</f>
      </c>
      <c r="H29" s="11">
        <f>IFERROR(IF('Data'!$G29="","",'Data'!$G29),"")</f>
      </c>
      <c r="I29" s="13">
        <f>IFERROR(IF('Data'!$N29="","",'Data'!$N29),"")</f>
      </c>
      <c r="J29">
        <f>IFERROR(IF(OR($H29="",$I29=""),"",IF($H29&gt;=$I29,"High","Low")),"")</f>
      </c>
      <c r="K29" s="15">
        <f>IFERROR(IF(OR($G29="",$J29=""),"",IF(AND($G29="High",$J29="High"),"Star",IF(AND($G29="High",$J29="Low"),"Plowhorse",IF(AND($G29="Low",$J29="High"),"Puzzle","Dog")))),"")</f>
      </c>
      <c r="L29">
        <f>IFERROR(IF($K29="","",IF($K29="Star","It sells and leaves margin: it's the dish that carries its category.",IF($K29="Plowhorse","It sells a lot, but leaves little margin in dollars per unit.",IF($K29="Puzzle","It leaves a good margin in dollars, but few guests order it.","It neither sells nor leaves margin.")))),"")</f>
      </c>
      <c r="M29">
        <f>IFERROR(IF($K29="","",IF($K29="Star","Keep the recipe and the supplier, and give it a prominent spot on the menu.",IF($K29="Plowhorse","Raise the price carefully or lower the cost without touching the portion.",IF($K29="Puzzle","Move it on the menu, rename it and have the floor staff suggest it.","Remove or rework it: it takes up space on the menu and in the kitchen.")))),"")</f>
      </c>
    </row>
    <row r="30"/>
    <row r="31">
      <c r="A31" s="15" t="inlineStr">
        <is>
          <t>SUMMARY — calculated by the workbook</t>
        </is>
      </c>
    </row>
    <row r="32" ht="34" customHeight="1">
      <c r="B32" s="7" t="inlineStr">
        <is>
          <t>Classification</t>
        </is>
      </c>
      <c r="C32" s="7" t="inlineStr">
        <is>
          <t>Dishes</t>
        </is>
      </c>
      <c r="D32" s="7" t="inlineStr">
        <is>
          <t>Units sold</t>
        </is>
      </c>
      <c r="E32" s="7" t="inlineStr">
        <is>
          <t>% of menu units</t>
        </is>
      </c>
      <c r="F32" s="7" t="inlineStr">
        <is>
          <t>Total CM contributed</t>
        </is>
      </c>
    </row>
    <row r="33">
      <c r="B33" s="15" t="inlineStr">
        <is>
          <t>Star</t>
        </is>
      </c>
      <c r="C33" s="8">
        <f>COUNTIF($K$5:$K$29,$B33)</f>
        <v>6.0</v>
      </c>
      <c r="D33" s="8">
        <f>IFERROR(SUMIF($K$5:$K$29,$B33,$D$5:$D$29),"")</f>
        <v>1950.0</v>
      </c>
      <c r="E33" s="14">
        <f>IFERROR(IF(SUM($D$5:$D$29)=0,"",$D33/SUM($D$5:$D$29)),"")</f>
        <v>0.4004106776180698</v>
      </c>
      <c r="F33" s="13">
        <f>IFERROR(SUMPRODUCT(--($K$5:$K$29=$B33),$D$5:$D$29,$H$5:$H$29),"")</f>
        <v>14865.2</v>
      </c>
    </row>
    <row r="34">
      <c r="B34" s="15" t="inlineStr">
        <is>
          <t>Plowhorse</t>
        </is>
      </c>
      <c r="C34" s="8">
        <f>COUNTIF($K$5:$K$29,$B34)</f>
        <v>6.0</v>
      </c>
      <c r="D34" s="8">
        <f>IFERROR(SUMIF($K$5:$K$29,$B34,$D$5:$D$29),"")</f>
        <v>2040.0</v>
      </c>
      <c r="E34" s="14">
        <f>IFERROR(IF(SUM($D$5:$D$29)=0,"",$D34/SUM($D$5:$D$29)),"")</f>
        <v>0.4188911704312115</v>
      </c>
      <c r="F34" s="13">
        <f>IFERROR(SUMPRODUCT(--($K$5:$K$29=$B34),$D$5:$D$29,$H$5:$H$29),"")</f>
        <v>16198.0</v>
      </c>
    </row>
    <row r="35">
      <c r="B35" s="15" t="inlineStr">
        <is>
          <t>Puzzle</t>
        </is>
      </c>
      <c r="C35" s="8">
        <f>COUNTIF($K$5:$K$29,$B35)</f>
        <v>5.0</v>
      </c>
      <c r="D35" s="8">
        <f>IFERROR(SUMIF($K$5:$K$29,$B35,$D$5:$D$29),"")</f>
        <v>530.0</v>
      </c>
      <c r="E35" s="14">
        <f>IFERROR(IF(SUM($D$5:$D$29)=0,"",$D35/SUM($D$5:$D$29)),"")</f>
        <v>0.10882956878850103</v>
      </c>
      <c r="F35" s="13">
        <f>IFERROR(SUMPRODUCT(--($K$5:$K$29=$B35),$D$5:$D$29,$H$5:$H$29),"")</f>
        <v>6357.0</v>
      </c>
    </row>
    <row r="36">
      <c r="B36" s="15" t="inlineStr">
        <is>
          <t>Dog</t>
        </is>
      </c>
      <c r="C36" s="8">
        <f>COUNTIF($K$5:$K$29,$B36)</f>
        <v>3.0</v>
      </c>
      <c r="D36" s="8">
        <f>IFERROR(SUMIF($K$5:$K$29,$B36,$D$5:$D$29),"")</f>
        <v>350.0</v>
      </c>
      <c r="E36" s="14">
        <f>IFERROR(IF(SUM($D$5:$D$29)=0,"",$D36/SUM($D$5:$D$29)),"")</f>
        <v>0.07186858316221766</v>
      </c>
      <c r="F36" s="13">
        <f>IFERROR(SUMPRODUCT(--($K$5:$K$29=$B36),$D$5:$D$29,$H$5:$H$29),"")</f>
        <v>2318.0</v>
      </c>
    </row>
  </sheetData>
  <sheetProtection selectLockedCells="0" selectUnlockedCells="0" sheet="1" objects="0" insertRows="0" insertHyperlinks="1" autoFilter="1" scenarios="0" formatColumns="0" deleteColumns="1" insertColumns="1" pivotTables="1" deleteRows="1" formatCells="1" formatRows="0" sort="0"/>
  <conditionalFormatting sqref="K5:K29">
    <cfRule type="cellIs" priority="1" operator="equal" dxfId="0" stopIfTrue="1">
      <formula>"Star"</formula>
    </cfRule>
    <cfRule type="cellIs" priority="2" operator="equal" dxfId="1" stopIfTrue="1">
      <formula>"Plowhorse"</formula>
    </cfRule>
    <cfRule type="cellIs" priority="3" operator="equal" dxfId="1" stopIfTrue="1">
      <formula>"Puzzle"</formula>
    </cfRule>
    <cfRule type="cellIs" priority="4" operator="equal" dxfId="2" stopIfTrue="1">
      <formula>"Dog"</formula>
    </cfRule>
  </conditionalFormatting>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3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2" customWidth="1" min="4" max="4"/>
    <col width="13" customWidth="1" min="5" max="5"/>
    <col width="14" customWidth="1" min="6" max="6"/>
    <col width="12" customWidth="1" min="7" max="7"/>
    <col width="12" customWidth="1" min="8" max="8"/>
    <col width="15" customWidth="1" min="9" max="9"/>
    <col width="12" customWidth="1" min="10" max="10"/>
    <col width="14" customWidth="1" min="11" max="11"/>
    <col width="46" customWidth="1" min="12" max="12"/>
    <col width="42" customWidth="1" min="13" max="13"/>
  </cols>
  <sheetData>
    <row r="1">
      <c r="A1" s="1" t="inlineStr">
        <is>
          <t>Miller — popularity × food cost %</t>
        </is>
      </c>
    </row>
    <row r="2">
      <c r="A2" s="2" t="inlineStr">
        <is>
          <t>AI Chef Pro · aichef.pro — Food Cost + Menu Engineering Guide</t>
        </is>
      </c>
    </row>
    <row r="3">
      <c r="E3" s="6" t="inlineStr">
        <is>
          <t>Miller rewards low food cost; Kasavana &amp; Smith rewards margin in dollars. They don't always agree.</t>
        </is>
      </c>
    </row>
    <row r="4" ht="46" customHeight="1">
      <c r="A4" s="7" t="inlineStr">
        <is>
          <t>#</t>
        </is>
      </c>
      <c r="B4" s="7" t="inlineStr">
        <is>
          <t>Dish</t>
        </is>
      </c>
      <c r="C4" s="7" t="inlineStr">
        <is>
          <t>Category</t>
        </is>
      </c>
      <c r="D4" s="7" t="inlineStr">
        <is>
          <t>Units sold</t>
        </is>
      </c>
      <c r="E4" s="7" t="inlineStr">
        <is>
          <t>Menu Mix in Category (MM%)</t>
        </is>
      </c>
      <c r="F4" s="7" t="inlineStr">
        <is>
          <t>Popularity threshold in its category (%)</t>
        </is>
      </c>
      <c r="G4" s="7" t="inlineStr">
        <is>
          <t>Popularity</t>
        </is>
      </c>
      <c r="H4" s="7" t="inlineStr">
        <is>
          <t>Dish food cost (%)</t>
        </is>
      </c>
      <c r="I4" s="7" t="inlineStr">
        <is>
          <t>Category weighted avg food cost (%)</t>
        </is>
      </c>
      <c r="J4" s="7" t="inlineStr">
        <is>
          <t>Food cost level</t>
        </is>
      </c>
      <c r="K4" s="7" t="inlineStr">
        <is>
          <t>Classification</t>
        </is>
      </c>
      <c r="L4" s="7" t="inlineStr">
        <is>
          <t>What it means</t>
        </is>
      </c>
      <c r="M4" s="7" t="inlineStr">
        <is>
          <t>Recommended action</t>
        </is>
      </c>
    </row>
    <row r="5">
      <c r="A5" s="8" t="n">
        <v>1</v>
      </c>
      <c r="B5" t="str">
        <f>IFERROR(IF('Data'!$B5="","",'Data'!$B5),"")</f>
        <v>Iberico ham croquettes (6 pcs)</v>
      </c>
      <c r="C5" t="str">
        <f>IFERROR(IF('Data'!$C5="","",'Data'!$C5),"")</f>
        <v>Starters</v>
      </c>
      <c r="D5" s="8">
        <f>IFERROR(IF('Data'!$D5="","",'Data'!$D5),"")</f>
        <v>420.0</v>
      </c>
      <c r="E5" s="14">
        <f>IFERROR(IF('Data'!$L5="","",'Data'!$L5),"")</f>
        <v>0.24277456647398843</v>
      </c>
      <c r="F5" s="14">
        <f>IFERROR(IF('Data'!$M5="","",'Data'!$M5),"")</f>
        <v>0.09999999999999999</v>
      </c>
      <c r="G5" t="str">
        <f>IFERROR(IF(OR($E5="",$F5=""),"",IF($E5&gt;=$F5,"High","Low")),"")</f>
        <v>High</v>
      </c>
      <c r="H5" s="12">
        <f>IFERROR(IF('Data'!$H5="","",'Data'!$H5),"")</f>
        <v>0.24418604651162792</v>
      </c>
      <c r="I5" s="14">
        <f>IFERROR(IF('Data'!$O5="","",'Data'!$O5),"")</f>
        <v>0.3071474565357373</v>
      </c>
      <c r="J5" t="str">
        <f>IFERROR(IF(OR($H5="",$I5=""),"",IF($H5&lt;=$I5,"Low","High")),"")</f>
        <v>Low</v>
      </c>
      <c r="K5" s="15" t="str">
        <f>IFERROR(IF(OR($G5="",$J5=""),"",IF(AND($G5="High",$J5="Low"),"Winner",IF(AND($G5="Low",$J5="High"),"Loser","Marginal"))),"")</f>
        <v>Winner</v>
      </c>
      <c r="L5" t="str">
        <f>IFERROR(IF($K5="","",IF($K5="Winner","Popular, with a food cost below its category's average.",IF($K5="Marginal","It meets only one of the two: either it sells, or its food cost is healthy.","Rarely ordered, with a food cost above its category."))),"")</f>
        <v>Popular, with a food cost below its category's average.</v>
      </c>
      <c r="M5" t="str">
        <f>IFERROR(IF($K5="","",IF($K5="Winner","Keep it and protect its cost card: it's the one that can absorb a supplier increase.",IF($K5="Marginal","Check the other readings before touching it: the problem is either price or menu placement.","Rework the recipe or take it off the menu."))),"")</f>
        <v>Keep it and protect its cost card: it's the one that can absorb a supplier increase.</v>
      </c>
    </row>
    <row r="6">
      <c r="A6" s="8" t="n">
        <v>2</v>
      </c>
      <c r="B6" t="str">
        <f>IFERROR(IF('Data'!$B6="","",'Data'!$B6),"")</f>
        <v>Heirloom tomato salad with tuna belly and scallions</v>
      </c>
      <c r="C6" t="str">
        <f>IFERROR(IF('Data'!$C6="","",'Data'!$C6),"")</f>
        <v>Starters</v>
      </c>
      <c r="D6" s="8">
        <f>IFERROR(IF('Data'!$D6="","",'Data'!$D6),"")</f>
        <v>310.0</v>
      </c>
      <c r="E6" s="14">
        <f>IFERROR(IF('Data'!$L6="","",'Data'!$L6),"")</f>
        <v>0.1791907514450867</v>
      </c>
      <c r="F6" s="14">
        <f>IFERROR(IF('Data'!$M6="","",'Data'!$M6),"")</f>
        <v>0.09999999999999999</v>
      </c>
      <c r="G6" t="str">
        <f>IFERROR(IF(OR($E6="",$F6=""),"",IF($E6&gt;=$F6,"High","Low")),"")</f>
        <v>High</v>
      </c>
      <c r="H6" s="12">
        <f>IFERROR(IF('Data'!$H6="","",'Data'!$H6),"")</f>
        <v>0.30508474576271183</v>
      </c>
      <c r="I6" s="14">
        <f>IFERROR(IF('Data'!$O6="","",'Data'!$O6),"")</f>
        <v>0.3071474565357373</v>
      </c>
      <c r="J6" t="str">
        <f>IFERROR(IF(OR($H6="",$I6=""),"",IF($H6&lt;=$I6,"Low","High")),"")</f>
        <v>Low</v>
      </c>
      <c r="K6" s="15" t="str">
        <f>IFERROR(IF(OR($G6="",$J6=""),"",IF(AND($G6="High",$J6="Low"),"Winner",IF(AND($G6="Low",$J6="High"),"Loser","Marginal"))),"")</f>
        <v>Winner</v>
      </c>
      <c r="L6" t="str">
        <f>IFERROR(IF($K6="","",IF($K6="Winner","Popular, with a food cost below its category's average.",IF($K6="Marginal","It meets only one of the two: either it sells, or its food cost is healthy.","Rarely ordered, with a food cost above its category."))),"")</f>
        <v>Popular, with a food cost below its category's average.</v>
      </c>
      <c r="M6" t="str">
        <f>IFERROR(IF($K6="","",IF($K6="Winner","Keep it and protect its cost card: it's the one that can absorb a supplier increase.",IF($K6="Marginal","Check the other readings before touching it: the problem is either price or menu placement.","Rework the recipe or take it off the menu."))),"")</f>
        <v>Keep it and protect its cost card: it's the one that can absorb a supplier increase.</v>
      </c>
    </row>
    <row r="7">
      <c r="A7" s="8" t="n">
        <v>3</v>
      </c>
      <c r="B7" t="str">
        <f>IFERROR(IF('Data'!$B7="","",'Data'!$B7),"")</f>
        <v>Garlic shrimp</v>
      </c>
      <c r="C7" t="str">
        <f>IFERROR(IF('Data'!$C7="","",'Data'!$C7),"")</f>
        <v>Starters</v>
      </c>
      <c r="D7" s="8">
        <f>IFERROR(IF('Data'!$D7="","",'Data'!$D7),"")</f>
        <v>260.0</v>
      </c>
      <c r="E7" s="14">
        <f>IFERROR(IF('Data'!$L7="","",'Data'!$L7),"")</f>
        <v>0.15028901734104047</v>
      </c>
      <c r="F7" s="14">
        <f>IFERROR(IF('Data'!$M7="","",'Data'!$M7),"")</f>
        <v>0.09999999999999999</v>
      </c>
      <c r="G7" t="str">
        <f>IFERROR(IF(OR($E7="",$F7=""),"",IF($E7&gt;=$F7,"High","Low")),"")</f>
        <v>High</v>
      </c>
      <c r="H7" s="12">
        <f>IFERROR(IF('Data'!$H7="","",'Data'!$H7),"")</f>
        <v>0.44516129032258067</v>
      </c>
      <c r="I7" s="14">
        <f>IFERROR(IF('Data'!$O7="","",'Data'!$O7),"")</f>
        <v>0.3071474565357373</v>
      </c>
      <c r="J7" t="str">
        <f>IFERROR(IF(OR($H7="",$I7=""),"",IF($H7&lt;=$I7,"Low","High")),"")</f>
        <v>High</v>
      </c>
      <c r="K7" s="15" t="str">
        <f>IFERROR(IF(OR($G7="",$J7=""),"",IF(AND($G7="High",$J7="Low"),"Winner",IF(AND($G7="Low",$J7="High"),"Loser","Marginal"))),"")</f>
        <v>Marginal</v>
      </c>
      <c r="L7" t="str">
        <f>IFERROR(IF($K7="","",IF($K7="Winner","Popular, with a food cost below its category's average.",IF($K7="Marginal","It meets only one of the two: either it sells, or its food cost is healthy.","Rarely ordered, with a food cost above its category."))),"")</f>
        <v>It meets only one of the two: either it sells, or its food cost is healthy.</v>
      </c>
      <c r="M7" t="str">
        <f>IFERROR(IF($K7="","",IF($K7="Winner","Keep it and protect its cost card: it's the one that can absorb a supplier increase.",IF($K7="Marginal","Check the other readings before touching it: the problem is either price or menu placement.","Rework the recipe or take it off the menu."))),"")</f>
        <v>Check the other readings before touching it: the problem is either price or menu placement.</v>
      </c>
    </row>
    <row r="8">
      <c r="A8" s="8" t="n">
        <v>4</v>
      </c>
      <c r="B8" t="str">
        <f>IFERROR(IF('Data'!$B8="","",'Data'!$B8),"")</f>
        <v>Broken eggs with potatoes and chistorra sausage</v>
      </c>
      <c r="C8" t="str">
        <f>IFERROR(IF('Data'!$C8="","",'Data'!$C8),"")</f>
        <v>Starters</v>
      </c>
      <c r="D8" s="8">
        <f>IFERROR(IF('Data'!$D8="","",'Data'!$D8),"")</f>
        <v>380.0</v>
      </c>
      <c r="E8" s="14">
        <f>IFERROR(IF('Data'!$L8="","",'Data'!$L8),"")</f>
        <v>0.21965317919075145</v>
      </c>
      <c r="F8" s="14">
        <f>IFERROR(IF('Data'!$M8="","",'Data'!$M8),"")</f>
        <v>0.09999999999999999</v>
      </c>
      <c r="G8" t="str">
        <f>IFERROR(IF(OR($E8="",$F8=""),"",IF($E8&gt;=$F8,"High","Low")),"")</f>
        <v>High</v>
      </c>
      <c r="H8" s="12">
        <f>IFERROR(IF('Data'!$H8="","",'Data'!$H8),"")</f>
        <v>0.24489795918367344</v>
      </c>
      <c r="I8" s="14">
        <f>IFERROR(IF('Data'!$O8="","",'Data'!$O8),"")</f>
        <v>0.3071474565357373</v>
      </c>
      <c r="J8" t="str">
        <f>IFERROR(IF(OR($H8="",$I8=""),"",IF($H8&lt;=$I8,"Low","High")),"")</f>
        <v>Low</v>
      </c>
      <c r="K8" s="15" t="str">
        <f>IFERROR(IF(OR($G8="",$J8=""),"",IF(AND($G8="High",$J8="Low"),"Winner",IF(AND($G8="Low",$J8="High"),"Loser","Marginal"))),"")</f>
        <v>Winner</v>
      </c>
      <c r="L8" t="str">
        <f>IFERROR(IF($K8="","",IF($K8="Winner","Popular, with a food cost below its category's average.",IF($K8="Marginal","It meets only one of the two: either it sells, or its food cost is healthy.","Rarely ordered, with a food cost above its category."))),"")</f>
        <v>Popular, with a food cost below its category's average.</v>
      </c>
      <c r="M8" t="str">
        <f>IFERROR(IF($K8="","",IF($K8="Winner","Keep it and protect its cost card: it's the one that can absorb a supplier increase.",IF($K8="Marginal","Check the other readings before touching it: the problem is either price or menu placement.","Rework the recipe or take it off the menu."))),"")</f>
        <v>Keep it and protect its cost card: it's the one that can absorb a supplier increase.</v>
      </c>
    </row>
    <row r="9">
      <c r="A9" s="8" t="n">
        <v>5</v>
      </c>
      <c r="B9" t="str">
        <f>IFERROR(IF('Data'!$B9="","",'Data'!$B9),"")</f>
        <v>Local cheese board</v>
      </c>
      <c r="C9" t="str">
        <f>IFERROR(IF('Data'!$C9="","",'Data'!$C9),"")</f>
        <v>Starters</v>
      </c>
      <c r="D9" s="8">
        <f>IFERROR(IF('Data'!$D9="","",'Data'!$D9),"")</f>
        <v>90.0</v>
      </c>
      <c r="E9" s="14">
        <f>IFERROR(IF('Data'!$L9="","",'Data'!$L9),"")</f>
        <v>0.05202312138728324</v>
      </c>
      <c r="F9" s="14">
        <f>IFERROR(IF('Data'!$M9="","",'Data'!$M9),"")</f>
        <v>0.09999999999999999</v>
      </c>
      <c r="G9" t="str">
        <f>IFERROR(IF(OR($E9="",$F9=""),"",IF($E9&gt;=$F9,"High","Low")),"")</f>
        <v>Low</v>
      </c>
      <c r="H9" s="12">
        <f>IFERROR(IF('Data'!$H9="","",'Data'!$H9),"")</f>
        <v>0.3823529411764706</v>
      </c>
      <c r="I9" s="14">
        <f>IFERROR(IF('Data'!$O9="","",'Data'!$O9),"")</f>
        <v>0.3071474565357373</v>
      </c>
      <c r="J9" t="str">
        <f>IFERROR(IF(OR($H9="",$I9=""),"",IF($H9&lt;=$I9,"Low","High")),"")</f>
        <v>High</v>
      </c>
      <c r="K9" s="15" t="str">
        <f>IFERROR(IF(OR($G9="",$J9=""),"",IF(AND($G9="High",$J9="Low"),"Winner",IF(AND($G9="Low",$J9="High"),"Loser","Marginal"))),"")</f>
        <v>Loser</v>
      </c>
      <c r="L9" t="str">
        <f>IFERROR(IF($K9="","",IF($K9="Winner","Popular, with a food cost below its category's average.",IF($K9="Marginal","It meets only one of the two: either it sells, or its food cost is healthy.","Rarely ordered, with a food cost above its category."))),"")</f>
        <v>Rarely ordered, with a food cost above its category.</v>
      </c>
      <c r="M9" t="str">
        <f>IFERROR(IF($K9="","",IF($K9="Winner","Keep it and protect its cost card: it's the one that can absorb a supplier increase.",IF($K9="Marginal","Check the other readings before touching it: the problem is either price or menu placement.","Rework the recipe or take it off the menu."))),"")</f>
        <v>Rework the recipe or take it off the menu.</v>
      </c>
    </row>
    <row r="10">
      <c r="A10" s="8" t="n">
        <v>6</v>
      </c>
      <c r="B10" t="str">
        <f>IFERROR(IF('Data'!$B10="","",'Data'!$B10),"")</f>
        <v>Confit artichokes with ham</v>
      </c>
      <c r="C10" t="str">
        <f>IFERROR(IF('Data'!$C10="","",'Data'!$C10),"")</f>
        <v>Starters</v>
      </c>
      <c r="D10" s="8">
        <f>IFERROR(IF('Data'!$D10="","",'Data'!$D10),"")</f>
        <v>120.0</v>
      </c>
      <c r="E10" s="14">
        <f>IFERROR(IF('Data'!$L10="","",'Data'!$L10),"")</f>
        <v>0.06936416184971098</v>
      </c>
      <c r="F10" s="14">
        <f>IFERROR(IF('Data'!$M10="","",'Data'!$M10),"")</f>
        <v>0.09999999999999999</v>
      </c>
      <c r="G10" t="str">
        <f>IFERROR(IF(OR($E10="",$F10=""),"",IF($E10&gt;=$F10,"High","Low")),"")</f>
        <v>Low</v>
      </c>
      <c r="H10" s="12">
        <f>IFERROR(IF('Data'!$H10="","",'Data'!$H10),"")</f>
        <v>0.28440366972477066</v>
      </c>
      <c r="I10" s="14">
        <f>IFERROR(IF('Data'!$O10="","",'Data'!$O10),"")</f>
        <v>0.3071474565357373</v>
      </c>
      <c r="J10" t="str">
        <f>IFERROR(IF(OR($H10="",$I10=""),"",IF($H10&lt;=$I10,"Low","High")),"")</f>
        <v>Low</v>
      </c>
      <c r="K10" s="15" t="str">
        <f>IFERROR(IF(OR($G10="",$J10=""),"",IF(AND($G10="High",$J10="Low"),"Winner",IF(AND($G10="Low",$J10="High"),"Loser","Marginal"))),"")</f>
        <v>Marginal</v>
      </c>
      <c r="L10" t="str">
        <f>IFERROR(IF($K10="","",IF($K10="Winner","Popular, with a food cost below its category's average.",IF($K10="Marginal","It meets only one of the two: either it sells, or its food cost is healthy.","Rarely ordered, with a food cost above its category."))),"")</f>
        <v>It meets only one of the two: either it sells, or its food cost is healthy.</v>
      </c>
      <c r="M10" t="str">
        <f>IFERROR(IF($K10="","",IF($K10="Winner","Keep it and protect its cost card: it's the one that can absorb a supplier increase.",IF($K10="Marginal","Check the other readings before touching it: the problem is either price or menu placement.","Rework the recipe or take it off the menu."))),"")</f>
        <v>Check the other readings before touching it: the problem is either price or menu placement.</v>
      </c>
    </row>
    <row r="11">
      <c r="A11" s="8" t="n">
        <v>7</v>
      </c>
      <c r="B11" t="str">
        <f>IFERROR(IF('Data'!$B11="","",'Data'!$B11),"")</f>
        <v>Roasted tomato soup with basil</v>
      </c>
      <c r="C11" t="str">
        <f>IFERROR(IF('Data'!$C11="","",'Data'!$C11),"")</f>
        <v>Starters</v>
      </c>
      <c r="D11" s="8">
        <f>IFERROR(IF('Data'!$D11="","",'Data'!$D11),"")</f>
        <v>150.0</v>
      </c>
      <c r="E11" s="14">
        <f>IFERROR(IF('Data'!$L11="","",'Data'!$L11),"")</f>
        <v>0.08670520231213873</v>
      </c>
      <c r="F11" s="14">
        <f>IFERROR(IF('Data'!$M11="","",'Data'!$M11),"")</f>
        <v>0.09999999999999999</v>
      </c>
      <c r="G11" t="str">
        <f>IFERROR(IF(OR($E11="",$F11=""),"",IF($E11&gt;=$F11,"High","Low")),"")</f>
        <v>Low</v>
      </c>
      <c r="H11" s="12">
        <f>IFERROR(IF('Data'!$H11="","",'Data'!$H11),"")</f>
        <v>0.16666666666666666</v>
      </c>
      <c r="I11" s="14">
        <f>IFERROR(IF('Data'!$O11="","",'Data'!$O11),"")</f>
        <v>0.3071474565357373</v>
      </c>
      <c r="J11" t="str">
        <f>IFERROR(IF(OR($H11="",$I11=""),"",IF($H11&lt;=$I11,"Low","High")),"")</f>
        <v>Low</v>
      </c>
      <c r="K11" s="15" t="str">
        <f>IFERROR(IF(OR($G11="",$J11=""),"",IF(AND($G11="High",$J11="Low"),"Winner",IF(AND($G11="Low",$J11="High"),"Loser","Marginal"))),"")</f>
        <v>Marginal</v>
      </c>
      <c r="L11" t="str">
        <f>IFERROR(IF($K11="","",IF($K11="Winner","Popular, with a food cost below its category's average.",IF($K11="Marginal","It meets only one of the two: either it sells, or its food cost is healthy.","Rarely ordered, with a food cost above its category."))),"")</f>
        <v>It meets only one of the two: either it sells, or its food cost is healthy.</v>
      </c>
      <c r="M11" t="str">
        <f>IFERROR(IF($K11="","",IF($K11="Winner","Keep it and protect its cost card: it's the one that can absorb a supplier increase.",IF($K11="Marginal","Check the other readings before touching it: the problem is either price or menu placement.","Rework the recipe or take it off the menu."))),"")</f>
        <v>Check the other readings before touching it: the problem is either price or menu placement.</v>
      </c>
    </row>
    <row r="12">
      <c r="A12" s="8" t="n">
        <v>8</v>
      </c>
      <c r="B12" t="str">
        <f>IFERROR(IF('Data'!$B12="","",'Data'!$B12),"")</f>
        <v>Iberico pork tenderloin with sweet potato purée</v>
      </c>
      <c r="C12" t="str">
        <f>IFERROR(IF('Data'!$C12="","",'Data'!$C12),"")</f>
        <v>Mains</v>
      </c>
      <c r="D12" s="8">
        <f>IFERROR(IF('Data'!$D12="","",'Data'!$D12),"")</f>
        <v>340.0</v>
      </c>
      <c r="E12" s="14">
        <f>IFERROR(IF('Data'!$L12="","",'Data'!$L12),"")</f>
        <v>0.16831683168316833</v>
      </c>
      <c r="F12" s="14">
        <f>IFERROR(IF('Data'!$M12="","",'Data'!$M12),"")</f>
        <v>0.07777777777777778</v>
      </c>
      <c r="G12" t="str">
        <f>IFERROR(IF(OR($E12="",$F12=""),"",IF($E12&gt;=$F12,"High","Low")),"")</f>
        <v>High</v>
      </c>
      <c r="H12" s="12">
        <f>IFERROR(IF('Data'!$H12="","",'Data'!$H12),"")</f>
        <v>0.32774566473988437</v>
      </c>
      <c r="I12" s="14">
        <f>IFERROR(IF('Data'!$O12="","",'Data'!$O12),"")</f>
        <v>0.3558752289242039</v>
      </c>
      <c r="J12" t="str">
        <f>IFERROR(IF(OR($H12="",$I12=""),"",IF($H12&lt;=$I12,"Low","High")),"")</f>
        <v>Low</v>
      </c>
      <c r="K12" s="15" t="str">
        <f>IFERROR(IF(OR($G12="",$J12=""),"",IF(AND($G12="High",$J12="Low"),"Winner",IF(AND($G12="Low",$J12="High"),"Loser","Marginal"))),"")</f>
        <v>Winner</v>
      </c>
      <c r="L12" t="str">
        <f>IFERROR(IF($K12="","",IF($K12="Winner","Popular, with a food cost below its category's average.",IF($K12="Marginal","It meets only one of the two: either it sells, or its food cost is healthy.","Rarely ordered, with a food cost above its category."))),"")</f>
        <v>Popular, with a food cost below its category's average.</v>
      </c>
      <c r="M12" t="str">
        <f>IFERROR(IF($K12="","",IF($K12="Winner","Keep it and protect its cost card: it's the one that can absorb a supplier increase.",IF($K12="Marginal","Check the other readings before touching it: the problem is either price or menu placement.","Rework the recipe or take it off the menu."))),"")</f>
        <v>Keep it and protect its cost card: it's the one that can absorb a supplier increase.</v>
      </c>
    </row>
    <row r="13">
      <c r="A13" s="8" t="n">
        <v>9</v>
      </c>
      <c r="B13" t="str">
        <f>IFERROR(IF('Data'!$B13="","",'Data'!$B13),"")</f>
        <v>Confit cod in pil-pil sauce</v>
      </c>
      <c r="C13" t="str">
        <f>IFERROR(IF('Data'!$C13="","",'Data'!$C13),"")</f>
        <v>Mains</v>
      </c>
      <c r="D13" s="8">
        <f>IFERROR(IF('Data'!$D13="","",'Data'!$D13),"")</f>
        <v>190.0</v>
      </c>
      <c r="E13" s="14">
        <f>IFERROR(IF('Data'!$L13="","",'Data'!$L13),"")</f>
        <v>0.09405940594059406</v>
      </c>
      <c r="F13" s="14">
        <f>IFERROR(IF('Data'!$M13="","",'Data'!$M13),"")</f>
        <v>0.07777777777777778</v>
      </c>
      <c r="G13" t="str">
        <f>IFERROR(IF(OR($E13="",$F13=""),"",IF($E13&gt;=$F13,"High","Low")),"")</f>
        <v>High</v>
      </c>
      <c r="H13" s="12">
        <f>IFERROR(IF('Data'!$H13="","",'Data'!$H13),"")</f>
        <v>0.38743455497382195</v>
      </c>
      <c r="I13" s="14">
        <f>IFERROR(IF('Data'!$O13="","",'Data'!$O13),"")</f>
        <v>0.3558752289242039</v>
      </c>
      <c r="J13" t="str">
        <f>IFERROR(IF(OR($H13="",$I13=""),"",IF($H13&lt;=$I13,"Low","High")),"")</f>
        <v>High</v>
      </c>
      <c r="K13" s="15" t="str">
        <f>IFERROR(IF(OR($G13="",$J13=""),"",IF(AND($G13="High",$J13="Low"),"Winner",IF(AND($G13="Low",$J13="High"),"Loser","Marginal"))),"")</f>
        <v>Marginal</v>
      </c>
      <c r="L13" t="str">
        <f>IFERROR(IF($K13="","",IF($K13="Winner","Popular, with a food cost below its category's average.",IF($K13="Marginal","It meets only one of the two: either it sells, or its food cost is healthy.","Rarely ordered, with a food cost above its category."))),"")</f>
        <v>It meets only one of the two: either it sells, or its food cost is healthy.</v>
      </c>
      <c r="M13" t="str">
        <f>IFERROR(IF($K13="","",IF($K13="Winner","Keep it and protect its cost card: it's the one that can absorb a supplier increase.",IF($K13="Marginal","Check the other readings before touching it: the problem is either price or menu placement.","Rework the recipe or take it off the menu."))),"")</f>
        <v>Check the other readings before touching it: the problem is either price or menu placement.</v>
      </c>
    </row>
    <row r="14">
      <c r="A14" s="8" t="n">
        <v>10</v>
      </c>
      <c r="B14" t="str">
        <f>IFERROR(IF('Data'!$B14="","",'Data'!$B14),"")</f>
        <v>Dry-aged beef burger with fries</v>
      </c>
      <c r="C14" t="str">
        <f>IFERROR(IF('Data'!$C14="","",'Data'!$C14),"")</f>
        <v>Mains</v>
      </c>
      <c r="D14" s="8">
        <f>IFERROR(IF('Data'!$D14="","",'Data'!$D14),"")</f>
        <v>460.0</v>
      </c>
      <c r="E14" s="14">
        <f>IFERROR(IF('Data'!$L14="","",'Data'!$L14),"")</f>
        <v>0.22772277227722773</v>
      </c>
      <c r="F14" s="14">
        <f>IFERROR(IF('Data'!$M14="","",'Data'!$M14),"")</f>
        <v>0.07777777777777778</v>
      </c>
      <c r="G14" t="str">
        <f>IFERROR(IF(OR($E14="",$F14=""),"",IF($E14&gt;=$F14,"High","Low")),"")</f>
        <v>High</v>
      </c>
      <c r="H14" s="12">
        <f>IFERROR(IF('Data'!$H14="","",'Data'!$H14),"")</f>
        <v>0.3161764705882353</v>
      </c>
      <c r="I14" s="14">
        <f>IFERROR(IF('Data'!$O14="","",'Data'!$O14),"")</f>
        <v>0.3558752289242039</v>
      </c>
      <c r="J14" t="str">
        <f>IFERROR(IF(OR($H14="",$I14=""),"",IF($H14&lt;=$I14,"Low","High")),"")</f>
        <v>Low</v>
      </c>
      <c r="K14" s="15" t="str">
        <f>IFERROR(IF(OR($G14="",$J14=""),"",IF(AND($G14="High",$J14="Low"),"Winner",IF(AND($G14="Low",$J14="High"),"Loser","Marginal"))),"")</f>
        <v>Winner</v>
      </c>
      <c r="L14" t="str">
        <f>IFERROR(IF($K14="","",IF($K14="Winner","Popular, with a food cost below its category's average.",IF($K14="Marginal","It meets only one of the two: either it sells, or its food cost is healthy.","Rarely ordered, with a food cost above its category."))),"")</f>
        <v>Popular, with a food cost below its category's average.</v>
      </c>
      <c r="M14" t="str">
        <f>IFERROR(IF($K14="","",IF($K14="Winner","Keep it and protect its cost card: it's the one that can absorb a supplier increase.",IF($K14="Marginal","Check the other readings before touching it: the problem is either price or menu placement.","Rework the recipe or take it off the menu."))),"")</f>
        <v>Keep it and protect its cost card: it's the one that can absorb a supplier increase.</v>
      </c>
    </row>
    <row r="15">
      <c r="A15" s="8" t="n">
        <v>11</v>
      </c>
      <c r="B15" t="str">
        <f>IFERROR(IF('Data'!$B15="","",'Data'!$B15),"")</f>
        <v>Creamy rice with Iberico pork secreto and mushrooms</v>
      </c>
      <c r="C15" t="str">
        <f>IFERROR(IF('Data'!$C15="","",'Data'!$C15),"")</f>
        <v>Mains</v>
      </c>
      <c r="D15" s="8">
        <f>IFERROR(IF('Data'!$D15="","",'Data'!$D15),"")</f>
        <v>270.0</v>
      </c>
      <c r="E15" s="14">
        <f>IFERROR(IF('Data'!$L15="","",'Data'!$L15),"")</f>
        <v>0.13366336633663367</v>
      </c>
      <c r="F15" s="14">
        <f>IFERROR(IF('Data'!$M15="","",'Data'!$M15),"")</f>
        <v>0.07777777777777778</v>
      </c>
      <c r="G15" t="str">
        <f>IFERROR(IF(OR($E15="",$F15=""),"",IF($E15&gt;=$F15,"High","Low")),"")</f>
        <v>High</v>
      </c>
      <c r="H15" s="12">
        <f>IFERROR(IF('Data'!$H15="","",'Data'!$H15),"")</f>
        <v>0.37804878048780494</v>
      </c>
      <c r="I15" s="14">
        <f>IFERROR(IF('Data'!$O15="","",'Data'!$O15),"")</f>
        <v>0.3558752289242039</v>
      </c>
      <c r="J15" t="str">
        <f>IFERROR(IF(OR($H15="",$I15=""),"",IF($H15&lt;=$I15,"Low","High")),"")</f>
        <v>High</v>
      </c>
      <c r="K15" s="15" t="str">
        <f>IFERROR(IF(OR($G15="",$J15=""),"",IF(AND($G15="High",$J15="Low"),"Winner",IF(AND($G15="Low",$J15="High"),"Loser","Marginal"))),"")</f>
        <v>Marginal</v>
      </c>
      <c r="L15" t="str">
        <f>IFERROR(IF($K15="","",IF($K15="Winner","Popular, with a food cost below its category's average.",IF($K15="Marginal","It meets only one of the two: either it sells, or its food cost is healthy.","Rarely ordered, with a food cost above its category."))),"")</f>
        <v>It meets only one of the two: either it sells, or its food cost is healthy.</v>
      </c>
      <c r="M15" t="str">
        <f>IFERROR(IF($K15="","",IF($K15="Winner","Keep it and protect its cost card: it's the one that can absorb a supplier increase.",IF($K15="Marginal","Check the other readings before touching it: the problem is either price or menu placement.","Rework the recipe or take it off the menu."))),"")</f>
        <v>Check the other readings before touching it: the problem is either price or menu placement.</v>
      </c>
    </row>
    <row r="16">
      <c r="A16" s="8" t="n">
        <v>12</v>
      </c>
      <c r="B16" t="str">
        <f>IFERROR(IF('Data'!$B16="","",'Data'!$B16),"")</f>
        <v>Dry-aged bone-in ribeye (17.64 oz)</v>
      </c>
      <c r="C16" t="str">
        <f>IFERROR(IF('Data'!$C16="","",'Data'!$C16),"")</f>
        <v>Mains</v>
      </c>
      <c r="D16" s="8">
        <f>IFERROR(IF('Data'!$D16="","",'Data'!$D16),"")</f>
        <v>110.0</v>
      </c>
      <c r="E16" s="14">
        <f>IFERROR(IF('Data'!$L16="","",'Data'!$L16),"")</f>
        <v>0.054455445544554455</v>
      </c>
      <c r="F16" s="14">
        <f>IFERROR(IF('Data'!$M16="","",'Data'!$M16),"")</f>
        <v>0.07777777777777778</v>
      </c>
      <c r="G16" t="str">
        <f>IFERROR(IF(OR($E16="",$F16=""),"",IF($E16&gt;=$F16,"High","Low")),"")</f>
        <v>Low</v>
      </c>
      <c r="H16" s="12">
        <f>IFERROR(IF('Data'!$H16="","",'Data'!$H16),"")</f>
        <v>0.4525993883792049</v>
      </c>
      <c r="I16" s="14">
        <f>IFERROR(IF('Data'!$O16="","",'Data'!$O16),"")</f>
        <v>0.3558752289242039</v>
      </c>
      <c r="J16" t="str">
        <f>IFERROR(IF(OR($H16="",$I16=""),"",IF($H16&lt;=$I16,"Low","High")),"")</f>
        <v>High</v>
      </c>
      <c r="K16" s="15" t="str">
        <f>IFERROR(IF(OR($G16="",$J16=""),"",IF(AND($G16="High",$J16="Low"),"Winner",IF(AND($G16="Low",$J16="High"),"Loser","Marginal"))),"")</f>
        <v>Loser</v>
      </c>
      <c r="L16" t="str">
        <f>IFERROR(IF($K16="","",IF($K16="Winner","Popular, with a food cost below its category's average.",IF($K16="Marginal","It meets only one of the two: either it sells, or its food cost is healthy.","Rarely ordered, with a food cost above its category."))),"")</f>
        <v>Rarely ordered, with a food cost above its category.</v>
      </c>
      <c r="M16" t="str">
        <f>IFERROR(IF($K16="","",IF($K16="Winner","Keep it and protect its cost card: it's the one that can absorb a supplier increase.",IF($K16="Marginal","Check the other readings before touching it: the problem is either price or menu placement.","Rework the recipe or take it off the menu."))),"")</f>
        <v>Rework the recipe or take it off the menu.</v>
      </c>
    </row>
    <row r="17">
      <c r="A17" s="8" t="n">
        <v>13</v>
      </c>
      <c r="B17" t="str">
        <f>IFERROR(IF('Data'!$B17="","",'Data'!$B17),"")</f>
        <v>Salt-baked sea bass</v>
      </c>
      <c r="C17" t="str">
        <f>IFERROR(IF('Data'!$C17="","",'Data'!$C17),"")</f>
        <v>Mains</v>
      </c>
      <c r="D17" s="8">
        <f>IFERROR(IF('Data'!$D17="","",'Data'!$D17),"")</f>
        <v>80.0</v>
      </c>
      <c r="E17" s="14">
        <f>IFERROR(IF('Data'!$L17="","",'Data'!$L17),"")</f>
        <v>0.039603960396039604</v>
      </c>
      <c r="F17" s="14">
        <f>IFERROR(IF('Data'!$M17="","",'Data'!$M17),"")</f>
        <v>0.07777777777777778</v>
      </c>
      <c r="G17" t="str">
        <f>IFERROR(IF(OR($E17="",$F17=""),"",IF($E17&gt;=$F17,"High","Low")),"")</f>
        <v>Low</v>
      </c>
      <c r="H17" s="12">
        <f>IFERROR(IF('Data'!$H17="","",'Data'!$H17),"")</f>
        <v>0.40825688073394495</v>
      </c>
      <c r="I17" s="14">
        <f>IFERROR(IF('Data'!$O17="","",'Data'!$O17),"")</f>
        <v>0.3558752289242039</v>
      </c>
      <c r="J17" t="str">
        <f>IFERROR(IF(OR($H17="",$I17=""),"",IF($H17&lt;=$I17,"Low","High")),"")</f>
        <v>High</v>
      </c>
      <c r="K17" s="15" t="str">
        <f>IFERROR(IF(OR($G17="",$J17=""),"",IF(AND($G17="High",$J17="Low"),"Winner",IF(AND($G17="Low",$J17="High"),"Loser","Marginal"))),"")</f>
        <v>Loser</v>
      </c>
      <c r="L17" t="str">
        <f>IFERROR(IF($K17="","",IF($K17="Winner","Popular, with a food cost below its category's average.",IF($K17="Marginal","It meets only one of the two: either it sells, or its food cost is healthy.","Rarely ordered, with a food cost above its category."))),"")</f>
        <v>Rarely ordered, with a food cost above its category.</v>
      </c>
      <c r="M17" t="str">
        <f>IFERROR(IF($K17="","",IF($K17="Winner","Keep it and protect its cost card: it's the one that can absorb a supplier increase.",IF($K17="Marginal","Check the other readings before touching it: the problem is either price or menu placement.","Rework the recipe or take it off the menu."))),"")</f>
        <v>Rework the recipe or take it off the menu.</v>
      </c>
    </row>
    <row r="18">
      <c r="A18" s="8" t="n">
        <v>14</v>
      </c>
      <c r="B18" t="str">
        <f>IFERROR(IF('Data'!$B18="","",'Data'!$B18),"")</f>
        <v>Free-range roast chicken with potatoes</v>
      </c>
      <c r="C18" t="str">
        <f>IFERROR(IF('Data'!$C18="","",'Data'!$C18),"")</f>
        <v>Mains</v>
      </c>
      <c r="D18" s="8">
        <f>IFERROR(IF('Data'!$D18="","",'Data'!$D18),"")</f>
        <v>300.0</v>
      </c>
      <c r="E18" s="14">
        <f>IFERROR(IF('Data'!$L18="","",'Data'!$L18),"")</f>
        <v>0.1485148514851485</v>
      </c>
      <c r="F18" s="14">
        <f>IFERROR(IF('Data'!$M18="","",'Data'!$M18),"")</f>
        <v>0.07777777777777778</v>
      </c>
      <c r="G18" t="str">
        <f>IFERROR(IF(OR($E18="",$F18=""),"",IF($E18&gt;=$F18,"High","Low")),"")</f>
        <v>High</v>
      </c>
      <c r="H18" s="12">
        <f>IFERROR(IF('Data'!$H18="","",'Data'!$H18),"")</f>
        <v>0.2913385826771654</v>
      </c>
      <c r="I18" s="14">
        <f>IFERROR(IF('Data'!$O18="","",'Data'!$O18),"")</f>
        <v>0.3558752289242039</v>
      </c>
      <c r="J18" t="str">
        <f>IFERROR(IF(OR($H18="",$I18=""),"",IF($H18&lt;=$I18,"Low","High")),"")</f>
        <v>Low</v>
      </c>
      <c r="K18" s="15" t="str">
        <f>IFERROR(IF(OR($G18="",$J18=""),"",IF(AND($G18="High",$J18="Low"),"Winner",IF(AND($G18="Low",$J18="High"),"Loser","Marginal"))),"")</f>
        <v>Winner</v>
      </c>
      <c r="L18" t="str">
        <f>IFERROR(IF($K18="","",IF($K18="Winner","Popular, with a food cost below its category's average.",IF($K18="Marginal","It meets only one of the two: either it sells, or its food cost is healthy.","Rarely ordered, with a food cost above its category."))),"")</f>
        <v>Popular, with a food cost below its category's average.</v>
      </c>
      <c r="M18" t="str">
        <f>IFERROR(IF($K18="","",IF($K18="Winner","Keep it and protect its cost card: it's the one that can absorb a supplier increase.",IF($K18="Marginal","Check the other readings before touching it: the problem is either price or menu placement.","Rework the recipe or take it off the menu."))),"")</f>
        <v>Keep it and protect its cost card: it's the one that can absorb a supplier increase.</v>
      </c>
    </row>
    <row r="19">
      <c r="A19" s="8" t="n">
        <v>15</v>
      </c>
      <c r="B19" t="str">
        <f>IFERROR(IF('Data'!$B19="","",'Data'!$B19),"")</f>
        <v>Seasonal vegetable lasagna</v>
      </c>
      <c r="C19" t="str">
        <f>IFERROR(IF('Data'!$C19="","",'Data'!$C19),"")</f>
        <v>Mains</v>
      </c>
      <c r="D19" s="8">
        <f>IFERROR(IF('Data'!$D19="","",'Data'!$D19),"")</f>
        <v>140.0</v>
      </c>
      <c r="E19" s="14">
        <f>IFERROR(IF('Data'!$L19="","",'Data'!$L19),"")</f>
        <v>0.06930693069306931</v>
      </c>
      <c r="F19" s="14">
        <f>IFERROR(IF('Data'!$M19="","",'Data'!$M19),"")</f>
        <v>0.07777777777777778</v>
      </c>
      <c r="G19" t="str">
        <f>IFERROR(IF(OR($E19="",$F19=""),"",IF($E19&gt;=$F19,"High","Low")),"")</f>
        <v>Low</v>
      </c>
      <c r="H19" s="12">
        <f>IFERROR(IF('Data'!$H19="","",'Data'!$H19),"")</f>
        <v>0.22807017543859648</v>
      </c>
      <c r="I19" s="14">
        <f>IFERROR(IF('Data'!$O19="","",'Data'!$O19),"")</f>
        <v>0.3558752289242039</v>
      </c>
      <c r="J19" t="str">
        <f>IFERROR(IF(OR($H19="",$I19=""),"",IF($H19&lt;=$I19,"Low","High")),"")</f>
        <v>Low</v>
      </c>
      <c r="K19" s="15" t="str">
        <f>IFERROR(IF(OR($G19="",$J19=""),"",IF(AND($G19="High",$J19="Low"),"Winner",IF(AND($G19="Low",$J19="High"),"Loser","Marginal"))),"")</f>
        <v>Marginal</v>
      </c>
      <c r="L19" t="str">
        <f>IFERROR(IF($K19="","",IF($K19="Winner","Popular, with a food cost below its category's average.",IF($K19="Marginal","It meets only one of the two: either it sells, or its food cost is healthy.","Rarely ordered, with a food cost above its category."))),"")</f>
        <v>It meets only one of the two: either it sells, or its food cost is healthy.</v>
      </c>
      <c r="M19" t="str">
        <f>IFERROR(IF($K19="","",IF($K19="Winner","Keep it and protect its cost card: it's the one that can absorb a supplier increase.",IF($K19="Marginal","Check the other readings before touching it: the problem is either price or menu placement.","Rework the recipe or take it off the menu."))),"")</f>
        <v>Check the other readings before touching it: the problem is either price or menu placement.</v>
      </c>
    </row>
    <row r="20">
      <c r="A20" s="8" t="n">
        <v>16</v>
      </c>
      <c r="B20" t="str">
        <f>IFERROR(IF('Data'!$B20="","",'Data'!$B20),"")</f>
        <v>Seared bluefin tuna tataki with sesame</v>
      </c>
      <c r="C20" t="str">
        <f>IFERROR(IF('Data'!$C20="","",'Data'!$C20),"")</f>
        <v>Mains</v>
      </c>
      <c r="D20" s="8">
        <f>IFERROR(IF('Data'!$D20="","",'Data'!$D20),"")</f>
        <v>130.0</v>
      </c>
      <c r="E20" s="14">
        <f>IFERROR(IF('Data'!$L20="","",'Data'!$L20),"")</f>
        <v>0.06435643564356436</v>
      </c>
      <c r="F20" s="14">
        <f>IFERROR(IF('Data'!$M20="","",'Data'!$M20),"")</f>
        <v>0.07777777777777778</v>
      </c>
      <c r="G20" t="str">
        <f>IFERROR(IF(OR($E20="",$F20=""),"",IF($E20&gt;=$F20,"High","Low")),"")</f>
        <v>Low</v>
      </c>
      <c r="H20" s="12">
        <f>IFERROR(IF('Data'!$H20="","",'Data'!$H20),"")</f>
        <v>0.4285714285714286</v>
      </c>
      <c r="I20" s="14">
        <f>IFERROR(IF('Data'!$O20="","",'Data'!$O20),"")</f>
        <v>0.3558752289242039</v>
      </c>
      <c r="J20" t="str">
        <f>IFERROR(IF(OR($H20="",$I20=""),"",IF($H20&lt;=$I20,"Low","High")),"")</f>
        <v>High</v>
      </c>
      <c r="K20" s="15" t="str">
        <f>IFERROR(IF(OR($G20="",$J20=""),"",IF(AND($G20="High",$J20="Low"),"Winner",IF(AND($G20="Low",$J20="High"),"Loser","Marginal"))),"")</f>
        <v>Loser</v>
      </c>
      <c r="L20" t="str">
        <f>IFERROR(IF($K20="","",IF($K20="Winner","Popular, with a food cost below its category's average.",IF($K20="Marginal","It meets only one of the two: either it sells, or its food cost is healthy.","Rarely ordered, with a food cost above its category."))),"")</f>
        <v>Rarely ordered, with a food cost above its category.</v>
      </c>
      <c r="M20" t="str">
        <f>IFERROR(IF($K20="","",IF($K20="Winner","Keep it and protect its cost card: it's the one that can absorb a supplier increase.",IF($K20="Marginal","Check the other readings before touching it: the problem is either price or menu placement.","Rework the recipe or take it off the menu."))),"")</f>
        <v>Rework the recipe or take it off the menu.</v>
      </c>
    </row>
    <row r="21">
      <c r="A21" s="8" t="n">
        <v>17</v>
      </c>
      <c r="B21" t="str">
        <f>IFERROR(IF('Data'!$B21="","",'Data'!$B21),"")</f>
        <v>Creamy cheesecake</v>
      </c>
      <c r="C21" t="str">
        <f>IFERROR(IF('Data'!$C21="","",'Data'!$C21),"")</f>
        <v>Desserts</v>
      </c>
      <c r="D21" s="8">
        <f>IFERROR(IF('Data'!$D21="","",'Data'!$D21),"")</f>
        <v>520.0</v>
      </c>
      <c r="E21" s="14">
        <f>IFERROR(IF('Data'!$L21="","",'Data'!$L21),"")</f>
        <v>0.4642857142857143</v>
      </c>
      <c r="F21" s="14">
        <f>IFERROR(IF('Data'!$M21="","",'Data'!$M21),"")</f>
        <v>0.175</v>
      </c>
      <c r="G21" t="str">
        <f>IFERROR(IF(OR($E21="",$F21=""),"",IF($E21&gt;=$F21,"High","Low")),"")</f>
        <v>High</v>
      </c>
      <c r="H21" s="12">
        <f>IFERROR(IF('Data'!$H21="","",'Data'!$H21),"")</f>
        <v>0.22033898305084745</v>
      </c>
      <c r="I21" s="14">
        <f>IFERROR(IF('Data'!$O21="","",'Data'!$O21),"")</f>
        <v>0.2322985165927512</v>
      </c>
      <c r="J21" t="str">
        <f>IFERROR(IF(OR($H21="",$I21=""),"",IF($H21&lt;=$I21,"Low","High")),"")</f>
        <v>Low</v>
      </c>
      <c r="K21" s="15" t="str">
        <f>IFERROR(IF(OR($G21="",$J21=""),"",IF(AND($G21="High",$J21="Low"),"Winner",IF(AND($G21="Low",$J21="High"),"Loser","Marginal"))),"")</f>
        <v>Winner</v>
      </c>
      <c r="L21" t="str">
        <f>IFERROR(IF($K21="","",IF($K21="Winner","Popular, with a food cost below its category's average.",IF($K21="Marginal","It meets only one of the two: either it sells, or its food cost is healthy.","Rarely ordered, with a food cost above its category."))),"")</f>
        <v>Popular, with a food cost below its category's average.</v>
      </c>
      <c r="M21" t="str">
        <f>IFERROR(IF($K21="","",IF($K21="Winner","Keep it and protect its cost card: it's the one that can absorb a supplier increase.",IF($K21="Marginal","Check the other readings before touching it: the problem is either price or menu placement.","Rework the recipe or take it off the menu."))),"")</f>
        <v>Keep it and protect its cost card: it's the one that can absorb a supplier increase.</v>
      </c>
    </row>
    <row r="22">
      <c r="A22" s="8" t="n">
        <v>18</v>
      </c>
      <c r="B22" t="str">
        <f>IFERROR(IF('Data'!$B22="","",'Data'!$B22),"")</f>
        <v>Caramelized torrija with ice cream</v>
      </c>
      <c r="C22" t="str">
        <f>IFERROR(IF('Data'!$C22="","",'Data'!$C22),"")</f>
        <v>Desserts</v>
      </c>
      <c r="D22" s="8">
        <f>IFERROR(IF('Data'!$D22="","",'Data'!$D22),"")</f>
        <v>210.0</v>
      </c>
      <c r="E22" s="14">
        <f>IFERROR(IF('Data'!$L22="","",'Data'!$L22),"")</f>
        <v>0.1875</v>
      </c>
      <c r="F22" s="14">
        <f>IFERROR(IF('Data'!$M22="","",'Data'!$M22),"")</f>
        <v>0.175</v>
      </c>
      <c r="G22" t="str">
        <f>IFERROR(IF(OR($E22="",$F22=""),"",IF($E22&gt;=$F22,"High","Low")),"")</f>
        <v>High</v>
      </c>
      <c r="H22" s="12">
        <f>IFERROR(IF('Data'!$H22="","",'Data'!$H22),"")</f>
        <v>0.2</v>
      </c>
      <c r="I22" s="14">
        <f>IFERROR(IF('Data'!$O22="","",'Data'!$O22),"")</f>
        <v>0.2322985165927512</v>
      </c>
      <c r="J22" t="str">
        <f>IFERROR(IF(OR($H22="",$I22=""),"",IF($H22&lt;=$I22,"Low","High")),"")</f>
        <v>Low</v>
      </c>
      <c r="K22" s="15" t="str">
        <f>IFERROR(IF(OR($G22="",$J22=""),"",IF(AND($G22="High",$J22="Low"),"Winner",IF(AND($G22="Low",$J22="High"),"Loser","Marginal"))),"")</f>
        <v>Winner</v>
      </c>
      <c r="L22" t="str">
        <f>IFERROR(IF($K22="","",IF($K22="Winner","Popular, with a food cost below its category's average.",IF($K22="Marginal","It meets only one of the two: either it sells, or its food cost is healthy.","Rarely ordered, with a food cost above its category."))),"")</f>
        <v>Popular, with a food cost below its category's average.</v>
      </c>
      <c r="M22" t="str">
        <f>IFERROR(IF($K22="","",IF($K22="Winner","Keep it and protect its cost card: it's the one that can absorb a supplier increase.",IF($K22="Marginal","Check the other readings before touching it: the problem is either price or menu placement.","Rework the recipe or take it off the menu."))),"")</f>
        <v>Keep it and protect its cost card: it's the one that can absorb a supplier increase.</v>
      </c>
    </row>
    <row r="23">
      <c r="A23" s="8" t="n">
        <v>19</v>
      </c>
      <c r="B23" t="str">
        <f>IFERROR(IF('Data'!$B23="","",'Data'!$B23),"")</f>
        <v>Chocolate lava cake</v>
      </c>
      <c r="C23" t="str">
        <f>IFERROR(IF('Data'!$C23="","",'Data'!$C23),"")</f>
        <v>Desserts</v>
      </c>
      <c r="D23" s="8">
        <f>IFERROR(IF('Data'!$D23="","",'Data'!$D23),"")</f>
        <v>330.0</v>
      </c>
      <c r="E23" s="14">
        <f>IFERROR(IF('Data'!$L23="","",'Data'!$L23),"")</f>
        <v>0.29464285714285715</v>
      </c>
      <c r="F23" s="14">
        <f>IFERROR(IF('Data'!$M23="","",'Data'!$M23),"")</f>
        <v>0.175</v>
      </c>
      <c r="G23" t="str">
        <f>IFERROR(IF(OR($E23="",$F23=""),"",IF($E23&gt;=$F23,"High","Low")),"")</f>
        <v>High</v>
      </c>
      <c r="H23" s="12">
        <f>IFERROR(IF('Data'!$H23="","",'Data'!$H23),"")</f>
        <v>0.25806451612903225</v>
      </c>
      <c r="I23" s="14">
        <f>IFERROR(IF('Data'!$O23="","",'Data'!$O23),"")</f>
        <v>0.2322985165927512</v>
      </c>
      <c r="J23" t="str">
        <f>IFERROR(IF(OR($H23="",$I23=""),"",IF($H23&lt;=$I23,"Low","High")),"")</f>
        <v>High</v>
      </c>
      <c r="K23" s="15" t="str">
        <f>IFERROR(IF(OR($G23="",$J23=""),"",IF(AND($G23="High",$J23="Low"),"Winner",IF(AND($G23="Low",$J23="High"),"Loser","Marginal"))),"")</f>
        <v>Marginal</v>
      </c>
      <c r="L23" t="str">
        <f>IFERROR(IF($K23="","",IF($K23="Winner","Popular, with a food cost below its category's average.",IF($K23="Marginal","It meets only one of the two: either it sells, or its food cost is healthy.","Rarely ordered, with a food cost above its category."))),"")</f>
        <v>It meets only one of the two: either it sells, or its food cost is healthy.</v>
      </c>
      <c r="M23" t="str">
        <f>IFERROR(IF($K23="","",IF($K23="Winner","Keep it and protect its cost card: it's the one that can absorb a supplier increase.",IF($K23="Marginal","Check the other readings before touching it: the problem is either price or menu placement.","Rework the recipe or take it off the menu."))),"")</f>
        <v>Check the other readings before touching it: the problem is either price or menu placement.</v>
      </c>
    </row>
    <row r="24">
      <c r="A24" s="8" t="n">
        <v>20</v>
      </c>
      <c r="B24" t="str">
        <f>IFERROR(IF('Data'!$B24="","",'Data'!$B24),"")</f>
        <v>Prepared seasonal fruit</v>
      </c>
      <c r="C24" t="str">
        <f>IFERROR(IF('Data'!$C24="","",'Data'!$C24),"")</f>
        <v>Desserts</v>
      </c>
      <c r="D24" s="8">
        <f>IFERROR(IF('Data'!$D24="","",'Data'!$D24),"")</f>
        <v>60.0</v>
      </c>
      <c r="E24" s="14">
        <f>IFERROR(IF('Data'!$L24="","",'Data'!$L24),"")</f>
        <v>0.05357142857142857</v>
      </c>
      <c r="F24" s="14">
        <f>IFERROR(IF('Data'!$M24="","",'Data'!$M24),"")</f>
        <v>0.175</v>
      </c>
      <c r="G24" t="str">
        <f>IFERROR(IF(OR($E24="",$F24=""),"",IF($E24&gt;=$F24,"High","Low")),"")</f>
        <v>Low</v>
      </c>
      <c r="H24" s="12">
        <f>IFERROR(IF('Data'!$H24="","",'Data'!$H24),"")</f>
        <v>0.3111111111111111</v>
      </c>
      <c r="I24" s="14">
        <f>IFERROR(IF('Data'!$O24="","",'Data'!$O24),"")</f>
        <v>0.2322985165927512</v>
      </c>
      <c r="J24" t="str">
        <f>IFERROR(IF(OR($H24="",$I24=""),"",IF($H24&lt;=$I24,"Low","High")),"")</f>
        <v>High</v>
      </c>
      <c r="K24" s="15" t="str">
        <f>IFERROR(IF(OR($G24="",$J24=""),"",IF(AND($G24="High",$J24="Low"),"Winner",IF(AND($G24="Low",$J24="High"),"Loser","Marginal"))),"")</f>
        <v>Loser</v>
      </c>
      <c r="L24" t="str">
        <f>IFERROR(IF($K24="","",IF($K24="Winner","Popular, with a food cost below its category's average.",IF($K24="Marginal","It meets only one of the two: either it sells, or its food cost is healthy.","Rarely ordered, with a food cost above its category."))),"")</f>
        <v>Rarely ordered, with a food cost above its category.</v>
      </c>
      <c r="M24" t="str">
        <f>IFERROR(IF($K24="","",IF($K24="Winner","Keep it and protect its cost card: it's the one that can absorb a supplier increase.",IF($K24="Marginal","Check the other readings before touching it: the problem is either price or menu placement.","Rework the recipe or take it off the menu."))),"")</f>
        <v>Rework the recipe or take it off the menu.</v>
      </c>
    </row>
    <row r="25">
      <c r="A25" s="8" t="n">
        <v>21</v>
      </c>
      <c r="B25">
        <f>IFERROR(IF('Data'!$B25="","",'Data'!$B25),"")</f>
      </c>
      <c r="C25">
        <f>IFERROR(IF('Data'!$C25="","",'Data'!$C25),"")</f>
      </c>
      <c r="D25" s="8">
        <f>IFERROR(IF('Data'!$D25="","",'Data'!$D25),"")</f>
      </c>
      <c r="E25" s="14">
        <f>IFERROR(IF('Data'!$L25="","",'Data'!$L25),"")</f>
      </c>
      <c r="F25" s="14">
        <f>IFERROR(IF('Data'!$M25="","",'Data'!$M25),"")</f>
      </c>
      <c r="G25">
        <f>IFERROR(IF(OR($E25="",$F25=""),"",IF($E25&gt;=$F25,"High","Low")),"")</f>
      </c>
      <c r="H25" s="12">
        <f>IFERROR(IF('Data'!$H25="","",'Data'!$H25),"")</f>
      </c>
      <c r="I25" s="14">
        <f>IFERROR(IF('Data'!$O25="","",'Data'!$O25),"")</f>
      </c>
      <c r="J25">
        <f>IFERROR(IF(OR($H25="",$I25=""),"",IF($H25&lt;=$I25,"Low","High")),"")</f>
      </c>
      <c r="K25" s="15">
        <f>IFERROR(IF(OR($G25="",$J25=""),"",IF(AND($G25="High",$J25="Low"),"Winner",IF(AND($G25="Low",$J25="High"),"Loser","Marginal"))),"")</f>
      </c>
      <c r="L25">
        <f>IFERROR(IF($K25="","",IF($K25="Winner","Popular, with a food cost below its category's average.",IF($K25="Marginal","It meets only one of the two: either it sells, or its food cost is healthy.","Rarely ordered, with a food cost above its category."))),"")</f>
      </c>
      <c r="M25">
        <f>IFERROR(IF($K25="","",IF($K25="Winner","Keep it and protect its cost card: it's the one that can absorb a supplier increase.",IF($K25="Marginal","Check the other readings before touching it: the problem is either price or menu placement.","Rework the recipe or take it off the menu."))),"")</f>
      </c>
    </row>
    <row r="26">
      <c r="A26" s="8" t="n">
        <v>22</v>
      </c>
      <c r="B26">
        <f>IFERROR(IF('Data'!$B26="","",'Data'!$B26),"")</f>
      </c>
      <c r="C26">
        <f>IFERROR(IF('Data'!$C26="","",'Data'!$C26),"")</f>
      </c>
      <c r="D26" s="8">
        <f>IFERROR(IF('Data'!$D26="","",'Data'!$D26),"")</f>
      </c>
      <c r="E26" s="14">
        <f>IFERROR(IF('Data'!$L26="","",'Data'!$L26),"")</f>
      </c>
      <c r="F26" s="14">
        <f>IFERROR(IF('Data'!$M26="","",'Data'!$M26),"")</f>
      </c>
      <c r="G26">
        <f>IFERROR(IF(OR($E26="",$F26=""),"",IF($E26&gt;=$F26,"High","Low")),"")</f>
      </c>
      <c r="H26" s="12">
        <f>IFERROR(IF('Data'!$H26="","",'Data'!$H26),"")</f>
      </c>
      <c r="I26" s="14">
        <f>IFERROR(IF('Data'!$O26="","",'Data'!$O26),"")</f>
      </c>
      <c r="J26">
        <f>IFERROR(IF(OR($H26="",$I26=""),"",IF($H26&lt;=$I26,"Low","High")),"")</f>
      </c>
      <c r="K26" s="15">
        <f>IFERROR(IF(OR($G26="",$J26=""),"",IF(AND($G26="High",$J26="Low"),"Winner",IF(AND($G26="Low",$J26="High"),"Loser","Marginal"))),"")</f>
      </c>
      <c r="L26">
        <f>IFERROR(IF($K26="","",IF($K26="Winner","Popular, with a food cost below its category's average.",IF($K26="Marginal","It meets only one of the two: either it sells, or its food cost is healthy.","Rarely ordered, with a food cost above its category."))),"")</f>
      </c>
      <c r="M26">
        <f>IFERROR(IF($K26="","",IF($K26="Winner","Keep it and protect its cost card: it's the one that can absorb a supplier increase.",IF($K26="Marginal","Check the other readings before touching it: the problem is either price or menu placement.","Rework the recipe or take it off the menu."))),"")</f>
      </c>
    </row>
    <row r="27">
      <c r="A27" s="8" t="n">
        <v>23</v>
      </c>
      <c r="B27">
        <f>IFERROR(IF('Data'!$B27="","",'Data'!$B27),"")</f>
      </c>
      <c r="C27">
        <f>IFERROR(IF('Data'!$C27="","",'Data'!$C27),"")</f>
      </c>
      <c r="D27" s="8">
        <f>IFERROR(IF('Data'!$D27="","",'Data'!$D27),"")</f>
      </c>
      <c r="E27" s="14">
        <f>IFERROR(IF('Data'!$L27="","",'Data'!$L27),"")</f>
      </c>
      <c r="F27" s="14">
        <f>IFERROR(IF('Data'!$M27="","",'Data'!$M27),"")</f>
      </c>
      <c r="G27">
        <f>IFERROR(IF(OR($E27="",$F27=""),"",IF($E27&gt;=$F27,"High","Low")),"")</f>
      </c>
      <c r="H27" s="12">
        <f>IFERROR(IF('Data'!$H27="","",'Data'!$H27),"")</f>
      </c>
      <c r="I27" s="14">
        <f>IFERROR(IF('Data'!$O27="","",'Data'!$O27),"")</f>
      </c>
      <c r="J27">
        <f>IFERROR(IF(OR($H27="",$I27=""),"",IF($H27&lt;=$I27,"Low","High")),"")</f>
      </c>
      <c r="K27" s="15">
        <f>IFERROR(IF(OR($G27="",$J27=""),"",IF(AND($G27="High",$J27="Low"),"Winner",IF(AND($G27="Low",$J27="High"),"Loser","Marginal"))),"")</f>
      </c>
      <c r="L27">
        <f>IFERROR(IF($K27="","",IF($K27="Winner","Popular, with a food cost below its category's average.",IF($K27="Marginal","It meets only one of the two: either it sells, or its food cost is healthy.","Rarely ordered, with a food cost above its category."))),"")</f>
      </c>
      <c r="M27">
        <f>IFERROR(IF($K27="","",IF($K27="Winner","Keep it and protect its cost card: it's the one that can absorb a supplier increase.",IF($K27="Marginal","Check the other readings before touching it: the problem is either price or menu placement.","Rework the recipe or take it off the menu."))),"")</f>
      </c>
    </row>
    <row r="28">
      <c r="A28" s="8" t="n">
        <v>24</v>
      </c>
      <c r="B28">
        <f>IFERROR(IF('Data'!$B28="","",'Data'!$B28),"")</f>
      </c>
      <c r="C28">
        <f>IFERROR(IF('Data'!$C28="","",'Data'!$C28),"")</f>
      </c>
      <c r="D28" s="8">
        <f>IFERROR(IF('Data'!$D28="","",'Data'!$D28),"")</f>
      </c>
      <c r="E28" s="14">
        <f>IFERROR(IF('Data'!$L28="","",'Data'!$L28),"")</f>
      </c>
      <c r="F28" s="14">
        <f>IFERROR(IF('Data'!$M28="","",'Data'!$M28),"")</f>
      </c>
      <c r="G28">
        <f>IFERROR(IF(OR($E28="",$F28=""),"",IF($E28&gt;=$F28,"High","Low")),"")</f>
      </c>
      <c r="H28" s="12">
        <f>IFERROR(IF('Data'!$H28="","",'Data'!$H28),"")</f>
      </c>
      <c r="I28" s="14">
        <f>IFERROR(IF('Data'!$O28="","",'Data'!$O28),"")</f>
      </c>
      <c r="J28">
        <f>IFERROR(IF(OR($H28="",$I28=""),"",IF($H28&lt;=$I28,"Low","High")),"")</f>
      </c>
      <c r="K28" s="15">
        <f>IFERROR(IF(OR($G28="",$J28=""),"",IF(AND($G28="High",$J28="Low"),"Winner",IF(AND($G28="Low",$J28="High"),"Loser","Marginal"))),"")</f>
      </c>
      <c r="L28">
        <f>IFERROR(IF($K28="","",IF($K28="Winner","Popular, with a food cost below its category's average.",IF($K28="Marginal","It meets only one of the two: either it sells, or its food cost is healthy.","Rarely ordered, with a food cost above its category."))),"")</f>
      </c>
      <c r="M28">
        <f>IFERROR(IF($K28="","",IF($K28="Winner","Keep it and protect its cost card: it's the one that can absorb a supplier increase.",IF($K28="Marginal","Check the other readings before touching it: the problem is either price or menu placement.","Rework the recipe or take it off the menu."))),"")</f>
      </c>
    </row>
    <row r="29">
      <c r="A29" s="8" t="n">
        <v>25</v>
      </c>
      <c r="B29">
        <f>IFERROR(IF('Data'!$B29="","",'Data'!$B29),"")</f>
      </c>
      <c r="C29">
        <f>IFERROR(IF('Data'!$C29="","",'Data'!$C29),"")</f>
      </c>
      <c r="D29" s="8">
        <f>IFERROR(IF('Data'!$D29="","",'Data'!$D29),"")</f>
      </c>
      <c r="E29" s="14">
        <f>IFERROR(IF('Data'!$L29="","",'Data'!$L29),"")</f>
      </c>
      <c r="F29" s="14">
        <f>IFERROR(IF('Data'!$M29="","",'Data'!$M29),"")</f>
      </c>
      <c r="G29">
        <f>IFERROR(IF(OR($E29="",$F29=""),"",IF($E29&gt;=$F29,"High","Low")),"")</f>
      </c>
      <c r="H29" s="12">
        <f>IFERROR(IF('Data'!$H29="","",'Data'!$H29),"")</f>
      </c>
      <c r="I29" s="14">
        <f>IFERROR(IF('Data'!$O29="","",'Data'!$O29),"")</f>
      </c>
      <c r="J29">
        <f>IFERROR(IF(OR($H29="",$I29=""),"",IF($H29&lt;=$I29,"Low","High")),"")</f>
      </c>
      <c r="K29" s="15">
        <f>IFERROR(IF(OR($G29="",$J29=""),"",IF(AND($G29="High",$J29="Low"),"Winner",IF(AND($G29="Low",$J29="High"),"Loser","Marginal"))),"")</f>
      </c>
      <c r="L29">
        <f>IFERROR(IF($K29="","",IF($K29="Winner","Popular, with a food cost below its category's average.",IF($K29="Marginal","It meets only one of the two: either it sells, or its food cost is healthy.","Rarely ordered, with a food cost above its category."))),"")</f>
      </c>
      <c r="M29">
        <f>IFERROR(IF($K29="","",IF($K29="Winner","Keep it and protect its cost card: it's the one that can absorb a supplier increase.",IF($K29="Marginal","Check the other readings before touching it: the problem is either price or menu placement.","Rework the recipe or take it off the menu."))),"")</f>
      </c>
    </row>
    <row r="30"/>
    <row r="31">
      <c r="A31" s="15" t="inlineStr">
        <is>
          <t>SUMMARY — calculated by the workbook</t>
        </is>
      </c>
    </row>
    <row r="32" ht="34" customHeight="1">
      <c r="B32" s="7" t="inlineStr">
        <is>
          <t>Classification</t>
        </is>
      </c>
      <c r="C32" s="7" t="inlineStr">
        <is>
          <t>Dishes</t>
        </is>
      </c>
      <c r="D32" s="7" t="inlineStr">
        <is>
          <t>Units sold</t>
        </is>
      </c>
      <c r="E32" s="7" t="inlineStr">
        <is>
          <t>% of menu units</t>
        </is>
      </c>
      <c r="F32" s="7" t="inlineStr">
        <is>
          <t>Weighted avg food cost of the group (%)</t>
        </is>
      </c>
    </row>
    <row r="33">
      <c r="B33" s="15" t="inlineStr">
        <is>
          <t>Winner</t>
        </is>
      </c>
      <c r="C33" s="8">
        <f>COUNTIF($K$5:$K$29,$B33)</f>
        <v>8.0</v>
      </c>
      <c r="D33" s="8">
        <f>IFERROR(SUMIF($K$5:$K$29,$B33,$D$5:$D$29),"")</f>
        <v>2940.0</v>
      </c>
      <c r="E33" s="14">
        <f>IFERROR(IF(SUM($D$5:$D$29)=0,"",$D33/SUM($D$5:$D$29)),"")</f>
        <v>0.6036960985626283</v>
      </c>
      <c r="F33" s="14">
        <f>IFERROR(IF($D33=0,"",SUMPRODUCT(--($K$5:$K$29=$B33),$D$5:$D$29,$H$5:$H$29)/$D33),"")</f>
        <v>0.26906400805539443</v>
      </c>
    </row>
    <row r="34">
      <c r="B34" s="15" t="inlineStr">
        <is>
          <t>Marginal</t>
        </is>
      </c>
      <c r="C34" s="8">
        <f>COUNTIF($K$5:$K$29,$B34)</f>
        <v>7.0</v>
      </c>
      <c r="D34" s="8">
        <f>IFERROR(SUMIF($K$5:$K$29,$B34,$D$5:$D$29),"")</f>
        <v>1460.0</v>
      </c>
      <c r="E34" s="14">
        <f>IFERROR(IF(SUM($D$5:$D$29)=0,"",$D34/SUM($D$5:$D$29)),"")</f>
        <v>0.2997946611909651</v>
      </c>
      <c r="F34" s="14">
        <f>IFERROR(IF($D34=0,"",SUMPRODUCT(--($K$5:$K$29=$B34),$D$5:$D$29,$H$5:$H$29)/$D34),"")</f>
        <v>0.3203063198024391</v>
      </c>
    </row>
    <row r="35">
      <c r="B35" s="15" t="inlineStr">
        <is>
          <t>Loser</t>
        </is>
      </c>
      <c r="C35" s="8">
        <f>COUNTIF($K$5:$K$29,$B35)</f>
        <v>5.0</v>
      </c>
      <c r="D35" s="8">
        <f>IFERROR(SUMIF($K$5:$K$29,$B35,$D$5:$D$29),"")</f>
        <v>470.0</v>
      </c>
      <c r="E35" s="14">
        <f>IFERROR(IF(SUM($D$5:$D$29)=0,"",$D35/SUM($D$5:$D$29)),"")</f>
        <v>0.09650924024640657</v>
      </c>
      <c r="F35" s="14">
        <f>IFERROR(IF($D35=0,"",SUMPRODUCT(--($K$5:$K$29=$B35),$D$5:$D$29,$H$5:$H$29)/$D35),"")</f>
        <v>0.4068919154622614</v>
      </c>
    </row>
  </sheetData>
  <sheetProtection selectLockedCells="0" selectUnlockedCells="0" sheet="1" objects="0" insertRows="0" insertHyperlinks="1" autoFilter="1" scenarios="0" formatColumns="0" deleteColumns="1" insertColumns="1" pivotTables="1" deleteRows="1" formatCells="1" formatRows="0" sort="0"/>
  <conditionalFormatting sqref="K5:K29">
    <cfRule type="cellIs" priority="1" operator="equal" dxfId="0" stopIfTrue="1">
      <formula>"Winner"</formula>
    </cfRule>
    <cfRule type="cellIs" priority="2" operator="equal" dxfId="1" stopIfTrue="1">
      <formula>"Marginal"</formula>
    </cfRule>
    <cfRule type="cellIs" priority="3" operator="equal" dxfId="2" stopIfTrue="1">
      <formula>"Loser"</formula>
    </cfRule>
  </conditionalFormatting>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M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2" customWidth="1" min="4" max="4"/>
    <col width="12" customWidth="1" min="5" max="5"/>
    <col width="15" customWidth="1" min="6" max="6"/>
    <col width="12" customWidth="1" min="7" max="7"/>
    <col width="14" customWidth="1" min="8" max="8"/>
    <col width="15" customWidth="1" min="9" max="9"/>
    <col width="13" customWidth="1" min="10" max="10"/>
    <col width="14" customWidth="1" min="11" max="11"/>
    <col width="46" customWidth="1" min="12" max="12"/>
    <col width="42" customWidth="1" min="13" max="13"/>
  </cols>
  <sheetData>
    <row r="1">
      <c r="A1" s="1" t="inlineStr">
        <is>
          <t>Pavesic — food cost % × margin weighted by units</t>
        </is>
      </c>
    </row>
    <row r="2">
      <c r="A2" s="2" t="inlineStr">
        <is>
          <t>AI Chef Pro · aichef.pro — Food Cost + Menu Engineering Guide</t>
        </is>
      </c>
    </row>
    <row r="3">
      <c r="E3" s="6" t="inlineStr">
        <is>
          <t>Weighted margin (CM × units) measures how much money the dish brings to the total, not how much it leaves per unit.</t>
        </is>
      </c>
    </row>
    <row r="4" ht="46" customHeight="1">
      <c r="A4" s="7" t="inlineStr">
        <is>
          <t>#</t>
        </is>
      </c>
      <c r="B4" s="7" t="inlineStr">
        <is>
          <t>Dish</t>
        </is>
      </c>
      <c r="C4" s="7" t="inlineStr">
        <is>
          <t>Category</t>
        </is>
      </c>
      <c r="D4" s="7" t="inlineStr">
        <is>
          <t>Units sold</t>
        </is>
      </c>
      <c r="E4" s="7" t="inlineStr">
        <is>
          <t>Dish food cost (%)</t>
        </is>
      </c>
      <c r="F4" s="7" t="inlineStr">
        <is>
          <t>Category weighted avg food cost (%)</t>
        </is>
      </c>
      <c r="G4" s="7" t="inlineStr">
        <is>
          <t>Food cost level</t>
        </is>
      </c>
      <c r="H4" s="7" t="inlineStr">
        <is>
          <t>Weighted CM: CM × units</t>
        </is>
      </c>
      <c r="I4" s="7" t="inlineStr">
        <is>
          <t>Category average of weighted CM</t>
        </is>
      </c>
      <c r="J4" s="7" t="inlineStr">
        <is>
          <t>Weighted CM level</t>
        </is>
      </c>
      <c r="K4" s="7" t="inlineStr">
        <is>
          <t>Classification</t>
        </is>
      </c>
      <c r="L4" s="7" t="inlineStr">
        <is>
          <t>What it means</t>
        </is>
      </c>
      <c r="M4" s="7" t="inlineStr">
        <is>
          <t>Recommended action</t>
        </is>
      </c>
    </row>
    <row r="5">
      <c r="A5" s="8" t="n">
        <v>1</v>
      </c>
      <c r="B5" t="str">
        <f>IFERROR(IF('Data'!$B5="","",'Data'!$B5),"")</f>
        <v>Iberico ham croquettes (6 pcs)</v>
      </c>
      <c r="C5" t="str">
        <f>IFERROR(IF('Data'!$C5="","",'Data'!$C5),"")</f>
        <v>Starters</v>
      </c>
      <c r="D5" s="8">
        <f>IFERROR(IF('Data'!$D5="","",'Data'!$D5),"")</f>
        <v>420.0</v>
      </c>
      <c r="E5" s="14">
        <f>IFERROR(IF('Data'!$H5="","",'Data'!$H5),"")</f>
        <v>0.24418604651162792</v>
      </c>
      <c r="F5" s="14">
        <f>IFERROR(IF('Data'!$O5="","",'Data'!$O5),"")</f>
        <v>0.3071474565357373</v>
      </c>
      <c r="G5" t="str">
        <f>IFERROR(IF(OR($E5="",$F5=""),"",IF($E5&lt;=$F5,"Low","High")),"")</f>
        <v>Low</v>
      </c>
      <c r="H5" s="11">
        <f>IFERROR(IF('Data'!$P5="","",'Data'!$P5),"")</f>
        <v>2730.0</v>
      </c>
      <c r="I5" s="13">
        <f>IFERROR(IF('Data'!$Q5="","",'Data'!$Q5),"")</f>
        <v>1844.5714285714287</v>
      </c>
      <c r="J5" t="str">
        <f>IFERROR(IF(OR($H5="",$I5=""),"",IF($H5&gt;=$I5,"High","Low")),"")</f>
        <v>High</v>
      </c>
      <c r="K5" s="15" t="str">
        <f>IFERROR(IF(OR($G5="",$J5=""),"",IF(AND($G5="Low",$J5="High"),"Prime",IF(AND($G5="High",$J5="High"),"Standard",IF(AND($G5="Low",$J5="Low"),"Sleeper","Problem")))),"")</f>
        <v>Prime</v>
      </c>
      <c r="L5" t="str">
        <f>IFERROR(IF($K5="","",IF($K5="Prime","Low food cost and it brings a lot of margin in dollars to the total.",IF($K5="Standard","It brings a lot of margin in dollars despite a high food cost.",IF($K5="Sleeper","Healthy food cost, but it brings little margin in dollars to the total.","High food cost and it brings little margin in dollars to the total.")))),"")</f>
        <v>Low food cost and it brings a lot of margin in dollars to the total.</v>
      </c>
      <c r="M5" t="str">
        <f>IFERROR(IF($K5="","",IF($K5="Prime","Keep it and promote it: this is where the category's money is.",IF($K5="Standard","Watch its cost card: it wins on volume, not on efficiency.",IF($K5="Sleeper","Give it visibility: the margin is there, it just needs to be ordered.","Rework the recipe or take it off the menu.")))),"")</f>
        <v>Keep it and promote it: this is where the category's money is.</v>
      </c>
    </row>
    <row r="6">
      <c r="A6" s="8" t="n">
        <v>2</v>
      </c>
      <c r="B6" t="str">
        <f>IFERROR(IF('Data'!$B6="","",'Data'!$B6),"")</f>
        <v>Heirloom tomato salad with tuna belly and scallions</v>
      </c>
      <c r="C6" t="str">
        <f>IFERROR(IF('Data'!$C6="","",'Data'!$C6),"")</f>
        <v>Starters</v>
      </c>
      <c r="D6" s="8">
        <f>IFERROR(IF('Data'!$D6="","",'Data'!$D6),"")</f>
        <v>310.0</v>
      </c>
      <c r="E6" s="14">
        <f>IFERROR(IF('Data'!$H6="","",'Data'!$H6),"")</f>
        <v>0.30508474576271183</v>
      </c>
      <c r="F6" s="14">
        <f>IFERROR(IF('Data'!$O6="","",'Data'!$O6),"")</f>
        <v>0.3071474565357373</v>
      </c>
      <c r="G6" t="str">
        <f>IFERROR(IF(OR($E6="",$F6=""),"",IF($E6&lt;=$F6,"Low","High")),"")</f>
        <v>Low</v>
      </c>
      <c r="H6" s="11">
        <f>IFERROR(IF('Data'!$P6="","",'Data'!$P6),"")</f>
        <v>2542.0000000000005</v>
      </c>
      <c r="I6" s="13">
        <f>IFERROR(IF('Data'!$Q6="","",'Data'!$Q6),"")</f>
        <v>1844.5714285714287</v>
      </c>
      <c r="J6" t="str">
        <f>IFERROR(IF(OR($H6="",$I6=""),"",IF($H6&gt;=$I6,"High","Low")),"")</f>
        <v>High</v>
      </c>
      <c r="K6" s="15" t="str">
        <f>IFERROR(IF(OR($G6="",$J6=""),"",IF(AND($G6="Low",$J6="High"),"Prime",IF(AND($G6="High",$J6="High"),"Standard",IF(AND($G6="Low",$J6="Low"),"Sleeper","Problem")))),"")</f>
        <v>Prime</v>
      </c>
      <c r="L6" t="str">
        <f>IFERROR(IF($K6="","",IF($K6="Prime","Low food cost and it brings a lot of margin in dollars to the total.",IF($K6="Standard","It brings a lot of margin in dollars despite a high food cost.",IF($K6="Sleeper","Healthy food cost, but it brings little margin in dollars to the total.","High food cost and it brings little margin in dollars to the total.")))),"")</f>
        <v>Low food cost and it brings a lot of margin in dollars to the total.</v>
      </c>
      <c r="M6" t="str">
        <f>IFERROR(IF($K6="","",IF($K6="Prime","Keep it and promote it: this is where the category's money is.",IF($K6="Standard","Watch its cost card: it wins on volume, not on efficiency.",IF($K6="Sleeper","Give it visibility: the margin is there, it just needs to be ordered.","Rework the recipe or take it off the menu.")))),"")</f>
        <v>Keep it and promote it: this is where the category's money is.</v>
      </c>
    </row>
    <row r="7">
      <c r="A7" s="8" t="n">
        <v>3</v>
      </c>
      <c r="B7" t="str">
        <f>IFERROR(IF('Data'!$B7="","",'Data'!$B7),"")</f>
        <v>Garlic shrimp</v>
      </c>
      <c r="C7" t="str">
        <f>IFERROR(IF('Data'!$C7="","",'Data'!$C7),"")</f>
        <v>Starters</v>
      </c>
      <c r="D7" s="8">
        <f>IFERROR(IF('Data'!$D7="","",'Data'!$D7),"")</f>
        <v>260.0</v>
      </c>
      <c r="E7" s="14">
        <f>IFERROR(IF('Data'!$H7="","",'Data'!$H7),"")</f>
        <v>0.44516129032258067</v>
      </c>
      <c r="F7" s="14">
        <f>IFERROR(IF('Data'!$O7="","",'Data'!$O7),"")</f>
        <v>0.3071474565357373</v>
      </c>
      <c r="G7" t="str">
        <f>IFERROR(IF(OR($E7="",$F7=""),"",IF($E7&lt;=$F7,"Low","High")),"")</f>
        <v>High</v>
      </c>
      <c r="H7" s="11">
        <f>IFERROR(IF('Data'!$P7="","",'Data'!$P7),"")</f>
        <v>2236.0</v>
      </c>
      <c r="I7" s="13">
        <f>IFERROR(IF('Data'!$Q7="","",'Data'!$Q7),"")</f>
        <v>1844.5714285714287</v>
      </c>
      <c r="J7" t="str">
        <f>IFERROR(IF(OR($H7="",$I7=""),"",IF($H7&gt;=$I7,"High","Low")),"")</f>
        <v>High</v>
      </c>
      <c r="K7" s="15" t="str">
        <f>IFERROR(IF(OR($G7="",$J7=""),"",IF(AND($G7="Low",$J7="High"),"Prime",IF(AND($G7="High",$J7="High"),"Standard",IF(AND($G7="Low",$J7="Low"),"Sleeper","Problem")))),"")</f>
        <v>Standard</v>
      </c>
      <c r="L7" t="str">
        <f>IFERROR(IF($K7="","",IF($K7="Prime","Low food cost and it brings a lot of margin in dollars to the total.",IF($K7="Standard","It brings a lot of margin in dollars despite a high food cost.",IF($K7="Sleeper","Healthy food cost, but it brings little margin in dollars to the total.","High food cost and it brings little margin in dollars to the total.")))),"")</f>
        <v>It brings a lot of margin in dollars despite a high food cost.</v>
      </c>
      <c r="M7" t="str">
        <f>IFERROR(IF($K7="","",IF($K7="Prime","Keep it and promote it: this is where the category's money is.",IF($K7="Standard","Watch its cost card: it wins on volume, not on efficiency.",IF($K7="Sleeper","Give it visibility: the margin is there, it just needs to be ordered.","Rework the recipe or take it off the menu.")))),"")</f>
        <v>Watch its cost card: it wins on volume, not on efficiency.</v>
      </c>
    </row>
    <row r="8">
      <c r="A8" s="8" t="n">
        <v>4</v>
      </c>
      <c r="B8" t="str">
        <f>IFERROR(IF('Data'!$B8="","",'Data'!$B8),"")</f>
        <v>Broken eggs with potatoes and chistorra sausage</v>
      </c>
      <c r="C8" t="str">
        <f>IFERROR(IF('Data'!$C8="","",'Data'!$C8),"")</f>
        <v>Starters</v>
      </c>
      <c r="D8" s="8">
        <f>IFERROR(IF('Data'!$D8="","",'Data'!$D8),"")</f>
        <v>380.0</v>
      </c>
      <c r="E8" s="14">
        <f>IFERROR(IF('Data'!$H8="","",'Data'!$H8),"")</f>
        <v>0.24489795918367344</v>
      </c>
      <c r="F8" s="14">
        <f>IFERROR(IF('Data'!$O8="","",'Data'!$O8),"")</f>
        <v>0.3071474565357373</v>
      </c>
      <c r="G8" t="str">
        <f>IFERROR(IF(OR($E8="",$F8=""),"",IF($E8&lt;=$F8,"Low","High")),"")</f>
        <v>Low</v>
      </c>
      <c r="H8" s="11">
        <f>IFERROR(IF('Data'!$P8="","",'Data'!$P8),"")</f>
        <v>2812.0</v>
      </c>
      <c r="I8" s="13">
        <f>IFERROR(IF('Data'!$Q8="","",'Data'!$Q8),"")</f>
        <v>1844.5714285714287</v>
      </c>
      <c r="J8" t="str">
        <f>IFERROR(IF(OR($H8="",$I8=""),"",IF($H8&gt;=$I8,"High","Low")),"")</f>
        <v>High</v>
      </c>
      <c r="K8" s="15" t="str">
        <f>IFERROR(IF(OR($G8="",$J8=""),"",IF(AND($G8="Low",$J8="High"),"Prime",IF(AND($G8="High",$J8="High"),"Standard",IF(AND($G8="Low",$J8="Low"),"Sleeper","Problem")))),"")</f>
        <v>Prime</v>
      </c>
      <c r="L8" t="str">
        <f>IFERROR(IF($K8="","",IF($K8="Prime","Low food cost and it brings a lot of margin in dollars to the total.",IF($K8="Standard","It brings a lot of margin in dollars despite a high food cost.",IF($K8="Sleeper","Healthy food cost, but it brings little margin in dollars to the total.","High food cost and it brings little margin in dollars to the total.")))),"")</f>
        <v>Low food cost and it brings a lot of margin in dollars to the total.</v>
      </c>
      <c r="M8" t="str">
        <f>IFERROR(IF($K8="","",IF($K8="Prime","Keep it and promote it: this is where the category's money is.",IF($K8="Standard","Watch its cost card: it wins on volume, not on efficiency.",IF($K8="Sleeper","Give it visibility: the margin is there, it just needs to be ordered.","Rework the recipe or take it off the menu.")))),"")</f>
        <v>Keep it and promote it: this is where the category's money is.</v>
      </c>
    </row>
    <row r="9">
      <c r="A9" s="8" t="n">
        <v>5</v>
      </c>
      <c r="B9" t="str">
        <f>IFERROR(IF('Data'!$B9="","",'Data'!$B9),"")</f>
        <v>Local cheese board</v>
      </c>
      <c r="C9" t="str">
        <f>IFERROR(IF('Data'!$C9="","",'Data'!$C9),"")</f>
        <v>Starters</v>
      </c>
      <c r="D9" s="8">
        <f>IFERROR(IF('Data'!$D9="","",'Data'!$D9),"")</f>
        <v>90.0</v>
      </c>
      <c r="E9" s="14">
        <f>IFERROR(IF('Data'!$H9="","",'Data'!$H9),"")</f>
        <v>0.3823529411764706</v>
      </c>
      <c r="F9" s="14">
        <f>IFERROR(IF('Data'!$O9="","",'Data'!$O9),"")</f>
        <v>0.3071474565357373</v>
      </c>
      <c r="G9" t="str">
        <f>IFERROR(IF(OR($E9="",$F9=""),"",IF($E9&lt;=$F9,"Low","High")),"")</f>
        <v>High</v>
      </c>
      <c r="H9" s="11">
        <f>IFERROR(IF('Data'!$P9="","",'Data'!$P9),"")</f>
        <v>755.9999999999999</v>
      </c>
      <c r="I9" s="13">
        <f>IFERROR(IF('Data'!$Q9="","",'Data'!$Q9),"")</f>
        <v>1844.5714285714287</v>
      </c>
      <c r="J9" t="str">
        <f>IFERROR(IF(OR($H9="",$I9=""),"",IF($H9&gt;=$I9,"High","Low")),"")</f>
        <v>Low</v>
      </c>
      <c r="K9" s="15" t="str">
        <f>IFERROR(IF(OR($G9="",$J9=""),"",IF(AND($G9="Low",$J9="High"),"Prime",IF(AND($G9="High",$J9="High"),"Standard",IF(AND($G9="Low",$J9="Low"),"Sleeper","Problem")))),"")</f>
        <v>Problem</v>
      </c>
      <c r="L9" t="str">
        <f>IFERROR(IF($K9="","",IF($K9="Prime","Low food cost and it brings a lot of margin in dollars to the total.",IF($K9="Standard","It brings a lot of margin in dollars despite a high food cost.",IF($K9="Sleeper","Healthy food cost, but it brings little margin in dollars to the total.","High food cost and it brings little margin in dollars to the total.")))),"")</f>
        <v>High food cost and it brings little margin in dollars to the total.</v>
      </c>
      <c r="M9" t="str">
        <f>IFERROR(IF($K9="","",IF($K9="Prime","Keep it and promote it: this is where the category's money is.",IF($K9="Standard","Watch its cost card: it wins on volume, not on efficiency.",IF($K9="Sleeper","Give it visibility: the margin is there, it just needs to be ordered.","Rework the recipe or take it off the menu.")))),"")</f>
        <v>Rework the recipe or take it off the menu.</v>
      </c>
    </row>
    <row r="10">
      <c r="A10" s="8" t="n">
        <v>6</v>
      </c>
      <c r="B10" t="str">
        <f>IFERROR(IF('Data'!$B10="","",'Data'!$B10),"")</f>
        <v>Confit artichokes with ham</v>
      </c>
      <c r="C10" t="str">
        <f>IFERROR(IF('Data'!$C10="","",'Data'!$C10),"")</f>
        <v>Starters</v>
      </c>
      <c r="D10" s="8">
        <f>IFERROR(IF('Data'!$D10="","",'Data'!$D10),"")</f>
        <v>120.0</v>
      </c>
      <c r="E10" s="14">
        <f>IFERROR(IF('Data'!$H10="","",'Data'!$H10),"")</f>
        <v>0.28440366972477066</v>
      </c>
      <c r="F10" s="14">
        <f>IFERROR(IF('Data'!$O10="","",'Data'!$O10),"")</f>
        <v>0.3071474565357373</v>
      </c>
      <c r="G10" t="str">
        <f>IFERROR(IF(OR($E10="",$F10=""),"",IF($E10&lt;=$F10,"Low","High")),"")</f>
        <v>Low</v>
      </c>
      <c r="H10" s="11">
        <f>IFERROR(IF('Data'!$P10="","",'Data'!$P10),"")</f>
        <v>936.0000000000001</v>
      </c>
      <c r="I10" s="13">
        <f>IFERROR(IF('Data'!$Q10="","",'Data'!$Q10),"")</f>
        <v>1844.5714285714287</v>
      </c>
      <c r="J10" t="str">
        <f>IFERROR(IF(OR($H10="",$I10=""),"",IF($H10&gt;=$I10,"High","Low")),"")</f>
        <v>Low</v>
      </c>
      <c r="K10" s="15" t="str">
        <f>IFERROR(IF(OR($G10="",$J10=""),"",IF(AND($G10="Low",$J10="High"),"Prime",IF(AND($G10="High",$J10="High"),"Standard",IF(AND($G10="Low",$J10="Low"),"Sleeper","Problem")))),"")</f>
        <v>Sleeper</v>
      </c>
      <c r="L10" t="str">
        <f>IFERROR(IF($K10="","",IF($K10="Prime","Low food cost and it brings a lot of margin in dollars to the total.",IF($K10="Standard","It brings a lot of margin in dollars despite a high food cost.",IF($K10="Sleeper","Healthy food cost, but it brings little margin in dollars to the total.","High food cost and it brings little margin in dollars to the total.")))),"")</f>
        <v>Healthy food cost, but it brings little margin in dollars to the total.</v>
      </c>
      <c r="M10" t="str">
        <f>IFERROR(IF($K10="","",IF($K10="Prime","Keep it and promote it: this is where the category's money is.",IF($K10="Standard","Watch its cost card: it wins on volume, not on efficiency.",IF($K10="Sleeper","Give it visibility: the margin is there, it just needs to be ordered.","Rework the recipe or take it off the menu.")))),"")</f>
        <v>Give it visibility: the margin is there, it just needs to be ordered.</v>
      </c>
    </row>
    <row r="11">
      <c r="A11" s="8" t="n">
        <v>7</v>
      </c>
      <c r="B11" t="str">
        <f>IFERROR(IF('Data'!$B11="","",'Data'!$B11),"")</f>
        <v>Roasted tomato soup with basil</v>
      </c>
      <c r="C11" t="str">
        <f>IFERROR(IF('Data'!$C11="","",'Data'!$C11),"")</f>
        <v>Starters</v>
      </c>
      <c r="D11" s="8">
        <f>IFERROR(IF('Data'!$D11="","",'Data'!$D11),"")</f>
        <v>150.0</v>
      </c>
      <c r="E11" s="14">
        <f>IFERROR(IF('Data'!$H11="","",'Data'!$H11),"")</f>
        <v>0.16666666666666666</v>
      </c>
      <c r="F11" s="14">
        <f>IFERROR(IF('Data'!$O11="","",'Data'!$O11),"")</f>
        <v>0.3071474565357373</v>
      </c>
      <c r="G11" t="str">
        <f>IFERROR(IF(OR($E11="",$F11=""),"",IF($E11&lt;=$F11,"Low","High")),"")</f>
        <v>Low</v>
      </c>
      <c r="H11" s="11">
        <f>IFERROR(IF('Data'!$P11="","",'Data'!$P11),"")</f>
        <v>900.0</v>
      </c>
      <c r="I11" s="13">
        <f>IFERROR(IF('Data'!$Q11="","",'Data'!$Q11),"")</f>
        <v>1844.5714285714287</v>
      </c>
      <c r="J11" t="str">
        <f>IFERROR(IF(OR($H11="",$I11=""),"",IF($H11&gt;=$I11,"High","Low")),"")</f>
        <v>Low</v>
      </c>
      <c r="K11" s="15" t="str">
        <f>IFERROR(IF(OR($G11="",$J11=""),"",IF(AND($G11="Low",$J11="High"),"Prime",IF(AND($G11="High",$J11="High"),"Standard",IF(AND($G11="Low",$J11="Low"),"Sleeper","Problem")))),"")</f>
        <v>Sleeper</v>
      </c>
      <c r="L11" t="str">
        <f>IFERROR(IF($K11="","",IF($K11="Prime","Low food cost and it brings a lot of margin in dollars to the total.",IF($K11="Standard","It brings a lot of margin in dollars despite a high food cost.",IF($K11="Sleeper","Healthy food cost, but it brings little margin in dollars to the total.","High food cost and it brings little margin in dollars to the total.")))),"")</f>
        <v>Healthy food cost, but it brings little margin in dollars to the total.</v>
      </c>
      <c r="M11" t="str">
        <f>IFERROR(IF($K11="","",IF($K11="Prime","Keep it and promote it: this is where the category's money is.",IF($K11="Standard","Watch its cost card: it wins on volume, not on efficiency.",IF($K11="Sleeper","Give it visibility: the margin is there, it just needs to be ordered.","Rework the recipe or take it off the menu.")))),"")</f>
        <v>Give it visibility: the margin is there, it just needs to be ordered.</v>
      </c>
    </row>
    <row r="12">
      <c r="A12" s="8" t="n">
        <v>8</v>
      </c>
      <c r="B12" t="str">
        <f>IFERROR(IF('Data'!$B12="","",'Data'!$B12),"")</f>
        <v>Iberico pork tenderloin with sweet potato purée</v>
      </c>
      <c r="C12" t="str">
        <f>IFERROR(IF('Data'!$C12="","",'Data'!$C12),"")</f>
        <v>Mains</v>
      </c>
      <c r="D12" s="8">
        <f>IFERROR(IF('Data'!$D12="","",'Data'!$D12),"")</f>
        <v>340.0</v>
      </c>
      <c r="E12" s="14">
        <f>IFERROR(IF('Data'!$H12="","",'Data'!$H12),"")</f>
        <v>0.32774566473988437</v>
      </c>
      <c r="F12" s="14">
        <f>IFERROR(IF('Data'!$O12="","",'Data'!$O12),"")</f>
        <v>0.3558752289242039</v>
      </c>
      <c r="G12" t="str">
        <f>IFERROR(IF(OR($E12="",$F12=""),"",IF($E12&lt;=$F12,"Low","High")),"")</f>
        <v>Low</v>
      </c>
      <c r="H12" s="11">
        <f>IFERROR(IF('Data'!$P12="","",'Data'!$P12),"")</f>
        <v>3954.2000000000003</v>
      </c>
      <c r="I12" s="13">
        <f>IFERROR(IF('Data'!$Q12="","",'Data'!$Q12),"")</f>
        <v>2422.911111111111</v>
      </c>
      <c r="J12" t="str">
        <f>IFERROR(IF(OR($H12="",$I12=""),"",IF($H12&gt;=$I12,"High","Low")),"")</f>
        <v>High</v>
      </c>
      <c r="K12" s="15" t="str">
        <f>IFERROR(IF(OR($G12="",$J12=""),"",IF(AND($G12="Low",$J12="High"),"Prime",IF(AND($G12="High",$J12="High"),"Standard",IF(AND($G12="Low",$J12="Low"),"Sleeper","Problem")))),"")</f>
        <v>Prime</v>
      </c>
      <c r="L12" t="str">
        <f>IFERROR(IF($K12="","",IF($K12="Prime","Low food cost and it brings a lot of margin in dollars to the total.",IF($K12="Standard","It brings a lot of margin in dollars despite a high food cost.",IF($K12="Sleeper","Healthy food cost, but it brings little margin in dollars to the total.","High food cost and it brings little margin in dollars to the total.")))),"")</f>
        <v>Low food cost and it brings a lot of margin in dollars to the total.</v>
      </c>
      <c r="M12" t="str">
        <f>IFERROR(IF($K12="","",IF($K12="Prime","Keep it and promote it: this is where the category's money is.",IF($K12="Standard","Watch its cost card: it wins on volume, not on efficiency.",IF($K12="Sleeper","Give it visibility: the margin is there, it just needs to be ordered.","Rework the recipe or take it off the menu.")))),"")</f>
        <v>Keep it and promote it: this is where the category's money is.</v>
      </c>
    </row>
    <row r="13">
      <c r="A13" s="8" t="n">
        <v>9</v>
      </c>
      <c r="B13" t="str">
        <f>IFERROR(IF('Data'!$B13="","",'Data'!$B13),"")</f>
        <v>Confit cod in pil-pil sauce</v>
      </c>
      <c r="C13" t="str">
        <f>IFERROR(IF('Data'!$C13="","",'Data'!$C13),"")</f>
        <v>Mains</v>
      </c>
      <c r="D13" s="8">
        <f>IFERROR(IF('Data'!$D13="","",'Data'!$D13),"")</f>
        <v>190.0</v>
      </c>
      <c r="E13" s="14">
        <f>IFERROR(IF('Data'!$H13="","",'Data'!$H13),"")</f>
        <v>0.38743455497382195</v>
      </c>
      <c r="F13" s="14">
        <f>IFERROR(IF('Data'!$O13="","",'Data'!$O13),"")</f>
        <v>0.3558752289242039</v>
      </c>
      <c r="G13" t="str">
        <f>IFERROR(IF(OR($E13="",$F13=""),"",IF($E13&lt;=$F13,"Low","High")),"")</f>
        <v>High</v>
      </c>
      <c r="H13" s="11">
        <f>IFERROR(IF('Data'!$P13="","",'Data'!$P13),"")</f>
        <v>2223.0</v>
      </c>
      <c r="I13" s="13">
        <f>IFERROR(IF('Data'!$Q13="","",'Data'!$Q13),"")</f>
        <v>2422.911111111111</v>
      </c>
      <c r="J13" t="str">
        <f>IFERROR(IF(OR($H13="",$I13=""),"",IF($H13&gt;=$I13,"High","Low")),"")</f>
        <v>Low</v>
      </c>
      <c r="K13" s="15" t="str">
        <f>IFERROR(IF(OR($G13="",$J13=""),"",IF(AND($G13="Low",$J13="High"),"Prime",IF(AND($G13="High",$J13="High"),"Standard",IF(AND($G13="Low",$J13="Low"),"Sleeper","Problem")))),"")</f>
        <v>Problem</v>
      </c>
      <c r="L13" t="str">
        <f>IFERROR(IF($K13="","",IF($K13="Prime","Low food cost and it brings a lot of margin in dollars to the total.",IF($K13="Standard","It brings a lot of margin in dollars despite a high food cost.",IF($K13="Sleeper","Healthy food cost, but it brings little margin in dollars to the total.","High food cost and it brings little margin in dollars to the total.")))),"")</f>
        <v>High food cost and it brings little margin in dollars to the total.</v>
      </c>
      <c r="M13" t="str">
        <f>IFERROR(IF($K13="","",IF($K13="Prime","Keep it and promote it: this is where the category's money is.",IF($K13="Standard","Watch its cost card: it wins on volume, not on efficiency.",IF($K13="Sleeper","Give it visibility: the margin is there, it just needs to be ordered.","Rework the recipe or take it off the menu.")))),"")</f>
        <v>Rework the recipe or take it off the menu.</v>
      </c>
    </row>
    <row r="14">
      <c r="A14" s="8" t="n">
        <v>10</v>
      </c>
      <c r="B14" t="str">
        <f>IFERROR(IF('Data'!$B14="","",'Data'!$B14),"")</f>
        <v>Dry-aged beef burger with fries</v>
      </c>
      <c r="C14" t="str">
        <f>IFERROR(IF('Data'!$C14="","",'Data'!$C14),"")</f>
        <v>Mains</v>
      </c>
      <c r="D14" s="8">
        <f>IFERROR(IF('Data'!$D14="","",'Data'!$D14),"")</f>
        <v>460.0</v>
      </c>
      <c r="E14" s="14">
        <f>IFERROR(IF('Data'!$H14="","",'Data'!$H14),"")</f>
        <v>0.3161764705882353</v>
      </c>
      <c r="F14" s="14">
        <f>IFERROR(IF('Data'!$O14="","",'Data'!$O14),"")</f>
        <v>0.3558752289242039</v>
      </c>
      <c r="G14" t="str">
        <f>IFERROR(IF(OR($E14="",$F14=""),"",IF($E14&lt;=$F14,"Low","High")),"")</f>
        <v>Low</v>
      </c>
      <c r="H14" s="11">
        <f>IFERROR(IF('Data'!$P14="","",'Data'!$P14),"")</f>
        <v>4278.0</v>
      </c>
      <c r="I14" s="13">
        <f>IFERROR(IF('Data'!$Q14="","",'Data'!$Q14),"")</f>
        <v>2422.911111111111</v>
      </c>
      <c r="J14" t="str">
        <f>IFERROR(IF(OR($H14="",$I14=""),"",IF($H14&gt;=$I14,"High","Low")),"")</f>
        <v>High</v>
      </c>
      <c r="K14" s="15" t="str">
        <f>IFERROR(IF(OR($G14="",$J14=""),"",IF(AND($G14="Low",$J14="High"),"Prime",IF(AND($G14="High",$J14="High"),"Standard",IF(AND($G14="Low",$J14="Low"),"Sleeper","Problem")))),"")</f>
        <v>Prime</v>
      </c>
      <c r="L14" t="str">
        <f>IFERROR(IF($K14="","",IF($K14="Prime","Low food cost and it brings a lot of margin in dollars to the total.",IF($K14="Standard","It brings a lot of margin in dollars despite a high food cost.",IF($K14="Sleeper","Healthy food cost, but it brings little margin in dollars to the total.","High food cost and it brings little margin in dollars to the total.")))),"")</f>
        <v>Low food cost and it brings a lot of margin in dollars to the total.</v>
      </c>
      <c r="M14" t="str">
        <f>IFERROR(IF($K14="","",IF($K14="Prime","Keep it and promote it: this is where the category's money is.",IF($K14="Standard","Watch its cost card: it wins on volume, not on efficiency.",IF($K14="Sleeper","Give it visibility: the margin is there, it just needs to be ordered.","Rework the recipe or take it off the menu.")))),"")</f>
        <v>Keep it and promote it: this is where the category's money is.</v>
      </c>
    </row>
    <row r="15">
      <c r="A15" s="8" t="n">
        <v>11</v>
      </c>
      <c r="B15" t="str">
        <f>IFERROR(IF('Data'!$B15="","",'Data'!$B15),"")</f>
        <v>Creamy rice with Iberico pork secreto and mushrooms</v>
      </c>
      <c r="C15" t="str">
        <f>IFERROR(IF('Data'!$C15="","",'Data'!$C15),"")</f>
        <v>Mains</v>
      </c>
      <c r="D15" s="8">
        <f>IFERROR(IF('Data'!$D15="","",'Data'!$D15),"")</f>
        <v>270.0</v>
      </c>
      <c r="E15" s="14">
        <f>IFERROR(IF('Data'!$H15="","",'Data'!$H15),"")</f>
        <v>0.37804878048780494</v>
      </c>
      <c r="F15" s="14">
        <f>IFERROR(IF('Data'!$O15="","",'Data'!$O15),"")</f>
        <v>0.3558752289242039</v>
      </c>
      <c r="G15" t="str">
        <f>IFERROR(IF(OR($E15="",$F15=""),"",IF($E15&lt;=$F15,"Low","High")),"")</f>
        <v>High</v>
      </c>
      <c r="H15" s="11">
        <f>IFERROR(IF('Data'!$P15="","",'Data'!$P15),"")</f>
        <v>2754.0</v>
      </c>
      <c r="I15" s="13">
        <f>IFERROR(IF('Data'!$Q15="","",'Data'!$Q15),"")</f>
        <v>2422.911111111111</v>
      </c>
      <c r="J15" t="str">
        <f>IFERROR(IF(OR($H15="",$I15=""),"",IF($H15&gt;=$I15,"High","Low")),"")</f>
        <v>High</v>
      </c>
      <c r="K15" s="15" t="str">
        <f>IFERROR(IF(OR($G15="",$J15=""),"",IF(AND($G15="Low",$J15="High"),"Prime",IF(AND($G15="High",$J15="High"),"Standard",IF(AND($G15="Low",$J15="Low"),"Sleeper","Problem")))),"")</f>
        <v>Standard</v>
      </c>
      <c r="L15" t="str">
        <f>IFERROR(IF($K15="","",IF($K15="Prime","Low food cost and it brings a lot of margin in dollars to the total.",IF($K15="Standard","It brings a lot of margin in dollars despite a high food cost.",IF($K15="Sleeper","Healthy food cost, but it brings little margin in dollars to the total.","High food cost and it brings little margin in dollars to the total.")))),"")</f>
        <v>It brings a lot of margin in dollars despite a high food cost.</v>
      </c>
      <c r="M15" t="str">
        <f>IFERROR(IF($K15="","",IF($K15="Prime","Keep it and promote it: this is where the category's money is.",IF($K15="Standard","Watch its cost card: it wins on volume, not on efficiency.",IF($K15="Sleeper","Give it visibility: the margin is there, it just needs to be ordered.","Rework the recipe or take it off the menu.")))),"")</f>
        <v>Watch its cost card: it wins on volume, not on efficiency.</v>
      </c>
    </row>
    <row r="16">
      <c r="A16" s="8" t="n">
        <v>12</v>
      </c>
      <c r="B16" t="str">
        <f>IFERROR(IF('Data'!$B16="","",'Data'!$B16),"")</f>
        <v>Dry-aged bone-in ribeye (17.64 oz)</v>
      </c>
      <c r="C16" t="str">
        <f>IFERROR(IF('Data'!$C16="","",'Data'!$C16),"")</f>
        <v>Mains</v>
      </c>
      <c r="D16" s="8">
        <f>IFERROR(IF('Data'!$D16="","",'Data'!$D16),"")</f>
        <v>110.0</v>
      </c>
      <c r="E16" s="14">
        <f>IFERROR(IF('Data'!$H16="","",'Data'!$H16),"")</f>
        <v>0.4525993883792049</v>
      </c>
      <c r="F16" s="14">
        <f>IFERROR(IF('Data'!$O16="","",'Data'!$O16),"")</f>
        <v>0.3558752289242039</v>
      </c>
      <c r="G16" t="str">
        <f>IFERROR(IF(OR($E16="",$F16=""),"",IF($E16&lt;=$F16,"Low","High")),"")</f>
        <v>High</v>
      </c>
      <c r="H16" s="11">
        <f>IFERROR(IF('Data'!$P16="","",'Data'!$P16),"")</f>
        <v>1969.0000000000002</v>
      </c>
      <c r="I16" s="13">
        <f>IFERROR(IF('Data'!$Q16="","",'Data'!$Q16),"")</f>
        <v>2422.911111111111</v>
      </c>
      <c r="J16" t="str">
        <f>IFERROR(IF(OR($H16="",$I16=""),"",IF($H16&gt;=$I16,"High","Low")),"")</f>
        <v>Low</v>
      </c>
      <c r="K16" s="15" t="str">
        <f>IFERROR(IF(OR($G16="",$J16=""),"",IF(AND($G16="Low",$J16="High"),"Prime",IF(AND($G16="High",$J16="High"),"Standard",IF(AND($G16="Low",$J16="Low"),"Sleeper","Problem")))),"")</f>
        <v>Problem</v>
      </c>
      <c r="L16" t="str">
        <f>IFERROR(IF($K16="","",IF($K16="Prime","Low food cost and it brings a lot of margin in dollars to the total.",IF($K16="Standard","It brings a lot of margin in dollars despite a high food cost.",IF($K16="Sleeper","Healthy food cost, but it brings little margin in dollars to the total.","High food cost and it brings little margin in dollars to the total.")))),"")</f>
        <v>High food cost and it brings little margin in dollars to the total.</v>
      </c>
      <c r="M16" t="str">
        <f>IFERROR(IF($K16="","",IF($K16="Prime","Keep it and promote it: this is where the category's money is.",IF($K16="Standard","Watch its cost card: it wins on volume, not on efficiency.",IF($K16="Sleeper","Give it visibility: the margin is there, it just needs to be ordered.","Rework the recipe or take it off the menu.")))),"")</f>
        <v>Rework the recipe or take it off the menu.</v>
      </c>
    </row>
    <row r="17">
      <c r="A17" s="8" t="n">
        <v>13</v>
      </c>
      <c r="B17" t="str">
        <f>IFERROR(IF('Data'!$B17="","",'Data'!$B17),"")</f>
        <v>Salt-baked sea bass</v>
      </c>
      <c r="C17" t="str">
        <f>IFERROR(IF('Data'!$C17="","",'Data'!$C17),"")</f>
        <v>Mains</v>
      </c>
      <c r="D17" s="8">
        <f>IFERROR(IF('Data'!$D17="","",'Data'!$D17),"")</f>
        <v>80.0</v>
      </c>
      <c r="E17" s="14">
        <f>IFERROR(IF('Data'!$H17="","",'Data'!$H17),"")</f>
        <v>0.40825688073394495</v>
      </c>
      <c r="F17" s="14">
        <f>IFERROR(IF('Data'!$O17="","",'Data'!$O17),"")</f>
        <v>0.3558752289242039</v>
      </c>
      <c r="G17" t="str">
        <f>IFERROR(IF(OR($E17="",$F17=""),"",IF($E17&lt;=$F17,"Low","High")),"")</f>
        <v>High</v>
      </c>
      <c r="H17" s="11">
        <f>IFERROR(IF('Data'!$P17="","",'Data'!$P17),"")</f>
        <v>1032.0</v>
      </c>
      <c r="I17" s="13">
        <f>IFERROR(IF('Data'!$Q17="","",'Data'!$Q17),"")</f>
        <v>2422.911111111111</v>
      </c>
      <c r="J17" t="str">
        <f>IFERROR(IF(OR($H17="",$I17=""),"",IF($H17&gt;=$I17,"High","Low")),"")</f>
        <v>Low</v>
      </c>
      <c r="K17" s="15" t="str">
        <f>IFERROR(IF(OR($G17="",$J17=""),"",IF(AND($G17="Low",$J17="High"),"Prime",IF(AND($G17="High",$J17="High"),"Standard",IF(AND($G17="Low",$J17="Low"),"Sleeper","Problem")))),"")</f>
        <v>Problem</v>
      </c>
      <c r="L17" t="str">
        <f>IFERROR(IF($K17="","",IF($K17="Prime","Low food cost and it brings a lot of margin in dollars to the total.",IF($K17="Standard","It brings a lot of margin in dollars despite a high food cost.",IF($K17="Sleeper","Healthy food cost, but it brings little margin in dollars to the total.","High food cost and it brings little margin in dollars to the total.")))),"")</f>
        <v>High food cost and it brings little margin in dollars to the total.</v>
      </c>
      <c r="M17" t="str">
        <f>IFERROR(IF($K17="","",IF($K17="Prime","Keep it and promote it: this is where the category's money is.",IF($K17="Standard","Watch its cost card: it wins on volume, not on efficiency.",IF($K17="Sleeper","Give it visibility: the margin is there, it just needs to be ordered.","Rework the recipe or take it off the menu.")))),"")</f>
        <v>Rework the recipe or take it off the menu.</v>
      </c>
    </row>
    <row r="18">
      <c r="A18" s="8" t="n">
        <v>14</v>
      </c>
      <c r="B18" t="str">
        <f>IFERROR(IF('Data'!$B18="","",'Data'!$B18),"")</f>
        <v>Free-range roast chicken with potatoes</v>
      </c>
      <c r="C18" t="str">
        <f>IFERROR(IF('Data'!$C18="","",'Data'!$C18),"")</f>
        <v>Mains</v>
      </c>
      <c r="D18" s="8">
        <f>IFERROR(IF('Data'!$D18="","",'Data'!$D18),"")</f>
        <v>300.0</v>
      </c>
      <c r="E18" s="14">
        <f>IFERROR(IF('Data'!$H18="","",'Data'!$H18),"")</f>
        <v>0.2913385826771654</v>
      </c>
      <c r="F18" s="14">
        <f>IFERROR(IF('Data'!$O18="","",'Data'!$O18),"")</f>
        <v>0.3558752289242039</v>
      </c>
      <c r="G18" t="str">
        <f>IFERROR(IF(OR($E18="",$F18=""),"",IF($E18&lt;=$F18,"Low","High")),"")</f>
        <v>Low</v>
      </c>
      <c r="H18" s="11">
        <f>IFERROR(IF('Data'!$P18="","",'Data'!$P18),"")</f>
        <v>2700.0</v>
      </c>
      <c r="I18" s="13">
        <f>IFERROR(IF('Data'!$Q18="","",'Data'!$Q18),"")</f>
        <v>2422.911111111111</v>
      </c>
      <c r="J18" t="str">
        <f>IFERROR(IF(OR($H18="",$I18=""),"",IF($H18&gt;=$I18,"High","Low")),"")</f>
        <v>High</v>
      </c>
      <c r="K18" s="15" t="str">
        <f>IFERROR(IF(OR($G18="",$J18=""),"",IF(AND($G18="Low",$J18="High"),"Prime",IF(AND($G18="High",$J18="High"),"Standard",IF(AND($G18="Low",$J18="Low"),"Sleeper","Problem")))),"")</f>
        <v>Prime</v>
      </c>
      <c r="L18" t="str">
        <f>IFERROR(IF($K18="","",IF($K18="Prime","Low food cost and it brings a lot of margin in dollars to the total.",IF($K18="Standard","It brings a lot of margin in dollars despite a high food cost.",IF($K18="Sleeper","Healthy food cost, but it brings little margin in dollars to the total.","High food cost and it brings little margin in dollars to the total.")))),"")</f>
        <v>Low food cost and it brings a lot of margin in dollars to the total.</v>
      </c>
      <c r="M18" t="str">
        <f>IFERROR(IF($K18="","",IF($K18="Prime","Keep it and promote it: this is where the category's money is.",IF($K18="Standard","Watch its cost card: it wins on volume, not on efficiency.",IF($K18="Sleeper","Give it visibility: the margin is there, it just needs to be ordered.","Rework the recipe or take it off the menu.")))),"")</f>
        <v>Keep it and promote it: this is where the category's money is.</v>
      </c>
    </row>
    <row r="19">
      <c r="A19" s="8" t="n">
        <v>15</v>
      </c>
      <c r="B19" t="str">
        <f>IFERROR(IF('Data'!$B19="","",'Data'!$B19),"")</f>
        <v>Seasonal vegetable lasagna</v>
      </c>
      <c r="C19" t="str">
        <f>IFERROR(IF('Data'!$C19="","",'Data'!$C19),"")</f>
        <v>Mains</v>
      </c>
      <c r="D19" s="8">
        <f>IFERROR(IF('Data'!$D19="","",'Data'!$D19),"")</f>
        <v>140.0</v>
      </c>
      <c r="E19" s="14">
        <f>IFERROR(IF('Data'!$H19="","",'Data'!$H19),"")</f>
        <v>0.22807017543859648</v>
      </c>
      <c r="F19" s="14">
        <f>IFERROR(IF('Data'!$O19="","",'Data'!$O19),"")</f>
        <v>0.3558752289242039</v>
      </c>
      <c r="G19" t="str">
        <f>IFERROR(IF(OR($E19="",$F19=""),"",IF($E19&lt;=$F19,"Low","High")),"")</f>
        <v>Low</v>
      </c>
      <c r="H19" s="11">
        <f>IFERROR(IF('Data'!$P19="","",'Data'!$P19),"")</f>
        <v>1232.0</v>
      </c>
      <c r="I19" s="13">
        <f>IFERROR(IF('Data'!$Q19="","",'Data'!$Q19),"")</f>
        <v>2422.911111111111</v>
      </c>
      <c r="J19" t="str">
        <f>IFERROR(IF(OR($H19="",$I19=""),"",IF($H19&gt;=$I19,"High","Low")),"")</f>
        <v>Low</v>
      </c>
      <c r="K19" s="15" t="str">
        <f>IFERROR(IF(OR($G19="",$J19=""),"",IF(AND($G19="Low",$J19="High"),"Prime",IF(AND($G19="High",$J19="High"),"Standard",IF(AND($G19="Low",$J19="Low"),"Sleeper","Problem")))),"")</f>
        <v>Sleeper</v>
      </c>
      <c r="L19" t="str">
        <f>IFERROR(IF($K19="","",IF($K19="Prime","Low food cost and it brings a lot of margin in dollars to the total.",IF($K19="Standard","It brings a lot of margin in dollars despite a high food cost.",IF($K19="Sleeper","Healthy food cost, but it brings little margin in dollars to the total.","High food cost and it brings little margin in dollars to the total.")))),"")</f>
        <v>Healthy food cost, but it brings little margin in dollars to the total.</v>
      </c>
      <c r="M19" t="str">
        <f>IFERROR(IF($K19="","",IF($K19="Prime","Keep it and promote it: this is where the category's money is.",IF($K19="Standard","Watch its cost card: it wins on volume, not on efficiency.",IF($K19="Sleeper","Give it visibility: the margin is there, it just needs to be ordered.","Rework the recipe or take it off the menu.")))),"")</f>
        <v>Give it visibility: the margin is there, it just needs to be ordered.</v>
      </c>
    </row>
    <row r="20">
      <c r="A20" s="8" t="n">
        <v>16</v>
      </c>
      <c r="B20" t="str">
        <f>IFERROR(IF('Data'!$B20="","",'Data'!$B20),"")</f>
        <v>Seared bluefin tuna tataki with sesame</v>
      </c>
      <c r="C20" t="str">
        <f>IFERROR(IF('Data'!$C20="","",'Data'!$C20),"")</f>
        <v>Mains</v>
      </c>
      <c r="D20" s="8">
        <f>IFERROR(IF('Data'!$D20="","",'Data'!$D20),"")</f>
        <v>130.0</v>
      </c>
      <c r="E20" s="14">
        <f>IFERROR(IF('Data'!$H20="","",'Data'!$H20),"")</f>
        <v>0.4285714285714286</v>
      </c>
      <c r="F20" s="14">
        <f>IFERROR(IF('Data'!$O20="","",'Data'!$O20),"")</f>
        <v>0.3558752289242039</v>
      </c>
      <c r="G20" t="str">
        <f>IFERROR(IF(OR($E20="",$F20=""),"",IF($E20&lt;=$F20,"Low","High")),"")</f>
        <v>High</v>
      </c>
      <c r="H20" s="11">
        <f>IFERROR(IF('Data'!$P20="","",'Data'!$P20),"")</f>
        <v>1663.9999999999998</v>
      </c>
      <c r="I20" s="13">
        <f>IFERROR(IF('Data'!$Q20="","",'Data'!$Q20),"")</f>
        <v>2422.911111111111</v>
      </c>
      <c r="J20" t="str">
        <f>IFERROR(IF(OR($H20="",$I20=""),"",IF($H20&gt;=$I20,"High","Low")),"")</f>
        <v>Low</v>
      </c>
      <c r="K20" s="15" t="str">
        <f>IFERROR(IF(OR($G20="",$J20=""),"",IF(AND($G20="Low",$J20="High"),"Prime",IF(AND($G20="High",$J20="High"),"Standard",IF(AND($G20="Low",$J20="Low"),"Sleeper","Problem")))),"")</f>
        <v>Problem</v>
      </c>
      <c r="L20" t="str">
        <f>IFERROR(IF($K20="","",IF($K20="Prime","Low food cost and it brings a lot of margin in dollars to the total.",IF($K20="Standard","It brings a lot of margin in dollars despite a high food cost.",IF($K20="Sleeper","Healthy food cost, but it brings little margin in dollars to the total.","High food cost and it brings little margin in dollars to the total.")))),"")</f>
        <v>High food cost and it brings little margin in dollars to the total.</v>
      </c>
      <c r="M20" t="str">
        <f>IFERROR(IF($K20="","",IF($K20="Prime","Keep it and promote it: this is where the category's money is.",IF($K20="Standard","Watch its cost card: it wins on volume, not on efficiency.",IF($K20="Sleeper","Give it visibility: the margin is there, it just needs to be ordered.","Rework the recipe or take it off the menu.")))),"")</f>
        <v>Rework the recipe or take it off the menu.</v>
      </c>
    </row>
    <row r="21">
      <c r="A21" s="8" t="n">
        <v>17</v>
      </c>
      <c r="B21" t="str">
        <f>IFERROR(IF('Data'!$B21="","",'Data'!$B21),"")</f>
        <v>Creamy cheesecake</v>
      </c>
      <c r="C21" t="str">
        <f>IFERROR(IF('Data'!$C21="","",'Data'!$C21),"")</f>
        <v>Desserts</v>
      </c>
      <c r="D21" s="8">
        <f>IFERROR(IF('Data'!$D21="","",'Data'!$D21),"")</f>
        <v>520.0</v>
      </c>
      <c r="E21" s="14">
        <f>IFERROR(IF('Data'!$H21="","",'Data'!$H21),"")</f>
        <v>0.22033898305084745</v>
      </c>
      <c r="F21" s="14">
        <f>IFERROR(IF('Data'!$O21="","",'Data'!$O21),"")</f>
        <v>0.2322985165927512</v>
      </c>
      <c r="G21" t="str">
        <f>IFERROR(IF(OR($E21="",$F21=""),"",IF($E21&lt;=$F21,"Low","High")),"")</f>
        <v>Low</v>
      </c>
      <c r="H21" s="11">
        <f>IFERROR(IF('Data'!$P21="","",'Data'!$P21),"")</f>
        <v>2392.0000000000005</v>
      </c>
      <c r="I21" s="13">
        <f>IFERROR(IF('Data'!$Q21="","",'Data'!$Q21),"")</f>
        <v>1255.0</v>
      </c>
      <c r="J21" t="str">
        <f>IFERROR(IF(OR($H21="",$I21=""),"",IF($H21&gt;=$I21,"High","Low")),"")</f>
        <v>High</v>
      </c>
      <c r="K21" s="15" t="str">
        <f>IFERROR(IF(OR($G21="",$J21=""),"",IF(AND($G21="Low",$J21="High"),"Prime",IF(AND($G21="High",$J21="High"),"Standard",IF(AND($G21="Low",$J21="Low"),"Sleeper","Problem")))),"")</f>
        <v>Prime</v>
      </c>
      <c r="L21" t="str">
        <f>IFERROR(IF($K21="","",IF($K21="Prime","Low food cost and it brings a lot of margin in dollars to the total.",IF($K21="Standard","It brings a lot of margin in dollars despite a high food cost.",IF($K21="Sleeper","Healthy food cost, but it brings little margin in dollars to the total.","High food cost and it brings little margin in dollars to the total.")))),"")</f>
        <v>Low food cost and it brings a lot of margin in dollars to the total.</v>
      </c>
      <c r="M21" t="str">
        <f>IFERROR(IF($K21="","",IF($K21="Prime","Keep it and promote it: this is where the category's money is.",IF($K21="Standard","Watch its cost card: it wins on volume, not on efficiency.",IF($K21="Sleeper","Give it visibility: the margin is there, it just needs to be ordered.","Rework the recipe or take it off the menu.")))),"")</f>
        <v>Keep it and promote it: this is where the category's money is.</v>
      </c>
    </row>
    <row r="22">
      <c r="A22" s="8" t="n">
        <v>18</v>
      </c>
      <c r="B22" t="str">
        <f>IFERROR(IF('Data'!$B22="","",'Data'!$B22),"")</f>
        <v>Caramelized torrija with ice cream</v>
      </c>
      <c r="C22" t="str">
        <f>IFERROR(IF('Data'!$C22="","",'Data'!$C22),"")</f>
        <v>Desserts</v>
      </c>
      <c r="D22" s="8">
        <f>IFERROR(IF('Data'!$D22="","",'Data'!$D22),"")</f>
        <v>210.0</v>
      </c>
      <c r="E22" s="14">
        <f>IFERROR(IF('Data'!$H22="","",'Data'!$H22),"")</f>
        <v>0.2</v>
      </c>
      <c r="F22" s="14">
        <f>IFERROR(IF('Data'!$O22="","",'Data'!$O22),"")</f>
        <v>0.2322985165927512</v>
      </c>
      <c r="G22" t="str">
        <f>IFERROR(IF(OR($E22="",$F22=""),"",IF($E22&lt;=$F22,"Low","High")),"")</f>
        <v>Low</v>
      </c>
      <c r="H22" s="11">
        <f>IFERROR(IF('Data'!$P22="","",'Data'!$P22),"")</f>
        <v>924.0000000000001</v>
      </c>
      <c r="I22" s="13">
        <f>IFERROR(IF('Data'!$Q22="","",'Data'!$Q22),"")</f>
        <v>1255.0</v>
      </c>
      <c r="J22" t="str">
        <f>IFERROR(IF(OR($H22="",$I22=""),"",IF($H22&gt;=$I22,"High","Low")),"")</f>
        <v>Low</v>
      </c>
      <c r="K22" s="15" t="str">
        <f>IFERROR(IF(OR($G22="",$J22=""),"",IF(AND($G22="Low",$J22="High"),"Prime",IF(AND($G22="High",$J22="High"),"Standard",IF(AND($G22="Low",$J22="Low"),"Sleeper","Problem")))),"")</f>
        <v>Sleeper</v>
      </c>
      <c r="L22" t="str">
        <f>IFERROR(IF($K22="","",IF($K22="Prime","Low food cost and it brings a lot of margin in dollars to the total.",IF($K22="Standard","It brings a lot of margin in dollars despite a high food cost.",IF($K22="Sleeper","Healthy food cost, but it brings little margin in dollars to the total.","High food cost and it brings little margin in dollars to the total.")))),"")</f>
        <v>Healthy food cost, but it brings little margin in dollars to the total.</v>
      </c>
      <c r="M22" t="str">
        <f>IFERROR(IF($K22="","",IF($K22="Prime","Keep it and promote it: this is where the category's money is.",IF($K22="Standard","Watch its cost card: it wins on volume, not on efficiency.",IF($K22="Sleeper","Give it visibility: the margin is there, it just needs to be ordered.","Rework the recipe or take it off the menu.")))),"")</f>
        <v>Give it visibility: the margin is there, it just needs to be ordered.</v>
      </c>
    </row>
    <row r="23">
      <c r="A23" s="8" t="n">
        <v>19</v>
      </c>
      <c r="B23" t="str">
        <f>IFERROR(IF('Data'!$B23="","",'Data'!$B23),"")</f>
        <v>Chocolate lava cake</v>
      </c>
      <c r="C23" t="str">
        <f>IFERROR(IF('Data'!$C23="","",'Data'!$C23),"")</f>
        <v>Desserts</v>
      </c>
      <c r="D23" s="8">
        <f>IFERROR(IF('Data'!$D23="","",'Data'!$D23),"")</f>
        <v>330.0</v>
      </c>
      <c r="E23" s="14">
        <f>IFERROR(IF('Data'!$H23="","",'Data'!$H23),"")</f>
        <v>0.25806451612903225</v>
      </c>
      <c r="F23" s="14">
        <f>IFERROR(IF('Data'!$O23="","",'Data'!$O23),"")</f>
        <v>0.2322985165927512</v>
      </c>
      <c r="G23" t="str">
        <f>IFERROR(IF(OR($E23="",$F23=""),"",IF($E23&lt;=$F23,"Low","High")),"")</f>
        <v>High</v>
      </c>
      <c r="H23" s="11">
        <f>IFERROR(IF('Data'!$P23="","",'Data'!$P23),"")</f>
        <v>1517.9999999999998</v>
      </c>
      <c r="I23" s="13">
        <f>IFERROR(IF('Data'!$Q23="","",'Data'!$Q23),"")</f>
        <v>1255.0</v>
      </c>
      <c r="J23" t="str">
        <f>IFERROR(IF(OR($H23="",$I23=""),"",IF($H23&gt;=$I23,"High","Low")),"")</f>
        <v>High</v>
      </c>
      <c r="K23" s="15" t="str">
        <f>IFERROR(IF(OR($G23="",$J23=""),"",IF(AND($G23="Low",$J23="High"),"Prime",IF(AND($G23="High",$J23="High"),"Standard",IF(AND($G23="Low",$J23="Low"),"Sleeper","Problem")))),"")</f>
        <v>Standard</v>
      </c>
      <c r="L23" t="str">
        <f>IFERROR(IF($K23="","",IF($K23="Prime","Low food cost and it brings a lot of margin in dollars to the total.",IF($K23="Standard","It brings a lot of margin in dollars despite a high food cost.",IF($K23="Sleeper","Healthy food cost, but it brings little margin in dollars to the total.","High food cost and it brings little margin in dollars to the total.")))),"")</f>
        <v>It brings a lot of margin in dollars despite a high food cost.</v>
      </c>
      <c r="M23" t="str">
        <f>IFERROR(IF($K23="","",IF($K23="Prime","Keep it and promote it: this is where the category's money is.",IF($K23="Standard","Watch its cost card: it wins on volume, not on efficiency.",IF($K23="Sleeper","Give it visibility: the margin is there, it just needs to be ordered.","Rework the recipe or take it off the menu.")))),"")</f>
        <v>Watch its cost card: it wins on volume, not on efficiency.</v>
      </c>
    </row>
    <row r="24">
      <c r="A24" s="8" t="n">
        <v>20</v>
      </c>
      <c r="B24" t="str">
        <f>IFERROR(IF('Data'!$B24="","",'Data'!$B24),"")</f>
        <v>Prepared seasonal fruit</v>
      </c>
      <c r="C24" t="str">
        <f>IFERROR(IF('Data'!$C24="","",'Data'!$C24),"")</f>
        <v>Desserts</v>
      </c>
      <c r="D24" s="8">
        <f>IFERROR(IF('Data'!$D24="","",'Data'!$D24),"")</f>
        <v>60.0</v>
      </c>
      <c r="E24" s="14">
        <f>IFERROR(IF('Data'!$H24="","",'Data'!$H24),"")</f>
        <v>0.3111111111111111</v>
      </c>
      <c r="F24" s="14">
        <f>IFERROR(IF('Data'!$O24="","",'Data'!$O24),"")</f>
        <v>0.2322985165927512</v>
      </c>
      <c r="G24" t="str">
        <f>IFERROR(IF(OR($E24="",$F24=""),"",IF($E24&lt;=$F24,"Low","High")),"")</f>
        <v>High</v>
      </c>
      <c r="H24" s="11">
        <f>IFERROR(IF('Data'!$P24="","",'Data'!$P24),"")</f>
        <v>186.0</v>
      </c>
      <c r="I24" s="13">
        <f>IFERROR(IF('Data'!$Q24="","",'Data'!$Q24),"")</f>
        <v>1255.0</v>
      </c>
      <c r="J24" t="str">
        <f>IFERROR(IF(OR($H24="",$I24=""),"",IF($H24&gt;=$I24,"High","Low")),"")</f>
        <v>Low</v>
      </c>
      <c r="K24" s="15" t="str">
        <f>IFERROR(IF(OR($G24="",$J24=""),"",IF(AND($G24="Low",$J24="High"),"Prime",IF(AND($G24="High",$J24="High"),"Standard",IF(AND($G24="Low",$J24="Low"),"Sleeper","Problem")))),"")</f>
        <v>Problem</v>
      </c>
      <c r="L24" t="str">
        <f>IFERROR(IF($K24="","",IF($K24="Prime","Low food cost and it brings a lot of margin in dollars to the total.",IF($K24="Standard","It brings a lot of margin in dollars despite a high food cost.",IF($K24="Sleeper","Healthy food cost, but it brings little margin in dollars to the total.","High food cost and it brings little margin in dollars to the total.")))),"")</f>
        <v>High food cost and it brings little margin in dollars to the total.</v>
      </c>
      <c r="M24" t="str">
        <f>IFERROR(IF($K24="","",IF($K24="Prime","Keep it and promote it: this is where the category's money is.",IF($K24="Standard","Watch its cost card: it wins on volume, not on efficiency.",IF($K24="Sleeper","Give it visibility: the margin is there, it just needs to be ordered.","Rework the recipe or take it off the menu.")))),"")</f>
        <v>Rework the recipe or take it off the menu.</v>
      </c>
    </row>
    <row r="25">
      <c r="A25" s="8" t="n">
        <v>21</v>
      </c>
      <c r="B25">
        <f>IFERROR(IF('Data'!$B25="","",'Data'!$B25),"")</f>
      </c>
      <c r="C25">
        <f>IFERROR(IF('Data'!$C25="","",'Data'!$C25),"")</f>
      </c>
      <c r="D25" s="8">
        <f>IFERROR(IF('Data'!$D25="","",'Data'!$D25),"")</f>
      </c>
      <c r="E25" s="14">
        <f>IFERROR(IF('Data'!$H25="","",'Data'!$H25),"")</f>
      </c>
      <c r="F25" s="14">
        <f>IFERROR(IF('Data'!$O25="","",'Data'!$O25),"")</f>
      </c>
      <c r="G25">
        <f>IFERROR(IF(OR($E25="",$F25=""),"",IF($E25&lt;=$F25,"Low","High")),"")</f>
      </c>
      <c r="H25" s="11">
        <f>IFERROR(IF('Data'!$P25="","",'Data'!$P25),"")</f>
      </c>
      <c r="I25" s="13">
        <f>IFERROR(IF('Data'!$Q25="","",'Data'!$Q25),"")</f>
      </c>
      <c r="J25">
        <f>IFERROR(IF(OR($H25="",$I25=""),"",IF($H25&gt;=$I25,"High","Low")),"")</f>
      </c>
      <c r="K25" s="15">
        <f>IFERROR(IF(OR($G25="",$J25=""),"",IF(AND($G25="Low",$J25="High"),"Prime",IF(AND($G25="High",$J25="High"),"Standard",IF(AND($G25="Low",$J25="Low"),"Sleeper","Problem")))),"")</f>
      </c>
      <c r="L25">
        <f>IFERROR(IF($K25="","",IF($K25="Prime","Low food cost and it brings a lot of margin in dollars to the total.",IF($K25="Standard","It brings a lot of margin in dollars despite a high food cost.",IF($K25="Sleeper","Healthy food cost, but it brings little margin in dollars to the total.","High food cost and it brings little margin in dollars to the total.")))),"")</f>
      </c>
      <c r="M25">
        <f>IFERROR(IF($K25="","",IF($K25="Prime","Keep it and promote it: this is where the category's money is.",IF($K25="Standard","Watch its cost card: it wins on volume, not on efficiency.",IF($K25="Sleeper","Give it visibility: the margin is there, it just needs to be ordered.","Rework the recipe or take it off the menu.")))),"")</f>
      </c>
    </row>
    <row r="26">
      <c r="A26" s="8" t="n">
        <v>22</v>
      </c>
      <c r="B26">
        <f>IFERROR(IF('Data'!$B26="","",'Data'!$B26),"")</f>
      </c>
      <c r="C26">
        <f>IFERROR(IF('Data'!$C26="","",'Data'!$C26),"")</f>
      </c>
      <c r="D26" s="8">
        <f>IFERROR(IF('Data'!$D26="","",'Data'!$D26),"")</f>
      </c>
      <c r="E26" s="14">
        <f>IFERROR(IF('Data'!$H26="","",'Data'!$H26),"")</f>
      </c>
      <c r="F26" s="14">
        <f>IFERROR(IF('Data'!$O26="","",'Data'!$O26),"")</f>
      </c>
      <c r="G26">
        <f>IFERROR(IF(OR($E26="",$F26=""),"",IF($E26&lt;=$F26,"Low","High")),"")</f>
      </c>
      <c r="H26" s="11">
        <f>IFERROR(IF('Data'!$P26="","",'Data'!$P26),"")</f>
      </c>
      <c r="I26" s="13">
        <f>IFERROR(IF('Data'!$Q26="","",'Data'!$Q26),"")</f>
      </c>
      <c r="J26">
        <f>IFERROR(IF(OR($H26="",$I26=""),"",IF($H26&gt;=$I26,"High","Low")),"")</f>
      </c>
      <c r="K26" s="15">
        <f>IFERROR(IF(OR($G26="",$J26=""),"",IF(AND($G26="Low",$J26="High"),"Prime",IF(AND($G26="High",$J26="High"),"Standard",IF(AND($G26="Low",$J26="Low"),"Sleeper","Problem")))),"")</f>
      </c>
      <c r="L26">
        <f>IFERROR(IF($K26="","",IF($K26="Prime","Low food cost and it brings a lot of margin in dollars to the total.",IF($K26="Standard","It brings a lot of margin in dollars despite a high food cost.",IF($K26="Sleeper","Healthy food cost, but it brings little margin in dollars to the total.","High food cost and it brings little margin in dollars to the total.")))),"")</f>
      </c>
      <c r="M26">
        <f>IFERROR(IF($K26="","",IF($K26="Prime","Keep it and promote it: this is where the category's money is.",IF($K26="Standard","Watch its cost card: it wins on volume, not on efficiency.",IF($K26="Sleeper","Give it visibility: the margin is there, it just needs to be ordered.","Rework the recipe or take it off the menu.")))),"")</f>
      </c>
    </row>
    <row r="27">
      <c r="A27" s="8" t="n">
        <v>23</v>
      </c>
      <c r="B27">
        <f>IFERROR(IF('Data'!$B27="","",'Data'!$B27),"")</f>
      </c>
      <c r="C27">
        <f>IFERROR(IF('Data'!$C27="","",'Data'!$C27),"")</f>
      </c>
      <c r="D27" s="8">
        <f>IFERROR(IF('Data'!$D27="","",'Data'!$D27),"")</f>
      </c>
      <c r="E27" s="14">
        <f>IFERROR(IF('Data'!$H27="","",'Data'!$H27),"")</f>
      </c>
      <c r="F27" s="14">
        <f>IFERROR(IF('Data'!$O27="","",'Data'!$O27),"")</f>
      </c>
      <c r="G27">
        <f>IFERROR(IF(OR($E27="",$F27=""),"",IF($E27&lt;=$F27,"Low","High")),"")</f>
      </c>
      <c r="H27" s="11">
        <f>IFERROR(IF('Data'!$P27="","",'Data'!$P27),"")</f>
      </c>
      <c r="I27" s="13">
        <f>IFERROR(IF('Data'!$Q27="","",'Data'!$Q27),"")</f>
      </c>
      <c r="J27">
        <f>IFERROR(IF(OR($H27="",$I27=""),"",IF($H27&gt;=$I27,"High","Low")),"")</f>
      </c>
      <c r="K27" s="15">
        <f>IFERROR(IF(OR($G27="",$J27=""),"",IF(AND($G27="Low",$J27="High"),"Prime",IF(AND($G27="High",$J27="High"),"Standard",IF(AND($G27="Low",$J27="Low"),"Sleeper","Problem")))),"")</f>
      </c>
      <c r="L27">
        <f>IFERROR(IF($K27="","",IF($K27="Prime","Low food cost and it brings a lot of margin in dollars to the total.",IF($K27="Standard","It brings a lot of margin in dollars despite a high food cost.",IF($K27="Sleeper","Healthy food cost, but it brings little margin in dollars to the total.","High food cost and it brings little margin in dollars to the total.")))),"")</f>
      </c>
      <c r="M27">
        <f>IFERROR(IF($K27="","",IF($K27="Prime","Keep it and promote it: this is where the category's money is.",IF($K27="Standard","Watch its cost card: it wins on volume, not on efficiency.",IF($K27="Sleeper","Give it visibility: the margin is there, it just needs to be ordered.","Rework the recipe or take it off the menu.")))),"")</f>
      </c>
    </row>
    <row r="28">
      <c r="A28" s="8" t="n">
        <v>24</v>
      </c>
      <c r="B28">
        <f>IFERROR(IF('Data'!$B28="","",'Data'!$B28),"")</f>
      </c>
      <c r="C28">
        <f>IFERROR(IF('Data'!$C28="","",'Data'!$C28),"")</f>
      </c>
      <c r="D28" s="8">
        <f>IFERROR(IF('Data'!$D28="","",'Data'!$D28),"")</f>
      </c>
      <c r="E28" s="14">
        <f>IFERROR(IF('Data'!$H28="","",'Data'!$H28),"")</f>
      </c>
      <c r="F28" s="14">
        <f>IFERROR(IF('Data'!$O28="","",'Data'!$O28),"")</f>
      </c>
      <c r="G28">
        <f>IFERROR(IF(OR($E28="",$F28=""),"",IF($E28&lt;=$F28,"Low","High")),"")</f>
      </c>
      <c r="H28" s="11">
        <f>IFERROR(IF('Data'!$P28="","",'Data'!$P28),"")</f>
      </c>
      <c r="I28" s="13">
        <f>IFERROR(IF('Data'!$Q28="","",'Data'!$Q28),"")</f>
      </c>
      <c r="J28">
        <f>IFERROR(IF(OR($H28="",$I28=""),"",IF($H28&gt;=$I28,"High","Low")),"")</f>
      </c>
      <c r="K28" s="15">
        <f>IFERROR(IF(OR($G28="",$J28=""),"",IF(AND($G28="Low",$J28="High"),"Prime",IF(AND($G28="High",$J28="High"),"Standard",IF(AND($G28="Low",$J28="Low"),"Sleeper","Problem")))),"")</f>
      </c>
      <c r="L28">
        <f>IFERROR(IF($K28="","",IF($K28="Prime","Low food cost and it brings a lot of margin in dollars to the total.",IF($K28="Standard","It brings a lot of margin in dollars despite a high food cost.",IF($K28="Sleeper","Healthy food cost, but it brings little margin in dollars to the total.","High food cost and it brings little margin in dollars to the total.")))),"")</f>
      </c>
      <c r="M28">
        <f>IFERROR(IF($K28="","",IF($K28="Prime","Keep it and promote it: this is where the category's money is.",IF($K28="Standard","Watch its cost card: it wins on volume, not on efficiency.",IF($K28="Sleeper","Give it visibility: the margin is there, it just needs to be ordered.","Rework the recipe or take it off the menu.")))),"")</f>
      </c>
    </row>
    <row r="29">
      <c r="A29" s="8" t="n">
        <v>25</v>
      </c>
      <c r="B29">
        <f>IFERROR(IF('Data'!$B29="","",'Data'!$B29),"")</f>
      </c>
      <c r="C29">
        <f>IFERROR(IF('Data'!$C29="","",'Data'!$C29),"")</f>
      </c>
      <c r="D29" s="8">
        <f>IFERROR(IF('Data'!$D29="","",'Data'!$D29),"")</f>
      </c>
      <c r="E29" s="14">
        <f>IFERROR(IF('Data'!$H29="","",'Data'!$H29),"")</f>
      </c>
      <c r="F29" s="14">
        <f>IFERROR(IF('Data'!$O29="","",'Data'!$O29),"")</f>
      </c>
      <c r="G29">
        <f>IFERROR(IF(OR($E29="",$F29=""),"",IF($E29&lt;=$F29,"Low","High")),"")</f>
      </c>
      <c r="H29" s="11">
        <f>IFERROR(IF('Data'!$P29="","",'Data'!$P29),"")</f>
      </c>
      <c r="I29" s="13">
        <f>IFERROR(IF('Data'!$Q29="","",'Data'!$Q29),"")</f>
      </c>
      <c r="J29">
        <f>IFERROR(IF(OR($H29="",$I29=""),"",IF($H29&gt;=$I29,"High","Low")),"")</f>
      </c>
      <c r="K29" s="15">
        <f>IFERROR(IF(OR($G29="",$J29=""),"",IF(AND($G29="Low",$J29="High"),"Prime",IF(AND($G29="High",$J29="High"),"Standard",IF(AND($G29="Low",$J29="Low"),"Sleeper","Problem")))),"")</f>
      </c>
      <c r="L29">
        <f>IFERROR(IF($K29="","",IF($K29="Prime","Low food cost and it brings a lot of margin in dollars to the total.",IF($K29="Standard","It brings a lot of margin in dollars despite a high food cost.",IF($K29="Sleeper","Healthy food cost, but it brings little margin in dollars to the total.","High food cost and it brings little margin in dollars to the total.")))),"")</f>
      </c>
      <c r="M29">
        <f>IFERROR(IF($K29="","",IF($K29="Prime","Keep it and promote it: this is where the category's money is.",IF($K29="Standard","Watch its cost card: it wins on volume, not on efficiency.",IF($K29="Sleeper","Give it visibility: the margin is there, it just needs to be ordered.","Rework the recipe or take it off the menu.")))),"")</f>
      </c>
    </row>
    <row r="30"/>
    <row r="31">
      <c r="A31" s="15" t="inlineStr">
        <is>
          <t>SUMMARY — calculated by the workbook</t>
        </is>
      </c>
    </row>
    <row r="32" ht="34" customHeight="1">
      <c r="B32" s="7" t="inlineStr">
        <is>
          <t>Classification</t>
        </is>
      </c>
      <c r="C32" s="7" t="inlineStr">
        <is>
          <t>Dishes</t>
        </is>
      </c>
      <c r="D32" s="7" t="inlineStr">
        <is>
          <t>Units sold</t>
        </is>
      </c>
      <c r="E32" s="7" t="inlineStr">
        <is>
          <t>% of menu units</t>
        </is>
      </c>
      <c r="F32" s="7" t="inlineStr">
        <is>
          <t>Total weighted CM of the group</t>
        </is>
      </c>
    </row>
    <row r="33">
      <c r="B33" s="15" t="inlineStr">
        <is>
          <t>Prime</t>
        </is>
      </c>
      <c r="C33" s="8">
        <f>COUNTIF($K$5:$K$29,$B33)</f>
        <v>7.0</v>
      </c>
      <c r="D33" s="8">
        <f>IFERROR(SUMIF($K$5:$K$29,$B33,$D$5:$D$29),"")</f>
        <v>2730.0</v>
      </c>
      <c r="E33" s="14">
        <f>IFERROR(IF(SUM($D$5:$D$29)=0,"",$D33/SUM($D$5:$D$29)),"")</f>
        <v>0.5605749486652978</v>
      </c>
      <c r="F33" s="13">
        <f>IFERROR(SUMIF($K$5:$K$29,$B33,$H$5:$H$29),"")</f>
        <v>21408.2</v>
      </c>
    </row>
    <row r="34">
      <c r="B34" s="15" t="inlineStr">
        <is>
          <t>Standard</t>
        </is>
      </c>
      <c r="C34" s="8">
        <f>COUNTIF($K$5:$K$29,$B34)</f>
        <v>3.0</v>
      </c>
      <c r="D34" s="8">
        <f>IFERROR(SUMIF($K$5:$K$29,$B34,$D$5:$D$29),"")</f>
        <v>860.0</v>
      </c>
      <c r="E34" s="14">
        <f>IFERROR(IF(SUM($D$5:$D$29)=0,"",$D34/SUM($D$5:$D$29)),"")</f>
        <v>0.17659137577002054</v>
      </c>
      <c r="F34" s="13">
        <f>IFERROR(SUMIF($K$5:$K$29,$B34,$H$5:$H$29),"")</f>
        <v>6508.0</v>
      </c>
    </row>
    <row r="35">
      <c r="B35" s="15" t="inlineStr">
        <is>
          <t>Sleeper</t>
        </is>
      </c>
      <c r="C35" s="8">
        <f>COUNTIF($K$5:$K$29,$B35)</f>
        <v>4.0</v>
      </c>
      <c r="D35" s="8">
        <f>IFERROR(SUMIF($K$5:$K$29,$B35,$D$5:$D$29),"")</f>
        <v>620.0</v>
      </c>
      <c r="E35" s="14">
        <f>IFERROR(IF(SUM($D$5:$D$29)=0,"",$D35/SUM($D$5:$D$29)),"")</f>
        <v>0.1273100616016427</v>
      </c>
      <c r="F35" s="13">
        <f>IFERROR(SUMIF($K$5:$K$29,$B35,$H$5:$H$29),"")</f>
        <v>3992.0</v>
      </c>
    </row>
    <row r="36">
      <c r="B36" s="15" t="inlineStr">
        <is>
          <t>Problem</t>
        </is>
      </c>
      <c r="C36" s="8">
        <f>COUNTIF($K$5:$K$29,$B36)</f>
        <v>6.0</v>
      </c>
      <c r="D36" s="8">
        <f>IFERROR(SUMIF($K$5:$K$29,$B36,$D$5:$D$29),"")</f>
        <v>660.0</v>
      </c>
      <c r="E36" s="14">
        <f>IFERROR(IF(SUM($D$5:$D$29)=0,"",$D36/SUM($D$5:$D$29)),"")</f>
        <v>0.13552361396303902</v>
      </c>
      <c r="F36" s="13">
        <f>IFERROR(SUMIF($K$5:$K$29,$B36,$H$5:$H$29),"")</f>
        <v>7830.0</v>
      </c>
    </row>
  </sheetData>
  <sheetProtection selectLockedCells="0" selectUnlockedCells="0" sheet="1" objects="0" insertRows="0" insertHyperlinks="1" autoFilter="1" scenarios="0" formatColumns="0" deleteColumns="1" insertColumns="1" pivotTables="1" deleteRows="1" formatCells="1" formatRows="0" sort="0"/>
  <conditionalFormatting sqref="K5:K29">
    <cfRule type="cellIs" priority="1" operator="equal" dxfId="0" stopIfTrue="1">
      <formula>"Prime"</formula>
    </cfRule>
    <cfRule type="cellIs" priority="2" operator="equal" dxfId="1" stopIfTrue="1">
      <formula>"Standard"</formula>
    </cfRule>
    <cfRule type="cellIs" priority="3" operator="equal" dxfId="3" stopIfTrue="1">
      <formula>"Sleeper"</formula>
    </cfRule>
    <cfRule type="cellIs" priority="4" operator="equal" dxfId="2" stopIfTrue="1">
      <formula>"Problem"</formula>
    </cfRule>
  </conditionalFormatting>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N3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2" customWidth="1" min="4" max="4"/>
    <col width="12" customWidth="1" min="5" max="5"/>
    <col width="12" customWidth="1" min="6" max="6"/>
    <col width="14" customWidth="1" min="7" max="7"/>
    <col width="13" customWidth="1" min="8" max="8"/>
    <col width="15" customWidth="1" min="9" max="9"/>
    <col width="15" customWidth="1" min="10" max="10"/>
    <col width="15" customWidth="1" min="11" max="11"/>
    <col width="22" customWidth="1" min="12" max="12"/>
    <col width="14" customWidth="1" min="13" max="13"/>
    <col width="62" customWidth="1" min="14" max="14"/>
  </cols>
  <sheetData>
    <row r="1">
      <c r="A1" s="1" t="inlineStr">
        <is>
          <t>Goal Value (Hayes &amp; Huffman) — the method that brings labor in</t>
        </is>
      </c>
    </row>
    <row r="2">
      <c r="A2" s="2" t="inlineStr">
        <is>
          <t>AI Chef Pro · aichef.pro — Food Cost + Menu Engineering Guide</t>
        </is>
      </c>
    </row>
    <row r="3">
      <c r="E3" s="6" t="inlineStr">
        <is>
          <t>Goal Value = (1 − food cost %) × units × menu price × (1 − (labor % + other variable % + food cost %)) — food cost counts twice: that's what sets Goal Value apart from Pavesic and penalizes the dish that's expensive to produce.</t>
        </is>
      </c>
    </row>
    <row r="4" ht="46" customHeight="1">
      <c r="A4" s="7" t="inlineStr">
        <is>
          <t>#</t>
        </is>
      </c>
      <c r="B4" s="7" t="inlineStr">
        <is>
          <t>Dish</t>
        </is>
      </c>
      <c r="C4" s="7" t="inlineStr">
        <is>
          <t>Category</t>
        </is>
      </c>
      <c r="D4" s="7" t="inlineStr">
        <is>
          <t>Units sold</t>
        </is>
      </c>
      <c r="E4" s="7" t="inlineStr">
        <is>
          <t>Dish food cost (%)</t>
        </is>
      </c>
      <c r="F4" s="7" t="inlineStr">
        <is>
          <t>Menu price pre-tax</t>
        </is>
      </c>
      <c r="G4" s="7" t="inlineStr">
        <is>
          <t>Dish Goal Value</t>
        </is>
      </c>
      <c r="H4" s="7" t="inlineStr">
        <is>
          <t>Average units in its category</t>
        </is>
      </c>
      <c r="I4" s="7" t="inlineStr">
        <is>
          <t>Category weighted avg menu price</t>
        </is>
      </c>
      <c r="J4" s="7" t="inlineStr">
        <is>
          <t>Category weighted avg food cost (%)</t>
        </is>
      </c>
      <c r="K4" s="7" t="inlineStr">
        <is>
          <t>Category Goal Value target</t>
        </is>
      </c>
      <c r="L4" s="7" t="inlineStr">
        <is>
          <t>Reading</t>
        </is>
      </c>
      <c r="M4" s="7" t="inlineStr">
        <is>
          <t>Distance from target (index)</t>
        </is>
      </c>
      <c r="N4" s="7" t="inlineStr">
        <is>
          <t>What to check</t>
        </is>
      </c>
    </row>
    <row r="5">
      <c r="A5" s="8" t="n">
        <v>1</v>
      </c>
      <c r="B5" t="str">
        <f>IFERROR(IF('Data'!$B5="","",'Data'!$B5),"")</f>
        <v>Iberico ham croquettes (6 pcs)</v>
      </c>
      <c r="C5" t="str">
        <f>IFERROR(IF('Data'!$C5="","",'Data'!$C5),"")</f>
        <v>Starters</v>
      </c>
      <c r="D5" s="8">
        <f>IFERROR(IF('Data'!$D5="","",'Data'!$D5),"")</f>
        <v>420.0</v>
      </c>
      <c r="E5" s="14">
        <f>IFERROR(IF('Data'!$H5="","",'Data'!$H5),"")</f>
        <v>0.24418604651162792</v>
      </c>
      <c r="F5" s="13">
        <f>IFERROR(IF('Data'!$F5="","",'Data'!$F5),"")</f>
        <v>8.6</v>
      </c>
      <c r="G5" s="22">
        <f>IFERROR(IF(OR($D5="",$E5="",$F5="",$D$33+$D$34+$E5&gt;=1),"",(1-$E5)*$D5*$F5*(1-($D$33+$D$34+$E5))),"")</f>
        <v>916.7720930232557</v>
      </c>
      <c r="H5" s="8">
        <f>IFERROR(IF(OR('Data'!$K5="",'Data'!$K5=0),"",'Data'!$J5/'Data'!$K5),"")</f>
        <v>247.14285714285714</v>
      </c>
      <c r="I5" s="13">
        <f>IFERROR(IF(OR('Data'!$J5="",'Data'!$J5=0),"",SUMPRODUCT(--('Data'!$C$5:$C$29='Data'!$C5),'Data'!$D$5:$D$29,'Data'!$F$5:$F$29)/'Data'!$J5),"")</f>
        <v>10.772254335260115</v>
      </c>
      <c r="J5" s="14">
        <f>IFERROR(IF('Data'!$O5="","",'Data'!$O5),"")</f>
        <v>0.3071474565357373</v>
      </c>
      <c r="K5" s="23">
        <f>IFERROR(IF(OR($H5="",$I5="",$J5="",$D$33+$D$34+$J5&gt;=1),"",(1-$J5)*$H5*$I5*(1-($D$33+$D$34+$J5))),"")</f>
        <v>503.29600588722286</v>
      </c>
      <c r="L5" s="15" t="str">
        <f>IFERROR(IF(OR($G5="",$K5=""),"",IF($G5&gt;=$K5,"Above target","Below target")),"")</f>
        <v>Above target</v>
      </c>
      <c r="M5" s="23">
        <f>IFERROR(IF(OR($G5="",$K5=""),"",$G5-$K5),"")</f>
        <v>413.47608713603285</v>
      </c>
      <c r="N5" t="str">
        <f>IFERROR(IF($L5="","",IF($L5="Above target","It meets its category's target: keep it and protect it.",IF($E5&gt;$J5,"Its food cost is above the category average: lower the cost or raise the price.",IF($D5&lt;$H5,"It sells less than its category average: it's a menu and floor problem, not a cost problem.","Its price is below its category average: check it before you touch the recipe.")))),"")</f>
        <v>It meets its category's target: keep it and protect it.</v>
      </c>
    </row>
    <row r="6">
      <c r="A6" s="8" t="n">
        <v>2</v>
      </c>
      <c r="B6" t="str">
        <f>IFERROR(IF('Data'!$B6="","",'Data'!$B6),"")</f>
        <v>Heirloom tomato salad with tuna belly and scallions</v>
      </c>
      <c r="C6" t="str">
        <f>IFERROR(IF('Data'!$C6="","",'Data'!$C6),"")</f>
        <v>Starters</v>
      </c>
      <c r="D6" s="8">
        <f>IFERROR(IF('Data'!$D6="","",'Data'!$D6),"")</f>
        <v>310.0</v>
      </c>
      <c r="E6" s="14">
        <f>IFERROR(IF('Data'!$H6="","",'Data'!$H6),"")</f>
        <v>0.30508474576271183</v>
      </c>
      <c r="F6" s="13">
        <f>IFERROR(IF('Data'!$F6="","",'Data'!$F6),"")</f>
        <v>11.8</v>
      </c>
      <c r="G6" s="22">
        <f>IFERROR(IF(OR($D6="",$E6="",$F6="",$D$33+$D$34+$E6&gt;=1),"",(1-$E6)*$D6*$F6*(1-($D$33+$D$34+$E6))),"")</f>
        <v>698.8345762711865</v>
      </c>
      <c r="H6" s="8">
        <f>IFERROR(IF(OR('Data'!$K6="",'Data'!$K6=0),"",'Data'!$J6/'Data'!$K6),"")</f>
        <v>247.14285714285714</v>
      </c>
      <c r="I6" s="13">
        <f>IFERROR(IF(OR('Data'!$J6="",'Data'!$J6=0),"",SUMPRODUCT(--('Data'!$C$5:$C$29='Data'!$C6),'Data'!$D$5:$D$29,'Data'!$F$5:$F$29)/'Data'!$J6),"")</f>
        <v>10.772254335260115</v>
      </c>
      <c r="J6" s="14">
        <f>IFERROR(IF('Data'!$O6="","",'Data'!$O6),"")</f>
        <v>0.3071474565357373</v>
      </c>
      <c r="K6" s="23">
        <f>IFERROR(IF(OR($H6="",$I6="",$J6="",$D$33+$D$34+$J6&gt;=1),"",(1-$J6)*$H6*$I6*(1-($D$33+$D$34+$J6))),"")</f>
        <v>503.29600588722286</v>
      </c>
      <c r="L6" s="15" t="str">
        <f>IFERROR(IF(OR($G6="",$K6=""),"",IF($G6&gt;=$K6,"Above target","Below target")),"")</f>
        <v>Above target</v>
      </c>
      <c r="M6" s="23">
        <f>IFERROR(IF(OR($G6="",$K6=""),"",$G6-$K6),"")</f>
        <v>195.53857038396364</v>
      </c>
      <c r="N6" t="str">
        <f>IFERROR(IF($L6="","",IF($L6="Above target","It meets its category's target: keep it and protect it.",IF($E6&gt;$J6,"Its food cost is above the category average: lower the cost or raise the price.",IF($D6&lt;$H6,"It sells less than its category average: it's a menu and floor problem, not a cost problem.","Its price is below its category average: check it before you touch the recipe.")))),"")</f>
        <v>It meets its category's target: keep it and protect it.</v>
      </c>
    </row>
    <row r="7">
      <c r="A7" s="8" t="n">
        <v>3</v>
      </c>
      <c r="B7" t="str">
        <f>IFERROR(IF('Data'!$B7="","",'Data'!$B7),"")</f>
        <v>Garlic shrimp</v>
      </c>
      <c r="C7" t="str">
        <f>IFERROR(IF('Data'!$C7="","",'Data'!$C7),"")</f>
        <v>Starters</v>
      </c>
      <c r="D7" s="8">
        <f>IFERROR(IF('Data'!$D7="","",'Data'!$D7),"")</f>
        <v>260.0</v>
      </c>
      <c r="E7" s="14">
        <f>IFERROR(IF('Data'!$H7="","",'Data'!$H7),"")</f>
        <v>0.44516129032258067</v>
      </c>
      <c r="F7" s="13">
        <f>IFERROR(IF('Data'!$F7="","",'Data'!$F7),"")</f>
        <v>15.5</v>
      </c>
      <c r="G7" s="22">
        <f>IFERROR(IF(OR($D7="",$E7="",$F7="",$D$33+$D$34+$E7&gt;=1),"",(1-$E7)*$D7*$F7*(1-($D$33+$D$34+$E7))),"")</f>
        <v>301.4993548387095</v>
      </c>
      <c r="H7" s="8">
        <f>IFERROR(IF(OR('Data'!$K7="",'Data'!$K7=0),"",'Data'!$J7/'Data'!$K7),"")</f>
        <v>247.14285714285714</v>
      </c>
      <c r="I7" s="13">
        <f>IFERROR(IF(OR('Data'!$J7="",'Data'!$J7=0),"",SUMPRODUCT(--('Data'!$C$5:$C$29='Data'!$C7),'Data'!$D$5:$D$29,'Data'!$F$5:$F$29)/'Data'!$J7),"")</f>
        <v>10.772254335260115</v>
      </c>
      <c r="J7" s="14">
        <f>IFERROR(IF('Data'!$O7="","",'Data'!$O7),"")</f>
        <v>0.3071474565357373</v>
      </c>
      <c r="K7" s="23">
        <f>IFERROR(IF(OR($H7="",$I7="",$J7="",$D$33+$D$34+$J7&gt;=1),"",(1-$J7)*$H7*$I7*(1-($D$33+$D$34+$J7))),"")</f>
        <v>503.29600588722286</v>
      </c>
      <c r="L7" s="15" t="str">
        <f>IFERROR(IF(OR($G7="",$K7=""),"",IF($G7&gt;=$K7,"Above target","Below target")),"")</f>
        <v>Below target</v>
      </c>
      <c r="M7" s="23">
        <f>IFERROR(IF(OR($G7="",$K7=""),"",$G7-$K7),"")</f>
        <v>-201.79665104851335</v>
      </c>
      <c r="N7" t="str">
        <f>IFERROR(IF($L7="","",IF($L7="Above target","It meets its category's target: keep it and protect it.",IF($E7&gt;$J7,"Its food cost is above the category average: lower the cost or raise the price.",IF($D7&lt;$H7,"It sells less than its category average: it's a menu and floor problem, not a cost problem.","Its price is below its category average: check it before you touch the recipe.")))),"")</f>
        <v>Its food cost is above the category average: lower the cost or raise the price.</v>
      </c>
    </row>
    <row r="8">
      <c r="A8" s="8" t="n">
        <v>4</v>
      </c>
      <c r="B8" t="str">
        <f>IFERROR(IF('Data'!$B8="","",'Data'!$B8),"")</f>
        <v>Broken eggs with potatoes and chistorra sausage</v>
      </c>
      <c r="C8" t="str">
        <f>IFERROR(IF('Data'!$C8="","",'Data'!$C8),"")</f>
        <v>Starters</v>
      </c>
      <c r="D8" s="8">
        <f>IFERROR(IF('Data'!$D8="","",'Data'!$D8),"")</f>
        <v>380.0</v>
      </c>
      <c r="E8" s="14">
        <f>IFERROR(IF('Data'!$H8="","",'Data'!$H8),"")</f>
        <v>0.24489795918367344</v>
      </c>
      <c r="F8" s="13">
        <f>IFERROR(IF('Data'!$F8="","",'Data'!$F8),"")</f>
        <v>9.8</v>
      </c>
      <c r="G8" s="22">
        <f>IFERROR(IF(OR($D8="",$E8="",$F8="",$D$33+$D$34+$E8&gt;=1),"",(1-$E8)*$D8*$F8*(1-($D$33+$D$34+$E8))),"")</f>
        <v>942.3069387755104</v>
      </c>
      <c r="H8" s="8">
        <f>IFERROR(IF(OR('Data'!$K8="",'Data'!$K8=0),"",'Data'!$J8/'Data'!$K8),"")</f>
        <v>247.14285714285714</v>
      </c>
      <c r="I8" s="13">
        <f>IFERROR(IF(OR('Data'!$J8="",'Data'!$J8=0),"",SUMPRODUCT(--('Data'!$C$5:$C$29='Data'!$C8),'Data'!$D$5:$D$29,'Data'!$F$5:$F$29)/'Data'!$J8),"")</f>
        <v>10.772254335260115</v>
      </c>
      <c r="J8" s="14">
        <f>IFERROR(IF('Data'!$O8="","",'Data'!$O8),"")</f>
        <v>0.3071474565357373</v>
      </c>
      <c r="K8" s="23">
        <f>IFERROR(IF(OR($H8="",$I8="",$J8="",$D$33+$D$34+$J8&gt;=1),"",(1-$J8)*$H8*$I8*(1-($D$33+$D$34+$J8))),"")</f>
        <v>503.29600588722286</v>
      </c>
      <c r="L8" s="15" t="str">
        <f>IFERROR(IF(OR($G8="",$K8=""),"",IF($G8&gt;=$K8,"Above target","Below target")),"")</f>
        <v>Above target</v>
      </c>
      <c r="M8" s="23">
        <f>IFERROR(IF(OR($G8="",$K8=""),"",$G8-$K8),"")</f>
        <v>439.0109328882875</v>
      </c>
      <c r="N8" t="str">
        <f>IFERROR(IF($L8="","",IF($L8="Above target","It meets its category's target: keep it and protect it.",IF($E8&gt;$J8,"Its food cost is above the category average: lower the cost or raise the price.",IF($D8&lt;$H8,"It sells less than its category average: it's a menu and floor problem, not a cost problem.","Its price is below its category average: check it before you touch the recipe.")))),"")</f>
        <v>It meets its category's target: keep it and protect it.</v>
      </c>
    </row>
    <row r="9">
      <c r="A9" s="8" t="n">
        <v>5</v>
      </c>
      <c r="B9" t="str">
        <f>IFERROR(IF('Data'!$B9="","",'Data'!$B9),"")</f>
        <v>Local cheese board</v>
      </c>
      <c r="C9" t="str">
        <f>IFERROR(IF('Data'!$C9="","",'Data'!$C9),"")</f>
        <v>Starters</v>
      </c>
      <c r="D9" s="8">
        <f>IFERROR(IF('Data'!$D9="","",'Data'!$D9),"")</f>
        <v>90.0</v>
      </c>
      <c r="E9" s="14">
        <f>IFERROR(IF('Data'!$H9="","",'Data'!$H9),"")</f>
        <v>0.3823529411764706</v>
      </c>
      <c r="F9" s="13">
        <f>IFERROR(IF('Data'!$F9="","",'Data'!$F9),"")</f>
        <v>13.6</v>
      </c>
      <c r="G9" s="22">
        <f>IFERROR(IF(OR($D9="",$E9="",$F9="",$D$33+$D$34+$E9&gt;=1),"",(1-$E9)*$D9*$F9*(1-($D$33+$D$34+$E9))),"")</f>
        <v>149.42117647058814</v>
      </c>
      <c r="H9" s="8">
        <f>IFERROR(IF(OR('Data'!$K9="",'Data'!$K9=0),"",'Data'!$J9/'Data'!$K9),"")</f>
        <v>247.14285714285714</v>
      </c>
      <c r="I9" s="13">
        <f>IFERROR(IF(OR('Data'!$J9="",'Data'!$J9=0),"",SUMPRODUCT(--('Data'!$C$5:$C$29='Data'!$C9),'Data'!$D$5:$D$29,'Data'!$F$5:$F$29)/'Data'!$J9),"")</f>
        <v>10.772254335260115</v>
      </c>
      <c r="J9" s="14">
        <f>IFERROR(IF('Data'!$O9="","",'Data'!$O9),"")</f>
        <v>0.3071474565357373</v>
      </c>
      <c r="K9" s="23">
        <f>IFERROR(IF(OR($H9="",$I9="",$J9="",$D$33+$D$34+$J9&gt;=1),"",(1-$J9)*$H9*$I9*(1-($D$33+$D$34+$J9))),"")</f>
        <v>503.29600588722286</v>
      </c>
      <c r="L9" s="15" t="str">
        <f>IFERROR(IF(OR($G9="",$K9=""),"",IF($G9&gt;=$K9,"Above target","Below target")),"")</f>
        <v>Below target</v>
      </c>
      <c r="M9" s="23">
        <f>IFERROR(IF(OR($G9="",$K9=""),"",$G9-$K9),"")</f>
        <v>-353.8748294166347</v>
      </c>
      <c r="N9" t="str">
        <f>IFERROR(IF($L9="","",IF($L9="Above target","It meets its category's target: keep it and protect it.",IF($E9&gt;$J9,"Its food cost is above the category average: lower the cost or raise the price.",IF($D9&lt;$H9,"It sells less than its category average: it's a menu and floor problem, not a cost problem.","Its price is below its category average: check it before you touch the recipe.")))),"")</f>
        <v>Its food cost is above the category average: lower the cost or raise the price.</v>
      </c>
    </row>
    <row r="10">
      <c r="A10" s="8" t="n">
        <v>6</v>
      </c>
      <c r="B10" t="str">
        <f>IFERROR(IF('Data'!$B10="","",'Data'!$B10),"")</f>
        <v>Confit artichokes with ham</v>
      </c>
      <c r="C10" t="str">
        <f>IFERROR(IF('Data'!$C10="","",'Data'!$C10),"")</f>
        <v>Starters</v>
      </c>
      <c r="D10" s="8">
        <f>IFERROR(IF('Data'!$D10="","",'Data'!$D10),"")</f>
        <v>120.0</v>
      </c>
      <c r="E10" s="14">
        <f>IFERROR(IF('Data'!$H10="","",'Data'!$H10),"")</f>
        <v>0.28440366972477066</v>
      </c>
      <c r="F10" s="13">
        <f>IFERROR(IF('Data'!$F10="","",'Data'!$F10),"")</f>
        <v>10.9</v>
      </c>
      <c r="G10" s="22">
        <f>IFERROR(IF(OR($D10="",$E10="",$F10="",$D$33+$D$34+$E10&gt;=1),"",(1-$E10)*$D10*$F10*(1-($D$33+$D$34+$E10))),"")</f>
        <v>276.67816513761466</v>
      </c>
      <c r="H10" s="8">
        <f>IFERROR(IF(OR('Data'!$K10="",'Data'!$K10=0),"",'Data'!$J10/'Data'!$K10),"")</f>
        <v>247.14285714285714</v>
      </c>
      <c r="I10" s="13">
        <f>IFERROR(IF(OR('Data'!$J10="",'Data'!$J10=0),"",SUMPRODUCT(--('Data'!$C$5:$C$29='Data'!$C10),'Data'!$D$5:$D$29,'Data'!$F$5:$F$29)/'Data'!$J10),"")</f>
        <v>10.772254335260115</v>
      </c>
      <c r="J10" s="14">
        <f>IFERROR(IF('Data'!$O10="","",'Data'!$O10),"")</f>
        <v>0.3071474565357373</v>
      </c>
      <c r="K10" s="23">
        <f>IFERROR(IF(OR($H10="",$I10="",$J10="",$D$33+$D$34+$J10&gt;=1),"",(1-$J10)*$H10*$I10*(1-($D$33+$D$34+$J10))),"")</f>
        <v>503.29600588722286</v>
      </c>
      <c r="L10" s="15" t="str">
        <f>IFERROR(IF(OR($G10="",$K10=""),"",IF($G10&gt;=$K10,"Above target","Below target")),"")</f>
        <v>Below target</v>
      </c>
      <c r="M10" s="23">
        <f>IFERROR(IF(OR($G10="",$K10=""),"",$G10-$K10),"")</f>
        <v>-226.6178407496082</v>
      </c>
      <c r="N10" t="str">
        <f>IFERROR(IF($L10="","",IF($L10="Above target","It meets its category's target: keep it and protect it.",IF($E10&gt;$J10,"Its food cost is above the category average: lower the cost or raise the price.",IF($D10&lt;$H10,"It sells less than its category average: it's a menu and floor problem, not a cost problem.","Its price is below its category average: check it before you touch the recipe.")))),"")</f>
        <v>It sells less than its category average: it's a menu and floor problem, not a cost problem.</v>
      </c>
    </row>
    <row r="11">
      <c r="A11" s="8" t="n">
        <v>7</v>
      </c>
      <c r="B11" t="str">
        <f>IFERROR(IF('Data'!$B11="","",'Data'!$B11),"")</f>
        <v>Roasted tomato soup with basil</v>
      </c>
      <c r="C11" t="str">
        <f>IFERROR(IF('Data'!$C11="","",'Data'!$C11),"")</f>
        <v>Starters</v>
      </c>
      <c r="D11" s="8">
        <f>IFERROR(IF('Data'!$D11="","",'Data'!$D11),"")</f>
        <v>150.0</v>
      </c>
      <c r="E11" s="14">
        <f>IFERROR(IF('Data'!$H11="","",'Data'!$H11),"")</f>
        <v>0.16666666666666666</v>
      </c>
      <c r="F11" s="13">
        <f>IFERROR(IF('Data'!$F11="","",'Data'!$F11),"")</f>
        <v>7.2</v>
      </c>
      <c r="G11" s="22">
        <f>IFERROR(IF(OR($D11="",$E11="",$F11="",$D$33+$D$34+$E11&gt;=1),"",(1-$E11)*$D11*$F11*(1-($D$33+$D$34+$E11))),"")</f>
        <v>372.0</v>
      </c>
      <c r="H11" s="8">
        <f>IFERROR(IF(OR('Data'!$K11="",'Data'!$K11=0),"",'Data'!$J11/'Data'!$K11),"")</f>
        <v>247.14285714285714</v>
      </c>
      <c r="I11" s="13">
        <f>IFERROR(IF(OR('Data'!$J11="",'Data'!$J11=0),"",SUMPRODUCT(--('Data'!$C$5:$C$29='Data'!$C11),'Data'!$D$5:$D$29,'Data'!$F$5:$F$29)/'Data'!$J11),"")</f>
        <v>10.772254335260115</v>
      </c>
      <c r="J11" s="14">
        <f>IFERROR(IF('Data'!$O11="","",'Data'!$O11),"")</f>
        <v>0.3071474565357373</v>
      </c>
      <c r="K11" s="23">
        <f>IFERROR(IF(OR($H11="",$I11="",$J11="",$D$33+$D$34+$J11&gt;=1),"",(1-$J11)*$H11*$I11*(1-($D$33+$D$34+$J11))),"")</f>
        <v>503.29600588722286</v>
      </c>
      <c r="L11" s="15" t="str">
        <f>IFERROR(IF(OR($G11="",$K11=""),"",IF($G11&gt;=$K11,"Above target","Below target")),"")</f>
        <v>Below target</v>
      </c>
      <c r="M11" s="23">
        <f>IFERROR(IF(OR($G11="",$K11=""),"",$G11-$K11),"")</f>
        <v>-131.29600588722286</v>
      </c>
      <c r="N11" t="str">
        <f>IFERROR(IF($L11="","",IF($L11="Above target","It meets its category's target: keep it and protect it.",IF($E11&gt;$J11,"Its food cost is above the category average: lower the cost or raise the price.",IF($D11&lt;$H11,"It sells less than its category average: it's a menu and floor problem, not a cost problem.","Its price is below its category average: check it before you touch the recipe.")))),"")</f>
        <v>It sells less than its category average: it's a menu and floor problem, not a cost problem.</v>
      </c>
    </row>
    <row r="12">
      <c r="A12" s="8" t="n">
        <v>8</v>
      </c>
      <c r="B12" t="str">
        <f>IFERROR(IF('Data'!$B12="","",'Data'!$B12),"")</f>
        <v>Iberico pork tenderloin with sweet potato purée</v>
      </c>
      <c r="C12" t="str">
        <f>IFERROR(IF('Data'!$C12="","",'Data'!$C12),"")</f>
        <v>Mains</v>
      </c>
      <c r="D12" s="8">
        <f>IFERROR(IF('Data'!$D12="","",'Data'!$D12),"")</f>
        <v>340.0</v>
      </c>
      <c r="E12" s="14">
        <f>IFERROR(IF('Data'!$H12="","",'Data'!$H12),"")</f>
        <v>0.32774566473988437</v>
      </c>
      <c r="F12" s="13">
        <f>IFERROR(IF('Data'!$F12="","",'Data'!$F12),"")</f>
        <v>17.3</v>
      </c>
      <c r="G12" s="22">
        <f>IFERROR(IF(OR($D12="",$E12="",$F12="",$D$33+$D$34+$E12&gt;=1),"",(1-$E12)*$D12*$F12*(1-($D$33+$D$34+$E12))),"")</f>
        <v>997.4640924855493</v>
      </c>
      <c r="H12" s="8">
        <f>IFERROR(IF(OR('Data'!$K12="",'Data'!$K12=0),"",'Data'!$J12/'Data'!$K12),"")</f>
        <v>224.44444444444446</v>
      </c>
      <c r="I12" s="13">
        <f>IFERROR(IF(OR('Data'!$J12="",'Data'!$J12=0),"",SUMPRODUCT(--('Data'!$C$5:$C$29='Data'!$C12),'Data'!$D$5:$D$29,'Data'!$F$5:$F$29)/'Data'!$J12),"")</f>
        <v>16.75940594059406</v>
      </c>
      <c r="J12" s="14">
        <f>IFERROR(IF('Data'!$O12="","",'Data'!$O12),"")</f>
        <v>0.3558752289242039</v>
      </c>
      <c r="K12" s="23">
        <f>IFERROR(IF(OR($H12="",$I12="",$J12="",$D$33+$D$34+$J12&gt;=1),"",(1-$J12)*$H12*$I12*(1-($D$33+$D$34+$J12))),"")</f>
        <v>543.0343981147805</v>
      </c>
      <c r="L12" s="15" t="str">
        <f>IFERROR(IF(OR($G12="",$K12=""),"",IF($G12&gt;=$K12,"Above target","Below target")),"")</f>
        <v>Above target</v>
      </c>
      <c r="M12" s="23">
        <f>IFERROR(IF(OR($G12="",$K12=""),"",$G12-$K12),"")</f>
        <v>454.42969437076874</v>
      </c>
      <c r="N12" t="str">
        <f>IFERROR(IF($L12="","",IF($L12="Above target","It meets its category's target: keep it and protect it.",IF($E12&gt;$J12,"Its food cost is above the category average: lower the cost or raise the price.",IF($D12&lt;$H12,"It sells less than its category average: it's a menu and floor problem, not a cost problem.","Its price is below its category average: check it before you touch the recipe.")))),"")</f>
        <v>It meets its category's target: keep it and protect it.</v>
      </c>
    </row>
    <row r="13">
      <c r="A13" s="8" t="n">
        <v>9</v>
      </c>
      <c r="B13" t="str">
        <f>IFERROR(IF('Data'!$B13="","",'Data'!$B13),"")</f>
        <v>Confit cod in pil-pil sauce</v>
      </c>
      <c r="C13" t="str">
        <f>IFERROR(IF('Data'!$C13="","",'Data'!$C13),"")</f>
        <v>Mains</v>
      </c>
      <c r="D13" s="8">
        <f>IFERROR(IF('Data'!$D13="","",'Data'!$D13),"")</f>
        <v>190.0</v>
      </c>
      <c r="E13" s="14">
        <f>IFERROR(IF('Data'!$H13="","",'Data'!$H13),"")</f>
        <v>0.38743455497382195</v>
      </c>
      <c r="F13" s="13">
        <f>IFERROR(IF('Data'!$F13="","",'Data'!$F13),"")</f>
        <v>19.1</v>
      </c>
      <c r="G13" s="22">
        <f>IFERROR(IF(OR($D13="",$E13="",$F13="",$D$33+$D$34+$E13&gt;=1),"",(1-$E13)*$D13*$F13*(1-($D$33+$D$34+$E13))),"")</f>
        <v>428.0729842931937</v>
      </c>
      <c r="H13" s="8">
        <f>IFERROR(IF(OR('Data'!$K13="",'Data'!$K13=0),"",'Data'!$J13/'Data'!$K13),"")</f>
        <v>224.44444444444446</v>
      </c>
      <c r="I13" s="13">
        <f>IFERROR(IF(OR('Data'!$J13="",'Data'!$J13=0),"",SUMPRODUCT(--('Data'!$C$5:$C$29='Data'!$C13),'Data'!$D$5:$D$29,'Data'!$F$5:$F$29)/'Data'!$J13),"")</f>
        <v>16.75940594059406</v>
      </c>
      <c r="J13" s="14">
        <f>IFERROR(IF('Data'!$O13="","",'Data'!$O13),"")</f>
        <v>0.3558752289242039</v>
      </c>
      <c r="K13" s="23">
        <f>IFERROR(IF(OR($H13="",$I13="",$J13="",$D$33+$D$34+$J13&gt;=1),"",(1-$J13)*$H13*$I13*(1-($D$33+$D$34+$J13))),"")</f>
        <v>543.0343981147805</v>
      </c>
      <c r="L13" s="15" t="str">
        <f>IFERROR(IF(OR($G13="",$K13=""),"",IF($G13&gt;=$K13,"Above target","Below target")),"")</f>
        <v>Below target</v>
      </c>
      <c r="M13" s="23">
        <f>IFERROR(IF(OR($G13="",$K13=""),"",$G13-$K13),"")</f>
        <v>-114.9614138215868</v>
      </c>
      <c r="N13" t="str">
        <f>IFERROR(IF($L13="","",IF($L13="Above target","It meets its category's target: keep it and protect it.",IF($E13&gt;$J13,"Its food cost is above the category average: lower the cost or raise the price.",IF($D13&lt;$H13,"It sells less than its category average: it's a menu and floor problem, not a cost problem.","Its price is below its category average: check it before you touch the recipe.")))),"")</f>
        <v>Its food cost is above the category average: lower the cost or raise the price.</v>
      </c>
    </row>
    <row r="14">
      <c r="A14" s="8" t="n">
        <v>10</v>
      </c>
      <c r="B14" t="str">
        <f>IFERROR(IF('Data'!$B14="","",'Data'!$B14),"")</f>
        <v>Dry-aged beef burger with fries</v>
      </c>
      <c r="C14" t="str">
        <f>IFERROR(IF('Data'!$C14="","",'Data'!$C14),"")</f>
        <v>Mains</v>
      </c>
      <c r="D14" s="8">
        <f>IFERROR(IF('Data'!$D14="","",'Data'!$D14),"")</f>
        <v>460.0</v>
      </c>
      <c r="E14" s="14">
        <f>IFERROR(IF('Data'!$H14="","",'Data'!$H14),"")</f>
        <v>0.3161764705882353</v>
      </c>
      <c r="F14" s="13">
        <f>IFERROR(IF('Data'!$F14="","",'Data'!$F14),"")</f>
        <v>13.6</v>
      </c>
      <c r="G14" s="22">
        <f>IFERROR(IF(OR($D14="",$E14="",$F14="",$D$33+$D$34+$E14&gt;=1),"",(1-$E14)*$D14*$F14*(1-($D$33+$D$34+$E14))),"")</f>
        <v>1128.6370588235293</v>
      </c>
      <c r="H14" s="8">
        <f>IFERROR(IF(OR('Data'!$K14="",'Data'!$K14=0),"",'Data'!$J14/'Data'!$K14),"")</f>
        <v>224.44444444444446</v>
      </c>
      <c r="I14" s="13">
        <f>IFERROR(IF(OR('Data'!$J14="",'Data'!$J14=0),"",SUMPRODUCT(--('Data'!$C$5:$C$29='Data'!$C14),'Data'!$D$5:$D$29,'Data'!$F$5:$F$29)/'Data'!$J14),"")</f>
        <v>16.75940594059406</v>
      </c>
      <c r="J14" s="14">
        <f>IFERROR(IF('Data'!$O14="","",'Data'!$O14),"")</f>
        <v>0.3558752289242039</v>
      </c>
      <c r="K14" s="23">
        <f>IFERROR(IF(OR($H14="",$I14="",$J14="",$D$33+$D$34+$J14&gt;=1),"",(1-$J14)*$H14*$I14*(1-($D$33+$D$34+$J14))),"")</f>
        <v>543.0343981147805</v>
      </c>
      <c r="L14" s="15" t="str">
        <f>IFERROR(IF(OR($G14="",$K14=""),"",IF($G14&gt;=$K14,"Above target","Below target")),"")</f>
        <v>Above target</v>
      </c>
      <c r="M14" s="23">
        <f>IFERROR(IF(OR($G14="",$K14=""),"",$G14-$K14),"")</f>
        <v>585.6026607087488</v>
      </c>
      <c r="N14" t="str">
        <f>IFERROR(IF($L14="","",IF($L14="Above target","It meets its category's target: keep it and protect it.",IF($E14&gt;$J14,"Its food cost is above the category average: lower the cost or raise the price.",IF($D14&lt;$H14,"It sells less than its category average: it's a menu and floor problem, not a cost problem.","Its price is below its category average: check it before you touch the recipe.")))),"")</f>
        <v>It meets its category's target: keep it and protect it.</v>
      </c>
    </row>
    <row r="15">
      <c r="A15" s="8" t="n">
        <v>11</v>
      </c>
      <c r="B15" t="str">
        <f>IFERROR(IF('Data'!$B15="","",'Data'!$B15),"")</f>
        <v>Creamy rice with Iberico pork secreto and mushrooms</v>
      </c>
      <c r="C15" t="str">
        <f>IFERROR(IF('Data'!$C15="","",'Data'!$C15),"")</f>
        <v>Mains</v>
      </c>
      <c r="D15" s="8">
        <f>IFERROR(IF('Data'!$D15="","",'Data'!$D15),"")</f>
        <v>270.0</v>
      </c>
      <c r="E15" s="14">
        <f>IFERROR(IF('Data'!$H15="","",'Data'!$H15),"")</f>
        <v>0.37804878048780494</v>
      </c>
      <c r="F15" s="13">
        <f>IFERROR(IF('Data'!$F15="","",'Data'!$F15),"")</f>
        <v>16.4</v>
      </c>
      <c r="G15" s="22">
        <f>IFERROR(IF(OR($D15="",$E15="",$F15="",$D$33+$D$34+$E15&gt;=1),"",(1-$E15)*$D15*$F15*(1-($D$33+$D$34+$E15))),"")</f>
        <v>556.1736585365852</v>
      </c>
      <c r="H15" s="8">
        <f>IFERROR(IF(OR('Data'!$K15="",'Data'!$K15=0),"",'Data'!$J15/'Data'!$K15),"")</f>
        <v>224.44444444444446</v>
      </c>
      <c r="I15" s="13">
        <f>IFERROR(IF(OR('Data'!$J15="",'Data'!$J15=0),"",SUMPRODUCT(--('Data'!$C$5:$C$29='Data'!$C15),'Data'!$D$5:$D$29,'Data'!$F$5:$F$29)/'Data'!$J15),"")</f>
        <v>16.75940594059406</v>
      </c>
      <c r="J15" s="14">
        <f>IFERROR(IF('Data'!$O15="","",'Data'!$O15),"")</f>
        <v>0.3558752289242039</v>
      </c>
      <c r="K15" s="23">
        <f>IFERROR(IF(OR($H15="",$I15="",$J15="",$D$33+$D$34+$J15&gt;=1),"",(1-$J15)*$H15*$I15*(1-($D$33+$D$34+$J15))),"")</f>
        <v>543.0343981147805</v>
      </c>
      <c r="L15" s="15" t="str">
        <f>IFERROR(IF(OR($G15="",$K15=""),"",IF($G15&gt;=$K15,"Above target","Below target")),"")</f>
        <v>Above target</v>
      </c>
      <c r="M15" s="23">
        <f>IFERROR(IF(OR($G15="",$K15=""),"",$G15-$K15),"")</f>
        <v>13.139260421804693</v>
      </c>
      <c r="N15" t="str">
        <f>IFERROR(IF($L15="","",IF($L15="Above target","It meets its category's target: keep it and protect it.",IF($E15&gt;$J15,"Its food cost is above the category average: lower the cost or raise the price.",IF($D15&lt;$H15,"It sells less than its category average: it's a menu and floor problem, not a cost problem.","Its price is below its category average: check it before you touch the recipe.")))),"")</f>
        <v>It meets its category's target: keep it and protect it.</v>
      </c>
    </row>
    <row r="16">
      <c r="A16" s="8" t="n">
        <v>12</v>
      </c>
      <c r="B16" t="str">
        <f>IFERROR(IF('Data'!$B16="","",'Data'!$B16),"")</f>
        <v>Dry-aged bone-in ribeye (17.64 oz)</v>
      </c>
      <c r="C16" t="str">
        <f>IFERROR(IF('Data'!$C16="","",'Data'!$C16),"")</f>
        <v>Mains</v>
      </c>
      <c r="D16" s="8">
        <f>IFERROR(IF('Data'!$D16="","",'Data'!$D16),"")</f>
        <v>110.0</v>
      </c>
      <c r="E16" s="14">
        <f>IFERROR(IF('Data'!$H16="","",'Data'!$H16),"")</f>
        <v>0.4525993883792049</v>
      </c>
      <c r="F16" s="13">
        <f>IFERROR(IF('Data'!$F16="","",'Data'!$F16),"")</f>
        <v>32.7</v>
      </c>
      <c r="G16" s="22">
        <f>IFERROR(IF(OR($D16="",$E16="",$F16="",$D$33+$D$34+$E16&gt;=1),"",(1-$E16)*$D16*$F16*(1-($D$33+$D$34+$E16))),"")</f>
        <v>250.85180428134555</v>
      </c>
      <c r="H16" s="8">
        <f>IFERROR(IF(OR('Data'!$K16="",'Data'!$K16=0),"",'Data'!$J16/'Data'!$K16),"")</f>
        <v>224.44444444444446</v>
      </c>
      <c r="I16" s="13">
        <f>IFERROR(IF(OR('Data'!$J16="",'Data'!$J16=0),"",SUMPRODUCT(--('Data'!$C$5:$C$29='Data'!$C16),'Data'!$D$5:$D$29,'Data'!$F$5:$F$29)/'Data'!$J16),"")</f>
        <v>16.75940594059406</v>
      </c>
      <c r="J16" s="14">
        <f>IFERROR(IF('Data'!$O16="","",'Data'!$O16),"")</f>
        <v>0.3558752289242039</v>
      </c>
      <c r="K16" s="23">
        <f>IFERROR(IF(OR($H16="",$I16="",$J16="",$D$33+$D$34+$J16&gt;=1),"",(1-$J16)*$H16*$I16*(1-($D$33+$D$34+$J16))),"")</f>
        <v>543.0343981147805</v>
      </c>
      <c r="L16" s="15" t="str">
        <f>IFERROR(IF(OR($G16="",$K16=""),"",IF($G16&gt;=$K16,"Above target","Below target")),"")</f>
        <v>Below target</v>
      </c>
      <c r="M16" s="23">
        <f>IFERROR(IF(OR($G16="",$K16=""),"",$G16-$K16),"")</f>
        <v>-292.18259383343496</v>
      </c>
      <c r="N16" t="str">
        <f>IFERROR(IF($L16="","",IF($L16="Above target","It meets its category's target: keep it and protect it.",IF($E16&gt;$J16,"Its food cost is above the category average: lower the cost or raise the price.",IF($D16&lt;$H16,"It sells less than its category average: it's a menu and floor problem, not a cost problem.","Its price is below its category average: check it before you touch the recipe.")))),"")</f>
        <v>Its food cost is above the category average: lower the cost or raise the price.</v>
      </c>
    </row>
    <row r="17">
      <c r="A17" s="8" t="n">
        <v>13</v>
      </c>
      <c r="B17" t="str">
        <f>IFERROR(IF('Data'!$B17="","",'Data'!$B17),"")</f>
        <v>Salt-baked sea bass</v>
      </c>
      <c r="C17" t="str">
        <f>IFERROR(IF('Data'!$C17="","",'Data'!$C17),"")</f>
        <v>Mains</v>
      </c>
      <c r="D17" s="8">
        <f>IFERROR(IF('Data'!$D17="","",'Data'!$D17),"")</f>
        <v>80.0</v>
      </c>
      <c r="E17" s="14">
        <f>IFERROR(IF('Data'!$H17="","",'Data'!$H17),"")</f>
        <v>0.40825688073394495</v>
      </c>
      <c r="F17" s="13">
        <f>IFERROR(IF('Data'!$F17="","",'Data'!$F17),"")</f>
        <v>21.8</v>
      </c>
      <c r="G17" s="22">
        <f>IFERROR(IF(OR($D17="",$E17="",$F17="",$D$33+$D$34+$E17&gt;=1),"",(1-$E17)*$D17*$F17*(1-($D$33+$D$34+$E17))),"")</f>
        <v>177.23889908256876</v>
      </c>
      <c r="H17" s="8">
        <f>IFERROR(IF(OR('Data'!$K17="",'Data'!$K17=0),"",'Data'!$J17/'Data'!$K17),"")</f>
        <v>224.44444444444446</v>
      </c>
      <c r="I17" s="13">
        <f>IFERROR(IF(OR('Data'!$J17="",'Data'!$J17=0),"",SUMPRODUCT(--('Data'!$C$5:$C$29='Data'!$C17),'Data'!$D$5:$D$29,'Data'!$F$5:$F$29)/'Data'!$J17),"")</f>
        <v>16.75940594059406</v>
      </c>
      <c r="J17" s="14">
        <f>IFERROR(IF('Data'!$O17="","",'Data'!$O17),"")</f>
        <v>0.3558752289242039</v>
      </c>
      <c r="K17" s="23">
        <f>IFERROR(IF(OR($H17="",$I17="",$J17="",$D$33+$D$34+$J17&gt;=1),"",(1-$J17)*$H17*$I17*(1-($D$33+$D$34+$J17))),"")</f>
        <v>543.0343981147805</v>
      </c>
      <c r="L17" s="15" t="str">
        <f>IFERROR(IF(OR($G17="",$K17=""),"",IF($G17&gt;=$K17,"Above target","Below target")),"")</f>
        <v>Below target</v>
      </c>
      <c r="M17" s="23">
        <f>IFERROR(IF(OR($G17="",$K17=""),"",$G17-$K17),"")</f>
        <v>-365.79549903221175</v>
      </c>
      <c r="N17" t="str">
        <f>IFERROR(IF($L17="","",IF($L17="Above target","It meets its category's target: keep it and protect it.",IF($E17&gt;$J17,"Its food cost is above the category average: lower the cost or raise the price.",IF($D17&lt;$H17,"It sells less than its category average: it's a menu and floor problem, not a cost problem.","Its price is below its category average: check it before you touch the recipe.")))),"")</f>
        <v>Its food cost is above the category average: lower the cost or raise the price.</v>
      </c>
    </row>
    <row r="18">
      <c r="A18" s="8" t="n">
        <v>14</v>
      </c>
      <c r="B18" t="str">
        <f>IFERROR(IF('Data'!$B18="","",'Data'!$B18),"")</f>
        <v>Free-range roast chicken with potatoes</v>
      </c>
      <c r="C18" t="str">
        <f>IFERROR(IF('Data'!$C18="","",'Data'!$C18),"")</f>
        <v>Mains</v>
      </c>
      <c r="D18" s="8">
        <f>IFERROR(IF('Data'!$D18="","",'Data'!$D18),"")</f>
        <v>300.0</v>
      </c>
      <c r="E18" s="14">
        <f>IFERROR(IF('Data'!$H18="","",'Data'!$H18),"")</f>
        <v>0.2913385826771654</v>
      </c>
      <c r="F18" s="13">
        <f>IFERROR(IF('Data'!$F18="","",'Data'!$F18),"")</f>
        <v>12.7</v>
      </c>
      <c r="G18" s="22">
        <f>IFERROR(IF(OR($D18="",$E18="",$F18="",$D$33+$D$34+$E18&gt;=1),"",(1-$E18)*$D18*$F18*(1-($D$33+$D$34+$E18))),"")</f>
        <v>779.3858267716532</v>
      </c>
      <c r="H18" s="8">
        <f>IFERROR(IF(OR('Data'!$K18="",'Data'!$K18=0),"",'Data'!$J18/'Data'!$K18),"")</f>
        <v>224.44444444444446</v>
      </c>
      <c r="I18" s="13">
        <f>IFERROR(IF(OR('Data'!$J18="",'Data'!$J18=0),"",SUMPRODUCT(--('Data'!$C$5:$C$29='Data'!$C18),'Data'!$D$5:$D$29,'Data'!$F$5:$F$29)/'Data'!$J18),"")</f>
        <v>16.75940594059406</v>
      </c>
      <c r="J18" s="14">
        <f>IFERROR(IF('Data'!$O18="","",'Data'!$O18),"")</f>
        <v>0.3558752289242039</v>
      </c>
      <c r="K18" s="23">
        <f>IFERROR(IF(OR($H18="",$I18="",$J18="",$D$33+$D$34+$J18&gt;=1),"",(1-$J18)*$H18*$I18*(1-($D$33+$D$34+$J18))),"")</f>
        <v>543.0343981147805</v>
      </c>
      <c r="L18" s="15" t="str">
        <f>IFERROR(IF(OR($G18="",$K18=""),"",IF($G18&gt;=$K18,"Above target","Below target")),"")</f>
        <v>Above target</v>
      </c>
      <c r="M18" s="23">
        <f>IFERROR(IF(OR($G18="",$K18=""),"",$G18-$K18),"")</f>
        <v>236.3514286568727</v>
      </c>
      <c r="N18" t="str">
        <f>IFERROR(IF($L18="","",IF($L18="Above target","It meets its category's target: keep it and protect it.",IF($E18&gt;$J18,"Its food cost is above the category average: lower the cost or raise the price.",IF($D18&lt;$H18,"It sells less than its category average: it's a menu and floor problem, not a cost problem.","Its price is below its category average: check it before you touch the recipe.")))),"")</f>
        <v>It meets its category's target: keep it and protect it.</v>
      </c>
    </row>
    <row r="19">
      <c r="A19" s="8" t="n">
        <v>15</v>
      </c>
      <c r="B19" t="str">
        <f>IFERROR(IF('Data'!$B19="","",'Data'!$B19),"")</f>
        <v>Seasonal vegetable lasagna</v>
      </c>
      <c r="C19" t="str">
        <f>IFERROR(IF('Data'!$C19="","",'Data'!$C19),"")</f>
        <v>Mains</v>
      </c>
      <c r="D19" s="8">
        <f>IFERROR(IF('Data'!$D19="","",'Data'!$D19),"")</f>
        <v>140.0</v>
      </c>
      <c r="E19" s="14">
        <f>IFERROR(IF('Data'!$H19="","",'Data'!$H19),"")</f>
        <v>0.22807017543859648</v>
      </c>
      <c r="F19" s="13">
        <f>IFERROR(IF('Data'!$F19="","",'Data'!$F19),"")</f>
        <v>11.4</v>
      </c>
      <c r="G19" s="22">
        <f>IFERROR(IF(OR($D19="",$E19="",$F19="",$D$33+$D$34+$E19&gt;=1),"",(1-$E19)*$D19*$F19*(1-($D$33+$D$34+$E19))),"")</f>
        <v>433.57754385964915</v>
      </c>
      <c r="H19" s="8">
        <f>IFERROR(IF(OR('Data'!$K19="",'Data'!$K19=0),"",'Data'!$J19/'Data'!$K19),"")</f>
        <v>224.44444444444446</v>
      </c>
      <c r="I19" s="13">
        <f>IFERROR(IF(OR('Data'!$J19="",'Data'!$J19=0),"",SUMPRODUCT(--('Data'!$C$5:$C$29='Data'!$C19),'Data'!$D$5:$D$29,'Data'!$F$5:$F$29)/'Data'!$J19),"")</f>
        <v>16.75940594059406</v>
      </c>
      <c r="J19" s="14">
        <f>IFERROR(IF('Data'!$O19="","",'Data'!$O19),"")</f>
        <v>0.3558752289242039</v>
      </c>
      <c r="K19" s="23">
        <f>IFERROR(IF(OR($H19="",$I19="",$J19="",$D$33+$D$34+$J19&gt;=1),"",(1-$J19)*$H19*$I19*(1-($D$33+$D$34+$J19))),"")</f>
        <v>543.0343981147805</v>
      </c>
      <c r="L19" s="15" t="str">
        <f>IFERROR(IF(OR($G19="",$K19=""),"",IF($G19&gt;=$K19,"Above target","Below target")),"")</f>
        <v>Below target</v>
      </c>
      <c r="M19" s="23">
        <f>IFERROR(IF(OR($G19="",$K19=""),"",$G19-$K19),"")</f>
        <v>-109.45685425513136</v>
      </c>
      <c r="N19" t="str">
        <f>IFERROR(IF($L19="","",IF($L19="Above target","It meets its category's target: keep it and protect it.",IF($E19&gt;$J19,"Its food cost is above the category average: lower the cost or raise the price.",IF($D19&lt;$H19,"It sells less than its category average: it's a menu and floor problem, not a cost problem.","Its price is below its category average: check it before you touch the recipe.")))),"")</f>
        <v>It sells less than its category average: it's a menu and floor problem, not a cost problem.</v>
      </c>
    </row>
    <row r="20">
      <c r="A20" s="8" t="n">
        <v>16</v>
      </c>
      <c r="B20" t="str">
        <f>IFERROR(IF('Data'!$B20="","",'Data'!$B20),"")</f>
        <v>Seared bluefin tuna tataki with sesame</v>
      </c>
      <c r="C20" t="str">
        <f>IFERROR(IF('Data'!$C20="","",'Data'!$C20),"")</f>
        <v>Mains</v>
      </c>
      <c r="D20" s="8">
        <f>IFERROR(IF('Data'!$D20="","",'Data'!$D20),"")</f>
        <v>130.0</v>
      </c>
      <c r="E20" s="14">
        <f>IFERROR(IF('Data'!$H20="","",'Data'!$H20),"")</f>
        <v>0.4285714285714286</v>
      </c>
      <c r="F20" s="13">
        <f>IFERROR(IF('Data'!$F20="","",'Data'!$F20),"")</f>
        <v>22.4</v>
      </c>
      <c r="G20" s="22">
        <f>IFERROR(IF(OR($D20="",$E20="",$F20="",$D$33+$D$34+$E20&gt;=1),"",(1-$E20)*$D20*$F20*(1-($D$33+$D$34+$E20))),"")</f>
        <v>251.9771428571427</v>
      </c>
      <c r="H20" s="8">
        <f>IFERROR(IF(OR('Data'!$K20="",'Data'!$K20=0),"",'Data'!$J20/'Data'!$K20),"")</f>
        <v>224.44444444444446</v>
      </c>
      <c r="I20" s="13">
        <f>IFERROR(IF(OR('Data'!$J20="",'Data'!$J20=0),"",SUMPRODUCT(--('Data'!$C$5:$C$29='Data'!$C20),'Data'!$D$5:$D$29,'Data'!$F$5:$F$29)/'Data'!$J20),"")</f>
        <v>16.75940594059406</v>
      </c>
      <c r="J20" s="14">
        <f>IFERROR(IF('Data'!$O20="","",'Data'!$O20),"")</f>
        <v>0.3558752289242039</v>
      </c>
      <c r="K20" s="23">
        <f>IFERROR(IF(OR($H20="",$I20="",$J20="",$D$33+$D$34+$J20&gt;=1),"",(1-$J20)*$H20*$I20*(1-($D$33+$D$34+$J20))),"")</f>
        <v>543.0343981147805</v>
      </c>
      <c r="L20" s="15" t="str">
        <f>IFERROR(IF(OR($G20="",$K20=""),"",IF($G20&gt;=$K20,"Above target","Below target")),"")</f>
        <v>Below target</v>
      </c>
      <c r="M20" s="23">
        <f>IFERROR(IF(OR($G20="",$K20=""),"",$G20-$K20),"")</f>
        <v>-291.05725525763785</v>
      </c>
      <c r="N20" t="str">
        <f>IFERROR(IF($L20="","",IF($L20="Above target","It meets its category's target: keep it and protect it.",IF($E20&gt;$J20,"Its food cost is above the category average: lower the cost or raise the price.",IF($D20&lt;$H20,"It sells less than its category average: it's a menu and floor problem, not a cost problem.","Its price is below its category average: check it before you touch the recipe.")))),"")</f>
        <v>Its food cost is above the category average: lower the cost or raise the price.</v>
      </c>
    </row>
    <row r="21">
      <c r="A21" s="8" t="n">
        <v>17</v>
      </c>
      <c r="B21" t="str">
        <f>IFERROR(IF('Data'!$B21="","",'Data'!$B21),"")</f>
        <v>Creamy cheesecake</v>
      </c>
      <c r="C21" t="str">
        <f>IFERROR(IF('Data'!$C21="","",'Data'!$C21),"")</f>
        <v>Desserts</v>
      </c>
      <c r="D21" s="8">
        <f>IFERROR(IF('Data'!$D21="","",'Data'!$D21),"")</f>
        <v>520.0</v>
      </c>
      <c r="E21" s="14">
        <f>IFERROR(IF('Data'!$H21="","",'Data'!$H21),"")</f>
        <v>0.22033898305084745</v>
      </c>
      <c r="F21" s="13">
        <f>IFERROR(IF('Data'!$F21="","",'Data'!$F21),"")</f>
        <v>5.9</v>
      </c>
      <c r="G21" s="22">
        <f>IFERROR(IF(OR($D21="",$E21="",$F21="",$D$33+$D$34+$E21&gt;=1),"",(1-$E21)*$D21*$F21*(1-($D$33+$D$34+$E21))),"")</f>
        <v>860.309152542373</v>
      </c>
      <c r="H21" s="8">
        <f>IFERROR(IF(OR('Data'!$K21="",'Data'!$K21=0),"",'Data'!$J21/'Data'!$K21),"")</f>
        <v>280.0</v>
      </c>
      <c r="I21" s="13">
        <f>IFERROR(IF(OR('Data'!$J21="",'Data'!$J21=0),"",SUMPRODUCT(--('Data'!$C$5:$C$29='Data'!$C21),'Data'!$D$5:$D$29,'Data'!$F$5:$F$29)/'Data'!$J21),"")</f>
        <v>5.838392857142857</v>
      </c>
      <c r="J21" s="14">
        <f>IFERROR(IF('Data'!$O21="","",'Data'!$O21),"")</f>
        <v>0.2322985165927512</v>
      </c>
      <c r="K21" s="23">
        <f>IFERROR(IF(OR($H21="",$I21="",$J21="",$D$33+$D$34+$J21&gt;=1),"",(1-$J21)*$H21*$I21*(1-($D$33+$D$34+$J21))),"")</f>
        <v>436.3653616760971</v>
      </c>
      <c r="L21" s="15" t="str">
        <f>IFERROR(IF(OR($G21="",$K21=""),"",IF($G21&gt;=$K21,"Above target","Below target")),"")</f>
        <v>Above target</v>
      </c>
      <c r="M21" s="23">
        <f>IFERROR(IF(OR($G21="",$K21=""),"",$G21-$K21),"")</f>
        <v>423.9437908662759</v>
      </c>
      <c r="N21" t="str">
        <f>IFERROR(IF($L21="","",IF($L21="Above target","It meets its category's target: keep it and protect it.",IF($E21&gt;$J21,"Its food cost is above the category average: lower the cost or raise the price.",IF($D21&lt;$H21,"It sells less than its category average: it's a menu and floor problem, not a cost problem.","Its price is below its category average: check it before you touch the recipe.")))),"")</f>
        <v>It meets its category's target: keep it and protect it.</v>
      </c>
    </row>
    <row r="22">
      <c r="A22" s="8" t="n">
        <v>18</v>
      </c>
      <c r="B22" t="str">
        <f>IFERROR(IF('Data'!$B22="","",'Data'!$B22),"")</f>
        <v>Caramelized torrija with ice cream</v>
      </c>
      <c r="C22" t="str">
        <f>IFERROR(IF('Data'!$C22="","",'Data'!$C22),"")</f>
        <v>Desserts</v>
      </c>
      <c r="D22" s="8">
        <f>IFERROR(IF('Data'!$D22="","",'Data'!$D22),"")</f>
        <v>210.0</v>
      </c>
      <c r="E22" s="14">
        <f>IFERROR(IF('Data'!$H22="","",'Data'!$H22),"")</f>
        <v>0.2</v>
      </c>
      <c r="F22" s="13">
        <f>IFERROR(IF('Data'!$F22="","",'Data'!$F22),"")</f>
        <v>5.5</v>
      </c>
      <c r="G22" s="22">
        <f>IFERROR(IF(OR($D22="",$E22="",$F22="",$D$33+$D$34+$E22&gt;=1),"",(1-$E22)*$D22*$F22*(1-($D$33+$D$34+$E22))),"")</f>
        <v>351.1199999999999</v>
      </c>
      <c r="H22" s="8">
        <f>IFERROR(IF(OR('Data'!$K22="",'Data'!$K22=0),"",'Data'!$J22/'Data'!$K22),"")</f>
        <v>280.0</v>
      </c>
      <c r="I22" s="13">
        <f>IFERROR(IF(OR('Data'!$J22="",'Data'!$J22=0),"",SUMPRODUCT(--('Data'!$C$5:$C$29='Data'!$C22),'Data'!$D$5:$D$29,'Data'!$F$5:$F$29)/'Data'!$J22),"")</f>
        <v>5.838392857142857</v>
      </c>
      <c r="J22" s="14">
        <f>IFERROR(IF('Data'!$O22="","",'Data'!$O22),"")</f>
        <v>0.2322985165927512</v>
      </c>
      <c r="K22" s="23">
        <f>IFERROR(IF(OR($H22="",$I22="",$J22="",$D$33+$D$34+$J22&gt;=1),"",(1-$J22)*$H22*$I22*(1-($D$33+$D$34+$J22))),"")</f>
        <v>436.3653616760971</v>
      </c>
      <c r="L22" s="15" t="str">
        <f>IFERROR(IF(OR($G22="",$K22=""),"",IF($G22&gt;=$K22,"Above target","Below target")),"")</f>
        <v>Below target</v>
      </c>
      <c r="M22" s="23">
        <f>IFERROR(IF(OR($G22="",$K22=""),"",$G22-$K22),"")</f>
        <v>-85.24536167609722</v>
      </c>
      <c r="N22" t="str">
        <f>IFERROR(IF($L22="","",IF($L22="Above target","It meets its category's target: keep it and protect it.",IF($E22&gt;$J22,"Its food cost is above the category average: lower the cost or raise the price.",IF($D22&lt;$H22,"It sells less than its category average: it's a menu and floor problem, not a cost problem.","Its price is below its category average: check it before you touch the recipe.")))),"")</f>
        <v>It sells less than its category average: it's a menu and floor problem, not a cost problem.</v>
      </c>
    </row>
    <row r="23">
      <c r="A23" s="8" t="n">
        <v>19</v>
      </c>
      <c r="B23" t="str">
        <f>IFERROR(IF('Data'!$B23="","",'Data'!$B23),"")</f>
        <v>Chocolate lava cake</v>
      </c>
      <c r="C23" t="str">
        <f>IFERROR(IF('Data'!$C23="","",'Data'!$C23),"")</f>
        <v>Desserts</v>
      </c>
      <c r="D23" s="8">
        <f>IFERROR(IF('Data'!$D23="","",'Data'!$D23),"")</f>
        <v>330.0</v>
      </c>
      <c r="E23" s="14">
        <f>IFERROR(IF('Data'!$H23="","",'Data'!$H23),"")</f>
        <v>0.25806451612903225</v>
      </c>
      <c r="F23" s="13">
        <f>IFERROR(IF('Data'!$F23="","",'Data'!$F23),"")</f>
        <v>6.2</v>
      </c>
      <c r="G23" s="22">
        <f>IFERROR(IF(OR($D23="",$E23="",$F23="",$D$33+$D$34+$E23&gt;=1),"",(1-$E23)*$D23*$F23*(1-($D$33+$D$34+$E23))),"")</f>
        <v>488.69806451612897</v>
      </c>
      <c r="H23" s="8">
        <f>IFERROR(IF(OR('Data'!$K23="",'Data'!$K23=0),"",'Data'!$J23/'Data'!$K23),"")</f>
        <v>280.0</v>
      </c>
      <c r="I23" s="13">
        <f>IFERROR(IF(OR('Data'!$J23="",'Data'!$J23=0),"",SUMPRODUCT(--('Data'!$C$5:$C$29='Data'!$C23),'Data'!$D$5:$D$29,'Data'!$F$5:$F$29)/'Data'!$J23),"")</f>
        <v>5.838392857142857</v>
      </c>
      <c r="J23" s="14">
        <f>IFERROR(IF('Data'!$O23="","",'Data'!$O23),"")</f>
        <v>0.2322985165927512</v>
      </c>
      <c r="K23" s="23">
        <f>IFERROR(IF(OR($H23="",$I23="",$J23="",$D$33+$D$34+$J23&gt;=1),"",(1-$J23)*$H23*$I23*(1-($D$33+$D$34+$J23))),"")</f>
        <v>436.3653616760971</v>
      </c>
      <c r="L23" s="15" t="str">
        <f>IFERROR(IF(OR($G23="",$K23=""),"",IF($G23&gt;=$K23,"Above target","Below target")),"")</f>
        <v>Above target</v>
      </c>
      <c r="M23" s="23">
        <f>IFERROR(IF(OR($G23="",$K23=""),"",$G23-$K23),"")</f>
        <v>52.33270284003186</v>
      </c>
      <c r="N23" t="str">
        <f>IFERROR(IF($L23="","",IF($L23="Above target","It meets its category's target: keep it and protect it.",IF($E23&gt;$J23,"Its food cost is above the category average: lower the cost or raise the price.",IF($D23&lt;$H23,"It sells less than its category average: it's a menu and floor problem, not a cost problem.","Its price is below its category average: check it before you touch the recipe.")))),"")</f>
        <v>It meets its category's target: keep it and protect it.</v>
      </c>
    </row>
    <row r="24">
      <c r="A24" s="8" t="n">
        <v>20</v>
      </c>
      <c r="B24" t="str">
        <f>IFERROR(IF('Data'!$B24="","",'Data'!$B24),"")</f>
        <v>Prepared seasonal fruit</v>
      </c>
      <c r="C24" t="str">
        <f>IFERROR(IF('Data'!$C24="","",'Data'!$C24),"")</f>
        <v>Desserts</v>
      </c>
      <c r="D24" s="8">
        <f>IFERROR(IF('Data'!$D24="","",'Data'!$D24),"")</f>
        <v>60.0</v>
      </c>
      <c r="E24" s="14">
        <f>IFERROR(IF('Data'!$H24="","",'Data'!$H24),"")</f>
        <v>0.3111111111111111</v>
      </c>
      <c r="F24" s="13">
        <f>IFERROR(IF('Data'!$F24="","",'Data'!$F24),"")</f>
        <v>4.5</v>
      </c>
      <c r="G24" s="22">
        <f>IFERROR(IF(OR($D24="",$E24="",$F24="",$D$33+$D$34+$E24&gt;=1),"",(1-$E24)*$D24*$F24*(1-($D$33+$D$34+$E24))),"")</f>
        <v>50.01333333333333</v>
      </c>
      <c r="H24" s="8">
        <f>IFERROR(IF(OR('Data'!$K24="",'Data'!$K24=0),"",'Data'!$J24/'Data'!$K24),"")</f>
        <v>280.0</v>
      </c>
      <c r="I24" s="13">
        <f>IFERROR(IF(OR('Data'!$J24="",'Data'!$J24=0),"",SUMPRODUCT(--('Data'!$C$5:$C$29='Data'!$C24),'Data'!$D$5:$D$29,'Data'!$F$5:$F$29)/'Data'!$J24),"")</f>
        <v>5.838392857142857</v>
      </c>
      <c r="J24" s="14">
        <f>IFERROR(IF('Data'!$O24="","",'Data'!$O24),"")</f>
        <v>0.2322985165927512</v>
      </c>
      <c r="K24" s="23">
        <f>IFERROR(IF(OR($H24="",$I24="",$J24="",$D$33+$D$34+$J24&gt;=1),"",(1-$J24)*$H24*$I24*(1-($D$33+$D$34+$J24))),"")</f>
        <v>436.3653616760971</v>
      </c>
      <c r="L24" s="15" t="str">
        <f>IFERROR(IF(OR($G24="",$K24=""),"",IF($G24&gt;=$K24,"Above target","Below target")),"")</f>
        <v>Below target</v>
      </c>
      <c r="M24" s="23">
        <f>IFERROR(IF(OR($G24="",$K24=""),"",$G24-$K24),"")</f>
        <v>-386.3520283427638</v>
      </c>
      <c r="N24" t="str">
        <f>IFERROR(IF($L24="","",IF($L24="Above target","It meets its category's target: keep it and protect it.",IF($E24&gt;$J24,"Its food cost is above the category average: lower the cost or raise the price.",IF($D24&lt;$H24,"It sells less than its category average: it's a menu and floor problem, not a cost problem.","Its price is below its category average: check it before you touch the recipe.")))),"")</f>
        <v>Its food cost is above the category average: lower the cost or raise the price.</v>
      </c>
    </row>
    <row r="25">
      <c r="A25" s="8" t="n">
        <v>21</v>
      </c>
      <c r="B25">
        <f>IFERROR(IF('Data'!$B25="","",'Data'!$B25),"")</f>
      </c>
      <c r="C25">
        <f>IFERROR(IF('Data'!$C25="","",'Data'!$C25),"")</f>
      </c>
      <c r="D25" s="8">
        <f>IFERROR(IF('Data'!$D25="","",'Data'!$D25),"")</f>
      </c>
      <c r="E25" s="14">
        <f>IFERROR(IF('Data'!$H25="","",'Data'!$H25),"")</f>
      </c>
      <c r="F25" s="13">
        <f>IFERROR(IF('Data'!$F25="","",'Data'!$F25),"")</f>
      </c>
      <c r="G25" s="22">
        <f>IFERROR(IF(OR($D25="",$E25="",$F25="",$D$33+$D$34+$E25&gt;=1),"",(1-$E25)*$D25*$F25*(1-($D$33+$D$34+$E25))),"")</f>
      </c>
      <c r="H25" s="8">
        <f>IFERROR(IF(OR('Data'!$K25="",'Data'!$K25=0),"",'Data'!$J25/'Data'!$K25),"")</f>
      </c>
      <c r="I25" s="13">
        <f>IFERROR(IF(OR('Data'!$J25="",'Data'!$J25=0),"",SUMPRODUCT(--('Data'!$C$5:$C$29='Data'!$C25),'Data'!$D$5:$D$29,'Data'!$F$5:$F$29)/'Data'!$J25),"")</f>
      </c>
      <c r="J25" s="14">
        <f>IFERROR(IF('Data'!$O25="","",'Data'!$O25),"")</f>
      </c>
      <c r="K25" s="23">
        <f>IFERROR(IF(OR($H25="",$I25="",$J25="",$D$33+$D$34+$J25&gt;=1),"",(1-$J25)*$H25*$I25*(1-($D$33+$D$34+$J25))),"")</f>
      </c>
      <c r="L25" s="15">
        <f>IFERROR(IF(OR($G25="",$K25=""),"",IF($G25&gt;=$K25,"Above target","Below target")),"")</f>
      </c>
      <c r="M25" s="23">
        <f>IFERROR(IF(OR($G25="",$K25=""),"",$G25-$K25),"")</f>
      </c>
      <c r="N25">
        <f>IFERROR(IF($L25="","",IF($L25="Above target","It meets its category's target: keep it and protect it.",IF($E25&gt;$J25,"Its food cost is above the category average: lower the cost or raise the price.",IF($D25&lt;$H25,"It sells less than its category average: it's a menu and floor problem, not a cost problem.","Its price is below its category average: check it before you touch the recipe.")))),"")</f>
      </c>
    </row>
    <row r="26">
      <c r="A26" s="8" t="n">
        <v>22</v>
      </c>
      <c r="B26">
        <f>IFERROR(IF('Data'!$B26="","",'Data'!$B26),"")</f>
      </c>
      <c r="C26">
        <f>IFERROR(IF('Data'!$C26="","",'Data'!$C26),"")</f>
      </c>
      <c r="D26" s="8">
        <f>IFERROR(IF('Data'!$D26="","",'Data'!$D26),"")</f>
      </c>
      <c r="E26" s="14">
        <f>IFERROR(IF('Data'!$H26="","",'Data'!$H26),"")</f>
      </c>
      <c r="F26" s="13">
        <f>IFERROR(IF('Data'!$F26="","",'Data'!$F26),"")</f>
      </c>
      <c r="G26" s="22">
        <f>IFERROR(IF(OR($D26="",$E26="",$F26="",$D$33+$D$34+$E26&gt;=1),"",(1-$E26)*$D26*$F26*(1-($D$33+$D$34+$E26))),"")</f>
      </c>
      <c r="H26" s="8">
        <f>IFERROR(IF(OR('Data'!$K26="",'Data'!$K26=0),"",'Data'!$J26/'Data'!$K26),"")</f>
      </c>
      <c r="I26" s="13">
        <f>IFERROR(IF(OR('Data'!$J26="",'Data'!$J26=0),"",SUMPRODUCT(--('Data'!$C$5:$C$29='Data'!$C26),'Data'!$D$5:$D$29,'Data'!$F$5:$F$29)/'Data'!$J26),"")</f>
      </c>
      <c r="J26" s="14">
        <f>IFERROR(IF('Data'!$O26="","",'Data'!$O26),"")</f>
      </c>
      <c r="K26" s="23">
        <f>IFERROR(IF(OR($H26="",$I26="",$J26="",$D$33+$D$34+$J26&gt;=1),"",(1-$J26)*$H26*$I26*(1-($D$33+$D$34+$J26))),"")</f>
      </c>
      <c r="L26" s="15">
        <f>IFERROR(IF(OR($G26="",$K26=""),"",IF($G26&gt;=$K26,"Above target","Below target")),"")</f>
      </c>
      <c r="M26" s="23">
        <f>IFERROR(IF(OR($G26="",$K26=""),"",$G26-$K26),"")</f>
      </c>
      <c r="N26">
        <f>IFERROR(IF($L26="","",IF($L26="Above target","It meets its category's target: keep it and protect it.",IF($E26&gt;$J26,"Its food cost is above the category average: lower the cost or raise the price.",IF($D26&lt;$H26,"It sells less than its category average: it's a menu and floor problem, not a cost problem.","Its price is below its category average: check it before you touch the recipe.")))),"")</f>
      </c>
    </row>
    <row r="27">
      <c r="A27" s="8" t="n">
        <v>23</v>
      </c>
      <c r="B27">
        <f>IFERROR(IF('Data'!$B27="","",'Data'!$B27),"")</f>
      </c>
      <c r="C27">
        <f>IFERROR(IF('Data'!$C27="","",'Data'!$C27),"")</f>
      </c>
      <c r="D27" s="8">
        <f>IFERROR(IF('Data'!$D27="","",'Data'!$D27),"")</f>
      </c>
      <c r="E27" s="14">
        <f>IFERROR(IF('Data'!$H27="","",'Data'!$H27),"")</f>
      </c>
      <c r="F27" s="13">
        <f>IFERROR(IF('Data'!$F27="","",'Data'!$F27),"")</f>
      </c>
      <c r="G27" s="22">
        <f>IFERROR(IF(OR($D27="",$E27="",$F27="",$D$33+$D$34+$E27&gt;=1),"",(1-$E27)*$D27*$F27*(1-($D$33+$D$34+$E27))),"")</f>
      </c>
      <c r="H27" s="8">
        <f>IFERROR(IF(OR('Data'!$K27="",'Data'!$K27=0),"",'Data'!$J27/'Data'!$K27),"")</f>
      </c>
      <c r="I27" s="13">
        <f>IFERROR(IF(OR('Data'!$J27="",'Data'!$J27=0),"",SUMPRODUCT(--('Data'!$C$5:$C$29='Data'!$C27),'Data'!$D$5:$D$29,'Data'!$F$5:$F$29)/'Data'!$J27),"")</f>
      </c>
      <c r="J27" s="14">
        <f>IFERROR(IF('Data'!$O27="","",'Data'!$O27),"")</f>
      </c>
      <c r="K27" s="23">
        <f>IFERROR(IF(OR($H27="",$I27="",$J27="",$D$33+$D$34+$J27&gt;=1),"",(1-$J27)*$H27*$I27*(1-($D$33+$D$34+$J27))),"")</f>
      </c>
      <c r="L27" s="15">
        <f>IFERROR(IF(OR($G27="",$K27=""),"",IF($G27&gt;=$K27,"Above target","Below target")),"")</f>
      </c>
      <c r="M27" s="23">
        <f>IFERROR(IF(OR($G27="",$K27=""),"",$G27-$K27),"")</f>
      </c>
      <c r="N27">
        <f>IFERROR(IF($L27="","",IF($L27="Above target","It meets its category's target: keep it and protect it.",IF($E27&gt;$J27,"Its food cost is above the category average: lower the cost or raise the price.",IF($D27&lt;$H27,"It sells less than its category average: it's a menu and floor problem, not a cost problem.","Its price is below its category average: check it before you touch the recipe.")))),"")</f>
      </c>
    </row>
    <row r="28">
      <c r="A28" s="8" t="n">
        <v>24</v>
      </c>
      <c r="B28">
        <f>IFERROR(IF('Data'!$B28="","",'Data'!$B28),"")</f>
      </c>
      <c r="C28">
        <f>IFERROR(IF('Data'!$C28="","",'Data'!$C28),"")</f>
      </c>
      <c r="D28" s="8">
        <f>IFERROR(IF('Data'!$D28="","",'Data'!$D28),"")</f>
      </c>
      <c r="E28" s="14">
        <f>IFERROR(IF('Data'!$H28="","",'Data'!$H28),"")</f>
      </c>
      <c r="F28" s="13">
        <f>IFERROR(IF('Data'!$F28="","",'Data'!$F28),"")</f>
      </c>
      <c r="G28" s="22">
        <f>IFERROR(IF(OR($D28="",$E28="",$F28="",$D$33+$D$34+$E28&gt;=1),"",(1-$E28)*$D28*$F28*(1-($D$33+$D$34+$E28))),"")</f>
      </c>
      <c r="H28" s="8">
        <f>IFERROR(IF(OR('Data'!$K28="",'Data'!$K28=0),"",'Data'!$J28/'Data'!$K28),"")</f>
      </c>
      <c r="I28" s="13">
        <f>IFERROR(IF(OR('Data'!$J28="",'Data'!$J28=0),"",SUMPRODUCT(--('Data'!$C$5:$C$29='Data'!$C28),'Data'!$D$5:$D$29,'Data'!$F$5:$F$29)/'Data'!$J28),"")</f>
      </c>
      <c r="J28" s="14">
        <f>IFERROR(IF('Data'!$O28="","",'Data'!$O28),"")</f>
      </c>
      <c r="K28" s="23">
        <f>IFERROR(IF(OR($H28="",$I28="",$J28="",$D$33+$D$34+$J28&gt;=1),"",(1-$J28)*$H28*$I28*(1-($D$33+$D$34+$J28))),"")</f>
      </c>
      <c r="L28" s="15">
        <f>IFERROR(IF(OR($G28="",$K28=""),"",IF($G28&gt;=$K28,"Above target","Below target")),"")</f>
      </c>
      <c r="M28" s="23">
        <f>IFERROR(IF(OR($G28="",$K28=""),"",$G28-$K28),"")</f>
      </c>
      <c r="N28">
        <f>IFERROR(IF($L28="","",IF($L28="Above target","It meets its category's target: keep it and protect it.",IF($E28&gt;$J28,"Its food cost is above the category average: lower the cost or raise the price.",IF($D28&lt;$H28,"It sells less than its category average: it's a menu and floor problem, not a cost problem.","Its price is below its category average: check it before you touch the recipe.")))),"")</f>
      </c>
    </row>
    <row r="29">
      <c r="A29" s="8" t="n">
        <v>25</v>
      </c>
      <c r="B29">
        <f>IFERROR(IF('Data'!$B29="","",'Data'!$B29),"")</f>
      </c>
      <c r="C29">
        <f>IFERROR(IF('Data'!$C29="","",'Data'!$C29),"")</f>
      </c>
      <c r="D29" s="8">
        <f>IFERROR(IF('Data'!$D29="","",'Data'!$D29),"")</f>
      </c>
      <c r="E29" s="14">
        <f>IFERROR(IF('Data'!$H29="","",'Data'!$H29),"")</f>
      </c>
      <c r="F29" s="13">
        <f>IFERROR(IF('Data'!$F29="","",'Data'!$F29),"")</f>
      </c>
      <c r="G29" s="22">
        <f>IFERROR(IF(OR($D29="",$E29="",$F29="",$D$33+$D$34+$E29&gt;=1),"",(1-$E29)*$D29*$F29*(1-($D$33+$D$34+$E29))),"")</f>
      </c>
      <c r="H29" s="8">
        <f>IFERROR(IF(OR('Data'!$K29="",'Data'!$K29=0),"",'Data'!$J29/'Data'!$K29),"")</f>
      </c>
      <c r="I29" s="13">
        <f>IFERROR(IF(OR('Data'!$J29="",'Data'!$J29=0),"",SUMPRODUCT(--('Data'!$C$5:$C$29='Data'!$C29),'Data'!$D$5:$D$29,'Data'!$F$5:$F$29)/'Data'!$J29),"")</f>
      </c>
      <c r="J29" s="14">
        <f>IFERROR(IF('Data'!$O29="","",'Data'!$O29),"")</f>
      </c>
      <c r="K29" s="23">
        <f>IFERROR(IF(OR($H29="",$I29="",$J29="",$D$33+$D$34+$J29&gt;=1),"",(1-$J29)*$H29*$I29*(1-($D$33+$D$34+$J29))),"")</f>
      </c>
      <c r="L29" s="15">
        <f>IFERROR(IF(OR($G29="",$K29=""),"",IF($G29&gt;=$K29,"Above target","Below target")),"")</f>
      </c>
      <c r="M29" s="23">
        <f>IFERROR(IF(OR($G29="",$K29=""),"",$G29-$K29),"")</f>
      </c>
      <c r="N29">
        <f>IFERROR(IF($L29="","",IF($L29="Above target","It meets its category's target: keep it and protect it.",IF($E29&gt;$J29,"Its food cost is above the category average: lower the cost or raise the price.",IF($D29&lt;$H29,"It sells less than its category average: it's a menu and floor problem, not a cost problem.","Its price is below its category average: check it before you touch the recipe.")))),"")</f>
      </c>
    </row>
    <row r="30"/>
    <row r="31"/>
    <row r="32">
      <c r="A32" s="15" t="inlineStr">
        <is>
          <t>INPUTS AND SUMMARY — calculated by the workbook</t>
        </is>
      </c>
    </row>
    <row r="33">
      <c r="B33" t="inlineStr">
        <is>
          <t>Labor cost as % of sales</t>
        </is>
      </c>
      <c r="D33" s="21" t="n">
        <v>0.32</v>
      </c>
      <c r="F33" t="inlineStr">
        <is>
          <t>Labor including employer payroll taxes and benefits, over net sales. 32% is the midpoint of the commonly cited 30-35% range for full service; it's lower for counter or self-service. Replace it with yours.</t>
        </is>
      </c>
    </row>
    <row r="34">
      <c r="B34" t="inlineStr">
        <is>
          <t>Other variable costs as % of sales</t>
        </is>
      </c>
      <c r="D34" s="21" t="n">
        <v>0.1</v>
      </c>
      <c r="F34" t="inlineStr">
        <is>
          <t>What moves with sales and is neither product nor labor: kitchen energy, consumables, and card and delivery platform fees. Replace it with yours.</t>
        </is>
      </c>
    </row>
    <row r="35">
      <c r="B35" t="inlineStr">
        <is>
          <t>Average menu Goal Value (index)</t>
        </is>
      </c>
      <c r="D35" s="23">
        <f>IFERROR(AVERAGE($G$5:$G$29),"")</f>
        <v>520.5515932949959</v>
      </c>
    </row>
    <row r="36">
      <c r="B36" t="inlineStr">
        <is>
          <t>Dishes above their category target</t>
        </is>
      </c>
      <c r="D36" s="8">
        <f>COUNTIF($L$5:$L$29,"Above target")</f>
        <v>9.0</v>
      </c>
    </row>
    <row r="37">
      <c r="B37" t="inlineStr">
        <is>
          <t>Dishes below their category target</t>
        </is>
      </c>
      <c r="D37" s="8">
        <f>COUNTIF($L$5:$L$29,"Below target")</f>
        <v>11.0</v>
      </c>
    </row>
  </sheetData>
  <sheetProtection selectLockedCells="0" selectUnlockedCells="0" sheet="1" objects="0" insertRows="0" insertHyperlinks="1" autoFilter="1" scenarios="0" formatColumns="0" deleteColumns="1" insertColumns="1" pivotTables="1" deleteRows="1" formatCells="1" formatRows="0" sort="0"/>
  <conditionalFormatting sqref="L5:L29">
    <cfRule type="cellIs" priority="1" operator="equal" dxfId="0" stopIfTrue="1">
      <formula>"Above target"</formula>
    </cfRule>
    <cfRule type="cellIs" priority="2" operator="equal" dxfId="2" stopIfTrue="1">
      <formula>"Below target"</formula>
    </cfRule>
  </conditionalFormatting>
  <dataValidations count="1">
    <dataValidation sqref="D33 D34" showDropDown="0" showInputMessage="1" showErrorMessage="1" allowBlank="1" errorTitle="Percentage of sales" error="Type a percentage between 0 and 1 (0.20 = 20%)." promptTitle="Percentage of sales" prompt="Type it as a decimal: 0.32 = 32%." type="decimal" operator="between">
      <formula1>0</formula1>
      <formula2>1.0</formula2>
    </dataValidation>
  </dataValidations>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4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5" customWidth="1" min="4" max="4"/>
    <col width="13" customWidth="1" min="5" max="5"/>
    <col width="13" customWidth="1" min="6" max="6"/>
    <col width="22" customWidth="1" min="7" max="7"/>
    <col width="14" customWidth="1" min="8" max="8"/>
    <col width="78" customWidth="1" min="9" max="9"/>
    <col width="16" customWidth="1" min="10" max="10"/>
  </cols>
  <sheetData>
    <row r="1">
      <c r="A1" s="1" t="inlineStr">
        <is>
          <t>Comparison — where the four methods disagree</t>
        </is>
      </c>
    </row>
    <row r="2">
      <c r="A2" s="2" t="inlineStr">
        <is>
          <t>AI Chef Pro · aichef.pro — Food Cost + Menu Engineering Guide</t>
        </is>
      </c>
    </row>
    <row r="3">
      <c r="E3" s="6" t="inlineStr">
        <is>
          <t>Agreement doesn't give more certainty: it only says the dish looks the same from any angle. The value is in the rows that disagree.</t>
        </is>
      </c>
    </row>
    <row r="4" ht="46" customHeight="1">
      <c r="A4" s="7" t="inlineStr">
        <is>
          <t>#</t>
        </is>
      </c>
      <c r="B4" s="7" t="inlineStr">
        <is>
          <t>Dish</t>
        </is>
      </c>
      <c r="C4" s="7" t="inlineStr">
        <is>
          <t>Category</t>
        </is>
      </c>
      <c r="D4" s="7" t="inlineStr">
        <is>
          <t>Kasavana &amp; Smith</t>
        </is>
      </c>
      <c r="E4" s="7" t="inlineStr">
        <is>
          <t>Miller</t>
        </is>
      </c>
      <c r="F4" s="7" t="inlineStr">
        <is>
          <t>Pavesic</t>
        </is>
      </c>
      <c r="G4" s="7" t="inlineStr">
        <is>
          <t>Goal Value</t>
        </is>
      </c>
      <c r="H4" s="7" t="inlineStr">
        <is>
          <t>Readings off the best category</t>
        </is>
      </c>
      <c r="I4" s="7" t="inlineStr">
        <is>
          <t>Diagnosis</t>
        </is>
      </c>
      <c r="J4" s="7" t="inlineStr">
        <is>
          <t>Suggested decision</t>
        </is>
      </c>
    </row>
    <row r="5">
      <c r="A5" s="8" t="n">
        <v>1</v>
      </c>
      <c r="B5" t="str">
        <f>IFERROR(IF('Data'!$B5="","",'Data'!$B5),"")</f>
        <v>Iberico ham croquettes (6 pcs)</v>
      </c>
      <c r="C5" t="str">
        <f>IFERROR(IF('Data'!$C5="","",'Data'!$C5),"")</f>
        <v>Starters</v>
      </c>
      <c r="D5" s="15" t="str">
        <f>IFERROR(IF('Kasavana-Smith'!$K5="","",'Kasavana-Smith'!$K5),"")</f>
        <v>Plowhorse</v>
      </c>
      <c r="E5" s="15" t="str">
        <f>IFERROR(IF('Miller'!$K5="","",'Miller'!$K5),"")</f>
        <v>Winner</v>
      </c>
      <c r="F5" s="15" t="str">
        <f>IFERROR(IF('Pavesic'!$K5="","",'Pavesic'!$K5),"")</f>
        <v>Prime</v>
      </c>
      <c r="G5" s="15" t="str">
        <f>IFERROR(IF('Goal Value'!$L5="","",'Goal Value'!$L5),"")</f>
        <v>Above target</v>
      </c>
      <c r="H5" s="24">
        <f>IFERROR(IF($B5="","",IF($D5="Star",0,1)+IF($E5="Winner",0,1)+IF($F5="Prime",0,1)+IF($G5="Above target",0,1)),"")</f>
        <v>1.0</v>
      </c>
      <c r="I5" s="25" t="str">
        <f>IFERROR(IF($B5="","",IF($H5=0,"All four readings agree on the best: keep it, feature it on the menu and protect the recipe and the supplier.",IF(AND($D5="Dog",$E5="Loser",$F5="Problem"),"Rarely ordered, high food cost and little margin to the total: a candidate to remove or to rework from the ground up.",IF(AND($D5="Plowhorse",$E5="Winner"),"Popular with a low margin: raise the price or lower the cost.",IF(AND($D5="Plowhorse",$E5="Loser"),"Popular but expensive to produce and short on margin: rework the recipe before you touch the price.",IF(AND('Data'!$G5&gt;='Data'!$N5,'Data'!$H5&gt;'Data'!$O5),"High CM with a poor food cost: protect the margin in dollars, review the price, don't remove it.",IF(AND($D5="Puzzle",$E5="Winner"),"Profitable with a healthy food cost, but rarely ordered: it's a menu problem, not a kitchen one. Rename it, move it up or have the floor staff suggest it.",IF($F5="Sleeper","Healthy food cost but little margin to the total: give it visibility before you remove it.",IF(AND($G5="Below target",$D5="Star"),"It sells and leaves margin, but falls below its category's Goal Value: little room to spare, review the price.",IF($D5="Dog","Rarely ordered: before removing it, check whether it's seasonal or goes with another dish that does sell.","The readings disagree: each method measures two of the three variables (popularity, margin in dollars and food cost). Decide with the one that hurts most this month.")))))))))),"")</f>
        <v>Popular with a low margin: raise the price or lower the cost.</v>
      </c>
      <c r="J5" s="15" t="str">
        <f>IFERROR(IF($B5="","",IF($H5=0,"Keep",IF(AND($D5="Dog",$E5="Loser"),"Remove",IF($D5="Plowhorse","Reprice",IF($D5="Puzzle","Redesign",IF($F5="Problem","Reformulate","Review")))))),"")</f>
        <v>Reprice</v>
      </c>
    </row>
    <row r="6">
      <c r="A6" s="8" t="n">
        <v>2</v>
      </c>
      <c r="B6" t="str">
        <f>IFERROR(IF('Data'!$B6="","",'Data'!$B6),"")</f>
        <v>Heirloom tomato salad with tuna belly and scallions</v>
      </c>
      <c r="C6" t="str">
        <f>IFERROR(IF('Data'!$C6="","",'Data'!$C6),"")</f>
        <v>Starters</v>
      </c>
      <c r="D6" s="15" t="str">
        <f>IFERROR(IF('Kasavana-Smith'!$K6="","",'Kasavana-Smith'!$K6),"")</f>
        <v>Star</v>
      </c>
      <c r="E6" s="15" t="str">
        <f>IFERROR(IF('Miller'!$K6="","",'Miller'!$K6),"")</f>
        <v>Winner</v>
      </c>
      <c r="F6" s="15" t="str">
        <f>IFERROR(IF('Pavesic'!$K6="","",'Pavesic'!$K6),"")</f>
        <v>Prime</v>
      </c>
      <c r="G6" s="15" t="str">
        <f>IFERROR(IF('Goal Value'!$L6="","",'Goal Value'!$L6),"")</f>
        <v>Above target</v>
      </c>
      <c r="H6" s="24">
        <f>IFERROR(IF($B6="","",IF($D6="Star",0,1)+IF($E6="Winner",0,1)+IF($F6="Prime",0,1)+IF($G6="Above target",0,1)),"")</f>
        <v>0.0</v>
      </c>
      <c r="I6" s="25" t="str">
        <f>IFERROR(IF($B6="","",IF($H6=0,"All four readings agree on the best: keep it, feature it on the menu and protect the recipe and the supplier.",IF(AND($D6="Dog",$E6="Loser",$F6="Problem"),"Rarely ordered, high food cost and little margin to the total: a candidate to remove or to rework from the ground up.",IF(AND($D6="Plowhorse",$E6="Winner"),"Popular with a low margin: raise the price or lower the cost.",IF(AND($D6="Plowhorse",$E6="Loser"),"Popular but expensive to produce and short on margin: rework the recipe before you touch the price.",IF(AND('Data'!$G6&gt;='Data'!$N6,'Data'!$H6&gt;'Data'!$O6),"High CM with a poor food cost: protect the margin in dollars, review the price, don't remove it.",IF(AND($D6="Puzzle",$E6="Winner"),"Profitable with a healthy food cost, but rarely ordered: it's a menu problem, not a kitchen one. Rename it, move it up or have the floor staff suggest it.",IF($F6="Sleeper","Healthy food cost but little margin to the total: give it visibility before you remove it.",IF(AND($G6="Below target",$D6="Star"),"It sells and leaves margin, but falls below its category's Goal Value: little room to spare, review the price.",IF($D6="Dog","Rarely ordered: before removing it, check whether it's seasonal or goes with another dish that does sell.","The readings disagree: each method measures two of the three variables (popularity, margin in dollars and food cost). Decide with the one that hurts most this month.")))))))))),"")</f>
        <v>All four readings agree on the best: keep it, feature it on the menu and protect the recipe and the supplier.</v>
      </c>
      <c r="J6" s="15" t="str">
        <f>IFERROR(IF($B6="","",IF($H6=0,"Keep",IF(AND($D6="Dog",$E6="Loser"),"Remove",IF($D6="Plowhorse","Reprice",IF($D6="Puzzle","Redesign",IF($F6="Problem","Reformulate","Review")))))),"")</f>
        <v>Keep</v>
      </c>
    </row>
    <row r="7">
      <c r="A7" s="8" t="n">
        <v>3</v>
      </c>
      <c r="B7" t="str">
        <f>IFERROR(IF('Data'!$B7="","",'Data'!$B7),"")</f>
        <v>Garlic shrimp</v>
      </c>
      <c r="C7" t="str">
        <f>IFERROR(IF('Data'!$C7="","",'Data'!$C7),"")</f>
        <v>Starters</v>
      </c>
      <c r="D7" s="15" t="str">
        <f>IFERROR(IF('Kasavana-Smith'!$K7="","",'Kasavana-Smith'!$K7),"")</f>
        <v>Star</v>
      </c>
      <c r="E7" s="15" t="str">
        <f>IFERROR(IF('Miller'!$K7="","",'Miller'!$K7),"")</f>
        <v>Marginal</v>
      </c>
      <c r="F7" s="15" t="str">
        <f>IFERROR(IF('Pavesic'!$K7="","",'Pavesic'!$K7),"")</f>
        <v>Standard</v>
      </c>
      <c r="G7" s="15" t="str">
        <f>IFERROR(IF('Goal Value'!$L7="","",'Goal Value'!$L7),"")</f>
        <v>Below target</v>
      </c>
      <c r="H7" s="24">
        <f>IFERROR(IF($B7="","",IF($D7="Star",0,1)+IF($E7="Winner",0,1)+IF($F7="Prime",0,1)+IF($G7="Above target",0,1)),"")</f>
        <v>3.0</v>
      </c>
      <c r="I7" s="25" t="str">
        <f>IFERROR(IF($B7="","",IF($H7=0,"All four readings agree on the best: keep it, feature it on the menu and protect the recipe and the supplier.",IF(AND($D7="Dog",$E7="Loser",$F7="Problem"),"Rarely ordered, high food cost and little margin to the total: a candidate to remove or to rework from the ground up.",IF(AND($D7="Plowhorse",$E7="Winner"),"Popular with a low margin: raise the price or lower the cost.",IF(AND($D7="Plowhorse",$E7="Loser"),"Popular but expensive to produce and short on margin: rework the recipe before you touch the price.",IF(AND('Data'!$G7&gt;='Data'!$N7,'Data'!$H7&gt;'Data'!$O7),"High CM with a poor food cost: protect the margin in dollars, review the price, don't remove it.",IF(AND($D7="Puzzle",$E7="Winner"),"Profitable with a healthy food cost, but rarely ordered: it's a menu problem, not a kitchen one. Rename it, move it up or have the floor staff suggest it.",IF($F7="Sleeper","Healthy food cost but little margin to the total: give it visibility before you remove it.",IF(AND($G7="Below target",$D7="Star"),"It sells and leaves margin, but falls below its category's Goal Value: little room to spare, review the price.",IF($D7="Dog","Rarely ordered: before removing it, check whether it's seasonal or goes with another dish that does sell.","The readings disagree: each method measures two of the three variables (popularity, margin in dollars and food cost). Decide with the one that hurts most this month.")))))))))),"")</f>
        <v>High CM with a poor food cost: protect the margin in dollars, review the price, don't remove it.</v>
      </c>
      <c r="J7" s="15" t="str">
        <f>IFERROR(IF($B7="","",IF($H7=0,"Keep",IF(AND($D7="Dog",$E7="Loser"),"Remove",IF($D7="Plowhorse","Reprice",IF($D7="Puzzle","Redesign",IF($F7="Problem","Reformulate","Review")))))),"")</f>
        <v>Review</v>
      </c>
    </row>
    <row r="8">
      <c r="A8" s="8" t="n">
        <v>4</v>
      </c>
      <c r="B8" t="str">
        <f>IFERROR(IF('Data'!$B8="","",'Data'!$B8),"")</f>
        <v>Broken eggs with potatoes and chistorra sausage</v>
      </c>
      <c r="C8" t="str">
        <f>IFERROR(IF('Data'!$C8="","",'Data'!$C8),"")</f>
        <v>Starters</v>
      </c>
      <c r="D8" s="15" t="str">
        <f>IFERROR(IF('Kasavana-Smith'!$K8="","",'Kasavana-Smith'!$K8),"")</f>
        <v>Plowhorse</v>
      </c>
      <c r="E8" s="15" t="str">
        <f>IFERROR(IF('Miller'!$K8="","",'Miller'!$K8),"")</f>
        <v>Winner</v>
      </c>
      <c r="F8" s="15" t="str">
        <f>IFERROR(IF('Pavesic'!$K8="","",'Pavesic'!$K8),"")</f>
        <v>Prime</v>
      </c>
      <c r="G8" s="15" t="str">
        <f>IFERROR(IF('Goal Value'!$L8="","",'Goal Value'!$L8),"")</f>
        <v>Above target</v>
      </c>
      <c r="H8" s="24">
        <f>IFERROR(IF($B8="","",IF($D8="Star",0,1)+IF($E8="Winner",0,1)+IF($F8="Prime",0,1)+IF($G8="Above target",0,1)),"")</f>
        <v>1.0</v>
      </c>
      <c r="I8" s="25" t="str">
        <f>IFERROR(IF($B8="","",IF($H8=0,"All four readings agree on the best: keep it, feature it on the menu and protect the recipe and the supplier.",IF(AND($D8="Dog",$E8="Loser",$F8="Problem"),"Rarely ordered, high food cost and little margin to the total: a candidate to remove or to rework from the ground up.",IF(AND($D8="Plowhorse",$E8="Winner"),"Popular with a low margin: raise the price or lower the cost.",IF(AND($D8="Plowhorse",$E8="Loser"),"Popular but expensive to produce and short on margin: rework the recipe before you touch the price.",IF(AND('Data'!$G8&gt;='Data'!$N8,'Data'!$H8&gt;'Data'!$O8),"High CM with a poor food cost: protect the margin in dollars, review the price, don't remove it.",IF(AND($D8="Puzzle",$E8="Winner"),"Profitable with a healthy food cost, but rarely ordered: it's a menu problem, not a kitchen one. Rename it, move it up or have the floor staff suggest it.",IF($F8="Sleeper","Healthy food cost but little margin to the total: give it visibility before you remove it.",IF(AND($G8="Below target",$D8="Star"),"It sells and leaves margin, but falls below its category's Goal Value: little room to spare, review the price.",IF($D8="Dog","Rarely ordered: before removing it, check whether it's seasonal or goes with another dish that does sell.","The readings disagree: each method measures two of the three variables (popularity, margin in dollars and food cost). Decide with the one that hurts most this month.")))))))))),"")</f>
        <v>Popular with a low margin: raise the price or lower the cost.</v>
      </c>
      <c r="J8" s="15" t="str">
        <f>IFERROR(IF($B8="","",IF($H8=0,"Keep",IF(AND($D8="Dog",$E8="Loser"),"Remove",IF($D8="Plowhorse","Reprice",IF($D8="Puzzle","Redesign",IF($F8="Problem","Reformulate","Review")))))),"")</f>
        <v>Reprice</v>
      </c>
    </row>
    <row r="9">
      <c r="A9" s="8" t="n">
        <v>5</v>
      </c>
      <c r="B9" t="str">
        <f>IFERROR(IF('Data'!$B9="","",'Data'!$B9),"")</f>
        <v>Local cheese board</v>
      </c>
      <c r="C9" t="str">
        <f>IFERROR(IF('Data'!$C9="","",'Data'!$C9),"")</f>
        <v>Starters</v>
      </c>
      <c r="D9" s="15" t="str">
        <f>IFERROR(IF('Kasavana-Smith'!$K9="","",'Kasavana-Smith'!$K9),"")</f>
        <v>Puzzle</v>
      </c>
      <c r="E9" s="15" t="str">
        <f>IFERROR(IF('Miller'!$K9="","",'Miller'!$K9),"")</f>
        <v>Loser</v>
      </c>
      <c r="F9" s="15" t="str">
        <f>IFERROR(IF('Pavesic'!$K9="","",'Pavesic'!$K9),"")</f>
        <v>Problem</v>
      </c>
      <c r="G9" s="15" t="str">
        <f>IFERROR(IF('Goal Value'!$L9="","",'Goal Value'!$L9),"")</f>
        <v>Below target</v>
      </c>
      <c r="H9" s="24">
        <f>IFERROR(IF($B9="","",IF($D9="Star",0,1)+IF($E9="Winner",0,1)+IF($F9="Prime",0,1)+IF($G9="Above target",0,1)),"")</f>
        <v>4.0</v>
      </c>
      <c r="I9" s="25" t="str">
        <f>IFERROR(IF($B9="","",IF($H9=0,"All four readings agree on the best: keep it, feature it on the menu and protect the recipe and the supplier.",IF(AND($D9="Dog",$E9="Loser",$F9="Problem"),"Rarely ordered, high food cost and little margin to the total: a candidate to remove or to rework from the ground up.",IF(AND($D9="Plowhorse",$E9="Winner"),"Popular with a low margin: raise the price or lower the cost.",IF(AND($D9="Plowhorse",$E9="Loser"),"Popular but expensive to produce and short on margin: rework the recipe before you touch the price.",IF(AND('Data'!$G9&gt;='Data'!$N9,'Data'!$H9&gt;'Data'!$O9),"High CM with a poor food cost: protect the margin in dollars, review the price, don't remove it.",IF(AND($D9="Puzzle",$E9="Winner"),"Profitable with a healthy food cost, but rarely ordered: it's a menu problem, not a kitchen one. Rename it, move it up or have the floor staff suggest it.",IF($F9="Sleeper","Healthy food cost but little margin to the total: give it visibility before you remove it.",IF(AND($G9="Below target",$D9="Star"),"It sells and leaves margin, but falls below its category's Goal Value: little room to spare, review the price.",IF($D9="Dog","Rarely ordered: before removing it, check whether it's seasonal or goes with another dish that does sell.","The readings disagree: each method measures two of the three variables (popularity, margin in dollars and food cost). Decide with the one that hurts most this month.")))))))))),"")</f>
        <v>High CM with a poor food cost: protect the margin in dollars, review the price, don't remove it.</v>
      </c>
      <c r="J9" s="15" t="str">
        <f>IFERROR(IF($B9="","",IF($H9=0,"Keep",IF(AND($D9="Dog",$E9="Loser"),"Remove",IF($D9="Plowhorse","Reprice",IF($D9="Puzzle","Redesign",IF($F9="Problem","Reformulate","Review")))))),"")</f>
        <v>Redesign</v>
      </c>
    </row>
    <row r="10">
      <c r="A10" s="8" t="n">
        <v>6</v>
      </c>
      <c r="B10" t="str">
        <f>IFERROR(IF('Data'!$B10="","",'Data'!$B10),"")</f>
        <v>Confit artichokes with ham</v>
      </c>
      <c r="C10" t="str">
        <f>IFERROR(IF('Data'!$C10="","",'Data'!$C10),"")</f>
        <v>Starters</v>
      </c>
      <c r="D10" s="15" t="str">
        <f>IFERROR(IF('Kasavana-Smith'!$K10="","",'Kasavana-Smith'!$K10),"")</f>
        <v>Puzzle</v>
      </c>
      <c r="E10" s="15" t="str">
        <f>IFERROR(IF('Miller'!$K10="","",'Miller'!$K10),"")</f>
        <v>Marginal</v>
      </c>
      <c r="F10" s="15" t="str">
        <f>IFERROR(IF('Pavesic'!$K10="","",'Pavesic'!$K10),"")</f>
        <v>Sleeper</v>
      </c>
      <c r="G10" s="15" t="str">
        <f>IFERROR(IF('Goal Value'!$L10="","",'Goal Value'!$L10),"")</f>
        <v>Below target</v>
      </c>
      <c r="H10" s="24">
        <f>IFERROR(IF($B10="","",IF($D10="Star",0,1)+IF($E10="Winner",0,1)+IF($F10="Prime",0,1)+IF($G10="Above target",0,1)),"")</f>
        <v>4.0</v>
      </c>
      <c r="I10" s="25" t="str">
        <f>IFERROR(IF($B10="","",IF($H10=0,"All four readings agree on the best: keep it, feature it on the menu and protect the recipe and the supplier.",IF(AND($D10="Dog",$E10="Loser",$F10="Problem"),"Rarely ordered, high food cost and little margin to the total: a candidate to remove or to rework from the ground up.",IF(AND($D10="Plowhorse",$E10="Winner"),"Popular with a low margin: raise the price or lower the cost.",IF(AND($D10="Plowhorse",$E10="Loser"),"Popular but expensive to produce and short on margin: rework the recipe before you touch the price.",IF(AND('Data'!$G10&gt;='Data'!$N10,'Data'!$H10&gt;'Data'!$O10),"High CM with a poor food cost: protect the margin in dollars, review the price, don't remove it.",IF(AND($D10="Puzzle",$E10="Winner"),"Profitable with a healthy food cost, but rarely ordered: it's a menu problem, not a kitchen one. Rename it, move it up or have the floor staff suggest it.",IF($F10="Sleeper","Healthy food cost but little margin to the total: give it visibility before you remove it.",IF(AND($G10="Below target",$D10="Star"),"It sells and leaves margin, but falls below its category's Goal Value: little room to spare, review the price.",IF($D10="Dog","Rarely ordered: before removing it, check whether it's seasonal or goes with another dish that does sell.","The readings disagree: each method measures two of the three variables (popularity, margin in dollars and food cost). Decide with the one that hurts most this month.")))))))))),"")</f>
        <v>Healthy food cost but little margin to the total: give it visibility before you remove it.</v>
      </c>
      <c r="J10" s="15" t="str">
        <f>IFERROR(IF($B10="","",IF($H10=0,"Keep",IF(AND($D10="Dog",$E10="Loser"),"Remove",IF($D10="Plowhorse","Reprice",IF($D10="Puzzle","Redesign",IF($F10="Problem","Reformulate","Review")))))),"")</f>
        <v>Redesign</v>
      </c>
    </row>
    <row r="11">
      <c r="A11" s="8" t="n">
        <v>7</v>
      </c>
      <c r="B11" t="str">
        <f>IFERROR(IF('Data'!$B11="","",'Data'!$B11),"")</f>
        <v>Roasted tomato soup with basil</v>
      </c>
      <c r="C11" t="str">
        <f>IFERROR(IF('Data'!$C11="","",'Data'!$C11),"")</f>
        <v>Starters</v>
      </c>
      <c r="D11" s="15" t="str">
        <f>IFERROR(IF('Kasavana-Smith'!$K11="","",'Kasavana-Smith'!$K11),"")</f>
        <v>Dog</v>
      </c>
      <c r="E11" s="15" t="str">
        <f>IFERROR(IF('Miller'!$K11="","",'Miller'!$K11),"")</f>
        <v>Marginal</v>
      </c>
      <c r="F11" s="15" t="str">
        <f>IFERROR(IF('Pavesic'!$K11="","",'Pavesic'!$K11),"")</f>
        <v>Sleeper</v>
      </c>
      <c r="G11" s="15" t="str">
        <f>IFERROR(IF('Goal Value'!$L11="","",'Goal Value'!$L11),"")</f>
        <v>Below target</v>
      </c>
      <c r="H11" s="24">
        <f>IFERROR(IF($B11="","",IF($D11="Star",0,1)+IF($E11="Winner",0,1)+IF($F11="Prime",0,1)+IF($G11="Above target",0,1)),"")</f>
        <v>4.0</v>
      </c>
      <c r="I11" s="25" t="str">
        <f>IFERROR(IF($B11="","",IF($H11=0,"All four readings agree on the best: keep it, feature it on the menu and protect the recipe and the supplier.",IF(AND($D11="Dog",$E11="Loser",$F11="Problem"),"Rarely ordered, high food cost and little margin to the total: a candidate to remove or to rework from the ground up.",IF(AND($D11="Plowhorse",$E11="Winner"),"Popular with a low margin: raise the price or lower the cost.",IF(AND($D11="Plowhorse",$E11="Loser"),"Popular but expensive to produce and short on margin: rework the recipe before you touch the price.",IF(AND('Data'!$G11&gt;='Data'!$N11,'Data'!$H11&gt;'Data'!$O11),"High CM with a poor food cost: protect the margin in dollars, review the price, don't remove it.",IF(AND($D11="Puzzle",$E11="Winner"),"Profitable with a healthy food cost, but rarely ordered: it's a menu problem, not a kitchen one. Rename it, move it up or have the floor staff suggest it.",IF($F11="Sleeper","Healthy food cost but little margin to the total: give it visibility before you remove it.",IF(AND($G11="Below target",$D11="Star"),"It sells and leaves margin, but falls below its category's Goal Value: little room to spare, review the price.",IF($D11="Dog","Rarely ordered: before removing it, check whether it's seasonal or goes with another dish that does sell.","The readings disagree: each method measures two of the three variables (popularity, margin in dollars and food cost). Decide with the one that hurts most this month.")))))))))),"")</f>
        <v>Healthy food cost but little margin to the total: give it visibility before you remove it.</v>
      </c>
      <c r="J11" s="15" t="str">
        <f>IFERROR(IF($B11="","",IF($H11=0,"Keep",IF(AND($D11="Dog",$E11="Loser"),"Remove",IF($D11="Plowhorse","Reprice",IF($D11="Puzzle","Redesign",IF($F11="Problem","Reformulate","Review")))))),"")</f>
        <v>Review</v>
      </c>
    </row>
    <row r="12">
      <c r="A12" s="8" t="n">
        <v>8</v>
      </c>
      <c r="B12" t="str">
        <f>IFERROR(IF('Data'!$B12="","",'Data'!$B12),"")</f>
        <v>Iberico pork tenderloin with sweet potato purée</v>
      </c>
      <c r="C12" t="str">
        <f>IFERROR(IF('Data'!$C12="","",'Data'!$C12),"")</f>
        <v>Mains</v>
      </c>
      <c r="D12" s="15" t="str">
        <f>IFERROR(IF('Kasavana-Smith'!$K12="","",'Kasavana-Smith'!$K12),"")</f>
        <v>Star</v>
      </c>
      <c r="E12" s="15" t="str">
        <f>IFERROR(IF('Miller'!$K12="","",'Miller'!$K12),"")</f>
        <v>Winner</v>
      </c>
      <c r="F12" s="15" t="str">
        <f>IFERROR(IF('Pavesic'!$K12="","",'Pavesic'!$K12),"")</f>
        <v>Prime</v>
      </c>
      <c r="G12" s="15" t="str">
        <f>IFERROR(IF('Goal Value'!$L12="","",'Goal Value'!$L12),"")</f>
        <v>Above target</v>
      </c>
      <c r="H12" s="24">
        <f>IFERROR(IF($B12="","",IF($D12="Star",0,1)+IF($E12="Winner",0,1)+IF($F12="Prime",0,1)+IF($G12="Above target",0,1)),"")</f>
        <v>0.0</v>
      </c>
      <c r="I12" s="25" t="str">
        <f>IFERROR(IF($B12="","",IF($H12=0,"All four readings agree on the best: keep it, feature it on the menu and protect the recipe and the supplier.",IF(AND($D12="Dog",$E12="Loser",$F12="Problem"),"Rarely ordered, high food cost and little margin to the total: a candidate to remove or to rework from the ground up.",IF(AND($D12="Plowhorse",$E12="Winner"),"Popular with a low margin: raise the price or lower the cost.",IF(AND($D12="Plowhorse",$E12="Loser"),"Popular but expensive to produce and short on margin: rework the recipe before you touch the price.",IF(AND('Data'!$G12&gt;='Data'!$N12,'Data'!$H12&gt;'Data'!$O12),"High CM with a poor food cost: protect the margin in dollars, review the price, don't remove it.",IF(AND($D12="Puzzle",$E12="Winner"),"Profitable with a healthy food cost, but rarely ordered: it's a menu problem, not a kitchen one. Rename it, move it up or have the floor staff suggest it.",IF($F12="Sleeper","Healthy food cost but little margin to the total: give it visibility before you remove it.",IF(AND($G12="Below target",$D12="Star"),"It sells and leaves margin, but falls below its category's Goal Value: little room to spare, review the price.",IF($D12="Dog","Rarely ordered: before removing it, check whether it's seasonal or goes with another dish that does sell.","The readings disagree: each method measures two of the three variables (popularity, margin in dollars and food cost). Decide with the one that hurts most this month.")))))))))),"")</f>
        <v>All four readings agree on the best: keep it, feature it on the menu and protect the recipe and the supplier.</v>
      </c>
      <c r="J12" s="15" t="str">
        <f>IFERROR(IF($B12="","",IF($H12=0,"Keep",IF(AND($D12="Dog",$E12="Loser"),"Remove",IF($D12="Plowhorse","Reprice",IF($D12="Puzzle","Redesign",IF($F12="Problem","Reformulate","Review")))))),"")</f>
        <v>Keep</v>
      </c>
    </row>
    <row r="13">
      <c r="A13" s="8" t="n">
        <v>9</v>
      </c>
      <c r="B13" t="str">
        <f>IFERROR(IF('Data'!$B13="","",'Data'!$B13),"")</f>
        <v>Confit cod in pil-pil sauce</v>
      </c>
      <c r="C13" t="str">
        <f>IFERROR(IF('Data'!$C13="","",'Data'!$C13),"")</f>
        <v>Mains</v>
      </c>
      <c r="D13" s="15" t="str">
        <f>IFERROR(IF('Kasavana-Smith'!$K13="","",'Kasavana-Smith'!$K13),"")</f>
        <v>Star</v>
      </c>
      <c r="E13" s="15" t="str">
        <f>IFERROR(IF('Miller'!$K13="","",'Miller'!$K13),"")</f>
        <v>Marginal</v>
      </c>
      <c r="F13" s="15" t="str">
        <f>IFERROR(IF('Pavesic'!$K13="","",'Pavesic'!$K13),"")</f>
        <v>Problem</v>
      </c>
      <c r="G13" s="15" t="str">
        <f>IFERROR(IF('Goal Value'!$L13="","",'Goal Value'!$L13),"")</f>
        <v>Below target</v>
      </c>
      <c r="H13" s="24">
        <f>IFERROR(IF($B13="","",IF($D13="Star",0,1)+IF($E13="Winner",0,1)+IF($F13="Prime",0,1)+IF($G13="Above target",0,1)),"")</f>
        <v>3.0</v>
      </c>
      <c r="I13" s="25" t="str">
        <f>IFERROR(IF($B13="","",IF($H13=0,"All four readings agree on the best: keep it, feature it on the menu and protect the recipe and the supplier.",IF(AND($D13="Dog",$E13="Loser",$F13="Problem"),"Rarely ordered, high food cost and little margin to the total: a candidate to remove or to rework from the ground up.",IF(AND($D13="Plowhorse",$E13="Winner"),"Popular with a low margin: raise the price or lower the cost.",IF(AND($D13="Plowhorse",$E13="Loser"),"Popular but expensive to produce and short on margin: rework the recipe before you touch the price.",IF(AND('Data'!$G13&gt;='Data'!$N13,'Data'!$H13&gt;'Data'!$O13),"High CM with a poor food cost: protect the margin in dollars, review the price, don't remove it.",IF(AND($D13="Puzzle",$E13="Winner"),"Profitable with a healthy food cost, but rarely ordered: it's a menu problem, not a kitchen one. Rename it, move it up or have the floor staff suggest it.",IF($F13="Sleeper","Healthy food cost but little margin to the total: give it visibility before you remove it.",IF(AND($G13="Below target",$D13="Star"),"It sells and leaves margin, but falls below its category's Goal Value: little room to spare, review the price.",IF($D13="Dog","Rarely ordered: before removing it, check whether it's seasonal or goes with another dish that does sell.","The readings disagree: each method measures two of the three variables (popularity, margin in dollars and food cost). Decide with the one that hurts most this month.")))))))))),"")</f>
        <v>High CM with a poor food cost: protect the margin in dollars, review the price, don't remove it.</v>
      </c>
      <c r="J13" s="15" t="str">
        <f>IFERROR(IF($B13="","",IF($H13=0,"Keep",IF(AND($D13="Dog",$E13="Loser"),"Remove",IF($D13="Plowhorse","Reprice",IF($D13="Puzzle","Redesign",IF($F13="Problem","Reformulate","Review")))))),"")</f>
        <v>Reformulate</v>
      </c>
    </row>
    <row r="14">
      <c r="A14" s="8" t="n">
        <v>10</v>
      </c>
      <c r="B14" t="str">
        <f>IFERROR(IF('Data'!$B14="","",'Data'!$B14),"")</f>
        <v>Dry-aged beef burger with fries</v>
      </c>
      <c r="C14" t="str">
        <f>IFERROR(IF('Data'!$C14="","",'Data'!$C14),"")</f>
        <v>Mains</v>
      </c>
      <c r="D14" s="15" t="str">
        <f>IFERROR(IF('Kasavana-Smith'!$K14="","",'Kasavana-Smith'!$K14),"")</f>
        <v>Plowhorse</v>
      </c>
      <c r="E14" s="15" t="str">
        <f>IFERROR(IF('Miller'!$K14="","",'Miller'!$K14),"")</f>
        <v>Winner</v>
      </c>
      <c r="F14" s="15" t="str">
        <f>IFERROR(IF('Pavesic'!$K14="","",'Pavesic'!$K14),"")</f>
        <v>Prime</v>
      </c>
      <c r="G14" s="15" t="str">
        <f>IFERROR(IF('Goal Value'!$L14="","",'Goal Value'!$L14),"")</f>
        <v>Above target</v>
      </c>
      <c r="H14" s="24">
        <f>IFERROR(IF($B14="","",IF($D14="Star",0,1)+IF($E14="Winner",0,1)+IF($F14="Prime",0,1)+IF($G14="Above target",0,1)),"")</f>
        <v>1.0</v>
      </c>
      <c r="I14" s="25" t="str">
        <f>IFERROR(IF($B14="","",IF($H14=0,"All four readings agree on the best: keep it, feature it on the menu and protect the recipe and the supplier.",IF(AND($D14="Dog",$E14="Loser",$F14="Problem"),"Rarely ordered, high food cost and little margin to the total: a candidate to remove or to rework from the ground up.",IF(AND($D14="Plowhorse",$E14="Winner"),"Popular with a low margin: raise the price or lower the cost.",IF(AND($D14="Plowhorse",$E14="Loser"),"Popular but expensive to produce and short on margin: rework the recipe before you touch the price.",IF(AND('Data'!$G14&gt;='Data'!$N14,'Data'!$H14&gt;'Data'!$O14),"High CM with a poor food cost: protect the margin in dollars, review the price, don't remove it.",IF(AND($D14="Puzzle",$E14="Winner"),"Profitable with a healthy food cost, but rarely ordered: it's a menu problem, not a kitchen one. Rename it, move it up or have the floor staff suggest it.",IF($F14="Sleeper","Healthy food cost but little margin to the total: give it visibility before you remove it.",IF(AND($G14="Below target",$D14="Star"),"It sells and leaves margin, but falls below its category's Goal Value: little room to spare, review the price.",IF($D14="Dog","Rarely ordered: before removing it, check whether it's seasonal or goes with another dish that does sell.","The readings disagree: each method measures two of the three variables (popularity, margin in dollars and food cost). Decide with the one that hurts most this month.")))))))))),"")</f>
        <v>Popular with a low margin: raise the price or lower the cost.</v>
      </c>
      <c r="J14" s="15" t="str">
        <f>IFERROR(IF($B14="","",IF($H14=0,"Keep",IF(AND($D14="Dog",$E14="Loser"),"Remove",IF($D14="Plowhorse","Reprice",IF($D14="Puzzle","Redesign",IF($F14="Problem","Reformulate","Review")))))),"")</f>
        <v>Reprice</v>
      </c>
    </row>
    <row r="15">
      <c r="A15" s="8" t="n">
        <v>11</v>
      </c>
      <c r="B15" t="str">
        <f>IFERROR(IF('Data'!$B15="","",'Data'!$B15),"")</f>
        <v>Creamy rice with Iberico pork secreto and mushrooms</v>
      </c>
      <c r="C15" t="str">
        <f>IFERROR(IF('Data'!$C15="","",'Data'!$C15),"")</f>
        <v>Mains</v>
      </c>
      <c r="D15" s="15" t="str">
        <f>IFERROR(IF('Kasavana-Smith'!$K15="","",'Kasavana-Smith'!$K15),"")</f>
        <v>Plowhorse</v>
      </c>
      <c r="E15" s="15" t="str">
        <f>IFERROR(IF('Miller'!$K15="","",'Miller'!$K15),"")</f>
        <v>Marginal</v>
      </c>
      <c r="F15" s="15" t="str">
        <f>IFERROR(IF('Pavesic'!$K15="","",'Pavesic'!$K15),"")</f>
        <v>Standard</v>
      </c>
      <c r="G15" s="15" t="str">
        <f>IFERROR(IF('Goal Value'!$L15="","",'Goal Value'!$L15),"")</f>
        <v>Above target</v>
      </c>
      <c r="H15" s="24">
        <f>IFERROR(IF($B15="","",IF($D15="Star",0,1)+IF($E15="Winner",0,1)+IF($F15="Prime",0,1)+IF($G15="Above target",0,1)),"")</f>
        <v>3.0</v>
      </c>
      <c r="I15" s="25" t="str">
        <f>IFERROR(IF($B15="","",IF($H15=0,"All four readings agree on the best: keep it, feature it on the menu and protect the recipe and the supplier.",IF(AND($D15="Dog",$E15="Loser",$F15="Problem"),"Rarely ordered, high food cost and little margin to the total: a candidate to remove or to rework from the ground up.",IF(AND($D15="Plowhorse",$E15="Winner"),"Popular with a low margin: raise the price or lower the cost.",IF(AND($D15="Plowhorse",$E15="Loser"),"Popular but expensive to produce and short on margin: rework the recipe before you touch the price.",IF(AND('Data'!$G15&gt;='Data'!$N15,'Data'!$H15&gt;'Data'!$O15),"High CM with a poor food cost: protect the margin in dollars, review the price, don't remove it.",IF(AND($D15="Puzzle",$E15="Winner"),"Profitable with a healthy food cost, but rarely ordered: it's a menu problem, not a kitchen one. Rename it, move it up or have the floor staff suggest it.",IF($F15="Sleeper","Healthy food cost but little margin to the total: give it visibility before you remove it.",IF(AND($G15="Below target",$D15="Star"),"It sells and leaves margin, but falls below its category's Goal Value: little room to spare, review the price.",IF($D15="Dog","Rarely ordered: before removing it, check whether it's seasonal or goes with another dish that does sell.","The readings disagree: each method measures two of the three variables (popularity, margin in dollars and food cost). Decide with the one that hurts most this month.")))))))))),"")</f>
        <v>The readings disagree: each method measures two of the three variables (popularity, margin in dollars and food cost). Decide with the one that hurts most this month.</v>
      </c>
      <c r="J15" s="15" t="str">
        <f>IFERROR(IF($B15="","",IF($H15=0,"Keep",IF(AND($D15="Dog",$E15="Loser"),"Remove",IF($D15="Plowhorse","Reprice",IF($D15="Puzzle","Redesign",IF($F15="Problem","Reformulate","Review")))))),"")</f>
        <v>Reprice</v>
      </c>
    </row>
    <row r="16">
      <c r="A16" s="8" t="n">
        <v>12</v>
      </c>
      <c r="B16" t="str">
        <f>IFERROR(IF('Data'!$B16="","",'Data'!$B16),"")</f>
        <v>Dry-aged bone-in ribeye (17.64 oz)</v>
      </c>
      <c r="C16" t="str">
        <f>IFERROR(IF('Data'!$C16="","",'Data'!$C16),"")</f>
        <v>Mains</v>
      </c>
      <c r="D16" s="15" t="str">
        <f>IFERROR(IF('Kasavana-Smith'!$K16="","",'Kasavana-Smith'!$K16),"")</f>
        <v>Puzzle</v>
      </c>
      <c r="E16" s="15" t="str">
        <f>IFERROR(IF('Miller'!$K16="","",'Miller'!$K16),"")</f>
        <v>Loser</v>
      </c>
      <c r="F16" s="15" t="str">
        <f>IFERROR(IF('Pavesic'!$K16="","",'Pavesic'!$K16),"")</f>
        <v>Problem</v>
      </c>
      <c r="G16" s="15" t="str">
        <f>IFERROR(IF('Goal Value'!$L16="","",'Goal Value'!$L16),"")</f>
        <v>Below target</v>
      </c>
      <c r="H16" s="24">
        <f>IFERROR(IF($B16="","",IF($D16="Star",0,1)+IF($E16="Winner",0,1)+IF($F16="Prime",0,1)+IF($G16="Above target",0,1)),"")</f>
        <v>4.0</v>
      </c>
      <c r="I16" s="25" t="str">
        <f>IFERROR(IF($B16="","",IF($H16=0,"All four readings agree on the best: keep it, feature it on the menu and protect the recipe and the supplier.",IF(AND($D16="Dog",$E16="Loser",$F16="Problem"),"Rarely ordered, high food cost and little margin to the total: a candidate to remove or to rework from the ground up.",IF(AND($D16="Plowhorse",$E16="Winner"),"Popular with a low margin: raise the price or lower the cost.",IF(AND($D16="Plowhorse",$E16="Loser"),"Popular but expensive to produce and short on margin: rework the recipe before you touch the price.",IF(AND('Data'!$G16&gt;='Data'!$N16,'Data'!$H16&gt;'Data'!$O16),"High CM with a poor food cost: protect the margin in dollars, review the price, don't remove it.",IF(AND($D16="Puzzle",$E16="Winner"),"Profitable with a healthy food cost, but rarely ordered: it's a menu problem, not a kitchen one. Rename it, move it up or have the floor staff suggest it.",IF($F16="Sleeper","Healthy food cost but little margin to the total: give it visibility before you remove it.",IF(AND($G16="Below target",$D16="Star"),"It sells and leaves margin, but falls below its category's Goal Value: little room to spare, review the price.",IF($D16="Dog","Rarely ordered: before removing it, check whether it's seasonal or goes with another dish that does sell.","The readings disagree: each method measures two of the three variables (popularity, margin in dollars and food cost). Decide with the one that hurts most this month.")))))))))),"")</f>
        <v>High CM with a poor food cost: protect the margin in dollars, review the price, don't remove it.</v>
      </c>
      <c r="J16" s="15" t="str">
        <f>IFERROR(IF($B16="","",IF($H16=0,"Keep",IF(AND($D16="Dog",$E16="Loser"),"Remove",IF($D16="Plowhorse","Reprice",IF($D16="Puzzle","Redesign",IF($F16="Problem","Reformulate","Review")))))),"")</f>
        <v>Redesign</v>
      </c>
    </row>
    <row r="17">
      <c r="A17" s="8" t="n">
        <v>13</v>
      </c>
      <c r="B17" t="str">
        <f>IFERROR(IF('Data'!$B17="","",'Data'!$B17),"")</f>
        <v>Salt-baked sea bass</v>
      </c>
      <c r="C17" t="str">
        <f>IFERROR(IF('Data'!$C17="","",'Data'!$C17),"")</f>
        <v>Mains</v>
      </c>
      <c r="D17" s="15" t="str">
        <f>IFERROR(IF('Kasavana-Smith'!$K17="","",'Kasavana-Smith'!$K17),"")</f>
        <v>Puzzle</v>
      </c>
      <c r="E17" s="15" t="str">
        <f>IFERROR(IF('Miller'!$K17="","",'Miller'!$K17),"")</f>
        <v>Loser</v>
      </c>
      <c r="F17" s="15" t="str">
        <f>IFERROR(IF('Pavesic'!$K17="","",'Pavesic'!$K17),"")</f>
        <v>Problem</v>
      </c>
      <c r="G17" s="15" t="str">
        <f>IFERROR(IF('Goal Value'!$L17="","",'Goal Value'!$L17),"")</f>
        <v>Below target</v>
      </c>
      <c r="H17" s="24">
        <f>IFERROR(IF($B17="","",IF($D17="Star",0,1)+IF($E17="Winner",0,1)+IF($F17="Prime",0,1)+IF($G17="Above target",0,1)),"")</f>
        <v>4.0</v>
      </c>
      <c r="I17" s="25" t="str">
        <f>IFERROR(IF($B17="","",IF($H17=0,"All four readings agree on the best: keep it, feature it on the menu and protect the recipe and the supplier.",IF(AND($D17="Dog",$E17="Loser",$F17="Problem"),"Rarely ordered, high food cost and little margin to the total: a candidate to remove or to rework from the ground up.",IF(AND($D17="Plowhorse",$E17="Winner"),"Popular with a low margin: raise the price or lower the cost.",IF(AND($D17="Plowhorse",$E17="Loser"),"Popular but expensive to produce and short on margin: rework the recipe before you touch the price.",IF(AND('Data'!$G17&gt;='Data'!$N17,'Data'!$H17&gt;'Data'!$O17),"High CM with a poor food cost: protect the margin in dollars, review the price, don't remove it.",IF(AND($D17="Puzzle",$E17="Winner"),"Profitable with a healthy food cost, but rarely ordered: it's a menu problem, not a kitchen one. Rename it, move it up or have the floor staff suggest it.",IF($F17="Sleeper","Healthy food cost but little margin to the total: give it visibility before you remove it.",IF(AND($G17="Below target",$D17="Star"),"It sells and leaves margin, but falls below its category's Goal Value: little room to spare, review the price.",IF($D17="Dog","Rarely ordered: before removing it, check whether it's seasonal or goes with another dish that does sell.","The readings disagree: each method measures two of the three variables (popularity, margin in dollars and food cost). Decide with the one that hurts most this month.")))))))))),"")</f>
        <v>High CM with a poor food cost: protect the margin in dollars, review the price, don't remove it.</v>
      </c>
      <c r="J17" s="15" t="str">
        <f>IFERROR(IF($B17="","",IF($H17=0,"Keep",IF(AND($D17="Dog",$E17="Loser"),"Remove",IF($D17="Plowhorse","Reprice",IF($D17="Puzzle","Redesign",IF($F17="Problem","Reformulate","Review")))))),"")</f>
        <v>Redesign</v>
      </c>
    </row>
    <row r="18">
      <c r="A18" s="8" t="n">
        <v>14</v>
      </c>
      <c r="B18" t="str">
        <f>IFERROR(IF('Data'!$B18="","",'Data'!$B18),"")</f>
        <v>Free-range roast chicken with potatoes</v>
      </c>
      <c r="C18" t="str">
        <f>IFERROR(IF('Data'!$C18="","",'Data'!$C18),"")</f>
        <v>Mains</v>
      </c>
      <c r="D18" s="15" t="str">
        <f>IFERROR(IF('Kasavana-Smith'!$K18="","",'Kasavana-Smith'!$K18),"")</f>
        <v>Plowhorse</v>
      </c>
      <c r="E18" s="15" t="str">
        <f>IFERROR(IF('Miller'!$K18="","",'Miller'!$K18),"")</f>
        <v>Winner</v>
      </c>
      <c r="F18" s="15" t="str">
        <f>IFERROR(IF('Pavesic'!$K18="","",'Pavesic'!$K18),"")</f>
        <v>Prime</v>
      </c>
      <c r="G18" s="15" t="str">
        <f>IFERROR(IF('Goal Value'!$L18="","",'Goal Value'!$L18),"")</f>
        <v>Above target</v>
      </c>
      <c r="H18" s="24">
        <f>IFERROR(IF($B18="","",IF($D18="Star",0,1)+IF($E18="Winner",0,1)+IF($F18="Prime",0,1)+IF($G18="Above target",0,1)),"")</f>
        <v>1.0</v>
      </c>
      <c r="I18" s="25" t="str">
        <f>IFERROR(IF($B18="","",IF($H18=0,"All four readings agree on the best: keep it, feature it on the menu and protect the recipe and the supplier.",IF(AND($D18="Dog",$E18="Loser",$F18="Problem"),"Rarely ordered, high food cost and little margin to the total: a candidate to remove or to rework from the ground up.",IF(AND($D18="Plowhorse",$E18="Winner"),"Popular with a low margin: raise the price or lower the cost.",IF(AND($D18="Plowhorse",$E18="Loser"),"Popular but expensive to produce and short on margin: rework the recipe before you touch the price.",IF(AND('Data'!$G18&gt;='Data'!$N18,'Data'!$H18&gt;'Data'!$O18),"High CM with a poor food cost: protect the margin in dollars, review the price, don't remove it.",IF(AND($D18="Puzzle",$E18="Winner"),"Profitable with a healthy food cost, but rarely ordered: it's a menu problem, not a kitchen one. Rename it, move it up or have the floor staff suggest it.",IF($F18="Sleeper","Healthy food cost but little margin to the total: give it visibility before you remove it.",IF(AND($G18="Below target",$D18="Star"),"It sells and leaves margin, but falls below its category's Goal Value: little room to spare, review the price.",IF($D18="Dog","Rarely ordered: before removing it, check whether it's seasonal or goes with another dish that does sell.","The readings disagree: each method measures two of the three variables (popularity, margin in dollars and food cost). Decide with the one that hurts most this month.")))))))))),"")</f>
        <v>Popular with a low margin: raise the price or lower the cost.</v>
      </c>
      <c r="J18" s="15" t="str">
        <f>IFERROR(IF($B18="","",IF($H18=0,"Keep",IF(AND($D18="Dog",$E18="Loser"),"Remove",IF($D18="Plowhorse","Reprice",IF($D18="Puzzle","Redesign",IF($F18="Problem","Reformulate","Review")))))),"")</f>
        <v>Reprice</v>
      </c>
    </row>
    <row r="19">
      <c r="A19" s="8" t="n">
        <v>15</v>
      </c>
      <c r="B19" t="str">
        <f>IFERROR(IF('Data'!$B19="","",'Data'!$B19),"")</f>
        <v>Seasonal vegetable lasagna</v>
      </c>
      <c r="C19" t="str">
        <f>IFERROR(IF('Data'!$C19="","",'Data'!$C19),"")</f>
        <v>Mains</v>
      </c>
      <c r="D19" s="15" t="str">
        <f>IFERROR(IF('Kasavana-Smith'!$K19="","",'Kasavana-Smith'!$K19),"")</f>
        <v>Dog</v>
      </c>
      <c r="E19" s="15" t="str">
        <f>IFERROR(IF('Miller'!$K19="","",'Miller'!$K19),"")</f>
        <v>Marginal</v>
      </c>
      <c r="F19" s="15" t="str">
        <f>IFERROR(IF('Pavesic'!$K19="","",'Pavesic'!$K19),"")</f>
        <v>Sleeper</v>
      </c>
      <c r="G19" s="15" t="str">
        <f>IFERROR(IF('Goal Value'!$L19="","",'Goal Value'!$L19),"")</f>
        <v>Below target</v>
      </c>
      <c r="H19" s="24">
        <f>IFERROR(IF($B19="","",IF($D19="Star",0,1)+IF($E19="Winner",0,1)+IF($F19="Prime",0,1)+IF($G19="Above target",0,1)),"")</f>
        <v>4.0</v>
      </c>
      <c r="I19" s="25" t="str">
        <f>IFERROR(IF($B19="","",IF($H19=0,"All four readings agree on the best: keep it, feature it on the menu and protect the recipe and the supplier.",IF(AND($D19="Dog",$E19="Loser",$F19="Problem"),"Rarely ordered, high food cost and little margin to the total: a candidate to remove or to rework from the ground up.",IF(AND($D19="Plowhorse",$E19="Winner"),"Popular with a low margin: raise the price or lower the cost.",IF(AND($D19="Plowhorse",$E19="Loser"),"Popular but expensive to produce and short on margin: rework the recipe before you touch the price.",IF(AND('Data'!$G19&gt;='Data'!$N19,'Data'!$H19&gt;'Data'!$O19),"High CM with a poor food cost: protect the margin in dollars, review the price, don't remove it.",IF(AND($D19="Puzzle",$E19="Winner"),"Profitable with a healthy food cost, but rarely ordered: it's a menu problem, not a kitchen one. Rename it, move it up or have the floor staff suggest it.",IF($F19="Sleeper","Healthy food cost but little margin to the total: give it visibility before you remove it.",IF(AND($G19="Below target",$D19="Star"),"It sells and leaves margin, but falls below its category's Goal Value: little room to spare, review the price.",IF($D19="Dog","Rarely ordered: before removing it, check whether it's seasonal or goes with another dish that does sell.","The readings disagree: each method measures two of the three variables (popularity, margin in dollars and food cost). Decide with the one that hurts most this month.")))))))))),"")</f>
        <v>Healthy food cost but little margin to the total: give it visibility before you remove it.</v>
      </c>
      <c r="J19" s="15" t="str">
        <f>IFERROR(IF($B19="","",IF($H19=0,"Keep",IF(AND($D19="Dog",$E19="Loser"),"Remove",IF($D19="Plowhorse","Reprice",IF($D19="Puzzle","Redesign",IF($F19="Problem","Reformulate","Review")))))),"")</f>
        <v>Review</v>
      </c>
    </row>
    <row r="20">
      <c r="A20" s="8" t="n">
        <v>16</v>
      </c>
      <c r="B20" t="str">
        <f>IFERROR(IF('Data'!$B20="","",'Data'!$B20),"")</f>
        <v>Seared bluefin tuna tataki with sesame</v>
      </c>
      <c r="C20" t="str">
        <f>IFERROR(IF('Data'!$C20="","",'Data'!$C20),"")</f>
        <v>Mains</v>
      </c>
      <c r="D20" s="15" t="str">
        <f>IFERROR(IF('Kasavana-Smith'!$K20="","",'Kasavana-Smith'!$K20),"")</f>
        <v>Puzzle</v>
      </c>
      <c r="E20" s="15" t="str">
        <f>IFERROR(IF('Miller'!$K20="","",'Miller'!$K20),"")</f>
        <v>Loser</v>
      </c>
      <c r="F20" s="15" t="str">
        <f>IFERROR(IF('Pavesic'!$K20="","",'Pavesic'!$K20),"")</f>
        <v>Problem</v>
      </c>
      <c r="G20" s="15" t="str">
        <f>IFERROR(IF('Goal Value'!$L20="","",'Goal Value'!$L20),"")</f>
        <v>Below target</v>
      </c>
      <c r="H20" s="24">
        <f>IFERROR(IF($B20="","",IF($D20="Star",0,1)+IF($E20="Winner",0,1)+IF($F20="Prime",0,1)+IF($G20="Above target",0,1)),"")</f>
        <v>4.0</v>
      </c>
      <c r="I20" s="25" t="str">
        <f>IFERROR(IF($B20="","",IF($H20=0,"All four readings agree on the best: keep it, feature it on the menu and protect the recipe and the supplier.",IF(AND($D20="Dog",$E20="Loser",$F20="Problem"),"Rarely ordered, high food cost and little margin to the total: a candidate to remove or to rework from the ground up.",IF(AND($D20="Plowhorse",$E20="Winner"),"Popular with a low margin: raise the price or lower the cost.",IF(AND($D20="Plowhorse",$E20="Loser"),"Popular but expensive to produce and short on margin: rework the recipe before you touch the price.",IF(AND('Data'!$G20&gt;='Data'!$N20,'Data'!$H20&gt;'Data'!$O20),"High CM with a poor food cost: protect the margin in dollars, review the price, don't remove it.",IF(AND($D20="Puzzle",$E20="Winner"),"Profitable with a healthy food cost, but rarely ordered: it's a menu problem, not a kitchen one. Rename it, move it up or have the floor staff suggest it.",IF($F20="Sleeper","Healthy food cost but little margin to the total: give it visibility before you remove it.",IF(AND($G20="Below target",$D20="Star"),"It sells and leaves margin, but falls below its category's Goal Value: little room to spare, review the price.",IF($D20="Dog","Rarely ordered: before removing it, check whether it's seasonal or goes with another dish that does sell.","The readings disagree: each method measures two of the three variables (popularity, margin in dollars and food cost). Decide with the one that hurts most this month.")))))))))),"")</f>
        <v>High CM with a poor food cost: protect the margin in dollars, review the price, don't remove it.</v>
      </c>
      <c r="J20" s="15" t="str">
        <f>IFERROR(IF($B20="","",IF($H20=0,"Keep",IF(AND($D20="Dog",$E20="Loser"),"Remove",IF($D20="Plowhorse","Reprice",IF($D20="Puzzle","Redesign",IF($F20="Problem","Reformulate","Review")))))),"")</f>
        <v>Redesign</v>
      </c>
    </row>
    <row r="21">
      <c r="A21" s="8" t="n">
        <v>17</v>
      </c>
      <c r="B21" t="str">
        <f>IFERROR(IF('Data'!$B21="","",'Data'!$B21),"")</f>
        <v>Creamy cheesecake</v>
      </c>
      <c r="C21" t="str">
        <f>IFERROR(IF('Data'!$C21="","",'Data'!$C21),"")</f>
        <v>Desserts</v>
      </c>
      <c r="D21" s="15" t="str">
        <f>IFERROR(IF('Kasavana-Smith'!$K21="","",'Kasavana-Smith'!$K21),"")</f>
        <v>Star</v>
      </c>
      <c r="E21" s="15" t="str">
        <f>IFERROR(IF('Miller'!$K21="","",'Miller'!$K21),"")</f>
        <v>Winner</v>
      </c>
      <c r="F21" s="15" t="str">
        <f>IFERROR(IF('Pavesic'!$K21="","",'Pavesic'!$K21),"")</f>
        <v>Prime</v>
      </c>
      <c r="G21" s="15" t="str">
        <f>IFERROR(IF('Goal Value'!$L21="","",'Goal Value'!$L21),"")</f>
        <v>Above target</v>
      </c>
      <c r="H21" s="24">
        <f>IFERROR(IF($B21="","",IF($D21="Star",0,1)+IF($E21="Winner",0,1)+IF($F21="Prime",0,1)+IF($G21="Above target",0,1)),"")</f>
        <v>0.0</v>
      </c>
      <c r="I21" s="25" t="str">
        <f>IFERROR(IF($B21="","",IF($H21=0,"All four readings agree on the best: keep it, feature it on the menu and protect the recipe and the supplier.",IF(AND($D21="Dog",$E21="Loser",$F21="Problem"),"Rarely ordered, high food cost and little margin to the total: a candidate to remove or to rework from the ground up.",IF(AND($D21="Plowhorse",$E21="Winner"),"Popular with a low margin: raise the price or lower the cost.",IF(AND($D21="Plowhorse",$E21="Loser"),"Popular but expensive to produce and short on margin: rework the recipe before you touch the price.",IF(AND('Data'!$G21&gt;='Data'!$N21,'Data'!$H21&gt;'Data'!$O21),"High CM with a poor food cost: protect the margin in dollars, review the price, don't remove it.",IF(AND($D21="Puzzle",$E21="Winner"),"Profitable with a healthy food cost, but rarely ordered: it's a menu problem, not a kitchen one. Rename it, move it up or have the floor staff suggest it.",IF($F21="Sleeper","Healthy food cost but little margin to the total: give it visibility before you remove it.",IF(AND($G21="Below target",$D21="Star"),"It sells and leaves margin, but falls below its category's Goal Value: little room to spare, review the price.",IF($D21="Dog","Rarely ordered: before removing it, check whether it's seasonal or goes with another dish that does sell.","The readings disagree: each method measures two of the three variables (popularity, margin in dollars and food cost). Decide with the one that hurts most this month.")))))))))),"")</f>
        <v>All four readings agree on the best: keep it, feature it on the menu and protect the recipe and the supplier.</v>
      </c>
      <c r="J21" s="15" t="str">
        <f>IFERROR(IF($B21="","",IF($H21=0,"Keep",IF(AND($D21="Dog",$E21="Loser"),"Remove",IF($D21="Plowhorse","Reprice",IF($D21="Puzzle","Redesign",IF($F21="Problem","Reformulate","Review")))))),"")</f>
        <v>Keep</v>
      </c>
    </row>
    <row r="22">
      <c r="A22" s="8" t="n">
        <v>18</v>
      </c>
      <c r="B22" t="str">
        <f>IFERROR(IF('Data'!$B22="","",'Data'!$B22),"")</f>
        <v>Caramelized torrija with ice cream</v>
      </c>
      <c r="C22" t="str">
        <f>IFERROR(IF('Data'!$C22="","",'Data'!$C22),"")</f>
        <v>Desserts</v>
      </c>
      <c r="D22" s="15" t="str">
        <f>IFERROR(IF('Kasavana-Smith'!$K22="","",'Kasavana-Smith'!$K22),"")</f>
        <v>Plowhorse</v>
      </c>
      <c r="E22" s="15" t="str">
        <f>IFERROR(IF('Miller'!$K22="","",'Miller'!$K22),"")</f>
        <v>Winner</v>
      </c>
      <c r="F22" s="15" t="str">
        <f>IFERROR(IF('Pavesic'!$K22="","",'Pavesic'!$K22),"")</f>
        <v>Sleeper</v>
      </c>
      <c r="G22" s="15" t="str">
        <f>IFERROR(IF('Goal Value'!$L22="","",'Goal Value'!$L22),"")</f>
        <v>Below target</v>
      </c>
      <c r="H22" s="24">
        <f>IFERROR(IF($B22="","",IF($D22="Star",0,1)+IF($E22="Winner",0,1)+IF($F22="Prime",0,1)+IF($G22="Above target",0,1)),"")</f>
        <v>3.0</v>
      </c>
      <c r="I22" s="25" t="str">
        <f>IFERROR(IF($B22="","",IF($H22=0,"All four readings agree on the best: keep it, feature it on the menu and protect the recipe and the supplier.",IF(AND($D22="Dog",$E22="Loser",$F22="Problem"),"Rarely ordered, high food cost and little margin to the total: a candidate to remove or to rework from the ground up.",IF(AND($D22="Plowhorse",$E22="Winner"),"Popular with a low margin: raise the price or lower the cost.",IF(AND($D22="Plowhorse",$E22="Loser"),"Popular but expensive to produce and short on margin: rework the recipe before you touch the price.",IF(AND('Data'!$G22&gt;='Data'!$N22,'Data'!$H22&gt;'Data'!$O22),"High CM with a poor food cost: protect the margin in dollars, review the price, don't remove it.",IF(AND($D22="Puzzle",$E22="Winner"),"Profitable with a healthy food cost, but rarely ordered: it's a menu problem, not a kitchen one. Rename it, move it up or have the floor staff suggest it.",IF($F22="Sleeper","Healthy food cost but little margin to the total: give it visibility before you remove it.",IF(AND($G22="Below target",$D22="Star"),"It sells and leaves margin, but falls below its category's Goal Value: little room to spare, review the price.",IF($D22="Dog","Rarely ordered: before removing it, check whether it's seasonal or goes with another dish that does sell.","The readings disagree: each method measures two of the three variables (popularity, margin in dollars and food cost). Decide with the one that hurts most this month.")))))))))),"")</f>
        <v>Popular with a low margin: raise the price or lower the cost.</v>
      </c>
      <c r="J22" s="15" t="str">
        <f>IFERROR(IF($B22="","",IF($H22=0,"Keep",IF(AND($D22="Dog",$E22="Loser"),"Remove",IF($D22="Plowhorse","Reprice",IF($D22="Puzzle","Redesign",IF($F22="Problem","Reformulate","Review")))))),"")</f>
        <v>Reprice</v>
      </c>
    </row>
    <row r="23">
      <c r="A23" s="8" t="n">
        <v>19</v>
      </c>
      <c r="B23" t="str">
        <f>IFERROR(IF('Data'!$B23="","",'Data'!$B23),"")</f>
        <v>Chocolate lava cake</v>
      </c>
      <c r="C23" t="str">
        <f>IFERROR(IF('Data'!$C23="","",'Data'!$C23),"")</f>
        <v>Desserts</v>
      </c>
      <c r="D23" s="15" t="str">
        <f>IFERROR(IF('Kasavana-Smith'!$K23="","",'Kasavana-Smith'!$K23),"")</f>
        <v>Star</v>
      </c>
      <c r="E23" s="15" t="str">
        <f>IFERROR(IF('Miller'!$K23="","",'Miller'!$K23),"")</f>
        <v>Marginal</v>
      </c>
      <c r="F23" s="15" t="str">
        <f>IFERROR(IF('Pavesic'!$K23="","",'Pavesic'!$K23),"")</f>
        <v>Standard</v>
      </c>
      <c r="G23" s="15" t="str">
        <f>IFERROR(IF('Goal Value'!$L23="","",'Goal Value'!$L23),"")</f>
        <v>Above target</v>
      </c>
      <c r="H23" s="24">
        <f>IFERROR(IF($B23="","",IF($D23="Star",0,1)+IF($E23="Winner",0,1)+IF($F23="Prime",0,1)+IF($G23="Above target",0,1)),"")</f>
        <v>2.0</v>
      </c>
      <c r="I23" s="25" t="str">
        <f>IFERROR(IF($B23="","",IF($H23=0,"All four readings agree on the best: keep it, feature it on the menu and protect the recipe and the supplier.",IF(AND($D23="Dog",$E23="Loser",$F23="Problem"),"Rarely ordered, high food cost and little margin to the total: a candidate to remove or to rework from the ground up.",IF(AND($D23="Plowhorse",$E23="Winner"),"Popular with a low margin: raise the price or lower the cost.",IF(AND($D23="Plowhorse",$E23="Loser"),"Popular but expensive to produce and short on margin: rework the recipe before you touch the price.",IF(AND('Data'!$G23&gt;='Data'!$N23,'Data'!$H23&gt;'Data'!$O23),"High CM with a poor food cost: protect the margin in dollars, review the price, don't remove it.",IF(AND($D23="Puzzle",$E23="Winner"),"Profitable with a healthy food cost, but rarely ordered: it's a menu problem, not a kitchen one. Rename it, move it up or have the floor staff suggest it.",IF($F23="Sleeper","Healthy food cost but little margin to the total: give it visibility before you remove it.",IF(AND($G23="Below target",$D23="Star"),"It sells and leaves margin, but falls below its category's Goal Value: little room to spare, review the price.",IF($D23="Dog","Rarely ordered: before removing it, check whether it's seasonal or goes with another dish that does sell.","The readings disagree: each method measures two of the three variables (popularity, margin in dollars and food cost). Decide with the one that hurts most this month.")))))))))),"")</f>
        <v>High CM with a poor food cost: protect the margin in dollars, review the price, don't remove it.</v>
      </c>
      <c r="J23" s="15" t="str">
        <f>IFERROR(IF($B23="","",IF($H23=0,"Keep",IF(AND($D23="Dog",$E23="Loser"),"Remove",IF($D23="Plowhorse","Reprice",IF($D23="Puzzle","Redesign",IF($F23="Problem","Reformulate","Review")))))),"")</f>
        <v>Review</v>
      </c>
    </row>
    <row r="24">
      <c r="A24" s="8" t="n">
        <v>20</v>
      </c>
      <c r="B24" t="str">
        <f>IFERROR(IF('Data'!$B24="","",'Data'!$B24),"")</f>
        <v>Prepared seasonal fruit</v>
      </c>
      <c r="C24" t="str">
        <f>IFERROR(IF('Data'!$C24="","",'Data'!$C24),"")</f>
        <v>Desserts</v>
      </c>
      <c r="D24" s="15" t="str">
        <f>IFERROR(IF('Kasavana-Smith'!$K24="","",'Kasavana-Smith'!$K24),"")</f>
        <v>Dog</v>
      </c>
      <c r="E24" s="15" t="str">
        <f>IFERROR(IF('Miller'!$K24="","",'Miller'!$K24),"")</f>
        <v>Loser</v>
      </c>
      <c r="F24" s="15" t="str">
        <f>IFERROR(IF('Pavesic'!$K24="","",'Pavesic'!$K24),"")</f>
        <v>Problem</v>
      </c>
      <c r="G24" s="15" t="str">
        <f>IFERROR(IF('Goal Value'!$L24="","",'Goal Value'!$L24),"")</f>
        <v>Below target</v>
      </c>
      <c r="H24" s="24">
        <f>IFERROR(IF($B24="","",IF($D24="Star",0,1)+IF($E24="Winner",0,1)+IF($F24="Prime",0,1)+IF($G24="Above target",0,1)),"")</f>
        <v>4.0</v>
      </c>
      <c r="I24" s="25" t="str">
        <f>IFERROR(IF($B24="","",IF($H24=0,"All four readings agree on the best: keep it, feature it on the menu and protect the recipe and the supplier.",IF(AND($D24="Dog",$E24="Loser",$F24="Problem"),"Rarely ordered, high food cost and little margin to the total: a candidate to remove or to rework from the ground up.",IF(AND($D24="Plowhorse",$E24="Winner"),"Popular with a low margin: raise the price or lower the cost.",IF(AND($D24="Plowhorse",$E24="Loser"),"Popular but expensive to produce and short on margin: rework the recipe before you touch the price.",IF(AND('Data'!$G24&gt;='Data'!$N24,'Data'!$H24&gt;'Data'!$O24),"High CM with a poor food cost: protect the margin in dollars, review the price, don't remove it.",IF(AND($D24="Puzzle",$E24="Winner"),"Profitable with a healthy food cost, but rarely ordered: it's a menu problem, not a kitchen one. Rename it, move it up or have the floor staff suggest it.",IF($F24="Sleeper","Healthy food cost but little margin to the total: give it visibility before you remove it.",IF(AND($G24="Below target",$D24="Star"),"It sells and leaves margin, but falls below its category's Goal Value: little room to spare, review the price.",IF($D24="Dog","Rarely ordered: before removing it, check whether it's seasonal or goes with another dish that does sell.","The readings disagree: each method measures two of the three variables (popularity, margin in dollars and food cost). Decide with the one that hurts most this month.")))))))))),"")</f>
        <v>Rarely ordered, high food cost and little margin to the total: a candidate to remove or to rework from the ground up.</v>
      </c>
      <c r="J24" s="15" t="str">
        <f>IFERROR(IF($B24="","",IF($H24=0,"Keep",IF(AND($D24="Dog",$E24="Loser"),"Remove",IF($D24="Plowhorse","Reprice",IF($D24="Puzzle","Redesign",IF($F24="Problem","Reformulate","Review")))))),"")</f>
        <v>Remove</v>
      </c>
    </row>
    <row r="25">
      <c r="A25" s="8" t="n">
        <v>21</v>
      </c>
      <c r="B25">
        <f>IFERROR(IF('Data'!$B25="","",'Data'!$B25),"")</f>
      </c>
      <c r="C25">
        <f>IFERROR(IF('Data'!$C25="","",'Data'!$C25),"")</f>
      </c>
      <c r="D25" s="15">
        <f>IFERROR(IF('Kasavana-Smith'!$K25="","",'Kasavana-Smith'!$K25),"")</f>
      </c>
      <c r="E25" s="15">
        <f>IFERROR(IF('Miller'!$K25="","",'Miller'!$K25),"")</f>
      </c>
      <c r="F25" s="15">
        <f>IFERROR(IF('Pavesic'!$K25="","",'Pavesic'!$K25),"")</f>
      </c>
      <c r="G25" s="15">
        <f>IFERROR(IF('Goal Value'!$L25="","",'Goal Value'!$L25),"")</f>
      </c>
      <c r="H25" s="24">
        <f>IFERROR(IF($B25="","",IF($D25="Star",0,1)+IF($E25="Winner",0,1)+IF($F25="Prime",0,1)+IF($G25="Above target",0,1)),"")</f>
      </c>
      <c r="I25" s="25">
        <f>IFERROR(IF($B25="","",IF($H25=0,"All four readings agree on the best: keep it, feature it on the menu and protect the recipe and the supplier.",IF(AND($D25="Dog",$E25="Loser",$F25="Problem"),"Rarely ordered, high food cost and little margin to the total: a candidate to remove or to rework from the ground up.",IF(AND($D25="Plowhorse",$E25="Winner"),"Popular with a low margin: raise the price or lower the cost.",IF(AND($D25="Plowhorse",$E25="Loser"),"Popular but expensive to produce and short on margin: rework the recipe before you touch the price.",IF(AND('Data'!$G25&gt;='Data'!$N25,'Data'!$H25&gt;'Data'!$O25),"High CM with a poor food cost: protect the margin in dollars, review the price, don't remove it.",IF(AND($D25="Puzzle",$E25="Winner"),"Profitable with a healthy food cost, but rarely ordered: it's a menu problem, not a kitchen one. Rename it, move it up or have the floor staff suggest it.",IF($F25="Sleeper","Healthy food cost but little margin to the total: give it visibility before you remove it.",IF(AND($G25="Below target",$D25="Star"),"It sells and leaves margin, but falls below its category's Goal Value: little room to spare, review the price.",IF($D25="Dog","Rarely ordered: before removing it, check whether it's seasonal or goes with another dish that does sell.","The readings disagree: each method measures two of the three variables (popularity, margin in dollars and food cost). Decide with the one that hurts most this month.")))))))))),"")</f>
      </c>
      <c r="J25" s="15">
        <f>IFERROR(IF($B25="","",IF($H25=0,"Keep",IF(AND($D25="Dog",$E25="Loser"),"Remove",IF($D25="Plowhorse","Reprice",IF($D25="Puzzle","Redesign",IF($F25="Problem","Reformulate","Review")))))),"")</f>
      </c>
    </row>
    <row r="26">
      <c r="A26" s="8" t="n">
        <v>22</v>
      </c>
      <c r="B26">
        <f>IFERROR(IF('Data'!$B26="","",'Data'!$B26),"")</f>
      </c>
      <c r="C26">
        <f>IFERROR(IF('Data'!$C26="","",'Data'!$C26),"")</f>
      </c>
      <c r="D26" s="15">
        <f>IFERROR(IF('Kasavana-Smith'!$K26="","",'Kasavana-Smith'!$K26),"")</f>
      </c>
      <c r="E26" s="15">
        <f>IFERROR(IF('Miller'!$K26="","",'Miller'!$K26),"")</f>
      </c>
      <c r="F26" s="15">
        <f>IFERROR(IF('Pavesic'!$K26="","",'Pavesic'!$K26),"")</f>
      </c>
      <c r="G26" s="15">
        <f>IFERROR(IF('Goal Value'!$L26="","",'Goal Value'!$L26),"")</f>
      </c>
      <c r="H26" s="24">
        <f>IFERROR(IF($B26="","",IF($D26="Star",0,1)+IF($E26="Winner",0,1)+IF($F26="Prime",0,1)+IF($G26="Above target",0,1)),"")</f>
      </c>
      <c r="I26" s="25">
        <f>IFERROR(IF($B26="","",IF($H26=0,"All four readings agree on the best: keep it, feature it on the menu and protect the recipe and the supplier.",IF(AND($D26="Dog",$E26="Loser",$F26="Problem"),"Rarely ordered, high food cost and little margin to the total: a candidate to remove or to rework from the ground up.",IF(AND($D26="Plowhorse",$E26="Winner"),"Popular with a low margin: raise the price or lower the cost.",IF(AND($D26="Plowhorse",$E26="Loser"),"Popular but expensive to produce and short on margin: rework the recipe before you touch the price.",IF(AND('Data'!$G26&gt;='Data'!$N26,'Data'!$H26&gt;'Data'!$O26),"High CM with a poor food cost: protect the margin in dollars, review the price, don't remove it.",IF(AND($D26="Puzzle",$E26="Winner"),"Profitable with a healthy food cost, but rarely ordered: it's a menu problem, not a kitchen one. Rename it, move it up or have the floor staff suggest it.",IF($F26="Sleeper","Healthy food cost but little margin to the total: give it visibility before you remove it.",IF(AND($G26="Below target",$D26="Star"),"It sells and leaves margin, but falls below its category's Goal Value: little room to spare, review the price.",IF($D26="Dog","Rarely ordered: before removing it, check whether it's seasonal or goes with another dish that does sell.","The readings disagree: each method measures two of the three variables (popularity, margin in dollars and food cost). Decide with the one that hurts most this month.")))))))))),"")</f>
      </c>
      <c r="J26" s="15">
        <f>IFERROR(IF($B26="","",IF($H26=0,"Keep",IF(AND($D26="Dog",$E26="Loser"),"Remove",IF($D26="Plowhorse","Reprice",IF($D26="Puzzle","Redesign",IF($F26="Problem","Reformulate","Review")))))),"")</f>
      </c>
    </row>
    <row r="27">
      <c r="A27" s="8" t="n">
        <v>23</v>
      </c>
      <c r="B27">
        <f>IFERROR(IF('Data'!$B27="","",'Data'!$B27),"")</f>
      </c>
      <c r="C27">
        <f>IFERROR(IF('Data'!$C27="","",'Data'!$C27),"")</f>
      </c>
      <c r="D27" s="15">
        <f>IFERROR(IF('Kasavana-Smith'!$K27="","",'Kasavana-Smith'!$K27),"")</f>
      </c>
      <c r="E27" s="15">
        <f>IFERROR(IF('Miller'!$K27="","",'Miller'!$K27),"")</f>
      </c>
      <c r="F27" s="15">
        <f>IFERROR(IF('Pavesic'!$K27="","",'Pavesic'!$K27),"")</f>
      </c>
      <c r="G27" s="15">
        <f>IFERROR(IF('Goal Value'!$L27="","",'Goal Value'!$L27),"")</f>
      </c>
      <c r="H27" s="24">
        <f>IFERROR(IF($B27="","",IF($D27="Star",0,1)+IF($E27="Winner",0,1)+IF($F27="Prime",0,1)+IF($G27="Above target",0,1)),"")</f>
      </c>
      <c r="I27" s="25">
        <f>IFERROR(IF($B27="","",IF($H27=0,"All four readings agree on the best: keep it, feature it on the menu and protect the recipe and the supplier.",IF(AND($D27="Dog",$E27="Loser",$F27="Problem"),"Rarely ordered, high food cost and little margin to the total: a candidate to remove or to rework from the ground up.",IF(AND($D27="Plowhorse",$E27="Winner"),"Popular with a low margin: raise the price or lower the cost.",IF(AND($D27="Plowhorse",$E27="Loser"),"Popular but expensive to produce and short on margin: rework the recipe before you touch the price.",IF(AND('Data'!$G27&gt;='Data'!$N27,'Data'!$H27&gt;'Data'!$O27),"High CM with a poor food cost: protect the margin in dollars, review the price, don't remove it.",IF(AND($D27="Puzzle",$E27="Winner"),"Profitable with a healthy food cost, but rarely ordered: it's a menu problem, not a kitchen one. Rename it, move it up or have the floor staff suggest it.",IF($F27="Sleeper","Healthy food cost but little margin to the total: give it visibility before you remove it.",IF(AND($G27="Below target",$D27="Star"),"It sells and leaves margin, but falls below its category's Goal Value: little room to spare, review the price.",IF($D27="Dog","Rarely ordered: before removing it, check whether it's seasonal or goes with another dish that does sell.","The readings disagree: each method measures two of the three variables (popularity, margin in dollars and food cost). Decide with the one that hurts most this month.")))))))))),"")</f>
      </c>
      <c r="J27" s="15">
        <f>IFERROR(IF($B27="","",IF($H27=0,"Keep",IF(AND($D27="Dog",$E27="Loser"),"Remove",IF($D27="Plowhorse","Reprice",IF($D27="Puzzle","Redesign",IF($F27="Problem","Reformulate","Review")))))),"")</f>
      </c>
    </row>
    <row r="28">
      <c r="A28" s="8" t="n">
        <v>24</v>
      </c>
      <c r="B28">
        <f>IFERROR(IF('Data'!$B28="","",'Data'!$B28),"")</f>
      </c>
      <c r="C28">
        <f>IFERROR(IF('Data'!$C28="","",'Data'!$C28),"")</f>
      </c>
      <c r="D28" s="15">
        <f>IFERROR(IF('Kasavana-Smith'!$K28="","",'Kasavana-Smith'!$K28),"")</f>
      </c>
      <c r="E28" s="15">
        <f>IFERROR(IF('Miller'!$K28="","",'Miller'!$K28),"")</f>
      </c>
      <c r="F28" s="15">
        <f>IFERROR(IF('Pavesic'!$K28="","",'Pavesic'!$K28),"")</f>
      </c>
      <c r="G28" s="15">
        <f>IFERROR(IF('Goal Value'!$L28="","",'Goal Value'!$L28),"")</f>
      </c>
      <c r="H28" s="24">
        <f>IFERROR(IF($B28="","",IF($D28="Star",0,1)+IF($E28="Winner",0,1)+IF($F28="Prime",0,1)+IF($G28="Above target",0,1)),"")</f>
      </c>
      <c r="I28" s="25">
        <f>IFERROR(IF($B28="","",IF($H28=0,"All four readings agree on the best: keep it, feature it on the menu and protect the recipe and the supplier.",IF(AND($D28="Dog",$E28="Loser",$F28="Problem"),"Rarely ordered, high food cost and little margin to the total: a candidate to remove or to rework from the ground up.",IF(AND($D28="Plowhorse",$E28="Winner"),"Popular with a low margin: raise the price or lower the cost.",IF(AND($D28="Plowhorse",$E28="Loser"),"Popular but expensive to produce and short on margin: rework the recipe before you touch the price.",IF(AND('Data'!$G28&gt;='Data'!$N28,'Data'!$H28&gt;'Data'!$O28),"High CM with a poor food cost: protect the margin in dollars, review the price, don't remove it.",IF(AND($D28="Puzzle",$E28="Winner"),"Profitable with a healthy food cost, but rarely ordered: it's a menu problem, not a kitchen one. Rename it, move it up or have the floor staff suggest it.",IF($F28="Sleeper","Healthy food cost but little margin to the total: give it visibility before you remove it.",IF(AND($G28="Below target",$D28="Star"),"It sells and leaves margin, but falls below its category's Goal Value: little room to spare, review the price.",IF($D28="Dog","Rarely ordered: before removing it, check whether it's seasonal or goes with another dish that does sell.","The readings disagree: each method measures two of the three variables (popularity, margin in dollars and food cost). Decide with the one that hurts most this month.")))))))))),"")</f>
      </c>
      <c r="J28" s="15">
        <f>IFERROR(IF($B28="","",IF($H28=0,"Keep",IF(AND($D28="Dog",$E28="Loser"),"Remove",IF($D28="Plowhorse","Reprice",IF($D28="Puzzle","Redesign",IF($F28="Problem","Reformulate","Review")))))),"")</f>
      </c>
    </row>
    <row r="29">
      <c r="A29" s="8" t="n">
        <v>25</v>
      </c>
      <c r="B29">
        <f>IFERROR(IF('Data'!$B29="","",'Data'!$B29),"")</f>
      </c>
      <c r="C29">
        <f>IFERROR(IF('Data'!$C29="","",'Data'!$C29),"")</f>
      </c>
      <c r="D29" s="15">
        <f>IFERROR(IF('Kasavana-Smith'!$K29="","",'Kasavana-Smith'!$K29),"")</f>
      </c>
      <c r="E29" s="15">
        <f>IFERROR(IF('Miller'!$K29="","",'Miller'!$K29),"")</f>
      </c>
      <c r="F29" s="15">
        <f>IFERROR(IF('Pavesic'!$K29="","",'Pavesic'!$K29),"")</f>
      </c>
      <c r="G29" s="15">
        <f>IFERROR(IF('Goal Value'!$L29="","",'Goal Value'!$L29),"")</f>
      </c>
      <c r="H29" s="24">
        <f>IFERROR(IF($B29="","",IF($D29="Star",0,1)+IF($E29="Winner",0,1)+IF($F29="Prime",0,1)+IF($G29="Above target",0,1)),"")</f>
      </c>
      <c r="I29" s="25">
        <f>IFERROR(IF($B29="","",IF($H29=0,"All four readings agree on the best: keep it, feature it on the menu and protect the recipe and the supplier.",IF(AND($D29="Dog",$E29="Loser",$F29="Problem"),"Rarely ordered, high food cost and little margin to the total: a candidate to remove or to rework from the ground up.",IF(AND($D29="Plowhorse",$E29="Winner"),"Popular with a low margin: raise the price or lower the cost.",IF(AND($D29="Plowhorse",$E29="Loser"),"Popular but expensive to produce and short on margin: rework the recipe before you touch the price.",IF(AND('Data'!$G29&gt;='Data'!$N29,'Data'!$H29&gt;'Data'!$O29),"High CM with a poor food cost: protect the margin in dollars, review the price, don't remove it.",IF(AND($D29="Puzzle",$E29="Winner"),"Profitable with a healthy food cost, but rarely ordered: it's a menu problem, not a kitchen one. Rename it, move it up or have the floor staff suggest it.",IF($F29="Sleeper","Healthy food cost but little margin to the total: give it visibility before you remove it.",IF(AND($G29="Below target",$D29="Star"),"It sells and leaves margin, but falls below its category's Goal Value: little room to spare, review the price.",IF($D29="Dog","Rarely ordered: before removing it, check whether it's seasonal or goes with another dish that does sell.","The readings disagree: each method measures two of the three variables (popularity, margin in dollars and food cost). Decide with the one that hurts most this month.")))))))))),"")</f>
      </c>
      <c r="J29" s="15">
        <f>IFERROR(IF($B29="","",IF($H29=0,"Keep",IF(AND($D29="Dog",$E29="Loser"),"Remove",IF($D29="Plowhorse","Reprice",IF($D29="Puzzle","Redesign",IF($F29="Problem","Reformulate","Review")))))),"")</f>
      </c>
    </row>
    <row r="30"/>
    <row r="31">
      <c r="A31" s="15" t="inlineStr">
        <is>
          <t>SUMMARY — calculated by the workbook</t>
        </is>
      </c>
    </row>
    <row r="32" ht="34" customHeight="1">
      <c r="B32" s="7" t="inlineStr">
        <is>
          <t>Readings off the best category</t>
        </is>
      </c>
      <c r="C32" s="7" t="inlineStr">
        <is>
          <t>Dishes</t>
        </is>
      </c>
      <c r="D32" s="7" t="inlineStr">
        <is>
          <t>% of the menu</t>
        </is>
      </c>
    </row>
    <row r="33">
      <c r="B33" s="26" t="n">
        <v>0</v>
      </c>
      <c r="C33" s="8">
        <f>COUNTIF($H$5:$H$29,$B33)</f>
        <v>3.0</v>
      </c>
      <c r="D33" s="14">
        <f>IFERROR(IF(COUNTIF($B$5:$B$29,"&lt;&gt;")=0,"",$C33/COUNTIF($B$5:$B$29,"&lt;&gt;")),"")</f>
        <v>0.15</v>
      </c>
    </row>
    <row r="34">
      <c r="B34" s="26" t="n">
        <v>1</v>
      </c>
      <c r="C34" s="8">
        <f>COUNTIF($H$5:$H$29,$B34)</f>
        <v>4.0</v>
      </c>
      <c r="D34" s="14">
        <f>IFERROR(IF(COUNTIF($B$5:$B$29,"&lt;&gt;")=0,"",$C34/COUNTIF($B$5:$B$29,"&lt;&gt;")),"")</f>
        <v>0.2</v>
      </c>
    </row>
    <row r="35">
      <c r="B35" s="26" t="n">
        <v>2</v>
      </c>
      <c r="C35" s="8">
        <f>COUNTIF($H$5:$H$29,$B35)</f>
        <v>1.0</v>
      </c>
      <c r="D35" s="14">
        <f>IFERROR(IF(COUNTIF($B$5:$B$29,"&lt;&gt;")=0,"",$C35/COUNTIF($B$5:$B$29,"&lt;&gt;")),"")</f>
        <v>0.05</v>
      </c>
    </row>
    <row r="36">
      <c r="B36" s="26" t="n">
        <v>3</v>
      </c>
      <c r="C36" s="8">
        <f>COUNTIF($H$5:$H$29,$B36)</f>
        <v>4.0</v>
      </c>
      <c r="D36" s="14">
        <f>IFERROR(IF(COUNTIF($B$5:$B$29,"&lt;&gt;")=0,"",$C36/COUNTIF($B$5:$B$29,"&lt;&gt;")),"")</f>
        <v>0.2</v>
      </c>
    </row>
    <row r="37">
      <c r="B37" s="26" t="n">
        <v>4</v>
      </c>
      <c r="C37" s="8">
        <f>COUNTIF($H$5:$H$29,$B37)</f>
        <v>8.0</v>
      </c>
      <c r="D37" s="14">
        <f>IFERROR(IF(COUNTIF($B$5:$B$29,"&lt;&gt;")=0,"",$C37/COUNTIF($B$5:$B$29,"&lt;&gt;")),"")</f>
        <v>0.4</v>
      </c>
    </row>
    <row r="38"/>
    <row r="39">
      <c r="B39" s="15" t="inlineStr">
        <is>
          <t>Dishes with all four readings in the best category</t>
        </is>
      </c>
      <c r="C39" s="8">
        <f>COUNTIF($H$5:$H$29,0)</f>
        <v>3.0</v>
      </c>
    </row>
    <row r="40">
      <c r="B40" s="15" t="inlineStr">
        <is>
          <t>Dishes with three or four readings off</t>
        </is>
      </c>
      <c r="C40" s="8">
        <f>COUNTIF($H$5:$H$29,3)+COUNTIF($H$5:$H$29,4)</f>
        <v>12.0</v>
      </c>
    </row>
  </sheetData>
  <sheetProtection selectLockedCells="0" selectUnlockedCells="0" sheet="1" objects="0" insertRows="0" insertHyperlinks="1" autoFilter="1" scenarios="0" formatColumns="0" deleteColumns="1" insertColumns="1" pivotTables="1" deleteRows="1" formatCells="1" formatRows="0" sort="0"/>
  <conditionalFormatting sqref="H5:H29">
    <cfRule type="expression" priority="1" dxfId="0" stopIfTrue="1">
      <formula>=AND(ISNUMBER($H5),$H5=0)</formula>
    </cfRule>
    <cfRule type="expression" priority="2" dxfId="2" stopIfTrue="1">
      <formula>=AND(ISNUMBER($H5),$H5&gt;=3)</formula>
    </cfRule>
  </conditionalFormatting>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G44"/>
  <sheetViews>
    <sheetView workbookViewId="0">
      <pane ySplit="4" topLeftCell="A5" activePane="bottomLeft" state="frozen"/>
      <selection pane="bottomLeft" activeCell="A1" sqref="A1"/>
    </sheetView>
  </sheetViews>
  <sheetFormatPr baseColWidth="8" defaultRowHeight="15"/>
  <cols>
    <col width="34" customWidth="1" min="1" max="1"/>
    <col width="34" customWidth="1" min="2" max="2"/>
    <col width="16" customWidth="1" min="3" max="3"/>
    <col width="16" customWidth="1" min="4" max="4"/>
    <col width="17" customWidth="1" min="5" max="5"/>
    <col width="17" customWidth="1" min="6" max="6"/>
    <col width="52" customWidth="1" min="7" max="7"/>
  </cols>
  <sheetData>
    <row r="1">
      <c r="A1" s="1" t="inlineStr">
        <is>
          <t>Prix fixe menu — the mix decides the margin</t>
        </is>
      </c>
    </row>
    <row r="2">
      <c r="A2" s="2" t="inlineStr">
        <is>
          <t>AI Chef Pro · aichef.pro — Food Cost + Menu Engineering Guide</t>
        </is>
      </c>
    </row>
    <row r="3">
      <c r="D3" s="6" t="inlineStr">
        <is>
          <t>On a set-price menu the price is already fixed: what moves the margin is what people choose.</t>
        </is>
      </c>
    </row>
    <row r="4" ht="34" customHeight="1">
      <c r="A4" s="7" t="inlineStr">
        <is>
          <t>Course</t>
        </is>
      </c>
      <c r="B4" s="7" t="inlineStr">
        <is>
          <t>Option</t>
        </is>
      </c>
      <c r="C4" s="7" t="inlineStr">
        <is>
          <t>Plate cost</t>
        </is>
      </c>
      <c r="D4" s="7" t="inlineStr">
        <is>
          <t>Base mix (%)</t>
        </is>
      </c>
      <c r="E4" s="7" t="inlineStr">
        <is>
          <t>Scenario A mix (%)</t>
        </is>
      </c>
      <c r="F4" s="7" t="inlineStr">
        <is>
          <t>Scenario B mix (%)</t>
        </is>
      </c>
      <c r="G4" s="7" t="inlineStr">
        <is>
          <t>Note</t>
        </is>
      </c>
    </row>
    <row r="5">
      <c r="A5" s="5" t="inlineStr">
        <is>
          <t>First courses</t>
        </is>
      </c>
      <c r="B5" s="5" t="inlineStr">
        <is>
          <t>Garden salad</t>
        </is>
      </c>
      <c r="C5" s="10" t="n">
        <v>1.1</v>
      </c>
      <c r="D5" s="20" t="n">
        <v>0.4</v>
      </c>
      <c r="E5" s="20" t="n">
        <v>0.25</v>
      </c>
      <c r="F5" s="20" t="n">
        <v>0.35</v>
      </c>
      <c r="G5" t="inlineStr">
        <is>
          <t>Each course adds up to 100%: it's the split of choices, not a discount.</t>
        </is>
      </c>
    </row>
    <row r="6">
      <c r="A6" s="5" t="inlineStr">
        <is>
          <t>First courses</t>
        </is>
      </c>
      <c r="B6" s="5" t="inlineStr">
        <is>
          <t>Pumpkin soup</t>
        </is>
      </c>
      <c r="C6" s="10" t="n">
        <v>1.05</v>
      </c>
      <c r="D6" s="20" t="n">
        <v>0.25</v>
      </c>
      <c r="E6" s="20" t="n">
        <v>0.2</v>
      </c>
      <c r="F6" s="20" t="n">
        <v>0.45</v>
      </c>
    </row>
    <row r="7">
      <c r="A7" s="5" t="inlineStr">
        <is>
          <t>First courses</t>
        </is>
      </c>
      <c r="B7" s="5" t="inlineStr">
        <is>
          <t>Pasta with pesto</t>
        </is>
      </c>
      <c r="C7" s="10" t="n">
        <v>1.6</v>
      </c>
      <c r="D7" s="20" t="n">
        <v>0.35</v>
      </c>
      <c r="E7" s="20" t="n">
        <v>0.55</v>
      </c>
      <c r="F7" s="20" t="n">
        <v>0.2</v>
      </c>
    </row>
    <row r="8">
      <c r="A8" s="5" t="inlineStr">
        <is>
          <t>First courses</t>
        </is>
      </c>
      <c r="B8" s="5" t="n"/>
      <c r="C8" s="10" t="n"/>
      <c r="D8" s="20" t="n"/>
      <c r="E8" s="20" t="n"/>
      <c r="F8" s="20" t="n"/>
    </row>
    <row r="9">
      <c r="A9" s="5" t="inlineStr">
        <is>
          <t>Main courses</t>
        </is>
      </c>
      <c r="B9" s="5" t="inlineStr">
        <is>
          <t>Roast chicken with potatoes</t>
        </is>
      </c>
      <c r="C9" s="10" t="n">
        <v>2.8</v>
      </c>
      <c r="D9" s="20" t="n">
        <v>0.45</v>
      </c>
      <c r="E9" s="20" t="n">
        <v>0.3</v>
      </c>
      <c r="F9" s="20" t="n">
        <v>0.6</v>
      </c>
      <c r="G9" t="inlineStr">
        <is>
          <t>Scenario A: guests go for the most expensive option. Scenario B: they go for the cheapest.</t>
        </is>
      </c>
    </row>
    <row r="10">
      <c r="A10" s="5" t="inlineStr">
        <is>
          <t>Main courses</t>
        </is>
      </c>
      <c r="B10" s="5" t="inlineStr">
        <is>
          <t>Battered hake</t>
        </is>
      </c>
      <c r="C10" s="10" t="n">
        <v>3.9</v>
      </c>
      <c r="D10" s="20" t="n">
        <v>0.3</v>
      </c>
      <c r="E10" s="20" t="n">
        <v>0.45</v>
      </c>
      <c r="F10" s="20" t="n">
        <v>0.15</v>
      </c>
    </row>
    <row r="11">
      <c r="A11" s="5" t="inlineStr">
        <is>
          <t>Main courses</t>
        </is>
      </c>
      <c r="B11" s="5" t="inlineStr">
        <is>
          <t>Beef meatballs</t>
        </is>
      </c>
      <c r="C11" s="10" t="n">
        <v>3.2</v>
      </c>
      <c r="D11" s="20" t="n">
        <v>0.25</v>
      </c>
      <c r="E11" s="20" t="n">
        <v>0.25</v>
      </c>
      <c r="F11" s="20" t="n">
        <v>0.25</v>
      </c>
    </row>
    <row r="12">
      <c r="A12" s="5" t="inlineStr">
        <is>
          <t>Main courses</t>
        </is>
      </c>
      <c r="B12" s="5" t="n"/>
      <c r="C12" s="10" t="n"/>
      <c r="D12" s="20" t="n"/>
      <c r="E12" s="20" t="n"/>
      <c r="F12" s="20" t="n"/>
    </row>
    <row r="13">
      <c r="A13" s="5" t="inlineStr">
        <is>
          <t>Desserts</t>
        </is>
      </c>
      <c r="B13" s="5" t="inlineStr">
        <is>
          <t>Homemade flan</t>
        </is>
      </c>
      <c r="C13" s="10" t="n">
        <v>0.5</v>
      </c>
      <c r="D13" s="20" t="n">
        <v>0.55</v>
      </c>
      <c r="E13" s="20" t="n">
        <v>0.4</v>
      </c>
      <c r="F13" s="20" t="n">
        <v>0.7</v>
      </c>
    </row>
    <row r="14">
      <c r="A14" s="5" t="inlineStr">
        <is>
          <t>Desserts</t>
        </is>
      </c>
      <c r="B14" s="5" t="inlineStr">
        <is>
          <t>Seasonal fruit</t>
        </is>
      </c>
      <c r="C14" s="10" t="n">
        <v>0.7</v>
      </c>
      <c r="D14" s="20" t="n">
        <v>0.45</v>
      </c>
      <c r="E14" s="20" t="n">
        <v>0.6</v>
      </c>
      <c r="F14" s="20" t="n">
        <v>0.3</v>
      </c>
    </row>
    <row r="15">
      <c r="A15" s="5" t="inlineStr">
        <is>
          <t>Desserts</t>
        </is>
      </c>
      <c r="B15" s="5" t="n"/>
      <c r="C15" s="10" t="n"/>
      <c r="D15" s="20" t="n"/>
      <c r="E15" s="20" t="n"/>
      <c r="F15" s="20" t="n"/>
    </row>
    <row r="16">
      <c r="A16" s="5" t="n"/>
      <c r="B16" s="5" t="n"/>
      <c r="C16" s="10" t="n"/>
      <c r="D16" s="20" t="n"/>
      <c r="E16" s="20" t="n"/>
      <c r="F16" s="20" t="n"/>
    </row>
    <row r="17"/>
    <row r="18">
      <c r="A18" s="15" t="inlineStr">
        <is>
          <t>MENU INPUTS</t>
        </is>
      </c>
    </row>
    <row r="19">
      <c r="A19" t="inlineStr">
        <is>
          <t>Prix fixe price WITH tax</t>
        </is>
      </c>
      <c r="C19" s="10" t="n">
        <v>13.18181818181818</v>
      </c>
      <c r="E19" t="inlineStr">
        <is>
          <t>The price the guest sees on the board or the menu. US and Canada: it's the pre-tax price, with the tax rate at 0%. UK and Australia: type the printed price and the rate.</t>
        </is>
      </c>
    </row>
    <row r="20">
      <c r="A20" t="inlineStr">
        <is>
          <t>Tax rate (%)</t>
        </is>
      </c>
      <c r="C20" s="21" t="n">
        <v>0</v>
      </c>
      <c r="E20" t="inlineStr">
        <is>
          <t>Ships at 0%: US and Canadian menus are printed pre-tax. In the UK type 20% (VAT is included in printed prices); in Australia type 10% (GST included). Change it here and the whole workbook recalculates.</t>
        </is>
      </c>
    </row>
    <row r="21">
      <c r="A21" s="15" t="inlineStr">
        <is>
          <t>Prix fixe price pre-tax</t>
        </is>
      </c>
      <c r="C21" s="27">
        <f>IFERROR(IF(OR($C$19="",$C$20=""),"",$C$19/(1+$C$20)),"")</f>
        <v>13.18181818181818</v>
      </c>
    </row>
    <row r="22">
      <c r="A22" t="inlineStr">
        <is>
          <t>Fixed costs per menu</t>
        </is>
      </c>
      <c r="C22" s="10" t="n">
        <v>0.55</v>
      </c>
      <c r="E22" t="inlineStr">
        <is>
          <t>Table bread, coffee and any included drink, allocated per menu served.</t>
        </is>
      </c>
    </row>
    <row r="23">
      <c r="A23" t="inlineStr">
        <is>
          <t>Menu target food cost (%)</t>
        </is>
      </c>
      <c r="C23" s="21" t="n">
        <v>0.3</v>
      </c>
      <c r="E23" t="inlineStr">
        <is>
          <t>The house target. If the menu goes over it, the "Menu food cost" row turns red.</t>
        </is>
      </c>
    </row>
    <row r="24">
      <c r="A24" t="inlineStr">
        <is>
          <t>Prix fixe menus served per month</t>
        </is>
      </c>
      <c r="C24" s="9" t="n">
        <v>100</v>
      </c>
      <c r="E24" t="inlineStr">
        <is>
          <t>How many of these menus you serve a month: it scales the margin per menu up to the month.</t>
        </is>
      </c>
    </row>
    <row r="25">
      <c r="A25" s="15" t="inlineStr">
        <is>
          <t>WEIGHTED AVERAGE COST BY COURSE — calculated by the workbook</t>
        </is>
      </c>
    </row>
    <row r="26" ht="34" customHeight="1">
      <c r="A26" s="7" t="inlineStr">
        <is>
          <t>Course</t>
        </is>
      </c>
      <c r="B26" s="7" t="inlineStr">
        <is>
          <t>Base mix total (%)</t>
        </is>
      </c>
      <c r="C26" s="7" t="inlineStr">
        <is>
          <t>Base average cost</t>
        </is>
      </c>
      <c r="D26" s="7" t="inlineStr">
        <is>
          <t>Mix A total (%)</t>
        </is>
      </c>
      <c r="E26" s="7" t="inlineStr">
        <is>
          <t>Scenario A average cost</t>
        </is>
      </c>
      <c r="F26" s="7" t="inlineStr">
        <is>
          <t>Mix B total (%)</t>
        </is>
      </c>
      <c r="G26" s="7" t="inlineStr">
        <is>
          <t>Scenario B average cost</t>
        </is>
      </c>
    </row>
    <row r="27">
      <c r="A27" s="15" t="inlineStr">
        <is>
          <t>First courses</t>
        </is>
      </c>
      <c r="B27" s="28">
        <f>IFERROR(SUMIF($A$5:$A$16,$A27,$D$5:$D$16),"")</f>
        <v>1.0</v>
      </c>
      <c r="C27" s="13">
        <f>IFERROR(SUMPRODUCT(--($A$5:$A$16=$A27),$C$5:$C$16,$D$5:$D$16),"")</f>
        <v>1.2625000000000002</v>
      </c>
      <c r="D27" s="28">
        <f>IFERROR(SUMIF($A$5:$A$16,$A27,$E$5:$E$16),"")</f>
        <v>1.0</v>
      </c>
      <c r="E27" s="13">
        <f>IFERROR(SUMPRODUCT(--($A$5:$A$16=$A27),$C$5:$C$16,$E$5:$E$16),"")</f>
        <v>1.3650000000000002</v>
      </c>
      <c r="F27" s="28">
        <f>IFERROR(SUMIF($A$5:$A$16,$A27,$F$5:$F$16),"")</f>
        <v>1.0</v>
      </c>
      <c r="G27" s="13">
        <f>IFERROR(SUMPRODUCT(--($A$5:$A$16=$A27),$C$5:$C$16,$F$5:$F$16),"")</f>
        <v>1.1775000000000002</v>
      </c>
    </row>
    <row r="28">
      <c r="A28" s="15" t="inlineStr">
        <is>
          <t>Main courses</t>
        </is>
      </c>
      <c r="B28" s="28">
        <f>IFERROR(SUMIF($A$5:$A$16,$A28,$D$5:$D$16),"")</f>
        <v>1.0</v>
      </c>
      <c r="C28" s="13">
        <f>IFERROR(SUMPRODUCT(--($A$5:$A$16=$A28),$C$5:$C$16,$D$5:$D$16),"")</f>
        <v>3.2299999999999995</v>
      </c>
      <c r="D28" s="28">
        <f>IFERROR(SUMIF($A$5:$A$16,$A28,$E$5:$E$16),"")</f>
        <v>1.0</v>
      </c>
      <c r="E28" s="13">
        <f>IFERROR(SUMPRODUCT(--($A$5:$A$16=$A28),$C$5:$C$16,$E$5:$E$16),"")</f>
        <v>3.3949999999999996</v>
      </c>
      <c r="F28" s="28">
        <f>IFERROR(SUMIF($A$5:$A$16,$A28,$F$5:$F$16),"")</f>
        <v>1.0</v>
      </c>
      <c r="G28" s="13">
        <f>IFERROR(SUMPRODUCT(--($A$5:$A$16=$A28),$C$5:$C$16,$F$5:$F$16),"")</f>
        <v>3.0649999999999995</v>
      </c>
    </row>
    <row r="29">
      <c r="A29" s="15" t="inlineStr">
        <is>
          <t>Desserts</t>
        </is>
      </c>
      <c r="B29" s="28">
        <f>IFERROR(SUMIF($A$5:$A$16,$A29,$D$5:$D$16),"")</f>
        <v>1.0</v>
      </c>
      <c r="C29" s="13">
        <f>IFERROR(SUMPRODUCT(--($A$5:$A$16=$A29),$C$5:$C$16,$D$5:$D$16),"")</f>
        <v>0.5900000000000001</v>
      </c>
      <c r="D29" s="28">
        <f>IFERROR(SUMIF($A$5:$A$16,$A29,$E$5:$E$16),"")</f>
        <v>1.0</v>
      </c>
      <c r="E29" s="13">
        <f>IFERROR(SUMPRODUCT(--($A$5:$A$16=$A29),$C$5:$C$16,$E$5:$E$16),"")</f>
        <v>0.62</v>
      </c>
      <c r="F29" s="28">
        <f>IFERROR(SUMIF($A$5:$A$16,$A29,$F$5:$F$16),"")</f>
        <v>1.0</v>
      </c>
      <c r="G29" s="13">
        <f>IFERROR(SUMPRODUCT(--($A$5:$A$16=$A29),$C$5:$C$16,$F$5:$F$16),"")</f>
        <v>0.5599999999999999</v>
      </c>
    </row>
    <row r="30">
      <c r="A30" t="inlineStr">
        <is>
          <t>If a mix total doesn't come to 100% it turns red: that course's split is wrong.</t>
        </is>
      </c>
    </row>
    <row r="31"/>
    <row r="32">
      <c r="A32" s="15" t="inlineStr">
        <is>
          <t>MENU RESULT — calculated by the workbook</t>
        </is>
      </c>
    </row>
    <row r="33" ht="24" customHeight="1">
      <c r="A33" s="7" t="inlineStr">
        <is>
          <t>Item</t>
        </is>
      </c>
      <c r="B33" s="7" t="inlineStr">
        <is>
          <t>Base mix</t>
        </is>
      </c>
      <c r="C33" s="7" t="inlineStr">
        <is>
          <t>Scenario A</t>
        </is>
      </c>
      <c r="D33" s="7" t="inlineStr">
        <is>
          <t>Scenario B</t>
        </is>
      </c>
    </row>
    <row r="34">
      <c r="A34" t="inlineStr">
        <is>
          <t>Average cost of first courses</t>
        </is>
      </c>
      <c r="B34" s="13">
        <f>IFERROR($C$27,"")</f>
        <v>1.2625000000000002</v>
      </c>
      <c r="C34" s="13">
        <f>IFERROR($E$27,"")</f>
        <v>1.3650000000000002</v>
      </c>
      <c r="D34" s="13">
        <f>IFERROR($G$27,"")</f>
        <v>1.1775000000000002</v>
      </c>
    </row>
    <row r="35">
      <c r="A35" t="inlineStr">
        <is>
          <t>Average cost of main courses</t>
        </is>
      </c>
      <c r="B35" s="13">
        <f>IFERROR($C$28,"")</f>
        <v>3.2299999999999995</v>
      </c>
      <c r="C35" s="13">
        <f>IFERROR($E$28,"")</f>
        <v>3.3949999999999996</v>
      </c>
      <c r="D35" s="13">
        <f>IFERROR($G$28,"")</f>
        <v>3.0649999999999995</v>
      </c>
    </row>
    <row r="36">
      <c r="A36" t="inlineStr">
        <is>
          <t>Average cost of desserts</t>
        </is>
      </c>
      <c r="B36" s="13">
        <f>IFERROR($C$29,"")</f>
        <v>0.5900000000000001</v>
      </c>
      <c r="C36" s="13">
        <f>IFERROR($E$29,"")</f>
        <v>0.62</v>
      </c>
      <c r="D36" s="13">
        <f>IFERROR($G$29,"")</f>
        <v>0.5599999999999999</v>
      </c>
    </row>
    <row r="37">
      <c r="A37" t="inlineStr">
        <is>
          <t>Fixed costs per menu</t>
        </is>
      </c>
      <c r="B37" s="13">
        <f>IFERROR($C$22,"")</f>
        <v>0.55</v>
      </c>
      <c r="C37" s="13">
        <f>IFERROR($C$22,"")</f>
        <v>0.55</v>
      </c>
      <c r="D37" s="13">
        <f>IFERROR($C$22,"")</f>
        <v>0.55</v>
      </c>
    </row>
    <row r="38">
      <c r="A38" s="16" t="inlineStr">
        <is>
          <t>Total average menu cost</t>
        </is>
      </c>
      <c r="B38" s="18">
        <f>IFERROR(SUM(B34:B37),"")</f>
        <v>5.632499999999999</v>
      </c>
      <c r="C38" s="18">
        <f>IFERROR(SUM(C34:C37),"")</f>
        <v>5.93</v>
      </c>
      <c r="D38" s="18">
        <f>IFERROR(SUM(D34:D37),"")</f>
        <v>5.352499999999999</v>
      </c>
    </row>
    <row r="39">
      <c r="A39" s="15" t="inlineStr">
        <is>
          <t>Menu food cost (%)</t>
        </is>
      </c>
      <c r="B39" s="29">
        <f>IFERROR(IF(OR($C$21="",$C$21=0,B38=""),"",B38/$C$21),"")</f>
        <v>0.42729310344827587</v>
      </c>
      <c r="C39" s="29">
        <f>IFERROR(IF(OR($C$21="",$C$21=0,C38=""),"",C38/$C$21),"")</f>
        <v>0.4498620689655173</v>
      </c>
      <c r="D39" s="29">
        <f>IFERROR(IF(OR($C$21="",$C$21=0,D38=""),"",D38/$C$21),"")</f>
        <v>0.406051724137931</v>
      </c>
      <c r="F39" t="inlineStr">
        <is>
          <t>Red = above the menu's target food cost.</t>
        </is>
      </c>
    </row>
    <row r="40">
      <c r="A40" s="15" t="inlineStr">
        <is>
          <t>Contribution margin per menu</t>
        </is>
      </c>
      <c r="B40" s="27">
        <f>IFERROR(IF(OR($C$21="",B38=""),"",$C$21-B38),"")</f>
        <v>7.5493181818181805</v>
      </c>
      <c r="C40" s="27">
        <f>IFERROR(IF(OR($C$21="",C38=""),"",$C$21-C38),"")</f>
        <v>7.25181818181818</v>
      </c>
      <c r="D40" s="27">
        <f>IFERROR(IF(OR($C$21="",D38=""),"",$C$21-D38),"")</f>
        <v>7.829318181818181</v>
      </c>
    </row>
    <row r="41">
      <c r="A41" t="inlineStr">
        <is>
          <t>Margin on prix fixe menus served per month</t>
        </is>
      </c>
      <c r="B41" s="13">
        <f>IFERROR(IF(B40="","",B40*$C$24),"")</f>
        <v>754.931818181818</v>
      </c>
      <c r="C41" s="13">
        <f>IFERROR(IF(C40="","",C40*$C$24),"")</f>
        <v>725.181818181818</v>
      </c>
      <c r="D41" s="13">
        <f>IFERROR(IF(D40="","",D40*$C$24),"")</f>
        <v>782.931818181818</v>
      </c>
    </row>
    <row r="42"/>
    <row r="43">
      <c r="A43" t="inlineStr">
        <is>
          <t>All three scenarios use the SAME price and the SAME costs: the only thing that changes is the split of choices. That difference is the margin you're playing for every day on the menu.</t>
        </is>
      </c>
    </row>
    <row r="44">
      <c r="A44" t="inlineStr">
        <is>
          <t>In the example, the menu ends up ABOVE the house target food cost. That's normal on a set-price menu: either you raise the price, change the options you offer, or accept that the menu brings in guests and the à la carte menu makes the margin. What doesn't work is not knowing it.</t>
        </is>
      </c>
    </row>
  </sheetData>
  <sheetProtection selectLockedCells="0" selectUnlockedCells="0" sheet="1" objects="0" insertRows="0" insertHyperlinks="1" autoFilter="1" scenarios="0" formatColumns="0" deleteColumns="1" insertColumns="1" pivotTables="1" deleteRows="1" formatCells="1" formatRows="0" sort="0"/>
  <conditionalFormatting sqref="B27:B29">
    <cfRule type="expression" priority="1" dxfId="2" stopIfTrue="1">
      <formula>=AND(ISNUMBER(B27),ROUND(B27,4)&lt;&gt;1)</formula>
    </cfRule>
  </conditionalFormatting>
  <conditionalFormatting sqref="D27:D29">
    <cfRule type="expression" priority="2" dxfId="2" stopIfTrue="1">
      <formula>=AND(ISNUMBER(D27),ROUND(D27,4)&lt;&gt;1)</formula>
    </cfRule>
  </conditionalFormatting>
  <conditionalFormatting sqref="F27:F29">
    <cfRule type="expression" priority="3" dxfId="2" stopIfTrue="1">
      <formula>=AND(ISNUMBER(F27),ROUND(F27,4)&lt;&gt;1)</formula>
    </cfRule>
  </conditionalFormatting>
  <conditionalFormatting sqref="B39:D39">
    <cfRule type="expression" priority="4" dxfId="2" stopIfTrue="1">
      <formula>=AND(ISNUMBER(B$39),B$39&gt;$C$23)</formula>
    </cfRule>
  </conditionalFormatting>
  <dataValidations count="6">
    <dataValidation sqref="A5 A6 A7 A8 A9 A10 A11 A12 A13 A14 A15 A16" showDropDown="0" showInputMessage="0" showErrorMessage="1" allowBlank="1" errorTitle="Invalid course" error="Choose a value from the list: First courses, Main courses, Desserts" type="list">
      <formula1>"First courses,Main courses,Desserts"</formula1>
    </dataValidation>
    <dataValidation sqref="C5 C6 C7 C8 C9 C10 C11 C12 C13 C14 C15 C16" showDropDown="0" showInputMessage="0" showErrorMessage="1" allowBlank="1" errorTitle="Invalid amount" error="Type a number greater than or equal to 0." type="decimal" operator="greaterThanOrEqual">
      <formula1>0</formula1>
    </dataValidation>
    <dataValidation sqref="D5 D6 D7 D8 D9 D10 D11 D12 D13 D14 D15 D16 E5 E6 E7 E8 E9 E10 E11 E12 E13 E14 E15 E16 F5 F6 F7 F8 F9 F10 F11 F12 F13 F14 F15 F16" showDropDown="0" showInputMessage="1" showErrorMessage="1" allowBlank="1" errorTitle="Course mix" error="Type a percentage between 0 and 1 (0.20 = 20%)." promptTitle="Course mix" prompt="Share of guests who choose this option. Each course's mix has to add up to 100%." type="decimal" operator="between">
      <formula1>0</formula1>
      <formula2>1.0</formula2>
    </dataValidation>
    <dataValidation sqref="C20" showDropDown="0" showInputMessage="1" showErrorMessage="1" allowBlank="1" errorTitle="Tax rate" error="Type a percentage between 0 and 1 (0.20 = 20%)." promptTitle="Tax rate" prompt="Type it as a decimal: 0.10 = 10%. 0 in the US and Canada." type="decimal" operator="between">
      <formula1>0</formula1>
      <formula2>1.0</formula2>
    </dataValidation>
    <dataValidation sqref="C23" showDropDown="0" showInputMessage="1" showErrorMessage="1" allowBlank="1" errorTitle="Target food cost" error="Type a percentage between 0 and 1 (0.20 = 20%)." promptTitle="Target food cost" prompt="Type it as a decimal: 0.30 = 30%." type="decimal" operator="between">
      <formula1>0</formula1>
      <formula2>1.0</formula2>
    </dataValidation>
    <dataValidation sqref="C24" showDropDown="0" showInputMessage="0" showErrorMessage="1" allowBlank="1" errorTitle="Menus served" error="Type a whole number of menus served per month (0 or more)." type="decimal" operator="greaterThanOrEqual">
      <formula1>0</formula1>
    </dataValidation>
  </dataValidations>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Multi-Method Menu Engineering Matrix</dc:title>
  <dc:subject xmlns:dc="http://purl.org/dc/elements/1.1/">Food Cost + Menu Engineering Guide · Version 1.0 · October 2026</dc:subject>
  <dcterms:created xmlns:dcterms="http://purl.org/dc/terms/" xmlns:xsi="http://www.w3.org/2001/XMLSchema-instance" xsi:type="dcterms:W3CDTF">2026-09-03T22:35:06Z</dcterms:created>
  <dcterms:modified xmlns:dcterms="http://purl.org/dc/terms/" xmlns:xsi="http://www.w3.org/2001/XMLSchema-instance" xsi:type="dcterms:W3CDTF">2026-10-15T08:00:00Z</dcterms:modified>
  <cp:lastModifiedBy>AI Chef Pro</cp:lastModifiedBy>
</cp:coreProperties>
</file>