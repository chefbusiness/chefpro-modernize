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Ejemplos" sheetId="2" state="visible" r:id="rId2"/>
  </sheets>
  <definedNames>
    <definedName name="_xlnm.Print_Titles" localSheetId="1">'Ejemplos'!$4:$4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#,##0 €"/>
    <numFmt numFmtId="166" formatCode="0.0%"/>
  </numFmts>
  <fonts count="11">
    <font>
      <name val="Calibri"/>
      <family val="2"/>
      <color theme="1"/>
      <sz val="11"/>
      <scheme val="minor"/>
    </font>
    <font>
      <name val="Georgia"/>
      <b val="1"/>
      <color rgb="001A1A1A"/>
      <sz val="18"/>
    </font>
    <font>
      <name val="Calibri"/>
      <i val="1"/>
      <color rgb="006B6B6B"/>
      <sz val="10"/>
    </font>
    <font>
      <name val="Georgia"/>
      <b val="1"/>
      <color rgb="001A1A1A"/>
      <sz val="13"/>
    </font>
    <font>
      <name val="Calibri"/>
      <color rgb="001A1A1A"/>
      <sz val="11"/>
    </font>
    <font>
      <name val="Calibri"/>
      <b val="1"/>
      <color rgb="001A1A1A"/>
      <sz val="12"/>
    </font>
    <font>
      <name val="Calibri"/>
      <b val="1"/>
      <color rgb="001A1A1A"/>
      <sz val="11"/>
    </font>
    <font>
      <name val="Georgia"/>
      <b val="1"/>
      <color rgb="00C6A664"/>
      <sz val="11"/>
    </font>
    <font>
      <name val="Georgia"/>
      <b val="1"/>
      <color rgb="001A1A1A"/>
      <sz val="14"/>
    </font>
    <font>
      <name val="Georgia"/>
      <b val="1"/>
      <color rgb="00C6A664"/>
      <sz val="2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8E7"/>
        <bgColor rgb="00FFF8E7"/>
      </patternFill>
    </fill>
    <fill>
      <patternFill patternType="solid">
        <fgColor rgb="00F5F0E8"/>
        <bgColor rgb="00F5F0E8"/>
      </patternFill>
    </fill>
    <fill>
      <patternFill patternType="solid">
        <fgColor rgb="001A1A1A"/>
        <bgColor rgb="001A1A1A"/>
      </patternFill>
    </fill>
  </fills>
  <borders count="3">
    <border>
      <left/>
      <right/>
      <top/>
      <bottom/>
      <diagonal/>
    </border>
    <border>
      <left style="medium">
        <color rgb="00C6A664"/>
      </left>
      <right style="medium">
        <color rgb="00C6A664"/>
      </right>
      <top style="medium">
        <color rgb="00C6A664"/>
      </top>
      <bottom style="medium">
        <color rgb="00C6A664"/>
      </bottom>
    </border>
    <border>
      <top style="thin">
        <color rgb="00F5F0E8"/>
      </top>
      <bottom style="thin">
        <color rgb="00F5F0E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165" fontId="6" fillId="0" borderId="2" applyAlignment="1" pivotButton="0" quotePrefix="0" xfId="0">
      <alignment horizontal="right" vertical="center"/>
    </xf>
    <xf numFmtId="0" fontId="7" fillId="0" borderId="0" pivotButton="0" quotePrefix="0" xfId="0"/>
    <xf numFmtId="165" fontId="8" fillId="3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5" fontId="9" fillId="3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pivotButton="0" quotePrefix="0" xfId="0"/>
    <xf numFmtId="165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5" fontId="6" fillId="0" borderId="2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5" fontId="9" fillId="3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5" customWidth="1" min="4" max="4"/>
    <col width="32" customWidth="1" min="5" max="5"/>
    <col width="18" customWidth="1" min="6" max="6"/>
  </cols>
  <sheetData>
    <row r="1">
      <c r="B1" s="1" t="inlineStr">
        <is>
          <t>CALCULADORA DE PRICING — COCTELERIA DE EVENTOS</t>
        </is>
      </c>
    </row>
    <row r="2">
      <c r="B2" s="2" t="inlineStr">
        <is>
          <t>Modifica los campos marcados en dorado y obten precio sugerido + margen</t>
        </is>
      </c>
    </row>
    <row r="3"/>
    <row r="4">
      <c r="B4" s="3" t="inlineStr">
        <is>
          <t>VARIABLES DEL EVENTO</t>
        </is>
      </c>
      <c r="E4" s="3" t="inlineStr">
        <is>
          <t>PARAMETROS DE COSTE (editables)</t>
        </is>
      </c>
    </row>
    <row r="5">
      <c r="B5" s="4" t="inlineStr">
        <is>
          <t>Numero de invitados</t>
        </is>
      </c>
      <c r="C5" s="5" t="n">
        <v>100</v>
      </c>
      <c r="E5" s="4" t="inlineStr">
        <is>
          <t>Coste bebida basica por invitado/hora</t>
        </is>
      </c>
      <c r="F5" s="22" t="n">
        <v>2.5</v>
      </c>
    </row>
    <row r="6">
      <c r="B6" s="4" t="inlineStr">
        <is>
          <t>Duracion del servicio (horas)</t>
        </is>
      </c>
      <c r="C6" s="5" t="n">
        <v>5</v>
      </c>
      <c r="E6" s="4" t="inlineStr">
        <is>
          <t>Coste bebida media por invitado/hora</t>
        </is>
      </c>
      <c r="F6" s="22" t="n">
        <v>4</v>
      </c>
    </row>
    <row r="7">
      <c r="B7" s="4" t="inlineStr">
        <is>
          <t>Tipo de evento</t>
        </is>
      </c>
      <c r="C7" s="5" t="inlineStr">
        <is>
          <t>Boda</t>
        </is>
      </c>
      <c r="E7" s="4" t="inlineStr">
        <is>
          <t>Coste bebida premium por invitado/hora</t>
        </is>
      </c>
      <c r="F7" s="22" t="n">
        <v>6.5</v>
      </c>
    </row>
    <row r="8">
      <c r="B8" s="4" t="inlineStr">
        <is>
          <t>Nivel de bebidas (1=basico, 2=medio, 3=premium)</t>
        </is>
      </c>
      <c r="C8" s="5" t="n">
        <v>2</v>
      </c>
      <c r="E8" s="4" t="inlineStr">
        <is>
          <t>Tarifa bartender freelance por hora</t>
        </is>
      </c>
      <c r="F8" s="22" t="n">
        <v>22</v>
      </c>
    </row>
    <row r="9">
      <c r="B9" s="4" t="inlineStr">
        <is>
          <t>Nº bartenders adicionales (ademas del fundador)</t>
        </is>
      </c>
      <c r="C9" s="5" t="n">
        <v>1</v>
      </c>
      <c r="E9" s="4" t="inlineStr">
        <is>
          <t>Tarifa runner por hora</t>
        </is>
      </c>
      <c r="F9" s="22" t="n">
        <v>12</v>
      </c>
    </row>
    <row r="10">
      <c r="B10" s="4" t="inlineStr">
        <is>
          <t>Nº runners / ayudantes</t>
        </is>
      </c>
      <c r="C10" s="5" t="n">
        <v>1</v>
      </c>
      <c r="E10" s="4" t="inlineStr">
        <is>
          <t>Coste consumibles por invitado</t>
        </is>
      </c>
      <c r="F10" s="22" t="n">
        <v>1.2</v>
      </c>
    </row>
    <row r="11">
      <c r="B11" s="4" t="inlineStr">
        <is>
          <t>Distancia evento (km ida)</t>
        </is>
      </c>
      <c r="C11" s="5" t="n">
        <v>25</v>
      </c>
      <c r="E11" s="4" t="inlineStr">
        <is>
          <t>Coste hielo por invitado</t>
        </is>
      </c>
      <c r="F11" s="22" t="n">
        <v>0.4</v>
      </c>
    </row>
    <row r="12">
      <c r="B12" s="4" t="inlineStr">
        <is>
          <t>Wedding planner (S/N)</t>
        </is>
      </c>
      <c r="C12" s="5" t="inlineStr">
        <is>
          <t>S</t>
        </is>
      </c>
      <c r="E12" s="4" t="inlineStr">
        <is>
          <t>Coste combustible por km</t>
        </is>
      </c>
      <c r="F12" s="22" t="n">
        <v>0.4</v>
      </c>
    </row>
    <row r="13">
      <c r="B13" s="4" t="inlineStr">
        <is>
          <t>Coste decoracion tematica especial (EUR)</t>
        </is>
      </c>
      <c r="C13" s="23" t="n">
        <v>150</v>
      </c>
      <c r="E13" s="4" t="inlineStr">
        <is>
          <t>Comision wedding planner (%)</t>
        </is>
      </c>
      <c r="F13" s="8" t="n">
        <v>0.12</v>
      </c>
    </row>
    <row r="14"/>
    <row r="15">
      <c r="B15" s="9" t="inlineStr">
        <is>
          <t>DESGLOSE DE COSTES</t>
        </is>
      </c>
    </row>
    <row r="16">
      <c r="B16" s="4" t="inlineStr">
        <is>
          <t>Coste bebidas</t>
        </is>
      </c>
      <c r="F16" s="24">
        <f>C5*C6*IF(C8=1,F5,IF(C8=2,F6,F7))</f>
        <v>2000.0</v>
      </c>
    </row>
    <row r="17">
      <c r="B17" s="4" t="inlineStr">
        <is>
          <t>Coste bartenders adicionales</t>
        </is>
      </c>
      <c r="F17" s="24">
        <f>C9*F8*C6</f>
        <v>110.0</v>
      </c>
    </row>
    <row r="18">
      <c r="B18" s="4" t="inlineStr">
        <is>
          <t>Coste runners</t>
        </is>
      </c>
      <c r="F18" s="24">
        <f>C10*F9*C6</f>
        <v>60.0</v>
      </c>
    </row>
    <row r="19">
      <c r="B19" s="4" t="inlineStr">
        <is>
          <t>Coste consumibles</t>
        </is>
      </c>
      <c r="F19" s="24">
        <f>C5*F10</f>
        <v>120.0</v>
      </c>
    </row>
    <row r="20">
      <c r="B20" s="4" t="inlineStr">
        <is>
          <t>Coste hielo</t>
        </is>
      </c>
      <c r="F20" s="24">
        <f>C5*F11</f>
        <v>40.0</v>
      </c>
    </row>
    <row r="21">
      <c r="B21" s="4" t="inlineStr">
        <is>
          <t>Coste combustible (ida + vuelta)</t>
        </is>
      </c>
      <c r="F21" s="24">
        <f>C11*2*F12</f>
        <v>20.0</v>
      </c>
    </row>
    <row r="22">
      <c r="B22" s="4" t="inlineStr">
        <is>
          <t>Coste decoracion tematica</t>
        </is>
      </c>
      <c r="F22" s="24">
        <f>C13</f>
        <v>150.0</v>
      </c>
    </row>
    <row r="23">
      <c r="B23" s="11" t="inlineStr">
        <is>
          <t>TOTAL COSTE BRUTO EVENTO</t>
        </is>
      </c>
      <c r="F23" s="25">
        <f>SUM(F16:F22)</f>
        <v>2500.0</v>
      </c>
    </row>
    <row r="24"/>
    <row r="25">
      <c r="B25" s="9" t="inlineStr">
        <is>
          <t>PRECIO SUGERIDO AL CLIENTE</t>
        </is>
      </c>
    </row>
    <row r="26">
      <c r="B26" s="4" t="inlineStr">
        <is>
          <t>PRECIO MINIMO (margen 35%, sin comision WP)</t>
        </is>
      </c>
      <c r="F26" s="26">
        <f>F23/(1-0.35)</f>
        <v>3846.153846153846</v>
      </c>
    </row>
    <row r="27">
      <c r="B27" s="11" t="inlineStr">
        <is>
          <t>PRECIO RECOMENDADO (margen 45%)</t>
        </is>
      </c>
      <c r="F27" s="27">
        <f>IF(C12="S",(F23/(1-0.45))/(1-F13),F23/(1-0.45))</f>
        <v>5165.289256198346</v>
      </c>
    </row>
    <row r="28">
      <c r="B28" s="4" t="inlineStr">
        <is>
          <t>PRECIO PREMIUM (margen 55%, posicionamiento alto)</t>
        </is>
      </c>
      <c r="F28" s="26">
        <f>IF(C12="S",(F23/(1-0.55))/(1-F13),F23/(1-0.55))</f>
        <v>6313.131313131314</v>
      </c>
    </row>
    <row r="29"/>
    <row r="30">
      <c r="B30" s="4" t="inlineStr">
        <is>
          <t>PRECIO POR INVITADO (sobre precio recomendado)</t>
        </is>
      </c>
      <c r="F30" s="28">
        <f>F27/C5</f>
        <v>51.652892561983464</v>
      </c>
    </row>
    <row r="31">
      <c r="B31" s="4" t="inlineStr">
        <is>
          <t>Margen neto sobre precio recomendado</t>
        </is>
      </c>
      <c r="F31" s="26">
        <f>IF(C12="S",F27-F23-F27*F13,F27-F23)</f>
        <v>2045.4545454545446</v>
      </c>
    </row>
    <row r="32"/>
    <row r="33">
      <c r="B33" s="11" t="inlineStr">
        <is>
          <t>NOTAS</t>
        </is>
      </c>
    </row>
    <row r="34">
      <c r="B34" s="16" t="inlineStr">
        <is>
          <t>1. Si el evento es premium (Madrid/BCN, hotel 5*, cliente corporativo grande), usar PRECIO PREMIUM.</t>
        </is>
      </c>
    </row>
    <row r="35">
      <c r="B35" s="16" t="inlineStr">
        <is>
          <t>2. Si captas el cliente directamente sin wedding planner, usar PRECIO RECOMENDADO sin la deduccion de comision.</t>
        </is>
      </c>
    </row>
    <row r="36">
      <c r="B36" s="16" t="inlineStr">
        <is>
          <t>3. Para bodas con minimo 50 invitados, plantea SIEMPRE precio + IVA (cliente final particular puede no contar IVA mentalmente).</t>
        </is>
      </c>
    </row>
    <row r="37">
      <c r="B37" s="16" t="inlineStr">
        <is>
          <t>4. Ajusta los PARAMETROS DE COSTE (columna F derecha) cada 3-6 meses segun tus proveedores reales.</t>
        </is>
      </c>
    </row>
    <row r="38">
      <c r="B38" s="16" t="inlineStr">
        <is>
          <t>5. Si el cliente regatea, NUNCA bajes del PRECIO MINIMO (margen 35%). Mejor declinar el evento.</t>
        </is>
      </c>
    </row>
    <row r="39">
      <c r="B39" s="16" t="inlineStr">
        <is>
          <t>6. Anticipo recomendado: 30-50% en firma, resto 7 dias antes del evento.</t>
        </is>
      </c>
    </row>
  </sheetData>
  <mergeCells count="26">
    <mergeCell ref="B17:E17"/>
    <mergeCell ref="B34:F34"/>
    <mergeCell ref="B39:F39"/>
    <mergeCell ref="B25:F25"/>
    <mergeCell ref="B30:E30"/>
    <mergeCell ref="B18:E18"/>
    <mergeCell ref="E4:F4"/>
    <mergeCell ref="B33:F33"/>
    <mergeCell ref="B16:E16"/>
    <mergeCell ref="B1:F1"/>
    <mergeCell ref="B22:E22"/>
    <mergeCell ref="B27:E27"/>
    <mergeCell ref="B4:C4"/>
    <mergeCell ref="B35:F35"/>
    <mergeCell ref="B38:F38"/>
    <mergeCell ref="B21:E21"/>
    <mergeCell ref="B26:E26"/>
    <mergeCell ref="B31:E31"/>
    <mergeCell ref="B2:F2"/>
    <mergeCell ref="B20:E20"/>
    <mergeCell ref="B23:E23"/>
    <mergeCell ref="B15:F15"/>
    <mergeCell ref="B36:F36"/>
    <mergeCell ref="B28:E28"/>
    <mergeCell ref="B37:F37"/>
    <mergeCell ref="B19:E19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28" customWidth="1" min="8" max="8"/>
  </cols>
  <sheetData>
    <row r="1">
      <c r="B1" s="1" t="inlineStr">
        <is>
          <t>EJEMPLOS DE PRICING CALCULADO</t>
        </is>
      </c>
    </row>
    <row r="2">
      <c r="B2" s="2" t="inlineStr">
        <is>
          <t>Casos reales para validar tu calculadora</t>
        </is>
      </c>
    </row>
    <row r="3"/>
    <row r="4">
      <c r="A4" s="17" t="inlineStr">
        <is>
          <t>#</t>
        </is>
      </c>
      <c r="B4" s="17" t="inlineStr">
        <is>
          <t>TIPO EVENTO</t>
        </is>
      </c>
      <c r="C4" s="17" t="inlineStr">
        <is>
          <t>INVITADOS</t>
        </is>
      </c>
      <c r="D4" s="17" t="inlineStr">
        <is>
          <t>DURACION</t>
        </is>
      </c>
      <c r="E4" s="17" t="inlineStr">
        <is>
          <t>COSTE TOTAL</t>
        </is>
      </c>
      <c r="F4" s="17" t="inlineStr">
        <is>
          <t>PRECIO RECOMENDADO</t>
        </is>
      </c>
      <c r="G4" s="17" t="inlineStr">
        <is>
          <t>PRECIO/PAX</t>
        </is>
      </c>
      <c r="H4" s="17" t="inlineStr">
        <is>
          <t>NOTAS</t>
        </is>
      </c>
    </row>
    <row r="5">
      <c r="A5" s="18" t="n">
        <v>1</v>
      </c>
      <c r="B5" s="19" t="inlineStr">
        <is>
          <t>Boda intima campo</t>
        </is>
      </c>
      <c r="C5" s="19" t="n">
        <v>50</v>
      </c>
      <c r="D5" s="19" t="inlineStr">
        <is>
          <t>5h</t>
        </is>
      </c>
      <c r="E5" s="29" t="n">
        <v>410</v>
      </c>
      <c r="F5" s="29" t="n">
        <v>870</v>
      </c>
      <c r="G5" s="30" t="n">
        <v>17.4</v>
      </c>
      <c r="H5" s="19" t="inlineStr">
        <is>
          <t>Bebida media, 1 ayudante, sin WP</t>
        </is>
      </c>
    </row>
    <row r="6">
      <c r="A6" s="18" t="n">
        <v>2</v>
      </c>
      <c r="B6" s="19" t="inlineStr">
        <is>
          <t>Boda estandar finca</t>
        </is>
      </c>
      <c r="C6" s="19" t="n">
        <v>100</v>
      </c>
      <c r="D6" s="19" t="inlineStr">
        <is>
          <t>5h</t>
        </is>
      </c>
      <c r="E6" s="29" t="n">
        <v>805</v>
      </c>
      <c r="F6" s="29" t="n">
        <v>1670</v>
      </c>
      <c r="G6" s="30" t="n">
        <v>16.7</v>
      </c>
      <c r="H6" s="19" t="inlineStr">
        <is>
          <t>Bebida media, 1 bartender + 1 runner, con WP 12%</t>
        </is>
      </c>
    </row>
    <row r="7">
      <c r="A7" s="18" t="n">
        <v>3</v>
      </c>
      <c r="B7" s="19" t="inlineStr">
        <is>
          <t>Boda premium hotel 5*</t>
        </is>
      </c>
      <c r="C7" s="19" t="n">
        <v>150</v>
      </c>
      <c r="D7" s="19" t="inlineStr">
        <is>
          <t>6h</t>
        </is>
      </c>
      <c r="E7" s="29" t="n">
        <v>1530</v>
      </c>
      <c r="F7" s="29" t="n">
        <v>3450</v>
      </c>
      <c r="G7" s="30" t="n">
        <v>23</v>
      </c>
      <c r="H7" s="19" t="inlineStr">
        <is>
          <t>Bebida premium, 2 bartenders + 2 runners, con WP</t>
        </is>
      </c>
    </row>
    <row r="8">
      <c r="A8" s="18" t="n">
        <v>4</v>
      </c>
      <c r="B8" s="19" t="inlineStr">
        <is>
          <t>Corporativo lanzamiento</t>
        </is>
      </c>
      <c r="C8" s="19" t="n">
        <v>80</v>
      </c>
      <c r="D8" s="19" t="inlineStr">
        <is>
          <t>4h</t>
        </is>
      </c>
      <c r="E8" s="29" t="n">
        <v>720</v>
      </c>
      <c r="F8" s="29" t="n">
        <v>1310</v>
      </c>
      <c r="G8" s="30" t="n">
        <v>16.4</v>
      </c>
      <c r="H8" s="19" t="inlineStr">
        <is>
          <t>Bebida media, 1 bartender, sin WP</t>
        </is>
      </c>
    </row>
    <row r="9">
      <c r="A9" s="18" t="n">
        <v>5</v>
      </c>
      <c r="B9" s="19" t="inlineStr">
        <is>
          <t>Corporativo navidad</t>
        </is>
      </c>
      <c r="C9" s="19" t="n">
        <v>200</v>
      </c>
      <c r="D9" s="19" t="inlineStr">
        <is>
          <t>5h</t>
        </is>
      </c>
      <c r="E9" s="29" t="n">
        <v>2010</v>
      </c>
      <c r="F9" s="29" t="n">
        <v>3650</v>
      </c>
      <c r="G9" s="30" t="n">
        <v>18.3</v>
      </c>
      <c r="H9" s="19" t="inlineStr">
        <is>
          <t>Bebida premium, 3 bartenders + 2 runners, sin WP</t>
        </is>
      </c>
    </row>
    <row r="10">
      <c r="A10" s="18" t="n">
        <v>6</v>
      </c>
      <c r="B10" s="19" t="inlineStr">
        <is>
          <t>Cumpleanos privado</t>
        </is>
      </c>
      <c r="C10" s="19" t="n">
        <v>30</v>
      </c>
      <c r="D10" s="19" t="inlineStr">
        <is>
          <t>4h</t>
        </is>
      </c>
      <c r="E10" s="29" t="n">
        <v>295</v>
      </c>
      <c r="F10" s="29" t="n">
        <v>540</v>
      </c>
      <c r="G10" s="30" t="n">
        <v>18</v>
      </c>
      <c r="H10" s="19" t="inlineStr">
        <is>
          <t>Bebida media, fundador solo, sin WP</t>
        </is>
      </c>
    </row>
    <row r="11">
      <c r="A11" s="18" t="n">
        <v>7</v>
      </c>
      <c r="B11" s="19" t="inlineStr">
        <is>
          <t>Despedida soltera</t>
        </is>
      </c>
      <c r="C11" s="19" t="n">
        <v>25</v>
      </c>
      <c r="D11" s="19" t="inlineStr">
        <is>
          <t>3h</t>
        </is>
      </c>
      <c r="E11" s="29" t="n">
        <v>220</v>
      </c>
      <c r="F11" s="29" t="n">
        <v>400</v>
      </c>
      <c r="G11" s="30" t="n">
        <v>16</v>
      </c>
      <c r="H11" s="19" t="inlineStr">
        <is>
          <t>Bebida media, fundador solo, decoracion tematica</t>
        </is>
      </c>
    </row>
    <row r="12">
      <c r="A12" s="18" t="n">
        <v>8</v>
      </c>
      <c r="B12" s="19" t="inlineStr">
        <is>
          <t>Inauguracion negocio</t>
        </is>
      </c>
      <c r="C12" s="19" t="n">
        <v>60</v>
      </c>
      <c r="D12" s="19" t="inlineStr">
        <is>
          <t>3h</t>
        </is>
      </c>
      <c r="E12" s="29" t="n">
        <v>480</v>
      </c>
      <c r="F12" s="29" t="n">
        <v>870</v>
      </c>
      <c r="G12" s="30" t="n">
        <v>14.5</v>
      </c>
      <c r="H12" s="19" t="inlineStr">
        <is>
          <t>Bebida media, 1 bartender, sin WP</t>
        </is>
      </c>
    </row>
    <row r="13">
      <c r="A13" s="18" t="n">
        <v>9</v>
      </c>
      <c r="B13" s="19" t="inlineStr">
        <is>
          <t>Aniversario empresa</t>
        </is>
      </c>
      <c r="C13" s="19" t="n">
        <v>120</v>
      </c>
      <c r="D13" s="19" t="inlineStr">
        <is>
          <t>5h</t>
        </is>
      </c>
      <c r="E13" s="29" t="n">
        <v>1080</v>
      </c>
      <c r="F13" s="29" t="n">
        <v>1965</v>
      </c>
      <c r="G13" s="30" t="n">
        <v>16.4</v>
      </c>
      <c r="H13" s="19" t="inlineStr">
        <is>
          <t>Bebida media, 2 bartenders + 1 runner, sin WP</t>
        </is>
      </c>
    </row>
    <row r="14">
      <c r="A14" s="18" t="n">
        <v>10</v>
      </c>
      <c r="B14" s="19" t="inlineStr">
        <is>
          <t>Fiesta privada terraza</t>
        </is>
      </c>
      <c r="C14" s="19" t="n">
        <v>40</v>
      </c>
      <c r="D14" s="19" t="inlineStr">
        <is>
          <t>4h</t>
        </is>
      </c>
      <c r="E14" s="29" t="n">
        <v>380</v>
      </c>
      <c r="F14" s="29" t="n">
        <v>690</v>
      </c>
      <c r="G14" s="30" t="n">
        <v>17.3</v>
      </c>
      <c r="H14" s="19" t="inlineStr">
        <is>
          <t>Bebida media, 1 bartender, sin WP</t>
        </is>
      </c>
    </row>
  </sheetData>
  <mergeCells count="2">
    <mergeCell ref="B1:H1"/>
    <mergeCell ref="B2:H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DE PRICING — COCTELERIA DE EVENTOS · Plan de Negocio &amp; Kit de Coctelería de Eventos / Barra Móvil</dc:title>
  <dc:description xmlns:dc="http://purl.org/dc/elements/1.1/">aichef.pro/plan-negocio-cocteleria-eventos</dc:description>
  <dc:subject xmlns:dc="http://purl.org/dc/elements/1.1/">Plan de Negocio &amp; Kit de Coctelería de Eventos / Barra Móvil · v1.1</dc:subject>
  <dcterms:created xmlns:dcterms="http://purl.org/dc/terms/" xmlns:xsi="http://www.w3.org/2001/XMLSchema-instance" xsi:type="dcterms:W3CDTF">2026-04-25T09:43:35Z</dcterms:created>
  <dcterms:modified xmlns:dcterms="http://purl.org/dc/terms/" xmlns:xsi="http://www.w3.org/2001/XMLSchema-instance" xsi:type="dcterms:W3CDTF">2026-08-22T09:13:12Z</dcterms:modified>
  <cp:lastModifiedBy>AI Chef Pro</cp:lastModifiedBy>
  <cp:category>AI Chef Pro · Productos digitales</cp:category>
  <cp:keywords>plan negocio cocteleria eventos, AI Chef Pro</cp:keywords>
</cp:coreProperties>
</file>