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ctelería Clásica" sheetId="2" state="visible" r:id="rId2"/>
    <sheet xmlns:r="http://schemas.openxmlformats.org/officeDocument/2006/relationships" name="Cerveza y Grifo" sheetId="3" state="visible" r:id="rId3"/>
    <sheet xmlns:r="http://schemas.openxmlformats.org/officeDocument/2006/relationships" name="Vinos y Bodega" sheetId="4" state="visible" r:id="rId4"/>
  </sheets>
  <definedNames>
    <definedName name="_xlnm.Print_Area" localSheetId="0">'Instrucciones'!$A$1:$B$39</definedName>
    <definedName name="_xlnm.Print_Titles" localSheetId="1">'Coctelería Clásica'!$4:$4</definedName>
    <definedName name="_xlnm.Print_Area" localSheetId="1">'Coctelería Clásica'!$A$1:$G$31</definedName>
    <definedName name="_xlnm.Print_Titles" localSheetId="2">'Cerveza y Grifo'!$4:$4</definedName>
    <definedName name="_xlnm.Print_Area" localSheetId="2">'Cerveza y Grifo'!$A$1:$G$28</definedName>
    <definedName name="_xlnm.Print_Titles" localSheetId="3">'Vinos y Bodega'!$4:$4</definedName>
    <definedName name="_xlnm.Print_Area" localSheetId="3">'Vinos y Bodega'!$A$1:$G$27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8" t="inlineStr">
        <is>
          <t>02 — Partidas de Barra · Bar / Cocktails</t>
        </is>
      </c>
    </row>
    <row r="3"/>
    <row r="4" ht="18" customHeight="1">
      <c r="B4" s="29" t="inlineStr">
        <is>
          <t>Tareas organizadas por área de servicio.</t>
        </is>
      </c>
    </row>
    <row r="5">
      <c r="B5" s="3" t="n"/>
    </row>
    <row r="6" ht="16" customHeight="1">
      <c r="B6" s="30" t="inlineStr">
        <is>
          <t>▸ Cada pestaña cubre una zona específica del bar</t>
        </is>
      </c>
    </row>
    <row r="7" ht="16" customHeight="1">
      <c r="B7" s="30" t="inlineStr">
        <is>
          <t>▸ Las tareas están ordenadas cronológicamente</t>
        </is>
      </c>
    </row>
    <row r="8" ht="16" customHeight="1">
      <c r="B8" s="30" t="inlineStr">
        <is>
          <t>▸ Personaliza con la carta de cócteles de tu bar</t>
        </is>
      </c>
    </row>
    <row r="9">
      <c r="B9" s="3" t="n"/>
    </row>
    <row r="10" ht="18" customHeight="1">
      <c r="B10" s="29" t="inlineStr">
        <is>
          <t>Cómo cuenta el contador</t>
        </is>
      </c>
    </row>
    <row r="11">
      <c r="B11" s="3" t="n"/>
    </row>
    <row r="12" ht="32" customHeight="1">
      <c r="B12" s="30" t="inlineStr">
        <is>
          <t>▸ Marca con ✓ en la columna «✓ Completada» (desplegable): es la que cuenta el total de tareas completadas.</t>
        </is>
      </c>
    </row>
    <row r="13" ht="32" customHeight="1">
      <c r="B13" s="30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4" ht="32" customHeight="1">
      <c r="B14" s="30" t="inlineStr">
        <is>
          <t>▸ El denominador cuenta las tareas escritas en la columna «Tarea», no un número fijo: si añades o borras tareas, el total se ajusta solo.</t>
        </is>
      </c>
    </row>
    <row r="16" ht="18" customHeight="1">
      <c r="B16" s="29" t="inlineStr">
        <is>
          <t>Filas libres</t>
        </is>
      </c>
    </row>
    <row r="18" ht="32" customHeight="1">
      <c r="B18" s="30" t="inlineStr">
        <is>
          <t>▸ Al final de cada tabla hay 5 filas verdes libres DENTRO del rango que cuenta el contador: escribe ahí tus tareas propias.</t>
        </is>
      </c>
    </row>
    <row r="19" ht="32" customHeight="1">
      <c r="B19" s="30" t="inlineStr">
        <is>
          <t>▸ Si necesitas más, inserta filas DENTRO de la tabla (clic derecho → Insertar), nunca por debajo de la última: lo que se escriba fuera del rango no lo cuenta nadie.</t>
        </is>
      </c>
    </row>
    <row r="21" ht="18" customHeight="1">
      <c r="B21" s="29" t="inlineStr">
        <is>
          <t>Protección de la hoja</t>
        </is>
      </c>
    </row>
    <row r="23" ht="32" customHeight="1">
      <c r="B23" s="30" t="inlineStr">
        <is>
          <t>▸ Las hojas con fórmulas van protegidas SIN contraseña: las celdas de entrada (las verdes) están desbloqueadas y los cálculos no se pisan por accidente.</t>
        </is>
      </c>
    </row>
    <row r="24" ht="32" customHeight="1">
      <c r="B24" s="30" t="inlineStr">
        <is>
          <t>▸ Puedes insertar y borrar filas con la protección puesta. Para cambiar la estructura: Revisar → Desproteger hoja.</t>
        </is>
      </c>
    </row>
    <row r="26" ht="18" customHeight="1">
      <c r="B26" s="29" t="inlineStr">
        <is>
          <t>Se conecta con</t>
        </is>
      </c>
    </row>
    <row r="28" ht="16" customHeight="1">
      <c r="B28" s="30" t="inlineStr">
        <is>
          <t>▸ 08-apertura-cierre-negocio.xlsx — checklist del LOCAL completo: es el MARCO del día.</t>
        </is>
      </c>
    </row>
    <row r="29" ht="16" customHeight="1">
      <c r="B29" s="30" t="inlineStr">
        <is>
          <t>▸ 01-apertura-cierre.xlsx — el mismo día con el DETALLE por área (barra).</t>
        </is>
      </c>
    </row>
    <row r="30" ht="16" customHeight="1">
      <c r="B30" s="30" t="inlineStr">
        <is>
          <t>▸ 09-apertura-cierre-caja.xlsx — la CAJA: fondo, recuento por denominaciones, Z del TPV y descuadre.</t>
        </is>
      </c>
    </row>
    <row r="31" ht="48" customHeight="1">
      <c r="B31" s="30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2" ht="32" customHeight="1">
      <c r="B32" s="30" t="inlineStr">
        <is>
          <t>▸ Estás en 02-partidas-cocina.xlsx: es una capa MÁS, no una repetición — el marco del día está en 08-apertura-cierre-negocio.xlsx y 01-apertura-cierre.xlsx.</t>
        </is>
      </c>
    </row>
    <row r="34" ht="18" customHeight="1">
      <c r="B34" s="29" t="inlineStr">
        <is>
          <t>— Kit de Tareas Recurrentes · Bar / Cocktails · AI Chef Pro · aichef.pro</t>
        </is>
      </c>
    </row>
    <row r="36" ht="35" customHeight="1">
      <c r="B36" s="29" t="inlineStr">
        <is>
          <t>Diseñado por John Guerrero — chef y consultor gastronómico desde 2010, en cocina desde los 17 años · johnguerrero.es</t>
        </is>
      </c>
    </row>
    <row r="37" ht="18" customHeight="1">
      <c r="B37" s="29" t="inlineStr">
        <is>
          <t>Contacto: info@aichef.pro</t>
        </is>
      </c>
    </row>
    <row r="39" ht="18" customHeight="1">
      <c r="B39" s="29" t="inlineStr">
        <is>
          <t>Versión 2.0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Coctelería Clásica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1" t="inlineStr">
        <is>
          <t xml:space="preserve">  Pre-Servicio Coctelería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Verificar stock de spirits base: ginebra, vodka, ron, tequila, whisky, brandy</t>
        </is>
      </c>
      <c r="C6" s="36" t="inlineStr">
        <is>
          <t>Coctelería</t>
        </is>
      </c>
      <c r="D6" s="37" t="inlineStr">
        <is>
          <t>Head Bartender</t>
        </is>
      </c>
      <c r="E6" s="37" t="inlineStr">
        <is>
          <t>16:00</t>
        </is>
      </c>
      <c r="F6" s="38" t="n"/>
      <c r="G6" s="39" t="n"/>
    </row>
    <row r="7">
      <c r="A7" s="34" t="n">
        <v>2</v>
      </c>
      <c r="B7" s="35" t="inlineStr">
        <is>
          <t>Verificar stock de vermut (rojo, blanco, dry), amargos y licores</t>
        </is>
      </c>
      <c r="C7" s="36" t="inlineStr">
        <is>
          <t>Coctelería</t>
        </is>
      </c>
      <c r="D7" s="37" t="inlineStr">
        <is>
          <t>Head Bartender</t>
        </is>
      </c>
      <c r="E7" s="37" t="inlineStr">
        <is>
          <t>16:00</t>
        </is>
      </c>
      <c r="F7" s="38" t="n"/>
      <c r="G7" s="39" t="n"/>
    </row>
    <row r="8">
      <c r="A8" s="34" t="n">
        <v>3</v>
      </c>
      <c r="B8" s="35" t="inlineStr">
        <is>
          <t>Preparar batch de cócteles de alta rotación (Negroni, Margarita pre-mix)</t>
        </is>
      </c>
      <c r="C8" s="36" t="inlineStr">
        <is>
          <t>Coctelería</t>
        </is>
      </c>
      <c r="D8" s="37" t="inlineStr">
        <is>
          <t>Head Bartender</t>
        </is>
      </c>
      <c r="E8" s="37" t="inlineStr">
        <is>
          <t>16:30</t>
        </is>
      </c>
      <c r="F8" s="38" t="n"/>
      <c r="G8" s="39" t="n"/>
    </row>
    <row r="9">
      <c r="A9" s="34" t="n">
        <v>4</v>
      </c>
      <c r="B9" s="35" t="inlineStr">
        <is>
          <t>Preparar infusiones del día (si aplica: gin infusionado, vodka con especias)</t>
        </is>
      </c>
      <c r="C9" s="36" t="inlineStr">
        <is>
          <t>Coctelería</t>
        </is>
      </c>
      <c r="D9" s="37" t="inlineStr">
        <is>
          <t>Head Bartender</t>
        </is>
      </c>
      <c r="E9" s="37" t="inlineStr">
        <is>
          <t>16:30</t>
        </is>
      </c>
      <c r="F9" s="38" t="n"/>
      <c r="G9" s="39" t="n"/>
    </row>
    <row r="10">
      <c r="A10" s="34" t="n">
        <v>5</v>
      </c>
      <c r="B10" s="35" t="inlineStr">
        <is>
          <t>Preparar jarabes especiales: miel-jengibre, canela, lavanda, orgeat</t>
        </is>
      </c>
      <c r="C10" s="36" t="inlineStr">
        <is>
          <t>Coctelería</t>
        </is>
      </c>
      <c r="D10" s="37" t="inlineStr">
        <is>
          <t>Bartender</t>
        </is>
      </c>
      <c r="E10" s="37" t="inlineStr">
        <is>
          <t>16:30</t>
        </is>
      </c>
      <c r="F10" s="38" t="n"/>
      <c r="G10" s="39" t="n"/>
    </row>
    <row r="11">
      <c r="A11" s="34" t="n">
        <v>6</v>
      </c>
      <c r="B11" s="35" t="inlineStr">
        <is>
          <t>Tener por escrito los alérgenos de la carta de cócteles y que todo el equipo sepa dónde consultarlos: el orgeat lleva ALMENDRA, los sours CLARA DE HUEVO, los flips LÁCTEOS y los vinos y vermuts SULFITOS</t>
        </is>
      </c>
      <c r="C11" s="36" t="inlineStr">
        <is>
          <t>Coctelería</t>
        </is>
      </c>
      <c r="D11" s="37" t="inlineStr">
        <is>
          <t>Head Bartender</t>
        </is>
      </c>
      <c r="E11" s="37" t="inlineStr">
        <is>
          <t>16:00</t>
        </is>
      </c>
      <c r="F11" s="38" t="n"/>
      <c r="G11" s="39" t="n"/>
    </row>
    <row r="12">
      <c r="A12" s="34" t="n">
        <v>7</v>
      </c>
      <c r="B12" s="35" t="inlineStr">
        <is>
          <t>Verificar stock de bitters: Angostura, Peychaud's y orange bitters</t>
        </is>
      </c>
      <c r="C12" s="36" t="inlineStr">
        <is>
          <t>Coctelería</t>
        </is>
      </c>
      <c r="D12" s="37" t="inlineStr">
        <is>
          <t>Bartender</t>
        </is>
      </c>
      <c r="E12" s="37" t="inlineStr">
        <is>
          <t>16:15</t>
        </is>
      </c>
      <c r="F12" s="38" t="n"/>
      <c r="G12" s="39" t="n"/>
    </row>
    <row r="13">
      <c r="A13" s="34" t="n">
        <v>8</v>
      </c>
      <c r="B13" s="35" t="inlineStr">
        <is>
          <t>Preparar twist de cítricos frescos (piel de limón, naranja, pomelo)</t>
        </is>
      </c>
      <c r="C13" s="36" t="inlineStr">
        <is>
          <t>Coctelería</t>
        </is>
      </c>
      <c r="D13" s="37" t="inlineStr">
        <is>
          <t>Barback</t>
        </is>
      </c>
      <c r="E13" s="37" t="inlineStr">
        <is>
          <t>16:30</t>
        </is>
      </c>
      <c r="F13" s="38" t="n"/>
      <c r="G13" s="39" t="n"/>
    </row>
    <row r="14">
      <c r="A14" s="40" t="n"/>
      <c r="B14" s="40" t="n"/>
      <c r="C14" s="40" t="n"/>
      <c r="D14" s="40" t="n"/>
      <c r="E14" s="40" t="n"/>
      <c r="F14" s="40" t="n"/>
      <c r="G14" s="40" t="n"/>
    </row>
    <row r="15">
      <c r="A15" s="31" t="inlineStr">
        <is>
          <t xml:space="preserve">  Durante el Servicio</t>
        </is>
      </c>
      <c r="B15" s="32" t="n"/>
      <c r="C15" s="32" t="n"/>
      <c r="D15" s="32" t="n"/>
      <c r="E15" s="32" t="n"/>
      <c r="F15" s="32" t="n"/>
      <c r="G15" s="33" t="n"/>
    </row>
    <row r="16">
      <c r="A16" s="34" t="n">
        <v>9</v>
      </c>
      <c r="B16" s="35" t="inlineStr">
        <is>
          <t>Mantener speed rail organizado y botellas orientadas (etiqueta al frente)</t>
        </is>
      </c>
      <c r="C16" s="36" t="inlineStr">
        <is>
          <t>Coctelería</t>
        </is>
      </c>
      <c r="D16" s="37" t="inlineStr">
        <is>
          <t>Bartender</t>
        </is>
      </c>
      <c r="E16" s="37" t="inlineStr">
        <is>
          <t>Continuo</t>
        </is>
      </c>
      <c r="F16" s="38" t="n"/>
      <c r="G16" s="39" t="n"/>
    </row>
    <row r="17">
      <c r="A17" s="34" t="n">
        <v>10</v>
      </c>
      <c r="B17" s="35" t="inlineStr">
        <is>
          <t>Reponer hielo cada hora (o antes si hay pico) SIEMPRE con pala o pinzas, nunca con el vaso: un vaso roto obliga a vaciar la cubeta entera</t>
        </is>
      </c>
      <c r="C17" s="36" t="inlineStr">
        <is>
          <t>Coctelería</t>
        </is>
      </c>
      <c r="D17" s="37" t="inlineStr">
        <is>
          <t>Barback</t>
        </is>
      </c>
      <c r="E17" s="37" t="inlineStr">
        <is>
          <t>Continuo</t>
        </is>
      </c>
      <c r="F17" s="38" t="n"/>
      <c r="G17" s="39" t="n"/>
    </row>
    <row r="18">
      <c r="A18" s="34" t="n">
        <v>11</v>
      </c>
      <c r="B18" s="35" t="inlineStr">
        <is>
          <t>Reponer garnish y mise en place</t>
        </is>
      </c>
      <c r="C18" s="36" t="inlineStr">
        <is>
          <t>Coctelería</t>
        </is>
      </c>
      <c r="D18" s="37" t="inlineStr">
        <is>
          <t>Barback</t>
        </is>
      </c>
      <c r="E18" s="37" t="inlineStr">
        <is>
          <t>Continuo</t>
        </is>
      </c>
      <c r="F18" s="38" t="n"/>
      <c r="G18" s="39" t="n"/>
    </row>
    <row r="19">
      <c r="A19" s="34" t="n">
        <v>12</v>
      </c>
      <c r="B19" s="35" t="inlineStr">
        <is>
          <t>Controlar calidad de cada cóctel antes de servir (prueba visual y aroma)</t>
        </is>
      </c>
      <c r="C19" s="36" t="inlineStr">
        <is>
          <t>Coctelería</t>
        </is>
      </c>
      <c r="D19" s="37" t="inlineStr">
        <is>
          <t>Head Bartender</t>
        </is>
      </c>
      <c r="E19" s="37" t="inlineStr">
        <is>
          <t>Continuo</t>
        </is>
      </c>
      <c r="F19" s="38" t="n"/>
      <c r="G19" s="39" t="n"/>
    </row>
    <row r="20">
      <c r="A20" s="34" t="n">
        <v>13</v>
      </c>
      <c r="B20" s="35" t="inlineStr">
        <is>
          <t>Mantener estación limpia entre cócteles (wipe, organizar)</t>
        </is>
      </c>
      <c r="C20" s="36" t="inlineStr">
        <is>
          <t>Coctelería</t>
        </is>
      </c>
      <c r="D20" s="37" t="inlineStr">
        <is>
          <t>Bartender</t>
        </is>
      </c>
      <c r="E20" s="37" t="inlineStr">
        <is>
          <t>Continuo</t>
        </is>
      </c>
      <c r="F20" s="38" t="n"/>
      <c r="G20" s="39" t="n"/>
    </row>
    <row r="21">
      <c r="A21" s="41" t="n"/>
      <c r="B21" s="42" t="n"/>
      <c r="C21" s="36" t="n"/>
      <c r="D21" s="37" t="n"/>
      <c r="E21" s="37" t="n"/>
      <c r="F21" s="38" t="n"/>
      <c r="G21" s="39" t="n"/>
    </row>
    <row r="22">
      <c r="A22" s="41" t="n"/>
      <c r="B22" s="42" t="n"/>
      <c r="C22" s="36" t="n"/>
      <c r="D22" s="37" t="n"/>
      <c r="E22" s="37" t="n"/>
      <c r="F22" s="38" t="n"/>
      <c r="G22" s="39" t="n"/>
    </row>
    <row r="23">
      <c r="A23" s="41" t="n"/>
      <c r="B23" s="42" t="n"/>
      <c r="C23" s="36" t="n"/>
      <c r="D23" s="37" t="n"/>
      <c r="E23" s="37" t="n"/>
      <c r="F23" s="38" t="n"/>
      <c r="G23" s="39" t="n"/>
    </row>
    <row r="24">
      <c r="A24" s="41" t="n"/>
      <c r="B24" s="42" t="n"/>
      <c r="C24" s="36" t="n"/>
      <c r="D24" s="37" t="n"/>
      <c r="E24" s="37" t="n"/>
      <c r="F24" s="38" t="n"/>
      <c r="G24" s="39" t="n"/>
    </row>
    <row r="25">
      <c r="A25" s="41" t="n"/>
      <c r="B25" s="42" t="n"/>
      <c r="C25" s="36" t="n"/>
      <c r="D25" s="37" t="n"/>
      <c r="E25" s="37" t="n"/>
      <c r="F25" s="38" t="n"/>
      <c r="G25" s="39" t="n"/>
    </row>
    <row r="26"/>
    <row r="27">
      <c r="A27" s="16" t="inlineStr">
        <is>
          <t>Tareas completadas:</t>
        </is>
      </c>
      <c r="D27" s="16">
        <f>COUNTIFS(B5:B25,"?*",F5:F25,"✓")</f>
        <v>0.0</v>
      </c>
      <c r="E27" s="17" t="inlineStr">
        <is>
          <t>de</t>
        </is>
      </c>
      <c r="F27" s="16">
        <f>COUNTIF(B5:B25,"?*")-COUNTIF(F5:F25,"N/A")</f>
        <v>13.0</v>
      </c>
    </row>
    <row r="28"/>
    <row r="29">
      <c r="A29" s="16" t="inlineStr">
        <is>
          <t>Verificado por:</t>
        </is>
      </c>
      <c r="B29" s="43" t="n"/>
      <c r="C29" s="25" t="n"/>
      <c r="D29" s="26" t="n"/>
      <c r="E29" s="16" t="inlineStr">
        <is>
          <t>Firma:</t>
        </is>
      </c>
      <c r="F29" s="43" t="n"/>
      <c r="G29" s="26" t="n"/>
    </row>
    <row r="30"/>
    <row r="31">
      <c r="A31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F29:G29"/>
    <mergeCell ref="A1:G1"/>
    <mergeCell ref="A15:G15"/>
    <mergeCell ref="B29:D29"/>
    <mergeCell ref="A2:G2"/>
    <mergeCell ref="A5:G5"/>
    <mergeCell ref="A27:C27"/>
  </mergeCells>
  <conditionalFormatting sqref="A5:G25">
    <cfRule type="expression" priority="1" dxfId="0">
      <formula>$F5="✓"</formula>
    </cfRule>
  </conditionalFormatting>
  <dataValidations count="1">
    <dataValidation sqref="F6 F7 F8 F9 F10 F11 F12 F13 F16 F17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Cerveza y Grifo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4" t="inlineStr">
        <is>
          <t xml:space="preserve">  Preparación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Verificar presión de CO₂ de barriles (2,5-3,0 bar)</t>
        </is>
      </c>
      <c r="C6" s="36" t="inlineStr">
        <is>
          <t>Barra</t>
        </is>
      </c>
      <c r="D6" s="37" t="inlineStr">
        <is>
          <t>Bartender</t>
        </is>
      </c>
      <c r="E6" s="37" t="inlineStr">
        <is>
          <t>16:00</t>
        </is>
      </c>
      <c r="F6" s="38" t="n"/>
      <c r="G6" s="39" t="n"/>
    </row>
    <row r="7">
      <c r="A7" s="34" t="n">
        <v>2</v>
      </c>
      <c r="B7" s="35" t="inlineStr">
        <is>
          <t>Purgar grifos: tirar primer tercio hasta que salga limpio</t>
        </is>
      </c>
      <c r="C7" s="36" t="inlineStr">
        <is>
          <t>Barra</t>
        </is>
      </c>
      <c r="D7" s="37" t="inlineStr">
        <is>
          <t>Bartender</t>
        </is>
      </c>
      <c r="E7" s="37" t="inlineStr">
        <is>
          <t>16:00</t>
        </is>
      </c>
      <c r="F7" s="38" t="n"/>
      <c r="G7" s="39" t="n"/>
    </row>
    <row r="8">
      <c r="A8" s="34" t="n">
        <v>3</v>
      </c>
      <c r="B8" s="35" t="inlineStr">
        <is>
          <t>Verificar temperatura de barriles en cámara (3-5 °C) — anota la lectura: ____ °C</t>
        </is>
      </c>
      <c r="C8" s="36" t="inlineStr">
        <is>
          <t>Barra</t>
        </is>
      </c>
      <c r="D8" s="37" t="inlineStr">
        <is>
          <t>Bartender</t>
        </is>
      </c>
      <c r="E8" s="37" t="inlineStr">
        <is>
          <t>16:00</t>
        </is>
      </c>
      <c r="F8" s="38" t="n"/>
      <c r="G8" s="39" t="n"/>
    </row>
    <row r="9">
      <c r="A9" s="34" t="n">
        <v>4</v>
      </c>
      <c r="B9" s="35" t="inlineStr">
        <is>
          <t>Verificar stock de barriles de reserva por marca</t>
        </is>
      </c>
      <c r="C9" s="36" t="inlineStr">
        <is>
          <t>Barra</t>
        </is>
      </c>
      <c r="D9" s="37" t="inlineStr">
        <is>
          <t>Bartender</t>
        </is>
      </c>
      <c r="E9" s="37" t="inlineStr">
        <is>
          <t>16:15</t>
        </is>
      </c>
      <c r="F9" s="38" t="n"/>
      <c r="G9" s="39" t="n"/>
    </row>
    <row r="10">
      <c r="A10" s="34" t="n">
        <v>5</v>
      </c>
      <c r="B10" s="35" t="inlineStr">
        <is>
          <t>Limpiar boquillas de grifo con agua caliente</t>
        </is>
      </c>
      <c r="C10" s="36" t="inlineStr">
        <is>
          <t>Barra</t>
        </is>
      </c>
      <c r="D10" s="37" t="inlineStr">
        <is>
          <t>Barback</t>
        </is>
      </c>
      <c r="E10" s="37" t="inlineStr">
        <is>
          <t>16:00</t>
        </is>
      </c>
      <c r="F10" s="38" t="n"/>
      <c r="G10" s="39" t="n"/>
    </row>
    <row r="11">
      <c r="A11" s="34" t="n">
        <v>6</v>
      </c>
      <c r="B11" s="35" t="inlineStr">
        <is>
          <t>Preparar cristalería de cerveza (congelar copas si es estilo del bar)</t>
        </is>
      </c>
      <c r="C11" s="36" t="inlineStr">
        <is>
          <t>Barra</t>
        </is>
      </c>
      <c r="D11" s="37" t="inlineStr">
        <is>
          <t>Barback</t>
        </is>
      </c>
      <c r="E11" s="37" t="inlineStr">
        <is>
          <t>16:00</t>
        </is>
      </c>
      <c r="F11" s="38" t="n"/>
      <c r="G11" s="39" t="n"/>
    </row>
    <row r="12">
      <c r="A12" s="40" t="n"/>
      <c r="B12" s="40" t="n"/>
      <c r="C12" s="40" t="n"/>
      <c r="D12" s="40" t="n"/>
      <c r="E12" s="40" t="n"/>
      <c r="F12" s="40" t="n"/>
      <c r="G12" s="40" t="n"/>
    </row>
    <row r="13">
      <c r="A13" s="45" t="inlineStr">
        <is>
          <t xml:space="preserve">  Control de Stock de Botella</t>
        </is>
      </c>
      <c r="B13" s="32" t="n"/>
      <c r="C13" s="32" t="n"/>
      <c r="D13" s="32" t="n"/>
      <c r="E13" s="32" t="n"/>
      <c r="F13" s="32" t="n"/>
      <c r="G13" s="33" t="n"/>
    </row>
    <row r="14">
      <c r="A14" s="34" t="n">
        <v>7</v>
      </c>
      <c r="B14" s="35" t="inlineStr">
        <is>
          <t>Verificar stock de cerveza en botella y lata en cámara</t>
        </is>
      </c>
      <c r="C14" s="36" t="inlineStr">
        <is>
          <t>Bodega</t>
        </is>
      </c>
      <c r="D14" s="37" t="inlineStr">
        <is>
          <t>Barback</t>
        </is>
      </c>
      <c r="E14" s="37" t="inlineStr">
        <is>
          <t>16:00</t>
        </is>
      </c>
      <c r="F14" s="38" t="n"/>
      <c r="G14" s="39" t="n"/>
    </row>
    <row r="15">
      <c r="A15" s="34" t="n">
        <v>8</v>
      </c>
      <c r="B15" s="35" t="inlineStr">
        <is>
          <t>Reponer cámara de barra con stock de bodega</t>
        </is>
      </c>
      <c r="C15" s="36" t="inlineStr">
        <is>
          <t>Bodega</t>
        </is>
      </c>
      <c r="D15" s="37" t="inlineStr">
        <is>
          <t>Barback</t>
        </is>
      </c>
      <c r="E15" s="37" t="inlineStr">
        <is>
          <t>16:15</t>
        </is>
      </c>
      <c r="F15" s="38" t="n"/>
      <c r="G15" s="39" t="n"/>
    </row>
    <row r="16">
      <c r="A16" s="34" t="n">
        <v>9</v>
      </c>
      <c r="B16" s="35" t="inlineStr">
        <is>
          <t>Verificar stock de refrescos: tónica, soda, cola, ginger ale, ginger beer</t>
        </is>
      </c>
      <c r="C16" s="36" t="inlineStr">
        <is>
          <t>Bodega</t>
        </is>
      </c>
      <c r="D16" s="37" t="inlineStr">
        <is>
          <t>Barback</t>
        </is>
      </c>
      <c r="E16" s="37" t="inlineStr">
        <is>
          <t>16:15</t>
        </is>
      </c>
      <c r="F16" s="38" t="n"/>
      <c r="G16" s="39" t="n"/>
    </row>
    <row r="17">
      <c r="A17" s="34" t="n">
        <v>10</v>
      </c>
      <c r="B17" s="35" t="inlineStr">
        <is>
          <t>Verificar stock de agua mineral y con gas</t>
        </is>
      </c>
      <c r="C17" s="36" t="inlineStr">
        <is>
          <t>Bodega</t>
        </is>
      </c>
      <c r="D17" s="37" t="inlineStr">
        <is>
          <t>Barback</t>
        </is>
      </c>
      <c r="E17" s="37" t="inlineStr">
        <is>
          <t>16:15</t>
        </is>
      </c>
      <c r="F17" s="38" t="n"/>
      <c r="G17" s="39" t="n"/>
    </row>
    <row r="18">
      <c r="A18" s="41" t="n"/>
      <c r="B18" s="42" t="n"/>
      <c r="C18" s="36" t="n"/>
      <c r="D18" s="37" t="n"/>
      <c r="E18" s="37" t="n"/>
      <c r="F18" s="38" t="n"/>
      <c r="G18" s="39" t="n"/>
    </row>
    <row r="19">
      <c r="A19" s="41" t="n"/>
      <c r="B19" s="42" t="n"/>
      <c r="C19" s="36" t="n"/>
      <c r="D19" s="37" t="n"/>
      <c r="E19" s="37" t="n"/>
      <c r="F19" s="38" t="n"/>
      <c r="G19" s="39" t="n"/>
    </row>
    <row r="20">
      <c r="A20" s="41" t="n"/>
      <c r="B20" s="42" t="n"/>
      <c r="C20" s="36" t="n"/>
      <c r="D20" s="37" t="n"/>
      <c r="E20" s="37" t="n"/>
      <c r="F20" s="38" t="n"/>
      <c r="G20" s="39" t="n"/>
    </row>
    <row r="21">
      <c r="A21" s="41" t="n"/>
      <c r="B21" s="42" t="n"/>
      <c r="C21" s="36" t="n"/>
      <c r="D21" s="37" t="n"/>
      <c r="E21" s="37" t="n"/>
      <c r="F21" s="38" t="n"/>
      <c r="G21" s="39" t="n"/>
    </row>
    <row r="22">
      <c r="A22" s="41" t="n"/>
      <c r="B22" s="42" t="n"/>
      <c r="C22" s="36" t="n"/>
      <c r="D22" s="37" t="n"/>
      <c r="E22" s="37" t="n"/>
      <c r="F22" s="38" t="n"/>
      <c r="G22" s="39" t="n"/>
    </row>
    <row r="23"/>
    <row r="24">
      <c r="A24" s="16" t="inlineStr">
        <is>
          <t>Tareas completadas:</t>
        </is>
      </c>
      <c r="D24" s="16">
        <f>COUNTIFS(B5:B22,"?*",F5:F22,"✓")</f>
        <v>0.0</v>
      </c>
      <c r="E24" s="17" t="inlineStr">
        <is>
          <t>de</t>
        </is>
      </c>
      <c r="F24" s="16">
        <f>COUNTIF(B5:B22,"?*")-COUNTIF(F5:F22,"N/A")</f>
        <v>10.0</v>
      </c>
    </row>
    <row r="25"/>
    <row r="26">
      <c r="A26" s="16" t="inlineStr">
        <is>
          <t>Verificado por:</t>
        </is>
      </c>
      <c r="B26" s="43" t="n"/>
      <c r="C26" s="25" t="n"/>
      <c r="D26" s="26" t="n"/>
      <c r="E26" s="16" t="inlineStr">
        <is>
          <t>Firma:</t>
        </is>
      </c>
      <c r="F26" s="43" t="n"/>
      <c r="G26" s="26" t="n"/>
    </row>
    <row r="27"/>
    <row r="28">
      <c r="A28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13:G13"/>
    <mergeCell ref="B26:D26"/>
    <mergeCell ref="A2:G2"/>
    <mergeCell ref="A24:C24"/>
    <mergeCell ref="A5:G5"/>
    <mergeCell ref="F26:G26"/>
  </mergeCells>
  <conditionalFormatting sqref="A5:G22">
    <cfRule type="expression" priority="1" dxfId="0">
      <formula>$F5="✓"</formula>
    </cfRule>
  </conditionalFormatting>
  <dataValidations count="1">
    <dataValidation sqref="F6 F7 F8 F9 F10 F11 F14 F15 F16 F17 F18 F19 F20 F21 F2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Vinos por Copa y Bodega</t>
        </is>
      </c>
    </row>
    <row r="2">
      <c r="A2" s="5" t="inlineStr">
        <is>
          <t>Mes: ________________   Año: 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Cadencia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5" t="inlineStr">
        <is>
          <t xml:space="preserve">  Vinos por Copa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Verificar vinos abiertos por copa (blancos y rosados en cámara a 8-10 °C)</t>
        </is>
      </c>
      <c r="C6" s="36" t="inlineStr">
        <is>
          <t>Bodega</t>
        </is>
      </c>
      <c r="D6" s="37" t="inlineStr">
        <is>
          <t>Bartender</t>
        </is>
      </c>
      <c r="E6" s="37" t="inlineStr">
        <is>
          <t>16:00</t>
        </is>
      </c>
      <c r="F6" s="38" t="n"/>
      <c r="G6" s="39" t="n"/>
    </row>
    <row r="7">
      <c r="A7" s="34" t="n">
        <v>2</v>
      </c>
      <c r="B7" s="35" t="inlineStr">
        <is>
          <t>Verificar vinos tintos abiertos (temperatura ambiente o 16-18 °C)</t>
        </is>
      </c>
      <c r="C7" s="36" t="inlineStr">
        <is>
          <t>Bodega</t>
        </is>
      </c>
      <c r="D7" s="37" t="inlineStr">
        <is>
          <t>Bartender</t>
        </is>
      </c>
      <c r="E7" s="37" t="inlineStr">
        <is>
          <t>16:00</t>
        </is>
      </c>
      <c r="F7" s="38" t="n"/>
      <c r="G7" s="39" t="n"/>
    </row>
    <row r="8">
      <c r="A8" s="34" t="n">
        <v>3</v>
      </c>
      <c r="B8" s="35" t="inlineStr">
        <is>
          <t>Comprobar que ningún vino abierto tiene más de 3 días (oler, probar)</t>
        </is>
      </c>
      <c r="C8" s="36" t="inlineStr">
        <is>
          <t>Bodega</t>
        </is>
      </c>
      <c r="D8" s="37" t="inlineStr">
        <is>
          <t>Bartender</t>
        </is>
      </c>
      <c r="E8" s="37" t="inlineStr">
        <is>
          <t>16:00</t>
        </is>
      </c>
      <c r="F8" s="38" t="n"/>
      <c r="G8" s="39" t="n"/>
    </row>
    <row r="9">
      <c r="A9" s="34" t="n">
        <v>4</v>
      </c>
      <c r="B9" s="35" t="inlineStr">
        <is>
          <t>Abrir botellas nuevas si quedan menos de 2 copas de algún vino</t>
        </is>
      </c>
      <c r="C9" s="36" t="inlineStr">
        <is>
          <t>Bodega</t>
        </is>
      </c>
      <c r="D9" s="37" t="inlineStr">
        <is>
          <t>Bartender</t>
        </is>
      </c>
      <c r="E9" s="37" t="inlineStr">
        <is>
          <t>16:15</t>
        </is>
      </c>
      <c r="F9" s="38" t="n"/>
      <c r="G9" s="39" t="n"/>
    </row>
    <row r="10">
      <c r="A10" s="34" t="n">
        <v>5</v>
      </c>
      <c r="B10" s="35" t="inlineStr">
        <is>
          <t>Actualizar pizarra de vinos por copa (si cambió alguno)</t>
        </is>
      </c>
      <c r="C10" s="36" t="inlineStr">
        <is>
          <t>Bodega</t>
        </is>
      </c>
      <c r="D10" s="37" t="inlineStr">
        <is>
          <t>Bartender</t>
        </is>
      </c>
      <c r="E10" s="37" t="inlineStr">
        <is>
          <t>16:30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5" t="inlineStr">
        <is>
          <t xml:space="preserve">  Bodega y Reservas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Verificar temperatura de bodega / vinoteca (12-16 °C)</t>
        </is>
      </c>
      <c r="C13" s="36" t="inlineStr">
        <is>
          <t>Bodega</t>
        </is>
      </c>
      <c r="D13" s="37" t="inlineStr">
        <is>
          <t>Bartender</t>
        </is>
      </c>
      <c r="E13" s="37" t="inlineStr">
        <is>
          <t>16:00</t>
        </is>
      </c>
      <c r="F13" s="38" t="n"/>
      <c r="G13" s="39" t="n"/>
    </row>
    <row r="14">
      <c r="A14" s="34" t="n">
        <v>7</v>
      </c>
      <c r="B14" s="35" t="inlineStr">
        <is>
          <t>Revisar stock de vinos de carta (marcar los agotados)</t>
        </is>
      </c>
      <c r="C14" s="36" t="inlineStr">
        <is>
          <t>Bodega</t>
        </is>
      </c>
      <c r="D14" s="37" t="inlineStr">
        <is>
          <t>Bartender</t>
        </is>
      </c>
      <c r="E14" s="37" t="inlineStr">
        <is>
          <t>Semanal</t>
        </is>
      </c>
      <c r="F14" s="38" t="n"/>
      <c r="G14" s="39" t="n"/>
    </row>
    <row r="15">
      <c r="A15" s="34" t="n">
        <v>8</v>
      </c>
      <c r="B15" s="35" t="inlineStr">
        <is>
          <t>Organizar botellas por zona/denominación</t>
        </is>
      </c>
      <c r="C15" s="36" t="inlineStr">
        <is>
          <t>Bodega</t>
        </is>
      </c>
      <c r="D15" s="37" t="inlineStr">
        <is>
          <t>Barback</t>
        </is>
      </c>
      <c r="E15" s="37" t="inlineStr">
        <is>
          <t>Semanal</t>
        </is>
      </c>
      <c r="F15" s="38" t="n"/>
      <c r="G15" s="39" t="n"/>
    </row>
    <row r="16">
      <c r="A16" s="34" t="n">
        <v>9</v>
      </c>
      <c r="B16" s="35" t="inlineStr">
        <is>
          <t>Revisar estado de vinos especiales / añadas</t>
        </is>
      </c>
      <c r="C16" s="36" t="inlineStr">
        <is>
          <t>Bodega</t>
        </is>
      </c>
      <c r="D16" s="37" t="inlineStr">
        <is>
          <t>Head Bartender</t>
        </is>
      </c>
      <c r="E16" s="37" t="inlineStr">
        <is>
          <t>Mensual</t>
        </is>
      </c>
      <c r="F16" s="38" t="n"/>
      <c r="G16" s="39" t="n"/>
    </row>
    <row r="17">
      <c r="A17" s="41" t="n"/>
      <c r="B17" s="42" t="n"/>
      <c r="C17" s="36" t="n"/>
      <c r="D17" s="37" t="n"/>
      <c r="E17" s="37" t="n"/>
      <c r="F17" s="38" t="n"/>
      <c r="G17" s="39" t="n"/>
    </row>
    <row r="18">
      <c r="A18" s="41" t="n"/>
      <c r="B18" s="42" t="n"/>
      <c r="C18" s="36" t="n"/>
      <c r="D18" s="37" t="n"/>
      <c r="E18" s="37" t="n"/>
      <c r="F18" s="38" t="n"/>
      <c r="G18" s="39" t="n"/>
    </row>
    <row r="19">
      <c r="A19" s="41" t="n"/>
      <c r="B19" s="42" t="n"/>
      <c r="C19" s="36" t="n"/>
      <c r="D19" s="37" t="n"/>
      <c r="E19" s="37" t="n"/>
      <c r="F19" s="38" t="n"/>
      <c r="G19" s="39" t="n"/>
    </row>
    <row r="20">
      <c r="A20" s="41" t="n"/>
      <c r="B20" s="42" t="n"/>
      <c r="C20" s="36" t="n"/>
      <c r="D20" s="37" t="n"/>
      <c r="E20" s="37" t="n"/>
      <c r="F20" s="38" t="n"/>
      <c r="G20" s="39" t="n"/>
    </row>
    <row r="21">
      <c r="A21" s="41" t="n"/>
      <c r="B21" s="42" t="n"/>
      <c r="C21" s="36" t="n"/>
      <c r="D21" s="37" t="n"/>
      <c r="E21" s="37" t="n"/>
      <c r="F21" s="38" t="n"/>
      <c r="G21" s="39" t="n"/>
    </row>
    <row r="22"/>
    <row r="23">
      <c r="A23" s="16" t="inlineStr">
        <is>
          <t>Tareas completadas:</t>
        </is>
      </c>
      <c r="D23" s="16">
        <f>COUNTIFS(B5:B21,"?*",F5:F21,"✓")</f>
        <v>0.0</v>
      </c>
      <c r="E23" s="17" t="inlineStr">
        <is>
          <t>de</t>
        </is>
      </c>
      <c r="F23" s="16">
        <f>COUNTIF(B5:B21,"?*")-COUNTIF(F5:F21,"N/A")</f>
        <v>9.0</v>
      </c>
    </row>
    <row r="24"/>
    <row r="25">
      <c r="A25" s="16" t="inlineStr">
        <is>
          <t>Verificado por:</t>
        </is>
      </c>
      <c r="B25" s="43" t="n"/>
      <c r="C25" s="25" t="n"/>
      <c r="D25" s="26" t="n"/>
      <c r="E25" s="16" t="inlineStr">
        <is>
          <t>Firma:</t>
        </is>
      </c>
      <c r="F25" s="43" t="n"/>
      <c r="G25" s="26" t="n"/>
    </row>
    <row r="26"/>
    <row r="27">
      <c r="A27" s="18" t="inlineStr">
        <is>
          <t>— Kit de Tareas Recurrentes · Bar / Cocktails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2:G12"/>
    <mergeCell ref="A1:G1"/>
    <mergeCell ref="A2:G2"/>
    <mergeCell ref="A23:C23"/>
    <mergeCell ref="F25:G25"/>
    <mergeCell ref="A5:G5"/>
    <mergeCell ref="B25:D25"/>
  </mergeCells>
  <conditionalFormatting sqref="A5:G21">
    <cfRule type="expression" priority="1" dxfId="0">
      <formula>$F5="✓"</formula>
    </cfRule>
  </conditionalFormatting>
  <dataValidations count="1">
    <dataValidation sqref="F6 F7 F8 F9 F10 F13 F14 F15 F16 F17 F18 F19 F20 F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— Partidas de Barra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2026-08-23T15:39:30Z</dcterms:modified>
  <cp:lastModifiedBy>AI Chef Pro</cp:lastModifiedBy>
  <cp:category>AI Chef Pro · Productos digitales</cp:category>
  <cp:keywords>kit tareas bar, AI Chef Pro</cp:keywords>
</cp:coreProperties>
</file>