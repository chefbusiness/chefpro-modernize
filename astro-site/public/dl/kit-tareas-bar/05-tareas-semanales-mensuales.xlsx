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Limpieza Semanal" sheetId="2" state="visible" r:id="rId2"/>
    <sheet xmlns:r="http://schemas.openxmlformats.org/officeDocument/2006/relationships" name="Mantenimiento Mensual" sheetId="3" state="visible" r:id="rId3"/>
    <sheet xmlns:r="http://schemas.openxmlformats.org/officeDocument/2006/relationships" name="Inventario" sheetId="4" state="visible" r:id="rId4"/>
    <sheet xmlns:r="http://schemas.openxmlformats.org/officeDocument/2006/relationships" name="Trimestral y Anual" sheetId="5" state="visible" r:id="rId5"/>
  </sheets>
  <definedNames>
    <definedName name="_xlnm.Print_Area" localSheetId="0">'Instrucciones'!$A$1:$B$45</definedName>
    <definedName name="_xlnm.Print_Titles" localSheetId="1">'Limpieza Semanal'!$4:$4</definedName>
    <definedName name="_xlnm.Print_Area" localSheetId="1">'Limpieza Semanal'!$A$1:$G$35</definedName>
    <definedName name="_xlnm.Print_Titles" localSheetId="2">'Mantenimiento Mensual'!$4:$4</definedName>
    <definedName name="_xlnm.Print_Area" localSheetId="2">'Mantenimiento Mensual'!$A$1:$G$31</definedName>
    <definedName name="_xlnm.Print_Titles" localSheetId="3">'Inventario'!$4:$4</definedName>
    <definedName name="_xlnm.Print_Area" localSheetId="3">'Inventario'!$A$1:$G$48</definedName>
    <definedName name="_xlnm.Print_Titles" localSheetId="4">'Trimestral y Anual'!$4:$4</definedName>
    <definedName name="_xlnm.Print_Area" localSheetId="4">'Trimestral y Anual'!$A$1:$G$32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EFEBE9"/>
        <bgColor rgb="00EFEBE9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7" fillId="6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7" fillId="7" borderId="1" pivotButton="0" quotePrefix="0" xfId="0"/>
    <xf numFmtId="0" fontId="0" fillId="7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3" borderId="1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8" borderId="1" applyAlignment="1" applyProtection="1" pivotButton="0" quotePrefix="0" xfId="0">
      <alignment horizontal="center" vertical="center" wrapText="1"/>
      <protection locked="0" hidden="0"/>
    </xf>
    <xf numFmtId="0" fontId="9" fillId="8" borderId="1" applyAlignment="1" applyProtection="1" pivotButton="0" quotePrefix="0" xfId="0">
      <alignment horizontal="center" vertical="center" wrapText="1"/>
      <protection locked="0" hidden="0"/>
    </xf>
    <xf numFmtId="0" fontId="0" fillId="8" borderId="1" applyAlignment="1" applyProtection="1" pivotButton="0" quotePrefix="0" xfId="0">
      <alignment horizontal="center" vertical="center" wrapText="1"/>
      <protection locked="0" hidden="0"/>
    </xf>
    <xf numFmtId="0" fontId="0" fillId="8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8" borderId="1" applyAlignment="1" applyProtection="1" pivotButton="0" quotePrefix="0" xfId="0">
      <alignment horizontal="center" vertical="center"/>
      <protection locked="0" hidden="0"/>
    </xf>
    <xf numFmtId="0" fontId="9" fillId="8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0" fontId="7" fillId="5" borderId="1" applyProtection="1" pivotButton="0" quotePrefix="0" xfId="0">
      <protection locked="0" hidden="0"/>
    </xf>
    <xf numFmtId="0" fontId="7" fillId="6" borderId="1" applyProtection="1" pivotButton="0" quotePrefix="0" xfId="0">
      <protection locked="0" hidden="0"/>
    </xf>
    <xf numFmtId="0" fontId="7" fillId="7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45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31" t="inlineStr">
        <is>
          <t>05 — Semanales y Mensuales · Bar / Cocktails</t>
        </is>
      </c>
    </row>
    <row r="3"/>
    <row r="4" ht="18" customHeight="1">
      <c r="B4" s="32" t="inlineStr">
        <is>
          <t>Tareas de frecuencia semanal o mensual.</t>
        </is>
      </c>
    </row>
    <row r="5">
      <c r="B5" s="3" t="n"/>
    </row>
    <row r="6" ht="16" customHeight="1">
      <c r="B6" s="33" t="inlineStr">
        <is>
          <t>▸ Limpieza profunda por zona</t>
        </is>
      </c>
    </row>
    <row r="7" ht="16" customHeight="1">
      <c r="B7" s="33" t="inlineStr">
        <is>
          <t>▸ Mantenimiento de equipos</t>
        </is>
      </c>
    </row>
    <row r="8" ht="16" customHeight="1">
      <c r="B8" s="33" t="inlineStr">
        <is>
          <t>▸ Inventario y control de stock</t>
        </is>
      </c>
    </row>
    <row r="9">
      <c r="B9" s="3" t="n"/>
    </row>
    <row r="10" ht="18" customHeight="1">
      <c r="B10" s="32" t="inlineStr">
        <is>
          <t>Trimestral, anual y vida útil del producto abierto</t>
        </is>
      </c>
    </row>
    <row r="11">
      <c r="B11" s="3" t="n"/>
    </row>
    <row r="12" ht="48" customHeight="1">
      <c r="B12" s="33" t="inlineStr">
        <is>
          <t>▸ La hoja «Trimestral y Anual» recoge el mantenimiento que se CONTRATA y que se pide en una inspección: DDD, extintores y BIE, conductos de extracción, instalación de gas, frigorista, legionela, limitador acústico, licencia de terraza, seguro y facturación.</t>
        </is>
      </c>
    </row>
    <row r="13" ht="32" customHeight="1">
      <c r="B13" s="33" t="inlineStr">
        <is>
          <t>▸ Anota el número de parte en la columna verde y firma cuando la empresa haya venido; la última tarea de la hoja es apuntar la fecha de la próxima revisión de cada contrato.</t>
        </is>
      </c>
    </row>
    <row r="14" ht="48" customHeight="1">
      <c r="B14" s="33" t="inlineStr">
        <is>
          <t>▸ Al pie de «Inventario» tienes una tabla editable con la vida útil del producto abierto y elaborado de la barra: zumos, jarabes, batches, vermut abierto y barril conectado. Son cifras orientativas — ajústalas a tu producto y a tu rotación.</t>
        </is>
      </c>
    </row>
    <row r="15"/>
    <row r="16" ht="18" customHeight="1">
      <c r="B16" s="32" t="inlineStr">
        <is>
          <t>Cómo cuenta el contador</t>
        </is>
      </c>
    </row>
    <row r="18" ht="32" customHeight="1">
      <c r="B18" s="33" t="inlineStr">
        <is>
          <t>▸ Marca con ✓ en la columna «✓ Completada» (desplegable): es la que cuenta el total de tareas completadas.</t>
        </is>
      </c>
    </row>
    <row r="19" ht="32" customHeight="1">
      <c r="B19" s="33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20" ht="32" customHeight="1">
      <c r="B20" s="33" t="inlineStr">
        <is>
          <t>▸ El denominador cuenta las tareas escritas en la columna «Tarea», no un número fijo: si añades o borras tareas, el total se ajusta solo.</t>
        </is>
      </c>
    </row>
    <row r="22" ht="18" customHeight="1">
      <c r="B22" s="32" t="inlineStr">
        <is>
          <t>Filas libres</t>
        </is>
      </c>
    </row>
    <row r="24" ht="32" customHeight="1">
      <c r="B24" s="33" t="inlineStr">
        <is>
          <t>▸ Al final de cada tabla hay 5 filas verdes libres DENTRO del rango que cuenta el contador: escribe ahí tus tareas propias.</t>
        </is>
      </c>
    </row>
    <row r="25" ht="32" customHeight="1">
      <c r="B25" s="33" t="inlineStr">
        <is>
          <t>▸ Si necesitas más, inserta filas DENTRO de la tabla (clic derecho → Insertar), nunca por debajo de la última: lo que se escriba fuera del rango no lo cuenta nadie.</t>
        </is>
      </c>
    </row>
    <row r="27" ht="18" customHeight="1">
      <c r="B27" s="32" t="inlineStr">
        <is>
          <t>Protección de la hoja</t>
        </is>
      </c>
    </row>
    <row r="29" ht="32" customHeight="1">
      <c r="B29" s="33" t="inlineStr">
        <is>
          <t>▸ Las hojas con fórmulas van protegidas SIN contraseña: las celdas de entrada (las verdes) están desbloqueadas y los cálculos no se pisan por accidente.</t>
        </is>
      </c>
    </row>
    <row r="30" ht="32" customHeight="1">
      <c r="B30" s="33" t="inlineStr">
        <is>
          <t>▸ Puedes insertar y borrar filas con la protección puesta. Para cambiar la estructura: Revisar → Desproteger hoja.</t>
        </is>
      </c>
    </row>
    <row r="32" ht="18" customHeight="1">
      <c r="B32" s="32" t="inlineStr">
        <is>
          <t>Se conecta con</t>
        </is>
      </c>
    </row>
    <row r="34" ht="16" customHeight="1">
      <c r="B34" s="33" t="inlineStr">
        <is>
          <t>▸ 08-apertura-cierre-negocio.xlsx — checklist del LOCAL completo: es el MARCO del día.</t>
        </is>
      </c>
    </row>
    <row r="35" ht="16" customHeight="1">
      <c r="B35" s="33" t="inlineStr">
        <is>
          <t>▸ 01-apertura-cierre.xlsx — el mismo día con el DETALLE por área (barra).</t>
        </is>
      </c>
    </row>
    <row r="36" ht="16" customHeight="1">
      <c r="B36" s="33" t="inlineStr">
        <is>
          <t>▸ 09-apertura-cierre-caja.xlsx — la CAJA: fondo, recuento por denominaciones, Z del TPV y descuadre.</t>
        </is>
      </c>
    </row>
    <row r="37" ht="48" customHeight="1">
      <c r="B37" s="33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38" ht="32" customHeight="1">
      <c r="B38" s="33" t="inlineStr">
        <is>
          <t>▸ Estás en 05-tareas-semanales-mensuales.xlsx: es una capa MÁS, no una repetición — el marco del día está en 08-apertura-cierre-negocio.xlsx y 01-apertura-cierre.xlsx.</t>
        </is>
      </c>
    </row>
    <row r="40" ht="18" customHeight="1">
      <c r="B40" s="32" t="inlineStr">
        <is>
          <t>— Kit de Tareas Recurrentes · Bar / Cocktails · AI Chef Pro · aichef.pro</t>
        </is>
      </c>
    </row>
    <row r="42" ht="35" customHeight="1">
      <c r="B42" s="32" t="inlineStr">
        <is>
          <t>Diseñado por John Guerrero — chef y consultor gastronómico desde 2010, en cocina desde los 17 años · johnguerrero.es</t>
        </is>
      </c>
    </row>
    <row r="43" ht="18" customHeight="1">
      <c r="B43" s="32" t="inlineStr">
        <is>
          <t>Contacto: info@aichef.pro</t>
        </is>
      </c>
    </row>
    <row r="45" ht="18" customHeight="1">
      <c r="B45" s="32" t="inlineStr">
        <is>
          <t>Versión 2.0 · agosto 2026 · aichef.pro/kit-tareas-bar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91E63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Limpieza Profunda Semanal</t>
        </is>
      </c>
    </row>
    <row r="2">
      <c r="A2" s="5" t="inlineStr">
        <is>
          <t>Semana del ___/___/______ al ___/___/______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Día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34" t="inlineStr">
        <is>
          <t xml:space="preserve">  Barra y Coctelería</t>
        </is>
      </c>
      <c r="B5" s="35" t="n"/>
      <c r="C5" s="35" t="n"/>
      <c r="D5" s="35" t="n"/>
      <c r="E5" s="35" t="n"/>
      <c r="F5" s="35" t="n"/>
      <c r="G5" s="36" t="n"/>
    </row>
    <row r="6">
      <c r="A6" s="37" t="n">
        <v>1</v>
      </c>
      <c r="B6" s="38" t="inlineStr">
        <is>
          <t>Limpiar interior de todas las cámaras de barra</t>
        </is>
      </c>
      <c r="C6" s="39" t="inlineStr">
        <is>
          <t>Limpieza</t>
        </is>
      </c>
      <c r="D6" s="40" t="inlineStr">
        <is>
          <t>Barback</t>
        </is>
      </c>
      <c r="E6" s="40" t="inlineStr">
        <is>
          <t>Lunes</t>
        </is>
      </c>
      <c r="F6" s="41" t="n"/>
      <c r="G6" s="42" t="n"/>
    </row>
    <row r="7">
      <c r="A7" s="37" t="n">
        <v>2</v>
      </c>
      <c r="B7" s="38" t="inlineStr">
        <is>
          <t>Limpiar grifos de cerveza con producto específico</t>
        </is>
      </c>
      <c r="C7" s="39" t="inlineStr">
        <is>
          <t>Limpieza</t>
        </is>
      </c>
      <c r="D7" s="40" t="inlineStr">
        <is>
          <t>Barback</t>
        </is>
      </c>
      <c r="E7" s="40" t="inlineStr">
        <is>
          <t>Lunes</t>
        </is>
      </c>
      <c r="F7" s="41" t="n"/>
      <c r="G7" s="42" t="n"/>
    </row>
    <row r="8">
      <c r="A8" s="37" t="n">
        <v>3</v>
      </c>
      <c r="B8" s="38" t="inlineStr">
        <is>
          <t>Limpiar interior de lavavajillas de barra</t>
        </is>
      </c>
      <c r="C8" s="39" t="inlineStr">
        <is>
          <t>Limpieza</t>
        </is>
      </c>
      <c r="D8" s="40" t="inlineStr">
        <is>
          <t>Barback</t>
        </is>
      </c>
      <c r="E8" s="40" t="inlineStr">
        <is>
          <t>Lunes</t>
        </is>
      </c>
      <c r="F8" s="41" t="n"/>
      <c r="G8" s="42" t="n"/>
    </row>
    <row r="9">
      <c r="A9" s="37" t="n">
        <v>4</v>
      </c>
      <c r="B9" s="38" t="inlineStr">
        <is>
          <t>Limpiar estanterías de botellas (polvo, derrames)</t>
        </is>
      </c>
      <c r="C9" s="39" t="inlineStr">
        <is>
          <t>Limpieza</t>
        </is>
      </c>
      <c r="D9" s="40" t="inlineStr">
        <is>
          <t>Barback</t>
        </is>
      </c>
      <c r="E9" s="40" t="inlineStr">
        <is>
          <t>Martes</t>
        </is>
      </c>
      <c r="F9" s="41" t="n"/>
      <c r="G9" s="42" t="n"/>
    </row>
    <row r="10">
      <c r="A10" s="37" t="n">
        <v>5</v>
      </c>
      <c r="B10" s="38" t="inlineStr">
        <is>
          <t>Limpiar speed rail y pouring spouts</t>
        </is>
      </c>
      <c r="C10" s="39" t="inlineStr">
        <is>
          <t>Limpieza</t>
        </is>
      </c>
      <c r="D10" s="40" t="inlineStr">
        <is>
          <t>Barback</t>
        </is>
      </c>
      <c r="E10" s="40" t="inlineStr">
        <is>
          <t>Martes</t>
        </is>
      </c>
      <c r="F10" s="41" t="n"/>
      <c r="G10" s="42" t="n"/>
    </row>
    <row r="11">
      <c r="A11" s="37" t="n">
        <v>6</v>
      </c>
      <c r="B11" s="38" t="inlineStr">
        <is>
          <t>Limpiar espejo y cristales de barra</t>
        </is>
      </c>
      <c r="C11" s="39" t="inlineStr">
        <is>
          <t>Limpieza</t>
        </is>
      </c>
      <c r="D11" s="40" t="inlineStr">
        <is>
          <t>Barback</t>
        </is>
      </c>
      <c r="E11" s="40" t="inlineStr">
        <is>
          <t>Miércoles</t>
        </is>
      </c>
      <c r="F11" s="41" t="n"/>
      <c r="G11" s="42" t="n"/>
    </row>
    <row r="12">
      <c r="A12" s="37" t="n">
        <v>7</v>
      </c>
      <c r="B12" s="38" t="inlineStr">
        <is>
          <t>Fregar suelo detrás de barra con desengrasante</t>
        </is>
      </c>
      <c r="C12" s="39" t="inlineStr">
        <is>
          <t>Limpieza</t>
        </is>
      </c>
      <c r="D12" s="40" t="inlineStr">
        <is>
          <t>Barback</t>
        </is>
      </c>
      <c r="E12" s="40" t="inlineStr">
        <is>
          <t>Jueves</t>
        </is>
      </c>
      <c r="F12" s="41" t="n"/>
      <c r="G12" s="42" t="n"/>
    </row>
    <row r="13">
      <c r="A13" s="37" t="n">
        <v>8</v>
      </c>
      <c r="B13" s="38" t="inlineStr">
        <is>
          <t>Limpiar campana extractora (si hay cocina de barra)</t>
        </is>
      </c>
      <c r="C13" s="39" t="inlineStr">
        <is>
          <t>Limpieza</t>
        </is>
      </c>
      <c r="D13" s="40" t="inlineStr">
        <is>
          <t>Barback</t>
        </is>
      </c>
      <c r="E13" s="40" t="inlineStr">
        <is>
          <t>Viernes</t>
        </is>
      </c>
      <c r="F13" s="41" t="n"/>
      <c r="G13" s="42" t="n"/>
    </row>
    <row r="14">
      <c r="A14" s="43" t="n"/>
      <c r="B14" s="43" t="n"/>
      <c r="C14" s="43" t="n"/>
      <c r="D14" s="43" t="n"/>
      <c r="E14" s="43" t="n"/>
      <c r="F14" s="43" t="n"/>
      <c r="G14" s="43" t="n"/>
    </row>
    <row r="15">
      <c r="A15" s="34" t="inlineStr">
        <is>
          <t xml:space="preserve">  Sala y Terraza</t>
        </is>
      </c>
      <c r="B15" s="35" t="n"/>
      <c r="C15" s="35" t="n"/>
      <c r="D15" s="35" t="n"/>
      <c r="E15" s="35" t="n"/>
      <c r="F15" s="35" t="n"/>
      <c r="G15" s="36" t="n"/>
    </row>
    <row r="16">
      <c r="A16" s="37" t="n">
        <v>9</v>
      </c>
      <c r="B16" s="38" t="inlineStr">
        <is>
          <t>Limpiar tapicería de taburetes y sillas</t>
        </is>
      </c>
      <c r="C16" s="39" t="inlineStr">
        <is>
          <t>Limpieza</t>
        </is>
      </c>
      <c r="D16" s="40" t="inlineStr">
        <is>
          <t>Barback</t>
        </is>
      </c>
      <c r="E16" s="40" t="inlineStr">
        <is>
          <t>Miércoles</t>
        </is>
      </c>
      <c r="F16" s="41" t="n"/>
      <c r="G16" s="42" t="n"/>
    </row>
    <row r="17">
      <c r="A17" s="37" t="n">
        <v>10</v>
      </c>
      <c r="B17" s="38" t="inlineStr">
        <is>
          <t>Limpiar mesas a fondo (patas, base)</t>
        </is>
      </c>
      <c r="C17" s="39" t="inlineStr">
        <is>
          <t>Limpieza</t>
        </is>
      </c>
      <c r="D17" s="40" t="inlineStr">
        <is>
          <t>Barback</t>
        </is>
      </c>
      <c r="E17" s="40" t="inlineStr">
        <is>
          <t>Miércoles</t>
        </is>
      </c>
      <c r="F17" s="41" t="n"/>
      <c r="G17" s="42" t="n"/>
    </row>
    <row r="18">
      <c r="A18" s="37" t="n">
        <v>11</v>
      </c>
      <c r="B18" s="38" t="inlineStr">
        <is>
          <t>Limpiar cristales y espejos de sala</t>
        </is>
      </c>
      <c r="C18" s="39" t="inlineStr">
        <is>
          <t>Limpieza</t>
        </is>
      </c>
      <c r="D18" s="40" t="inlineStr">
        <is>
          <t>Barback</t>
        </is>
      </c>
      <c r="E18" s="40" t="inlineStr">
        <is>
          <t>Jueves</t>
        </is>
      </c>
      <c r="F18" s="41" t="n"/>
      <c r="G18" s="42" t="n"/>
    </row>
    <row r="19">
      <c r="A19" s="37" t="n">
        <v>12</v>
      </c>
      <c r="B19" s="38" t="inlineStr">
        <is>
          <t>Limpiar mobiliario de terraza a fondo</t>
        </is>
      </c>
      <c r="C19" s="39" t="inlineStr">
        <is>
          <t>Limpieza</t>
        </is>
      </c>
      <c r="D19" s="40" t="inlineStr">
        <is>
          <t>Barback</t>
        </is>
      </c>
      <c r="E19" s="40" t="inlineStr">
        <is>
          <t>Viernes</t>
        </is>
      </c>
      <c r="F19" s="41" t="n"/>
      <c r="G19" s="42" t="n"/>
    </row>
    <row r="20">
      <c r="A20" s="43" t="n"/>
      <c r="B20" s="43" t="n"/>
      <c r="C20" s="43" t="n"/>
      <c r="D20" s="43" t="n"/>
      <c r="E20" s="43" t="n"/>
      <c r="F20" s="43" t="n"/>
      <c r="G20" s="43" t="n"/>
    </row>
    <row r="21">
      <c r="A21" s="34" t="inlineStr">
        <is>
          <t xml:space="preserve">  Baños</t>
        </is>
      </c>
      <c r="B21" s="35" t="n"/>
      <c r="C21" s="35" t="n"/>
      <c r="D21" s="35" t="n"/>
      <c r="E21" s="35" t="n"/>
      <c r="F21" s="35" t="n"/>
      <c r="G21" s="36" t="n"/>
    </row>
    <row r="22">
      <c r="A22" s="37" t="n">
        <v>13</v>
      </c>
      <c r="B22" s="38" t="inlineStr">
        <is>
          <t>Limpieza profunda de baños (suelos, sanitarios, espejos)</t>
        </is>
      </c>
      <c r="C22" s="39" t="inlineStr">
        <is>
          <t>Limpieza</t>
        </is>
      </c>
      <c r="D22" s="40" t="inlineStr">
        <is>
          <t>Barback</t>
        </is>
      </c>
      <c r="E22" s="40" t="inlineStr">
        <is>
          <t>Lunes</t>
        </is>
      </c>
      <c r="F22" s="41" t="n"/>
      <c r="G22" s="42" t="n"/>
    </row>
    <row r="23">
      <c r="A23" s="37" t="n">
        <v>14</v>
      </c>
      <c r="B23" s="38" t="inlineStr">
        <is>
          <t>Verificar funcionamiento de cisternas y grifos</t>
        </is>
      </c>
      <c r="C23" s="39" t="inlineStr">
        <is>
          <t>Limpieza</t>
        </is>
      </c>
      <c r="D23" s="40" t="inlineStr">
        <is>
          <t>Manager</t>
        </is>
      </c>
      <c r="E23" s="40" t="inlineStr">
        <is>
          <t>Lunes</t>
        </is>
      </c>
      <c r="F23" s="41" t="n"/>
      <c r="G23" s="42" t="n"/>
    </row>
    <row r="24">
      <c r="A24" s="37" t="n">
        <v>15</v>
      </c>
      <c r="B24" s="38" t="inlineStr">
        <is>
          <t>Reponer dispensadores de jabón y papel</t>
        </is>
      </c>
      <c r="C24" s="39" t="inlineStr">
        <is>
          <t>Limpieza</t>
        </is>
      </c>
      <c r="D24" s="40" t="inlineStr">
        <is>
          <t>Barback</t>
        </is>
      </c>
      <c r="E24" s="40" t="inlineStr">
        <is>
          <t>Lunes</t>
        </is>
      </c>
      <c r="F24" s="41" t="n"/>
      <c r="G24" s="42" t="n"/>
    </row>
    <row r="25">
      <c r="A25" s="44" t="n"/>
      <c r="B25" s="45" t="n"/>
      <c r="C25" s="39" t="n"/>
      <c r="D25" s="40" t="n"/>
      <c r="E25" s="40" t="n"/>
      <c r="F25" s="41" t="n"/>
      <c r="G25" s="42" t="n"/>
    </row>
    <row r="26">
      <c r="A26" s="44" t="n"/>
      <c r="B26" s="45" t="n"/>
      <c r="C26" s="39" t="n"/>
      <c r="D26" s="40" t="n"/>
      <c r="E26" s="40" t="n"/>
      <c r="F26" s="41" t="n"/>
      <c r="G26" s="42" t="n"/>
    </row>
    <row r="27">
      <c r="A27" s="44" t="n"/>
      <c r="B27" s="45" t="n"/>
      <c r="C27" s="39" t="n"/>
      <c r="D27" s="40" t="n"/>
      <c r="E27" s="40" t="n"/>
      <c r="F27" s="41" t="n"/>
      <c r="G27" s="42" t="n"/>
    </row>
    <row r="28">
      <c r="A28" s="44" t="n"/>
      <c r="B28" s="45" t="n"/>
      <c r="C28" s="39" t="n"/>
      <c r="D28" s="40" t="n"/>
      <c r="E28" s="40" t="n"/>
      <c r="F28" s="41" t="n"/>
      <c r="G28" s="42" t="n"/>
    </row>
    <row r="29">
      <c r="A29" s="44" t="n"/>
      <c r="B29" s="45" t="n"/>
      <c r="C29" s="39" t="n"/>
      <c r="D29" s="40" t="n"/>
      <c r="E29" s="40" t="n"/>
      <c r="F29" s="41" t="n"/>
      <c r="G29" s="42" t="n"/>
    </row>
    <row r="30"/>
    <row r="31">
      <c r="A31" s="16" t="inlineStr">
        <is>
          <t>Tareas completadas:</t>
        </is>
      </c>
      <c r="D31" s="16">
        <f>COUNTIFS(B5:B29,"?*",F5:F29,"✓")</f>
        <v>0.0</v>
      </c>
      <c r="E31" s="17" t="inlineStr">
        <is>
          <t>de</t>
        </is>
      </c>
      <c r="F31" s="16">
        <f>COUNTIF(B5:B29,"?*")-COUNTIF(F5:F29,"N/A")</f>
        <v>15.0</v>
      </c>
    </row>
    <row r="32"/>
    <row r="33">
      <c r="A33" s="16" t="inlineStr">
        <is>
          <t>Verificado por:</t>
        </is>
      </c>
      <c r="B33" s="46" t="n"/>
      <c r="C33" s="28" t="n"/>
      <c r="D33" s="29" t="n"/>
      <c r="E33" s="16" t="inlineStr">
        <is>
          <t>Firma:</t>
        </is>
      </c>
      <c r="F33" s="46" t="n"/>
      <c r="G33" s="29" t="n"/>
    </row>
    <row r="34"/>
    <row r="35">
      <c r="A35" s="18" t="inlineStr">
        <is>
          <t>— Kit de Tareas Recurrentes · Bar / Cocktails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5:G15"/>
    <mergeCell ref="F33:G33"/>
    <mergeCell ref="A2:G2"/>
    <mergeCell ref="B33:D33"/>
    <mergeCell ref="A5:G5"/>
    <mergeCell ref="A21:G21"/>
    <mergeCell ref="A31:C31"/>
  </mergeCells>
  <conditionalFormatting sqref="A5:G29">
    <cfRule type="expression" priority="1" dxfId="0">
      <formula>$F5="✓"</formula>
    </cfRule>
  </conditionalFormatting>
  <dataValidations count="1">
    <dataValidation sqref="F6 F7 F8 F9 F10 F11 F12 F13 F16 F17 F18 F19 F22 F23 F24 F25 F26 F27 F28 F2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Mantenimiento Mensual de Equipos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47" t="inlineStr">
        <is>
          <t xml:space="preserve">  Grifo y Cerveza</t>
        </is>
      </c>
      <c r="B5" s="35" t="n"/>
      <c r="C5" s="35" t="n"/>
      <c r="D5" s="35" t="n"/>
      <c r="E5" s="35" t="n"/>
      <c r="F5" s="35" t="n"/>
      <c r="G5" s="36" t="n"/>
    </row>
    <row r="6">
      <c r="A6" s="37" t="n">
        <v>1</v>
      </c>
      <c r="B6" s="38" t="inlineStr">
        <is>
          <t>Limpieza completa de líneas de grifo (producto profesional)</t>
        </is>
      </c>
      <c r="C6" s="39" t="inlineStr">
        <is>
          <t>Barra</t>
        </is>
      </c>
      <c r="D6" s="40" t="inlineStr">
        <is>
          <t>Mantenimiento</t>
        </is>
      </c>
      <c r="E6" s="40" t="inlineStr">
        <is>
          <t>1ª semana</t>
        </is>
      </c>
      <c r="F6" s="41" t="n"/>
      <c r="G6" s="42" t="n"/>
    </row>
    <row r="7">
      <c r="A7" s="37" t="n">
        <v>2</v>
      </c>
      <c r="B7" s="38" t="inlineStr">
        <is>
          <t>Verificar presión y reguladores de CO₂</t>
        </is>
      </c>
      <c r="C7" s="39" t="inlineStr">
        <is>
          <t>Barra</t>
        </is>
      </c>
      <c r="D7" s="40" t="inlineStr">
        <is>
          <t>Mantenimiento</t>
        </is>
      </c>
      <c r="E7" s="40" t="inlineStr">
        <is>
          <t>1ª semana</t>
        </is>
      </c>
      <c r="F7" s="41" t="n"/>
      <c r="G7" s="42" t="n"/>
    </row>
    <row r="8">
      <c r="A8" s="37" t="n">
        <v>3</v>
      </c>
      <c r="B8" s="38" t="inlineStr">
        <is>
          <t>Revisar juntas y acoplamientos de barriles</t>
        </is>
      </c>
      <c r="C8" s="39" t="inlineStr">
        <is>
          <t>Barra</t>
        </is>
      </c>
      <c r="D8" s="40" t="inlineStr">
        <is>
          <t>Mantenimiento</t>
        </is>
      </c>
      <c r="E8" s="40" t="inlineStr">
        <is>
          <t>1ª semana</t>
        </is>
      </c>
      <c r="F8" s="41" t="n"/>
      <c r="G8" s="42" t="n"/>
    </row>
    <row r="9">
      <c r="A9" s="43" t="n"/>
      <c r="B9" s="43" t="n"/>
      <c r="C9" s="43" t="n"/>
      <c r="D9" s="43" t="n"/>
      <c r="E9" s="43" t="n"/>
      <c r="F9" s="43" t="n"/>
      <c r="G9" s="43" t="n"/>
    </row>
    <row r="10">
      <c r="A10" s="48" t="inlineStr">
        <is>
          <t xml:space="preserve">  Café</t>
        </is>
      </c>
      <c r="B10" s="35" t="n"/>
      <c r="C10" s="35" t="n"/>
      <c r="D10" s="35" t="n"/>
      <c r="E10" s="35" t="n"/>
      <c r="F10" s="35" t="n"/>
      <c r="G10" s="36" t="n"/>
    </row>
    <row r="11">
      <c r="A11" s="37" t="n">
        <v>4</v>
      </c>
      <c r="B11" s="38" t="inlineStr">
        <is>
          <t>Descalcificar la máquina de espresso: la frecuencia depende de la dureza de tu agua (mensual con agua dura, trimestral con agua blanda o con filtro) — ver la analítica en «Trimestral y Anual»</t>
        </is>
      </c>
      <c r="C11" s="39" t="inlineStr">
        <is>
          <t>Café</t>
        </is>
      </c>
      <c r="D11" s="40" t="inlineStr">
        <is>
          <t>Mantenimiento</t>
        </is>
      </c>
      <c r="E11" s="40" t="inlineStr">
        <is>
          <t>2ª semana</t>
        </is>
      </c>
      <c r="F11" s="41" t="n"/>
      <c r="G11" s="42" t="n"/>
    </row>
    <row r="12">
      <c r="A12" s="37" t="n">
        <v>5</v>
      </c>
      <c r="B12" s="38" t="inlineStr">
        <is>
          <t>Cambiar juntas de grupo si es necesario</t>
        </is>
      </c>
      <c r="C12" s="39" t="inlineStr">
        <is>
          <t>Café</t>
        </is>
      </c>
      <c r="D12" s="40" t="inlineStr">
        <is>
          <t>Mantenimiento</t>
        </is>
      </c>
      <c r="E12" s="40" t="inlineStr">
        <is>
          <t>2ª semana</t>
        </is>
      </c>
      <c r="F12" s="41" t="n"/>
      <c r="G12" s="42" t="n"/>
    </row>
    <row r="13">
      <c r="A13" s="37" t="n">
        <v>6</v>
      </c>
      <c r="B13" s="38" t="inlineStr">
        <is>
          <t>Calibrar presión de la máquina (9 bar)</t>
        </is>
      </c>
      <c r="C13" s="39" t="inlineStr">
        <is>
          <t>Café</t>
        </is>
      </c>
      <c r="D13" s="40" t="inlineStr">
        <is>
          <t>Mantenimiento</t>
        </is>
      </c>
      <c r="E13" s="40" t="inlineStr">
        <is>
          <t>2ª semana</t>
        </is>
      </c>
      <c r="F13" s="41" t="n"/>
      <c r="G13" s="42" t="n"/>
    </row>
    <row r="14">
      <c r="A14" s="37" t="n">
        <v>7</v>
      </c>
      <c r="B14" s="38" t="inlineStr">
        <is>
          <t>Limpiar molinillo (vaciar, aspirar, calibrar)</t>
        </is>
      </c>
      <c r="C14" s="39" t="inlineStr">
        <is>
          <t>Café</t>
        </is>
      </c>
      <c r="D14" s="40" t="inlineStr">
        <is>
          <t>Bartender</t>
        </is>
      </c>
      <c r="E14" s="40" t="inlineStr">
        <is>
          <t>2ª semana</t>
        </is>
      </c>
      <c r="F14" s="41" t="n"/>
      <c r="G14" s="42" t="n"/>
    </row>
    <row r="15">
      <c r="A15" s="43" t="n"/>
      <c r="B15" s="43" t="n"/>
      <c r="C15" s="43" t="n"/>
      <c r="D15" s="43" t="n"/>
      <c r="E15" s="43" t="n"/>
      <c r="F15" s="43" t="n"/>
      <c r="G15" s="43" t="n"/>
    </row>
    <row r="16">
      <c r="A16" s="47" t="inlineStr">
        <is>
          <t xml:space="preserve">  Frío y General</t>
        </is>
      </c>
      <c r="B16" s="35" t="n"/>
      <c r="C16" s="35" t="n"/>
      <c r="D16" s="35" t="n"/>
      <c r="E16" s="35" t="n"/>
      <c r="F16" s="35" t="n"/>
      <c r="G16" s="36" t="n"/>
    </row>
    <row r="17">
      <c r="A17" s="37" t="n">
        <v>8</v>
      </c>
      <c r="B17" s="38" t="inlineStr">
        <is>
          <t>Limpiar condensadores de cámaras</t>
        </is>
      </c>
      <c r="C17" s="39" t="inlineStr">
        <is>
          <t>Barra</t>
        </is>
      </c>
      <c r="D17" s="40" t="inlineStr">
        <is>
          <t>Mantenimiento</t>
        </is>
      </c>
      <c r="E17" s="40" t="inlineStr">
        <is>
          <t>3ª semana</t>
        </is>
      </c>
      <c r="F17" s="41" t="n"/>
      <c r="G17" s="42" t="n"/>
    </row>
    <row r="18">
      <c r="A18" s="37" t="n">
        <v>9</v>
      </c>
      <c r="B18" s="38" t="inlineStr">
        <is>
          <t>Verificar temperaturas con sonda independiente</t>
        </is>
      </c>
      <c r="C18" s="39" t="inlineStr">
        <is>
          <t>Barra</t>
        </is>
      </c>
      <c r="D18" s="40" t="inlineStr">
        <is>
          <t>Manager</t>
        </is>
      </c>
      <c r="E18" s="40" t="inlineStr">
        <is>
          <t>3ª semana</t>
        </is>
      </c>
      <c r="F18" s="41" t="n"/>
      <c r="G18" s="42" t="n"/>
    </row>
    <row r="19">
      <c r="A19" s="37" t="n">
        <v>10</v>
      </c>
      <c r="B19" s="38" t="inlineStr">
        <is>
          <t>Revisar juntas de puertas de cámaras</t>
        </is>
      </c>
      <c r="C19" s="39" t="inlineStr">
        <is>
          <t>Barra</t>
        </is>
      </c>
      <c r="D19" s="40" t="inlineStr">
        <is>
          <t>Mantenimiento</t>
        </is>
      </c>
      <c r="E19" s="40" t="inlineStr">
        <is>
          <t>3ª semana</t>
        </is>
      </c>
      <c r="F19" s="41" t="n"/>
      <c r="G19" s="42" t="n"/>
    </row>
    <row r="20">
      <c r="A20" s="37" t="n">
        <v>11</v>
      </c>
      <c r="B20" s="38" t="inlineStr">
        <is>
          <t>Inventario de cristalería (reponer rotas/rayadas)</t>
        </is>
      </c>
      <c r="C20" s="39" t="inlineStr">
        <is>
          <t>Barra</t>
        </is>
      </c>
      <c r="D20" s="40" t="inlineStr">
        <is>
          <t>Manager</t>
        </is>
      </c>
      <c r="E20" s="40" t="inlineStr">
        <is>
          <t>3ª semana</t>
        </is>
      </c>
      <c r="F20" s="41" t="n"/>
      <c r="G20" s="42" t="n"/>
    </row>
    <row r="21">
      <c r="A21" s="44" t="n"/>
      <c r="B21" s="45" t="n"/>
      <c r="C21" s="39" t="n"/>
      <c r="D21" s="40" t="n"/>
      <c r="E21" s="40" t="n"/>
      <c r="F21" s="41" t="n"/>
      <c r="G21" s="42" t="n"/>
    </row>
    <row r="22">
      <c r="A22" s="44" t="n"/>
      <c r="B22" s="45" t="n"/>
      <c r="C22" s="39" t="n"/>
      <c r="D22" s="40" t="n"/>
      <c r="E22" s="40" t="n"/>
      <c r="F22" s="41" t="n"/>
      <c r="G22" s="42" t="n"/>
    </row>
    <row r="23">
      <c r="A23" s="44" t="n"/>
      <c r="B23" s="45" t="n"/>
      <c r="C23" s="39" t="n"/>
      <c r="D23" s="40" t="n"/>
      <c r="E23" s="40" t="n"/>
      <c r="F23" s="41" t="n"/>
      <c r="G23" s="42" t="n"/>
    </row>
    <row r="24">
      <c r="A24" s="44" t="n"/>
      <c r="B24" s="45" t="n"/>
      <c r="C24" s="39" t="n"/>
      <c r="D24" s="40" t="n"/>
      <c r="E24" s="40" t="n"/>
      <c r="F24" s="41" t="n"/>
      <c r="G24" s="42" t="n"/>
    </row>
    <row r="25">
      <c r="A25" s="44" t="n"/>
      <c r="B25" s="45" t="n"/>
      <c r="C25" s="39" t="n"/>
      <c r="D25" s="40" t="n"/>
      <c r="E25" s="40" t="n"/>
      <c r="F25" s="41" t="n"/>
      <c r="G25" s="42" t="n"/>
    </row>
    <row r="26"/>
    <row r="27">
      <c r="A27" s="16" t="inlineStr">
        <is>
          <t>Tareas completadas:</t>
        </is>
      </c>
      <c r="D27" s="16">
        <f>COUNTIFS(B5:B25,"?*",F5:F25,"✓")</f>
        <v>0.0</v>
      </c>
      <c r="E27" s="17" t="inlineStr">
        <is>
          <t>de</t>
        </is>
      </c>
      <c r="F27" s="16">
        <f>COUNTIF(B5:B25,"?*")-COUNTIF(F5:F25,"N/A")</f>
        <v>11.0</v>
      </c>
    </row>
    <row r="28"/>
    <row r="29">
      <c r="A29" s="16" t="inlineStr">
        <is>
          <t>Verificado por:</t>
        </is>
      </c>
      <c r="B29" s="46" t="n"/>
      <c r="C29" s="28" t="n"/>
      <c r="D29" s="29" t="n"/>
      <c r="E29" s="16" t="inlineStr">
        <is>
          <t>Firma:</t>
        </is>
      </c>
      <c r="F29" s="46" t="n"/>
      <c r="G29" s="29" t="n"/>
    </row>
    <row r="30"/>
    <row r="31">
      <c r="A31" s="18" t="inlineStr">
        <is>
          <t>— Kit de Tareas Recurrentes · Bar / Cocktails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F29:G29"/>
    <mergeCell ref="A1:G1"/>
    <mergeCell ref="B29:D29"/>
    <mergeCell ref="A16:G16"/>
    <mergeCell ref="A2:G2"/>
    <mergeCell ref="A27:C27"/>
    <mergeCell ref="A5:G5"/>
    <mergeCell ref="A10:G10"/>
  </mergeCells>
  <conditionalFormatting sqref="A5:G25">
    <cfRule type="expression" priority="1" dxfId="0">
      <formula>$F5="✓"</formula>
    </cfRule>
  </conditionalFormatting>
  <dataValidations count="1">
    <dataValidation sqref="F6 F7 F8 F11 F12 F13 F14 F17 F18 F19 F20 F21 F22 F23 F24 F25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G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Inventario Semanal y Control de Stock</t>
        </is>
      </c>
    </row>
    <row r="2">
      <c r="A2" s="5" t="inlineStr">
        <is>
          <t>Semana del ___/___/______ al ___/___/______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Día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49" t="inlineStr">
        <is>
          <t xml:space="preserve">  Spirits y Licores</t>
        </is>
      </c>
      <c r="B5" s="35" t="n"/>
      <c r="C5" s="35" t="n"/>
      <c r="D5" s="35" t="n"/>
      <c r="E5" s="35" t="n"/>
      <c r="F5" s="35" t="n"/>
      <c r="G5" s="36" t="n"/>
    </row>
    <row r="6">
      <c r="A6" s="37" t="n">
        <v>1</v>
      </c>
      <c r="B6" s="38" t="inlineStr">
        <is>
          <t>Contar botellas llenas + medir nivel de abiertas: ginebra</t>
        </is>
      </c>
      <c r="C6" s="39" t="inlineStr">
        <is>
          <t>Bodega</t>
        </is>
      </c>
      <c r="D6" s="40" t="inlineStr">
        <is>
          <t>Bartender</t>
        </is>
      </c>
      <c r="E6" s="40" t="inlineStr">
        <is>
          <t>Lunes</t>
        </is>
      </c>
      <c r="F6" s="41" t="n"/>
      <c r="G6" s="42" t="n"/>
    </row>
    <row r="7">
      <c r="A7" s="37" t="n">
        <v>2</v>
      </c>
      <c r="B7" s="38" t="inlineStr">
        <is>
          <t>Contar botellas: vodka, ron blanco, ron oscuro</t>
        </is>
      </c>
      <c r="C7" s="39" t="inlineStr">
        <is>
          <t>Bodega</t>
        </is>
      </c>
      <c r="D7" s="40" t="inlineStr">
        <is>
          <t>Bartender</t>
        </is>
      </c>
      <c r="E7" s="40" t="inlineStr">
        <is>
          <t>Lunes</t>
        </is>
      </c>
      <c r="F7" s="41" t="n"/>
      <c r="G7" s="42" t="n"/>
    </row>
    <row r="8">
      <c r="A8" s="37" t="n">
        <v>3</v>
      </c>
      <c r="B8" s="38" t="inlineStr">
        <is>
          <t>Contar botellas: tequila, mezcal, whisky/bourbon</t>
        </is>
      </c>
      <c r="C8" s="39" t="inlineStr">
        <is>
          <t>Bodega</t>
        </is>
      </c>
      <c r="D8" s="40" t="inlineStr">
        <is>
          <t>Bartender</t>
        </is>
      </c>
      <c r="E8" s="40" t="inlineStr">
        <is>
          <t>Lunes</t>
        </is>
      </c>
      <c r="F8" s="41" t="n"/>
      <c r="G8" s="42" t="n"/>
    </row>
    <row r="9">
      <c r="A9" s="37" t="n">
        <v>4</v>
      </c>
      <c r="B9" s="38" t="inlineStr">
        <is>
          <t>Contar botellas: brandy, cognac, licores (Cointreau, Campari, Aperol...)</t>
        </is>
      </c>
      <c r="C9" s="39" t="inlineStr">
        <is>
          <t>Bodega</t>
        </is>
      </c>
      <c r="D9" s="40" t="inlineStr">
        <is>
          <t>Bartender</t>
        </is>
      </c>
      <c r="E9" s="40" t="inlineStr">
        <is>
          <t>Lunes</t>
        </is>
      </c>
      <c r="F9" s="41" t="n"/>
      <c r="G9" s="42" t="n"/>
    </row>
    <row r="10">
      <c r="A10" s="37" t="n">
        <v>5</v>
      </c>
      <c r="B10" s="38" t="inlineStr">
        <is>
          <t>Contar botellas: vermut (rojo, blanco, dry), amargos</t>
        </is>
      </c>
      <c r="C10" s="39" t="inlineStr">
        <is>
          <t>Bodega</t>
        </is>
      </c>
      <c r="D10" s="40" t="inlineStr">
        <is>
          <t>Bartender</t>
        </is>
      </c>
      <c r="E10" s="40" t="inlineStr">
        <is>
          <t>Lunes</t>
        </is>
      </c>
      <c r="F10" s="41" t="n"/>
      <c r="G10" s="42" t="n"/>
    </row>
    <row r="11">
      <c r="A11" s="43" t="n"/>
      <c r="B11" s="43" t="n"/>
      <c r="C11" s="43" t="n"/>
      <c r="D11" s="43" t="n"/>
      <c r="E11" s="43" t="n"/>
      <c r="F11" s="43" t="n"/>
      <c r="G11" s="43" t="n"/>
    </row>
    <row r="12">
      <c r="A12" s="49" t="inlineStr">
        <is>
          <t xml:space="preserve">  Cerveza, Vino y Refrescos</t>
        </is>
      </c>
      <c r="B12" s="35" t="n"/>
      <c r="C12" s="35" t="n"/>
      <c r="D12" s="35" t="n"/>
      <c r="E12" s="35" t="n"/>
      <c r="F12" s="35" t="n"/>
      <c r="G12" s="36" t="n"/>
    </row>
    <row r="13">
      <c r="A13" s="37" t="n">
        <v>6</v>
      </c>
      <c r="B13" s="38" t="inlineStr">
        <is>
          <t>Contar barriles: llenos + porcentaje de los conectados</t>
        </is>
      </c>
      <c r="C13" s="39" t="inlineStr">
        <is>
          <t>Bodega</t>
        </is>
      </c>
      <c r="D13" s="40" t="inlineStr">
        <is>
          <t>Barback</t>
        </is>
      </c>
      <c r="E13" s="40" t="inlineStr">
        <is>
          <t>Lunes</t>
        </is>
      </c>
      <c r="F13" s="41" t="n"/>
      <c r="G13" s="42" t="n"/>
    </row>
    <row r="14">
      <c r="A14" s="37" t="n">
        <v>7</v>
      </c>
      <c r="B14" s="38" t="inlineStr">
        <is>
          <t>Contar cerveza botella/lata por marca</t>
        </is>
      </c>
      <c r="C14" s="39" t="inlineStr">
        <is>
          <t>Bodega</t>
        </is>
      </c>
      <c r="D14" s="40" t="inlineStr">
        <is>
          <t>Barback</t>
        </is>
      </c>
      <c r="E14" s="40" t="inlineStr">
        <is>
          <t>Lunes</t>
        </is>
      </c>
      <c r="F14" s="41" t="n"/>
      <c r="G14" s="42" t="n"/>
    </row>
    <row r="15">
      <c r="A15" s="37" t="n">
        <v>8</v>
      </c>
      <c r="B15" s="38" t="inlineStr">
        <is>
          <t>Contar botellas de vino en bodega y cámara</t>
        </is>
      </c>
      <c r="C15" s="39" t="inlineStr">
        <is>
          <t>Bodega</t>
        </is>
      </c>
      <c r="D15" s="40" t="inlineStr">
        <is>
          <t>Bartender</t>
        </is>
      </c>
      <c r="E15" s="40" t="inlineStr">
        <is>
          <t>Lunes</t>
        </is>
      </c>
      <c r="F15" s="41" t="n"/>
      <c r="G15" s="42" t="n"/>
    </row>
    <row r="16">
      <c r="A16" s="37" t="n">
        <v>9</v>
      </c>
      <c r="B16" s="38" t="inlineStr">
        <is>
          <t>Contar stock de tónica, soda, cola, ginger ale, ginger beer, zumos</t>
        </is>
      </c>
      <c r="C16" s="39" t="inlineStr">
        <is>
          <t>Bodega</t>
        </is>
      </c>
      <c r="D16" s="40" t="inlineStr">
        <is>
          <t>Barback</t>
        </is>
      </c>
      <c r="E16" s="40" t="inlineStr">
        <is>
          <t>Lunes</t>
        </is>
      </c>
      <c r="F16" s="41" t="n"/>
      <c r="G16" s="42" t="n"/>
    </row>
    <row r="17">
      <c r="A17" s="37" t="n">
        <v>10</v>
      </c>
      <c r="B17" s="38" t="inlineStr">
        <is>
          <t>Contar stock de agua mineral y con gas</t>
        </is>
      </c>
      <c r="C17" s="39" t="inlineStr">
        <is>
          <t>Bodega</t>
        </is>
      </c>
      <c r="D17" s="40" t="inlineStr">
        <is>
          <t>Barback</t>
        </is>
      </c>
      <c r="E17" s="40" t="inlineStr">
        <is>
          <t>Lunes</t>
        </is>
      </c>
      <c r="F17" s="41" t="n"/>
      <c r="G17" s="42" t="n"/>
    </row>
    <row r="18">
      <c r="A18" s="43" t="n"/>
      <c r="B18" s="43" t="n"/>
      <c r="C18" s="43" t="n"/>
      <c r="D18" s="43" t="n"/>
      <c r="E18" s="43" t="n"/>
      <c r="F18" s="43" t="n"/>
      <c r="G18" s="43" t="n"/>
    </row>
    <row r="19">
      <c r="A19" s="47" t="inlineStr">
        <is>
          <t xml:space="preserve">  Consumibles</t>
        </is>
      </c>
      <c r="B19" s="35" t="n"/>
      <c r="C19" s="35" t="n"/>
      <c r="D19" s="35" t="n"/>
      <c r="E19" s="35" t="n"/>
      <c r="F19" s="35" t="n"/>
      <c r="G19" s="36" t="n"/>
    </row>
    <row r="20">
      <c r="A20" s="37" t="n">
        <v>11</v>
      </c>
      <c r="B20" s="38" t="inlineStr">
        <is>
          <t>Contar stock de hielo (o verificar producción de máquina)</t>
        </is>
      </c>
      <c r="C20" s="39" t="inlineStr">
        <is>
          <t>Barra</t>
        </is>
      </c>
      <c r="D20" s="40" t="inlineStr">
        <is>
          <t>Barback</t>
        </is>
      </c>
      <c r="E20" s="40" t="inlineStr">
        <is>
          <t>Lunes</t>
        </is>
      </c>
      <c r="F20" s="41" t="n"/>
      <c r="G20" s="42" t="n"/>
    </row>
    <row r="21">
      <c r="A21" s="37" t="n">
        <v>12</v>
      </c>
      <c r="B21" s="38" t="inlineStr">
        <is>
          <t>Contar stock de cítricos (limones, limas, naranjas)</t>
        </is>
      </c>
      <c r="C21" s="39" t="inlineStr">
        <is>
          <t>Barra</t>
        </is>
      </c>
      <c r="D21" s="40" t="inlineStr">
        <is>
          <t>Barback</t>
        </is>
      </c>
      <c r="E21" s="40" t="inlineStr">
        <is>
          <t>Lunes</t>
        </is>
      </c>
      <c r="F21" s="41" t="n"/>
      <c r="G21" s="42" t="n"/>
    </row>
    <row r="22">
      <c r="A22" s="37" t="n">
        <v>13</v>
      </c>
      <c r="B22" s="38" t="inlineStr">
        <is>
          <t>Contar stock de servilletas, pajitas, posavasos</t>
        </is>
      </c>
      <c r="C22" s="39" t="inlineStr">
        <is>
          <t>Barra</t>
        </is>
      </c>
      <c r="D22" s="40" t="inlineStr">
        <is>
          <t>Barback</t>
        </is>
      </c>
      <c r="E22" s="40" t="inlineStr">
        <is>
          <t>Lunes</t>
        </is>
      </c>
      <c r="F22" s="41" t="n"/>
      <c r="G22" s="42" t="n"/>
    </row>
    <row r="23">
      <c r="A23" s="37" t="n">
        <v>14</v>
      </c>
      <c r="B23" s="38" t="inlineStr">
        <is>
          <t>Contar stock de café en grano y leches</t>
        </is>
      </c>
      <c r="C23" s="39" t="inlineStr">
        <is>
          <t>Barra</t>
        </is>
      </c>
      <c r="D23" s="40" t="inlineStr">
        <is>
          <t>Bartender</t>
        </is>
      </c>
      <c r="E23" s="40" t="inlineStr">
        <is>
          <t>Lunes</t>
        </is>
      </c>
      <c r="F23" s="41" t="n"/>
      <c r="G23" s="42" t="n"/>
    </row>
    <row r="24">
      <c r="A24" s="37" t="n">
        <v>15</v>
      </c>
      <c r="B24" s="38" t="inlineStr">
        <is>
          <t>Revisar fechas de jarabes, batches, zumos y botellas abiertas y retirar lo que supere su vida útil (ver la tabla al pie de esta hoja)</t>
        </is>
      </c>
      <c r="C24" s="39" t="inlineStr">
        <is>
          <t>Barra</t>
        </is>
      </c>
      <c r="D24" s="40" t="inlineStr">
        <is>
          <t>Bartender</t>
        </is>
      </c>
      <c r="E24" s="40" t="inlineStr">
        <is>
          <t>Lunes</t>
        </is>
      </c>
      <c r="F24" s="41" t="n"/>
      <c r="G24" s="42" t="n"/>
    </row>
    <row r="25">
      <c r="A25" s="44" t="n"/>
      <c r="B25" s="45" t="n"/>
      <c r="C25" s="39" t="n"/>
      <c r="D25" s="40" t="n"/>
      <c r="E25" s="40" t="n"/>
      <c r="F25" s="41" t="n"/>
      <c r="G25" s="42" t="n"/>
    </row>
    <row r="26">
      <c r="A26" s="44" t="n"/>
      <c r="B26" s="45" t="n"/>
      <c r="C26" s="39" t="n"/>
      <c r="D26" s="40" t="n"/>
      <c r="E26" s="40" t="n"/>
      <c r="F26" s="41" t="n"/>
      <c r="G26" s="42" t="n"/>
    </row>
    <row r="27">
      <c r="A27" s="44" t="n"/>
      <c r="B27" s="45" t="n"/>
      <c r="C27" s="39" t="n"/>
      <c r="D27" s="40" t="n"/>
      <c r="E27" s="40" t="n"/>
      <c r="F27" s="41" t="n"/>
      <c r="G27" s="42" t="n"/>
    </row>
    <row r="28">
      <c r="A28" s="44" t="n"/>
      <c r="B28" s="45" t="n"/>
      <c r="C28" s="39" t="n"/>
      <c r="D28" s="40" t="n"/>
      <c r="E28" s="40" t="n"/>
      <c r="F28" s="41" t="n"/>
      <c r="G28" s="42" t="n"/>
    </row>
    <row r="29">
      <c r="A29" s="44" t="n"/>
      <c r="B29" s="45" t="n"/>
      <c r="C29" s="39" t="n"/>
      <c r="D29" s="40" t="n"/>
      <c r="E29" s="40" t="n"/>
      <c r="F29" s="41" t="n"/>
      <c r="G29" s="42" t="n"/>
    </row>
    <row r="30"/>
    <row r="31">
      <c r="A31" s="16" t="inlineStr">
        <is>
          <t>Tareas completadas:</t>
        </is>
      </c>
      <c r="D31" s="16">
        <f>COUNTIFS(B5:B29,"?*",F5:F29,"✓")</f>
        <v>0.0</v>
      </c>
      <c r="E31" s="17" t="inlineStr">
        <is>
          <t>de</t>
        </is>
      </c>
      <c r="F31" s="16">
        <f>COUNTIF(B5:B29,"?*")-COUNTIF(F5:F29,"N/A")</f>
        <v>15.0</v>
      </c>
    </row>
    <row r="32"/>
    <row r="33">
      <c r="A33" s="16" t="inlineStr">
        <is>
          <t>Verificado por:</t>
        </is>
      </c>
      <c r="B33" s="46" t="n"/>
      <c r="C33" s="28" t="n"/>
      <c r="D33" s="29" t="n"/>
      <c r="E33" s="16" t="inlineStr">
        <is>
          <t>Firma:</t>
        </is>
      </c>
      <c r="F33" s="46" t="n"/>
      <c r="G33" s="29" t="n"/>
    </row>
    <row r="34"/>
    <row r="35">
      <c r="A35" s="19" t="inlineStr">
        <is>
          <t>VIDA ÚTIL ORIENTATIVA DEL PRODUCTO ABIERTO Y ELABORADO EN BARRA — ajústala a tu producto y a tu proveedor</t>
        </is>
      </c>
      <c r="B35" s="28" t="n"/>
      <c r="C35" s="28" t="n"/>
      <c r="D35" s="28" t="n"/>
      <c r="E35" s="28" t="n"/>
      <c r="F35" s="28" t="n"/>
      <c r="G35" s="29" t="n"/>
    </row>
    <row r="36">
      <c r="A36" s="6" t="n"/>
      <c r="B36" s="6" t="inlineStr">
        <is>
          <t>Producto</t>
        </is>
      </c>
      <c r="C36" s="6" t="inlineStr">
        <is>
          <t>Vida útil</t>
        </is>
      </c>
      <c r="D36" s="6" t="inlineStr">
        <is>
          <t>Notas</t>
        </is>
      </c>
      <c r="E36" s="28" t="n"/>
      <c r="F36" s="28" t="n"/>
      <c r="G36" s="29" t="n"/>
    </row>
    <row r="37">
      <c r="A37" s="30" t="n"/>
      <c r="B37" s="45" t="inlineStr">
        <is>
          <t>Zumo de cítricos recién exprimido</t>
        </is>
      </c>
      <c r="C37" s="39" t="inlineStr">
        <is>
          <t>24 h en frío</t>
        </is>
      </c>
      <c r="D37" s="40" t="inlineStr">
        <is>
          <t>Pasado el día pierde acidez y aroma: se exprime por servicio, no por semana</t>
        </is>
      </c>
      <c r="E37" s="28" t="n"/>
      <c r="F37" s="28" t="n"/>
      <c r="G37" s="29" t="n"/>
    </row>
    <row r="38">
      <c r="A38" s="30" t="n"/>
      <c r="B38" s="45" t="inlineStr">
        <is>
          <t>Jarabe simple (1:1)</t>
        </is>
      </c>
      <c r="C38" s="39" t="inlineStr">
        <is>
          <t>3-4 semanas en frío</t>
        </is>
      </c>
      <c r="D38" s="40" t="inlineStr">
        <is>
          <t>Un golpe de vodka alarga la vida útil; si enturbia o huele a fermento, fuera</t>
        </is>
      </c>
      <c r="E38" s="28" t="n"/>
      <c r="F38" s="28" t="n"/>
      <c r="G38" s="29" t="n"/>
    </row>
    <row r="39">
      <c r="A39" s="30" t="n"/>
      <c r="B39" s="45" t="inlineStr">
        <is>
          <t>Jarabes con fruta, hierbas o frutos secos (orgeat, gomme)</t>
        </is>
      </c>
      <c r="C39" s="39" t="inlineStr">
        <is>
          <t>1-2 semanas en frío</t>
        </is>
      </c>
      <c r="D39" s="40" t="inlineStr">
        <is>
          <t>Etiquetar con la fecha de elaboración; el orgeat lleva ALMENDRA y va declarado en la carta</t>
        </is>
      </c>
      <c r="E39" s="28" t="n"/>
      <c r="F39" s="28" t="n"/>
      <c r="G39" s="29" t="n"/>
    </row>
    <row r="40">
      <c r="A40" s="30" t="n"/>
      <c r="B40" s="45" t="inlineStr">
        <is>
          <t>Batch de cóctel SIN cítrico (Negroni, Manhattan)</t>
        </is>
      </c>
      <c r="C40" s="39" t="inlineStr">
        <is>
          <t>2-3 meses</t>
        </is>
      </c>
      <c r="D40" s="40" t="inlineStr">
        <is>
          <t>Sólo destilados y vinos fortificados: botella tapada, en frío y fuera de la luz</t>
        </is>
      </c>
      <c r="E40" s="28" t="n"/>
      <c r="F40" s="28" t="n"/>
      <c r="G40" s="29" t="n"/>
    </row>
    <row r="41">
      <c r="A41" s="30" t="n"/>
      <c r="B41" s="45" t="inlineStr">
        <is>
          <t>Batch de cóctel CON cítrico</t>
        </is>
      </c>
      <c r="C41" s="39" t="inlineStr">
        <is>
          <t>2-3 días en frío</t>
        </is>
      </c>
      <c r="D41" s="40" t="inlineStr">
        <is>
          <t>Manda el zumo: pasado ese plazo el batch amarga aunque el alcohol aguante</t>
        </is>
      </c>
      <c r="E41" s="28" t="n"/>
      <c r="F41" s="28" t="n"/>
      <c r="G41" s="29" t="n"/>
    </row>
    <row r="42">
      <c r="A42" s="30" t="n"/>
      <c r="B42" s="45" t="inlineStr">
        <is>
          <t>Vermut y vinos fortificados abiertos</t>
        </is>
      </c>
      <c r="C42" s="39" t="inlineStr">
        <is>
          <t>1 mes en cámara</t>
        </is>
      </c>
      <c r="D42" s="40" t="inlineStr">
        <is>
          <t>Tapón hermético y frío: también los rojos, que se dejan fuera por costumbre</t>
        </is>
      </c>
      <c r="E42" s="28" t="n"/>
      <c r="F42" s="28" t="n"/>
      <c r="G42" s="29" t="n"/>
    </row>
    <row r="43">
      <c r="A43" s="30" t="n"/>
      <c r="B43" s="45" t="inlineStr">
        <is>
          <t>Vino abierto por copa</t>
        </is>
      </c>
      <c r="C43" s="39" t="inlineStr">
        <is>
          <t>2-3 días</t>
        </is>
      </c>
      <c r="D43" s="40" t="inlineStr">
        <is>
          <t>Con argón o sistema de conservación, más; anota la fecha en la propia botella</t>
        </is>
      </c>
      <c r="E43" s="28" t="n"/>
      <c r="F43" s="28" t="n"/>
      <c r="G43" s="29" t="n"/>
    </row>
    <row r="44">
      <c r="A44" s="30" t="n"/>
      <c r="B44" s="45" t="inlineStr">
        <is>
          <t>Barril de cerveza conectado</t>
        </is>
      </c>
      <c r="C44" s="39" t="inlineStr">
        <is>
          <t>3-5 días</t>
        </is>
      </c>
      <c r="D44" s="40" t="inlineStr">
        <is>
          <t>Depende de la limpieza de líneas: pasado el plazo sabe a línea sucia, no a cerveza</t>
        </is>
      </c>
      <c r="E44" s="28" t="n"/>
      <c r="F44" s="28" t="n"/>
      <c r="G44" s="29" t="n"/>
    </row>
    <row r="45">
      <c r="A45" s="30" t="n"/>
      <c r="B45" s="45" t="inlineStr">
        <is>
          <t>Garnish cortado (cítricos, pepino, hierbas)</t>
        </is>
      </c>
      <c r="C45" s="39" t="inlineStr">
        <is>
          <t>El servicio</t>
        </is>
      </c>
      <c r="D45" s="40" t="inlineStr">
        <is>
          <t>Se corta por turno: lo del día anterior se ve en la copa y se nota en el trago</t>
        </is>
      </c>
      <c r="E45" s="28" t="n"/>
      <c r="F45" s="28" t="n"/>
      <c r="G45" s="29" t="n"/>
    </row>
    <row r="46">
      <c r="A46" s="30" t="n"/>
      <c r="B46" s="45" t="inlineStr">
        <is>
          <t>Nata montada, claras pasteurizadas y lácteos abiertos</t>
        </is>
      </c>
      <c r="C46" s="39" t="inlineStr">
        <is>
          <t>24-48 h en frío</t>
        </is>
      </c>
      <c r="D46" s="40" t="inlineStr">
        <is>
          <t>Fecha de apertura en la etiqueta; en duda, fuera: son los alérgenos que más se sirven en barra</t>
        </is>
      </c>
      <c r="E46" s="28" t="n"/>
      <c r="F46" s="28" t="n"/>
      <c r="G46" s="29" t="n"/>
    </row>
    <row r="47"/>
    <row r="48">
      <c r="A48" s="18" t="inlineStr">
        <is>
          <t>— Kit de Tareas Recurrentes · Bar / Cocktails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0">
    <mergeCell ref="D44:G44"/>
    <mergeCell ref="A12:G12"/>
    <mergeCell ref="A1:G1"/>
    <mergeCell ref="D38:G38"/>
    <mergeCell ref="D45:G45"/>
    <mergeCell ref="D41:G41"/>
    <mergeCell ref="D46:G46"/>
    <mergeCell ref="D40:G40"/>
    <mergeCell ref="D37:G37"/>
    <mergeCell ref="A5:G5"/>
    <mergeCell ref="A35:G35"/>
    <mergeCell ref="A31:C31"/>
    <mergeCell ref="D36:G36"/>
    <mergeCell ref="D42:G42"/>
    <mergeCell ref="F33:G33"/>
    <mergeCell ref="A2:G2"/>
    <mergeCell ref="B33:D33"/>
    <mergeCell ref="D39:G39"/>
    <mergeCell ref="D43:G43"/>
    <mergeCell ref="A19:G19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Mantenimiento Trimestral y Anual — Revisiones Contratadas</t>
        </is>
      </c>
    </row>
    <row r="2">
      <c r="A2" s="5" t="inlineStr">
        <is>
          <t>Mes: ________________   Año: ______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Nº de parte</t>
        </is>
      </c>
      <c r="D4" s="6" t="inlineStr">
        <is>
          <t>Responsable</t>
        </is>
      </c>
      <c r="E4" s="6" t="inlineStr">
        <is>
          <t>Cadencia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47" t="inlineStr">
        <is>
          <t xml:space="preserve">  CONTRATADO — EMPRESA AUTORIZADA</t>
        </is>
      </c>
      <c r="B5" s="35" t="n"/>
      <c r="C5" s="35" t="n"/>
      <c r="D5" s="35" t="n"/>
      <c r="E5" s="35" t="n"/>
      <c r="F5" s="35" t="n"/>
      <c r="G5" s="36" t="n"/>
    </row>
    <row r="6">
      <c r="A6" s="37" t="n">
        <v>1</v>
      </c>
      <c r="B6" s="38" t="inlineStr">
        <is>
          <t>Control de plagas (DDD): visita de la empresa autorizada, parte firmado y certificado en vigor</t>
        </is>
      </c>
      <c r="C6" s="39" t="n"/>
      <c r="D6" s="40" t="inlineStr">
        <is>
          <t>Empresa DDD</t>
        </is>
      </c>
      <c r="E6" s="40" t="inlineStr">
        <is>
          <t>Trimestral</t>
        </is>
      </c>
      <c r="F6" s="41" t="n"/>
      <c r="G6" s="42" t="n"/>
    </row>
    <row r="7">
      <c r="A7" s="37" t="n">
        <v>2</v>
      </c>
      <c r="B7" s="38" t="inlineStr">
        <is>
          <t>Revisión de extintores y BIE por empresa mantenedora: etiqueta, acta de revisión y retimbrado a los 5 años</t>
        </is>
      </c>
      <c r="C7" s="39" t="n"/>
      <c r="D7" s="40" t="inlineStr">
        <is>
          <t>Mantenedor</t>
        </is>
      </c>
      <c r="E7" s="40" t="inlineStr">
        <is>
          <t>Anual</t>
        </is>
      </c>
      <c r="F7" s="41" t="n"/>
      <c r="G7" s="42" t="n"/>
    </row>
    <row r="8">
      <c r="A8" s="37" t="n">
        <v>3</v>
      </c>
      <c r="B8" s="38" t="inlineStr">
        <is>
          <t>Limpieza de la campana y de los conductos de extracción por empresa homologada (si hay cocina de barra o plancha)</t>
        </is>
      </c>
      <c r="C8" s="39" t="n"/>
      <c r="D8" s="40" t="inlineStr">
        <is>
          <t>Empresa externa</t>
        </is>
      </c>
      <c r="E8" s="40" t="inlineStr">
        <is>
          <t>Anual</t>
        </is>
      </c>
      <c r="F8" s="41" t="n"/>
      <c r="G8" s="42" t="n"/>
    </row>
    <row r="9">
      <c r="A9" s="37" t="n">
        <v>4</v>
      </c>
      <c r="B9" s="38" t="inlineStr">
        <is>
          <t>Revisión periódica de la instalación de gas por empresa habilitada y revisión de las bombonas y los latiguillos de los calefactores de terraza</t>
        </is>
      </c>
      <c r="C9" s="39" t="n"/>
      <c r="D9" s="40" t="inlineStr">
        <is>
          <t>Instalador gas</t>
        </is>
      </c>
      <c r="E9" s="40" t="inlineStr">
        <is>
          <t>Cada 5 años</t>
        </is>
      </c>
      <c r="F9" s="41" t="n"/>
      <c r="G9" s="42" t="n"/>
    </row>
    <row r="10">
      <c r="A10" s="43" t="n"/>
      <c r="B10" s="43" t="n"/>
      <c r="C10" s="43" t="n"/>
      <c r="D10" s="43" t="n"/>
      <c r="E10" s="43" t="n"/>
      <c r="F10" s="43" t="n"/>
      <c r="G10" s="43" t="n"/>
    </row>
    <row r="11">
      <c r="A11" s="48" t="inlineStr">
        <is>
          <t xml:space="preserve">  BARRA, FRÍO Y AGUA</t>
        </is>
      </c>
      <c r="B11" s="35" t="n"/>
      <c r="C11" s="35" t="n"/>
      <c r="D11" s="35" t="n"/>
      <c r="E11" s="35" t="n"/>
      <c r="F11" s="35" t="n"/>
      <c r="G11" s="36" t="n"/>
    </row>
    <row r="12">
      <c r="A12" s="37" t="n">
        <v>5</v>
      </c>
      <c r="B12" s="38" t="inlineStr">
        <is>
          <t>Limpieza profunda de las líneas de cerveza por el distribuidor o una empresa especializada, además de la mensual del equipo</t>
        </is>
      </c>
      <c r="C12" s="39" t="n"/>
      <c r="D12" s="40" t="inlineStr">
        <is>
          <t>Distribuidor</t>
        </is>
      </c>
      <c r="E12" s="40" t="inlineStr">
        <is>
          <t>Trimestral</t>
        </is>
      </c>
      <c r="F12" s="41" t="n"/>
      <c r="G12" s="42" t="n"/>
    </row>
    <row r="13">
      <c r="A13" s="37" t="n">
        <v>6</v>
      </c>
      <c r="B13" s="38" t="inlineStr">
        <is>
          <t>Revisión de las cámaras, del botellero y de la máquina de hielo por frigorista: estanqueidad y carga de gas refrigerante</t>
        </is>
      </c>
      <c r="C13" s="39" t="n"/>
      <c r="D13" s="40" t="inlineStr">
        <is>
          <t>Frigorista</t>
        </is>
      </c>
      <c r="E13" s="40" t="inlineStr">
        <is>
          <t>Anual</t>
        </is>
      </c>
      <c r="F13" s="41" t="n"/>
      <c r="G13" s="42" t="n"/>
    </row>
    <row r="14">
      <c r="A14" s="37" t="n">
        <v>7</v>
      </c>
      <c r="B14" s="38" t="inlineStr">
        <is>
          <t>Cambiar el filtro de agua de la máquina de hielo y del espresso, y analizar la dureza del agua para fijar la frecuencia de descalcificado</t>
        </is>
      </c>
      <c r="C14" s="39" t="n"/>
      <c r="D14" s="40" t="inlineStr">
        <is>
          <t>Técnico</t>
        </is>
      </c>
      <c r="E14" s="40" t="inlineStr">
        <is>
          <t>Trimestral</t>
        </is>
      </c>
      <c r="F14" s="41" t="n"/>
      <c r="G14" s="42" t="n"/>
    </row>
    <row r="15">
      <c r="A15" s="37" t="n">
        <v>8</v>
      </c>
      <c r="B15" s="38" t="inlineStr">
        <is>
          <t>Prevención de legionela si hay nebulizadores de terraza, torre de refrigeración o agua caliente de riesgo</t>
        </is>
      </c>
      <c r="C15" s="39" t="n"/>
      <c r="D15" s="40" t="inlineStr">
        <is>
          <t>Empresa autorizada</t>
        </is>
      </c>
      <c r="E15" s="40" t="inlineStr">
        <is>
          <t>Anual</t>
        </is>
      </c>
      <c r="F15" s="41" t="n"/>
      <c r="G15" s="42" t="n"/>
    </row>
    <row r="16">
      <c r="A16" s="43" t="n"/>
      <c r="B16" s="43" t="n"/>
      <c r="C16" s="43" t="n"/>
      <c r="D16" s="43" t="n"/>
      <c r="E16" s="43" t="n"/>
      <c r="F16" s="43" t="n"/>
      <c r="G16" s="43" t="n"/>
    </row>
    <row r="17">
      <c r="A17" s="47" t="inlineStr">
        <is>
          <t xml:space="preserve">  LICENCIAS, RUIDO Y ADMINISTRACIÓN</t>
        </is>
      </c>
      <c r="B17" s="35" t="n"/>
      <c r="C17" s="35" t="n"/>
      <c r="D17" s="35" t="n"/>
      <c r="E17" s="35" t="n"/>
      <c r="F17" s="35" t="n"/>
      <c r="G17" s="36" t="n"/>
    </row>
    <row r="18">
      <c r="A18" s="37" t="n">
        <v>9</v>
      </c>
      <c r="B18" s="38" t="inlineStr">
        <is>
          <t>Revisar el limitador-registrador acústico y su precinto si el local tiene música: certificado del técnico y descarga de los registros</t>
        </is>
      </c>
      <c r="C18" s="39" t="n"/>
      <c r="D18" s="40" t="inlineStr">
        <is>
          <t>Técnico acústico</t>
        </is>
      </c>
      <c r="E18" s="40" t="inlineStr">
        <is>
          <t>Anual</t>
        </is>
      </c>
      <c r="F18" s="41" t="n"/>
      <c r="G18" s="42" t="n"/>
    </row>
    <row r="19">
      <c r="A19" s="37" t="n">
        <v>10</v>
      </c>
      <c r="B19" s="38" t="inlineStr">
        <is>
          <t>Renovar la licencia de terraza y de veladores: horario autorizado, número de mesas y superficie ocupada</t>
        </is>
      </c>
      <c r="C19" s="39" t="n"/>
      <c r="D19" s="40" t="inlineStr">
        <is>
          <t>Manager</t>
        </is>
      </c>
      <c r="E19" s="40" t="inlineStr">
        <is>
          <t>Anual</t>
        </is>
      </c>
      <c r="F19" s="41" t="n"/>
      <c r="G19" s="42" t="n"/>
    </row>
    <row r="20">
      <c r="A20" s="37" t="n">
        <v>11</v>
      </c>
      <c r="B20" s="38" t="inlineStr">
        <is>
          <t>Revisar la póliza del local (continente, contenido y responsabilidad civil), el contrato con las entidades de gestión de derechos musicales y el del gestor de vidrio</t>
        </is>
      </c>
      <c r="C20" s="39" t="n"/>
      <c r="D20" s="40" t="inlineStr">
        <is>
          <t>Manager</t>
        </is>
      </c>
      <c r="E20" s="40" t="inlineStr">
        <is>
          <t>Anual</t>
        </is>
      </c>
      <c r="F20" s="41" t="n"/>
      <c r="G20" s="42" t="n"/>
    </row>
    <row r="21">
      <c r="A21" s="37" t="n">
        <v>12</v>
      </c>
      <c r="B21" s="38" t="inlineStr">
        <is>
          <t>Revisión del TPV y del software de facturación (requisitos antifraude / Verifactu); anotar la fecha de la próxima revisión de cada contrato y archivar el parte firmado</t>
        </is>
      </c>
      <c r="C21" s="39" t="n"/>
      <c r="D21" s="40" t="inlineStr">
        <is>
          <t>Manager</t>
        </is>
      </c>
      <c r="E21" s="40" t="inlineStr">
        <is>
          <t>Anual</t>
        </is>
      </c>
      <c r="F21" s="41" t="n"/>
      <c r="G21" s="42" t="n"/>
    </row>
    <row r="22">
      <c r="A22" s="44" t="n"/>
      <c r="B22" s="45" t="n"/>
      <c r="C22" s="39" t="n"/>
      <c r="D22" s="40" t="n"/>
      <c r="E22" s="40" t="n"/>
      <c r="F22" s="41" t="n"/>
      <c r="G22" s="42" t="n"/>
    </row>
    <row r="23">
      <c r="A23" s="44" t="n"/>
      <c r="B23" s="45" t="n"/>
      <c r="C23" s="39" t="n"/>
      <c r="D23" s="40" t="n"/>
      <c r="E23" s="40" t="n"/>
      <c r="F23" s="41" t="n"/>
      <c r="G23" s="42" t="n"/>
    </row>
    <row r="24">
      <c r="A24" s="44" t="n"/>
      <c r="B24" s="45" t="n"/>
      <c r="C24" s="39" t="n"/>
      <c r="D24" s="40" t="n"/>
      <c r="E24" s="40" t="n"/>
      <c r="F24" s="41" t="n"/>
      <c r="G24" s="42" t="n"/>
    </row>
    <row r="25">
      <c r="A25" s="44" t="n"/>
      <c r="B25" s="45" t="n"/>
      <c r="C25" s="39" t="n"/>
      <c r="D25" s="40" t="n"/>
      <c r="E25" s="40" t="n"/>
      <c r="F25" s="41" t="n"/>
      <c r="G25" s="42" t="n"/>
    </row>
    <row r="26">
      <c r="A26" s="44" t="n"/>
      <c r="B26" s="45" t="n"/>
      <c r="C26" s="39" t="n"/>
      <c r="D26" s="40" t="n"/>
      <c r="E26" s="40" t="n"/>
      <c r="F26" s="41" t="n"/>
      <c r="G26" s="42" t="n"/>
    </row>
    <row r="27"/>
    <row r="28">
      <c r="A28" s="16" t="inlineStr">
        <is>
          <t>Tareas completadas:</t>
        </is>
      </c>
      <c r="D28" s="16">
        <f>COUNTIFS(B5:B26,"?*",F5:F26,"✓")</f>
        <v>0.0</v>
      </c>
      <c r="E28" s="17" t="inlineStr">
        <is>
          <t>de</t>
        </is>
      </c>
      <c r="F28" s="16">
        <f>COUNTIF(B5:B26,"?*")-COUNTIF(F5:F26,"N/A")</f>
        <v>12.0</v>
      </c>
    </row>
    <row r="29"/>
    <row r="30">
      <c r="A30" s="16" t="inlineStr">
        <is>
          <t>Verificado por:</t>
        </is>
      </c>
      <c r="B30" s="46" t="n"/>
      <c r="C30" s="28" t="n"/>
      <c r="D30" s="29" t="n"/>
      <c r="E30" s="16" t="inlineStr">
        <is>
          <t>Firma:</t>
        </is>
      </c>
      <c r="F30" s="46" t="n"/>
      <c r="G30" s="29" t="n"/>
    </row>
    <row r="31"/>
    <row r="32">
      <c r="A32" s="18" t="inlineStr">
        <is>
          <t>— Kit de Tareas Recurrentes · Bar / Cocktails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7:G17"/>
    <mergeCell ref="A2:G2"/>
    <mergeCell ref="F30:G30"/>
    <mergeCell ref="A11:G11"/>
    <mergeCell ref="B30:D30"/>
    <mergeCell ref="A5:G5"/>
    <mergeCell ref="A28:C28"/>
  </mergeCells>
  <conditionalFormatting sqref="A5:G26">
    <cfRule type="expression" priority="1" dxfId="0">
      <formula>$F5="✓"</formula>
    </cfRule>
  </conditionalFormatting>
  <dataValidations count="1">
    <dataValidation sqref="F6 F7 F8 F9 F12 F13 F14 F15 F18 F19 F20 F21 F22 F23 F24 F25 F26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05 — Semanales y Mensuales · Bar / Cocktails · Kit de Tareas Recurrentes — Checklists Operativos para Bar / Cocktails</dc:title>
  <dc:description xmlns:dc="http://purl.org/dc/elements/1.1/">aichef.pro/kit-tareas-bar</dc:description>
  <dc:subject xmlns:dc="http://purl.org/dc/elements/1.1/">Kit de Tareas Recurrentes — Checklists Operativos para Bar / Cocktails · v2.0</dc:subject>
  <dcterms:created xmlns:dcterms="http://purl.org/dc/terms/" xmlns:xsi="http://www.w3.org/2001/XMLSchema-instance" xsi:type="dcterms:W3CDTF">2026-03-20T23:40:44Z</dcterms:created>
  <dcterms:modified xmlns:dcterms="http://purl.org/dc/terms/" xmlns:xsi="http://www.w3.org/2001/XMLSchema-instance" xsi:type="dcterms:W3CDTF">2026-08-23T15:39:31Z</dcterms:modified>
  <cp:lastModifiedBy>AI Chef Pro</cp:lastModifiedBy>
  <cp:category>AI Chef Pro · Productos digitales</cp:category>
  <cp:keywords>kit tareas bar, AI Chef Pro</cp:keywords>
</cp:coreProperties>
</file>