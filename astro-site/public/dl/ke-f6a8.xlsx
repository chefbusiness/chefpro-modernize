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ocktail 50 pax" sheetId="2" state="visible" r:id="rId2"/>
    <sheet name="Presupuesto" sheetId="3" state="visible" r:id="rId3"/>
  </sheets>
  <definedNames>
    <definedName localSheetId="1" name="_xlnm.Print_Area">'Cocktail 50 pax'!$A$1:$I$29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formatCode="#,##0.00 €" numFmtId="164"/>
    <numFmt formatCode="0.000" numFmtId="165"/>
    <numFmt formatCode="0.0%" numFmtId="166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</fills>
  <borders count="15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54">
    <xf borderId="0" fillId="0" fontId="0" numFmtId="0" pivotButton="0" quotePrefix="0" xfId="0"/>
    <xf applyAlignment="1" borderId="0" fillId="0" fontId="1" numFmtId="0" pivotButton="0" quotePrefix="0" xfId="0">
      <alignment horizontal="left" vertical="center" wrapText="1"/>
    </xf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  <xf applyAlignment="1" borderId="0" fillId="0" fontId="5" numFmtId="0" pivotButton="0" quotePrefix="0" xfId="0">
      <alignment vertical="top" wrapText="1"/>
    </xf>
    <xf applyAlignment="1" borderId="0" fillId="0" fontId="6" numFmtId="0" pivotButton="0" quotePrefix="0" xfId="0">
      <alignment vertical="top" wrapText="1"/>
    </xf>
    <xf borderId="0" fillId="0" fontId="7" numFmtId="0" pivotButton="0" quotePrefix="0" xfId="0"/>
    <xf applyAlignment="1" borderId="0" fillId="0" fontId="11" numFmtId="0" pivotButton="0" quotePrefix="0" xfId="0">
      <alignment horizontal="left" vertical="center" wrapText="1"/>
    </xf>
    <xf applyAlignment="1" borderId="1" fillId="0" fontId="8" numFmtId="0" pivotButton="0" quotePrefix="0" xfId="0">
      <alignment horizontal="center" vertical="center" wrapText="1"/>
    </xf>
    <xf borderId="1" fillId="0" fontId="0" numFmtId="0" pivotButton="0" quotePrefix="0" xfId="0"/>
    <xf applyAlignment="1" borderId="14" fillId="3" fontId="12" numFmtId="0" pivotButton="0" quotePrefix="0" xfId="0">
      <alignment horizontal="center" vertical="center" wrapText="1"/>
    </xf>
    <xf borderId="2" fillId="2" fontId="0" numFmtId="0" pivotButton="0" quotePrefix="0" xfId="0"/>
    <xf borderId="3" fillId="2" fontId="0" numFmtId="0" pivotButton="0" quotePrefix="0" xfId="0"/>
    <xf applyAlignment="1" borderId="14" fillId="4" fontId="5" numFmtId="0" pivotButton="0" quotePrefix="0" xfId="0">
      <alignment horizontal="left" vertical="center" wrapText="1"/>
    </xf>
    <xf applyAlignment="1" borderId="14" fillId="4" fontId="5" numFmtId="0" pivotButton="0" quotePrefix="0" xfId="0">
      <alignment horizontal="center" vertical="center" wrapText="1"/>
    </xf>
    <xf applyAlignment="1" borderId="14" fillId="4" fontId="5" numFmtId="164" pivotButton="0" quotePrefix="0" xfId="0">
      <alignment horizontal="right" vertical="center"/>
    </xf>
    <xf applyAlignment="1" borderId="14" fillId="4" fontId="5" numFmtId="165" pivotButton="0" quotePrefix="0" xfId="0">
      <alignment horizontal="right" vertical="center"/>
    </xf>
    <xf applyAlignment="1" borderId="14" fillId="4" fontId="5" numFmtId="9" pivotButton="0" quotePrefix="0" xfId="0">
      <alignment horizontal="center" vertical="center" wrapText="1"/>
    </xf>
    <xf applyAlignment="1" borderId="14" fillId="0" fontId="13" numFmtId="165" pivotButton="0" quotePrefix="0" xfId="0">
      <alignment horizontal="right" vertical="center"/>
    </xf>
    <xf applyAlignment="1" borderId="14" fillId="0" fontId="13" numFmtId="164" pivotButton="0" quotePrefix="0" xfId="0">
      <alignment horizontal="right" vertical="center"/>
    </xf>
    <xf borderId="4" fillId="2" fontId="0" numFmtId="0" pivotButton="0" quotePrefix="0" xfId="0"/>
    <xf borderId="5" fillId="2" fontId="0" numFmtId="0" pivotButton="0" quotePrefix="0" xfId="0"/>
    <xf applyAlignment="1" borderId="4" fillId="2" fontId="9" numFmtId="0" pivotButton="0" quotePrefix="0" xfId="0">
      <alignment horizontal="center" vertical="center" wrapText="1"/>
    </xf>
    <xf borderId="10" fillId="0" fontId="0" numFmtId="0" pivotButton="0" quotePrefix="0" xfId="0"/>
    <xf borderId="12" fillId="0" fontId="0" numFmtId="0" pivotButton="0" quotePrefix="0" xfId="0"/>
    <xf borderId="13" fillId="0" fontId="0" numFmtId="0" pivotButton="0" quotePrefix="0" xfId="0"/>
    <xf borderId="6" fillId="2" fontId="0" numFmtId="0" pivotButton="0" quotePrefix="0" xfId="0"/>
    <xf borderId="7" fillId="2" fontId="0" numFmtId="0" pivotButton="0" quotePrefix="0" xfId="0"/>
    <xf borderId="14" fillId="4" fontId="0" numFmtId="0" pivotButton="0" quotePrefix="0" xfId="0"/>
    <xf borderId="14" fillId="4" fontId="0" numFmtId="9" pivotButton="0" quotePrefix="0" xfId="0"/>
    <xf borderId="14" fillId="0" fontId="0" numFmtId="165" pivotButton="0" quotePrefix="0" xfId="0"/>
    <xf borderId="14" fillId="0" fontId="0" numFmtId="164" pivotButton="0" quotePrefix="0" xfId="0"/>
    <xf applyAlignment="1" borderId="0" fillId="0" fontId="10" numFmtId="0" pivotButton="0" quotePrefix="0" xfId="0">
      <alignment horizontal="center" vertical="center" wrapText="1"/>
    </xf>
    <xf applyAlignment="1" borderId="14" fillId="5" fontId="4" numFmtId="0" pivotButton="0" quotePrefix="0" xfId="0">
      <alignment horizontal="right" vertical="center"/>
    </xf>
    <xf borderId="14" fillId="5" fontId="4" numFmtId="164" pivotButton="0" quotePrefix="0" xfId="0"/>
    <xf applyAlignment="1" borderId="14" fillId="0" fontId="5" numFmtId="0" pivotButton="0" quotePrefix="0" xfId="0">
      <alignment horizontal="right" vertical="center"/>
    </xf>
    <xf borderId="14" fillId="0" fontId="13" numFmtId="164" pivotButton="0" quotePrefix="0" xfId="0"/>
    <xf applyAlignment="1" borderId="14" fillId="6" fontId="14" numFmtId="0" pivotButton="0" quotePrefix="0" xfId="0">
      <alignment horizontal="right" vertical="center"/>
    </xf>
    <xf borderId="14" fillId="6" fontId="15" numFmtId="164" pivotButton="0" quotePrefix="0" xfId="0"/>
    <xf applyAlignment="1" borderId="14" fillId="0" fontId="13" numFmtId="0" pivotButton="0" quotePrefix="0" xfId="0">
      <alignment horizontal="right" vertical="center"/>
    </xf>
    <xf applyAlignment="1" borderId="14" fillId="4" fontId="16" numFmtId="9" pivotButton="0" quotePrefix="0" xfId="0">
      <alignment horizontal="center" vertical="center" wrapText="1"/>
    </xf>
    <xf applyAlignment="1" borderId="14" fillId="0" fontId="4" numFmtId="0" pivotButton="0" quotePrefix="0" xfId="0">
      <alignment horizontal="right" vertical="center"/>
    </xf>
    <xf borderId="14" fillId="0" fontId="4" numFmtId="164" pivotButton="0" quotePrefix="0" xfId="0"/>
    <xf applyAlignment="1" borderId="14" fillId="6" fontId="4" numFmtId="0" pivotButton="0" quotePrefix="0" xfId="0">
      <alignment horizontal="right" vertical="center"/>
    </xf>
    <xf borderId="14" fillId="6" fontId="17" numFmtId="164" pivotButton="0" quotePrefix="0" xfId="0"/>
    <xf borderId="14" fillId="0" fontId="13" numFmtId="166" pivotButton="0" quotePrefix="0" xfId="0"/>
    <xf borderId="0" fillId="0" fontId="1" numFmtId="0" pivotButton="0" quotePrefix="0" xfId="0"/>
    <xf borderId="14" fillId="3" fontId="12" numFmtId="0" pivotButton="0" quotePrefix="0" xfId="0"/>
    <xf borderId="14" fillId="0" fontId="0" numFmtId="0" pivotButton="0" quotePrefix="0" xfId="0"/>
    <xf borderId="14" fillId="4" fontId="0" numFmtId="1" pivotButton="0" quotePrefix="0" xfId="0"/>
    <xf borderId="14" fillId="4" fontId="0" numFmtId="164" pivotButton="0" quotePrefix="0" xfId="0"/>
    <xf borderId="14" fillId="6" fontId="4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📋 Escandallo — Catering por Persona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Cada pestaña calcula el coste POR PERSONA</t>
        </is>
      </c>
    </row>
    <row r="9">
      <c r="B9" s="6" t="inlineStr">
        <is>
          <t>▸ La pestaña 'Presupuesto' multiplica por número de comensales</t>
        </is>
      </c>
    </row>
    <row r="10">
      <c r="B10" s="6" t="inlineStr">
        <is>
          <t>▸ Incluye servicio, personal y logística como costes fijos</t>
        </is>
      </c>
    </row>
    <row r="11">
      <c r="B11" s="6" t="inlineStr">
        <is>
          <t>▸ Food cost objetivo en catering: 30-40%</t>
        </is>
      </c>
    </row>
    <row r="12">
      <c r="B12" s="5" t="inlineStr"/>
    </row>
    <row r="13">
      <c r="B13" s="7" t="inlineStr">
        <is>
          <t>— Kit de Escandallos Pro · AI Chef Pro · aichef.pro</t>
        </is>
      </c>
    </row>
    <row r="15">
      <c r="B15" s="8" t="inlineStr">
        <is>
          <t>© 2026 AI Chef Pro · Todos los derechos reservados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29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25"/>
    <col customWidth="1" max="2" min="2" width="16"/>
    <col customWidth="1" max="3" min="3" width="12"/>
    <col customWidth="1" max="4" min="4" width="14"/>
    <col customWidth="1" max="5" min="5" width="12"/>
    <col customWidth="1" max="6" min="6" width="12"/>
    <col customWidth="1" max="7" min="7" width="10"/>
    <col customWidth="1" max="8" min="8" width="14"/>
    <col customWidth="1" max="9" min="9" width="14"/>
    <col customWidth="1" max="10" min="10" width="3"/>
    <col customWidth="1" max="11" min="11" width="20"/>
    <col customWidth="1" max="12" min="12" width="20"/>
  </cols>
  <sheetData>
    <row r="1">
      <c r="A1" s="9" t="inlineStr">
        <is>
          <t>Catering Cocktail — Coste por Persona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Jamón ibérico (loncheado)</t>
        </is>
      </c>
      <c r="B5" s="16" t="inlineStr">
        <is>
          <t>Carne roja</t>
        </is>
      </c>
      <c r="C5" s="16" t="inlineStr">
        <is>
          <t>kg</t>
        </is>
      </c>
      <c r="D5" s="17" t="n">
        <v>65</v>
      </c>
      <c r="E5" s="18" t="n">
        <v>0.04</v>
      </c>
      <c r="F5" s="16" t="inlineStr">
        <is>
          <t>kg</t>
        </is>
      </c>
      <c r="G5" s="19" t="n">
        <v>0.05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Queso manchego curado</t>
        </is>
      </c>
      <c r="B6" s="16" t="inlineStr">
        <is>
          <t>Lácteos</t>
        </is>
      </c>
      <c r="C6" s="16" t="inlineStr">
        <is>
          <t>kg</t>
        </is>
      </c>
      <c r="D6" s="17" t="n">
        <v>16</v>
      </c>
      <c r="E6" s="18" t="n">
        <v>0.04</v>
      </c>
      <c r="F6" s="16" t="inlineStr">
        <is>
          <t>kg</t>
        </is>
      </c>
      <c r="G6" s="19" t="n">
        <v>0.1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Salmón ahumado</t>
        </is>
      </c>
      <c r="B7" s="16" t="inlineStr">
        <is>
          <t>Pescado</t>
        </is>
      </c>
      <c r="C7" s="16" t="inlineStr">
        <is>
          <t>kg</t>
        </is>
      </c>
      <c r="D7" s="17" t="n">
        <v>35</v>
      </c>
      <c r="E7" s="18" t="n">
        <v>0.03</v>
      </c>
      <c r="F7" s="16" t="inlineStr">
        <is>
          <t>kg</t>
        </is>
      </c>
      <c r="G7" s="19" t="n">
        <v>0.1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Langostino cocido</t>
        </is>
      </c>
      <c r="B8" s="16" t="inlineStr">
        <is>
          <t>Marisco</t>
        </is>
      </c>
      <c r="C8" s="16" t="inlineStr">
        <is>
          <t>kg</t>
        </is>
      </c>
      <c r="D8" s="17" t="n">
        <v>18</v>
      </c>
      <c r="E8" s="18" t="n">
        <v>0.05</v>
      </c>
      <c r="F8" s="16" t="inlineStr">
        <is>
          <t>kg</t>
        </is>
      </c>
      <c r="G8" s="19" t="n">
        <v>0.45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Croquetas (ud)</t>
        </is>
      </c>
      <c r="B9" s="16" t="inlineStr">
        <is>
          <t>Congelados</t>
        </is>
      </c>
      <c r="C9" s="16" t="inlineStr">
        <is>
          <t>ud</t>
        </is>
      </c>
      <c r="D9" s="17" t="n">
        <v>0.35</v>
      </c>
      <c r="E9" s="18" t="n">
        <v>3</v>
      </c>
      <c r="F9" s="16" t="inlineStr">
        <is>
          <t>ud</t>
        </is>
      </c>
      <c r="G9" s="19" t="n">
        <v>0.05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Mini quiche (ud)</t>
        </is>
      </c>
      <c r="B10" s="16" t="inlineStr">
        <is>
          <t>Congelados</t>
        </is>
      </c>
      <c r="C10" s="16" t="inlineStr">
        <is>
          <t>ud</t>
        </is>
      </c>
      <c r="D10" s="17" t="n">
        <v>0.45</v>
      </c>
      <c r="E10" s="18" t="n">
        <v>2</v>
      </c>
      <c r="F10" s="16" t="inlineStr">
        <is>
          <t>ud</t>
        </is>
      </c>
      <c r="G10" s="19" t="n">
        <v>0.05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Pan mini (ud)</t>
        </is>
      </c>
      <c r="B11" s="16" t="inlineStr">
        <is>
          <t>Pan/bollería</t>
        </is>
      </c>
      <c r="C11" s="16" t="inlineStr">
        <is>
          <t>ud</t>
        </is>
      </c>
      <c r="D11" s="17" t="n">
        <v>0.15</v>
      </c>
      <c r="E11" s="18" t="n">
        <v>3</v>
      </c>
      <c r="F11" s="16" t="inlineStr">
        <is>
          <t>ud</t>
        </is>
      </c>
      <c r="G11" s="19" t="n">
        <v>0.1</v>
      </c>
      <c r="H11" s="20">
        <f>E11/(1-G11)</f>
        <v/>
      </c>
      <c r="I11" s="21">
        <f>H11*D11</f>
        <v/>
      </c>
      <c r="K11" s="22" t="n"/>
      <c r="L11" s="23" t="n"/>
    </row>
    <row r="12">
      <c r="A12" s="15" t="inlineStr">
        <is>
          <t>Fruta variada</t>
        </is>
      </c>
      <c r="B12" s="16" t="inlineStr">
        <is>
          <t>Fruta</t>
        </is>
      </c>
      <c r="C12" s="16" t="inlineStr">
        <is>
          <t>kg</t>
        </is>
      </c>
      <c r="D12" s="17" t="n">
        <v>3.5</v>
      </c>
      <c r="E12" s="18" t="n">
        <v>0.06</v>
      </c>
      <c r="F12" s="16" t="inlineStr">
        <is>
          <t>kg</t>
        </is>
      </c>
      <c r="G12" s="19" t="n">
        <v>0.15</v>
      </c>
      <c r="H12" s="20">
        <f>E12/(1-G12)</f>
        <v/>
      </c>
      <c r="I12" s="21">
        <f>H12*D12</f>
        <v/>
      </c>
      <c r="K12" s="22" t="n"/>
      <c r="L12" s="23" t="n"/>
    </row>
    <row r="13">
      <c r="A13" s="15" t="inlineStr">
        <is>
          <t>Bebida (vino + agua)</t>
        </is>
      </c>
      <c r="B13" s="16" t="inlineStr">
        <is>
          <t>Bebidas/licores</t>
        </is>
      </c>
      <c r="C13" s="16" t="inlineStr">
        <is>
          <t>L</t>
        </is>
      </c>
      <c r="D13" s="17" t="n">
        <v>3</v>
      </c>
      <c r="E13" s="18" t="n">
        <v>0.35</v>
      </c>
      <c r="F13" s="16" t="inlineStr">
        <is>
          <t>L</t>
        </is>
      </c>
      <c r="G13" s="19" t="n">
        <v>0.05</v>
      </c>
      <c r="H13" s="20">
        <f>E13/(1-G13)</f>
        <v/>
      </c>
      <c r="I13" s="21">
        <f>H13*D13</f>
        <v/>
      </c>
      <c r="K13" s="22" t="n"/>
      <c r="L13" s="23" t="n"/>
    </row>
    <row r="14">
      <c r="A14" s="15" t="inlineStr">
        <is>
          <t>Café</t>
        </is>
      </c>
      <c r="B14" s="16" t="inlineStr">
        <is>
          <t>Bebidas/licores</t>
        </is>
      </c>
      <c r="C14" s="16" t="inlineStr">
        <is>
          <t>ud</t>
        </is>
      </c>
      <c r="D14" s="17" t="n">
        <v>0.2</v>
      </c>
      <c r="E14" s="18" t="n">
        <v>1</v>
      </c>
      <c r="F14" s="16" t="inlineStr">
        <is>
          <t>ud</t>
        </is>
      </c>
      <c r="G14" s="19" t="n">
        <v>0</v>
      </c>
      <c r="H14" s="20">
        <f>E14/(1-G14)</f>
        <v/>
      </c>
      <c r="I14" s="21">
        <f>H14*D14</f>
        <v/>
      </c>
      <c r="K14" s="28" t="n"/>
      <c r="L14" s="29" t="n"/>
    </row>
    <row r="15">
      <c r="A15" s="30" t="n"/>
      <c r="B15" s="30" t="n"/>
      <c r="C15" s="30" t="n"/>
      <c r="D15" s="30" t="n"/>
      <c r="E15" s="30" t="n"/>
      <c r="F15" s="30" t="n"/>
      <c r="G15" s="31" t="n"/>
      <c r="H15" s="32">
        <f>IF(E15="","",E15/(1-G15))</f>
        <v/>
      </c>
      <c r="I15" s="33">
        <f>IF(H15="","",H15*D15)</f>
        <v/>
      </c>
      <c r="K15" s="34" t="inlineStr">
        <is>
          <t>Insertar → Imagen → Desde archivo</t>
        </is>
      </c>
    </row>
    <row r="16">
      <c r="A16" s="30" t="n"/>
      <c r="B16" s="30" t="n"/>
      <c r="C16" s="30" t="n"/>
      <c r="D16" s="30" t="n"/>
      <c r="E16" s="30" t="n"/>
      <c r="F16" s="30" t="n"/>
      <c r="G16" s="31" t="n"/>
      <c r="H16" s="32">
        <f>IF(E16="","",E16/(1-G16))</f>
        <v/>
      </c>
      <c r="I16" s="33">
        <f>IF(H16="","",H16*D16)</f>
        <v/>
      </c>
    </row>
    <row r="17">
      <c r="A17" s="30" t="n"/>
      <c r="B17" s="30" t="n"/>
      <c r="C17" s="30" t="n"/>
      <c r="D17" s="30" t="n"/>
      <c r="E17" s="30" t="n"/>
      <c r="F17" s="30" t="n"/>
      <c r="G17" s="31" t="n"/>
      <c r="H17" s="32">
        <f>IF(E17="","",E17/(1-G17))</f>
        <v/>
      </c>
      <c r="I17" s="33">
        <f>IF(H17="","",H17*D17)</f>
        <v/>
      </c>
    </row>
    <row r="18">
      <c r="A18" s="30" t="n"/>
      <c r="B18" s="30" t="n"/>
      <c r="C18" s="30" t="n"/>
      <c r="D18" s="30" t="n"/>
      <c r="E18" s="30" t="n"/>
      <c r="F18" s="30" t="n"/>
      <c r="G18" s="31" t="n"/>
      <c r="H18" s="32">
        <f>IF(E18="","",E18/(1-G18))</f>
        <v/>
      </c>
      <c r="I18" s="33">
        <f>IF(H18="","",H18*D18)</f>
        <v/>
      </c>
    </row>
    <row r="19">
      <c r="A19" s="30" t="n"/>
      <c r="B19" s="30" t="n"/>
      <c r="C19" s="30" t="n"/>
      <c r="D19" s="30" t="n"/>
      <c r="E19" s="30" t="n"/>
      <c r="F19" s="30" t="n"/>
      <c r="G19" s="31" t="n"/>
      <c r="H19" s="32">
        <f>IF(E19="","",E19/(1-G19))</f>
        <v/>
      </c>
      <c r="I19" s="33">
        <f>IF(H19="","",H19*D19)</f>
        <v/>
      </c>
    </row>
    <row r="20"/>
    <row r="21">
      <c r="A21" s="35" t="inlineStr">
        <is>
          <t>COSTE TOTAL INGREDIENTES</t>
        </is>
      </c>
      <c r="I21" s="36">
        <f>SUM(I5:I19)</f>
        <v/>
      </c>
    </row>
    <row r="22">
      <c r="A22" s="37" t="inlineStr">
        <is>
          <t>Coste elaboración (%)</t>
        </is>
      </c>
      <c r="H22" s="19" t="n">
        <v>0.1</v>
      </c>
      <c r="I22" s="38">
        <f>I21*H22</f>
        <v/>
      </c>
    </row>
    <row r="23">
      <c r="A23" s="39" t="inlineStr">
        <is>
          <t>COSTE TOTAL DEL PLATO</t>
        </is>
      </c>
      <c r="I23" s="40">
        <f>I21+I22</f>
        <v/>
      </c>
    </row>
    <row r="24"/>
    <row r="25">
      <c r="A25" s="41" t="inlineStr">
        <is>
          <t>Food Cost objetivo (%)</t>
        </is>
      </c>
      <c r="H25" s="42" t="n">
        <v>0.35</v>
      </c>
    </row>
    <row r="26">
      <c r="A26" s="43" t="inlineStr">
        <is>
          <t>PVP SUGERIDO (sin IVA)</t>
        </is>
      </c>
      <c r="I26" s="44">
        <f>I23/H25</f>
        <v/>
      </c>
    </row>
    <row r="27">
      <c r="A27" s="45" t="inlineStr">
        <is>
          <t>PVP CON IVA (10% hostelería)</t>
        </is>
      </c>
      <c r="I27" s="46">
        <f>I26*1.10</f>
        <v/>
      </c>
    </row>
    <row r="28">
      <c r="A28" s="37" t="inlineStr">
        <is>
          <t>Margen bruto (€)</t>
        </is>
      </c>
      <c r="I28" s="38">
        <f>I26-I23</f>
        <v/>
      </c>
    </row>
    <row r="29">
      <c r="A29" s="37" t="inlineStr">
        <is>
          <t>Margen bruto (%)</t>
        </is>
      </c>
      <c r="I29" s="47">
        <f>I28/I26</f>
        <v/>
      </c>
    </row>
  </sheetData>
  <mergeCells count="13">
    <mergeCell ref="K15:L15"/>
    <mergeCell ref="K8:L9"/>
    <mergeCell ref="A2:I2"/>
    <mergeCell ref="A28:H28"/>
    <mergeCell ref="A26:H26"/>
    <mergeCell ref="A25:G25"/>
    <mergeCell ref="A21:H21"/>
    <mergeCell ref="A1:I1"/>
    <mergeCell ref="A27:H27"/>
    <mergeCell ref="A29:H29"/>
    <mergeCell ref="K3:L3"/>
    <mergeCell ref="A23:H23"/>
    <mergeCell ref="A22:G22"/>
  </mergeCells>
  <dataValidations count="2">
    <dataValidation allowBlank="1" error="Selecciona una categoría válida" errorTitle="Categoría inválida" showDropDown="0" showErrorMessage="0" showInputMessage="0" sqref="B5 B6 B7 B8 B9 B10 B11 B12 B13 B14 B15 B16 B17 B18 B19" type="list">
      <formula1>"Carne roja,Aves,Pescado,Marisco,Verdura hoja,Verdura raíz,Fruta,Lácteos,Secos/granos,Congelados,Pan/bollería,Huevos,Aceites/grasas,Especias/hierbas,Chocolate/cacao,Bebidas/licores"</formula1>
    </dataValidation>
    <dataValidation allowBlank="1" showDropDown="0" showErrorMessage="0" showInputMessage="0" sqref="C5 C6 C7 C8 C9 C10 C11 C12 C13 C14 C15 C16 C17 C18 C19 F5 F6 F7 F8 F9 F10 F11 F12 F13 F14 F15 F16 F17 F18 F19" type="list">
      <formula1>"kg,g,L,ml,cl,ud,docena,manojo,sobre,lata,botella"</formula1>
    </dataValidation>
  </dataValidations>
  <pageMargins bottom="1" footer="0.5" header="0.5" left="0.75" right="0.75" top="1"/>
  <pageSetup fitToHeight="0" fitToWidth="1" orientation="landscape"/>
</worksheet>
</file>

<file path=xl/worksheets/sheet3.xml><?xml version="1.0" encoding="utf-8"?>
<worksheet xmlns="http://schemas.openxmlformats.org/spreadsheetml/2006/main">
  <sheetPr>
    <tabColor rgb="00FF4444"/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customWidth="1" max="2" min="2" width="40"/>
    <col customWidth="1" max="3" min="3" width="18"/>
  </cols>
  <sheetData>
    <row r="2">
      <c r="B2" s="48" t="inlineStr">
        <is>
          <t>Presupuesto de Catering</t>
        </is>
      </c>
    </row>
    <row r="4">
      <c r="B4" s="49" t="inlineStr">
        <is>
          <t>Concepto</t>
        </is>
      </c>
      <c r="C4" s="49" t="inlineStr">
        <is>
          <t>Importe (€)</t>
        </is>
      </c>
    </row>
    <row r="5">
      <c r="B5" s="50" t="inlineStr">
        <is>
          <t>Número de comensales</t>
        </is>
      </c>
      <c r="C5" s="51" t="n">
        <v>50</v>
      </c>
    </row>
    <row r="6">
      <c r="B6" s="50" t="inlineStr">
        <is>
          <t>Coste alimentación por persona</t>
        </is>
      </c>
      <c r="C6" s="33">
        <f>'Cocktail 50 pax'!I23</f>
        <v/>
      </c>
    </row>
    <row r="7">
      <c r="B7" s="50" t="inlineStr">
        <is>
          <t>Coste total alimentación</t>
        </is>
      </c>
      <c r="C7" s="33">
        <f>C5*C6</f>
        <v/>
      </c>
    </row>
    <row r="8">
      <c r="B8" s="50" t="inlineStr">
        <is>
          <t>Personal de servicio (camareros)</t>
        </is>
      </c>
      <c r="C8" s="33">
        <f>C5*3.50</f>
        <v/>
      </c>
    </row>
    <row r="9">
      <c r="B9" s="50" t="inlineStr">
        <is>
          <t>Transporte y logística</t>
        </is>
      </c>
      <c r="C9" s="52" t="n">
        <v>150</v>
      </c>
    </row>
    <row r="10">
      <c r="B10" s="50" t="inlineStr">
        <is>
          <t>Material desechable / menaje</t>
        </is>
      </c>
      <c r="C10" s="33">
        <f>C5*1.20</f>
        <v/>
      </c>
    </row>
    <row r="11">
      <c r="B11" s="50" t="inlineStr">
        <is>
          <t>Montaje y desmontaje</t>
        </is>
      </c>
      <c r="C11" s="52" t="n">
        <v>200</v>
      </c>
    </row>
    <row r="13">
      <c r="B13" s="53" t="inlineStr">
        <is>
          <t>COSTE TOTAL EVENTO</t>
        </is>
      </c>
      <c r="C13" s="40">
        <f>SUM(C7:C11)</f>
        <v/>
      </c>
    </row>
    <row r="14">
      <c r="B14" s="50" t="inlineStr">
        <is>
          <t>Coste por persona</t>
        </is>
      </c>
      <c r="C14" s="33">
        <f>C13/C5</f>
        <v/>
      </c>
    </row>
    <row r="16">
      <c r="B16" s="50" t="inlineStr">
        <is>
          <t>Margen objetivo (%)</t>
        </is>
      </c>
      <c r="C16" s="31" t="n">
        <v>0.35</v>
      </c>
    </row>
    <row r="17">
      <c r="B17" s="53" t="inlineStr">
        <is>
          <t>PVP POR PERSONA (sin IVA)</t>
        </is>
      </c>
      <c r="C17" s="40">
        <f>C14/(1-C16)</f>
        <v/>
      </c>
    </row>
    <row r="18">
      <c r="B18" s="53" t="inlineStr">
        <is>
          <t>PVP POR PERSONA (con IVA 10%)</t>
        </is>
      </c>
      <c r="C18" s="40">
        <f>C17*1.10</f>
        <v/>
      </c>
    </row>
    <row r="20">
      <c r="B20" s="53" t="inlineStr">
        <is>
          <t>PRESUPUESTO TOTAL (con IVA)</t>
        </is>
      </c>
      <c r="C20" s="40">
        <f>C18*C5</f>
        <v/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2026-03-18T21:50:24Z</dcterms:created>
  <dcterms:modified xsi:type="dcterms:W3CDTF">2026-03-18T21:50:24Z</dcterms:modified>
</cp:coreProperties>
</file>