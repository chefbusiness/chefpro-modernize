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80</v>
      </c>
      <c r="C4" t="inlineStr">
        <is>
          <t>Average number of customers served per day over the year. It is the main volume driver of the whole workbook: the P&amp;L, break-even and scenarios all read it.</t>
        </is>
      </c>
    </row>
    <row r="5">
      <c r="A5" t="inlineStr">
        <is>
          <t>Average check (excl. sales tax)</t>
        </is>
      </c>
      <c r="B5" s="24" t="n">
        <v>14</v>
      </c>
      <c r="C5" t="inlineStr">
        <is>
          <t>EXCL. sales tax: the check before tax is added. Menu price incl. sales tax = this value × (1 + your sales tax rate). The example (14) sits inside the 10-15 range in the benchmarks table on the Instructions tab (kit estimate).</t>
        </is>
      </c>
    </row>
    <row r="6">
      <c r="A6" t="inlineStr">
        <is>
          <t>Operating days per year</t>
        </is>
      </c>
      <c r="B6" s="18" t="n">
        <v>260</v>
      </c>
      <c r="C6" t="inlineStr">
        <is>
          <t>One operating-days cell for the whole workbook: the P&amp;L, break-even and scenarios all read it, so they always agree. The example is 5 service days a week for 52 weeks (260): lower it for closures, bad weather and off-season weeks.</t>
        </is>
      </c>
    </row>
    <row r="7">
      <c r="A7" t="inlineStr">
        <is>
          <t>Volume growth in year 2</t>
        </is>
      </c>
      <c r="B7" s="63" t="n">
        <v>0.15</v>
      </c>
      <c r="C7" t="inlineStr">
        <is>
          <t>Volume growth in year 2 over year 1. Kept conservative on purpose: a food truck in its first year has not yet built regular routes or corporate clients.</t>
        </is>
      </c>
    </row>
    <row r="8">
      <c r="A8" t="inlineStr">
        <is>
          <t>Volume growth in year 3</t>
        </is>
      </c>
      <c r="B8" s="63" t="n">
        <v>0.1</v>
      </c>
      <c r="C8" t="inlineStr">
        <is>
          <t>Volume growth in year 3 over year 2: kept conservative for the same reason.</t>
        </is>
      </c>
    </row>
    <row r="9">
      <c r="A9" t="inlineStr">
        <is>
          <t>Menu price incl. sales tax (calculated)</t>
        </is>
      </c>
      <c r="B9" s="64">
        <f>IFERROR(IF($B$5="","",$B$5*(1+SUMPRODUCT('3-Year P&amp;L'!$E$10:$E$11,'3-Year P&amp;L'!$G$10:$G$11))),"")</f>
        <v>15.120000000000001</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0.8519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0.1481</v>
      </c>
      <c r="C12" t="inlineStr">
        <is>
          <t>Calculated as the remainder: food + beverage = 100%</t>
        </is>
      </c>
    </row>
    <row r="13">
      <c r="A13" t="inlineStr">
        <is>
          <t>Cost of goods sold on FOOD sales</t>
        </is>
      </c>
      <c r="B13" s="63" t="n">
        <v>0.3</v>
      </c>
      <c r="C13" t="inlineStr">
        <is>
          <t>Cost of goods sold on food sales. The example (30%) sits inside the 28-35% range for food trucks in the benchmarks table on the Instructions tab; the concept matters (a burger menu runs lower than a poke menu). It is the most sensitive lever in the plan: test it at the top of the range before you trust the result.</t>
        </is>
      </c>
    </row>
    <row r="14">
      <c r="A14" t="inlineStr">
        <is>
          <t>Cost of goods sold on BEVERAGE sales</t>
        </is>
      </c>
      <c r="B14" s="63" t="n">
        <v>0.25</v>
      </c>
      <c r="C14" t="inlineStr">
        <is>
          <t>Bottled drinks and sodas: a high-margin line, set below the food rate. See the beverage cost row in the benchmarks table on the Instructions tab.</t>
        </is>
      </c>
    </row>
    <row r="15">
      <c r="A15" t="inlineStr">
        <is>
          <t>Disposables and packaging as % of sales</t>
        </is>
      </c>
      <c r="B15" s="63" t="n">
        <v>0.04</v>
      </c>
      <c r="C15" t="inlineStr">
        <is>
          <t>Disposable packaging, cutlery and napkins as a % of sales. It is a real cost for a truck, and some cities restrict foam and single-use plastics (check your local rules), so it sits next to cost of goods sold instead of hiding in miscellaneous.</t>
        </is>
      </c>
    </row>
    <row r="16">
      <c r="A16" t="inlineStr">
        <is>
          <t>Delivery share of total sales</t>
        </is>
      </c>
      <c r="B16" s="63" t="n">
        <v>0</v>
      </c>
      <c r="C16" t="inlineStr">
        <is>
          <t>ZERO by default: this business sells from the truck window and does not deliver. Raise it if you add a delivery channel from a fixed location (for example DoorDash or Uber Eats).</t>
        </is>
      </c>
    </row>
    <row r="17">
      <c r="A17" t="inlineStr">
        <is>
          <t>Delivery platform fee</t>
        </is>
      </c>
      <c r="B17" s="63" t="n">
        <v>0.25</v>
      </c>
      <c r="C17" t="inlineStr">
        <is>
          <t>Not used while the delivery share is 0%. Delivery platforms usually charge a commission in the 15-30% range (kit estimate); the example uses 25%.</t>
        </is>
      </c>
    </row>
    <row r="18">
      <c r="A18" t="inlineStr">
        <is>
          <t>Card processing fee</t>
        </is>
      </c>
      <c r="B18" s="63" t="n">
        <v>0.029</v>
      </c>
      <c r="C18" t="inlineStr">
        <is>
          <t>Card and mobile wallet fees on total sales. A city food truck takes cards or contactless on most tickets. The example (2.9%) is roughly 2.6% plus 0.15 per sale, a typical card reader rate, averaged over the check (kit estimate).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Pay periods per year</t>
        </is>
      </c>
      <c r="B21" s="18" t="n">
        <v>12</v>
      </c>
      <c r="C21" t="inlineStr">
        <is>
          <t>Annual gross pay = monthly gross pay × pay periods</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AND FIXED COSTS</t>
        </is>
      </c>
    </row>
    <row r="24">
      <c r="A24" t="inlineStr">
        <is>
          <t>Monthly commissary &amp; truck parking</t>
        </is>
      </c>
      <c r="B24" s="18" t="n">
        <v>1200</v>
      </c>
      <c r="C24" t="inlineStr">
        <is>
          <t>THIS BUSINESS HAS NO STOREFRONT RENT: this cell is the monthly cost of the commissary &amp; truck parking, where the truck is stored and prepped each day. The deposit and the months before opening are calculated from it. It is separate from generator fuel, which sits in the utilities cell. Commissaries often charge 250-750 per month (more in Manhattan or Los Angeles) and parking 500-1,000: get quotes in your area before you sign.</t>
        </is>
      </c>
    </row>
    <row r="25">
      <c r="A25" t="inlineStr">
        <is>
          <t>Commissary &amp; parking deposit (months)</t>
        </is>
      </c>
      <c r="B25" s="18" t="n">
        <v>1</v>
      </c>
      <c r="C25" t="inlineStr">
        <is>
          <t>One month of deposit for the commissary or parking space: far less than the deposit on a commercial lease.</t>
        </is>
      </c>
    </row>
    <row r="26">
      <c r="A26" t="inlineStr">
        <is>
          <t>Monthly utilities (electricity, water, gas)</t>
        </is>
      </c>
      <c r="B26" s="18" t="n">
        <v>500</v>
      </c>
      <c r="C26" t="inlineStr">
        <is>
          <t>Generator fuel and propane, plus water and waste hookup fees at the commissary. It is the one cell for this cost, so you change it in one place and the rest of the workbook follows.</t>
        </is>
      </c>
    </row>
    <row r="27">
      <c r="A27" t="inlineStr">
        <is>
          <t>Insurance (per year)</t>
        </is>
      </c>
      <c r="B27" s="18" t="n">
        <v>4000</v>
      </c>
      <c r="C27" t="inlineStr">
        <is>
          <t>General liability (events and landlords often require 1M per occurrence) plus commercial auto for the truck. The example is a kit estimate: get quotes from an insurance agent. It is counted once, as an annual expense, not also in startup costs, which is how it is actually paid.</t>
        </is>
      </c>
    </row>
    <row r="28">
      <c r="A28" t="inlineStr">
        <is>
          <t>Miscellaneous and contingency as % of sales</t>
        </is>
      </c>
      <c r="B28" s="63" t="n">
        <v>0.05</v>
      </c>
      <c r="C28" t="inlineStr">
        <is>
          <t>Truck fuel to drive between locations, plus a cushion for unbudgeted running costs. It is a VARIABLE cost: it rises and falls with the number of services, so it cannot sit among the fixed costs or it would move the break-even without anyone noticing.</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112000</v>
      </c>
      <c r="C31" t="inlineStr">
        <is>
          <t>Principal requested. The Financing tab checks that the sources of funds match the total cash needed on the Startup Costs tab (which includes working capital and the startup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without real estate collateral (the truck is the collateral) often prices above a storefront loan: ask two lenders for quotes, and ask about SBA-guaranteed loans, before you set it.</t>
        </is>
      </c>
    </row>
    <row r="33">
      <c r="A33" t="inlineStr">
        <is>
          <t>Loan term (years)</t>
        </is>
      </c>
      <c r="B33" s="18" t="n">
        <v>7</v>
      </c>
      <c r="C33" t="inlineStr">
        <is>
          <t>Total years, interest-only period included. A truck loses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stretch of bad weather or a slow season for events.</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7</v>
      </c>
      <c r="C44" t="inlineStr">
        <is>
          <t>The truck, build-out and wrap, propane system, water tanks and plan drawings: everything mounted on the truck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equipment, generator, POS, smallwares and awning. Daily setup and teardown wear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Standing spots and high-top tables next to the truck</t>
        </is>
      </c>
      <c r="B51" s="18" t="n">
        <v>16</v>
      </c>
      <c r="C51" t="inlineStr">
        <is>
          <t>INFORMATION ONLY: it does not enter any calculation in this workbook. These are the folding high-top tables budgeted in the awning, folding tables and banners line of the Startup Costs tab. A food truck has no legal seating capacity, so no table turnover is calculated: the real ceiling is customers per service (see the benchmarks table on the Instructions tab), and volume is driven by the "Customers per day" cell above.</t>
        </is>
      </c>
    </row>
    <row r="52">
      <c r="A52" t="inlineStr">
        <is>
          <t>Month-1 activity as a % of steady-state activity</t>
        </is>
      </c>
      <c r="B52" s="63" t="n">
        <v>0.55</v>
      </c>
      <c r="C52" t="inlineStr">
        <is>
          <t>A new food truck does not sell on day one what it sells in month six: you have to test locations, get into markets and let people find you. At 100% the ramp disappears and year 1 runs at steady state.</t>
        </is>
      </c>
    </row>
    <row r="53">
      <c r="A53" t="inlineStr">
        <is>
          <t>Months to reach steady state</t>
        </is>
      </c>
      <c r="B53" s="18" t="n">
        <v>6</v>
      </c>
      <c r="C53" t="inlineStr">
        <is>
          <t>The ramp rises in a straight line from the percentage above to 100% over this number of months</t>
        </is>
      </c>
    </row>
    <row r="54">
      <c r="A54" t="inlineStr">
        <is>
          <t>Months of commissary &amp; parking rent BEFORE opening</t>
        </is>
      </c>
      <c r="B54" s="18" t="n">
        <v>2</v>
      </c>
      <c r="C54" t="inlineStr">
        <is>
          <t>The truck build-out takes 4-8 weeks (see Phase 2 of your checklist), so plan on about two months of commissary and parking rent that you pay before your first sale. It belongs in startup costs, not in the P&amp;L.</t>
        </is>
      </c>
    </row>
    <row r="55">
      <c r="A55" t="inlineStr">
        <is>
          <t>Contingency on the truck purchase and build-out lines (%)</t>
        </is>
      </c>
      <c r="B55" s="63" t="n">
        <v>0.08</v>
      </c>
      <c r="C55" t="inlineStr">
        <is>
          <t>Calculated by formula on the truck purchase and build-out lines: if you change the truck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At the window you get paid on the spot (0 days). Raise it if you work with event organizers or catering clients who pay at 15 or 30 days, or with platforms that settle later.</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Close to zero: the beverage line of this plan is sodas, water and juices (see the beverage cost row in the benchmarks table), with at most an occasional canned beer at a music festival. Selling alcohol needs a liquor license and may carry extra state taxes: check your state before adding it.</t>
        </is>
      </c>
    </row>
    <row r="63">
      <c r="A63" t="inlineStr">
        <is>
          <t>Sales tax rate on alcohol served on site</t>
        </is>
      </c>
      <c r="B63" s="63" t="n">
        <v>0.08</v>
      </c>
      <c r="C63" t="inlineStr">
        <is>
          <t>Example rate: the same as the rest of the sales (state + local combined). Some states tax alcohol at a different rate or add liquor taxes: if you sell alcohol, enter the rate that applies. The model applies the "to go" alcohol rate only to alcohol sold through the delivery channel above, which is zero in this plan.</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Pay periods per year, from 12 to 16. The model pays 12 monthly installments;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FOOD TRUCK</t>
        </is>
      </c>
    </row>
    <row r="2">
      <c r="A2" s="2" t="inlineStr">
        <is>
          <t>Estimated Startup Costs</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114120.0</v>
      </c>
      <c r="C6" s="67">
        <f>IFERROR(B6/$B$26,"")</f>
        <v>0.7795124563522204</v>
      </c>
      <c r="D6" s="28" t="n"/>
      <c r="E6" s="28" t="n"/>
    </row>
    <row r="7">
      <c r="A7" s="28" t="inlineStr">
        <is>
          <t>Food truck or trailer (used)</t>
        </is>
      </c>
      <c r="B7" s="49" t="n">
        <v>45000</v>
      </c>
      <c r="C7" s="68">
        <f>IFERROR(B7/$B$26,"")</f>
        <v>0.3073787288455128</v>
      </c>
      <c r="D7" s="28" t="inlineStr">
        <is>
          <t>Step van, truck or trailer. Used units run roughly 15,000-100,000 and new ones 75,000-200,000, depending on size and condition.</t>
        </is>
      </c>
      <c r="E7" s="31" t="inlineStr">
        <is>
          <t>Yes</t>
        </is>
      </c>
    </row>
    <row r="8">
      <c r="A8" s="28" t="inlineStr">
        <is>
          <t>Build-out and wrap</t>
        </is>
      </c>
      <c r="B8" s="49" t="n">
        <v>20000</v>
      </c>
      <c r="C8" s="68">
        <f>IFERROR(B8/$B$26,"")</f>
        <v>0.13661276837578346</v>
      </c>
      <c r="D8" s="28" t="inlineStr">
        <is>
          <t>Service window, counter, full vehicle wrap</t>
        </is>
      </c>
      <c r="E8" s="31" t="inlineStr">
        <is>
          <t>Yes</t>
        </is>
      </c>
    </row>
    <row r="9">
      <c r="A9" s="28" t="inlineStr">
        <is>
          <t>Kitchen and refrigeration equipment</t>
        </is>
      </c>
      <c r="B9" s="49" t="n">
        <v>15000</v>
      </c>
      <c r="C9" s="68">
        <f>IFERROR(B9/$B$26,"")</f>
        <v>0.10245957628183759</v>
      </c>
      <c r="D9" s="28" t="inlineStr">
        <is>
          <t>Griddle, fryer, exhaust hood, refrigeration, sink</t>
        </is>
      </c>
      <c r="E9" s="31" t="inlineStr">
        <is>
          <t>Yes</t>
        </is>
      </c>
    </row>
    <row r="10">
      <c r="A10" s="28" t="inlineStr">
        <is>
          <t>Generator</t>
        </is>
      </c>
      <c r="B10" s="49" t="n">
        <v>5000</v>
      </c>
      <c r="C10" s="68">
        <f>IFERROR(B10/$B$26,"")</f>
        <v>0.034153192093945864</v>
      </c>
      <c r="D10" s="28" t="inlineStr">
        <is>
          <t>Quiet generator, or a shore-power hookup kit</t>
        </is>
      </c>
      <c r="E10" s="31" t="inlineStr">
        <is>
          <t>Yes</t>
        </is>
      </c>
    </row>
    <row r="11">
      <c r="A11" s="28" t="inlineStr">
        <is>
          <t>Propane system and fire suppression</t>
        </is>
      </c>
      <c r="B11" s="49" t="n">
        <v>4000</v>
      </c>
      <c r="C11" s="68">
        <f>IFERROR(B11/$B$26,"")</f>
        <v>0.027322553675156694</v>
      </c>
      <c r="D11" s="28" t="inlineStr">
        <is>
          <t>Propane system certification and fire suppression system; annual inspections where required</t>
        </is>
      </c>
      <c r="E11" s="31" t="inlineStr">
        <is>
          <t>Yes</t>
        </is>
      </c>
    </row>
    <row r="12">
      <c r="A12" s="28" t="inlineStr">
        <is>
          <t>Fresh / gray water tanks and handwashing sinks</t>
        </is>
      </c>
      <c r="B12" s="49" t="n">
        <v>1500</v>
      </c>
      <c r="C12" s="68">
        <f>IFERROR(B12/$B$26,"")</f>
        <v>0.01024595762818376</v>
      </c>
      <c r="D12" s="28" t="inlineStr">
        <is>
          <t>Fresh water and gray water tanks plus handwashing sinks: the equipment the health department's plan review requires to serve food away from a building with utility hookups. Tank sizes are set by county rules (check your county): the gray water tank is usually larger than the fresh water tank.</t>
        </is>
      </c>
      <c r="E12" s="31" t="inlineStr">
        <is>
          <t>Yes</t>
        </is>
      </c>
    </row>
    <row r="13">
      <c r="A13" s="28" t="inlineStr">
        <is>
          <t>LLC formation and legal</t>
        </is>
      </c>
      <c r="B13" s="49" t="n">
        <v>800</v>
      </c>
      <c r="C13" s="68">
        <f>IFERROR(B13/$B$26,"")</f>
        <v>0.005464510735031338</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3000</v>
      </c>
      <c r="C14" s="68">
        <f>IFERROR(B14/$B$26,"")</f>
        <v>0.02049191525636752</v>
      </c>
      <c r="D14" s="28" t="inlineStr">
        <is>
          <t>Varies a lot by city and county: get the amounts for yours before you close the budget. The essentials often run 1,000-3,000, but the first year can reach 30,000 or more once parking fees are included.</t>
        </is>
      </c>
      <c r="E14" s="31" t="inlineStr">
        <is>
          <t>No</t>
        </is>
      </c>
    </row>
    <row r="15">
      <c r="A15" s="28" t="inlineStr">
        <is>
          <t>Health plan review and drawings</t>
        </is>
      </c>
      <c r="B15" s="49" t="n">
        <v>1000</v>
      </c>
      <c r="C15" s="68">
        <f>IFERROR(B15/$B$26,"")</f>
        <v>0.0068306384187891735</v>
      </c>
      <c r="D15" s="28" t="inlineStr">
        <is>
          <t>Required by most health departments for a mobile unit: plan review with drawings of the equipment layout, workflow and water tanks.</t>
        </is>
      </c>
      <c r="E15" s="31" t="inlineStr">
        <is>
          <t>Yes</t>
        </is>
      </c>
    </row>
    <row r="16">
      <c r="A16" s="28" t="inlineStr">
        <is>
          <t>POS and card reader</t>
        </is>
      </c>
      <c r="B16" s="49" t="n">
        <v>1000</v>
      </c>
      <c r="C16" s="68">
        <f>IFERROR(B16/$B$26,"")</f>
        <v>0.0068306384187891735</v>
      </c>
      <c r="D16" s="28" t="inlineStr">
        <is>
          <t>Tablet POS and a 4G card reader for payments</t>
        </is>
      </c>
      <c r="E16" s="31" t="inlineStr">
        <is>
          <t>Yes</t>
        </is>
      </c>
    </row>
    <row r="17">
      <c r="A17" s="28" t="inlineStr">
        <is>
          <t>Smallwares and packaging</t>
        </is>
      </c>
      <c r="B17" s="49" t="n">
        <v>2000</v>
      </c>
      <c r="C17" s="68">
        <f>IFERROR(B17/$B$26,"")</f>
        <v>0.013661276837578347</v>
      </c>
      <c r="D17" s="28" t="inlineStr">
        <is>
          <t>Smallwares, utensils and disposable cutlery: the equipment that gets depreciated. The first purchase of packaging counts here only as a starter stock; daily packaging is NOT depreciated: it goes in the "Disposables and packaging" line of the P&amp;L, at the % of sales set in the "0. Assumptions" tab.</t>
        </is>
      </c>
      <c r="E17" s="31" t="inlineStr">
        <is>
          <t>Yes</t>
        </is>
      </c>
    </row>
    <row r="18">
      <c r="A18" s="28" t="inlineStr">
        <is>
          <t>Opening inventory</t>
        </is>
      </c>
      <c r="B18" s="49" t="n">
        <v>2000</v>
      </c>
      <c r="C18" s="68">
        <f>IFERROR(B18/$B$26,"")</f>
        <v>0.013661276837578347</v>
      </c>
      <c r="D18" s="28" t="inlineStr">
        <is>
          <t>Food and supplies for the first two weeks of service. With 0% recoverable input tax (the US default), any sales tax you pay on this purchase is treated as a cost.</t>
        </is>
      </c>
      <c r="E18" s="31" t="inlineStr">
        <is>
          <t>Yes</t>
        </is>
      </c>
    </row>
    <row r="19">
      <c r="A19" s="28" t="inlineStr">
        <is>
          <t>Launch marketing</t>
        </is>
      </c>
      <c r="B19" s="49" t="n">
        <v>3000</v>
      </c>
      <c r="C19" s="68">
        <f>IFERROR(B19/$B$26,"")</f>
        <v>0.02049191525636752</v>
      </c>
      <c r="D19" s="28" t="inlineStr">
        <is>
          <t>Social media, website, flyers, Google Business Profile, opening event</t>
        </is>
      </c>
      <c r="E19" s="31" t="inlineStr">
        <is>
          <t>Yes</t>
        </is>
      </c>
    </row>
    <row r="20">
      <c r="A20" s="28" t="inlineStr">
        <is>
          <t>Awning, folding tables and banners</t>
        </is>
      </c>
      <c r="B20" s="49" t="n">
        <v>1500</v>
      </c>
      <c r="C20" s="68">
        <f>IFERROR(B20/$B$26,"")</f>
        <v>0.01024595762818376</v>
      </c>
      <c r="D20" s="28" t="inlineStr">
        <is>
          <t>Folding high-top tables, umbrella, banners</t>
        </is>
      </c>
      <c r="E20" s="31" t="inlineStr">
        <is>
          <t>Yes</t>
        </is>
      </c>
    </row>
    <row r="21">
      <c r="A21" s="28" t="inlineStr">
        <is>
          <t>Commissary &amp; parking deposit</t>
        </is>
      </c>
      <c r="B21" s="40">
        <f>IFERROR(IF('0. Assumptions'!$B$24="","",'0. Assumptions'!$B$24*'0. Assumptions'!$B$25),"")</f>
        <v>1200.0</v>
      </c>
      <c r="C21" s="68">
        <f>IFERROR(B21/$B$26,"")</f>
        <v>0.008196766102547009</v>
      </c>
      <c r="D21" s="28" t="str">
        <f>IFERROR(""&amp;TEXT('0. Assumptions'!$B$25,"0")&amp;IF('0. Assumptions'!$B$25=1," month"," months")&amp;" of rent, from ""0. Assumptions"". Refundable when the lease ends: it is not depreciated and carries no tax","")</f>
        <v>1 month of rent, from "0. Assumptions". Refundable when the lease ends: it is not depreciated and carries no tax</v>
      </c>
      <c r="E21" s="28" t="inlineStr">
        <is>
          <t>No</t>
        </is>
      </c>
    </row>
    <row r="22">
      <c r="A22" s="28" t="inlineStr">
        <is>
          <t>Commissary &amp; parking rent before opening</t>
        </is>
      </c>
      <c r="B22" s="40">
        <f>IFERROR(IF('0. Assumptions'!$B$24="","",'0. Assumptions'!$B$24*'0. Assumptions'!$B$54),"")</f>
        <v>2400.0</v>
      </c>
      <c r="C22" s="68">
        <f>IFERROR(B22/$B$26,"")</f>
        <v>0.016393532205094017</v>
      </c>
      <c r="D22"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2" s="28" t="inlineStr">
        <is>
          <t>Yes</t>
        </is>
      </c>
    </row>
    <row r="23">
      <c r="A23" s="28" t="inlineStr">
        <is>
          <t>Build-out and setup contingency</t>
        </is>
      </c>
      <c r="B23" s="40">
        <f>IFERROR(IF(COUNT(B7,B8,B11,B12,B15)=0,"",ROUND((B7+B8+B11+B12+B15)*'0. Assumptions'!$B$55,0)),"")</f>
        <v>5720.0</v>
      </c>
      <c r="C23" s="68">
        <f>IFERROR(B23/$B$26,"")</f>
        <v>0.039071251755474073</v>
      </c>
      <c r="D23" s="28" t="str">
        <f>IFERROR("At "&amp;TEXT('0. Assumptions'!$B$55,"0%")&amp;"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f>
        <v>At 8%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v>
      </c>
      <c r="E23" s="28" t="inlineStr">
        <is>
          <t>Yes</t>
        </is>
      </c>
    </row>
    <row r="24">
      <c r="A24" s="16" t="inlineStr">
        <is>
          <t>WORKING CAPITAL</t>
        </is>
      </c>
      <c r="B24" s="52">
        <f>IFERROR(IF(B25="","",B25),"")</f>
        <v>32279.2</v>
      </c>
      <c r="C24" s="69">
        <f>IFERROR(B24/$B$26,"")</f>
        <v>0.22048754364777948</v>
      </c>
    </row>
    <row r="25">
      <c r="A25" s="35" t="inlineStr">
        <is>
          <t>Operating cushion until break-even</t>
        </is>
      </c>
      <c r="B25" s="42">
        <f>IFERROR(IF('0. Assumptions'!$B$35*('3-Year P&amp;L'!$B$38-'3-Year P&amp;L'!$B$36)=0,"",'0. Assumptions'!$B$35*('3-Year P&amp;L'!$B$38-'3-Year P&amp;L'!$B$36)/12),"")</f>
        <v>32279.2</v>
      </c>
      <c r="C25" s="65">
        <f>IFERROR(B25/$B$26,"")</f>
        <v>0.22048754364777948</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146399.2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(22% of the total). To compare the breakdown with another plan, use the CAPEX row below.</v>
      </c>
    </row>
    <row r="27">
      <c r="A27" s="16" t="inlineStr">
        <is>
          <t>CAPEX (startup costs excluding working capital)</t>
        </is>
      </c>
      <c r="B27" s="52">
        <f>IFERROR(B26-B24,"")</f>
        <v>114120.00000000001</v>
      </c>
      <c r="D27" s="16" t="inlineStr">
        <is>
          <t>What you buy: build-out,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146399.2</v>
      </c>
      <c r="D29" s="16" t="inlineStr">
        <is>
          <t>This is the figure the Financing tab has to cover</t>
        </is>
      </c>
    </row>
    <row r="30">
      <c r="A30" s="16" t="inlineStr">
        <is>
          <t>DEPRECIATION BASES (not added to startup costs)</t>
        </is>
      </c>
    </row>
    <row r="31">
      <c r="A31" s="35" t="inlineStr">
        <is>
          <t>Build-out, fixtures and setup</t>
        </is>
      </c>
      <c r="B31" s="42">
        <f>IFERROR(IF(B7="","",B7+B8+B11+B12+B15+B23),"")</f>
        <v>77220.0</v>
      </c>
      <c r="D31" t="str">
        <f>IFERROR("Depreciated over "&amp;TEXT('0. Assumptions'!$B$44,"0")&amp;" years","")</f>
        <v>Depreciated over 7 years</v>
      </c>
    </row>
    <row r="32">
      <c r="A32" s="35" t="inlineStr">
        <is>
          <t>Machinery, furniture and equipment</t>
        </is>
      </c>
      <c r="B32" s="42">
        <f>IFERROR(IF(B9="","",B9+B10+B16+B17+B20),"")</f>
        <v>24500.0</v>
      </c>
      <c r="D32" t="str">
        <f>IFERROR("Depreciated over "&amp;TEXT('0. Assumptions'!$B$45,"0")&amp;" years","")</f>
        <v>Depreciated over 7 years</v>
      </c>
    </row>
    <row r="33">
      <c r="A33" s="16" t="inlineStr">
        <is>
          <t>Annual depreciation of fixed assets</t>
        </is>
      </c>
      <c r="B33" s="52">
        <f>IFERROR(B31/MAX(1,'0. Assumptions'!$B$44)+B32/MAX(1,'0. Assumptions'!$B$45),"")</f>
        <v>14531.42857142857</v>
      </c>
      <c r="D33" s="37" t="str">
        <f>IFERROR("Not depreciated, because they are not fixed assets: entity formation and legal, first-year permits, opening inventory, launch marketing, security deposit, pre-opening rent and the working capital reserve. They add up to "&amp;TEXT(B26-B31-B32,"#,##0")&amp;" of the "&amp;TEXT(B26,"#,##0")&amp;" total investment.","")</f>
        <v>Not depreciated, because they are not fixed assets: entity formation and legal, first-year permits, opening inventory, launch marketing, security deposit, pre-opening rent and the working capital reserve. They add up to 44679 of the 146399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scenario — Urban food truck</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Customers per day (average)</t>
        </is>
      </c>
      <c r="B6" s="40">
        <f>IFERROR(IF('0. Assumptions'!$B$4="","",'0. Assumptions'!$B$4),"")</f>
        <v>80.0</v>
      </c>
      <c r="C6" s="40">
        <f>IFERROR(B6*(1+'0. Assumptions'!$B$7),"")</f>
        <v>92.0</v>
      </c>
      <c r="D6" s="40">
        <f>IFERROR(C6*(1+'0. Assumptions'!$B$8),"")</f>
        <v>101.2</v>
      </c>
      <c r="E6" s="28" t="n"/>
      <c r="F6" s="28" t="inlineStr">
        <is>
          <t>Growth for years 2 and 3 is set in "0. Assumptions"</t>
        </is>
      </c>
      <c r="G6" s="28" t="n"/>
      <c r="H6" s="28" t="n"/>
    </row>
    <row r="7">
      <c r="A7" s="28" t="inlineStr">
        <is>
          <t>Average check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Operating days per year</t>
        </is>
      </c>
      <c r="B8" s="40">
        <f>IFERROR(IF('0. Assumptions'!$B$6="","",'0. Assumptions'!$B$6),"")</f>
        <v>260.0</v>
      </c>
      <c r="C8" s="40">
        <f>IFERROR(IF(B8="","",B8),"")</f>
        <v>260.0</v>
      </c>
      <c r="D8" s="40">
        <f>IFERROR(IF(C8="","",C8),"")</f>
        <v>260.0</v>
      </c>
      <c r="E8" s="28" t="n"/>
      <c r="F8" s="28" t="n"/>
      <c r="G8" s="28" t="n"/>
      <c r="H8" s="28" t="n"/>
    </row>
    <row r="9">
      <c r="A9" s="25" t="inlineStr">
        <is>
          <t>TOTAL REVENUE (excl. sales tax)</t>
        </is>
      </c>
      <c r="B9" s="66">
        <f>IFERROR(IF(B6*B7*B8=0,"",B6*B7*B8),"")</f>
        <v>291200.0</v>
      </c>
      <c r="C9" s="66">
        <f>IFERROR(IF(C6*C7*C8=0,"",C6*C7*C8),"")</f>
        <v>334880.0</v>
      </c>
      <c r="D9" s="66">
        <f>IFERROR(IF(D6*D7*D8=0,"",D6*D7*D8),"")</f>
        <v>368368.0</v>
      </c>
      <c r="E9" s="67">
        <f>IFERROR(IF(B9="","",1),"")</f>
        <v>1.0</v>
      </c>
      <c r="F9" s="28" t="n"/>
      <c r="G9" s="28" t="n"/>
      <c r="H9" s="28" t="n"/>
    </row>
    <row r="10">
      <c r="A10" s="28" t="inlineStr">
        <is>
          <t>Food sales (street, markets and private catering)</t>
        </is>
      </c>
      <c r="B10" s="40">
        <f>IFERROR(IF(B9="","",B9*$E$10),"")</f>
        <v>248073.28</v>
      </c>
      <c r="C10" s="40">
        <f>IFERROR(IF(C9="","",C9*$E$10),"")</f>
        <v>285284.272</v>
      </c>
      <c r="D10" s="40">
        <f>IFERROR(IF(D9="","",D9*$E$10),"")</f>
        <v>313812.6992</v>
      </c>
      <c r="E10" s="68">
        <f>IFERROR(IF('0. Assumptions'!$B$11="","",'0. Assumptions'!$B$11),"")</f>
        <v>0.8519</v>
      </c>
      <c r="F10" s="28" t="inlineStr">
        <is>
          <t>Main product served at fixed spots and markets, plus catering and private events. Catering carries cost of goods sold at the same rate as the street food.</t>
        </is>
      </c>
      <c r="G10" s="68">
        <f>IFERROR(IF(B9="","",'0. Assumptions'!$B$39),"")</f>
        <v>0.08</v>
      </c>
      <c r="H10" s="28" t="n"/>
    </row>
    <row r="11">
      <c r="A11" s="28" t="inlineStr">
        <is>
          <t>Beverage sales (bottled sodas, water and juices)</t>
        </is>
      </c>
      <c r="B11" s="40">
        <f>IFERROR(IF(B9="","",B9*$E$11),"")</f>
        <v>43126.72</v>
      </c>
      <c r="C11" s="40">
        <f>IFERROR(IF(C9="","",C9*$E$11),"")</f>
        <v>49595.728</v>
      </c>
      <c r="D11" s="40">
        <f>IFERROR(IF(D9="","",D9*$E$11),"")</f>
        <v>54555.300800000005</v>
      </c>
      <c r="E11" s="68">
        <f>IFERROR(IF('0. Assumptions'!$B$12="","",'0. Assumptions'!$B$12),"")</f>
        <v>0.1481</v>
      </c>
      <c r="F11" s="28" t="inlineStr">
        <is>
          <t>Bottled drinks to go with the menu: the truck has no bar.</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74421.984</v>
      </c>
      <c r="C13" s="40">
        <f>IFERROR(IF(C9="","",C9*'0. Assumptions'!$B$11*'0. Assumptions'!$B$13),"")</f>
        <v>85585.2816</v>
      </c>
      <c r="D13" s="40">
        <f>IFERROR(IF(D9="","",D9*'0. Assumptions'!$B$11*'0. Assumptions'!$B$13),"")</f>
        <v>94143.80975999999</v>
      </c>
      <c r="E13" s="68">
        <f>IFERROR(B13/$B$9,"")</f>
        <v>0.25556999999999996</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10781.68</v>
      </c>
      <c r="C14" s="40">
        <f>IFERROR(IF(C9="","",C9*'0. Assumptions'!$B$12*'0. Assumptions'!$B$14),"")</f>
        <v>12398.932</v>
      </c>
      <c r="D14" s="40">
        <f>IFERROR(IF(D9="","",D9*'0. Assumptions'!$B$12*'0. Assumptions'!$B$14),"")</f>
        <v>13638.825200000001</v>
      </c>
      <c r="E14" s="68">
        <f>IFERROR(B14/$B$9,"")</f>
        <v>0.037025</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11648.0</v>
      </c>
      <c r="C15" s="40">
        <f>IFERROR(IF(C9="","",C9*'0. Assumptions'!$B$15),"")</f>
        <v>13395.2</v>
      </c>
      <c r="D15" s="40">
        <f>IFERROR(IF(D9="","",D9*'0. Assumptions'!$B$15),"")</f>
        <v>14734.720000000001</v>
      </c>
      <c r="E15" s="68">
        <f>IFERROR(B15/$B$9,"")</f>
        <v>0.04</v>
      </c>
      <c r="F15" s="28" t="n"/>
      <c r="G15" s="68">
        <f>IFERROR(IF(B9="","",'0. Assumptions'!$B$41),"")</f>
        <v>0.0</v>
      </c>
      <c r="H15" s="28" t="n"/>
    </row>
    <row r="16">
      <c r="A16" s="28" t="inlineStr">
        <is>
          <t>Delivery platform fees</t>
        </is>
      </c>
      <c r="B16" s="40">
        <f>IFERROR(IF(B9="","",B9*'0. Assumptions'!$B$16*'0. Assumptions'!$B$17),"")</f>
        <v>0.0</v>
      </c>
      <c r="C16" s="40">
        <f>IFERROR(IF(C9="","",C9*'0. Assumptions'!$B$16*'0. Assumptions'!$B$17),"")</f>
        <v>0.0</v>
      </c>
      <c r="D16" s="40">
        <f>IFERROR(IF(D9="","",D9*'0. Assumptions'!$B$16*'0. Assumptions'!$B$17),"")</f>
        <v>0.0</v>
      </c>
      <c r="E16" s="68">
        <f>IFERROR(B16/$B$9,"")</f>
        <v>0.0</v>
      </c>
      <c r="F16" s="28" t="inlineStr">
        <is>
          <t>Applied to the sales of THAT CHANNEL. With 0% delivery in Assumptions, this line is zero</t>
        </is>
      </c>
      <c r="G16" s="68">
        <f>IFERROR(IF(B9="","",'0. Assumptions'!$B$41),"")</f>
        <v>0.0</v>
      </c>
      <c r="H16" s="28" t="n"/>
    </row>
    <row r="17">
      <c r="A17" s="28" t="inlineStr">
        <is>
          <t>Card processing fees</t>
        </is>
      </c>
      <c r="B17" s="40">
        <f>IFERROR(IF(B9="","",B9*'0. Assumptions'!$B$18),"")</f>
        <v>8444.800000000001</v>
      </c>
      <c r="C17" s="40">
        <f>IFERROR(IF(C9="","",C9*'0. Assumptions'!$B$18),"")</f>
        <v>9711.52</v>
      </c>
      <c r="D17" s="40">
        <f>IFERROR(IF(D9="","",D9*'0. Assumptions'!$B$18),"")</f>
        <v>10682.672</v>
      </c>
      <c r="E17" s="68">
        <f>IFERROR(B17/$B$9,"")</f>
        <v>0.029000000000000005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14560.0</v>
      </c>
      <c r="C18" s="40">
        <f>IFERROR(IF(C9="","",C9*'0. Assumptions'!$B$28),"")</f>
        <v>16744.0</v>
      </c>
      <c r="D18" s="40">
        <f>IFERROR(IF(D9="","",D9*'0. Assumptions'!$B$28),"")</f>
        <v>18418.4</v>
      </c>
      <c r="E18" s="68">
        <f>IFERROR(B18/$B$9,"")</f>
        <v>0.05</v>
      </c>
      <c r="F18" s="28" t="str">
        <f>IFERROR("At "&amp;TEXT('0. Assumptions'!$B$28,"0%")&amp;" of sales. It is a VARIABLE cost: it moves with revenue, so it cannot sit in fixed costs","")</f>
        <v>At 5% of sales. It is a VARIABLE cost: it moves with revenue, so it cannot sit in fixed costs</v>
      </c>
      <c r="G18" s="68">
        <f>IFERROR(IF(B9="","",'0. Assumptions'!$B$41),"")</f>
        <v>0.0</v>
      </c>
      <c r="H18" s="28" t="n"/>
    </row>
    <row r="19">
      <c r="A19" s="25" t="inlineStr">
        <is>
          <t>TOTAL VARIABLE COSTS</t>
        </is>
      </c>
      <c r="B19" s="66">
        <f>IFERROR(IF(B9="","",SUM(B13:B18)),"")</f>
        <v>119856.46399999999</v>
      </c>
      <c r="C19" s="66">
        <f>IFERROR(IF(C9="","",SUM(C13:C18)),"")</f>
        <v>137834.9336</v>
      </c>
      <c r="D19" s="66">
        <f>IFERROR(IF(D9="","",SUM(D13:D18)),"")</f>
        <v>151618.42695999998</v>
      </c>
      <c r="E19" s="67">
        <f>IFERROR(B19/$B$9,"")</f>
        <v>0.411595</v>
      </c>
      <c r="F19" s="28" t="n"/>
      <c r="G19" s="28" t="n"/>
      <c r="H19" s="28" t="n"/>
    </row>
    <row r="20">
      <c r="A20" s="25" t="inlineStr">
        <is>
          <t>GROSS MARGIN</t>
        </is>
      </c>
      <c r="B20" s="66">
        <f>IFERROR(IF(B9="","",B9-B19),"")</f>
        <v>171343.53600000002</v>
      </c>
      <c r="C20" s="66">
        <f>IFERROR(IF(C9="","",C9-C19),"")</f>
        <v>197045.0664</v>
      </c>
      <c r="D20" s="66">
        <f>IFERROR(IF(D9="","",D9-D19),"")</f>
        <v>216749.57304000002</v>
      </c>
      <c r="E20" s="67">
        <f>IFERROR(B20/$B$9,"")</f>
        <v>0.5884050000000001</v>
      </c>
      <c r="F20" s="28" t="n"/>
      <c r="G20" s="28" t="n"/>
      <c r="H20" s="28" t="n"/>
    </row>
    <row r="21">
      <c r="A21" s="25" t="inlineStr">
        <is>
          <t>FIXED COSTS</t>
        </is>
      </c>
      <c r="B21" s="28" t="n"/>
      <c r="C21" s="28" t="n"/>
      <c r="D21" s="28" t="n"/>
      <c r="E21" s="28" t="n"/>
      <c r="F21" s="28" t="n"/>
      <c r="G21" s="28" t="n"/>
      <c r="H21" s="28" t="n"/>
    </row>
    <row r="22">
      <c r="A22" s="28" t="inlineStr">
        <is>
          <t>Commissary &amp; truck parking</t>
        </is>
      </c>
      <c r="B22" s="40">
        <f>IFERROR(IF(B9="","",'0. Assumptions'!$B$24*12),"")</f>
        <v>14400.0</v>
      </c>
      <c r="C22" s="40">
        <f>IFERROR(IF(C9="","",B22*(1+'0. Assumptions'!$B$48)),"")</f>
        <v>14400.0</v>
      </c>
      <c r="D22" s="40">
        <f>IFERROR(IF(D9="","",C22*(1+'0. Assumptions'!$B$48)),"")</f>
        <v>14400.0</v>
      </c>
      <c r="E22" s="68">
        <f>IFERROR(B22/$B$9,"")</f>
        <v>0.04945054945054945</v>
      </c>
      <c r="F22" s="28" t="inlineStr">
        <is>
          <t>The monthly amount is typed in "0. Assumptions"; here it is multiplied by twelve. It covers the commissary and the truck's parking base (water, cleaning and waste dumping),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76216.8</v>
      </c>
      <c r="C23" s="40">
        <f>IFERROR(IF(C9="","",Staffing!$B$13),"")</f>
        <v>82216.8</v>
      </c>
      <c r="D23" s="40">
        <f>IFERROR(IF(D9="","",Staffing!$B$14),"")</f>
        <v>88216.8</v>
      </c>
      <c r="E23" s="68">
        <f>IFERROR(B23/$B$9,"")</f>
        <v>0.2617335164835165</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6000.0</v>
      </c>
      <c r="C24" s="40">
        <f>IFERROR(IF(C9="","",B24*(1+'0. Assumptions'!$B$48)),"")</f>
        <v>6000.0</v>
      </c>
      <c r="D24" s="40">
        <f>IFERROR(IF(D9="","",C24*(1+'0. Assumptions'!$B$48)),"")</f>
        <v>6000.0</v>
      </c>
      <c r="E24" s="68">
        <f>IFERROR(B24/$B$9,"")</f>
        <v>0.020604395604395604</v>
      </c>
      <c r="F24" s="28" t="inlineStr">
        <is>
          <t>Generator fuel, propane, fresh water and waste dumping at the commissary.</t>
        </is>
      </c>
      <c r="G24" s="68">
        <f>IFERROR(IF(B9="","",'0. Assumptions'!$B$41),"")</f>
        <v>0.0</v>
      </c>
      <c r="H24" s="28" t="n"/>
    </row>
    <row r="25">
      <c r="A25" s="28" t="inlineStr">
        <is>
          <t>Insurance (general liability + property / auto)</t>
        </is>
      </c>
      <c r="B25" s="40">
        <f>IFERROR(IF(B9="","",'0. Assumptions'!$B$27),"")</f>
        <v>4000.0</v>
      </c>
      <c r="C25" s="40">
        <f>IFERROR(IF(C9="","",B25*(1+'0. Assumptions'!$B$48)),"")</f>
        <v>4000.0</v>
      </c>
      <c r="D25" s="40">
        <f>IFERROR(IF(D9="","",C25*(1+'0. Assumptions'!$B$48)),"")</f>
        <v>4000.0</v>
      </c>
      <c r="E25" s="68">
        <f>IFERROR(B25/$B$9,"")</f>
        <v>0.013736263736263736</v>
      </c>
      <c r="F25" s="28" t="inlineStr">
        <is>
          <t>Insurance premiums are not subject to sales tax: there is no recoverable tax on them</t>
        </is>
      </c>
      <c r="G25" s="68" t="n">
        <v>0</v>
      </c>
      <c r="H25" s="28" t="n"/>
    </row>
    <row r="26">
      <c r="A26" s="28" t="inlineStr">
        <is>
          <t>Annual permits and licenses</t>
        </is>
      </c>
      <c r="B26" s="49" t="n">
        <v>2000</v>
      </c>
      <c r="C26" s="40">
        <f>IFERROR(IF(C9="","",B26*(1+'0. Assumptions'!$B$48)),"")</f>
        <v>2000.0</v>
      </c>
      <c r="D26" s="40">
        <f>IFERROR(IF(D9="","",C26*(1+'0. Assumptions'!$B$48)),"")</f>
        <v>2000.0</v>
      </c>
      <c r="E26" s="68">
        <f>IFERROR(B26/$B$9,"")</f>
        <v>0.006868131868131868</v>
      </c>
      <c r="F26" s="28" t="n"/>
      <c r="G26" s="68">
        <f>IFERROR(IF(B9="","",'0. Assumptions'!$B$41),"")</f>
        <v>0.0</v>
      </c>
      <c r="H26" s="28" t="n"/>
    </row>
    <row r="27">
      <c r="A27" s="28" t="inlineStr">
        <is>
          <t>Truck maintenance and inspections</t>
        </is>
      </c>
      <c r="B27" s="49" t="n">
        <v>3000</v>
      </c>
      <c r="C27" s="40">
        <f>IFERROR(IF(C9="","",B27*(1+'0. Assumptions'!$B$48)),"")</f>
        <v>3000.0</v>
      </c>
      <c r="D27" s="40">
        <f>IFERROR(IF(D9="","",C27*(1+'0. Assumptions'!$B$48)),"")</f>
        <v>3000.0</v>
      </c>
      <c r="E27" s="68">
        <f>IFERROR(B27/$B$9,"")</f>
        <v>0.010302197802197802</v>
      </c>
      <c r="F27" s="28" t="n"/>
      <c r="G27" s="68">
        <f>IFERROR(IF(B9="","",'0. Assumptions'!$B$41),"")</f>
        <v>0.0</v>
      </c>
      <c r="H27" s="28" t="n"/>
    </row>
    <row r="28">
      <c r="A28" s="28" t="inlineStr">
        <is>
          <t>Marketing and advertising</t>
        </is>
      </c>
      <c r="B28" s="49" t="n">
        <v>6000</v>
      </c>
      <c r="C28" s="40">
        <f>IFERROR(IF(C9="","",B28*(1+'0. Assumptions'!$B$48)),"")</f>
        <v>6000.0</v>
      </c>
      <c r="D28" s="40">
        <f>IFERROR(IF(D9="","",C28*(1+'0. Assumptions'!$B$48)),"")</f>
        <v>6000.0</v>
      </c>
      <c r="E28" s="68">
        <f>IFERROR(B28/$B$9,"")</f>
        <v>0.020604395604395604</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0.008241758241758242</v>
      </c>
      <c r="F29" s="28" t="n"/>
      <c r="G29" s="68">
        <f>IFERROR(IF(B9="","",'0. Assumptions'!$B$41),"")</f>
        <v>0.0</v>
      </c>
      <c r="H29" s="28" t="n"/>
    </row>
    <row r="30">
      <c r="A30" s="28" t="inlineStr">
        <is>
          <t>Software (POS, website, social)</t>
        </is>
      </c>
      <c r="B30" s="49" t="n">
        <v>1200</v>
      </c>
      <c r="C30" s="40">
        <f>IFERROR(IF(C9="","",B30*(1+'0. Assumptions'!$B$48)),"")</f>
        <v>1200.0</v>
      </c>
      <c r="D30" s="40">
        <f>IFERROR(IF(D9="","",C30*(1+'0. Assumptions'!$B$48)),"")</f>
        <v>1200.0</v>
      </c>
      <c r="E30" s="68">
        <f>IFERROR(B30/$B$9,"")</f>
        <v>0.004120879120879121</v>
      </c>
      <c r="F30" s="28" t="n"/>
      <c r="G30" s="68">
        <f>IFERROR(IF(B9="","",'0. Assumptions'!$B$41),"")</f>
        <v>0.0</v>
      </c>
      <c r="H30" s="28" t="n"/>
    </row>
    <row r="31">
      <c r="A31" s="28" t="inlineStr">
        <is>
          <t>Cleaning supplies</t>
        </is>
      </c>
      <c r="B31" s="49" t="n">
        <v>1200</v>
      </c>
      <c r="C31" s="40">
        <f>IFERROR(IF(C9="","",B31*(1+'0. Assumptions'!$B$48)),"")</f>
        <v>1200.0</v>
      </c>
      <c r="D31" s="40">
        <f>IFERROR(IF(D9="","",C31*(1+'0. Assumptions'!$B$48)),"")</f>
        <v>1200.0</v>
      </c>
      <c r="E31" s="68">
        <f>IFERROR(B31/$B$9,"")</f>
        <v>0.004120879120879121</v>
      </c>
      <c r="F31" s="28" t="n"/>
      <c r="G31" s="68">
        <f>IFERROR(IF(B9="","",'0. Assumptions'!$B$41),"")</f>
        <v>0.0</v>
      </c>
      <c r="H31" s="28" t="n"/>
    </row>
    <row r="32">
      <c r="A32" s="28" t="inlineStr">
        <is>
          <t>Waste and grease disposal (organic waste, cardboard and used cooking oil)</t>
        </is>
      </c>
      <c r="B32" s="49" t="n">
        <v>600</v>
      </c>
      <c r="C32" s="40">
        <f>IFERROR(IF(C9="","",B32*(1+'0. Assumptions'!$B$48)),"")</f>
        <v>600.0</v>
      </c>
      <c r="D32" s="40">
        <f>IFERROR(IF(D9="","",C32*(1+'0. Assumptions'!$B$48)),"")</f>
        <v>600.0</v>
      </c>
      <c r="E32" s="68">
        <f>IFERROR(B32/$B$9,"")</f>
        <v>0.0020604395604395605</v>
      </c>
      <c r="F32" s="28" t="inlineStr">
        <is>
          <t>Licensed hauler. Your checklist already warns that the fryer produces used oil that needs a collection service; this line pays for it. Ask the commissary what it provides and get a quote in your area.</t>
        </is>
      </c>
      <c r="G32" s="68">
        <f>IFERROR(IF(B9="","",'0. Assumptions'!$B$41),"")</f>
        <v>0.0</v>
      </c>
      <c r="H32" s="28" t="n"/>
    </row>
    <row r="33">
      <c r="A33" s="28" t="inlineStr">
        <is>
          <t>Pest control</t>
        </is>
      </c>
      <c r="B33" s="49" t="n">
        <v>400</v>
      </c>
      <c r="C33" s="40">
        <f>IFERROR(IF(C9="","",B33*(1+'0. Assumptions'!$B$48)),"")</f>
        <v>400.0</v>
      </c>
      <c r="D33" s="40">
        <f>IFERROR(IF(D9="","",C33*(1+'0. Assumptions'!$B$48)),"")</f>
        <v>400.0</v>
      </c>
      <c r="E33" s="68">
        <f>IFERROR(B33/$B$9,"")</f>
        <v>0.0013736263736263737</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Training and certifications</t>
        </is>
      </c>
      <c r="B34" s="49" t="n">
        <v>300</v>
      </c>
      <c r="C34" s="40">
        <f>IFERROR(IF(C9="","",B34*(1+'0. Assumptions'!$B$48)),"")</f>
        <v>300.0</v>
      </c>
      <c r="D34" s="40">
        <f>IFERROR(IF(D9="","",C34*(1+'0. Assumptions'!$B$48)),"")</f>
        <v>300.0</v>
      </c>
      <c r="E34" s="68">
        <f>IFERROR(B34/$B$9,"")</f>
        <v>0.0010302197802197802</v>
      </c>
      <c r="F34" s="28" t="inlineStr">
        <is>
          <t>Food handler cards and a Certified Food Protection Manager course for you and your team, plus OSHA basics. The required cards vary by state.</t>
        </is>
      </c>
      <c r="G34" s="68">
        <f>IFERROR(IF(B9="","",'0. Assumptions'!$B$41),"")</f>
        <v>0.0</v>
      </c>
      <c r="H34" s="28" t="n"/>
    </row>
    <row r="35">
      <c r="A35" s="28" t="inlineStr">
        <is>
          <t>Music licensing (ASCAP, BMI, SESAC)</t>
        </is>
      </c>
      <c r="B35" s="49" t="n">
        <v>200</v>
      </c>
      <c r="C35" s="40">
        <f>IFERROR(IF(C9="","",B35*(1+'0. Assumptions'!$B$48)),"")</f>
        <v>200.0</v>
      </c>
      <c r="D35" s="40">
        <f>IFERROR(IF(D9="","",C35*(1+'0. Assumptions'!$B$48)),"")</f>
        <v>200.0</v>
      </c>
      <c r="E35" s="68">
        <f>IFERROR(B35/$B$9,"")</f>
        <v>0.0006868131868131869</v>
      </c>
      <c r="F35" s="28" t="inlineStr">
        <is>
          <t>Only paid if the truck plays its own music at fairs and festivals (ask the organizer whether their license covers vendors). Minimum budget in case you use it.</t>
        </is>
      </c>
      <c r="G35" s="68">
        <f>IFERROR(IF(B9="","",'0. Assumptions'!$B$41),"")</f>
        <v>0.0</v>
      </c>
      <c r="H35" s="28" t="n"/>
    </row>
    <row r="36">
      <c r="A36" s="28" t="inlineStr">
        <is>
          <t>Depreciation of fixed assets</t>
        </is>
      </c>
      <c r="B36" s="40">
        <f>IFERROR(IF(B9="","",'Startup Costs'!$B$33),"")</f>
        <v>14531.42857142857</v>
      </c>
      <c r="C36" s="40">
        <f>IFERROR(IF(C9="","",B36),"")</f>
        <v>14531.42857142857</v>
      </c>
      <c r="D36" s="40">
        <f>IFERROR(IF(D9="","",B36),"")</f>
        <v>14531.42857142857</v>
      </c>
      <c r="E36" s="68">
        <f>IFERROR(B36/$B$9,"")</f>
        <v>0.049901883830455254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11200.0</v>
      </c>
      <c r="C37" s="40">
        <f>IFERROR(IF(C9="","",Financing!$B$46),"")</f>
        <v>10019.45840335333</v>
      </c>
      <c r="D37" s="40">
        <f>IFERROR(IF(D9="","",Financing!$B$48),"")</f>
        <v>8720.862647041991</v>
      </c>
      <c r="E37" s="68">
        <f>IFERROR(B37/$B$9,"")</f>
        <v>0.038461538461538464</v>
      </c>
      <c r="F37" s="28" t="inlineStr">
        <is>
          <t>Only INTEREST is an expense. Principal repaid appears on the cash flow tab</t>
        </is>
      </c>
      <c r="G37" s="68" t="n">
        <v>0</v>
      </c>
      <c r="H37" s="28" t="n"/>
    </row>
    <row r="38">
      <c r="A38" s="16" t="inlineStr">
        <is>
          <t>TOTAL FIXED COSTS</t>
        </is>
      </c>
      <c r="B38" s="52">
        <f>IFERROR(IF(B9="","",SUM(B22:B37)),"")</f>
        <v>143648.22857142857</v>
      </c>
      <c r="C38" s="52">
        <f>IFERROR(IF(C9="","",SUM(C22:C37)),"")</f>
        <v>148467.68697478191</v>
      </c>
      <c r="D38" s="52">
        <f>IFERROR(IF(D9="","",SUM(D22:D37)),"")</f>
        <v>153169.09121847057</v>
      </c>
      <c r="E38" s="69">
        <f>IFERROR(B38/$B$9,"")</f>
        <v>0.4932974882260596</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27695.307428571454</v>
      </c>
      <c r="C41" s="52">
        <f>IFERROR(IF(C9="","",C20-C38),"")</f>
        <v>48577.379425218096</v>
      </c>
      <c r="D41" s="52">
        <f>IFERROR(IF(D9="","",D20-D38),"")</f>
        <v>63580.48182152945</v>
      </c>
      <c r="E41" s="69">
        <f>IFERROR(B41/$B$9,"")</f>
        <v>0.09510751177394043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27695.307428571454</v>
      </c>
      <c r="C43" s="42">
        <f>IFERROR(IF(C9="","",MAX(0,C41-C42)),"")</f>
        <v>48577.379425218096</v>
      </c>
      <c r="D43" s="42">
        <f>IFERROR(IF(D9="","",MAX(0,D41-D42)),"")</f>
        <v>63580.48182152945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6923.826857142863</v>
      </c>
      <c r="C46" s="42">
        <f>IFERROR(IF(C9="","",IF(C45="",0,C43*C45)),"")</f>
        <v>12144.344856304524</v>
      </c>
      <c r="D46" s="42">
        <f>IFERROR(IF(D9="","",IF(D45="",0,D43*D45)),"")</f>
        <v>15895.120455382363</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20771.48057142859</v>
      </c>
      <c r="C48" s="52">
        <f>IFERROR(IF(C9="","",C41-C46),"")</f>
        <v>36433.03456891357</v>
      </c>
      <c r="D48" s="52">
        <f>IFERROR(IF(D9="","",D41-D46),"")</f>
        <v>47685.36136614709</v>
      </c>
      <c r="E48" s="69">
        <f>IFERROR(B48/$B$9,"")</f>
        <v>0.07133063383045532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0.5884050000000001</v>
      </c>
      <c r="C51" s="65">
        <f>IFERROR(IF(C9="","",C20/C9),"")</f>
        <v>0.5884050000000001</v>
      </c>
      <c r="D51" s="65">
        <f>IFERROR(IF(D9="","",D20/D9),"")</f>
        <v>0.5884050000000001</v>
      </c>
      <c r="E51" s="70" t="n">
        <v>0.58</v>
      </c>
      <c r="F51" s="35" t="inlineStr">
        <is>
          <t>Floor set by this workbook: kit benchmark (editable estimate). Lower than a restaurant's because of packaging and fuel.</t>
        </is>
      </c>
    </row>
    <row r="52">
      <c r="A52" s="35" t="inlineStr">
        <is>
          <t>Cost of goods sold (food + beverage)</t>
        </is>
      </c>
      <c r="B52" s="42">
        <f>IFERROR(IF(B9="","",B13+B14),"")</f>
        <v>85203.66399999999</v>
      </c>
      <c r="C52" s="42">
        <f>IFERROR(IF(C9="","",C13+C14),"")</f>
        <v>97984.2136</v>
      </c>
      <c r="D52" s="42">
        <f>IFERROR(IF(D9="","",D13+D14),"")</f>
        <v>107782.63496</v>
      </c>
    </row>
    <row r="53">
      <c r="A53" s="35" t="inlineStr">
        <is>
          <t>Cost of goods sold / Sales</t>
        </is>
      </c>
      <c r="B53" s="65">
        <f>IFERROR(IF(B9="","",B52/B9),"")</f>
        <v>0.29259499999999994</v>
      </c>
      <c r="C53" s="65">
        <f>IFERROR(IF(C9="","",C52/C9),"")</f>
        <v>0.292595</v>
      </c>
      <c r="D53" s="65">
        <f>IFERROR(IF(D9="","",D52/D9),"")</f>
        <v>0.292595</v>
      </c>
      <c r="E53" s="70" t="n">
        <v>0.35</v>
      </c>
      <c r="F53" s="35" t="inlineStr">
        <is>
          <t>Ceiling for the blended cost of goods sold: kit benchmark (editable estimate), based on the 28-35% range for food trucks. This ratio measures only goods: disposables and packaging have their own line in the P&amp;L and are not included here.</t>
        </is>
      </c>
    </row>
    <row r="54">
      <c r="A54" s="35" t="inlineStr">
        <is>
          <t>Labor cost / Sales</t>
        </is>
      </c>
      <c r="B54" s="65">
        <f>IFERROR(IF(B9="","",B23/B9),"")</f>
        <v>0.2617335164835165</v>
      </c>
      <c r="C54" s="65">
        <f>IFERROR(IF(C9="","",C23/C9),"")</f>
        <v>0.24551122790253227</v>
      </c>
      <c r="D54" s="65">
        <f>IFERROR(IF(D9="","",D23/D9),"")</f>
        <v>0.23948008513225905</v>
      </c>
      <c r="E54" s="70" t="n">
        <v>0.3</v>
      </c>
      <c r="F54" s="35" t="inlineStr">
        <is>
          <t>Ceiling: kit benchmark (editable estimate), based on the 20-30% labor range for food trucks in the benchmarks table (fewer people than a restaurant: 2-3 on board).</t>
        </is>
      </c>
    </row>
    <row r="55">
      <c r="A55" s="35" t="inlineStr">
        <is>
          <t>Commissary &amp; parking / Sales</t>
        </is>
      </c>
      <c r="B55" s="65">
        <f>IFERROR(IF(B9="","",B22/B9),"")</f>
        <v>0.04945054945054945</v>
      </c>
      <c r="C55" s="65">
        <f>IFERROR(IF(C9="","",C22/C9),"")</f>
        <v>0.04300047778308648</v>
      </c>
      <c r="D55" s="65">
        <f>IFERROR(IF(D9="","",D22/D9),"")</f>
        <v>0.03909134343916953</v>
      </c>
      <c r="E55" s="70" t="n">
        <v>0.06</v>
      </c>
      <c r="F55" s="35" t="inlineStr">
        <is>
          <t>There is no storefront rent in this workbook: 6% is a prudent ceiling for the commissary and parking, a kit benchmark (editable estimate). A business with a fixed location carries a much higher occupancy cost.</t>
        </is>
      </c>
    </row>
    <row r="56">
      <c r="A56" s="35" t="inlineStr">
        <is>
          <t>Net income / Sales</t>
        </is>
      </c>
      <c r="B56" s="65">
        <f>IFERROR(IF(B9="","",B48/B9),"")</f>
        <v>0.07133063383045532</v>
      </c>
      <c r="C56" s="65">
        <f>IFERROR(IF(C9="","",C48/C9),"")</f>
        <v>0.10879429816326318</v>
      </c>
      <c r="D56" s="65">
        <f>IFERROR(IF(D9="","",D48/D9),"")</f>
        <v>0.1294503359850668</v>
      </c>
      <c r="E56" s="70" t="n">
        <v>0.06</v>
      </c>
      <c r="F56" s="35" t="inlineStr">
        <is>
          <t>Floor of 6%: the low end of the 6-9% net margin range for food trucks (kit benchmark, editable estimate). Owner-operators who work the truck themselves report 7-15%.</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Food Truck</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143648.22857142857</v>
      </c>
      <c r="C6" s="61">
        <f>IFERROR(IF('3-Year P&amp;L'!$C$9="","",'3-Year P&amp;L'!$C$38),"")</f>
        <v>148467.68697478191</v>
      </c>
      <c r="D6" s="61">
        <f>IFERROR(IF('3-Year P&amp;L'!$D$9="","",'3-Year P&amp;L'!$D$38),"")</f>
        <v>153169.09121847057</v>
      </c>
      <c r="E6" s="28" t="inlineStr">
        <is>
          <t>The SAME fixed costs as the P&amp;L. Each year has its own, which is why the threshold cannot be a single one for all three years</t>
        </is>
      </c>
      <c r="F6" s="28" t="n"/>
    </row>
    <row r="7">
      <c r="A7" s="28" t="inlineStr">
        <is>
          <t>Monthly fixed costs</t>
        </is>
      </c>
      <c r="B7" s="61">
        <f>IFERROR(IF('3-Year P&amp;L'!$B$9="","",B6/12),"")</f>
        <v>11970.685714285713</v>
      </c>
      <c r="C7" s="61">
        <f>IFERROR(IF('3-Year P&amp;L'!$C$9="","",C6/12),"")</f>
        <v>12372.307247898492</v>
      </c>
      <c r="D7" s="61">
        <f>IFERROR(IF('3-Year P&amp;L'!$D$9="","",D6/12),"")</f>
        <v>12764.090934872547</v>
      </c>
      <c r="E7" s="28" t="n"/>
      <c r="F7" s="28" t="n"/>
    </row>
    <row r="8">
      <c r="A8" s="28" t="inlineStr">
        <is>
          <t>Average check (excl. sales tax)</t>
        </is>
      </c>
      <c r="B8" s="61">
        <f>IFERROR(IF('3-Year P&amp;L'!$B$9="","",'3-Year P&amp;L'!$B$7),"")</f>
        <v>14.0</v>
      </c>
      <c r="C8" s="61">
        <f>IFERROR(IF('3-Year P&amp;L'!$C$9="","",'3-Year P&amp;L'!$C$7),"")</f>
        <v>14.0</v>
      </c>
      <c r="D8" s="61">
        <f>IFERROR(IF('3-Year P&amp;L'!$D$9="","",'3-Year P&amp;L'!$D$7),"")</f>
        <v>14.0</v>
      </c>
      <c r="E8" s="28" t="n"/>
      <c r="F8" s="28" t="n"/>
    </row>
    <row r="9">
      <c r="A9" s="28" t="inlineStr">
        <is>
          <t>Variable cost per customer</t>
        </is>
      </c>
      <c r="B9" s="61">
        <f>IFERROR(IF('3-Year P&amp;L'!$B$9="","",'3-Year P&amp;L'!$B$19/('3-Year P&amp;L'!$B$6*'3-Year P&amp;L'!$B$8)),"")</f>
        <v>5.7623299999999995</v>
      </c>
      <c r="C9" s="61">
        <f>IFERROR(IF('3-Year P&amp;L'!$C$9="","",'3-Year P&amp;L'!$C$19/('3-Year P&amp;L'!$C$6*'3-Year P&amp;L'!$C$8)),"")</f>
        <v>5.7623299999999995</v>
      </c>
      <c r="D9" s="61">
        <f>IFERROR(IF('3-Year P&amp;L'!$D$9="","",'3-Year P&amp;L'!$D$19/('3-Year P&amp;L'!$D$6*'3-Year P&amp;L'!$D$8)),"")</f>
        <v>5.7623299999999995</v>
      </c>
      <c r="E9" s="28" t="inlineStr">
        <is>
          <t>Comes from the P&amp;L total variable costs, not from a separate estimate. It includes miscellaneous and contingency, which is a percentage of sales</t>
        </is>
      </c>
      <c r="F9" s="28" t="n"/>
    </row>
    <row r="10">
      <c r="A10" s="28" t="inlineStr">
        <is>
          <t>Contribution margin per customer</t>
        </is>
      </c>
      <c r="B10" s="61">
        <f>IFERROR(IF('3-Year P&amp;L'!$B$9="","",B8-B9),"")</f>
        <v>8.237670000000001</v>
      </c>
      <c r="C10" s="61">
        <f>IFERROR(IF('3-Year P&amp;L'!$C$9="","",C8-C9),"")</f>
        <v>8.237670000000001</v>
      </c>
      <c r="D10" s="61">
        <f>IFERROR(IF('3-Year P&amp;L'!$D$9="","",D8-D9),"")</f>
        <v>8.237670000000001</v>
      </c>
      <c r="E10" s="28" t="inlineStr">
        <is>
          <t>Average check minus unit variable cost</t>
        </is>
      </c>
      <c r="F10" s="28" t="n"/>
    </row>
    <row r="11">
      <c r="A11" s="28" t="inlineStr">
        <is>
          <t>Operating days per year</t>
        </is>
      </c>
      <c r="B11" s="40">
        <f>IFERROR(IF('3-Year P&amp;L'!$B$9="","",'3-Year P&amp;L'!$B$8),"")</f>
        <v>260.0</v>
      </c>
      <c r="C11" s="40">
        <f>IFERROR(IF('3-Year P&amp;L'!$C$9="","",'3-Year P&amp;L'!$C$8),"")</f>
        <v>260.0</v>
      </c>
      <c r="D11" s="40">
        <f>IFERROR(IF('3-Year P&amp;L'!$D$9="","",'3-Year P&amp;L'!$D$8),"")</f>
        <v>260.0</v>
      </c>
      <c r="E11" s="28" t="inlineStr">
        <is>
          <t>The same calendar as the P&amp;L and the scenarios</t>
        </is>
      </c>
      <c r="F11" s="28" t="n"/>
    </row>
    <row r="12">
      <c r="A12" s="28" t="inlineStr">
        <is>
          <t>Principal repaid in the year</t>
        </is>
      </c>
      <c r="B12" s="61">
        <f>IFERROR(IF('3-Year P&amp;L'!$B$9="","",Financing!$B$45),"")</f>
        <v>11805.415966466702</v>
      </c>
      <c r="C12" s="61">
        <f>IFERROR(IF('3-Year P&amp;L'!$C$9="","",Financing!$B$47),"")</f>
        <v>12985.957563113372</v>
      </c>
      <c r="D12" s="61">
        <f>IFERROR(IF('3-Year P&amp;L'!$D$9="","",Financing!$B$49),"")</f>
        <v>14284.553319424711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40">
        <f>IFERROR(IF('3-Year P&amp;L'!$B$9="","",IF(B10&lt;=0,"",B6/B10)),"")</f>
        <v>17437.968329810315</v>
      </c>
      <c r="C14" s="40">
        <f>IFERROR(IF('3-Year P&amp;L'!$C$9="","",IF(C10&lt;=0,"",C6/C10)),"")</f>
        <v>18023.01949152878</v>
      </c>
      <c r="D14" s="40">
        <f>IFERROR(IF('3-Year P&amp;L'!$D$9="","",IF(D10&lt;=0,"",D6/D10)),"")</f>
        <v>18593.739639785344</v>
      </c>
      <c r="E14" s="28" t="n"/>
      <c r="F14" s="28" t="n"/>
    </row>
    <row r="15">
      <c r="A15" s="28" t="inlineStr">
        <is>
          <t>Customers needed per day</t>
        </is>
      </c>
      <c r="B15" s="44">
        <f>IFERROR(IF('3-Year P&amp;L'!$B$9="","",B14/B11),"")</f>
        <v>67.0691089608089</v>
      </c>
      <c r="C15" s="44">
        <f>IFERROR(IF('3-Year P&amp;L'!$C$9="","",C14/C11),"")</f>
        <v>69.31930573664916</v>
      </c>
      <c r="D15" s="44">
        <f>IFERROR(IF('3-Year P&amp;L'!$D$9="","",D14/D11),"")</f>
        <v>71.51438322994363</v>
      </c>
      <c r="E15" s="28" t="n"/>
      <c r="F15" s="28" t="n"/>
    </row>
    <row r="16">
      <c r="A16" s="25" t="inlineStr">
        <is>
          <t>Revenue needed per year</t>
        </is>
      </c>
      <c r="B16" s="66">
        <f>IFERROR(IF('3-Year P&amp;L'!$B$9="","",B14*B8),"")</f>
        <v>244131.5566173444</v>
      </c>
      <c r="C16" s="66">
        <f>IFERROR(IF('3-Year P&amp;L'!$C$9="","",C14*C8),"")</f>
        <v>252322.27288140293</v>
      </c>
      <c r="D16" s="66">
        <f>IFERROR(IF('3-Year P&amp;L'!$D$9="","",D14*D8),"")</f>
        <v>260312.35495699482</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140922.2159664667</v>
      </c>
      <c r="C18" s="61">
        <f>IFERROR(IF('3-Year P&amp;L'!$C$9="","",C6-'3-Year P&amp;L'!$C$36+C12),"")</f>
        <v>146922.2159664667</v>
      </c>
      <c r="D18" s="61">
        <f>IFERROR(IF('3-Year P&amp;L'!$D$9="","",D6-'3-Year P&amp;L'!$D$36+D12),"")</f>
        <v>152922.2159664667</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40">
        <f>IFERROR(IF('3-Year P&amp;L'!$B$9="","",IF(B10&lt;=0,"",B18/B10)),"")</f>
        <v>17107.04798401328</v>
      </c>
      <c r="C19" s="40">
        <f>IFERROR(IF('3-Year P&amp;L'!$C$9="","",IF(C10&lt;=0,"",C18/C10)),"")</f>
        <v>17835.409280350716</v>
      </c>
      <c r="D19" s="40">
        <f>IFERROR(IF('3-Year P&amp;L'!$D$9="","",IF(D10&lt;=0,"",D18/D10)),"")</f>
        <v>18563.770576688148</v>
      </c>
      <c r="E19" s="28" t="n"/>
      <c r="F19" s="28" t="n"/>
    </row>
    <row r="20">
      <c r="A20" s="25" t="inlineStr">
        <is>
          <t>Customers needed per day (cash)</t>
        </is>
      </c>
      <c r="B20" s="45">
        <f>IFERROR(IF('3-Year P&amp;L'!$B$9="","",B19/B11),"")</f>
        <v>65.79633840005107</v>
      </c>
      <c r="C20" s="45">
        <f>IFERROR(IF('3-Year P&amp;L'!$C$9="","",C19/C11),"")</f>
        <v>68.59772800134891</v>
      </c>
      <c r="D20" s="45">
        <f>IFERROR(IF('3-Year P&amp;L'!$D$9="","",D19/D11),"")</f>
        <v>71.39911760264673</v>
      </c>
      <c r="E20" s="28" t="n"/>
      <c r="F20" s="28" t="n"/>
    </row>
    <row r="21">
      <c r="A21" s="28" t="inlineStr">
        <is>
          <t>Revenue needed per year (cash)</t>
        </is>
      </c>
      <c r="B21" s="40">
        <f>IFERROR(IF('3-Year P&amp;L'!$B$9="","",B19*B8),"")</f>
        <v>239498.67177618592</v>
      </c>
      <c r="C21" s="40">
        <f>IFERROR(IF('3-Year P&amp;L'!$C$9="","",C19*C8),"")</f>
        <v>249695.72992491</v>
      </c>
      <c r="D21" s="40">
        <f>IFERROR(IF('3-Year P&amp;L'!$D$9="","",D19*D8),"")</f>
        <v>259892.7880736341</v>
      </c>
      <c r="E21" s="28" t="n"/>
      <c r="F21" s="28" t="n"/>
    </row>
    <row r="22">
      <c r="A22" s="25" t="inlineStr">
        <is>
          <t>COMPARISON WITH THE PLAN</t>
        </is>
      </c>
      <c r="B22" s="28" t="n"/>
      <c r="C22" s="28" t="n"/>
      <c r="D22" s="28" t="n"/>
      <c r="E22" s="28" t="n"/>
      <c r="F22" s="28" t="n"/>
    </row>
    <row r="23">
      <c r="A23" s="28" t="inlineStr">
        <is>
          <t>Customers per day forecast in the plan</t>
        </is>
      </c>
      <c r="B23" s="40">
        <f>IFERROR(IF('3-Year P&amp;L'!$B$9="","",'3-Year P&amp;L'!$B$6),"")</f>
        <v>80.0</v>
      </c>
      <c r="C23" s="40">
        <f>IFERROR(IF('3-Year P&amp;L'!$C$9="","",'3-Year P&amp;L'!$C$6),"")</f>
        <v>92.0</v>
      </c>
      <c r="D23" s="40">
        <f>IFERROR(IF('3-Year P&amp;L'!$D$9="","",'3-Year P&amp;L'!$D$6),"")</f>
        <v>101.2</v>
      </c>
      <c r="E23" s="28" t="n"/>
      <c r="F23" s="28" t="n"/>
    </row>
    <row r="24">
      <c r="A24" s="28" t="inlineStr">
        <is>
          <t>Cushion above CASH break-even (%)</t>
        </is>
      </c>
      <c r="B24" s="68">
        <f>IFERROR(IF('3-Year P&amp;L'!$B$9="","",B23/B20-1),"")</f>
        <v>0.21587313132212094</v>
      </c>
      <c r="C24" s="68">
        <f>IFERROR(IF('3-Year P&amp;L'!$C$9="","",C23/C20-1),"")</f>
        <v>0.34115229003198033</v>
      </c>
      <c r="D24" s="68">
        <f>IFERROR(IF('3-Year P&amp;L'!$D$9="","",D23/D20-1),"")</f>
        <v>0.41738446353360215</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68 customers a day over your 260 opening days to avoid losing money (accounting break-even, depreciation included), and 66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9" t="inlineStr">
        <is>
          <t>Customers per day needed: average check excl. sales tax (columns) × variable cost per customer (rows)</t>
        </is>
      </c>
      <c r="B31" s="62">
        <f>IFERROR($B$8-2,"")</f>
        <v>12.0</v>
      </c>
      <c r="C31" s="62">
        <f>IFERROR(IF($B$8="","",$B$8),"")</f>
        <v>14.0</v>
      </c>
      <c r="D31" s="62">
        <f>IFERROR($B$8+2,"")</f>
        <v>16.0</v>
      </c>
      <c r="E31" s="62">
        <f>IFERROR($B$8+4,"")</f>
        <v>18.0</v>
      </c>
      <c r="F31" s="28" t="n"/>
    </row>
    <row r="32">
      <c r="A32" s="61">
        <f>IFERROR($B$9*0.85,"")</f>
        <v>4.897980499999999</v>
      </c>
      <c r="B32" s="44">
        <f>IFERROR(IF($B$31-$A32&lt;=0,"",$B$6/($B$31-$A32)/$B$11),"")</f>
        <v>77.79381439507266</v>
      </c>
      <c r="C32" s="44">
        <f>IFERROR(IF($C$31-$A32&lt;=0,"",$B$6/($C$31-$A32)/$B$11),"")</f>
        <v>60.70006626696271</v>
      </c>
      <c r="D32" s="44">
        <f>IFERROR(IF($D$31-$A32&lt;=0,"",$B$6/($D$31-$A32)/$B$11),"")</f>
        <v>49.76510686305196</v>
      </c>
      <c r="E32" s="44">
        <f>IFERROR(IF($E$31-$A32&lt;=0,"",$B$6/($E$31-$A32)/$B$11),"")</f>
        <v>42.168551711679775</v>
      </c>
      <c r="F32" s="28" t="n"/>
    </row>
    <row r="33">
      <c r="A33" s="61">
        <f>IFERROR($B$9*0.925,"")</f>
        <v>5.33015525</v>
      </c>
      <c r="B33" s="44">
        <f>IFERROR(IF($B$31-$A33&lt;=0,"",$B$6/($B$31-$A33)/$B$11),"")</f>
        <v>82.83448978526626</v>
      </c>
      <c r="C33" s="44">
        <f>IFERROR(IF($C$31-$A33&lt;=0,"",$B$6/($C$31-$A33)/$B$11),"")</f>
        <v>63.72584547297538</v>
      </c>
      <c r="D33" s="44">
        <f>IFERROR(IF($D$31-$A33&lt;=0,"",$B$6/($D$31-$A33)/$B$11),"")</f>
        <v>51.780808414591675</v>
      </c>
      <c r="E33" s="44">
        <f>IFERROR(IF($E$31-$A33&lt;=0,"",$B$6/($E$31-$A33)/$B$11),"")</f>
        <v>43.60694213030407</v>
      </c>
      <c r="F33" s="28" t="n"/>
    </row>
    <row r="34">
      <c r="A34" s="64">
        <f>IFERROR($B$9*1.0,"")</f>
        <v>5.7623299999999995</v>
      </c>
      <c r="B34" s="48">
        <f>IFERROR(IF($B$31-$A34&lt;=0,"",$B$6/($B$31-$A34)/$B$11),"")</f>
        <v>88.57364798285046</v>
      </c>
      <c r="C34" s="48">
        <f>IFERROR(IF($C$31-$A34&lt;=0,"",$B$6/($C$31-$A34)/$B$11),"")</f>
        <v>67.0691089608089</v>
      </c>
      <c r="D34" s="48">
        <f>IFERROR(IF($D$31-$A34&lt;=0,"",$B$6/($D$31-$A34)/$B$11),"")</f>
        <v>53.966692305298636</v>
      </c>
      <c r="E34" s="48">
        <f>IFERROR(IF($E$31-$A34&lt;=0,"",$B$6/($E$31-$A34)/$B$11),"")</f>
        <v>45.146926401282826</v>
      </c>
    </row>
    <row r="35">
      <c r="A35" s="64">
        <f>IFERROR($B$9*1.075,"")</f>
        <v>6.194504749999999</v>
      </c>
      <c r="B35" s="48">
        <f>IFERROR(IF($B$31-$A35&lt;=0,"",$B$6/($B$31-$A35)/$B$11),"")</f>
        <v>95.16727910735725</v>
      </c>
      <c r="C35" s="48">
        <f>IFERROR(IF($C$31-$A35&lt;=0,"",$B$6/($C$31-$A35)/$B$11),"")</f>
        <v>70.78259215047075</v>
      </c>
      <c r="D35" s="48">
        <f>IFERROR(IF($D$31-$A35&lt;=0,"",$B$6/($D$31-$A35)/$B$11),"")</f>
        <v>56.345260767240376</v>
      </c>
      <c r="E35" s="48">
        <f>IFERROR(IF($E$31-$A35&lt;=0,"",$B$6/($E$31-$A35)/$B$11),"")</f>
        <v>46.79966194668426</v>
      </c>
    </row>
    <row r="36">
      <c r="A36" s="64">
        <f>IFERROR($B$9*1.15,"")</f>
        <v>6.626679499999999</v>
      </c>
      <c r="B36" s="48">
        <f>IFERROR(IF($B$31-$A36&lt;=0,"",$B$6/($B$31-$A36)/$B$11),"")</f>
        <v>102.82155825493506</v>
      </c>
      <c r="C36" s="48">
        <f>IFERROR(IF($C$31-$A36&lt;=0,"",$B$6/($C$31-$A36)/$B$11),"")</f>
        <v>74.93139445290446</v>
      </c>
      <c r="D36" s="48">
        <f>IFERROR(IF($D$31-$A36&lt;=0,"",$B$6/($D$31-$A36)/$B$11),"")</f>
        <v>58.94316606512993</v>
      </c>
      <c r="E36" s="48">
        <f>IFERROR(IF($E$31-$A36&lt;=0,"",$B$6/($E$31-$A36)/$B$11),"")</f>
        <v>48.578002071882764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53</v>
      </c>
      <c r="C5" s="40">
        <f>IFERROR(IF('3-Year P&amp;L'!$B$6="","",'3-Year P&amp;L'!$B$6),"")</f>
        <v>80.0</v>
      </c>
      <c r="D5" s="49" t="n">
        <v>116</v>
      </c>
      <c r="E5" s="28" t="n"/>
      <c r="F5" s="28" t="n"/>
    </row>
    <row r="6">
      <c r="A6" s="28" t="inlineStr">
        <is>
          <t>Average check (excl. sales tax)</t>
        </is>
      </c>
      <c r="B6" s="71" t="n">
        <v>11.67</v>
      </c>
      <c r="C6" s="61">
        <f>IFERROR(IF('3-Year P&amp;L'!$B$7="","",'3-Year P&amp;L'!$B$7),"")</f>
        <v>14.0</v>
      </c>
      <c r="D6" s="71" t="n">
        <v>16.33</v>
      </c>
      <c r="E6" s="28" t="n"/>
      <c r="F6" s="28" t="n"/>
    </row>
    <row r="7">
      <c r="A7" s="28" t="inlineStr">
        <is>
          <t>Operating days per year</t>
        </is>
      </c>
      <c r="B7" s="49" t="n">
        <v>260</v>
      </c>
      <c r="C7" s="40">
        <f>IFERROR(IF('3-Year P&amp;L'!$B$8="","",'3-Year P&amp;L'!$B$8),"")</f>
        <v>260.0</v>
      </c>
      <c r="D7" s="49" t="n">
        <v>260</v>
      </c>
      <c r="E7" s="28" t="n"/>
      <c r="F7" s="28" t="n"/>
    </row>
    <row r="8">
      <c r="A8" s="25" t="inlineStr">
        <is>
          <t>ANNUAL REVENUE (excl. sales tax)</t>
        </is>
      </c>
      <c r="B8" s="66">
        <f>IFERROR(IF(B5*B6*B7=0,"",B5*B6*B7),"")</f>
        <v>160812.6</v>
      </c>
      <c r="C8" s="66">
        <f>IFERROR(IF(C5*C6*C7=0,"",C5*C6*C7),"")</f>
        <v>291200.0</v>
      </c>
      <c r="D8" s="66">
        <f>IFERROR(IF(D5*D6*D7=0,"",D5*D6*D7),"")</f>
        <v>492512.79999999993</v>
      </c>
      <c r="E8" s="28" t="n"/>
      <c r="F8" s="28" t="n"/>
    </row>
    <row r="9">
      <c r="A9" s="28" t="inlineStr">
        <is>
          <t>Cost of goods sold — food</t>
        </is>
      </c>
      <c r="B9" s="40">
        <f>IFERROR(IF(B8="","",B8*'0. Assumptions'!$B$11*'0. Assumptions'!$B$13),"")</f>
        <v>41098.876182</v>
      </c>
      <c r="C9" s="40">
        <f>IFERROR(IF(C8="","",C8*'0. Assumptions'!$B$11*'0. Assumptions'!$B$13),"")</f>
        <v>74421.984</v>
      </c>
      <c r="D9" s="40">
        <f>IFERROR(IF(D8="","",D8*'0. Assumptions'!$B$11*'0. Assumptions'!$B$13),"")</f>
        <v>125871.49629599997</v>
      </c>
      <c r="E9" s="28" t="n"/>
      <c r="F9" s="28" t="n"/>
    </row>
    <row r="10">
      <c r="A10" s="28" t="inlineStr">
        <is>
          <t>Cost of goods sold — beverage</t>
        </is>
      </c>
      <c r="B10" s="40">
        <f>IFERROR(IF(B8="","",B8*'0. Assumptions'!$B$12*'0. Assumptions'!$B$14),"")</f>
        <v>5954.086515000001</v>
      </c>
      <c r="C10" s="40">
        <f>IFERROR(IF(C8="","",C8*'0. Assumptions'!$B$12*'0. Assumptions'!$B$14),"")</f>
        <v>10781.68</v>
      </c>
      <c r="D10" s="40">
        <f>IFERROR(IF(D8="","",D8*'0. Assumptions'!$B$12*'0. Assumptions'!$B$14),"")</f>
        <v>18235.28642</v>
      </c>
      <c r="E10" s="28" t="n"/>
      <c r="F10" s="28" t="n"/>
    </row>
    <row r="11">
      <c r="A11" s="28" t="inlineStr">
        <is>
          <t>Disposables and packaging</t>
        </is>
      </c>
      <c r="B11" s="40">
        <f>IFERROR(IF(B8="","",B8*'0. Assumptions'!$B$15),"")</f>
        <v>6432.504000000001</v>
      </c>
      <c r="C11" s="40">
        <f>IFERROR(IF(C8="","",C8*'0. Assumptions'!$B$15),"")</f>
        <v>11648.0</v>
      </c>
      <c r="D11" s="40">
        <f>IFERROR(IF(D8="","",D8*'0. Assumptions'!$B$15),"")</f>
        <v>19700.512</v>
      </c>
      <c r="E11" s="28" t="n"/>
      <c r="F11" s="28" t="n"/>
    </row>
    <row r="12">
      <c r="A12" s="28" t="inlineStr">
        <is>
          <t>Delivery platform fees</t>
        </is>
      </c>
      <c r="B12" s="40">
        <f>IFERROR(IF(B8="","",B8*'0. Assumptions'!$B$16*'0. Assumptions'!$B$17),"")</f>
        <v>0.0</v>
      </c>
      <c r="C12" s="40">
        <f>IFERROR(IF(C8="","",C8*'0. Assumptions'!$B$16*'0. Assumptions'!$B$17),"")</f>
        <v>0.0</v>
      </c>
      <c r="D12" s="40">
        <f>IFERROR(IF(D8="","",D8*'0. Assumptions'!$B$16*'0. Assumptions'!$B$17),"")</f>
        <v>0.0</v>
      </c>
      <c r="E12" s="28" t="n"/>
      <c r="F12" s="28" t="n"/>
    </row>
    <row r="13">
      <c r="A13" s="28" t="inlineStr">
        <is>
          <t>Card processing fees</t>
        </is>
      </c>
      <c r="B13" s="40">
        <f>IFERROR(IF(B8="","",B8*'0. Assumptions'!$B$18),"")</f>
        <v>4663.5654</v>
      </c>
      <c r="C13" s="40">
        <f>IFERROR(IF(C8="","",C8*'0. Assumptions'!$B$18),"")</f>
        <v>8444.800000000001</v>
      </c>
      <c r="D13" s="40">
        <f>IFERROR(IF(D8="","",D8*'0. Assumptions'!$B$18),"")</f>
        <v>14282.8712</v>
      </c>
      <c r="E13" s="28" t="n"/>
      <c r="F13" s="28" t="n"/>
    </row>
    <row r="14">
      <c r="A14" s="28" t="inlineStr">
        <is>
          <t>Miscellaneous and contingency</t>
        </is>
      </c>
      <c r="B14" s="40">
        <f>IFERROR(IF(B8="","",B8*'0. Assumptions'!$B$28),"")</f>
        <v>8040.630000000001</v>
      </c>
      <c r="C14" s="40">
        <f>IFERROR(IF(C8="","",C8*'0. Assumptions'!$B$28),"")</f>
        <v>14560.0</v>
      </c>
      <c r="D14" s="40">
        <f>IFERROR(IF(D8="","",D8*'0. Assumptions'!$B$28),"")</f>
        <v>24625.64</v>
      </c>
      <c r="E14" s="28" t="n"/>
      <c r="F14" s="28" t="n"/>
    </row>
    <row r="15">
      <c r="A15" s="28" t="inlineStr">
        <is>
          <t>TOTAL VARIABLE COSTS</t>
        </is>
      </c>
      <c r="B15" s="40">
        <f>IFERROR(IF(B8="","",SUM(B9:B14)),"")</f>
        <v>66189.66209700001</v>
      </c>
      <c r="C15" s="40">
        <f>IFERROR(IF(C8="","",SUM(C9:C14)),"")</f>
        <v>119856.46399999999</v>
      </c>
      <c r="D15" s="40">
        <f>IFERROR(IF(D8="","",SUM(D9:D14)),"")</f>
        <v>202715.80591599995</v>
      </c>
      <c r="E15" s="28" t="n"/>
      <c r="F15" s="28" t="n"/>
    </row>
    <row r="16">
      <c r="A16" s="35" t="inlineStr">
        <is>
          <t>GROSS MARGIN</t>
        </is>
      </c>
      <c r="B16" s="42">
        <f>IFERROR(IF(B8="","",B8-B15),"")</f>
        <v>94622.937903</v>
      </c>
      <c r="C16" s="42">
        <f>IFERROR(IF(C8="","",C8-C15),"")</f>
        <v>171343.53600000002</v>
      </c>
      <c r="D16" s="42">
        <f>IFERROR(IF(D8="","",D8-D15),"")</f>
        <v>289796.994084</v>
      </c>
    </row>
    <row r="17">
      <c r="A17" s="35" t="inlineStr">
        <is>
          <t>FIXED COSTS (the P&amp;L's)</t>
        </is>
      </c>
      <c r="B17" s="42">
        <f>IFERROR(IF(B8="","",'3-Year P&amp;L'!$B$38),"")</f>
        <v>143648.22857142857</v>
      </c>
      <c r="C17" s="42">
        <f>IFERROR(IF(C8="","",'3-Year P&amp;L'!$B$38),"")</f>
        <v>143648.22857142857</v>
      </c>
      <c r="D17" s="42">
        <f>IFERROR(IF(D8="","",'3-Year P&amp;L'!$B$38),"")</f>
        <v>143648.22857142857</v>
      </c>
      <c r="E17" s="35" t="inlineStr">
        <is>
          <t>Fixed costs do not change with the scenario: that is why they are fixed</t>
        </is>
      </c>
    </row>
    <row r="18">
      <c r="A18" s="16" t="inlineStr">
        <is>
          <t>PRE-TAX INCOME (EBT)</t>
        </is>
      </c>
      <c r="B18" s="52">
        <f>IFERROR(IF(B8="","",B16-B17),"")</f>
        <v>-49025.29066842857</v>
      </c>
      <c r="C18" s="52">
        <f>IFERROR(IF(C8="","",C16-C17),"")</f>
        <v>27695.307428571454</v>
      </c>
      <c r="D18" s="52">
        <f>IFERROR(IF(D8="","",D16-D17),"")</f>
        <v>146148.76551257144</v>
      </c>
    </row>
    <row r="19">
      <c r="A19" s="35" t="inlineStr">
        <is>
          <t>Income tax</t>
        </is>
      </c>
      <c r="B19" s="42">
        <f>IFERROR(IF(B8="","",MAX(0,B18-'0. Assumptions'!$B$42)*'0. Assumptions'!$B$37),"")</f>
        <v>0.0</v>
      </c>
      <c r="C19" s="42">
        <f>IFERROR(IF(C8="","",MAX(0,C18-'0. Assumptions'!$B$42)*'0. Assumptions'!$B$37),"")</f>
        <v>6923.826857142863</v>
      </c>
      <c r="D19" s="42">
        <f>IFERROR(IF(D8="","",MAX(0,D18-'0. Assumptions'!$B$42)*'0. Assumptions'!$B$37),"")</f>
        <v>36537.19137814286</v>
      </c>
      <c r="E19" s="35" t="inlineStr">
        <is>
          <t>At the "years 1-2" effective income tax rate, offsetting prior net operating losses</t>
        </is>
      </c>
    </row>
    <row r="20">
      <c r="A20" s="16" t="inlineStr">
        <is>
          <t>NET INCOME</t>
        </is>
      </c>
      <c r="B20" s="52">
        <f>IFERROR(IF(B8="","",B18-B19),"")</f>
        <v>-49025.29066842857</v>
      </c>
      <c r="C20" s="52">
        <f>IFERROR(IF(C8="","",C18-C19),"")</f>
        <v>20771.48057142859</v>
      </c>
      <c r="D20" s="52">
        <f>IFERROR(IF(D8="","",D18-D19),"")</f>
        <v>109611.57413442858</v>
      </c>
    </row>
    <row r="21">
      <c r="A21" s="35" t="inlineStr">
        <is>
          <t>Customers per day to break even</t>
        </is>
      </c>
      <c r="B21" s="48">
        <f>IFERROR(IF(B8="","",IF(B6-B15/(B5*B7)&lt;=0,"",B17/(B6-B15/(B5*B7))/B7)),"")</f>
        <v>80.45994219805698</v>
      </c>
      <c r="C21" s="48">
        <f>IFERROR(IF(C8="","",IF(C6-C15/(C5*C7)&lt;=0,"",C17/(C6-C15/(C5*C7))/C7)),"")</f>
        <v>67.0691089608089</v>
      </c>
      <c r="D21" s="48">
        <f>IFERROR(IF(D8="","",IF(D6-D15/(D5*D7)&lt;=0,"",D17/(D6-D15/(D5*D7))/D7)),"")</f>
        <v>57.499542281158895</v>
      </c>
    </row>
    <row r="22">
      <c r="A22" s="16" t="inlineStr">
        <is>
          <t>WHAT EACH SCENARIO DEMANDS</t>
        </is>
      </c>
    </row>
    <row r="23">
      <c r="A23" s="35" t="inlineStr">
        <is>
          <t>Labor cost / Sales</t>
        </is>
      </c>
      <c r="B23" s="65">
        <f>IFERROR(IF(B8="","",'3-Year P&amp;L'!$B$23/B8),"")</f>
        <v>0.47394793691539094</v>
      </c>
      <c r="C23" s="65">
        <f>IFERROR(IF(C8="","",'3-Year P&amp;L'!$B$23/C8),"")</f>
        <v>0.2617335164835165</v>
      </c>
      <c r="D23" s="65">
        <f>IFERROR(IF(D8="","",'3-Year P&amp;L'!$B$23/D8),"")</f>
        <v>0.15475090190549365</v>
      </c>
      <c r="E23" s="35" t="inlineStr">
        <is>
          <t>The SAME staffing in all three scenarios. If labor cost blows up in the pessimistic case, adjust it in the Staffing tab, not here</t>
        </is>
      </c>
    </row>
    <row r="24">
      <c r="A24" s="35" t="inlineStr">
        <is>
          <t>Customers per year per full-time equivalent</t>
        </is>
      </c>
      <c r="B24" s="42">
        <f>IFERROR(IF(B8="","",B5*B7/Staffing!$C$9),"")</f>
        <v>6855.721393034825</v>
      </c>
      <c r="C24" s="42">
        <f>IFERROR(IF(C8="","",C5*C7/Staffing!$C$9),"")</f>
        <v>10348.25870646766</v>
      </c>
      <c r="D24" s="42">
        <f>IFERROR(IF(D8="","",D5*D7/Staffing!$C$9),"")</f>
        <v>15004.975124378108</v>
      </c>
      <c r="E24" s="35" t="inlineStr">
        <is>
          <t>Customers each full-time employee in the Staffing table would have to serve. In the optimistic scenario it tells you whether you need to hire</t>
        </is>
      </c>
    </row>
    <row r="25">
      <c r="A25" s="16" t="inlineStr">
        <is>
          <t>Year-1 closing cash balance (estimate, same method in all three scenarios)</t>
        </is>
      </c>
      <c r="B25" s="52">
        <f>IFERROR(IF(B8="","",'Startup Costs'!$B$25+B20+'3-Year P&amp;L'!$B$36-Financing!$B$45),"")</f>
        <v>-14020.0780634667</v>
      </c>
      <c r="C25" s="52">
        <f>IFERROR(IF(C8="","",'Startup Costs'!$B$25+C20+'3-Year P&amp;L'!$B$36-Financing!$B$45),"")</f>
        <v>55776.69317639045</v>
      </c>
      <c r="D25" s="52">
        <f>IFERROR(IF(D8="","",'Startup Costs'!$B$25+D20+'3-Year P&amp;L'!$B$36-Financing!$B$45),"")</f>
        <v>144616.78673939046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70692.63744662206</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(chef, manager and driver)</t>
        </is>
      </c>
      <c r="B5" s="49" t="n">
        <v>1</v>
      </c>
      <c r="C5" s="51" t="n">
        <v>1</v>
      </c>
      <c r="D5" s="71" t="n">
        <v>3000</v>
      </c>
      <c r="E5" s="61">
        <f>IFERROR(IF(D5="","",D5*'0. Assumptions'!$B$20),"")</f>
        <v>300.0</v>
      </c>
      <c r="F5" s="61">
        <f>IFERROR(IF(D5="","",D5+E5),"")</f>
        <v>3300.0</v>
      </c>
      <c r="G5" s="61">
        <f>IFERROR(IF(D5="","",F5*MAX(12,'0. Assumptions'!$B$21)),"")</f>
        <v>39600.0</v>
      </c>
      <c r="H5" s="44">
        <f>IFERROR(IF(D5="","",C5*$B$16),"")</f>
        <v>40.0</v>
      </c>
      <c r="I5" s="40">
        <f>IFERROR(IF(D5="","",H5*B5*$B$17),"")</f>
        <v>2000.0</v>
      </c>
      <c r="J5" s="28" t="inlineStr">
        <is>
          <t>Cooks, drives the truck between locations and runs management, purchasing and social media. Covers the main shift on every service day.</t>
        </is>
      </c>
    </row>
    <row r="6">
      <c r="A6" s="28" t="inlineStr">
        <is>
          <t>Cook-cashier</t>
        </is>
      </c>
      <c r="B6" s="49" t="n">
        <v>1</v>
      </c>
      <c r="C6" s="51" t="n">
        <v>0.8</v>
      </c>
      <c r="D6" s="71" t="n">
        <v>2218</v>
      </c>
      <c r="E6" s="61">
        <f>IFERROR(IF(D6="","",D6*'0. Assumptions'!$B$20),"")</f>
        <v>221.8</v>
      </c>
      <c r="F6" s="61">
        <f>IFERROR(IF(D6="","",D6+E6),"")</f>
        <v>2439.8</v>
      </c>
      <c r="G6" s="61">
        <f>IFERROR(IF(D6="","",F6*MAX(12,'0. Assumptions'!$B$21)),"")</f>
        <v>29277.600000000002</v>
      </c>
      <c r="H6" s="44">
        <f>IFERROR(IF(D6="","",C6*$B$16),"")</f>
        <v>32.0</v>
      </c>
      <c r="I6" s="40">
        <f>IFERROR(IF(D6="","",H6*B6*$B$17),"")</f>
        <v>1600.0</v>
      </c>
      <c r="J6" s="28" t="inlineStr">
        <is>
          <t>Prep, setup, customer service and breakdown. Part time: a truck with at most two services a day does not need a second full-time person. Paid at or above the pay floor in proportion to FTE.</t>
        </is>
      </c>
    </row>
    <row r="7">
      <c r="A7" s="28" t="inlineStr">
        <is>
          <t>Events and festival help</t>
        </is>
      </c>
      <c r="B7" s="49" t="n">
        <v>1</v>
      </c>
      <c r="C7" s="51" t="n">
        <v>0.15</v>
      </c>
      <c r="D7" s="71" t="n">
        <v>390</v>
      </c>
      <c r="E7" s="61">
        <f>IFERROR(IF(D7="","",D7*'0. Assumptions'!$B$20),"")</f>
        <v>39.0</v>
      </c>
      <c r="F7" s="61">
        <f>IFERROR(IF(D7="","",D7+E7),"")</f>
        <v>429.0</v>
      </c>
      <c r="G7" s="61">
        <f>IFERROR(IF(D7="","",F7*MAX(12,'0. Assumptions'!$B$21)),"")</f>
        <v>5148.0</v>
      </c>
      <c r="H7" s="44">
        <f>IFERROR(IF(D7="","",C7*$B$16),"")</f>
        <v>6.0</v>
      </c>
      <c r="I7" s="40">
        <f>IFERROR(IF(D7="","",H7*B7*$B$17),"")</f>
        <v>300.0</v>
      </c>
      <c r="J7" s="28" t="inlineStr">
        <is>
          <t>Only for festival and big-event peaks: a few days a month, not a permanent position. Paid at or above the pay floor in proportion to FTE.</t>
        </is>
      </c>
    </row>
    <row r="8">
      <c r="A8" s="28" t="inlineStr">
        <is>
          <t>Vacation and day-off relief</t>
        </is>
      </c>
      <c r="B8" s="49" t="n">
        <v>1</v>
      </c>
      <c r="C8" s="51" t="n">
        <v>0.06</v>
      </c>
      <c r="D8" s="71" t="n">
        <v>166</v>
      </c>
      <c r="E8" s="61">
        <f>IFERROR(IF(D8="","",D8*'0. Assumptions'!$B$20),"")</f>
        <v>16.6</v>
      </c>
      <c r="F8" s="61">
        <f>IFERROR(IF(D8="","",D8+E8),"")</f>
        <v>182.6</v>
      </c>
      <c r="G8" s="61">
        <f>IFERROR(IF(D8="","",F8*MAX(12,'0. Assumptions'!$B$21)),"")</f>
        <v>2191.2</v>
      </c>
      <c r="H8" s="44">
        <f>IFERROR(IF(D8="","",C8*$B$16),"")</f>
        <v>2.4</v>
      </c>
      <c r="I8" s="40">
        <f>IFERROR(IF(D8="","",H8*B8*$B$17),"")</f>
        <v>120.0</v>
      </c>
      <c r="J8" s="28" t="inlineStr">
        <is>
          <t>Covers vacation and days off for the owner and the cook-cashier, plus the weekly rest. The US sets no federal vacation requirement, so this follows your own policy. Paid at or above the pay floor in proportion to FTE.</t>
        </is>
      </c>
    </row>
    <row r="9">
      <c r="A9" s="16" t="inlineStr">
        <is>
          <t>TOTAL STAFF</t>
        </is>
      </c>
      <c r="B9" s="52">
        <f>IFERROR(IF(COUNT(D5:D8)=0,"",SUM(B5:B8)),"")</f>
        <v>4.0</v>
      </c>
      <c r="C9" s="53">
        <f>IFERROR(IF(COUNT(D5:D8)=0,"",SUM(C5:C8)),"")</f>
        <v>2.0100000000000002</v>
      </c>
      <c r="D9" s="53">
        <f>IFERROR(IF(COUNT(D5:D8)=0,"",SUM(D5:D8)),"")</f>
        <v>5774.0</v>
      </c>
      <c r="E9" s="53">
        <f>IFERROR(IF(COUNT(D5:D8)=0,"",SUM(E5:E8)),"")</f>
        <v>577.4</v>
      </c>
      <c r="F9" s="53">
        <f>IFERROR(IF(COUNT(D5:D8)=0,"",SUM(F5:F8)),"")</f>
        <v>6351.400000000001</v>
      </c>
      <c r="G9" s="53">
        <f>IFERROR(IF(COUNT(D5:D8)=0,"",SUM(G5:G8)),"")</f>
        <v>76216.8</v>
      </c>
      <c r="I9" s="52">
        <f>IFERROR(IF(COUNT(D5:D8)=0,"",SUM(I5:I8)),"")</f>
        <v>4020.0</v>
      </c>
    </row>
    <row r="10">
      <c r="A10" s="16" t="inlineStr">
        <is>
          <t>STAFF GROWTH (stepped cost)</t>
        </is>
      </c>
    </row>
    <row r="11">
      <c r="A11" s="35" t="inlineStr">
        <is>
          <t>Annual cost of year-2 hires</t>
        </is>
      </c>
      <c r="B11" s="56" t="n">
        <v>6000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6000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82216.8</v>
      </c>
    </row>
    <row r="14">
      <c r="A14" s="35" t="inlineStr">
        <is>
          <t>Labor cost, year 3</t>
        </is>
      </c>
      <c r="B14" s="42">
        <f>IFERROR(IF(B13="","",B13*(1+'0. Assumptions'!$B$48)+B12),"")</f>
        <v>88216.8</v>
      </c>
    </row>
    <row r="15">
      <c r="A15" s="16" t="inlineStr">
        <is>
          <t>COVERAGE OF SERVICE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Service hours per day to cover</t>
        </is>
      </c>
      <c r="B18" s="57" t="n">
        <v>10</v>
      </c>
      <c r="J18" s="35" t="inlineStr">
        <is>
          <t>A full effective service day: loading, driving, setup, service, pack-down and cleaning. Serving customers is only part of it.</t>
        </is>
      </c>
    </row>
    <row r="19">
      <c r="A19" s="35" t="inlineStr">
        <is>
          <t>People needed at the same time in each shift</t>
        </is>
      </c>
      <c r="B19" s="57" t="n">
        <v>1.5</v>
      </c>
      <c r="J19" s="35" t="inlineStr">
        <is>
          <t>Average number of people on board. At a festival peak you will need a second pair of hands: raise it here and the staffing sizes itself.</t>
        </is>
      </c>
    </row>
    <row r="20">
      <c r="A20" s="35" t="inlineStr">
        <is>
          <t>Service hours to cover per year</t>
        </is>
      </c>
      <c r="B20" s="42">
        <f>IFERROR(IF(OR(B18="",B19="",'0. Assumptions'!$B$6=""),"",B18*B19*'0. Assumptions'!$B$6),"")</f>
        <v>3900.0</v>
      </c>
    </row>
    <row r="21">
      <c r="A21" s="35" t="inlineStr">
        <is>
          <t>Hours hired per year</t>
        </is>
      </c>
      <c r="B21" s="42">
        <f>IFERROR(IF(I9="","",I9),"")</f>
        <v>4020.0</v>
      </c>
    </row>
    <row r="22">
      <c r="A22" s="16" t="inlineStr">
        <is>
          <t>Coverage (hired / needed)</t>
        </is>
      </c>
      <c r="B22" s="69">
        <f>IFERROR(B21/B20,"")</f>
        <v>1.0307692307692307</v>
      </c>
      <c r="J22" s="16" t="inlineStr">
        <is>
          <t>Below 100% the staff cannot cover the hours the plan declares: either hire more or cut the hours</t>
        </is>
      </c>
    </row>
    <row r="24" ht="150" customHeight="1">
      <c r="A24" s="17"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 Food Truck Financial Plan</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commissary &amp; truck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90" customHeight="1">
      <c r="A7" s="46" t="inlineStr">
        <is>
          <t>3. Only "Break-Even" is derived entirely from the rest. The other three tabs also have green cells you can edit: the pessimistic and optimistic scenarios in "Scenarios", seasonality and the launch ramp-up in "12-Month Cash Flow", and the four alternative funding sources in "Financing". Everything else is calculated.</t>
        </is>
      </c>
      <c r="B7" s="28" t="n"/>
      <c r="C7" s="28" t="n"/>
      <c r="D7" s="28" t="n"/>
      <c r="E7" s="28" t="n"/>
    </row>
    <row r="8" ht="210" customHeight="1">
      <c r="A8" s="46"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0.29259499999999994</v>
      </c>
      <c r="C18" s="68">
        <f>IFERROR(IF('3-Year P&amp;L'!$E$53="","",'3-Year P&amp;L'!$E$53),"")</f>
        <v>0.35</v>
      </c>
      <c r="D18" s="28" t="str">
        <f>IFERROR(IF(OR(B18="",C18=""),"",IF(B18&lt;=C18,"OK","REVIEW")),"")</f>
        <v>OK</v>
      </c>
      <c r="E18" s="28" t="n"/>
    </row>
    <row r="19">
      <c r="A19" t="inlineStr">
        <is>
          <t>Labor cost / Sales</t>
        </is>
      </c>
      <c r="B19" s="65">
        <f>IFERROR(IF('3-Year P&amp;L'!$B$54="","",'3-Year P&amp;L'!$B$54),"")</f>
        <v>0.2617335164835165</v>
      </c>
      <c r="C19" s="65">
        <f>IFERROR(IF('3-Year P&amp;L'!$E$54="","",'3-Year P&amp;L'!$E$54),"")</f>
        <v>0.3</v>
      </c>
      <c r="D19" t="str">
        <f>IFERROR(IF(OR(B19="",C19=""),"",IF(B19&lt;=C19,"OK","REVIEW")),"")</f>
        <v>OK</v>
      </c>
    </row>
    <row r="20">
      <c r="A20" t="inlineStr">
        <is>
          <t>Commissary &amp; parking / Sales</t>
        </is>
      </c>
      <c r="B20" s="65">
        <f>IFERROR(IF('3-Year P&amp;L'!$B$55="","",'3-Year P&amp;L'!$B$55),"")</f>
        <v>0.04945054945054945</v>
      </c>
      <c r="C20" s="65">
        <f>IFERROR(IF('3-Year P&amp;L'!$E$55="","",'3-Year P&amp;L'!$E$55),"")</f>
        <v>0.06</v>
      </c>
      <c r="D20" t="str">
        <f>IFERROR(IF(OR(B20="",C20=""),"",IF(B20&lt;=C20,"OK","REVIEW")),"")</f>
        <v>OK</v>
      </c>
    </row>
    <row r="21">
      <c r="A21" t="inlineStr">
        <is>
          <t>Net income / Sales</t>
        </is>
      </c>
      <c r="B21" s="65">
        <f>IFERROR(IF('3-Year P&amp;L'!$B$56="","",'3-Year P&amp;L'!$B$56),"")</f>
        <v>0.07133063383045532</v>
      </c>
      <c r="C21" s="65">
        <f>IFERROR(IF('3-Year P&amp;L'!$E$56="","",'3-Year P&amp;L'!$E$56),"")</f>
        <v>0.06</v>
      </c>
      <c r="D21" t="str">
        <f>IFERROR(IF(OR(B21="",C21=""),"",IF(B21&gt;=C21,"OK","REVIEW")),"")</f>
        <v>OK</v>
      </c>
    </row>
    <row r="22">
      <c r="A22" t="inlineStr">
        <is>
          <t>Gross margin / Sales</t>
        </is>
      </c>
      <c r="B22" s="65">
        <f>IFERROR(IF('3-Year P&amp;L'!$B$51="","",'3-Year P&amp;L'!$B$51),"")</f>
        <v>0.5884050000000001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146399.2</v>
      </c>
    </row>
    <row r="26">
      <c r="A26" t="inlineStr">
        <is>
          <t>Total cash needed at launch</t>
        </is>
      </c>
      <c r="B26" s="42">
        <f>IFERROR(IF('Startup Costs'!$B$29="","",'Startup Costs'!$B$29),"")</f>
        <v>146399.2</v>
      </c>
    </row>
    <row r="27">
      <c r="A27" t="inlineStr">
        <is>
          <t>Working capital funded</t>
        </is>
      </c>
      <c r="B27" s="42">
        <f>IFERROR(IF('Startup Costs'!$B$25="","",'Startup Costs'!$B$25),"")</f>
        <v>32279.2</v>
      </c>
    </row>
    <row r="28">
      <c r="A28" t="inlineStr">
        <is>
          <t>Forecast year-1 revenue</t>
        </is>
      </c>
      <c r="B28" s="42">
        <f>IFERROR(IF('3-Year P&amp;L'!$B$9="","",'3-Year P&amp;L'!$B$9),"")</f>
        <v>291200.0</v>
      </c>
    </row>
    <row r="29">
      <c r="A29" t="inlineStr">
        <is>
          <t>Year-1 net income</t>
        </is>
      </c>
      <c r="B29" s="42">
        <f>IFERROR(IF('3-Year P&amp;L'!$B$48="","",'3-Year P&amp;L'!$B$48),"")</f>
        <v>20771.48057142859</v>
      </c>
    </row>
    <row r="30">
      <c r="A30" t="inlineStr">
        <is>
          <t>Customers per day for the ACCOUNTING break-even (depreciation included)</t>
        </is>
      </c>
      <c r="B30" s="48">
        <f>IFERROR(IF('Break-Even'!$B$15="","",'Break-Even'!$B$15),"")</f>
        <v>67.0691089608089</v>
      </c>
    </row>
    <row r="31">
      <c r="A31" t="inlineStr">
        <is>
          <t>Project payback (years), before debt</t>
        </is>
      </c>
      <c r="B31">
        <f>IFERROR(IF('12-Month Cash Flow'!$B$31="","",'12-Month Cash Flow'!$B$31),"")</f>
        <v>2.5</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service hours or pay floors</t>
        </is>
      </c>
      <c r="C36" s="58" t="inlineStr">
        <is>
          <t>Positions with their FTE, sized to cover the service hours, plus a relief line for vacation and days off</t>
        </is>
      </c>
      <c r="D36" s="17" t="inlineStr">
        <is>
          <t>A plan staffed for fewer hours than it sells does not work on its own numbers. This layout makes that gap visible before a lender does.</t>
        </is>
      </c>
    </row>
    <row r="37" ht="60" customHeight="1">
      <c r="A37" s="58" t="inlineStr">
        <is>
          <t>Operating days per year</t>
        </is>
      </c>
      <c r="B37" s="58" t="inlineStr">
        <is>
          <t>A different calendar on each tab: monthly days on one, weekly days on another, none on the P&amp;L</t>
        </is>
      </c>
      <c r="C37" s="58" t="inlineStr">
        <is>
          <t>One operating-days cell for the whole workbook</t>
        </is>
      </c>
      <c r="D37" s="17" t="inlineStr">
        <is>
          <t>Break-even, scenarios and the P&amp;L read the same calendar, so they always agree. It is set as service days per week times active weeks.</t>
        </is>
      </c>
    </row>
    <row r="38" ht="60" customHeight="1">
      <c r="A38" s="58" t="inlineStr">
        <is>
          <t>Average check</t>
        </is>
      </c>
      <c r="B38" s="58" t="inlineStr">
        <is>
          <t>A price with no statement of whether sales tax is included</t>
        </is>
      </c>
      <c r="C38" s="58" t="inlineStr">
        <is>
          <t>Declared EXCL. sales tax</t>
        </is>
      </c>
      <c r="D38" s="17" t="inlineStr">
        <is>
          <t>Declaring it changes no number: it just says what the number is. Menu price incl. sales tax = average check × (1 + sales tax rate), and the workbook calculates it for you.</t>
        </is>
      </c>
    </row>
    <row r="39" ht="60" customHeight="1">
      <c r="A39" s="58" t="inlineStr">
        <is>
          <t>Commissary &amp; truck parking</t>
        </is>
      </c>
      <c r="B39" s="58" t="inlineStr">
        <is>
          <t>Left out: the model shows no cost of space</t>
        </is>
      </c>
      <c r="C39" s="58" t="inlineStr">
        <is>
          <t>A monthly commissary and parking cost, plus a deposit and rent for the months before opening</t>
        </is>
      </c>
      <c r="D39" s="17" t="inlineStr">
        <is>
          <t>A food truck needs somewhere to store the truck, fill the water tanks and dump waste (most health departments require a commissary).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stretch of bad weather or a slow month for events.</t>
        </is>
      </c>
    </row>
    <row r="41" ht="60" customHeight="1">
      <c r="A41" s="58" t="inlineStr">
        <is>
          <t>Depreciation</t>
        </is>
      </c>
      <c r="B41" s="58" t="inlineStr">
        <is>
          <t>One useful life for everything, including items that are not fixed assets</t>
        </is>
      </c>
      <c r="C41" s="58" t="inlineStr">
        <is>
          <t>Two useful lives: the truck with its build-out, and the equipment and furniture. The Startup Costs tab calculates the annual charge.</t>
        </is>
      </c>
      <c r="D41" s="17" t="inlineStr">
        <is>
          <t>The truck and the equipment wear out at different speeds. Working capital, opening inventory and launch marketing are not fixed assets, so they are not depreciated.</t>
        </is>
      </c>
    </row>
    <row r="42" ht="30" customHeight="1">
      <c r="A42" s="58" t="inlineStr">
        <is>
          <t>Truck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t>
        </is>
      </c>
      <c r="B43" s="58" t="inlineStr">
        <is>
          <t>A separate line, on top of utilities</t>
        </is>
      </c>
      <c r="C43" s="58" t="inlineStr">
        <is>
          <t>Included in the utilities cell</t>
        </is>
      </c>
      <c r="D43" s="17" t="inlineStr">
        <is>
          <t>It was the same expense written in two places. Now you change it in one cell and the rest of the workbook follows.</t>
        </is>
      </c>
    </row>
    <row r="44" ht="30" customHeight="1">
      <c r="A44" s="58" t="inlineStr">
        <is>
          <t>Startup contingency</t>
        </is>
      </c>
      <c r="B44" s="58" t="inlineStr">
        <is>
          <t>A lump sum typed by hand</t>
        </is>
      </c>
      <c r="C44" s="58" t="inlineStr">
        <is>
          <t>A percentage calculated on the truck purchase and build-out</t>
        </is>
      </c>
      <c r="D44" s="17" t="inlineStr">
        <is>
          <t>If you change the truck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services you run: putting it among the fixed costs distorts the break-even.</t>
        </is>
      </c>
    </row>
    <row r="50" ht="30" customHeight="1">
      <c r="A50" s="58" t="inlineStr">
        <is>
          <t>Catering and private events</t>
        </is>
      </c>
      <c r="B50" s="58" t="inlineStr">
        <is>
          <t>Revenue with no cost of goods sold attached</t>
        </is>
      </c>
      <c r="C50" s="58" t="inlineStr">
        <is>
          <t>Added to the food line, with the same cost of goods sold as the rest</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INDUSTRY BENCHMARKS</t>
        </is>
      </c>
    </row>
    <row r="54">
      <c r="A54" s="16" t="inlineStr">
        <is>
          <t>Benchmark</t>
        </is>
      </c>
      <c r="B54" s="16" t="inlineStr">
        <is>
          <t>Value</t>
        </is>
      </c>
      <c r="C54" s="16" t="inlineStr">
        <is>
          <t>Source</t>
        </is>
      </c>
      <c r="D54" s="16" t="inlineStr">
        <is>
          <t>Note</t>
        </is>
      </c>
    </row>
    <row r="55" ht="60" customHeight="1">
      <c r="A55" t="inlineStr">
        <is>
          <t>Food cost (food)</t>
        </is>
      </c>
      <c r="B55" t="inlineStr">
        <is>
          <t>28-35%</t>
        </is>
      </c>
      <c r="C55" t="inlineStr">
        <is>
          <t>Beancount (beancount.io)</t>
        </is>
      </c>
      <c r="D55" s="17" t="inlineStr">
        <is>
          <t>Depends on the concept: a burger truck and a poke truck sit at different points of the range. Test this plan at the top of the range.</t>
        </is>
      </c>
    </row>
    <row r="56" ht="15" customHeight="1">
      <c r="A56" t="inlineStr">
        <is>
          <t>Food cost (beverages)</t>
        </is>
      </c>
      <c r="B56" t="inlineStr">
        <is>
          <t>22-28%</t>
        </is>
      </c>
      <c r="C56" t="inlineStr">
        <is>
          <t>Kit estimate</t>
        </is>
      </c>
      <c r="D56" s="17" t="inlineStr">
        <is>
          <t>Bottled sodas and water: high-margin items</t>
        </is>
      </c>
    </row>
    <row r="57" ht="30" customHeight="1">
      <c r="A57" t="inlineStr">
        <is>
          <t>Packaging cost / sales</t>
        </is>
      </c>
      <c r="B57" t="inlineStr">
        <is>
          <t>3-5%</t>
        </is>
      </c>
      <c r="C57" t="inlineStr">
        <is>
          <t>Kit estimate</t>
        </is>
      </c>
      <c r="D57" s="17" t="inlineStr">
        <is>
          <t>Compostable packaging costs more, and some cities restrict foam and single-use plastics</t>
        </is>
      </c>
    </row>
    <row r="58" ht="15" customHeight="1">
      <c r="A58" t="inlineStr">
        <is>
          <t>Labor cost / sales</t>
        </is>
      </c>
      <c r="B58" t="inlineStr">
        <is>
          <t>20-30%</t>
        </is>
      </c>
      <c r="C58" t="inlineStr">
        <is>
          <t>Beancount (beancount.io)</t>
        </is>
      </c>
      <c r="D58" s="17" t="inlineStr">
        <is>
          <t>Fewer people than a restaurant: 2-3 on board</t>
        </is>
      </c>
    </row>
    <row r="59" ht="45" customHeight="1">
      <c r="A59" t="inlineStr">
        <is>
          <t>Average check (food truck)</t>
        </is>
      </c>
      <c r="B59" t="inlineStr">
        <is>
          <t>10-15</t>
        </is>
      </c>
      <c r="C59" t="inlineStr">
        <is>
          <t>Kit estimate</t>
        </is>
      </c>
      <c r="D59" s="17" t="inlineStr">
        <is>
          <t>A full meal: entrée, drink and a side. Add your local sales tax rate to get the menu price your customers see.</t>
        </is>
      </c>
    </row>
    <row r="60" ht="30" customHeight="1">
      <c r="A60" t="inlineStr">
        <is>
          <t>Customers per service</t>
        </is>
      </c>
      <c r="B60" t="inlineStr">
        <is>
          <t>40-80</t>
        </is>
      </c>
      <c r="C60" t="inlineStr">
        <is>
          <t>Kit estimate</t>
        </is>
      </c>
      <c r="D60" s="17" t="inlineStr">
        <is>
          <t>Depends on location, event and day of the week: test several locations before you trust one number.</t>
        </is>
      </c>
    </row>
    <row r="61" ht="30" customHeight="1">
      <c r="A61" t="inlineStr">
        <is>
          <t>Gross margin target</t>
        </is>
      </c>
      <c r="B61" t="inlineStr">
        <is>
          <t>Over 58%</t>
        </is>
      </c>
      <c r="C61" t="inlineStr">
        <is>
          <t>Kit estimate</t>
        </is>
      </c>
      <c r="D61" s="17" t="inlineStr">
        <is>
          <t>Lower than a restaurant's because of packaging and fuel</t>
        </is>
      </c>
    </row>
    <row r="62" ht="60" customHeight="1">
      <c r="A62" t="inlineStr">
        <is>
          <t>Net margin</t>
        </is>
      </c>
      <c r="B62" t="inlineStr">
        <is>
          <t>6-9%</t>
        </is>
      </c>
      <c r="C62" t="inlineStr">
        <is>
          <t>Beancount (beancount.io)</t>
        </is>
      </c>
      <c r="D62" s="17" t="inlineStr">
        <is>
          <t>7-15% if you are the owner who also works the truck. Compare it with Net income / Sales on the 3-Year P&amp;L.</t>
        </is>
      </c>
    </row>
    <row r="63" ht="120" customHeight="1">
      <c r="A63" t="inlineStr">
        <is>
          <t>Payback period</t>
        </is>
      </c>
      <c r="B63" t="inlineStr">
        <is>
          <t>1-3 years</t>
        </is>
      </c>
      <c r="C63" t="inlineStr">
        <is>
          <t>Kit estimate</t>
        </is>
      </c>
      <c r="D63" s="17" t="inlineStr">
        <is>
          <t>A rule of thumb for the sector. This plan's own payback comes from the 12-Month Cash Flow tab and can come out longer: it is measured on the full investment, working capital included, using the cash flow the business generates BEFORE paying the lender. The same tab also shows the payback on just what you buy, without working capital, which usually comes out shorter.</t>
        </is>
      </c>
    </row>
    <row r="64" ht="15" customHeight="1">
      <c r="A64" t="inlineStr">
        <is>
          <t>Operating days per week</t>
        </is>
      </c>
      <c r="B64" t="inlineStr">
        <is>
          <t>4-6</t>
        </is>
      </c>
      <c r="C64" t="inlineStr">
        <is>
          <t>Kit estimate</t>
        </is>
      </c>
      <c r="D64" s="17" t="inlineStr">
        <is>
          <t>Markets, events, office parks, festivals</t>
        </is>
      </c>
    </row>
    <row r="65" ht="15" customHeight="1">
      <c r="A65" t="inlineStr">
        <is>
          <t>Services per day</t>
        </is>
      </c>
      <c r="B65" t="inlineStr">
        <is>
          <t>1-2</t>
        </is>
      </c>
      <c r="C65" t="inlineStr">
        <is>
          <t>Kit estimate</t>
        </is>
      </c>
      <c r="D65" s="17" t="inlineStr">
        <is>
          <t>Lunch and/or dinner, depending on the location</t>
        </is>
      </c>
    </row>
    <row r="66" ht="30" customHeight="1">
      <c r="A66" t="inlineStr">
        <is>
          <t>Fuel cost per month</t>
        </is>
      </c>
      <c r="B66" t="inlineStr">
        <is>
          <t>300-500</t>
        </is>
      </c>
      <c r="C66" t="inlineStr">
        <is>
          <t>Kit estimate</t>
        </is>
      </c>
      <c r="D66" s="17" t="inlineStr">
        <is>
          <t>Driving between locations. In this plan it sits inside "Miscellaneous and contingency" among the variable costs.</t>
        </is>
      </c>
    </row>
    <row r="67" ht="30" customHeight="1">
      <c r="A67" t="inlineStr">
        <is>
          <t>Annual permits (average)</t>
        </is>
      </c>
      <c r="B67" t="inlineStr">
        <is>
          <t>1,000-3,000</t>
        </is>
      </c>
      <c r="C67" t="inlineStr">
        <is>
          <t>Restroworks (restroworks.com)</t>
        </is>
      </c>
      <c r="D67" s="17" t="inlineStr">
        <is>
          <t>Varies a lot by city and county; the first year can cost far more once parking fees are included</t>
        </is>
      </c>
    </row>
    <row r="68" ht="30" customHeight="1">
      <c r="A68" t="inlineStr">
        <is>
          <t>Minimum wage</t>
        </is>
      </c>
      <c r="B68" t="inlineStr">
        <is>
          <t>Federal 7.25 per hour; your state or city may be higher</t>
        </is>
      </c>
      <c r="C68" t="inlineStr">
        <is>
          <t>DOL (dol.gov)</t>
        </is>
      </c>
      <c r="D68" s="17" t="inlineStr">
        <is>
          <t>There is no single national table above the federal floor: enter your state or local rate in the "0. Assumptions"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aichef.pro/en/digital-products/food-truck-business-plan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v>
      </c>
      <c r="C5" s="73" t="n">
        <v>0.062</v>
      </c>
      <c r="D5" s="73" t="n">
        <v>0.075</v>
      </c>
      <c r="E5" s="73" t="n">
        <v>0.08</v>
      </c>
      <c r="F5" s="73" t="n">
        <v>0.08799999999999999</v>
      </c>
      <c r="G5" s="73" t="n">
        <v>0.098</v>
      </c>
      <c r="H5" s="73" t="n">
        <v>0.105</v>
      </c>
      <c r="I5" s="73" t="n">
        <v>0.1</v>
      </c>
      <c r="J5" s="73" t="n">
        <v>0.08799999999999999</v>
      </c>
      <c r="K5" s="73" t="n">
        <v>0.08</v>
      </c>
      <c r="L5" s="73" t="n">
        <v>0.074</v>
      </c>
      <c r="M5" s="73" t="n">
        <v>0.09</v>
      </c>
      <c r="N5" s="68">
        <f>IFERROR(IF('3-Year P&amp;L'!$B$9="","",SUM(B5:M5)),"")</f>
        <v>1.0</v>
      </c>
      <c r="O5" s="28" t="inlineStr">
        <is>
          <t>Profile for your area: adjust it to your own slow and busy months (weather, tourism, events). It must add up to 100%</t>
        </is>
      </c>
    </row>
    <row r="6">
      <c r="A6" s="28" t="inlineStr">
        <is>
          <t>Launch ramp-up (% of steady-state activity)</t>
        </is>
      </c>
      <c r="B6" s="68">
        <f>IFERROR(IF('3-Year P&amp;L'!$B$9="","",MIN(1,'0. Assumptions'!$B$52+(1-'0. Assumptions'!$B$52)*0/MAX(1,'0. Assumptions'!$B$53-1))),"")</f>
        <v>0.55</v>
      </c>
      <c r="C6" s="68">
        <f>IFERROR(IF('3-Year P&amp;L'!$B$9="","",MIN(1,'0. Assumptions'!$B$52+(1-'0. Assumptions'!$B$52)*1/MAX(1,'0. Assumptions'!$B$53-1))),"")</f>
        <v>0.64</v>
      </c>
      <c r="D6" s="68">
        <f>IFERROR(IF('3-Year P&amp;L'!$B$9="","",MIN(1,'0. Assumptions'!$B$52+(1-'0. Assumptions'!$B$52)*2/MAX(1,'0. Assumptions'!$B$53-1))),"")</f>
        <v>0.73</v>
      </c>
      <c r="E6" s="68">
        <f>IFERROR(IF('3-Year P&amp;L'!$B$9="","",MIN(1,'0. Assumptions'!$B$52+(1-'0. Assumptions'!$B$52)*3/MAX(1,'0. Assumptions'!$B$53-1))),"")</f>
        <v>0.8200000000000001</v>
      </c>
      <c r="F6" s="68">
        <f>IFERROR(IF('3-Year P&amp;L'!$B$9="","",MIN(1,'0. Assumptions'!$B$52+(1-'0. Assumptions'!$B$52)*4/MAX(1,'0. Assumptions'!$B$53-1))),"")</f>
        <v>0.91</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0.036339210007598204</v>
      </c>
      <c r="C7" s="68">
        <f>IFERROR(IF('3-Year P&amp;L'!$B$9="","",C5*C6/SUMPRODUCT($B$5:$M$5,$B$6:$M$6)),"")</f>
        <v>0.043695147063681716</v>
      </c>
      <c r="D7" s="68">
        <f>IFERROR(IF('3-Year P&amp;L'!$B$9="","",D5*D6/SUMPRODUCT($B$5:$M$5,$B$6:$M$6)),"")</f>
        <v>0.060290052967151564</v>
      </c>
      <c r="E7" s="68">
        <f>IFERROR(IF('3-Year P&amp;L'!$B$9="","",E5*E6/SUMPRODUCT($B$5:$M$5,$B$6:$M$6)),"")</f>
        <v>0.07223794474237705</v>
      </c>
      <c r="F7" s="68">
        <f>IFERROR(IF('3-Year P&amp;L'!$B$9="","",F5*F6/SUMPRODUCT($B$5:$M$5,$B$6:$M$6)),"")</f>
        <v>0.0881831496184383</v>
      </c>
      <c r="G7" s="68">
        <f>IFERROR(IF('3-Year P&amp;L'!$B$9="","",G5*G6/SUMPRODUCT($B$5:$M$5,$B$6:$M$6)),"")</f>
        <v>0.10791644184074618</v>
      </c>
      <c r="H7" s="68">
        <f>IFERROR(IF('3-Year P&amp;L'!$B$9="","",H5*H6/SUMPRODUCT($B$5:$M$5,$B$6:$M$6)),"")</f>
        <v>0.11562475911508519</v>
      </c>
      <c r="I7" s="68">
        <f>IFERROR(IF('3-Year P&amp;L'!$B$9="","",I5*I6/SUMPRODUCT($B$5:$M$5,$B$6:$M$6)),"")</f>
        <v>0.11011881820484305</v>
      </c>
      <c r="J7" s="68">
        <f>IFERROR(IF('3-Year P&amp;L'!$B$9="","",J5*J6/SUMPRODUCT($B$5:$M$5,$B$6:$M$6)),"")</f>
        <v>0.09690456002026188</v>
      </c>
      <c r="K7" s="68">
        <f>IFERROR(IF('3-Year P&amp;L'!$B$9="","",K5*K6/SUMPRODUCT($B$5:$M$5,$B$6:$M$6)),"")</f>
        <v>0.08809505456387444</v>
      </c>
      <c r="L7" s="68">
        <f>IFERROR(IF('3-Year P&amp;L'!$B$9="","",L5*L6/SUMPRODUCT($B$5:$M$5,$B$6:$M$6)),"")</f>
        <v>0.08148792547158384</v>
      </c>
      <c r="M7" s="68">
        <f>IFERROR(IF('3-Year P&amp;L'!$B$9="","",M5*M6/SUMPRODUCT($B$5:$M$5,$B$6:$M$6)),"")</f>
        <v>0.09910693638435873</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11047.58498419795</v>
      </c>
      <c r="C9" s="40">
        <f>IFERROR(IF('3-Year P&amp;L'!$B$9="","",('3-Year P&amp;L'!$B$9+'3-Year P&amp;L'!$B$9*SUMPRODUCT('3-Year P&amp;L'!$E$10:$E$11,'3-Year P&amp;L'!$G$10:$G$11))*(C7*(1-MIN(30,'0. Assumptions'!$B$58)/30)+B7*MIN(30,'0. Assumptions'!$B$58)/30)),"")</f>
        <v>13664.83521159331</v>
      </c>
      <c r="D9" s="40">
        <f>IFERROR(IF('3-Year P&amp;L'!$B$9="","",('3-Year P&amp;L'!$B$9+'3-Year P&amp;L'!$B$9*SUMPRODUCT('3-Year P&amp;L'!$E$10:$E$11,'3-Year P&amp;L'!$G$10:$G$11))*(D7*(1-MIN(30,'0. Assumptions'!$B$58)/30)+C7*MIN(30,'0. Assumptions'!$B$58)/30)),"")</f>
        <v>18787.012780390043</v>
      </c>
      <c r="E9" s="40">
        <f>IFERROR(IF('3-Year P&amp;L'!$B$9="","",('3-Year P&amp;L'!$B$9+'3-Year P&amp;L'!$B$9*SUMPRODUCT('3-Year P&amp;L'!$E$10:$E$11,'3-Year P&amp;L'!$G$10:$G$11))*(E7*(1-MIN(30,'0. Assumptions'!$B$58)/30)+D7*MIN(30,'0. Assumptions'!$B$58)/30)),"")</f>
        <v>22593.29253064057</v>
      </c>
      <c r="F9" s="40">
        <f>IFERROR(IF('3-Year P&amp;L'!$B$9="","",('3-Year P&amp;L'!$B$9+'3-Year P&amp;L'!$B$9*SUMPRODUCT('3-Year P&amp;L'!$E$10:$E$11,'3-Year P&amp;L'!$G$10:$G$11))*(F7*(1-MIN(30,'0. Assumptions'!$B$58)/30)+E7*MIN(30,'0. Assumptions'!$B$58)/30)),"")</f>
        <v>27566.09105064365</v>
      </c>
      <c r="G9" s="40">
        <f>IFERROR(IF('3-Year P&amp;L'!$B$9="","",('3-Year P&amp;L'!$B$9+'3-Year P&amp;L'!$B$9*SUMPRODUCT('3-Year P&amp;L'!$E$10:$E$11,'3-Year P&amp;L'!$G$10:$G$11))*(G7*(1-MIN(30,'0. Assumptions'!$B$58)/30)+F7*MIN(30,'0. Assumptions'!$B$58)/30)),"")</f>
        <v>33732.42124412241</v>
      </c>
      <c r="H9" s="40">
        <f>IFERROR(IF('3-Year P&amp;L'!$B$9="","",('3-Year P&amp;L'!$B$9+'3-Year P&amp;L'!$B$9*SUMPRODUCT('3-Year P&amp;L'!$E$10:$E$11,'3-Year P&amp;L'!$G$10:$G$11))*(H7*(1-MIN(30,'0. Assumptions'!$B$58)/30)+G7*MIN(30,'0. Assumptions'!$B$58)/30)),"")</f>
        <v>36282.71641100748</v>
      </c>
      <c r="I9" s="40">
        <f>IFERROR(IF('3-Year P&amp;L'!$B$9="","",('3-Year P&amp;L'!$B$9+'3-Year P&amp;L'!$B$9*SUMPRODUCT('3-Year P&amp;L'!$E$10:$E$11,'3-Year P&amp;L'!$G$10:$G$11))*(I7*(1-MIN(30,'0. Assumptions'!$B$58)/30)+H7*MIN(30,'0. Assumptions'!$B$58)/30)),"")</f>
        <v>34689.64772990057</v>
      </c>
      <c r="J9" s="40">
        <f>IFERROR(IF('3-Year P&amp;L'!$B$9="","",('3-Year P&amp;L'!$B$9+'3-Year P&amp;L'!$B$9*SUMPRODUCT('3-Year P&amp;L'!$E$10:$E$11,'3-Year P&amp;L'!$G$10:$G$11))*(J7*(1-MIN(30,'0. Assumptions'!$B$58)/30)+I7*MIN(30,'0. Assumptions'!$B$58)/30)),"")</f>
        <v>30614.62421953288</v>
      </c>
      <c r="K9" s="40">
        <f>IFERROR(IF('3-Year P&amp;L'!$B$9="","",('3-Year P&amp;L'!$B$9+'3-Year P&amp;L'!$B$9*SUMPRODUCT('3-Year P&amp;L'!$E$10:$E$11,'3-Year P&amp;L'!$G$10:$G$11))*(K7*(1-MIN(30,'0. Assumptions'!$B$58)/30)+J7*MIN(30,'0. Assumptions'!$B$58)/30)),"")</f>
        <v>27797.894087720655</v>
      </c>
      <c r="L9" s="40">
        <f>IFERROR(IF('3-Year P&amp;L'!$B$9="","",('3-Year P&amp;L'!$B$9+'3-Year P&amp;L'!$B$9*SUMPRODUCT('3-Year P&amp;L'!$E$10:$E$11,'3-Year P&amp;L'!$G$10:$G$11))*(L7*(1-MIN(30,'0. Assumptions'!$B$58)/30)+K7*MIN(30,'0. Assumptions'!$B$58)/30)),"")</f>
        <v>25696.890464811535</v>
      </c>
      <c r="M9" s="40">
        <f>IFERROR(IF('3-Year P&amp;L'!$B$9="","",('3-Year P&amp;L'!$B$9+'3-Year P&amp;L'!$B$9*SUMPRODUCT('3-Year P&amp;L'!$E$10:$E$11,'3-Year P&amp;L'!$G$10:$G$11))*(M7*(1-MIN(30,'0. Assumptions'!$B$58)/30)+L7*MIN(30,'0. Assumptions'!$B$58)/30)),"")</f>
        <v>30984.031449934482</v>
      </c>
      <c r="N9" s="40">
        <f>IFERROR(IF('3-Year P&amp;L'!$B$9="","",SUM(B9:M9)),"")</f>
        <v>313457.04216449556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-3339.2083989825023</v>
      </c>
      <c r="C11" s="40">
        <f>IFERROR(IF('3-Year P&amp;L'!$B$9="","",-('3-Year P&amp;L'!$B$13*(1+'3-Year P&amp;L'!$G$13)+'3-Year P&amp;L'!$B$14*(1+'3-Year P&amp;L'!$G$14)+'3-Year P&amp;L'!$B$15*(1+'3-Year P&amp;L'!$G$15)+'3-Year P&amp;L'!$B$16*(1+'3-Year P&amp;L'!$G$16)+'3-Year P&amp;L'!$B$17*(1+'3-Year P&amp;L'!$G$17)+'3-Year P&amp;L'!$B$18*(1+'3-Year P&amp;L'!$G$18))*(C7*(1-MIN(30,'0. Assumptions'!$B$59)/30)+B7*MIN(30,'0. Assumptions'!$B$59)/30)),"")</f>
        <v>-5031.425946524833</v>
      </c>
      <c r="D11" s="40">
        <f>IFERROR(IF('3-Year P&amp;L'!$B$9="","",-('3-Year P&amp;L'!$B$13*(1+'3-Year P&amp;L'!$G$13)+'3-Year P&amp;L'!$B$14*(1+'3-Year P&amp;L'!$G$14)+'3-Year P&amp;L'!$B$15*(1+'3-Year P&amp;L'!$G$15)+'3-Year P&amp;L'!$B$16*(1+'3-Year P&amp;L'!$G$16)+'3-Year P&amp;L'!$B$17*(1+'3-Year P&amp;L'!$G$17)+'3-Year P&amp;L'!$B$18*(1+'3-Year P&amp;L'!$G$18))*(D7*(1-MIN(30,'0. Assumptions'!$B$59)/30)+C7*MIN(30,'0. Assumptions'!$B$59)/30)),"")</f>
        <v>-6762.050989881549</v>
      </c>
      <c r="E11" s="40">
        <f>IFERROR(IF('3-Year P&amp;L'!$B$9="","",-('3-Year P&amp;L'!$B$13*(1+'3-Year P&amp;L'!$G$13)+'3-Year P&amp;L'!$B$14*(1+'3-Year P&amp;L'!$G$14)+'3-Year P&amp;L'!$B$15*(1+'3-Year P&amp;L'!$G$15)+'3-Year P&amp;L'!$B$16*(1+'3-Year P&amp;L'!$G$16)+'3-Year P&amp;L'!$B$17*(1+'3-Year P&amp;L'!$G$17)+'3-Year P&amp;L'!$B$18*(1+'3-Year P&amp;L'!$G$18))*(E7*(1-MIN(30,'0. Assumptions'!$B$59)/30)+D7*MIN(30,'0. Assumptions'!$B$59)/30)),"")</f>
        <v>-8324.04380934762</v>
      </c>
      <c r="F11" s="40">
        <f>IFERROR(IF('3-Year P&amp;L'!$B$9="","",-('3-Year P&amp;L'!$B$13*(1+'3-Year P&amp;L'!$G$13)+'3-Year P&amp;L'!$B$14*(1+'3-Year P&amp;L'!$G$14)+'3-Year P&amp;L'!$B$15*(1+'3-Year P&amp;L'!$G$15)+'3-Year P&amp;L'!$B$16*(1+'3-Year P&amp;L'!$G$16)+'3-Year P&amp;L'!$B$17*(1+'3-Year P&amp;L'!$G$17)+'3-Year P&amp;L'!$B$18*(1+'3-Year P&amp;L'!$G$18))*(F7*(1-MIN(30,'0. Assumptions'!$B$59)/30)+E7*MIN(30,'0. Assumptions'!$B$59)/30)),"")</f>
        <v>-10123.3887936689</v>
      </c>
      <c r="G11" s="40">
        <f>IFERROR(IF('3-Year P&amp;L'!$B$9="","",-('3-Year P&amp;L'!$B$13*(1+'3-Year P&amp;L'!$G$13)+'3-Year P&amp;L'!$B$14*(1+'3-Year P&amp;L'!$G$14)+'3-Year P&amp;L'!$B$15*(1+'3-Year P&amp;L'!$G$15)+'3-Year P&amp;L'!$B$16*(1+'3-Year P&amp;L'!$G$16)+'3-Year P&amp;L'!$B$17*(1+'3-Year P&amp;L'!$G$17)+'3-Year P&amp;L'!$B$18*(1+'3-Year P&amp;L'!$G$18))*(G7*(1-MIN(30,'0. Assumptions'!$B$59)/30)+F7*MIN(30,'0. Assumptions'!$B$59)/30)),"")</f>
        <v>-12382.611846429763</v>
      </c>
      <c r="H11" s="40">
        <f>IFERROR(IF('3-Year P&amp;L'!$B$9="","",-('3-Year P&amp;L'!$B$13*(1+'3-Year P&amp;L'!$G$13)+'3-Year P&amp;L'!$B$14*(1+'3-Year P&amp;L'!$G$14)+'3-Year P&amp;L'!$B$15*(1+'3-Year P&amp;L'!$G$15)+'3-Year P&amp;L'!$B$16*(1+'3-Year P&amp;L'!$G$16)+'3-Year P&amp;L'!$B$17*(1+'3-Year P&amp;L'!$G$17)+'3-Year P&amp;L'!$B$18*(1+'3-Year P&amp;L'!$G$18))*(H7*(1-MIN(30,'0. Assumptions'!$B$59)/30)+G7*MIN(30,'0. Assumptions'!$B$59)/30)),"")</f>
        <v>-13642.800059610985</v>
      </c>
      <c r="I11" s="40">
        <f>IFERROR(IF('3-Year P&amp;L'!$B$9="","",-('3-Year P&amp;L'!$B$13*(1+'3-Year P&amp;L'!$G$13)+'3-Year P&amp;L'!$B$14*(1+'3-Year P&amp;L'!$G$14)+'3-Year P&amp;L'!$B$15*(1+'3-Year P&amp;L'!$G$15)+'3-Year P&amp;L'!$B$16*(1+'3-Year P&amp;L'!$G$16)+'3-Year P&amp;L'!$B$17*(1+'3-Year P&amp;L'!$G$17)+'3-Year P&amp;L'!$B$18*(1+'3-Year P&amp;L'!$G$18))*(I7*(1-MIN(30,'0. Assumptions'!$B$59)/30)+H7*MIN(30,'0. Assumptions'!$B$59)/30)),"")</f>
        <v>-13352.43411187338</v>
      </c>
      <c r="J11" s="40">
        <f>IFERROR(IF('3-Year P&amp;L'!$B$9="","",-('3-Year P&amp;L'!$B$13*(1+'3-Year P&amp;L'!$G$13)+'3-Year P&amp;L'!$B$14*(1+'3-Year P&amp;L'!$G$14)+'3-Year P&amp;L'!$B$15*(1+'3-Year P&amp;L'!$G$15)+'3-Year P&amp;L'!$B$16*(1+'3-Year P&amp;L'!$G$16)+'3-Year P&amp;L'!$B$17*(1+'3-Year P&amp;L'!$G$17)+'3-Year P&amp;L'!$B$18*(1+'3-Year P&amp;L'!$G$18))*(J7*(1-MIN(30,'0. Assumptions'!$B$59)/30)+I7*MIN(30,'0. Assumptions'!$B$59)/30)),"")</f>
        <v>-11984.194570261312</v>
      </c>
      <c r="K11" s="40">
        <f>IFERROR(IF('3-Year P&amp;L'!$B$9="","",-('3-Year P&amp;L'!$B$13*(1+'3-Year P&amp;L'!$G$13)+'3-Year P&amp;L'!$B$14*(1+'3-Year P&amp;L'!$G$14)+'3-Year P&amp;L'!$B$15*(1+'3-Year P&amp;L'!$G$15)+'3-Year P&amp;L'!$B$16*(1+'3-Year P&amp;L'!$G$16)+'3-Year P&amp;L'!$B$17*(1+'3-Year P&amp;L'!$G$17)+'3-Year P&amp;L'!$B$18*(1+'3-Year P&amp;L'!$G$18))*(K7*(1-MIN(30,'0. Assumptions'!$B$59)/30)+J7*MIN(30,'0. Assumptions'!$B$59)/30)),"")</f>
        <v>-10805.132843084357</v>
      </c>
      <c r="L11" s="40">
        <f>IFERROR(IF('3-Year P&amp;L'!$B$9="","",-('3-Year P&amp;L'!$B$13*(1+'3-Year P&amp;L'!$G$13)+'3-Year P&amp;L'!$B$14*(1+'3-Year P&amp;L'!$G$14)+'3-Year P&amp;L'!$B$15*(1+'3-Year P&amp;L'!$G$15)+'3-Year P&amp;L'!$B$16*(1+'3-Year P&amp;L'!$G$16)+'3-Year P&amp;L'!$B$17*(1+'3-Year P&amp;L'!$G$17)+'3-Year P&amp;L'!$B$18*(1+'3-Year P&amp;L'!$G$18))*(L7*(1-MIN(30,'0. Assumptions'!$B$59)/30)+K7*MIN(30,'0. Assumptions'!$B$59)/30)),"")</f>
        <v>-9951.632936098049</v>
      </c>
      <c r="M11" s="40">
        <f>IFERROR(IF('3-Year P&amp;L'!$B$9="","",-('3-Year P&amp;L'!$B$13*(1+'3-Year P&amp;L'!$G$13)+'3-Year P&amp;L'!$B$14*(1+'3-Year P&amp;L'!$G$14)+'3-Year P&amp;L'!$B$15*(1+'3-Year P&amp;L'!$G$15)+'3-Year P&amp;L'!$B$16*(1+'3-Year P&amp;L'!$G$16)+'3-Year P&amp;L'!$B$17*(1+'3-Year P&amp;L'!$G$17)+'3-Year P&amp;L'!$B$18*(1+'3-Year P&amp;L'!$G$18))*(M7*(1-MIN(30,'0. Assumptions'!$B$59)/30)+L7*MIN(30,'0. Assumptions'!$B$59)/30)),"")</f>
        <v>-11385.86473855957</v>
      </c>
      <c r="N11" s="40">
        <f>IFERROR(IF('3-Year P&amp;L'!$B$9="","",SUM(B11:M11)),"")</f>
        <v>-117084.78904432281</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-3474.9999999999995</v>
      </c>
      <c r="C12" s="40">
        <f>IFERROR(IF('3-Year P&amp;L'!$B$9="","",-('3-Year P&amp;L'!$B$38-'3-Year P&amp;L'!$B$23-'3-Year P&amp;L'!$B$36-'3-Year P&amp;L'!$B$37+'3-Year P&amp;L'!$B$40)/12),"")</f>
        <v>-3474.9999999999995</v>
      </c>
      <c r="D12" s="40">
        <f>IFERROR(IF('3-Year P&amp;L'!$B$9="","",-('3-Year P&amp;L'!$B$38-'3-Year P&amp;L'!$B$23-'3-Year P&amp;L'!$B$36-'3-Year P&amp;L'!$B$37+'3-Year P&amp;L'!$B$40)/12),"")</f>
        <v>-3474.9999999999995</v>
      </c>
      <c r="E12" s="40">
        <f>IFERROR(IF('3-Year P&amp;L'!$B$9="","",-('3-Year P&amp;L'!$B$38-'3-Year P&amp;L'!$B$23-'3-Year P&amp;L'!$B$36-'3-Year P&amp;L'!$B$37+'3-Year P&amp;L'!$B$40)/12),"")</f>
        <v>-3474.9999999999995</v>
      </c>
      <c r="F12" s="40">
        <f>IFERROR(IF('3-Year P&amp;L'!$B$9="","",-('3-Year P&amp;L'!$B$38-'3-Year P&amp;L'!$B$23-'3-Year P&amp;L'!$B$36-'3-Year P&amp;L'!$B$37+'3-Year P&amp;L'!$B$40)/12),"")</f>
        <v>-3474.9999999999995</v>
      </c>
      <c r="G12" s="40">
        <f>IFERROR(IF('3-Year P&amp;L'!$B$9="","",-('3-Year P&amp;L'!$B$38-'3-Year P&amp;L'!$B$23-'3-Year P&amp;L'!$B$36-'3-Year P&amp;L'!$B$37+'3-Year P&amp;L'!$B$40)/12),"")</f>
        <v>-3474.9999999999995</v>
      </c>
      <c r="H12" s="40">
        <f>IFERROR(IF('3-Year P&amp;L'!$B$9="","",-('3-Year P&amp;L'!$B$38-'3-Year P&amp;L'!$B$23-'3-Year P&amp;L'!$B$36-'3-Year P&amp;L'!$B$37+'3-Year P&amp;L'!$B$40)/12),"")</f>
        <v>-3474.9999999999995</v>
      </c>
      <c r="I12" s="40">
        <f>IFERROR(IF('3-Year P&amp;L'!$B$9="","",-('3-Year P&amp;L'!$B$38-'3-Year P&amp;L'!$B$23-'3-Year P&amp;L'!$B$36-'3-Year P&amp;L'!$B$37+'3-Year P&amp;L'!$B$40)/12),"")</f>
        <v>-3474.9999999999995</v>
      </c>
      <c r="J12" s="40">
        <f>IFERROR(IF('3-Year P&amp;L'!$B$9="","",-('3-Year P&amp;L'!$B$38-'3-Year P&amp;L'!$B$23-'3-Year P&amp;L'!$B$36-'3-Year P&amp;L'!$B$37+'3-Year P&amp;L'!$B$40)/12),"")</f>
        <v>-3474.9999999999995</v>
      </c>
      <c r="K12" s="40">
        <f>IFERROR(IF('3-Year P&amp;L'!$B$9="","",-('3-Year P&amp;L'!$B$38-'3-Year P&amp;L'!$B$23-'3-Year P&amp;L'!$B$36-'3-Year P&amp;L'!$B$37+'3-Year P&amp;L'!$B$40)/12),"")</f>
        <v>-3474.9999999999995</v>
      </c>
      <c r="L12" s="40">
        <f>IFERROR(IF('3-Year P&amp;L'!$B$9="","",-('3-Year P&amp;L'!$B$38-'3-Year P&amp;L'!$B$23-'3-Year P&amp;L'!$B$36-'3-Year P&amp;L'!$B$37+'3-Year P&amp;L'!$B$40)/12),"")</f>
        <v>-3474.9999999999995</v>
      </c>
      <c r="M12" s="40">
        <f>IFERROR(IF('3-Year P&amp;L'!$B$9="","",-('3-Year P&amp;L'!$B$38-'3-Year P&amp;L'!$B$23-'3-Year P&amp;L'!$B$36-'3-Year P&amp;L'!$B$37+'3-Year P&amp;L'!$B$40)/12),"")</f>
        <v>-3474.9999999999995</v>
      </c>
      <c r="N12" s="40">
        <f>IFERROR(IF('3-Year P&amp;L'!$B$9="","",SUM(B12:M12)),"")</f>
        <v>-41699.99999999999</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-6351.400000000001</v>
      </c>
      <c r="C13" s="40">
        <f>IFERROR(IF('3-Year P&amp;L'!$B$9="","",-'3-Year P&amp;L'!$B$23/MAX(12,'0. Assumptions'!$B$21)*(1+IF(2='0. Assumptions'!$B$60,(MAX(12,'0. Assumptions'!$B$21)-12)/2,0)+IF(2='0. Assumptions'!$B$61,(MAX(12,'0. Assumptions'!$B$21)-12)/2,0))),"")</f>
        <v>-6351.400000000001</v>
      </c>
      <c r="D13" s="40">
        <f>IFERROR(IF('3-Year P&amp;L'!$B$9="","",-'3-Year P&amp;L'!$B$23/MAX(12,'0. Assumptions'!$B$21)*(1+IF(3='0. Assumptions'!$B$60,(MAX(12,'0. Assumptions'!$B$21)-12)/2,0)+IF(3='0. Assumptions'!$B$61,(MAX(12,'0. Assumptions'!$B$21)-12)/2,0))),"")</f>
        <v>-6351.400000000001</v>
      </c>
      <c r="E13" s="40">
        <f>IFERROR(IF('3-Year P&amp;L'!$B$9="","",-'3-Year P&amp;L'!$B$23/MAX(12,'0. Assumptions'!$B$21)*(1+IF(4='0. Assumptions'!$B$60,(MAX(12,'0. Assumptions'!$B$21)-12)/2,0)+IF(4='0. Assumptions'!$B$61,(MAX(12,'0. Assumptions'!$B$21)-12)/2,0))),"")</f>
        <v>-6351.400000000001</v>
      </c>
      <c r="F13" s="40">
        <f>IFERROR(IF('3-Year P&amp;L'!$B$9="","",-'3-Year P&amp;L'!$B$23/MAX(12,'0. Assumptions'!$B$21)*(1+IF(5='0. Assumptions'!$B$60,(MAX(12,'0. Assumptions'!$B$21)-12)/2,0)+IF(5='0. Assumptions'!$B$61,(MAX(12,'0. Assumptions'!$B$21)-12)/2,0))),"")</f>
        <v>-6351.400000000001</v>
      </c>
      <c r="G13" s="40">
        <f>IFERROR(IF('3-Year P&amp;L'!$B$9="","",-'3-Year P&amp;L'!$B$23/MAX(12,'0. Assumptions'!$B$21)*(1+IF(6='0. Assumptions'!$B$60,(MAX(12,'0. Assumptions'!$B$21)-12)/2,0)+IF(6='0. Assumptions'!$B$61,(MAX(12,'0. Assumptions'!$B$21)-12)/2,0))),"")</f>
        <v>-6351.400000000001</v>
      </c>
      <c r="H13" s="40">
        <f>IFERROR(IF('3-Year P&amp;L'!$B$9="","",-'3-Year P&amp;L'!$B$23/MAX(12,'0. Assumptions'!$B$21)*(1+IF(7='0. Assumptions'!$B$60,(MAX(12,'0. Assumptions'!$B$21)-12)/2,0)+IF(7='0. Assumptions'!$B$61,(MAX(12,'0. Assumptions'!$B$21)-12)/2,0))),"")</f>
        <v>-6351.400000000001</v>
      </c>
      <c r="I13" s="40">
        <f>IFERROR(IF('3-Year P&amp;L'!$B$9="","",-'3-Year P&amp;L'!$B$23/MAX(12,'0. Assumptions'!$B$21)*(1+IF(8='0. Assumptions'!$B$60,(MAX(12,'0. Assumptions'!$B$21)-12)/2,0)+IF(8='0. Assumptions'!$B$61,(MAX(12,'0. Assumptions'!$B$21)-12)/2,0))),"")</f>
        <v>-6351.400000000001</v>
      </c>
      <c r="J13" s="40">
        <f>IFERROR(IF('3-Year P&amp;L'!$B$9="","",-'3-Year P&amp;L'!$B$23/MAX(12,'0. Assumptions'!$B$21)*(1+IF(9='0. Assumptions'!$B$60,(MAX(12,'0. Assumptions'!$B$21)-12)/2,0)+IF(9='0. Assumptions'!$B$61,(MAX(12,'0. Assumptions'!$B$21)-12)/2,0))),"")</f>
        <v>-6351.400000000001</v>
      </c>
      <c r="K13" s="40">
        <f>IFERROR(IF('3-Year P&amp;L'!$B$9="","",-'3-Year P&amp;L'!$B$23/MAX(12,'0. Assumptions'!$B$21)*(1+IF(10='0. Assumptions'!$B$60,(MAX(12,'0. Assumptions'!$B$21)-12)/2,0)+IF(10='0. Assumptions'!$B$61,(MAX(12,'0. Assumptions'!$B$21)-12)/2,0))),"")</f>
        <v>-6351.400000000001</v>
      </c>
      <c r="L13" s="40">
        <f>IFERROR(IF('3-Year P&amp;L'!$B$9="","",-'3-Year P&amp;L'!$B$23/MAX(12,'0. Assumptions'!$B$21)*(1+IF(11='0. Assumptions'!$B$60,(MAX(12,'0. Assumptions'!$B$21)-12)/2,0)+IF(11='0. Assumptions'!$B$61,(MAX(12,'0. Assumptions'!$B$21)-12)/2,0))),"")</f>
        <v>-6351.400000000001</v>
      </c>
      <c r="M13" s="40">
        <f>IFERROR(IF('3-Year P&amp;L'!$B$9="","",-'3-Year P&amp;L'!$B$23/MAX(12,'0. Assumptions'!$B$21)*(1+IF(12='0. Assumptions'!$B$60,(MAX(12,'0. Assumptions'!$B$21)-12)/2,0)+IF(12='0. Assumptions'!$B$61,(MAX(12,'0. Assumptions'!$B$21)-12)/2,0))),"")</f>
        <v>-6351.400000000001</v>
      </c>
      <c r="N13" s="40">
        <f>IFERROR(IF('3-Year P&amp;L'!$B$9="","",SUM(B13:M13)),"")</f>
        <v>-76216.8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-933.3333333333334</v>
      </c>
      <c r="C14" s="40">
        <f>IFERROR(IF('3-Year P&amp;L'!$B$9="","",-Financing!$B$44/12),"")</f>
        <v>-933.3333333333334</v>
      </c>
      <c r="D14" s="40">
        <f>IFERROR(IF('3-Year P&amp;L'!$B$9="","",-Financing!$B$44/12),"")</f>
        <v>-933.3333333333334</v>
      </c>
      <c r="E14" s="40">
        <f>IFERROR(IF('3-Year P&amp;L'!$B$9="","",-Financing!$B$44/12),"")</f>
        <v>-933.3333333333334</v>
      </c>
      <c r="F14" s="40">
        <f>IFERROR(IF('3-Year P&amp;L'!$B$9="","",-Financing!$B$44/12),"")</f>
        <v>-933.3333333333334</v>
      </c>
      <c r="G14" s="40">
        <f>IFERROR(IF('3-Year P&amp;L'!$B$9="","",-Financing!$B$44/12),"")</f>
        <v>-933.3333333333334</v>
      </c>
      <c r="H14" s="40">
        <f>IFERROR(IF('3-Year P&amp;L'!$B$9="","",-Financing!$B$44/12),"")</f>
        <v>-933.3333333333334</v>
      </c>
      <c r="I14" s="40">
        <f>IFERROR(IF('3-Year P&amp;L'!$B$9="","",-Financing!$B$44/12),"")</f>
        <v>-933.3333333333334</v>
      </c>
      <c r="J14" s="40">
        <f>IFERROR(IF('3-Year P&amp;L'!$B$9="","",-Financing!$B$44/12),"")</f>
        <v>-933.3333333333334</v>
      </c>
      <c r="K14" s="40">
        <f>IFERROR(IF('3-Year P&amp;L'!$B$9="","",-Financing!$B$44/12),"")</f>
        <v>-933.3333333333334</v>
      </c>
      <c r="L14" s="40">
        <f>IFERROR(IF('3-Year P&amp;L'!$B$9="","",-Financing!$B$44/12),"")</f>
        <v>-933.3333333333334</v>
      </c>
      <c r="M14" s="40">
        <f>IFERROR(IF('3-Year P&amp;L'!$B$9="","",-Financing!$B$44/12),"")</f>
        <v>-933.3333333333334</v>
      </c>
      <c r="N14" s="40">
        <f>IFERROR(IF('3-Year P&amp;L'!$B$9="","",SUM(B14:M14)),"")</f>
        <v>-11200.0</v>
      </c>
      <c r="O14" s="28" t="n"/>
    </row>
    <row r="15">
      <c r="A15" s="28" t="inlineStr">
        <is>
          <t>Loan principal repaid</t>
        </is>
      </c>
      <c r="B15" s="40">
        <f>IFERROR(IF('3-Year P&amp;L'!$B$9="","",-Financing!$B$45/12),"")</f>
        <v>-983.7846638722252</v>
      </c>
      <c r="C15" s="40">
        <f>IFERROR(IF('3-Year P&amp;L'!$B$9="","",-Financing!$B$45/12),"")</f>
        <v>-983.7846638722252</v>
      </c>
      <c r="D15" s="40">
        <f>IFERROR(IF('3-Year P&amp;L'!$B$9="","",-Financing!$B$45/12),"")</f>
        <v>-983.7846638722252</v>
      </c>
      <c r="E15" s="40">
        <f>IFERROR(IF('3-Year P&amp;L'!$B$9="","",-Financing!$B$45/12),"")</f>
        <v>-983.7846638722252</v>
      </c>
      <c r="F15" s="40">
        <f>IFERROR(IF('3-Year P&amp;L'!$B$9="","",-Financing!$B$45/12),"")</f>
        <v>-983.7846638722252</v>
      </c>
      <c r="G15" s="40">
        <f>IFERROR(IF('3-Year P&amp;L'!$B$9="","",-Financing!$B$45/12),"")</f>
        <v>-983.7846638722252</v>
      </c>
      <c r="H15" s="40">
        <f>IFERROR(IF('3-Year P&amp;L'!$B$9="","",-Financing!$B$45/12),"")</f>
        <v>-983.7846638722252</v>
      </c>
      <c r="I15" s="40">
        <f>IFERROR(IF('3-Year P&amp;L'!$B$9="","",-Financing!$B$45/12),"")</f>
        <v>-983.7846638722252</v>
      </c>
      <c r="J15" s="40">
        <f>IFERROR(IF('3-Year P&amp;L'!$B$9="","",-Financing!$B$45/12),"")</f>
        <v>-983.7846638722252</v>
      </c>
      <c r="K15" s="40">
        <f>IFERROR(IF('3-Year P&amp;L'!$B$9="","",-Financing!$B$45/12),"")</f>
        <v>-983.7846638722252</v>
      </c>
      <c r="L15" s="40">
        <f>IFERROR(IF('3-Year P&amp;L'!$B$9="","",-Financing!$B$45/12),"")</f>
        <v>-983.7846638722252</v>
      </c>
      <c r="M15" s="40">
        <f>IFERROR(IF('3-Year P&amp;L'!$B$9="","",-Financing!$B$45/12),"")</f>
        <v>-983.7846638722252</v>
      </c>
      <c r="N15" s="40">
        <f>IFERROR(IF('3-Year P&amp;L'!$B$9="","",SUM(B15:M15)),"")</f>
        <v>-11805.415966466702</v>
      </c>
      <c r="O15" s="28" t="n"/>
    </row>
    <row r="16">
      <c r="A16" s="28" t="inlineStr">
        <is>
          <t>Sales tax collected (memo)</t>
        </is>
      </c>
      <c r="B16" s="40">
        <f>IFERROR(IF('3-Year P&amp;L'!$B$9="","",'3-Year P&amp;L'!$B$9*B7*SUMPRODUCT('3-Year P&amp;L'!$E$10:$E$11,'3-Year P&amp;L'!$G$10:$G$11)),"")</f>
        <v>846.5582363370077</v>
      </c>
      <c r="C16" s="40">
        <f>IFERROR(IF('3-Year P&amp;L'!$B$9="","",'3-Year P&amp;L'!$B$9*C7*SUMPRODUCT('3-Year P&amp;L'!$E$10:$E$11,'3-Year P&amp;L'!$G$10:$G$11)),"")</f>
        <v>1017.9221459955293</v>
      </c>
      <c r="D16" s="40">
        <f>IFERROR(IF('3-Year P&amp;L'!$B$9="","",'3-Year P&amp;L'!$B$9*D7*SUMPRODUCT('3-Year P&amp;L'!$E$10:$E$11,'3-Year P&amp;L'!$G$10:$G$11)),"")</f>
        <v>1404.517073922763</v>
      </c>
      <c r="E16" s="40">
        <f>IFERROR(IF('3-Year P&amp;L'!$B$9="","",'3-Year P&amp;L'!$B$9*E7*SUMPRODUCT('3-Year P&amp;L'!$E$10:$E$11,'3-Year P&amp;L'!$G$10:$G$11)),"")</f>
        <v>1682.8551607184156</v>
      </c>
      <c r="F16" s="40">
        <f>IFERROR(IF('3-Year P&amp;L'!$B$9="","",'3-Year P&amp;L'!$B$9*F7*SUMPRODUCT('3-Year P&amp;L'!$E$10:$E$11,'3-Year P&amp;L'!$G$10:$G$11)),"")</f>
        <v>2054.3146535111387</v>
      </c>
      <c r="G16" s="40">
        <f>IFERROR(IF('3-Year P&amp;L'!$B$9="","",'3-Year P&amp;L'!$B$9*G7*SUMPRODUCT('3-Year P&amp;L'!$E$10:$E$11,'3-Year P&amp;L'!$G$10:$G$11)),"")</f>
        <v>2514.021429122023</v>
      </c>
      <c r="H16" s="40">
        <f>IFERROR(IF('3-Year P&amp;L'!$B$9="","",'3-Year P&amp;L'!$B$9*H7*SUMPRODUCT('3-Year P&amp;L'!$E$10:$E$11,'3-Year P&amp;L'!$G$10:$G$11)),"")</f>
        <v>2693.594388345024</v>
      </c>
      <c r="I16" s="40">
        <f>IFERROR(IF('3-Year P&amp;L'!$B$9="","",'3-Year P&amp;L'!$B$9*I7*SUMPRODUCT('3-Year P&amp;L'!$E$10:$E$11,'3-Year P&amp;L'!$G$10:$G$11)),"")</f>
        <v>2565.3279889000237</v>
      </c>
      <c r="J16" s="40">
        <f>IFERROR(IF('3-Year P&amp;L'!$B$9="","",'3-Year P&amp;L'!$B$9*J7*SUMPRODUCT('3-Year P&amp;L'!$E$10:$E$11,'3-Year P&amp;L'!$G$10:$G$11)),"")</f>
        <v>2257.488630232021</v>
      </c>
      <c r="K16" s="40">
        <f>IFERROR(IF('3-Year P&amp;L'!$B$9="","",'3-Year P&amp;L'!$B$9*K7*SUMPRODUCT('3-Year P&amp;L'!$E$10:$E$11,'3-Year P&amp;L'!$G$10:$G$11)),"")</f>
        <v>2052.262391120019</v>
      </c>
      <c r="L16" s="40">
        <f>IFERROR(IF('3-Year P&amp;L'!$B$9="","",'3-Year P&amp;L'!$B$9*L7*SUMPRODUCT('3-Year P&amp;L'!$E$10:$E$11,'3-Year P&amp;L'!$G$10:$G$11)),"")</f>
        <v>1898.3427117860172</v>
      </c>
      <c r="M16" s="40">
        <f>IFERROR(IF('3-Year P&amp;L'!$B$9="","",'3-Year P&amp;L'!$B$9*M7*SUMPRODUCT('3-Year P&amp;L'!$E$10:$E$11,'3-Year P&amp;L'!$G$10:$G$11)),"")</f>
        <v>2308.795190010021</v>
      </c>
      <c r="N16" s="40">
        <f>IFERROR(IF('3-Year P&amp;L'!$B$9="","",SUM(B16:M16)),"")</f>
        <v>23296.0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3268.9974562552998</v>
      </c>
      <c r="F19" s="28" t="n"/>
      <c r="G19" s="28" t="n"/>
      <c r="H19" s="40">
        <f>IFERROR(IF('3-Year P&amp;L'!$B$9="","",SUM(E16:G16)-SUM(E17:G17)-H18),"")</f>
        <v>6251.191243351577</v>
      </c>
      <c r="I19" s="28" t="n"/>
      <c r="J19" s="28" t="n"/>
      <c r="K19" s="40">
        <f>IFERROR(IF('3-Year P&amp;L'!$B$9="","",SUM(H16:J16)-SUM(H17:J17)-K18),"")</f>
        <v>7516.411007477069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-3268.9974562552998</v>
      </c>
      <c r="F20" s="28" t="n"/>
      <c r="G20" s="28" t="n"/>
      <c r="H20" s="40">
        <f>IFERROR(IF('3-Year P&amp;L'!$B$9="","",IF(H19&lt;=0,"",-H19)),"")</f>
        <v>-6251.191243351577</v>
      </c>
      <c r="I20" s="28" t="n"/>
      <c r="J20" s="28" t="n"/>
      <c r="K20" s="40">
        <f>IFERROR(IF('3-Year P&amp;L'!$B$9="","",IF(K19&lt;=0,"",-K19)),"")</f>
        <v>-7516.411007477069</v>
      </c>
      <c r="L20" s="28" t="n"/>
      <c r="M20" s="28" t="n"/>
      <c r="N20" s="40">
        <f>IFERROR(IF('3-Year P&amp;L'!$B$9="","",SUM(B20:M20)),"")</f>
        <v>-17036.599707083944</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-4035.141411990111</v>
      </c>
      <c r="C21" s="66">
        <f>IFERROR(IF('3-Year P&amp;L'!$B$9="","",SUM(C9:C15)+IF(C20="",0,C20)),"")</f>
        <v>-3110.1087321370833</v>
      </c>
      <c r="D21" s="66">
        <f>IFERROR(IF('3-Year P&amp;L'!$B$9="","",SUM(D9:D15)+IF(D20="",0,D20)),"")</f>
        <v>281.443793302935</v>
      </c>
      <c r="E21" s="66">
        <f>IFERROR(IF('3-Year P&amp;L'!$B$9="","",SUM(E9:E15)+IF(E20="",0,E20)),"")</f>
        <v>-743.2667321679091</v>
      </c>
      <c r="F21" s="66">
        <f>IFERROR(IF('3-Year P&amp;L'!$B$9="","",SUM(F9:F15)+IF(F20="",0,F20)),"")</f>
        <v>5699.184259769191</v>
      </c>
      <c r="G21" s="66">
        <f>IFERROR(IF('3-Year P&amp;L'!$B$9="","",SUM(G9:G15)+IF(G20="",0,G20)),"")</f>
        <v>9606.291400487085</v>
      </c>
      <c r="H21" s="66">
        <f>IFERROR(IF('3-Year P&amp;L'!$B$9="","",SUM(H9:H15)+IF(H20="",0,H20)),"")</f>
        <v>4645.2071108393575</v>
      </c>
      <c r="I21" s="66">
        <f>IFERROR(IF('3-Year P&amp;L'!$B$9="","",SUM(I9:I15)+IF(I20="",0,I20)),"")</f>
        <v>9593.69562082163</v>
      </c>
      <c r="J21" s="66">
        <f>IFERROR(IF('3-Year P&amp;L'!$B$9="","",SUM(J9:J15)+IF(J20="",0,J20)),"")</f>
        <v>6886.91165206601</v>
      </c>
      <c r="K21" s="66">
        <f>IFERROR(IF('3-Year P&amp;L'!$B$9="","",SUM(K9:K15)+IF(K20="",0,K20)),"")</f>
        <v>-2267.167760046329</v>
      </c>
      <c r="L21" s="66">
        <f>IFERROR(IF('3-Year P&amp;L'!$B$9="","",SUM(L9:L15)+IF(L20="",0,L20)),"")</f>
        <v>4001.739531507927</v>
      </c>
      <c r="M21" s="66">
        <f>IFERROR(IF('3-Year P&amp;L'!$B$9="","",SUM(M9:M15)+IF(M20="",0,M20)),"")</f>
        <v>7854.648714169353</v>
      </c>
      <c r="N21" s="66">
        <f>IFERROR(IF('3-Year P&amp;L'!$B$9="","",SUM(B21:M21)),"")</f>
        <v>38413.437446622054</v>
      </c>
      <c r="O21" s="28" t="n"/>
    </row>
    <row r="22">
      <c r="A22" s="25" t="inlineStr">
        <is>
          <t>CUMULATIVE CASH BALANCE</t>
        </is>
      </c>
      <c r="B22" s="66">
        <f>IFERROR(IF('3-Year P&amp;L'!$B$9="","",'Startup Costs'!$B$25+B21),"")</f>
        <v>28244.058588009888</v>
      </c>
      <c r="C22" s="66">
        <f>IFERROR(IF('3-Year P&amp;L'!$B$9="","",B22+C21),"")</f>
        <v>25133.949855872805</v>
      </c>
      <c r="D22" s="66">
        <f>IFERROR(IF('3-Year P&amp;L'!$B$9="","",C22+D21),"")</f>
        <v>25415.39364917574</v>
      </c>
      <c r="E22" s="66">
        <f>IFERROR(IF('3-Year P&amp;L'!$B$9="","",D22+E21),"")</f>
        <v>24672.12691700783</v>
      </c>
      <c r="F22" s="66">
        <f>IFERROR(IF('3-Year P&amp;L'!$B$9="","",E22+F21),"")</f>
        <v>30371.31117677702</v>
      </c>
      <c r="G22" s="66">
        <f>IFERROR(IF('3-Year P&amp;L'!$B$9="","",F22+G21),"")</f>
        <v>39977.60257726411</v>
      </c>
      <c r="H22" s="66">
        <f>IFERROR(IF('3-Year P&amp;L'!$B$9="","",G22+H21),"")</f>
        <v>44622.809688103465</v>
      </c>
      <c r="I22" s="66">
        <f>IFERROR(IF('3-Year P&amp;L'!$B$9="","",H22+I21),"")</f>
        <v>54216.505308925094</v>
      </c>
      <c r="J22" s="66">
        <f>IFERROR(IF('3-Year P&amp;L'!$B$9="","",I22+J21),"")</f>
        <v>61103.416960991104</v>
      </c>
      <c r="K22" s="66">
        <f>IFERROR(IF('3-Year P&amp;L'!$B$9="","",J22+K21),"")</f>
        <v>58836.249200944774</v>
      </c>
      <c r="L22" s="66">
        <f>IFERROR(IF('3-Year P&amp;L'!$B$9="","",K22+L21),"")</f>
        <v>62837.9887324527</v>
      </c>
      <c r="M22" s="66">
        <f>IFERROR(IF('3-Year P&amp;L'!$B$9="","",L22+M21),"")</f>
        <v>70692.63744662206</v>
      </c>
      <c r="N22" s="28" t="n"/>
      <c r="O22" s="28" t="n"/>
    </row>
    <row r="23">
      <c r="A23" s="28" t="inlineStr">
        <is>
          <t>Minimum balance of the year</t>
        </is>
      </c>
      <c r="B23" s="40">
        <f>IFERROR(IF('3-Year P&amp;L'!$B$9="","",IF(COUNT(B22:M22)=0,"",MIN(B22:M22))),"")</f>
        <v>24672.12691700783</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46502.90914285716</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60983.92154369548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70937.65258461765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61418.85341308876</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146399.2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2.5</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2.1</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(bank or lender)</t>
        </is>
      </c>
      <c r="B7" s="40">
        <f>IFERROR(IF('0. Assumptions'!$B$31="","",'0. Assumptions'!$B$31),"")</f>
        <v>112000.0</v>
      </c>
      <c r="C7" s="28" t="n"/>
      <c r="D7" s="28" t="n"/>
      <c r="E7" s="28" t="n"/>
      <c r="F7" s="28" t="n"/>
      <c r="G7" s="28" t="n"/>
      <c r="H7" s="28" t="n"/>
    </row>
    <row r="8">
      <c r="A8" s="28" t="inlineStr">
        <is>
          <t>SBA-guaranteed loan (7(a), through your bank)</t>
        </is>
      </c>
      <c r="B8" s="49" t="n">
        <v>0</v>
      </c>
      <c r="C8" s="28" t="inlineStr">
        <is>
          <t>The SBA backs the loan and your bank makes it. Check the current SBA 7(a) terms at sba.gov</t>
        </is>
      </c>
      <c r="D8" s="28" t="n"/>
      <c r="E8" s="28" t="n"/>
      <c r="F8" s="28" t="n"/>
      <c r="G8" s="28" t="n"/>
      <c r="H8" s="28" t="n"/>
    </row>
    <row r="9">
      <c r="A9" s="28" t="inlineStr">
        <is>
          <t>SBA Microloan (nonprofit intermediaries, up to $50,000)</t>
        </is>
      </c>
      <c r="B9" s="49" t="n">
        <v>0</v>
      </c>
      <c r="C9" s="28" t="inlineStr">
        <is>
          <t>Small loans made through nonprofit intermediaries; terms vary by lender</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147000.0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146399.2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600.7999999999884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0.004103847562008456</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111399.20000000001</v>
      </c>
      <c r="C18" s="28" t="inlineStr">
        <is>
          <t>Copy it into "Loan requested" in the "0. Assumptions" tab and the difference goes to zero</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112000.0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23005.415966466702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112000.0</v>
      </c>
      <c r="C27" s="61">
        <f>IFERROR(IF(OR(1&gt;B22,B27=""),"",B27*B21),"")</f>
        <v>11200.0</v>
      </c>
      <c r="D27" s="61">
        <f>IFERROR(IF(OR(1&gt;B22,B27=""),"",IF(1&lt;=B23,0,MIN(B27,B24-C27))),"")</f>
        <v>11805.415966466702</v>
      </c>
      <c r="E27" s="61">
        <f>IFERROR(IF(C27="","",C27+D27),"")</f>
        <v>23005.415966466702</v>
      </c>
      <c r="F27" s="61">
        <f>IFERROR(IF(D27="","",B27-D27),"")</f>
        <v>100194.58403353329</v>
      </c>
      <c r="G27" s="61">
        <f>IFERROR(IF(E27="","",'3-Year P&amp;L'!$B$41-'3-Year P&amp;L'!$B$46+'3-Year P&amp;L'!$B$36+'3-Year P&amp;L'!$B$37),"")</f>
        <v>46502.90914285716</v>
      </c>
      <c r="H27" s="61">
        <f>IFERROR(IF(OR(E27="",E27=0),"",G27/E27),"")</f>
        <v>2.021389624540631</v>
      </c>
    </row>
    <row r="28">
      <c r="A28" s="40" t="n">
        <v>2</v>
      </c>
      <c r="B28" s="61">
        <f>IFERROR(IF(OR(2&gt;B22,F27=""),"",F27),"")</f>
        <v>100194.58403353329</v>
      </c>
      <c r="C28" s="61">
        <f>IFERROR(IF(OR(2&gt;B22,B28=""),"",B28*B21),"")</f>
        <v>10019.45840335333</v>
      </c>
      <c r="D28" s="61">
        <f>IFERROR(IF(OR(2&gt;B22,B28=""),"",IF(2&lt;=B23,0,MIN(B28,B24-C28))),"")</f>
        <v>12985.957563113372</v>
      </c>
      <c r="E28" s="61">
        <f>IFERROR(IF(C28="","",C28+D28),"")</f>
        <v>23005.415966466702</v>
      </c>
      <c r="F28" s="61">
        <f>IFERROR(IF(D28="","",B28-D28),"")</f>
        <v>87208.62647041991</v>
      </c>
      <c r="G28" s="61">
        <f>IFERROR(IF(E28="","",'3-Year P&amp;L'!$C$41-'3-Year P&amp;L'!$C$46+'3-Year P&amp;L'!$C$36+'3-Year P&amp;L'!$C$37),"")</f>
        <v>60983.92154369548</v>
      </c>
      <c r="H28" s="61">
        <f>IFERROR(IF(OR(E28="",E28=0),"",G28/E28),"")</f>
        <v>2.6508506358931845</v>
      </c>
    </row>
    <row r="29">
      <c r="A29" s="40" t="n">
        <v>3</v>
      </c>
      <c r="B29" s="61">
        <f>IFERROR(IF(OR(3&gt;B22,F28=""),"",F28),"")</f>
        <v>87208.62647041991</v>
      </c>
      <c r="C29" s="61">
        <f>IFERROR(IF(OR(3&gt;B22,B29=""),"",B29*B21),"")</f>
        <v>8720.862647041991</v>
      </c>
      <c r="D29" s="61">
        <f>IFERROR(IF(OR(3&gt;B22,B29=""),"",IF(3&lt;=B23,0,MIN(B29,B24-C29))),"")</f>
        <v>14284.553319424711</v>
      </c>
      <c r="E29" s="61">
        <f>IFERROR(IF(C29="","",C29+D29),"")</f>
        <v>23005.415966466702</v>
      </c>
      <c r="F29" s="61">
        <f>IFERROR(IF(D29="","",B29-D29),"")</f>
        <v>72924.0731509952</v>
      </c>
      <c r="G29" s="61">
        <f>IFERROR(IF(E29="","",'3-Year P&amp;L'!$D$41-'3-Year P&amp;L'!$D$46+'3-Year P&amp;L'!$D$36+'3-Year P&amp;L'!$D$37),"")</f>
        <v>70937.65258461765</v>
      </c>
      <c r="H29" s="61">
        <f>IFERROR(IF(OR(E29="",E29=0),"",G29/E29),"")</f>
        <v>3.0835196671956826</v>
      </c>
    </row>
    <row r="30">
      <c r="A30" s="40" t="n">
        <v>4</v>
      </c>
      <c r="B30" s="61">
        <f>IFERROR(IF(OR(4&gt;B22,F29=""),"",F29),"")</f>
        <v>72924.0731509952</v>
      </c>
      <c r="C30" s="61">
        <f>IFERROR(IF(OR(4&gt;B22,B30=""),"",B30*B21),"")</f>
        <v>7292.407315099521</v>
      </c>
      <c r="D30" s="61">
        <f>IFERROR(IF(OR(4&gt;B22,B30=""),"",IF(4&lt;=B23,0,MIN(B30,B24-C30))),"")</f>
        <v>15713.008651367181</v>
      </c>
      <c r="E30" s="61">
        <f>IFERROR(IF(C30="","",C30+D30),"")</f>
        <v>23005.415966466702</v>
      </c>
      <c r="F30" s="61">
        <f>IFERROR(IF(D30="","",B30-D30),"")</f>
        <v>57211.06449962802</v>
      </c>
      <c r="G30" s="61">
        <f>IFERROR(IF(E30="","",'3-Year P&amp;L'!$D$41-'3-Year P&amp;L'!$D$46+'3-Year P&amp;L'!$D$36+'3-Year P&amp;L'!$D$37),"")</f>
        <v>70937.65258461765</v>
      </c>
      <c r="H30" s="61">
        <f>IFERROR(IF(OR(E30="",E30=0),"",G30/E30),"")</f>
        <v>3.0835196671956826</v>
      </c>
    </row>
    <row r="31">
      <c r="A31" s="40" t="n">
        <v>5</v>
      </c>
      <c r="B31" s="61">
        <f>IFERROR(IF(OR(5&gt;B22,F30=""),"",F30),"")</f>
        <v>57211.06449962802</v>
      </c>
      <c r="C31" s="61">
        <f>IFERROR(IF(OR(5&gt;B22,B31=""),"",B31*B21),"")</f>
        <v>5721.106449962802</v>
      </c>
      <c r="D31" s="61">
        <f>IFERROR(IF(OR(5&gt;B22,B31=""),"",IF(5&lt;=B23,0,MIN(B31,B24-C31))),"")</f>
        <v>17284.3095165039</v>
      </c>
      <c r="E31" s="61">
        <f>IFERROR(IF(C31="","",C31+D31),"")</f>
        <v>23005.415966466702</v>
      </c>
      <c r="F31" s="61">
        <f>IFERROR(IF(D31="","",B31-D31),"")</f>
        <v>39926.75498312412</v>
      </c>
      <c r="G31" s="61">
        <f>IFERROR(IF(E31="","",'3-Year P&amp;L'!$D$41-'3-Year P&amp;L'!$D$46+'3-Year P&amp;L'!$D$36+'3-Year P&amp;L'!$D$37),"")</f>
        <v>70937.65258461765</v>
      </c>
      <c r="H31" s="61">
        <f>IFERROR(IF(OR(E31="",E31=0),"",G31/E31),"")</f>
        <v>3.0835196671956826</v>
      </c>
    </row>
    <row r="32">
      <c r="A32" s="40" t="n">
        <v>6</v>
      </c>
      <c r="B32" s="61">
        <f>IFERROR(IF(OR(6&gt;B22,F31=""),"",F31),"")</f>
        <v>39926.75498312412</v>
      </c>
      <c r="C32" s="61">
        <f>IFERROR(IF(OR(6&gt;B22,B32=""),"",B32*B21),"")</f>
        <v>3992.675498312412</v>
      </c>
      <c r="D32" s="61">
        <f>IFERROR(IF(OR(6&gt;B22,B32=""),"",IF(6&lt;=B23,0,MIN(B32,B24-C32))),"")</f>
        <v>19012.74046815429</v>
      </c>
      <c r="E32" s="61">
        <f>IFERROR(IF(C32="","",C32+D32),"")</f>
        <v>23005.415966466702</v>
      </c>
      <c r="F32" s="61">
        <f>IFERROR(IF(D32="","",B32-D32),"")</f>
        <v>20914.01451496983</v>
      </c>
      <c r="G32" s="61">
        <f>IFERROR(IF(E32="","",'3-Year P&amp;L'!$D$41-'3-Year P&amp;L'!$D$46+'3-Year P&amp;L'!$D$36+'3-Year P&amp;L'!$D$37),"")</f>
        <v>70937.65258461765</v>
      </c>
      <c r="H32" s="61">
        <f>IFERROR(IF(OR(E32="",E32=0),"",G32/E32),"")</f>
        <v>3.0835196671956826</v>
      </c>
    </row>
    <row r="33">
      <c r="A33" s="40" t="n">
        <v>7</v>
      </c>
      <c r="B33" s="61">
        <f>IFERROR(IF(OR(7&gt;B22,F32=""),"",F32),"")</f>
        <v>20914.01451496983</v>
      </c>
      <c r="C33" s="61">
        <f>IFERROR(IF(OR(7&gt;B22,B33=""),"",B33*B21),"")</f>
        <v>2091.401451496983</v>
      </c>
      <c r="D33" s="61">
        <f>IFERROR(IF(OR(7&gt;B22,B33=""),"",IF(7&lt;=B23,0,MIN(B33,B24-C33))),"")</f>
        <v>20914.01451496972</v>
      </c>
      <c r="E33" s="61">
        <f>IFERROR(IF(C33="","",C33+D33),"")</f>
        <v>23005.415966466702</v>
      </c>
      <c r="F33" s="61">
        <f>IFERROR(IF(D33="","",B33-D33),"")</f>
        <v>1.0913936421275139e-10</v>
      </c>
      <c r="G33" s="61">
        <f>IFERROR(IF(E33="","",'3-Year P&amp;L'!$D$41-'3-Year P&amp;L'!$D$46+'3-Year P&amp;L'!$D$36+'3-Year P&amp;L'!$D$37),"")</f>
        <v>70937.65258461765</v>
      </c>
      <c r="H33" s="61">
        <f>IFERROR(IF(OR(E33="",E33=0),"",G33/E33),"")</f>
        <v>3.0835196671956826</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11200.0</v>
      </c>
      <c r="C44" s="28" t="n"/>
      <c r="D44" s="28" t="n"/>
      <c r="E44" s="28" t="n"/>
      <c r="F44" s="28" t="n"/>
      <c r="G44" s="28" t="n"/>
      <c r="H44" s="28" t="n"/>
    </row>
    <row r="45">
      <c r="A45" s="28" t="inlineStr">
        <is>
          <t>Year-1 principal repaid</t>
        </is>
      </c>
      <c r="B45" s="40">
        <f>IFERROR(IF(B20="","",IF(D27="",0,D27)),"")</f>
        <v>11805.415966466702</v>
      </c>
      <c r="C45" s="28" t="n"/>
      <c r="D45" s="28" t="n"/>
      <c r="E45" s="28" t="n"/>
      <c r="F45" s="28" t="n"/>
      <c r="G45" s="28" t="n"/>
      <c r="H45" s="28" t="n"/>
    </row>
    <row r="46">
      <c r="A46" s="28" t="inlineStr">
        <is>
          <t>Year-2 interest</t>
        </is>
      </c>
      <c r="B46" s="40">
        <f>IFERROR(IF(B20="","",IF(C28="",0,C28)),"")</f>
        <v>10019.45840335333</v>
      </c>
      <c r="C46" s="28" t="n"/>
      <c r="D46" s="28" t="n"/>
      <c r="E46" s="28" t="n"/>
      <c r="F46" s="28" t="n"/>
      <c r="G46" s="28" t="n"/>
      <c r="H46" s="28" t="n"/>
    </row>
    <row r="47">
      <c r="A47" s="28" t="inlineStr">
        <is>
          <t>Year-2 principal repaid</t>
        </is>
      </c>
      <c r="B47" s="40">
        <f>IFERROR(IF(B20="","",IF(D28="",0,D28)),"")</f>
        <v>12985.957563113372</v>
      </c>
      <c r="C47" s="28" t="n"/>
      <c r="D47" s="28" t="n"/>
      <c r="E47" s="28" t="n"/>
      <c r="F47" s="28" t="n"/>
      <c r="G47" s="28" t="n"/>
      <c r="H47" s="28" t="n"/>
    </row>
    <row r="48">
      <c r="A48" s="28" t="inlineStr">
        <is>
          <t>Year-3 interest</t>
        </is>
      </c>
      <c r="B48" s="40">
        <f>IFERROR(IF(B20="","",IF(C29="",0,C29)),"")</f>
        <v>8720.862647041991</v>
      </c>
      <c r="C48" s="28" t="n"/>
      <c r="D48" s="28" t="n"/>
      <c r="E48" s="28" t="n"/>
      <c r="F48" s="28" t="n"/>
      <c r="G48" s="28" t="n"/>
      <c r="H48" s="28" t="n"/>
    </row>
    <row r="49">
      <c r="A49" s="28" t="inlineStr">
        <is>
          <t>Year-3 principal repaid</t>
        </is>
      </c>
      <c r="B49" s="40">
        <f>IFERROR(IF(B20="","",IF(D29="",0,D29)),"")</f>
        <v>14284.553319424711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2.021389624540631</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2.6508506358931845</v>
      </c>
      <c r="C52" s="28" t="n"/>
      <c r="D52" s="28" t="n"/>
      <c r="E52" s="28" t="n"/>
      <c r="F52" s="28" t="n"/>
      <c r="G52" s="28" t="n"/>
      <c r="H52" s="28" t="n"/>
    </row>
    <row r="53">
      <c r="A53" s="28" t="inlineStr">
        <is>
          <t>Year-3 DSCR</t>
        </is>
      </c>
      <c r="B53" s="61">
        <f>IFERROR(('3-Year P&amp;L'!$D$41-'3-Year P&amp;L'!$D$46+'3-Year P&amp;L'!$D$36+B48)/(B48+B49),"")</f>
        <v>3.0835196671956826</v>
      </c>
      <c r="C53" s="28" t="n"/>
      <c r="D53" s="28" t="n"/>
      <c r="E53" s="28" t="n"/>
      <c r="F53" s="28" t="n"/>
      <c r="G53" s="28" t="n"/>
      <c r="H53" s="28" t="n"/>
    </row>
    <row r="54">
      <c r="A54" s="25" t="inlineStr">
        <is>
          <t>Minimum DSCR across the whole schedule</t>
        </is>
      </c>
      <c r="B54" s="62">
        <f>IFERROR(IF(COUNT(H27:H41)=0,"",MIN(H27:H41)),"")</f>
        <v>2.021389624540631</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Financial Projections: 3-Year P&amp;L, Cash Flow &amp; Financing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2026-10-04T17:18:05Z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