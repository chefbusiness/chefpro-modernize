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Customers per day (year-1 average)</t>
        </is>
      </c>
      <c r="B4" s="18" t="n">
        <v>80</v>
      </c>
      <c r="C4" t="inlineStr">
        <is>
          <t>Average number of customers served per day over the year. It is the main volume driver of the whole workbook: the P&amp;L, break-even and scenarios all read it.</t>
        </is>
      </c>
    </row>
    <row r="5">
      <c r="A5" t="inlineStr">
        <is>
          <t>Average check (excl. sales tax)</t>
        </is>
      </c>
      <c r="B5" s="24" t="n">
        <v>14</v>
      </c>
      <c r="C5" t="inlineStr">
        <is>
          <t>EXCL. sales tax: the check before tax is added. Menu price incl. sales tax = this value × (1 + your sales tax rate). The example (14) sits inside the 10-15 range in the benchmarks table on the Instructions tab (kit estimate).</t>
        </is>
      </c>
    </row>
    <row r="6">
      <c r="A6" t="inlineStr">
        <is>
          <t>Operating days per year</t>
        </is>
      </c>
      <c r="B6" s="18" t="n">
        <v>260</v>
      </c>
      <c r="C6" t="inlineStr">
        <is>
          <t>One operating-days cell for the whole workbook: the P&amp;L, break-even and scenarios all read it, so they always agree. The example is 5 service days a week for 52 weeks (260): lower it for closures, bad weather and off-season weeks.</t>
        </is>
      </c>
    </row>
    <row r="7">
      <c r="A7" t="inlineStr">
        <is>
          <t>Volume growth in year 2</t>
        </is>
      </c>
      <c r="B7" s="63" t="n">
        <v>0.15</v>
      </c>
      <c r="C7" t="inlineStr">
        <is>
          <t>Volume growth in year 2 over year 1. Kept conservative on purpose: a food truck in its first year has not yet built regular routes or corporate clients.</t>
        </is>
      </c>
    </row>
    <row r="8">
      <c r="A8" t="inlineStr">
        <is>
          <t>Volume growth in year 3</t>
        </is>
      </c>
      <c r="B8" s="63" t="n">
        <v>0.1</v>
      </c>
      <c r="C8" t="inlineStr">
        <is>
          <t>Volume growth in year 3 over year 2: kept conservative for the same reason.</t>
        </is>
      </c>
    </row>
    <row r="9">
      <c r="A9" t="inlineStr">
        <is>
          <t>Menu price incl. sales tax (calculated)</t>
        </is>
      </c>
      <c r="B9" s="64">
        <f>IFERROR(IF($B$5="","",$B$5*(1+SUMPRODUCT('3-Year P&amp;L'!$E$10:$E$11,'3-Year P&amp;L'!$G$10:$G$11))),"")</f>
        <v>15.120000000000001</v>
      </c>
      <c r="C9" t="str">
        <f>IFERROR("Average check excl. sales tax plus the weighted sales tax of your sales lines ("&amp;TEXT(SUMPRODUCT('3-Year P&amp;L'!$E$10:$E$11,'3-Year P&amp;L'!$G$10:$G$11)*100,"0")&amp;"%), rounded. In the US, menu prices usually exclude sales tax and it is added at the register; in the UK, menu prices include VAT.","")</f>
        <v>Average check excl. sales tax plus the weighted sales tax of your sales lines (8%), rounded. In the US, menu prices usually exclude sales tax and it is added at the register; in the UK, menu prices include VAT.</v>
      </c>
    </row>
    <row r="10">
      <c r="A10" s="16" t="inlineStr">
        <is>
          <t>SALES MIX AND COST OF GOODS SOLD</t>
        </is>
      </c>
    </row>
    <row r="11">
      <c r="A11" t="inlineStr">
        <is>
          <t>FOOD share of total sales</t>
        </is>
      </c>
      <c r="B11" s="63" t="n">
        <v>0.8519</v>
      </c>
      <c r="C11" t="inlineStr">
        <is>
          <t>Share of FOOD in total sales. It is an INPUT: change it here and the P&amp;L, the cash flow and the sales tax collected recalculate on their own</t>
        </is>
      </c>
    </row>
    <row r="12">
      <c r="A12" t="inlineStr">
        <is>
          <t>BEVERAGE share of total sales</t>
        </is>
      </c>
      <c r="B12" s="65">
        <f>IFERROR(IF(COUNT(B11)=0,"",1-B11),"")</f>
        <v>0.1481</v>
      </c>
      <c r="C12" t="inlineStr">
        <is>
          <t>Calculated as the remainder: food + beverage = 100%</t>
        </is>
      </c>
    </row>
    <row r="13">
      <c r="A13" t="inlineStr">
        <is>
          <t>Cost of goods sold on FOOD sales</t>
        </is>
      </c>
      <c r="B13" s="63" t="n">
        <v>0.3</v>
      </c>
      <c r="C13" t="inlineStr">
        <is>
          <t>Cost of goods sold on food sales. The example (30%) sits inside the 28-35% range for food trucks in the benchmarks table on the Instructions tab; the concept matters (a burger menu runs lower than a poke menu). It is the most sensitive lever in the plan: test it at the top of the range before you trust the result.</t>
        </is>
      </c>
    </row>
    <row r="14">
      <c r="A14" t="inlineStr">
        <is>
          <t>Cost of goods sold on BEVERAGE sales</t>
        </is>
      </c>
      <c r="B14" s="63" t="n">
        <v>0.25</v>
      </c>
      <c r="C14" t="inlineStr">
        <is>
          <t>Bottled drinks and sodas: a high-margin line, set below the food rate. See the beverage cost row in the benchmarks table on the Instructions tab.</t>
        </is>
      </c>
    </row>
    <row r="15">
      <c r="A15" t="inlineStr">
        <is>
          <t>Disposables and packaging as % of sales</t>
        </is>
      </c>
      <c r="B15" s="63" t="n">
        <v>0.04</v>
      </c>
      <c r="C15" t="inlineStr">
        <is>
          <t>Disposable packaging, cutlery and napkins as a % of sales. It is a real cost for a truck, and some cities restrict foam and single-use plastics (check your local rules), so it sits next to cost of goods sold instead of hiding in miscellaneous.</t>
        </is>
      </c>
    </row>
    <row r="16">
      <c r="A16" t="inlineStr">
        <is>
          <t>Delivery share of total sales</t>
        </is>
      </c>
      <c r="B16" s="63" t="n">
        <v>0</v>
      </c>
      <c r="C16" t="inlineStr">
        <is>
          <t>ZERO by default: this business sells from the truck window and does not deliver. Raise it if you add a delivery channel from a fixed location (for example DoorDash or Uber Eats).</t>
        </is>
      </c>
    </row>
    <row r="17">
      <c r="A17" t="inlineStr">
        <is>
          <t>Delivery platform fee</t>
        </is>
      </c>
      <c r="B17" s="63" t="n">
        <v>0.25</v>
      </c>
      <c r="C17" t="inlineStr">
        <is>
          <t>Not used while the delivery share is 0%. Delivery platforms usually charge a commission in the 15-30% range (kit estimate); the example uses 25%.</t>
        </is>
      </c>
    </row>
    <row r="18">
      <c r="A18" t="inlineStr">
        <is>
          <t>Card processing fee</t>
        </is>
      </c>
      <c r="B18" s="63" t="n">
        <v>0.035</v>
      </c>
      <c r="C18" t="inlineStr">
        <is>
          <t>Card and mobile wallet fees on total sales. A city food truck takes cards or contactless on most tickets. The example (3.5%) is a blended rate: a percentage plus a per-transaction fee, which weighs more on small tickets. Check your processor's statement and enter your effective rate (kit estimate).</t>
        </is>
      </c>
    </row>
    <row r="19">
      <c r="A19" s="16" t="inlineStr">
        <is>
          <t>LABOR</t>
        </is>
      </c>
    </row>
    <row r="20">
      <c r="A20" t="inlineStr">
        <is>
          <t>Employer payroll taxes</t>
        </is>
      </c>
      <c r="B20" s="63"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COMMISSARY AND FIXED COSTS</t>
        </is>
      </c>
    </row>
    <row r="24">
      <c r="A24" t="inlineStr">
        <is>
          <t>Monthly commissary &amp; truck parking</t>
        </is>
      </c>
      <c r="B24" s="18" t="n">
        <v>1200</v>
      </c>
      <c r="C24" t="inlineStr">
        <is>
          <t>THIS BUSINESS HAS NO STOREFRONT RENT: this cell is the monthly cost of the commissary &amp; truck parking, where the truck is stored and prepped each day. The deposit and the months before opening are calculated from it. It is separate from generator fuel, which sits in the utilities cell. Commissaries often charge 250-750 per month (more in Manhattan or Los Angeles) and parking 500-1,000: get quotes in your area before you sign.</t>
        </is>
      </c>
    </row>
    <row r="25">
      <c r="A25" t="inlineStr">
        <is>
          <t>Commissary &amp; parking deposit (months)</t>
        </is>
      </c>
      <c r="B25" s="18" t="n">
        <v>1</v>
      </c>
      <c r="C25" t="inlineStr">
        <is>
          <t>One month of deposit for the commissary or parking space: far less than the deposit on a commercial lease.</t>
        </is>
      </c>
    </row>
    <row r="26">
      <c r="A26" t="inlineStr">
        <is>
          <t>Monthly utilities (electricity, water, gas)</t>
        </is>
      </c>
      <c r="B26" s="18" t="n">
        <v>500</v>
      </c>
      <c r="C26" t="inlineStr">
        <is>
          <t>Generator fuel and propane, plus water and waste hookup fees at the commissary. It is the one cell for this cost, so you change it in one place and the rest of the workbook follows.</t>
        </is>
      </c>
    </row>
    <row r="27">
      <c r="A27" t="inlineStr">
        <is>
          <t>Insurance (per year)</t>
        </is>
      </c>
      <c r="B27" s="18" t="n">
        <v>4000</v>
      </c>
      <c r="C27" t="inlineStr">
        <is>
          <t>General liability (events and landlords often require 1M per occurrence) plus commercial auto for the truck. The example is a kit estimate: get quotes from an insurance agent. It is counted once, as an annual expense, not also in startup costs, which is how it is actually paid.</t>
        </is>
      </c>
    </row>
    <row r="28">
      <c r="A28" t="inlineStr">
        <is>
          <t>Miscellaneous and contingency as % of sales</t>
        </is>
      </c>
      <c r="B28" s="63" t="n">
        <v>0.05</v>
      </c>
      <c r="C28" t="inlineStr">
        <is>
          <t>Truck fuel to drive between locations, plus a cushion for unbudgeted running costs. It is a VARIABLE cost: it rises and falls with the number of services, so it cannot sit among the fixed costs or it would move the break-even without anyone noticing.</t>
        </is>
      </c>
    </row>
    <row r="29">
      <c r="A29" s="16" t="inlineStr">
        <is>
          <t>FINANCING</t>
        </is>
      </c>
    </row>
    <row r="30">
      <c r="A30" t="inlineStr">
        <is>
          <t>Owner's equity contributed</t>
        </is>
      </c>
      <c r="B30" s="18" t="n">
        <v>35000</v>
      </c>
      <c r="C30" t="inlineStr">
        <is>
          <t>Your own money. Lenders usually expect an owner equity injection (often around 10% for SBA start-ups; many want 20-30%) on the total cash needed in this plan.</t>
        </is>
      </c>
    </row>
    <row r="31">
      <c r="A31" t="inlineStr">
        <is>
          <t>Loan requested</t>
        </is>
      </c>
      <c r="B31" s="18" t="n">
        <v>112000</v>
      </c>
      <c r="C31" t="inlineStr">
        <is>
          <t>Principal requested — bank or SBA 7(a): if your loan is an SBA 7(a), this is the cell. It is the only loan that the amortization schedule, the P&amp;L interest and the DSCR use. The Financing tab checks that the sources of funds match the total cash needed on the Startup Costs tab (which includes working capital and the startup contingency): copy the loan suggested there into this cell until the difference reaches zero.</t>
        </is>
      </c>
    </row>
    <row r="32">
      <c r="A32" t="inlineStr">
        <is>
          <t>Nominal annual interest rate (not APR)</t>
        </is>
      </c>
      <c r="B32" s="63" t="n">
        <v>0.1</v>
      </c>
      <c r="C32" t="inlineStr">
        <is>
          <t>Nominal annual rate (not APR). The example (10%) is the kit's assumption for an SBA 7(a) loan. A smaller loan without real estate collateral (the truck is the collateral) often prices above a storefront loan: ask two lenders for quotes, and ask about SBA-guaranteed loans, before you set it.</t>
        </is>
      </c>
    </row>
    <row r="33">
      <c r="A33" t="inlineStr">
        <is>
          <t>Loan term (years)</t>
        </is>
      </c>
      <c r="B33" s="18" t="n">
        <v>7</v>
      </c>
      <c r="C33" t="inlineStr">
        <is>
          <t>Total years, interest-only period included. A truck loses value faster than a storefront build-out, so the term is shorter. SBA 7(a) allows up to 10 years for equipment and working capital.</t>
        </is>
      </c>
    </row>
    <row r="34">
      <c r="A34" t="inlineStr">
        <is>
          <t>Interest-only period (years)</t>
        </is>
      </c>
      <c r="B34" s="18" t="n">
        <v>0</v>
      </c>
      <c r="C34" t="inlineStr">
        <is>
          <t>ZERO by default: repayment starts in year 1, so the year-1 DSCR already measures the full loan payment. If you negotiate an interest-only first year, enter it here and read the year-1 DSCR with care.</t>
        </is>
      </c>
    </row>
    <row r="35">
      <c r="A35" t="inlineStr">
        <is>
          <t>Working capital (months of fixed costs)</t>
        </is>
      </c>
      <c r="B35" s="18" t="n">
        <v>3</v>
      </c>
      <c r="C35" t="inlineStr">
        <is>
          <t>The minimum this workbook asks for (see Instructions): a cushion below 3 months does not cover a stretch of bad weather or a slow season for events.</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It varies widely by state and city: look up yours. UK: 20% VAT on hot food and dine-in</t>
        </is>
      </c>
    </row>
    <row r="40">
      <c r="A40" t="inlineStr">
        <is>
          <t>Sales tax rate on alcohol to go</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7</v>
      </c>
      <c r="C44" t="inlineStr">
        <is>
          <t>The truck, build-out and wrap, propane system, water tanks and plan drawings: everything mounted on the truck is depreciated with it. Straight-line book depreciation; tax methods such as MACRS or Section 179 are separate, so confirm with your accountant.</t>
        </is>
      </c>
    </row>
    <row r="45">
      <c r="A45" t="inlineStr">
        <is>
          <t>Useful life of machinery, furniture and equipment (years)</t>
        </is>
      </c>
      <c r="B45" s="18" t="n">
        <v>7</v>
      </c>
      <c r="C45" t="inlineStr">
        <is>
          <t>Kitchen equipment, generator, POS, smallwares and awning. Daily setup and teardown wear them faster than a fixed kitchen, so a short life is prudent. Straight-line book depreciation; MACRS or Section 179 are tax treatments: confirm with your accountant.</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Standing spots and high-top tables next to the truck</t>
        </is>
      </c>
      <c r="B51" s="18" t="n">
        <v>16</v>
      </c>
      <c r="C51" t="inlineStr">
        <is>
          <t>INFORMATION ONLY: it does not enter any calculation in this workbook. These are the folding high-top tables budgeted in the awning, folding tables and banners line of the Startup Costs tab. A food truck has no legal seating capacity, so no table turnover is calculated: the real ceiling is customers per service (see the benchmarks table on the Instructions tab), and volume is driven by the "Customers per day" cell above.</t>
        </is>
      </c>
    </row>
    <row r="52">
      <c r="A52" t="inlineStr">
        <is>
          <t>Month-1 activity as a % of steady-state activity</t>
        </is>
      </c>
      <c r="B52" s="63" t="n">
        <v>0.55</v>
      </c>
      <c r="C52" t="inlineStr">
        <is>
          <t>A new food truck does not sell on day one what it sells in month six: you have to test locations, get into markets and let people find you. Customers per day above are the year-1 AVERAGE: the ramp only spreads year 1's sales across the months (slower start, stronger finish) and keeps the annual total. At 100% there is no ramp.</t>
        </is>
      </c>
    </row>
    <row r="53">
      <c r="A53" t="inlineStr">
        <is>
          <t>Months to reach steady state</t>
        </is>
      </c>
      <c r="B53" s="18" t="n">
        <v>6</v>
      </c>
      <c r="C53" t="inlineStr">
        <is>
          <t>The ramp rises in a straight line from the percentage above to 100% over this number of months</t>
        </is>
      </c>
    </row>
    <row r="54">
      <c r="A54" t="inlineStr">
        <is>
          <t>Months of commissary &amp; parking rent BEFORE opening</t>
        </is>
      </c>
      <c r="B54" s="18" t="n">
        <v>2</v>
      </c>
      <c r="C54" t="inlineStr">
        <is>
          <t>The truck build-out takes 4-8 weeks (see Phase 2 of your checklist), so plan on about two months of commissary and parking rent that you pay before your first sale. It belongs in startup costs, not in the P&amp;L.</t>
        </is>
      </c>
    </row>
    <row r="55">
      <c r="A55" t="inlineStr">
        <is>
          <t>Contingency on the truck purchase and build-out lines (%)</t>
        </is>
      </c>
      <c r="B55" s="63" t="n">
        <v>0.08</v>
      </c>
      <c r="C55" t="inlineStr">
        <is>
          <t>Calculated by formula on the truck purchase and build-out lines: if you change the truck price, the contingency recalculates on its own. The note on that row of the Startup Costs tab lists exactly which lines are included.</t>
        </is>
      </c>
    </row>
    <row r="57">
      <c r="A57" s="16" t="inlineStr">
        <is>
          <t>RECEIPTS, PAYMENTS AND SALES TAX BREAKDOWN</t>
        </is>
      </c>
    </row>
    <row r="58">
      <c r="A58" t="inlineStr">
        <is>
          <t>Average collection days</t>
        </is>
      </c>
      <c r="B58" s="18" t="n">
        <v>1</v>
      </c>
      <c r="C58" t="inlineStr">
        <is>
          <t>At 1 day, card settlements reach your bank the next business day. Raise it if you work with event organizers or catering clients who pay at 15 or 30 days, or with platforms that settle later.</t>
        </is>
      </c>
    </row>
    <row r="59">
      <c r="A59" t="inlineStr">
        <is>
          <t>Average days to pay suppliers</t>
        </is>
      </c>
      <c r="B59" s="18" t="n">
        <v>7</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ALCOHOLIC beverages as a share of total beverage sales</t>
        </is>
      </c>
      <c r="B62" s="63" t="n">
        <v>0</v>
      </c>
      <c r="C62" t="inlineStr">
        <is>
          <t>Close to zero: the beverage line of this plan is sodas, water and juices (see the beverage cost row in the benchmarks table), with at most an occasional canned beer at a music festival. Selling alcohol needs a liquor license and may carry extra state taxes: check your state before adding it.</t>
        </is>
      </c>
    </row>
    <row r="63">
      <c r="A63" t="inlineStr">
        <is>
          <t>Sales tax rate on alcohol served on site</t>
        </is>
      </c>
      <c r="B63" s="63" t="n">
        <v>0.08</v>
      </c>
      <c r="C63" t="inlineStr">
        <is>
          <t>Example rate: the same as the rest of the sales (state + local combined). Some states tax alcohol at a different rate or add liquor taxes: if you sell alcohol, enter the rate that applies. The model applies the "to go" alcohol rate only to alcohol sold through the delivery channel above, which is zero in this plan.</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How far planned sales must sit above cash break-even (fixed costs and the loan payment). The drop you can absorb is somewhat smaller: with a 15% cushion, about 13% of plan</t>
        </is>
      </c>
    </row>
    <row r="68">
      <c r="A68" t="inlineStr">
        <is>
          <t>State / local minimum wage, annual full-time</t>
        </is>
      </c>
      <c r="B68" s="18" t="n"/>
      <c r="C68" t="inlineStr">
        <is>
          <t>Enter the minimum wage of your state or city, annualized for a full-time job (hourly rate × 2,080 hours). The pay floor in the Staffing tab is the HIGHER of this cell and the federal minimum. With 0 or blank, the traffic light compares only against the federal floor. Check current rates at dol.gov.</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FOOD TRUCK</t>
        </is>
      </c>
    </row>
    <row r="2">
      <c r="A2" s="2" t="inlineStr">
        <is>
          <t>Estimated Startup Costs</t>
        </is>
      </c>
    </row>
    <row r="3">
      <c r="A3" s="3" t="inlineStr">
        <is>
          <t>Adjust the figures to your project.</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6">
        <f>IFERROR(IF(COUNT(B7:B23)=0,"",SUM(B7:B23)),"")</f>
        <v>114120.0</v>
      </c>
      <c r="C6" s="67">
        <f>IFERROR(B6/$B$26,"")</f>
        <v>0.7795124563522204</v>
      </c>
      <c r="D6" s="28" t="n"/>
      <c r="E6" s="28" t="n"/>
    </row>
    <row r="7">
      <c r="A7" s="28" t="inlineStr">
        <is>
          <t>Food truck or trailer (used)</t>
        </is>
      </c>
      <c r="B7" s="49" t="n">
        <v>45000</v>
      </c>
      <c r="C7" s="68">
        <f>IFERROR(B7/$B$26,"")</f>
        <v>0.3073787288455128</v>
      </c>
      <c r="D7" s="28" t="inlineStr">
        <is>
          <t>Step van, truck or trailer. Used units run roughly 15,000-100,000 and new ones 75,000-200,000, depending on size and condition.</t>
        </is>
      </c>
      <c r="E7" s="31" t="inlineStr">
        <is>
          <t>Yes</t>
        </is>
      </c>
    </row>
    <row r="8">
      <c r="A8" s="28" t="inlineStr">
        <is>
          <t>Build-out and wrap</t>
        </is>
      </c>
      <c r="B8" s="49" t="n">
        <v>20000</v>
      </c>
      <c r="C8" s="68">
        <f>IFERROR(B8/$B$26,"")</f>
        <v>0.13661276837578346</v>
      </c>
      <c r="D8" s="28" t="inlineStr">
        <is>
          <t>Service window, counter, full vehicle wrap</t>
        </is>
      </c>
      <c r="E8" s="31" t="inlineStr">
        <is>
          <t>Yes</t>
        </is>
      </c>
    </row>
    <row r="9">
      <c r="A9" s="28" t="inlineStr">
        <is>
          <t>Kitchen and refrigeration equipment</t>
        </is>
      </c>
      <c r="B9" s="49" t="n">
        <v>15000</v>
      </c>
      <c r="C9" s="68">
        <f>IFERROR(B9/$B$26,"")</f>
        <v>0.10245957628183759</v>
      </c>
      <c r="D9" s="28" t="inlineStr">
        <is>
          <t>Griddle, fryer, exhaust hood, refrigeration, sink</t>
        </is>
      </c>
      <c r="E9" s="31" t="inlineStr">
        <is>
          <t>Yes</t>
        </is>
      </c>
    </row>
    <row r="10">
      <c r="A10" s="28" t="inlineStr">
        <is>
          <t>Generator</t>
        </is>
      </c>
      <c r="B10" s="49" t="n">
        <v>5000</v>
      </c>
      <c r="C10" s="68">
        <f>IFERROR(B10/$B$26,"")</f>
        <v>0.034153192093945864</v>
      </c>
      <c r="D10" s="28" t="inlineStr">
        <is>
          <t>Quiet generator, or a shore-power hookup kit</t>
        </is>
      </c>
      <c r="E10" s="31" t="inlineStr">
        <is>
          <t>Yes</t>
        </is>
      </c>
    </row>
    <row r="11">
      <c r="A11" s="28" t="inlineStr">
        <is>
          <t>Propane system and fire suppression</t>
        </is>
      </c>
      <c r="B11" s="49" t="n">
        <v>4000</v>
      </c>
      <c r="C11" s="68">
        <f>IFERROR(B11/$B$26,"")</f>
        <v>0.027322553675156694</v>
      </c>
      <c r="D11" s="28" t="inlineStr">
        <is>
          <t>Propane system certification and fire suppression system; annual inspections where required</t>
        </is>
      </c>
      <c r="E11" s="31" t="inlineStr">
        <is>
          <t>Yes</t>
        </is>
      </c>
    </row>
    <row r="12">
      <c r="A12" s="28" t="inlineStr">
        <is>
          <t>Fresh / gray water tanks and handwashing sinks</t>
        </is>
      </c>
      <c r="B12" s="49" t="n">
        <v>1500</v>
      </c>
      <c r="C12" s="68">
        <f>IFERROR(B12/$B$26,"")</f>
        <v>0.01024595762818376</v>
      </c>
      <c r="D12" s="28" t="inlineStr">
        <is>
          <t>Fresh water and gray water tanks plus handwashing sinks: the equipment the health department's plan review requires to serve food away from a building with utility hookups. Tank sizes are set by county rules (check your county): the gray water tank is usually larger than the fresh water tank.</t>
        </is>
      </c>
      <c r="E12" s="31" t="inlineStr">
        <is>
          <t>Yes</t>
        </is>
      </c>
    </row>
    <row r="13">
      <c r="A13" s="28" t="inlineStr">
        <is>
          <t>LLC formation and legal</t>
        </is>
      </c>
      <c r="B13" s="49" t="n">
        <v>800</v>
      </c>
      <c r="C13" s="68">
        <f>IFERROR(B13/$B$26,"")</f>
        <v>0.005464510735031338</v>
      </c>
      <c r="D13" s="28" t="inlineStr">
        <is>
          <t>State filing fees for the articles of organization (Secretary of State) plus any attorney or filing-service fees; a registered agent is also needed. Fees vary a lot by state. The "Taxable / recoverable tax?" column is set to No: it only matters if you enter a recoverable input tax rate (for example UK VAT).</t>
        </is>
      </c>
      <c r="E13" s="31" t="inlineStr">
        <is>
          <t>No</t>
        </is>
      </c>
    </row>
    <row r="14">
      <c r="A14" s="28" t="inlineStr">
        <is>
          <t>First-year permits and licenses</t>
        </is>
      </c>
      <c r="B14" s="49" t="n">
        <v>3000</v>
      </c>
      <c r="C14" s="68">
        <f>IFERROR(B14/$B$26,"")</f>
        <v>0.02049191525636752</v>
      </c>
      <c r="D14" s="28" t="inlineStr">
        <is>
          <t>Varies a lot by city and county: get the amounts for yours before you close the budget. The essentials often run 1,000-3,000, but the first year can reach 30,000 or more once parking fees are included.</t>
        </is>
      </c>
      <c r="E14" s="31" t="inlineStr">
        <is>
          <t>No</t>
        </is>
      </c>
    </row>
    <row r="15">
      <c r="A15" s="28" t="inlineStr">
        <is>
          <t>Health plan review and drawings</t>
        </is>
      </c>
      <c r="B15" s="49" t="n">
        <v>1000</v>
      </c>
      <c r="C15" s="68">
        <f>IFERROR(B15/$B$26,"")</f>
        <v>0.0068306384187891735</v>
      </c>
      <c r="D15" s="28" t="inlineStr">
        <is>
          <t>Required by most health departments for a mobile unit: plan review with drawings of the equipment layout, workflow and water tanks.</t>
        </is>
      </c>
      <c r="E15" s="31" t="inlineStr">
        <is>
          <t>Yes</t>
        </is>
      </c>
    </row>
    <row r="16">
      <c r="A16" s="28" t="inlineStr">
        <is>
          <t>POS and card reader</t>
        </is>
      </c>
      <c r="B16" s="49" t="n">
        <v>1000</v>
      </c>
      <c r="C16" s="68">
        <f>IFERROR(B16/$B$26,"")</f>
        <v>0.0068306384187891735</v>
      </c>
      <c r="D16" s="28" t="inlineStr">
        <is>
          <t>Tablet POS and a 4G card reader for payments</t>
        </is>
      </c>
      <c r="E16" s="31" t="inlineStr">
        <is>
          <t>Yes</t>
        </is>
      </c>
    </row>
    <row r="17">
      <c r="A17" s="28" t="inlineStr">
        <is>
          <t>Smallwares and packaging</t>
        </is>
      </c>
      <c r="B17" s="49" t="n">
        <v>2000</v>
      </c>
      <c r="C17" s="68">
        <f>IFERROR(B17/$B$26,"")</f>
        <v>0.013661276837578347</v>
      </c>
      <c r="D17" s="28" t="inlineStr">
        <is>
          <t>Smallwares, utensils and disposable cutlery: the equipment that gets depreciated. The first purchase of packaging counts here only as a starter stock; daily packaging is NOT depreciated: it goes in the "Disposables and packaging" line of the P&amp;L, at the % of sales set in the "0. Assumptions" tab.</t>
        </is>
      </c>
      <c r="E17" s="31" t="inlineStr">
        <is>
          <t>Yes</t>
        </is>
      </c>
    </row>
    <row r="18">
      <c r="A18" s="28" t="inlineStr">
        <is>
          <t>Opening inventory</t>
        </is>
      </c>
      <c r="B18" s="49" t="n">
        <v>2000</v>
      </c>
      <c r="C18" s="68">
        <f>IFERROR(B18/$B$26,"")</f>
        <v>0.013661276837578347</v>
      </c>
      <c r="D18" s="28" t="inlineStr">
        <is>
          <t>Food and supplies for the first two weeks of service. With 0% recoverable input tax (the US default), any sales tax you pay on this purchase is treated as a cost.</t>
        </is>
      </c>
      <c r="E18" s="31" t="inlineStr">
        <is>
          <t>Yes</t>
        </is>
      </c>
    </row>
    <row r="19">
      <c r="A19" s="28" t="inlineStr">
        <is>
          <t>Launch marketing</t>
        </is>
      </c>
      <c r="B19" s="49" t="n">
        <v>3000</v>
      </c>
      <c r="C19" s="68">
        <f>IFERROR(B19/$B$26,"")</f>
        <v>0.02049191525636752</v>
      </c>
      <c r="D19" s="28" t="inlineStr">
        <is>
          <t>Social media, website, flyers, Google Business Profile, opening event</t>
        </is>
      </c>
      <c r="E19" s="31" t="inlineStr">
        <is>
          <t>Yes</t>
        </is>
      </c>
    </row>
    <row r="20">
      <c r="A20" s="28" t="inlineStr">
        <is>
          <t>Awning, folding tables and banners</t>
        </is>
      </c>
      <c r="B20" s="49" t="n">
        <v>1500</v>
      </c>
      <c r="C20" s="68">
        <f>IFERROR(B20/$B$26,"")</f>
        <v>0.01024595762818376</v>
      </c>
      <c r="D20" s="28" t="inlineStr">
        <is>
          <t>Folding high-top tables, umbrella, banners</t>
        </is>
      </c>
      <c r="E20" s="31" t="inlineStr">
        <is>
          <t>Yes</t>
        </is>
      </c>
    </row>
    <row r="21">
      <c r="A21" s="28" t="inlineStr">
        <is>
          <t>Commissary &amp; parking deposit</t>
        </is>
      </c>
      <c r="B21" s="40">
        <f>IFERROR(IF('0. Assumptions'!$B$24="","",'0. Assumptions'!$B$24*'0. Assumptions'!$B$25),"")</f>
        <v>1200.0</v>
      </c>
      <c r="C21" s="68">
        <f>IFERROR(B21/$B$26,"")</f>
        <v>0.008196766102547009</v>
      </c>
      <c r="D21" s="28" t="str">
        <f>IFERROR(""&amp;TEXT('0. Assumptions'!$B$25,"0")&amp;IF('0. Assumptions'!$B$25=1," month"," months")&amp;" of rent, from ""0. Assumptions"". Refundable when the lease ends: it is not depreciated and carries no tax","")</f>
        <v>1 month of rent, from "0. Assumptions". Refundable when the lease ends: it is not depreciated and carries no tax</v>
      </c>
      <c r="E21" s="28" t="inlineStr">
        <is>
          <t>No</t>
        </is>
      </c>
    </row>
    <row r="22">
      <c r="A22" s="28" t="inlineStr">
        <is>
          <t>Commissary &amp; parking rent before opening</t>
        </is>
      </c>
      <c r="B22" s="40">
        <f>IFERROR(IF('0. Assumptions'!$B$24="","",'0. Assumptions'!$B$24*'0. Assumptions'!$B$54),"")</f>
        <v>2400.0</v>
      </c>
      <c r="C22" s="68">
        <f>IFERROR(B22/$B$26,"")</f>
        <v>0.016393532205094017</v>
      </c>
      <c r="D22" s="28"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2" s="28" t="inlineStr">
        <is>
          <t>Yes</t>
        </is>
      </c>
    </row>
    <row r="23">
      <c r="A23" s="28" t="inlineStr">
        <is>
          <t>Build-out and setup contingency</t>
        </is>
      </c>
      <c r="B23" s="40">
        <f>IFERROR(IF(COUNT(B7,B8,B11,B12,B15)=0,"",ROUND((B7+B8+B11+B12+B15)*'0. Assumptions'!$B$55,0)),"")</f>
        <v>5720.0</v>
      </c>
      <c r="C23" s="68">
        <f>IFERROR(B23/$B$26,"")</f>
        <v>0.039071251755474073</v>
      </c>
      <c r="D23" s="28" t="str">
        <f>IFERROR("At "&amp;TEXT('0. Assumptions'!$B$55,"0%")&amp;" of the BUILD-OUT items of this block (used truck, build-out and wrap, propane and fire suppression, water tanks and handwashing sinks, plan review and drawings), not of the whole block: the other items are left out. No lender funds a "&amp;"build-out without a cushion: the percentage is in ""0. Assumptions""","")</f>
        <v>At 8% of the BUILD-OUT items of this block (used truck, build-out and wrap, propane and fire suppression, water tanks and handwashing sinks, plan review and drawings), not of the whole block: the other items are left out. No lender funds a build-out without a cushion: the percentage is in "0. Assumptions"</v>
      </c>
      <c r="E23" s="28" t="inlineStr">
        <is>
          <t>Yes</t>
        </is>
      </c>
    </row>
    <row r="24">
      <c r="A24" s="16" t="inlineStr">
        <is>
          <t>WORKING CAPITAL</t>
        </is>
      </c>
      <c r="B24" s="52">
        <f>IFERROR(IF(B25="","",B25),"")</f>
        <v>32279.2</v>
      </c>
      <c r="C24" s="69">
        <f>IFERROR(B24/$B$26,"")</f>
        <v>0.22048754364777948</v>
      </c>
    </row>
    <row r="25">
      <c r="A25" s="35" t="inlineStr">
        <is>
          <t>Operating cushion until break-even</t>
        </is>
      </c>
      <c r="B25" s="42">
        <f>IFERROR(IF('0. Assumptions'!$B$35*('3-Year P&amp;L'!$B$38-'3-Year P&amp;L'!$B$36)=0,"",'0. Assumptions'!$B$35*('3-Year P&amp;L'!$B$38-'3-Year P&amp;L'!$B$36)/12),"")</f>
        <v>32279.2</v>
      </c>
      <c r="C25" s="65">
        <f>IFERROR(B25/$B$26,"")</f>
        <v>0.22048754364777948</v>
      </c>
      <c r="D25"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5" s="35" t="inlineStr">
        <is>
          <t>No</t>
        </is>
      </c>
    </row>
    <row r="26">
      <c r="A26" s="16" t="inlineStr">
        <is>
          <t>TOTAL STARTUP COSTS (sum of the blocks)</t>
        </is>
      </c>
      <c r="B26" s="52">
        <f>IFERROR(B6+B24,"")</f>
        <v>146399.2</v>
      </c>
      <c r="D26" s="37" t="str">
        <f>IFERROR("The percentages in column C are read on this figure, which includes the working capital ("&amp;TEXT(C24,"0%")&amp;" of the total). To compare the breakdown with another plan, use the CAPEX row below.","")</f>
        <v>The percentages in column C are read on this figure, which includes the working capital (22% of the total). To compare the breakdown with another plan, use the CAPEX row below.</v>
      </c>
    </row>
    <row r="27">
      <c r="A27" s="16" t="inlineStr">
        <is>
          <t>CAPEX (startup costs excluding working capital)</t>
        </is>
      </c>
      <c r="B27" s="52">
        <f>IFERROR(B26-B24,"")</f>
        <v>114120.00000000001</v>
      </c>
      <c r="D27" s="16" t="inlineStr">
        <is>
          <t>What you buy: build-out, equipment, launch and formation costs. The cash cushion is not an investment: it is working capital</t>
        </is>
      </c>
    </row>
    <row r="28">
      <c r="A28" s="35" t="inlineStr">
        <is>
          <t>Recoverable input tax on capex</t>
        </is>
      </c>
      <c r="B28" s="42">
        <f>IFERROR(IF(B26="","",SUMIF($E$7:$E$23,"Yes",$B$7:$B$23)*'0. Assumptions'!$B$41),"")</f>
        <v>0.0</v>
      </c>
      <c r="D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29">
      <c r="A29" s="16" t="inlineStr">
        <is>
          <t>TOTAL CASH NEEDED AT LAUNCH</t>
        </is>
      </c>
      <c r="B29" s="52">
        <f>IFERROR(B26+B28,"")</f>
        <v>146399.2</v>
      </c>
      <c r="D29" s="16" t="inlineStr">
        <is>
          <t>This is the figure the Financing tab has to cover</t>
        </is>
      </c>
    </row>
    <row r="30">
      <c r="A30" s="16" t="inlineStr">
        <is>
          <t>DEPRECIATION BASES (not added to startup costs)</t>
        </is>
      </c>
    </row>
    <row r="31">
      <c r="A31" s="35" t="inlineStr">
        <is>
          <t>Build-out, fixtures and setup</t>
        </is>
      </c>
      <c r="B31" s="42">
        <f>IFERROR(IF(B7="","",B7+B8+B11+B12+B15+B23),"")</f>
        <v>77220.0</v>
      </c>
      <c r="D31" t="str">
        <f>IFERROR("Depreciated over "&amp;TEXT('0. Assumptions'!$B$44,"0")&amp;" years","")</f>
        <v>Depreciated over 7 years</v>
      </c>
    </row>
    <row r="32">
      <c r="A32" s="35" t="inlineStr">
        <is>
          <t>Machinery, furniture and equipment</t>
        </is>
      </c>
      <c r="B32" s="42">
        <f>IFERROR(IF(B9="","",B9+B10+B16+B17+B20),"")</f>
        <v>24500.0</v>
      </c>
      <c r="D32" t="str">
        <f>IFERROR("Depreciated over "&amp;TEXT('0. Assumptions'!$B$45,"0")&amp;" years","")</f>
        <v>Depreciated over 7 years</v>
      </c>
    </row>
    <row r="33">
      <c r="A33" s="16" t="inlineStr">
        <is>
          <t>Annual depreciation of fixed assets</t>
        </is>
      </c>
      <c r="B33" s="52">
        <f>IFERROR(B31/MAX(1,'0. Assumptions'!$B$44)+B32/MAX(1,'0. Assumptions'!$B$45),"")</f>
        <v>14531.42857142857</v>
      </c>
      <c r="D33" s="37" t="str">
        <f>IFERROR("Not depreciated, because they are not fixed assets: entity formation and legal, first-year permits, opening inventory, launch marketing, security deposit, pre-opening rent and the working capital reserve. They add up to "&amp;TEXT(B26-B31-B32,"#,##0")&amp;" of the "&amp;TEXT(B26,"#,##0")&amp;" total investment.","")</f>
        <v>Not depreciated, because they are not fixed assets: entity formation and legal, first-year permits, opening inventory, launch marketing, security deposit, pre-opening rent and the working capital reserve. They add up to 44679 of the 146399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PRO FORMA P&amp;L — 3 YEARS</t>
        </is>
      </c>
    </row>
    <row r="2">
      <c r="A2" s="3" t="inlineStr">
        <is>
          <t>Base scenario — Urban food truck</t>
        </is>
      </c>
    </row>
    <row r="4">
      <c r="A4" s="39" t="inlineStr">
        <is>
          <t>Item</t>
        </is>
      </c>
      <c r="B4" s="39" t="inlineStr">
        <is>
          <t>Year 1</t>
        </is>
      </c>
      <c r="C4" s="39" t="inlineStr">
        <is>
          <t>Year 2</t>
        </is>
      </c>
      <c r="D4" s="39" t="inlineStr">
        <is>
          <t>Year 3</t>
        </is>
      </c>
      <c r="E4" s="39" t="inlineStr">
        <is>
          <t>% of sales (year 1)</t>
        </is>
      </c>
      <c r="F4" s="39" t="inlineStr">
        <is>
          <t>Notes</t>
        </is>
      </c>
      <c r="G4" s="39" t="inlineStr">
        <is>
          <t>Sales tax rate on the line (%)</t>
        </is>
      </c>
      <c r="H4" s="28" t="n"/>
    </row>
    <row r="5">
      <c r="A5" s="25" t="inlineStr">
        <is>
          <t>REVENUE</t>
        </is>
      </c>
      <c r="B5" s="28" t="n"/>
      <c r="C5" s="28" t="n"/>
      <c r="D5" s="28" t="n"/>
      <c r="E5" s="28" t="n"/>
      <c r="F5" s="28" t="n"/>
      <c r="G5" s="28" t="n"/>
      <c r="H5" s="28" t="n"/>
    </row>
    <row r="6">
      <c r="A6" s="28" t="inlineStr">
        <is>
          <t>Customers per day (average)</t>
        </is>
      </c>
      <c r="B6" s="40">
        <f>IFERROR(IF('0. Assumptions'!$B$4="","",'0. Assumptions'!$B$4),"")</f>
        <v>80.0</v>
      </c>
      <c r="C6" s="40">
        <f>IFERROR(B6*(1+'0. Assumptions'!$B$7),"")</f>
        <v>92.0</v>
      </c>
      <c r="D6" s="40">
        <f>IFERROR(C6*(1+'0. Assumptions'!$B$8),"")</f>
        <v>101.2</v>
      </c>
      <c r="E6" s="28" t="n"/>
      <c r="F6" s="28" t="inlineStr">
        <is>
          <t>Growth for years 2 and 3 is set in "0. Assumptions"</t>
        </is>
      </c>
      <c r="G6" s="28" t="n"/>
      <c r="H6" s="28" t="n"/>
    </row>
    <row r="7">
      <c r="A7" s="28" t="inlineStr">
        <is>
          <t>Average check (excl. sales tax)</t>
        </is>
      </c>
      <c r="B7" s="61">
        <f>IFERROR(IF('0. Assumptions'!$B$5="","",'0. Assumptions'!$B$5),"")</f>
        <v>14.0</v>
      </c>
      <c r="C7" s="61">
        <f>IFERROR(IF(B7="","",B7),"")</f>
        <v>14.0</v>
      </c>
      <c r="D7" s="61">
        <f>IFERROR(IF(C7="","",C7),"")</f>
        <v>14.0</v>
      </c>
      <c r="E7" s="28" t="n"/>
      <c r="F7" s="28" t="inlineStr">
        <is>
          <t>Held constant at year-1 prices: a price increase is a separate decision</t>
        </is>
      </c>
      <c r="G7" s="28" t="n"/>
      <c r="H7" s="28" t="n"/>
    </row>
    <row r="8">
      <c r="A8" s="28" t="inlineStr">
        <is>
          <t>Operating days per year</t>
        </is>
      </c>
      <c r="B8" s="40">
        <f>IFERROR(IF('0. Assumptions'!$B$6="","",'0. Assumptions'!$B$6),"")</f>
        <v>260.0</v>
      </c>
      <c r="C8" s="40">
        <f>IFERROR(IF(B8="","",B8),"")</f>
        <v>260.0</v>
      </c>
      <c r="D8" s="40">
        <f>IFERROR(IF(C8="","",C8),"")</f>
        <v>260.0</v>
      </c>
      <c r="E8" s="28" t="n"/>
      <c r="F8" s="28" t="n"/>
      <c r="G8" s="28" t="n"/>
      <c r="H8" s="28" t="n"/>
    </row>
    <row r="9">
      <c r="A9" s="25" t="inlineStr">
        <is>
          <t>TOTAL REVENUE (excl. sales tax)</t>
        </is>
      </c>
      <c r="B9" s="66">
        <f>IFERROR(IF(B6*B7*B8=0,"",B6*B7*B8),"")</f>
        <v>291200.0</v>
      </c>
      <c r="C9" s="66">
        <f>IFERROR(IF(C6*C7*C8=0,"",C6*C7*C8),"")</f>
        <v>334880.0</v>
      </c>
      <c r="D9" s="66">
        <f>IFERROR(IF(D6*D7*D8=0,"",D6*D7*D8),"")</f>
        <v>368368.0</v>
      </c>
      <c r="E9" s="67">
        <f>IFERROR(IF(B9="","",1),"")</f>
        <v>1.0</v>
      </c>
      <c r="F9" s="28" t="n"/>
      <c r="G9" s="28" t="n"/>
      <c r="H9" s="28" t="n"/>
    </row>
    <row r="10">
      <c r="A10" s="28" t="inlineStr">
        <is>
          <t>Food sales (street, markets and private catering)</t>
        </is>
      </c>
      <c r="B10" s="40">
        <f>IFERROR(IF(B9="","",B9*$E$10),"")</f>
        <v>248073.28</v>
      </c>
      <c r="C10" s="40">
        <f>IFERROR(IF(C9="","",C9*$E$10),"")</f>
        <v>285284.272</v>
      </c>
      <c r="D10" s="40">
        <f>IFERROR(IF(D9="","",D9*$E$10),"")</f>
        <v>313812.6992</v>
      </c>
      <c r="E10" s="68">
        <f>IFERROR(IF('0. Assumptions'!$B$11="","",'0. Assumptions'!$B$11),"")</f>
        <v>0.8519</v>
      </c>
      <c r="F10" s="28" t="inlineStr">
        <is>
          <t>Main product served at fixed spots and markets, plus catering and private events. Catering carries cost of goods sold at the same rate as the street food.</t>
        </is>
      </c>
      <c r="G10" s="68">
        <f>IFERROR(IF(B9="","",'0. Assumptions'!$B$39),"")</f>
        <v>0.08</v>
      </c>
      <c r="H10" s="28" t="n"/>
    </row>
    <row r="11">
      <c r="A11" s="28" t="inlineStr">
        <is>
          <t>Beverage sales (bottled sodas, water and juices)</t>
        </is>
      </c>
      <c r="B11" s="40">
        <f>IFERROR(IF(B9="","",B9*$E$11),"")</f>
        <v>43126.72</v>
      </c>
      <c r="C11" s="40">
        <f>IFERROR(IF(C9="","",C9*$E$11),"")</f>
        <v>49595.728</v>
      </c>
      <c r="D11" s="40">
        <f>IFERROR(IF(D9="","",D9*$E$11),"")</f>
        <v>54555.300800000005</v>
      </c>
      <c r="E11" s="68">
        <f>IFERROR(IF('0. Assumptions'!$B$12="","",'0. Assumptions'!$B$12),"")</f>
        <v>0.1481</v>
      </c>
      <c r="F11" s="28" t="inlineStr">
        <is>
          <t>Bottled drinks to go with the menu: the truck has no bar.</t>
        </is>
      </c>
      <c r="G11" s="68">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sold — food</t>
        </is>
      </c>
      <c r="B13" s="40">
        <f>IFERROR(IF(B9="","",B9*'0. Assumptions'!$B$11*'0. Assumptions'!$B$13),"")</f>
        <v>74421.984</v>
      </c>
      <c r="C13" s="40">
        <f>IFERROR(IF(C9="","",C9*'0. Assumptions'!$B$11*'0. Assumptions'!$B$13),"")</f>
        <v>85585.2816</v>
      </c>
      <c r="D13" s="40">
        <f>IFERROR(IF(D9="","",D9*'0. Assumptions'!$B$11*'0. Assumptions'!$B$13),"")</f>
        <v>94143.80975999999</v>
      </c>
      <c r="E13" s="68">
        <f>IFERROR(B13/$B$9,"")</f>
        <v>0.25556999999999996</v>
      </c>
      <c r="F13" s="28" t="str">
        <f>IFERROR("At "&amp;TEXT('0. Assumptions'!$B$13,"0%")&amp;" of FOOD sales, not of total sales: beverages have their own line","")</f>
        <v>At 30% of FOOD sales, not of total sales: beverages have their own line</v>
      </c>
      <c r="G13" s="68">
        <f>IFERROR(IF(B9="","",'0. Assumptions'!$B$41),"")</f>
        <v>0.0</v>
      </c>
      <c r="H13" s="28" t="n"/>
    </row>
    <row r="14">
      <c r="A14" s="28" t="inlineStr">
        <is>
          <t>Cost of goods sold — beverage</t>
        </is>
      </c>
      <c r="B14" s="40">
        <f>IFERROR(IF(B9="","",B9*'0. Assumptions'!$B$12*'0. Assumptions'!$B$14),"")</f>
        <v>10781.68</v>
      </c>
      <c r="C14" s="40">
        <f>IFERROR(IF(C9="","",C9*'0. Assumptions'!$B$12*'0. Assumptions'!$B$14),"")</f>
        <v>12398.932</v>
      </c>
      <c r="D14" s="40">
        <f>IFERROR(IF(D9="","",D9*'0. Assumptions'!$B$12*'0. Assumptions'!$B$14),"")</f>
        <v>13638.825200000001</v>
      </c>
      <c r="E14" s="68">
        <f>IFERROR(B14/$B$9,"")</f>
        <v>0.037025</v>
      </c>
      <c r="F14" s="28" t="str">
        <f>IFERROR("At "&amp;TEXT('0. Assumptions'!$B$14,"0%")&amp;" of BEVERAGE sales","")</f>
        <v>At 25% of BEVERAGE sales</v>
      </c>
      <c r="G14" s="68">
        <f>IFERROR(IF(B9="","",'0. Assumptions'!$B$41),"")</f>
        <v>0.0</v>
      </c>
      <c r="H14" s="28" t="n"/>
    </row>
    <row r="15">
      <c r="A15" s="28" t="inlineStr">
        <is>
          <t>Disposables and packaging</t>
        </is>
      </c>
      <c r="B15" s="40">
        <f>IFERROR(IF(B9="","",B9*'0. Assumptions'!$B$15),"")</f>
        <v>11648.0</v>
      </c>
      <c r="C15" s="40">
        <f>IFERROR(IF(C9="","",C9*'0. Assumptions'!$B$15),"")</f>
        <v>13395.2</v>
      </c>
      <c r="D15" s="40">
        <f>IFERROR(IF(D9="","",D9*'0. Assumptions'!$B$15),"")</f>
        <v>14734.720000000001</v>
      </c>
      <c r="E15" s="68">
        <f>IFERROR(B15/$B$9,"")</f>
        <v>0.04</v>
      </c>
      <c r="F15" s="28" t="n"/>
      <c r="G15" s="68">
        <f>IFERROR(IF(B9="","",'0. Assumptions'!$B$41),"")</f>
        <v>0.0</v>
      </c>
      <c r="H15" s="28" t="n"/>
    </row>
    <row r="16">
      <c r="A16" s="28" t="inlineStr">
        <is>
          <t>Delivery platform fees</t>
        </is>
      </c>
      <c r="B16" s="40">
        <f>IFERROR(IF(B9="","",B9*'0. Assumptions'!$B$16*'0. Assumptions'!$B$17),"")</f>
        <v>0.0</v>
      </c>
      <c r="C16" s="40">
        <f>IFERROR(IF(C9="","",C9*'0. Assumptions'!$B$16*'0. Assumptions'!$B$17),"")</f>
        <v>0.0</v>
      </c>
      <c r="D16" s="40">
        <f>IFERROR(IF(D9="","",D9*'0. Assumptions'!$B$16*'0. Assumptions'!$B$17),"")</f>
        <v>0.0</v>
      </c>
      <c r="E16" s="68">
        <f>IFERROR(B16/$B$9,"")</f>
        <v>0.0</v>
      </c>
      <c r="F16" s="28" t="inlineStr">
        <is>
          <t>Applied to the sales of THAT CHANNEL. With 0% delivery in Assumptions, this line is zero</t>
        </is>
      </c>
      <c r="G16" s="68">
        <f>IFERROR(IF(B9="","",'0. Assumptions'!$B$41),"")</f>
        <v>0.0</v>
      </c>
      <c r="H16" s="28" t="n"/>
    </row>
    <row r="17">
      <c r="A17" s="28" t="inlineStr">
        <is>
          <t>Card processing fees</t>
        </is>
      </c>
      <c r="B17" s="40">
        <f>IFERROR(IF(B9="","",B9*'0. Assumptions'!$B$18),"")</f>
        <v>10192.000000000002</v>
      </c>
      <c r="C17" s="40">
        <f>IFERROR(IF(C9="","",C9*'0. Assumptions'!$B$18),"")</f>
        <v>11720.800000000001</v>
      </c>
      <c r="D17" s="40">
        <f>IFERROR(IF(D9="","",D9*'0. Assumptions'!$B$18),"")</f>
        <v>12892.880000000001</v>
      </c>
      <c r="E17" s="68">
        <f>IFERROR(B17/$B$9,"")</f>
        <v>0.035</v>
      </c>
      <c r="F17" s="28" t="inlineStr">
        <is>
          <t>Card processing fees are not subject to sales tax: no tax is recovered or deducted for them</t>
        </is>
      </c>
      <c r="G17" s="68" t="n">
        <v>0</v>
      </c>
      <c r="H17" s="28" t="n"/>
    </row>
    <row r="18">
      <c r="A18" s="28" t="inlineStr">
        <is>
          <t>Miscellaneous and contingency</t>
        </is>
      </c>
      <c r="B18" s="40">
        <f>IFERROR(IF(B9="","",B9*'0. Assumptions'!$B$28),"")</f>
        <v>14560.0</v>
      </c>
      <c r="C18" s="40">
        <f>IFERROR(IF(C9="","",C9*'0. Assumptions'!$B$28),"")</f>
        <v>16744.0</v>
      </c>
      <c r="D18" s="40">
        <f>IFERROR(IF(D9="","",D9*'0. Assumptions'!$B$28),"")</f>
        <v>18418.4</v>
      </c>
      <c r="E18" s="68">
        <f>IFERROR(B18/$B$9,"")</f>
        <v>0.05</v>
      </c>
      <c r="F18" s="28" t="str">
        <f>IFERROR("At "&amp;TEXT('0. Assumptions'!$B$28,"0%")&amp;" of sales. It is a VARIABLE cost: it moves with revenue, so it cannot sit in fixed costs","")</f>
        <v>At 5% of sales. It is a VARIABLE cost: it moves with revenue, so it cannot sit in fixed costs</v>
      </c>
      <c r="G18" s="68">
        <f>IFERROR(IF(B9="","",'0. Assumptions'!$B$41),"")</f>
        <v>0.0</v>
      </c>
      <c r="H18" s="28" t="n"/>
    </row>
    <row r="19">
      <c r="A19" s="25" t="inlineStr">
        <is>
          <t>TOTAL VARIABLE COSTS</t>
        </is>
      </c>
      <c r="B19" s="66">
        <f>IFERROR(IF(B9="","",SUM(B13:B18)),"")</f>
        <v>121603.664</v>
      </c>
      <c r="C19" s="66">
        <f>IFERROR(IF(C9="","",SUM(C13:C18)),"")</f>
        <v>139844.21360000002</v>
      </c>
      <c r="D19" s="66">
        <f>IFERROR(IF(D9="","",SUM(D13:D18)),"")</f>
        <v>153828.63496</v>
      </c>
      <c r="E19" s="67">
        <f>IFERROR(B19/$B$9,"")</f>
        <v>0.417595</v>
      </c>
      <c r="F19" s="28" t="n"/>
      <c r="G19" s="28" t="n"/>
      <c r="H19" s="28" t="n"/>
    </row>
    <row r="20">
      <c r="A20" s="25" t="inlineStr">
        <is>
          <t>GROSS MARGIN</t>
        </is>
      </c>
      <c r="B20" s="66">
        <f>IFERROR(IF(B9="","",B9-B19),"")</f>
        <v>169596.336</v>
      </c>
      <c r="C20" s="66">
        <f>IFERROR(IF(C9="","",C9-C19),"")</f>
        <v>195035.78639999998</v>
      </c>
      <c r="D20" s="66">
        <f>IFERROR(IF(D9="","",D9-D19),"")</f>
        <v>214539.36504</v>
      </c>
      <c r="E20" s="67">
        <f>IFERROR(B20/$B$9,"")</f>
        <v>0.5824050000000001</v>
      </c>
      <c r="F20" s="28" t="n"/>
      <c r="G20" s="28" t="n"/>
      <c r="H20" s="28" t="n"/>
    </row>
    <row r="21">
      <c r="A21" s="25" t="inlineStr">
        <is>
          <t>FIXED COSTS</t>
        </is>
      </c>
      <c r="B21" s="28" t="n"/>
      <c r="C21" s="28" t="n"/>
      <c r="D21" s="28" t="n"/>
      <c r="E21" s="28" t="n"/>
      <c r="F21" s="28" t="n"/>
      <c r="G21" s="28" t="n"/>
      <c r="H21" s="28" t="n"/>
    </row>
    <row r="22">
      <c r="A22" s="28" t="inlineStr">
        <is>
          <t>Commissary &amp; truck parking</t>
        </is>
      </c>
      <c r="B22" s="40">
        <f>IFERROR(IF(B9="","",'0. Assumptions'!$B$24*12),"")</f>
        <v>14400.0</v>
      </c>
      <c r="C22" s="40">
        <f>IFERROR(IF(C9="","",B22*(1+'0. Assumptions'!$B$48)),"")</f>
        <v>14400.0</v>
      </c>
      <c r="D22" s="40">
        <f>IFERROR(IF(D9="","",C22*(1+'0. Assumptions'!$B$48)),"")</f>
        <v>14400.0</v>
      </c>
      <c r="E22" s="68">
        <f>IFERROR(B22/$B$9,"")</f>
        <v>0.04945054945054945</v>
      </c>
      <c r="F22" s="28" t="inlineStr">
        <is>
          <t>The monthly amount is typed in "0. Assumptions"; here it is multiplied by twelve. It covers the commissary and the truck's parking base (water, cleaning and waste dumping), not storefront rent. The months before opening are on the Startup Costs tab and are NOT counted twice.</t>
        </is>
      </c>
      <c r="G22" s="68">
        <f>IFERROR(IF(B9="","",'0. Assumptions'!$B$41),"")</f>
        <v>0.0</v>
      </c>
      <c r="H22" s="28" t="n"/>
    </row>
    <row r="23">
      <c r="A23" s="28" t="inlineStr">
        <is>
          <t>Labor (wages + employer payroll taxes)</t>
        </is>
      </c>
      <c r="B23" s="40">
        <f>IFERROR(IF(B9="","",Staffing!$G$9),"")</f>
        <v>76216.8</v>
      </c>
      <c r="C23" s="40">
        <f>IFERROR(IF(C9="","",Staffing!$B$13),"")</f>
        <v>82216.8</v>
      </c>
      <c r="D23" s="40">
        <f>IFERROR(IF(D9="","",Staffing!$B$14),"")</f>
        <v>88216.8</v>
      </c>
      <c r="E23" s="68">
        <f>IFERROR(B23/$B$9,"")</f>
        <v>0.2617335164835165</v>
      </c>
      <c r="F23" s="28" t="inlineStr">
        <is>
          <t>Comes from the Staffing tab: it is the SAME number, not a separate estimate. Years 2 and 3 add the new hires declared on that tab, not a percentage of volume</t>
        </is>
      </c>
      <c r="G23" s="68" t="n">
        <v>0</v>
      </c>
      <c r="H23" s="28" t="n"/>
    </row>
    <row r="24">
      <c r="A24" s="28" t="inlineStr">
        <is>
          <t>Utilities (electricity, water, gas)</t>
        </is>
      </c>
      <c r="B24" s="40">
        <f>IFERROR(IF(B9="","",'0. Assumptions'!$B$26*12),"")</f>
        <v>6000.0</v>
      </c>
      <c r="C24" s="40">
        <f>IFERROR(IF(C9="","",B24*(1+'0. Assumptions'!$B$48)),"")</f>
        <v>6000.0</v>
      </c>
      <c r="D24" s="40">
        <f>IFERROR(IF(D9="","",C24*(1+'0. Assumptions'!$B$48)),"")</f>
        <v>6000.0</v>
      </c>
      <c r="E24" s="68">
        <f>IFERROR(B24/$B$9,"")</f>
        <v>0.020604395604395604</v>
      </c>
      <c r="F24" s="28" t="inlineStr">
        <is>
          <t>Generator fuel, propane, fresh water and waste dumping at the commissary.</t>
        </is>
      </c>
      <c r="G24" s="68">
        <f>IFERROR(IF(B9="","",'0. Assumptions'!$B$41),"")</f>
        <v>0.0</v>
      </c>
      <c r="H24" s="28" t="n"/>
    </row>
    <row r="25">
      <c r="A25" s="28" t="inlineStr">
        <is>
          <t>Insurance (general liability + property / auto)</t>
        </is>
      </c>
      <c r="B25" s="40">
        <f>IFERROR(IF(B9="","",'0. Assumptions'!$B$27),"")</f>
        <v>4000.0</v>
      </c>
      <c r="C25" s="40">
        <f>IFERROR(IF(C9="","",B25*(1+'0. Assumptions'!$B$48)),"")</f>
        <v>4000.0</v>
      </c>
      <c r="D25" s="40">
        <f>IFERROR(IF(D9="","",C25*(1+'0. Assumptions'!$B$48)),"")</f>
        <v>4000.0</v>
      </c>
      <c r="E25" s="68">
        <f>IFERROR(B25/$B$9,"")</f>
        <v>0.013736263736263736</v>
      </c>
      <c r="F25" s="28" t="inlineStr">
        <is>
          <t>Insurance premiums are not subject to sales tax: there is no recoverable tax on them</t>
        </is>
      </c>
      <c r="G25" s="68" t="n">
        <v>0</v>
      </c>
      <c r="H25" s="28" t="n"/>
    </row>
    <row r="26">
      <c r="A26" s="28" t="inlineStr">
        <is>
          <t>Annual permits and licenses</t>
        </is>
      </c>
      <c r="B26" s="49" t="n">
        <v>2000</v>
      </c>
      <c r="C26" s="40">
        <f>IFERROR(IF(C9="","",B26*(1+'0. Assumptions'!$B$48)),"")</f>
        <v>2000.0</v>
      </c>
      <c r="D26" s="40">
        <f>IFERROR(IF(D9="","",C26*(1+'0. Assumptions'!$B$48)),"")</f>
        <v>2000.0</v>
      </c>
      <c r="E26" s="68">
        <f>IFERROR(B26/$B$9,"")</f>
        <v>0.006868131868131868</v>
      </c>
      <c r="F26" s="28" t="n"/>
      <c r="G26" s="68">
        <f>IFERROR(IF(B9="","",'0. Assumptions'!$B$41),"")</f>
        <v>0.0</v>
      </c>
      <c r="H26" s="28" t="n"/>
    </row>
    <row r="27">
      <c r="A27" s="28" t="inlineStr">
        <is>
          <t>Truck maintenance and inspections</t>
        </is>
      </c>
      <c r="B27" s="49" t="n">
        <v>3000</v>
      </c>
      <c r="C27" s="40">
        <f>IFERROR(IF(C9="","",B27*(1+'0. Assumptions'!$B$48)),"")</f>
        <v>3000.0</v>
      </c>
      <c r="D27" s="40">
        <f>IFERROR(IF(D9="","",C27*(1+'0. Assumptions'!$B$48)),"")</f>
        <v>3000.0</v>
      </c>
      <c r="E27" s="68">
        <f>IFERROR(B27/$B$9,"")</f>
        <v>0.010302197802197802</v>
      </c>
      <c r="F27" s="28" t="n"/>
      <c r="G27" s="68">
        <f>IFERROR(IF(B9="","",'0. Assumptions'!$B$41),"")</f>
        <v>0.0</v>
      </c>
      <c r="H27" s="28" t="n"/>
    </row>
    <row r="28">
      <c r="A28" s="28" t="inlineStr">
        <is>
          <t>Marketing and advertising</t>
        </is>
      </c>
      <c r="B28" s="49" t="n">
        <v>6000</v>
      </c>
      <c r="C28" s="40">
        <f>IFERROR(IF(C9="","",B28*(1+'0. Assumptions'!$B$48)),"")</f>
        <v>6000.0</v>
      </c>
      <c r="D28" s="40">
        <f>IFERROR(IF(D9="","",C28*(1+'0. Assumptions'!$B$48)),"")</f>
        <v>6000.0</v>
      </c>
      <c r="E28" s="68">
        <f>IFERROR(B28/$B$9,"")</f>
        <v>0.020604395604395604</v>
      </c>
      <c r="F28" s="28" t="n"/>
      <c r="G28" s="68">
        <f>IFERROR(IF(B9="","",'0. Assumptions'!$B$41),"")</f>
        <v>0.0</v>
      </c>
      <c r="H28" s="28" t="n"/>
    </row>
    <row r="29">
      <c r="A29" s="28" t="inlineStr">
        <is>
          <t>Accounting / bookkeeping</t>
        </is>
      </c>
      <c r="B29" s="49" t="n">
        <v>2400</v>
      </c>
      <c r="C29" s="40">
        <f>IFERROR(IF(C9="","",B29*(1+'0. Assumptions'!$B$48)),"")</f>
        <v>2400.0</v>
      </c>
      <c r="D29" s="40">
        <f>IFERROR(IF(D9="","",C29*(1+'0. Assumptions'!$B$48)),"")</f>
        <v>2400.0</v>
      </c>
      <c r="E29" s="68">
        <f>IFERROR(B29/$B$9,"")</f>
        <v>0.008241758241758242</v>
      </c>
      <c r="F29" s="28" t="n"/>
      <c r="G29" s="68">
        <f>IFERROR(IF(B9="","",'0. Assumptions'!$B$41),"")</f>
        <v>0.0</v>
      </c>
      <c r="H29" s="28" t="n"/>
    </row>
    <row r="30">
      <c r="A30" s="28" t="inlineStr">
        <is>
          <t>Software (POS, website, social)</t>
        </is>
      </c>
      <c r="B30" s="49" t="n">
        <v>1200</v>
      </c>
      <c r="C30" s="40">
        <f>IFERROR(IF(C9="","",B30*(1+'0. Assumptions'!$B$48)),"")</f>
        <v>1200.0</v>
      </c>
      <c r="D30" s="40">
        <f>IFERROR(IF(D9="","",C30*(1+'0. Assumptions'!$B$48)),"")</f>
        <v>1200.0</v>
      </c>
      <c r="E30" s="68">
        <f>IFERROR(B30/$B$9,"")</f>
        <v>0.004120879120879121</v>
      </c>
      <c r="F30" s="28" t="n"/>
      <c r="G30" s="68">
        <f>IFERROR(IF(B9="","",'0. Assumptions'!$B$41),"")</f>
        <v>0.0</v>
      </c>
      <c r="H30" s="28" t="n"/>
    </row>
    <row r="31">
      <c r="A31" s="28" t="inlineStr">
        <is>
          <t>Cleaning supplies</t>
        </is>
      </c>
      <c r="B31" s="49" t="n">
        <v>1200</v>
      </c>
      <c r="C31" s="40">
        <f>IFERROR(IF(C9="","",B31*(1+'0. Assumptions'!$B$48)),"")</f>
        <v>1200.0</v>
      </c>
      <c r="D31" s="40">
        <f>IFERROR(IF(D9="","",C31*(1+'0. Assumptions'!$B$48)),"")</f>
        <v>1200.0</v>
      </c>
      <c r="E31" s="68">
        <f>IFERROR(B31/$B$9,"")</f>
        <v>0.004120879120879121</v>
      </c>
      <c r="F31" s="28" t="n"/>
      <c r="G31" s="68">
        <f>IFERROR(IF(B9="","",'0. Assumptions'!$B$41),"")</f>
        <v>0.0</v>
      </c>
      <c r="H31" s="28" t="n"/>
    </row>
    <row r="32">
      <c r="A32" s="28" t="inlineStr">
        <is>
          <t>Waste and grease disposal (organic waste, cardboard and used cooking oil)</t>
        </is>
      </c>
      <c r="B32" s="49" t="n">
        <v>600</v>
      </c>
      <c r="C32" s="40">
        <f>IFERROR(IF(C9="","",B32*(1+'0. Assumptions'!$B$48)),"")</f>
        <v>600.0</v>
      </c>
      <c r="D32" s="40">
        <f>IFERROR(IF(D9="","",C32*(1+'0. Assumptions'!$B$48)),"")</f>
        <v>600.0</v>
      </c>
      <c r="E32" s="68">
        <f>IFERROR(B32/$B$9,"")</f>
        <v>0.0020604395604395605</v>
      </c>
      <c r="F32" s="28" t="inlineStr">
        <is>
          <t>Licensed hauler. Your checklist already warns that the fryer produces used oil that needs a collection service; this line pays for it. Ask the commissary what it provides and get a quote in your area.</t>
        </is>
      </c>
      <c r="G32" s="68">
        <f>IFERROR(IF(B9="","",'0. Assumptions'!$B$41),"")</f>
        <v>0.0</v>
      </c>
      <c r="H32" s="28" t="n"/>
    </row>
    <row r="33">
      <c r="A33" s="28" t="inlineStr">
        <is>
          <t>Pest control</t>
        </is>
      </c>
      <c r="B33" s="49" t="n">
        <v>400</v>
      </c>
      <c r="C33" s="40">
        <f>IFERROR(IF(C9="","",B33*(1+'0. Assumptions'!$B$48)),"")</f>
        <v>400.0</v>
      </c>
      <c r="D33" s="40">
        <f>IFERROR(IF(D9="","",C33*(1+'0. Assumptions'!$B$48)),"")</f>
        <v>400.0</v>
      </c>
      <c r="E33" s="68">
        <f>IFERROR(B33/$B$9,"")</f>
        <v>0.0013736263736263737</v>
      </c>
      <c r="F33" s="28" t="inlineStr">
        <is>
          <t>A licensed pest control company, usually arranged through the commissary. It is part of the HACCP-based food safety plan your checklist asks for in the staff phase.</t>
        </is>
      </c>
      <c r="G33" s="68">
        <f>IFERROR(IF(B9="","",'0. Assumptions'!$B$41),"")</f>
        <v>0.0</v>
      </c>
      <c r="H33" s="28" t="n"/>
    </row>
    <row r="34">
      <c r="A34" s="28" t="inlineStr">
        <is>
          <t>Training and certifications</t>
        </is>
      </c>
      <c r="B34" s="49" t="n">
        <v>300</v>
      </c>
      <c r="C34" s="40">
        <f>IFERROR(IF(C9="","",B34*(1+'0. Assumptions'!$B$48)),"")</f>
        <v>300.0</v>
      </c>
      <c r="D34" s="40">
        <f>IFERROR(IF(D9="","",C34*(1+'0. Assumptions'!$B$48)),"")</f>
        <v>300.0</v>
      </c>
      <c r="E34" s="68">
        <f>IFERROR(B34/$B$9,"")</f>
        <v>0.0010302197802197802</v>
      </c>
      <c r="F34" s="28" t="inlineStr">
        <is>
          <t>Food handler cards and a Certified Food Protection Manager course for you and your team, plus OSHA basics. The required cards vary by state.</t>
        </is>
      </c>
      <c r="G34" s="68">
        <f>IFERROR(IF(B9="","",'0. Assumptions'!$B$41),"")</f>
        <v>0.0</v>
      </c>
      <c r="H34" s="28" t="n"/>
    </row>
    <row r="35">
      <c r="A35" s="28" t="inlineStr">
        <is>
          <t>Music licensing (ASCAP, BMI, SESAC)</t>
        </is>
      </c>
      <c r="B35" s="49" t="n">
        <v>200</v>
      </c>
      <c r="C35" s="40">
        <f>IFERROR(IF(C9="","",B35*(1+'0. Assumptions'!$B$48)),"")</f>
        <v>200.0</v>
      </c>
      <c r="D35" s="40">
        <f>IFERROR(IF(D9="","",C35*(1+'0. Assumptions'!$B$48)),"")</f>
        <v>200.0</v>
      </c>
      <c r="E35" s="68">
        <f>IFERROR(B35/$B$9,"")</f>
        <v>0.0006868131868131869</v>
      </c>
      <c r="F35" s="28" t="inlineStr">
        <is>
          <t>Only paid if the truck plays its own music at fairs and festivals (ask the organizer whether their license covers vendors). Minimum budget in case you use it.</t>
        </is>
      </c>
      <c r="G35" s="68">
        <f>IFERROR(IF(B9="","",'0. Assumptions'!$B$41),"")</f>
        <v>0.0</v>
      </c>
      <c r="H35" s="28" t="n"/>
    </row>
    <row r="36">
      <c r="A36" s="28" t="inlineStr">
        <is>
          <t>Depreciation of fixed assets</t>
        </is>
      </c>
      <c r="B36" s="40">
        <f>IFERROR(IF(B9="","",'Startup Costs'!$B$33),"")</f>
        <v>14531.42857142857</v>
      </c>
      <c r="C36" s="40">
        <f>IFERROR(IF(C9="","",B36),"")</f>
        <v>14531.42857142857</v>
      </c>
      <c r="D36" s="40">
        <f>IFERROR(IF(D9="","",B36),"")</f>
        <v>14531.42857142857</v>
      </c>
      <c r="E36" s="68">
        <f>IFERROR(B36/$B$9,"")</f>
        <v>0.049901883830455254</v>
      </c>
      <c r="F36" s="28" t="inlineStr">
        <is>
          <t>Comes from the depreciation bases on the Startup Costs tab: real fixed assets only. It does NOT rise with inflation: it is a charge on the HISTORICAL cost of the assets</t>
        </is>
      </c>
      <c r="G36" s="68" t="n">
        <v>0</v>
      </c>
      <c r="H36" s="28" t="n"/>
    </row>
    <row r="37">
      <c r="A37" s="28" t="inlineStr">
        <is>
          <t>Interest expense (loan interest)</t>
        </is>
      </c>
      <c r="B37" s="40">
        <f>IFERROR(IF(B9="","",Financing!$B$44),"")</f>
        <v>11200.0</v>
      </c>
      <c r="C37" s="40">
        <f>IFERROR(IF(C9="","",Financing!$B$46),"")</f>
        <v>10019.45840335333</v>
      </c>
      <c r="D37" s="40">
        <f>IFERROR(IF(D9="","",Financing!$B$48),"")</f>
        <v>8720.862647041991</v>
      </c>
      <c r="E37" s="68">
        <f>IFERROR(B37/$B$9,"")</f>
        <v>0.038461538461538464</v>
      </c>
      <c r="F37" s="28" t="inlineStr">
        <is>
          <t>Only INTEREST is an expense. Principal repaid appears on the cash flow tab</t>
        </is>
      </c>
      <c r="G37" s="68" t="n">
        <v>0</v>
      </c>
      <c r="H37" s="28" t="n"/>
    </row>
    <row r="38">
      <c r="A38" s="16" t="inlineStr">
        <is>
          <t>TOTAL FIXED COSTS</t>
        </is>
      </c>
      <c r="B38" s="52">
        <f>IFERROR(IF(B9="","",SUM(B22:B37)),"")</f>
        <v>143648.22857142857</v>
      </c>
      <c r="C38" s="52">
        <f>IFERROR(IF(C9="","",SUM(C22:C37)),"")</f>
        <v>148467.68697478191</v>
      </c>
      <c r="D38" s="52">
        <f>IFERROR(IF(D9="","",SUM(D22:D37)),"")</f>
        <v>153169.09121847057</v>
      </c>
      <c r="E38" s="69">
        <f>IFERROR(B38/$B$9,"")</f>
        <v>0.4932974882260596</v>
      </c>
    </row>
    <row r="39">
      <c r="A39" s="35" t="inlineStr">
        <is>
          <t>Recoverable input tax on variable costs</t>
        </is>
      </c>
      <c r="B39" s="42">
        <f>IFERROR(IF(B9="","",SUMPRODUCT(B13:B18,G13:G18)),"")</f>
        <v>0.0</v>
      </c>
      <c r="C39" s="42">
        <f>IFERROR(IF(C9="","",SUMPRODUCT(C13:C18,G13:G18)),"")</f>
        <v>0.0</v>
      </c>
      <c r="D39" s="42">
        <f>IFERROR(IF(D9="","",SUMPRODUCT(D13:D18,G13:G18)),"")</f>
        <v>0.0</v>
      </c>
      <c r="F39" s="35" t="inlineStr">
        <is>
          <t>Each line at ITS OWN rate, read from the column next to it. It is what the cash flow tab overpays to suppliers and later deducts (zero wherever no tax is recoverable)</t>
        </is>
      </c>
    </row>
    <row r="40">
      <c r="A40" s="35"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25948.107428571442</v>
      </c>
      <c r="C41" s="52">
        <f>IFERROR(IF(C9="","",C20-C38),"")</f>
        <v>46568.09942521807</v>
      </c>
      <c r="D41" s="52">
        <f>IFERROR(IF(D9="","",D20-D38),"")</f>
        <v>61370.27382152944</v>
      </c>
      <c r="E41" s="69">
        <f>IFERROR(B41/$B$9,"")</f>
        <v>0.0891075117739404</v>
      </c>
    </row>
    <row r="42">
      <c r="A42" s="35" t="inlineStr">
        <is>
          <t>Net operating losses carried forward (opening)</t>
        </is>
      </c>
      <c r="B42" s="42">
        <f>IFERROR(IF(B9="","",'0. Assumptions'!$B$42),"")</f>
        <v>0.0</v>
      </c>
      <c r="C42" s="42">
        <f>IFERROR(IF(C9="","",B47),"")</f>
        <v>0.0</v>
      </c>
      <c r="D42" s="42">
        <f>IFERROR(IF(D9="","",C47),"")</f>
        <v>0.0</v>
      </c>
      <c r="F42" s="35" t="inlineStr">
        <is>
          <t>Federal rules let a year's losses offset the profits of later years (the federal limit is 80% of taxable income; this model offsets 100% as a simplification)</t>
        </is>
      </c>
    </row>
    <row r="43">
      <c r="A43" s="35" t="inlineStr">
        <is>
          <t>Taxable income (after loss offset)</t>
        </is>
      </c>
      <c r="B43" s="42">
        <f>IFERROR(IF(B9="","",MAX(0,B41-B42)),"")</f>
        <v>25948.107428571442</v>
      </c>
      <c r="C43" s="42">
        <f>IFERROR(IF(C9="","",MAX(0,C41-C42)),"")</f>
        <v>46568.09942521807</v>
      </c>
      <c r="D43" s="42">
        <f>IFERROR(IF(D9="","",MAX(0,D41-D42)),"")</f>
        <v>61370.27382152944</v>
      </c>
    </row>
    <row r="44">
      <c r="A44" s="35" t="inlineStr">
        <is>
          <t>Years with positive taxable income (cumulative)</t>
        </is>
      </c>
      <c r="B44" s="42">
        <f>IFERROR(IF(B9="","",IF(B43&gt;0,1,0)),"")</f>
        <v>1.0</v>
      </c>
      <c r="C44" s="42">
        <f>IFERROR(IF(C9="","",B44+IF(C43&gt;0,1,0)),"")</f>
        <v>2.0</v>
      </c>
      <c r="D44" s="42">
        <f>IFERROR(IF(D9="","",C44+IF(D43&gt;0,1,0)),"")</f>
        <v>3.0</v>
      </c>
    </row>
    <row r="45">
      <c r="A45" s="35" t="inlineStr">
        <is>
          <t>Effective income tax rate applied</t>
        </is>
      </c>
      <c r="B45" s="65">
        <f>IFERROR(IF(B9="","",IF(B43&lt;=0,"",IF(B44&lt;=2,'0. Assumptions'!$B$37,'0. Assumptions'!$B$38))),"")</f>
        <v>0.25</v>
      </c>
      <c r="C45" s="65">
        <f>IFERROR(IF(C9="","",IF(C43&lt;=0,"",IF(C44&lt;=2,'0. Assumptions'!$B$37,'0. Assumptions'!$B$38))),"")</f>
        <v>0.25</v>
      </c>
      <c r="D45" s="65">
        <f>IFERROR(IF(D9="","",IF(D43&lt;=0,"",IF(D44&lt;=2,'0. Assumptions'!$B$37,'0. Assumptions'!$B$38))),"")</f>
        <v>0.25</v>
      </c>
      <c r="F45" s="35" t="inlineStr">
        <is>
          <t>The "years 1-2" rate applies to the first two years with positive taxable income, not to the first two calendar years of the business. The model approximates this by counting the first two profitable years</t>
        </is>
      </c>
    </row>
    <row r="46">
      <c r="A46" s="35" t="inlineStr">
        <is>
          <t>Income tax</t>
        </is>
      </c>
      <c r="B46" s="42">
        <f>IFERROR(IF(B9="","",IF(B45="",0,B43*B45)),"")</f>
        <v>6487.0268571428605</v>
      </c>
      <c r="C46" s="42">
        <f>IFERROR(IF(C9="","",IF(C45="",0,C43*C45)),"")</f>
        <v>11642.024856304517</v>
      </c>
      <c r="D46" s="42">
        <f>IFERROR(IF(D9="","",IF(D45="",0,D43*D45)),"")</f>
        <v>15342.56845538236</v>
      </c>
    </row>
    <row r="47">
      <c r="A47" s="35"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19461.08057142858</v>
      </c>
      <c r="C48" s="52">
        <f>IFERROR(IF(C9="","",C41-C46),"")</f>
        <v>34926.07456891355</v>
      </c>
      <c r="D48" s="52">
        <f>IFERROR(IF(D9="","",D41-D46),"")</f>
        <v>46027.70536614708</v>
      </c>
      <c r="E48" s="69">
        <f>IFERROR(B48/$B$9,"")</f>
        <v>0.06683063383045529</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5" t="inlineStr">
        <is>
          <t>Gross margin / Sales</t>
        </is>
      </c>
      <c r="B51" s="65">
        <f>IFERROR(IF(B9="","",B20/B9),"")</f>
        <v>0.5824050000000001</v>
      </c>
      <c r="C51" s="65">
        <f>IFERROR(IF(C9="","",C20/C9),"")</f>
        <v>0.582405</v>
      </c>
      <c r="D51" s="65">
        <f>IFERROR(IF(D9="","",D20/D9),"")</f>
        <v>0.5824050000000001</v>
      </c>
      <c r="E51" s="70" t="n">
        <v>0.58</v>
      </c>
      <c r="F51" s="35" t="inlineStr">
        <is>
          <t>Floor set by this workbook: kit benchmark (editable estimate). Lower than a restaurant's because of packaging and fuel.</t>
        </is>
      </c>
    </row>
    <row r="52">
      <c r="A52" s="35" t="inlineStr">
        <is>
          <t>Cost of goods sold (food + beverage)</t>
        </is>
      </c>
      <c r="B52" s="42">
        <f>IFERROR(IF(B9="","",B13+B14),"")</f>
        <v>85203.66399999999</v>
      </c>
      <c r="C52" s="42">
        <f>IFERROR(IF(C9="","",C13+C14),"")</f>
        <v>97984.2136</v>
      </c>
      <c r="D52" s="42">
        <f>IFERROR(IF(D9="","",D13+D14),"")</f>
        <v>107782.63496</v>
      </c>
    </row>
    <row r="53">
      <c r="A53" s="35" t="inlineStr">
        <is>
          <t>Cost of goods sold / Sales</t>
        </is>
      </c>
      <c r="B53" s="65">
        <f>IFERROR(IF(B9="","",B52/B9),"")</f>
        <v>0.29259499999999994</v>
      </c>
      <c r="C53" s="65">
        <f>IFERROR(IF(C9="","",C52/C9),"")</f>
        <v>0.292595</v>
      </c>
      <c r="D53" s="65">
        <f>IFERROR(IF(D9="","",D52/D9),"")</f>
        <v>0.292595</v>
      </c>
      <c r="E53" s="70" t="n">
        <v>0.35</v>
      </c>
      <c r="F53" s="35" t="inlineStr">
        <is>
          <t>Ceiling for the blended cost of goods sold: kit benchmark (editable estimate), based on the 28-35% range for food trucks. This ratio measures only goods: disposables and packaging have their own line in the P&amp;L and are not included here.</t>
        </is>
      </c>
    </row>
    <row r="54">
      <c r="A54" s="35" t="inlineStr">
        <is>
          <t>Labor cost / Sales</t>
        </is>
      </c>
      <c r="B54" s="65">
        <f>IFERROR(IF(B9="","",B23/B9),"")</f>
        <v>0.2617335164835165</v>
      </c>
      <c r="C54" s="65">
        <f>IFERROR(IF(C9="","",C23/C9),"")</f>
        <v>0.24551122790253227</v>
      </c>
      <c r="D54" s="65">
        <f>IFERROR(IF(D9="","",D23/D9),"")</f>
        <v>0.23948008513225905</v>
      </c>
      <c r="E54" s="70" t="n">
        <v>0.3</v>
      </c>
      <c r="F54" s="35" t="inlineStr">
        <is>
          <t>Ceiling: kit benchmark (editable estimate), based on the 20-30% labor range for food trucks in the benchmarks table (fewer people than a restaurant: 2-3 on board).</t>
        </is>
      </c>
    </row>
    <row r="55">
      <c r="A55" s="35" t="inlineStr">
        <is>
          <t>Commissary &amp; parking / Sales</t>
        </is>
      </c>
      <c r="B55" s="65">
        <f>IFERROR(IF(B9="","",B22/B9),"")</f>
        <v>0.04945054945054945</v>
      </c>
      <c r="C55" s="65">
        <f>IFERROR(IF(C9="","",C22/C9),"")</f>
        <v>0.04300047778308648</v>
      </c>
      <c r="D55" s="65">
        <f>IFERROR(IF(D9="","",D22/D9),"")</f>
        <v>0.03909134343916953</v>
      </c>
      <c r="E55" s="70" t="n">
        <v>0.06</v>
      </c>
      <c r="F55" s="35" t="inlineStr">
        <is>
          <t>There is no storefront rent in this workbook: 6% is a prudent ceiling for the commissary and parking, a kit benchmark (editable estimate). A business with a fixed location carries a much higher occupancy cost.</t>
        </is>
      </c>
    </row>
    <row r="56">
      <c r="A56" s="35" t="inlineStr">
        <is>
          <t>Net income / Sales</t>
        </is>
      </c>
      <c r="B56" s="65">
        <f>IFERROR(IF(B9="","",B48/B9),"")</f>
        <v>0.06683063383045529</v>
      </c>
      <c r="C56" s="65">
        <f>IFERROR(IF(C9="","",C48/C9),"")</f>
        <v>0.10429429816326312</v>
      </c>
      <c r="D56" s="65">
        <f>IFERROR(IF(D9="","",D48/D9),"")</f>
        <v>0.12495033598506677</v>
      </c>
      <c r="E56" s="70" t="n">
        <v>0.06</v>
      </c>
      <c r="F56" s="35" t="inlineStr">
        <is>
          <t>Floor of 6%: the low end of the 6-9% net margin range for food trucks (kit benchmark, editable estimate). Owner-operators who work the truck themselves report 7-15%.</t>
        </is>
      </c>
    </row>
    <row r="57">
      <c r="A57" s="35" t="inlineStr">
        <is>
          <t>Break-even reached</t>
        </is>
      </c>
      <c r="B57" t="str">
        <f>IFERROR(IF(B9="","",IF(B9&gt;='Break-Even'!$B$16,"Yes","No")),"")</f>
        <v>Yes</v>
      </c>
      <c r="C57" t="str">
        <f>IFERROR(IF(C9="","",IF(C9&gt;='Break-Even'!$C$16,"Yes","No")),"")</f>
        <v>Yes</v>
      </c>
      <c r="D57" t="str">
        <f>IFERROR(IF(D9="","",IF(D9&gt;='Break-Even'!$D$16,"Yes","No")),"")</f>
        <v>Yes</v>
      </c>
      <c r="F57" s="35"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Break-even — Food Truck</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1">
        <f>IFERROR(IF('3-Year P&amp;L'!$B$9="","",'3-Year P&amp;L'!$B$38),"")</f>
        <v>143648.22857142857</v>
      </c>
      <c r="C6" s="61">
        <f>IFERROR(IF('3-Year P&amp;L'!$C$9="","",'3-Year P&amp;L'!$C$38),"")</f>
        <v>148467.68697478191</v>
      </c>
      <c r="D6" s="61">
        <f>IFERROR(IF('3-Year P&amp;L'!$D$9="","",'3-Year P&amp;L'!$D$38),"")</f>
        <v>153169.09121847057</v>
      </c>
      <c r="E6" s="28" t="inlineStr">
        <is>
          <t>The SAME fixed costs as the P&amp;L. Each year has its own, which is why the threshold cannot be a single one for all three years</t>
        </is>
      </c>
      <c r="F6" s="28" t="n"/>
    </row>
    <row r="7">
      <c r="A7" s="28" t="inlineStr">
        <is>
          <t>Monthly fixed costs</t>
        </is>
      </c>
      <c r="B7" s="61">
        <f>IFERROR(IF('3-Year P&amp;L'!$B$9="","",B6/12),"")</f>
        <v>11970.685714285713</v>
      </c>
      <c r="C7" s="61">
        <f>IFERROR(IF('3-Year P&amp;L'!$C$9="","",C6/12),"")</f>
        <v>12372.307247898492</v>
      </c>
      <c r="D7" s="61">
        <f>IFERROR(IF('3-Year P&amp;L'!$D$9="","",D6/12),"")</f>
        <v>12764.090934872547</v>
      </c>
      <c r="E7" s="28" t="n"/>
      <c r="F7" s="28" t="n"/>
    </row>
    <row r="8">
      <c r="A8" s="28" t="inlineStr">
        <is>
          <t>Average check (excl. sales tax)</t>
        </is>
      </c>
      <c r="B8" s="61">
        <f>IFERROR(IF('3-Year P&amp;L'!$B$9="","",'3-Year P&amp;L'!$B$7),"")</f>
        <v>14.0</v>
      </c>
      <c r="C8" s="61">
        <f>IFERROR(IF('3-Year P&amp;L'!$C$9="","",'3-Year P&amp;L'!$C$7),"")</f>
        <v>14.0</v>
      </c>
      <c r="D8" s="61">
        <f>IFERROR(IF('3-Year P&amp;L'!$D$9="","",'3-Year P&amp;L'!$D$7),"")</f>
        <v>14.0</v>
      </c>
      <c r="E8" s="28" t="n"/>
      <c r="F8" s="28" t="n"/>
    </row>
    <row r="9">
      <c r="A9" s="28" t="inlineStr">
        <is>
          <t>Variable cost per customer</t>
        </is>
      </c>
      <c r="B9" s="61">
        <f>IFERROR(IF('3-Year P&amp;L'!$B$9="","",'3-Year P&amp;L'!$B$19/('3-Year P&amp;L'!$B$6*'3-Year P&amp;L'!$B$8)),"")</f>
        <v>5.84633</v>
      </c>
      <c r="C9" s="61">
        <f>IFERROR(IF('3-Year P&amp;L'!$C$9="","",'3-Year P&amp;L'!$C$19/('3-Year P&amp;L'!$C$6*'3-Year P&amp;L'!$C$8)),"")</f>
        <v>5.846330000000001</v>
      </c>
      <c r="D9" s="61">
        <f>IFERROR(IF('3-Year P&amp;L'!$D$9="","",'3-Year P&amp;L'!$D$19/('3-Year P&amp;L'!$D$6*'3-Year P&amp;L'!$D$8)),"")</f>
        <v>5.84633</v>
      </c>
      <c r="E9" s="28" t="inlineStr">
        <is>
          <t>Comes from the P&amp;L total variable costs, not from a separate estimate. It includes miscellaneous and contingency, which is a percentage of sales</t>
        </is>
      </c>
      <c r="F9" s="28" t="n"/>
    </row>
    <row r="10">
      <c r="A10" s="28" t="inlineStr">
        <is>
          <t>Contribution margin per customer</t>
        </is>
      </c>
      <c r="B10" s="61">
        <f>IFERROR(IF('3-Year P&amp;L'!$B$9="","",B8-B9),"")</f>
        <v>8.15367</v>
      </c>
      <c r="C10" s="61">
        <f>IFERROR(IF('3-Year P&amp;L'!$C$9="","",C8-C9),"")</f>
        <v>8.153669999999998</v>
      </c>
      <c r="D10" s="61">
        <f>IFERROR(IF('3-Year P&amp;L'!$D$9="","",D8-D9),"")</f>
        <v>8.15367</v>
      </c>
      <c r="E10" s="28" t="inlineStr">
        <is>
          <t>Average check minus unit variable cost</t>
        </is>
      </c>
      <c r="F10" s="28" t="n"/>
    </row>
    <row r="11">
      <c r="A11" s="28" t="inlineStr">
        <is>
          <t>Operating days per year</t>
        </is>
      </c>
      <c r="B11" s="40">
        <f>IFERROR(IF('3-Year P&amp;L'!$B$9="","",'3-Year P&amp;L'!$B$8),"")</f>
        <v>260.0</v>
      </c>
      <c r="C11" s="40">
        <f>IFERROR(IF('3-Year P&amp;L'!$C$9="","",'3-Year P&amp;L'!$C$8),"")</f>
        <v>260.0</v>
      </c>
      <c r="D11" s="40">
        <f>IFERROR(IF('3-Year P&amp;L'!$D$9="","",'3-Year P&amp;L'!$D$8),"")</f>
        <v>260.0</v>
      </c>
      <c r="E11" s="28" t="inlineStr">
        <is>
          <t>The same calendar as the P&amp;L and the scenarios</t>
        </is>
      </c>
      <c r="F11" s="28" t="n"/>
    </row>
    <row r="12">
      <c r="A12" s="28" t="inlineStr">
        <is>
          <t>Principal repaid in the year</t>
        </is>
      </c>
      <c r="B12" s="61">
        <f>IFERROR(IF('3-Year P&amp;L'!$B$9="","",Financing!$B$45),"")</f>
        <v>11805.415966466702</v>
      </c>
      <c r="C12" s="61">
        <f>IFERROR(IF('3-Year P&amp;L'!$C$9="","",Financing!$B$47),"")</f>
        <v>12985.957563113372</v>
      </c>
      <c r="D12" s="61">
        <f>IFERROR(IF('3-Year P&amp;L'!$D$9="","",Financing!$B$49),"")</f>
        <v>14284.553319424711</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Customers needed per year</t>
        </is>
      </c>
      <c r="B14" s="40">
        <f>IFERROR(IF('3-Year P&amp;L'!$B$9="","",IF(B10&lt;=0,"",B6/B10)),"")</f>
        <v>17617.616186506024</v>
      </c>
      <c r="C14" s="40">
        <f>IFERROR(IF('3-Year P&amp;L'!$C$9="","",IF(C10&lt;=0,"",C6/C10)),"")</f>
        <v>18208.694609271894</v>
      </c>
      <c r="D14" s="40">
        <f>IFERROR(IF('3-Year P&amp;L'!$D$9="","",IF(D10&lt;=0,"",D6/D10)),"")</f>
        <v>18785.294378907973</v>
      </c>
      <c r="E14" s="28" t="n"/>
      <c r="F14" s="28" t="n"/>
    </row>
    <row r="15">
      <c r="A15" s="28" t="inlineStr">
        <is>
          <t>Customers needed per day</t>
        </is>
      </c>
      <c r="B15" s="44">
        <f>IFERROR(IF('3-Year P&amp;L'!$B$9="","",B14/B11),"")</f>
        <v>67.7600622557924</v>
      </c>
      <c r="C15" s="44">
        <f>IFERROR(IF('3-Year P&amp;L'!$C$9="","",C14/C11),"")</f>
        <v>70.0334408048919</v>
      </c>
      <c r="D15" s="44">
        <f>IFERROR(IF('3-Year P&amp;L'!$D$9="","",D14/D11),"")</f>
        <v>72.25113222656913</v>
      </c>
      <c r="E15" s="28" t="n"/>
      <c r="F15" s="28" t="n"/>
    </row>
    <row r="16">
      <c r="A16" s="25" t="inlineStr">
        <is>
          <t>Revenue needed per year</t>
        </is>
      </c>
      <c r="B16" s="66">
        <f>IFERROR(IF('3-Year P&amp;L'!$B$9="","",B14*B8),"")</f>
        <v>246646.62661108433</v>
      </c>
      <c r="C16" s="66">
        <f>IFERROR(IF('3-Year P&amp;L'!$C$9="","",C14*C8),"")</f>
        <v>254921.72452980652</v>
      </c>
      <c r="D16" s="66">
        <f>IFERROR(IF('3-Year P&amp;L'!$D$9="","",D14*D8),"")</f>
        <v>262994.1213047116</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1">
        <f>IFERROR(IF('3-Year P&amp;L'!$B$9="","",B6-'3-Year P&amp;L'!$B$36+B12),"")</f>
        <v>140922.2159664667</v>
      </c>
      <c r="C18" s="61">
        <f>IFERROR(IF('3-Year P&amp;L'!$C$9="","",C6-'3-Year P&amp;L'!$C$36+C12),"")</f>
        <v>146922.2159664667</v>
      </c>
      <c r="D18" s="61">
        <f>IFERROR(IF('3-Year P&amp;L'!$D$9="","",D6-'3-Year P&amp;L'!$D$36+D12),"")</f>
        <v>152922.2159664667</v>
      </c>
      <c r="E18" s="28" t="inlineStr">
        <is>
          <t>The P&amp;L fixed costs without depreciation (which is not paid in cash) and WITH principal repaid (which is). This is the threshold that decides whether cash holds up</t>
        </is>
      </c>
      <c r="F18" s="28" t="n"/>
    </row>
    <row r="19">
      <c r="A19" s="28" t="inlineStr">
        <is>
          <t>Customers needed per year (cash)</t>
        </is>
      </c>
      <c r="B19" s="40">
        <f>IFERROR(IF('3-Year P&amp;L'!$B$9="","",IF(B10&lt;=0,"",B18/B10)),"")</f>
        <v>17283.286663118168</v>
      </c>
      <c r="C19" s="40">
        <f>IFERROR(IF('3-Year P&amp;L'!$C$9="","",IF(C10&lt;=0,"",C18/C10)),"")</f>
        <v>18019.1516171818</v>
      </c>
      <c r="D19" s="40">
        <f>IFERROR(IF('3-Year P&amp;L'!$D$9="","",IF(D10&lt;=0,"",D18/D10)),"")</f>
        <v>18755.016571245425</v>
      </c>
      <c r="E19" s="28" t="n"/>
      <c r="F19" s="28" t="n"/>
    </row>
    <row r="20">
      <c r="A20" s="25" t="inlineStr">
        <is>
          <t>Customers needed per day (cash)</t>
        </is>
      </c>
      <c r="B20" s="45">
        <f>IFERROR(IF('3-Year P&amp;L'!$B$9="","",B19/B11),"")</f>
        <v>66.47417947353142</v>
      </c>
      <c r="C20" s="45">
        <f>IFERROR(IF('3-Year P&amp;L'!$C$9="","",C19/C11),"")</f>
        <v>69.30442929685307</v>
      </c>
      <c r="D20" s="45">
        <f>IFERROR(IF('3-Year P&amp;L'!$D$9="","",D19/D11),"")</f>
        <v>72.13467912017471</v>
      </c>
      <c r="E20" s="28" t="n"/>
      <c r="F20" s="28" t="n"/>
    </row>
    <row r="21">
      <c r="A21" s="28" t="inlineStr">
        <is>
          <t>Revenue needed per year (cash)</t>
        </is>
      </c>
      <c r="B21" s="40">
        <f>IFERROR(IF('3-Year P&amp;L'!$B$9="","",B19*B8),"")</f>
        <v>241966.01328365435</v>
      </c>
      <c r="C21" s="40">
        <f>IFERROR(IF('3-Year P&amp;L'!$C$9="","",C19*C8),"")</f>
        <v>252268.1226405452</v>
      </c>
      <c r="D21" s="40">
        <f>IFERROR(IF('3-Year P&amp;L'!$D$9="","",D19*D8),"")</f>
        <v>262570.23199743597</v>
      </c>
      <c r="E21" s="28" t="n"/>
      <c r="F21" s="28" t="n"/>
    </row>
    <row r="22">
      <c r="A22" s="25" t="inlineStr">
        <is>
          <t>COMPARISON WITH THE PLAN</t>
        </is>
      </c>
      <c r="B22" s="28" t="n"/>
      <c r="C22" s="28" t="n"/>
      <c r="D22" s="28" t="n"/>
      <c r="E22" s="28" t="n"/>
      <c r="F22" s="28" t="n"/>
    </row>
    <row r="23">
      <c r="A23" s="28" t="inlineStr">
        <is>
          <t>Customers per day forecast in the plan</t>
        </is>
      </c>
      <c r="B23" s="40">
        <f>IFERROR(IF('3-Year P&amp;L'!$B$9="","",'3-Year P&amp;L'!$B$6),"")</f>
        <v>80.0</v>
      </c>
      <c r="C23" s="40">
        <f>IFERROR(IF('3-Year P&amp;L'!$C$9="","",'3-Year P&amp;L'!$C$6),"")</f>
        <v>92.0</v>
      </c>
      <c r="D23" s="40">
        <f>IFERROR(IF('3-Year P&amp;L'!$D$9="","",'3-Year P&amp;L'!$D$6),"")</f>
        <v>101.2</v>
      </c>
      <c r="E23" s="28" t="n"/>
      <c r="F23" s="28" t="n"/>
    </row>
    <row r="24">
      <c r="A24" s="28" t="inlineStr">
        <is>
          <t>Cushion above CASH break-even (%)</t>
        </is>
      </c>
      <c r="B24" s="68">
        <f>IFERROR(IF('3-Year P&amp;L'!$B$9="","",B23/B20-1),"")</f>
        <v>0.20347480230055748</v>
      </c>
      <c r="C24" s="68">
        <f>IFERROR(IF('3-Year P&amp;L'!$C$9="","",C23/C20-1),"")</f>
        <v>0.32747648214422953</v>
      </c>
      <c r="D24" s="68">
        <f>IFERROR(IF('3-Year P&amp;L'!$D$9="","",D23/D20-1),"")</f>
        <v>0.40293131173985186</v>
      </c>
      <c r="E24" s="28" t="inlineStr">
        <is>
          <t>How far planned sales sit above cash break-even. The drop you can absorb before you cannot pay the fixed costs and the loan payment is somewhat smaller: with a 25% cushion, 20%. The required minimum is set in the "0. Assumptions" tab</t>
        </is>
      </c>
      <c r="F24" s="28" t="n"/>
    </row>
    <row r="25">
      <c r="A25" s="25" t="inlineStr">
        <is>
          <t>INTERPRETATION</t>
        </is>
      </c>
      <c r="B25" s="28" t="n"/>
      <c r="C25" s="28" t="n"/>
      <c r="D25" s="28" t="n"/>
      <c r="E25" s="28" t="n"/>
      <c r="F25" s="28" t="n"/>
    </row>
    <row r="26" ht="46" customHeight="1">
      <c r="A26" s="28" t="str">
        <f>IFERROR("With the average check excl. sales tax above, you need "&amp;TEXT(ROUNDUP(B15,0),"0")&amp;" customers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68 customers a day over your 260 opening days to avoid losing money (accounting break-even, depreciation included), and 67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Customers per day needed to cover costs for each average check (columns) and each variable cost per customer (rows). Green cells are below the customers per day the plan forecasts.</t>
        </is>
      </c>
      <c r="B29" s="28" t="n"/>
      <c r="C29" s="28" t="n"/>
      <c r="D29" s="28" t="n"/>
      <c r="E29" s="28" t="n"/>
      <c r="F29" s="28" t="n"/>
    </row>
    <row r="30">
      <c r="A30" s="28" t="n"/>
      <c r="B30" s="28" t="n"/>
      <c r="C30" s="28" t="n"/>
      <c r="D30" s="28" t="n"/>
      <c r="E30" s="28" t="n"/>
      <c r="F30" s="28" t="n"/>
    </row>
    <row r="31" ht="45" customHeight="1">
      <c r="A31" s="39" t="inlineStr">
        <is>
          <t>Customers per day needed: average check excl. sales tax (columns) × variable cost per customer (rows)</t>
        </is>
      </c>
      <c r="B31" s="62">
        <f>IFERROR($B$8-2,"")</f>
        <v>12.0</v>
      </c>
      <c r="C31" s="62">
        <f>IFERROR(IF($B$8="","",$B$8),"")</f>
        <v>14.0</v>
      </c>
      <c r="D31" s="62">
        <f>IFERROR($B$8+2,"")</f>
        <v>16.0</v>
      </c>
      <c r="E31" s="62">
        <f>IFERROR($B$8+4,"")</f>
        <v>18.0</v>
      </c>
      <c r="F31" s="28" t="n"/>
    </row>
    <row r="32">
      <c r="A32" s="61">
        <f>IFERROR($B$9*0.85,"")</f>
        <v>4.9693805</v>
      </c>
      <c r="B32" s="44">
        <f>IFERROR(IF($B$31-$A32&lt;=0,"",$B$6/($B$31-$A32)/$B$11),"")</f>
        <v>78.58385549284623</v>
      </c>
      <c r="C32" s="44">
        <f>IFERROR(IF($C$31-$A32&lt;=0,"",$B$6/($C$31-$A32)/$B$11),"")</f>
        <v>61.17998735448734</v>
      </c>
      <c r="D32" s="44">
        <f>IFERROR(IF($D$31-$A32&lt;=0,"",$B$6/($D$31-$A32)/$B$11),"")</f>
        <v>50.08723098581968</v>
      </c>
      <c r="E32" s="44">
        <f>IFERROR(IF($E$31-$A32&lt;=0,"",$B$6/($E$31-$A32)/$B$11),"")</f>
        <v>42.39961015001526</v>
      </c>
      <c r="F32" s="28" t="n"/>
    </row>
    <row r="33">
      <c r="A33" s="61">
        <f>IFERROR($B$9*0.925,"")</f>
        <v>5.40785525</v>
      </c>
      <c r="B33" s="44">
        <f>IFERROR(IF($B$31-$A33&lt;=0,"",$B$6/($B$31-$A33)/$B$11),"")</f>
        <v>83.81083968357746</v>
      </c>
      <c r="C33" s="44">
        <f>IFERROR(IF($C$31-$A33&lt;=0,"",$B$6/($C$31-$A33)/$B$11),"")</f>
        <v>64.30212745347275</v>
      </c>
      <c r="D33" s="44">
        <f>IFERROR(IF($D$31-$A33&lt;=0,"",$B$6/($D$31-$A33)/$B$11),"")</f>
        <v>52.16065299836342</v>
      </c>
      <c r="E33" s="44">
        <f>IFERROR(IF($E$31-$A33&lt;=0,"",$B$6/($E$31-$A33)/$B$11),"")</f>
        <v>43.87601935827388</v>
      </c>
      <c r="F33" s="28" t="n"/>
    </row>
    <row r="34">
      <c r="A34" s="64">
        <f>IFERROR($B$9*1.0,"")</f>
        <v>5.84633</v>
      </c>
      <c r="B34" s="48">
        <f>IFERROR(IF($B$31-$A34&lt;=0,"",$B$6/($B$31-$A34)/$B$11),"")</f>
        <v>89.78271288729925</v>
      </c>
      <c r="C34" s="48">
        <f>IFERROR(IF($C$31-$A34&lt;=0,"",$B$6/($C$31-$A34)/$B$11),"")</f>
        <v>67.7600622557924</v>
      </c>
      <c r="D34" s="48">
        <f>IFERROR(IF($D$31-$A34&lt;=0,"",$B$6/($D$31-$A34)/$B$11),"")</f>
        <v>54.41315177794697</v>
      </c>
      <c r="E34" s="48">
        <f>IFERROR(IF($E$31-$A34&lt;=0,"",$B$6/($E$31-$A34)/$B$11),"")</f>
        <v>45.45895904802309</v>
      </c>
    </row>
    <row r="35">
      <c r="A35" s="64">
        <f>IFERROR($B$9*1.075,"")</f>
        <v>6.28480475</v>
      </c>
      <c r="B35" s="48">
        <f>IFERROR(IF($B$31-$A35&lt;=0,"",$B$6/($B$31-$A35)/$B$11),"")</f>
        <v>96.6709207026981</v>
      </c>
      <c r="C35" s="48">
        <f>IFERROR(IF($C$31-$A35&lt;=0,"",$B$6/($C$31-$A35)/$B$11),"")</f>
        <v>71.61104403847547</v>
      </c>
      <c r="D35" s="48">
        <f>IFERROR(IF($D$31-$A35&lt;=0,"",$B$6/($D$31-$A35)/$B$11),"")</f>
        <v>56.86897407575898</v>
      </c>
      <c r="E35" s="48">
        <f>IFERROR(IF($E$31-$A35&lt;=0,"",$B$6/($E$31-$A35)/$B$11),"")</f>
        <v>47.16039084480361</v>
      </c>
    </row>
    <row r="36">
      <c r="A36" s="64">
        <f>IFERROR($B$9*1.15,"")</f>
        <v>6.723279499999999</v>
      </c>
      <c r="B36" s="48">
        <f>IFERROR(IF($B$31-$A36&lt;=0,"",$B$6/($B$31-$A36)/$B$11),"")</f>
        <v>104.70389455215351</v>
      </c>
      <c r="C36" s="48">
        <f>IFERROR(IF($C$31-$A36&lt;=0,"",$B$6/($C$31-$A36)/$B$11),"")</f>
        <v>75.92612452452815</v>
      </c>
      <c r="D36" s="48">
        <f>IFERROR(IF($D$31-$A36&lt;=0,"",$B$6/($D$31-$A36)/$B$11),"")</f>
        <v>59.55695084412501</v>
      </c>
      <c r="E36" s="48">
        <f>IFERROR(IF($E$31-$A36&lt;=0,"",$B$6/($E$31-$A36)/$B$11),"")</f>
        <v>48.994136798299365</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4">
      <c r="A4" s="25" t="inlineStr">
        <is>
          <t>Metric</t>
        </is>
      </c>
      <c r="B4" s="25" t="inlineStr">
        <is>
          <t>Pessimistic</t>
        </is>
      </c>
      <c r="C4" s="25" t="inlineStr">
        <is>
          <t>Base</t>
        </is>
      </c>
      <c r="D4" s="25" t="inlineStr">
        <is>
          <t>Optimistic</t>
        </is>
      </c>
      <c r="E4" s="25" t="inlineStr">
        <is>
          <t>Notes</t>
        </is>
      </c>
      <c r="F4" s="28" t="n"/>
    </row>
    <row r="5">
      <c r="A5" s="28" t="inlineStr">
        <is>
          <t>Customers per day</t>
        </is>
      </c>
      <c r="B5" s="49" t="n">
        <v>53</v>
      </c>
      <c r="C5" s="40">
        <f>IFERROR(IF('3-Year P&amp;L'!$B$6="","",'3-Year P&amp;L'!$B$6),"")</f>
        <v>80.0</v>
      </c>
      <c r="D5" s="49" t="n">
        <v>116</v>
      </c>
      <c r="E5" s="28" t="n"/>
      <c r="F5" s="28" t="n"/>
    </row>
    <row r="6">
      <c r="A6" s="28" t="inlineStr">
        <is>
          <t>Average check (excl. sales tax)</t>
        </is>
      </c>
      <c r="B6" s="71" t="n">
        <v>11.67</v>
      </c>
      <c r="C6" s="61">
        <f>IFERROR(IF('3-Year P&amp;L'!$B$7="","",'3-Year P&amp;L'!$B$7),"")</f>
        <v>14.0</v>
      </c>
      <c r="D6" s="71" t="n">
        <v>16.33</v>
      </c>
      <c r="E6" s="28" t="n"/>
      <c r="F6" s="28" t="n"/>
    </row>
    <row r="7">
      <c r="A7" s="28" t="inlineStr">
        <is>
          <t>Operating days per year</t>
        </is>
      </c>
      <c r="B7" s="49" t="n">
        <v>260</v>
      </c>
      <c r="C7" s="40">
        <f>IFERROR(IF('3-Year P&amp;L'!$B$8="","",'3-Year P&amp;L'!$B$8),"")</f>
        <v>260.0</v>
      </c>
      <c r="D7" s="49" t="n">
        <v>260</v>
      </c>
      <c r="E7" s="28" t="n"/>
      <c r="F7" s="28" t="n"/>
    </row>
    <row r="8">
      <c r="A8" s="25" t="inlineStr">
        <is>
          <t>ANNUAL REVENUE (excl. sales tax)</t>
        </is>
      </c>
      <c r="B8" s="66">
        <f>IFERROR(IF(B5*B6*B7=0,"",B5*B6*B7),"")</f>
        <v>160812.6</v>
      </c>
      <c r="C8" s="66">
        <f>IFERROR(IF(C5*C6*C7=0,"",C5*C6*C7),"")</f>
        <v>291200.0</v>
      </c>
      <c r="D8" s="66">
        <f>IFERROR(IF(D5*D6*D7=0,"",D5*D6*D7),"")</f>
        <v>492512.79999999993</v>
      </c>
      <c r="E8" s="28" t="n"/>
      <c r="F8" s="28" t="n"/>
    </row>
    <row r="9">
      <c r="A9" s="28" t="inlineStr">
        <is>
          <t>Cost of goods sold — food</t>
        </is>
      </c>
      <c r="B9" s="40">
        <f>IFERROR(IF(B8="","",B8*'0. Assumptions'!$B$11*'0. Assumptions'!$B$13),"")</f>
        <v>41098.876182</v>
      </c>
      <c r="C9" s="40">
        <f>IFERROR(IF(C8="","",C8*'0. Assumptions'!$B$11*'0. Assumptions'!$B$13),"")</f>
        <v>74421.984</v>
      </c>
      <c r="D9" s="40">
        <f>IFERROR(IF(D8="","",D8*'0. Assumptions'!$B$11*'0. Assumptions'!$B$13),"")</f>
        <v>125871.49629599997</v>
      </c>
      <c r="E9" s="28" t="n"/>
      <c r="F9" s="28" t="n"/>
    </row>
    <row r="10">
      <c r="A10" s="28" t="inlineStr">
        <is>
          <t>Cost of goods sold — beverage</t>
        </is>
      </c>
      <c r="B10" s="40">
        <f>IFERROR(IF(B8="","",B8*'0. Assumptions'!$B$12*'0. Assumptions'!$B$14),"")</f>
        <v>5954.086515000001</v>
      </c>
      <c r="C10" s="40">
        <f>IFERROR(IF(C8="","",C8*'0. Assumptions'!$B$12*'0. Assumptions'!$B$14),"")</f>
        <v>10781.68</v>
      </c>
      <c r="D10" s="40">
        <f>IFERROR(IF(D8="","",D8*'0. Assumptions'!$B$12*'0. Assumptions'!$B$14),"")</f>
        <v>18235.28642</v>
      </c>
      <c r="E10" s="28" t="n"/>
      <c r="F10" s="28" t="n"/>
    </row>
    <row r="11">
      <c r="A11" s="28" t="inlineStr">
        <is>
          <t>Disposables and packaging</t>
        </is>
      </c>
      <c r="B11" s="40">
        <f>IFERROR(IF(B8="","",B8*'0. Assumptions'!$B$15),"")</f>
        <v>6432.504000000001</v>
      </c>
      <c r="C11" s="40">
        <f>IFERROR(IF(C8="","",C8*'0. Assumptions'!$B$15),"")</f>
        <v>11648.0</v>
      </c>
      <c r="D11" s="40">
        <f>IFERROR(IF(D8="","",D8*'0. Assumptions'!$B$15),"")</f>
        <v>19700.512</v>
      </c>
      <c r="E11" s="28" t="n"/>
      <c r="F11" s="28" t="n"/>
    </row>
    <row r="12">
      <c r="A12" s="28" t="inlineStr">
        <is>
          <t>Delivery platform fees</t>
        </is>
      </c>
      <c r="B12" s="40">
        <f>IFERROR(IF(B8="","",B8*'0. Assumptions'!$B$16*'0. Assumptions'!$B$17),"")</f>
        <v>0.0</v>
      </c>
      <c r="C12" s="40">
        <f>IFERROR(IF(C8="","",C8*'0. Assumptions'!$B$16*'0. Assumptions'!$B$17),"")</f>
        <v>0.0</v>
      </c>
      <c r="D12" s="40">
        <f>IFERROR(IF(D8="","",D8*'0. Assumptions'!$B$16*'0. Assumptions'!$B$17),"")</f>
        <v>0.0</v>
      </c>
      <c r="E12" s="28" t="n"/>
      <c r="F12" s="28" t="n"/>
    </row>
    <row r="13">
      <c r="A13" s="28" t="inlineStr">
        <is>
          <t>Card processing fees</t>
        </is>
      </c>
      <c r="B13" s="40">
        <f>IFERROR(IF(B8="","",B8*'0. Assumptions'!$B$18),"")</f>
        <v>5628.441000000001</v>
      </c>
      <c r="C13" s="40">
        <f>IFERROR(IF(C8="","",C8*'0. Assumptions'!$B$18),"")</f>
        <v>10192.000000000002</v>
      </c>
      <c r="D13" s="40">
        <f>IFERROR(IF(D8="","",D8*'0. Assumptions'!$B$18),"")</f>
        <v>17237.948</v>
      </c>
      <c r="E13" s="28" t="n"/>
      <c r="F13" s="28" t="n"/>
    </row>
    <row r="14">
      <c r="A14" s="28" t="inlineStr">
        <is>
          <t>Miscellaneous and contingency</t>
        </is>
      </c>
      <c r="B14" s="40">
        <f>IFERROR(IF(B8="","",B8*'0. Assumptions'!$B$28),"")</f>
        <v>8040.630000000001</v>
      </c>
      <c r="C14" s="40">
        <f>IFERROR(IF(C8="","",C8*'0. Assumptions'!$B$28),"")</f>
        <v>14560.0</v>
      </c>
      <c r="D14" s="40">
        <f>IFERROR(IF(D8="","",D8*'0. Assumptions'!$B$28),"")</f>
        <v>24625.64</v>
      </c>
      <c r="E14" s="28" t="n"/>
      <c r="F14" s="28" t="n"/>
    </row>
    <row r="15">
      <c r="A15" s="28" t="inlineStr">
        <is>
          <t>TOTAL VARIABLE COSTS</t>
        </is>
      </c>
      <c r="B15" s="40">
        <f>IFERROR(IF(B8="","",SUM(B9:B14)),"")</f>
        <v>67154.537697</v>
      </c>
      <c r="C15" s="40">
        <f>IFERROR(IF(C8="","",SUM(C9:C14)),"")</f>
        <v>121603.664</v>
      </c>
      <c r="D15" s="40">
        <f>IFERROR(IF(D8="","",SUM(D9:D14)),"")</f>
        <v>205670.88271599996</v>
      </c>
      <c r="E15" s="28" t="n"/>
      <c r="F15" s="28" t="n"/>
    </row>
    <row r="16">
      <c r="A16" s="35" t="inlineStr">
        <is>
          <t>GROSS MARGIN</t>
        </is>
      </c>
      <c r="B16" s="42">
        <f>IFERROR(IF(B8="","",B8-B15),"")</f>
        <v>93658.062303</v>
      </c>
      <c r="C16" s="42">
        <f>IFERROR(IF(C8="","",C8-C15),"")</f>
        <v>169596.336</v>
      </c>
      <c r="D16" s="42">
        <f>IFERROR(IF(D8="","",D8-D15),"")</f>
        <v>286841.91728399997</v>
      </c>
    </row>
    <row r="17">
      <c r="A17" s="35" t="inlineStr">
        <is>
          <t>FIXED COSTS (the P&amp;L's)</t>
        </is>
      </c>
      <c r="B17" s="42">
        <f>IFERROR(IF(B8="","",'3-Year P&amp;L'!$B$38),"")</f>
        <v>143648.22857142857</v>
      </c>
      <c r="C17" s="42">
        <f>IFERROR(IF(C8="","",'3-Year P&amp;L'!$B$38),"")</f>
        <v>143648.22857142857</v>
      </c>
      <c r="D17" s="42">
        <f>IFERROR(IF(D8="","",'3-Year P&amp;L'!$B$38),"")</f>
        <v>143648.22857142857</v>
      </c>
      <c r="E17" s="35" t="inlineStr">
        <is>
          <t>Fixed costs do not change with the scenario: that is why they are fixed</t>
        </is>
      </c>
    </row>
    <row r="18">
      <c r="A18" s="16" t="inlineStr">
        <is>
          <t>PRE-TAX INCOME (EBT)</t>
        </is>
      </c>
      <c r="B18" s="52">
        <f>IFERROR(IF(B8="","",B16-B17),"")</f>
        <v>-49990.16626842857</v>
      </c>
      <c r="C18" s="52">
        <f>IFERROR(IF(C8="","",C16-C17),"")</f>
        <v>25948.107428571442</v>
      </c>
      <c r="D18" s="52">
        <f>IFERROR(IF(D8="","",D16-D17),"")</f>
        <v>143193.6887125714</v>
      </c>
    </row>
    <row r="19">
      <c r="A19" s="35" t="inlineStr">
        <is>
          <t>Income tax</t>
        </is>
      </c>
      <c r="B19" s="42">
        <f>IFERROR(IF(B8="","",MAX(0,B18-'0. Assumptions'!$B$42)*'0. Assumptions'!$B$37),"")</f>
        <v>0.0</v>
      </c>
      <c r="C19" s="42">
        <f>IFERROR(IF(C8="","",MAX(0,C18-'0. Assumptions'!$B$42)*'0. Assumptions'!$B$37),"")</f>
        <v>6487.0268571428605</v>
      </c>
      <c r="D19" s="42">
        <f>IFERROR(IF(D8="","",MAX(0,D18-'0. Assumptions'!$B$42)*'0. Assumptions'!$B$37),"")</f>
        <v>35798.42217814285</v>
      </c>
      <c r="E19" s="35" t="inlineStr">
        <is>
          <t>At the "years 1-2" effective income tax rate, offsetting prior net operating losses</t>
        </is>
      </c>
    </row>
    <row r="20">
      <c r="A20" s="16" t="inlineStr">
        <is>
          <t>NET INCOME</t>
        </is>
      </c>
      <c r="B20" s="52">
        <f>IFERROR(IF(B8="","",B18-B19),"")</f>
        <v>-49990.16626842857</v>
      </c>
      <c r="C20" s="52">
        <f>IFERROR(IF(C8="","",C18-C19),"")</f>
        <v>19461.08057142858</v>
      </c>
      <c r="D20" s="52">
        <f>IFERROR(IF(D8="","",D18-D19),"")</f>
        <v>107395.26653442855</v>
      </c>
    </row>
    <row r="21">
      <c r="A21" s="35" t="inlineStr">
        <is>
          <t>Customers per day to break even</t>
        </is>
      </c>
      <c r="B21" s="48">
        <f>IFERROR(IF(B8="","",IF(B6-B15/(B5*B7)&lt;=0,"",B17/(B6-B15/(B5*B7))/B7)),"")</f>
        <v>81.28884932143048</v>
      </c>
      <c r="C21" s="48">
        <f>IFERROR(IF(C8="","",IF(C6-C15/(C5*C7)&lt;=0,"",C17/(C6-C15/(C5*C7))/C7)),"")</f>
        <v>67.7600622557924</v>
      </c>
      <c r="D21" s="48">
        <f>IFERROR(IF(D8="","",IF(D6-D15/(D5*D7)&lt;=0,"",D17/(D6-D15/(D5*D7))/D7)),"")</f>
        <v>58.09190885371057</v>
      </c>
    </row>
    <row r="22">
      <c r="A22" s="16" t="inlineStr">
        <is>
          <t>WHAT EACH SCENARIO DEMANDS</t>
        </is>
      </c>
    </row>
    <row r="23">
      <c r="A23" s="35" t="inlineStr">
        <is>
          <t>Labor cost / Sales</t>
        </is>
      </c>
      <c r="B23" s="65">
        <f>IFERROR(IF(B8="","",'3-Year P&amp;L'!$B$23/B8),"")</f>
        <v>0.47394793691539094</v>
      </c>
      <c r="C23" s="65">
        <f>IFERROR(IF(C8="","",'3-Year P&amp;L'!$B$23/C8),"")</f>
        <v>0.2617335164835165</v>
      </c>
      <c r="D23" s="65">
        <f>IFERROR(IF(D8="","",'3-Year P&amp;L'!$B$23/D8),"")</f>
        <v>0.15475090190549365</v>
      </c>
      <c r="E23" s="35" t="inlineStr">
        <is>
          <t>The SAME staffing in all three scenarios. If labor cost blows up in the pessimistic case, adjust it in the Staffing tab, not here</t>
        </is>
      </c>
    </row>
    <row r="24">
      <c r="A24" s="35" t="inlineStr">
        <is>
          <t>Customers per year per full-time equivalent</t>
        </is>
      </c>
      <c r="B24" s="42">
        <f>IFERROR(IF(B8="","",B5*B7/Staffing!$C$9),"")</f>
        <v>6855.721393034825</v>
      </c>
      <c r="C24" s="42">
        <f>IFERROR(IF(C8="","",C5*C7/Staffing!$C$9),"")</f>
        <v>10348.25870646766</v>
      </c>
      <c r="D24" s="42">
        <f>IFERROR(IF(D8="","",D5*D7/Staffing!$C$9),"")</f>
        <v>15004.975124378108</v>
      </c>
      <c r="E24" s="35" t="inlineStr">
        <is>
          <t>Customers each full-time employee in the Staffing table would have to serve. In the optimistic scenario it tells you whether you need to hire</t>
        </is>
      </c>
    </row>
    <row r="25">
      <c r="A25" s="16" t="inlineStr">
        <is>
          <t>Year-1 closing cash balance (estimate, same method in all three scenarios)</t>
        </is>
      </c>
      <c r="B25" s="52">
        <f>IFERROR(IF(B8="","",'Startup Costs'!$B$25+B20+'3-Year P&amp;L'!$B$36-Financing!$B$45),"")</f>
        <v>-14984.9536634667</v>
      </c>
      <c r="C25" s="52">
        <f>IFERROR(IF(C8="","",'Startup Costs'!$B$25+C20+'3-Year P&amp;L'!$B$36-Financing!$B$45),"")</f>
        <v>54466.29317639044</v>
      </c>
      <c r="D25" s="52">
        <f>IFERROR(IF(D8="","",'Startup Costs'!$B$25+D20+'3-Year P&amp;L'!$B$36-Financing!$B$45),"")</f>
        <v>142400.47913939043</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5" t="inlineStr">
        <is>
          <t>Actual month-12 balance from the 12-Month Cash Flow tab (Base case only)</t>
        </is>
      </c>
      <c r="C26" s="42">
        <f>IFERROR(IF(C8="","",'12-Month Cash Flow'!$M$22),"")</f>
        <v>68985.84136244723</v>
      </c>
      <c r="E26" s="35"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from the "0. Assumptions" tab, so it reproduces EXACTLY year 1 of the P&amp;L. The other two scenarios use the same cost rates: only customers, average check and days change. FIXED COSTS are the same in all three: miscellaneous and contingency, a percentage of sales, sit above with the variable costs and each scenario carries its own.</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t="str">
        <f>IFERROR("Payroll — "&amp;TEXT('0. Assumptions'!$B$21,"0")&amp;" pay periods + employer taxes "&amp;TEXT('0. Assumptions'!$B$20*100,"0")&amp;"%","")</f>
        <v>Payroll — 12 pay periods + employer taxes 10%</v>
      </c>
    </row>
    <row r="4" ht="45" customHeight="1">
      <c r="A4" s="39" t="inlineStr">
        <is>
          <t>Position</t>
        </is>
      </c>
      <c r="B4" s="39" t="inlineStr">
        <is>
          <t>People</t>
        </is>
      </c>
      <c r="C4" s="39" t="inlineStr">
        <is>
          <t>FTE</t>
        </is>
      </c>
      <c r="D4" s="39" t="inlineStr">
        <is>
          <t>Gross pay per month (total for the position)</t>
        </is>
      </c>
      <c r="E4" s="39" t="inlineStr">
        <is>
          <t>Employer payroll taxes (total for the position)</t>
        </is>
      </c>
      <c r="F4" s="39" t="inlineStr">
        <is>
          <t>Cost per month (total for the position)</t>
        </is>
      </c>
      <c r="G4" s="39" t="inlineStr">
        <is>
          <t>Cost per year</t>
        </is>
      </c>
      <c r="H4" s="39" t="inlineStr">
        <is>
          <t>Hours per week per person</t>
        </is>
      </c>
      <c r="I4" s="39" t="inlineStr">
        <is>
          <t>Hours per year for the position</t>
        </is>
      </c>
      <c r="J4" s="39" t="inlineStr">
        <is>
          <t>Notes</t>
        </is>
      </c>
    </row>
    <row r="5">
      <c r="A5" s="28" t="inlineStr">
        <is>
          <t>Owner (chef, manager and driver)</t>
        </is>
      </c>
      <c r="B5" s="49" t="n">
        <v>1</v>
      </c>
      <c r="C5" s="51" t="n">
        <v>1</v>
      </c>
      <c r="D5" s="71" t="n">
        <v>3000</v>
      </c>
      <c r="E5" s="61">
        <f>IFERROR(IF(D5="","",D5*'0. Assumptions'!$B$20),"")</f>
        <v>300.0</v>
      </c>
      <c r="F5" s="61">
        <f>IFERROR(IF(D5="","",D5+E5),"")</f>
        <v>3300.0</v>
      </c>
      <c r="G5" s="61">
        <f>IFERROR(IF(D5="","",F5*MAX(12,'0. Assumptions'!$B$21)),"")</f>
        <v>39600.0</v>
      </c>
      <c r="H5" s="44">
        <f>IFERROR(IF(D5="","",C5*$B$16),"")</f>
        <v>40.0</v>
      </c>
      <c r="I5" s="40">
        <f>IFERROR(IF(D5="","",H5*B5*$B$17),"")</f>
        <v>2000.0</v>
      </c>
      <c r="J5" s="28" t="inlineStr">
        <is>
          <t>Cooks, drives the truck between locations and runs management, purchasing and social media. Covers the main shift on every service day.</t>
        </is>
      </c>
    </row>
    <row r="6">
      <c r="A6" s="28" t="inlineStr">
        <is>
          <t>Cook-cashier</t>
        </is>
      </c>
      <c r="B6" s="49" t="n">
        <v>1</v>
      </c>
      <c r="C6" s="51" t="n">
        <v>0.8</v>
      </c>
      <c r="D6" s="71" t="n">
        <v>2218</v>
      </c>
      <c r="E6" s="61">
        <f>IFERROR(IF(D6="","",D6*'0. Assumptions'!$B$20),"")</f>
        <v>221.8</v>
      </c>
      <c r="F6" s="61">
        <f>IFERROR(IF(D6="","",D6+E6),"")</f>
        <v>2439.8</v>
      </c>
      <c r="G6" s="61">
        <f>IFERROR(IF(D6="","",F6*MAX(12,'0. Assumptions'!$B$21)),"")</f>
        <v>29277.600000000002</v>
      </c>
      <c r="H6" s="44">
        <f>IFERROR(IF(D6="","",C6*$B$16),"")</f>
        <v>32.0</v>
      </c>
      <c r="I6" s="40">
        <f>IFERROR(IF(D6="","",H6*B6*$B$17),"")</f>
        <v>1600.0</v>
      </c>
      <c r="J6" s="28" t="inlineStr">
        <is>
          <t>Prep, setup, customer service and breakdown. Part time: a truck with at most two services a day does not need a second full-time person. Paid at or above the pay floor in proportion to FTE.</t>
        </is>
      </c>
    </row>
    <row r="7">
      <c r="A7" s="28" t="inlineStr">
        <is>
          <t>Events and festival help</t>
        </is>
      </c>
      <c r="B7" s="49" t="n">
        <v>1</v>
      </c>
      <c r="C7" s="51" t="n">
        <v>0.15</v>
      </c>
      <c r="D7" s="71" t="n">
        <v>390</v>
      </c>
      <c r="E7" s="61">
        <f>IFERROR(IF(D7="","",D7*'0. Assumptions'!$B$20),"")</f>
        <v>39.0</v>
      </c>
      <c r="F7" s="61">
        <f>IFERROR(IF(D7="","",D7+E7),"")</f>
        <v>429.0</v>
      </c>
      <c r="G7" s="61">
        <f>IFERROR(IF(D7="","",F7*MAX(12,'0. Assumptions'!$B$21)),"")</f>
        <v>5148.0</v>
      </c>
      <c r="H7" s="44">
        <f>IFERROR(IF(D7="","",C7*$B$16),"")</f>
        <v>6.0</v>
      </c>
      <c r="I7" s="40">
        <f>IFERROR(IF(D7="","",H7*B7*$B$17),"")</f>
        <v>300.0</v>
      </c>
      <c r="J7" s="28" t="inlineStr">
        <is>
          <t>Only for festival and big-event peaks: a few days a month, not a permanent position. Paid at or above the pay floor in proportion to FTE.</t>
        </is>
      </c>
    </row>
    <row r="8">
      <c r="A8" s="28" t="inlineStr">
        <is>
          <t>Vacation and day-off relief</t>
        </is>
      </c>
      <c r="B8" s="49" t="n">
        <v>1</v>
      </c>
      <c r="C8" s="51" t="n">
        <v>0.06</v>
      </c>
      <c r="D8" s="71" t="n">
        <v>166</v>
      </c>
      <c r="E8" s="61">
        <f>IFERROR(IF(D8="","",D8*'0. Assumptions'!$B$20),"")</f>
        <v>16.6</v>
      </c>
      <c r="F8" s="61">
        <f>IFERROR(IF(D8="","",D8+E8),"")</f>
        <v>182.6</v>
      </c>
      <c r="G8" s="61">
        <f>IFERROR(IF(D8="","",F8*MAX(12,'0. Assumptions'!$B$21)),"")</f>
        <v>2191.2</v>
      </c>
      <c r="H8" s="44">
        <f>IFERROR(IF(D8="","",C8*$B$16),"")</f>
        <v>2.4</v>
      </c>
      <c r="I8" s="40">
        <f>IFERROR(IF(D8="","",H8*B8*$B$17),"")</f>
        <v>120.0</v>
      </c>
      <c r="J8" s="28" t="inlineStr">
        <is>
          <t>Covers vacation and days off for the owner and the cook-cashier, plus the weekly rest. The US sets no federal vacation requirement, so this follows your own policy. Paid at or above the pay floor in proportion to FTE.</t>
        </is>
      </c>
    </row>
    <row r="9">
      <c r="A9" s="16" t="inlineStr">
        <is>
          <t>TOTAL STAFF</t>
        </is>
      </c>
      <c r="B9" s="52">
        <f>IFERROR(IF(COUNT(D5:D8)=0,"",SUM(B5:B8)),"")</f>
        <v>4.0</v>
      </c>
      <c r="C9" s="53">
        <f>IFERROR(IF(COUNT(D5:D8)=0,"",SUM(C5:C8)),"")</f>
        <v>2.0100000000000002</v>
      </c>
      <c r="D9" s="53">
        <f>IFERROR(IF(COUNT(D5:D8)=0,"",SUM(D5:D8)),"")</f>
        <v>5774.0</v>
      </c>
      <c r="E9" s="53">
        <f>IFERROR(IF(COUNT(D5:D8)=0,"",SUM(E5:E8)),"")</f>
        <v>577.4</v>
      </c>
      <c r="F9" s="53">
        <f>IFERROR(IF(COUNT(D5:D8)=0,"",SUM(F5:F8)),"")</f>
        <v>6351.400000000001</v>
      </c>
      <c r="G9" s="53">
        <f>IFERROR(IF(COUNT(D5:D8)=0,"",SUM(G5:G8)),"")</f>
        <v>76216.8</v>
      </c>
      <c r="I9" s="52">
        <f>IFERROR(IF(COUNT(D5:D8)=0,"",SUM(I5:I8)),"")</f>
        <v>4020.0</v>
      </c>
    </row>
    <row r="10">
      <c r="A10" s="16" t="inlineStr">
        <is>
          <t>STAFF GROWTH (stepped cost)</t>
        </is>
      </c>
    </row>
    <row r="11">
      <c r="A11" s="35" t="inlineStr">
        <is>
          <t>Annual cost of year-2 hires</t>
        </is>
      </c>
      <c r="B11" s="56" t="n">
        <v>6000</v>
      </c>
      <c r="J11" s="35" t="inlineStr">
        <is>
          <t>FULL ANNUAL cost (gross pay + employer payroll taxes, over all pay periods) of whoever you hire that year. The P&amp;L adds it to the previous year's cost: staffing grows by people, not by a percentage</t>
        </is>
      </c>
    </row>
    <row r="12">
      <c r="A12" s="35" t="inlineStr">
        <is>
          <t>Annual cost of year-3 hires</t>
        </is>
      </c>
      <c r="B12" s="56" t="n">
        <v>6000</v>
      </c>
      <c r="J12" s="35" t="inlineStr">
        <is>
          <t>FULL ANNUAL cost (gross pay + employer payroll taxes, over all pay periods) of whoever you hire that year. The P&amp;L adds it to the previous year's cost: staffing grows by people, not by a percentage</t>
        </is>
      </c>
    </row>
    <row r="13">
      <c r="A13" s="35" t="inlineStr">
        <is>
          <t>Labor cost, year 2</t>
        </is>
      </c>
      <c r="B13" s="42">
        <f>IFERROR(IF(G9="","",G9*(1+'0. Assumptions'!$B$48)+B11),"")</f>
        <v>82216.8</v>
      </c>
    </row>
    <row r="14">
      <c r="A14" s="35" t="inlineStr">
        <is>
          <t>Labor cost, year 3</t>
        </is>
      </c>
      <c r="B14" s="42">
        <f>IFERROR(IF(B13="","",B13*(1+'0. Assumptions'!$B$48)+B12),"")</f>
        <v>88216.8</v>
      </c>
    </row>
    <row r="15">
      <c r="A15" s="16" t="inlineStr">
        <is>
          <t>COVERAGE OF SERVICE HOURS</t>
        </is>
      </c>
    </row>
    <row r="16">
      <c r="A16" s="35" t="inlineStr">
        <is>
          <t>Full-time week (hours per week)</t>
        </is>
      </c>
      <c r="B16" s="56" t="n">
        <v>40</v>
      </c>
      <c r="J16" s="35" t="inlineStr">
        <is>
          <t>40 hours a week is the FLSA overtime threshold for non-exempt employees; some states add daily overtime rules. Change it if your own full-time week is different</t>
        </is>
      </c>
    </row>
    <row r="17">
      <c r="A17" s="35" t="inlineStr">
        <is>
          <t>Weeks worked per year per person</t>
        </is>
      </c>
      <c r="B17" s="56" t="n">
        <v>50</v>
      </c>
      <c r="J17" s="35" t="inlineStr">
        <is>
          <t>50 weeks: 52 minus about two weeks of vacation, holidays and average absences. There is no federal vacation requirement in the US: adjust it to your own policy</t>
        </is>
      </c>
    </row>
    <row r="18">
      <c r="A18" s="35" t="inlineStr">
        <is>
          <t>Service hours per day to cover</t>
        </is>
      </c>
      <c r="B18" s="57" t="n">
        <v>10</v>
      </c>
      <c r="J18" s="35" t="inlineStr">
        <is>
          <t>A full effective service day: loading, driving, setup, service, pack-down and cleaning. Serving customers is only part of it.</t>
        </is>
      </c>
    </row>
    <row r="19">
      <c r="A19" s="35" t="inlineStr">
        <is>
          <t>People needed at the same time in each shift</t>
        </is>
      </c>
      <c r="B19" s="57" t="n">
        <v>1.5</v>
      </c>
      <c r="J19" s="35" t="inlineStr">
        <is>
          <t>Average number of people on board. At a festival peak you will need a second pair of hands: raise it here and the staffing sizes itself.</t>
        </is>
      </c>
    </row>
    <row r="20">
      <c r="A20" s="35" t="inlineStr">
        <is>
          <t>Service hours to cover per year</t>
        </is>
      </c>
      <c r="B20" s="42">
        <f>IFERROR(IF(OR(B18="",B19="",'0. Assumptions'!$B$6=""),"",B18*B19*'0. Assumptions'!$B$6),"")</f>
        <v>3900.0</v>
      </c>
    </row>
    <row r="21">
      <c r="A21" s="35" t="inlineStr">
        <is>
          <t>Hours hired per year</t>
        </is>
      </c>
      <c r="B21" s="42">
        <f>IFERROR(IF(I9="","",I9),"")</f>
        <v>4020.0</v>
      </c>
    </row>
    <row r="22">
      <c r="A22" s="16" t="inlineStr">
        <is>
          <t>Coverage (hired / needed)</t>
        </is>
      </c>
      <c r="B22" s="69">
        <f>IFERROR(B21/B20,"")</f>
        <v>1.0307692307692307</v>
      </c>
      <c r="J22" s="16" t="inlineStr">
        <is>
          <t>Below 100% the staff cannot cover the hours the plan declares: either hire more or cut the hours</t>
        </is>
      </c>
    </row>
    <row r="24" ht="150" customHeight="1">
      <c r="A24" s="17" t="inlineStr">
        <is>
          <t>The gross pay, employer payroll taxes, monthly cost and annual cost columns are TOTALS for the row: for a position with two people they include both. FTE is the share of a full-time week, and it is used to compare pay with the legal minimum in proportion. The payroll tax rate and the number of pay periods are in the "0. Assumptions" tab.</t>
        </is>
      </c>
    </row>
    <row r="25" ht="150" customHeight="1">
      <c r="A25"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Assumptions'!$B$21&lt;MAX('0. Assumptions'!$B$22,'0. Assumptions'!$B$68)*C5)</formula>
    </cfRule>
  </conditionalFormatting>
  <dataValidations count="4">
    <dataValidation sqref="B5 B6 B8 B11 B12 B16 B17 B18 D5 D6 D7 D8" showDropDown="0" showInputMessage="0" showErrorMessage="1" allowBlank="1" errorTitle="Invalid amount" error="Enter a number greater than or equal to 0." type="decimal" operator="greaterThanOrEqual">
      <formula1>0</formula1>
    </dataValidation>
    <dataValidation sqref="B19"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showDropDown="0" showInputMessage="0" showErrorMessage="1" allowBlank="1" errorTitle="Invalid percentage" error="Enter a percentage between 0 and 1 (0.35 = 35%)." type="decimal" operator="between">
      <formula1>0</formula1>
      <formula2>1</formula2>
    </dataValidation>
    <dataValidation sqref="B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INSTRUCTIONS — Food Truck Financial Plan</t>
        </is>
      </c>
      <c r="B1" s="28" t="n"/>
      <c r="C1" s="28" t="n"/>
      <c r="D1" s="28" t="n"/>
      <c r="E1" s="28" t="n"/>
    </row>
    <row r="2">
      <c r="A2" s="28" t="n"/>
      <c r="B2" s="28" t="n"/>
      <c r="C2" s="28" t="n"/>
      <c r="D2" s="28" t="n"/>
      <c r="E2" s="28" t="n"/>
    </row>
    <row r="3">
      <c r="A3" s="39"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45" customHeight="1">
      <c r="A5" s="46" t="inlineStr">
        <is>
          <t>1. "0. Assumptions" is the control sheet: customers per day, average check excl. sales tax, operating days, food and beverage mix, cost of goods sold, commissary &amp; truck parking,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10" customHeight="1">
      <c r="A8" s="46" t="inlineStr">
        <is>
          <t>4. All figures are EXCL. SALES TAX. To turn a menu price into a price excl. sales tax, divide it by 1 + your sales tax rate (with an 8% rate, divide by 1.08); if an item is taxed at a different rate (alcohol to go, for instance), use that rate. The rate of each sales line is in the "Sales tax rate on the line (%)" column of the P&amp;L, and from it come the receipts, the sales tax collected and the equivalent menu price incl. sales tax.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8">
        <f>IFERROR(IF('3-Year P&amp;L'!$B$53="","",'3-Year P&amp;L'!$B$53),"")</f>
        <v>0.29259499999999994</v>
      </c>
      <c r="C18" s="68">
        <f>IFERROR(IF('3-Year P&amp;L'!$E$53="","",'3-Year P&amp;L'!$E$53),"")</f>
        <v>0.35</v>
      </c>
      <c r="D18" s="28" t="str">
        <f>IFERROR(IF(OR(B18="",C18=""),"",IF(B18&lt;=C18,"OK","REVIEW")),"")</f>
        <v>OK</v>
      </c>
      <c r="E18" s="28" t="n"/>
    </row>
    <row r="19">
      <c r="A19" t="inlineStr">
        <is>
          <t>Labor cost / Sales</t>
        </is>
      </c>
      <c r="B19" s="65">
        <f>IFERROR(IF('3-Year P&amp;L'!$B$54="","",'3-Year P&amp;L'!$B$54),"")</f>
        <v>0.2617335164835165</v>
      </c>
      <c r="C19" s="65">
        <f>IFERROR(IF('3-Year P&amp;L'!$E$54="","",'3-Year P&amp;L'!$E$54),"")</f>
        <v>0.3</v>
      </c>
      <c r="D19" t="str">
        <f>IFERROR(IF(OR(B19="",C19=""),"",IF(B19&lt;=C19,"OK","REVIEW")),"")</f>
        <v>OK</v>
      </c>
    </row>
    <row r="20">
      <c r="A20" t="inlineStr">
        <is>
          <t>Commissary &amp; parking / Sales</t>
        </is>
      </c>
      <c r="B20" s="65">
        <f>IFERROR(IF('3-Year P&amp;L'!$B$55="","",'3-Year P&amp;L'!$B$55),"")</f>
        <v>0.04945054945054945</v>
      </c>
      <c r="C20" s="65">
        <f>IFERROR(IF('3-Year P&amp;L'!$E$55="","",'3-Year P&amp;L'!$E$55),"")</f>
        <v>0.06</v>
      </c>
      <c r="D20" t="str">
        <f>IFERROR(IF(OR(B20="",C20=""),"",IF(B20&lt;=C20,"OK","REVIEW")),"")</f>
        <v>OK</v>
      </c>
    </row>
    <row r="21">
      <c r="A21" t="inlineStr">
        <is>
          <t>Net income / Sales</t>
        </is>
      </c>
      <c r="B21" s="65">
        <f>IFERROR(IF('3-Year P&amp;L'!$B$56="","",'3-Year P&amp;L'!$B$56),"")</f>
        <v>0.06683063383045529</v>
      </c>
      <c r="C21" s="65">
        <f>IFERROR(IF('3-Year P&amp;L'!$E$56="","",'3-Year P&amp;L'!$E$56),"")</f>
        <v>0.06</v>
      </c>
      <c r="D21" t="str">
        <f>IFERROR(IF(OR(B21="",C21=""),"",IF(B21&gt;=C21,"OK","REVIEW")),"")</f>
        <v>OK</v>
      </c>
    </row>
    <row r="22">
      <c r="A22" t="inlineStr">
        <is>
          <t>Gross margin / Sales</t>
        </is>
      </c>
      <c r="B22" s="65">
        <f>IFERROR(IF('3-Year P&amp;L'!$B$51="","",'3-Year P&amp;L'!$B$51),"")</f>
        <v>0.5824050000000001</v>
      </c>
      <c r="C22" s="65">
        <f>IFERROR(IF('3-Year P&amp;L'!$E$51="","",'3-Year P&amp;L'!$E$51),"")</f>
        <v>0.58</v>
      </c>
      <c r="D22" t="str">
        <f>IFERROR(IF(OR(B22="",C22=""),"",IF(B22&gt;=C22,"OK","REVIEW")),"")</f>
        <v>OK</v>
      </c>
    </row>
    <row r="24">
      <c r="A24" s="16" t="inlineStr">
        <is>
          <t>THIS PLAN'S KEY FIGURES</t>
        </is>
      </c>
    </row>
    <row r="25">
      <c r="A25" t="inlineStr">
        <is>
          <t>Total startup costs (sum of the blocks)</t>
        </is>
      </c>
      <c r="B25" s="42">
        <f>IFERROR(IF('Startup Costs'!$B$26="","",'Startup Costs'!$B$26),"")</f>
        <v>146399.2</v>
      </c>
    </row>
    <row r="26">
      <c r="A26" t="inlineStr">
        <is>
          <t>Total cash needed at launch</t>
        </is>
      </c>
      <c r="B26" s="42">
        <f>IFERROR(IF('Startup Costs'!$B$29="","",'Startup Costs'!$B$29),"")</f>
        <v>146399.2</v>
      </c>
    </row>
    <row r="27">
      <c r="A27" t="inlineStr">
        <is>
          <t>Working capital funded</t>
        </is>
      </c>
      <c r="B27" s="42">
        <f>IFERROR(IF('Startup Costs'!$B$25="","",'Startup Costs'!$B$25),"")</f>
        <v>32279.2</v>
      </c>
    </row>
    <row r="28">
      <c r="A28" t="inlineStr">
        <is>
          <t>Forecast year-1 revenue</t>
        </is>
      </c>
      <c r="B28" s="42">
        <f>IFERROR(IF('3-Year P&amp;L'!$B$9="","",'3-Year P&amp;L'!$B$9),"")</f>
        <v>291200.0</v>
      </c>
    </row>
    <row r="29">
      <c r="A29" t="inlineStr">
        <is>
          <t>Year-1 net income</t>
        </is>
      </c>
      <c r="B29" s="42">
        <f>IFERROR(IF('3-Year P&amp;L'!$B$48="","",'3-Year P&amp;L'!$B$48),"")</f>
        <v>19461.08057142858</v>
      </c>
    </row>
    <row r="30">
      <c r="A30" t="inlineStr">
        <is>
          <t>Customers per day for the ACCOUNTING break-even (depreciation included)</t>
        </is>
      </c>
      <c r="B30" s="48">
        <f>IFERROR(IF('Break-Even'!$B$15="","",'Break-Even'!$B$15),"")</f>
        <v>67.7600622557924</v>
      </c>
    </row>
    <row r="31">
      <c r="A31" t="inlineStr">
        <is>
          <t>Project payback (years), before debt</t>
        </is>
      </c>
      <c r="B31">
        <f>IFERROR(IF('12-Month Cash Flow'!$B$31="","",'12-Month Cash Flow'!$B$31),"")</f>
        <v>2.6</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8" t="inlineStr">
        <is>
          <t>Labor cost in the P&amp;L</t>
        </is>
      </c>
      <c r="B35" s="58" t="inlineStr">
        <is>
          <t>A typed-in number that does not match the Staffing tab</t>
        </is>
      </c>
      <c r="C35" s="58" t="inlineStr">
        <is>
          <t>Read directly from the Staffing tab</t>
        </is>
      </c>
      <c r="D35" s="17" t="inlineStr">
        <is>
          <t>If you change a salary, the whole plan recalculates, so the P&amp;L and the staffing table can never disagree.</t>
        </is>
      </c>
    </row>
    <row r="36" ht="75" customHeight="1">
      <c r="A36" s="58" t="inlineStr">
        <is>
          <t>Staffing</t>
        </is>
      </c>
      <c r="B36" s="58" t="inlineStr">
        <is>
          <t>One line called "staff", with no link to service hours or pay floors</t>
        </is>
      </c>
      <c r="C36" s="58" t="inlineStr">
        <is>
          <t>Positions with their FTE, sized to cover the service hours, plus a relief line for vacation and days off</t>
        </is>
      </c>
      <c r="D36" s="17" t="inlineStr">
        <is>
          <t>A plan staffed for fewer hours than it sells does not work on its own numbers. This layout makes that gap visible before a lender does.</t>
        </is>
      </c>
    </row>
    <row r="37" ht="60" customHeight="1">
      <c r="A37" s="58" t="inlineStr">
        <is>
          <t>Operating days per year</t>
        </is>
      </c>
      <c r="B37" s="58" t="inlineStr">
        <is>
          <t>A different calendar on each tab: monthly days on one, weekly days on another, none on the P&amp;L</t>
        </is>
      </c>
      <c r="C37" s="58" t="inlineStr">
        <is>
          <t>One operating-days cell for the whole workbook</t>
        </is>
      </c>
      <c r="D37" s="17" t="inlineStr">
        <is>
          <t>Break-even, scenarios and the P&amp;L read the same calendar, so they always agree. It is set as service days per week times active weeks.</t>
        </is>
      </c>
    </row>
    <row r="38" ht="60" customHeight="1">
      <c r="A38" s="58" t="inlineStr">
        <is>
          <t>Average check</t>
        </is>
      </c>
      <c r="B38" s="58" t="inlineStr">
        <is>
          <t>A price with no statement of whether sales tax is included</t>
        </is>
      </c>
      <c r="C38" s="58" t="inlineStr">
        <is>
          <t>Declared EXCL. sales tax</t>
        </is>
      </c>
      <c r="D38" s="17" t="inlineStr">
        <is>
          <t>Declaring it changes no number: it just says what the number is. Menu price incl. sales tax = average check × (1 + sales tax rate), and the workbook calculates it for you.</t>
        </is>
      </c>
    </row>
    <row r="39" ht="60" customHeight="1">
      <c r="A39" s="58" t="inlineStr">
        <is>
          <t>Commissary &amp; truck parking</t>
        </is>
      </c>
      <c r="B39" s="58" t="inlineStr">
        <is>
          <t>Left out: the model shows no cost of space</t>
        </is>
      </c>
      <c r="C39" s="58" t="inlineStr">
        <is>
          <t>A monthly commissary and parking cost, plus a deposit and rent for the months before opening</t>
        </is>
      </c>
      <c r="D39" s="17" t="inlineStr">
        <is>
          <t>A food truck needs somewhere to store the truck, fill the water tanks and dump waste (most health departments require a commissary). Leaving it out makes the business look like it has no occupancy cost.</t>
        </is>
      </c>
    </row>
    <row r="40" ht="45" customHeight="1">
      <c r="A40" s="58" t="inlineStr">
        <is>
          <t>Working capital</t>
        </is>
      </c>
      <c r="B40" s="58" t="inlineStr">
        <is>
          <t>A round number labeled "3 months" that does not match the fixed costs</t>
        </is>
      </c>
      <c r="C40" s="58" t="inlineStr">
        <is>
          <t>Three months of cash fixed costs, calculated by formula</t>
        </is>
      </c>
      <c r="D40" s="17" t="inlineStr">
        <is>
          <t>A round number often covers far less than the label says. This cushion is what keeps you open through a stretch of bad weather or a slow month for events.</t>
        </is>
      </c>
    </row>
    <row r="41" ht="60" customHeight="1">
      <c r="A41" s="58" t="inlineStr">
        <is>
          <t>Depreciation</t>
        </is>
      </c>
      <c r="B41" s="58" t="inlineStr">
        <is>
          <t>One useful life for everything, including items that are not fixed assets</t>
        </is>
      </c>
      <c r="C41" s="58" t="inlineStr">
        <is>
          <t>Two useful lives: the truck with its build-out, and the equipment and furniture. The Startup Costs tab calculates the annual charge.</t>
        </is>
      </c>
      <c r="D41" s="17" t="inlineStr">
        <is>
          <t>The truck and the equipment wear out at different speeds. Working capital, opening inventory and launch marketing are not fixed assets, so they are not depreciated.</t>
        </is>
      </c>
    </row>
    <row r="42" ht="30" customHeight="1">
      <c r="A42" s="58" t="inlineStr">
        <is>
          <t>Truck insurance and liability</t>
        </is>
      </c>
      <c r="B42" s="58" t="inlineStr">
        <is>
          <t>Counted twice: once in startup costs and again as an annual expense</t>
        </is>
      </c>
      <c r="C42" s="58" t="inlineStr">
        <is>
          <t>Counted once, as an annual expense</t>
        </is>
      </c>
      <c r="D42" s="17" t="inlineStr">
        <is>
          <t>Counting a premium in both places inflates the startup costs, the cash you need to raise and the loan you ask for.</t>
        </is>
      </c>
    </row>
    <row r="43" ht="30" customHeight="1">
      <c r="A43" s="58" t="inlineStr">
        <is>
          <t>Generator</t>
        </is>
      </c>
      <c r="B43" s="58" t="inlineStr">
        <is>
          <t>A separate line, on top of utilities</t>
        </is>
      </c>
      <c r="C43" s="58" t="inlineStr">
        <is>
          <t>Included in the utilities cell</t>
        </is>
      </c>
      <c r="D43" s="17" t="inlineStr">
        <is>
          <t>Writing it in two places counts it twice: here it lives in one cell and the rest of the workbook follows.</t>
        </is>
      </c>
    </row>
    <row r="44" ht="30" customHeight="1">
      <c r="A44" s="58" t="inlineStr">
        <is>
          <t>Startup contingency</t>
        </is>
      </c>
      <c r="B44" s="58" t="inlineStr">
        <is>
          <t>A lump sum typed by hand</t>
        </is>
      </c>
      <c r="C44" s="58" t="inlineStr">
        <is>
          <t>A percentage calculated on the truck purchase and build-out</t>
        </is>
      </c>
      <c r="D44" s="17" t="inlineStr">
        <is>
          <t>If you change the truck price, the contingency recalculates instead of staying at the old amount.</t>
        </is>
      </c>
    </row>
    <row r="45" ht="74.75" customHeight="1">
      <c r="A45" s="58" t="inlineStr">
        <is>
          <t>Income tax</t>
        </is>
      </c>
      <c r="B45" s="58" t="inlineStr">
        <is>
          <t>A flat rate every year, with no offset for losses</t>
        </is>
      </c>
      <c r="C45" s="58" t="inlineStr">
        <is>
          <t>One effective rate for years 1-2 and another from year 3, offsetting net operating losses carried forward</t>
        </is>
      </c>
      <c r="D45" s="17" t="inlineStr">
        <is>
          <t>A loss in one year reduces taxable profit in later years. The model offsets losses fully as a simplification (federal rules cap the offset at 80% of taxable income). If you operate as a pass-through (sole proprietorship or LLC), set the rate to 0 and budget your personal tax separately.</t>
        </is>
      </c>
    </row>
    <row r="46" ht="45" customHeight="1">
      <c r="A46" s="58" t="inlineStr">
        <is>
          <t>Loan payment</t>
        </is>
      </c>
      <c r="B46" s="58" t="inlineStr">
        <is>
          <t>The full payment deducted in the P&amp;L</t>
        </is>
      </c>
      <c r="C46" s="58" t="inlineStr">
        <is>
          <t>Only interest in the P&amp;L; principal repaid in the cash flow</t>
        </is>
      </c>
      <c r="D46" s="17" t="inlineStr">
        <is>
          <t>Putting the full payment above the line turns the P&amp;L into a cash flow, and a lender spots it immediately.</t>
        </is>
      </c>
    </row>
    <row r="47" ht="45" customHeight="1">
      <c r="A47" s="58" t="inlineStr">
        <is>
          <t>Financing plan</t>
        </is>
      </c>
      <c r="B47" s="58" t="inlineStr">
        <is>
          <t>None</t>
        </is>
      </c>
      <c r="C47" s="58" t="inlineStr">
        <is>
          <t>A dedicated tab: where the money comes from, what it pays for and the amortization schedule year by year</t>
        </is>
      </c>
      <c r="D47" s="17" t="inlineStr">
        <is>
          <t>It is the sheet a lender asks for next to the P&amp;L, and it warns you when the money you put in falls short of what you need.</t>
        </is>
      </c>
    </row>
    <row r="48" ht="30" customHeight="1">
      <c r="A48" s="58" t="inlineStr">
        <is>
          <t>Month-by-month cash flow</t>
        </is>
      </c>
      <c r="B48" s="58" t="inlineStr">
        <is>
          <t>None</t>
        </is>
      </c>
      <c r="C48" s="58" t="inlineStr">
        <is>
          <t>A 12-month tab: cash in, cash out, quarterly sales tax and the cumulative balance</t>
        </is>
      </c>
      <c r="D48" s="17" t="inlineStr">
        <is>
          <t>It answers the one question that decides a loan: in which month does the business run out of cash?</t>
        </is>
      </c>
    </row>
    <row r="49" ht="45" customHeight="1">
      <c r="A49" s="58" t="inlineStr">
        <is>
          <t>Fuel and miscellaneous</t>
        </is>
      </c>
      <c r="B49" s="58" t="inlineStr">
        <is>
          <t>Fuel and a miscellaneous line typed in among the fixed costs</t>
        </is>
      </c>
      <c r="C49" s="58" t="inlineStr">
        <is>
          <t>One percentage of sales, treated as a variable cost</t>
        </is>
      </c>
      <c r="D49" s="17" t="inlineStr">
        <is>
          <t>Fuel rises and falls with the number of services you run: putting it among the fixed costs distorts the break-even.</t>
        </is>
      </c>
    </row>
    <row r="50" ht="30" customHeight="1">
      <c r="A50" s="58" t="inlineStr">
        <is>
          <t>Catering and private events</t>
        </is>
      </c>
      <c r="B50" s="58" t="inlineStr">
        <is>
          <t>Revenue with no cost of goods sold attached</t>
        </is>
      </c>
      <c r="C50" s="58" t="inlineStr">
        <is>
          <t>Added to the food line, with the same cost of goods sold as the rest</t>
        </is>
      </c>
      <c r="D50" s="17" t="inlineStr">
        <is>
          <t>A revenue line that pays for no ingredients shows a margin that does not exist.</t>
        </is>
      </c>
    </row>
    <row r="51" ht="45" customHeight="1">
      <c r="A51" s="58" t="inlineStr">
        <is>
          <t>Wages and minimum wage</t>
        </is>
      </c>
      <c r="B51" s="58" t="inlineStr">
        <is>
          <t>Wages never compared with any legal floor</t>
        </is>
      </c>
      <c r="C51" s="58" t="inlineStr">
        <is>
          <t>No row below the pay floor in proportion to its FTE, and a cell for your state or local minimum wage</t>
        </is>
      </c>
      <c r="D51" s="17" t="inlineStr">
        <is>
          <t>State and local minimums are often higher than the federal one: enter yours in "0. Assumptions" and the traffic light warns you when a wage falls short.</t>
        </is>
      </c>
    </row>
    <row r="53">
      <c r="A53" s="16" t="inlineStr">
        <is>
          <t>INDUSTRY BENCHMARKS</t>
        </is>
      </c>
    </row>
    <row r="54">
      <c r="A54" s="16" t="inlineStr">
        <is>
          <t>Benchmark</t>
        </is>
      </c>
      <c r="B54" s="16" t="inlineStr">
        <is>
          <t>Value</t>
        </is>
      </c>
      <c r="C54" s="16" t="inlineStr">
        <is>
          <t>Source</t>
        </is>
      </c>
      <c r="D54" s="16" t="inlineStr">
        <is>
          <t>Note</t>
        </is>
      </c>
    </row>
    <row r="55" ht="60" customHeight="1">
      <c r="A55" t="inlineStr">
        <is>
          <t>Food cost (food)</t>
        </is>
      </c>
      <c r="B55" t="inlineStr">
        <is>
          <t>28-35%</t>
        </is>
      </c>
      <c r="C55" t="inlineStr">
        <is>
          <t>Beancount (beancount.io)</t>
        </is>
      </c>
      <c r="D55" s="17" t="inlineStr">
        <is>
          <t>Depends on the concept: a burger truck and a poke truck sit at different points of the range. Test this plan at the top of the range.</t>
        </is>
      </c>
    </row>
    <row r="56" ht="15" customHeight="1">
      <c r="A56" t="inlineStr">
        <is>
          <t>Food cost (beverages)</t>
        </is>
      </c>
      <c r="B56" t="inlineStr">
        <is>
          <t>22-28%</t>
        </is>
      </c>
      <c r="C56" t="inlineStr">
        <is>
          <t>Kit estimate</t>
        </is>
      </c>
      <c r="D56" s="17" t="inlineStr">
        <is>
          <t>Bottled sodas and water: high-margin items</t>
        </is>
      </c>
    </row>
    <row r="57" ht="30" customHeight="1">
      <c r="A57" t="inlineStr">
        <is>
          <t>Packaging cost / sales</t>
        </is>
      </c>
      <c r="B57" t="inlineStr">
        <is>
          <t>3-5%</t>
        </is>
      </c>
      <c r="C57" t="inlineStr">
        <is>
          <t>Kit estimate</t>
        </is>
      </c>
      <c r="D57" s="17" t="inlineStr">
        <is>
          <t>Compostable packaging costs more, and some cities restrict foam and single-use plastics</t>
        </is>
      </c>
    </row>
    <row r="58" ht="15" customHeight="1">
      <c r="A58" t="inlineStr">
        <is>
          <t>Labor cost / sales</t>
        </is>
      </c>
      <c r="B58" t="inlineStr">
        <is>
          <t>20-30%</t>
        </is>
      </c>
      <c r="C58" t="inlineStr">
        <is>
          <t>Beancount (beancount.io)</t>
        </is>
      </c>
      <c r="D58" s="17" t="inlineStr">
        <is>
          <t>Fewer people than a restaurant: 2-3 on board</t>
        </is>
      </c>
    </row>
    <row r="59" ht="45" customHeight="1">
      <c r="A59" t="inlineStr">
        <is>
          <t>Average check (food truck)</t>
        </is>
      </c>
      <c r="B59" t="inlineStr">
        <is>
          <t>10-15</t>
        </is>
      </c>
      <c r="C59" t="inlineStr">
        <is>
          <t>Kit estimate</t>
        </is>
      </c>
      <c r="D59" s="17" t="inlineStr">
        <is>
          <t>A full meal: entrée, drink and a side. Add your local sales tax rate to get the menu price your customers see.</t>
        </is>
      </c>
    </row>
    <row r="60" ht="30" customHeight="1">
      <c r="A60" t="inlineStr">
        <is>
          <t>Customers per service</t>
        </is>
      </c>
      <c r="B60" t="inlineStr">
        <is>
          <t>40-80</t>
        </is>
      </c>
      <c r="C60" t="inlineStr">
        <is>
          <t>Kit estimate</t>
        </is>
      </c>
      <c r="D60" s="17" t="inlineStr">
        <is>
          <t>Depends on location, event and day of the week: test several locations before you trust one number.</t>
        </is>
      </c>
    </row>
    <row r="61" ht="30" customHeight="1">
      <c r="A61" t="inlineStr">
        <is>
          <t>Gross margin target</t>
        </is>
      </c>
      <c r="B61" t="inlineStr">
        <is>
          <t>Over 58%</t>
        </is>
      </c>
      <c r="C61" t="inlineStr">
        <is>
          <t>Kit estimate</t>
        </is>
      </c>
      <c r="D61" s="17" t="inlineStr">
        <is>
          <t>Lower than a restaurant's because of packaging and fuel</t>
        </is>
      </c>
    </row>
    <row r="62" ht="60" customHeight="1">
      <c r="A62" t="inlineStr">
        <is>
          <t>Net margin</t>
        </is>
      </c>
      <c r="B62" t="inlineStr">
        <is>
          <t>6-9%</t>
        </is>
      </c>
      <c r="C62" t="inlineStr">
        <is>
          <t>Beancount (beancount.io)</t>
        </is>
      </c>
      <c r="D62" s="17" t="inlineStr">
        <is>
          <t>7-15% if you are the owner who also works the truck. Compare it with Net income / Sales on the 3-Year P&amp;L.</t>
        </is>
      </c>
    </row>
    <row r="63" ht="120" customHeight="1">
      <c r="A63" t="inlineStr">
        <is>
          <t>Payback period</t>
        </is>
      </c>
      <c r="B63" t="inlineStr">
        <is>
          <t>1-3 years</t>
        </is>
      </c>
      <c r="C63" t="inlineStr">
        <is>
          <t>Kit estimate</t>
        </is>
      </c>
      <c r="D63" s="17" t="inlineStr">
        <is>
          <t>A rule of thumb for the sector. This plan's own payback comes from the 12-Month Cash Flow tab and can come out longer: it is measured on the full investment, working capital included, using the cash flow the business generates BEFORE paying the lender. The same tab also shows the payback on just what you buy, without working capital, which usually comes out shorter.</t>
        </is>
      </c>
    </row>
    <row r="64" ht="15" customHeight="1">
      <c r="A64" t="inlineStr">
        <is>
          <t>Operating days per week</t>
        </is>
      </c>
      <c r="B64" t="inlineStr">
        <is>
          <t>4-6</t>
        </is>
      </c>
      <c r="C64" t="inlineStr">
        <is>
          <t>Kit estimate</t>
        </is>
      </c>
      <c r="D64" s="17" t="inlineStr">
        <is>
          <t>Markets, events, office parks, festivals</t>
        </is>
      </c>
    </row>
    <row r="65" ht="15" customHeight="1">
      <c r="A65" t="inlineStr">
        <is>
          <t>Services per day</t>
        </is>
      </c>
      <c r="B65" t="inlineStr">
        <is>
          <t>1-2</t>
        </is>
      </c>
      <c r="C65" t="inlineStr">
        <is>
          <t>Kit estimate</t>
        </is>
      </c>
      <c r="D65" s="17" t="inlineStr">
        <is>
          <t>Lunch and/or dinner, depending on the location</t>
        </is>
      </c>
    </row>
    <row r="66" ht="30" customHeight="1">
      <c r="A66" t="inlineStr">
        <is>
          <t>Fuel cost per month</t>
        </is>
      </c>
      <c r="B66" t="inlineStr">
        <is>
          <t>300-500</t>
        </is>
      </c>
      <c r="C66" t="inlineStr">
        <is>
          <t>Kit estimate</t>
        </is>
      </c>
      <c r="D66" s="17" t="inlineStr">
        <is>
          <t>Driving between locations. In this plan it sits inside "Miscellaneous and contingency" among the variable costs.</t>
        </is>
      </c>
    </row>
    <row r="67" ht="30" customHeight="1">
      <c r="A67" t="inlineStr">
        <is>
          <t>Annual permits (average)</t>
        </is>
      </c>
      <c r="B67" t="inlineStr">
        <is>
          <t>1,000-3,000</t>
        </is>
      </c>
      <c r="C67" t="inlineStr">
        <is>
          <t>Restroworks (restroworks.com)</t>
        </is>
      </c>
      <c r="D67" s="17" t="inlineStr">
        <is>
          <t>Varies a lot by city and county; the first year can cost far more once parking fees are included</t>
        </is>
      </c>
    </row>
    <row r="68" ht="30" customHeight="1">
      <c r="A68" t="inlineStr">
        <is>
          <t>Minimum wage</t>
        </is>
      </c>
      <c r="B68" t="inlineStr">
        <is>
          <t>Federal 7.25 per hour; your state or city may be higher</t>
        </is>
      </c>
      <c r="C68" t="inlineStr">
        <is>
          <t>DOL (dol.gov)</t>
        </is>
      </c>
      <c r="D68" s="17" t="inlineStr">
        <is>
          <t>There is no single national table above the federal floor: enter your state or local rate in the "0. Assumptions" tab.</t>
        </is>
      </c>
    </row>
    <row r="70">
      <c r="A70" s="59" t="inlineStr">
        <is>
          <t>To edit a cell that is not green: Review → Unprotect Sheet (there is no password).</t>
        </is>
      </c>
    </row>
    <row r="71">
      <c r="A71" s="59" t="inlineStr">
        <is>
          <t>More templates and kits in the catalog at aichef.pro/en/digital-products</t>
        </is>
      </c>
    </row>
    <row r="72">
      <c r="A72" s="59" t="inlineStr">
        <is>
          <t>Designed by John Guerrero — chef and restaurant consultant since 2010, in the kitchen since age 17 · johnguerrero.es</t>
        </is>
      </c>
    </row>
    <row r="73">
      <c r="A73" s="59" t="inlineStr">
        <is>
          <t>Version 2.2 · October 2026 · aichef.pro/en/digital-products/food-truck-business-plan · info@aichef.pro</t>
        </is>
      </c>
    </row>
    <row r="74" ht="45" customHeight="1">
      <c r="A74"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3" t="n">
        <v>0.06</v>
      </c>
      <c r="C5" s="73" t="n">
        <v>0.062</v>
      </c>
      <c r="D5" s="73" t="n">
        <v>0.075</v>
      </c>
      <c r="E5" s="73" t="n">
        <v>0.08</v>
      </c>
      <c r="F5" s="73" t="n">
        <v>0.08799999999999999</v>
      </c>
      <c r="G5" s="73" t="n">
        <v>0.098</v>
      </c>
      <c r="H5" s="73" t="n">
        <v>0.105</v>
      </c>
      <c r="I5" s="73" t="n">
        <v>0.1</v>
      </c>
      <c r="J5" s="73" t="n">
        <v>0.08799999999999999</v>
      </c>
      <c r="K5" s="73" t="n">
        <v>0.08</v>
      </c>
      <c r="L5" s="73" t="n">
        <v>0.074</v>
      </c>
      <c r="M5" s="73" t="n">
        <v>0.09</v>
      </c>
      <c r="N5" s="68">
        <f>IFERROR(IF('3-Year P&amp;L'!$B$9="","",SUM(B5:M5)),"")</f>
        <v>1.0</v>
      </c>
      <c r="O5" s="28" t="inlineStr">
        <is>
          <t>Profile for your area: adjust it to your own slow and busy months (weather, tourism, events). It must add up to 100%</t>
        </is>
      </c>
    </row>
    <row r="6">
      <c r="A6" s="28" t="inlineStr">
        <is>
          <t>Launch ramp-up (% of steady-state activity)</t>
        </is>
      </c>
      <c r="B6" s="68">
        <f>IFERROR(IF('3-Year P&amp;L'!$B$9="","",MIN(1,'0. Assumptions'!$B$52+(1-'0. Assumptions'!$B$52)*0/MAX(1,'0. Assumptions'!$B$53-1))),"")</f>
        <v>0.55</v>
      </c>
      <c r="C6" s="68">
        <f>IFERROR(IF('3-Year P&amp;L'!$B$9="","",MIN(1,'0. Assumptions'!$B$52+(1-'0. Assumptions'!$B$52)*1/MAX(1,'0. Assumptions'!$B$53-1))),"")</f>
        <v>0.64</v>
      </c>
      <c r="D6" s="68">
        <f>IFERROR(IF('3-Year P&amp;L'!$B$9="","",MIN(1,'0. Assumptions'!$B$52+(1-'0. Assumptions'!$B$52)*2/MAX(1,'0. Assumptions'!$B$53-1))),"")</f>
        <v>0.73</v>
      </c>
      <c r="E6" s="68">
        <f>IFERROR(IF('3-Year P&amp;L'!$B$9="","",MIN(1,'0. Assumptions'!$B$52+(1-'0. Assumptions'!$B$52)*3/MAX(1,'0. Assumptions'!$B$53-1))),"")</f>
        <v>0.8200000000000001</v>
      </c>
      <c r="F6" s="68">
        <f>IFERROR(IF('3-Year P&amp;L'!$B$9="","",MIN(1,'0. Assumptions'!$B$52+(1-'0. Assumptions'!$B$52)*4/MAX(1,'0. Assumptions'!$B$53-1))),"")</f>
        <v>0.91</v>
      </c>
      <c r="G6" s="68">
        <f>IFERROR(IF('3-Year P&amp;L'!$B$9="","",MIN(1,'0. Assumptions'!$B$52+(1-'0. Assumptions'!$B$52)*5/MAX(1,'0. Assumptions'!$B$53-1))),"")</f>
        <v>1.0</v>
      </c>
      <c r="H6" s="68">
        <f>IFERROR(IF('3-Year P&amp;L'!$B$9="","",MIN(1,'0. Assumptions'!$B$52+(1-'0. Assumptions'!$B$52)*6/MAX(1,'0. Assumptions'!$B$53-1))),"")</f>
        <v>1.0</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8">
        <f>IFERROR(IF('3-Year P&amp;L'!$B$9="","",B5*B6/SUMPRODUCT($B$5:$M$5,$B$6:$M$6)),"")</f>
        <v>0.036339210007598204</v>
      </c>
      <c r="C7" s="68">
        <f>IFERROR(IF('3-Year P&amp;L'!$B$9="","",C5*C6/SUMPRODUCT($B$5:$M$5,$B$6:$M$6)),"")</f>
        <v>0.043695147063681716</v>
      </c>
      <c r="D7" s="68">
        <f>IFERROR(IF('3-Year P&amp;L'!$B$9="","",D5*D6/SUMPRODUCT($B$5:$M$5,$B$6:$M$6)),"")</f>
        <v>0.060290052967151564</v>
      </c>
      <c r="E7" s="68">
        <f>IFERROR(IF('3-Year P&amp;L'!$B$9="","",E5*E6/SUMPRODUCT($B$5:$M$5,$B$6:$M$6)),"")</f>
        <v>0.07223794474237705</v>
      </c>
      <c r="F7" s="68">
        <f>IFERROR(IF('3-Year P&amp;L'!$B$9="","",F5*F6/SUMPRODUCT($B$5:$M$5,$B$6:$M$6)),"")</f>
        <v>0.0881831496184383</v>
      </c>
      <c r="G7" s="68">
        <f>IFERROR(IF('3-Year P&amp;L'!$B$9="","",G5*G6/SUMPRODUCT($B$5:$M$5,$B$6:$M$6)),"")</f>
        <v>0.10791644184074618</v>
      </c>
      <c r="H7" s="68">
        <f>IFERROR(IF('3-Year P&amp;L'!$B$9="","",H5*H6/SUMPRODUCT($B$5:$M$5,$B$6:$M$6)),"")</f>
        <v>0.11562475911508519</v>
      </c>
      <c r="I7" s="68">
        <f>IFERROR(IF('3-Year P&amp;L'!$B$9="","",I5*I6/SUMPRODUCT($B$5:$M$5,$B$6:$M$6)),"")</f>
        <v>0.11011881820484305</v>
      </c>
      <c r="J7" s="68">
        <f>IFERROR(IF('3-Year P&amp;L'!$B$9="","",J5*J6/SUMPRODUCT($B$5:$M$5,$B$6:$M$6)),"")</f>
        <v>0.09690456002026188</v>
      </c>
      <c r="K7" s="68">
        <f>IFERROR(IF('3-Year P&amp;L'!$B$9="","",K5*K6/SUMPRODUCT($B$5:$M$5,$B$6:$M$6)),"")</f>
        <v>0.08809505456387444</v>
      </c>
      <c r="L7" s="68">
        <f>IFERROR(IF('3-Year P&amp;L'!$B$9="","",L5*L6/SUMPRODUCT($B$5:$M$5,$B$6:$M$6)),"")</f>
        <v>0.08148792547158384</v>
      </c>
      <c r="M7" s="68">
        <f>IFERROR(IF('3-Year P&amp;L'!$B$9="","",M5*M6/SUMPRODUCT($B$5:$M$5,$B$6:$M$6)),"")</f>
        <v>0.09910693638435873</v>
      </c>
      <c r="N7" s="68">
        <f>IFERROR(IF('3-Year P&amp;L'!$B$9="","",SUM(B7:M7)),"")</f>
        <v>1.0</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40">
        <f>IFERROR(IF('3-Year P&amp;L'!$B$9="","",('3-Year P&amp;L'!$B$9+'3-Year P&amp;L'!$B$9*SUMPRODUCT('3-Year P&amp;L'!$E$10:$E$11,'3-Year P&amp;L'!$G$10:$G$11))*B7*(1-MIN(30,'0. Assumptions'!$B$58)/30)),"")</f>
        <v>11047.58498419795</v>
      </c>
      <c r="C9" s="40">
        <f>IFERROR(IF('3-Year P&amp;L'!$B$9="","",('3-Year P&amp;L'!$B$9+'3-Year P&amp;L'!$B$9*SUMPRODUCT('3-Year P&amp;L'!$E$10:$E$11,'3-Year P&amp;L'!$G$10:$G$11))*(C7*(1-MIN(30,'0. Assumptions'!$B$58)/30)+B7*MIN(30,'0. Assumptions'!$B$58)/30)),"")</f>
        <v>13664.83521159331</v>
      </c>
      <c r="D9" s="40">
        <f>IFERROR(IF('3-Year P&amp;L'!$B$9="","",('3-Year P&amp;L'!$B$9+'3-Year P&amp;L'!$B$9*SUMPRODUCT('3-Year P&amp;L'!$E$10:$E$11,'3-Year P&amp;L'!$G$10:$G$11))*(D7*(1-MIN(30,'0. Assumptions'!$B$58)/30)+C7*MIN(30,'0. Assumptions'!$B$58)/30)),"")</f>
        <v>18787.012780390043</v>
      </c>
      <c r="E9" s="40">
        <f>IFERROR(IF('3-Year P&amp;L'!$B$9="","",('3-Year P&amp;L'!$B$9+'3-Year P&amp;L'!$B$9*SUMPRODUCT('3-Year P&amp;L'!$E$10:$E$11,'3-Year P&amp;L'!$G$10:$G$11))*(E7*(1-MIN(30,'0. Assumptions'!$B$58)/30)+D7*MIN(30,'0. Assumptions'!$B$58)/30)),"")</f>
        <v>22593.29253064057</v>
      </c>
      <c r="F9" s="40">
        <f>IFERROR(IF('3-Year P&amp;L'!$B$9="","",('3-Year P&amp;L'!$B$9+'3-Year P&amp;L'!$B$9*SUMPRODUCT('3-Year P&amp;L'!$E$10:$E$11,'3-Year P&amp;L'!$G$10:$G$11))*(F7*(1-MIN(30,'0. Assumptions'!$B$58)/30)+E7*MIN(30,'0. Assumptions'!$B$58)/30)),"")</f>
        <v>27566.09105064365</v>
      </c>
      <c r="G9" s="40">
        <f>IFERROR(IF('3-Year P&amp;L'!$B$9="","",('3-Year P&amp;L'!$B$9+'3-Year P&amp;L'!$B$9*SUMPRODUCT('3-Year P&amp;L'!$E$10:$E$11,'3-Year P&amp;L'!$G$10:$G$11))*(G7*(1-MIN(30,'0. Assumptions'!$B$58)/30)+F7*MIN(30,'0. Assumptions'!$B$58)/30)),"")</f>
        <v>33732.42124412241</v>
      </c>
      <c r="H9" s="40">
        <f>IFERROR(IF('3-Year P&amp;L'!$B$9="","",('3-Year P&amp;L'!$B$9+'3-Year P&amp;L'!$B$9*SUMPRODUCT('3-Year P&amp;L'!$E$10:$E$11,'3-Year P&amp;L'!$G$10:$G$11))*(H7*(1-MIN(30,'0. Assumptions'!$B$58)/30)+G7*MIN(30,'0. Assumptions'!$B$58)/30)),"")</f>
        <v>36282.71641100748</v>
      </c>
      <c r="I9" s="40">
        <f>IFERROR(IF('3-Year P&amp;L'!$B$9="","",('3-Year P&amp;L'!$B$9+'3-Year P&amp;L'!$B$9*SUMPRODUCT('3-Year P&amp;L'!$E$10:$E$11,'3-Year P&amp;L'!$G$10:$G$11))*(I7*(1-MIN(30,'0. Assumptions'!$B$58)/30)+H7*MIN(30,'0. Assumptions'!$B$58)/30)),"")</f>
        <v>34689.64772990057</v>
      </c>
      <c r="J9" s="40">
        <f>IFERROR(IF('3-Year P&amp;L'!$B$9="","",('3-Year P&amp;L'!$B$9+'3-Year P&amp;L'!$B$9*SUMPRODUCT('3-Year P&amp;L'!$E$10:$E$11,'3-Year P&amp;L'!$G$10:$G$11))*(J7*(1-MIN(30,'0. Assumptions'!$B$58)/30)+I7*MIN(30,'0. Assumptions'!$B$58)/30)),"")</f>
        <v>30614.62421953288</v>
      </c>
      <c r="K9" s="40">
        <f>IFERROR(IF('3-Year P&amp;L'!$B$9="","",('3-Year P&amp;L'!$B$9+'3-Year P&amp;L'!$B$9*SUMPRODUCT('3-Year P&amp;L'!$E$10:$E$11,'3-Year P&amp;L'!$G$10:$G$11))*(K7*(1-MIN(30,'0. Assumptions'!$B$58)/30)+J7*MIN(30,'0. Assumptions'!$B$58)/30)),"")</f>
        <v>27797.894087720655</v>
      </c>
      <c r="L9" s="40">
        <f>IFERROR(IF('3-Year P&amp;L'!$B$9="","",('3-Year P&amp;L'!$B$9+'3-Year P&amp;L'!$B$9*SUMPRODUCT('3-Year P&amp;L'!$E$10:$E$11,'3-Year P&amp;L'!$G$10:$G$11))*(L7*(1-MIN(30,'0. Assumptions'!$B$58)/30)+K7*MIN(30,'0. Assumptions'!$B$58)/30)),"")</f>
        <v>25696.890464811535</v>
      </c>
      <c r="M9" s="40">
        <f>IFERROR(IF('3-Year P&amp;L'!$B$9="","",('3-Year P&amp;L'!$B$9+'3-Year P&amp;L'!$B$9*SUMPRODUCT('3-Year P&amp;L'!$E$10:$E$11,'3-Year P&amp;L'!$G$10:$G$11))*(M7*(1-MIN(30,'0. Assumptions'!$B$58)/30)+L7*MIN(30,'0. Assumptions'!$B$58)/30)),"")</f>
        <v>30984.031449934482</v>
      </c>
      <c r="N9" s="40">
        <f>IFERROR(IF('3-Year P&amp;L'!$B$9="","",SUM(B9:M9)),"")</f>
        <v>313457.04216449556</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40">
        <f>IFERROR(IF('3-Year P&amp;L'!$B$9="","",-('3-Year P&amp;L'!$B$13*(1+'3-Year P&amp;L'!$G$13)+'3-Year P&amp;L'!$B$14*(1+'3-Year P&amp;L'!$G$14)+'3-Year P&amp;L'!$B$15*(1+'3-Year P&amp;L'!$G$15)+'3-Year P&amp;L'!$B$16*(1+'3-Year P&amp;L'!$G$16)+'3-Year P&amp;L'!$B$17*(1+'3-Year P&amp;L'!$G$17)+'3-Year P&amp;L'!$B$18*(1+'3-Year P&amp;L'!$G$18))*B7*(1-MIN(30,'0. Assumptions'!$B$59)/30)),"")</f>
        <v>-3387.88549757188</v>
      </c>
      <c r="C11" s="40">
        <f>IFERROR(IF('3-Year P&amp;L'!$B$9="","",-('3-Year P&amp;L'!$B$13*(1+'3-Year P&amp;L'!$G$13)+'3-Year P&amp;L'!$B$14*(1+'3-Year P&amp;L'!$G$14)+'3-Year P&amp;L'!$B$15*(1+'3-Year P&amp;L'!$G$15)+'3-Year P&amp;L'!$B$16*(1+'3-Year P&amp;L'!$G$16)+'3-Year P&amp;L'!$B$17*(1+'3-Year P&amp;L'!$G$17)+'3-Year P&amp;L'!$B$18*(1+'3-Year P&amp;L'!$G$18))*(C7*(1-MIN(30,'0. Assumptions'!$B$59)/30)+B7*MIN(30,'0. Assumptions'!$B$59)/30)),"")</f>
        <v>-5104.771239055474</v>
      </c>
      <c r="D11" s="40">
        <f>IFERROR(IF('3-Year P&amp;L'!$B$9="","",-('3-Year P&amp;L'!$B$13*(1+'3-Year P&amp;L'!$G$13)+'3-Year P&amp;L'!$B$14*(1+'3-Year P&amp;L'!$G$14)+'3-Year P&amp;L'!$B$15*(1+'3-Year P&amp;L'!$G$15)+'3-Year P&amp;L'!$B$16*(1+'3-Year P&amp;L'!$G$16)+'3-Year P&amp;L'!$B$17*(1+'3-Year P&amp;L'!$G$17)+'3-Year P&amp;L'!$B$18*(1+'3-Year P&amp;L'!$G$18))*(D7*(1-MIN(30,'0. Assumptions'!$B$59)/30)+C7*MIN(30,'0. Assumptions'!$B$59)/30)),"")</f>
        <v>-6860.624359187029</v>
      </c>
      <c r="E11" s="40">
        <f>IFERROR(IF('3-Year P&amp;L'!$B$9="","",-('3-Year P&amp;L'!$B$13*(1+'3-Year P&amp;L'!$G$13)+'3-Year P&amp;L'!$B$14*(1+'3-Year P&amp;L'!$G$14)+'3-Year P&amp;L'!$B$15*(1+'3-Year P&amp;L'!$G$15)+'3-Year P&amp;L'!$B$16*(1+'3-Year P&amp;L'!$G$16)+'3-Year P&amp;L'!$B$17*(1+'3-Year P&amp;L'!$G$17)+'3-Year P&amp;L'!$B$18*(1+'3-Year P&amp;L'!$G$18))*(E7*(1-MIN(30,'0. Assumptions'!$B$59)/30)+D7*MIN(30,'0. Assumptions'!$B$59)/30)),"")</f>
        <v>-8445.387029882579</v>
      </c>
      <c r="F11" s="40">
        <f>IFERROR(IF('3-Year P&amp;L'!$B$9="","",-('3-Year P&amp;L'!$B$13*(1+'3-Year P&amp;L'!$G$13)+'3-Year P&amp;L'!$B$14*(1+'3-Year P&amp;L'!$G$14)+'3-Year P&amp;L'!$B$15*(1+'3-Year P&amp;L'!$G$15)+'3-Year P&amp;L'!$B$16*(1+'3-Year P&amp;L'!$G$16)+'3-Year P&amp;L'!$B$17*(1+'3-Year P&amp;L'!$G$17)+'3-Year P&amp;L'!$B$18*(1+'3-Year P&amp;L'!$G$18))*(F7*(1-MIN(30,'0. Assumptions'!$B$59)/30)+E7*MIN(30,'0. Assumptions'!$B$59)/30)),"")</f>
        <v>-10270.961851558364</v>
      </c>
      <c r="G11" s="40">
        <f>IFERROR(IF('3-Year P&amp;L'!$B$9="","",-('3-Year P&amp;L'!$B$13*(1+'3-Year P&amp;L'!$G$13)+'3-Year P&amp;L'!$B$14*(1+'3-Year P&amp;L'!$G$14)+'3-Year P&amp;L'!$B$15*(1+'3-Year P&amp;L'!$G$15)+'3-Year P&amp;L'!$B$16*(1+'3-Year P&amp;L'!$G$16)+'3-Year P&amp;L'!$B$17*(1+'3-Year P&amp;L'!$G$17)+'3-Year P&amp;L'!$B$18*(1+'3-Year P&amp;L'!$G$18))*(G7*(1-MIN(30,'0. Assumptions'!$B$59)/30)+F7*MIN(30,'0. Assumptions'!$B$59)/30)),"")</f>
        <v>-12563.118585040724</v>
      </c>
      <c r="H11" s="40">
        <f>IFERROR(IF('3-Year P&amp;L'!$B$9="","",-('3-Year P&amp;L'!$B$13*(1+'3-Year P&amp;L'!$G$13)+'3-Year P&amp;L'!$B$14*(1+'3-Year P&amp;L'!$G$14)+'3-Year P&amp;L'!$B$15*(1+'3-Year P&amp;L'!$G$15)+'3-Year P&amp;L'!$B$16*(1+'3-Year P&amp;L'!$G$16)+'3-Year P&amp;L'!$B$17*(1+'3-Year P&amp;L'!$G$17)+'3-Year P&amp;L'!$B$18*(1+'3-Year P&amp;L'!$G$18))*(H7*(1-MIN(30,'0. Assumptions'!$B$59)/30)+G7*MIN(30,'0. Assumptions'!$B$59)/30)),"")</f>
        <v>-13841.67711195046</v>
      </c>
      <c r="I11" s="40">
        <f>IFERROR(IF('3-Year P&amp;L'!$B$9="","",-('3-Year P&amp;L'!$B$13*(1+'3-Year P&amp;L'!$G$13)+'3-Year P&amp;L'!$B$14*(1+'3-Year P&amp;L'!$G$14)+'3-Year P&amp;L'!$B$15*(1+'3-Year P&amp;L'!$G$15)+'3-Year P&amp;L'!$B$16*(1+'3-Year P&amp;L'!$G$16)+'3-Year P&amp;L'!$B$17*(1+'3-Year P&amp;L'!$G$17)+'3-Year P&amp;L'!$B$18*(1+'3-Year P&amp;L'!$G$18))*(I7*(1-MIN(30,'0. Assumptions'!$B$59)/30)+H7*MIN(30,'0. Assumptions'!$B$59)/30)),"")</f>
        <v>-13547.078373031167</v>
      </c>
      <c r="J11" s="40">
        <f>IFERROR(IF('3-Year P&amp;L'!$B$9="","",-('3-Year P&amp;L'!$B$13*(1+'3-Year P&amp;L'!$G$13)+'3-Year P&amp;L'!$B$14*(1+'3-Year P&amp;L'!$G$14)+'3-Year P&amp;L'!$B$15*(1+'3-Year P&amp;L'!$G$15)+'3-Year P&amp;L'!$B$16*(1+'3-Year P&amp;L'!$G$16)+'3-Year P&amp;L'!$B$17*(1+'3-Year P&amp;L'!$G$17)+'3-Year P&amp;L'!$B$18*(1+'3-Year P&amp;L'!$G$18))*(J7*(1-MIN(30,'0. Assumptions'!$B$59)/30)+I7*MIN(30,'0. Assumptions'!$B$59)/30)),"")</f>
        <v>-12158.893406305404</v>
      </c>
      <c r="K11" s="40">
        <f>IFERROR(IF('3-Year P&amp;L'!$B$9="","",-('3-Year P&amp;L'!$B$13*(1+'3-Year P&amp;L'!$G$13)+'3-Year P&amp;L'!$B$14*(1+'3-Year P&amp;L'!$G$14)+'3-Year P&amp;L'!$B$15*(1+'3-Year P&amp;L'!$G$15)+'3-Year P&amp;L'!$B$16*(1+'3-Year P&amp;L'!$G$16)+'3-Year P&amp;L'!$B$17*(1+'3-Year P&amp;L'!$G$17)+'3-Year P&amp;L'!$B$18*(1+'3-Year P&amp;L'!$G$18))*(K7*(1-MIN(30,'0. Assumptions'!$B$59)/30)+J7*MIN(30,'0. Assumptions'!$B$59)/30)),"")</f>
        <v>-10962.643981602818</v>
      </c>
      <c r="L11" s="40">
        <f>IFERROR(IF('3-Year P&amp;L'!$B$9="","",-('3-Year P&amp;L'!$B$13*(1+'3-Year P&amp;L'!$G$13)+'3-Year P&amp;L'!$B$14*(1+'3-Year P&amp;L'!$G$14)+'3-Year P&amp;L'!$B$15*(1+'3-Year P&amp;L'!$G$15)+'3-Year P&amp;L'!$B$16*(1+'3-Year P&amp;L'!$G$16)+'3-Year P&amp;L'!$B$17*(1+'3-Year P&amp;L'!$G$17)+'3-Year P&amp;L'!$B$18*(1+'3-Year P&amp;L'!$G$18))*(L7*(1-MIN(30,'0. Assumptions'!$B$59)/30)+K7*MIN(30,'0. Assumptions'!$B$59)/30)),"")</f>
        <v>-10096.702233870345</v>
      </c>
      <c r="M11" s="40">
        <f>IFERROR(IF('3-Year P&amp;L'!$B$9="","",-('3-Year P&amp;L'!$B$13*(1+'3-Year P&amp;L'!$G$13)+'3-Year P&amp;L'!$B$14*(1+'3-Year P&amp;L'!$G$14)+'3-Year P&amp;L'!$B$15*(1+'3-Year P&amp;L'!$G$15)+'3-Year P&amp;L'!$B$16*(1+'3-Year P&amp;L'!$G$16)+'3-Year P&amp;L'!$B$17*(1+'3-Year P&amp;L'!$G$17)+'3-Year P&amp;L'!$B$18*(1+'3-Year P&amp;L'!$G$18))*(M7*(1-MIN(30,'0. Assumptions'!$B$59)/30)+L7*MIN(30,'0. Assumptions'!$B$59)/30)),"")</f>
        <v>-11551.841459441403</v>
      </c>
      <c r="N11" s="40">
        <f>IFERROR(IF('3-Year P&amp;L'!$B$9="","",SUM(B11:M11)),"")</f>
        <v>-118791.58512849764</v>
      </c>
      <c r="O11" s="28"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7 payment days, the last purchases of the year are paid next year: the "Year" column of this row holds 11 months of purchases, not the year's cost.</v>
      </c>
    </row>
    <row r="12">
      <c r="A12" s="28" t="inlineStr">
        <is>
          <t>Operating fixed costs (incl. sales tax)</t>
        </is>
      </c>
      <c r="B12" s="40">
        <f>IFERROR(IF('3-Year P&amp;L'!$B$9="","",-('3-Year P&amp;L'!$B$38-'3-Year P&amp;L'!$B$23-'3-Year P&amp;L'!$B$36-'3-Year P&amp;L'!$B$37+'3-Year P&amp;L'!$B$40)/12),"")</f>
        <v>-3474.9999999999995</v>
      </c>
      <c r="C12" s="40">
        <f>IFERROR(IF('3-Year P&amp;L'!$B$9="","",-('3-Year P&amp;L'!$B$38-'3-Year P&amp;L'!$B$23-'3-Year P&amp;L'!$B$36-'3-Year P&amp;L'!$B$37+'3-Year P&amp;L'!$B$40)/12),"")</f>
        <v>-3474.9999999999995</v>
      </c>
      <c r="D12" s="40">
        <f>IFERROR(IF('3-Year P&amp;L'!$B$9="","",-('3-Year P&amp;L'!$B$38-'3-Year P&amp;L'!$B$23-'3-Year P&amp;L'!$B$36-'3-Year P&amp;L'!$B$37+'3-Year P&amp;L'!$B$40)/12),"")</f>
        <v>-3474.9999999999995</v>
      </c>
      <c r="E12" s="40">
        <f>IFERROR(IF('3-Year P&amp;L'!$B$9="","",-('3-Year P&amp;L'!$B$38-'3-Year P&amp;L'!$B$23-'3-Year P&amp;L'!$B$36-'3-Year P&amp;L'!$B$37+'3-Year P&amp;L'!$B$40)/12),"")</f>
        <v>-3474.9999999999995</v>
      </c>
      <c r="F12" s="40">
        <f>IFERROR(IF('3-Year P&amp;L'!$B$9="","",-('3-Year P&amp;L'!$B$38-'3-Year P&amp;L'!$B$23-'3-Year P&amp;L'!$B$36-'3-Year P&amp;L'!$B$37+'3-Year P&amp;L'!$B$40)/12),"")</f>
        <v>-3474.9999999999995</v>
      </c>
      <c r="G12" s="40">
        <f>IFERROR(IF('3-Year P&amp;L'!$B$9="","",-('3-Year P&amp;L'!$B$38-'3-Year P&amp;L'!$B$23-'3-Year P&amp;L'!$B$36-'3-Year P&amp;L'!$B$37+'3-Year P&amp;L'!$B$40)/12),"")</f>
        <v>-3474.9999999999995</v>
      </c>
      <c r="H12" s="40">
        <f>IFERROR(IF('3-Year P&amp;L'!$B$9="","",-('3-Year P&amp;L'!$B$38-'3-Year P&amp;L'!$B$23-'3-Year P&amp;L'!$B$36-'3-Year P&amp;L'!$B$37+'3-Year P&amp;L'!$B$40)/12),"")</f>
        <v>-3474.9999999999995</v>
      </c>
      <c r="I12" s="40">
        <f>IFERROR(IF('3-Year P&amp;L'!$B$9="","",-('3-Year P&amp;L'!$B$38-'3-Year P&amp;L'!$B$23-'3-Year P&amp;L'!$B$36-'3-Year P&amp;L'!$B$37+'3-Year P&amp;L'!$B$40)/12),"")</f>
        <v>-3474.9999999999995</v>
      </c>
      <c r="J12" s="40">
        <f>IFERROR(IF('3-Year P&amp;L'!$B$9="","",-('3-Year P&amp;L'!$B$38-'3-Year P&amp;L'!$B$23-'3-Year P&amp;L'!$B$36-'3-Year P&amp;L'!$B$37+'3-Year P&amp;L'!$B$40)/12),"")</f>
        <v>-3474.9999999999995</v>
      </c>
      <c r="K12" s="40">
        <f>IFERROR(IF('3-Year P&amp;L'!$B$9="","",-('3-Year P&amp;L'!$B$38-'3-Year P&amp;L'!$B$23-'3-Year P&amp;L'!$B$36-'3-Year P&amp;L'!$B$37+'3-Year P&amp;L'!$B$40)/12),"")</f>
        <v>-3474.9999999999995</v>
      </c>
      <c r="L12" s="40">
        <f>IFERROR(IF('3-Year P&amp;L'!$B$9="","",-('3-Year P&amp;L'!$B$38-'3-Year P&amp;L'!$B$23-'3-Year P&amp;L'!$B$36-'3-Year P&amp;L'!$B$37+'3-Year P&amp;L'!$B$40)/12),"")</f>
        <v>-3474.9999999999995</v>
      </c>
      <c r="M12" s="40">
        <f>IFERROR(IF('3-Year P&amp;L'!$B$9="","",-('3-Year P&amp;L'!$B$38-'3-Year P&amp;L'!$B$23-'3-Year P&amp;L'!$B$36-'3-Year P&amp;L'!$B$37+'3-Year P&amp;L'!$B$40)/12),"")</f>
        <v>-3474.9999999999995</v>
      </c>
      <c r="N12" s="40">
        <f>IFERROR(IF('3-Year P&amp;L'!$B$9="","",SUM(B12:M12)),"")</f>
        <v>-41699.99999999999</v>
      </c>
      <c r="O12" s="28" t="inlineStr">
        <is>
          <t>The fixed costs that leave cash, each with its own tax rate: insurance carries none</t>
        </is>
      </c>
    </row>
    <row r="13">
      <c r="A13" s="28" t="inlineStr">
        <is>
          <t>Payroll and employer payroll taxes</t>
        </is>
      </c>
      <c r="B13" s="40">
        <f>IFERROR(IF('3-Year P&amp;L'!$B$9="","",-'3-Year P&amp;L'!$B$23/MAX(12,'0. Assumptions'!$B$21)*(1+IF(1='0. Assumptions'!$B$60,(MAX(12,'0. Assumptions'!$B$21)-12)/2,0)+IF(1='0. Assumptions'!$B$61,(MAX(12,'0. Assumptions'!$B$21)-12)/2,0))),"")</f>
        <v>-6351.400000000001</v>
      </c>
      <c r="C13" s="40">
        <f>IFERROR(IF('3-Year P&amp;L'!$B$9="","",-'3-Year P&amp;L'!$B$23/MAX(12,'0. Assumptions'!$B$21)*(1+IF(2='0. Assumptions'!$B$60,(MAX(12,'0. Assumptions'!$B$21)-12)/2,0)+IF(2='0. Assumptions'!$B$61,(MAX(12,'0. Assumptions'!$B$21)-12)/2,0))),"")</f>
        <v>-6351.400000000001</v>
      </c>
      <c r="D13" s="40">
        <f>IFERROR(IF('3-Year P&amp;L'!$B$9="","",-'3-Year P&amp;L'!$B$23/MAX(12,'0. Assumptions'!$B$21)*(1+IF(3='0. Assumptions'!$B$60,(MAX(12,'0. Assumptions'!$B$21)-12)/2,0)+IF(3='0. Assumptions'!$B$61,(MAX(12,'0. Assumptions'!$B$21)-12)/2,0))),"")</f>
        <v>-6351.400000000001</v>
      </c>
      <c r="E13" s="40">
        <f>IFERROR(IF('3-Year P&amp;L'!$B$9="","",-'3-Year P&amp;L'!$B$23/MAX(12,'0. Assumptions'!$B$21)*(1+IF(4='0. Assumptions'!$B$60,(MAX(12,'0. Assumptions'!$B$21)-12)/2,0)+IF(4='0. Assumptions'!$B$61,(MAX(12,'0. Assumptions'!$B$21)-12)/2,0))),"")</f>
        <v>-6351.400000000001</v>
      </c>
      <c r="F13" s="40">
        <f>IFERROR(IF('3-Year P&amp;L'!$B$9="","",-'3-Year P&amp;L'!$B$23/MAX(12,'0. Assumptions'!$B$21)*(1+IF(5='0. Assumptions'!$B$60,(MAX(12,'0. Assumptions'!$B$21)-12)/2,0)+IF(5='0. Assumptions'!$B$61,(MAX(12,'0. Assumptions'!$B$21)-12)/2,0))),"")</f>
        <v>-6351.400000000001</v>
      </c>
      <c r="G13" s="40">
        <f>IFERROR(IF('3-Year P&amp;L'!$B$9="","",-'3-Year P&amp;L'!$B$23/MAX(12,'0. Assumptions'!$B$21)*(1+IF(6='0. Assumptions'!$B$60,(MAX(12,'0. Assumptions'!$B$21)-12)/2,0)+IF(6='0. Assumptions'!$B$61,(MAX(12,'0. Assumptions'!$B$21)-12)/2,0))),"")</f>
        <v>-6351.400000000001</v>
      </c>
      <c r="H13" s="40">
        <f>IFERROR(IF('3-Year P&amp;L'!$B$9="","",-'3-Year P&amp;L'!$B$23/MAX(12,'0. Assumptions'!$B$21)*(1+IF(7='0. Assumptions'!$B$60,(MAX(12,'0. Assumptions'!$B$21)-12)/2,0)+IF(7='0. Assumptions'!$B$61,(MAX(12,'0. Assumptions'!$B$21)-12)/2,0))),"")</f>
        <v>-6351.400000000001</v>
      </c>
      <c r="I13" s="40">
        <f>IFERROR(IF('3-Year P&amp;L'!$B$9="","",-'3-Year P&amp;L'!$B$23/MAX(12,'0. Assumptions'!$B$21)*(1+IF(8='0. Assumptions'!$B$60,(MAX(12,'0. Assumptions'!$B$21)-12)/2,0)+IF(8='0. Assumptions'!$B$61,(MAX(12,'0. Assumptions'!$B$21)-12)/2,0))),"")</f>
        <v>-6351.400000000001</v>
      </c>
      <c r="J13" s="40">
        <f>IFERROR(IF('3-Year P&amp;L'!$B$9="","",-'3-Year P&amp;L'!$B$23/MAX(12,'0. Assumptions'!$B$21)*(1+IF(9='0. Assumptions'!$B$60,(MAX(12,'0. Assumptions'!$B$21)-12)/2,0)+IF(9='0. Assumptions'!$B$61,(MAX(12,'0. Assumptions'!$B$21)-12)/2,0))),"")</f>
        <v>-6351.400000000001</v>
      </c>
      <c r="K13" s="40">
        <f>IFERROR(IF('3-Year P&amp;L'!$B$9="","",-'3-Year P&amp;L'!$B$23/MAX(12,'0. Assumptions'!$B$21)*(1+IF(10='0. Assumptions'!$B$60,(MAX(12,'0. Assumptions'!$B$21)-12)/2,0)+IF(10='0. Assumptions'!$B$61,(MAX(12,'0. Assumptions'!$B$21)-12)/2,0))),"")</f>
        <v>-6351.400000000001</v>
      </c>
      <c r="L13" s="40">
        <f>IFERROR(IF('3-Year P&amp;L'!$B$9="","",-'3-Year P&amp;L'!$B$23/MAX(12,'0. Assumptions'!$B$21)*(1+IF(11='0. Assumptions'!$B$60,(MAX(12,'0. Assumptions'!$B$21)-12)/2,0)+IF(11='0. Assumptions'!$B$61,(MAX(12,'0. Assumptions'!$B$21)-12)/2,0))),"")</f>
        <v>-6351.400000000001</v>
      </c>
      <c r="M13" s="40">
        <f>IFERROR(IF('3-Year P&amp;L'!$B$9="","",-'3-Year P&amp;L'!$B$23/MAX(12,'0. Assumptions'!$B$21)*(1+IF(12='0. Assumptions'!$B$60,(MAX(12,'0. Assumptions'!$B$21)-12)/2,0)+IF(12='0. Assumptions'!$B$61,(MAX(12,'0. Assumptions'!$B$21)-12)/2,0))),"")</f>
        <v>-6351.400000000001</v>
      </c>
      <c r="N13" s="40">
        <f>IFERROR(IF('3-Year P&amp;L'!$B$9="","",SUM(B13:M13)),"")</f>
        <v>-76216.8</v>
      </c>
      <c r="O13" s="28" t="inlineStr">
        <is>
          <t>Twelve monthly installments plus extra pay periods in the months you set in Assumptions (only if pay periods &gt; 12). The total for the year is the same as the P&amp;L's</t>
        </is>
      </c>
    </row>
    <row r="14">
      <c r="A14" s="28" t="inlineStr">
        <is>
          <t>Loan interest</t>
        </is>
      </c>
      <c r="B14" s="40">
        <f>IFERROR(IF('3-Year P&amp;L'!$B$9="","",-Financing!$B$44/12),"")</f>
        <v>-933.3333333333334</v>
      </c>
      <c r="C14" s="40">
        <f>IFERROR(IF('3-Year P&amp;L'!$B$9="","",-Financing!$B$44/12),"")</f>
        <v>-933.3333333333334</v>
      </c>
      <c r="D14" s="40">
        <f>IFERROR(IF('3-Year P&amp;L'!$B$9="","",-Financing!$B$44/12),"")</f>
        <v>-933.3333333333334</v>
      </c>
      <c r="E14" s="40">
        <f>IFERROR(IF('3-Year P&amp;L'!$B$9="","",-Financing!$B$44/12),"")</f>
        <v>-933.3333333333334</v>
      </c>
      <c r="F14" s="40">
        <f>IFERROR(IF('3-Year P&amp;L'!$B$9="","",-Financing!$B$44/12),"")</f>
        <v>-933.3333333333334</v>
      </c>
      <c r="G14" s="40">
        <f>IFERROR(IF('3-Year P&amp;L'!$B$9="","",-Financing!$B$44/12),"")</f>
        <v>-933.3333333333334</v>
      </c>
      <c r="H14" s="40">
        <f>IFERROR(IF('3-Year P&amp;L'!$B$9="","",-Financing!$B$44/12),"")</f>
        <v>-933.3333333333334</v>
      </c>
      <c r="I14" s="40">
        <f>IFERROR(IF('3-Year P&amp;L'!$B$9="","",-Financing!$B$44/12),"")</f>
        <v>-933.3333333333334</v>
      </c>
      <c r="J14" s="40">
        <f>IFERROR(IF('3-Year P&amp;L'!$B$9="","",-Financing!$B$44/12),"")</f>
        <v>-933.3333333333334</v>
      </c>
      <c r="K14" s="40">
        <f>IFERROR(IF('3-Year P&amp;L'!$B$9="","",-Financing!$B$44/12),"")</f>
        <v>-933.3333333333334</v>
      </c>
      <c r="L14" s="40">
        <f>IFERROR(IF('3-Year P&amp;L'!$B$9="","",-Financing!$B$44/12),"")</f>
        <v>-933.3333333333334</v>
      </c>
      <c r="M14" s="40">
        <f>IFERROR(IF('3-Year P&amp;L'!$B$9="","",-Financing!$B$44/12),"")</f>
        <v>-933.3333333333334</v>
      </c>
      <c r="N14" s="40">
        <f>IFERROR(IF('3-Year P&amp;L'!$B$9="","",SUM(B14:M14)),"")</f>
        <v>-11200.0</v>
      </c>
      <c r="O14" s="28" t="n"/>
    </row>
    <row r="15">
      <c r="A15" s="28" t="inlineStr">
        <is>
          <t>Loan principal repaid</t>
        </is>
      </c>
      <c r="B15" s="40">
        <f>IFERROR(IF('3-Year P&amp;L'!$B$9="","",-Financing!$B$45/12),"")</f>
        <v>-983.7846638722252</v>
      </c>
      <c r="C15" s="40">
        <f>IFERROR(IF('3-Year P&amp;L'!$B$9="","",-Financing!$B$45/12),"")</f>
        <v>-983.7846638722252</v>
      </c>
      <c r="D15" s="40">
        <f>IFERROR(IF('3-Year P&amp;L'!$B$9="","",-Financing!$B$45/12),"")</f>
        <v>-983.7846638722252</v>
      </c>
      <c r="E15" s="40">
        <f>IFERROR(IF('3-Year P&amp;L'!$B$9="","",-Financing!$B$45/12),"")</f>
        <v>-983.7846638722252</v>
      </c>
      <c r="F15" s="40">
        <f>IFERROR(IF('3-Year P&amp;L'!$B$9="","",-Financing!$B$45/12),"")</f>
        <v>-983.7846638722252</v>
      </c>
      <c r="G15" s="40">
        <f>IFERROR(IF('3-Year P&amp;L'!$B$9="","",-Financing!$B$45/12),"")</f>
        <v>-983.7846638722252</v>
      </c>
      <c r="H15" s="40">
        <f>IFERROR(IF('3-Year P&amp;L'!$B$9="","",-Financing!$B$45/12),"")</f>
        <v>-983.7846638722252</v>
      </c>
      <c r="I15" s="40">
        <f>IFERROR(IF('3-Year P&amp;L'!$B$9="","",-Financing!$B$45/12),"")</f>
        <v>-983.7846638722252</v>
      </c>
      <c r="J15" s="40">
        <f>IFERROR(IF('3-Year P&amp;L'!$B$9="","",-Financing!$B$45/12),"")</f>
        <v>-983.7846638722252</v>
      </c>
      <c r="K15" s="40">
        <f>IFERROR(IF('3-Year P&amp;L'!$B$9="","",-Financing!$B$45/12),"")</f>
        <v>-983.7846638722252</v>
      </c>
      <c r="L15" s="40">
        <f>IFERROR(IF('3-Year P&amp;L'!$B$9="","",-Financing!$B$45/12),"")</f>
        <v>-983.7846638722252</v>
      </c>
      <c r="M15" s="40">
        <f>IFERROR(IF('3-Year P&amp;L'!$B$9="","",-Financing!$B$45/12),"")</f>
        <v>-983.7846638722252</v>
      </c>
      <c r="N15" s="40">
        <f>IFERROR(IF('3-Year P&amp;L'!$B$9="","",SUM(B15:M15)),"")</f>
        <v>-11805.415966466702</v>
      </c>
      <c r="O15" s="28" t="n"/>
    </row>
    <row r="16">
      <c r="A16" s="28" t="inlineStr">
        <is>
          <t>Sales tax collected (memo)</t>
        </is>
      </c>
      <c r="B16" s="40">
        <f>IFERROR(IF('3-Year P&amp;L'!$B$9="","",'3-Year P&amp;L'!$B$9*B7*SUMPRODUCT('3-Year P&amp;L'!$E$10:$E$11,'3-Year P&amp;L'!$G$10:$G$11)),"")</f>
        <v>846.5582363370077</v>
      </c>
      <c r="C16" s="40">
        <f>IFERROR(IF('3-Year P&amp;L'!$B$9="","",'3-Year P&amp;L'!$B$9*C7*SUMPRODUCT('3-Year P&amp;L'!$E$10:$E$11,'3-Year P&amp;L'!$G$10:$G$11)),"")</f>
        <v>1017.9221459955293</v>
      </c>
      <c r="D16" s="40">
        <f>IFERROR(IF('3-Year P&amp;L'!$B$9="","",'3-Year P&amp;L'!$B$9*D7*SUMPRODUCT('3-Year P&amp;L'!$E$10:$E$11,'3-Year P&amp;L'!$G$10:$G$11)),"")</f>
        <v>1404.517073922763</v>
      </c>
      <c r="E16" s="40">
        <f>IFERROR(IF('3-Year P&amp;L'!$B$9="","",'3-Year P&amp;L'!$B$9*E7*SUMPRODUCT('3-Year P&amp;L'!$E$10:$E$11,'3-Year P&amp;L'!$G$10:$G$11)),"")</f>
        <v>1682.8551607184156</v>
      </c>
      <c r="F16" s="40">
        <f>IFERROR(IF('3-Year P&amp;L'!$B$9="","",'3-Year P&amp;L'!$B$9*F7*SUMPRODUCT('3-Year P&amp;L'!$E$10:$E$11,'3-Year P&amp;L'!$G$10:$G$11)),"")</f>
        <v>2054.3146535111387</v>
      </c>
      <c r="G16" s="40">
        <f>IFERROR(IF('3-Year P&amp;L'!$B$9="","",'3-Year P&amp;L'!$B$9*G7*SUMPRODUCT('3-Year P&amp;L'!$E$10:$E$11,'3-Year P&amp;L'!$G$10:$G$11)),"")</f>
        <v>2514.021429122023</v>
      </c>
      <c r="H16" s="40">
        <f>IFERROR(IF('3-Year P&amp;L'!$B$9="","",'3-Year P&amp;L'!$B$9*H7*SUMPRODUCT('3-Year P&amp;L'!$E$10:$E$11,'3-Year P&amp;L'!$G$10:$G$11)),"")</f>
        <v>2693.594388345024</v>
      </c>
      <c r="I16" s="40">
        <f>IFERROR(IF('3-Year P&amp;L'!$B$9="","",'3-Year P&amp;L'!$B$9*I7*SUMPRODUCT('3-Year P&amp;L'!$E$10:$E$11,'3-Year P&amp;L'!$G$10:$G$11)),"")</f>
        <v>2565.3279889000237</v>
      </c>
      <c r="J16" s="40">
        <f>IFERROR(IF('3-Year P&amp;L'!$B$9="","",'3-Year P&amp;L'!$B$9*J7*SUMPRODUCT('3-Year P&amp;L'!$E$10:$E$11,'3-Year P&amp;L'!$G$10:$G$11)),"")</f>
        <v>2257.488630232021</v>
      </c>
      <c r="K16" s="40">
        <f>IFERROR(IF('3-Year P&amp;L'!$B$9="","",'3-Year P&amp;L'!$B$9*K7*SUMPRODUCT('3-Year P&amp;L'!$E$10:$E$11,'3-Year P&amp;L'!$G$10:$G$11)),"")</f>
        <v>2052.262391120019</v>
      </c>
      <c r="L16" s="40">
        <f>IFERROR(IF('3-Year P&amp;L'!$B$9="","",'3-Year P&amp;L'!$B$9*L7*SUMPRODUCT('3-Year P&amp;L'!$E$10:$E$11,'3-Year P&amp;L'!$G$10:$G$11)),"")</f>
        <v>1898.3427117860172</v>
      </c>
      <c r="M16" s="40">
        <f>IFERROR(IF('3-Year P&amp;L'!$B$9="","",'3-Year P&amp;L'!$B$9*M7*SUMPRODUCT('3-Year P&amp;L'!$E$10:$E$11,'3-Year P&amp;L'!$G$10:$G$11)),"")</f>
        <v>2308.795190010021</v>
      </c>
      <c r="N16" s="40">
        <f>IFERROR(IF('3-Year P&amp;L'!$B$9="","",SUM(B16:M16)),"")</f>
        <v>23296.0</v>
      </c>
      <c r="O16" s="28" t="inlineStr">
        <is>
          <t>Each sales line at ITS OWN rate, read from the sales tax column of the P&amp;L (alcohol to go has its own rate cell in the Assumptions tab)</t>
        </is>
      </c>
    </row>
    <row r="17">
      <c r="A17" s="28" t="inlineStr">
        <is>
          <t>Recoverable input tax (memo)</t>
        </is>
      </c>
      <c r="B17" s="40">
        <f>IFERROR(IF('3-Year P&amp;L'!$B$9="","",'3-Year P&amp;L'!$B$39*B7+'3-Year P&amp;L'!$B$40/12),"")</f>
        <v>0.0</v>
      </c>
      <c r="C17" s="40">
        <f>IFERROR(IF('3-Year P&amp;L'!$B$9="","",'3-Year P&amp;L'!$B$39*C7+'3-Year P&amp;L'!$B$40/12),"")</f>
        <v>0.0</v>
      </c>
      <c r="D17" s="40">
        <f>IFERROR(IF('3-Year P&amp;L'!$B$9="","",'3-Year P&amp;L'!$B$39*D7+'3-Year P&amp;L'!$B$40/12),"")</f>
        <v>0.0</v>
      </c>
      <c r="E17" s="40">
        <f>IFERROR(IF('3-Year P&amp;L'!$B$9="","",'3-Year P&amp;L'!$B$39*E7+'3-Year P&amp;L'!$B$40/12),"")</f>
        <v>0.0</v>
      </c>
      <c r="F17" s="40">
        <f>IFERROR(IF('3-Year P&amp;L'!$B$9="","",'3-Year P&amp;L'!$B$39*F7+'3-Year P&amp;L'!$B$40/12),"")</f>
        <v>0.0</v>
      </c>
      <c r="G17" s="40">
        <f>IFERROR(IF('3-Year P&amp;L'!$B$9="","",'3-Year P&amp;L'!$B$39*G7+'3-Year P&amp;L'!$B$40/12),"")</f>
        <v>0.0</v>
      </c>
      <c r="H17" s="40">
        <f>IFERROR(IF('3-Year P&amp;L'!$B$9="","",'3-Year P&amp;L'!$B$39*H7+'3-Year P&amp;L'!$B$40/12),"")</f>
        <v>0.0</v>
      </c>
      <c r="I17" s="40">
        <f>IFERROR(IF('3-Year P&amp;L'!$B$9="","",'3-Year P&amp;L'!$B$39*I7+'3-Year P&amp;L'!$B$40/12),"")</f>
        <v>0.0</v>
      </c>
      <c r="J17" s="40">
        <f>IFERROR(IF('3-Year P&amp;L'!$B$9="","",'3-Year P&amp;L'!$B$39*J7+'3-Year P&amp;L'!$B$40/12),"")</f>
        <v>0.0</v>
      </c>
      <c r="K17" s="40">
        <f>IFERROR(IF('3-Year P&amp;L'!$B$9="","",'3-Year P&amp;L'!$B$39*K7+'3-Year P&amp;L'!$B$40/12),"")</f>
        <v>0.0</v>
      </c>
      <c r="L17" s="40">
        <f>IFERROR(IF('3-Year P&amp;L'!$B$9="","",'3-Year P&amp;L'!$B$39*L7+'3-Year P&amp;L'!$B$40/12),"")</f>
        <v>0.0</v>
      </c>
      <c r="M17" s="40">
        <f>IFERROR(IF('3-Year P&amp;L'!$B$9="","",'3-Year P&amp;L'!$B$39*M7+'3-Year P&amp;L'!$B$40/12),"")</f>
        <v>0.0</v>
      </c>
      <c r="N17" s="40">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40">
        <f>IFERROR(IF('3-Year P&amp;L'!$B$9="","",'Startup Costs'!$B$28),"")</f>
        <v>0.0</v>
      </c>
      <c r="F18" s="28" t="n"/>
      <c r="G18" s="28" t="n"/>
      <c r="H18" s="40">
        <f>IFERROR(IF('3-Year P&amp;L'!$B$9="","",MAX(0,-E19)),"")</f>
        <v>0.0</v>
      </c>
      <c r="I18" s="28" t="n"/>
      <c r="J18" s="28" t="n"/>
      <c r="K18" s="40">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40">
        <f>IFERROR(IF('3-Year P&amp;L'!$B$9="","",SUM(B16:D16)-SUM(B17:D17)-E18),"")</f>
        <v>3268.9974562552998</v>
      </c>
      <c r="F19" s="28" t="n"/>
      <c r="G19" s="28" t="n"/>
      <c r="H19" s="40">
        <f>IFERROR(IF('3-Year P&amp;L'!$B$9="","",SUM(E16:G16)-SUM(E17:G17)-H18),"")</f>
        <v>6251.191243351577</v>
      </c>
      <c r="I19" s="28" t="n"/>
      <c r="J19" s="28" t="n"/>
      <c r="K19" s="40">
        <f>IFERROR(IF('3-Year P&amp;L'!$B$9="","",SUM(H16:J16)-SUM(H17:J17)-K18),"")</f>
        <v>7516.411007477069</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40">
        <f>IFERROR(IF('3-Year P&amp;L'!$B$9="","",IF(E19&lt;=0,"",-E19)),"")</f>
        <v>-3268.9974562552998</v>
      </c>
      <c r="F20" s="28" t="n"/>
      <c r="G20" s="28" t="n"/>
      <c r="H20" s="40">
        <f>IFERROR(IF('3-Year P&amp;L'!$B$9="","",IF(H19&lt;=0,"",-H19)),"")</f>
        <v>-6251.191243351577</v>
      </c>
      <c r="I20" s="28" t="n"/>
      <c r="J20" s="28" t="n"/>
      <c r="K20" s="40">
        <f>IFERROR(IF('3-Year P&amp;L'!$B$9="","",IF(K19&lt;=0,"",-K19)),"")</f>
        <v>-7516.411007477069</v>
      </c>
      <c r="L20" s="28" t="n"/>
      <c r="M20" s="28" t="n"/>
      <c r="N20" s="40">
        <f>IFERROR(IF('3-Year P&amp;L'!$B$9="","",SUM(B20:M20)),"")</f>
        <v>-17036.599707083944</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5" t="inlineStr">
        <is>
          <t>MONTHLY NET CASH FLOW</t>
        </is>
      </c>
      <c r="B21" s="66">
        <f>IFERROR(IF('3-Year P&amp;L'!$B$9="","",SUM(B9:B15)+IF(B20="",0,B20)),"")</f>
        <v>-4083.818510579489</v>
      </c>
      <c r="C21" s="66">
        <f>IFERROR(IF('3-Year P&amp;L'!$B$9="","",SUM(C9:C15)+IF(C20="",0,C20)),"")</f>
        <v>-3183.4540246677243</v>
      </c>
      <c r="D21" s="66">
        <f>IFERROR(IF('3-Year P&amp;L'!$B$9="","",SUM(D9:D15)+IF(D20="",0,D20)),"")</f>
        <v>182.87042399745417</v>
      </c>
      <c r="E21" s="66">
        <f>IFERROR(IF('3-Year P&amp;L'!$B$9="","",SUM(E9:E15)+IF(E20="",0,E20)),"")</f>
        <v>-864.6099527028673</v>
      </c>
      <c r="F21" s="66">
        <f>IFERROR(IF('3-Year P&amp;L'!$B$9="","",SUM(F9:F15)+IF(F20="",0,F20)),"")</f>
        <v>5551.611201879726</v>
      </c>
      <c r="G21" s="66">
        <f>IFERROR(IF('3-Year P&amp;L'!$B$9="","",SUM(G9:G15)+IF(G20="",0,G20)),"")</f>
        <v>9425.784661876123</v>
      </c>
      <c r="H21" s="66">
        <f>IFERROR(IF('3-Year P&amp;L'!$B$9="","",SUM(H9:H15)+IF(H20="",0,H20)),"")</f>
        <v>4446.330058499883</v>
      </c>
      <c r="I21" s="66">
        <f>IFERROR(IF('3-Year P&amp;L'!$B$9="","",SUM(I9:I15)+IF(I20="",0,I20)),"")</f>
        <v>9399.051359663843</v>
      </c>
      <c r="J21" s="66">
        <f>IFERROR(IF('3-Year P&amp;L'!$B$9="","",SUM(J9:J15)+IF(J20="",0,J20)),"")</f>
        <v>6712.212816021918</v>
      </c>
      <c r="K21" s="66">
        <f>IFERROR(IF('3-Year P&amp;L'!$B$9="","",SUM(K9:K15)+IF(K20="",0,K20)),"")</f>
        <v>-2424.67889856479</v>
      </c>
      <c r="L21" s="66">
        <f>IFERROR(IF('3-Year P&amp;L'!$B$9="","",SUM(L9:L15)+IF(L20="",0,L20)),"")</f>
        <v>3856.6702337356314</v>
      </c>
      <c r="M21" s="66">
        <f>IFERROR(IF('3-Year P&amp;L'!$B$9="","",SUM(M9:M15)+IF(M20="",0,M20)),"")</f>
        <v>7688.671993287519</v>
      </c>
      <c r="N21" s="66">
        <f>IFERROR(IF('3-Year P&amp;L'!$B$9="","",SUM(B21:M21)),"")</f>
        <v>36706.641362447226</v>
      </c>
      <c r="O21" s="28" t="n"/>
    </row>
    <row r="22">
      <c r="A22" s="25" t="inlineStr">
        <is>
          <t>CUMULATIVE CASH BALANCE</t>
        </is>
      </c>
      <c r="B22" s="66">
        <f>IFERROR(IF('3-Year P&amp;L'!$B$9="","",'Startup Costs'!$B$25+B21),"")</f>
        <v>28195.381489420513</v>
      </c>
      <c r="C22" s="66">
        <f>IFERROR(IF('3-Year P&amp;L'!$B$9="","",B22+C21),"")</f>
        <v>25011.92746475279</v>
      </c>
      <c r="D22" s="66">
        <f>IFERROR(IF('3-Year P&amp;L'!$B$9="","",C22+D21),"")</f>
        <v>25194.797888750243</v>
      </c>
      <c r="E22" s="66">
        <f>IFERROR(IF('3-Year P&amp;L'!$B$9="","",D22+E21),"")</f>
        <v>24330.187936047376</v>
      </c>
      <c r="F22" s="66">
        <f>IFERROR(IF('3-Year P&amp;L'!$B$9="","",E22+F21),"")</f>
        <v>29881.7991379271</v>
      </c>
      <c r="G22" s="66">
        <f>IFERROR(IF('3-Year P&amp;L'!$B$9="","",F22+G21),"")</f>
        <v>39307.58379980322</v>
      </c>
      <c r="H22" s="66">
        <f>IFERROR(IF('3-Year P&amp;L'!$B$9="","",G22+H21),"")</f>
        <v>43753.9138583031</v>
      </c>
      <c r="I22" s="66">
        <f>IFERROR(IF('3-Year P&amp;L'!$B$9="","",H22+I21),"")</f>
        <v>53152.96521796694</v>
      </c>
      <c r="J22" s="66">
        <f>IFERROR(IF('3-Year P&amp;L'!$B$9="","",I22+J21),"")</f>
        <v>59865.178033988865</v>
      </c>
      <c r="K22" s="66">
        <f>IFERROR(IF('3-Year P&amp;L'!$B$9="","",J22+K21),"")</f>
        <v>57440.49913542408</v>
      </c>
      <c r="L22" s="66">
        <f>IFERROR(IF('3-Year P&amp;L'!$B$9="","",K22+L21),"")</f>
        <v>61297.16936915971</v>
      </c>
      <c r="M22" s="66">
        <f>IFERROR(IF('3-Year P&amp;L'!$B$9="","",L22+M21),"")</f>
        <v>68985.84136244723</v>
      </c>
      <c r="N22" s="28" t="n"/>
      <c r="O22" s="28" t="n"/>
    </row>
    <row r="23">
      <c r="A23" s="28" t="inlineStr">
        <is>
          <t>Minimum balance of the year</t>
        </is>
      </c>
      <c r="B23" s="40">
        <f>IFERROR(IF('3-Year P&amp;L'!$B$9="","",IF(COUNT(B22:M22)=0,"",MIN(B22:M22))),"")</f>
        <v>24330.187936047376</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40">
        <f>IFERROR(IF('3-Year P&amp;L'!$B$9="","",IF(COUNT(B22:M22)=0,"",MATCH(MIN(B22:M22),B22:M22,0))),"")</f>
        <v>4.0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40">
        <f>IFERROR(IF('3-Year P&amp;L'!$B$9="","",'3-Year P&amp;L'!$B$48+'3-Year P&amp;L'!$B$36+Financing!$B$44),"")</f>
        <v>45192.509142857154</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40">
        <f>IFERROR(IF('3-Year P&amp;L'!$B$9="","",'3-Year P&amp;L'!$C$48+'3-Year P&amp;L'!$C$36+Financing!$B$46),"")</f>
        <v>59476.961543695455</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40">
        <f>IFERROR(IF('3-Year P&amp;L'!$B$9="","",'3-Year P&amp;L'!$D$48+'3-Year P&amp;L'!$D$36+Financing!$B$48),"")</f>
        <v>69279.99658461765</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40">
        <f>IFERROR(IF('3-Year P&amp;L'!$B$9="","",N21+Financing!$B$44+Financing!$B$45),"")</f>
        <v>59712.05732891393</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40">
        <f>IFERROR(IF('3-Year P&amp;L'!$B$9="","",'Startup Costs'!$B$29-'Startup Costs'!$B$28),"")</f>
        <v>146399.2</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2.6</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Costs'!$B$27,ROUND('Startup Costs'!$B$27/B26,1),IF(B26+B27&gt;='Startup Costs'!$B$27,ROUND(1+('Startup Costs'!$B$27-B26)/B27,1),IF(B26+B27+B28&gt;='Startup Costs'!$B$27,ROUND(2+('Startup Costs'!$B$27-B26-B27)/B28,1),"Over 3 years")))),"")</f>
        <v>2.1</v>
      </c>
      <c r="C32" s="28" t="n"/>
      <c r="D32" s="28" t="inlineStr">
        <is>
          <t>The same calculation on what you BUY (build-out, equipment,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40">
        <f>IFERROR(IF('0. Assumptions'!$B$30="","",'0. Assumptions'!$B$30),"")</f>
        <v>35000.0</v>
      </c>
      <c r="C6" s="28" t="n"/>
      <c r="D6" s="28" t="n"/>
      <c r="E6" s="28" t="n"/>
      <c r="F6" s="28" t="n"/>
      <c r="G6" s="28" t="n"/>
      <c r="H6" s="28" t="n"/>
    </row>
    <row r="7">
      <c r="A7" s="28" t="inlineStr">
        <is>
          <t>Loan requested — bank or SBA 7(a) (amortized below)</t>
        </is>
      </c>
      <c r="B7" s="40">
        <f>IFERROR(IF('0. Assumptions'!$B$31="","",'0. Assumptions'!$B$31),"")</f>
        <v>112000.0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6">
        <f>IFERROR(IF(COUNT(B6:B11)=0,"",SUM(B6:B11)),"")</f>
        <v>147000.0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40">
        <f>IFERROR(IF('Startup Costs'!$B$29="","",'Startup Costs'!$B$29),"")</f>
        <v>146399.2</v>
      </c>
      <c r="C14" s="28" t="inlineStr">
        <is>
          <t>Startup costs plus any recoverable tax you have to advance (zero by default in the US)</t>
        </is>
      </c>
      <c r="D14" s="28" t="n"/>
      <c r="E14" s="28" t="n"/>
      <c r="F14" s="28" t="n"/>
      <c r="G14" s="28" t="n"/>
      <c r="H14" s="28" t="n"/>
    </row>
    <row r="15">
      <c r="A15" s="25" t="inlineStr">
        <is>
          <t>Difference (sources - uses)</t>
        </is>
      </c>
      <c r="B15" s="66">
        <f>IFERROR(B12-B14,"")</f>
        <v>600.7999999999884</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8">
        <f>IFERROR(B15/B14,"")</f>
        <v>0.004103847562008456</v>
      </c>
      <c r="C16" s="28" t="inlineStr">
        <is>
          <t>Amber above the margin you set: it is debt you pay for without needing it</t>
        </is>
      </c>
      <c r="D16" s="28" t="n"/>
      <c r="E16" s="28" t="n"/>
      <c r="F16" s="28" t="n"/>
      <c r="G16" s="28" t="n"/>
      <c r="H16" s="28" t="n"/>
    </row>
    <row r="17">
      <c r="A17" s="28" t="inlineStr">
        <is>
          <t>Acceptable over-funding (%)</t>
        </is>
      </c>
      <c r="B17" s="73" t="n">
        <v>0.05</v>
      </c>
      <c r="C17" s="28" t="inlineStr">
        <is>
          <t>A small cushion over the need is healthy; 20% extra is interest thrown away</t>
        </is>
      </c>
      <c r="D17" s="28" t="n"/>
      <c r="E17" s="28" t="n"/>
      <c r="F17" s="28" t="n"/>
      <c r="G17" s="28" t="n"/>
      <c r="H17" s="28" t="n"/>
    </row>
    <row r="18">
      <c r="A18" s="28" t="inlineStr">
        <is>
          <t>Loan that would match sources to needs</t>
        </is>
      </c>
      <c r="B18" s="40">
        <f>IFERROR(MAX(0,B14-B12+B7),"")</f>
        <v>111399.20000000001</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40">
        <f>IFERROR(IF('0. Assumptions'!$B$31=0,"",'0. Assumptions'!$B$31),"")</f>
        <v>112000.0</v>
      </c>
      <c r="C20" s="28" t="n"/>
      <c r="D20" s="28" t="n"/>
      <c r="E20" s="28" t="n"/>
      <c r="F20" s="28" t="n"/>
      <c r="G20" s="28" t="n"/>
      <c r="H20" s="28" t="n"/>
    </row>
    <row r="21">
      <c r="A21" s="28" t="inlineStr">
        <is>
          <t>Nominal annual interest rate (not APR)</t>
        </is>
      </c>
      <c r="B21" s="68">
        <f>IFERROR(IF('0. Assumptions'!$B$32="","",'0. Assumptions'!$B$32),"")</f>
        <v>0.1</v>
      </c>
      <c r="C21" s="28" t="n"/>
      <c r="D21" s="28" t="n"/>
      <c r="E21" s="28" t="n"/>
      <c r="F21" s="28" t="n"/>
      <c r="G21" s="28" t="n"/>
      <c r="H21" s="28" t="n"/>
    </row>
    <row r="22">
      <c r="A22" s="28" t="inlineStr">
        <is>
          <t>Total term (years)</t>
        </is>
      </c>
      <c r="B22" s="40">
        <f>IFERROR(IF('0. Assumptions'!$B$33="","",'0. Assumptions'!$B$33),"")</f>
        <v>7.0</v>
      </c>
      <c r="C22" s="28" t="n"/>
      <c r="D22" s="28" t="n"/>
      <c r="E22" s="28" t="n"/>
      <c r="F22" s="28" t="n"/>
      <c r="G22" s="28" t="n"/>
      <c r="H22" s="28" t="n"/>
    </row>
    <row r="23">
      <c r="A23" s="28" t="inlineStr">
        <is>
          <t>Interest-only period applied (years)</t>
        </is>
      </c>
      <c r="B23" s="40">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2">
        <f>IFERROR(IF(B22-B23&lt;=0,"",IF(B21=0,B20/(B22-B23),B20*B21/(1-(1+B21)^-(B22-B23)))),"")</f>
        <v>23005.415966466702</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40" t="n">
        <v>1</v>
      </c>
      <c r="B27" s="61">
        <f>IFERROR(IF(B20="","",B20),"")</f>
        <v>112000.0</v>
      </c>
      <c r="C27" s="61">
        <f>IFERROR(IF(OR(1&gt;B22,B27=""),"",B27*B21),"")</f>
        <v>11200.0</v>
      </c>
      <c r="D27" s="61">
        <f>IFERROR(IF(OR(1&gt;B22,B27=""),"",IF(1&lt;=B23,0,MIN(B27,B24-C27))),"")</f>
        <v>11805.415966466702</v>
      </c>
      <c r="E27" s="61">
        <f>IFERROR(IF(C27="","",C27+D27),"")</f>
        <v>23005.415966466702</v>
      </c>
      <c r="F27" s="61">
        <f>IFERROR(IF(D27="","",B27-D27),"")</f>
        <v>100194.58403353329</v>
      </c>
      <c r="G27" s="61">
        <f>IFERROR(IF(E27="","",'3-Year P&amp;L'!$B$41-'3-Year P&amp;L'!$B$46+'3-Year P&amp;L'!$B$36+'3-Year P&amp;L'!$B$37),"")</f>
        <v>45192.509142857154</v>
      </c>
      <c r="H27" s="61">
        <f>IFERROR(IF(OR(E27="",E27=0),"",G27/E27),"")</f>
        <v>1.9644291243736232</v>
      </c>
    </row>
    <row r="28">
      <c r="A28" s="40" t="n">
        <v>2</v>
      </c>
      <c r="B28" s="61">
        <f>IFERROR(IF(OR(2&gt;B22,F27=""),"",F27),"")</f>
        <v>100194.58403353329</v>
      </c>
      <c r="C28" s="61">
        <f>IFERROR(IF(OR(2&gt;B22,B28=""),"",B28*B21),"")</f>
        <v>10019.45840335333</v>
      </c>
      <c r="D28" s="61">
        <f>IFERROR(IF(OR(2&gt;B22,B28=""),"",IF(2&lt;=B23,0,MIN(B28,B24-C28))),"")</f>
        <v>12985.957563113372</v>
      </c>
      <c r="E28" s="61">
        <f>IFERROR(IF(C28="","",C28+D28),"")</f>
        <v>23005.415966466702</v>
      </c>
      <c r="F28" s="61">
        <f>IFERROR(IF(D28="","",B28-D28),"")</f>
        <v>87208.62647041991</v>
      </c>
      <c r="G28" s="61">
        <f>IFERROR(IF(E28="","",'3-Year P&amp;L'!$C$41-'3-Year P&amp;L'!$C$46+'3-Year P&amp;L'!$C$36+'3-Year P&amp;L'!$C$37),"")</f>
        <v>59476.961543695455</v>
      </c>
      <c r="H28" s="61">
        <f>IFERROR(IF(OR(E28="",E28=0),"",G28/E28),"")</f>
        <v>2.585346060701125</v>
      </c>
    </row>
    <row r="29">
      <c r="A29" s="40" t="n">
        <v>3</v>
      </c>
      <c r="B29" s="61">
        <f>IFERROR(IF(OR(3&gt;B22,F28=""),"",F28),"")</f>
        <v>87208.62647041991</v>
      </c>
      <c r="C29" s="61">
        <f>IFERROR(IF(OR(3&gt;B22,B29=""),"",B29*B21),"")</f>
        <v>8720.862647041991</v>
      </c>
      <c r="D29" s="61">
        <f>IFERROR(IF(OR(3&gt;B22,B29=""),"",IF(3&lt;=B23,0,MIN(B29,B24-C29))),"")</f>
        <v>14284.553319424711</v>
      </c>
      <c r="E29" s="61">
        <f>IFERROR(IF(C29="","",C29+D29),"")</f>
        <v>23005.415966466702</v>
      </c>
      <c r="F29" s="61">
        <f>IFERROR(IF(D29="","",B29-D29),"")</f>
        <v>72924.0731509952</v>
      </c>
      <c r="G29" s="61">
        <f>IFERROR(IF(E29="","",'3-Year P&amp;L'!$D$41-'3-Year P&amp;L'!$D$46+'3-Year P&amp;L'!$D$36+'3-Year P&amp;L'!$D$37),"")</f>
        <v>69279.99658461765</v>
      </c>
      <c r="H29" s="61">
        <f>IFERROR(IF(OR(E29="",E29=0),"",G29/E29),"")</f>
        <v>3.0114646344844185</v>
      </c>
    </row>
    <row r="30">
      <c r="A30" s="40" t="n">
        <v>4</v>
      </c>
      <c r="B30" s="61">
        <f>IFERROR(IF(OR(4&gt;B22,F29=""),"",F29),"")</f>
        <v>72924.0731509952</v>
      </c>
      <c r="C30" s="61">
        <f>IFERROR(IF(OR(4&gt;B22,B30=""),"",B30*B21),"")</f>
        <v>7292.407315099521</v>
      </c>
      <c r="D30" s="61">
        <f>IFERROR(IF(OR(4&gt;B22,B30=""),"",IF(4&lt;=B23,0,MIN(B30,B24-C30))),"")</f>
        <v>15713.008651367181</v>
      </c>
      <c r="E30" s="61">
        <f>IFERROR(IF(C30="","",C30+D30),"")</f>
        <v>23005.415966466702</v>
      </c>
      <c r="F30" s="61">
        <f>IFERROR(IF(D30="","",B30-D30),"")</f>
        <v>57211.06449962802</v>
      </c>
      <c r="G30" s="61">
        <f>IFERROR(IF(E30="","",'3-Year P&amp;L'!$D$41-'3-Year P&amp;L'!$D$46+'3-Year P&amp;L'!$D$36+'3-Year P&amp;L'!$D$37),"")</f>
        <v>69279.99658461765</v>
      </c>
      <c r="H30" s="61">
        <f>IFERROR(IF(OR(E30="",E30=0),"",G30/E30),"")</f>
        <v>3.0114646344844185</v>
      </c>
    </row>
    <row r="31">
      <c r="A31" s="40" t="n">
        <v>5</v>
      </c>
      <c r="B31" s="61">
        <f>IFERROR(IF(OR(5&gt;B22,F30=""),"",F30),"")</f>
        <v>57211.06449962802</v>
      </c>
      <c r="C31" s="61">
        <f>IFERROR(IF(OR(5&gt;B22,B31=""),"",B31*B21),"")</f>
        <v>5721.106449962802</v>
      </c>
      <c r="D31" s="61">
        <f>IFERROR(IF(OR(5&gt;B22,B31=""),"",IF(5&lt;=B23,0,MIN(B31,B24-C31))),"")</f>
        <v>17284.3095165039</v>
      </c>
      <c r="E31" s="61">
        <f>IFERROR(IF(C31="","",C31+D31),"")</f>
        <v>23005.415966466702</v>
      </c>
      <c r="F31" s="61">
        <f>IFERROR(IF(D31="","",B31-D31),"")</f>
        <v>39926.75498312412</v>
      </c>
      <c r="G31" s="61">
        <f>IFERROR(IF(E31="","",'3-Year P&amp;L'!$D$41-'3-Year P&amp;L'!$D$46+'3-Year P&amp;L'!$D$36+'3-Year P&amp;L'!$D$37),"")</f>
        <v>69279.99658461765</v>
      </c>
      <c r="H31" s="61">
        <f>IFERROR(IF(OR(E31="",E31=0),"",G31/E31),"")</f>
        <v>3.0114646344844185</v>
      </c>
    </row>
    <row r="32">
      <c r="A32" s="40" t="n">
        <v>6</v>
      </c>
      <c r="B32" s="61">
        <f>IFERROR(IF(OR(6&gt;B22,F31=""),"",F31),"")</f>
        <v>39926.75498312412</v>
      </c>
      <c r="C32" s="61">
        <f>IFERROR(IF(OR(6&gt;B22,B32=""),"",B32*B21),"")</f>
        <v>3992.675498312412</v>
      </c>
      <c r="D32" s="61">
        <f>IFERROR(IF(OR(6&gt;B22,B32=""),"",IF(6&lt;=B23,0,MIN(B32,B24-C32))),"")</f>
        <v>19012.74046815429</v>
      </c>
      <c r="E32" s="61">
        <f>IFERROR(IF(C32="","",C32+D32),"")</f>
        <v>23005.415966466702</v>
      </c>
      <c r="F32" s="61">
        <f>IFERROR(IF(D32="","",B32-D32),"")</f>
        <v>20914.01451496983</v>
      </c>
      <c r="G32" s="61">
        <f>IFERROR(IF(E32="","",'3-Year P&amp;L'!$D$41-'3-Year P&amp;L'!$D$46+'3-Year P&amp;L'!$D$36+'3-Year P&amp;L'!$D$37),"")</f>
        <v>69279.99658461765</v>
      </c>
      <c r="H32" s="61">
        <f>IFERROR(IF(OR(E32="",E32=0),"",G32/E32),"")</f>
        <v>3.0114646344844185</v>
      </c>
    </row>
    <row r="33">
      <c r="A33" s="40" t="n">
        <v>7</v>
      </c>
      <c r="B33" s="61">
        <f>IFERROR(IF(OR(7&gt;B22,F32=""),"",F32),"")</f>
        <v>20914.01451496983</v>
      </c>
      <c r="C33" s="61">
        <f>IFERROR(IF(OR(7&gt;B22,B33=""),"",B33*B21),"")</f>
        <v>2091.401451496983</v>
      </c>
      <c r="D33" s="61">
        <f>IFERROR(IF(OR(7&gt;B22,B33=""),"",IF(7&lt;=B23,0,MIN(B33,B24-C33))),"")</f>
        <v>20914.01451496972</v>
      </c>
      <c r="E33" s="61">
        <f>IFERROR(IF(C33="","",C33+D33),"")</f>
        <v>23005.415966466702</v>
      </c>
      <c r="F33" s="61">
        <f>IFERROR(IF(D33="","",B33-D33),"")</f>
        <v>1.0913936421275139e-10</v>
      </c>
      <c r="G33" s="61">
        <f>IFERROR(IF(E33="","",'3-Year P&amp;L'!$D$41-'3-Year P&amp;L'!$D$46+'3-Year P&amp;L'!$D$36+'3-Year P&amp;L'!$D$37),"")</f>
        <v>69279.99658461765</v>
      </c>
      <c r="H33" s="61">
        <f>IFERROR(IF(OR(E33="",E33=0),"",G33/E33),"")</f>
        <v>3.0114646344844185</v>
      </c>
    </row>
    <row r="34">
      <c r="A34" s="40" t="n">
        <v>8</v>
      </c>
      <c r="B34" s="61">
        <f>IFERROR(IF(OR(8&gt;B22,F33=""),"",F33),"")</f>
        <v/>
      </c>
      <c r="C34" s="61">
        <f>IFERROR(IF(OR(8&gt;B22,B34=""),"",B34*B21),"")</f>
        <v/>
      </c>
      <c r="D34" s="61">
        <f>IFERROR(IF(OR(8&gt;B22,B34=""),"",IF(8&lt;=B23,0,MIN(B34,B24-C34))),"")</f>
        <v/>
      </c>
      <c r="E34" s="61">
        <f>IFERROR(IF(C34="","",C34+D34),"")</f>
        <v/>
      </c>
      <c r="F34" s="61">
        <f>IFERROR(IF(D34="","",B34-D34),"")</f>
        <v/>
      </c>
      <c r="G34" s="61">
        <f>IFERROR(IF(E34="","",'3-Year P&amp;L'!$D$41-'3-Year P&amp;L'!$D$46+'3-Year P&amp;L'!$D$36+'3-Year P&amp;L'!$D$37),"")</f>
        <v/>
      </c>
      <c r="H34" s="61">
        <f>IFERROR(IF(OR(E34="",E34=0),"",G34/E34),"")</f>
        <v/>
      </c>
    </row>
    <row r="35">
      <c r="A35" s="40" t="n">
        <v>9</v>
      </c>
      <c r="B35" s="61">
        <f>IFERROR(IF(OR(9&gt;B22,F34=""),"",F34),"")</f>
        <v/>
      </c>
      <c r="C35" s="61">
        <f>IFERROR(IF(OR(9&gt;B22,B35=""),"",B35*B21),"")</f>
        <v/>
      </c>
      <c r="D35" s="61">
        <f>IFERROR(IF(OR(9&gt;B22,B35=""),"",IF(9&lt;=B23,0,MIN(B35,B24-C35))),"")</f>
        <v/>
      </c>
      <c r="E35" s="61">
        <f>IFERROR(IF(C35="","",C35+D35),"")</f>
        <v/>
      </c>
      <c r="F35" s="61">
        <f>IFERROR(IF(D35="","",B35-D35),"")</f>
        <v/>
      </c>
      <c r="G35" s="61">
        <f>IFERROR(IF(E35="","",'3-Year P&amp;L'!$D$41-'3-Year P&amp;L'!$D$46+'3-Year P&amp;L'!$D$36+'3-Year P&amp;L'!$D$37),"")</f>
        <v/>
      </c>
      <c r="H35" s="61">
        <f>IFERROR(IF(OR(E35="",E35=0),"",G35/E35),"")</f>
        <v/>
      </c>
    </row>
    <row r="36">
      <c r="A36" s="40" t="n">
        <v>10</v>
      </c>
      <c r="B36" s="61">
        <f>IFERROR(IF(OR(10&gt;B22,F35=""),"",F35),"")</f>
        <v/>
      </c>
      <c r="C36" s="61">
        <f>IFERROR(IF(OR(10&gt;B22,B36=""),"",B36*B21),"")</f>
        <v/>
      </c>
      <c r="D36" s="61">
        <f>IFERROR(IF(OR(10&gt;B22,B36=""),"",IF(10&lt;=B23,0,MIN(B36,B24-C36))),"")</f>
        <v/>
      </c>
      <c r="E36" s="61">
        <f>IFERROR(IF(C36="","",C36+D36),"")</f>
        <v/>
      </c>
      <c r="F36" s="61">
        <f>IFERROR(IF(D36="","",B36-D36),"")</f>
        <v/>
      </c>
      <c r="G36" s="61">
        <f>IFERROR(IF(E36="","",'3-Year P&amp;L'!$D$41-'3-Year P&amp;L'!$D$46+'3-Year P&amp;L'!$D$36+'3-Year P&amp;L'!$D$37),"")</f>
        <v/>
      </c>
      <c r="H36" s="61">
        <f>IFERROR(IF(OR(E36="",E36=0),"",G36/E36),"")</f>
        <v/>
      </c>
    </row>
    <row r="37">
      <c r="A37" s="40" t="n">
        <v>11</v>
      </c>
      <c r="B37" s="61">
        <f>IFERROR(IF(OR(11&gt;B22,F36=""),"",F36),"")</f>
        <v/>
      </c>
      <c r="C37" s="61">
        <f>IFERROR(IF(OR(11&gt;B22,B37=""),"",B37*B21),"")</f>
        <v/>
      </c>
      <c r="D37" s="61">
        <f>IFERROR(IF(OR(11&gt;B22,B37=""),"",IF(11&lt;=B23,0,MIN(B37,B24-C37))),"")</f>
        <v/>
      </c>
      <c r="E37" s="61">
        <f>IFERROR(IF(C37="","",C37+D37),"")</f>
        <v/>
      </c>
      <c r="F37" s="61">
        <f>IFERROR(IF(D37="","",B37-D37),"")</f>
        <v/>
      </c>
      <c r="G37" s="61">
        <f>IFERROR(IF(E37="","",'3-Year P&amp;L'!$D$41-'3-Year P&amp;L'!$D$46+'3-Year P&amp;L'!$D$36+'3-Year P&amp;L'!$D$37),"")</f>
        <v/>
      </c>
      <c r="H37" s="61">
        <f>IFERROR(IF(OR(E37="",E37=0),"",G37/E37),"")</f>
        <v/>
      </c>
    </row>
    <row r="38">
      <c r="A38" s="40" t="n">
        <v>12</v>
      </c>
      <c r="B38" s="61">
        <f>IFERROR(IF(OR(12&gt;B22,F37=""),"",F37),"")</f>
        <v/>
      </c>
      <c r="C38" s="61">
        <f>IFERROR(IF(OR(12&gt;B22,B38=""),"",B38*B21),"")</f>
        <v/>
      </c>
      <c r="D38" s="61">
        <f>IFERROR(IF(OR(12&gt;B22,B38=""),"",IF(12&lt;=B23,0,MIN(B38,B24-C38))),"")</f>
        <v/>
      </c>
      <c r="E38" s="61">
        <f>IFERROR(IF(C38="","",C38+D38),"")</f>
        <v/>
      </c>
      <c r="F38" s="61">
        <f>IFERROR(IF(D38="","",B38-D38),"")</f>
        <v/>
      </c>
      <c r="G38" s="61">
        <f>IFERROR(IF(E38="","",'3-Year P&amp;L'!$D$41-'3-Year P&amp;L'!$D$46+'3-Year P&amp;L'!$D$36+'3-Year P&amp;L'!$D$37),"")</f>
        <v/>
      </c>
      <c r="H38" s="61">
        <f>IFERROR(IF(OR(E38="",E38=0),"",G38/E38),"")</f>
        <v/>
      </c>
    </row>
    <row r="39">
      <c r="A39" s="40" t="n">
        <v>13</v>
      </c>
      <c r="B39" s="61">
        <f>IFERROR(IF(OR(13&gt;B22,F38=""),"",F38),"")</f>
        <v/>
      </c>
      <c r="C39" s="61">
        <f>IFERROR(IF(OR(13&gt;B22,B39=""),"",B39*B21),"")</f>
        <v/>
      </c>
      <c r="D39" s="61">
        <f>IFERROR(IF(OR(13&gt;B22,B39=""),"",IF(13&lt;=B23,0,MIN(B39,B24-C39))),"")</f>
        <v/>
      </c>
      <c r="E39" s="61">
        <f>IFERROR(IF(C39="","",C39+D39),"")</f>
        <v/>
      </c>
      <c r="F39" s="61">
        <f>IFERROR(IF(D39="","",B39-D39),"")</f>
        <v/>
      </c>
      <c r="G39" s="61">
        <f>IFERROR(IF(E39="","",'3-Year P&amp;L'!$D$41-'3-Year P&amp;L'!$D$46+'3-Year P&amp;L'!$D$36+'3-Year P&amp;L'!$D$37),"")</f>
        <v/>
      </c>
      <c r="H39" s="61">
        <f>IFERROR(IF(OR(E39="",E39=0),"",G39/E39),"")</f>
        <v/>
      </c>
    </row>
    <row r="40">
      <c r="A40" s="40" t="n">
        <v>14</v>
      </c>
      <c r="B40" s="61">
        <f>IFERROR(IF(OR(14&gt;B22,F39=""),"",F39),"")</f>
        <v/>
      </c>
      <c r="C40" s="61">
        <f>IFERROR(IF(OR(14&gt;B22,B40=""),"",B40*B21),"")</f>
        <v/>
      </c>
      <c r="D40" s="61">
        <f>IFERROR(IF(OR(14&gt;B22,B40=""),"",IF(14&lt;=B23,0,MIN(B40,B24-C40))),"")</f>
        <v/>
      </c>
      <c r="E40" s="61">
        <f>IFERROR(IF(C40="","",C40+D40),"")</f>
        <v/>
      </c>
      <c r="F40" s="61">
        <f>IFERROR(IF(D40="","",B40-D40),"")</f>
        <v/>
      </c>
      <c r="G40" s="61">
        <f>IFERROR(IF(E40="","",'3-Year P&amp;L'!$D$41-'3-Year P&amp;L'!$D$46+'3-Year P&amp;L'!$D$36+'3-Year P&amp;L'!$D$37),"")</f>
        <v/>
      </c>
      <c r="H40" s="61">
        <f>IFERROR(IF(OR(E40="",E40=0),"",G40/E40),"")</f>
        <v/>
      </c>
    </row>
    <row r="41">
      <c r="A41" s="40" t="n">
        <v>15</v>
      </c>
      <c r="B41" s="61">
        <f>IFERROR(IF(OR(15&gt;B22,F40=""),"",F40),"")</f>
        <v/>
      </c>
      <c r="C41" s="61">
        <f>IFERROR(IF(OR(15&gt;B22,B41=""),"",B41*B21),"")</f>
        <v/>
      </c>
      <c r="D41" s="61">
        <f>IFERROR(IF(OR(15&gt;B22,B41=""),"",IF(15&lt;=B23,0,MIN(B41,B24-C41))),"")</f>
        <v/>
      </c>
      <c r="E41" s="61">
        <f>IFERROR(IF(C41="","",C41+D41),"")</f>
        <v/>
      </c>
      <c r="F41" s="61">
        <f>IFERROR(IF(D41="","",B41-D41),"")</f>
        <v/>
      </c>
      <c r="G41" s="61">
        <f>IFERROR(IF(E41="","",'3-Year P&amp;L'!$D$41-'3-Year P&amp;L'!$D$46+'3-Year P&amp;L'!$D$36+'3-Year P&amp;L'!$D$37),"")</f>
        <v/>
      </c>
      <c r="H41" s="61">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1">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40">
        <f>IFERROR(IF(B20="","",IF(C27="",0,C27)),"")</f>
        <v>11200.0</v>
      </c>
      <c r="C44" s="28" t="n"/>
      <c r="D44" s="28" t="n"/>
      <c r="E44" s="28" t="n"/>
      <c r="F44" s="28" t="n"/>
      <c r="G44" s="28" t="n"/>
      <c r="H44" s="28" t="n"/>
    </row>
    <row r="45">
      <c r="A45" s="28" t="inlineStr">
        <is>
          <t>Year-1 principal repaid</t>
        </is>
      </c>
      <c r="B45" s="40">
        <f>IFERROR(IF(B20="","",IF(D27="",0,D27)),"")</f>
        <v>11805.415966466702</v>
      </c>
      <c r="C45" s="28" t="n"/>
      <c r="D45" s="28" t="n"/>
      <c r="E45" s="28" t="n"/>
      <c r="F45" s="28" t="n"/>
      <c r="G45" s="28" t="n"/>
      <c r="H45" s="28" t="n"/>
    </row>
    <row r="46">
      <c r="A46" s="28" t="inlineStr">
        <is>
          <t>Year-2 interest</t>
        </is>
      </c>
      <c r="B46" s="40">
        <f>IFERROR(IF(B20="","",IF(C28="",0,C28)),"")</f>
        <v>10019.45840335333</v>
      </c>
      <c r="C46" s="28" t="n"/>
      <c r="D46" s="28" t="n"/>
      <c r="E46" s="28" t="n"/>
      <c r="F46" s="28" t="n"/>
      <c r="G46" s="28" t="n"/>
      <c r="H46" s="28" t="n"/>
    </row>
    <row r="47">
      <c r="A47" s="28" t="inlineStr">
        <is>
          <t>Year-2 principal repaid</t>
        </is>
      </c>
      <c r="B47" s="40">
        <f>IFERROR(IF(B20="","",IF(D28="",0,D28)),"")</f>
        <v>12985.957563113372</v>
      </c>
      <c r="C47" s="28" t="n"/>
      <c r="D47" s="28" t="n"/>
      <c r="E47" s="28" t="n"/>
      <c r="F47" s="28" t="n"/>
      <c r="G47" s="28" t="n"/>
      <c r="H47" s="28" t="n"/>
    </row>
    <row r="48">
      <c r="A48" s="28" t="inlineStr">
        <is>
          <t>Year-3 interest</t>
        </is>
      </c>
      <c r="B48" s="40">
        <f>IFERROR(IF(B20="","",IF(C29="",0,C29)),"")</f>
        <v>8720.862647041991</v>
      </c>
      <c r="C48" s="28" t="n"/>
      <c r="D48" s="28" t="n"/>
      <c r="E48" s="28" t="n"/>
      <c r="F48" s="28" t="n"/>
      <c r="G48" s="28" t="n"/>
      <c r="H48" s="28" t="n"/>
    </row>
    <row r="49">
      <c r="A49" s="28" t="inlineStr">
        <is>
          <t>Year-3 principal repaid</t>
        </is>
      </c>
      <c r="B49" s="40">
        <f>IFERROR(IF(B20="","",IF(D29="",0,D29)),"")</f>
        <v>14284.553319424711</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1">
        <f>IFERROR(('3-Year P&amp;L'!$B$41-'3-Year P&amp;L'!$B$46+'3-Year P&amp;L'!$B$36+B44)/(B44+B45),"")</f>
        <v>1.9644291243736232</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1">
        <f>IFERROR(('3-Year P&amp;L'!$C$41-'3-Year P&amp;L'!$C$46+'3-Year P&amp;L'!$C$36+B46)/(B46+B47),"")</f>
        <v>2.585346060701125</v>
      </c>
      <c r="C52" s="28" t="n"/>
      <c r="D52" s="28" t="n"/>
      <c r="E52" s="28" t="n"/>
      <c r="F52" s="28" t="n"/>
      <c r="G52" s="28" t="n"/>
      <c r="H52" s="28" t="n"/>
    </row>
    <row r="53">
      <c r="A53" s="28" t="inlineStr">
        <is>
          <t>Year-3 DSCR</t>
        </is>
      </c>
      <c r="B53" s="61">
        <f>IFERROR(('3-Year P&amp;L'!$D$41-'3-Year P&amp;L'!$D$46+'3-Year P&amp;L'!$D$36+B48)/(B48+B49),"")</f>
        <v>3.0114646344844185</v>
      </c>
      <c r="C53" s="28" t="n"/>
      <c r="D53" s="28" t="n"/>
      <c r="E53" s="28" t="n"/>
      <c r="F53" s="28" t="n"/>
      <c r="G53" s="28" t="n"/>
      <c r="H53" s="28" t="n"/>
    </row>
    <row r="54">
      <c r="A54" s="25" t="inlineStr">
        <is>
          <t>Minimum DSCR across the whole schedule</t>
        </is>
      </c>
      <c r="B54" s="62">
        <f>IFERROR(IF(COUNT(H27:H41)=0,"",MIN(H27:H41)),"")</f>
        <v>1.9644291243736232</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Food Truck Financial Projections: 3-Year P&amp;L, Cash Flow &amp; Financing · Food Truck Business Plan Kit</dc:title>
  <dc:description xmlns:dc="http://purl.org/dc/elements/1.1/">aichef.pro/en/digital-products/food-truck-business-plan</dc:description>
  <dc:subject xmlns:dc="http://purl.org/dc/elements/1.1/">Food Truck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2026-10-04T17:50:54Z</dcterms:modified>
  <cp:lastModifiedBy>AI Chef Pro</cp:lastModifiedBy>
  <cp:category>AI Chef Pro · Digital products</cp:category>
  <cp:keywords>food truck business plan, food truck business plan template, food truck startup costs, food truck permits, how to start a food truck business, AI Chef Pro</cp:keywords>
</cp:coreProperties>
</file>