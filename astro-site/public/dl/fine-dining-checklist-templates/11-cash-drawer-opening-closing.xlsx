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sh Drawer Opening" sheetId="2" state="visible" r:id="rId2"/>
    <sheet xmlns:r="http://schemas.openxmlformats.org/officeDocument/2006/relationships" name="Cash Drawer Closing" sheetId="3" state="visible" r:id="rId3"/>
    <sheet xmlns:r="http://schemas.openxmlformats.org/officeDocument/2006/relationships" name="Monthly Cash Log" sheetId="4" state="visible" r:id="rId4"/>
  </sheets>
  <definedNames>
    <definedName name="_xlnm.Print_Area" localSheetId="0">'Instructions'!$A$1:$B$56</definedName>
    <definedName name="_xlnm.Print_Titles" localSheetId="1">'Cash Drawer Opening'!$4:$4</definedName>
    <definedName name="_xlnm.Print_Area" localSheetId="1">'Cash Drawer Opening'!$A$1:$G$26</definedName>
    <definedName name="_xlnm.Print_Titles" localSheetId="2">'Cash Drawer Closing'!$4:$4</definedName>
    <definedName name="_xlnm.Print_Area" localSheetId="2">'Cash Drawer Closing'!$A$1:$G$57</definedName>
    <definedName name="_xlnm.Print_Titles" localSheetId="3">'Monthly Cash Log'!$4:$4</definedName>
    <definedName name="_xlnm.Print_Area" localSheetId="3">'Monthly Cash Log'!$A$1:$J$38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  <font>
      <i val="1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164" fontId="0" fillId="7" borderId="0" applyProtection="1" pivotButton="0" quotePrefix="0" xfId="0">
      <protection locked="0" hidden="0"/>
    </xf>
    <xf numFmtId="0" fontId="6" fillId="8" borderId="1" applyAlignment="1" pivotButton="0" quotePrefix="0" xfId="0">
      <alignment horizontal="center" vertical="center" wrapText="1"/>
    </xf>
    <xf numFmtId="1" fontId="5" fillId="7" borderId="1" applyAlignment="1" applyProtection="1" pivotButton="0" quotePrefix="0" xfId="0">
      <alignment horizontal="center" vertical="center" wrapText="1"/>
      <protection locked="0" hidden="0"/>
    </xf>
    <xf numFmtId="164" fontId="5" fillId="8" borderId="1" applyAlignment="1" pivotButton="0" quotePrefix="0" xfId="0">
      <alignment horizontal="right" vertical="center" wrapText="1"/>
    </xf>
    <xf numFmtId="0" fontId="6" fillId="9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/>
      <protection locked="0" hidden="0"/>
    </xf>
    <xf numFmtId="164" fontId="6" fillId="3" borderId="1" applyAlignment="1" pivotButton="0" quotePrefix="0" xfId="0">
      <alignment horizontal="right" vertical="center"/>
    </xf>
    <xf numFmtId="164" fontId="5" fillId="7" borderId="1" applyAlignment="1" applyProtection="1" pivotButton="0" quotePrefix="0" xfId="0">
      <alignment horizontal="right" vertical="center" wrapText="1"/>
      <protection locked="0" hidden="0"/>
    </xf>
    <xf numFmtId="0" fontId="13" fillId="0" borderId="0" applyAlignment="1" pivotButton="0" quotePrefix="0" xfId="0">
      <alignment vertical="top" wrapText="1"/>
    </xf>
    <xf numFmtId="4" fontId="0" fillId="7" borderId="0" applyProtection="1" pivotButton="0" quotePrefix="0" xfId="0">
      <protection locked="0" hidden="0"/>
    </xf>
    <xf numFmtId="4" fontId="5" fillId="4" borderId="1" applyAlignment="1" pivotButton="0" quotePrefix="0" xfId="0">
      <alignment horizontal="right" vertical="center" wrapText="1"/>
    </xf>
    <xf numFmtId="4" fontId="5" fillId="8" borderId="1" applyAlignment="1" pivotButton="0" quotePrefix="0" xfId="0">
      <alignment horizontal="right" vertical="center" wrapText="1"/>
    </xf>
    <xf numFmtId="4" fontId="5" fillId="9" borderId="1" applyAlignment="1" pivotButton="0" quotePrefix="0" xfId="0">
      <alignment horizontal="right" vertical="center" wrapText="1"/>
    </xf>
    <xf numFmtId="4" fontId="11" fillId="2" borderId="1" applyAlignment="1" pivotButton="0" quotePrefix="0" xfId="0">
      <alignment horizontal="right" vertical="center" wrapText="1"/>
    </xf>
    <xf numFmtId="4" fontId="5" fillId="6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/>
      <protection locked="0" hidden="0"/>
    </xf>
    <xf numFmtId="4" fontId="6" fillId="3" borderId="1" applyAlignment="1" pivotButton="0" quotePrefix="0" xfId="0">
      <alignment horizontal="right" vertical="center"/>
    </xf>
    <xf numFmtId="4" fontId="5" fillId="7" borderId="1" applyAlignment="1" applyProtection="1" pivotButton="0" quotePrefix="0" xfId="0">
      <alignment horizontal="right" vertical="center" wrapText="1"/>
      <protection locked="0" hidden="0"/>
    </xf>
    <xf numFmtId="4" fontId="5" fillId="6" borderId="1" applyAlignment="1" pivotButton="0" quotePrefix="0" xfId="0">
      <alignment horizontal="right" vertical="center" wrapText="1"/>
    </xf>
    <xf numFmtId="4" fontId="7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6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27" t="inlineStr">
        <is>
          <t>11 · Cash Drawer Opening &amp; Closing: Count Sheet, Z Report &amp; Over/Short Log</t>
        </is>
      </c>
    </row>
    <row r="3">
      <c r="A3" s="3" t="n"/>
    </row>
    <row r="4" ht="18" customHeight="1">
      <c r="B4" s="28" t="inlineStr">
        <is>
          <t>What it solves</t>
        </is>
      </c>
    </row>
    <row r="5">
      <c r="A5" s="4" t="n"/>
    </row>
    <row r="6" ht="32" customHeight="1">
      <c r="A6" s="5" t="n"/>
      <c r="B6" s="29" t="inlineStr">
        <is>
          <t>▸ The daily cash count: starting bank, drawer count by denomination, POS Z report and over/short — plus the monthly log to see at a glance which days didn't balance.</t>
        </is>
      </c>
    </row>
    <row r="7">
      <c r="A7" s="5" t="n"/>
    </row>
    <row r="8" ht="18" customHeight="1">
      <c r="A8" s="5" t="n"/>
      <c r="B8" s="28" t="inlineStr">
        <is>
          <t>How to use — Cash Drawer Opening</t>
        </is>
      </c>
    </row>
    <row r="9">
      <c r="A9" s="5" t="n"/>
    </row>
    <row r="10" ht="32" customHeight="1">
      <c r="A10" s="5" t="n"/>
      <c r="B10" s="29" t="inlineStr">
        <is>
          <t>▸ Count the starting bank and type the amount in the GREEN cell "Starting bank (opening float)". The closing sheet reads it from there: no need to retype it.</t>
        </is>
      </c>
    </row>
    <row r="11">
      <c r="A11" s="5" t="n"/>
    </row>
    <row r="12" ht="18" customHeight="1">
      <c r="A12" s="5" t="n"/>
      <c r="B12" s="28" t="inlineStr">
        <is>
          <t>How to use — Cash Drawer Closing</t>
        </is>
      </c>
    </row>
    <row r="13">
      <c r="A13" s="5" t="n"/>
    </row>
    <row r="14" ht="77" customHeight="1">
      <c r="A14" s="5" t="n"/>
      <c r="B14" s="29" t="inlineStr">
        <is>
          <t>▸ In "Cash Count by Denomination" fill in ONLY the "Quantity" column (number of bills or coins, whole number): the subtotal and TOTAL CASH calculate themselves. The table has US bills and coins (the penny is no longer minted but is still legal tender; a "25¢ roll" counts $10 and a "10¢ roll" $5). In the UK, Canada or Australia, unprotect the sheet (no password) and change the label and value of each row.</t>
        </is>
      </c>
    </row>
    <row r="15" ht="47" customHeight="1">
      <c r="A15" s="5" t="n"/>
      <c r="B15" s="29" t="inlineStr">
        <is>
          <t>▸ In the "Closing Summary" you only type three figures: "Card sales, excl. tips", "Other tenders + card tips paid in cash" and "POS Z report: sales + tax, excl. tips" (net sales plus sales tax, without tips or gratuities; many POS "total" lines include tips). Everything else is a formula.</t>
        </is>
      </c>
    </row>
    <row r="16" ht="31" customHeight="1">
      <c r="A16" s="5" t="n"/>
      <c r="B16" s="29" t="inlineStr">
        <is>
          <t>▸ The starting bank is deducted automatically: TOTAL COLLECTED = (cash counted − starting bank) + card sales + other.</t>
        </is>
      </c>
    </row>
    <row r="17" ht="32" customHeight="1">
      <c r="A17" s="5" t="n"/>
      <c r="B17" s="29" t="inlineStr">
        <is>
          <t>▸ OVER / SHORT = TOTAL COLLECTED − POS Z report (sales + tax, excl. tips). If the cell turns AMBER, the drawer doesn't balance: check it BEFORE signing.</t>
        </is>
      </c>
    </row>
    <row r="18">
      <c r="A18" s="5" t="n"/>
    </row>
    <row r="19" ht="18" customHeight="1">
      <c r="B19" s="28" t="inlineStr">
        <is>
          <t>Monthly Cash Log</t>
        </is>
      </c>
    </row>
    <row r="20">
      <c r="A20" s="5" t="n"/>
    </row>
    <row r="21" ht="32" customHeight="1">
      <c r="B21" s="29" t="inlineStr">
        <is>
          <t>▸ One row per day: enter starting bank, sales by payment type, POS Z report and deposit; Total Collected and Over/Short calculate themselves and the over/short turns amber.</t>
        </is>
      </c>
    </row>
    <row r="22" ht="32" customHeight="1">
      <c r="B22" s="29" t="inlineStr">
        <is>
          <t>▸ The starting bank is a balance, not a sale: the TOTALS row shows the AVERAGE starting bank of the days logged, not their sum.</t>
        </is>
      </c>
    </row>
    <row r="24" ht="18" customHeight="1">
      <c r="B24" s="28" t="inlineStr">
        <is>
          <t>Editable cells</t>
        </is>
      </c>
    </row>
    <row r="26" ht="32" customHeight="1">
      <c r="B26" s="29" t="inlineStr">
        <is>
          <t>▸ Everything filled in daily is GREEN: Assigned to, Due by, ✓ Done, Initials, Notes, the count quantities and the summary amounts.</t>
        </is>
      </c>
    </row>
    <row r="28" ht="18" customHeight="1">
      <c r="B28" s="28" t="inlineStr">
        <is>
          <t>How the counter works</t>
        </is>
      </c>
    </row>
    <row r="30" ht="32" customHeight="1">
      <c r="B30" s="29" t="inlineStr">
        <is>
          <t>▸ Mark ✓ in the "✓ Done" column (dropdown): that is the column that counts completed tasks.</t>
        </is>
      </c>
    </row>
    <row r="31" ht="32" customHeight="1">
      <c r="B31" s="29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32" ht="32" customHeight="1">
      <c r="B32" s="29" t="inlineStr">
        <is>
          <t>▸ The denominator counts the tasks written in the "Task" column, not a fixed number: if you add or delete tasks, the total adjusts by itself.</t>
        </is>
      </c>
    </row>
    <row r="34" ht="18" customHeight="1">
      <c r="B34" s="28" t="inlineStr">
        <is>
          <t>Free rows</t>
        </is>
      </c>
    </row>
    <row r="36" ht="32" customHeight="1">
      <c r="B36" s="29" t="inlineStr">
        <is>
          <t>▸ At the end of each table there are 5 free green rows INSIDE the range the counter covers: write your own tasks there.</t>
        </is>
      </c>
    </row>
    <row r="37" ht="32" customHeight="1">
      <c r="B37" s="29" t="inlineStr">
        <is>
          <t>▸ If you need more, insert rows INSIDE the table (right-click → Insert), never below the last one: anything typed outside the range is not counted.</t>
        </is>
      </c>
    </row>
    <row r="39" ht="18" customHeight="1">
      <c r="B39" s="28" t="inlineStr">
        <is>
          <t>Sheet protection</t>
        </is>
      </c>
    </row>
    <row r="41" ht="32" customHeight="1">
      <c r="B41" s="29" t="inlineStr">
        <is>
          <t>▸ Sheets with formulas are protected WITHOUT a password: the input cells (the green ones) are unlocked, so calculations never get overwritten by accident.</t>
        </is>
      </c>
    </row>
    <row r="42" ht="32" customHeight="1">
      <c r="B42" s="29" t="inlineStr">
        <is>
          <t>▸ You can insert and delete rows with protection on. To change the structure: Review → Unprotect Sheet.</t>
        </is>
      </c>
    </row>
    <row r="44" ht="18" customHeight="1">
      <c r="B44" s="28" t="inlineStr">
        <is>
          <t>Works with</t>
        </is>
      </c>
    </row>
    <row r="46" ht="31" customHeight="1">
      <c r="B46" s="29" t="inlineStr">
        <is>
          <t>▸ 10-restaurant-opening-closing-checklist.xlsx — the checklist for the WHOLE RESTAURANT: it is the FRAME of the day.</t>
        </is>
      </c>
    </row>
    <row r="47" ht="31" customHeight="1">
      <c r="B47" s="29" t="inlineStr">
        <is>
          <t>▸ 11-cash-drawer-opening-closing.xlsx — the CASH DRAWER: float, count by denomination, POS Z report and over/short.</t>
        </is>
      </c>
    </row>
    <row r="48" ht="48" customHeight="1">
      <c r="B48" s="29" t="inlineStr">
        <is>
          <t>▸ Order of use: rounds → cash drawer. Each file covers one level: the rounds file marks the MILESTONE (turn on, open, close) and the cash file carries the MONEY. If a task shows up in both, it's on purpose: one is the milestone and the other the detail.</t>
        </is>
      </c>
    </row>
    <row r="49" ht="47" customHeight="1">
      <c r="B49" s="29" t="inlineStr">
        <is>
          <t>▸ You are in 11-cash-drawer-opening-closing.xlsx: this is the CASH DRAWER — the day's MONEY (float, count, POS Z report and over/short); the frame of the day is in 10-restaurant-opening-closing-checklist.xlsx.</t>
        </is>
      </c>
    </row>
    <row r="51" ht="18" customHeight="1">
      <c r="B51" s="28" t="inlineStr">
        <is>
          <t>— Fine Dining Checklists Kit Pro · AI Chef Pro · aichef.pro</t>
        </is>
      </c>
    </row>
    <row r="53" ht="35" customHeight="1">
      <c r="B53" s="28" t="inlineStr">
        <is>
          <t>Designed by John Guerrero — chef and restaurant consultant since 2010, in professional kitchens since age 17 · johnguerrero.es</t>
        </is>
      </c>
    </row>
    <row r="54" ht="18" customHeight="1">
      <c r="B54" s="28" t="inlineStr">
        <is>
          <t>Contact: info@aichef.pro</t>
        </is>
      </c>
    </row>
    <row r="56" ht="18" customHeight="1">
      <c r="B56" s="28" t="inlineStr">
        <is>
          <t>Version 2.0 · October 2026 · aichef.pro/en/digital-products/fine-dining-checklist-templates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Opening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Due by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Verify yesterday's starting bank</t>
        </is>
      </c>
      <c r="C5" s="32" t="inlineStr">
        <is>
          <t>Cashier / MOD</t>
        </is>
      </c>
      <c r="D5" s="32" t="inlineStr">
        <is>
          <t>7:15 AM</t>
        </is>
      </c>
      <c r="E5" s="32" t="inlineStr"/>
      <c r="F5" s="32" t="n"/>
      <c r="G5" s="32" t="n"/>
    </row>
    <row r="6" ht="24" customHeight="1">
      <c r="A6" s="33" t="n">
        <v>2</v>
      </c>
      <c r="B6" s="34" t="inlineStr">
        <is>
          <t>Count the opening starting bank</t>
        </is>
      </c>
      <c r="C6" s="32" t="inlineStr">
        <is>
          <t>Cashier / MOD</t>
        </is>
      </c>
      <c r="D6" s="32" t="inlineStr">
        <is>
          <t>7:15 AM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Write the starting bank in the green cell below</t>
        </is>
      </c>
      <c r="C7" s="32" t="inlineStr">
        <is>
          <t>Cashier / MOD</t>
        </is>
      </c>
      <c r="D7" s="32" t="inlineStr">
        <is>
          <t>7:15 AM</t>
        </is>
      </c>
      <c r="E7" s="32" t="inlineStr"/>
      <c r="F7" s="32" t="n"/>
      <c r="G7" s="32" t="n"/>
    </row>
    <row r="8">
      <c r="A8" s="33" t="n">
        <v>4</v>
      </c>
      <c r="B8" s="34" t="inlineStr">
        <is>
          <t>Check there is enough change (coins, small bills)</t>
        </is>
      </c>
      <c r="C8" s="32" t="inlineStr">
        <is>
          <t>Cashier / MOD</t>
        </is>
      </c>
      <c r="D8" s="32" t="inlineStr">
        <is>
          <t>7:15 AM</t>
        </is>
      </c>
      <c r="E8" s="32" t="inlineStr"/>
      <c r="F8" s="32" t="n"/>
      <c r="G8" s="32" t="n"/>
    </row>
    <row r="9">
      <c r="A9" s="30" t="n">
        <v>5</v>
      </c>
      <c r="B9" s="31" t="inlineStr">
        <is>
          <t>Check that the POS is on and open the register shift</t>
        </is>
      </c>
      <c r="C9" s="32" t="inlineStr">
        <is>
          <t>Cashier / MOD</t>
        </is>
      </c>
      <c r="D9" s="32" t="inlineStr">
        <is>
          <t>7:30 AM</t>
        </is>
      </c>
      <c r="E9" s="32" t="inlineStr"/>
      <c r="F9" s="32" t="n"/>
      <c r="G9" s="32" t="n"/>
    </row>
    <row r="10" ht="24" customHeight="1">
      <c r="A10" s="33" t="n">
        <v>6</v>
      </c>
      <c r="B10" s="34" t="inlineStr">
        <is>
          <t>Print the opening X report (start-of-day report)</t>
        </is>
      </c>
      <c r="C10" s="32" t="inlineStr">
        <is>
          <t>Cashier / MOD</t>
        </is>
      </c>
      <c r="D10" s="32" t="inlineStr">
        <is>
          <t>7:30 AM</t>
        </is>
      </c>
      <c r="E10" s="32" t="inlineStr"/>
      <c r="F10" s="32" t="n"/>
      <c r="G10" s="32" t="n"/>
    </row>
    <row r="11" ht="24" customHeight="1">
      <c r="A11" s="30" t="n">
        <v>7</v>
      </c>
      <c r="B11" s="31" t="inlineStr">
        <is>
          <t>Check the receipt paper roll</t>
        </is>
      </c>
      <c r="C11" s="32" t="inlineStr">
        <is>
          <t>Cashier / MOD</t>
        </is>
      </c>
      <c r="D11" s="32" t="inlineStr">
        <is>
          <t>7:30 AM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Check the card terminal works</t>
        </is>
      </c>
      <c r="C12" s="32" t="inlineStr">
        <is>
          <t>Cashier / MOD</t>
        </is>
      </c>
      <c r="D12" s="32" t="inlineStr">
        <is>
          <t>7:30 AM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Check the payment gateway connection</t>
        </is>
      </c>
      <c r="C13" s="32" t="inlineStr">
        <is>
          <t>Cashier / MOD</t>
        </is>
      </c>
      <c r="D13" s="32" t="inlineStr">
        <is>
          <t>7:45 AM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Note issues from the previous shift</t>
        </is>
      </c>
      <c r="C14" s="32" t="inlineStr">
        <is>
          <t>Cashier / MOD</t>
        </is>
      </c>
      <c r="D14" s="32" t="inlineStr">
        <is>
          <t>7:45 AM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Opening manager sign-off</t>
        </is>
      </c>
      <c r="C15" s="32" t="inlineStr">
        <is>
          <t>Cashier / MOD</t>
        </is>
      </c>
      <c r="D15" s="32" t="inlineStr">
        <is>
          <t>7:45 AM</t>
        </is>
      </c>
      <c r="E15" s="32" t="inlineStr"/>
      <c r="F15" s="32" t="n"/>
      <c r="G15" s="32" t="n"/>
    </row>
    <row r="16">
      <c r="A16" s="32" t="n"/>
      <c r="B16" s="35" t="n"/>
      <c r="C16" s="32" t="n"/>
      <c r="D16" s="32" t="n"/>
      <c r="E16" s="32" t="n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2">
      <c r="A22" s="25" t="inlineStr">
        <is>
          <t>Tasks done:</t>
        </is>
      </c>
      <c r="C22">
        <f>COUNTIFS(B5:B20,"?*",E5:E20,"✓")</f>
        <v>0.0</v>
      </c>
      <c r="D22" t="inlineStr">
        <is>
          <t>of</t>
        </is>
      </c>
      <c r="E22">
        <f>COUNTIF(B5:B20,"?*")-COUNTIF(E5:E20,"N/A")</f>
        <v>11.0</v>
      </c>
    </row>
    <row r="23">
      <c r="B23" t="inlineStr">
        <is>
          <t>Starting bank (opening float)</t>
        </is>
      </c>
      <c r="C23" s="48" t="n">
        <v>0</v>
      </c>
      <c r="D23" t="inlineStr">
        <is>
          <t>Deducted from cash on the "Cash Drawer Closing" sheet</t>
        </is>
      </c>
    </row>
    <row r="24">
      <c r="A24" s="12" t="n"/>
    </row>
    <row r="25" ht="30" customHeight="1">
      <c r="A25" s="6" t="inlineStr">
        <is>
          <t>Manager signature: _________________________     Time: ________</t>
        </is>
      </c>
    </row>
    <row r="26">
      <c r="A26" s="12" t="inlineStr">
        <is>
          <t>— Fine Dining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D23:G23"/>
    <mergeCell ref="A1:G1"/>
    <mergeCell ref="A2:C2"/>
    <mergeCell ref="A26:G26"/>
    <mergeCell ref="A25:G25"/>
    <mergeCell ref="D2:G2"/>
    <mergeCell ref="A22:B22"/>
  </mergeCells>
  <conditionalFormatting sqref="A5:G20">
    <cfRule type="expression" priority="1" dxfId="0">
      <formula>$E5="✓"</formula>
    </cfRule>
  </conditionalFormatting>
  <dataValidations count="1">
    <dataValidation sqref="E5 E6 E7 E8 E9 E10 E11 E12 E13 E14 E15 E16 E17 E18 E19 E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3" customWidth="1" min="4" max="4"/>
    <col width="14" customWidth="1" min="5" max="5"/>
    <col width="14" customWidth="1" min="6" max="6"/>
    <col width="25" customWidth="1" min="7" max="7"/>
  </cols>
  <sheetData>
    <row r="1" ht="40" customHeight="1">
      <c r="A1" s="1" t="inlineStr">
        <is>
          <t>Cash Drawer Closing Checklist</t>
        </is>
      </c>
    </row>
    <row r="2" ht="28" customHeight="1">
      <c r="A2" s="6" t="inlineStr">
        <is>
          <t>Date: ____/____/________</t>
        </is>
      </c>
      <c r="D2" s="6" t="inlineStr">
        <is>
          <t>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Assigned to</t>
        </is>
      </c>
      <c r="D4" s="7" t="inlineStr">
        <is>
          <t>When</t>
        </is>
      </c>
      <c r="E4" s="7" t="inlineStr">
        <is>
          <t>✓ Done</t>
        </is>
      </c>
      <c r="F4" s="7" t="inlineStr">
        <is>
          <t>Initials</t>
        </is>
      </c>
      <c r="G4" s="7" t="inlineStr">
        <is>
          <t>Notes</t>
        </is>
      </c>
    </row>
    <row r="5" ht="24" customHeight="1">
      <c r="A5" s="30" t="n">
        <v>1</v>
      </c>
      <c r="B5" s="31" t="inlineStr">
        <is>
          <t>Print the closing Z report (end-of-day report)</t>
        </is>
      </c>
      <c r="C5" s="32" t="inlineStr">
        <is>
          <t>Cashier / MOD</t>
        </is>
      </c>
      <c r="D5" s="32" t="inlineStr">
        <is>
          <t>Close</t>
        </is>
      </c>
      <c r="E5" s="32" t="inlineStr"/>
      <c r="F5" s="32" t="n"/>
      <c r="G5" s="32" t="n"/>
    </row>
    <row r="6">
      <c r="A6" s="33" t="n">
        <v>2</v>
      </c>
      <c r="B6" s="34" t="inlineStr">
        <is>
          <t>Cash count by denomination (see table below)</t>
        </is>
      </c>
      <c r="C6" s="32" t="inlineStr">
        <is>
          <t>Cashier / MOD</t>
        </is>
      </c>
      <c r="D6" s="32" t="inlineStr">
        <is>
          <t>Close</t>
        </is>
      </c>
      <c r="E6" s="32" t="inlineStr"/>
      <c r="F6" s="32" t="n"/>
      <c r="G6" s="32" t="n"/>
    </row>
    <row r="7" ht="24" customHeight="1">
      <c r="A7" s="30" t="n">
        <v>3</v>
      </c>
      <c r="B7" s="31" t="inlineStr">
        <is>
          <t>Calculate total cash</t>
        </is>
      </c>
      <c r="C7" s="32" t="inlineStr">
        <is>
          <t>Cashier / MOD</t>
        </is>
      </c>
      <c r="D7" s="32" t="inlineStr">
        <is>
          <t>Close</t>
        </is>
      </c>
      <c r="E7" s="32" t="inlineStr"/>
      <c r="F7" s="32" t="n"/>
      <c r="G7" s="32" t="n"/>
    </row>
    <row r="8" ht="33.25" customHeight="1">
      <c r="A8" s="33" t="n">
        <v>4</v>
      </c>
      <c r="B8" s="34" t="inlineStr">
        <is>
          <t>Batch out the card terminal; note card sales WITHOUT tips</t>
        </is>
      </c>
      <c r="C8" s="32" t="inlineStr">
        <is>
          <t>Cashier / MOD</t>
        </is>
      </c>
      <c r="D8" s="32" t="inlineStr">
        <is>
          <t>Close</t>
        </is>
      </c>
      <c r="E8" s="32" t="inlineStr"/>
      <c r="F8" s="32" t="n"/>
      <c r="G8" s="32" t="n"/>
    </row>
    <row r="9" ht="33.25" customHeight="1">
      <c r="A9" s="30" t="n">
        <v>5</v>
      </c>
      <c r="B9" s="31" t="inlineStr">
        <is>
          <t>Note other tenders (gift cards, house accounts) + card tips paid in cash</t>
        </is>
      </c>
      <c r="C9" s="32" t="inlineStr">
        <is>
          <t>Cashier / MOD</t>
        </is>
      </c>
      <c r="D9" s="32" t="inlineStr">
        <is>
          <t>Close</t>
        </is>
      </c>
      <c r="E9" s="32" t="inlineStr"/>
      <c r="F9" s="32" t="n"/>
      <c r="G9" s="32" t="n"/>
    </row>
    <row r="10">
      <c r="A10" s="33" t="n">
        <v>6</v>
      </c>
      <c r="B10" s="34" t="inlineStr">
        <is>
          <t>Total collected = (cash counted − starting bank) + card sales + other</t>
        </is>
      </c>
      <c r="C10" s="32" t="inlineStr">
        <is>
          <t>Cashier / MOD</t>
        </is>
      </c>
      <c r="D10" s="32" t="inlineStr">
        <is>
          <t>Close</t>
        </is>
      </c>
      <c r="E10" s="32" t="inlineStr"/>
      <c r="F10" s="32" t="n"/>
      <c r="G10" s="32" t="n"/>
    </row>
    <row r="11" ht="33.25" customHeight="1">
      <c r="A11" s="30" t="n">
        <v>7</v>
      </c>
      <c r="B11" s="31" t="inlineStr">
        <is>
          <t>Compare with the POS Z report → calculate the over/short</t>
        </is>
      </c>
      <c r="C11" s="32" t="inlineStr">
        <is>
          <t>Cashier / MOD</t>
        </is>
      </c>
      <c r="D11" s="32" t="inlineStr">
        <is>
          <t>Close</t>
        </is>
      </c>
      <c r="E11" s="32" t="inlineStr"/>
      <c r="F11" s="32" t="n"/>
      <c r="G11" s="32" t="n"/>
    </row>
    <row r="12" ht="24" customHeight="1">
      <c r="A12" s="33" t="n">
        <v>8</v>
      </c>
      <c r="B12" s="34" t="inlineStr">
        <is>
          <t>Log the day's refunds</t>
        </is>
      </c>
      <c r="C12" s="32" t="inlineStr">
        <is>
          <t>Cashier / MOD</t>
        </is>
      </c>
      <c r="D12" s="32" t="inlineStr">
        <is>
          <t>Close</t>
        </is>
      </c>
      <c r="E12" s="32" t="inlineStr"/>
      <c r="F12" s="32" t="n"/>
      <c r="G12" s="32" t="n"/>
    </row>
    <row r="13" ht="24" customHeight="1">
      <c r="A13" s="30" t="n">
        <v>9</v>
      </c>
      <c r="B13" s="31" t="inlineStr">
        <is>
          <t>Log the day's voids</t>
        </is>
      </c>
      <c r="C13" s="32" t="inlineStr">
        <is>
          <t>Cashier / MOD</t>
        </is>
      </c>
      <c r="D13" s="32" t="inlineStr">
        <is>
          <t>Close</t>
        </is>
      </c>
      <c r="E13" s="32" t="inlineStr"/>
      <c r="F13" s="32" t="n"/>
      <c r="G13" s="32" t="n"/>
    </row>
    <row r="14" ht="24" customHeight="1">
      <c r="A14" s="33" t="n">
        <v>10</v>
      </c>
      <c r="B14" s="34" t="inlineStr">
        <is>
          <t>Set aside tomorrow's starting bank</t>
        </is>
      </c>
      <c r="C14" s="32" t="inlineStr">
        <is>
          <t>Cashier / MOD</t>
        </is>
      </c>
      <c r="D14" s="32" t="inlineStr">
        <is>
          <t>Close</t>
        </is>
      </c>
      <c r="E14" s="32" t="inlineStr"/>
      <c r="F14" s="32" t="n"/>
      <c r="G14" s="32" t="n"/>
    </row>
    <row r="15" ht="24" customHeight="1">
      <c r="A15" s="30" t="n">
        <v>11</v>
      </c>
      <c r="B15" s="31" t="inlineStr">
        <is>
          <t>Prepare the bank deposit / put it in the safe</t>
        </is>
      </c>
      <c r="C15" s="32" t="inlineStr">
        <is>
          <t>Cashier / MOD</t>
        </is>
      </c>
      <c r="D15" s="32" t="inlineStr">
        <is>
          <t>Close</t>
        </is>
      </c>
      <c r="E15" s="32" t="inlineStr"/>
      <c r="F15" s="32" t="n"/>
      <c r="G15" s="32" t="n"/>
    </row>
    <row r="16" ht="24" customHeight="1">
      <c r="A16" s="33" t="n">
        <v>12</v>
      </c>
      <c r="B16" s="34" t="inlineStr">
        <is>
          <t>Closing manager sign-off</t>
        </is>
      </c>
      <c r="C16" s="32" t="inlineStr">
        <is>
          <t>Cashier / MOD</t>
        </is>
      </c>
      <c r="D16" s="32" t="inlineStr">
        <is>
          <t>Close</t>
        </is>
      </c>
      <c r="E16" s="32" t="inlineStr"/>
      <c r="F16" s="32" t="n"/>
      <c r="G16" s="32" t="n"/>
    </row>
    <row r="17">
      <c r="A17" s="32" t="n"/>
      <c r="B17" s="35" t="n"/>
      <c r="C17" s="32" t="n"/>
      <c r="D17" s="32" t="n"/>
      <c r="E17" s="32" t="n"/>
      <c r="F17" s="32" t="n"/>
      <c r="G17" s="32" t="n"/>
    </row>
    <row r="18">
      <c r="A18" s="32" t="n"/>
      <c r="B18" s="35" t="n"/>
      <c r="C18" s="32" t="n"/>
      <c r="D18" s="32" t="n"/>
      <c r="E18" s="32" t="n"/>
      <c r="F18" s="32" t="n"/>
      <c r="G18" s="32" t="n"/>
    </row>
    <row r="19">
      <c r="A19" s="32" t="n"/>
      <c r="B19" s="35" t="n"/>
      <c r="C19" s="32" t="n"/>
      <c r="D19" s="32" t="n"/>
      <c r="E19" s="32" t="n"/>
      <c r="F19" s="32" t="n"/>
      <c r="G19" s="32" t="n"/>
    </row>
    <row r="20">
      <c r="A20" s="32" t="n"/>
      <c r="B20" s="35" t="n"/>
      <c r="C20" s="32" t="n"/>
      <c r="D20" s="32" t="n"/>
      <c r="E20" s="32" t="n"/>
      <c r="F20" s="32" t="n"/>
      <c r="G20" s="32" t="n"/>
    </row>
    <row r="21">
      <c r="A21" s="32" t="n"/>
      <c r="B21" s="35" t="n"/>
      <c r="C21" s="32" t="n"/>
      <c r="D21" s="32" t="n"/>
      <c r="E21" s="32" t="n"/>
      <c r="F21" s="32" t="n"/>
      <c r="G21" s="32" t="n"/>
    </row>
    <row r="22">
      <c r="A22" s="17" t="n"/>
      <c r="B22" s="10" t="n"/>
      <c r="C22" s="49" t="n"/>
    </row>
    <row r="23">
      <c r="A23" s="25" t="inlineStr">
        <is>
          <t>Tasks done:</t>
        </is>
      </c>
      <c r="C23">
        <f>COUNTIFS(B5:B21,"?*",E5:E21,"✓")</f>
        <v>0.0</v>
      </c>
      <c r="D23" t="inlineStr">
        <is>
          <t>of</t>
        </is>
      </c>
      <c r="E23">
        <f>COUNTIF(B5:B21,"?*")-COUNTIF(E5:E21,"N/A")</f>
        <v>12.0</v>
      </c>
    </row>
    <row r="24" ht="32" customHeight="1">
      <c r="A24" s="13" t="inlineStr">
        <is>
          <t>💰 Cash Count by Denomination</t>
        </is>
      </c>
    </row>
    <row r="25" ht="26" customHeight="1">
      <c r="A25" s="7" t="inlineStr">
        <is>
          <t>Denomination</t>
        </is>
      </c>
      <c r="B25" s="7" t="inlineStr">
        <is>
          <t>Quantity</t>
        </is>
      </c>
      <c r="C25" s="7" t="inlineStr">
        <is>
          <t>Subtotal</t>
        </is>
      </c>
    </row>
    <row r="26" ht="24" customHeight="1">
      <c r="A26" s="14" t="inlineStr">
        <is>
          <t>BILLS</t>
        </is>
      </c>
      <c r="B26" s="26" t="n"/>
      <c r="C26" s="20" t="n"/>
    </row>
    <row r="27" ht="22" customHeight="1">
      <c r="A27" s="37" t="inlineStr">
        <is>
          <t>$100</t>
        </is>
      </c>
      <c r="B27" s="38" t="n">
        <v>0</v>
      </c>
      <c r="C27" s="50">
        <f>B27*100</f>
        <v>0.0</v>
      </c>
    </row>
    <row r="28" ht="22" customHeight="1">
      <c r="A28" s="40" t="inlineStr">
        <is>
          <t>$50</t>
        </is>
      </c>
      <c r="B28" s="38" t="n">
        <v>0</v>
      </c>
      <c r="C28" s="51">
        <f>B28*50</f>
        <v>0.0</v>
      </c>
    </row>
    <row r="29" ht="22" customHeight="1">
      <c r="A29" s="37" t="inlineStr">
        <is>
          <t>$20</t>
        </is>
      </c>
      <c r="B29" s="38" t="n">
        <v>0</v>
      </c>
      <c r="C29" s="50">
        <f>B29*20</f>
        <v>0.0</v>
      </c>
    </row>
    <row r="30" ht="22" customHeight="1">
      <c r="A30" s="40" t="inlineStr">
        <is>
          <t>$10</t>
        </is>
      </c>
      <c r="B30" s="38" t="n">
        <v>0</v>
      </c>
      <c r="C30" s="51">
        <f>B30*10</f>
        <v>0.0</v>
      </c>
    </row>
    <row r="31" ht="22" customHeight="1">
      <c r="A31" s="37" t="inlineStr">
        <is>
          <t>$5</t>
        </is>
      </c>
      <c r="B31" s="38" t="n">
        <v>0</v>
      </c>
      <c r="C31" s="50">
        <f>B31*5</f>
        <v>0.0</v>
      </c>
    </row>
    <row r="32" ht="22" customHeight="1">
      <c r="A32" s="40" t="inlineStr">
        <is>
          <t>$2</t>
        </is>
      </c>
      <c r="B32" s="38" t="n">
        <v>0</v>
      </c>
      <c r="C32" s="51">
        <f>B32*2</f>
        <v>0.0</v>
      </c>
    </row>
    <row r="33" ht="22" customHeight="1">
      <c r="A33" s="37" t="inlineStr">
        <is>
          <t>$1</t>
        </is>
      </c>
      <c r="B33" s="38" t="n">
        <v>0</v>
      </c>
      <c r="C33" s="50">
        <f>B33*1</f>
        <v>0.0</v>
      </c>
    </row>
    <row r="34" ht="24" customHeight="1">
      <c r="A34" s="14" t="inlineStr">
        <is>
          <t>COINS</t>
        </is>
      </c>
      <c r="B34" s="26" t="n"/>
      <c r="C34" s="20" t="n"/>
    </row>
    <row r="35" ht="22" customHeight="1">
      <c r="A35" s="37" t="inlineStr">
        <is>
          <t>$1 coin</t>
        </is>
      </c>
      <c r="B35" s="38" t="n">
        <v>0</v>
      </c>
      <c r="C35" s="50">
        <f>B35*1</f>
        <v>0.0</v>
      </c>
    </row>
    <row r="36" ht="22" customHeight="1">
      <c r="A36" s="40" t="inlineStr">
        <is>
          <t>50¢</t>
        </is>
      </c>
      <c r="B36" s="38" t="n">
        <v>0</v>
      </c>
      <c r="C36" s="51">
        <f>B36*0.5</f>
        <v>0.0</v>
      </c>
    </row>
    <row r="37" ht="22" customHeight="1">
      <c r="A37" s="37" t="inlineStr">
        <is>
          <t>25¢</t>
        </is>
      </c>
      <c r="B37" s="38" t="n">
        <v>0</v>
      </c>
      <c r="C37" s="50">
        <f>B37*0.25</f>
        <v>0.0</v>
      </c>
    </row>
    <row r="38" ht="22" customHeight="1">
      <c r="A38" s="40" t="inlineStr">
        <is>
          <t>10¢</t>
        </is>
      </c>
      <c r="B38" s="38" t="n">
        <v>0</v>
      </c>
      <c r="C38" s="51">
        <f>B38*0.1</f>
        <v>0.0</v>
      </c>
    </row>
    <row r="39" ht="22" customHeight="1">
      <c r="A39" s="37" t="inlineStr">
        <is>
          <t>5¢</t>
        </is>
      </c>
      <c r="B39" s="38" t="n">
        <v>0</v>
      </c>
      <c r="C39" s="50">
        <f>B39*0.05</f>
        <v>0.0</v>
      </c>
    </row>
    <row r="40" ht="22" customHeight="1">
      <c r="A40" s="40" t="inlineStr">
        <is>
          <t>1¢</t>
        </is>
      </c>
      <c r="B40" s="38" t="n">
        <v>0</v>
      </c>
      <c r="C40" s="51">
        <f>B40*0.01</f>
        <v>0.0</v>
      </c>
    </row>
    <row r="41" ht="22" customHeight="1">
      <c r="A41" s="37" t="inlineStr">
        <is>
          <t>25¢ roll</t>
        </is>
      </c>
      <c r="B41" s="38" t="n">
        <v>0</v>
      </c>
      <c r="C41" s="50">
        <f>B41*10</f>
        <v>0.0</v>
      </c>
    </row>
    <row r="42" ht="22" customHeight="1">
      <c r="A42" s="40" t="inlineStr">
        <is>
          <t>10¢ roll</t>
        </is>
      </c>
      <c r="B42" s="38" t="n">
        <v>0</v>
      </c>
      <c r="C42" s="51">
        <f>B42*5</f>
        <v>0.0</v>
      </c>
    </row>
    <row r="43" ht="28" customHeight="1">
      <c r="A43" s="19" t="inlineStr">
        <is>
          <t>TOTAL CASH</t>
        </is>
      </c>
      <c r="B43" s="20" t="n"/>
      <c r="C43" s="52">
        <f>SUM(C27:C42)</f>
        <v>0.0</v>
      </c>
    </row>
    <row r="45" ht="30" customHeight="1">
      <c r="A45" s="13" t="inlineStr">
        <is>
          <t>📊 Closing Summary</t>
        </is>
      </c>
    </row>
    <row r="46" ht="26" customHeight="1">
      <c r="A46" s="7" t="inlineStr">
        <is>
          <t>Item</t>
        </is>
      </c>
      <c r="B46" s="20" t="n"/>
      <c r="C46" s="42" t="inlineStr">
        <is>
          <t>Amount</t>
        </is>
      </c>
    </row>
    <row r="47" ht="24" customHeight="1">
      <c r="A47" s="9" t="inlineStr">
        <is>
          <t>Total cash (count)</t>
        </is>
      </c>
      <c r="B47" s="20" t="n"/>
      <c r="C47" s="53">
        <f>C43</f>
        <v>0.0</v>
      </c>
    </row>
    <row r="48" ht="24" customHeight="1">
      <c r="A48" s="9" t="inlineStr">
        <is>
          <t>Starting bank (−)</t>
        </is>
      </c>
      <c r="B48" s="20" t="n"/>
      <c r="C48" s="53">
        <f>IFERROR('Cash Drawer Opening'!C23,0)</f>
        <v>0.0</v>
      </c>
    </row>
    <row r="49" ht="24" customHeight="1">
      <c r="A49" s="9" t="inlineStr">
        <is>
          <t>Net cash (counted − starting bank)</t>
        </is>
      </c>
      <c r="B49" s="20" t="n"/>
      <c r="C49" s="53">
        <f>IFERROR(C47-C48,0)</f>
        <v>0.0</v>
      </c>
    </row>
    <row r="50" ht="24" customHeight="1">
      <c r="A50" s="11" t="inlineStr">
        <is>
          <t>Card sales, excl. tips</t>
        </is>
      </c>
      <c r="B50" s="20" t="n"/>
      <c r="C50" s="54" t="n">
        <v>0</v>
      </c>
    </row>
    <row r="51" ht="24" customHeight="1">
      <c r="A51" s="9" t="inlineStr">
        <is>
          <t>Other tenders + card tips paid in cash</t>
        </is>
      </c>
      <c r="B51" s="20" t="n"/>
      <c r="C51" s="54" t="n">
        <v>0</v>
      </c>
    </row>
    <row r="52" ht="24" customHeight="1">
      <c r="A52" s="22" t="inlineStr">
        <is>
          <t>TOTAL COLLECTED</t>
        </is>
      </c>
      <c r="B52" s="20" t="n"/>
      <c r="C52" s="55">
        <f>C49+C50+C51</f>
        <v>0.0</v>
      </c>
    </row>
    <row r="53" ht="24" customHeight="1">
      <c r="A53" s="9" t="inlineStr">
        <is>
          <t>POS Z report: sales + tax, excl. tips</t>
        </is>
      </c>
      <c r="B53" s="20" t="n"/>
      <c r="C53" s="54" t="n">
        <v>0</v>
      </c>
    </row>
    <row r="54" ht="24" customHeight="1">
      <c r="A54" s="22" t="inlineStr">
        <is>
          <t>OVER / SHORT</t>
        </is>
      </c>
      <c r="B54" s="20" t="n"/>
      <c r="C54" s="55">
        <f>IFERROR(C52-C53,0)</f>
        <v>0.0</v>
      </c>
    </row>
    <row r="56" ht="30" customHeight="1">
      <c r="A56" s="6" t="inlineStr">
        <is>
          <t>Manager signature: _________________________     Time: ________</t>
        </is>
      </c>
    </row>
    <row r="57">
      <c r="A57" s="12" t="inlineStr">
        <is>
          <t>— Fine Dining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A48:B48"/>
    <mergeCell ref="A49:B49"/>
    <mergeCell ref="A51:B51"/>
    <mergeCell ref="A26:C26"/>
    <mergeCell ref="A2:C2"/>
    <mergeCell ref="A54:B54"/>
    <mergeCell ref="A46:B46"/>
    <mergeCell ref="A24:G24"/>
    <mergeCell ref="A50:B50"/>
    <mergeCell ref="A1:G1"/>
    <mergeCell ref="A47:B47"/>
    <mergeCell ref="A23:B23"/>
    <mergeCell ref="A34:C34"/>
    <mergeCell ref="D2:G2"/>
    <mergeCell ref="A53:B53"/>
    <mergeCell ref="A52:B52"/>
    <mergeCell ref="A56:G56"/>
    <mergeCell ref="A45:C45"/>
    <mergeCell ref="A43:B43"/>
    <mergeCell ref="A57:G57"/>
  </mergeCells>
  <conditionalFormatting sqref="A5:G21">
    <cfRule type="expression" priority="1" dxfId="0">
      <formula>$E5="✓"</formula>
    </cfRule>
  </conditionalFormatting>
  <conditionalFormatting sqref="C54">
    <cfRule type="cellIs" priority="2" operator="notEqual" dxfId="1">
      <formula>0</formula>
    </cfRule>
  </conditionalFormatting>
  <dataValidations count="2">
    <dataValidation sqref="E5 E6 E7 E8 E9 E10 E11 E12 E13 E14 E15 E16 E17 E18 E19 E20 E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  <dataValidation sqref="B27 B28 B29 B30 B31 B32 B33 B35 B36 B37 B38 B39 B40 B41 B42" showDropDown="0" showInputMessage="0" showErrorMessage="1" allowBlank="1" errorTitle="Invalid quantity" error="Enter how many bills, coins or rolls: a whole number (0 or more), no decimals." type="whole" errorStyle="stop" operator="greaterThanOrEqual">
      <formula1>0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40" customHeight="1">
      <c r="A1" s="1" t="inlineStr">
        <is>
          <t>Monthly Cash Log</t>
        </is>
      </c>
    </row>
    <row r="2" ht="28" customHeight="1">
      <c r="A2" s="6" t="inlineStr">
        <is>
          <t>Month: ________________     Year: ________</t>
        </is>
      </c>
      <c r="F2" s="6" t="inlineStr">
        <is>
          <t>General manager: _________________________</t>
        </is>
      </c>
    </row>
    <row r="3" ht="8" customHeight="1"/>
    <row r="4" ht="36" customHeight="1">
      <c r="A4" s="7" t="inlineStr">
        <is>
          <t>Day</t>
        </is>
      </c>
      <c r="B4" s="7" t="inlineStr">
        <is>
          <t>Starting Bank</t>
        </is>
      </c>
      <c r="C4" s="7" t="inlineStr">
        <is>
          <t>Cash Counted</t>
        </is>
      </c>
      <c r="D4" s="7" t="inlineStr">
        <is>
          <t>Card Sales (no tips)</t>
        </is>
      </c>
      <c r="E4" s="7" t="inlineStr">
        <is>
          <t>Other + Tips Paid</t>
        </is>
      </c>
      <c r="F4" s="7" t="inlineStr">
        <is>
          <t>Total Collected</t>
        </is>
      </c>
      <c r="G4" s="7" t="inlineStr">
        <is>
          <t>POS Z (+ tax, no tips)</t>
        </is>
      </c>
      <c r="H4" s="7" t="inlineStr">
        <is>
          <t>Over/Short</t>
        </is>
      </c>
      <c r="I4" s="7" t="inlineStr">
        <is>
          <t>Bank Deposit</t>
        </is>
      </c>
      <c r="J4" s="7" t="inlineStr">
        <is>
          <t>Closed by</t>
        </is>
      </c>
    </row>
    <row r="5" ht="22" customHeight="1">
      <c r="A5" s="15" t="n">
        <v>1</v>
      </c>
      <c r="B5" s="56" t="n">
        <v>0</v>
      </c>
      <c r="C5" s="56" t="n">
        <v>0</v>
      </c>
      <c r="D5" s="56" t="n">
        <v>0</v>
      </c>
      <c r="E5" s="56" t="n">
        <v>0</v>
      </c>
      <c r="F5" s="57">
        <f>IF(SUM(C5:E5)=0,0,SUM(C5:E5)-B5)</f>
        <v>0.0</v>
      </c>
      <c r="G5" s="56" t="n">
        <v>0</v>
      </c>
      <c r="H5" s="57">
        <f>IFERROR(F5-G5,0)</f>
        <v>0.0</v>
      </c>
      <c r="I5" s="56" t="n">
        <v>0</v>
      </c>
      <c r="J5" s="32" t="n"/>
    </row>
    <row r="6" ht="22" customHeight="1">
      <c r="A6" s="17" t="n">
        <v>2</v>
      </c>
      <c r="B6" s="56" t="n">
        <v>0</v>
      </c>
      <c r="C6" s="56" t="n">
        <v>0</v>
      </c>
      <c r="D6" s="56" t="n">
        <v>0</v>
      </c>
      <c r="E6" s="56" t="n">
        <v>0</v>
      </c>
      <c r="F6" s="49">
        <f>IF(SUM(C6:E6)=0,0,SUM(C6:E6)-B6)</f>
        <v>0.0</v>
      </c>
      <c r="G6" s="56" t="n">
        <v>0</v>
      </c>
      <c r="H6" s="49">
        <f>IFERROR(F6-G6,0)</f>
        <v>0.0</v>
      </c>
      <c r="I6" s="56" t="n">
        <v>0</v>
      </c>
      <c r="J6" s="32" t="n"/>
    </row>
    <row r="7" ht="22" customHeight="1">
      <c r="A7" s="15" t="n">
        <v>3</v>
      </c>
      <c r="B7" s="56" t="n">
        <v>0</v>
      </c>
      <c r="C7" s="56" t="n">
        <v>0</v>
      </c>
      <c r="D7" s="56" t="n">
        <v>0</v>
      </c>
      <c r="E7" s="56" t="n">
        <v>0</v>
      </c>
      <c r="F7" s="57">
        <f>IF(SUM(C7:E7)=0,0,SUM(C7:E7)-B7)</f>
        <v>0.0</v>
      </c>
      <c r="G7" s="56" t="n">
        <v>0</v>
      </c>
      <c r="H7" s="57">
        <f>IFERROR(F7-G7,0)</f>
        <v>0.0</v>
      </c>
      <c r="I7" s="56" t="n">
        <v>0</v>
      </c>
      <c r="J7" s="32" t="n"/>
    </row>
    <row r="8" ht="22" customHeight="1">
      <c r="A8" s="17" t="n">
        <v>4</v>
      </c>
      <c r="B8" s="56" t="n">
        <v>0</v>
      </c>
      <c r="C8" s="56" t="n">
        <v>0</v>
      </c>
      <c r="D8" s="56" t="n">
        <v>0</v>
      </c>
      <c r="E8" s="56" t="n">
        <v>0</v>
      </c>
      <c r="F8" s="49">
        <f>IF(SUM(C8:E8)=0,0,SUM(C8:E8)-B8)</f>
        <v>0.0</v>
      </c>
      <c r="G8" s="56" t="n">
        <v>0</v>
      </c>
      <c r="H8" s="49">
        <f>IFERROR(F8-G8,0)</f>
        <v>0.0</v>
      </c>
      <c r="I8" s="56" t="n">
        <v>0</v>
      </c>
      <c r="J8" s="32" t="n"/>
    </row>
    <row r="9" ht="22" customHeight="1">
      <c r="A9" s="15" t="n">
        <v>5</v>
      </c>
      <c r="B9" s="56" t="n">
        <v>0</v>
      </c>
      <c r="C9" s="56" t="n">
        <v>0</v>
      </c>
      <c r="D9" s="56" t="n">
        <v>0</v>
      </c>
      <c r="E9" s="56" t="n">
        <v>0</v>
      </c>
      <c r="F9" s="57">
        <f>IF(SUM(C9:E9)=0,0,SUM(C9:E9)-B9)</f>
        <v>0.0</v>
      </c>
      <c r="G9" s="56" t="n">
        <v>0</v>
      </c>
      <c r="H9" s="57">
        <f>IFERROR(F9-G9,0)</f>
        <v>0.0</v>
      </c>
      <c r="I9" s="56" t="n">
        <v>0</v>
      </c>
      <c r="J9" s="32" t="n"/>
    </row>
    <row r="10" ht="22" customHeight="1">
      <c r="A10" s="17" t="n">
        <v>6</v>
      </c>
      <c r="B10" s="56" t="n">
        <v>0</v>
      </c>
      <c r="C10" s="56" t="n">
        <v>0</v>
      </c>
      <c r="D10" s="56" t="n">
        <v>0</v>
      </c>
      <c r="E10" s="56" t="n">
        <v>0</v>
      </c>
      <c r="F10" s="49">
        <f>IF(SUM(C10:E10)=0,0,SUM(C10:E10)-B10)</f>
        <v>0.0</v>
      </c>
      <c r="G10" s="56" t="n">
        <v>0</v>
      </c>
      <c r="H10" s="49">
        <f>IFERROR(F10-G10,0)</f>
        <v>0.0</v>
      </c>
      <c r="I10" s="56" t="n">
        <v>0</v>
      </c>
      <c r="J10" s="32" t="n"/>
    </row>
    <row r="11" ht="22" customHeight="1">
      <c r="A11" s="15" t="n">
        <v>7</v>
      </c>
      <c r="B11" s="56" t="n">
        <v>0</v>
      </c>
      <c r="C11" s="56" t="n">
        <v>0</v>
      </c>
      <c r="D11" s="56" t="n">
        <v>0</v>
      </c>
      <c r="E11" s="56" t="n">
        <v>0</v>
      </c>
      <c r="F11" s="57">
        <f>IF(SUM(C11:E11)=0,0,SUM(C11:E11)-B11)</f>
        <v>0.0</v>
      </c>
      <c r="G11" s="56" t="n">
        <v>0</v>
      </c>
      <c r="H11" s="57">
        <f>IFERROR(F11-G11,0)</f>
        <v>0.0</v>
      </c>
      <c r="I11" s="56" t="n">
        <v>0</v>
      </c>
      <c r="J11" s="32" t="n"/>
    </row>
    <row r="12" ht="22" customHeight="1">
      <c r="A12" s="17" t="n">
        <v>8</v>
      </c>
      <c r="B12" s="56" t="n">
        <v>0</v>
      </c>
      <c r="C12" s="56" t="n">
        <v>0</v>
      </c>
      <c r="D12" s="56" t="n">
        <v>0</v>
      </c>
      <c r="E12" s="56" t="n">
        <v>0</v>
      </c>
      <c r="F12" s="49">
        <f>IF(SUM(C12:E12)=0,0,SUM(C12:E12)-B12)</f>
        <v>0.0</v>
      </c>
      <c r="G12" s="56" t="n">
        <v>0</v>
      </c>
      <c r="H12" s="49">
        <f>IFERROR(F12-G12,0)</f>
        <v>0.0</v>
      </c>
      <c r="I12" s="56" t="n">
        <v>0</v>
      </c>
      <c r="J12" s="32" t="n"/>
    </row>
    <row r="13" ht="22" customHeight="1">
      <c r="A13" s="15" t="n">
        <v>9</v>
      </c>
      <c r="B13" s="56" t="n">
        <v>0</v>
      </c>
      <c r="C13" s="56" t="n">
        <v>0</v>
      </c>
      <c r="D13" s="56" t="n">
        <v>0</v>
      </c>
      <c r="E13" s="56" t="n">
        <v>0</v>
      </c>
      <c r="F13" s="57">
        <f>IF(SUM(C13:E13)=0,0,SUM(C13:E13)-B13)</f>
        <v>0.0</v>
      </c>
      <c r="G13" s="56" t="n">
        <v>0</v>
      </c>
      <c r="H13" s="57">
        <f>IFERROR(F13-G13,0)</f>
        <v>0.0</v>
      </c>
      <c r="I13" s="56" t="n">
        <v>0</v>
      </c>
      <c r="J13" s="32" t="n"/>
    </row>
    <row r="14" ht="22" customHeight="1">
      <c r="A14" s="17" t="n">
        <v>10</v>
      </c>
      <c r="B14" s="56" t="n">
        <v>0</v>
      </c>
      <c r="C14" s="56" t="n">
        <v>0</v>
      </c>
      <c r="D14" s="56" t="n">
        <v>0</v>
      </c>
      <c r="E14" s="56" t="n">
        <v>0</v>
      </c>
      <c r="F14" s="49">
        <f>IF(SUM(C14:E14)=0,0,SUM(C14:E14)-B14)</f>
        <v>0.0</v>
      </c>
      <c r="G14" s="56" t="n">
        <v>0</v>
      </c>
      <c r="H14" s="49">
        <f>IFERROR(F14-G14,0)</f>
        <v>0.0</v>
      </c>
      <c r="I14" s="56" t="n">
        <v>0</v>
      </c>
      <c r="J14" s="32" t="n"/>
    </row>
    <row r="15" ht="22" customHeight="1">
      <c r="A15" s="15" t="n">
        <v>11</v>
      </c>
      <c r="B15" s="56" t="n">
        <v>0</v>
      </c>
      <c r="C15" s="56" t="n">
        <v>0</v>
      </c>
      <c r="D15" s="56" t="n">
        <v>0</v>
      </c>
      <c r="E15" s="56" t="n">
        <v>0</v>
      </c>
      <c r="F15" s="57">
        <f>IF(SUM(C15:E15)=0,0,SUM(C15:E15)-B15)</f>
        <v>0.0</v>
      </c>
      <c r="G15" s="56" t="n">
        <v>0</v>
      </c>
      <c r="H15" s="57">
        <f>IFERROR(F15-G15,0)</f>
        <v>0.0</v>
      </c>
      <c r="I15" s="56" t="n">
        <v>0</v>
      </c>
      <c r="J15" s="32" t="n"/>
    </row>
    <row r="16" ht="22" customHeight="1">
      <c r="A16" s="17" t="n">
        <v>12</v>
      </c>
      <c r="B16" s="56" t="n">
        <v>0</v>
      </c>
      <c r="C16" s="56" t="n">
        <v>0</v>
      </c>
      <c r="D16" s="56" t="n">
        <v>0</v>
      </c>
      <c r="E16" s="56" t="n">
        <v>0</v>
      </c>
      <c r="F16" s="49">
        <f>IF(SUM(C16:E16)=0,0,SUM(C16:E16)-B16)</f>
        <v>0.0</v>
      </c>
      <c r="G16" s="56" t="n">
        <v>0</v>
      </c>
      <c r="H16" s="49">
        <f>IFERROR(F16-G16,0)</f>
        <v>0.0</v>
      </c>
      <c r="I16" s="56" t="n">
        <v>0</v>
      </c>
      <c r="J16" s="32" t="n"/>
    </row>
    <row r="17" ht="22" customHeight="1">
      <c r="A17" s="15" t="n">
        <v>13</v>
      </c>
      <c r="B17" s="56" t="n">
        <v>0</v>
      </c>
      <c r="C17" s="56" t="n">
        <v>0</v>
      </c>
      <c r="D17" s="56" t="n">
        <v>0</v>
      </c>
      <c r="E17" s="56" t="n">
        <v>0</v>
      </c>
      <c r="F17" s="57">
        <f>IF(SUM(C17:E17)=0,0,SUM(C17:E17)-B17)</f>
        <v>0.0</v>
      </c>
      <c r="G17" s="56" t="n">
        <v>0</v>
      </c>
      <c r="H17" s="57">
        <f>IFERROR(F17-G17,0)</f>
        <v>0.0</v>
      </c>
      <c r="I17" s="56" t="n">
        <v>0</v>
      </c>
      <c r="J17" s="32" t="n"/>
    </row>
    <row r="18" ht="22" customHeight="1">
      <c r="A18" s="17" t="n">
        <v>14</v>
      </c>
      <c r="B18" s="56" t="n">
        <v>0</v>
      </c>
      <c r="C18" s="56" t="n">
        <v>0</v>
      </c>
      <c r="D18" s="56" t="n">
        <v>0</v>
      </c>
      <c r="E18" s="56" t="n">
        <v>0</v>
      </c>
      <c r="F18" s="49">
        <f>IF(SUM(C18:E18)=0,0,SUM(C18:E18)-B18)</f>
        <v>0.0</v>
      </c>
      <c r="G18" s="56" t="n">
        <v>0</v>
      </c>
      <c r="H18" s="49">
        <f>IFERROR(F18-G18,0)</f>
        <v>0.0</v>
      </c>
      <c r="I18" s="56" t="n">
        <v>0</v>
      </c>
      <c r="J18" s="32" t="n"/>
    </row>
    <row r="19" ht="22" customHeight="1">
      <c r="A19" s="15" t="n">
        <v>15</v>
      </c>
      <c r="B19" s="56" t="n">
        <v>0</v>
      </c>
      <c r="C19" s="56" t="n">
        <v>0</v>
      </c>
      <c r="D19" s="56" t="n">
        <v>0</v>
      </c>
      <c r="E19" s="56" t="n">
        <v>0</v>
      </c>
      <c r="F19" s="57">
        <f>IF(SUM(C19:E19)=0,0,SUM(C19:E19)-B19)</f>
        <v>0.0</v>
      </c>
      <c r="G19" s="56" t="n">
        <v>0</v>
      </c>
      <c r="H19" s="57">
        <f>IFERROR(F19-G19,0)</f>
        <v>0.0</v>
      </c>
      <c r="I19" s="56" t="n">
        <v>0</v>
      </c>
      <c r="J19" s="32" t="n"/>
    </row>
    <row r="20" ht="22" customHeight="1">
      <c r="A20" s="17" t="n">
        <v>16</v>
      </c>
      <c r="B20" s="56" t="n">
        <v>0</v>
      </c>
      <c r="C20" s="56" t="n">
        <v>0</v>
      </c>
      <c r="D20" s="56" t="n">
        <v>0</v>
      </c>
      <c r="E20" s="56" t="n">
        <v>0</v>
      </c>
      <c r="F20" s="49">
        <f>IF(SUM(C20:E20)=0,0,SUM(C20:E20)-B20)</f>
        <v>0.0</v>
      </c>
      <c r="G20" s="56" t="n">
        <v>0</v>
      </c>
      <c r="H20" s="49">
        <f>IFERROR(F20-G20,0)</f>
        <v>0.0</v>
      </c>
      <c r="I20" s="56" t="n">
        <v>0</v>
      </c>
      <c r="J20" s="32" t="n"/>
    </row>
    <row r="21" ht="22" customHeight="1">
      <c r="A21" s="15" t="n">
        <v>17</v>
      </c>
      <c r="B21" s="56" t="n">
        <v>0</v>
      </c>
      <c r="C21" s="56" t="n">
        <v>0</v>
      </c>
      <c r="D21" s="56" t="n">
        <v>0</v>
      </c>
      <c r="E21" s="56" t="n">
        <v>0</v>
      </c>
      <c r="F21" s="57">
        <f>IF(SUM(C21:E21)=0,0,SUM(C21:E21)-B21)</f>
        <v>0.0</v>
      </c>
      <c r="G21" s="56" t="n">
        <v>0</v>
      </c>
      <c r="H21" s="57">
        <f>IFERROR(F21-G21,0)</f>
        <v>0.0</v>
      </c>
      <c r="I21" s="56" t="n">
        <v>0</v>
      </c>
      <c r="J21" s="32" t="n"/>
    </row>
    <row r="22" ht="22" customHeight="1">
      <c r="A22" s="17" t="n">
        <v>18</v>
      </c>
      <c r="B22" s="56" t="n">
        <v>0</v>
      </c>
      <c r="C22" s="56" t="n">
        <v>0</v>
      </c>
      <c r="D22" s="56" t="n">
        <v>0</v>
      </c>
      <c r="E22" s="56" t="n">
        <v>0</v>
      </c>
      <c r="F22" s="49">
        <f>IF(SUM(C22:E22)=0,0,SUM(C22:E22)-B22)</f>
        <v>0.0</v>
      </c>
      <c r="G22" s="56" t="n">
        <v>0</v>
      </c>
      <c r="H22" s="49">
        <f>IFERROR(F22-G22,0)</f>
        <v>0.0</v>
      </c>
      <c r="I22" s="56" t="n">
        <v>0</v>
      </c>
      <c r="J22" s="32" t="n"/>
    </row>
    <row r="23" ht="22" customHeight="1">
      <c r="A23" s="15" t="n">
        <v>19</v>
      </c>
      <c r="B23" s="56" t="n">
        <v>0</v>
      </c>
      <c r="C23" s="56" t="n">
        <v>0</v>
      </c>
      <c r="D23" s="56" t="n">
        <v>0</v>
      </c>
      <c r="E23" s="56" t="n">
        <v>0</v>
      </c>
      <c r="F23" s="57">
        <f>IF(SUM(C23:E23)=0,0,SUM(C23:E23)-B23)</f>
        <v>0.0</v>
      </c>
      <c r="G23" s="56" t="n">
        <v>0</v>
      </c>
      <c r="H23" s="57">
        <f>IFERROR(F23-G23,0)</f>
        <v>0.0</v>
      </c>
      <c r="I23" s="56" t="n">
        <v>0</v>
      </c>
      <c r="J23" s="32" t="n"/>
    </row>
    <row r="24" ht="22" customHeight="1">
      <c r="A24" s="17" t="n">
        <v>20</v>
      </c>
      <c r="B24" s="56" t="n">
        <v>0</v>
      </c>
      <c r="C24" s="56" t="n">
        <v>0</v>
      </c>
      <c r="D24" s="56" t="n">
        <v>0</v>
      </c>
      <c r="E24" s="56" t="n">
        <v>0</v>
      </c>
      <c r="F24" s="49">
        <f>IF(SUM(C24:E24)=0,0,SUM(C24:E24)-B24)</f>
        <v>0.0</v>
      </c>
      <c r="G24" s="56" t="n">
        <v>0</v>
      </c>
      <c r="H24" s="49">
        <f>IFERROR(F24-G24,0)</f>
        <v>0.0</v>
      </c>
      <c r="I24" s="56" t="n">
        <v>0</v>
      </c>
      <c r="J24" s="32" t="n"/>
    </row>
    <row r="25" ht="22" customHeight="1">
      <c r="A25" s="15" t="n">
        <v>21</v>
      </c>
      <c r="B25" s="56" t="n">
        <v>0</v>
      </c>
      <c r="C25" s="56" t="n">
        <v>0</v>
      </c>
      <c r="D25" s="56" t="n">
        <v>0</v>
      </c>
      <c r="E25" s="56" t="n">
        <v>0</v>
      </c>
      <c r="F25" s="57">
        <f>IF(SUM(C25:E25)=0,0,SUM(C25:E25)-B25)</f>
        <v>0.0</v>
      </c>
      <c r="G25" s="56" t="n">
        <v>0</v>
      </c>
      <c r="H25" s="57">
        <f>IFERROR(F25-G25,0)</f>
        <v>0.0</v>
      </c>
      <c r="I25" s="56" t="n">
        <v>0</v>
      </c>
      <c r="J25" s="32" t="n"/>
    </row>
    <row r="26" ht="22" customHeight="1">
      <c r="A26" s="17" t="n">
        <v>22</v>
      </c>
      <c r="B26" s="56" t="n">
        <v>0</v>
      </c>
      <c r="C26" s="56" t="n">
        <v>0</v>
      </c>
      <c r="D26" s="56" t="n">
        <v>0</v>
      </c>
      <c r="E26" s="56" t="n">
        <v>0</v>
      </c>
      <c r="F26" s="49">
        <f>IF(SUM(C26:E26)=0,0,SUM(C26:E26)-B26)</f>
        <v>0.0</v>
      </c>
      <c r="G26" s="56" t="n">
        <v>0</v>
      </c>
      <c r="H26" s="49">
        <f>IFERROR(F26-G26,0)</f>
        <v>0.0</v>
      </c>
      <c r="I26" s="56" t="n">
        <v>0</v>
      </c>
      <c r="J26" s="32" t="n"/>
    </row>
    <row r="27" ht="22" customHeight="1">
      <c r="A27" s="15" t="n">
        <v>23</v>
      </c>
      <c r="B27" s="56" t="n">
        <v>0</v>
      </c>
      <c r="C27" s="56" t="n">
        <v>0</v>
      </c>
      <c r="D27" s="56" t="n">
        <v>0</v>
      </c>
      <c r="E27" s="56" t="n">
        <v>0</v>
      </c>
      <c r="F27" s="57">
        <f>IF(SUM(C27:E27)=0,0,SUM(C27:E27)-B27)</f>
        <v>0.0</v>
      </c>
      <c r="G27" s="56" t="n">
        <v>0</v>
      </c>
      <c r="H27" s="57">
        <f>IFERROR(F27-G27,0)</f>
        <v>0.0</v>
      </c>
      <c r="I27" s="56" t="n">
        <v>0</v>
      </c>
      <c r="J27" s="32" t="n"/>
    </row>
    <row r="28" ht="22" customHeight="1">
      <c r="A28" s="17" t="n">
        <v>24</v>
      </c>
      <c r="B28" s="56" t="n">
        <v>0</v>
      </c>
      <c r="C28" s="56" t="n">
        <v>0</v>
      </c>
      <c r="D28" s="56" t="n">
        <v>0</v>
      </c>
      <c r="E28" s="56" t="n">
        <v>0</v>
      </c>
      <c r="F28" s="49">
        <f>IF(SUM(C28:E28)=0,0,SUM(C28:E28)-B28)</f>
        <v>0.0</v>
      </c>
      <c r="G28" s="56" t="n">
        <v>0</v>
      </c>
      <c r="H28" s="49">
        <f>IFERROR(F28-G28,0)</f>
        <v>0.0</v>
      </c>
      <c r="I28" s="56" t="n">
        <v>0</v>
      </c>
      <c r="J28" s="32" t="n"/>
    </row>
    <row r="29" ht="22" customHeight="1">
      <c r="A29" s="15" t="n">
        <v>25</v>
      </c>
      <c r="B29" s="56" t="n">
        <v>0</v>
      </c>
      <c r="C29" s="56" t="n">
        <v>0</v>
      </c>
      <c r="D29" s="56" t="n">
        <v>0</v>
      </c>
      <c r="E29" s="56" t="n">
        <v>0</v>
      </c>
      <c r="F29" s="57">
        <f>IF(SUM(C29:E29)=0,0,SUM(C29:E29)-B29)</f>
        <v>0.0</v>
      </c>
      <c r="G29" s="56" t="n">
        <v>0</v>
      </c>
      <c r="H29" s="57">
        <f>IFERROR(F29-G29,0)</f>
        <v>0.0</v>
      </c>
      <c r="I29" s="56" t="n">
        <v>0</v>
      </c>
      <c r="J29" s="32" t="n"/>
    </row>
    <row r="30" ht="22" customHeight="1">
      <c r="A30" s="17" t="n">
        <v>26</v>
      </c>
      <c r="B30" s="56" t="n">
        <v>0</v>
      </c>
      <c r="C30" s="56" t="n">
        <v>0</v>
      </c>
      <c r="D30" s="56" t="n">
        <v>0</v>
      </c>
      <c r="E30" s="56" t="n">
        <v>0</v>
      </c>
      <c r="F30" s="49">
        <f>IF(SUM(C30:E30)=0,0,SUM(C30:E30)-B30)</f>
        <v>0.0</v>
      </c>
      <c r="G30" s="56" t="n">
        <v>0</v>
      </c>
      <c r="H30" s="49">
        <f>IFERROR(F30-G30,0)</f>
        <v>0.0</v>
      </c>
      <c r="I30" s="56" t="n">
        <v>0</v>
      </c>
      <c r="J30" s="32" t="n"/>
    </row>
    <row r="31" ht="22" customHeight="1">
      <c r="A31" s="15" t="n">
        <v>27</v>
      </c>
      <c r="B31" s="56" t="n">
        <v>0</v>
      </c>
      <c r="C31" s="56" t="n">
        <v>0</v>
      </c>
      <c r="D31" s="56" t="n">
        <v>0</v>
      </c>
      <c r="E31" s="56" t="n">
        <v>0</v>
      </c>
      <c r="F31" s="57">
        <f>IF(SUM(C31:E31)=0,0,SUM(C31:E31)-B31)</f>
        <v>0.0</v>
      </c>
      <c r="G31" s="56" t="n">
        <v>0</v>
      </c>
      <c r="H31" s="57">
        <f>IFERROR(F31-G31,0)</f>
        <v>0.0</v>
      </c>
      <c r="I31" s="56" t="n">
        <v>0</v>
      </c>
      <c r="J31" s="32" t="n"/>
    </row>
    <row r="32" ht="22" customHeight="1">
      <c r="A32" s="17" t="n">
        <v>28</v>
      </c>
      <c r="B32" s="56" t="n">
        <v>0</v>
      </c>
      <c r="C32" s="56" t="n">
        <v>0</v>
      </c>
      <c r="D32" s="56" t="n">
        <v>0</v>
      </c>
      <c r="E32" s="56" t="n">
        <v>0</v>
      </c>
      <c r="F32" s="49">
        <f>IF(SUM(C32:E32)=0,0,SUM(C32:E32)-B32)</f>
        <v>0.0</v>
      </c>
      <c r="G32" s="56" t="n">
        <v>0</v>
      </c>
      <c r="H32" s="49">
        <f>IFERROR(F32-G32,0)</f>
        <v>0.0</v>
      </c>
      <c r="I32" s="56" t="n">
        <v>0</v>
      </c>
      <c r="J32" s="32" t="n"/>
    </row>
    <row r="33" ht="22" customHeight="1">
      <c r="A33" s="15" t="n">
        <v>29</v>
      </c>
      <c r="B33" s="56" t="n">
        <v>0</v>
      </c>
      <c r="C33" s="56" t="n">
        <v>0</v>
      </c>
      <c r="D33" s="56" t="n">
        <v>0</v>
      </c>
      <c r="E33" s="56" t="n">
        <v>0</v>
      </c>
      <c r="F33" s="57">
        <f>IF(SUM(C33:E33)=0,0,SUM(C33:E33)-B33)</f>
        <v>0.0</v>
      </c>
      <c r="G33" s="56" t="n">
        <v>0</v>
      </c>
      <c r="H33" s="57">
        <f>IFERROR(F33-G33,0)</f>
        <v>0.0</v>
      </c>
      <c r="I33" s="56" t="n">
        <v>0</v>
      </c>
      <c r="J33" s="32" t="n"/>
    </row>
    <row r="34" ht="22" customHeight="1">
      <c r="A34" s="17" t="n">
        <v>30</v>
      </c>
      <c r="B34" s="56" t="n">
        <v>0</v>
      </c>
      <c r="C34" s="56" t="n">
        <v>0</v>
      </c>
      <c r="D34" s="56" t="n">
        <v>0</v>
      </c>
      <c r="E34" s="56" t="n">
        <v>0</v>
      </c>
      <c r="F34" s="49">
        <f>IF(SUM(C34:E34)=0,0,SUM(C34:E34)-B34)</f>
        <v>0.0</v>
      </c>
      <c r="G34" s="56" t="n">
        <v>0</v>
      </c>
      <c r="H34" s="49">
        <f>IFERROR(F34-G34,0)</f>
        <v>0.0</v>
      </c>
      <c r="I34" s="56" t="n">
        <v>0</v>
      </c>
      <c r="J34" s="32" t="n"/>
    </row>
    <row r="35" ht="22" customHeight="1">
      <c r="A35" s="15" t="n">
        <v>31</v>
      </c>
      <c r="B35" s="56" t="n">
        <v>0</v>
      </c>
      <c r="C35" s="56" t="n">
        <v>0</v>
      </c>
      <c r="D35" s="56" t="n">
        <v>0</v>
      </c>
      <c r="E35" s="56" t="n">
        <v>0</v>
      </c>
      <c r="F35" s="57">
        <f>IF(SUM(C35:E35)=0,0,SUM(C35:E35)-B35)</f>
        <v>0.0</v>
      </c>
      <c r="G35" s="56" t="n">
        <v>0</v>
      </c>
      <c r="H35" s="57">
        <f>IFERROR(F35-G35,0)</f>
        <v>0.0</v>
      </c>
      <c r="I35" s="56" t="n">
        <v>0</v>
      </c>
      <c r="J35" s="32" t="n"/>
    </row>
    <row r="36" ht="28" customHeight="1">
      <c r="A36" s="19" t="inlineStr">
        <is>
          <t>TOTALS</t>
        </is>
      </c>
      <c r="B36" s="58">
        <f>IFERROR(AVERAGEIF(B5:B35,"&gt;0"),0)</f>
        <v>0.0</v>
      </c>
      <c r="C36" s="58">
        <f>SUM(C5:C35)</f>
        <v>0.0</v>
      </c>
      <c r="D36" s="58">
        <f>SUM(D5:D35)</f>
        <v>0.0</v>
      </c>
      <c r="E36" s="58">
        <f>SUM(E5:E35)</f>
        <v>0.0</v>
      </c>
      <c r="F36" s="58">
        <f>SUM(F5:F35)</f>
        <v>0.0</v>
      </c>
      <c r="G36" s="58">
        <f>SUM(G5:G35)</f>
        <v>0.0</v>
      </c>
      <c r="H36" s="58">
        <f>SUMIF(H5:H35,"&gt;0")-SUMIF(H5:H35,"&lt;0")</f>
        <v>0.0</v>
      </c>
      <c r="I36" s="58">
        <f>SUM(I5:I35)</f>
        <v>0.0</v>
      </c>
      <c r="J36" s="19" t="n"/>
    </row>
    <row r="37" ht="36.75" customHeight="1">
      <c r="A37" s="47" t="inlineStr">
        <is>
          <t>"Cash Counted" is the drawer count AS IS, with the starting bank inside: Total Collected already deducts it. In TOTALS, "Starting Bank" is the AVERAGE starting bank of the days logged (a balance is not summed) and "Over/Short" is the CUMULATIVE over/short in absolute value: a +50 and a −50 make 100 of over/short, not 0. "Card Sales (no tips)" excludes tips; "Other + Tips Paid" = other tenders + card tips paid in cash from the drawer. "POS Z" = net sales + sales tax, without tips.</t>
        </is>
      </c>
    </row>
    <row r="38">
      <c r="A38" s="12" t="inlineStr">
        <is>
          <t>— Fine Dining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5">
    <mergeCell ref="A1:J1"/>
    <mergeCell ref="A37:J37"/>
    <mergeCell ref="A2:E2"/>
    <mergeCell ref="A38:J38"/>
    <mergeCell ref="F2:J2"/>
  </mergeCells>
  <conditionalFormatting sqref="H5:H35">
    <cfRule type="cellIs" priority="1" operator="notEqual" dxfId="1">
      <formula>0</formula>
    </cfRule>
  </conditionalFormatting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Drawer Opening &amp; Closing: Count Sheet, Z Report &amp; Over/Short Log</dc:title>
  <dc:description xmlns:dc="http://purl.org/dc/elements/1.1/">aichef.pro/en/digital-products/fine-dining-checklist-templates</dc:description>
  <dc:subject xmlns:dc="http://purl.org/dc/elements/1.1/">Fine Dining Checklists Kit Pro · v2.0</dc:subject>
  <dcterms:created xmlns:dcterms="http://purl.org/dc/terms/" xmlns:xsi="http://www.w3.org/2001/XMLSchema-instance" xsi:type="dcterms:W3CDTF">2026-04-05T14:07:33Z</dcterms:created>
  <dcterms:modified xmlns:dcterms="http://purl.org/dc/terms/" xmlns:xsi="http://www.w3.org/2001/XMLSchema-instance" xsi:type="dcterms:W3CDTF">2026-10-31T02:04:41Z</dcterms:modified>
  <cp:lastModifiedBy>AI Chef Pro</cp:lastModifiedBy>
  <cp:category>AI Chef Pro · Digital products</cp:category>
  <cp:keywords>fine dining checklist, tasting menu, chef's table, fine dining steps of service, mise en place checklist, kitchen brigade, sommelier, AI Chef Pro</cp:keywords>
</cp:coreProperties>
</file>