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candallo" sheetId="1" state="visible" r:id="rId1"/>
    <sheet xmlns:r="http://schemas.openxmlformats.org/officeDocument/2006/relationships" name="Calculadora" sheetId="2" state="visible" r:id="rId2"/>
    <sheet xmlns:r="http://schemas.openxmlformats.org/officeDocument/2006/relationships" name="Ejemplos" sheetId="3" state="visible" r:id="rId3"/>
    <sheet xmlns:r="http://schemas.openxmlformats.org/officeDocument/2006/relationships" name="Instrucciones" sheetId="4" state="visible" r:id="rId4"/>
  </sheets>
  <definedNames/>
  <calcPr calcId="124519" fullCalcOnLoad="1"/>
</workbook>
</file>

<file path=xl/styles.xml><?xml version="1.0" encoding="utf-8"?>
<styleSheet xmlns="http://schemas.openxmlformats.org/spreadsheetml/2006/main">
  <numFmts count="7">
    <numFmt numFmtId="164" formatCode="#,##0.0"/>
    <numFmt numFmtId="165" formatCode="#,##0.00 €"/>
    <numFmt numFmtId="166" formatCode="0.0"/>
    <numFmt numFmtId="167" formatCode="#,##0.000 €"/>
    <numFmt numFmtId="168" formatCode="#,##0.0;-#,##0.0;&quot;-&quot;"/>
    <numFmt numFmtId="169" formatCode="0.0%"/>
    <numFmt numFmtId="170" formatCode="0&quot; inv.&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9"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0" fontId="3" fillId="2" borderId="0" applyAlignment="1" pivotButton="0" quotePrefix="0" xfId="0">
      <alignment vertical="top" wrapText="1"/>
    </xf>
    <xf numFmtId="0" fontId="3" fillId="3" borderId="0" applyAlignment="1" applyProtection="1" pivotButton="0" quotePrefix="0" xfId="0">
      <alignment vertical="top" wrapText="1"/>
      <protection locked="0" hidden="0"/>
    </xf>
    <xf numFmtId="0" fontId="3" fillId="0" borderId="0" applyAlignment="1" pivotButton="0" quotePrefix="0" xfId="0">
      <alignment vertical="top"/>
    </xf>
    <xf numFmtId="165" fontId="3"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167" fontId="2" fillId="0" borderId="0" applyAlignment="1" pivotButton="0" quotePrefix="0" xfId="0">
      <alignment vertical="top"/>
    </xf>
    <xf numFmtId="168" fontId="2" fillId="0" borderId="0" applyAlignment="1" pivotButton="0" quotePrefix="0" xfId="0">
      <alignment vertical="top"/>
    </xf>
    <xf numFmtId="0" fontId="4" fillId="0" borderId="0" applyAlignment="1" pivotButton="0" quotePrefix="0" xfId="0">
      <alignment vertical="top"/>
    </xf>
    <xf numFmtId="168" fontId="2" fillId="3" borderId="0" applyAlignment="1" applyProtection="1" pivotButton="0" quotePrefix="0" xfId="0">
      <alignment vertical="top"/>
      <protection locked="0" hidden="0"/>
    </xf>
    <xf numFmtId="164" fontId="2" fillId="0" borderId="0" applyAlignment="1" pivotButton="0" quotePrefix="0" xfId="0">
      <alignment vertical="top"/>
    </xf>
    <xf numFmtId="167" fontId="3" fillId="0" borderId="0" applyAlignment="1" pivotButton="0" quotePrefix="0" xfId="0">
      <alignment vertical="top"/>
    </xf>
    <xf numFmtId="165" fontId="2" fillId="0" borderId="0" applyAlignment="1" pivotButton="0" quotePrefix="0" xfId="0">
      <alignment vertical="top"/>
    </xf>
    <xf numFmtId="169" fontId="2" fillId="0" borderId="0" applyAlignment="1" pivotButton="0" quotePrefix="0" xfId="0">
      <alignment vertical="top"/>
    </xf>
    <xf numFmtId="169" fontId="3" fillId="0" borderId="0" applyAlignment="1" pivotButton="0" quotePrefix="0" xfId="0">
      <alignment vertical="top"/>
    </xf>
    <xf numFmtId="9"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wrapText="1"/>
    </xf>
    <xf numFmtId="0" fontId="2" fillId="3" borderId="0" applyAlignment="1" applyProtection="1" pivotButton="0" quotePrefix="0" xfId="0">
      <alignment vertical="top" wrapText="1"/>
      <protection locked="0" hidden="0"/>
    </xf>
    <xf numFmtId="3" fontId="2" fillId="3" borderId="0" applyAlignment="1" applyProtection="1" pivotButton="0" quotePrefix="0" xfId="0">
      <alignment vertical="top"/>
      <protection locked="0" hidden="0"/>
    </xf>
    <xf numFmtId="2" fontId="2" fillId="0" borderId="0" applyAlignment="1" pivotButton="0" quotePrefix="0" xfId="0">
      <alignment vertical="top"/>
    </xf>
    <xf numFmtId="3" fontId="2" fillId="0" borderId="0" applyAlignment="1" pivotButton="0" quotePrefix="0" xfId="0">
      <alignment vertical="top"/>
    </xf>
    <xf numFmtId="165" fontId="3" fillId="0" borderId="0" applyAlignment="1" pivotButton="0" quotePrefix="0" xfId="0">
      <alignment vertical="top"/>
    </xf>
    <xf numFmtId="4" fontId="2" fillId="3" borderId="0" applyAlignment="1" applyProtection="1" pivotButton="0" quotePrefix="0" xfId="0">
      <alignment vertical="top"/>
      <protection locked="0" hidden="0"/>
    </xf>
    <xf numFmtId="2" fontId="2" fillId="3" borderId="0" applyAlignment="1" applyProtection="1" pivotButton="0" quotePrefix="0" xfId="0">
      <alignment vertical="top"/>
      <protection locked="0" hidden="0"/>
    </xf>
    <xf numFmtId="170" fontId="3" fillId="2" borderId="0" applyAlignment="1" pivotButton="0" quotePrefix="0" xfId="0">
      <alignment vertical="top"/>
    </xf>
    <xf numFmtId="1" fontId="2" fillId="3" borderId="0" applyAlignment="1" applyProtection="1" pivotButton="0" quotePrefix="0" xfId="0">
      <alignment vertical="top"/>
      <protection locked="0" hidden="0"/>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FE699"/>
          <bgColor rgb="00FFE699"/>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54"/>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9"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56" customWidth="1" min="15" max="15"/>
  </cols>
  <sheetData>
    <row r="1">
      <c r="A1" s="1" t="inlineStr">
        <is>
          <t>ESCANDALLO POR BEBIDA — 16 INSUMOS × 10 BEBIDAS, EN GRAMOS, MILILITROS Y UNIDADES</t>
        </is>
      </c>
    </row>
    <row r="2" ht="34" customHeight="1">
      <c r="A2" s="2" t="inlineStr">
        <is>
          <t>Escribe solo en las celdas VERDES (precios, mermas, cantidades, mezcla y precios de carta). Importes sin IVA salvo el precio de carta. Los precios son estimaciones del kit: pon los de tu proveedor. El coste de una bebida de esta hoja NO es el «coste de bebida» del plan financiero: aquel es la media de la mezcla con la merma, no una receta.</t>
        </is>
      </c>
    </row>
    <row r="4">
      <c r="A4" s="3" t="inlineStr">
        <is>
          <t>DATOS GENERALES</t>
        </is>
      </c>
      <c r="B4" s="3" t="inlineStr">
        <is>
          <t>Valor</t>
        </is>
      </c>
      <c r="E4" s="3" t="inlineStr">
        <is>
          <t>Notas</t>
        </is>
      </c>
    </row>
    <row r="5" ht="16" customHeight="1">
      <c r="A5" s="4" t="inlineStr">
        <is>
          <t>IVA de la bebida servida (%)</t>
        </is>
      </c>
      <c r="B5" s="5" t="n">
        <v>0.1</v>
      </c>
      <c r="E5" s="2" t="inlineStr">
        <is>
          <t>Bebida para consumir en el acto o para llevar: 10 % (Ley 37/1992, art. 91). Los extras con precio propio van al 21 %.</t>
        </is>
      </c>
    </row>
    <row r="6" ht="16" customHeight="1">
      <c r="A6" s="4" t="inlineStr">
        <is>
          <t>Food cost objetivo (% sobre el precio sin IVA)</t>
        </is>
      </c>
      <c r="B6" s="5" t="n">
        <v>0.25</v>
      </c>
      <c r="E6" s="2" t="inlineStr">
        <is>
          <t>Estimación del kit: referencia de cafetería de 22 a 30 %. Pon el que te marque tu plan financiero.</t>
        </is>
      </c>
    </row>
    <row r="7" ht="16" customHeight="1">
      <c r="A7" s="4" t="inlineStr">
        <is>
          <t>Margen de vigilancia sobre el objetivo (puntos)</t>
        </is>
      </c>
      <c r="B7" s="5" t="n">
        <v>0.05</v>
      </c>
      <c r="E7" s="2" t="inlineStr">
        <is>
          <t>Hasta este margen por encima del objetivo, el semáforo dice «Vigila el coste»; más allá, «Por encima del objetivo».</t>
        </is>
      </c>
    </row>
    <row r="8" ht="16" customHeight="1">
      <c r="A8" s="4" t="inlineStr">
        <is>
          <t>Gramos de café por doble (g)</t>
        </is>
      </c>
      <c r="B8" s="6" t="n">
        <v>16</v>
      </c>
      <c r="E8" s="2" t="inlineStr">
        <is>
          <t>Estimación del kit: un doble de especialidad lleva 16-18 g. Mueve los gramos de la fila del café de todas las bebidas.</t>
        </is>
      </c>
    </row>
    <row r="10" ht="32" customHeight="1">
      <c r="A10" s="7" t="inlineStr">
        <is>
          <t>INSUMO (cantidad · precio)</t>
        </is>
      </c>
      <c r="B10" s="7" t="inlineStr">
        <is>
          <t>Precio sin IVA</t>
        </is>
      </c>
      <c r="C10" s="7" t="inlineStr">
        <is>
          <t>Merma</t>
        </is>
      </c>
      <c r="D10" s="7" t="inlineStr">
        <is>
          <t>Precio neto</t>
        </is>
      </c>
      <c r="E10" s="8" t="inlineStr">
        <is>
          <t>Espresso</t>
        </is>
      </c>
      <c r="F10" s="8" t="inlineStr">
        <is>
          <t>Americano</t>
        </is>
      </c>
      <c r="G10" s="8" t="inlineStr">
        <is>
          <t>Cortado</t>
        </is>
      </c>
      <c r="H10" s="8" t="inlineStr">
        <is>
          <t>Café con leche</t>
        </is>
      </c>
      <c r="I10" s="8" t="inlineStr">
        <is>
          <t>Flat white</t>
        </is>
      </c>
      <c r="J10" s="8" t="inlineStr">
        <is>
          <t>Capuchino</t>
        </is>
      </c>
      <c r="K10" s="8" t="inlineStr">
        <is>
          <t>Latte</t>
        </is>
      </c>
      <c r="L10" s="8" t="inlineStr">
        <is>
          <t>Mocha</t>
        </is>
      </c>
      <c r="M10" s="8" t="inlineStr">
        <is>
          <t>Chai latte</t>
        </is>
      </c>
      <c r="N10" s="8" t="inlineStr">
        <is>
          <t>Chocolate a la taza</t>
        </is>
      </c>
      <c r="O10" s="7" t="inlineStr">
        <is>
          <t>ORIGEN DEL PRECIO DE EJEMPLO</t>
        </is>
      </c>
    </row>
    <row r="11">
      <c r="A11" s="9" t="inlineStr">
        <is>
          <t>Precio de carta con IVA (€)</t>
        </is>
      </c>
      <c r="E11" s="10" t="n">
        <v>2.2</v>
      </c>
      <c r="F11" s="10" t="n">
        <v>2.7</v>
      </c>
      <c r="G11" s="10" t="n">
        <v>2.4</v>
      </c>
      <c r="H11" s="10" t="n">
        <v>3.3</v>
      </c>
      <c r="I11" s="10" t="n">
        <v>3.8</v>
      </c>
      <c r="J11" s="10" t="n">
        <v>3.8</v>
      </c>
      <c r="K11" s="10" t="n">
        <v>4.2</v>
      </c>
      <c r="L11" s="10" t="n">
        <v>4.6</v>
      </c>
      <c r="M11" s="10" t="n">
        <v>4.4</v>
      </c>
      <c r="N11" s="10" t="n">
        <v>3.8</v>
      </c>
    </row>
    <row r="12">
      <c r="A12" s="9" t="inlineStr">
        <is>
          <t>Mezcla de ventas (% de las bebidas)</t>
        </is>
      </c>
      <c r="E12" s="5" t="n">
        <v>0.14</v>
      </c>
      <c r="F12" s="5" t="n">
        <v>0.14</v>
      </c>
      <c r="G12" s="5" t="n">
        <v>0.1</v>
      </c>
      <c r="H12" s="5" t="n">
        <v>0.16</v>
      </c>
      <c r="I12" s="5" t="n">
        <v>0.08</v>
      </c>
      <c r="J12" s="5" t="n">
        <v>0.14</v>
      </c>
      <c r="K12" s="5" t="n">
        <v>0.12</v>
      </c>
      <c r="L12" s="5" t="n">
        <v>0.04</v>
      </c>
      <c r="M12" s="5" t="n">
        <v>0.04</v>
      </c>
      <c r="N12" s="5" t="n">
        <v>0.04</v>
      </c>
    </row>
    <row r="13">
      <c r="A13" s="9" t="inlineStr">
        <is>
          <t>Dobles de espresso por bebida</t>
        </is>
      </c>
      <c r="E13" s="11" t="n">
        <v>1</v>
      </c>
      <c r="F13" s="11" t="n">
        <v>1</v>
      </c>
      <c r="G13" s="11" t="n">
        <v>1</v>
      </c>
      <c r="H13" s="11" t="n">
        <v>1</v>
      </c>
      <c r="I13" s="11" t="n">
        <v>1</v>
      </c>
      <c r="J13" s="11" t="n">
        <v>1</v>
      </c>
      <c r="K13" s="11" t="n">
        <v>1</v>
      </c>
      <c r="L13" s="11" t="n">
        <v>1</v>
      </c>
      <c r="M13" s="11" t="n">
        <v>0</v>
      </c>
      <c r="N13" s="11" t="n">
        <v>0</v>
      </c>
    </row>
    <row r="14">
      <c r="A14" s="12" t="inlineStr">
        <is>
          <t>Café en grano (g · €/kg)</t>
        </is>
      </c>
      <c r="B14" s="13" t="n">
        <v>22</v>
      </c>
      <c r="C14" s="5" t="n">
        <v>0.1</v>
      </c>
      <c r="D14" s="14">
        <f>B14/(1-C14)</f>
        <v>24.444444444444443</v>
      </c>
      <c r="E14" s="15">
        <f>E$13*$B$8</f>
        <v>16.0</v>
      </c>
      <c r="F14" s="15">
        <f>F$13*$B$8</f>
        <v>16.0</v>
      </c>
      <c r="G14" s="15">
        <f>G$13*$B$8</f>
        <v>16.0</v>
      </c>
      <c r="H14" s="15">
        <f>H$13*$B$8</f>
        <v>16.0</v>
      </c>
      <c r="I14" s="15">
        <f>I$13*$B$8</f>
        <v>16.0</v>
      </c>
      <c r="J14" s="15">
        <f>J$13*$B$8</f>
        <v>16.0</v>
      </c>
      <c r="K14" s="15">
        <f>K$13*$B$8</f>
        <v>16.0</v>
      </c>
      <c r="L14" s="15">
        <f>L$13*$B$8</f>
        <v>16.0</v>
      </c>
      <c r="M14" s="15">
        <f>M$13*$B$8</f>
        <v>0.0</v>
      </c>
      <c r="N14" s="15">
        <f>N$13*$B$8</f>
        <v>0.0</v>
      </c>
      <c r="O14" s="16" t="inlineStr">
        <is>
          <t>Estimación del kit: 18-28 €/kg en hostelería, se toma 22 €/kg; 10 % de merma por purga y calibrado.</t>
        </is>
      </c>
    </row>
    <row r="15">
      <c r="A15" s="12" t="inlineStr">
        <is>
          <t>Leche entera (ml · €/l)</t>
        </is>
      </c>
      <c r="B15" s="13" t="n">
        <v>1.05</v>
      </c>
      <c r="C15" s="5" t="n">
        <v>0.1</v>
      </c>
      <c r="D15" s="14">
        <f>B15/(1-C15)</f>
        <v>1.1666666666666667</v>
      </c>
      <c r="E15" s="17" t="n">
        <v>0</v>
      </c>
      <c r="F15" s="17" t="n">
        <v>0</v>
      </c>
      <c r="G15" s="17" t="n">
        <v>56</v>
      </c>
      <c r="H15" s="17" t="n">
        <v>126</v>
      </c>
      <c r="I15" s="17" t="n">
        <v>105</v>
      </c>
      <c r="J15" s="17" t="n">
        <v>112</v>
      </c>
      <c r="K15" s="17" t="n">
        <v>168</v>
      </c>
      <c r="L15" s="17" t="n">
        <v>140</v>
      </c>
      <c r="M15" s="17" t="n">
        <v>154</v>
      </c>
      <c r="N15" s="17" t="n">
        <v>140</v>
      </c>
      <c r="O15" s="16" t="inlineStr">
        <is>
          <t>Estimación del kit: ≈ 1,05 €/l.</t>
        </is>
      </c>
    </row>
    <row r="16">
      <c r="A16" s="12" t="inlineStr">
        <is>
          <t>Leche sin lactosa (ml · €/l)</t>
        </is>
      </c>
      <c r="B16" s="13" t="n">
        <v>1.35</v>
      </c>
      <c r="C16" s="5" t="n">
        <v>0.1</v>
      </c>
      <c r="D16" s="14">
        <f>B16/(1-C16)</f>
        <v>1.5</v>
      </c>
      <c r="E16" s="17" t="n">
        <v>0</v>
      </c>
      <c r="F16" s="17" t="n">
        <v>0</v>
      </c>
      <c r="G16" s="17" t="n">
        <v>8</v>
      </c>
      <c r="H16" s="17" t="n">
        <v>18</v>
      </c>
      <c r="I16" s="17" t="n">
        <v>15</v>
      </c>
      <c r="J16" s="17" t="n">
        <v>16</v>
      </c>
      <c r="K16" s="17" t="n">
        <v>24</v>
      </c>
      <c r="L16" s="17" t="n">
        <v>20</v>
      </c>
      <c r="M16" s="17" t="n">
        <v>22</v>
      </c>
      <c r="N16" s="17" t="n">
        <v>20</v>
      </c>
      <c r="O16" s="16" t="inlineStr">
        <is>
          <t>Estimación del kit.</t>
        </is>
      </c>
    </row>
    <row r="17">
      <c r="A17" s="12" t="inlineStr">
        <is>
          <t>Bebida de avena barista (ml · €/l)</t>
        </is>
      </c>
      <c r="B17" s="13" t="n">
        <v>2.5</v>
      </c>
      <c r="C17" s="5" t="n">
        <v>0.1</v>
      </c>
      <c r="D17" s="14">
        <f>B17/(1-C17)</f>
        <v>2.7777777777777777</v>
      </c>
      <c r="E17" s="17" t="n">
        <v>0</v>
      </c>
      <c r="F17" s="17" t="n">
        <v>0</v>
      </c>
      <c r="G17" s="17" t="n">
        <v>12</v>
      </c>
      <c r="H17" s="17" t="n">
        <v>27</v>
      </c>
      <c r="I17" s="17" t="n">
        <v>22</v>
      </c>
      <c r="J17" s="17" t="n">
        <v>24</v>
      </c>
      <c r="K17" s="17" t="n">
        <v>36</v>
      </c>
      <c r="L17" s="17" t="n">
        <v>30</v>
      </c>
      <c r="M17" s="17" t="n">
        <v>33</v>
      </c>
      <c r="N17" s="17" t="n">
        <v>30</v>
      </c>
      <c r="O17" s="16" t="inlineStr">
        <is>
          <t>Estimación del kit: ≈ 2,50 €/l.</t>
        </is>
      </c>
    </row>
    <row r="18">
      <c r="A18" s="12" t="inlineStr">
        <is>
          <t>Bebida de soja barista (ml · €/l)</t>
        </is>
      </c>
      <c r="B18" s="13" t="n">
        <v>1.9</v>
      </c>
      <c r="C18" s="5" t="n">
        <v>0.1</v>
      </c>
      <c r="D18" s="14">
        <f>B18/(1-C18)</f>
        <v>2.111111111111111</v>
      </c>
      <c r="E18" s="17" t="n">
        <v>0</v>
      </c>
      <c r="F18" s="17" t="n">
        <v>0</v>
      </c>
      <c r="G18" s="17" t="n">
        <v>4</v>
      </c>
      <c r="H18" s="17" t="n">
        <v>9</v>
      </c>
      <c r="I18" s="17" t="n">
        <v>8</v>
      </c>
      <c r="J18" s="17" t="n">
        <v>8</v>
      </c>
      <c r="K18" s="17" t="n">
        <v>12</v>
      </c>
      <c r="L18" s="17" t="n">
        <v>10</v>
      </c>
      <c r="M18" s="17" t="n">
        <v>11</v>
      </c>
      <c r="N18" s="17" t="n">
        <v>10</v>
      </c>
      <c r="O18" s="16" t="inlineStr">
        <is>
          <t>Estimación del kit.</t>
        </is>
      </c>
    </row>
    <row r="19">
      <c r="A19" s="12" t="inlineStr">
        <is>
          <t>Cacao en polvo (g · €/kg)</t>
        </is>
      </c>
      <c r="B19" s="13" t="n">
        <v>9</v>
      </c>
      <c r="C19" s="5" t="n">
        <v>0.05</v>
      </c>
      <c r="D19" s="14">
        <f>B19/(1-C19)</f>
        <v>9.473684210526317</v>
      </c>
      <c r="E19" s="17" t="n">
        <v>0</v>
      </c>
      <c r="F19" s="17" t="n">
        <v>0</v>
      </c>
      <c r="G19" s="17" t="n">
        <v>0</v>
      </c>
      <c r="H19" s="17" t="n">
        <v>0</v>
      </c>
      <c r="I19" s="17" t="n">
        <v>0</v>
      </c>
      <c r="J19" s="17" t="n">
        <v>2</v>
      </c>
      <c r="K19" s="17" t="n">
        <v>0</v>
      </c>
      <c r="L19" s="17" t="n">
        <v>15</v>
      </c>
      <c r="M19" s="17" t="n">
        <v>0</v>
      </c>
      <c r="N19" s="17" t="n">
        <v>25</v>
      </c>
      <c r="O19" s="16" t="inlineStr">
        <is>
          <t>Estimación del kit.</t>
        </is>
      </c>
    </row>
    <row r="20">
      <c r="A20" s="12" t="inlineStr">
        <is>
          <t>Concentrado de chai (ml · €/l)</t>
        </is>
      </c>
      <c r="B20" s="13" t="n">
        <v>6</v>
      </c>
      <c r="C20" s="5" t="n">
        <v>0.05</v>
      </c>
      <c r="D20" s="14">
        <f>B20/(1-C20)</f>
        <v>6.315789473684211</v>
      </c>
      <c r="E20" s="17" t="n">
        <v>0</v>
      </c>
      <c r="F20" s="17" t="n">
        <v>0</v>
      </c>
      <c r="G20" s="17" t="n">
        <v>0</v>
      </c>
      <c r="H20" s="17" t="n">
        <v>0</v>
      </c>
      <c r="I20" s="17" t="n">
        <v>0</v>
      </c>
      <c r="J20" s="17" t="n">
        <v>0</v>
      </c>
      <c r="K20" s="17" t="n">
        <v>0</v>
      </c>
      <c r="L20" s="17" t="n">
        <v>0</v>
      </c>
      <c r="M20" s="17" t="n">
        <v>60</v>
      </c>
      <c r="N20" s="17" t="n">
        <v>0</v>
      </c>
      <c r="O20" s="16" t="inlineStr">
        <is>
          <t>Estimación del kit.</t>
        </is>
      </c>
    </row>
    <row r="21">
      <c r="A21" s="12" t="inlineStr">
        <is>
          <t>Sirope de vainilla o caramelo (ml · €/l)</t>
        </is>
      </c>
      <c r="B21" s="13" t="n">
        <v>6</v>
      </c>
      <c r="C21" s="5" t="n">
        <v>0.05</v>
      </c>
      <c r="D21" s="14">
        <f>B21/(1-C21)</f>
        <v>6.315789473684211</v>
      </c>
      <c r="E21" s="17" t="n">
        <v>0</v>
      </c>
      <c r="F21" s="17" t="n">
        <v>0</v>
      </c>
      <c r="G21" s="17" t="n">
        <v>0</v>
      </c>
      <c r="H21" s="17" t="n">
        <v>0</v>
      </c>
      <c r="I21" s="17" t="n">
        <v>0</v>
      </c>
      <c r="J21" s="17" t="n">
        <v>0</v>
      </c>
      <c r="K21" s="17" t="n">
        <v>10</v>
      </c>
      <c r="L21" s="17" t="n">
        <v>0</v>
      </c>
      <c r="M21" s="17" t="n">
        <v>0</v>
      </c>
      <c r="N21" s="17" t="n">
        <v>0</v>
      </c>
      <c r="O21" s="16" t="inlineStr">
        <is>
          <t>Estimación del kit.</t>
        </is>
      </c>
    </row>
    <row r="22">
      <c r="A22" s="12" t="inlineStr">
        <is>
          <t>Té e infusiones (g · €/kg)</t>
        </is>
      </c>
      <c r="B22" s="13" t="n">
        <v>40</v>
      </c>
      <c r="C22" s="5" t="n">
        <v>0.05</v>
      </c>
      <c r="D22" s="14">
        <f>B22/(1-C22)</f>
        <v>42.10526315789474</v>
      </c>
      <c r="E22" s="17" t="n">
        <v>0</v>
      </c>
      <c r="F22" s="17" t="n">
        <v>0</v>
      </c>
      <c r="G22" s="17" t="n">
        <v>0</v>
      </c>
      <c r="H22" s="17" t="n">
        <v>0</v>
      </c>
      <c r="I22" s="17" t="n">
        <v>0</v>
      </c>
      <c r="J22" s="17" t="n">
        <v>0</v>
      </c>
      <c r="K22" s="17" t="n">
        <v>0</v>
      </c>
      <c r="L22" s="17" t="n">
        <v>0</v>
      </c>
      <c r="M22" s="17" t="n">
        <v>0</v>
      </c>
      <c r="N22" s="17" t="n">
        <v>0</v>
      </c>
      <c r="O22" s="16" t="inlineStr">
        <is>
          <t>Hueco para tu carta de infusiones: vacío en el ejemplo.</t>
        </is>
      </c>
    </row>
    <row r="23">
      <c r="A23" s="12" t="inlineStr">
        <is>
          <t>Azúcar (g · €/kg)</t>
        </is>
      </c>
      <c r="B23" s="13" t="n">
        <v>1.5</v>
      </c>
      <c r="C23" s="5" t="n">
        <v>0</v>
      </c>
      <c r="D23" s="14">
        <f>B23/(1-C23)</f>
        <v>1.5</v>
      </c>
      <c r="E23" s="17" t="n">
        <v>0</v>
      </c>
      <c r="F23" s="17" t="n">
        <v>0</v>
      </c>
      <c r="G23" s="17" t="n">
        <v>0</v>
      </c>
      <c r="H23" s="17" t="n">
        <v>0</v>
      </c>
      <c r="I23" s="17" t="n">
        <v>0</v>
      </c>
      <c r="J23" s="17" t="n">
        <v>0</v>
      </c>
      <c r="K23" s="17" t="n">
        <v>0</v>
      </c>
      <c r="L23" s="17" t="n">
        <v>8</v>
      </c>
      <c r="M23" s="17" t="n">
        <v>0</v>
      </c>
      <c r="N23" s="17" t="n">
        <v>10</v>
      </c>
      <c r="O23" s="16" t="inlineStr">
        <is>
          <t>Estimación del kit.</t>
        </is>
      </c>
    </row>
    <row r="24">
      <c r="A24" s="12" t="inlineStr">
        <is>
          <t>Vaso de 4 oz (ud. · €/ud.)</t>
        </is>
      </c>
      <c r="B24" s="13" t="n">
        <v>0.05</v>
      </c>
      <c r="C24" s="5" t="n">
        <v>0.03</v>
      </c>
      <c r="D24" s="14">
        <f>B24/(1-C24)</f>
        <v>0.051546391752577324</v>
      </c>
      <c r="E24" s="17" t="n">
        <v>1</v>
      </c>
      <c r="F24" s="17" t="n">
        <v>0</v>
      </c>
      <c r="G24" s="17" t="n">
        <v>1</v>
      </c>
      <c r="H24" s="17" t="n">
        <v>0</v>
      </c>
      <c r="I24" s="17" t="n">
        <v>0</v>
      </c>
      <c r="J24" s="17" t="n">
        <v>0</v>
      </c>
      <c r="K24" s="17" t="n">
        <v>0</v>
      </c>
      <c r="L24" s="17" t="n">
        <v>0</v>
      </c>
      <c r="M24" s="17" t="n">
        <v>0</v>
      </c>
      <c r="N24" s="17" t="n">
        <v>0</v>
      </c>
      <c r="O24" s="16" t="inlineStr">
        <is>
          <t>Estimación del kit: vaso, tapa, servilleta y removedor suman ≈ 0,13 € por bebida.</t>
        </is>
      </c>
    </row>
    <row r="25">
      <c r="A25" s="12" t="inlineStr">
        <is>
          <t>Vaso de 8 oz (ud. · €/ud.)</t>
        </is>
      </c>
      <c r="B25" s="13" t="n">
        <v>0.07000000000000001</v>
      </c>
      <c r="C25" s="5" t="n">
        <v>0.03</v>
      </c>
      <c r="D25" s="14">
        <f>B25/(1-C25)</f>
        <v>0.07216494845360825</v>
      </c>
      <c r="E25" s="17" t="n">
        <v>0</v>
      </c>
      <c r="F25" s="17" t="n">
        <v>1</v>
      </c>
      <c r="G25" s="17" t="n">
        <v>0</v>
      </c>
      <c r="H25" s="17" t="n">
        <v>1</v>
      </c>
      <c r="I25" s="17" t="n">
        <v>1</v>
      </c>
      <c r="J25" s="17" t="n">
        <v>1</v>
      </c>
      <c r="K25" s="17" t="n">
        <v>0</v>
      </c>
      <c r="L25" s="17" t="n">
        <v>0</v>
      </c>
      <c r="M25" s="17" t="n">
        <v>0</v>
      </c>
      <c r="N25" s="17" t="n">
        <v>1</v>
      </c>
      <c r="O25" s="16" t="inlineStr">
        <is>
          <t>Ídem.</t>
        </is>
      </c>
    </row>
    <row r="26">
      <c r="A26" s="12" t="inlineStr">
        <is>
          <t>Vaso de 12 oz (ud. · €/ud.)</t>
        </is>
      </c>
      <c r="B26" s="13" t="n">
        <v>0.09</v>
      </c>
      <c r="C26" s="5" t="n">
        <v>0.03</v>
      </c>
      <c r="D26" s="14">
        <f>B26/(1-C26)</f>
        <v>0.09278350515463918</v>
      </c>
      <c r="E26" s="17" t="n">
        <v>0</v>
      </c>
      <c r="F26" s="17" t="n">
        <v>0</v>
      </c>
      <c r="G26" s="17" t="n">
        <v>0</v>
      </c>
      <c r="H26" s="17" t="n">
        <v>0</v>
      </c>
      <c r="I26" s="17" t="n">
        <v>0</v>
      </c>
      <c r="J26" s="17" t="n">
        <v>0</v>
      </c>
      <c r="K26" s="17" t="n">
        <v>1</v>
      </c>
      <c r="L26" s="17" t="n">
        <v>1</v>
      </c>
      <c r="M26" s="17" t="n">
        <v>1</v>
      </c>
      <c r="N26" s="17" t="n">
        <v>0</v>
      </c>
      <c r="O26" s="16" t="inlineStr">
        <is>
          <t>Ídem.</t>
        </is>
      </c>
    </row>
    <row r="27">
      <c r="A27" s="12" t="inlineStr">
        <is>
          <t>Tapa (ud. · €/ud.)</t>
        </is>
      </c>
      <c r="B27" s="13" t="n">
        <v>0.03</v>
      </c>
      <c r="C27" s="5" t="n">
        <v>0.03</v>
      </c>
      <c r="D27" s="14">
        <f>B27/(1-C27)</f>
        <v>0.030927835051546393</v>
      </c>
      <c r="E27" s="17" t="n">
        <v>0</v>
      </c>
      <c r="F27" s="17" t="n">
        <v>1</v>
      </c>
      <c r="G27" s="17" t="n">
        <v>0</v>
      </c>
      <c r="H27" s="17" t="n">
        <v>1</v>
      </c>
      <c r="I27" s="17" t="n">
        <v>1</v>
      </c>
      <c r="J27" s="17" t="n">
        <v>1</v>
      </c>
      <c r="K27" s="17" t="n">
        <v>1</v>
      </c>
      <c r="L27" s="17" t="n">
        <v>1</v>
      </c>
      <c r="M27" s="17" t="n">
        <v>1</v>
      </c>
      <c r="N27" s="17" t="n">
        <v>1</v>
      </c>
      <c r="O27" s="16" t="inlineStr">
        <is>
          <t>Ídem.</t>
        </is>
      </c>
    </row>
    <row r="28">
      <c r="A28" s="12" t="inlineStr">
        <is>
          <t>Removedor de madera (ud. · €/ud.)</t>
        </is>
      </c>
      <c r="B28" s="13" t="n">
        <v>0.01</v>
      </c>
      <c r="C28" s="5" t="n">
        <v>0.03</v>
      </c>
      <c r="D28" s="14">
        <f>B28/(1-C28)</f>
        <v>0.010309278350515464</v>
      </c>
      <c r="E28" s="17" t="n">
        <v>1</v>
      </c>
      <c r="F28" s="17" t="n">
        <v>1</v>
      </c>
      <c r="G28" s="17" t="n">
        <v>1</v>
      </c>
      <c r="H28" s="17" t="n">
        <v>1</v>
      </c>
      <c r="I28" s="17" t="n">
        <v>1</v>
      </c>
      <c r="J28" s="17" t="n">
        <v>1</v>
      </c>
      <c r="K28" s="17" t="n">
        <v>1</v>
      </c>
      <c r="L28" s="17" t="n">
        <v>1</v>
      </c>
      <c r="M28" s="17" t="n">
        <v>1</v>
      </c>
      <c r="N28" s="17" t="n">
        <v>1</v>
      </c>
      <c r="O28" s="16" t="inlineStr">
        <is>
          <t>Ídem. Los agitadores de plástico están prohibidos (Ley 7/2022, art. 56).</t>
        </is>
      </c>
    </row>
    <row r="29">
      <c r="A29" s="12" t="inlineStr">
        <is>
          <t>Servilleta (ud. · €/ud.)</t>
        </is>
      </c>
      <c r="B29" s="13" t="n">
        <v>0.01</v>
      </c>
      <c r="C29" s="5" t="n">
        <v>0.03</v>
      </c>
      <c r="D29" s="14">
        <f>B29/(1-C29)</f>
        <v>0.010309278350515464</v>
      </c>
      <c r="E29" s="17" t="n">
        <v>1</v>
      </c>
      <c r="F29" s="17" t="n">
        <v>1</v>
      </c>
      <c r="G29" s="17" t="n">
        <v>1</v>
      </c>
      <c r="H29" s="17" t="n">
        <v>1</v>
      </c>
      <c r="I29" s="17" t="n">
        <v>1</v>
      </c>
      <c r="J29" s="17" t="n">
        <v>1</v>
      </c>
      <c r="K29" s="17" t="n">
        <v>1</v>
      </c>
      <c r="L29" s="17" t="n">
        <v>1</v>
      </c>
      <c r="M29" s="17" t="n">
        <v>1</v>
      </c>
      <c r="N29" s="17" t="n">
        <v>1</v>
      </c>
      <c r="O29" s="16" t="inlineStr">
        <is>
          <t>Ídem.</t>
        </is>
      </c>
    </row>
    <row r="31" ht="32" customHeight="1">
      <c r="A31" s="3" t="inlineStr">
        <is>
          <t>RESULTADO POR BEBIDA</t>
        </is>
      </c>
      <c r="E31" s="7" t="str">
        <f>E10</f>
        <v>Espresso</v>
      </c>
      <c r="F31" s="7" t="str">
        <f>F10</f>
        <v>Americano</v>
      </c>
      <c r="G31" s="7" t="str">
        <f>G10</f>
        <v>Cortado</v>
      </c>
      <c r="H31" s="7" t="str">
        <f>H10</f>
        <v>Café con leche</v>
      </c>
      <c r="I31" s="7" t="str">
        <f>I10</f>
        <v>Flat white</v>
      </c>
      <c r="J31" s="7" t="str">
        <f>J10</f>
        <v>Capuchino</v>
      </c>
      <c r="K31" s="7" t="str">
        <f>K10</f>
        <v>Latte</v>
      </c>
      <c r="L31" s="7" t="str">
        <f>L10</f>
        <v>Mocha</v>
      </c>
      <c r="M31" s="7" t="str">
        <f>M10</f>
        <v>Chai latte</v>
      </c>
      <c r="N31" s="7" t="str">
        <f>N10</f>
        <v>Chocolate a la taza</v>
      </c>
    </row>
    <row r="32">
      <c r="A32" s="4" t="inlineStr">
        <is>
          <t>Leche y bebida vegetal en total (ml)</t>
        </is>
      </c>
      <c r="E32" s="18">
        <f>SUM(E15:E18)</f>
        <v>0.0</v>
      </c>
      <c r="F32" s="18">
        <f>SUM(F15:F18)</f>
        <v>0.0</v>
      </c>
      <c r="G32" s="18">
        <f>SUM(G15:G18)</f>
        <v>80.0</v>
      </c>
      <c r="H32" s="18">
        <f>SUM(H15:H18)</f>
        <v>180.0</v>
      </c>
      <c r="I32" s="18">
        <f>SUM(I15:I18)</f>
        <v>150.0</v>
      </c>
      <c r="J32" s="18">
        <f>SUM(J15:J18)</f>
        <v>160.0</v>
      </c>
      <c r="K32" s="18">
        <f>SUM(K15:K18)</f>
        <v>240.0</v>
      </c>
      <c r="L32" s="18">
        <f>SUM(L15:L18)</f>
        <v>200.0</v>
      </c>
      <c r="M32" s="18">
        <f>SUM(M15:M18)</f>
        <v>220.0</v>
      </c>
      <c r="N32" s="18">
        <f>SUM(N15:N18)</f>
        <v>200.0</v>
      </c>
    </row>
    <row r="33">
      <c r="A33" s="4" t="inlineStr">
        <is>
          <t>Coste de producto (€)</t>
        </is>
      </c>
      <c r="E33" s="14">
        <f>SUMPRODUCT(E$14:E$23,$D$14:$D$23)/1000</f>
        <v>0.3911111111111111</v>
      </c>
      <c r="F33" s="14">
        <f>SUMPRODUCT(F$14:F$23,$D$14:$D$23)/1000</f>
        <v>0.3911111111111111</v>
      </c>
      <c r="G33" s="14">
        <f>SUMPRODUCT(G$14:G$23,$D$14:$D$23)/1000</f>
        <v>0.5102222222222222</v>
      </c>
      <c r="H33" s="14">
        <f>SUMPRODUCT(H$14:H$23,$D$14:$D$23)/1000</f>
        <v>0.6591111111111111</v>
      </c>
      <c r="I33" s="14">
        <f>SUMPRODUCT(I$14:I$23,$D$14:$D$23)/1000</f>
        <v>0.614111111111111</v>
      </c>
      <c r="J33" s="14">
        <f>SUMPRODUCT(J$14:J$23,$D$14:$D$23)/1000</f>
        <v>0.648280701754386</v>
      </c>
      <c r="K33" s="14">
        <f>SUMPRODUCT(K$14:K$23,$D$14:$D$23)/1000</f>
        <v>0.8116023391812865</v>
      </c>
      <c r="L33" s="14">
        <f>SUMPRODUCT(L$14:L$23,$D$14:$D$23)/1000</f>
        <v>0.8429941520467837</v>
      </c>
      <c r="M33" s="14">
        <f>SUMPRODUCT(M$14:M$23,$D$14:$D$23)/1000</f>
        <v>0.7065029239766083</v>
      </c>
      <c r="N33" s="14">
        <f>SUMPRODUCT(N$14:N$23,$D$14:$D$23)/1000</f>
        <v>0.5496198830409358</v>
      </c>
    </row>
    <row r="34">
      <c r="A34" s="4" t="inlineStr">
        <is>
          <t>Coste de envase y mesa (€)</t>
        </is>
      </c>
      <c r="E34" s="14">
        <f>SUMPRODUCT(E$24:E$29,$D$24:$D$29)</f>
        <v>0.07216494845360825</v>
      </c>
      <c r="F34" s="14">
        <f>SUMPRODUCT(F$24:F$29,$D$24:$D$29)</f>
        <v>0.12371134020618559</v>
      </c>
      <c r="G34" s="14">
        <f>SUMPRODUCT(G$24:G$29,$D$24:$D$29)</f>
        <v>0.07216494845360825</v>
      </c>
      <c r="H34" s="14">
        <f>SUMPRODUCT(H$24:H$29,$D$24:$D$29)</f>
        <v>0.12371134020618559</v>
      </c>
      <c r="I34" s="14">
        <f>SUMPRODUCT(I$24:I$29,$D$24:$D$29)</f>
        <v>0.12371134020618559</v>
      </c>
      <c r="J34" s="14">
        <f>SUMPRODUCT(J$24:J$29,$D$24:$D$29)</f>
        <v>0.12371134020618559</v>
      </c>
      <c r="K34" s="14">
        <f>SUMPRODUCT(K$24:K$29,$D$24:$D$29)</f>
        <v>0.14432989690721648</v>
      </c>
      <c r="L34" s="14">
        <f>SUMPRODUCT(L$24:L$29,$D$24:$D$29)</f>
        <v>0.14432989690721648</v>
      </c>
      <c r="M34" s="14">
        <f>SUMPRODUCT(M$24:M$29,$D$24:$D$29)</f>
        <v>0.14432989690721648</v>
      </c>
      <c r="N34" s="14">
        <f>SUMPRODUCT(N$24:N$29,$D$24:$D$29)</f>
        <v>0.12371134020618559</v>
      </c>
    </row>
    <row r="35">
      <c r="A35" s="9" t="inlineStr">
        <is>
          <t>Coste total con envase (€)</t>
        </is>
      </c>
      <c r="E35" s="19">
        <f>E33+E34</f>
        <v>0.46327605956471934</v>
      </c>
      <c r="F35" s="19">
        <f>F33+F34</f>
        <v>0.5148224513172966</v>
      </c>
      <c r="G35" s="19">
        <f>G33+G34</f>
        <v>0.5823871706758305</v>
      </c>
      <c r="H35" s="19">
        <f>H33+H34</f>
        <v>0.7828224513172967</v>
      </c>
      <c r="I35" s="19">
        <f>I33+I34</f>
        <v>0.7378224513172966</v>
      </c>
      <c r="J35" s="19">
        <f>J33+J34</f>
        <v>0.7719920419605716</v>
      </c>
      <c r="K35" s="19">
        <f>K33+K34</f>
        <v>0.955932236088503</v>
      </c>
      <c r="L35" s="19">
        <f>L33+L34</f>
        <v>0.9873240489540003</v>
      </c>
      <c r="M35" s="19">
        <f>M33+M34</f>
        <v>0.8508328208838247</v>
      </c>
      <c r="N35" s="19">
        <f>N33+N34</f>
        <v>0.6733312232471214</v>
      </c>
    </row>
    <row r="36">
      <c r="A36" s="4" t="inlineStr">
        <is>
          <t>Precio de carta sin IVA (€)</t>
        </is>
      </c>
      <c r="E36" s="20">
        <f>E11/(1+$B$5)</f>
        <v>2.0</v>
      </c>
      <c r="F36" s="20">
        <f>F11/(1+$B$5)</f>
        <v>2.4545454545454546</v>
      </c>
      <c r="G36" s="20">
        <f>G11/(1+$B$5)</f>
        <v>2.1818181818181817</v>
      </c>
      <c r="H36" s="20">
        <f>H11/(1+$B$5)</f>
        <v>2.9999999999999996</v>
      </c>
      <c r="I36" s="20">
        <f>I11/(1+$B$5)</f>
        <v>3.454545454545454</v>
      </c>
      <c r="J36" s="20">
        <f>J11/(1+$B$5)</f>
        <v>3.454545454545454</v>
      </c>
      <c r="K36" s="20">
        <f>K11/(1+$B$5)</f>
        <v>3.818181818181818</v>
      </c>
      <c r="L36" s="20">
        <f>L11/(1+$B$5)</f>
        <v>4.181818181818181</v>
      </c>
      <c r="M36" s="20">
        <f>M11/(1+$B$5)</f>
        <v>4.0</v>
      </c>
      <c r="N36" s="20">
        <f>N11/(1+$B$5)</f>
        <v>3.454545454545454</v>
      </c>
    </row>
    <row r="37">
      <c r="A37" s="4" t="inlineStr">
        <is>
          <t>Food cost sin envase</t>
        </is>
      </c>
      <c r="E37" s="21">
        <f>E33/E36</f>
        <v>0.19555555555555554</v>
      </c>
      <c r="F37" s="21">
        <f>F33/F36</f>
        <v>0.15934156378600822</v>
      </c>
      <c r="G37" s="21">
        <f>G33/G36</f>
        <v>0.23385185185185187</v>
      </c>
      <c r="H37" s="21">
        <f>H33/H36</f>
        <v>0.21970370370370373</v>
      </c>
      <c r="I37" s="21">
        <f>I33/I36</f>
        <v>0.17776900584795322</v>
      </c>
      <c r="J37" s="21">
        <f>J33/J36</f>
        <v>0.18766020313942755</v>
      </c>
      <c r="K37" s="21">
        <f>K33/K36</f>
        <v>0.21256251740462268</v>
      </c>
      <c r="L37" s="21">
        <f>L33/L36</f>
        <v>0.201585558098144</v>
      </c>
      <c r="M37" s="21">
        <f>M33/M36</f>
        <v>0.17662573099415207</v>
      </c>
      <c r="N37" s="21">
        <f>N33/N36</f>
        <v>0.15910049245921828</v>
      </c>
    </row>
    <row r="38">
      <c r="A38" s="9" t="inlineStr">
        <is>
          <t>Food cost con envase</t>
        </is>
      </c>
      <c r="E38" s="22">
        <f>E35/E36</f>
        <v>0.23163802978235967</v>
      </c>
      <c r="F38" s="22">
        <f>F35/F36</f>
        <v>0.20974248016630603</v>
      </c>
      <c r="G38" s="22">
        <f>G35/G36</f>
        <v>0.2669274532264223</v>
      </c>
      <c r="H38" s="22">
        <f>H35/H36</f>
        <v>0.2609408171057656</v>
      </c>
      <c r="I38" s="22">
        <f>I35/I36</f>
        <v>0.21358018327605957</v>
      </c>
      <c r="J38" s="22">
        <f>J35/J36</f>
        <v>0.2234713805675339</v>
      </c>
      <c r="K38" s="22">
        <f>K35/K36</f>
        <v>0.250363204689846</v>
      </c>
      <c r="L38" s="22">
        <f>L35/L36</f>
        <v>0.2360992290976958</v>
      </c>
      <c r="M38" s="22">
        <f>M35/M36</f>
        <v>0.21270820522095618</v>
      </c>
      <c r="N38" s="22">
        <f>N35/N36</f>
        <v>0.19491166988732464</v>
      </c>
    </row>
    <row r="39" ht="32" customHeight="1">
      <c r="A39" s="4" t="inlineStr">
        <is>
          <t>Semáforo del food cost</t>
        </is>
      </c>
      <c r="E39" s="2" t="str">
        <f>IF(E38&lt;=$B$6,"En objetivo",IF(E38&lt;=$B$6+$B$7,"Vigila el coste","Por encima del objetivo"))</f>
        <v>En objetivo</v>
      </c>
      <c r="F39" s="2" t="str">
        <f>IF(F38&lt;=$B$6,"En objetivo",IF(F38&lt;=$B$6+$B$7,"Vigila el coste","Por encima del objetivo"))</f>
        <v>En objetivo</v>
      </c>
      <c r="G39" s="2" t="str">
        <f>IF(G38&lt;=$B$6,"En objetivo",IF(G38&lt;=$B$6+$B$7,"Vigila el coste","Por encima del objetivo"))</f>
        <v>Vigila el coste</v>
      </c>
      <c r="H39" s="2" t="str">
        <f>IF(H38&lt;=$B$6,"En objetivo",IF(H38&lt;=$B$6+$B$7,"Vigila el coste","Por encima del objetivo"))</f>
        <v>Vigila el coste</v>
      </c>
      <c r="I39" s="2" t="str">
        <f>IF(I38&lt;=$B$6,"En objetivo",IF(I38&lt;=$B$6+$B$7,"Vigila el coste","Por encima del objetivo"))</f>
        <v>En objetivo</v>
      </c>
      <c r="J39" s="2" t="str">
        <f>IF(J38&lt;=$B$6,"En objetivo",IF(J38&lt;=$B$6+$B$7,"Vigila el coste","Por encima del objetivo"))</f>
        <v>En objetivo</v>
      </c>
      <c r="K39" s="2" t="str">
        <f>IF(K38&lt;=$B$6,"En objetivo",IF(K38&lt;=$B$6+$B$7,"Vigila el coste","Por encima del objetivo"))</f>
        <v>Vigila el coste</v>
      </c>
      <c r="L39" s="2" t="str">
        <f>IF(L38&lt;=$B$6,"En objetivo",IF(L38&lt;=$B$6+$B$7,"Vigila el coste","Por encima del objetivo"))</f>
        <v>En objetivo</v>
      </c>
      <c r="M39" s="2" t="str">
        <f>IF(M38&lt;=$B$6,"En objetivo",IF(M38&lt;=$B$6+$B$7,"Vigila el coste","Por encima del objetivo"))</f>
        <v>En objetivo</v>
      </c>
      <c r="N39" s="2" t="str">
        <f>IF(N38&lt;=$B$6,"En objetivo",IF(N38&lt;=$B$6+$B$7,"Vigila el coste","Por encima del objetivo"))</f>
        <v>En objetivo</v>
      </c>
    </row>
    <row r="40">
      <c r="A40" s="4" t="inlineStr">
        <is>
          <t>Margen por bebida (€)</t>
        </is>
      </c>
      <c r="E40" s="20">
        <f>E36-E35</f>
        <v>1.5367239404352806</v>
      </c>
      <c r="F40" s="20">
        <f>F36-F35</f>
        <v>1.939723003228158</v>
      </c>
      <c r="G40" s="20">
        <f>G36-G35</f>
        <v>1.599431011142351</v>
      </c>
      <c r="H40" s="20">
        <f>H36-H35</f>
        <v>2.217177548682703</v>
      </c>
      <c r="I40" s="20">
        <f>I36-I35</f>
        <v>2.7167230032281573</v>
      </c>
      <c r="J40" s="20">
        <f>J36-J35</f>
        <v>2.6825534125848827</v>
      </c>
      <c r="K40" s="20">
        <f>K36-K35</f>
        <v>2.862249582093315</v>
      </c>
      <c r="L40" s="20">
        <f>L36-L35</f>
        <v>3.1944941328641807</v>
      </c>
      <c r="M40" s="20">
        <f>M36-M35</f>
        <v>3.1491671791161755</v>
      </c>
      <c r="N40" s="20">
        <f>N36-N35</f>
        <v>2.781214231298333</v>
      </c>
    </row>
    <row r="41">
      <c r="A41" s="4" t="inlineStr">
        <is>
          <t>Precio de carta con IVA para llegar al objetivo (€)</t>
        </is>
      </c>
      <c r="E41" s="20">
        <f>E35/$B$6*(1+$B$5)</f>
        <v>2.038414662084765</v>
      </c>
      <c r="F41" s="20">
        <f>F35/$B$6*(1+$B$5)</f>
        <v>2.2652187857961055</v>
      </c>
      <c r="G41" s="20">
        <f>G35/$B$6*(1+$B$5)</f>
        <v>2.5625035509736542</v>
      </c>
      <c r="H41" s="20">
        <f>H35/$B$6*(1+$B$5)</f>
        <v>3.4444187857961057</v>
      </c>
      <c r="I41" s="20">
        <f>I35/$B$6*(1+$B$5)</f>
        <v>3.2464187857961053</v>
      </c>
      <c r="J41" s="20">
        <f>J35/$B$6*(1+$B$5)</f>
        <v>3.396764984626515</v>
      </c>
      <c r="K41" s="20">
        <f>K35/$B$6*(1+$B$5)</f>
        <v>4.206101838789413</v>
      </c>
      <c r="L41" s="20">
        <f>L35/$B$6*(1+$B$5)</f>
        <v>4.344225815397602</v>
      </c>
      <c r="M41" s="20">
        <f>M35/$B$6*(1+$B$5)</f>
        <v>3.743664411888829</v>
      </c>
      <c r="N41" s="20">
        <f>N35/$B$6*(1+$B$5)</f>
        <v>2.9626573822873343</v>
      </c>
    </row>
    <row r="43">
      <c r="A43" s="3" t="inlineStr">
        <is>
          <t>COSTE DE LA MEZCLA (lo lee la hoja «Calculadora»)</t>
        </is>
      </c>
      <c r="B43" s="3" t="inlineStr">
        <is>
          <t>Valor</t>
        </is>
      </c>
    </row>
    <row r="44">
      <c r="A44" s="4" t="inlineStr">
        <is>
          <t>Suma de la mezcla de ventas</t>
        </is>
      </c>
      <c r="B44" s="23">
        <f>SUM($E$12:$N$12)</f>
        <v>1.0</v>
      </c>
    </row>
    <row r="45">
      <c r="A45" s="9" t="inlineStr">
        <is>
          <t>Comprobación de la mezcla</t>
        </is>
      </c>
      <c r="B45" s="24" t="str">
        <f>IF(ROUND($B$44,2)=1,"Correcto: la mezcla suma el cien por cien","Revisa la mezcla: no suma el cien por cien")</f>
        <v>Correcto: la mezcla suma el cien por cien</v>
      </c>
    </row>
    <row r="46">
      <c r="A46" s="4" t="inlineStr">
        <is>
          <t>Coste medio por bebida sin envase (€)</t>
        </is>
      </c>
      <c r="B46" s="14">
        <f>IF($B$44=0,0,VALUE(SUMPRODUCT($E$12:$N$12,$E$33:$N$33))/$B$44)</f>
        <v>0.5872362573099417</v>
      </c>
    </row>
    <row r="47">
      <c r="A47" s="4" t="inlineStr">
        <is>
          <t>Coste medio de envase y mesa por bebida (€)</t>
        </is>
      </c>
      <c r="B47" s="14">
        <f>IF($B$44=0,0,VALUE(SUMPRODUCT($E$12:$N$12,$E$34:$N$34))/$B$44)</f>
        <v>0.1154639175257732</v>
      </c>
    </row>
    <row r="48">
      <c r="A48" s="9" t="inlineStr">
        <is>
          <t>Coste medio por bebida con envase (€)</t>
        </is>
      </c>
      <c r="B48" s="19">
        <f>$B$46+$B$47</f>
        <v>0.7027001748357149</v>
      </c>
    </row>
    <row r="49">
      <c r="A49" s="4" t="inlineStr">
        <is>
          <t>Café medio por bebida (g)</t>
        </is>
      </c>
      <c r="B49" s="18">
        <f>IF($B$44=0,0,VALUE(SUMPRODUCT($E$12:$N$12,$E$14:$N$14))/$B$44)</f>
        <v>14.72</v>
      </c>
    </row>
    <row r="50">
      <c r="A50" s="4" t="inlineStr">
        <is>
          <t>Leche media por bebida (ml)</t>
        </is>
      </c>
      <c r="B50" s="18">
        <f>IF($B$44=0,0,VALUE(SUMPRODUCT($E$12:$N$12,$E$32:$N$32))/$B$44)</f>
        <v>124.8</v>
      </c>
    </row>
    <row r="51">
      <c r="A51" s="4" t="inlineStr">
        <is>
          <t>Precio medio por taza sin IVA de tu carta (€)</t>
        </is>
      </c>
      <c r="B51" s="20">
        <f>IF($B$44=0,0,VALUE(SUMPRODUCT($E$12:$N$12,$E$36:$N$36))/$B$44)</f>
        <v>3.0054545454545454</v>
      </c>
    </row>
    <row r="52">
      <c r="A52" s="4" t="inlineStr">
        <is>
          <t>Food cost de la mezcla (con envase)</t>
        </is>
      </c>
      <c r="B52" s="21">
        <f>IF($B$51=0,0,$B$48/$B$51)</f>
        <v>0.23380828563801767</v>
      </c>
    </row>
    <row r="54" ht="34" customHeight="1">
      <c r="A54" s="25" t="inlineStr">
        <is>
          <t>El coste con envase es el de la bebida servida en vaso de un solo uso; en loza solo cuenta el coste de producto. Los vasos de papel con forro de PE o PLA ("compostables") son plástico a efectos de la Ley 7/2022: se cobran aparte en el tique. El food cost del plan financiero es otra cosa: la media de la mezcla con la merma.</t>
        </is>
      </c>
    </row>
  </sheetData>
  <sheetProtection selectLockedCells="0" selectUnlockedCells="0" sheet="1" objects="0" insertRows="1" insertHyperlinks="1" autoFilter="1" scenarios="0" formatColumns="1" deleteColumns="1" insertColumns="1" pivotTables="1" deleteRows="1" formatCells="1" formatRows="1" sort="1"/>
  <mergeCells count="7">
    <mergeCell ref="E8:O8"/>
    <mergeCell ref="B45:E45"/>
    <mergeCell ref="A2:O2"/>
    <mergeCell ref="A54:O54"/>
    <mergeCell ref="E6:O6"/>
    <mergeCell ref="E7:O7"/>
    <mergeCell ref="E5:O5"/>
  </mergeCells>
  <conditionalFormatting sqref="E39:N39">
    <cfRule type="expression" priority="1" dxfId="0">
      <formula>E39="En objetivo"</formula>
    </cfRule>
    <cfRule type="expression" priority="2" dxfId="1">
      <formula>E39="Vigila el coste"</formula>
    </cfRule>
    <cfRule type="expression" priority="3" dxfId="2">
      <formula>E39="Por encima del objetivo"</formula>
    </cfRule>
  </conditionalFormatting>
  <conditionalFormatting sqref="B45">
    <cfRule type="expression" priority="4" dxfId="2">
      <formula>$B$45="Revisa la mezcla: no suma el cien por cien"</formula>
    </cfRule>
  </conditionalFormatting>
  <dataValidations count="4">
    <dataValidation sqref="B5 B7 C14 C15 C16 C17 C18 C19 C20 C21 C22 C23 C24 C25 C26 C27 C28 C29" showDropDown="0" showInputMessage="0" showErrorMessage="1" allowBlank="0" errorTitle="Porcentaje no válido" error="Escribe un porcentaje entre 0 y 0,9 (0,1 = 10 %)." type="decimal" operator="between">
      <formula1>0</formula1>
      <formula2>0.9</formula2>
    </dataValidation>
    <dataValidation sqref="B6" showDropDown="0" showInputMessage="0" showErrorMessage="1" allowBlank="0" errorTitle="Objetivo no válido" error="El objetivo no puede ser 0 (se divide entre él): escribe entre 0,01 y 0,9." type="decimal" operator="between">
      <formula1>0.01</formula1>
      <formula2>0.9</formula2>
    </dataValidation>
    <dataValidation sqref="E12 F12 G12 H12 I12 J12 K12 L12 M12 N12" showDropDown="0" showInputMessage="0" showErrorMessage="1" allowBlank="0" errorTitle="Porcentaje no válido" error="Escribe un porcentaje entre 0 y 1. La mezcla entera tiene que sumar el cien por cien." type="decimal" operator="between">
      <formula1>0</formula1>
      <formula2>1</formula2>
    </dataValidation>
    <dataValidation sqref="B8 B14 B15 B16 B17 B18 B19 B20 B21 B22 B23 B24 B25 B26 B27 B28 B29 E11 E13 E15 E16 E17 E18 E19 E20 E21 E22 E23 E24 E25 E26 E27 E28 E29 F11 F13 F15 F16 F17 F18 F19 F20 F21 F22 F23 F24 F25 F26 F27 F28 F29 G11 G13 G15 G16 G17 G18 G19 G20 G21 G22 G23 G24 G25 G26 G27 G28 G29 H11 H13 H15 H16 H17 H18 H19 H20 H21 H22 H23 H24 H25 H26 H27 H28 H29 I11 I13 I15 I16 I17 I18 I19 I20 I21 I22 I23 I24 I25 I26 I27 I28 I29 J11 J13 J15 J16 J17 J18 J19 J20 J21 J22 J23 J24 J25 J26 J27 J28 J29 K11 K13 K15 K16 K17 K18 K19 K20 K21 K22 K23 K24 K25 K26 K27 K28 K29 L11 L13 L15 L16 L17 L18 L19 L20 L21 L22 L23 L24 L25 L26 L27 L28 L29 M11 M13 M15 M16 M17 M18 M19 M20 M21 M22 M23 M24 M25 M26 M27 M28 M29 N11 N13 N15 N16 N17 N18 N19 N20 N21 N22 N23 N24 N25 N26 N27 N28 N29" showDropDown="0" showInputMessage="0" showErrorMessage="1" allowBlank="0" errorTitle="Importe no válido" error="Escribe un número mayor o igual que 0." type="decimal" operator="greaterThanOrEqual">
      <formula1>0</formula1>
    </dataValidation>
  </dataValidations>
  <printOptions horizontalCentered="1"/>
  <pageMargins left="0.75" right="0.75" top="1" bottom="1" header="0.5" footer="0.5"/>
  <pageSetup orientation="landscape" paperSize="9" fitToHeight="0" fitToWidth="1"/>
  <headerFooter>
    <oddHeader/>
    <oddFooter>&amp;Caichef.pro/plan-negocio-cafeteria-movil-eventos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59"/>
  <sheetViews>
    <sheetView showGridLines="0" workbookViewId="0">
      <pane ySplit="4" topLeftCell="A5" activePane="bottomLeft" state="frozen"/>
      <selection pane="bottomLeft" activeCell="A1" sqref="A1"/>
    </sheetView>
  </sheetViews>
  <sheetFormatPr baseColWidth="8" defaultRowHeight="15"/>
  <cols>
    <col width="66" customWidth="1" min="1" max="1"/>
    <col width="24" customWidth="1" min="2" max="2"/>
    <col width="17" customWidth="1" min="3" max="3"/>
    <col width="17" customWidth="1" min="4" max="4"/>
    <col width="17" customWidth="1" min="5" max="5"/>
    <col width="56" customWidth="1" min="6" max="6"/>
  </cols>
  <sheetData>
    <row r="1">
      <c r="A1" s="1" t="inlineStr">
        <is>
          <t>CALCULADORA DE PRECIOS DE CAFETERÍA MÓVIL PARA EVENTOS — DE LA TAZA AL PRESUPUESTO</t>
        </is>
      </c>
    </row>
    <row r="2" ht="32" customHeight="1">
      <c r="A2" s="2" t="inlineStr">
        <is>
          <t>Escribe sólo en las celdas VERDES: todo lo demás se calcula. Importes sin IVA salvo donde la fila diga lo contrario. Los valores por defecto son estimaciones del kit (ratios de EE. UU. en el consumo): cámbialos por los tuyos.</t>
        </is>
      </c>
    </row>
    <row r="4">
      <c r="A4" s="3" t="inlineStr">
        <is>
          <t>DATOS DEL EVENTO</t>
        </is>
      </c>
      <c r="B4" s="3" t="inlineStr">
        <is>
          <t>Valor</t>
        </is>
      </c>
      <c r="C4" s="3" t="inlineStr">
        <is>
          <t>Notas</t>
        </is>
      </c>
    </row>
    <row r="5" ht="30" customHeight="1">
      <c r="A5" s="4" t="inlineStr">
        <is>
          <t>Cliente</t>
        </is>
      </c>
      <c r="B5" s="26" t="inlineStr">
        <is>
          <t>Particular</t>
        </is>
      </c>
      <c r="C5" s="2" t="inlineStr">
        <is>
          <t>Particular, Empresa o Feria: cambian el margen objetivo, el canon, el cobro y los tramos de cancelación (tabla del final). En Feria, «invitados» son las tazas que esperas vender.</t>
        </is>
      </c>
    </row>
    <row r="6" ht="16" customHeight="1">
      <c r="A6" s="4" t="inlineStr">
        <is>
          <t>Invitados previstos (en Feria, tazas previstas)</t>
        </is>
      </c>
      <c r="B6" s="27" t="n">
        <v>120</v>
      </c>
      <c r="C6" s="2" t="inlineStr">
        <is>
          <t>Número entero de invitados a los que sirves.</t>
        </is>
      </c>
    </row>
    <row r="7" ht="30" customHeight="1">
      <c r="A7" s="4" t="inlineStr">
        <is>
          <t>Formato del servicio (fija las bebidas por invitado)</t>
        </is>
      </c>
      <c r="B7" s="26" t="inlineStr">
        <is>
          <t>Más de 2 y hasta 4 horas</t>
        </is>
      </c>
      <c r="C7" s="2" t="inlineStr">
        <is>
          <t>Bebidas por invitado según las horas de barra: tabla del final (estimación del kit con ratios de EE. UU.). En Feria no se usa.</t>
        </is>
      </c>
    </row>
    <row r="8" ht="30" customHeight="1">
      <c r="A8" s="4" t="inlineStr">
        <is>
          <t>Horario</t>
        </is>
      </c>
      <c r="B8" s="26" t="inlineStr">
        <is>
          <t>Noche (después de la cena)</t>
        </is>
      </c>
      <c r="C8" s="2" t="inlineStr">
        <is>
          <t>Mañana +25 %, boda de noche −10 % (estimación del kit con ratios de EE. UU.). Ajusta las bebidas por invitado. En Feria no se usa.</t>
        </is>
      </c>
    </row>
    <row r="9" ht="30" customHeight="1">
      <c r="A9" s="4" t="inlineStr">
        <is>
          <t>Servicio en</t>
        </is>
      </c>
      <c r="B9" s="26" t="inlineStr">
        <is>
          <t>Loza (tazas reutilizables)</t>
        </is>
      </c>
      <c r="C9" s="2" t="inlineStr">
        <is>
          <t>Loza: sin coste de vaso ni tapa. Vaso de un solo uso: suma el envase y, en el tique, el precio aparte del vaso de plástico (Ley 7/2022, art. 55). El compostable con forro de PE o PLA también es plástico.</t>
        </is>
      </c>
    </row>
    <row r="10" ht="16" customHeight="1">
      <c r="A10" s="4" t="inlineStr">
        <is>
          <t>Horas de servicio con la barra abierta</t>
        </is>
      </c>
      <c r="B10" s="6" t="n">
        <v>3</v>
      </c>
      <c r="C10" s="2" t="inlineStr">
        <is>
          <t>Se usan para el ritmo de bebidas por hora y para el personal.</t>
        </is>
      </c>
    </row>
    <row r="11" ht="16" customHeight="1">
      <c r="A11" s="4" t="inlineStr">
        <is>
          <t>Horas por persona fuera del servicio (carga, viaje, montaje y limpieza)</t>
        </is>
      </c>
      <c r="B11" s="6" t="n">
        <v>5</v>
      </c>
      <c r="C11" s="2" t="inlineStr">
        <is>
          <t>Estimación del kit: un servicio de dos horas es una jornada de siete a nueve. Pon las reales.</t>
        </is>
      </c>
    </row>
    <row r="12" ht="16" customHeight="1">
      <c r="A12" s="4" t="inlineStr">
        <is>
          <t>Bollería o dulce por invitado (coste, sin IVA)</t>
        </is>
      </c>
      <c r="B12" s="13" t="n">
        <v>0.4</v>
      </c>
      <c r="C12" s="2" t="inlineStr">
        <is>
          <t>Lo que te cuesta el dulce que añades al pack. 0 si no ofreces bollería.</t>
        </is>
      </c>
    </row>
    <row r="13" ht="30" customHeight="1">
      <c r="A13" s="4" t="inlineStr">
        <is>
          <t>Alquileres repercutidos (carpa, cubierta, mesas, loza extra)</t>
        </is>
      </c>
      <c r="B13" s="13" t="n">
        <v>0</v>
      </c>
      <c r="C13" s="2" t="inlineStr">
        <is>
          <t>Lo que te cobra el alquilador para este evento. Si lo facturas aparte sin ser accesorio, ese importe va al 21 % de IVA.</t>
        </is>
      </c>
    </row>
    <row r="14" ht="30" customHeight="1">
      <c r="A14" s="4" t="inlineStr">
        <is>
          <t>Electricidad en el lugar</t>
        </is>
      </c>
      <c r="B14" s="26" t="inlineStr">
        <is>
          <t>Enchufe de 16 A</t>
        </is>
      </c>
      <c r="C14" s="2" t="inlineStr">
        <is>
          <t>Un enchufe de 16 A a 230 V da unos 3,7 kW. Tu cafetera de dos grupos gasta de 2,4 a 4,5 kW: con una de 3,5 kW o menos cabe; si no, toma dedicada o generador inverter o baterías.</t>
        </is>
      </c>
    </row>
    <row r="15" ht="16" customHeight="1">
      <c r="A15" s="4" t="inlineStr">
        <is>
          <t>Generador o baterías: coste por evento (si no hay toma)</t>
        </is>
      </c>
      <c r="B15" s="13" t="n">
        <v>90</v>
      </c>
      <c r="C15" s="2" t="inlineStr">
        <is>
          <t>Estimación del kit: combustible o carga y desgaste. Solo se suma si eliges «Sin toma».</t>
        </is>
      </c>
    </row>
    <row r="16" ht="16" customHeight="1">
      <c r="A16" s="4" t="inlineStr">
        <is>
          <t>Potencia de tu cafetera de dos grupos (kW)</t>
        </is>
      </c>
      <c r="B16" s="6" t="n">
        <v>3.5</v>
      </c>
      <c r="C16" s="2" t="inlineStr">
        <is>
          <t>La del caso: 3,5 kW o menos para caber en un enchufe de 16 A. Mira la placa de tu máquina.</t>
        </is>
      </c>
    </row>
    <row r="17" ht="30" customHeight="1">
      <c r="A17" s="4" t="inlineStr">
        <is>
          <t>Coste bruto por hora de un barista</t>
        </is>
      </c>
      <c r="B17" s="13" t="n">
        <v>13</v>
      </c>
      <c r="C17" s="2" t="inlineStr">
        <is>
          <t>Estimación del kit: del titular (13,7 €/h) y del camarero fijo discontinuo (10,7 €/h) con 14 pagas y 1.840 horas (40 h × 46 semanas, como el plan). Copia tu convenio.</t>
        </is>
      </c>
    </row>
    <row r="18" ht="16" customHeight="1">
      <c r="A18" s="4" t="inlineStr">
        <is>
          <t>Seguridad Social a cargo de la empresa</t>
        </is>
      </c>
      <c r="B18" s="5" t="n">
        <v>0.33</v>
      </c>
      <c r="C18" s="2" t="inlineStr">
        <is>
          <t>30,65 % de contingencias, desempleo, FOGASA, formación y MEI, más AT/EP (fijos discontinuos, art. 16 ET).</t>
        </is>
      </c>
    </row>
    <row r="19" ht="16" customHeight="1">
      <c r="A19" s="4" t="inlineStr">
        <is>
          <t>Kilómetros de ida (base → lugar)</t>
        </is>
      </c>
      <c r="B19" s="27" t="n">
        <v>35</v>
      </c>
      <c r="C19" s="2" t="inlineStr">
        <is>
          <t>Se cobran ida y vuelta, en una línea aparte y sin margen (en Feria son coste tuyo).</t>
        </is>
      </c>
    </row>
    <row r="20" ht="16" customHeight="1">
      <c r="A20" s="4" t="inlineStr">
        <is>
          <t>Tarifa por kilómetro de desplazamiento</t>
        </is>
      </c>
      <c r="B20" s="13" t="n">
        <v>0.45</v>
      </c>
      <c r="C20" s="2" t="inlineStr">
        <is>
          <t>Referencia de escaparate de 2026: 0,45 €/km (La Galería del Café, en Bodas.net). Pon la tuya.</t>
        </is>
      </c>
    </row>
    <row r="21" ht="30" customHeight="1">
      <c r="A21" s="4" t="inlineStr">
        <is>
          <t>IVA del servicio</t>
        </is>
      </c>
      <c r="B21" s="5" t="n">
        <v>0.1</v>
      </c>
      <c r="C21" s="2" t="inlineStr">
        <is>
          <t>Ley 37/1992, art. 91: bebida para consumir en el acto, 10 %. Lo que facturas aparte con precio propio, 21 %.</t>
        </is>
      </c>
    </row>
    <row r="22" ht="30" customHeight="1">
      <c r="A22" s="4" t="inlineStr">
        <is>
          <t>Feria: precio medio por taza que cobrarás (sin IVA)</t>
        </is>
      </c>
      <c r="B22" s="13" t="n">
        <v>3</v>
      </c>
      <c r="C22" s="2" t="inlineStr">
        <is>
          <t>Estimación del kit: ≈ 3,00 € sin IVA por taza. Mira el precio medio por taza de tu carta en la hoja «Escandallo». Solo cuenta si el cliente es Feria.</t>
        </is>
      </c>
    </row>
    <row r="23" ht="16" customHeight="1">
      <c r="A23" s="4" t="inlineStr">
        <is>
          <t>Feria: canon fijo del organizador (€)</t>
        </is>
      </c>
      <c r="B23" s="13" t="n">
        <v>0</v>
      </c>
      <c r="C23" s="2" t="inlineStr">
        <is>
          <t>Cuota fija por emplazamiento, si el organizador la cobra. Solo cuenta en Feria.</t>
        </is>
      </c>
    </row>
    <row r="24" ht="16" customHeight="1">
      <c r="A24" s="4" t="inlineStr">
        <is>
          <t>Días que faltan para el evento si el cliente cancela</t>
        </is>
      </c>
      <c r="B24" s="27" t="n">
        <v>45</v>
      </c>
      <c r="C24" s="2" t="inlineStr">
        <is>
          <t>Elige los días y la hoja te dice el tramo y lo que retienes.</t>
        </is>
      </c>
    </row>
    <row r="26">
      <c r="A26" s="3" t="inlineStr">
        <is>
          <t>CÁLCULO</t>
        </is>
      </c>
      <c r="B26" s="3" t="inlineStr">
        <is>
          <t>Valor</t>
        </is>
      </c>
      <c r="C26" s="3" t="inlineStr">
        <is>
          <t>Notas</t>
        </is>
      </c>
    </row>
    <row r="27">
      <c r="A27" s="3" t="inlineStr">
        <is>
          <t>LOGÍSTICA (tabla de escalado)</t>
        </is>
      </c>
    </row>
    <row r="28" ht="16" customHeight="1">
      <c r="A28" s="4" t="inlineStr">
        <is>
          <t>Bebidas por invitado del formato</t>
        </is>
      </c>
      <c r="B28" s="28">
        <f>INDEX('Calculadora'!$B$107:$B$111,MATCH($B$7,'Calculadora'!$A$107:$A$111,0))</f>
        <v>1.4</v>
      </c>
      <c r="C28" s="2" t="inlineStr">
        <is>
          <t>Busca el formato en la tabla del final.</t>
        </is>
      </c>
    </row>
    <row r="29" ht="16" customHeight="1">
      <c r="A29" s="4" t="inlineStr">
        <is>
          <t>Ajuste por horario</t>
        </is>
      </c>
      <c r="B29" s="23">
        <f>INDEX('Calculadora'!$B$114:$B$116,MATCH($B$8,'Calculadora'!$A$114:$A$116,0))</f>
        <v>-0.1</v>
      </c>
      <c r="C29" s="2" t="inlineStr">
        <is>
          <t>Busca el horario en la tabla del final.</t>
        </is>
      </c>
    </row>
    <row r="30" ht="16" customHeight="1">
      <c r="A30" s="4" t="inlineStr">
        <is>
          <t>Bebidas que se sirven (ud.)</t>
        </is>
      </c>
      <c r="B30" s="29">
        <f>IF($B$5='Calculadora'!$D$127,$B$6,ROUNDUP(ROUND($B$6*$B$28*(1+$B$29),2),0))</f>
        <v>152.0</v>
      </c>
      <c r="C30" s="2" t="inlineStr">
        <is>
          <t>Invitados × bebidas por invitado × (1 + ajuste), hacia arriba. En Feria, las tazas previstas.</t>
        </is>
      </c>
    </row>
    <row r="31">
      <c r="A31" s="4" t="inlineStr">
        <is>
          <t>Bebidas por hora (media)</t>
        </is>
      </c>
      <c r="B31" s="18">
        <f>$B$30/$B$10</f>
        <v>50.666666666666664</v>
      </c>
    </row>
    <row r="32" ht="16" customHeight="1">
      <c r="A32" s="4" t="inlineStr">
        <is>
          <t>Baristas necesarios</t>
        </is>
      </c>
      <c r="B32" s="29">
        <f>MAX(1,ROUNDUP(ROUND($B$31*'Calculadora'!$B$93/'Calculadora'!$B$92,2),0))</f>
        <v>2.0</v>
      </c>
      <c r="C32" s="2" t="inlineStr">
        <is>
          <t>Bebidas por hora × factor de pico ÷ lo que saca un barista, hacia arriba.</t>
        </is>
      </c>
    </row>
    <row r="33" ht="16" customHeight="1">
      <c r="A33" s="4" t="inlineStr">
        <is>
          <t>Cafeteras de dos grupos (estaciones)</t>
        </is>
      </c>
      <c r="B33" s="29">
        <f>ROUNDUP($B$32/'Calculadora'!$B$94,0)</f>
        <v>1.0</v>
      </c>
      <c r="C33" s="2" t="inlineStr">
        <is>
          <t>Dos baristas por cafetera; una segunda estación entra cuando el pico no cabe en una.</t>
        </is>
      </c>
    </row>
    <row r="34">
      <c r="A34" s="4" t="inlineStr">
        <is>
          <t>Grupos en total</t>
        </is>
      </c>
      <c r="B34" s="29">
        <f>$B$33*'Calculadora'!$B$95</f>
        <v>2.0</v>
      </c>
    </row>
    <row r="35" ht="16" customHeight="1">
      <c r="A35" s="4" t="inlineStr">
        <is>
          <t>Molinos</t>
        </is>
      </c>
      <c r="B35" s="29">
        <f>$B$33+'Calculadora'!$B$96</f>
        <v>2.0</v>
      </c>
      <c r="C35" s="2" t="inlineStr">
        <is>
          <t>Uno por estación más uno de reserva (descafeinado o filtro).</t>
        </is>
      </c>
    </row>
    <row r="36" ht="16" customHeight="1">
      <c r="A36" s="4" t="inlineStr">
        <is>
          <t>Café en grano (kg)</t>
        </is>
      </c>
      <c r="B36" s="18">
        <f>ROUNDUP($B$30*'Escandallo'!$B$49/1000+'Calculadora'!$B$97,1)</f>
        <v>2.4</v>
      </c>
      <c r="C36" s="2" t="inlineStr">
        <is>
          <t>Bebidas × café medio de tu mezcla (hoja «Escandallo») más la purga y el calibrado.</t>
        </is>
      </c>
    </row>
    <row r="37" ht="16" customHeight="1">
      <c r="A37" s="4" t="inlineStr">
        <is>
          <t>Leche y bebidas vegetales (l)</t>
        </is>
      </c>
      <c r="B37" s="29">
        <f>ROUNDUP(ROUND($B$30*'Escandallo'!$B$50/1000,2),0)</f>
        <v>19.0</v>
      </c>
      <c r="C37" s="2" t="inlineStr">
        <is>
          <t>Bebidas × leche media de tu mezcla.</t>
        </is>
      </c>
    </row>
    <row r="38" ht="16" customHeight="1">
      <c r="A38" s="4" t="inlineStr">
        <is>
          <t>Vasos desechables o tazas de loza (ud.)</t>
        </is>
      </c>
      <c r="B38" s="29">
        <f>IF($B$9='Calculadora'!$A$119,ROUNDUP(ROUND($B$6*'Calculadora'!$B$99,2),0),ROUNDUP(ROUND($B$30*(1+'Calculadora'!$B$98),2),0))</f>
        <v>150.0</v>
      </c>
      <c r="C38" s="2" t="inlineStr">
        <is>
          <t>Loza: tazas por invitado con reposición para el lavado. Vaso de un solo uso: bebidas más la reserva.</t>
        </is>
      </c>
    </row>
    <row r="39" ht="30" customHeight="1">
      <c r="A39" s="4" t="inlineStr">
        <is>
          <t>Agua limpia (l)</t>
        </is>
      </c>
      <c r="B39" s="29">
        <f>ROUNDUP(ROUND($B$30*'Calculadora'!$B$100+'Calculadora'!$B$101,2),0)</f>
        <v>58.0</v>
      </c>
      <c r="C39" s="2" t="inlineStr">
        <is>
          <t>Lleva un depósito de aguas grises al menos igual: no se vierte en el recinto. El agua de los depósitos es tu responsabilidad hasta el punto de uso.</t>
        </is>
      </c>
    </row>
    <row r="40">
      <c r="A40" s="3" t="inlineStr">
        <is>
          <t>ELECTRICIDAD (aviso del contrato)</t>
        </is>
      </c>
    </row>
    <row r="41" ht="16" customHeight="1">
      <c r="A41" s="4" t="inlineStr">
        <is>
          <t>Potencia de las cafeteras (kW)</t>
        </is>
      </c>
      <c r="B41" s="18">
        <f>$B$33*$B$16</f>
        <v>3.5</v>
      </c>
      <c r="C41" s="2" t="inlineStr">
        <is>
          <t>Estaciones × kW de tu cafetera.</t>
        </is>
      </c>
    </row>
    <row r="42" ht="16" customHeight="1">
      <c r="A42" s="4" t="inlineStr">
        <is>
          <t>Intensidad (A)</t>
        </is>
      </c>
      <c r="B42" s="18">
        <f>$B$41*1000/'Calculadora'!$B$102</f>
        <v>15.217391304347826</v>
      </c>
      <c r="C42" s="2" t="inlineStr">
        <is>
          <t>kW × 1.000 ÷ tensión.</t>
        </is>
      </c>
    </row>
    <row r="43" ht="30" customHeight="1">
      <c r="A43" s="4" t="inlineStr">
        <is>
          <t>Potencia de un enchufe (kW)</t>
        </is>
      </c>
      <c r="B43" s="28">
        <f>'Calculadora'!$B$103*'Calculadora'!$B$102/1000</f>
        <v>3.68</v>
      </c>
      <c r="C43" s="2" t="inlineStr">
        <is>
          <t>Un enchufe de 16 A a 230 V da unos 3,7 kW (3,68). Los molinos, la nevera y la iluminación van aparte: déjales margen.</t>
        </is>
      </c>
    </row>
    <row r="44" ht="30" customHeight="1">
      <c r="A44" s="4" t="inlineStr">
        <is>
          <t>Generador inverter mínimo (kVA)</t>
        </is>
      </c>
      <c r="B44" s="29">
        <f>ROUNDUP(ROUND($B$41*'Calculadora'!$B$104,2),0)</f>
        <v>5.0</v>
      </c>
      <c r="C44" s="2" t="inlineStr">
        <is>
          <t>kW × factor de margen, hacia arriba: una cafetera de 3,5 kW pide 5 kVA. Baterías de litio con inversor: la misma potencia, más silenciosas.</t>
        </is>
      </c>
    </row>
    <row r="45" ht="32" customHeight="1">
      <c r="A45" s="2" t="inlineStr">
        <is>
          <t>Toma que hace falta · Con una cafetera de 3,5 kW o menos basta un enchufe de 16 A; con dos estaciones, no.</t>
        </is>
      </c>
      <c r="B45" s="2" t="str">
        <f>IF($B$41&lt;=$B$43,'Calculadora'!$A$123,"Toma dedicada o generador")</f>
        <v>Enchufe de 16 A</v>
      </c>
    </row>
    <row r="46" ht="48" customHeight="1">
      <c r="A46" s="24" t="inlineStr">
        <is>
          <t>AVISO de electricidad · El contrato del kit pide la toma por escrito: cantidad de kW, distancia y cuadro.</t>
        </is>
      </c>
      <c r="B46" s="24" t="str">
        <f>IF($B$14='Calculadora'!$A$125,"Sin toma: lleva generador o baterías (kVA mínimos en su fila)",IF(AND($B$41&gt;$B$43,$B$14='Calculadora'!$A$123),"AVISO: este enchufe no basta para tus cafeteras; pide toma dedicada por escrito o lleva generador","Potencia cubierta: confirma por escrito en el contrato la toma y su potencia"))</f>
        <v>Potencia cubierta: confirma por escrito en el contrato la toma y su potencia</v>
      </c>
    </row>
    <row r="47">
      <c r="A47" s="3" t="inlineStr">
        <is>
          <t>COSTE DIRECTO</t>
        </is>
      </c>
    </row>
    <row r="48" ht="16" customHeight="1">
      <c r="A48" s="4" t="inlineStr">
        <is>
          <t>Coste de las bebidas</t>
        </is>
      </c>
      <c r="B48" s="20">
        <f>$B$30*IF($B$9='Calculadora'!$A$119,'Escandallo'!$B$46,'Escandallo'!$B$48)</f>
        <v>89.25991111111114</v>
      </c>
      <c r="C48" s="2" t="inlineStr">
        <is>
          <t>Bebidas × coste medio de la mezcla del Escandallo (con envase si es vaso de un solo uso).</t>
        </is>
      </c>
    </row>
    <row r="49">
      <c r="A49" s="4" t="inlineStr">
        <is>
          <t>Coste de bollería o dulces</t>
        </is>
      </c>
      <c r="B49" s="20">
        <f>$B$12*$B$6</f>
        <v>48.0</v>
      </c>
    </row>
    <row r="50" ht="30" customHeight="1">
      <c r="A50" s="4" t="inlineStr">
        <is>
          <t>Coste de personal (salario + Seguridad Social)</t>
        </is>
      </c>
      <c r="B50" s="20">
        <f>$B$32*($B$10+$B$11)*$B$17*(1+$B$18)</f>
        <v>276.64</v>
      </c>
      <c r="C50" s="2" t="inlineStr">
        <is>
          <t>Baristas × (horas de servicio + horas fuera del servicio) × coste por hora. Si cobras tú de barista, cuéntate: es tu coste de oportunidad.</t>
        </is>
      </c>
    </row>
    <row r="51">
      <c r="A51" s="4" t="inlineStr">
        <is>
          <t>Generador o baterías</t>
        </is>
      </c>
      <c r="B51" s="20">
        <f>IF($B$14='Calculadora'!$A$125,$B$15,0)</f>
        <v>0.0</v>
      </c>
    </row>
    <row r="52">
      <c r="A52" s="4" t="inlineStr">
        <is>
          <t>Alquileres repercutidos</t>
        </is>
      </c>
      <c r="B52" s="20">
        <f>$B$13</f>
        <v>0.0</v>
      </c>
    </row>
    <row r="53" ht="16" customHeight="1">
      <c r="A53" s="4" t="inlineStr">
        <is>
          <t>Desplazamiento a la feria (coste tuyo)</t>
        </is>
      </c>
      <c r="B53" s="20">
        <f>IF($B$5='Calculadora'!$D$127,$B$19*2*$B$20,0)</f>
        <v>0.0</v>
      </c>
      <c r="C53" s="2" t="inlineStr">
        <is>
          <t>En Feria nadie te paga el viaje: entra en el coste. En los demás clientes va en su línea aparte.</t>
        </is>
      </c>
    </row>
    <row r="54">
      <c r="A54" s="4" t="inlineStr">
        <is>
          <t>Coste directo total</t>
        </is>
      </c>
      <c r="B54" s="20">
        <f>$B$48+$B$49+$B$50+$B$51+$B$52+$B$53</f>
        <v>413.8999111111111</v>
      </c>
    </row>
    <row r="55">
      <c r="A55" s="4" t="inlineStr">
        <is>
          <t>Coste directo por invitado</t>
        </is>
      </c>
      <c r="B55" s="20">
        <f>$B$54/$B$6</f>
        <v>3.449165925925926</v>
      </c>
    </row>
    <row r="56">
      <c r="A56" s="3" t="inlineStr">
        <is>
          <t>PRECIO Y PRESUPUESTO</t>
        </is>
      </c>
    </row>
    <row r="57" ht="16" customHeight="1">
      <c r="A57" s="4" t="inlineStr">
        <is>
          <t>Margen objetivo del cliente elegido</t>
        </is>
      </c>
      <c r="B57" s="23">
        <f>INDEX('Calculadora'!$B$128:$D$128,MATCH($B$5,'Calculadora'!$B$127:$D$127,0))</f>
        <v>0.55</v>
      </c>
      <c r="C57" s="2" t="inlineStr">
        <is>
          <t>De la tabla por cliente del final.</t>
        </is>
      </c>
    </row>
    <row r="58" ht="16" customHeight="1">
      <c r="A58" s="4" t="inlineStr">
        <is>
          <t>Canon del organizador (cliente elegido)</t>
        </is>
      </c>
      <c r="B58" s="23">
        <f>INDEX('Calculadora'!$B$129:$D$129,MATCH($B$5,'Calculadora'!$B$127:$D$127,0))</f>
        <v>0.0</v>
      </c>
      <c r="C58" s="2" t="inlineStr">
        <is>
          <t>De la tabla por cliente del final. Solo Feria.</t>
        </is>
      </c>
    </row>
    <row r="59" ht="30" customHeight="1">
      <c r="A59" s="9" t="inlineStr">
        <is>
          <t>PRECIO POR INVITADO SIN IVA</t>
        </is>
      </c>
      <c r="B59" s="30">
        <f>ROUNDUP($B$54/(1-$B$57-$B$58)/$B$6*2,0)/2</f>
        <v>8.0</v>
      </c>
      <c r="C59" s="2" t="inlineStr">
        <is>
          <t>Coste ÷ (1 − margen − canon) ÷ invitados, redondeado a los 0,50 € de arriba. Es el precio de las empresas («+ IVA»). En Feria es el precio mínimo por taza que cubre coste, canon y margen: compáralo con el tuyo.</t>
        </is>
      </c>
    </row>
    <row r="60" ht="16" customHeight="1">
      <c r="A60" s="9" t="inlineStr">
        <is>
          <t>PRECIO POR INVITADO CON IVA</t>
        </is>
      </c>
      <c r="B60" s="30">
        <f>$B$59*(1+$B$21)</f>
        <v>8.8</v>
      </c>
      <c r="C60" s="2" t="inlineStr">
        <is>
          <t>Es el que ve un particular: en una oferta a consumidores el precio va con impuestos incluidos.</t>
        </is>
      </c>
    </row>
    <row r="61" ht="16" customHeight="1">
      <c r="A61" s="4" t="inlineStr">
        <is>
          <t>Subtotal de bebidas sin IVA</t>
        </is>
      </c>
      <c r="B61" s="20">
        <f>$B$59*$B$6</f>
        <v>960.0</v>
      </c>
      <c r="C61" s="2" t="inlineStr">
        <is>
          <t>Precio por invitado × invitados.</t>
        </is>
      </c>
    </row>
    <row r="62" ht="16" customHeight="1">
      <c r="A62" s="4" t="inlineStr">
        <is>
          <t>Equivalente por hora de barra (sin IVA)</t>
        </is>
      </c>
      <c r="B62" s="20">
        <f>$B$61/$B$10</f>
        <v>320.0</v>
      </c>
      <c r="C62" s="2" t="inlineStr">
        <is>
          <t>Subtotal ÷ horas de servicio: para comparar con tarifas por hora.</t>
        </is>
      </c>
    </row>
    <row r="63" ht="16" customHeight="1">
      <c r="A63" s="4" t="inlineStr">
        <is>
          <t>Equivalente por bebida (sin IVA)</t>
        </is>
      </c>
      <c r="B63" s="20">
        <f>$B$61/$B$30</f>
        <v>6.315789473684211</v>
      </c>
      <c r="C63" s="2" t="inlineStr">
        <is>
          <t>Subtotal ÷ bebidas: para comparar con tarifas por consumición.</t>
        </is>
      </c>
    </row>
    <row r="64" ht="16" customHeight="1">
      <c r="A64" s="4" t="inlineStr">
        <is>
          <t>Desplazamiento aparte (ida y vuelta, sin margen)</t>
        </is>
      </c>
      <c r="B64" s="20">
        <f>IF($B$5='Calculadora'!$D$127,0,$B$19*2*$B$20)</f>
        <v>31.5</v>
      </c>
      <c r="C64" s="2" t="inlineStr">
        <is>
          <t>Línea aparte del presupuesto.</t>
        </is>
      </c>
    </row>
    <row r="65">
      <c r="A65" s="4" t="inlineStr">
        <is>
          <t>Base imponible</t>
        </is>
      </c>
      <c r="B65" s="20">
        <f>$B$61+$B$64</f>
        <v>991.5</v>
      </c>
    </row>
    <row r="66">
      <c r="A66" s="4" t="inlineStr">
        <is>
          <t>IVA</t>
        </is>
      </c>
      <c r="B66" s="20">
        <f>$B$65*$B$21</f>
        <v>99.15</v>
      </c>
    </row>
    <row r="67">
      <c r="A67" s="9" t="inlineStr">
        <is>
          <t>TOTAL DEL PRESUPUESTO (con IVA)</t>
        </is>
      </c>
      <c r="B67" s="30">
        <f>$B$65+$B$66</f>
        <v>1090.65</v>
      </c>
    </row>
    <row r="68">
      <c r="A68" s="3" t="inlineStr">
        <is>
          <t>COBRO</t>
        </is>
      </c>
    </row>
    <row r="69" ht="16" customHeight="1">
      <c r="A69" s="4" t="inlineStr">
        <is>
          <t>Importe del cobro 1: señal al reservar</t>
        </is>
      </c>
      <c r="B69" s="20">
        <f>$B$67*INDEX('Calculadora'!$B$130:$D$130,MATCH($B$5,'Calculadora'!$B$127:$D$127,0))</f>
        <v>327.195</v>
      </c>
      <c r="C69" s="2" t="inlineStr">
        <is>
          <t>A cuenta del precio. Factura de cada pago, también de la señal.</t>
        </is>
      </c>
    </row>
    <row r="70" ht="16" customHeight="1">
      <c r="A70" s="4" t="inlineStr">
        <is>
          <t>Importe del cobro 2: resto antes del evento</t>
        </is>
      </c>
      <c r="B70" s="20">
        <f>$B$67*INDEX('Calculadora'!$B$131:$D$131,MATCH($B$5,'Calculadora'!$B$127:$D$127,0))</f>
        <v>763.455</v>
      </c>
      <c r="C70" s="2" t="inlineStr">
        <is>
          <t>Particular: siete días antes.</t>
        </is>
      </c>
    </row>
    <row r="71" ht="16" customHeight="1">
      <c r="A71" s="4" t="inlineStr">
        <is>
          <t>Importe del cobro 3: resto a 30 días de la factura</t>
        </is>
      </c>
      <c r="B71" s="20">
        <f>$B$67*INDEX('Calculadora'!$B$132:$D$132,MATCH($B$5,'Calculadora'!$B$127:$D$127,0))</f>
        <v>0.0</v>
      </c>
      <c r="C71" s="2" t="inlineStr">
        <is>
          <t>Empresa.</t>
        </is>
      </c>
    </row>
    <row r="72" ht="16" customHeight="1">
      <c r="A72" s="4" t="inlineStr">
        <is>
          <t>Importe del cobro 4: en el momento de la venta</t>
        </is>
      </c>
      <c r="B72" s="20">
        <f>$B$67*INDEX('Calculadora'!$B$133:$D$133,MATCH($B$5,'Calculadora'!$B$127:$D$127,0))</f>
        <v>0.0</v>
      </c>
      <c r="C72" s="2" t="inlineStr">
        <is>
          <t>Feria.</t>
        </is>
      </c>
    </row>
    <row r="73">
      <c r="A73" s="4" t="inlineStr">
        <is>
          <t>Canon del organizador sobre el subtotal</t>
        </is>
      </c>
      <c r="B73" s="20">
        <f>$B$61*$B$58</f>
        <v>0.0</v>
      </c>
    </row>
    <row r="74" ht="16" customHeight="1">
      <c r="A74" s="4" t="inlineStr">
        <is>
          <t>Margen bruto en euros</t>
        </is>
      </c>
      <c r="B74" s="20">
        <f>$B$61-$B$54-$B$73</f>
        <v>546.1000888888889</v>
      </c>
      <c r="C74" s="2" t="inlineStr">
        <is>
          <t>Sobre el subtotal, sin el desplazamiento.</t>
        </is>
      </c>
    </row>
    <row r="75" ht="16" customHeight="1">
      <c r="A75" s="9" t="inlineStr">
        <is>
          <t>Margen bruto (calculado)</t>
        </is>
      </c>
      <c r="B75" s="22">
        <f>IF($B$61=0,0,$B$74/$B$61)</f>
        <v>0.5688542592592593</v>
      </c>
      <c r="C75" s="2" t="inlineStr">
        <is>
          <t>Sale de los costes, nunca se teclea. Queda igual o por encima del objetivo por el redondeo del precio.</t>
        </is>
      </c>
    </row>
    <row r="76">
      <c r="A76" s="3" t="inlineStr">
        <is>
          <t>CANCELACIÓN (tramos sin huecos)</t>
        </is>
      </c>
    </row>
    <row r="77" ht="32" customHeight="1">
      <c r="A77" s="2" t="inlineStr">
        <is>
          <t>Tramo que corresponde a los días elegidos · Mira los días de la entrada «Días que faltan».</t>
        </is>
      </c>
      <c r="B77" s="2" t="str">
        <f>IF($B$24&gt;=INDEX('Calculadora'!$B$134:$D$134,MATCH($B$5,'Calculadora'!$B$127:$D$127,0)),INDEX('Calculadora'!$B$141:$D$141,MATCH($B$5,'Calculadora'!$B$127:$D$127,0)),IF($B$24&gt;=INDEX('Calculadora'!$B$135:$D$135,MATCH($B$5,'Calculadora'!$B$127:$D$127,0)),INDEX('Calculadora'!$B$142:$D$142,MATCH($B$5,'Calculadora'!$B$127:$D$127,0)),IF($B$24&gt;=INDEX('Calculadora'!$B$136:$D$136,MATCH($B$5,'Calculadora'!$B$127:$D$127,0)),INDEX('Calculadora'!$B$143:$D$143,MATCH($B$5,'Calculadora'!$B$127:$D$127,0)),INDEX('Calculadora'!$B$144:$D$144,MATCH($B$5,'Calculadora'!$B$127:$D$127,0)))))</f>
        <v>De 30 a menos de 60 días</v>
      </c>
    </row>
    <row r="78">
      <c r="A78" s="4" t="inlineStr">
        <is>
          <t>Porcentaje que retienes en ese tramo</t>
        </is>
      </c>
      <c r="B78" s="23">
        <f>IF($B$24&gt;=INDEX('Calculadora'!$B$134:$D$134,MATCH($B$5,'Calculadora'!$B$127:$D$127,0)),INDEX('Calculadora'!$B$137:$D$137,MATCH($B$5,'Calculadora'!$B$127:$D$127,0)),IF($B$24&gt;=INDEX('Calculadora'!$B$135:$D$135,MATCH($B$5,'Calculadora'!$B$127:$D$127,0)),INDEX('Calculadora'!$B$138:$D$138,MATCH($B$5,'Calculadora'!$B$127:$D$127,0)),IF($B$24&gt;=INDEX('Calculadora'!$B$136:$D$136,MATCH($B$5,'Calculadora'!$B$127:$D$127,0)),INDEX('Calculadora'!$B$139:$D$139,MATCH($B$5,'Calculadora'!$B$127:$D$127,0)),INDEX('Calculadora'!$B$140:$D$140,MATCH($B$5,'Calculadora'!$B$127:$D$127,0)))))</f>
        <v>0.3</v>
      </c>
    </row>
    <row r="79">
      <c r="A79" s="4" t="inlineStr">
        <is>
          <t>Importe que retienes si cancela ese día (en el último tramo, antes de descontar los costes que te ahorras)</t>
        </is>
      </c>
      <c r="B79" s="20">
        <f>$B$67*$B$78</f>
        <v>327.195</v>
      </c>
    </row>
    <row r="80" ht="16" customHeight="1">
      <c r="A80" s="4" t="inlineStr">
        <is>
          <t>Importe retenido: tramo 1 (el más lejano)</t>
        </is>
      </c>
      <c r="B80" s="20">
        <f>$B$67*INDEX('Calculadora'!$B$137:$D$137,MATCH($B$5,'Calculadora'!$B$127:$D$127,0))</f>
        <v>109.06500000000001</v>
      </c>
      <c r="C80" s="2" t="inlineStr">
        <is>
          <t>Los cortes de cada cliente están en la tabla del final.</t>
        </is>
      </c>
    </row>
    <row r="81">
      <c r="A81" s="4" t="inlineStr">
        <is>
          <t>Importe retenido: tramo 2</t>
        </is>
      </c>
      <c r="B81" s="20">
        <f>$B$67*INDEX('Calculadora'!$B$138:$D$138,MATCH($B$5,'Calculadora'!$B$127:$D$127,0))</f>
        <v>327.195</v>
      </c>
    </row>
    <row r="82">
      <c r="A82" s="4" t="inlineStr">
        <is>
          <t>Importe retenido: tramo 3</t>
        </is>
      </c>
      <c r="B82" s="20">
        <f>$B$67*INDEX('Calculadora'!$B$139:$D$139,MATCH($B$5,'Calculadora'!$B$127:$D$127,0))</f>
        <v>654.39</v>
      </c>
    </row>
    <row r="83">
      <c r="A83" s="4" t="inlineStr">
        <is>
          <t>Importe retenido: tramo 4 (el más cercano o no presentación)</t>
        </is>
      </c>
      <c r="B83" s="20">
        <f>$B$67*INDEX('Calculadora'!$B$140:$D$140,MATCH($B$5,'Calculadora'!$B$127:$D$127,0))</f>
        <v>1090.65</v>
      </c>
    </row>
    <row r="84">
      <c r="A84" s="3" t="inlineStr">
        <is>
          <t>FERIA: PREVISIÓN DE LA JORNADA (solo si el cliente es Feria)</t>
        </is>
      </c>
    </row>
    <row r="85">
      <c r="A85" s="4" t="inlineStr">
        <is>
          <t>Coste variable por taza (bebida + dulce)</t>
        </is>
      </c>
      <c r="B85" s="20">
        <f>($B$48+$B$49)/$B$6</f>
        <v>1.1438325925925927</v>
      </c>
    </row>
    <row r="86">
      <c r="A86" s="4" t="inlineStr">
        <is>
          <t>Venta prevista (tazas × precio medio, sin IVA)</t>
        </is>
      </c>
      <c r="B86" s="20">
        <f>IF($B$5='Calculadora'!$D$127,$B$6*$B$22,0)</f>
        <v>0.0</v>
      </c>
    </row>
    <row r="87">
      <c r="A87" s="4" t="inlineStr">
        <is>
          <t>Canon del organizador (% de la venta + cuota fija)</t>
        </is>
      </c>
      <c r="B87" s="20">
        <f>IF($B$5='Calculadora'!$D$127,$B$86*$B$58+$B$23,0)</f>
        <v>0.0</v>
      </c>
    </row>
    <row r="88" ht="16" customHeight="1">
      <c r="A88" s="4" t="inlineStr">
        <is>
          <t>Resultado de la jornada (venta − canon − coste)</t>
        </is>
      </c>
      <c r="B88" s="20">
        <f>IF($B$5='Calculadora'!$D$127,$B$86-$B$87-$B$54,0)</f>
        <v>0.0</v>
      </c>
      <c r="C88" s="2" t="inlineStr">
        <is>
          <t>Antes de impuestos y de los costes fijos del negocio (vehículo, seguros, base).</t>
        </is>
      </c>
    </row>
    <row r="89" ht="16" customHeight="1">
      <c r="A89" s="4" t="inlineStr">
        <is>
          <t>Tazas para cubrir los costes de la jornada</t>
        </is>
      </c>
      <c r="B89" s="29">
        <f>IF($B$5='Calculadora'!$D$127,IF($B$22*(1-$B$58)-$B$85&lt;=0,0,ROUNDUP(($B$50+$B$51+$B$52+$B$53+$B$23)/($B$22*(1-$B$58)-$B$85),0)),0)</f>
        <v>0.0</v>
      </c>
      <c r="C89" s="2" t="inlineStr">
        <is>
          <t>Costes de la jornada que no dependen de las tazas ÷ lo que te deja cada taza tras el canon.</t>
        </is>
      </c>
    </row>
    <row r="91">
      <c r="A91" s="3" t="inlineStr">
        <is>
          <t>REGLAS DE ESCALADO (la misma tabla que las Instrucciones del plan financiero y el plan de negocio)</t>
        </is>
      </c>
      <c r="B91" s="3" t="inlineStr">
        <is>
          <t>Valor</t>
        </is>
      </c>
    </row>
    <row r="92" ht="30" customHeight="1">
      <c r="A92" s="4" t="inlineStr">
        <is>
          <t>Bebidas por hora que saca un barista con una cafetera de dos grupos</t>
        </is>
      </c>
      <c r="B92" s="27" t="n">
        <v>55</v>
      </c>
      <c r="C92" s="2" t="inlineStr">
        <is>
          <t>Ratios de EE. UU. (grindkit y beanandbrewtech): 50-60 bebidas por hora con un barista en dos grupos; con dos baristas, 100-120. Se toma 55.</t>
        </is>
      </c>
    </row>
    <row r="93" ht="16" customHeight="1">
      <c r="A93" s="4" t="inlineStr">
        <is>
          <t>Factor de pico sobre la media (la cola se concentra tras la cena o en las pausas)</t>
        </is>
      </c>
      <c r="B93" s="31" t="n">
        <v>1.3</v>
      </c>
      <c r="C93" s="2" t="inlineStr">
        <is>
          <t>Estimación del kit (ratios de EE. UU.): el pico es un 30 % más alto que la media por hora.</t>
        </is>
      </c>
    </row>
    <row r="94" ht="30" customHeight="1">
      <c r="A94" s="4" t="inlineStr">
        <is>
          <t>Baristas que trabajan en una misma cafetera</t>
        </is>
      </c>
      <c r="B94" s="27" t="n">
        <v>2</v>
      </c>
      <c r="C94" s="2" t="inlineStr">
        <is>
          <t>Ratios de EE. UU.: con dos baristas en una cafetera se llega a 100-120 bebidas por hora; una segunda estación entra por encima de eso.</t>
        </is>
      </c>
    </row>
    <row r="95" ht="16" customHeight="1">
      <c r="A95" s="4" t="inlineStr">
        <is>
          <t>Grupos de una cafetera</t>
        </is>
      </c>
      <c r="B95" s="27" t="n">
        <v>2</v>
      </c>
      <c r="C95" s="2" t="inlineStr">
        <is>
          <t>La cafetera del caso es de dos grupos (2,4-4,5 kW; la del caso, hasta 3,5 kW).</t>
        </is>
      </c>
    </row>
    <row r="96" ht="16" customHeight="1">
      <c r="A96" s="4" t="inlineStr">
        <is>
          <t>Molinos de reserva (descafeinado o filtro) además de uno por estación</t>
        </is>
      </c>
      <c r="B96" s="27" t="n">
        <v>1</v>
      </c>
      <c r="C96" s="2" t="inlineStr">
        <is>
          <t>Estimación del kit: un molino de espresso por estación más uno de descafeinado o filtro.</t>
        </is>
      </c>
    </row>
    <row r="97" ht="16" customHeight="1">
      <c r="A97" s="4" t="inlineStr">
        <is>
          <t>Café de purga y calibrado por evento (kg)</t>
        </is>
      </c>
      <c r="B97" s="31" t="n">
        <v>0.15</v>
      </c>
      <c r="C97" s="2" t="inlineStr">
        <is>
          <t>Estimación del kit: 100-200 g por evento. Se toma 150 g.</t>
        </is>
      </c>
    </row>
    <row r="98" ht="16" customHeight="1">
      <c r="A98" s="4" t="inlineStr">
        <is>
          <t>Reserva de vasos desechables sobre las bebidas</t>
        </is>
      </c>
      <c r="B98" s="5" t="n">
        <v>0.1</v>
      </c>
      <c r="C98" s="2" t="inlineStr">
        <is>
          <t>Estimación del kit: derrames, repeticiones y cortesías.</t>
        </is>
      </c>
    </row>
    <row r="99" ht="16" customHeight="1">
      <c r="A99" s="4" t="inlineStr">
        <is>
          <t>Tazas de loza por invitado (con reposición durante el lavado)</t>
        </is>
      </c>
      <c r="B99" s="31" t="n">
        <v>1.25</v>
      </c>
      <c r="C99" s="2" t="inlineStr">
        <is>
          <t>Del caso: loza para 150 en una boda de 120 invitados (plan financiero).</t>
        </is>
      </c>
    </row>
    <row r="100" ht="16" customHeight="1">
      <c r="A100" s="4" t="inlineStr">
        <is>
          <t>Agua limpia por bebida (litros: grupo, vapor y aclarado de jarras)</t>
        </is>
      </c>
      <c r="B100" s="31" t="n">
        <v>0.25</v>
      </c>
      <c r="C100" s="2" t="inlineStr">
        <is>
          <t>Estimación del kit (ratios de EE. UU.).</t>
        </is>
      </c>
    </row>
    <row r="101" ht="16" customHeight="1">
      <c r="A101" s="4" t="inlineStr">
        <is>
          <t>Agua limpia fija por evento (litros: manos, limpieza y reserva)</t>
        </is>
      </c>
      <c r="B101" s="27" t="n">
        <v>20</v>
      </c>
      <c r="C101" s="2" t="inlineStr">
        <is>
          <t>Estimación del kit (ratios de EE. UU.).</t>
        </is>
      </c>
    </row>
    <row r="102" ht="16" customHeight="1">
      <c r="A102" s="4" t="inlineStr">
        <is>
          <t>Tensión de la red (V)</t>
        </is>
      </c>
      <c r="B102" s="27" t="n">
        <v>230</v>
      </c>
      <c r="C102" s="2" t="inlineStr">
        <is>
          <t>Red monofásica española.</t>
        </is>
      </c>
    </row>
    <row r="103" ht="16" customHeight="1">
      <c r="A103" s="4" t="inlineStr">
        <is>
          <t>Intensidad de un enchufe doméstico o de finca (A)</t>
        </is>
      </c>
      <c r="B103" s="27" t="n">
        <v>16</v>
      </c>
      <c r="C103" s="2" t="inlineStr">
        <is>
          <t>Un enchufe de 16 A a 230 V da unos 3,7 kW (3,68 kW).</t>
        </is>
      </c>
    </row>
    <row r="104" ht="16" customHeight="1">
      <c r="A104" s="4" t="inlineStr">
        <is>
          <t>Factor para dimensionar el generador (kVA por kW de cafetera)</t>
        </is>
      </c>
      <c r="B104" s="31" t="n">
        <v>1.4</v>
      </c>
      <c r="C104" s="2" t="inlineStr">
        <is>
          <t>Margen de arranque: una cafetera de 3,5 kW pide un generador inverter de 5 kVA (fichas de distribuidor).</t>
        </is>
      </c>
    </row>
    <row r="106">
      <c r="A106" s="3" t="inlineStr">
        <is>
          <t>FORMATO → BEBIDAS POR INVITADO</t>
        </is>
      </c>
      <c r="B106" s="3" t="inlineStr">
        <is>
          <t>Bebidas</t>
        </is>
      </c>
    </row>
    <row r="107">
      <c r="A107" s="4" t="inlineStr">
        <is>
          <t>Hasta 2 horas</t>
        </is>
      </c>
      <c r="B107" s="32" t="n">
        <v>1</v>
      </c>
      <c r="C107" s="16" t="inlineStr">
        <is>
          <t>Rango de referencia: 1,0</t>
        </is>
      </c>
      <c r="D107" s="25" t="inlineStr">
        <is>
          <t>estimación del kit (ratios de EE. UU.)</t>
        </is>
      </c>
    </row>
    <row r="108">
      <c r="A108" s="4" t="inlineStr">
        <is>
          <t>Más de 2 y hasta 4 horas</t>
        </is>
      </c>
      <c r="B108" s="32" t="n">
        <v>1.4</v>
      </c>
      <c r="C108" s="16" t="inlineStr">
        <is>
          <t>Rango de referencia: 1,3-1,5</t>
        </is>
      </c>
    </row>
    <row r="109">
      <c r="A109" s="4" t="inlineStr">
        <is>
          <t>Más de 4 y hasta 6 horas</t>
        </is>
      </c>
      <c r="B109" s="32" t="n">
        <v>1.65</v>
      </c>
      <c r="C109" s="16" t="inlineStr">
        <is>
          <t>Rango de referencia: 1,5-1,8</t>
        </is>
      </c>
    </row>
    <row r="110">
      <c r="A110" s="4" t="inlineStr">
        <is>
          <t>Más de 6 horas (jornada)</t>
        </is>
      </c>
      <c r="B110" s="32" t="n">
        <v>2.25</v>
      </c>
      <c r="C110" s="16" t="inlineStr">
        <is>
          <t>Rango de referencia: 2,0-2,5</t>
        </is>
      </c>
    </row>
    <row r="111">
      <c r="A111" s="4" t="inlineStr">
        <is>
          <t>Congreso con pausas de café</t>
        </is>
      </c>
      <c r="B111" s="32" t="n">
        <v>1.6</v>
      </c>
      <c r="C111" s="16" t="inlineStr">
        <is>
          <t>Rango de referencia: mezcla del caso</t>
        </is>
      </c>
    </row>
    <row r="113">
      <c r="A113" s="3" t="inlineStr">
        <is>
          <t>HORARIO → AJUSTE DE LAS BEBIDAS POR INVITADO</t>
        </is>
      </c>
      <c r="B113" s="3" t="inlineStr">
        <is>
          <t>Ajuste</t>
        </is>
      </c>
    </row>
    <row r="114">
      <c r="A114" s="4" t="inlineStr">
        <is>
          <t>Mañana (desayuno y café de media mañana)</t>
        </is>
      </c>
      <c r="B114" s="5" t="n">
        <v>0.25</v>
      </c>
    </row>
    <row r="115">
      <c r="A115" s="4" t="inlineStr">
        <is>
          <t>Tarde o jornada mixta</t>
        </is>
      </c>
      <c r="B115" s="5" t="n">
        <v>0</v>
      </c>
    </row>
    <row r="116">
      <c r="A116" s="4" t="inlineStr">
        <is>
          <t>Noche (después de la cena)</t>
        </is>
      </c>
      <c r="B116" s="5" t="n">
        <v>-0.1</v>
      </c>
    </row>
    <row r="118">
      <c r="A118" s="3" t="inlineStr">
        <is>
          <t>OPCIONES DE SERVICIO (lista de la entrada «Servicio en»)</t>
        </is>
      </c>
    </row>
    <row r="119">
      <c r="A119" s="4" t="inlineStr">
        <is>
          <t>Loza (tazas reutilizables)</t>
        </is>
      </c>
    </row>
    <row r="120">
      <c r="A120" s="4" t="inlineStr">
        <is>
          <t>Vaso de un solo uso</t>
        </is>
      </c>
    </row>
    <row r="122">
      <c r="A122" s="3" t="inlineStr">
        <is>
          <t>OPCIONES DE ELECTRICIDAD (lista de la entrada «Electricidad en el lugar»)</t>
        </is>
      </c>
    </row>
    <row r="123">
      <c r="A123" s="4" t="inlineStr">
        <is>
          <t>Enchufe de 16 A</t>
        </is>
      </c>
    </row>
    <row r="124">
      <c r="A124" s="4" t="inlineStr">
        <is>
          <t>Toma dedicada</t>
        </is>
      </c>
    </row>
    <row r="125">
      <c r="A125" s="4" t="inlineStr">
        <is>
          <t>Sin toma (generador o baterías)</t>
        </is>
      </c>
    </row>
    <row r="127">
      <c r="A127" s="3" t="inlineStr">
        <is>
          <t>POLÍTICA POR CLIENTE</t>
        </is>
      </c>
      <c r="B127" s="7" t="inlineStr">
        <is>
          <t>Particular</t>
        </is>
      </c>
      <c r="C127" s="7" t="inlineStr">
        <is>
          <t>Empresa</t>
        </is>
      </c>
      <c r="D127" s="7" t="inlineStr">
        <is>
          <t>Feria</t>
        </is>
      </c>
    </row>
    <row r="128" ht="75" customHeight="1">
      <c r="A128" s="4" t="inlineStr">
        <is>
          <t>Margen bruto objetivo sobre el precio</t>
        </is>
      </c>
      <c r="B128" s="5" t="n">
        <v>0.55</v>
      </c>
      <c r="C128" s="5" t="n">
        <v>0.5</v>
      </c>
      <c r="D128" s="5" t="n">
        <v>0.2</v>
      </c>
      <c r="E128" s="2" t="inlineStr">
        <is>
          <t>Lo que queda del precio tras bebidas, bollería, personal del evento, generador y canon. Con él pagas vehículo, seguros, base, publicidad y tu beneficio. Estimación del kit: la boda particular lleva más que la empresa; en feria el margen es menor porque vendes volumen.</t>
        </is>
      </c>
    </row>
    <row r="129" ht="45" customHeight="1">
      <c r="A129" s="4" t="inlineStr">
        <is>
          <t>Canon del organizador (% de la venta)</t>
        </is>
      </c>
      <c r="B129" s="5" t="n">
        <v>0</v>
      </c>
      <c r="C129" s="5" t="n">
        <v>0</v>
      </c>
      <c r="D129" s="5" t="n">
        <v>0.15</v>
      </c>
      <c r="E129" s="2" t="inlineStr">
        <is>
          <t>Solo ferias, mercados y festivales (porcentaje de la venta o cuota fija, según el organizador). El canon fijo se escribe aparte.</t>
        </is>
      </c>
    </row>
    <row r="130" ht="30" customHeight="1">
      <c r="A130" s="4" t="inlineStr">
        <is>
          <t>Cobro: señal al reservar (% del total)</t>
        </is>
      </c>
      <c r="B130" s="5" t="n">
        <v>0.3</v>
      </c>
      <c r="C130" s="5" t="n">
        <v>0.3</v>
      </c>
      <c r="D130" s="5" t="n">
        <v>0</v>
      </c>
      <c r="E130" s="2" t="inlineStr">
        <is>
          <t>Particular y Empresa, el 30 % al firmar. La señal es a cuenta del precio. Feria: no hay señal al cliente.</t>
        </is>
      </c>
    </row>
    <row r="131" ht="16" customHeight="1">
      <c r="A131" s="4" t="inlineStr">
        <is>
          <t>Cobro: resto antes del evento (% del total)</t>
        </is>
      </c>
      <c r="B131" s="5" t="n">
        <v>0.7</v>
      </c>
      <c r="C131" s="5" t="n">
        <v>0</v>
      </c>
      <c r="D131" s="5" t="n">
        <v>0</v>
      </c>
      <c r="E131" s="2" t="inlineStr">
        <is>
          <t>Particular: el 70 % restante, siete días antes del evento.</t>
        </is>
      </c>
    </row>
    <row r="132" ht="16" customHeight="1">
      <c r="A132" s="4" t="inlineStr">
        <is>
          <t>Cobro: resto a 30 días de la factura (% del total)</t>
        </is>
      </c>
      <c r="B132" s="5" t="n">
        <v>0</v>
      </c>
      <c r="C132" s="5" t="n">
        <v>0.7</v>
      </c>
      <c r="D132" s="5" t="n">
        <v>0</v>
      </c>
      <c r="E132" s="2" t="inlineStr">
        <is>
          <t>Empresa: el 70 % restante, a 30 días de la factura.</t>
        </is>
      </c>
    </row>
    <row r="133" ht="16" customHeight="1">
      <c r="A133" s="4" t="inlineStr">
        <is>
          <t>Cobro: en el momento de la venta (% del total)</t>
        </is>
      </c>
      <c r="B133" s="5" t="n">
        <v>0</v>
      </c>
      <c r="C133" s="5" t="n">
        <v>0</v>
      </c>
      <c r="D133" s="5" t="n">
        <v>1</v>
      </c>
      <c r="E133" s="2" t="inlineStr">
        <is>
          <t>Feria: venta directa, cobras en el acto (datáfono o efectivo).</t>
        </is>
      </c>
    </row>
    <row r="134" ht="30" customHeight="1">
      <c r="A134" s="4" t="inlineStr">
        <is>
          <t>Cancelación: primer corte (días antes del evento)</t>
        </is>
      </c>
      <c r="B134" s="27" t="n">
        <v>60</v>
      </c>
      <c r="C134" s="27" t="n">
        <v>30</v>
      </c>
      <c r="D134" s="27" t="n">
        <v>30</v>
      </c>
      <c r="E134" s="2" t="inlineStr">
        <is>
          <t>Desde este número de días o más: tramo 1. Los cortes bajan de uno a otro y no dejan huecos.</t>
        </is>
      </c>
    </row>
    <row r="135" ht="16" customHeight="1">
      <c r="A135" s="4" t="inlineStr">
        <is>
          <t>Cancelación: segundo corte (días antes del evento)</t>
        </is>
      </c>
      <c r="B135" s="27" t="n">
        <v>30</v>
      </c>
      <c r="C135" s="27" t="n">
        <v>15</v>
      </c>
      <c r="D135" s="27" t="n">
        <v>15</v>
      </c>
      <c r="E135" s="2" t="inlineStr">
        <is>
          <t>Desde aquí hasta menos del primer corte: tramo 2.</t>
        </is>
      </c>
    </row>
    <row r="136" ht="30" customHeight="1">
      <c r="A136" s="4" t="inlineStr">
        <is>
          <t>Cancelación: tercer corte (días antes del evento)</t>
        </is>
      </c>
      <c r="B136" s="27" t="n">
        <v>7</v>
      </c>
      <c r="C136" s="27" t="n">
        <v>7</v>
      </c>
      <c r="D136" s="27" t="n">
        <v>7</v>
      </c>
      <c r="E136" s="2" t="inlineStr">
        <is>
          <t>Desde aquí hasta menos del segundo corte: tramo 3. Por debajo de este número de días: tramo 4.</t>
        </is>
      </c>
    </row>
    <row r="137" ht="16" customHeight="1">
      <c r="A137" s="4" t="inlineStr">
        <is>
          <t>Cancelación tramo 1 (% del total que retienes)</t>
        </is>
      </c>
      <c r="B137" s="5" t="n">
        <v>0.1</v>
      </c>
      <c r="C137" s="5" t="n">
        <v>0.1</v>
      </c>
      <c r="D137" s="5" t="n">
        <v>0</v>
      </c>
      <c r="E137" s="2" t="inlineStr">
        <is>
          <t>Particular y Empresa: el 10 % del total. Feria: no se aplica.</t>
        </is>
      </c>
    </row>
    <row r="138" ht="16" customHeight="1">
      <c r="A138" s="4" t="inlineStr">
        <is>
          <t>Cancelación tramo 2 (% del total que retienes)</t>
        </is>
      </c>
      <c r="B138" s="5" t="n">
        <v>0.3</v>
      </c>
      <c r="C138" s="5" t="n">
        <v>0.3</v>
      </c>
      <c r="D138" s="5" t="n">
        <v>0</v>
      </c>
      <c r="E138" s="2" t="inlineStr">
        <is>
          <t>Particular y Empresa: el 30 % del total.</t>
        </is>
      </c>
    </row>
    <row r="139" ht="16" customHeight="1">
      <c r="A139" s="4" t="inlineStr">
        <is>
          <t>Cancelación tramo 3 (% del total que retienes)</t>
        </is>
      </c>
      <c r="B139" s="5" t="n">
        <v>0.6</v>
      </c>
      <c r="C139" s="5" t="n">
        <v>0.6</v>
      </c>
      <c r="D139" s="5" t="n">
        <v>0</v>
      </c>
      <c r="E139" s="2" t="inlineStr">
        <is>
          <t>Particular y Empresa: el 60 % del total.</t>
        </is>
      </c>
    </row>
    <row r="140" ht="60" customHeight="1">
      <c r="A140" s="4" t="inlineStr">
        <is>
          <t>Cancelación tramo 4 (% del total que retienes)</t>
        </is>
      </c>
      <c r="B140" s="5" t="n">
        <v>1</v>
      </c>
      <c r="C140" s="5" t="n">
        <v>1</v>
      </c>
      <c r="D140" s="5" t="n">
        <v>0</v>
      </c>
      <c r="E140" s="2" t="inlineStr">
        <is>
          <t>Menos de siete días o no presentación: el 100 % menos los costes que te ahorras: consumibles, café y leche sin gastar, refuerzo y desplazamiento. En Feria se rige por las bases del organizador.</t>
        </is>
      </c>
    </row>
    <row r="141" ht="32" customHeight="1">
      <c r="A141" s="4" t="inlineStr">
        <is>
          <t>Tramo 1 de cancelación (texto, se calcula con los cortes)</t>
        </is>
      </c>
      <c r="B141" s="2" t="str">
        <f>B134&amp;" días o más"</f>
        <v>60 días o más</v>
      </c>
      <c r="C141" s="2" t="str">
        <f>C134&amp;" días o más"</f>
        <v>30 días o más</v>
      </c>
      <c r="D141" s="2" t="str">
        <f>D134&amp;" días o más"</f>
        <v>30 días o más</v>
      </c>
    </row>
    <row r="142" ht="32" customHeight="1">
      <c r="A142" s="4" t="inlineStr">
        <is>
          <t>Tramo 2 de cancelación (texto, se calcula con los cortes)</t>
        </is>
      </c>
      <c r="B142" s="2" t="str">
        <f>"De "&amp;B135&amp;" a menos de "&amp;B134&amp;" días"</f>
        <v>De 30 a menos de 60 días</v>
      </c>
      <c r="C142" s="2" t="str">
        <f>"De "&amp;C135&amp;" a menos de "&amp;C134&amp;" días"</f>
        <v>De 15 a menos de 30 días</v>
      </c>
      <c r="D142" s="2" t="str">
        <f>"De "&amp;D135&amp;" a menos de "&amp;D134&amp;" días"</f>
        <v>De 15 a menos de 30 días</v>
      </c>
    </row>
    <row r="143" ht="32" customHeight="1">
      <c r="A143" s="4" t="inlineStr">
        <is>
          <t>Tramo 3 de cancelación (texto, se calcula con los cortes)</t>
        </is>
      </c>
      <c r="B143" s="2" t="str">
        <f>"De "&amp;B136&amp;" a menos de "&amp;B135&amp;" días"</f>
        <v>De 7 a menos de 30 días</v>
      </c>
      <c r="C143" s="2" t="str">
        <f>"De "&amp;C136&amp;" a menos de "&amp;C135&amp;" días"</f>
        <v>De 7 a menos de 15 días</v>
      </c>
      <c r="D143" s="2" t="str">
        <f>"De "&amp;D136&amp;" a menos de "&amp;D135&amp;" días"</f>
        <v>De 7 a menos de 15 días</v>
      </c>
    </row>
    <row r="144" ht="32" customHeight="1">
      <c r="A144" s="4" t="inlineStr">
        <is>
          <t>Tramo 4 de cancelación (texto, se calcula con los cortes)</t>
        </is>
      </c>
      <c r="B144" s="2" t="str">
        <f>"Menos de "&amp;B136&amp;" días"</f>
        <v>Menos de 7 días</v>
      </c>
      <c r="C144" s="2" t="str">
        <f>"Menos de "&amp;C136&amp;" días"</f>
        <v>Menos de 7 días</v>
      </c>
      <c r="D144" s="2" t="str">
        <f>"Menos de "&amp;D136&amp;" días"</f>
        <v>Menos de 7 días</v>
      </c>
    </row>
    <row r="146">
      <c r="A146" s="3" t="inlineStr">
        <is>
          <t>TABLA DE ESCALADO (evento tipo: barra de dos a cuatro horas, por la tarde, con vaso de un solo uso)</t>
        </is>
      </c>
      <c r="B146" s="33" t="n">
        <v>50</v>
      </c>
      <c r="C146" s="33" t="n">
        <v>100</v>
      </c>
      <c r="D146" s="33" t="n">
        <v>200</v>
      </c>
      <c r="E146" s="33" t="n">
        <v>300</v>
      </c>
    </row>
    <row r="147">
      <c r="A147" s="4" t="inlineStr">
        <is>
          <t>Horas de barra del evento tipo</t>
        </is>
      </c>
      <c r="B147" s="34" t="n">
        <v>3</v>
      </c>
    </row>
    <row r="148">
      <c r="A148" s="4" t="inlineStr">
        <is>
          <t>Bebidas servidas (ud.)</t>
        </is>
      </c>
      <c r="B148" s="29">
        <f>ROUNDUP(ROUND(B$146*$B$108*(1+$B$115),2),0)</f>
        <v>70.0</v>
      </c>
      <c r="C148" s="29">
        <f>ROUNDUP(ROUND(C$146*$B$108*(1+$B$115),2),0)</f>
        <v>140.0</v>
      </c>
      <c r="D148" s="29">
        <f>ROUNDUP(ROUND(D$146*$B$108*(1+$B$115),2),0)</f>
        <v>280.0</v>
      </c>
      <c r="E148" s="29">
        <f>ROUNDUP(ROUND(E$146*$B$108*(1+$B$115),2),0)</f>
        <v>420.0</v>
      </c>
    </row>
    <row r="149">
      <c r="A149" s="4" t="inlineStr">
        <is>
          <t>Baristas</t>
        </is>
      </c>
      <c r="B149" s="29">
        <f>MAX(1,ROUNDUP(ROUND(B148/$B$147*$B$93/$B$92,2),0))</f>
        <v>1.0</v>
      </c>
      <c r="C149" s="29">
        <f>MAX(1,ROUNDUP(ROUND(C148/$B$147*$B$93/$B$92,2),0))</f>
        <v>2.0</v>
      </c>
      <c r="D149" s="29">
        <f>MAX(1,ROUNDUP(ROUND(D148/$B$147*$B$93/$B$92,2),0))</f>
        <v>3.0</v>
      </c>
      <c r="E149" s="29">
        <f>MAX(1,ROUNDUP(ROUND(E148/$B$147*$B$93/$B$92,2),0))</f>
        <v>4.0</v>
      </c>
    </row>
    <row r="150">
      <c r="A150" s="4" t="inlineStr">
        <is>
          <t>Cafeteras de dos grupos (estaciones)</t>
        </is>
      </c>
      <c r="B150" s="29">
        <f>ROUNDUP(B149/$B$94,0)</f>
        <v>1.0</v>
      </c>
      <c r="C150" s="29">
        <f>ROUNDUP(C149/$B$94,0)</f>
        <v>1.0</v>
      </c>
      <c r="D150" s="29">
        <f>ROUNDUP(D149/$B$94,0)</f>
        <v>2.0</v>
      </c>
      <c r="E150" s="29">
        <f>ROUNDUP(E149/$B$94,0)</f>
        <v>2.0</v>
      </c>
    </row>
    <row r="151">
      <c r="A151" s="4" t="inlineStr">
        <is>
          <t>Grupos en total</t>
        </is>
      </c>
      <c r="B151" s="29">
        <f>B150*$B$95</f>
        <v>2.0</v>
      </c>
      <c r="C151" s="29">
        <f>C150*$B$95</f>
        <v>2.0</v>
      </c>
      <c r="D151" s="29">
        <f>D150*$B$95</f>
        <v>4.0</v>
      </c>
      <c r="E151" s="29">
        <f>E150*$B$95</f>
        <v>4.0</v>
      </c>
    </row>
    <row r="152">
      <c r="A152" s="4" t="inlineStr">
        <is>
          <t>Molinos</t>
        </is>
      </c>
      <c r="B152" s="29">
        <f>B150+$B$96</f>
        <v>2.0</v>
      </c>
      <c r="C152" s="29">
        <f>C150+$B$96</f>
        <v>2.0</v>
      </c>
      <c r="D152" s="29">
        <f>D150+$B$96</f>
        <v>3.0</v>
      </c>
      <c r="E152" s="29">
        <f>E150+$B$96</f>
        <v>3.0</v>
      </c>
    </row>
    <row r="153">
      <c r="A153" s="4" t="inlineStr">
        <is>
          <t>Café en grano (kg)</t>
        </is>
      </c>
      <c r="B153" s="18">
        <f>ROUNDUP(B148*'Escandallo'!$B$49/1000+$B$97,1)</f>
        <v>1.2</v>
      </c>
      <c r="C153" s="18">
        <f>ROUNDUP(C148*'Escandallo'!$B$49/1000+$B$97,1)</f>
        <v>2.3</v>
      </c>
      <c r="D153" s="18">
        <f>ROUNDUP(D148*'Escandallo'!$B$49/1000+$B$97,1)</f>
        <v>4.3</v>
      </c>
      <c r="E153" s="18">
        <f>ROUNDUP(E148*'Escandallo'!$B$49/1000+$B$97,1)</f>
        <v>6.4</v>
      </c>
    </row>
    <row r="154">
      <c r="A154" s="4" t="inlineStr">
        <is>
          <t>Leche y bebidas vegetales (l)</t>
        </is>
      </c>
      <c r="B154" s="29">
        <f>ROUNDUP(ROUND(B148*'Escandallo'!$B$50/1000,2),0)</f>
        <v>9.0</v>
      </c>
      <c r="C154" s="29">
        <f>ROUNDUP(ROUND(C148*'Escandallo'!$B$50/1000,2),0)</f>
        <v>18.0</v>
      </c>
      <c r="D154" s="29">
        <f>ROUNDUP(ROUND(D148*'Escandallo'!$B$50/1000,2),0)</f>
        <v>35.0</v>
      </c>
      <c r="E154" s="29">
        <f>ROUNDUP(ROUND(E148*'Escandallo'!$B$50/1000,2),0)</f>
        <v>53.0</v>
      </c>
    </row>
    <row r="155">
      <c r="A155" s="4" t="inlineStr">
        <is>
          <t>Vasos desechables (ud.)</t>
        </is>
      </c>
      <c r="B155" s="29">
        <f>ROUNDUP(ROUND(B148*(1+$B$98),2),0)</f>
        <v>77.0</v>
      </c>
      <c r="C155" s="29">
        <f>ROUNDUP(ROUND(C148*(1+$B$98),2),0)</f>
        <v>154.0</v>
      </c>
      <c r="D155" s="29">
        <f>ROUNDUP(ROUND(D148*(1+$B$98),2),0)</f>
        <v>308.0</v>
      </c>
      <c r="E155" s="29">
        <f>ROUNDUP(ROUND(E148*(1+$B$98),2),0)</f>
        <v>462.0</v>
      </c>
    </row>
    <row r="156">
      <c r="A156" s="4" t="inlineStr">
        <is>
          <t>Potencia de las cafeteras (kW)</t>
        </is>
      </c>
      <c r="B156" s="18">
        <f>B150*$B$16</f>
        <v>3.5</v>
      </c>
      <c r="C156" s="18">
        <f>C150*$B$16</f>
        <v>3.5</v>
      </c>
      <c r="D156" s="18">
        <f>D150*$B$16</f>
        <v>7.0</v>
      </c>
      <c r="E156" s="18">
        <f>E150*$B$16</f>
        <v>7.0</v>
      </c>
    </row>
    <row r="157" ht="32" customHeight="1">
      <c r="A157" s="4" t="inlineStr">
        <is>
          <t>Toma eléctrica</t>
        </is>
      </c>
      <c r="B157" s="2" t="str">
        <f>IF(B156&lt;=$B$43,$A$123,"Toma dedicada o generador")</f>
        <v>Enchufe de 16 A</v>
      </c>
      <c r="C157" s="2" t="str">
        <f>IF(C156&lt;=$B$43,$A$123,"Toma dedicada o generador")</f>
        <v>Enchufe de 16 A</v>
      </c>
      <c r="D157" s="2" t="str">
        <f>IF(D156&lt;=$B$43,$A$123,"Toma dedicada o generador")</f>
        <v>Toma dedicada o generador</v>
      </c>
      <c r="E157" s="2" t="str">
        <f>IF(E156&lt;=$B$43,$A$123,"Toma dedicada o generador")</f>
        <v>Toma dedicada o generador</v>
      </c>
    </row>
    <row r="158">
      <c r="A158" s="4" t="inlineStr">
        <is>
          <t>Agua limpia (l)</t>
        </is>
      </c>
      <c r="B158" s="29">
        <f>ROUNDUP(ROUND(B148*$B$100+$B$101,2),0)</f>
        <v>38.0</v>
      </c>
      <c r="C158" s="29">
        <f>ROUNDUP(ROUND(C148*$B$100+$B$101,2),0)</f>
        <v>55.0</v>
      </c>
      <c r="D158" s="29">
        <f>ROUNDUP(ROUND(D148*$B$100+$B$101,2),0)</f>
        <v>90.0</v>
      </c>
      <c r="E158" s="29">
        <f>ROUNDUP(ROUND(E148*$B$100+$B$101,2),0)</f>
        <v>125.0</v>
      </c>
    </row>
    <row r="159" ht="48" customHeight="1">
      <c r="A159" s="25" t="inlineStr">
        <is>
          <t>Es la misma tabla que las Instrucciones del plan financiero y la sección de logística del plan de negocio. Una cafetera de dos grupos saca unas 55 bebidas por hora con un barista y de 100 a 120 con dos; la segunda estación entra cuando el pico no cabe. Un enchufe de 16 A da unos 3,7 kW: con una cafetera de 3,5 kW o menos cabe; con dos estaciones hace falta toma dedicada o generador. Estimación del kit con ratios de EE. UU.</t>
        </is>
      </c>
    </row>
  </sheetData>
  <sheetProtection selectLockedCells="0" selectUnlockedCells="0" sheet="1" objects="0" insertRows="1" insertHyperlinks="1" autoFilter="1" scenarios="0" formatColumns="1" deleteColumns="1" insertColumns="1" pivotTables="1" deleteRows="1" formatCells="1" formatRows="1" sort="1"/>
  <mergeCells count="86">
    <mergeCell ref="E139:F139"/>
    <mergeCell ref="C61:F61"/>
    <mergeCell ref="C39:F39"/>
    <mergeCell ref="E129:F129"/>
    <mergeCell ref="C72:F72"/>
    <mergeCell ref="C32:F32"/>
    <mergeCell ref="C37:F37"/>
    <mergeCell ref="C13:F13"/>
    <mergeCell ref="E131:F131"/>
    <mergeCell ref="E128:F128"/>
    <mergeCell ref="C6:F6"/>
    <mergeCell ref="C62:F62"/>
    <mergeCell ref="A159:F159"/>
    <mergeCell ref="E137:F137"/>
    <mergeCell ref="C15:F15"/>
    <mergeCell ref="C24:F24"/>
    <mergeCell ref="C89:F89"/>
    <mergeCell ref="C64:F64"/>
    <mergeCell ref="C88:F88"/>
    <mergeCell ref="C63:F63"/>
    <mergeCell ref="C10:F10"/>
    <mergeCell ref="C41:F41"/>
    <mergeCell ref="C93:F93"/>
    <mergeCell ref="C50:F50"/>
    <mergeCell ref="C43:F43"/>
    <mergeCell ref="E136:F136"/>
    <mergeCell ref="C36:F36"/>
    <mergeCell ref="C17:F17"/>
    <mergeCell ref="C19:F19"/>
    <mergeCell ref="C28:F28"/>
    <mergeCell ref="A2:F2"/>
    <mergeCell ref="C69:F69"/>
    <mergeCell ref="C96:F96"/>
    <mergeCell ref="C92:F92"/>
    <mergeCell ref="C30:F30"/>
    <mergeCell ref="C5:F5"/>
    <mergeCell ref="C14:F14"/>
    <mergeCell ref="C98:F98"/>
    <mergeCell ref="B45:F45"/>
    <mergeCell ref="C71:F71"/>
    <mergeCell ref="E130:F130"/>
    <mergeCell ref="C8:F8"/>
    <mergeCell ref="B46:F46"/>
    <mergeCell ref="E135:F135"/>
    <mergeCell ref="C57:F57"/>
    <mergeCell ref="E132:F132"/>
    <mergeCell ref="C18:F18"/>
    <mergeCell ref="C53:F53"/>
    <mergeCell ref="C102:F102"/>
    <mergeCell ref="C58:F58"/>
    <mergeCell ref="C97:F97"/>
    <mergeCell ref="E133:F133"/>
    <mergeCell ref="C20:F20"/>
    <mergeCell ref="C29:F29"/>
    <mergeCell ref="C100:F100"/>
    <mergeCell ref="C94:F94"/>
    <mergeCell ref="C44:F44"/>
    <mergeCell ref="C22:F22"/>
    <mergeCell ref="D107:F108"/>
    <mergeCell ref="C80:F80"/>
    <mergeCell ref="E134:F134"/>
    <mergeCell ref="C12:F12"/>
    <mergeCell ref="C21:F21"/>
    <mergeCell ref="C95:F95"/>
    <mergeCell ref="C60:F60"/>
    <mergeCell ref="C70:F70"/>
    <mergeCell ref="C48:F48"/>
    <mergeCell ref="C23:F23"/>
    <mergeCell ref="C7:F7"/>
    <mergeCell ref="C38:F38"/>
    <mergeCell ref="E140:F140"/>
    <mergeCell ref="B77:F77"/>
    <mergeCell ref="E138:F138"/>
    <mergeCell ref="C101:F101"/>
    <mergeCell ref="C33:F33"/>
    <mergeCell ref="C104:F104"/>
    <mergeCell ref="C42:F42"/>
    <mergeCell ref="C74:F74"/>
    <mergeCell ref="C35:F35"/>
    <mergeCell ref="C16:F16"/>
    <mergeCell ref="C103:F103"/>
    <mergeCell ref="C99:F99"/>
    <mergeCell ref="C9:F9"/>
    <mergeCell ref="C75:F75"/>
    <mergeCell ref="C59:F59"/>
    <mergeCell ref="C11:F11"/>
  </mergeCells>
  <dataValidations count="12">
    <dataValidation sqref="B5" showDropDown="0" showInputMessage="0" showErrorMessage="1" allowBlank="0" errorTitle="Cliente no válido" error="Elige Particular, Empresa o Feria." type="list">
      <formula1>"Particular,Empresa,Feria"</formula1>
    </dataValidation>
    <dataValidation sqref="B7" showDropDown="0" showInputMessage="0" showErrorMessage="1" allowBlank="0" errorTitle="Formato no válido" error="Elige una opción de la lista." type="list">
      <formula1>=$A$107:$A$111</formula1>
    </dataValidation>
    <dataValidation sqref="B8" showDropDown="0" showInputMessage="0" showErrorMessage="1" allowBlank="0" errorTitle="Horario no válido" error="Elige una opción de la lista." type="list">
      <formula1>=$A$114:$A$116</formula1>
    </dataValidation>
    <dataValidation sqref="B9" showDropDown="0" showInputMessage="0" showErrorMessage="1" allowBlank="0" errorTitle="Servicio no válido" error="Elige una opción de la lista." type="list">
      <formula1>=$A$119:$A$120</formula1>
    </dataValidation>
    <dataValidation sqref="B14" showDropDown="0" showInputMessage="0" showErrorMessage="1" allowBlank="0" errorTitle="Electricidad no válido" error="Elige una opción de la lista." type="list">
      <formula1>=$A$123:$A$125</formula1>
    </dataValidation>
    <dataValidation sqref="B6" showDropDown="0" showInputMessage="0" showErrorMessage="1" allowBlank="0" errorTitle="Número no válido" error="Escribe un número entero de 1 o más." type="whole" operator="between">
      <formula1>1</formula1>
      <formula2>100000</formula2>
    </dataValidation>
    <dataValidation sqref="B19 B24 B92 B94 B95 B96 B101 B102 B103 B134 B135 B136 C134 C135 C136 D134 D135 D136" showDropDown="0" showInputMessage="0" showErrorMessage="1" allowBlank="0" errorTitle="Número no válido" error="Escribe un número entero de 0 o más." type="whole" operator="between">
      <formula1>0</formula1>
      <formula2>100000</formula2>
    </dataValidation>
    <dataValidation sqref="B10 B147" showDropDown="0" showInputMessage="0" showErrorMessage="1" allowBlank="0" errorTitle="Horas no válidas" error="Escribe entre 0,5 y 24 horas (no puede ser 0: se divide entre ellas)." type="decimal" operator="between">
      <formula1>0.5</formula1>
      <formula2>24</formula2>
    </dataValidation>
    <dataValidation sqref="B11 B12 B13 B15 B16 B17 B20 B22 B23 B93 B97 B99 B100 B104 B107 B108 B109 B110 B111" showDropDown="0" showInputMessage="0" showErrorMessage="1" allowBlank="0" errorTitle="Importe no válido" error="Escribe un número mayor o igual que 0." type="decimal" operator="greaterThanOrEqual">
      <formula1>0</formula1>
    </dataValidation>
    <dataValidation sqref="B18 B21 B98 B129 B130 B131 B132 B133 B137 B138 B139 B140 C129 C130 C131 C132 C133 C137 C138 C139 C140 D129 D130 D131 D132 D133 D137 D138 D139 D140" showDropDown="0" showInputMessage="0" showErrorMessage="1" allowBlank="0" errorTitle="Porcentaje no válido" error="Escribe un porcentaje entre 0 y 1 (0,10 = 10 %)." type="decimal" operator="between">
      <formula1>0</formula1>
      <formula2>1</formula2>
    </dataValidation>
    <dataValidation sqref="B128 C128 D128" showDropDown="0" showInputMessage="0" showErrorMessage="1" allowBlank="0" errorTitle="Porcentaje no válido" error="Escribe un margen objetivo entre 0 y 80 % (0,50 = 50 %): se divide entre 1 − margen − canon." type="decimal" operator="between">
      <formula1>0</formula1>
      <formula2>0.8</formula2>
    </dataValidation>
    <dataValidation sqref="B114 B115 B116" showDropDown="0" showInputMessage="0" showErrorMessage="1" allowBlank="0" errorTitle="Ajuste no válido" error="Escribe un ajuste entre −50 % y 100 %." type="decimal" operator="between">
      <formula1>-0.5</formula1>
      <formula2>1</formula2>
    </dataValidation>
  </dataValidations>
  <printOptions horizontalCentered="1"/>
  <pageMargins left="0.75" right="0.75" top="1" bottom="1" header="0.5" footer="0.5"/>
  <pageSetup orientation="portrait" paperSize="9" fitToHeight="0" fitToWidth="1"/>
  <headerFooter>
    <oddHeader/>
    <oddFooter>&amp;Caichef.pro/plan-negocio-cafeteria-movil-eventos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9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6" customWidth="1" min="1" max="1"/>
    <col width="30" customWidth="1" min="2" max="2"/>
    <col width="30" customWidth="1" min="3" max="3"/>
    <col width="30" customWidth="1" min="4" max="4"/>
  </cols>
  <sheetData>
    <row r="1">
      <c r="A1" s="1" t="inlineStr">
        <is>
          <t>3 PRESUPUESTOS DE EJEMPLO — con las mismas fórmulas de la hoja «Calculadora»</t>
        </is>
      </c>
    </row>
    <row r="2" ht="32" customHeight="1">
      <c r="A2" s="2" t="inlineStr">
        <is>
          <t>Estimaciones del kit para ilustrar el cálculo, no precios de mercado: cambia los datos en «Calculadora» para presupuestar tus eventos. Las tablas (margen y cobro por cliente, formatos, escalado) están al final de esa hoja y la mezcla de bebidas, en «Escandallo»; también mueven estos ejemplos.</t>
        </is>
      </c>
    </row>
    <row r="4" ht="48" customHeight="1">
      <c r="A4" s="3" t="inlineStr">
        <is>
          <t>DATOS DEL EVENTO</t>
        </is>
      </c>
      <c r="B4" s="7" t="inlineStr">
        <is>
          <t>Boda con barra tras la cena</t>
        </is>
      </c>
      <c r="C4" s="7" t="inlineStr">
        <is>
          <t>Congreso con dos pausas de café</t>
        </is>
      </c>
      <c r="D4" s="7" t="inlineStr">
        <is>
          <t>Jornada de feria con venta directa</t>
        </is>
      </c>
    </row>
    <row r="5">
      <c r="A5" s="4" t="inlineStr">
        <is>
          <t>Cliente</t>
        </is>
      </c>
      <c r="B5" s="2" t="inlineStr">
        <is>
          <t>Particular</t>
        </is>
      </c>
      <c r="C5" s="2" t="inlineStr">
        <is>
          <t>Empresa</t>
        </is>
      </c>
      <c r="D5" s="2" t="inlineStr">
        <is>
          <t>Feria</t>
        </is>
      </c>
    </row>
    <row r="6">
      <c r="A6" s="4" t="inlineStr">
        <is>
          <t>Invitados previstos (en Feria, tazas previstas)</t>
        </is>
      </c>
      <c r="B6" s="29" t="n">
        <v>120</v>
      </c>
      <c r="C6" s="29" t="n">
        <v>300</v>
      </c>
      <c r="D6" s="29" t="n">
        <v>250</v>
      </c>
    </row>
    <row r="7">
      <c r="A7" s="4" t="inlineStr">
        <is>
          <t>Formato del servicio (fija las bebidas por invitado)</t>
        </is>
      </c>
      <c r="B7" s="2" t="inlineStr">
        <is>
          <t>Más de 2 y hasta 4 horas</t>
        </is>
      </c>
      <c r="C7" s="2" t="inlineStr">
        <is>
          <t>Congreso con pausas de café</t>
        </is>
      </c>
      <c r="D7" s="2" t="inlineStr">
        <is>
          <t>Más de 2 y hasta 4 horas</t>
        </is>
      </c>
    </row>
    <row r="8">
      <c r="A8" s="4" t="inlineStr">
        <is>
          <t>Horario</t>
        </is>
      </c>
      <c r="B8" s="2" t="inlineStr">
        <is>
          <t>Noche (después de la cena)</t>
        </is>
      </c>
      <c r="C8" s="2" t="inlineStr">
        <is>
          <t>Tarde o jornada mixta</t>
        </is>
      </c>
      <c r="D8" s="2" t="inlineStr">
        <is>
          <t>Tarde o jornada mixta</t>
        </is>
      </c>
    </row>
    <row r="9">
      <c r="A9" s="4" t="inlineStr">
        <is>
          <t>Servicio en</t>
        </is>
      </c>
      <c r="B9" s="2" t="inlineStr">
        <is>
          <t>Loza (tazas reutilizables)</t>
        </is>
      </c>
      <c r="C9" s="2" t="inlineStr">
        <is>
          <t>Loza (tazas reutilizables)</t>
        </is>
      </c>
      <c r="D9" s="2" t="inlineStr">
        <is>
          <t>Vaso de un solo uso</t>
        </is>
      </c>
    </row>
    <row r="10">
      <c r="A10" s="4" t="inlineStr">
        <is>
          <t>Horas de servicio con la barra abierta</t>
        </is>
      </c>
      <c r="B10" s="18" t="n">
        <v>3</v>
      </c>
      <c r="C10" s="18" t="n">
        <v>8</v>
      </c>
      <c r="D10" s="18" t="n">
        <v>10</v>
      </c>
    </row>
    <row r="11">
      <c r="A11" s="4" t="inlineStr">
        <is>
          <t>Horas por persona fuera del servicio (carga, viaje, montaje y limpieza)</t>
        </is>
      </c>
      <c r="B11" s="18" t="n">
        <v>5</v>
      </c>
      <c r="C11" s="18" t="n">
        <v>2</v>
      </c>
      <c r="D11" s="18" t="n">
        <v>2</v>
      </c>
    </row>
    <row r="12">
      <c r="A12" s="4" t="inlineStr">
        <is>
          <t>Bollería o dulce por invitado (coste, sin IVA)</t>
        </is>
      </c>
      <c r="B12" s="20" t="n">
        <v>0.4</v>
      </c>
      <c r="C12" s="20" t="n">
        <v>0</v>
      </c>
      <c r="D12" s="20" t="n">
        <v>0</v>
      </c>
    </row>
    <row r="13">
      <c r="A13" s="4" t="inlineStr">
        <is>
          <t>Alquileres repercutidos (carpa, cubierta, mesas, loza extra)</t>
        </is>
      </c>
      <c r="B13" s="20" t="n">
        <v>0</v>
      </c>
      <c r="C13" s="20" t="n">
        <v>0</v>
      </c>
      <c r="D13" s="20" t="n">
        <v>0</v>
      </c>
    </row>
    <row r="14">
      <c r="A14" s="4" t="inlineStr">
        <is>
          <t>Electricidad en el lugar</t>
        </is>
      </c>
      <c r="B14" s="2" t="inlineStr">
        <is>
          <t>Enchufe de 16 A</t>
        </is>
      </c>
      <c r="C14" s="2" t="inlineStr">
        <is>
          <t>Toma dedicada</t>
        </is>
      </c>
      <c r="D14" s="2" t="inlineStr">
        <is>
          <t>Sin toma (generador o baterías)</t>
        </is>
      </c>
    </row>
    <row r="15">
      <c r="A15" s="4" t="inlineStr">
        <is>
          <t>Generador o baterías: coste por evento (si no hay toma)</t>
        </is>
      </c>
      <c r="B15" s="20" t="n">
        <v>90</v>
      </c>
      <c r="C15" s="20" t="n">
        <v>90</v>
      </c>
      <c r="D15" s="20" t="n">
        <v>90</v>
      </c>
    </row>
    <row r="16">
      <c r="A16" s="4" t="inlineStr">
        <is>
          <t>Potencia de tu cafetera de dos grupos (kW)</t>
        </is>
      </c>
      <c r="B16" s="18" t="n">
        <v>3.5</v>
      </c>
      <c r="C16" s="18" t="n">
        <v>3.5</v>
      </c>
      <c r="D16" s="18" t="n">
        <v>3.5</v>
      </c>
    </row>
    <row r="17">
      <c r="A17" s="4" t="inlineStr">
        <is>
          <t>Coste bruto por hora de un barista</t>
        </is>
      </c>
      <c r="B17" s="20" t="n">
        <v>13</v>
      </c>
      <c r="C17" s="20" t="n">
        <v>13</v>
      </c>
      <c r="D17" s="20" t="n">
        <v>13</v>
      </c>
    </row>
    <row r="18">
      <c r="A18" s="4" t="inlineStr">
        <is>
          <t>Seguridad Social a cargo de la empresa</t>
        </is>
      </c>
      <c r="B18" s="23" t="n">
        <v>0.33</v>
      </c>
      <c r="C18" s="23" t="n">
        <v>0.33</v>
      </c>
      <c r="D18" s="23" t="n">
        <v>0.33</v>
      </c>
    </row>
    <row r="19">
      <c r="A19" s="4" t="inlineStr">
        <is>
          <t>Kilómetros de ida (base → lugar)</t>
        </is>
      </c>
      <c r="B19" s="29" t="n">
        <v>35</v>
      </c>
      <c r="C19" s="29" t="n">
        <v>25</v>
      </c>
      <c r="D19" s="29" t="n">
        <v>40</v>
      </c>
    </row>
    <row r="20">
      <c r="A20" s="4" t="inlineStr">
        <is>
          <t>Tarifa por kilómetro de desplazamiento</t>
        </is>
      </c>
      <c r="B20" s="20" t="n">
        <v>0.45</v>
      </c>
      <c r="C20" s="20" t="n">
        <v>0.45</v>
      </c>
      <c r="D20" s="20" t="n">
        <v>0.45</v>
      </c>
    </row>
    <row r="21">
      <c r="A21" s="4" t="inlineStr">
        <is>
          <t>IVA del servicio</t>
        </is>
      </c>
      <c r="B21" s="23" t="n">
        <v>0.1</v>
      </c>
      <c r="C21" s="23" t="n">
        <v>0.1</v>
      </c>
      <c r="D21" s="23" t="n">
        <v>0.1</v>
      </c>
    </row>
    <row r="22">
      <c r="A22" s="4" t="inlineStr">
        <is>
          <t>Feria: precio medio por taza que cobrarás (sin IVA)</t>
        </is>
      </c>
      <c r="B22" s="20" t="n">
        <v>3</v>
      </c>
      <c r="C22" s="20" t="n">
        <v>3</v>
      </c>
      <c r="D22" s="20" t="n">
        <v>3</v>
      </c>
    </row>
    <row r="23">
      <c r="A23" s="4" t="inlineStr">
        <is>
          <t>Feria: canon fijo del organizador (€)</t>
        </is>
      </c>
      <c r="B23" s="20" t="n">
        <v>0</v>
      </c>
      <c r="C23" s="20" t="n">
        <v>0</v>
      </c>
      <c r="D23" s="20" t="n">
        <v>0</v>
      </c>
    </row>
    <row r="24">
      <c r="A24" s="4" t="inlineStr">
        <is>
          <t>Días que faltan para el evento si el cliente cancela</t>
        </is>
      </c>
      <c r="B24" s="29" t="n">
        <v>45</v>
      </c>
      <c r="C24" s="29" t="n">
        <v>20</v>
      </c>
      <c r="D24" s="29" t="n">
        <v>45</v>
      </c>
    </row>
    <row r="26" ht="48" customHeight="1">
      <c r="A26" s="3" t="inlineStr">
        <is>
          <t>RESULTADO</t>
        </is>
      </c>
      <c r="B26" s="7" t="inlineStr">
        <is>
          <t>Boda con barra tras la cena</t>
        </is>
      </c>
      <c r="C26" s="7" t="inlineStr">
        <is>
          <t>Congreso con dos pausas de café</t>
        </is>
      </c>
      <c r="D26" s="7" t="inlineStr">
        <is>
          <t>Jornada de feria con venta directa</t>
        </is>
      </c>
    </row>
    <row r="27">
      <c r="A27" s="3" t="inlineStr">
        <is>
          <t>LOGÍSTICA (tabla de escalado)</t>
        </is>
      </c>
    </row>
    <row r="28">
      <c r="A28" s="4" t="inlineStr">
        <is>
          <t>Bebidas por invitado del formato</t>
        </is>
      </c>
      <c r="B28" s="28">
        <f>INDEX('Calculadora'!$B$107:$B$111,MATCH($B$7,'Calculadora'!$A$107:$A$111,0))</f>
        <v>1.4</v>
      </c>
      <c r="C28" s="28">
        <f>INDEX('Calculadora'!$B$107:$B$111,MATCH($C$7,'Calculadora'!$A$107:$A$111,0))</f>
        <v>1.6</v>
      </c>
      <c r="D28" s="28">
        <f>INDEX('Calculadora'!$B$107:$B$111,MATCH($D$7,'Calculadora'!$A$107:$A$111,0))</f>
        <v>1.4</v>
      </c>
    </row>
    <row r="29">
      <c r="A29" s="4" t="inlineStr">
        <is>
          <t>Ajuste por horario</t>
        </is>
      </c>
      <c r="B29" s="23">
        <f>INDEX('Calculadora'!$B$114:$B$116,MATCH($B$8,'Calculadora'!$A$114:$A$116,0))</f>
        <v>-0.1</v>
      </c>
      <c r="C29" s="23">
        <f>INDEX('Calculadora'!$B$114:$B$116,MATCH($C$8,'Calculadora'!$A$114:$A$116,0))</f>
        <v>0.0</v>
      </c>
      <c r="D29" s="23">
        <f>INDEX('Calculadora'!$B$114:$B$116,MATCH($D$8,'Calculadora'!$A$114:$A$116,0))</f>
        <v>0.0</v>
      </c>
    </row>
    <row r="30">
      <c r="A30" s="4" t="inlineStr">
        <is>
          <t>Bebidas que se sirven (ud.)</t>
        </is>
      </c>
      <c r="B30" s="29">
        <f>IF($B$5='Calculadora'!$D$127,$B$6,ROUNDUP(ROUND($B$6*$B$28*(1+$B$29),2),0))</f>
        <v>152.0</v>
      </c>
      <c r="C30" s="29">
        <f>IF($C$5='Calculadora'!$D$127,$C$6,ROUNDUP(ROUND($C$6*$C$28*(1+$C$29),2),0))</f>
        <v>480.0</v>
      </c>
      <c r="D30" s="29">
        <f>IF($D$5='Calculadora'!$D$127,$D$6,ROUNDUP(ROUND($D$6*$D$28*(1+$D$29),2),0))</f>
        <v>250.0</v>
      </c>
    </row>
    <row r="31">
      <c r="A31" s="4" t="inlineStr">
        <is>
          <t>Bebidas por hora (media)</t>
        </is>
      </c>
      <c r="B31" s="18">
        <f>$B$30/$B$10</f>
        <v>50.666666666666664</v>
      </c>
      <c r="C31" s="18">
        <f>$C$30/$C$10</f>
        <v>60.0</v>
      </c>
      <c r="D31" s="18">
        <f>$D$30/$D$10</f>
        <v>25.0</v>
      </c>
    </row>
    <row r="32">
      <c r="A32" s="4" t="inlineStr">
        <is>
          <t>Baristas necesarios</t>
        </is>
      </c>
      <c r="B32" s="29">
        <f>MAX(1,ROUNDUP(ROUND($B$31*'Calculadora'!$B$93/'Calculadora'!$B$92,2),0))</f>
        <v>2.0</v>
      </c>
      <c r="C32" s="29">
        <f>MAX(1,ROUNDUP(ROUND($C$31*'Calculadora'!$B$93/'Calculadora'!$B$92,2),0))</f>
        <v>2.0</v>
      </c>
      <c r="D32" s="29">
        <f>MAX(1,ROUNDUP(ROUND($D$31*'Calculadora'!$B$93/'Calculadora'!$B$92,2),0))</f>
        <v>1.0</v>
      </c>
    </row>
    <row r="33">
      <c r="A33" s="4" t="inlineStr">
        <is>
          <t>Cafeteras de dos grupos (estaciones)</t>
        </is>
      </c>
      <c r="B33" s="29">
        <f>ROUNDUP($B$32/'Calculadora'!$B$94,0)</f>
        <v>1.0</v>
      </c>
      <c r="C33" s="29">
        <f>ROUNDUP($C$32/'Calculadora'!$B$94,0)</f>
        <v>1.0</v>
      </c>
      <c r="D33" s="29">
        <f>ROUNDUP($D$32/'Calculadora'!$B$94,0)</f>
        <v>1.0</v>
      </c>
    </row>
    <row r="34">
      <c r="A34" s="4" t="inlineStr">
        <is>
          <t>Grupos en total</t>
        </is>
      </c>
      <c r="B34" s="29">
        <f>$B$33*'Calculadora'!$B$95</f>
        <v>2.0</v>
      </c>
      <c r="C34" s="29">
        <f>$C$33*'Calculadora'!$B$95</f>
        <v>2.0</v>
      </c>
      <c r="D34" s="29">
        <f>$D$33*'Calculadora'!$B$95</f>
        <v>2.0</v>
      </c>
    </row>
    <row r="35">
      <c r="A35" s="4" t="inlineStr">
        <is>
          <t>Molinos</t>
        </is>
      </c>
      <c r="B35" s="29">
        <f>$B$33+'Calculadora'!$B$96</f>
        <v>2.0</v>
      </c>
      <c r="C35" s="29">
        <f>$C$33+'Calculadora'!$B$96</f>
        <v>2.0</v>
      </c>
      <c r="D35" s="29">
        <f>$D$33+'Calculadora'!$B$96</f>
        <v>2.0</v>
      </c>
    </row>
    <row r="36">
      <c r="A36" s="4" t="inlineStr">
        <is>
          <t>Café en grano (kg)</t>
        </is>
      </c>
      <c r="B36" s="18">
        <f>ROUNDUP($B$30*'Escandallo'!$B$49/1000+'Calculadora'!$B$97,1)</f>
        <v>2.4</v>
      </c>
      <c r="C36" s="18">
        <f>ROUNDUP($C$30*'Escandallo'!$B$49/1000+'Calculadora'!$B$97,1)</f>
        <v>7.3</v>
      </c>
      <c r="D36" s="18">
        <f>ROUNDUP($D$30*'Escandallo'!$B$49/1000+'Calculadora'!$B$97,1)</f>
        <v>3.9</v>
      </c>
    </row>
    <row r="37">
      <c r="A37" s="4" t="inlineStr">
        <is>
          <t>Leche y bebidas vegetales (l)</t>
        </is>
      </c>
      <c r="B37" s="29">
        <f>ROUNDUP(ROUND($B$30*'Escandallo'!$B$50/1000,2),0)</f>
        <v>19.0</v>
      </c>
      <c r="C37" s="29">
        <f>ROUNDUP(ROUND($C$30*'Escandallo'!$B$50/1000,2),0)</f>
        <v>60.0</v>
      </c>
      <c r="D37" s="29">
        <f>ROUNDUP(ROUND($D$30*'Escandallo'!$B$50/1000,2),0)</f>
        <v>32.0</v>
      </c>
    </row>
    <row r="38">
      <c r="A38" s="4" t="inlineStr">
        <is>
          <t>Vasos desechables o tazas de loza (ud.)</t>
        </is>
      </c>
      <c r="B38" s="29">
        <f>IF($B$9='Calculadora'!$A$119,ROUNDUP(ROUND($B$6*'Calculadora'!$B$99,2),0),ROUNDUP(ROUND($B$30*(1+'Calculadora'!$B$98),2),0))</f>
        <v>150.0</v>
      </c>
      <c r="C38" s="29">
        <f>IF($C$9='Calculadora'!$A$119,ROUNDUP(ROUND($C$6*'Calculadora'!$B$99,2),0),ROUNDUP(ROUND($C$30*(1+'Calculadora'!$B$98),2),0))</f>
        <v>375.0</v>
      </c>
      <c r="D38" s="29">
        <f>IF($D$9='Calculadora'!$A$119,ROUNDUP(ROUND($D$6*'Calculadora'!$B$99,2),0),ROUNDUP(ROUND($D$30*(1+'Calculadora'!$B$98),2),0))</f>
        <v>275.0</v>
      </c>
    </row>
    <row r="39">
      <c r="A39" s="4" t="inlineStr">
        <is>
          <t>Agua limpia (l)</t>
        </is>
      </c>
      <c r="B39" s="29">
        <f>ROUNDUP(ROUND($B$30*'Calculadora'!$B$100+'Calculadora'!$B$101,2),0)</f>
        <v>58.0</v>
      </c>
      <c r="C39" s="29">
        <f>ROUNDUP(ROUND($C$30*'Calculadora'!$B$100+'Calculadora'!$B$101,2),0)</f>
        <v>140.0</v>
      </c>
      <c r="D39" s="29">
        <f>ROUNDUP(ROUND($D$30*'Calculadora'!$B$100+'Calculadora'!$B$101,2),0)</f>
        <v>83.0</v>
      </c>
    </row>
    <row r="40">
      <c r="A40" s="3" t="inlineStr">
        <is>
          <t>ELECTRICIDAD (aviso del contrato)</t>
        </is>
      </c>
    </row>
    <row r="41">
      <c r="A41" s="4" t="inlineStr">
        <is>
          <t>Potencia de las cafeteras (kW)</t>
        </is>
      </c>
      <c r="B41" s="18">
        <f>$B$33*$B$16</f>
        <v>3.5</v>
      </c>
      <c r="C41" s="18">
        <f>$C$33*$C$16</f>
        <v>3.5</v>
      </c>
      <c r="D41" s="18">
        <f>$D$33*$D$16</f>
        <v>3.5</v>
      </c>
    </row>
    <row r="42">
      <c r="A42" s="4" t="inlineStr">
        <is>
          <t>Intensidad (A)</t>
        </is>
      </c>
      <c r="B42" s="18">
        <f>$B$41*1000/'Calculadora'!$B$102</f>
        <v>15.217391304347826</v>
      </c>
      <c r="C42" s="18">
        <f>$C$41*1000/'Calculadora'!$B$102</f>
        <v>15.217391304347826</v>
      </c>
      <c r="D42" s="18">
        <f>$D$41*1000/'Calculadora'!$B$102</f>
        <v>15.217391304347826</v>
      </c>
    </row>
    <row r="43">
      <c r="A43" s="4" t="inlineStr">
        <is>
          <t>Potencia de un enchufe (kW)</t>
        </is>
      </c>
      <c r="B43" s="28">
        <f>'Calculadora'!$B$103*'Calculadora'!$B$102/1000</f>
        <v>3.68</v>
      </c>
      <c r="C43" s="28">
        <f>'Calculadora'!$B$103*'Calculadora'!$B$102/1000</f>
        <v>3.68</v>
      </c>
      <c r="D43" s="28">
        <f>'Calculadora'!$B$103*'Calculadora'!$B$102/1000</f>
        <v>3.68</v>
      </c>
    </row>
    <row r="44">
      <c r="A44" s="4" t="inlineStr">
        <is>
          <t>Generador inverter mínimo (kVA)</t>
        </is>
      </c>
      <c r="B44" s="29">
        <f>ROUNDUP(ROUND($B$41*'Calculadora'!$B$104,2),0)</f>
        <v>5.0</v>
      </c>
      <c r="C44" s="29">
        <f>ROUNDUP(ROUND($C$41*'Calculadora'!$B$104,2),0)</f>
        <v>5.0</v>
      </c>
      <c r="D44" s="29">
        <f>ROUNDUP(ROUND($D$41*'Calculadora'!$B$104,2),0)</f>
        <v>5.0</v>
      </c>
    </row>
    <row r="45" ht="32" customHeight="1">
      <c r="A45" s="4" t="inlineStr">
        <is>
          <t>Toma que hace falta</t>
        </is>
      </c>
      <c r="B45" s="2" t="str">
        <f>IF($B$41&lt;=$B$43,'Calculadora'!$A$123,"Toma dedicada o generador")</f>
        <v>Enchufe de 16 A</v>
      </c>
      <c r="C45" s="2" t="str">
        <f>IF($C$41&lt;=$C$43,'Calculadora'!$A$123,"Toma dedicada o generador")</f>
        <v>Enchufe de 16 A</v>
      </c>
      <c r="D45" s="2" t="str">
        <f>IF($D$41&lt;=$D$43,'Calculadora'!$A$123,"Toma dedicada o generador")</f>
        <v>Enchufe de 16 A</v>
      </c>
    </row>
    <row r="46" ht="64" customHeight="1">
      <c r="A46" s="9" t="inlineStr">
        <is>
          <t>AVISO de electricidad</t>
        </is>
      </c>
      <c r="B46" s="24" t="str">
        <f>IF($B$14='Calculadora'!$A$125,"Sin toma: lleva generador o baterías (kVA mínimos en su fila)",IF(AND($B$41&gt;$B$43,$B$14='Calculadora'!$A$123),"AVISO: este enchufe no basta para tus cafeteras; pide toma dedicada por escrito o lleva generador","Potencia cubierta: confirma por escrito en el contrato la toma y su potencia"))</f>
        <v>Potencia cubierta: confirma por escrito en el contrato la toma y su potencia</v>
      </c>
      <c r="C46" s="24" t="str">
        <f>IF($C$14='Calculadora'!$A$125,"Sin toma: lleva generador o baterías (kVA mínimos en su fila)",IF(AND($C$41&gt;$C$43,$C$14='Calculadora'!$A$123),"AVISO: este enchufe no basta para tus cafeteras; pide toma dedicada por escrito o lleva generador","Potencia cubierta: confirma por escrito en el contrato la toma y su potencia"))</f>
        <v>Potencia cubierta: confirma por escrito en el contrato la toma y su potencia</v>
      </c>
      <c r="D46" s="24" t="str">
        <f>IF($D$14='Calculadora'!$A$125,"Sin toma: lleva generador o baterías (kVA mínimos en su fila)",IF(AND($D$41&gt;$D$43,$D$14='Calculadora'!$A$123),"AVISO: este enchufe no basta para tus cafeteras; pide toma dedicada por escrito o lleva generador","Potencia cubierta: confirma por escrito en el contrato la toma y su potencia"))</f>
        <v>Sin toma: lleva generador o baterías (kVA mínimos en su fila)</v>
      </c>
    </row>
    <row r="47">
      <c r="A47" s="3" t="inlineStr">
        <is>
          <t>COSTE DIRECTO</t>
        </is>
      </c>
    </row>
    <row r="48">
      <c r="A48" s="4" t="inlineStr">
        <is>
          <t>Coste de las bebidas</t>
        </is>
      </c>
      <c r="B48" s="20">
        <f>$B$30*IF($B$9='Calculadora'!$A$119,'Escandallo'!$B$46,'Escandallo'!$B$48)</f>
        <v>89.25991111111114</v>
      </c>
      <c r="C48" s="20">
        <f>$C$30*IF($C$9='Calculadora'!$A$119,'Escandallo'!$B$46,'Escandallo'!$B$48)</f>
        <v>281.873403508772</v>
      </c>
      <c r="D48" s="20">
        <f>$D$30*IF($D$9='Calculadora'!$A$119,'Escandallo'!$B$46,'Escandallo'!$B$48)</f>
        <v>175.6750437089287</v>
      </c>
    </row>
    <row r="49">
      <c r="A49" s="4" t="inlineStr">
        <is>
          <t>Coste de bollería o dulces</t>
        </is>
      </c>
      <c r="B49" s="20">
        <f>$B$12*$B$6</f>
        <v>48.0</v>
      </c>
      <c r="C49" s="20">
        <f>$C$12*$C$6</f>
        <v>0.0</v>
      </c>
      <c r="D49" s="20">
        <f>$D$12*$D$6</f>
        <v>0.0</v>
      </c>
    </row>
    <row r="50">
      <c r="A50" s="4" t="inlineStr">
        <is>
          <t>Coste de personal (salario + Seguridad Social)</t>
        </is>
      </c>
      <c r="B50" s="20">
        <f>$B$32*($B$10+$B$11)*$B$17*(1+$B$18)</f>
        <v>276.64</v>
      </c>
      <c r="C50" s="20">
        <f>$C$32*($C$10+$C$11)*$C$17*(1+$C$18)</f>
        <v>345.8</v>
      </c>
      <c r="D50" s="20">
        <f>$D$32*($D$10+$D$11)*$D$17*(1+$D$18)</f>
        <v>207.48000000000002</v>
      </c>
    </row>
    <row r="51">
      <c r="A51" s="4" t="inlineStr">
        <is>
          <t>Generador o baterías</t>
        </is>
      </c>
      <c r="B51" s="20">
        <f>IF($B$14='Calculadora'!$A$125,$B$15,0)</f>
        <v>0.0</v>
      </c>
      <c r="C51" s="20">
        <f>IF($C$14='Calculadora'!$A$125,$C$15,0)</f>
        <v>0.0</v>
      </c>
      <c r="D51" s="20">
        <f>IF($D$14='Calculadora'!$A$125,$D$15,0)</f>
        <v>90.0</v>
      </c>
    </row>
    <row r="52">
      <c r="A52" s="4" t="inlineStr">
        <is>
          <t>Alquileres repercutidos</t>
        </is>
      </c>
      <c r="B52" s="20">
        <f>$B$13</f>
        <v>0.0</v>
      </c>
      <c r="C52" s="20">
        <f>$C$13</f>
        <v>0.0</v>
      </c>
      <c r="D52" s="20">
        <f>$D$13</f>
        <v>0.0</v>
      </c>
    </row>
    <row r="53">
      <c r="A53" s="4" t="inlineStr">
        <is>
          <t>Desplazamiento a la feria (coste tuyo)</t>
        </is>
      </c>
      <c r="B53" s="20">
        <f>IF($B$5='Calculadora'!$D$127,$B$19*2*$B$20,0)</f>
        <v>0.0</v>
      </c>
      <c r="C53" s="20">
        <f>IF($C$5='Calculadora'!$D$127,$C$19*2*$C$20,0)</f>
        <v>0.0</v>
      </c>
      <c r="D53" s="20">
        <f>IF($D$5='Calculadora'!$D$127,$D$19*2*$D$20,0)</f>
        <v>36.0</v>
      </c>
    </row>
    <row r="54">
      <c r="A54" s="4" t="inlineStr">
        <is>
          <t>Coste directo total</t>
        </is>
      </c>
      <c r="B54" s="20">
        <f>$B$48+$B$49+$B$50+$B$51+$B$52+$B$53</f>
        <v>413.8999111111111</v>
      </c>
      <c r="C54" s="20">
        <f>$C$48+$C$49+$C$50+$C$51+$C$52+$C$53</f>
        <v>627.673403508772</v>
      </c>
      <c r="D54" s="20">
        <f>$D$48+$D$49+$D$50+$D$51+$D$52+$D$53</f>
        <v>509.1550437089287</v>
      </c>
    </row>
    <row r="55">
      <c r="A55" s="4" t="inlineStr">
        <is>
          <t>Coste directo por invitado</t>
        </is>
      </c>
      <c r="B55" s="20">
        <f>$B$54/$B$6</f>
        <v>3.449165925925926</v>
      </c>
      <c r="C55" s="20">
        <f>$C$54/$C$6</f>
        <v>2.092244678362573</v>
      </c>
      <c r="D55" s="20">
        <f>$D$54/$D$6</f>
        <v>2.036620174835715</v>
      </c>
    </row>
    <row r="56">
      <c r="A56" s="3" t="inlineStr">
        <is>
          <t>PRECIO Y PRESUPUESTO</t>
        </is>
      </c>
    </row>
    <row r="57">
      <c r="A57" s="4" t="inlineStr">
        <is>
          <t>Margen objetivo del cliente elegido</t>
        </is>
      </c>
      <c r="B57" s="23">
        <f>INDEX('Calculadora'!$B$128:$D$128,MATCH($B$5,'Calculadora'!$B$127:$D$127,0))</f>
        <v>0.55</v>
      </c>
      <c r="C57" s="23">
        <f>INDEX('Calculadora'!$B$128:$D$128,MATCH($C$5,'Calculadora'!$B$127:$D$127,0))</f>
        <v>0.5</v>
      </c>
      <c r="D57" s="23">
        <f>INDEX('Calculadora'!$B$128:$D$128,MATCH($D$5,'Calculadora'!$B$127:$D$127,0))</f>
        <v>0.2</v>
      </c>
    </row>
    <row r="58">
      <c r="A58" s="4" t="inlineStr">
        <is>
          <t>Canon del organizador (cliente elegido)</t>
        </is>
      </c>
      <c r="B58" s="23">
        <f>INDEX('Calculadora'!$B$129:$D$129,MATCH($B$5,'Calculadora'!$B$127:$D$127,0))</f>
        <v>0.0</v>
      </c>
      <c r="C58" s="23">
        <f>INDEX('Calculadora'!$B$129:$D$129,MATCH($C$5,'Calculadora'!$B$127:$D$127,0))</f>
        <v>0.0</v>
      </c>
      <c r="D58" s="23">
        <f>INDEX('Calculadora'!$B$129:$D$129,MATCH($D$5,'Calculadora'!$B$127:$D$127,0))</f>
        <v>0.15</v>
      </c>
    </row>
    <row r="59">
      <c r="A59" s="9" t="inlineStr">
        <is>
          <t>PRECIO POR INVITADO SIN IVA</t>
        </is>
      </c>
      <c r="B59" s="30">
        <f>ROUNDUP($B$54/(1-$B$57-$B$58)/$B$6*2,0)/2</f>
        <v>8.0</v>
      </c>
      <c r="C59" s="30">
        <f>ROUNDUP($C$54/(1-$C$57-$C$58)/$C$6*2,0)/2</f>
        <v>4.5</v>
      </c>
      <c r="D59" s="30">
        <f>ROUNDUP($D$54/(1-$D$57-$D$58)/$D$6*2,0)/2</f>
        <v>3.5</v>
      </c>
    </row>
    <row r="60">
      <c r="A60" s="9" t="inlineStr">
        <is>
          <t>PRECIO POR INVITADO CON IVA</t>
        </is>
      </c>
      <c r="B60" s="30">
        <f>$B$59*(1+$B$21)</f>
        <v>8.8</v>
      </c>
      <c r="C60" s="30">
        <f>$C$59*(1+$C$21)</f>
        <v>4.95</v>
      </c>
      <c r="D60" s="30">
        <f>$D$59*(1+$D$21)</f>
        <v>3.8500000000000005</v>
      </c>
    </row>
    <row r="61">
      <c r="A61" s="4" t="inlineStr">
        <is>
          <t>Subtotal de bebidas sin IVA</t>
        </is>
      </c>
      <c r="B61" s="20">
        <f>$B$59*$B$6</f>
        <v>960.0</v>
      </c>
      <c r="C61" s="20">
        <f>$C$59*$C$6</f>
        <v>1350.0</v>
      </c>
      <c r="D61" s="20">
        <f>$D$59*$D$6</f>
        <v>875.0</v>
      </c>
    </row>
    <row r="62">
      <c r="A62" s="4" t="inlineStr">
        <is>
          <t>Equivalente por hora de barra (sin IVA)</t>
        </is>
      </c>
      <c r="B62" s="20">
        <f>$B$61/$B$10</f>
        <v>320.0</v>
      </c>
      <c r="C62" s="20">
        <f>$C$61/$C$10</f>
        <v>168.75</v>
      </c>
      <c r="D62" s="20">
        <f>$D$61/$D$10</f>
        <v>87.5</v>
      </c>
    </row>
    <row r="63">
      <c r="A63" s="4" t="inlineStr">
        <is>
          <t>Equivalente por bebida (sin IVA)</t>
        </is>
      </c>
      <c r="B63" s="20">
        <f>$B$61/$B$30</f>
        <v>6.315789473684211</v>
      </c>
      <c r="C63" s="20">
        <f>$C$61/$C$30</f>
        <v>2.8125</v>
      </c>
      <c r="D63" s="20">
        <f>$D$61/$D$30</f>
        <v>3.5</v>
      </c>
    </row>
    <row r="64">
      <c r="A64" s="4" t="inlineStr">
        <is>
          <t>Desplazamiento aparte (ida y vuelta, sin margen)</t>
        </is>
      </c>
      <c r="B64" s="20">
        <f>IF($B$5='Calculadora'!$D$127,0,$B$19*2*$B$20)</f>
        <v>31.5</v>
      </c>
      <c r="C64" s="20">
        <f>IF($C$5='Calculadora'!$D$127,0,$C$19*2*$C$20)</f>
        <v>22.5</v>
      </c>
      <c r="D64" s="20">
        <f>IF($D$5='Calculadora'!$D$127,0,$D$19*2*$D$20)</f>
        <v>0.0</v>
      </c>
    </row>
    <row r="65">
      <c r="A65" s="4" t="inlineStr">
        <is>
          <t>Base imponible</t>
        </is>
      </c>
      <c r="B65" s="20">
        <f>$B$61+$B$64</f>
        <v>991.5</v>
      </c>
      <c r="C65" s="20">
        <f>$C$61+$C$64</f>
        <v>1372.5</v>
      </c>
      <c r="D65" s="20">
        <f>$D$61+$D$64</f>
        <v>875.0</v>
      </c>
    </row>
    <row r="66">
      <c r="A66" s="4" t="inlineStr">
        <is>
          <t>IVA</t>
        </is>
      </c>
      <c r="B66" s="20">
        <f>$B$65*$B$21</f>
        <v>99.15</v>
      </c>
      <c r="C66" s="20">
        <f>$C$65*$C$21</f>
        <v>137.25</v>
      </c>
      <c r="D66" s="20">
        <f>$D$65*$D$21</f>
        <v>87.5</v>
      </c>
    </row>
    <row r="67">
      <c r="A67" s="9" t="inlineStr">
        <is>
          <t>TOTAL DEL PRESUPUESTO (con IVA)</t>
        </is>
      </c>
      <c r="B67" s="30">
        <f>$B$65+$B$66</f>
        <v>1090.65</v>
      </c>
      <c r="C67" s="30">
        <f>$C$65+$C$66</f>
        <v>1509.75</v>
      </c>
      <c r="D67" s="30">
        <f>$D$65+$D$66</f>
        <v>962.5</v>
      </c>
    </row>
    <row r="68">
      <c r="A68" s="3" t="inlineStr">
        <is>
          <t>COBRO</t>
        </is>
      </c>
    </row>
    <row r="69">
      <c r="A69" s="4" t="inlineStr">
        <is>
          <t>Importe del cobro 1: señal al reservar</t>
        </is>
      </c>
      <c r="B69" s="20">
        <f>$B$67*INDEX('Calculadora'!$B$130:$D$130,MATCH($B$5,'Calculadora'!$B$127:$D$127,0))</f>
        <v>327.195</v>
      </c>
      <c r="C69" s="20">
        <f>$C$67*INDEX('Calculadora'!$B$130:$D$130,MATCH($C$5,'Calculadora'!$B$127:$D$127,0))</f>
        <v>452.925</v>
      </c>
      <c r="D69" s="20">
        <f>$D$67*INDEX('Calculadora'!$B$130:$D$130,MATCH($D$5,'Calculadora'!$B$127:$D$127,0))</f>
        <v>0.0</v>
      </c>
    </row>
    <row r="70">
      <c r="A70" s="4" t="inlineStr">
        <is>
          <t>Importe del cobro 2: resto antes del evento</t>
        </is>
      </c>
      <c r="B70" s="20">
        <f>$B$67*INDEX('Calculadora'!$B$131:$D$131,MATCH($B$5,'Calculadora'!$B$127:$D$127,0))</f>
        <v>763.455</v>
      </c>
      <c r="C70" s="20">
        <f>$C$67*INDEX('Calculadora'!$B$131:$D$131,MATCH($C$5,'Calculadora'!$B$127:$D$127,0))</f>
        <v>0.0</v>
      </c>
      <c r="D70" s="20">
        <f>$D$67*INDEX('Calculadora'!$B$131:$D$131,MATCH($D$5,'Calculadora'!$B$127:$D$127,0))</f>
        <v>0.0</v>
      </c>
    </row>
    <row r="71">
      <c r="A71" s="4" t="inlineStr">
        <is>
          <t>Importe del cobro 3: resto a 30 días de la factura</t>
        </is>
      </c>
      <c r="B71" s="20">
        <f>$B$67*INDEX('Calculadora'!$B$132:$D$132,MATCH($B$5,'Calculadora'!$B$127:$D$127,0))</f>
        <v>0.0</v>
      </c>
      <c r="C71" s="20">
        <f>$C$67*INDEX('Calculadora'!$B$132:$D$132,MATCH($C$5,'Calculadora'!$B$127:$D$127,0))</f>
        <v>1056.825</v>
      </c>
      <c r="D71" s="20">
        <f>$D$67*INDEX('Calculadora'!$B$132:$D$132,MATCH($D$5,'Calculadora'!$B$127:$D$127,0))</f>
        <v>0.0</v>
      </c>
    </row>
    <row r="72">
      <c r="A72" s="4" t="inlineStr">
        <is>
          <t>Importe del cobro 4: en el momento de la venta</t>
        </is>
      </c>
      <c r="B72" s="20">
        <f>$B$67*INDEX('Calculadora'!$B$133:$D$133,MATCH($B$5,'Calculadora'!$B$127:$D$127,0))</f>
        <v>0.0</v>
      </c>
      <c r="C72" s="20">
        <f>$C$67*INDEX('Calculadora'!$B$133:$D$133,MATCH($C$5,'Calculadora'!$B$127:$D$127,0))</f>
        <v>0.0</v>
      </c>
      <c r="D72" s="20">
        <f>$D$67*INDEX('Calculadora'!$B$133:$D$133,MATCH($D$5,'Calculadora'!$B$127:$D$127,0))</f>
        <v>962.5</v>
      </c>
    </row>
    <row r="73">
      <c r="A73" s="4" t="inlineStr">
        <is>
          <t>Canon del organizador sobre el subtotal</t>
        </is>
      </c>
      <c r="B73" s="20">
        <f>$B$61*$B$58</f>
        <v>0.0</v>
      </c>
      <c r="C73" s="20">
        <f>$C$61*$C$58</f>
        <v>0.0</v>
      </c>
      <c r="D73" s="20">
        <f>$D$61*$D$58</f>
        <v>131.25</v>
      </c>
    </row>
    <row r="74">
      <c r="A74" s="4" t="inlineStr">
        <is>
          <t>Margen bruto en euros</t>
        </is>
      </c>
      <c r="B74" s="20">
        <f>$B$61-$B$54-$B$73</f>
        <v>546.1000888888889</v>
      </c>
      <c r="C74" s="20">
        <f>$C$61-$C$54-$C$73</f>
        <v>722.326596491228</v>
      </c>
      <c r="D74" s="20">
        <f>$D$61-$D$54-$D$73</f>
        <v>234.5949562910713</v>
      </c>
    </row>
    <row r="75">
      <c r="A75" s="9" t="inlineStr">
        <is>
          <t>Margen bruto (calculado)</t>
        </is>
      </c>
      <c r="B75" s="22">
        <f>IF($B$61=0,0,$B$74/$B$61)</f>
        <v>0.5688542592592593</v>
      </c>
      <c r="C75" s="22">
        <f>IF($C$61=0,0,$C$74/$C$61)</f>
        <v>0.5350567381416503</v>
      </c>
      <c r="D75" s="22">
        <f>IF($D$61=0,0,$D$74/$D$61)</f>
        <v>0.26810852147551006</v>
      </c>
    </row>
    <row r="76">
      <c r="A76" s="3" t="inlineStr">
        <is>
          <t>CANCELACIÓN (tramos sin huecos)</t>
        </is>
      </c>
    </row>
    <row r="77" ht="64" customHeight="1">
      <c r="A77" s="4" t="inlineStr">
        <is>
          <t>Tramo que corresponde a los días elegidos</t>
        </is>
      </c>
      <c r="B77" s="2" t="str">
        <f>IF($B$24&gt;=INDEX('Calculadora'!$B$134:$D$134,MATCH($B$5,'Calculadora'!$B$127:$D$127,0)),INDEX('Calculadora'!$B$141:$D$141,MATCH($B$5,'Calculadora'!$B$127:$D$127,0)),IF($B$24&gt;=INDEX('Calculadora'!$B$135:$D$135,MATCH($B$5,'Calculadora'!$B$127:$D$127,0)),INDEX('Calculadora'!$B$142:$D$142,MATCH($B$5,'Calculadora'!$B$127:$D$127,0)),IF($B$24&gt;=INDEX('Calculadora'!$B$136:$D$136,MATCH($B$5,'Calculadora'!$B$127:$D$127,0)),INDEX('Calculadora'!$B$143:$D$143,MATCH($B$5,'Calculadora'!$B$127:$D$127,0)),INDEX('Calculadora'!$B$144:$D$144,MATCH($B$5,'Calculadora'!$B$127:$D$127,0)))))</f>
        <v>De 30 a menos de 60 días</v>
      </c>
      <c r="C77" s="2" t="str">
        <f>IF($C$24&gt;=INDEX('Calculadora'!$B$134:$D$134,MATCH($C$5,'Calculadora'!$B$127:$D$127,0)),INDEX('Calculadora'!$B$141:$D$141,MATCH($C$5,'Calculadora'!$B$127:$D$127,0)),IF($C$24&gt;=INDEX('Calculadora'!$B$135:$D$135,MATCH($C$5,'Calculadora'!$B$127:$D$127,0)),INDEX('Calculadora'!$B$142:$D$142,MATCH($C$5,'Calculadora'!$B$127:$D$127,0)),IF($C$24&gt;=INDEX('Calculadora'!$B$136:$D$136,MATCH($C$5,'Calculadora'!$B$127:$D$127,0)),INDEX('Calculadora'!$B$143:$D$143,MATCH($C$5,'Calculadora'!$B$127:$D$127,0)),INDEX('Calculadora'!$B$144:$D$144,MATCH($C$5,'Calculadora'!$B$127:$D$127,0)))))</f>
        <v>De 15 a menos de 30 días</v>
      </c>
      <c r="D77" s="2" t="str">
        <f>IF($D$24&gt;=INDEX('Calculadora'!$B$134:$D$134,MATCH($D$5,'Calculadora'!$B$127:$D$127,0)),INDEX('Calculadora'!$B$141:$D$141,MATCH($D$5,'Calculadora'!$B$127:$D$127,0)),IF($D$24&gt;=INDEX('Calculadora'!$B$135:$D$135,MATCH($D$5,'Calculadora'!$B$127:$D$127,0)),INDEX('Calculadora'!$B$142:$D$142,MATCH($D$5,'Calculadora'!$B$127:$D$127,0)),IF($D$24&gt;=INDEX('Calculadora'!$B$136:$D$136,MATCH($D$5,'Calculadora'!$B$127:$D$127,0)),INDEX('Calculadora'!$B$143:$D$143,MATCH($D$5,'Calculadora'!$B$127:$D$127,0)),INDEX('Calculadora'!$B$144:$D$144,MATCH($D$5,'Calculadora'!$B$127:$D$127,0)))))</f>
        <v>30 días o más</v>
      </c>
    </row>
    <row r="78">
      <c r="A78" s="4" t="inlineStr">
        <is>
          <t>Porcentaje que retienes en ese tramo</t>
        </is>
      </c>
      <c r="B78" s="23">
        <f>IF($B$24&gt;=INDEX('Calculadora'!$B$134:$D$134,MATCH($B$5,'Calculadora'!$B$127:$D$127,0)),INDEX('Calculadora'!$B$137:$D$137,MATCH($B$5,'Calculadora'!$B$127:$D$127,0)),IF($B$24&gt;=INDEX('Calculadora'!$B$135:$D$135,MATCH($B$5,'Calculadora'!$B$127:$D$127,0)),INDEX('Calculadora'!$B$138:$D$138,MATCH($B$5,'Calculadora'!$B$127:$D$127,0)),IF($B$24&gt;=INDEX('Calculadora'!$B$136:$D$136,MATCH($B$5,'Calculadora'!$B$127:$D$127,0)),INDEX('Calculadora'!$B$139:$D$139,MATCH($B$5,'Calculadora'!$B$127:$D$127,0)),INDEX('Calculadora'!$B$140:$D$140,MATCH($B$5,'Calculadora'!$B$127:$D$127,0)))))</f>
        <v>0.3</v>
      </c>
      <c r="C78" s="23">
        <f>IF($C$24&gt;=INDEX('Calculadora'!$B$134:$D$134,MATCH($C$5,'Calculadora'!$B$127:$D$127,0)),INDEX('Calculadora'!$B$137:$D$137,MATCH($C$5,'Calculadora'!$B$127:$D$127,0)),IF($C$24&gt;=INDEX('Calculadora'!$B$135:$D$135,MATCH($C$5,'Calculadora'!$B$127:$D$127,0)),INDEX('Calculadora'!$B$138:$D$138,MATCH($C$5,'Calculadora'!$B$127:$D$127,0)),IF($C$24&gt;=INDEX('Calculadora'!$B$136:$D$136,MATCH($C$5,'Calculadora'!$B$127:$D$127,0)),INDEX('Calculadora'!$B$139:$D$139,MATCH($C$5,'Calculadora'!$B$127:$D$127,0)),INDEX('Calculadora'!$B$140:$D$140,MATCH($C$5,'Calculadora'!$B$127:$D$127,0)))))</f>
        <v>0.3</v>
      </c>
      <c r="D78" s="23">
        <f>IF($D$24&gt;=INDEX('Calculadora'!$B$134:$D$134,MATCH($D$5,'Calculadora'!$B$127:$D$127,0)),INDEX('Calculadora'!$B$137:$D$137,MATCH($D$5,'Calculadora'!$B$127:$D$127,0)),IF($D$24&gt;=INDEX('Calculadora'!$B$135:$D$135,MATCH($D$5,'Calculadora'!$B$127:$D$127,0)),INDEX('Calculadora'!$B$138:$D$138,MATCH($D$5,'Calculadora'!$B$127:$D$127,0)),IF($D$24&gt;=INDEX('Calculadora'!$B$136:$D$136,MATCH($D$5,'Calculadora'!$B$127:$D$127,0)),INDEX('Calculadora'!$B$139:$D$139,MATCH($D$5,'Calculadora'!$B$127:$D$127,0)),INDEX('Calculadora'!$B$140:$D$140,MATCH($D$5,'Calculadora'!$B$127:$D$127,0)))))</f>
        <v>0.0</v>
      </c>
    </row>
    <row r="79">
      <c r="A79" s="4" t="inlineStr">
        <is>
          <t>Importe que retienes si cancela ese día (en el último tramo, antes de descontar los costes que te ahorras)</t>
        </is>
      </c>
      <c r="B79" s="20">
        <f>$B$67*$B$78</f>
        <v>327.195</v>
      </c>
      <c r="C79" s="20">
        <f>$C$67*$C$78</f>
        <v>452.925</v>
      </c>
      <c r="D79" s="20">
        <f>$D$67*$D$78</f>
        <v>0.0</v>
      </c>
    </row>
    <row r="80">
      <c r="A80" s="4" t="inlineStr">
        <is>
          <t>Importe retenido: tramo 1 (el más lejano)</t>
        </is>
      </c>
      <c r="B80" s="20">
        <f>$B$67*INDEX('Calculadora'!$B$137:$D$137,MATCH($B$5,'Calculadora'!$B$127:$D$127,0))</f>
        <v>109.06500000000001</v>
      </c>
      <c r="C80" s="20">
        <f>$C$67*INDEX('Calculadora'!$B$137:$D$137,MATCH($C$5,'Calculadora'!$B$127:$D$127,0))</f>
        <v>150.975</v>
      </c>
      <c r="D80" s="20">
        <f>$D$67*INDEX('Calculadora'!$B$137:$D$137,MATCH($D$5,'Calculadora'!$B$127:$D$127,0))</f>
        <v>0.0</v>
      </c>
    </row>
    <row r="81">
      <c r="A81" s="4" t="inlineStr">
        <is>
          <t>Importe retenido: tramo 2</t>
        </is>
      </c>
      <c r="B81" s="20">
        <f>$B$67*INDEX('Calculadora'!$B$138:$D$138,MATCH($B$5,'Calculadora'!$B$127:$D$127,0))</f>
        <v>327.195</v>
      </c>
      <c r="C81" s="20">
        <f>$C$67*INDEX('Calculadora'!$B$138:$D$138,MATCH($C$5,'Calculadora'!$B$127:$D$127,0))</f>
        <v>452.925</v>
      </c>
      <c r="D81" s="20">
        <f>$D$67*INDEX('Calculadora'!$B$138:$D$138,MATCH($D$5,'Calculadora'!$B$127:$D$127,0))</f>
        <v>0.0</v>
      </c>
    </row>
    <row r="82">
      <c r="A82" s="4" t="inlineStr">
        <is>
          <t>Importe retenido: tramo 3</t>
        </is>
      </c>
      <c r="B82" s="20">
        <f>$B$67*INDEX('Calculadora'!$B$139:$D$139,MATCH($B$5,'Calculadora'!$B$127:$D$127,0))</f>
        <v>654.39</v>
      </c>
      <c r="C82" s="20">
        <f>$C$67*INDEX('Calculadora'!$B$139:$D$139,MATCH($C$5,'Calculadora'!$B$127:$D$127,0))</f>
        <v>905.85</v>
      </c>
      <c r="D82" s="20">
        <f>$D$67*INDEX('Calculadora'!$B$139:$D$139,MATCH($D$5,'Calculadora'!$B$127:$D$127,0))</f>
        <v>0.0</v>
      </c>
    </row>
    <row r="83">
      <c r="A83" s="4" t="inlineStr">
        <is>
          <t>Importe retenido: tramo 4 (el más cercano o no presentación)</t>
        </is>
      </c>
      <c r="B83" s="20">
        <f>$B$67*INDEX('Calculadora'!$B$140:$D$140,MATCH($B$5,'Calculadora'!$B$127:$D$127,0))</f>
        <v>1090.65</v>
      </c>
      <c r="C83" s="20">
        <f>$C$67*INDEX('Calculadora'!$B$140:$D$140,MATCH($C$5,'Calculadora'!$B$127:$D$127,0))</f>
        <v>1509.75</v>
      </c>
      <c r="D83" s="20">
        <f>$D$67*INDEX('Calculadora'!$B$140:$D$140,MATCH($D$5,'Calculadora'!$B$127:$D$127,0))</f>
        <v>0.0</v>
      </c>
    </row>
    <row r="84">
      <c r="A84" s="3" t="inlineStr">
        <is>
          <t>FERIA: PREVISIÓN DE LA JORNADA (solo si el cliente es Feria)</t>
        </is>
      </c>
    </row>
    <row r="85">
      <c r="A85" s="4" t="inlineStr">
        <is>
          <t>Coste variable por taza (bebida + dulce)</t>
        </is>
      </c>
      <c r="B85" s="20">
        <f>($B$48+$B$49)/$B$6</f>
        <v>1.1438325925925927</v>
      </c>
      <c r="C85" s="20">
        <f>($C$48+$C$49)/$C$6</f>
        <v>0.9395780116959067</v>
      </c>
      <c r="D85" s="20">
        <f>($D$48+$D$49)/$D$6</f>
        <v>0.7027001748357149</v>
      </c>
    </row>
    <row r="86">
      <c r="A86" s="4" t="inlineStr">
        <is>
          <t>Venta prevista (tazas × precio medio, sin IVA)</t>
        </is>
      </c>
      <c r="B86" s="20">
        <f>IF($B$5='Calculadora'!$D$127,$B$6*$B$22,0)</f>
        <v>0.0</v>
      </c>
      <c r="C86" s="20">
        <f>IF($C$5='Calculadora'!$D$127,$C$6*$C$22,0)</f>
        <v>0.0</v>
      </c>
      <c r="D86" s="20">
        <f>IF($D$5='Calculadora'!$D$127,$D$6*$D$22,0)</f>
        <v>750.0</v>
      </c>
    </row>
    <row r="87">
      <c r="A87" s="4" t="inlineStr">
        <is>
          <t>Canon del organizador (% de la venta + cuota fija)</t>
        </is>
      </c>
      <c r="B87" s="20">
        <f>IF($B$5='Calculadora'!$D$127,$B$86*$B$58+$B$23,0)</f>
        <v>0.0</v>
      </c>
      <c r="C87" s="20">
        <f>IF($C$5='Calculadora'!$D$127,$C$86*$C$58+$C$23,0)</f>
        <v>0.0</v>
      </c>
      <c r="D87" s="20">
        <f>IF($D$5='Calculadora'!$D$127,$D$86*$D$58+$D$23,0)</f>
        <v>112.5</v>
      </c>
    </row>
    <row r="88">
      <c r="A88" s="4" t="inlineStr">
        <is>
          <t>Resultado de la jornada (venta − canon − coste)</t>
        </is>
      </c>
      <c r="B88" s="20">
        <f>IF($B$5='Calculadora'!$D$127,$B$86-$B$87-$B$54,0)</f>
        <v>0.0</v>
      </c>
      <c r="C88" s="20">
        <f>IF($C$5='Calculadora'!$D$127,$C$86-$C$87-$C$54,0)</f>
        <v>0.0</v>
      </c>
      <c r="D88" s="20">
        <f>IF($D$5='Calculadora'!$D$127,$D$86-$D$87-$D$54,0)</f>
        <v>128.3449562910713</v>
      </c>
    </row>
    <row r="89">
      <c r="A89" s="4" t="inlineStr">
        <is>
          <t>Tazas para cubrir los costes de la jornada</t>
        </is>
      </c>
      <c r="B89" s="29">
        <f>IF($B$5='Calculadora'!$D$127,IF($B$22*(1-$B$58)-$B$85&lt;=0,0,ROUNDUP(($B$50+$B$51+$B$52+$B$53+$B$23)/($B$22*(1-$B$58)-$B$85),0)),0)</f>
        <v>0.0</v>
      </c>
      <c r="C89" s="29">
        <f>IF($C$5='Calculadora'!$D$127,IF($C$22*(1-$C$58)-$C$85&lt;=0,0,ROUNDUP(($C$50+$C$51+$C$52+$C$53+$C$23)/($C$22*(1-$C$58)-$C$85),0)),0)</f>
        <v>0.0</v>
      </c>
      <c r="D89" s="29">
        <f>IF($D$5='Calculadora'!$D$127,IF($D$22*(1-$D$58)-$D$85&lt;=0,0,ROUNDUP(($D$50+$D$51+$D$52+$D$53+$D$23)/($D$22*(1-$D$58)-$D$85),0)),0)</f>
        <v>181.0</v>
      </c>
    </row>
    <row r="91">
      <c r="A91" s="3" t="inlineStr">
        <is>
          <t>QUÉ ENSEÑA CADA EJEMPLO</t>
        </is>
      </c>
    </row>
    <row r="92" ht="75" customHeight="1">
      <c r="A92" s="24" t="inlineStr">
        <is>
          <t>Boda con barra tras la cena</t>
        </is>
      </c>
      <c r="B92" s="2" t="inlineStr">
        <is>
          <t>Particular, 120 invitados (la boda del caso del plan financiero), barra de dos a cuatro horas tras la cena en loza, con un dulce de 0,40 € por invitado. El precio con IVA es el que ve el particular; cobro del 30 % al reservar y el 70 % siete días antes. Con 45 días de margen, si cancela retienes el 30 %. Dos baristas en una cafetera y un enchufe de 16 A: la cafetera de 3,5 kW cabe.</t>
        </is>
      </c>
    </row>
    <row r="93" ht="60" customHeight="1">
      <c r="A93" s="24" t="inlineStr">
        <is>
          <t>Congreso con dos pausas de café</t>
        </is>
      </c>
      <c r="B93" s="2" t="inlineStr">
        <is>
          <t>Empresa, 300 asistentes, jornada de 8 horas con dos pausas (1,6 bebidas por asistente, mezcla del caso), loza y toma dedicada. El precio se presupuesta «+ IVA»; cobro del 30 % al firmar y el 70 % a 30 días de la factura. Con 20 días de margen el tramo es el segundo y retienes el 30 %.</t>
        </is>
      </c>
    </row>
    <row r="94" ht="60" customHeight="1">
      <c r="A94" s="24" t="inlineStr">
        <is>
          <t>Jornada de feria con venta directa</t>
        </is>
      </c>
      <c r="B94" s="2" t="inlineStr">
        <is>
          <t>Feria: 250 tazas en una jornada de 10 horas, vaso de un solo uso (con su precio aparte en el tique), generador y canon del 15 % del organizador. El «precio por invitado» es el precio mínimo por taza; con un precio medio de 3,00 € la jornada deja unos 128 € antes de costes fijos, y por debajo de 181 tazas pierdes.</t>
        </is>
      </c>
    </row>
  </sheetData>
  <sheetProtection selectLockedCells="0" selectUnlockedCells="0" sheet="1" objects="0" insertRows="1" insertHyperlinks="1" autoFilter="1" scenarios="0" formatColumns="1" deleteColumns="1" insertColumns="1" pivotTables="1" deleteRows="1" formatCells="1" formatRows="1" sort="1"/>
  <mergeCells count="4">
    <mergeCell ref="B92:D92"/>
    <mergeCell ref="B93:D93"/>
    <mergeCell ref="A2:D2"/>
    <mergeCell ref="B94:D94"/>
  </mergeCells>
  <printOptions horizontalCentered="1"/>
  <pageMargins left="0.75" right="0.75" top="1" bottom="1" header="0.5" footer="0.5"/>
  <pageSetup orientation="landscape" paperSize="9" fitToHeight="0" fitToWidth="1"/>
  <headerFooter>
    <oddHeader/>
    <oddFooter>&amp;Caichef.pro/plan-negocio-cafeteria-movil-eventos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37"/>
  <sheetViews>
    <sheetView showGridLines="0" workbookViewId="0">
      <selection activeCell="A1" sqref="A1"/>
    </sheetView>
  </sheetViews>
  <sheetFormatPr baseColWidth="8" defaultRowHeight="15"/>
  <cols>
    <col width="110" customWidth="1" min="1" max="1"/>
  </cols>
  <sheetData>
    <row r="1">
      <c r="A1" s="35" t="inlineStr">
        <is>
          <t>INSTRUCCIONES DE USO — Calculadora de escandallo y presupuesto de cafetería móvil para eventos</t>
        </is>
      </c>
    </row>
    <row r="2" ht="45" customHeight="1">
      <c r="A2" s="2" t="inlineStr">
        <is>
          <t>Convierte el coste de tus bebidas en un precio por invitado y en un presupuesto completo: baristas, cafeteras, molinos, kilos de café, litros de leche, vasos, potencia eléctrica y agua, subtotal, IVA, total, cobro por pagos y lo que retienes si el cliente cancela. Sólo se escribe en las celdas VERDES; el margen se calcula.</t>
        </is>
      </c>
    </row>
    <row r="3">
      <c r="A3" s="24" t="inlineStr">
        <is>
          <t>HOJA «ESCANDALLO»</t>
        </is>
      </c>
    </row>
    <row r="5" ht="45" customHeight="1">
      <c r="A5" s="2" t="inlineStr">
        <is>
          <t>1. Escribe el precio sin IVA y la merma de cada insumo (café, leches, cacao, chai, sirope, té, azúcar, vasos, tapa, removedor y servilleta) y los gramos, mililitros o unidades de cada bebida. El café se calcula con los dobles por bebida y los gramos por doble.</t>
        </is>
      </c>
    </row>
    <row r="6" ht="45" customHeight="1">
      <c r="A6" s="2" t="inlineStr">
        <is>
          <t>2. Para cada bebida ves el coste de producto, el coste con envase, el precio sin IVA, el food cost con semáforo, el margen y el precio de carta que necesitarías para llegar a tu objetivo. La mezcla de ventas tiene que sumar el cien por cien: la hoja lo avisa.</t>
        </is>
      </c>
    </row>
    <row r="7" ht="30" customHeight="1">
      <c r="A7" s="2" t="inlineStr">
        <is>
          <t>3. El coste de UNA bebida de esta hoja no es el «coste de bebida» del plan financiero: aquel es la media de la mezcla con la merma (purga, calibrado y leche sobrante), no una receta. No copies uno en el otro.</t>
        </is>
      </c>
    </row>
    <row r="8">
      <c r="A8" s="24" t="inlineStr">
        <is>
          <t>HOJA «CALCULADORA»</t>
        </is>
      </c>
    </row>
    <row r="10" ht="30" customHeight="1">
      <c r="A10" s="2" t="inlineStr">
        <is>
          <t>4. Elige el cliente (Particular, Empresa o Feria), los invitados, el formato (bebidas por invitado según las horas), el horario y el servicio en loza o en vaso de un solo uso. En Feria, los invitados son las tazas que esperas vender.</t>
        </is>
      </c>
    </row>
    <row r="11" ht="45" customHeight="1">
      <c r="A11" s="2" t="inlineStr">
        <is>
          <t>5. La tabla de escalado del final da baristas, cafeteras de dos grupos, molinos, kilos de café, litros de leche, vasos o tazas, potencia, toma eléctrica y agua. Es la misma que figura en las Instrucciones del plan financiero y en el plan de negocio.</t>
        </is>
      </c>
    </row>
    <row r="12" ht="30" customHeight="1">
      <c r="A12" s="2" t="inlineStr">
        <is>
          <t>6. Escribe las horas de servicio y las horas fuera del servicio (carga, viaje, montaje y limpieza), el coste bruto por hora y la Seguridad Social. Si cobras tú de barista, cuéntate a precio de hora: es tu coste de oportunidad.</t>
        </is>
      </c>
    </row>
    <row r="13" ht="45" customHeight="1">
      <c r="A13" s="2" t="inlineStr">
        <is>
          <t>7. El precio por invitado es el coste directo dividido entre (1 − margen − canon), redondeado a los 0,50 € de arriba. Verás también su equivalente por hora de barra y por bebida, para comparar con las tarifas por hora o por consumición que te pidan.</t>
        </is>
      </c>
    </row>
    <row r="14" ht="45" customHeight="1">
      <c r="A14" s="2" t="inlineStr">
        <is>
          <t>8. A una empresa se le presupuesta el precio SIN IVA («+ IVA»); a un particular, el precio CON IVA, porque en una oferta a consumidores el precio va con los impuestos incluidos. El desplazamiento va en línea aparte, ida y vuelta y sin margen.</t>
        </is>
      </c>
    </row>
    <row r="15">
      <c r="A15" s="24" t="inlineStr">
        <is>
          <t>ELECTRICIDAD</t>
        </is>
      </c>
    </row>
    <row r="17" ht="60" customHeight="1">
      <c r="A17" s="2" t="inlineStr">
        <is>
          <t>Una cafetera de dos grupos gasta de 2,4 a 4,5 kW. Un enchufe de 16 A a 230 V da unos 3,7 kW: con una máquina de 3,5 kW o menos cabe; si no, hace falta toma dedicada o un generador inverter (o baterías de litio con inversor). Los molinos, la nevera y la iluminación van aparte: déjales margen. La hoja te avisa cuando el enchufe no basta, y el contrato del kit pide la toma por escrito.</t>
        </is>
      </c>
    </row>
    <row r="18">
      <c r="A18" s="24" t="inlineStr">
        <is>
          <t>IVA, VASOS Y COBROS</t>
        </is>
      </c>
    </row>
    <row r="20" ht="75" customHeight="1">
      <c r="A20" s="2" t="inlineStr">
        <is>
          <t>La bebida para consumir en el acto o para llevar va al 10 % de IVA (Ley 37/1992, art. 91). Los extras con precio propio (personalización de máquina o stand, vasos con logo, talleres) van al 21 %. En loza no hay vaso de plástico; el vaso de papel con forro de PE o PLA («compostable») es plástico a efectos de la Ley 7/2022 (arts. 2 y 55) y se cobra aparte en el tique. Pajitas y agitadores de plástico, prohibidos. En ferias y festivales, el organizador puede imponer su sistema de vaso reutilizable (RD 1055/2022, art. 7).</t>
        </is>
      </c>
    </row>
    <row r="21" ht="45" customHeight="1">
      <c r="A21" s="2" t="inlineStr">
        <is>
          <t>La propina voluntaria es del equipo: no entra en el precio, en la base imponible ni en el total. Los pagos en efectivo con particulares solo valen por debajo de 1.000 €: la ley prohíbe pagar en efectivo 1.000 € o más (art. 7 de la Ley 7/2012).</t>
        </is>
      </c>
    </row>
    <row r="22">
      <c r="A22" s="24" t="inlineStr">
        <is>
          <t>COBRO Y CANCELACIÓN</t>
        </is>
      </c>
    </row>
    <row r="24" ht="30" customHeight="1">
      <c r="A24" s="2" t="inlineStr">
        <is>
          <t>Particular: 30 % de señal al reservar (a cuenta del precio) y 70 % siete días antes del evento. Empresa: 30 % de señal y 70 % a 30 días de la factura. Feria: cobro en el acto. Emite factura de cada pago, también de la señal.</t>
        </is>
      </c>
    </row>
    <row r="25" ht="105" customHeight="1">
      <c r="A25" s="2" t="inlineStr">
        <is>
          <t>Cancelación, sobre el total, por tramos «de X a menos de Y» sin huecos. Particular: con 60 días o más retienes el 10 %; de 30 a menos de 60 días, el 30 %; de 7 a menos de 30 días, el 60 %; con menos de 7 días, el 100 % menos los costes que te ahorras (consumibles, café y leche sin gastar, refuerzo y desplazamiento). Empresa: con 30 días o más, el 10 %; de 15 a menos de 30 días, el 30 %; de 7 a menos de 15 días, el 60 %; con menos de 7 días, igual que Particular. Es recíproco: si cancela la cafetería, devuelve lo cobrado y paga lo del mismo tramo. Si cambias un corte en la tabla, los tramos se reescriben solos. En un servicio con fecha no hay derecho de desistimiento en la contratación a distancia (art. 103.l del TRLGDCU): por eso la política tiene que estar firmada.</t>
        </is>
      </c>
    </row>
    <row r="26">
      <c r="A26" s="24" t="inlineStr">
        <is>
          <t>FERIA</t>
        </is>
      </c>
    </row>
    <row r="28" ht="60" customHeight="1">
      <c r="A28" s="2" t="inlineStr">
        <is>
          <t>La venta directa en mercados y ferias depende de la autorización municipal y del canon del organizador. La hoja calcula la venta (tazas × precio medio), el canon (porcentaje más cuota fija), el resultado de la jornada y las tazas que necesitas para cubrir los costes. El «precio por invitado» de esa columna es el precio mínimo por taza que cubre coste, canon y margen.</t>
        </is>
      </c>
    </row>
    <row r="29">
      <c r="A29" s="24" t="inlineStr">
        <is>
          <t>ESTIMACIONES DEL KIT</t>
        </is>
      </c>
    </row>
    <row r="31" ht="60" customHeight="1">
      <c r="A31" s="2" t="inlineStr">
        <is>
          <t>Los valores por defecto y los tres ejemplos son estimaciones del kit para ilustrar el cálculo, no precios de mercado. El consumo de bebidas por invitado, la capacidad por barista y el agua usan ratios de EE. UU. y no tienen fuente española: sustitúyelos por tus mediciones. Cambia los precios por los de tu tostador y tus proveedores, los salarios por tu convenio y los kilómetros por los tuyos antes de presupuestar.</t>
        </is>
      </c>
    </row>
    <row r="32" ht="30" customHeight="1">
      <c r="A32" s="2" t="inlineStr">
        <is>
          <t>Fuentes: investigación de AI Chef Pro (octubre 2026); Ley 37/1992 del IVA, art. 91; Ley 7/2022, arts. 2, 55 y 56; RD 1055/2022, art. 7; TRLGDCU, arts. 85, 87 y 103.</t>
        </is>
      </c>
    </row>
    <row r="34">
      <c r="A34" s="2" t="inlineStr">
        <is>
          <t>Para editar una celda que no esté en verde: Revisar → Desproteger hoja (no tiene contraseña).</t>
        </is>
      </c>
    </row>
    <row r="35">
      <c r="A35" s="2" t="inlineStr">
        <is>
          <t>Más plantillas y kits del catálogo en aichef.pro/productos-digitales</t>
        </is>
      </c>
    </row>
    <row r="36">
      <c r="A36" s="2" t="inlineStr">
        <is>
          <t>Diseñado por John Guerrero — chef y consultor gastronómico desde 2010, en cocina desde los 17 años · johnguerrero.es</t>
        </is>
      </c>
    </row>
    <row r="37">
      <c r="A37" s="2" t="inlineStr">
        <is>
          <t>Versión 1.0 · octubre 2026 · aichef.pro/plan-negocio-cafeteria-movil-eventos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&amp;Caichef.pro/plan-negocio-cafeteria-movil-eventos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escandallo y presupuesto de cafetería móvil para eventos · v1.0</dc:title>
  <dc:description xmlns:dc="http://purl.org/dc/elements/1.1/">aichef.pro/plan-negocio-cafeteria-movil-eventos</dc:description>
  <dc:subject xmlns:dc="http://purl.org/dc/elements/1.1/">Plan de Negocio: Cafetería Móvil para Eventos</dc:subject>
  <dcterms:created xmlns:dcterms="http://purl.org/dc/terms/" xmlns:xsi="http://www.w3.org/2001/XMLSchema-instance" xsi:type="dcterms:W3CDTF">2026-10-28T18:38:55Z</dcterms:created>
  <dcterms:modified xmlns:dcterms="http://purl.org/dc/terms/" xmlns:xsi="http://www.w3.org/2001/XMLSchema-instance" xsi:type="dcterms:W3CDTF">2026-10-28T18:38:55Z</dcterms:modified>
  <cp:lastModifiedBy>AI Chef Pro</cp:lastModifiedBy>
  <cp:keywords>plan negocio cafetería móvil eventos, AI Chef Pro</cp:keywords>
</cp:coreProperties>
</file>