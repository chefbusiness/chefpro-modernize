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Supuestos" sheetId="1" state="visible" r:id="rId1"/>
    <sheet xmlns:r="http://schemas.openxmlformats.org/officeDocument/2006/relationships" name="Inversión Inicial" sheetId="2" state="visible" r:id="rId2"/>
    <sheet xmlns:r="http://schemas.openxmlformats.org/officeDocument/2006/relationships" name="PyG 3 Años" sheetId="3" state="visible" r:id="rId3"/>
    <sheet xmlns:r="http://schemas.openxmlformats.org/officeDocument/2006/relationships" name="Punto Equilibrio" sheetId="4" state="visible" r:id="rId4"/>
    <sheet xmlns:r="http://schemas.openxmlformats.org/officeDocument/2006/relationships" name="Escenarios" sheetId="5" state="visible" r:id="rId5"/>
    <sheet xmlns:r="http://schemas.openxmlformats.org/officeDocument/2006/relationships" name="Personal" sheetId="6" state="visible" r:id="rId6"/>
    <sheet xmlns:r="http://schemas.openxmlformats.org/officeDocument/2006/relationships" name="Instrucciones" sheetId="7" state="visible" r:id="rId7"/>
    <sheet xmlns:r="http://schemas.openxmlformats.org/officeDocument/2006/relationships" name="Tesorería 12 meses" sheetId="8" state="visible" r:id="rId8"/>
    <sheet xmlns:r="http://schemas.openxmlformats.org/officeDocument/2006/relationships" name="Financiación" sheetId="9" state="visible" r:id="rId9"/>
  </sheets>
  <definedNames>
    <definedName name="_xlnm.Print_Titles" localSheetId="1">'Inversión Inicial'!$5:$5</definedName>
    <definedName name="_xlnm.Print_Titles" localSheetId="2">'PyG 3 Años'!$4:$4</definedName>
    <definedName name="_xlnm.Print_Titles" localSheetId="3">'Punto Equilibrio'!$4:$4</definedName>
    <definedName name="_xlnm.Print_Titles" localSheetId="4">'Escenarios'!$4:$4</definedName>
    <definedName name="_xlnm.Print_Titles" localSheetId="5">'Personal'!$4:$4</definedName>
    <definedName name="_xlnm.Print_Titles" localSheetId="7">'Tesorería 12 meses'!$4:$4</definedName>
    <definedName name="_xlnm.Print_Titles" localSheetId="8">'Financiación'!$4:$4</definedName>
  </definedNames>
  <calcPr calcId="124519" fullCalcOnLoad="1"/>
</workbook>
</file>

<file path=xl/styles.xml><?xml version="1.0" encoding="utf-8"?>
<styleSheet xmlns="http://schemas.openxmlformats.org/spreadsheetml/2006/main">
  <numFmts count="4">
    <numFmt numFmtId="164" formatCode="#,##0 €"/>
    <numFmt numFmtId="165" formatCode="#,##0.00 €"/>
    <numFmt numFmtId="166" formatCode="0.0%"/>
    <numFmt numFmtId="167" formatCode="#,##0.0"/>
  </numFmts>
  <fonts count="13">
    <font>
      <name val="Calibri"/>
      <family val="2"/>
      <color theme="1"/>
      <sz val="11"/>
      <scheme val="minor"/>
    </font>
    <font>
      <name val="Georgia"/>
      <b val="1"/>
      <color rgb="001A1A1A"/>
      <sz val="16"/>
    </font>
    <font>
      <name val="Georgia"/>
      <b val="1"/>
      <color rgb="001A1A1A"/>
      <sz val="13"/>
    </font>
    <font>
      <name val="Calibri"/>
      <i val="1"/>
      <color rgb="006B6B6B"/>
      <sz val="9"/>
    </font>
    <font>
      <name val="Calibri"/>
      <b val="1"/>
      <color rgb="00FFFFFF"/>
      <sz val="10"/>
    </font>
    <font>
      <name val="Calibri"/>
      <color rgb="001A1A1A"/>
      <sz val="10"/>
    </font>
    <font>
      <name val="Georgia"/>
      <b val="1"/>
      <color rgb="00C6A664"/>
      <sz val="11"/>
    </font>
    <font>
      <name val="Georgia"/>
      <b val="1"/>
      <color rgb="001A1A1A"/>
      <sz val="11"/>
    </font>
    <font>
      <b val="1"/>
      <color theme="1"/>
      <sz val="11"/>
    </font>
    <font/>
    <font>
      <b val="1"/>
    </font>
    <font>
      <b val="1"/>
      <sz val="11"/>
    </font>
    <font>
      <color theme="1"/>
      <sz val="11"/>
    </font>
  </fonts>
  <fills count="5">
    <fill>
      <patternFill/>
    </fill>
    <fill>
      <patternFill patternType="gray125"/>
    </fill>
    <fill>
      <patternFill patternType="solid">
        <fgColor rgb="001A1A1A"/>
        <bgColor rgb="001A1A1A"/>
      </patternFill>
    </fill>
    <fill>
      <patternFill patternType="solid">
        <fgColor rgb="00F5F0E8"/>
        <bgColor rgb="00F5F0E8"/>
      </patternFill>
    </fill>
    <fill>
      <patternFill patternType="solid">
        <fgColor rgb="00E8F5E9"/>
      </patternFill>
    </fill>
  </fills>
  <borders count="4">
    <border>
      <left/>
      <right/>
      <top/>
      <bottom/>
      <diagonal/>
    </border>
    <border>
      <bottom style="thin">
        <color rgb="00F5F0E8"/>
      </bottom>
    </border>
    <border>
      <bottom style="medium">
        <color rgb="00C6A664"/>
      </bottom>
    </border>
    <border/>
  </borders>
  <cellStyleXfs count="1">
    <xf numFmtId="0" fontId="0" fillId="0" borderId="0"/>
  </cellStyleXfs>
  <cellXfs count="7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xf>
    <xf numFmtId="0" fontId="5" fillId="0" borderId="1" pivotButton="0" quotePrefix="0" xfId="0"/>
    <xf numFmtId="164" fontId="5" fillId="0" borderId="1" applyAlignment="1" pivotButton="0" quotePrefix="0" xfId="0">
      <alignment horizontal="right" vertical="center"/>
    </xf>
    <xf numFmtId="0" fontId="5" fillId="3" borderId="1" pivotButton="0" quotePrefix="0" xfId="0"/>
    <xf numFmtId="164" fontId="5" fillId="3" borderId="1" applyAlignment="1" pivotButton="0" quotePrefix="0" xfId="0">
      <alignment horizontal="right" vertical="center"/>
    </xf>
    <xf numFmtId="0" fontId="6" fillId="0" borderId="2" pivotButton="0" quotePrefix="0" xfId="0"/>
    <xf numFmtId="164" fontId="6" fillId="0" borderId="2" applyAlignment="1" pivotButton="0" quotePrefix="0" xfId="0">
      <alignment horizontal="right" vertical="center"/>
    </xf>
    <xf numFmtId="0" fontId="7" fillId="3" borderId="0" pivotButton="0" quotePrefix="0" xfId="0"/>
    <xf numFmtId="0" fontId="5" fillId="3" borderId="1" applyAlignment="1" pivotButton="0" quotePrefix="0" xfId="0">
      <alignment horizontal="right" vertical="center"/>
    </xf>
    <xf numFmtId="0" fontId="5" fillId="0" borderId="1" applyAlignment="1" pivotButton="0" quotePrefix="0" xfId="0">
      <alignment horizontal="right" vertical="center"/>
    </xf>
    <xf numFmtId="0" fontId="5" fillId="0" borderId="1" applyAlignment="1" pivotButton="0" quotePrefix="0" xfId="0">
      <alignment horizontal="center" vertical="center"/>
    </xf>
    <xf numFmtId="0" fontId="5" fillId="3" borderId="1" applyAlignment="1" pivotButton="0" quotePrefix="0" xfId="0">
      <alignment horizontal="center" vertical="center"/>
    </xf>
    <xf numFmtId="0" fontId="8" fillId="0" borderId="0" pivotButton="0" quotePrefix="0" xfId="0"/>
    <xf numFmtId="0" fontId="0" fillId="0" borderId="0" applyAlignment="1" pivotButton="0" quotePrefix="0" xfId="0">
      <alignment horizontal="general" vertical="top" wrapText="1"/>
    </xf>
    <xf numFmtId="3" fontId="0" fillId="4" borderId="0" applyProtection="1" pivotButton="0" quotePrefix="0" xfId="0">
      <protection locked="0" hidden="0"/>
    </xf>
    <xf numFmtId="165" fontId="0" fillId="4" borderId="0" applyProtection="1" pivotButton="0" quotePrefix="0" xfId="0">
      <protection locked="0" hidden="0"/>
    </xf>
    <xf numFmtId="166" fontId="0" fillId="4" borderId="0" applyProtection="1" pivotButton="0" quotePrefix="0" xfId="0">
      <protection locked="0" hidden="0"/>
    </xf>
    <xf numFmtId="165" fontId="0" fillId="0" borderId="0" pivotButton="0" quotePrefix="0" xfId="0"/>
    <xf numFmtId="166" fontId="0" fillId="0" borderId="0" pivotButton="0" quotePrefix="0" xfId="0"/>
    <xf numFmtId="164" fontId="0" fillId="4" borderId="0" applyProtection="1" pivotButton="0" quotePrefix="0" xfId="0">
      <protection locked="0" hidden="0"/>
    </xf>
    <xf numFmtId="4" fontId="0" fillId="4" borderId="0" applyProtection="1" pivotButton="0" quotePrefix="0" xfId="0">
      <protection locked="0" hidden="0"/>
    </xf>
    <xf numFmtId="0" fontId="10" fillId="0" borderId="3" pivotButton="0" quotePrefix="0" xfId="0"/>
    <xf numFmtId="164" fontId="10" fillId="0" borderId="3" pivotButton="0" quotePrefix="0" xfId="0"/>
    <xf numFmtId="166" fontId="10" fillId="0" borderId="3" pivotButton="0" quotePrefix="0" xfId="0"/>
    <xf numFmtId="0" fontId="9" fillId="0" borderId="3" pivotButton="0" quotePrefix="0" xfId="0"/>
    <xf numFmtId="164" fontId="9" fillId="4" borderId="3" applyProtection="1" pivotButton="0" quotePrefix="0" xfId="0">
      <protection locked="0" hidden="0"/>
    </xf>
    <xf numFmtId="166" fontId="9" fillId="0" borderId="3" pivotButton="0" quotePrefix="0" xfId="0"/>
    <xf numFmtId="0" fontId="9" fillId="4" borderId="3" applyProtection="1" pivotButton="0" quotePrefix="0" xfId="0">
      <protection locked="0" hidden="0"/>
    </xf>
    <xf numFmtId="164" fontId="9" fillId="0" borderId="3" pivotButton="0" quotePrefix="0" xfId="0"/>
    <xf numFmtId="164" fontId="11" fillId="0" borderId="0" pivotButton="0" quotePrefix="0" xfId="0"/>
    <xf numFmtId="166" fontId="11" fillId="0" borderId="0" pivotButton="0" quotePrefix="0" xfId="0"/>
    <xf numFmtId="0" fontId="12" fillId="0" borderId="0" pivotButton="0" quotePrefix="0" xfId="0"/>
    <xf numFmtId="164" fontId="0" fillId="0" borderId="0" pivotButton="0" quotePrefix="0" xfId="0"/>
    <xf numFmtId="0" fontId="11" fillId="0" borderId="0" pivotButton="0" quotePrefix="0" xfId="0"/>
    <xf numFmtId="0" fontId="1" fillId="0" borderId="0" applyAlignment="1" pivotButton="0" quotePrefix="0" xfId="0">
      <alignment horizontal="left" vertical="top" wrapText="1"/>
    </xf>
    <xf numFmtId="0" fontId="10" fillId="0" borderId="3" applyAlignment="1" pivotButton="0" quotePrefix="0" xfId="0">
      <alignment horizontal="general" vertical="top" wrapText="1"/>
    </xf>
    <xf numFmtId="3" fontId="9" fillId="0" borderId="3" pivotButton="0" quotePrefix="0" xfId="0"/>
    <xf numFmtId="165" fontId="9" fillId="0" borderId="3" pivotButton="0" quotePrefix="0" xfId="0"/>
    <xf numFmtId="3" fontId="0" fillId="0" borderId="0" pivotButton="0" quotePrefix="0" xfId="0"/>
    <xf numFmtId="166" fontId="12" fillId="4" borderId="0" applyProtection="1" pivotButton="0" quotePrefix="0" xfId="0">
      <protection locked="0" hidden="0"/>
    </xf>
    <xf numFmtId="167" fontId="9" fillId="0" borderId="3" pivotButton="0" quotePrefix="0" xfId="0"/>
    <xf numFmtId="167" fontId="10" fillId="0" borderId="3" pivotButton="0" quotePrefix="0" xfId="0"/>
    <xf numFmtId="0" fontId="9" fillId="0" borderId="3" applyAlignment="1" pivotButton="0" quotePrefix="0" xfId="0">
      <alignment horizontal="general" vertical="top" wrapText="1"/>
    </xf>
    <xf numFmtId="165" fontId="10" fillId="0" borderId="3" pivotButton="0" quotePrefix="0" xfId="0"/>
    <xf numFmtId="167" fontId="0" fillId="0" borderId="0" pivotButton="0" quotePrefix="0" xfId="0"/>
    <xf numFmtId="3" fontId="9" fillId="4" borderId="3" applyProtection="1" pivotButton="0" quotePrefix="0" xfId="0">
      <protection locked="0" hidden="0"/>
    </xf>
    <xf numFmtId="165" fontId="9" fillId="4" borderId="3" applyProtection="1" pivotButton="0" quotePrefix="0" xfId="0">
      <protection locked="0" hidden="0"/>
    </xf>
    <xf numFmtId="9" fontId="9" fillId="4" borderId="3" applyProtection="1" pivotButton="0" quotePrefix="0" xfId="0">
      <protection locked="0" hidden="0"/>
    </xf>
    <xf numFmtId="3" fontId="11" fillId="0" borderId="0" pivotButton="0" quotePrefix="0" xfId="0"/>
    <xf numFmtId="4" fontId="11" fillId="0" borderId="0" pivotButton="0" quotePrefix="0" xfId="0"/>
    <xf numFmtId="165" fontId="11" fillId="0" borderId="0" pivotButton="0" quotePrefix="0" xfId="0"/>
    <xf numFmtId="164" fontId="12" fillId="4" borderId="0" applyProtection="1" pivotButton="0" quotePrefix="0" xfId="0">
      <protection locked="0" hidden="0"/>
    </xf>
    <xf numFmtId="3" fontId="12" fillId="4" borderId="0" applyProtection="1" pivotButton="0" quotePrefix="0" xfId="0">
      <protection locked="0" hidden="0"/>
    </xf>
    <xf numFmtId="167" fontId="12" fillId="4" borderId="0" applyProtection="1" pivotButton="0" quotePrefix="0" xfId="0">
      <protection locked="0" hidden="0"/>
    </xf>
    <xf numFmtId="0" fontId="0" fillId="0" borderId="0" applyAlignment="1" pivotButton="0" quotePrefix="0" xfId="0">
      <alignment horizontal="general" vertical="top"/>
    </xf>
    <xf numFmtId="0" fontId="0" fillId="0" borderId="0" applyAlignment="1" pivotButton="0" quotePrefix="0" xfId="0">
      <alignment horizontal="left" vertical="top"/>
    </xf>
    <xf numFmtId="166" fontId="9" fillId="4" borderId="3" applyProtection="1" pivotButton="0" quotePrefix="0" xfId="0">
      <protection locked="0" hidden="0"/>
    </xf>
    <xf numFmtId="4" fontId="9" fillId="0" borderId="3" pivotButton="0" quotePrefix="0" xfId="0"/>
    <xf numFmtId="4" fontId="10" fillId="0" borderId="3" pivotButton="0" quotePrefix="0" xfId="0"/>
    <xf numFmtId="165" fontId="0" fillId="4" borderId="0" applyProtection="1" pivotButton="0" quotePrefix="0" xfId="0">
      <protection locked="0" hidden="0"/>
    </xf>
    <xf numFmtId="166" fontId="0" fillId="4" borderId="0" applyProtection="1" pivotButton="0" quotePrefix="0" xfId="0">
      <protection locked="0" hidden="0"/>
    </xf>
    <xf numFmtId="165" fontId="0" fillId="0" borderId="0" pivotButton="0" quotePrefix="0" xfId="0"/>
    <xf numFmtId="166" fontId="0" fillId="0" borderId="0" pivotButton="0" quotePrefix="0" xfId="0"/>
    <xf numFmtId="166" fontId="10" fillId="0" borderId="3" pivotButton="0" quotePrefix="0" xfId="0"/>
    <xf numFmtId="166" fontId="9" fillId="0" borderId="3" pivotButton="0" quotePrefix="0" xfId="0"/>
    <xf numFmtId="166" fontId="11" fillId="0" borderId="0" pivotButton="0" quotePrefix="0" xfId="0"/>
    <xf numFmtId="165" fontId="9" fillId="0" borderId="3" pivotButton="0" quotePrefix="0" xfId="0"/>
    <xf numFmtId="166" fontId="12" fillId="4" borderId="0" applyProtection="1" pivotButton="0" quotePrefix="0" xfId="0">
      <protection locked="0" hidden="0"/>
    </xf>
    <xf numFmtId="165" fontId="10" fillId="0" borderId="3" pivotButton="0" quotePrefix="0" xfId="0"/>
    <xf numFmtId="165" fontId="9" fillId="4" borderId="3" applyProtection="1" pivotButton="0" quotePrefix="0" xfId="0">
      <protection locked="0" hidden="0"/>
    </xf>
    <xf numFmtId="165" fontId="11" fillId="0" borderId="0" pivotButton="0" quotePrefix="0" xfId="0"/>
    <xf numFmtId="166" fontId="9" fillId="4" borderId="3" applyProtection="1" pivotButton="0" quotePrefix="0" xfId="0">
      <protection locked="0" hidden="0"/>
    </xf>
    <xf numFmtId="3" fontId="10" fillId="0" borderId="3" pivotButton="0" quotePrefix="0" xfId="0"/>
    <xf numFmtId="167" fontId="9" fillId="4" borderId="3" applyProtection="1" pivotButton="0" quotePrefix="0" xfId="0">
      <protection locked="0" hidden="0"/>
    </xf>
    <xf numFmtId="0" fontId="9" fillId="0" borderId="3" applyAlignment="1" pivotButton="0" quotePrefix="0" xfId="0">
      <alignment horizontal="left" vertical="top"/>
    </xf>
  </cellXfs>
  <cellStyles count="1">
    <cellStyle name="Normal" xfId="0" builtinId="0" hidden="0"/>
  </cellStyles>
  <dxfs count="3">
    <dxf>
      <font>
        <b val="1"/>
        <color rgb="00006100"/>
      </font>
      <fill>
        <patternFill patternType="solid">
          <fgColor rgb="00C6EFCE"/>
          <bgColor rgb="00C6EFCE"/>
        </patternFill>
      </fill>
    </dxf>
    <dxf>
      <font>
        <b val="1"/>
        <color rgb="009C0006"/>
      </font>
      <fill>
        <patternFill patternType="solid">
          <fgColor rgb="00FFC7CE"/>
          <bgColor rgb="00FFC7CE"/>
        </patternFill>
      </fill>
    </dxf>
    <dxf>
      <font>
        <b val="1"/>
        <color rgb="009C6500"/>
      </font>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8"/>
  <sheetViews>
    <sheetView workbookViewId="0">
      <selection activeCell="A1" sqref="A1"/>
    </sheetView>
  </sheetViews>
  <sheetFormatPr baseColWidth="8" defaultRowHeight="15"/>
  <cols>
    <col width="48" customWidth="1" min="1" max="1"/>
    <col width="16" customWidth="1" min="2" max="2"/>
    <col width="74" customWidth="1" min="3" max="3"/>
  </cols>
  <sheetData>
    <row r="1">
      <c r="A1" s="16" t="inlineStr">
        <is>
          <t>SUPUESTOS — aquí se teclean las TASAS y los DRIVERS del modelo</t>
        </is>
      </c>
    </row>
    <row r="2" ht="45" customHeight="1">
      <c r="A2" s="17" t="inlineStr">
        <is>
          <t>Cambia las celdas VERDES: el resto del libro se recalcula solo. Las partidas de gasto se teclean en su hoja (también en verde) y no se repiten aquí.</t>
        </is>
      </c>
    </row>
    <row r="3">
      <c r="A3" s="16" t="inlineStr">
        <is>
          <t>ACTIVIDAD</t>
        </is>
      </c>
    </row>
    <row r="4">
      <c r="A4" t="inlineStr">
        <is>
          <t>Invitados por evento (media del año 1)</t>
        </is>
      </c>
      <c r="B4" s="18" t="n">
        <v>135</v>
      </c>
      <c r="C4" t="inlineStr">
        <is>
          <t>Invitados de media por evento en el año 1; en la venta directa, cada taza vendida cuenta como un invitado. Sale de la mezcla de la tabla de referencias de la hoja de Instrucciones: bodas de 120, empresa de 80, congresos o ferias de 300 asistentes, celebraciones privadas de 50 y unas 250 tazas por jornada de venta directa. Es una media: la capacidad por evento está más abajo</t>
        </is>
      </c>
    </row>
    <row r="5">
      <c r="A5" t="inlineStr">
        <is>
          <t>Precio medio por invitado SIN IVA (€)</t>
        </is>
      </c>
      <c r="B5" s="63" t="n">
        <v>6.2</v>
      </c>
      <c r="C5" t="inlineStr">
        <is>
          <t>SIN IVA, por invitado: el precio del servicio de barra (paquete de bebidas ilimitadas durante unas horas) repartido entre los invitados y, en la venta directa, el precio de cada taza. Media ponderada de la mezcla: 9,00 € la boda, 8,00 € el evento de empresa, 4,50 € el asistente a un congreso, 9,50 € la celebración privada y 3,00 € la taza en la feria. Por eso la media baja. El precio con IVA (10 %) está en la fila de abajo</t>
        </is>
      </c>
    </row>
    <row r="6">
      <c r="A6" t="inlineStr">
        <is>
          <t>Eventos al año</t>
        </is>
      </c>
      <c r="B6" s="18" t="n">
        <v>130</v>
      </c>
      <c r="C6" t="inlineStr">
        <is>
          <t>Eventos servidos en el año: 30 bodas, 40 de empresa (presentaciones, jornadas, team building, Navidad), 22 jornadas de congreso o feria con stand de marca, 25 celebraciones privadas y rodajes, y 12 jornadas de venta directa en mercados y festivales (la mezcla suma 129; el plan redondea a 130). Es el MISMO dato para la cuenta de resultados, el punto de equilibrio, los escenarios y las horas de personal</t>
        </is>
      </c>
    </row>
    <row r="7">
      <c r="A7" t="inlineStr">
        <is>
          <t>Crecimiento de volumen del año 2</t>
        </is>
      </c>
      <c r="B7" s="64" t="n">
        <v>0.1</v>
      </c>
      <c r="C7" t="inlineStr">
        <is>
          <t>Más actividad el segundo año: empresas y agencias que repiten, bodas que llegan por recomendación y planners que ya te conocen, sobre un primer año con la agenda aún por llenar. El libro lo aplica a los invitados por evento con los mismos eventos; en euros es lo mismo que un 10 % más de eventos del mismo tamaño. El personal no sube con este porcentaje: crece con las incorporaciones de la hoja Personal</t>
        </is>
      </c>
    </row>
    <row r="8">
      <c r="A8" t="inlineStr">
        <is>
          <t>Crecimiento de volumen del año 3</t>
        </is>
      </c>
      <c r="B8" s="64" t="n">
        <v>0.08</v>
      </c>
      <c r="C8" t="inlineStr">
        <is>
          <t>Sobre el año 2. El techo lo ponen los sábados de temporada, el calendario de congresos y una sola barra con su titular: más allá hace falta una segunda estación</t>
        </is>
      </c>
    </row>
    <row r="9">
      <c r="A9" t="inlineStr">
        <is>
          <t>PVP equivalente con IVA (calculado)</t>
        </is>
      </c>
      <c r="B9" s="65">
        <f>IFERROR(IF($B$5="","",$B$5*(1+SUMPRODUCT('PyG 3 Años'!$E$10:$E$11,'PyG 3 Años'!$G$10:$G$11))),"")</f>
        <v>6.820000000000001</v>
      </c>
      <c r="C9" t="str">
        <f>IFERROR("Precio por invitado sin IVA más el IVA medio ponderado de tus líneas de venta: "&amp;TEXT(SUMPRODUCT('PyG 3 Años'!$E$10:$E$11,'PyG 3 Años'!$G$10:$G$11)*100,"0")&amp;" %. Todo lo que sirve la cafetería, en la barra o en la venta directa, va al 10 % (art. 91.Uno.2.2.º de la Ley 37/1992). Aquí va redondeado. Compáralo con el precio por invitado de las barras de tu zona, que suele ir con IVA.","")</f>
        <v>Precio por invitado sin IVA más el IVA medio ponderado de tus líneas de venta: 10 %. Todo lo que sirve la cafetería, en la barra o en la venta directa, va al 10 % (art. 91.Uno.2.2.º de la Ley 37/1992). Aquí va redondeado. Compáralo con el precio por invitado de las barras de tu zona, que suele ir con IVA.</v>
      </c>
    </row>
    <row r="10">
      <c r="A10" s="16" t="inlineStr">
        <is>
          <t>MIX Y COSTE DE MERCANCÍA</t>
        </is>
      </c>
    </row>
    <row r="11">
      <c r="A11" t="inlineStr">
        <is>
          <t>Ventas de COMIDA sobre el total</t>
        </is>
      </c>
      <c r="B11" s="64" t="n">
        <v>0.11</v>
      </c>
      <c r="C11" t="inlineStr">
        <is>
          <t>Peso de la COMIDA sobre el total de ventas. Es un INPUT: cámbialo aquí y el P&amp;L, la tesorería y el IVA repercutido se recalculan solos</t>
        </is>
      </c>
    </row>
    <row r="12">
      <c r="A12" t="inlineStr">
        <is>
          <t>Ventas de BEBIDA sobre el total</t>
        </is>
      </c>
      <c r="B12" s="66">
        <f>IFERROR(IF(COUNT(B11)=0,"",1-B11),"")</f>
        <v>0.89</v>
      </c>
      <c r="C12" t="inlineStr">
        <is>
          <t>Se calcula como el resto: comida + bebida = 100 %</t>
        </is>
      </c>
    </row>
    <row r="13">
      <c r="A13" t="inlineStr">
        <is>
          <t>Coste de mercancía sobre las ventas de COMIDA</t>
        </is>
      </c>
      <c r="B13" s="64" t="n">
        <v>0.46</v>
      </c>
      <c r="C13" t="inlineStr">
        <is>
          <t>Bollería y dulces comprados hechos a un obrador (cruasanes pequeños, galletas, bizcocho) sobre su venta: se sirven tal cual, sin elaborar nada en la base. Pide la ficha de alérgenos de cada pieza</t>
        </is>
      </c>
    </row>
    <row r="14">
      <c r="A14" t="inlineStr">
        <is>
          <t>Coste de mercancía sobre las ventas de BEBIDA</t>
        </is>
      </c>
      <c r="B14" s="64" t="n">
        <v>0.16</v>
      </c>
      <c r="C14" t="inlineStr">
        <is>
          <t>Café, leche, bebidas vegetales, cacao, chai y siropes sobre las ventas de bebida, con la merma (purga del molino, leche que sobra en la jarra) y un punto de catas y pruebas: unos 0,59 € por bebida. Es la MEDIA de la mezcla del año, no la receta de una bebida: el coste de un espresso o de un latte concreto está en la calculadora del kit y no se copia aquí. Los vasos y las tapas van en los consumibles</t>
        </is>
      </c>
    </row>
    <row r="15">
      <c r="A15" t="inlineStr">
        <is>
          <t>Consumibles sobre ventas</t>
        </is>
      </c>
      <c r="B15" s="64" t="n">
        <v>0.04</v>
      </c>
      <c r="C15" t="inlineStr">
        <is>
          <t>Vasos, tapas, servilletas y palillos de madera (unos 0,12 € por bebida servida en vaso de un solo uso), hielo, filtros de agua, detergente de grupos y gasolina del generador. En bodas y empresa se sirve en loza (se lava en la base); el vaso de un solo uso, con su precio aparte en el tique (Ley 7/2022, art. 55.2), sólo en la venta directa</t>
        </is>
      </c>
    </row>
    <row r="16">
      <c r="A16" t="inlineStr">
        <is>
          <t>Ventas directas en ferias y mercados sobre el total</t>
        </is>
      </c>
      <c r="B16" s="64" t="n">
        <v>0.08400000000000001</v>
      </c>
      <c r="C16" t="inlineStr">
        <is>
          <t>Parte de las ventas que se hace en VENTA DIRECTA al público, en mercados gastronómicos, ferias y festivales: 12 jornadas al año con unas 250 tazas a 3,00 € sin IVA. Va también al 10 %. En la vía pública es venta no sedentaria y necesita autorización municipal (RD 199/2010); en un recinto privado, contrato con el organizador. No es venta diaria en la calle: ese es otro negocio</t>
        </is>
      </c>
    </row>
    <row r="17">
      <c r="A17" t="inlineStr">
        <is>
          <t>Canon o comisión del organizador de la feria</t>
        </is>
      </c>
      <c r="B17" s="64" t="n">
        <v>0.15</v>
      </c>
      <c r="C17" t="inlineStr">
        <is>
          <t>Canon del organizador de la feria o del mercado, como porcentaje de lo que vendes allí. Si cobra una cuota fija por jornada o por emplazamiento, divídela entre lo que prevés vender: 110 € por una jornada de 750 € sin IVA son un 15 %</t>
        </is>
      </c>
    </row>
    <row r="18">
      <c r="A18" t="inlineStr">
        <is>
          <t>Comisión de los medios de pago</t>
        </is>
      </c>
      <c r="B18" s="64" t="n">
        <v>0.006</v>
      </c>
      <c r="C18" t="inlineStr">
        <is>
          <t>Casi todo se cobra por transferencia (señales de los particulares y facturas de empresa); el datáfono queda para la venta directa</t>
        </is>
      </c>
    </row>
    <row r="19">
      <c r="A19" s="16" t="inlineStr">
        <is>
          <t>PERSONAL</t>
        </is>
      </c>
    </row>
    <row r="20">
      <c r="A20" t="inlineStr">
        <is>
          <t>Seguridad Social a cargo de la empresa</t>
        </is>
      </c>
      <c r="B20" s="64" t="n">
        <v>0.33</v>
      </c>
      <c r="C20" t="inlineStr">
        <is>
          <t>Contingencias comunes + AT/EP + desempleo + FOGASA + FP; ajusta a tu convenio y bonificaciones</t>
        </is>
      </c>
    </row>
    <row r="21">
      <c r="A21" t="inlineStr">
        <is>
          <t>Número de pagas anuales</t>
        </is>
      </c>
      <c r="B21" s="18" t="n">
        <v>14</v>
      </c>
      <c r="C21" t="inlineStr">
        <is>
          <t>Salario bruto anual = bruto mensual × pagas</t>
        </is>
      </c>
    </row>
    <row r="22">
      <c r="A22" t="inlineStr">
        <is>
          <t>SMI anual de referencia (€)</t>
        </is>
      </c>
      <c r="B22" s="23" t="n">
        <v>17094</v>
      </c>
      <c r="C22" t="inlineStr">
        <is>
          <t>SMI 2026: 17.094 € al año (1.221 €/mes en 14 pagas), suelo legal por jornada completa. Comprueba el importe vigente si presentas el plan en otro ejercicio</t>
        </is>
      </c>
    </row>
    <row r="23">
      <c r="A23" s="16" t="inlineStr">
        <is>
          <t>ALMACÉN BASE Y FIJOS</t>
        </is>
      </c>
    </row>
    <row r="24">
      <c r="A24" t="inlineStr">
        <is>
          <t>Cuota mensual del almacén base (€)</t>
        </is>
      </c>
      <c r="B24" s="23" t="n">
        <v>400</v>
      </c>
      <c r="C24" t="inlineStr">
        <is>
          <t>Cuota del almacén base: una nave o un garaje con fregadero y punto de agua donde se lavan la loza, las jarras y los depósitos, se guardan el café, la leche y los vasos, y duerme la furgoneta. No hay cocina ni se elabora comida: no se prepara nada en casa para un evento (RD 1021/2022, art. 13.5.b), y un trastero sin agua no sirve para lavar loza ni depósitos. Pide dos presupuestos en tu zona</t>
        </is>
      </c>
    </row>
    <row r="25">
      <c r="A25" t="inlineStr">
        <is>
          <t>Fianza del almacén base (meses)</t>
        </is>
      </c>
      <c r="B25" s="18" t="n">
        <v>2</v>
      </c>
      <c r="C25" t="inlineStr">
        <is>
          <t>Dos cuotas de fianza, lo habitual en un alquiler de nave o garaje</t>
        </is>
      </c>
    </row>
    <row r="26">
      <c r="A26" t="inlineStr">
        <is>
          <t>Suministros mensuales (teléfono, datos y luz del almacén base) (€)</t>
        </is>
      </c>
      <c r="B26" s="23" t="n">
        <v>60</v>
      </c>
      <c r="C26" t="inlineStr">
        <is>
          <t>Teléfono, datos y luz del almacén base fuera de la cuota. La gasolina del generador va en los consumibles y el combustible de la furgoneta en varios, porque suben y bajan con los eventos</t>
        </is>
      </c>
    </row>
    <row r="27">
      <c r="A27" t="inlineStr">
        <is>
          <t>Seguros (€/año)</t>
        </is>
      </c>
      <c r="B27" s="23" t="n">
        <v>1300</v>
      </c>
      <c r="C27" t="inlineStr">
        <is>
          <t>Responsabilidad civil de explotación y de producto de 300.000 a 600.000 € (unos 500 €), seguro de la furgoneta de uso comercial (650 €) y de los equipos que salen a cada evento (150 €)</t>
        </is>
      </c>
    </row>
    <row r="28">
      <c r="A28" t="inlineStr">
        <is>
          <t>Varios e imprevistos sobre ventas</t>
        </is>
      </c>
      <c r="B28" s="64" t="n">
        <v>0.04</v>
      </c>
      <c r="C28" t="inlineStr">
        <is>
          <t>Combustible de los desplazamientos (2 puntos), imprevistos (1 punto) y escaparates de bodas y planners (1 punto). Es variable: sube y baja con los eventos. El desplazamiento que cobras aparte por kilómetro no está en las ventas del libro: compensa este gasto</t>
        </is>
      </c>
    </row>
    <row r="29">
      <c r="A29" s="16" t="inlineStr">
        <is>
          <t>FINANCIACIÓN</t>
        </is>
      </c>
    </row>
    <row r="30">
      <c r="A30" t="inlineStr">
        <is>
          <t>Recursos propios aportados (€)</t>
        </is>
      </c>
      <c r="B30" s="23" t="n">
        <v>25000</v>
      </c>
      <c r="C30" t="inlineStr">
        <is>
          <t>Aportación del socio. Un banco pide entre el 25 y el 30 % de la necesidad de caja con dinero propio</t>
        </is>
      </c>
    </row>
    <row r="31">
      <c r="A31" t="inlineStr">
        <is>
          <t>Préstamo bancario solicitado (€)</t>
        </is>
      </c>
      <c r="B31" s="23" t="n">
        <v>44500</v>
      </c>
      <c r="C31" t="inlineStr">
        <is>
          <t>Principal solicitado. La hoja de Financiación compara lo que aportas con la necesidad de caja de la hoja de inversión y te dice si sobra o falta: ajústalo con ese dato</t>
        </is>
      </c>
    </row>
    <row r="32">
      <c r="A32" t="inlineStr">
        <is>
          <t>Tipo de interés nominal anual</t>
        </is>
      </c>
      <c r="B32" s="64" t="n">
        <v>0.065</v>
      </c>
      <c r="C32" t="inlineStr">
        <is>
          <t>Tipo nominal anual de un préstamo de empresa sin garantía inmobiliaria. Pide oferta a dos entidades y a una línea ICO o ENISA antes de fijarlo</t>
        </is>
      </c>
    </row>
    <row r="33">
      <c r="A33" t="inlineStr">
        <is>
          <t>Plazo del préstamo (años)</t>
        </is>
      </c>
      <c r="B33" s="18" t="n">
        <v>6</v>
      </c>
      <c r="C33" t="inlineStr">
        <is>
          <t>Años totales, carencia incluida: la vida de la cafetera y del equipo</t>
        </is>
      </c>
    </row>
    <row r="34">
      <c r="A34" t="inlineStr">
        <is>
          <t>Carencia de principal (años)</t>
        </is>
      </c>
      <c r="B34" s="18" t="n">
        <v>1</v>
      </c>
      <c r="C34" t="inlineStr">
        <is>
          <t>El primer año sólo intereses: es cuando la caja está más tensa, con la agenda de bodas y empresas aún por llenar. Desde el segundo año se devuelve el principal: mira la holgura de caja de ese año en el Punto de Equilibrio</t>
        </is>
      </c>
    </row>
    <row r="35">
      <c r="A35" t="inlineStr">
        <is>
          <t>Fondo de maniobra (meses de costes fijos)</t>
        </is>
      </c>
      <c r="B35" s="18" t="n">
        <v>3</v>
      </c>
      <c r="C35" t="inlineStr">
        <is>
          <t>Tres meses de costes fijos: cubren el valle de agosto y el de enero y febrero, y los 30-60 días que tardan en pagar empresas y agencias</t>
        </is>
      </c>
    </row>
    <row r="36">
      <c r="A36" s="16" t="inlineStr">
        <is>
          <t>FISCAL</t>
        </is>
      </c>
    </row>
    <row r="37">
      <c r="A37" t="inlineStr">
        <is>
          <t>Impuesto de Sociedades, nueva creación</t>
        </is>
      </c>
      <c r="B37" s="64" t="n">
        <v>0.15</v>
      </c>
      <c r="C37" t="inlineStr">
        <is>
          <t>Art. 29.1 LIS: el PRIMER ejercicio con base imponible positiva y el SIGUIENTE. El libro lo aproxima contando los dos primeros ejercicios con base positiva: coincide con la ley salvo que entre ellos haya un ejercicio en pérdidas</t>
        </is>
      </c>
    </row>
    <row r="38">
      <c r="A38" t="inlineStr">
        <is>
          <t>Impuesto de Sociedades, tipo general</t>
        </is>
      </c>
      <c r="B38" s="64" t="n">
        <v>0.25</v>
      </c>
      <c r="C38" t="inlineStr">
        <is>
          <t>A partir del tercer ejercicio con base positiva. Es el tipo general del art. 29.1 LIS: si tu cifra de negocios queda por debajo de 1 M € (microempresa) o de 10 M € (reducida dimensión), desde 2025 hay tipos más bajos que se implantan de forma gradual; confirma el de tu ejercicio con tu asesor y cámbialo aquí</t>
        </is>
      </c>
    </row>
    <row r="39">
      <c r="A39" t="inlineStr">
        <is>
          <t>IVA repercutido de restauración</t>
        </is>
      </c>
      <c r="B39" s="64" t="n">
        <v>0.1</v>
      </c>
      <c r="C39" t="inlineStr">
        <is>
          <t>Tipo reducido de hostelería</t>
        </is>
      </c>
    </row>
    <row r="40">
      <c r="A40" t="inlineStr">
        <is>
          <t>IVA repercutido/soportado general</t>
        </is>
      </c>
      <c r="B40" s="64" t="n">
        <v>0.21</v>
      </c>
      <c r="C40" t="inlineStr">
        <is>
          <t>Tipo general. En este plan es el de los extras con precio propio (personalización de la barra, talleres de latte art o alquiler de la cafetera sin barista), que no están en este libro; suministros, equipamiento y servicios tienen su tipo en la celda de abajo. La cafetería no sirve alcohol: todo lo que vende va al reducido, y el libro carga la compra de café y bebidas al 10 %. La leche se factura al 4 %, así que el IVA que soportas de verdad es algo menor que el del libro (art. 91.Dos.1.1.º de la Ley 37/1992)</t>
        </is>
      </c>
    </row>
    <row r="41">
      <c r="A41" t="inlineStr">
        <is>
          <t>IVA soportado en compras e inversión</t>
        </is>
      </c>
      <c r="B41" s="64" t="n">
        <v>0.21</v>
      </c>
      <c r="C41" t="inlineStr">
        <is>
          <t>Recuperable vía modelo 303, pero hay que adelantarlo</t>
        </is>
      </c>
    </row>
    <row r="42">
      <c r="A42" t="inlineStr">
        <is>
          <t>Bases negativas de ejercicios anteriores (€)</t>
        </is>
      </c>
      <c r="B42" s="23" t="n">
        <v>0</v>
      </c>
      <c r="C42" t="inlineStr">
        <is>
          <t>Pérdidas pendientes de compensar al empezar (art. 26 LIS)</t>
        </is>
      </c>
    </row>
    <row r="43">
      <c r="A43" s="16" t="inlineStr">
        <is>
          <t>AMORTIZACIÓN</t>
        </is>
      </c>
    </row>
    <row r="44">
      <c r="A44" t="inlineStr">
        <is>
          <t>Vida útil de la furgoneta y su rotulación (años)</t>
        </is>
      </c>
      <c r="B44" s="18" t="n">
        <v>8</v>
      </c>
      <c r="C44" t="inlineStr">
        <is>
          <t>La furgoneta, su rotulación y sus anclajes se amortizan en ocho años, el 12,5 % anual, por debajo del 16 % máximo para elementos de transporte de la tabla del art. 12.1 de la Ley del Impuesto sobre Sociedades. Confírmalo con tu asesor</t>
        </is>
      </c>
    </row>
    <row r="45">
      <c r="A45" t="inlineStr">
        <is>
          <t>Vida útil de maquinaria y mobiliario (años)</t>
        </is>
      </c>
      <c r="B45" s="18" t="n">
        <v>10</v>
      </c>
      <c r="C45" t="inlineStr">
        <is>
          <t>Cafetera, molinos, generador o baterías, depósitos y bomba, frío, barra-carro, carpa, menaje y TPV: el coeficiente máximo de la tabla del art. 12.1 de la Ley del Impuesto sobre Sociedades es del 12 % para maquinaria y del 10 % para mobiliario</t>
        </is>
      </c>
    </row>
    <row r="46"/>
    <row r="47">
      <c r="A47" s="16" t="inlineStr">
        <is>
          <t>CRECIMIENTO Y ACTUALIZACIÓN DE COSTES</t>
        </is>
      </c>
    </row>
    <row r="48">
      <c r="A48" t="inlineStr">
        <is>
          <t>Subida anual de los costes fijos</t>
        </is>
      </c>
      <c r="B48" s="64" t="n">
        <v>0</v>
      </c>
      <c r="C48" t="inlineStr">
        <is>
          <t>A CERO: las tres columnas están en euros del año 1 (términos reales). Súbela si quieres proyectar en euros corrientes</t>
        </is>
      </c>
    </row>
    <row r="49">
      <c r="A49" s="16" t="inlineStr">
        <is>
          <t>ARRANQUE Y CAPACIDAD</t>
        </is>
      </c>
    </row>
    <row r="50"/>
    <row r="51">
      <c r="A51" t="inlineStr">
        <is>
          <t>Capacidad máxima por evento (invitados)</t>
        </is>
      </c>
      <c r="B51" s="18" t="n">
        <v>350</v>
      </c>
      <c r="C51" t="inlineStr">
        <is>
          <t>DATO INFORMATIVO: no entra en ningún cálculo. Es el evento más grande del caso con una cafetera de dos grupos y dos baristas cuando el servicio es largo (una jornada de congreso con pausas); en una barra de 3 horas esa cafetera llega a unos 180 invitados y por encima hace falta una segunda estación: mira la tabla de escalado de la hoja Instrucciones</t>
        </is>
      </c>
    </row>
    <row r="52">
      <c r="A52" t="inlineStr">
        <is>
          <t>Actividad del mes 1 sobre la de crucero</t>
        </is>
      </c>
      <c r="B52" s="64" t="n">
        <v>0.45</v>
      </c>
      <c r="C52" t="inlineStr">
        <is>
          <t>Una cafetería móvil que arranca factura poco el primer mes: el café se contrata después que la finca y el catering, de una semana a seis meses antes, y las empresas tardan en repetir. Con 100 % se elimina la rampa</t>
        </is>
      </c>
    </row>
    <row r="53">
      <c r="A53" t="inlineStr">
        <is>
          <t>Meses hasta alcanzar el régimen de crucero</t>
        </is>
      </c>
      <c r="B53" s="18" t="n">
        <v>9</v>
      </c>
      <c r="C53" t="inlineStr">
        <is>
          <t>Nueve meses hasta el ritmo de crucero: la primera temporada de bodas, empresa y congresos</t>
        </is>
      </c>
    </row>
    <row r="54">
      <c r="A54" t="inlineStr">
        <is>
          <t>Meses de cuota del almacén base ANTES del primer evento</t>
        </is>
      </c>
      <c r="B54" s="18" t="n">
        <v>1</v>
      </c>
      <c r="C54" t="inlineStr">
        <is>
          <t>Un mes de cuota para montar el almacén, calibrar la cafetera y los molinos y hacer las primeras catas antes de facturar</t>
        </is>
      </c>
    </row>
    <row r="55">
      <c r="A55" t="inlineStr">
        <is>
          <t>Imprevistos sobre la compra y la preparación de la furgoneta (%)</t>
        </is>
      </c>
      <c r="B55" s="64" t="n">
        <v>0.08</v>
      </c>
      <c r="C55" t="inlineStr">
        <is>
          <t>Se calcula sobre la furgoneta y su rotulación: es donde aparecen las sorpresas (neumáticos, frenos, anclajes, y el informe y la ITV de la reforma si fijas en ella el mueble o los depósitos)</t>
        </is>
      </c>
    </row>
    <row r="56"/>
    <row r="57">
      <c r="A57" s="16" t="inlineStr">
        <is>
          <t>COBROS, PAGOS Y DESGLOSE DEL IVA</t>
        </is>
      </c>
    </row>
    <row r="58">
      <c r="A58" t="inlineStr">
        <is>
          <t>Días medios de cobro</t>
        </is>
      </c>
      <c r="B58" s="18" t="n">
        <v>20</v>
      </c>
      <c r="C58" t="inlineStr">
        <is>
          <t>Media ponderada: los particulares (bodas y celebraciones) pagan el 30 % de señal al firmar y el 70 % siete días antes del evento, y la venta directa se cobra en el momento; las empresas, agencias y congresos, la mitad de las ventas, pagan el 30 % al confirmar y el 70 % a 30 días de la factura (contrato y calculadora del kit). El libro no admite días negativos, así que las señales no se modelan: tu caja real será algo MEJOR que la de la hoja de Tesorería</t>
        </is>
      </c>
    </row>
    <row r="59">
      <c r="A59" t="inlineStr">
        <is>
          <t>Días medios de pago a proveedor</t>
        </is>
      </c>
      <c r="B59" s="18" t="n">
        <v>30</v>
      </c>
      <c r="C59" t="inlineStr">
        <is>
          <t>El tostador, los lácteos y los vasos, a 30 días: lo que te financian. Es lo primero que se pierde si te retrasas en un pago</t>
        </is>
      </c>
    </row>
    <row r="60">
      <c r="A60" t="inlineStr">
        <is>
          <t>Mes de la paga extra de verano</t>
        </is>
      </c>
      <c r="B60" s="18" t="n">
        <v>5</v>
      </c>
      <c r="C60" t="inlineStr">
        <is>
          <t>Mes de la TESORERÍA en el que sale la paga extra de verano: julio es el Mes 5, porque el Mes 1 del plan es marzo</t>
        </is>
      </c>
    </row>
    <row r="61">
      <c r="A61" t="inlineStr">
        <is>
          <t>Mes de la paga extra de Navidad</t>
        </is>
      </c>
      <c r="B61" s="18" t="n">
        <v>10</v>
      </c>
      <c r="C61" t="inlineStr">
        <is>
          <t>Mes de la TESORERÍA en el que sale la paga extra de Navidad: diciembre es el Mes 10, porque el Mes 1 del plan es marzo</t>
        </is>
      </c>
    </row>
    <row r="62">
      <c r="A62" t="inlineStr">
        <is>
          <t>Bebida ALCOHÓLICA sobre el total de bebida (a cero: no se sirve)</t>
        </is>
      </c>
      <c r="B62" s="64" t="n">
        <v>0</v>
      </c>
      <c r="C62" t="inlineStr">
        <is>
          <t>A CERO: la cafetería móvil del plan no sirve alcohol. Una barra de cócteles es otro negocio, con su propio plan. Con 0 esta celda no mueve nada</t>
        </is>
      </c>
    </row>
    <row r="63">
      <c r="A63" t="inlineStr">
        <is>
          <t>IVA de la bebida ALCOHÓLICA servida (sin efecto en este plan)</t>
        </is>
      </c>
      <c r="B63" s="64" t="n">
        <v>0.1</v>
      </c>
      <c r="C63" t="inlineStr">
        <is>
          <t>Sin efecto: la cafetería no sirve alcohol (la celda de la bebida alcohólica está a cero). Todo lo que sirve, en la barra del evento o en la venta directa, va al 10 % (art. 91.Uno.2.2.º de la Ley 37/1992)</t>
        </is>
      </c>
    </row>
    <row r="64">
      <c r="A64" s="16" t="inlineStr">
        <is>
          <t>UMBRALES Y SUELOS DE CONTROL</t>
        </is>
      </c>
    </row>
    <row r="65">
      <c r="A65" t="inlineStr">
        <is>
          <t>DSCR mínimo aceptable</t>
        </is>
      </c>
      <c r="B65" s="24" t="n">
        <v>1</v>
      </c>
      <c r="C65" t="inlineStr">
        <is>
          <t>Por debajo de 1 el negocio no genera para pagar el préstamo. Ponlo en el covenant que te exija tu banco</t>
        </is>
      </c>
    </row>
    <row r="66">
      <c r="A66" t="inlineStr">
        <is>
          <t>DSCR objetivo (verde)</t>
        </is>
      </c>
      <c r="B66" s="24" t="n">
        <v>1.25</v>
      </c>
      <c r="C66" t="inlineStr">
        <is>
          <t>Lo que suele pedir una entidad para dar el préstamo sin garantías adicionales</t>
        </is>
      </c>
    </row>
    <row r="67">
      <c r="A67" t="inlineStr">
        <is>
          <t>Holgura mínima sobre el punto de equilibrio</t>
        </is>
      </c>
      <c r="B67" s="64" t="n">
        <v>0.15</v>
      </c>
      <c r="C67" t="inlineStr">
        <is>
          <t>Cuánto deben superar las ventas previstas a las del equilibrio de caja (costes fijos y cuota del préstamo). La caída que aguantas es algo menor: con un 15 % de holgura, un 13 % de lo previsto</t>
        </is>
      </c>
    </row>
    <row r="68">
      <c r="A68" t="inlineStr">
        <is>
          <t>Suelo salarial anual del convenio provincial (€)</t>
        </is>
      </c>
      <c r="B68" s="23" t="n">
        <v>0</v>
      </c>
      <c r="C68" t="inlineStr">
        <is>
          <t>El VI Acuerdo Laboral de ámbito Estatal para el sector de Hostelería (art. 4) incluye la hostelería en «instalaciones fijas o móviles»: el barista se contrata como camarero/a. Copia aquí el salario base de esa categoría en la tabla de TU provincia. Con 0 el semáforo compara sólo contra el SMI</t>
        </is>
      </c>
    </row>
  </sheetData>
  <sheetProtection selectLockedCells="0" selectUnlockedCells="0" sheet="1" objects="0" insertRows="1" insertHyperlinks="1" autoFilter="1" scenarios="0" formatColumns="0" deleteColumns="1" insertColumns="1" pivotTables="1" deleteRows="1" formatCells="1" formatRows="0" sort="0"/>
  <dataValidations count="10">
    <dataValidation sqref="B4 B5 B22 B24 B26 B27 B30 B31 B42 B51 B65 B66 B68" showDropDown="0" showInputMessage="0" showErrorMessage="1" allowBlank="1" errorTitle="Importe no válido" error="Escribe un número mayor o igual que 0." type="decimal" operator="greaterThanOrEqual">
      <formula1>0</formula1>
    </dataValidation>
    <dataValidation sqref="B7 B8 B11 B13 B14 B15 B16 B17 B18 B20 B28 B32 B37 B38 B39 B40 B41 B48 B52 B55 B62 B63 B67" showDropDown="0" showInputMessage="0" showErrorMessage="1" allowBlank="1" errorTitle="Porcentaje no válido" error="Escribe un porcentaje entre 0 y 1 (0,35 = 35 %)." type="decimal" operator="between">
      <formula1>0</formula1>
      <formula2>1</formula2>
    </dataValidation>
    <dataValidation sqref="B58 B59" showDropDown="0" showInputMessage="0" showErrorMessage="1" allowBlank="1" errorTitle="Días fuera de rango" error="Los días van de 1 a 365." type="whole" operator="between">
      <formula1>1</formula1>
      <formula2>365</formula2>
    </dataValidation>
    <dataValidation sqref="B34" showDropDown="0" showInputMessage="0" showErrorMessage="1" allowBlank="1" errorTitle="Recuento no válido" error="Años enteros de carencia, de 0 a 15. Si iguala o supera al plazo, la hoja la anula." type="whole" operator="between">
      <formula1>0</formula1>
      <formula2>15</formula2>
    </dataValidation>
    <dataValidation sqref="B53" showDropDown="0" showInputMessage="0" showErrorMessage="1" allowBlank="1" errorTitle="Recuento no válido" error="Número entero de meses (0 a 24)." type="whole" operator="between">
      <formula1>0</formula1>
      <formula2>24</formula2>
    </dataValidation>
    <dataValidation sqref="B60 B61" showDropDown="0" showInputMessage="0" showErrorMessage="1" allowBlank="1" errorTitle="Recuento no válido" error="Mes del año, de 1 a 12." type="whole" operator="between">
      <formula1>1</formula1>
      <formula2>12</formula2>
    </dataValidation>
    <dataValidation sqref="B33" showDropDown="0" showInputMessage="0" showErrorMessage="1" allowBlank="1" errorTitle="Recuento no válido" error="Plazo en años enteros: el cuadro de amortización de este libro llega a 15 años." type="whole" operator="between">
      <formula1>1</formula1>
      <formula2>15</formula2>
    </dataValidation>
    <dataValidation sqref="B44 B45" showDropDown="0" showInputMessage="0" showErrorMessage="1" allowBlank="1" errorTitle="Recuento no válido" error="Vida útil en AÑOS ENTEROS (1 a 50). Los coeficientes máximos son los de la tabla del art. 12.1 LIS." type="whole" operator="between">
      <formula1>1</formula1>
      <formula2>50</formula2>
    </dataValidation>
    <dataValidation sqref="B6 B25 B35 B54" showDropDown="0" showInputMessage="0" showErrorMessage="1" allowBlank="1" errorTitle="Recuento no válido" error="Escribe un número ENTERO de 1 en adelante: esta celda es un recuento y varias fórmulas dividen entre ella." type="whole" operator="between">
      <formula1>1</formula1>
      <formula2>100000</formula2>
    </dataValidation>
    <dataValidation sqref="B21" showDropDown="0" showInputMessage="0" showErrorMessage="1" allowBlank="1" errorTitle="Recuento no válido" error="Número de pagas al año: 12, 14 o las que fije tu convenio (12 a 16)." type="whole" operator="between">
      <formula1>12</formula1>
      <formula2>16</formula2>
    </dataValidation>
  </dataValidations>
  <pageMargins left="0.59" right="0.59" top="0.59" bottom="0.59" header="0.3" footer="0.3"/>
  <pageSetup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33"/>
  <sheetViews>
    <sheetView workbookViewId="0">
      <pane ySplit="5" topLeftCell="A6" activePane="bottomLeft" state="frozen"/>
      <selection pane="bottomLeft" activeCell="A1" sqref="A1"/>
    </sheetView>
  </sheetViews>
  <sheetFormatPr baseColWidth="8" defaultRowHeight="15"/>
  <cols>
    <col width="46" customWidth="1" min="1" max="1"/>
    <col width="18" customWidth="1" min="2" max="2"/>
    <col width="45" customWidth="1" min="3" max="3"/>
    <col width="58" customWidth="1" min="4" max="4"/>
    <col width="13" customWidth="1" min="5" max="5"/>
  </cols>
  <sheetData>
    <row r="1" ht="15" customHeight="1">
      <c r="A1" s="38" t="inlineStr">
        <is>
          <t>PLAN DE NEGOCIO: CAFETERÍA MÓVIL PARA EVENTOS</t>
        </is>
      </c>
    </row>
    <row r="2">
      <c r="A2" s="2" t="inlineStr">
        <is>
          <t>Inversión inicial estimada — barra de café de especialidad para bodas, empresas y ferias</t>
        </is>
      </c>
    </row>
    <row r="3">
      <c r="A3" s="3" t="inlineStr">
        <is>
          <t>Ajusta las cifras a tu proyecto.</t>
        </is>
      </c>
    </row>
    <row r="4"/>
    <row r="5">
      <c r="A5" s="25" t="inlineStr">
        <is>
          <t>Concepto</t>
        </is>
      </c>
      <c r="B5" s="25" t="inlineStr">
        <is>
          <t>Importe</t>
        </is>
      </c>
      <c r="C5" s="25" t="inlineStr">
        <is>
          <t>% s/inversión</t>
        </is>
      </c>
      <c r="D5" s="25" t="inlineStr">
        <is>
          <t>Notas</t>
        </is>
      </c>
      <c r="E5" s="25" t="inlineStr">
        <is>
          <t>¿Lleva IVA?</t>
        </is>
      </c>
    </row>
    <row r="6">
      <c r="A6" s="25" t="inlineStr">
        <is>
          <t>INVERSIÓN</t>
        </is>
      </c>
      <c r="B6" s="26">
        <f>IFERROR(IF(COUNT(B7:B23)=0,"",SUM(B7:B23)),"")</f>
        <v>44416.0</v>
      </c>
      <c r="C6" s="67">
        <f>IFERROR(B6/$B$26,"")</f>
        <v>0.7395196901529713</v>
      </c>
      <c r="D6" s="28" t="n"/>
      <c r="E6" s="28" t="n"/>
    </row>
    <row r="7">
      <c r="A7" s="28" t="inlineStr">
        <is>
          <t>Furgoneta usada con rotulación y anclajes</t>
        </is>
      </c>
      <c r="B7" s="29" t="n">
        <v>15200</v>
      </c>
      <c r="C7" s="68">
        <f>IFERROR(B7/$B$26,"")</f>
        <v>0.2530777037627243</v>
      </c>
      <c r="D7" s="28" t="inlineStr">
        <is>
          <t>Furgoneta de ocasión tipo Kangoo L2 o Trafic (12.000-16.000 € en el mercado; el caso, 14.000 €) con la rotulación de la marca, estanterías y anclajes para llevar la barra, la cafetera y los depósitos sujetos. Si fijas en ella fregadero, depósitos o mueble, es una reforma de vehículo: informe de conformidad e ITV. Estimación del kit. Si la compras a un particular no hay IVA, sino el impuesto de transmisiones; en un concesionario, en REBU, el IVA no se deduce: pon «No» en la columna de al lado</t>
        </is>
      </c>
      <c r="E7" s="31" t="inlineStr">
        <is>
          <t>Sí</t>
        </is>
      </c>
    </row>
    <row r="8">
      <c r="A8" s="28" t="inlineStr">
        <is>
          <t>Barra-carro a medida con ruedas y depósitos ocultos, carpa e iluminación</t>
        </is>
      </c>
      <c r="B8" s="29" t="n">
        <v>4400</v>
      </c>
      <c r="C8" s="68">
        <f>IFERROR(B8/$B$26,"")</f>
        <v>0.07325933529973598</v>
      </c>
      <c r="D8" s="28" t="inlineStr">
        <is>
          <t>Barra móvil fabricada a medida, con los depósitos de agua escondidos y ruedas para entrar en salones y pabellones, más una carpa de 3 × 3 m y la iluminación para los servicios de noche. Una mesa de barista básica ronda los 1.800 € sin máquina. Estimación del kit</t>
        </is>
      </c>
      <c r="E8" s="31" t="inlineStr">
        <is>
          <t>Sí</t>
        </is>
      </c>
    </row>
    <row r="9">
      <c r="A9" s="28" t="inlineStr">
        <is>
          <t>Cafetera de dos grupos de gama media (3,5 kW como máximo)</t>
        </is>
      </c>
      <c r="B9" s="29" t="n">
        <v>5500</v>
      </c>
      <c r="C9" s="68">
        <f>IFERROR(B9/$B$26,"")</f>
        <v>0.09157416912466998</v>
      </c>
      <c r="D9" s="28" t="inlineStr">
        <is>
          <t>Máquina de espresso de dos grupos de gama media (3.000-6.000 €). Que no pase de 3,5 kW: así cabe en un enchufe de 16 A (unos 3,7 kW) y no dependes del generador en cada finca. Estimación del kit</t>
        </is>
      </c>
      <c r="E9" s="31" t="inlineStr">
        <is>
          <t>Sí</t>
        </is>
      </c>
    </row>
    <row r="10">
      <c r="A10" s="28" t="inlineStr">
        <is>
          <t>Molinos: espresso bajo demanda y descafeinado o filtro</t>
        </is>
      </c>
      <c r="B10" s="29" t="n">
        <v>2100</v>
      </c>
      <c r="C10" s="68">
        <f>IFERROR(B10/$B$26,"")</f>
        <v>0.03496468275669218</v>
      </c>
      <c r="D10" s="28" t="inlineStr">
        <is>
          <t>Un molino de espresso bajo demanda profesional (unos 1.430 € sin IVA) y otro para el descafeinado o el filtro (unos 620 €): el invitado español pide descafeinado de máquina. Fichas de distribuidor</t>
        </is>
      </c>
      <c r="E10" s="31" t="inlineStr">
        <is>
          <t>Sí</t>
        </is>
      </c>
    </row>
    <row r="11">
      <c r="A11" s="28" t="inlineStr">
        <is>
          <t>Energía: generador inverter de 5-7 kVA o primera batería, y cuadro con protecciones</t>
        </is>
      </c>
      <c r="B11" s="29" t="n">
        <v>4500</v>
      </c>
      <c r="C11" s="68">
        <f>IFERROR(B11/$B$26,"")</f>
        <v>0.0749243201929118</v>
      </c>
      <c r="D11" s="28" t="inlineStr">
        <is>
          <t>Para las fincas sin toma suficiente: un generador inverter de 5 kVA o más (los de 7 kVA, 4.300-5.350 €) o una primera batería de litio con inversor, silenciosa para bodas (un sistema completo, 6.000-10.000 €), con un cuadro con protecciones. Estimación del kit</t>
        </is>
      </c>
      <c r="E11" s="31" t="inlineStr">
        <is>
          <t>Sí</t>
        </is>
      </c>
    </row>
    <row r="12">
      <c r="A12" s="28" t="inlineStr">
        <is>
          <t>Agua e higiene: depósitos alimentarios, bomba, filtro descalcificador y lavamanos</t>
        </is>
      </c>
      <c r="B12" s="29" t="n">
        <v>1000</v>
      </c>
      <c r="C12" s="68">
        <f>IFERROR(B12/$B$26,"")</f>
        <v>0.01664984893175818</v>
      </c>
      <c r="D12" s="28" t="inlineStr">
        <is>
          <t>Dos depósitos de uso alimentario (agua limpia y gris), bomba, filtro descalcificador para la cafetera y un lavamanos autónomo. El agua se carga en red pública y el operador responde de ella hasta el punto de uso (RD 3/2023, arts. 65.3 y 66.b)</t>
        </is>
      </c>
      <c r="E12" s="31" t="inlineStr">
        <is>
          <t>Sí</t>
        </is>
      </c>
    </row>
    <row r="13">
      <c r="A13" s="28" t="inlineStr">
        <is>
          <t>Frío: nevera bajo barra, neveras portátiles, acumuladores y termómetro</t>
        </is>
      </c>
      <c r="B13" s="29" t="n">
        <v>900</v>
      </c>
      <c r="C13" s="68">
        <f>IFERROR(B13/$B$26,"")</f>
        <v>0.014984864038582362</v>
      </c>
      <c r="D13" s="28" t="inlineStr">
        <is>
          <t>Leche y bebidas vegetales a la temperatura de su etiqueta desde la base hasta la barra, y un termómetro para el registro del APPCC</t>
        </is>
      </c>
      <c r="E13" s="31" t="inlineStr">
        <is>
          <t>Sí</t>
        </is>
      </c>
    </row>
    <row r="14">
      <c r="A14" s="28" t="inlineStr">
        <is>
          <t>Menaje: jarras por tipo de leche, tampers, básculas, cajón de posos y loza</t>
        </is>
      </c>
      <c r="B14" s="29" t="n">
        <v>1500</v>
      </c>
      <c r="C14" s="68">
        <f>IFERROR(B14/$B$26,"")</f>
        <v>0.02497477339763727</v>
      </c>
      <c r="D14" s="28" t="inlineStr">
        <is>
          <t>Una jarra por cada tipo de leche (alérgenos), tampers, básculas de extracción, cajón de posos, loza para 150 invitados y cajas para transportarla. En bodas y eventos de empresa se sirve en loza: es la opción segura con la normativa de envases</t>
        </is>
      </c>
      <c r="E14" s="31" t="inlineStr">
        <is>
          <t>Sí</t>
        </is>
      </c>
    </row>
    <row r="15">
      <c r="A15" s="28" t="inlineStr">
        <is>
          <t>TPV, datáfono y software</t>
        </is>
      </c>
      <c r="B15" s="29" t="n">
        <v>600</v>
      </c>
      <c r="C15" s="68">
        <f>IFERROR(B15/$B$26,"")</f>
        <v>0.009989909359054907</v>
      </c>
      <c r="D15" s="28" t="inlineStr">
        <is>
          <t>Cobro en la venta directa y facturación conforme a Veri*factu</t>
        </is>
      </c>
      <c r="E15" s="31" t="inlineStr">
        <is>
          <t>Sí</t>
        </is>
      </c>
    </row>
    <row r="16">
      <c r="A16" s="28" t="inlineStr">
        <is>
          <t>Marca, web, fotos y dossier</t>
        </is>
      </c>
      <c r="B16" s="29" t="n">
        <v>2000</v>
      </c>
      <c r="C16" s="68">
        <f>IFERROR(B16/$B$26,"")</f>
        <v>0.03329969786351636</v>
      </c>
      <c r="D16" s="28" t="inlineStr">
        <is>
          <t>Identidad, web con formulario de presupuesto, sesión de fotos de la barra y dossier para novios, empresas, agencias y planners</t>
        </is>
      </c>
      <c r="E16" s="31" t="inlineStr">
        <is>
          <t>Sí</t>
        </is>
      </c>
    </row>
    <row r="17">
      <c r="A17" s="28" t="inlineStr">
        <is>
          <t>Constitución SL + notaría + registro</t>
        </is>
      </c>
      <c r="B17" s="29" t="n">
        <v>1000</v>
      </c>
      <c r="C17" s="68">
        <f>IFERROR(B17/$B$26,"")</f>
        <v>0.01664984893175818</v>
      </c>
      <c r="D17" s="28" t="inlineStr">
        <is>
          <t>SL unipersonal. Las tasas y el arancel del Registro no llevan IVA; los honorarios del notario y de la gestoría sí: cambia la columna de al lado a «Sí» si tu presupuesto es sobre todo de honorarios</t>
        </is>
      </c>
      <c r="E17" s="31" t="inlineStr">
        <is>
          <t>No</t>
        </is>
      </c>
    </row>
    <row r="18">
      <c r="A18" s="28" t="inlineStr">
        <is>
          <t>Declaración responsable, APPCC, alérgenos y formación de barista</t>
        </is>
      </c>
      <c r="B18" s="29" t="n">
        <v>1000</v>
      </c>
      <c r="C18" s="68">
        <f>IFERROR(B18/$B$26,"")</f>
        <v>0.01664984893175818</v>
      </c>
      <c r="D18" s="28" t="inlineStr">
        <is>
          <t>Redacción del plan APPCC itinerante, fichas de alérgenos de cada bebida y de la bollería, formación en higiene alimentaria y curso de barista</t>
        </is>
      </c>
      <c r="E18" s="31" t="inlineStr">
        <is>
          <t>Sí</t>
        </is>
      </c>
    </row>
    <row r="19">
      <c r="A19" s="28" t="inlineStr">
        <is>
          <t>Stock inicial: café, leche UHT y vasos</t>
        </is>
      </c>
      <c r="B19" s="29" t="n">
        <v>800</v>
      </c>
      <c r="C19" s="68">
        <f>IFERROR(B19/$B$26,"")</f>
        <v>0.013319879145406542</v>
      </c>
      <c r="D19" s="28" t="inlineStr">
        <is>
          <t>Primer pedido de café de especialidad, leche UHT o ESL «barista», bebidas vegetales, siropes y vasos</t>
        </is>
      </c>
      <c r="E19" s="31" t="inlineStr">
        <is>
          <t>Sí</t>
        </is>
      </c>
    </row>
    <row r="20">
      <c r="A20" s="28" t="inlineStr">
        <is>
          <t>Lanzamiento: feria nupcial, escaparate de bodas y catas para agencias</t>
        </is>
      </c>
      <c r="B20" s="29" t="n">
        <v>1500</v>
      </c>
      <c r="C20" s="68">
        <f>IFERROR(B20/$B$26,"")</f>
        <v>0.02497477339763727</v>
      </c>
      <c r="D20" s="28" t="inlineStr">
        <is>
          <t>Stand en una feria nupcial, alta destacada en un portal de bodas y catas para agencias y planners antes del primer evento</t>
        </is>
      </c>
      <c r="E20" s="31" t="inlineStr">
        <is>
          <t>Sí</t>
        </is>
      </c>
    </row>
    <row r="21">
      <c r="A21" s="28" t="inlineStr">
        <is>
          <t>Fianza del almacén base</t>
        </is>
      </c>
      <c r="B21" s="32">
        <f>IFERROR(IF('0. Supuestos'!$B$24="","",'0. Supuestos'!$B$24*'0. Supuestos'!$B$25),"")</f>
        <v>800.0</v>
      </c>
      <c r="C21" s="68">
        <f>IFERROR(B21/$B$26,"")</f>
        <v>0.013319879145406542</v>
      </c>
      <c r="D21" s="28" t="str">
        <f>IFERROR(""&amp;TEXT('0. Supuestos'!$B$25,"0")&amp;" cuotas del almacén base, al tipo de la hoja de Supuestos. Es un activo recuperable al cerrar: ni se amortiza ni lleva IVA","")</f>
        <v>2 cuotas del almacén base, al tipo de la hoja de Supuestos. Es un activo recuperable al cerrar: ni se amortiza ni lleva IVA</v>
      </c>
      <c r="E21" s="28" t="inlineStr">
        <is>
          <t>No</t>
        </is>
      </c>
    </row>
    <row r="22">
      <c r="A22" s="28" t="inlineStr">
        <is>
          <t>Cuota del almacén base de los meses previos al arranque</t>
        </is>
      </c>
      <c r="B22" s="32">
        <f>IFERROR(IF('0. Supuestos'!$B$24="","",'0. Supuestos'!$B$24*'0. Supuestos'!$B$54),"")</f>
        <v>400.0</v>
      </c>
      <c r="C22" s="68">
        <f>IFERROR(B22/$B$26,"")</f>
        <v>0.006659939572703271</v>
      </c>
      <c r="D22" s="28" t="str">
        <f>IFERROR("Cuota "&amp;IF('0. Supuestos'!$B$54=1,"del mes","de los "&amp;TEXT('0. Supuestos'!$B$54,"0")&amp;" meses")&amp;" de puesta en marcha (montaje del almacén, calibrado de la cafetera, catas y primeras reservas). NO se solapa con el P&amp;L, que arranca el día de la apertura: los doce meses del P&amp;L son los doce de explotación","")</f>
        <v>Cuota del mes de puesta en marcha (montaje del almacén, calibrado de la cafetera, catas y primeras reservas). NO se solapa con el P&amp;L, que arranca el día de la apertura: los doce meses del P&amp;L son los doce de explotación</v>
      </c>
      <c r="E22" s="28" t="inlineStr">
        <is>
          <t>Sí</t>
        </is>
      </c>
    </row>
    <row r="23">
      <c r="A23" s="28" t="inlineStr">
        <is>
          <t>Imprevistos de la compra y preparación de la furgoneta</t>
        </is>
      </c>
      <c r="B23" s="32">
        <f>IFERROR(IF(COUNT(B7)=0,"",ROUND((B7)*'0. Supuestos'!$B$55,0)),"")</f>
        <v>1216.0</v>
      </c>
      <c r="C23" s="68">
        <f>IFERROR(B23/$B$26,"")</f>
        <v>0.020246216301017944</v>
      </c>
      <c r="D23" s="28" t="str">
        <f>IFERROR("Al "&amp;TEXT('0. Supuestos'!$B$55,"0%")&amp;" de las partidas de la furgoneta de este bloque (Furgoneta usada con rotulación y anclajes), no del bloque entero: el resto de partidas del bloque quedan fuera. Un banco no financia una compra así sin colchón: el porcentaje está en la hoja de Supuestos","")</f>
        <v>Al 8% de las partidas de la furgoneta de este bloque (Furgoneta usada con rotulación y anclajes), no del bloque entero: el resto de partidas del bloque quedan fuera. Un banco no financia una compra así sin colchón: el porcentaje está en la hoja de Supuestos</v>
      </c>
      <c r="E23" s="28" t="inlineStr">
        <is>
          <t>Sí</t>
        </is>
      </c>
    </row>
    <row r="24">
      <c r="A24" s="25" t="inlineStr">
        <is>
          <t>FONDO DE MANIOBRA</t>
        </is>
      </c>
      <c r="B24" s="26">
        <f>IFERROR(IF(B25="","",B25),"")</f>
        <v>15644.605000000003</v>
      </c>
      <c r="C24" s="67">
        <f>IFERROR(B24/$B$26,"")</f>
        <v>0.26048030984702875</v>
      </c>
      <c r="D24" s="28" t="n"/>
      <c r="E24" s="28" t="n"/>
    </row>
    <row r="25">
      <c r="A25" s="28" t="inlineStr">
        <is>
          <t>Colchón operativo hasta alcanzar el equilibrio</t>
        </is>
      </c>
      <c r="B25" s="32">
        <f>IFERROR(IF('0. Supuestos'!$B$35*('PyG 3 Años'!$B$38-'PyG 3 Años'!$B$36)=0,"",'0. Supuestos'!$B$35*('PyG 3 Años'!$B$38-'PyG 3 Años'!$B$36)/12),"")</f>
        <v>15644.605000000003</v>
      </c>
      <c r="C25" s="68">
        <f>IFERROR(B25/$B$26,"")</f>
        <v>0.26048030984702875</v>
      </c>
      <c r="D25" s="28" t="str">
        <f>IFERROR("Cubre "&amp;TEXT('0. Supuestos'!$B$35,"0")&amp;IF('0. Supuestos'!$B$35=1," mes"," meses")&amp;" de costes fijos DE CAJA del año 1 (los del P&amp;L menos la amortización, que no se paga), que es el mínimo que exigen las Instrucciones de este libro","")</f>
        <v>Cubre 3 meses de costes fijos DE CAJA del año 1 (los del P&amp;L menos la amortización, que no se paga), que es el mínimo que exigen las Instrucciones de este libro</v>
      </c>
      <c r="E25" s="28" t="inlineStr">
        <is>
          <t>No</t>
        </is>
      </c>
    </row>
    <row r="26">
      <c r="A26" s="25" t="inlineStr">
        <is>
          <t>INVERSIÓN TOTAL (suma de los bloques)</t>
        </is>
      </c>
      <c r="B26" s="26">
        <f>IFERROR(B6+B24,"")</f>
        <v>60060.605</v>
      </c>
      <c r="C26" s="28" t="n"/>
      <c r="D26" s="25" t="str">
        <f>IFERROR("Los porcentajes de la columna C se leen sobre esta cifra, que incluye el fondo de maniobra ("&amp;TEXT(C24,"0%")&amp;" del total). Para comparar el desglose con otro plan, usa la fila de CAPEX de abajo.","")</f>
        <v>Los porcentajes de la columna C se leen sobre esta cifra, que incluye el fondo de maniobra (26% del total). Para comparar el desglose con otro plan, usa la fila de CAPEX de abajo.</v>
      </c>
      <c r="E26" s="28" t="n"/>
    </row>
    <row r="27">
      <c r="A27" s="25" t="inlineStr">
        <is>
          <t>CAPEX (inversión sin el fondo de maniobra)</t>
        </is>
      </c>
      <c r="B27" s="26">
        <f>IFERROR(B26-B24,"")</f>
        <v>44416.0</v>
      </c>
      <c r="C27" s="28" t="n"/>
      <c r="D27" s="25" t="inlineStr">
        <is>
          <t>Es lo que se compra: furgoneta, equipamiento, lanzamiento y gastos de constitución. El colchón de caja no es inversión, es circulante</t>
        </is>
      </c>
      <c r="E27" s="28" t="n"/>
    </row>
    <row r="28">
      <c r="A28" s="28" t="inlineStr">
        <is>
          <t>IVA soportado sobre la inversión (recuperable)</t>
        </is>
      </c>
      <c r="B28" s="32">
        <f>IFERROR(IF(B26="","",SUMIF($E$7:$E$23,"Sí",$B$7:$B$23)*'0. Supuestos'!$B$41),"")</f>
        <v>8949.359999999999</v>
      </c>
      <c r="C28" s="28" t="n"/>
      <c r="D28" s="28" t="str">
        <f>IFERROR("Al "&amp;TEXT('0. Supuestos'!$B$41,"0%")&amp;" sobre las partidas marcadas con «Sí» en la columna de IVA. Las tasas y licencias no están sujetas y los seguros están exentos (art. 20.Uno.16 LIVA). Las tasas y aranceles registrales no llevan IVA; los honorarios de notaría y gestoría sí "&amp;"(21 %, deducible). Se recupera con el modelo 303, pero hay que adelantarlo","")</f>
        <v>Al 21% sobre las partidas marcadas con «Sí» en la columna de IVA. Las tasas y licencias no están sujetas y los seguros están exentos (art. 20.Uno.16 LIVA). Las tasas y aranceles registrales no llevan IVA; los honorarios de notaría y gestoría sí (21 %, deducible). Se recupera con el modelo 303, pero hay que adelantarlo</v>
      </c>
      <c r="E28" s="28" t="n"/>
    </row>
    <row r="29">
      <c r="A29" s="25" t="inlineStr">
        <is>
          <t>NECESIDAD TOTAL DE CAJA AL ARRANQUE</t>
        </is>
      </c>
      <c r="B29" s="26">
        <f>IFERROR(B26+B28,"")</f>
        <v>69009.965</v>
      </c>
      <c r="C29" s="28" t="n"/>
      <c r="D29" s="25" t="inlineStr">
        <is>
          <t>Es la cifra que tiene que cubrir la hoja de Financiación</t>
        </is>
      </c>
      <c r="E29" s="28" t="n"/>
    </row>
    <row r="30">
      <c r="A30" s="25" t="inlineStr">
        <is>
          <t>BASES DE AMORTIZACIÓN (no suman a la inversión)</t>
        </is>
      </c>
      <c r="B30" s="28" t="n"/>
      <c r="C30" s="28" t="n"/>
      <c r="D30" s="28" t="n"/>
      <c r="E30" s="28" t="n"/>
    </row>
    <row r="31">
      <c r="A31" s="28" t="inlineStr">
        <is>
          <t>Furgoneta, rotulación e imprevistos</t>
        </is>
      </c>
      <c r="B31" s="32">
        <f>IFERROR(IF(B7="","",B7+B23),"")</f>
        <v>16416.0</v>
      </c>
      <c r="C31" s="28" t="n"/>
      <c r="D31" s="28" t="str">
        <f>IFERROR("Se amortiza en "&amp;TEXT('0. Supuestos'!$B$44,"0")&amp;" años","")</f>
        <v>Se amortiza en 8 años</v>
      </c>
      <c r="E31" s="28" t="n"/>
    </row>
    <row r="32">
      <c r="A32" s="28" t="inlineStr">
        <is>
          <t>Maquinaria, mobiliario y equipos</t>
        </is>
      </c>
      <c r="B32" s="32">
        <f>IFERROR(IF(B8="","",B8+B9+B10+B11+B12+B13+B14+B15),"")</f>
        <v>20500.0</v>
      </c>
      <c r="C32" s="28" t="n"/>
      <c r="D32" s="28" t="str">
        <f>IFERROR("Se amortiza en "&amp;TEXT('0. Supuestos'!$B$45,"0")&amp;" años","")</f>
        <v>Se amortiza en 10 años</v>
      </c>
      <c r="E32" s="28" t="n"/>
    </row>
    <row r="33">
      <c r="A33" s="25" t="inlineStr">
        <is>
          <t>Amortización anual del inmovilizado</t>
        </is>
      </c>
      <c r="B33" s="26">
        <f>IFERROR(B31/MAX(1,'0. Supuestos'!$B$44)+B32/MAX(1,'0. Supuestos'!$B$45),"")</f>
        <v>4102.0</v>
      </c>
      <c r="C33" s="28" t="n"/>
      <c r="D33" s="25" t="str">
        <f>IFERROR("No se amortizan, por no ser inmovilizado, Marca, web, fotos y dossier, Constitución SL + notaría + registro, Declaración responsable, APPCC, alérgenos y formación de barista, Stock inicial: café, leche UHT y vasos, Lanzamiento: feria "&amp;"nupcial, escaparate de bodas y catas para agencias, Fianza del almacén base, Cuota del almacén base de los meses previos al arranque ni Colchón operativo hasta alcanzar el equilibrio. Suman "&amp;TEXT(B26-B31-B32,"0")&amp;" € de los "&amp;TEXT(B26,"0")&amp;" € de inversión.","")</f>
        <v>No se amortizan, por no ser inmovilizado, Marca, web, fotos y dossier, Constitución SL + notaría + registro, Declaración responsable, APPCC, alérgenos y formación de barista, Stock inicial: café, leche UHT y vasos, Lanzamiento: feria nupcial, escaparate de bodas y catas para agencias, Fianza del almacén base, Cuota del almacén base de los meses previos al arranque ni Colchón operativo hasta alcanzar el equilibrio. Suman 23145 € de los 60061 € de inversión.</v>
      </c>
      <c r="E33" s="28" t="n"/>
    </row>
  </sheetData>
  <sheetProtection selectLockedCells="0" selectUnlockedCells="0" sheet="1" objects="0" insertRows="1" insertHyperlinks="1" autoFilter="1" scenarios="0" formatColumns="0" deleteColumns="1" insertColumns="1" pivotTables="1" deleteRows="1" formatCells="1" formatRows="0" sort="0"/>
  <mergeCells count="1">
    <mergeCell ref="A1:C1"/>
  </mergeCells>
  <conditionalFormatting sqref="B29">
    <cfRule type="expression" priority="1" dxfId="0" stopIfTrue="1">
      <formula>AND(ISNUMBER(B29),B29&gt;0)</formula>
    </cfRule>
  </conditionalFormatting>
  <dataValidations count="2">
    <dataValidation sqref="E7:E20" showDropDown="0" showInputMessage="0" showErrorMessage="1" allowBlank="1" errorTitle="Marca no válida" error="Escribe «Sí» o «No»: de esta columna sale el IVA soportado de la inversión." type="list">
      <formula1>"Sí,No"</formula1>
    </dataValidation>
    <dataValidation sqref="B7 B8 B9 B10 B11 B12 B13 B14 B15 B16 B17 B18 B19 B20" showDropDown="0" showInputMessage="0" showErrorMessage="1" allowBlank="1" errorTitle="Importe no válido" error="Escribe un número mayor o igual que 0." type="decimal" operator="greaterThanOrEqual">
      <formula1>0</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H59"/>
  <sheetViews>
    <sheetView workbookViewId="0">
      <pane ySplit="4" topLeftCell="A5" activePane="bottomLeft" state="frozen"/>
      <selection pane="bottomLeft" activeCell="A1" sqref="A1"/>
    </sheetView>
  </sheetViews>
  <sheetFormatPr baseColWidth="8" defaultRowHeight="15"/>
  <cols>
    <col width="42" customWidth="1" min="1" max="1"/>
    <col width="16" customWidth="1" min="2" max="2"/>
    <col width="16" customWidth="1" min="3" max="3"/>
    <col width="16" customWidth="1" min="4" max="4"/>
    <col width="14" customWidth="1" min="5" max="5"/>
    <col width="60" customWidth="1" min="6" max="6"/>
    <col width="14" customWidth="1" min="7" max="7"/>
    <col width="16" customWidth="1" min="8" max="8"/>
  </cols>
  <sheetData>
    <row r="1" ht="15" customHeight="1">
      <c r="A1" s="38" t="inlineStr">
        <is>
          <t>CUENTA DE RESULTADOS PREVISIONAL — 3 AÑOS</t>
        </is>
      </c>
    </row>
    <row r="2">
      <c r="A2" s="3" t="inlineStr">
        <is>
          <t>Escenario realista — cafetería móvil para eventos</t>
        </is>
      </c>
    </row>
    <row r="3"/>
    <row r="4">
      <c r="A4" s="39" t="inlineStr">
        <is>
          <t>Concepto</t>
        </is>
      </c>
      <c r="B4" s="39" t="inlineStr">
        <is>
          <t>Año 1</t>
        </is>
      </c>
      <c r="C4" s="39" t="inlineStr">
        <is>
          <t>Año 2</t>
        </is>
      </c>
      <c r="D4" s="39" t="inlineStr">
        <is>
          <t>Año 3</t>
        </is>
      </c>
      <c r="E4" s="39" t="inlineStr">
        <is>
          <t>% s/ventas (año 1)</t>
        </is>
      </c>
      <c r="F4" s="39" t="inlineStr">
        <is>
          <t>Notas</t>
        </is>
      </c>
      <c r="G4" s="39" t="inlineStr">
        <is>
          <t>Tipo de IVA de la línea (%)</t>
        </is>
      </c>
      <c r="H4" s="28" t="n"/>
    </row>
    <row r="5">
      <c r="A5" s="25" t="inlineStr">
        <is>
          <t>INGRESOS</t>
        </is>
      </c>
      <c r="B5" s="28" t="n"/>
      <c r="C5" s="28" t="n"/>
      <c r="D5" s="28" t="n"/>
      <c r="E5" s="28" t="n"/>
      <c r="F5" s="28" t="n"/>
      <c r="G5" s="28" t="n"/>
      <c r="H5" s="28" t="n"/>
    </row>
    <row r="6">
      <c r="A6" s="28" t="inlineStr">
        <is>
          <t>Invitados por evento (media)</t>
        </is>
      </c>
      <c r="B6" s="40">
        <f>IFERROR(IF('0. Supuestos'!$B$4="","",'0. Supuestos'!$B$4),"")</f>
        <v>135.0</v>
      </c>
      <c r="C6" s="40">
        <f>IFERROR(B6*(1+'0. Supuestos'!$B$7),"")</f>
        <v>148.5</v>
      </c>
      <c r="D6" s="40">
        <f>IFERROR(C6*(1+'0. Supuestos'!$B$8),"")</f>
        <v>160.38000000000002</v>
      </c>
      <c r="E6" s="28" t="n"/>
      <c r="F6" s="28" t="inlineStr">
        <is>
          <t>El crecimiento de los años 2 y 3 está en la hoja de Supuestos</t>
        </is>
      </c>
      <c r="G6" s="28" t="n"/>
      <c r="H6" s="28" t="n"/>
    </row>
    <row r="7">
      <c r="A7" s="28" t="inlineStr">
        <is>
          <t>Precio medio por invitado sin IVA</t>
        </is>
      </c>
      <c r="B7" s="70">
        <f>IFERROR(IF('0. Supuestos'!$B$5="","",'0. Supuestos'!$B$5),"")</f>
        <v>6.2</v>
      </c>
      <c r="C7" s="70">
        <f>IFERROR(IF(B7="","",B7),"")</f>
        <v>6.2</v>
      </c>
      <c r="D7" s="70">
        <f>IFERROR(IF(C7="","",C7),"")</f>
        <v>6.2</v>
      </c>
      <c r="E7" s="28" t="n"/>
      <c r="F7" s="28" t="inlineStr">
        <is>
          <t>Constante en euros del año 1: una subida de precios es una decisión aparte</t>
        </is>
      </c>
      <c r="G7" s="28" t="n"/>
      <c r="H7" s="28" t="n"/>
    </row>
    <row r="8">
      <c r="A8" s="28" t="inlineStr">
        <is>
          <t>Eventos al año</t>
        </is>
      </c>
      <c r="B8" s="40">
        <f>IFERROR(IF('0. Supuestos'!$B$6="","",'0. Supuestos'!$B$6),"")</f>
        <v>130.0</v>
      </c>
      <c r="C8" s="40">
        <f>IFERROR(IF(B8="","",B8),"")</f>
        <v>130.0</v>
      </c>
      <c r="D8" s="40">
        <f>IFERROR(IF(C8="","",C8),"")</f>
        <v>130.0</v>
      </c>
      <c r="E8" s="28" t="n"/>
      <c r="F8" s="28" t="n"/>
      <c r="G8" s="28" t="n"/>
      <c r="H8" s="28" t="n"/>
    </row>
    <row r="9">
      <c r="A9" s="25" t="inlineStr">
        <is>
          <t>INGRESOS TOTALES (sin IVA)</t>
        </is>
      </c>
      <c r="B9" s="26">
        <f>IFERROR(IF(B6*B7*B8=0,"",B6*B7*B8),"")</f>
        <v>108810.0</v>
      </c>
      <c r="C9" s="26">
        <f>IFERROR(IF(C6*C7*C8=0,"",C6*C7*C8),"")</f>
        <v>119691.0</v>
      </c>
      <c r="D9" s="26">
        <f>IFERROR(IF(D6*D7*D8=0,"",D6*D7*D8),"")</f>
        <v>129266.28000000003</v>
      </c>
      <c r="E9" s="67">
        <f>IFERROR(IF(B9="","",1),"")</f>
        <v>1.0</v>
      </c>
      <c r="F9" s="28" t="n"/>
      <c r="G9" s="28" t="n"/>
      <c r="H9" s="28" t="n"/>
    </row>
    <row r="10">
      <c r="A10" s="28" t="inlineStr">
        <is>
          <t>Dulces y bollería de obrador</t>
        </is>
      </c>
      <c r="B10" s="32">
        <f>IFERROR(IF(B9="","",B9*$E$10),"")</f>
        <v>11969.1</v>
      </c>
      <c r="C10" s="32">
        <f>IFERROR(IF(C9="","",C9*$E$10),"")</f>
        <v>13166.01</v>
      </c>
      <c r="D10" s="32">
        <f>IFERROR(IF(D9="","",D9*$E$10),"")</f>
        <v>14219.290800000002</v>
      </c>
      <c r="E10" s="68">
        <f>IFERROR(IF('0. Supuestos'!$B$11="","",'0. Supuestos'!$B$11),"")</f>
        <v>0.11</v>
      </c>
      <c r="F10" s="28" t="inlineStr">
        <is>
          <t>Bollería y dulces comprados a un obrador que se añaden al paquete de café o se venden en la feria: se sirven tal cual, sin elaborar. Al 10 % de IVA</t>
        </is>
      </c>
      <c r="G10" s="68">
        <f>IFERROR(IF(B9="","",'0. Supuestos'!$B$39),"")</f>
        <v>0.1</v>
      </c>
      <c r="H10" s="28" t="n"/>
    </row>
    <row r="11">
      <c r="A11" s="28" t="inlineStr">
        <is>
          <t>Bebidas de café y sin café</t>
        </is>
      </c>
      <c r="B11" s="32">
        <f>IFERROR(IF(B9="","",B9*$E$11),"")</f>
        <v>96840.9</v>
      </c>
      <c r="C11" s="32">
        <f>IFERROR(IF(C9="","",C9*$E$11),"")</f>
        <v>106524.99</v>
      </c>
      <c r="D11" s="32">
        <f>IFERROR(IF(D9="","",D9*$E$11),"")</f>
        <v>115046.98920000003</v>
      </c>
      <c r="E11" s="68">
        <f>IFERROR(IF('0. Supuestos'!$B$12="","",'0. Supuestos'!$B$12),"")</f>
        <v>0.89</v>
      </c>
      <c r="F11" s="28" t="inlineStr">
        <is>
          <t>Espresso, americano, cortado, café con leche, flat white, capuchino, latte, mocha, chai y chocolate, con leche entera, sin lactosa o bebida vegetal. Sin alcohol. Al 10 % de IVA, en la barra del evento y en la venta directa</t>
        </is>
      </c>
      <c r="G11" s="68">
        <f>IFERROR(IF(B9="","",('0. Supuestos'!$B$62*((1-'0. Supuestos'!$B$16)*'0. Supuestos'!$B$63+'0. Supuestos'!$B$16*'0. Supuestos'!$B$40)+(1-'0. Supuestos'!$B$62)*'0. Supuestos'!$B$39)),"")</f>
        <v>0.1</v>
      </c>
      <c r="H11" s="28" t="n"/>
    </row>
    <row r="12">
      <c r="A12" s="25" t="inlineStr">
        <is>
          <t>COSTES VARIABLES</t>
        </is>
      </c>
      <c r="B12" s="28" t="n"/>
      <c r="C12" s="28" t="n"/>
      <c r="D12" s="28" t="n"/>
      <c r="E12" s="28" t="n"/>
      <c r="F12" s="28" t="n"/>
      <c r="G12" s="28" t="n"/>
      <c r="H12" s="28" t="n"/>
    </row>
    <row r="13">
      <c r="A13" s="28" t="inlineStr">
        <is>
          <t>Coste de mercancía — comida</t>
        </is>
      </c>
      <c r="B13" s="32">
        <f>IFERROR(IF(B9="","",B9*'0. Supuestos'!$B$11*'0. Supuestos'!$B$13),"")</f>
        <v>5505.786</v>
      </c>
      <c r="C13" s="32">
        <f>IFERROR(IF(C9="","",C9*'0. Supuestos'!$B$11*'0. Supuestos'!$B$13),"")</f>
        <v>6056.364600000001</v>
      </c>
      <c r="D13" s="32">
        <f>IFERROR(IF(D9="","",D9*'0. Supuestos'!$B$11*'0. Supuestos'!$B$13),"")</f>
        <v>6540.873768000001</v>
      </c>
      <c r="E13" s="68">
        <f>IFERROR(B13/$B$9,"")</f>
        <v>0.0506</v>
      </c>
      <c r="F13" s="28" t="str">
        <f>IFERROR("Al "&amp;TEXT('0. Supuestos'!$B$13,"0%")&amp;" de las ventas de COMIDA, no del total: la bebida tiene su propia línea","")</f>
        <v>Al 46% de las ventas de COMIDA, no del total: la bebida tiene su propia línea</v>
      </c>
      <c r="G13" s="68">
        <f>IFERROR(IF(B9="","",'0. Supuestos'!$B$39),"")</f>
        <v>0.1</v>
      </c>
      <c r="H13" s="28" t="n"/>
    </row>
    <row r="14">
      <c r="A14" s="28" t="inlineStr">
        <is>
          <t>Coste de mercancía — bebida</t>
        </is>
      </c>
      <c r="B14" s="32">
        <f>IFERROR(IF(B9="","",B9*'0. Supuestos'!$B$12*'0. Supuestos'!$B$14),"")</f>
        <v>15494.544</v>
      </c>
      <c r="C14" s="32">
        <f>IFERROR(IF(C9="","",C9*'0. Supuestos'!$B$12*'0. Supuestos'!$B$14),"")</f>
        <v>17043.9984</v>
      </c>
      <c r="D14" s="32">
        <f>IFERROR(IF(D9="","",D9*'0. Supuestos'!$B$12*'0. Supuestos'!$B$14),"")</f>
        <v>18407.518272000005</v>
      </c>
      <c r="E14" s="68">
        <f>IFERROR(B14/$B$9,"")</f>
        <v>0.1424</v>
      </c>
      <c r="F14" s="28" t="str">
        <f>IFERROR("Al "&amp;TEXT('0. Supuestos'!$B$14,"0%")&amp;" de las ventas de BEBIDA","")</f>
        <v>Al 16% de las ventas de BEBIDA</v>
      </c>
      <c r="G14" s="68">
        <f>IFERROR(IF(B9="","",('0. Supuestos'!$B$62*'0. Supuestos'!$B$40+(1-'0. Supuestos'!$B$62)*'0. Supuestos'!$B$39)),"")</f>
        <v>0.1</v>
      </c>
      <c r="H14" s="28" t="n"/>
    </row>
    <row r="15">
      <c r="A15" s="28" t="inlineStr">
        <is>
          <t>Consumibles y envases</t>
        </is>
      </c>
      <c r="B15" s="32">
        <f>IFERROR(IF(B9="","",B9*'0. Supuestos'!$B$15),"")</f>
        <v>4352.4</v>
      </c>
      <c r="C15" s="32">
        <f>IFERROR(IF(C9="","",C9*'0. Supuestos'!$B$15),"")</f>
        <v>4787.64</v>
      </c>
      <c r="D15" s="32">
        <f>IFERROR(IF(D9="","",D9*'0. Supuestos'!$B$15),"")</f>
        <v>5170.651200000001</v>
      </c>
      <c r="E15" s="68">
        <f>IFERROR(B15/$B$9,"")</f>
        <v>0.039999999999999994</v>
      </c>
      <c r="F15" s="28" t="n"/>
      <c r="G15" s="68">
        <f>IFERROR(IF(B9="","",'0. Supuestos'!$B$41),"")</f>
        <v>0.21</v>
      </c>
      <c r="H15" s="28" t="n"/>
    </row>
    <row r="16">
      <c r="A16" s="28" t="inlineStr">
        <is>
          <t>Canon de ferias y mercados</t>
        </is>
      </c>
      <c r="B16" s="32">
        <f>IFERROR(IF(B9="","",B9*'0. Supuestos'!$B$16*'0. Supuestos'!$B$17),"")</f>
        <v>1371.006</v>
      </c>
      <c r="C16" s="32">
        <f>IFERROR(IF(C9="","",C9*'0. Supuestos'!$B$16*'0. Supuestos'!$B$17),"")</f>
        <v>1508.1065999999998</v>
      </c>
      <c r="D16" s="32">
        <f>IFERROR(IF(D9="","",D9*'0. Supuestos'!$B$16*'0. Supuestos'!$B$17),"")</f>
        <v>1628.7551280000005</v>
      </c>
      <c r="E16" s="68">
        <f>IFERROR(B16/$B$9,"")</f>
        <v>0.0126</v>
      </c>
      <c r="F16" s="28" t="inlineStr">
        <is>
          <t>Sobre las ventas DEL CANAL. Con 0 % de ferias y mercados en Supuestos, esta línea vale cero</t>
        </is>
      </c>
      <c r="G16" s="68">
        <f>IFERROR(IF(B9="","",'0. Supuestos'!$B$41),"")</f>
        <v>0.21</v>
      </c>
      <c r="H16" s="28" t="n"/>
    </row>
    <row r="17">
      <c r="A17" s="28" t="inlineStr">
        <is>
          <t>Comisiones de los medios de pago</t>
        </is>
      </c>
      <c r="B17" s="32">
        <f>IFERROR(IF(B9="","",B9*'0. Supuestos'!$B$18),"")</f>
        <v>652.86</v>
      </c>
      <c r="C17" s="32">
        <f>IFERROR(IF(C9="","",C9*'0. Supuestos'!$B$18),"")</f>
        <v>718.146</v>
      </c>
      <c r="D17" s="32">
        <f>IFERROR(IF(D9="","",D9*'0. Supuestos'!$B$18),"")</f>
        <v>775.5976800000002</v>
      </c>
      <c r="E17" s="68">
        <f>IFERROR(B17/$B$9,"")</f>
        <v>0.006</v>
      </c>
      <c r="F17" s="28" t="inlineStr">
        <is>
          <t>Las comisiones de los medios de pago están EXENTAS de IVA (art. 20.Uno.18 LIVA): no se deduce nada por ellas</t>
        </is>
      </c>
      <c r="G17" s="68" t="n">
        <v>0</v>
      </c>
      <c r="H17" s="28" t="n"/>
    </row>
    <row r="18">
      <c r="A18" s="28" t="inlineStr">
        <is>
          <t>Varios e imprevistos</t>
        </is>
      </c>
      <c r="B18" s="32">
        <f>IFERROR(IF(B9="","",B9*'0. Supuestos'!$B$28),"")</f>
        <v>4352.4</v>
      </c>
      <c r="C18" s="32">
        <f>IFERROR(IF(C9="","",C9*'0. Supuestos'!$B$28),"")</f>
        <v>4787.64</v>
      </c>
      <c r="D18" s="32">
        <f>IFERROR(IF(D9="","",D9*'0. Supuestos'!$B$28),"")</f>
        <v>5170.651200000001</v>
      </c>
      <c r="E18" s="68">
        <f>IFERROR(B18/$B$9,"")</f>
        <v>0.039999999999999994</v>
      </c>
      <c r="F18" s="28" t="str">
        <f>IFERROR("Al "&amp;TEXT('0. Supuestos'!$B$28,"0%")&amp;" de las ventas. Es un coste VARIABLE: sube y baja con la facturación, así que no puede vivir en los costes fijos","")</f>
        <v>Al 4% de las ventas. Es un coste VARIABLE: sube y baja con la facturación, así que no puede vivir en los costes fijos</v>
      </c>
      <c r="G18" s="68">
        <f>IFERROR(IF(B9="","",'0. Supuestos'!$B$41),"")</f>
        <v>0.21</v>
      </c>
      <c r="H18" s="28" t="n"/>
    </row>
    <row r="19">
      <c r="A19" s="25" t="inlineStr">
        <is>
          <t>TOTAL COSTES VARIABLES</t>
        </is>
      </c>
      <c r="B19" s="26">
        <f>IFERROR(IF(B9="","",SUM(B13:B18)),"")</f>
        <v>31728.996</v>
      </c>
      <c r="C19" s="26">
        <f>IFERROR(IF(C9="","",SUM(C13:C18)),"")</f>
        <v>34901.8956</v>
      </c>
      <c r="D19" s="26">
        <f>IFERROR(IF(D9="","",SUM(D13:D18)),"")</f>
        <v>37694.04724800001</v>
      </c>
      <c r="E19" s="67">
        <f>IFERROR(B19/$B$9,"")</f>
        <v>0.29159999999999997</v>
      </c>
      <c r="F19" s="28" t="n"/>
      <c r="G19" s="28" t="n"/>
      <c r="H19" s="28" t="n"/>
    </row>
    <row r="20">
      <c r="A20" s="25" t="inlineStr">
        <is>
          <t>MARGEN BRUTO</t>
        </is>
      </c>
      <c r="B20" s="26">
        <f>IFERROR(IF(B9="","",B9-B19),"")</f>
        <v>77081.004</v>
      </c>
      <c r="C20" s="26">
        <f>IFERROR(IF(C9="","",C9-C19),"")</f>
        <v>84789.1044</v>
      </c>
      <c r="D20" s="26">
        <f>IFERROR(IF(D9="","",D9-D19),"")</f>
        <v>91572.23275200001</v>
      </c>
      <c r="E20" s="67">
        <f>IFERROR(B20/$B$9,"")</f>
        <v>0.7084</v>
      </c>
      <c r="F20" s="28" t="n"/>
      <c r="G20" s="28" t="n"/>
      <c r="H20" s="28" t="n"/>
    </row>
    <row r="21">
      <c r="A21" s="25" t="inlineStr">
        <is>
          <t>COSTES FIJOS</t>
        </is>
      </c>
      <c r="B21" s="28" t="n"/>
      <c r="C21" s="28" t="n"/>
      <c r="D21" s="28" t="n"/>
      <c r="E21" s="28" t="n"/>
      <c r="F21" s="28" t="n"/>
      <c r="G21" s="28" t="n"/>
      <c r="H21" s="28" t="n"/>
    </row>
    <row r="22">
      <c r="A22" s="28" t="inlineStr">
        <is>
          <t>Cuota del almacén base</t>
        </is>
      </c>
      <c r="B22" s="32">
        <f>IFERROR(IF(B9="","",'0. Supuestos'!$B$24*12),"")</f>
        <v>4800.0</v>
      </c>
      <c r="C22" s="32">
        <f>IFERROR(IF(C9="","",B22*(1+'0. Supuestos'!$B$48)),"")</f>
        <v>4800.0</v>
      </c>
      <c r="D22" s="32">
        <f>IFERROR(IF(D9="","",C22*(1+'0. Supuestos'!$B$48)),"")</f>
        <v>4800.0</v>
      </c>
      <c r="E22" s="68">
        <f>IFERROR(B22/$B$9,"")</f>
        <v>0.044113592500689275</v>
      </c>
      <c r="F22" s="28" t="inlineStr">
        <is>
          <t>El importe mensual está en la hoja de Supuestos; aquí se multiplica por doce. Es la cuota de una nave o un garaje con fregadero y punto de agua (lavado de loza, jarras y depósitos, almacén de café, leche y vasos, y plaza para la furgoneta). El mes previo al primer evento está en la hoja de Inversión y NO se cuenta dos veces</t>
        </is>
      </c>
      <c r="G22" s="68">
        <f>IFERROR(IF(B9="","",'0. Supuestos'!$B$41),"")</f>
        <v>0.21</v>
      </c>
      <c r="H22" s="28" t="n"/>
    </row>
    <row r="23">
      <c r="A23" s="28" t="inlineStr">
        <is>
          <t>Personal (nóminas + Seguridad Social)</t>
        </is>
      </c>
      <c r="B23" s="32">
        <f>IFERROR(IF(B9="","",'Personal'!$G$9),"")</f>
        <v>44985.920000000006</v>
      </c>
      <c r="C23" s="32">
        <f>IFERROR(IF(C9="","",'Personal'!$B$13),"")</f>
        <v>50985.920000000006</v>
      </c>
      <c r="D23" s="32">
        <f>IFERROR(IF(D9="","",'Personal'!$B$14),"")</f>
        <v>56985.920000000006</v>
      </c>
      <c r="E23" s="68">
        <f>IFERROR(B23/$B$9,"")</f>
        <v>0.41343552982262666</v>
      </c>
      <c r="F23" s="28" t="inlineStr">
        <is>
          <t>Sale de la hoja de Personal: es el MISMO número, no una estimación aparte. Los años 2 y 3 suman las INCORPORACIONES declaradas en esa hoja, no un porcentaje de volumen</t>
        </is>
      </c>
      <c r="G23" s="68" t="n">
        <v>0</v>
      </c>
      <c r="H23" s="28" t="n"/>
    </row>
    <row r="24">
      <c r="A24" s="28" t="inlineStr">
        <is>
          <t>Suministros (teléfono, datos y luz del almacén base)</t>
        </is>
      </c>
      <c r="B24" s="32">
        <f>IFERROR(IF(B9="","",'0. Supuestos'!$B$26*12),"")</f>
        <v>720.0</v>
      </c>
      <c r="C24" s="32">
        <f>IFERROR(IF(C9="","",B24*(1+'0. Supuestos'!$B$48)),"")</f>
        <v>720.0</v>
      </c>
      <c r="D24" s="32">
        <f>IFERROR(IF(D9="","",C24*(1+'0. Supuestos'!$B$48)),"")</f>
        <v>720.0</v>
      </c>
      <c r="E24" s="68">
        <f>IFERROR(B24/$B$9,"")</f>
        <v>0.006617038875103391</v>
      </c>
      <c r="F24" s="28" t="inlineStr">
        <is>
          <t>Teléfono, datos y luz del almacén base. La gasolina del generador va en los consumibles. Va al 21 % de IVA</t>
        </is>
      </c>
      <c r="G24" s="68">
        <f>IFERROR(IF(B9="","",'0. Supuestos'!$B$41),"")</f>
        <v>0.21</v>
      </c>
      <c r="H24" s="28" t="n"/>
    </row>
    <row r="25">
      <c r="A25" s="28" t="inlineStr">
        <is>
          <t>Seguros (RC + multirriesgo)</t>
        </is>
      </c>
      <c r="B25" s="32">
        <f>IFERROR(IF(B9="","",'0. Supuestos'!$B$27),"")</f>
        <v>1300.0</v>
      </c>
      <c r="C25" s="32">
        <f>IFERROR(IF(C9="","",B25*(1+'0. Supuestos'!$B$48)),"")</f>
        <v>1300.0</v>
      </c>
      <c r="D25" s="32">
        <f>IFERROR(IF(D9="","",C25*(1+'0. Supuestos'!$B$48)),"")</f>
        <v>1300.0</v>
      </c>
      <c r="E25" s="68">
        <f>IFERROR(B25/$B$9,"")</f>
        <v>0.011947431302270013</v>
      </c>
      <c r="F25" s="28" t="inlineStr">
        <is>
          <t>Las operaciones de seguro están EXENTAS de IVA (art. 20.Uno.16 LIVA): la prima no lleva IVA deducible</t>
        </is>
      </c>
      <c r="G25" s="68" t="n">
        <v>0</v>
      </c>
      <c r="H25" s="28" t="n"/>
    </row>
    <row r="26">
      <c r="A26" s="28" t="inlineStr">
        <is>
          <t>Asesoría fiscal y laboral (nóminas de fijos discontinuos)</t>
        </is>
      </c>
      <c r="B26" s="29" t="n">
        <v>1680</v>
      </c>
      <c r="C26" s="32">
        <f>IFERROR(IF(C9="","",B26*(1+'0. Supuestos'!$B$48)),"")</f>
        <v>1680.0</v>
      </c>
      <c r="D26" s="32">
        <f>IFERROR(IF(D9="","",C26*(1+'0. Supuestos'!$B$48)),"")</f>
        <v>1680.0</v>
      </c>
      <c r="E26" s="68">
        <f>IFERROR(B26/$B$9,"")</f>
        <v>0.015439757375241246</v>
      </c>
      <c r="F26" s="28" t="inlineStr">
        <is>
          <t>Contabilidad, impuestos de la SL y nóminas de los fijos discontinuos de cada mes con llamamientos</t>
        </is>
      </c>
      <c r="G26" s="68">
        <f>IFERROR(IF(B9="","",'0. Supuestos'!$B$41),"")</f>
        <v>0.21</v>
      </c>
      <c r="H26" s="28" t="n"/>
    </row>
    <row r="27">
      <c r="A27" s="28" t="inlineStr">
        <is>
          <t>Furgoneta: mantenimiento, neumáticos e ITV</t>
        </is>
      </c>
      <c r="B27" s="29" t="n">
        <v>800</v>
      </c>
      <c r="C27" s="32">
        <f>IFERROR(IF(C9="","",B27*(1+'0. Supuestos'!$B$48)),"")</f>
        <v>800.0</v>
      </c>
      <c r="D27" s="32">
        <f>IFERROR(IF(D9="","",C27*(1+'0. Supuestos'!$B$48)),"")</f>
        <v>800.0</v>
      </c>
      <c r="E27" s="68">
        <f>IFERROR(B27/$B$9,"")</f>
        <v>0.007352265416781546</v>
      </c>
      <c r="F27" s="28" t="inlineStr">
        <is>
          <t>Taller, neumáticos e ITV de la furgoneta (y del remolque, si lo usas)</t>
        </is>
      </c>
      <c r="G27" s="68">
        <f>IFERROR(IF(B9="","",'0. Supuestos'!$B$41),"")</f>
        <v>0.21</v>
      </c>
      <c r="H27" s="28" t="n"/>
    </row>
    <row r="28">
      <c r="A28" s="28" t="inlineStr">
        <is>
          <t>Marketing: escaparate de bodas, Google Ads local, redes y feria nupcial</t>
        </is>
      </c>
      <c r="B28" s="29" t="n">
        <v>3000</v>
      </c>
      <c r="C28" s="32">
        <f>IFERROR(IF(C9="","",B28*(1+'0. Supuestos'!$B$48)),"")</f>
        <v>3000.0</v>
      </c>
      <c r="D28" s="32">
        <f>IFERROR(IF(D9="","",C28*(1+'0. Supuestos'!$B$48)),"")</f>
        <v>3000.0</v>
      </c>
      <c r="E28" s="68">
        <f>IFERROR(B28/$B$9,"")</f>
        <v>0.027570995312930797</v>
      </c>
      <c r="F28" s="28" t="inlineStr">
        <is>
          <t>Ficha en los portales de bodas, Google Ads local, redes sociales y una feria nupcial al año</t>
        </is>
      </c>
      <c r="G28" s="68">
        <f>IFERROR(IF(B9="","",'0. Supuestos'!$B$41),"")</f>
        <v>0.21</v>
      </c>
      <c r="H28" s="28" t="n"/>
    </row>
    <row r="29">
      <c r="A29" s="28" t="inlineStr">
        <is>
          <t>Software de gestión comercial, CRM y teléfono</t>
        </is>
      </c>
      <c r="B29" s="29" t="n">
        <v>500</v>
      </c>
      <c r="C29" s="32">
        <f>IFERROR(IF(C9="","",B29*(1+'0. Supuestos'!$B$48)),"")</f>
        <v>500.0</v>
      </c>
      <c r="D29" s="32">
        <f>IFERROR(IF(D9="","",C29*(1+'0. Supuestos'!$B$48)),"")</f>
        <v>500.0</v>
      </c>
      <c r="E29" s="68">
        <f>IFERROR(B29/$B$9,"")</f>
        <v>0.004595165885488466</v>
      </c>
      <c r="F29" s="28" t="inlineStr">
        <is>
          <t>Presupuestos, agenda de eventos, CRM de clientes y línea de teléfono</t>
        </is>
      </c>
      <c r="G29" s="68">
        <f>IFERROR(IF(B9="","",'0. Supuestos'!$B$41),"")</f>
        <v>0.21</v>
      </c>
      <c r="H29" s="28" t="n"/>
    </row>
    <row r="30">
      <c r="A30" s="28" t="inlineStr">
        <is>
          <t>Mantenimiento de la cafetera y los molinos (técnico, juntas y filtros)</t>
        </is>
      </c>
      <c r="B30" s="29" t="n">
        <v>600</v>
      </c>
      <c r="C30" s="32">
        <f>IFERROR(IF(C9="","",B30*(1+'0. Supuestos'!$B$48)),"")</f>
        <v>600.0</v>
      </c>
      <c r="D30" s="32">
        <f>IFERROR(IF(D9="","",C30*(1+'0. Supuestos'!$B$48)),"")</f>
        <v>600.0</v>
      </c>
      <c r="E30" s="68">
        <f>IFERROR(B30/$B$9,"")</f>
        <v>0.005514199062586159</v>
      </c>
      <c r="F30" s="28" t="inlineStr">
        <is>
          <t>Revisión anual del técnico, juntas y duchas de los grupos, fresas del molino y cartuchos del filtro descalcificador</t>
        </is>
      </c>
      <c r="G30" s="68">
        <f>IFERROR(IF(B9="","",'0. Supuestos'!$B$41),"")</f>
        <v>0.21</v>
      </c>
      <c r="H30" s="28" t="n"/>
    </row>
    <row r="31">
      <c r="A31" s="28" t="inlineStr">
        <is>
          <t>Uniformes y lavandería</t>
        </is>
      </c>
      <c r="B31" s="29" t="n">
        <v>300</v>
      </c>
      <c r="C31" s="32">
        <f>IFERROR(IF(C9="","",B31*(1+'0. Supuestos'!$B$48)),"")</f>
        <v>300.0</v>
      </c>
      <c r="D31" s="32">
        <f>IFERROR(IF(D9="","",C31*(1+'0. Supuestos'!$B$48)),"")</f>
        <v>300.0</v>
      </c>
      <c r="E31" s="68">
        <f>IFERROR(B31/$B$9,"")</f>
        <v>0.0027570995312930797</v>
      </c>
      <c r="F31" s="28" t="inlineStr">
        <is>
          <t>Delantales, camisas y paños: lavado y reposición</t>
        </is>
      </c>
      <c r="G31" s="68">
        <f>IFERROR(IF(B9="","",'0. Supuestos'!$B$41),"")</f>
        <v>0.21</v>
      </c>
      <c r="H31" s="28" t="n"/>
    </row>
    <row r="32">
      <c r="A32" s="28" t="inlineStr">
        <is>
          <t>Gestión de residuos (posos de café y envases)</t>
        </is>
      </c>
      <c r="B32" s="29" t="n">
        <v>100</v>
      </c>
      <c r="C32" s="32">
        <f>IFERROR(IF(C9="","",B32*(1+'0. Supuestos'!$B$48)),"")</f>
        <v>100.0</v>
      </c>
      <c r="D32" s="32">
        <f>IFERROR(IF(D9="","",C32*(1+'0. Supuestos'!$B$48)),"")</f>
        <v>100.0</v>
      </c>
      <c r="E32" s="68">
        <f>IFERROR(B32/$B$9,"")</f>
        <v>0.0009190331770976933</v>
      </c>
      <c r="F32" s="28" t="inlineStr">
        <is>
          <t>Retirada de posos y envases al punto autorizado; el agua gris de los depósitos, nunca al terreno de la finca</t>
        </is>
      </c>
      <c r="G32" s="68">
        <f>IFERROR(IF(B9="","",'0. Supuestos'!$B$41),"")</f>
        <v>0.21</v>
      </c>
      <c r="H32" s="28" t="n"/>
    </row>
    <row r="33">
      <c r="A33" s="28" t="inlineStr">
        <is>
          <t>Prevención de riesgos laborales y vigilancia de la salud</t>
        </is>
      </c>
      <c r="B33" s="29" t="n">
        <v>300</v>
      </c>
      <c r="C33" s="32">
        <f>IFERROR(IF(C9="","",B33*(1+'0. Supuestos'!$B$48)),"")</f>
        <v>300.0</v>
      </c>
      <c r="D33" s="32">
        <f>IFERROR(IF(D9="","",C33*(1+'0. Supuestos'!$B$48)),"")</f>
        <v>300.0</v>
      </c>
      <c r="E33" s="68">
        <f>IFERROR(B33/$B$9,"")</f>
        <v>0.0027570995312930797</v>
      </c>
      <c r="F33" s="28" t="inlineStr">
        <is>
          <t>Plan de prevención obligatorio (Ley 31/1995): quemaduras de vapor, cargas, conducción y posturas, y reconocimientos médicos</t>
        </is>
      </c>
      <c r="G33" s="68">
        <f>IFERROR(IF(B9="","",'0. Supuestos'!$B$41),"")</f>
        <v>0.21</v>
      </c>
      <c r="H33" s="28" t="n"/>
    </row>
    <row r="34">
      <c r="A34" s="28" t="inlineStr">
        <is>
          <t>Catas y degustaciones comerciales</t>
        </is>
      </c>
      <c r="B34" s="29" t="n">
        <v>300</v>
      </c>
      <c r="C34" s="32">
        <f>IFERROR(IF(C9="","",B34*(1+'0. Supuestos'!$B$48)),"")</f>
        <v>300.0</v>
      </c>
      <c r="D34" s="32">
        <f>IFERROR(IF(D9="","",C34*(1+'0. Supuestos'!$B$48)),"")</f>
        <v>300.0</v>
      </c>
      <c r="E34" s="68">
        <f>IFERROR(B34/$B$9,"")</f>
        <v>0.0027570995312930797</v>
      </c>
      <c r="F34" s="28" t="inlineStr">
        <is>
          <t>Café, leche y horas de las catas para novios, agencias y planners que no se cobran</t>
        </is>
      </c>
      <c r="G34" s="68">
        <f>IFERROR(IF(B9="","",'0. Supuestos'!$B$41),"")</f>
        <v>0.21</v>
      </c>
      <c r="H34" s="28" t="n"/>
    </row>
    <row r="35">
      <c r="A35" s="28" t="inlineStr">
        <is>
          <t>Licencias y tasas de venta en ferias y mercados</t>
        </is>
      </c>
      <c r="B35" s="29" t="n">
        <v>300</v>
      </c>
      <c r="C35" s="32">
        <f>IFERROR(IF(C9="","",B35*(1+'0. Supuestos'!$B$48)),"")</f>
        <v>300.0</v>
      </c>
      <c r="D35" s="32">
        <f>IFERROR(IF(D9="","",C35*(1+'0. Supuestos'!$B$48)),"")</f>
        <v>300.0</v>
      </c>
      <c r="E35" s="68">
        <f>IFERROR(B35/$B$9,"")</f>
        <v>0.0027570995312930797</v>
      </c>
      <c r="F35" s="28" t="inlineStr">
        <is>
          <t>Autorizaciones municipales de venta no sedentaria y tasas de ocupación de las jornadas de venta directa (RD 199/2010). Pon las de tu ayuntamiento. Las tasas municipales no llevan IVA, pero el libro aplica a todos los costes fijos el tipo general de la columna de al lado: aquí suma unos 63 € al año de IVA que pagas y te deduces en el mismo trimestre, sin efecto en el resultado</t>
        </is>
      </c>
      <c r="G35" s="68">
        <f>IFERROR(IF(B9="","",'0. Supuestos'!$B$41),"")</f>
        <v>0.21</v>
      </c>
      <c r="H35" s="28" t="n"/>
    </row>
    <row r="36">
      <c r="A36" s="28" t="inlineStr">
        <is>
          <t>Amortización del inmovilizado</t>
        </is>
      </c>
      <c r="B36" s="32">
        <f>IFERROR(IF(B9="","",'Inversión Inicial'!$B$33),"")</f>
        <v>4102.0</v>
      </c>
      <c r="C36" s="32">
        <f>IFERROR(IF(C9="","",B36),"")</f>
        <v>4102.0</v>
      </c>
      <c r="D36" s="32">
        <f>IFERROR(IF(D9="","",B36),"")</f>
        <v>4102.0</v>
      </c>
      <c r="E36" s="68">
        <f>IFERROR(B36/$B$9,"")</f>
        <v>0.03769874092454738</v>
      </c>
      <c r="F36" s="28" t="inlineStr">
        <is>
          <t>Sale de las bases de amortización de la hoja de Inversión: sólo inmovilizado real. NO sube con el IPC: es una cuota sobre el coste HISTÓRICO del inmovilizado</t>
        </is>
      </c>
      <c r="G36" s="68" t="n">
        <v>0</v>
      </c>
      <c r="H36" s="28" t="n"/>
    </row>
    <row r="37">
      <c r="A37" s="28" t="inlineStr">
        <is>
          <t>Gastos financieros (intereses del préstamo)</t>
        </is>
      </c>
      <c r="B37" s="32">
        <f>IFERROR(IF(B9="","",'Financiación'!$B$44),"")</f>
        <v>2892.5</v>
      </c>
      <c r="C37" s="32">
        <f>IFERROR(IF(C9="","",'Financiación'!$B$46),"")</f>
        <v>2892.5</v>
      </c>
      <c r="D37" s="32">
        <f>IFERROR(IF(D9="","",'Financiación'!$B$48),"")</f>
        <v>2384.4770999992693</v>
      </c>
      <c r="E37" s="68">
        <f>IFERROR(B37/$B$9,"")</f>
        <v>0.026583034647550775</v>
      </c>
      <c r="F37" s="28" t="inlineStr">
        <is>
          <t>Sólo los INTERESES son gasto. La devolución del principal va en la hoja de Tesorería</t>
        </is>
      </c>
      <c r="G37" s="68" t="n">
        <v>0</v>
      </c>
      <c r="H37" s="28" t="n"/>
    </row>
    <row r="38">
      <c r="A38" s="25" t="inlineStr">
        <is>
          <t>TOTAL COSTES FIJOS</t>
        </is>
      </c>
      <c r="B38" s="26">
        <f>IFERROR(IF(B9="","",SUM(B22:B37)),"")</f>
        <v>66680.42000000001</v>
      </c>
      <c r="C38" s="26">
        <f>IFERROR(IF(C9="","",SUM(C22:C37)),"")</f>
        <v>72680.42000000001</v>
      </c>
      <c r="D38" s="26">
        <f>IFERROR(IF(D9="","",SUM(D22:D37)),"")</f>
        <v>78172.39709999929</v>
      </c>
      <c r="E38" s="67">
        <f>IFERROR(B38/$B$9,"")</f>
        <v>0.6128151824280857</v>
      </c>
      <c r="F38" s="28" t="n"/>
      <c r="G38" s="28" t="n"/>
      <c r="H38" s="28" t="n"/>
    </row>
    <row r="39">
      <c r="A39" s="28" t="inlineStr">
        <is>
          <t>IVA soportado de los costes variables</t>
        </is>
      </c>
      <c r="B39" s="32">
        <f>IFERROR(IF(B9="","",SUMPRODUCT(B13:B18,G13:G18)),"")</f>
        <v>4215.95226</v>
      </c>
      <c r="C39" s="32">
        <f>IFERROR(IF(C9="","",SUMPRODUCT(C13:C18,G13:G18)),"")</f>
        <v>4637.547486</v>
      </c>
      <c r="D39" s="32">
        <f>IFERROR(IF(D9="","",SUMPRODUCT(D13:D18,G13:G18)),"")</f>
        <v>5008.551284880001</v>
      </c>
      <c r="E39" s="28" t="n"/>
      <c r="F39" s="28" t="inlineStr">
        <is>
          <t>Cada línea a SU tipo, leído de la columna de al lado. Es lo que la hoja de Tesorería paga de más a los proveedores y luego se deduce</t>
        </is>
      </c>
      <c r="G39" s="28" t="n"/>
      <c r="H39" s="28" t="n"/>
    </row>
    <row r="40">
      <c r="A40" s="28" t="inlineStr">
        <is>
          <t>IVA soportado de los costes fijos</t>
        </is>
      </c>
      <c r="B40" s="32">
        <f>IFERROR(IF(B9="","",SUMPRODUCT(B22:B37,G22:G37)),"")</f>
        <v>2814.0</v>
      </c>
      <c r="C40" s="32">
        <f>IFERROR(IF(C9="","",SUMPRODUCT(C22:C37,G22:G37)),"")</f>
        <v>2814.0</v>
      </c>
      <c r="D40" s="32">
        <f>IFERROR(IF(D9="","",SUMPRODUCT(D22:D37,G22:G37)),"")</f>
        <v>2814.0</v>
      </c>
      <c r="E40" s="28" t="n"/>
      <c r="F40" s="28" t="n"/>
      <c r="G40" s="28" t="n"/>
      <c r="H40" s="28" t="n"/>
    </row>
    <row r="41">
      <c r="A41" s="25" t="inlineStr">
        <is>
          <t>RESULTADO ANTES DE IMPUESTOS</t>
        </is>
      </c>
      <c r="B41" s="26">
        <f>IFERROR(IF(B9="","",B20-B38),"")</f>
        <v>10400.583999999988</v>
      </c>
      <c r="C41" s="26">
        <f>IFERROR(IF(C9="","",C20-C38),"")</f>
        <v>12108.684399999984</v>
      </c>
      <c r="D41" s="26">
        <f>IFERROR(IF(D9="","",D20-D38),"")</f>
        <v>13399.835652000722</v>
      </c>
      <c r="E41" s="67">
        <f>IFERROR(B41/$B$9,"")</f>
        <v>0.09558481757191424</v>
      </c>
      <c r="F41" s="28" t="n"/>
      <c r="G41" s="28" t="n"/>
      <c r="H41" s="28" t="n"/>
    </row>
    <row r="42">
      <c r="A42" s="28" t="inlineStr">
        <is>
          <t>Bases negativas pendientes al inicio</t>
        </is>
      </c>
      <c r="B42" s="32">
        <f>IFERROR(IF(B9="","",'0. Supuestos'!$B$42),"")</f>
        <v>0.0</v>
      </c>
      <c r="C42" s="32">
        <f>IFERROR(IF(C9="","",B47),"")</f>
        <v>0.0</v>
      </c>
      <c r="D42" s="32">
        <f>IFERROR(IF(D9="","",C47),"")</f>
        <v>0.0</v>
      </c>
      <c r="E42" s="28" t="n"/>
      <c r="F42" s="28" t="inlineStr">
        <is>
          <t>Art. 26 LIS: las pérdidas de un ejercicio se compensan con los beneficios de los siguientes</t>
        </is>
      </c>
      <c r="G42" s="28" t="n"/>
      <c r="H42" s="28" t="n"/>
    </row>
    <row r="43">
      <c r="A43" s="28" t="inlineStr">
        <is>
          <t>Base imponible (después de compensar)</t>
        </is>
      </c>
      <c r="B43" s="32">
        <f>IFERROR(IF(B9="","",MAX(0,B41-B42)),"")</f>
        <v>10400.583999999988</v>
      </c>
      <c r="C43" s="32">
        <f>IFERROR(IF(C9="","",MAX(0,C41-C42)),"")</f>
        <v>12108.684399999984</v>
      </c>
      <c r="D43" s="32">
        <f>IFERROR(IF(D9="","",MAX(0,D41-D42)),"")</f>
        <v>13399.835652000722</v>
      </c>
      <c r="E43" s="28" t="n"/>
      <c r="F43" s="28" t="n"/>
      <c r="G43" s="28" t="n"/>
      <c r="H43" s="28" t="n"/>
    </row>
    <row r="44">
      <c r="A44" s="28" t="inlineStr">
        <is>
          <t>Ejercicios con base positiva (acumulado)</t>
        </is>
      </c>
      <c r="B44" s="40">
        <f>IFERROR(IF(B9="","",IF(B43&gt;0,1,0)),"")</f>
        <v>1.0</v>
      </c>
      <c r="C44" s="40">
        <f>IFERROR(IF(C9="","",B44+IF(C43&gt;0,1,0)),"")</f>
        <v>2.0</v>
      </c>
      <c r="D44" s="40">
        <f>IFERROR(IF(D9="","",C44+IF(D43&gt;0,1,0)),"")</f>
        <v>3.0</v>
      </c>
      <c r="E44" s="28" t="n"/>
      <c r="F44" s="28" t="n"/>
      <c r="G44" s="28" t="n"/>
      <c r="H44" s="28" t="n"/>
    </row>
    <row r="45">
      <c r="A45" s="28" t="inlineStr">
        <is>
          <t>Tipo de Impuesto de Sociedades aplicado</t>
        </is>
      </c>
      <c r="B45" s="68">
        <f>IFERROR(IF(B9="","",IF(B43&lt;=0,"",IF(B44&lt;=2,'0. Supuestos'!$B$37,'0. Supuestos'!$B$38))),"")</f>
        <v>0.15</v>
      </c>
      <c r="C45" s="68">
        <f>IFERROR(IF(C9="","",IF(C43&lt;=0,"",IF(C44&lt;=2,'0. Supuestos'!$B$37,'0. Supuestos'!$B$38))),"")</f>
        <v>0.15</v>
      </c>
      <c r="D45" s="68">
        <f>IFERROR(IF(D9="","",IF(D43&lt;=0,"",IF(D44&lt;=2,'0. Supuestos'!$B$37,'0. Supuestos'!$B$38))),"")</f>
        <v>0.25</v>
      </c>
      <c r="E45" s="28" t="n"/>
      <c r="F45" s="28" t="inlineStr">
        <is>
          <t>Art. 29.1 LIS: el 15 % de entidad de nueva creación se aplica al PRIMER ejercicio con base positiva y al SIGUIENTE, no al primer año de vida. El libro lo aproxima contando los dos primeros ejercicios con base positiva</t>
        </is>
      </c>
      <c r="G45" s="28" t="n"/>
      <c r="H45" s="28" t="n"/>
    </row>
    <row r="46">
      <c r="A46" s="28" t="inlineStr">
        <is>
          <t>Impuesto de Sociedades</t>
        </is>
      </c>
      <c r="B46" s="32">
        <f>IFERROR(IF(B9="","",IF(B45="",0,B43*B45)),"")</f>
        <v>1560.0875999999982</v>
      </c>
      <c r="C46" s="32">
        <f>IFERROR(IF(C9="","",IF(C45="",0,C43*C45)),"")</f>
        <v>1816.3026599999976</v>
      </c>
      <c r="D46" s="32">
        <f>IFERROR(IF(D9="","",IF(D45="",0,D43*D45)),"")</f>
        <v>3349.9589130001805</v>
      </c>
      <c r="E46" s="28" t="n"/>
      <c r="F46" s="28" t="n"/>
      <c r="G46" s="28" t="n"/>
      <c r="H46" s="28" t="n"/>
    </row>
    <row r="47">
      <c r="A47" s="28" t="inlineStr">
        <is>
          <t>Bases negativas pendientes al cierre</t>
        </is>
      </c>
      <c r="B47" s="32">
        <f>IFERROR(IF(B9="","",MAX(0,B42-B41)),"")</f>
        <v>0.0</v>
      </c>
      <c r="C47" s="32">
        <f>IFERROR(IF(C9="","",MAX(0,C42-C41)),"")</f>
        <v>0.0</v>
      </c>
      <c r="D47" s="32">
        <f>IFERROR(IF(D9="","",MAX(0,D42-D41)),"")</f>
        <v>0.0</v>
      </c>
      <c r="E47" s="28" t="n"/>
      <c r="F47" s="28" t="n"/>
      <c r="G47" s="28" t="n"/>
      <c r="H47" s="28" t="n"/>
    </row>
    <row r="48">
      <c r="A48" s="25" t="inlineStr">
        <is>
          <t>RESULTADO NETO</t>
        </is>
      </c>
      <c r="B48" s="26">
        <f>IFERROR(IF(B9="","",B41-B46),"")</f>
        <v>8840.496399999989</v>
      </c>
      <c r="C48" s="26">
        <f>IFERROR(IF(C9="","",C41-C46),"")</f>
        <v>10292.381739999986</v>
      </c>
      <c r="D48" s="26">
        <f>IFERROR(IF(D9="","",D41-D46),"")</f>
        <v>10049.876739000541</v>
      </c>
      <c r="E48" s="67">
        <f>IFERROR(B48/$B$9,"")</f>
        <v>0.0812470949361271</v>
      </c>
      <c r="F48" s="28" t="n"/>
      <c r="G48" s="28" t="n"/>
      <c r="H48" s="28" t="n"/>
    </row>
    <row r="49">
      <c r="A49" s="25" t="inlineStr">
        <is>
          <t>RATIOS CLAVE</t>
        </is>
      </c>
      <c r="B49" s="28" t="n"/>
      <c r="C49" s="28" t="n"/>
      <c r="D49" s="28" t="n"/>
      <c r="E49" s="28" t="n"/>
      <c r="F49" s="28" t="n"/>
      <c r="G49" s="28" t="n"/>
      <c r="H49" s="28" t="n"/>
    </row>
    <row r="50">
      <c r="A50" s="25" t="inlineStr">
        <is>
          <t>Ratio</t>
        </is>
      </c>
      <c r="B50" s="25" t="inlineStr">
        <is>
          <t>Año 1</t>
        </is>
      </c>
      <c r="C50" s="25" t="inlineStr">
        <is>
          <t>Año 2</t>
        </is>
      </c>
      <c r="D50" s="25" t="inlineStr">
        <is>
          <t>Año 3</t>
        </is>
      </c>
      <c r="E50" s="25" t="inlineStr">
        <is>
          <t>Umbral</t>
        </is>
      </c>
      <c r="F50" s="25" t="inlineStr">
        <is>
          <t>Comentario</t>
        </is>
      </c>
      <c r="G50" s="28" t="n"/>
      <c r="H50" s="28" t="n"/>
    </row>
    <row r="51">
      <c r="A51" s="28" t="inlineStr">
        <is>
          <t>Margen bruto / Ventas</t>
        </is>
      </c>
      <c r="B51" s="68">
        <f>IFERROR(IF(B9="","",B20/B9),"")</f>
        <v>0.7084</v>
      </c>
      <c r="C51" s="68">
        <f>IFERROR(IF(C9="","",C20/C9),"")</f>
        <v>0.7083999999999999</v>
      </c>
      <c r="D51" s="68">
        <f>IFERROR(IF(D9="","",D20/D9),"")</f>
        <v>0.7083999999999999</v>
      </c>
      <c r="E51" s="75" t="n">
        <v>0.65</v>
      </c>
      <c r="F51" s="28" t="inlineStr">
        <is>
          <t>Los costes variables de la barra incluyen vasos, gasolina, combustible, canon de ferias y medios de pago además de la mercancía: un margen bruto por debajo del 65 % no paga la plantilla. Estimación del kit</t>
        </is>
      </c>
      <c r="G51" s="28" t="n"/>
      <c r="H51" s="28" t="n"/>
    </row>
    <row r="52">
      <c r="A52" s="28" t="inlineStr">
        <is>
          <t>Coste de mercancía (comida + bebida)</t>
        </is>
      </c>
      <c r="B52" s="32">
        <f>IFERROR(IF(B9="","",B13+B14),"")</f>
        <v>21000.33</v>
      </c>
      <c r="C52" s="32">
        <f>IFERROR(IF(C9="","",C13+C14),"")</f>
        <v>23100.363</v>
      </c>
      <c r="D52" s="32">
        <f>IFERROR(IF(D9="","",D13+D14),"")</f>
        <v>24948.392040000006</v>
      </c>
      <c r="E52" s="28" t="n"/>
      <c r="F52" s="28" t="n"/>
      <c r="G52" s="28" t="n"/>
      <c r="H52" s="28" t="n"/>
    </row>
    <row r="53">
      <c r="A53" s="28" t="inlineStr">
        <is>
          <t>Coste de mercancía / Ventas</t>
        </is>
      </c>
      <c r="B53" s="68">
        <f>IFERROR(IF(B9="","",B52/B9),"")</f>
        <v>0.193</v>
      </c>
      <c r="C53" s="68">
        <f>IFERROR(IF(C9="","",C52/C9),"")</f>
        <v>0.193</v>
      </c>
      <c r="D53" s="68">
        <f>IFERROR(IF(D9="","",D52/D9),"")</f>
        <v>0.193</v>
      </c>
      <c r="E53" s="75" t="n">
        <v>0.22</v>
      </c>
      <c r="F53" s="28" t="inlineStr">
        <is>
          <t>Techo de la mercancía (café, leche y bollería) sobre ventas. Estimación del kit</t>
        </is>
      </c>
      <c r="G53" s="28" t="n"/>
      <c r="H53" s="28" t="n"/>
    </row>
    <row r="54">
      <c r="A54" s="28" t="inlineStr">
        <is>
          <t>Coste de personal / Ventas</t>
        </is>
      </c>
      <c r="B54" s="68">
        <f>IFERROR(IF(B9="","",B23/B9),"")</f>
        <v>0.41343552982262666</v>
      </c>
      <c r="C54" s="68">
        <f>IFERROR(IF(C9="","",C23/C9),"")</f>
        <v>0.4259795640440802</v>
      </c>
      <c r="D54" s="68">
        <f>IFERROR(IF(D9="","",D23/D9),"")</f>
        <v>0.44084133928817315</v>
      </c>
      <c r="E54" s="75" t="n">
        <v>0.45</v>
      </c>
      <c r="F54" s="28" t="inlineStr">
        <is>
          <t>Techo del personal sobre ventas: carga, viaje, montaje, servicio y limpieza en cada evento. Estimación del kit</t>
        </is>
      </c>
      <c r="G54" s="28" t="n"/>
      <c r="H54" s="28" t="n"/>
    </row>
    <row r="55">
      <c r="A55" s="28" t="inlineStr">
        <is>
          <t>Cuota del almacén base / Ventas</t>
        </is>
      </c>
      <c r="B55" s="68">
        <f>IFERROR(IF(B9="","",B22/B9),"")</f>
        <v>0.044113592500689275</v>
      </c>
      <c r="C55" s="68">
        <f>IFERROR(IF(C9="","",C22/C9),"")</f>
        <v>0.04010326590971752</v>
      </c>
      <c r="D55" s="68">
        <f>IFERROR(IF(D9="","",D22/D9),"")</f>
        <v>0.037132653620108806</v>
      </c>
      <c r="E55" s="75" t="n">
        <v>0.06</v>
      </c>
      <c r="F55" s="28" t="inlineStr">
        <is>
          <t>Techo de la cuota del almacén base sobre las ventas: estimación del kit</t>
        </is>
      </c>
      <c r="G55" s="28" t="n"/>
      <c r="H55" s="28" t="n"/>
    </row>
    <row r="56">
      <c r="A56" s="28" t="inlineStr">
        <is>
          <t>Resultado neto / Ventas</t>
        </is>
      </c>
      <c r="B56" s="68">
        <f>IFERROR(IF(B9="","",B48/B9),"")</f>
        <v>0.0812470949361271</v>
      </c>
      <c r="C56" s="68">
        <f>IFERROR(IF(C9="","",C48/C9),"")</f>
        <v>0.08599127536740428</v>
      </c>
      <c r="D56" s="68">
        <f>IFERROR(IF(D9="","",D48/D9),"")</f>
        <v>0.07774553997376996</v>
      </c>
      <c r="E56" s="75" t="n">
        <v>0.05</v>
      </c>
      <c r="F56" s="28" t="inlineStr">
        <is>
          <t>Suelo de resultado neto para que el plan se sostenga: estimación del kit</t>
        </is>
      </c>
      <c r="G56" s="28" t="n"/>
      <c r="H56" s="28" t="n"/>
    </row>
    <row r="57">
      <c r="A57" s="28" t="inlineStr">
        <is>
          <t>Punto de equilibrio alcanzado</t>
        </is>
      </c>
      <c r="B57" s="28" t="str">
        <f>IFERROR(IF(B9="","",IF(B9&gt;='Punto Equilibrio'!$B$16,"Sí","No")),"")</f>
        <v>Sí</v>
      </c>
      <c r="C57" s="28" t="str">
        <f>IFERROR(IF(C9="","",IF(C9&gt;='Punto Equilibrio'!$C$16,"Sí","No")),"")</f>
        <v>Sí</v>
      </c>
      <c r="D57" s="28" t="str">
        <f>IFERROR(IF(D9="","",IF(D9&gt;='Punto Equilibrio'!$D$16,"Sí","No")),"")</f>
        <v>Sí</v>
      </c>
      <c r="E57" s="28" t="n"/>
      <c r="F57" s="28" t="inlineStr">
        <is>
          <t>Compara las ventas de CADA año con el umbral de ese mismo año, que calcula la hoja de Punto de Equilibrio con los costes fijos del año</t>
        </is>
      </c>
      <c r="G57" s="28" t="n"/>
      <c r="H57" s="28" t="n"/>
    </row>
    <row r="58">
      <c r="A58" s="28" t="n"/>
      <c r="B58" s="28" t="n"/>
      <c r="C58" s="28" t="n"/>
      <c r="D58" s="28" t="n"/>
      <c r="E58" s="28" t="n"/>
      <c r="F58" s="28" t="n"/>
      <c r="G58" s="28" t="n"/>
      <c r="H58" s="28" t="n"/>
    </row>
    <row r="59" ht="165" customHeight="1">
      <c r="A59" s="46" t="inlineStr">
        <is>
          <t>Todas las cifras van SIN IVA. Las columnas de los años 2 y 3 están en euros del año 1 salvo que subas la actualización de costes en la hoja de Supuestos. La columna «Tipo de IVA de la línea» dice, en las líneas de VENTA, a qué tipo se repercute cada una, y en las de COSTE a qué tipo se compra la partida. La lee la hoja de Tesorería: los seguros y las comisiones de los medios de pago están exentos, y las nóminas, la amortización y los intereses no llevan IVA.</t>
        </is>
      </c>
      <c r="B59" s="28" t="n"/>
      <c r="C59" s="28" t="n"/>
      <c r="D59" s="28" t="n"/>
      <c r="E59" s="28" t="n"/>
      <c r="F59" s="28" t="n"/>
      <c r="G59" s="28" t="n"/>
      <c r="H59" s="28" t="n"/>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B51:D51">
    <cfRule type="expression" priority="1" dxfId="1" stopIfTrue="1">
      <formula>AND(ISNUMBER(B51),B51&lt;$E$51)</formula>
    </cfRule>
    <cfRule type="expression" priority="2" dxfId="0" stopIfTrue="1">
      <formula>AND(ISNUMBER(B51),B51&gt;=$E$51)</formula>
    </cfRule>
  </conditionalFormatting>
  <conditionalFormatting sqref="B53:D53">
    <cfRule type="expression" priority="3" dxfId="1" stopIfTrue="1">
      <formula>AND(ISNUMBER(B53),B53&gt;$E$53)</formula>
    </cfRule>
    <cfRule type="expression" priority="4" dxfId="0" stopIfTrue="1">
      <formula>AND(ISNUMBER(B53),B53&lt;=$E$53)</formula>
    </cfRule>
  </conditionalFormatting>
  <conditionalFormatting sqref="B54:D54">
    <cfRule type="expression" priority="5" dxfId="1" stopIfTrue="1">
      <formula>AND(ISNUMBER(B54),B54&gt;$E$54)</formula>
    </cfRule>
    <cfRule type="expression" priority="6" dxfId="0" stopIfTrue="1">
      <formula>AND(ISNUMBER(B54),B54&lt;=$E$54)</formula>
    </cfRule>
  </conditionalFormatting>
  <conditionalFormatting sqref="B55:D55">
    <cfRule type="expression" priority="7" dxfId="1" stopIfTrue="1">
      <formula>AND(ISNUMBER(B55),B55&gt;$E$55)</formula>
    </cfRule>
    <cfRule type="expression" priority="8" dxfId="0" stopIfTrue="1">
      <formula>AND(ISNUMBER(B55),B55&lt;=$E$55)</formula>
    </cfRule>
  </conditionalFormatting>
  <conditionalFormatting sqref="B56:D56">
    <cfRule type="expression" priority="9" dxfId="1" stopIfTrue="1">
      <formula>AND(ISNUMBER(B56),B56&lt;$E$56)</formula>
    </cfRule>
    <cfRule type="expression" priority="10" dxfId="0" stopIfTrue="1">
      <formula>AND(ISNUMBER(B56),B56&gt;=$E$56)</formula>
    </cfRule>
  </conditionalFormatting>
  <conditionalFormatting sqref="B57:D57">
    <cfRule type="containsText" priority="11" operator="containsText" dxfId="0" stopIfTrue="1" text="Sí">
      <formula>NOT(ISERROR(SEARCH("Sí",B57)))</formula>
    </cfRule>
    <cfRule type="containsText" priority="12" operator="containsText" dxfId="1" stopIfTrue="1" text="No">
      <formula>NOT(ISERROR(SEARCH("No",B57)))</formula>
    </cfRule>
  </conditionalFormatting>
  <conditionalFormatting sqref="B41:E41">
    <cfRule type="expression" priority="13" dxfId="1" stopIfTrue="1">
      <formula>AND(ISNUMBER(B41),B41&lt;0)</formula>
    </cfRule>
    <cfRule type="expression" priority="14" dxfId="0" stopIfTrue="1">
      <formula>AND(ISNUMBER(B41),B41&gt;0)</formula>
    </cfRule>
  </conditionalFormatting>
  <conditionalFormatting sqref="B48:E48">
    <cfRule type="expression" priority="15" dxfId="1" stopIfTrue="1">
      <formula>AND(ISNUMBER(B48),B48&lt;0)</formula>
    </cfRule>
    <cfRule type="expression" priority="16" dxfId="0" stopIfTrue="1">
      <formula>AND(ISNUMBER(B48),B48&gt;0)</formula>
    </cfRule>
  </conditionalFormatting>
  <conditionalFormatting sqref="B56:E56">
    <cfRule type="expression" priority="17" dxfId="1" stopIfTrue="1">
      <formula>AND(ISNUMBER(B56),B56&lt;0)</formula>
    </cfRule>
    <cfRule type="expression" priority="18" dxfId="0" stopIfTrue="1">
      <formula>AND(ISNUMBER(B56),B56&gt;0)</formula>
    </cfRule>
  </conditionalFormatting>
  <dataValidations count="2">
    <dataValidation sqref="B26 B27 B28 B29 B30 B31 B32 B33 B34 B35" showDropDown="0" showInputMessage="0" showErrorMessage="1" allowBlank="1" errorTitle="Importe no válido" error="Escribe un número mayor o igual que 0." type="decimal" operator="greaterThanOrEqual">
      <formula1>0</formula1>
    </dataValidation>
    <dataValidation sqref="E51 E53 E54 E55 E56"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56"/>
  <sheetViews>
    <sheetView workbookViewId="0">
      <pane ySplit="4" topLeftCell="A5" activePane="bottomLeft" state="frozen"/>
      <selection pane="bottomLeft" activeCell="A1" sqref="A1"/>
    </sheetView>
  </sheetViews>
  <sheetFormatPr baseColWidth="8" defaultRowHeight="15"/>
  <cols>
    <col width="44" customWidth="1" min="1" max="1"/>
    <col width="18" customWidth="1" min="2" max="2"/>
    <col width="40" customWidth="1" min="3" max="3"/>
    <col width="16" customWidth="1" min="4" max="4"/>
    <col width="52" customWidth="1" min="5" max="5"/>
    <col width="14" customWidth="1" min="6" max="6"/>
  </cols>
  <sheetData>
    <row r="1">
      <c r="A1" s="1" t="inlineStr">
        <is>
          <t>ANÁLISIS DE PUNTO DE EQUILIBRIO</t>
        </is>
      </c>
    </row>
    <row r="2">
      <c r="A2" s="3" t="inlineStr">
        <is>
          <t>Punto de equilibrio — cafetería móvil para eventos</t>
        </is>
      </c>
    </row>
    <row r="3"/>
    <row r="4">
      <c r="A4" s="25" t="inlineStr">
        <is>
          <t>Variable</t>
        </is>
      </c>
      <c r="B4" s="25" t="inlineStr">
        <is>
          <t>Año 1</t>
        </is>
      </c>
      <c r="C4" s="25" t="inlineStr">
        <is>
          <t>Año 2</t>
        </is>
      </c>
      <c r="D4" s="25" t="inlineStr">
        <is>
          <t>Año 3</t>
        </is>
      </c>
      <c r="E4" s="25" t="inlineStr">
        <is>
          <t>Notas</t>
        </is>
      </c>
      <c r="F4" s="28" t="n"/>
    </row>
    <row r="5">
      <c r="A5" s="25" t="inlineStr">
        <is>
          <t>DATOS BASE POR AÑO</t>
        </is>
      </c>
      <c r="B5" s="28" t="n"/>
      <c r="C5" s="28" t="n"/>
      <c r="D5" s="28" t="n"/>
      <c r="E5" s="28" t="n"/>
      <c r="F5" s="28" t="n"/>
    </row>
    <row r="6">
      <c r="A6" s="28" t="inlineStr">
        <is>
          <t>Costes fijos anuales</t>
        </is>
      </c>
      <c r="B6" s="70">
        <f>IFERROR(IF('PyG 3 Años'!$B$9="","",'PyG 3 Años'!$B$38),"")</f>
        <v>66680.42000000001</v>
      </c>
      <c r="C6" s="70">
        <f>IFERROR(IF('PyG 3 Años'!$C$9="","",'PyG 3 Años'!$C$38),"")</f>
        <v>72680.42000000001</v>
      </c>
      <c r="D6" s="70">
        <f>IFERROR(IF('PyG 3 Años'!$D$9="","",'PyG 3 Años'!$D$38),"")</f>
        <v>78172.39709999929</v>
      </c>
      <c r="E6" s="28" t="inlineStr">
        <is>
          <t>Los MISMOS costes fijos del P&amp;L. Cada año tiene los suyos: por eso el umbral no puede ser uno solo para los tres</t>
        </is>
      </c>
      <c r="F6" s="28" t="n"/>
    </row>
    <row r="7">
      <c r="A7" s="28" t="inlineStr">
        <is>
          <t>Costes fijos mensuales</t>
        </is>
      </c>
      <c r="B7" s="70">
        <f>IFERROR(IF('PyG 3 Años'!$B$9="","",B6/12),"")</f>
        <v>5556.701666666668</v>
      </c>
      <c r="C7" s="70">
        <f>IFERROR(IF('PyG 3 Años'!$C$9="","",C6/12),"")</f>
        <v>6056.701666666668</v>
      </c>
      <c r="D7" s="70">
        <f>IFERROR(IF('PyG 3 Años'!$D$9="","",D6/12),"")</f>
        <v>6514.366424999941</v>
      </c>
      <c r="E7" s="28" t="n"/>
      <c r="F7" s="28" t="n"/>
    </row>
    <row r="8">
      <c r="A8" s="28" t="inlineStr">
        <is>
          <t>Precio medio por invitado sin IVA</t>
        </is>
      </c>
      <c r="B8" s="70">
        <f>IFERROR(IF('PyG 3 Años'!$B$9="","",'PyG 3 Años'!$B$7),"")</f>
        <v>6.2</v>
      </c>
      <c r="C8" s="70">
        <f>IFERROR(IF('PyG 3 Años'!$C$9="","",'PyG 3 Años'!$C$7),"")</f>
        <v>6.2</v>
      </c>
      <c r="D8" s="70">
        <f>IFERROR(IF('PyG 3 Años'!$D$9="","",'PyG 3 Años'!$D$7),"")</f>
        <v>6.2</v>
      </c>
      <c r="E8" s="28" t="n"/>
      <c r="F8" s="28" t="n"/>
    </row>
    <row r="9">
      <c r="A9" s="28" t="inlineStr">
        <is>
          <t>Coste variable por invitado</t>
        </is>
      </c>
      <c r="B9" s="70">
        <f>IFERROR(IF('PyG 3 Años'!$B$9="","",'PyG 3 Años'!$B$19/('PyG 3 Años'!$B$6*'PyG 3 Años'!$B$8)),"")</f>
        <v>1.80792</v>
      </c>
      <c r="C9" s="70">
        <f>IFERROR(IF('PyG 3 Años'!$C$9="","",'PyG 3 Años'!$C$19/('PyG 3 Años'!$C$6*'PyG 3 Años'!$C$8)),"")</f>
        <v>1.8079200000000002</v>
      </c>
      <c r="D9" s="70">
        <f>IFERROR(IF('PyG 3 Años'!$D$9="","",'PyG 3 Años'!$D$19/('PyG 3 Años'!$D$6*'PyG 3 Años'!$D$8)),"")</f>
        <v>1.8079200000000004</v>
      </c>
      <c r="E9" s="28" t="inlineStr">
        <is>
          <t>Sale del total de costes variables del P&amp;L, no de una estimación aparte. Incluye los varios e imprevistos, que son un porcentaje de las ventas</t>
        </is>
      </c>
      <c r="F9" s="28" t="n"/>
    </row>
    <row r="10">
      <c r="A10" s="28" t="inlineStr">
        <is>
          <t>Margen de contribución por invitado</t>
        </is>
      </c>
      <c r="B10" s="70">
        <f>IFERROR(IF('PyG 3 Años'!$B$9="","",B8-B9),"")</f>
        <v>4.39208</v>
      </c>
      <c r="C10" s="70">
        <f>IFERROR(IF('PyG 3 Años'!$C$9="","",C8-C9),"")</f>
        <v>4.39208</v>
      </c>
      <c r="D10" s="70">
        <f>IFERROR(IF('PyG 3 Años'!$D$9="","",D8-D9),"")</f>
        <v>4.39208</v>
      </c>
      <c r="E10" s="28" t="inlineStr">
        <is>
          <t>Precio por invitado menos coste variable unitario</t>
        </is>
      </c>
      <c r="F10" s="28" t="n"/>
    </row>
    <row r="11">
      <c r="A11" s="28" t="inlineStr">
        <is>
          <t>Eventos al año</t>
        </is>
      </c>
      <c r="B11" s="40">
        <f>IFERROR(IF('PyG 3 Años'!$B$9="","",'PyG 3 Años'!$B$8),"")</f>
        <v>130.0</v>
      </c>
      <c r="C11" s="40">
        <f>IFERROR(IF('PyG 3 Años'!$C$9="","",'PyG 3 Años'!$C$8),"")</f>
        <v>130.0</v>
      </c>
      <c r="D11" s="40">
        <f>IFERROR(IF('PyG 3 Años'!$D$9="","",'PyG 3 Años'!$D$8),"")</f>
        <v>130.0</v>
      </c>
      <c r="E11" s="28" t="inlineStr">
        <is>
          <t>El mismo calendario que el P&amp;L y que los escenarios</t>
        </is>
      </c>
      <c r="F11" s="28" t="n"/>
    </row>
    <row r="12">
      <c r="A12" s="28" t="inlineStr">
        <is>
          <t>Devolución de principal del año (cuota)</t>
        </is>
      </c>
      <c r="B12" s="70">
        <f>IFERROR(IF('PyG 3 Años'!$B$9="","",'Financiación'!$B$45),"")</f>
        <v>0.0</v>
      </c>
      <c r="C12" s="70">
        <f>IFERROR(IF('PyG 3 Años'!$C$9="","",'Financiación'!$B$47),"")</f>
        <v>7815.736923088165</v>
      </c>
      <c r="D12" s="70">
        <f>IFERROR(IF('PyG 3 Años'!$D$9="","",'Financiación'!$B$49),"")</f>
        <v>8323.759823088896</v>
      </c>
      <c r="E12" s="28" t="inlineStr">
        <is>
          <t>El principal NO es gasto del P&amp;L, pero sale de la caja. Sin él, el umbral de equilibrio se publica por debajo del real</t>
        </is>
      </c>
      <c r="F12" s="28" t="n"/>
    </row>
    <row r="13">
      <c r="A13" s="25" t="inlineStr">
        <is>
          <t>PUNTO DE EQUILIBRIO CONTABLE (incluye amortización)</t>
        </is>
      </c>
      <c r="B13" s="28" t="n"/>
      <c r="C13" s="28" t="n"/>
      <c r="D13" s="28" t="n"/>
      <c r="E13" s="28" t="n"/>
      <c r="F13" s="28" t="n"/>
    </row>
    <row r="14">
      <c r="A14" s="28" t="inlineStr">
        <is>
          <t>Invitados necesarios al año</t>
        </is>
      </c>
      <c r="B14" s="40">
        <f>IFERROR(IF('PyG 3 Años'!$B$9="","",IF(B10&lt;=0,"",B6/B10)),"")</f>
        <v>15181.968452305062</v>
      </c>
      <c r="C14" s="40">
        <f>IFERROR(IF('PyG 3 Años'!$C$9="","",IF(C10&lt;=0,"",C6/C10)),"")</f>
        <v>16548.063787544856</v>
      </c>
      <c r="D14" s="40">
        <f>IFERROR(IF('PyG 3 Años'!$D$9="","",IF(D10&lt;=0,"",D6/D10)),"")</f>
        <v>17798.491170470323</v>
      </c>
      <c r="E14" s="28" t="n"/>
      <c r="F14" s="28" t="n"/>
    </row>
    <row r="15">
      <c r="A15" s="28" t="inlineStr">
        <is>
          <t>Invitados necesarios por evento</t>
        </is>
      </c>
      <c r="B15" s="44">
        <f>IFERROR(IF('PyG 3 Años'!$B$9="","",B14/B11),"")</f>
        <v>116.78437271003894</v>
      </c>
      <c r="C15" s="44">
        <f>IFERROR(IF('PyG 3 Años'!$C$9="","",C14/C11),"")</f>
        <v>127.29279836572965</v>
      </c>
      <c r="D15" s="44">
        <f>IFERROR(IF('PyG 3 Años'!$D$9="","",D14/D11),"")</f>
        <v>136.9114705420794</v>
      </c>
      <c r="E15" s="28" t="n"/>
      <c r="F15" s="28" t="n"/>
    </row>
    <row r="16">
      <c r="A16" s="25" t="inlineStr">
        <is>
          <t>Ingresos necesarios al año</t>
        </is>
      </c>
      <c r="B16" s="26">
        <f>IFERROR(IF('PyG 3 Años'!$B$9="","",B14*B8),"")</f>
        <v>94128.20440429139</v>
      </c>
      <c r="C16" s="26">
        <f>IFERROR(IF('PyG 3 Años'!$C$9="","",C14*C8),"")</f>
        <v>102597.9954827781</v>
      </c>
      <c r="D16" s="26">
        <f>IFERROR(IF('PyG 3 Años'!$D$9="","",D14*D8),"")</f>
        <v>110350.645256916</v>
      </c>
      <c r="E16" s="28" t="n"/>
      <c r="F16" s="28" t="n"/>
    </row>
    <row r="17">
      <c r="A17" s="25" t="inlineStr">
        <is>
          <t>PUNTO DE EQUILIBRIO DE CAJA (incluye la cuota del préstamo)</t>
        </is>
      </c>
      <c r="B17" s="28" t="n"/>
      <c r="C17" s="28" t="n"/>
      <c r="D17" s="28" t="n"/>
      <c r="E17" s="28" t="n"/>
      <c r="F17" s="28" t="n"/>
    </row>
    <row r="18">
      <c r="A18" s="28" t="inlineStr">
        <is>
          <t>Costes fijos de caja + principal del año</t>
        </is>
      </c>
      <c r="B18" s="70">
        <f>IFERROR(IF('PyG 3 Años'!$B$9="","",B6-'PyG 3 Años'!$B$36+B12),"")</f>
        <v>62578.42000000001</v>
      </c>
      <c r="C18" s="70">
        <f>IFERROR(IF('PyG 3 Años'!$C$9="","",C6-'PyG 3 Años'!$C$36+C12),"")</f>
        <v>76394.15692308817</v>
      </c>
      <c r="D18" s="70">
        <f>IFERROR(IF('PyG 3 Años'!$D$9="","",D6-'PyG 3 Años'!$D$36+D12),"")</f>
        <v>82394.15692308819</v>
      </c>
      <c r="E18" s="28" t="inlineStr">
        <is>
          <t>Los fijos del P&amp;L sin la amortización (que no se paga) y CON la devolución de principal (que sí). Es el umbral que decide si la caja aguanta</t>
        </is>
      </c>
      <c r="F18" s="28" t="n"/>
    </row>
    <row r="19">
      <c r="A19" s="28" t="inlineStr">
        <is>
          <t>Invitados necesarios al año (caja)</t>
        </is>
      </c>
      <c r="B19" s="40">
        <f>IFERROR(IF('PyG 3 Años'!$B$9="","",IF(B10&lt;=0,"",B18/B10)),"")</f>
        <v>14248.014608112788</v>
      </c>
      <c r="C19" s="40">
        <f>IFERROR(IF('PyG 3 Años'!$C$9="","",IF(C10&lt;=0,"",C18/C10)),"")</f>
        <v>17393.61690203461</v>
      </c>
      <c r="D19" s="40">
        <f>IFERROR(IF('PyG 3 Años'!$D$9="","",IF(D10&lt;=0,"",D18/D10)),"")</f>
        <v>18759.71223727441</v>
      </c>
      <c r="E19" s="28" t="n"/>
      <c r="F19" s="28" t="n"/>
    </row>
    <row r="20">
      <c r="A20" s="25" t="inlineStr">
        <is>
          <t>Invitados necesarios por evento (caja)</t>
        </is>
      </c>
      <c r="B20" s="45">
        <f>IFERROR(IF('PyG 3 Años'!$B$9="","",B19/B11),"")</f>
        <v>109.60011237009837</v>
      </c>
      <c r="C20" s="45">
        <f>IFERROR(IF('PyG 3 Años'!$C$9="","",C19/C11),"")</f>
        <v>133.79705309257392</v>
      </c>
      <c r="D20" s="45">
        <f>IFERROR(IF('PyG 3 Años'!$D$9="","",D19/D11),"")</f>
        <v>144.30547874826468</v>
      </c>
      <c r="E20" s="28" t="n"/>
      <c r="F20" s="28" t="n"/>
    </row>
    <row r="21">
      <c r="A21" s="28" t="inlineStr">
        <is>
          <t>Ingresos necesarios al año (caja)</t>
        </is>
      </c>
      <c r="B21" s="32">
        <f>IFERROR(IF('PyG 3 Años'!$B$9="","",B19*B8),"")</f>
        <v>88337.69057029928</v>
      </c>
      <c r="C21" s="32">
        <f>IFERROR(IF('PyG 3 Años'!$C$9="","",C19*C8),"")</f>
        <v>107840.42479261458</v>
      </c>
      <c r="D21" s="32">
        <f>IFERROR(IF('PyG 3 Años'!$D$9="","",D19*D8),"")</f>
        <v>116310.21587110133</v>
      </c>
      <c r="E21" s="28" t="n"/>
      <c r="F21" s="28" t="n"/>
    </row>
    <row r="22">
      <c r="A22" s="25" t="inlineStr">
        <is>
          <t>CONTRASTE CON EL PLAN</t>
        </is>
      </c>
      <c r="B22" s="28" t="n"/>
      <c r="C22" s="28" t="n"/>
      <c r="D22" s="28" t="n"/>
      <c r="E22" s="28" t="n"/>
      <c r="F22" s="28" t="n"/>
    </row>
    <row r="23">
      <c r="A23" s="28" t="inlineStr">
        <is>
          <t>Invitados por evento previstos en el plan</t>
        </is>
      </c>
      <c r="B23" s="40">
        <f>IFERROR(IF('PyG 3 Años'!$B$9="","",'PyG 3 Años'!$B$6),"")</f>
        <v>135.0</v>
      </c>
      <c r="C23" s="40">
        <f>IFERROR(IF('PyG 3 Años'!$C$9="","",'PyG 3 Años'!$C$6),"")</f>
        <v>148.5</v>
      </c>
      <c r="D23" s="40">
        <f>IFERROR(IF('PyG 3 Años'!$D$9="","",'PyG 3 Años'!$D$6),"")</f>
        <v>160.38000000000002</v>
      </c>
      <c r="E23" s="28" t="n"/>
      <c r="F23" s="28" t="n"/>
    </row>
    <row r="24">
      <c r="A24" s="28" t="inlineStr">
        <is>
          <t>Holgura sobre el equilibrio de CAJA (%)</t>
        </is>
      </c>
      <c r="B24" s="68">
        <f>IFERROR(IF('PyG 3 Años'!$B$9="","",B23/B20-1),"")</f>
        <v>0.2317505619349287</v>
      </c>
      <c r="C24" s="68">
        <f>IFERROR(IF('PyG 3 Años'!$C$9="","",C23/C20-1),"")</f>
        <v>0.10988991586573382</v>
      </c>
      <c r="D24" s="68">
        <f>IFERROR(IF('PyG 3 Años'!$D$9="","",D23/D20-1),"")</f>
        <v>0.11139231435402897</v>
      </c>
      <c r="E24" s="28" t="inlineStr">
        <is>
          <t>Cuánto superan tus ventas previstas a las del equilibrio de caja. La caída que aguantas antes de no poder pagar los costes fijos y la cuota es algo menor: con un 25 % de holgura, un 20 %. El mínimo exigible está en la hoja de Supuestos</t>
        </is>
      </c>
      <c r="F24" s="28" t="n"/>
    </row>
    <row r="25">
      <c r="A25" s="25" t="inlineStr">
        <is>
          <t>INTERPRETACIÓN</t>
        </is>
      </c>
      <c r="B25" s="28" t="n"/>
      <c r="C25" s="28" t="n"/>
      <c r="D25" s="28" t="n"/>
      <c r="E25" s="28" t="n"/>
      <c r="F25" s="28" t="n"/>
    </row>
    <row r="26" ht="46" customHeight="1">
      <c r="A26" s="28" t="str">
        <f>IFERROR("Con el precio medio por invitado sin IVA de la fila de arriba necesitas "&amp;TEXT(ROUNDUP(B15,0),"0")&amp;" invitados por evento durante los "&amp;TEXT(B11,"0")&amp;" eventos del año para no perder dinero (equilibrio contable, con la amortización dentro), y "&amp;TEXT(ROUNDUP(B20,0),"0")&amp;" para que la caja aguante (equilibrio de caja: sin la amortización, que no se paga, y con la cuota del préstamo del año"&amp;IF(B12=0,"; este año sólo intereses, porque el préstamo está en carencia","")&amp;"). En las filas «Ingresos necesarios al año» tienes esas mismas cifras en euros.","")</f>
        <v>Con el precio medio por invitado sin IVA de la fila de arriba necesitas 117 invitados por evento durante los 130 eventos del año para no perder dinero (equilibrio contable, con la amortización dentro), y 110 para que la caja aguante (equilibrio de caja: sin la amortización, que no se paga, y con la cuota del préstamo del año; este año sólo intereses, porque el préstamo está en carencia). En las filas «Ingresos necesarios al año» tienes esas mismas cifras en euros.</v>
      </c>
      <c r="B26" s="28" t="n"/>
      <c r="C26" s="28" t="n"/>
      <c r="D26" s="28" t="n"/>
      <c r="E26" s="28" t="n"/>
      <c r="F26" s="28" t="n"/>
    </row>
    <row r="27">
      <c r="A27" s="28" t="n"/>
      <c r="B27" s="28" t="n"/>
      <c r="C27" s="28" t="n"/>
      <c r="D27" s="28" t="n"/>
      <c r="E27" s="28" t="n"/>
      <c r="F27" s="28" t="n"/>
    </row>
    <row r="28">
      <c r="A28" s="25" t="inlineStr">
        <is>
          <t>SENSIBILIDAD DEL PUNTO DE EQUILIBRIO</t>
        </is>
      </c>
      <c r="B28" s="28" t="n"/>
      <c r="C28" s="28" t="n"/>
      <c r="D28" s="28" t="n"/>
      <c r="E28" s="28" t="n"/>
      <c r="F28" s="28" t="n"/>
    </row>
    <row r="29" ht="75" customHeight="1">
      <c r="A29" s="46" t="inlineStr">
        <is>
          <t>Invitados por evento necesarios para cubrir costes según el precio medio por invitado (columnas) y el coste variable por invitado (filas). En verde, los que están por debajo de los invitados que prevé el plan.</t>
        </is>
      </c>
      <c r="B29" s="28" t="n"/>
      <c r="C29" s="28" t="n"/>
      <c r="D29" s="28" t="n"/>
      <c r="E29" s="28" t="n"/>
      <c r="F29" s="28" t="n"/>
    </row>
    <row r="30">
      <c r="A30" s="28" t="n"/>
      <c r="B30" s="28" t="n"/>
      <c r="C30" s="28" t="n"/>
      <c r="D30" s="28" t="n"/>
      <c r="E30" s="28" t="n"/>
      <c r="F30" s="28" t="n"/>
    </row>
    <row r="31" ht="45" customHeight="1">
      <c r="A31" s="39" t="inlineStr">
        <is>
          <t>Invitados por evento necesarios: precio medio por invitado sin IVA (columnas) × coste variable por invitado (filas)</t>
        </is>
      </c>
      <c r="B31" s="72">
        <f>IFERROR($B$8-2,"")</f>
        <v>4.2</v>
      </c>
      <c r="C31" s="72">
        <f>IFERROR(IF($B$8="","",$B$8),"")</f>
        <v>6.2</v>
      </c>
      <c r="D31" s="72">
        <f>IFERROR($B$8+2,"")</f>
        <v>8.2</v>
      </c>
      <c r="E31" s="72">
        <f>IFERROR($B$8+4,"")</f>
        <v>10.2</v>
      </c>
      <c r="F31" s="28" t="n"/>
    </row>
    <row r="32">
      <c r="A32" s="70">
        <f>IFERROR($B$9*0.85,"")</f>
        <v>1.536732</v>
      </c>
      <c r="B32" s="44">
        <f>IFERROR(IF($B$31-$A32&lt;=0,"",$B$6/($B$31-$A32)/$B$11),"")</f>
        <v>192.5928249400014</v>
      </c>
      <c r="C32" s="44">
        <f>IFERROR(IF($C$31-$A32&lt;=0,"",$B$6/($C$31-$A32)/$B$11),"")</f>
        <v>109.99288646766769</v>
      </c>
      <c r="D32" s="44">
        <f>IFERROR(IF($D$31-$A32&lt;=0,"",$B$6/($D$31-$A32)/$B$11),"")</f>
        <v>76.97818963492206</v>
      </c>
      <c r="E32" s="44">
        <f>IFERROR(IF($E$31-$A32&lt;=0,"",$B$6/($E$31-$A32)/$B$11),"")</f>
        <v>59.20702299551484</v>
      </c>
      <c r="F32" s="28" t="n"/>
    </row>
    <row r="33">
      <c r="A33" s="70">
        <f>IFERROR($B$9*0.925,"")</f>
        <v>1.672326</v>
      </c>
      <c r="B33" s="44">
        <f>IFERROR(IF($B$31-$A33&lt;=0,"",$B$6/($B$31-$A33)/$B$11),"")</f>
        <v>202.9242329874453</v>
      </c>
      <c r="C33" s="44">
        <f>IFERROR(IF($C$31-$A33&lt;=0,"",$B$6/($C$31-$A33)/$B$11),"")</f>
        <v>113.28693445957191</v>
      </c>
      <c r="D33" s="44">
        <f>IFERROR(IF($D$31-$A33&lt;=0,"",$B$6/($D$31-$A33)/$B$11),"")</f>
        <v>78.57719421838588</v>
      </c>
      <c r="E33" s="44">
        <f>IFERROR(IF($E$31-$A33&lt;=0,"",$B$6/($E$31-$A33)/$B$11),"")</f>
        <v>60.148442317601244</v>
      </c>
      <c r="F33" s="28" t="n"/>
    </row>
    <row r="34">
      <c r="A34" s="70">
        <f>IFERROR($B$9*1.0,"")</f>
        <v>1.80792</v>
      </c>
      <c r="B34" s="44">
        <f>IFERROR(IF($B$31-$A34&lt;=0,"",$B$6/($B$31-$A34)/$B$11),"")</f>
        <v>214.4269036538526</v>
      </c>
      <c r="C34" s="44">
        <f>IFERROR(IF($C$31-$A34&lt;=0,"",$B$6/($C$31-$A34)/$B$11),"")</f>
        <v>116.78437271003894</v>
      </c>
      <c r="D34" s="44">
        <f>IFERROR(IF($D$31-$A34&lt;=0,"",$B$6/($D$31-$A34)/$B$11),"")</f>
        <v>80.2440375734202</v>
      </c>
      <c r="E34" s="44">
        <f>IFERROR(IF($E$31-$A34&lt;=0,"",$B$6/($E$31-$A34)/$B$11),"")</f>
        <v>61.12028337340776</v>
      </c>
      <c r="F34" s="28" t="n"/>
    </row>
    <row r="35">
      <c r="A35" s="70">
        <f>IFERROR($B$9*1.075,"")</f>
        <v>1.943514</v>
      </c>
      <c r="B35" s="44">
        <f>IFERROR(IF($B$31-$A35&lt;=0,"",$B$6/($B$31-$A35)/$B$11),"")</f>
        <v>227.3119831863826</v>
      </c>
      <c r="C35" s="44">
        <f>IFERROR(IF($C$31-$A35&lt;=0,"",$B$6/($C$31-$A35)/$B$11),"")</f>
        <v>120.50463873070596</v>
      </c>
      <c r="D35" s="44">
        <f>IFERROR(IF($D$31-$A35&lt;=0,"",$B$6/($D$31-$A35)/$B$11),"")</f>
        <v>81.98313041734735</v>
      </c>
      <c r="E35" s="44">
        <f>IFERROR(IF($E$31-$A35&lt;=0,"",$B$6/($E$31-$A35)/$B$11),"")</f>
        <v>62.12404498624571</v>
      </c>
      <c r="F35" s="28" t="n"/>
    </row>
    <row r="36">
      <c r="A36" s="70">
        <f>IFERROR($B$9*1.15,"")</f>
        <v>2.0791079999999997</v>
      </c>
      <c r="B36" s="44">
        <f>IFERROR(IF($B$31-$A36&lt;=0,"",$B$6/($B$31-$A36)/$B$11),"")</f>
        <v>241.84461429073602</v>
      </c>
      <c r="C36" s="44">
        <f>IFERROR(IF($C$31-$A36&lt;=0,"",$B$6/($C$31-$A36)/$B$11),"")</f>
        <v>124.46972832394243</v>
      </c>
      <c r="D36" s="44">
        <f>IFERROR(IF($D$31-$A36&lt;=0,"",$B$6/($D$31-$A36)/$B$11),"")</f>
        <v>83.79927430386091</v>
      </c>
      <c r="E36" s="44">
        <f>IFERROR(IF($E$31-$A36&lt;=0,"",$B$6/($E$31-$A36)/$B$11),"")</f>
        <v>63.16132608244363</v>
      </c>
      <c r="F36" s="28" t="n"/>
    </row>
    <row r="37">
      <c r="A37" s="28" t="n"/>
      <c r="B37" s="28" t="n"/>
      <c r="C37" s="28" t="n"/>
      <c r="D37" s="28" t="n"/>
      <c r="E37" s="28" t="n"/>
      <c r="F37" s="28" t="n"/>
    </row>
    <row r="38">
      <c r="A38" s="28" t="n"/>
      <c r="B38" s="28" t="n"/>
      <c r="C38" s="28" t="n"/>
      <c r="D38" s="28" t="n"/>
      <c r="E38" s="28" t="n"/>
      <c r="F38" s="28" t="n"/>
    </row>
    <row r="39">
      <c r="A39" s="28" t="n"/>
      <c r="B39" s="28" t="n"/>
      <c r="C39" s="28" t="n"/>
      <c r="D39" s="28" t="n"/>
      <c r="E39" s="28" t="n"/>
      <c r="F39" s="28" t="n"/>
    </row>
    <row r="40">
      <c r="A40" s="28" t="n"/>
      <c r="B40" s="28" t="n"/>
      <c r="C40" s="28" t="n"/>
      <c r="D40" s="28" t="n"/>
      <c r="E40" s="28" t="n"/>
      <c r="F40" s="28" t="n"/>
    </row>
    <row r="41">
      <c r="A41" s="28" t="n"/>
      <c r="B41" s="28" t="n"/>
      <c r="C41" s="28" t="n"/>
      <c r="D41" s="28" t="n"/>
      <c r="E41" s="28" t="n"/>
      <c r="F41" s="28" t="n"/>
    </row>
    <row r="42">
      <c r="A42" s="28" t="n"/>
      <c r="B42" s="28" t="n"/>
      <c r="C42" s="28" t="n"/>
      <c r="D42" s="28" t="n"/>
      <c r="E42" s="28" t="n"/>
      <c r="F42" s="28" t="n"/>
    </row>
    <row r="43">
      <c r="A43" s="28" t="n"/>
      <c r="B43" s="28" t="n"/>
      <c r="C43" s="28" t="n"/>
      <c r="D43" s="28" t="n"/>
      <c r="E43" s="28" t="n"/>
      <c r="F43" s="28" t="n"/>
    </row>
    <row r="44">
      <c r="A44" s="28" t="n"/>
      <c r="B44" s="28" t="n"/>
      <c r="C44" s="28" t="n"/>
      <c r="D44" s="28" t="n"/>
      <c r="E44" s="28" t="n"/>
      <c r="F44" s="28" t="n"/>
    </row>
    <row r="45">
      <c r="A45" s="28" t="n"/>
      <c r="B45" s="28" t="n"/>
      <c r="C45" s="28" t="n"/>
      <c r="D45" s="28" t="n"/>
      <c r="E45" s="28" t="n"/>
      <c r="F45" s="28" t="n"/>
    </row>
    <row r="46">
      <c r="A46" s="28" t="n"/>
      <c r="B46" s="28" t="n"/>
      <c r="C46" s="28" t="n"/>
      <c r="D46" s="28" t="n"/>
      <c r="E46" s="28" t="n"/>
      <c r="F46" s="28" t="n"/>
    </row>
    <row r="47">
      <c r="A47" s="28" t="n"/>
      <c r="B47" s="28" t="n"/>
      <c r="C47" s="28" t="n"/>
      <c r="D47" s="28" t="n"/>
      <c r="E47" s="28" t="n"/>
      <c r="F47" s="28" t="n"/>
    </row>
    <row r="48">
      <c r="A48" s="28" t="n"/>
      <c r="B48" s="28" t="n"/>
      <c r="C48" s="28" t="n"/>
      <c r="D48" s="28" t="n"/>
      <c r="E48" s="28" t="n"/>
      <c r="F48" s="28" t="n"/>
    </row>
    <row r="49">
      <c r="A49" s="28" t="n"/>
      <c r="B49" s="28" t="n"/>
      <c r="C49" s="28" t="n"/>
      <c r="D49" s="28" t="n"/>
      <c r="E49" s="28" t="n"/>
      <c r="F49" s="28" t="n"/>
    </row>
    <row r="50">
      <c r="A50" s="28" t="n"/>
      <c r="B50" s="28" t="n"/>
      <c r="C50" s="28" t="n"/>
      <c r="D50" s="28" t="n"/>
      <c r="E50" s="28" t="n"/>
      <c r="F50" s="28" t="n"/>
    </row>
    <row r="51">
      <c r="A51" s="28" t="n"/>
      <c r="B51" s="28" t="n"/>
      <c r="C51" s="28" t="n"/>
      <c r="D51" s="28" t="n"/>
      <c r="E51" s="28" t="n"/>
      <c r="F51" s="28" t="n"/>
    </row>
    <row r="52">
      <c r="A52" s="28" t="n"/>
      <c r="B52" s="28" t="n"/>
      <c r="C52" s="28" t="n"/>
      <c r="D52" s="28" t="n"/>
      <c r="E52" s="28" t="n"/>
      <c r="F52" s="28" t="n"/>
    </row>
    <row r="53">
      <c r="A53" s="28" t="n"/>
      <c r="B53" s="28" t="n"/>
      <c r="C53" s="28" t="n"/>
      <c r="D53" s="28" t="n"/>
      <c r="E53" s="28" t="n"/>
      <c r="F53" s="28" t="n"/>
    </row>
    <row r="54">
      <c r="A54" s="28" t="n"/>
      <c r="B54" s="28" t="n"/>
      <c r="C54" s="28" t="n"/>
      <c r="D54" s="28" t="n"/>
      <c r="E54" s="28" t="n"/>
      <c r="F54" s="28" t="n"/>
    </row>
    <row r="55">
      <c r="A55" s="28" t="n"/>
      <c r="B55" s="28" t="n"/>
      <c r="C55" s="28" t="n"/>
      <c r="D55" s="28" t="n"/>
      <c r="E55" s="28" t="n"/>
      <c r="F55" s="28" t="n"/>
    </row>
    <row r="56">
      <c r="A56" s="28" t="n"/>
      <c r="B56" s="28" t="n"/>
      <c r="C56" s="28" t="n"/>
      <c r="D56" s="28" t="n"/>
      <c r="E56" s="28" t="n"/>
      <c r="F56" s="28" t="n"/>
    </row>
  </sheetData>
  <sheetProtection selectLockedCells="0" selectUnlockedCells="0" sheet="1" objects="0" insertRows="1" insertHyperlinks="1" autoFilter="1" scenarios="0" formatColumns="0" deleteColumns="1" insertColumns="1" pivotTables="1" deleteRows="1" formatCells="1" formatRows="0" sort="0"/>
  <mergeCells count="1">
    <mergeCell ref="A1:C1"/>
  </mergeCells>
  <conditionalFormatting sqref="B24:D24">
    <cfRule type="expression" priority="1" dxfId="1" stopIfTrue="1">
      <formula>AND(ISNUMBER(B24),B24&lt;0)</formula>
    </cfRule>
    <cfRule type="expression" priority="2" dxfId="2" stopIfTrue="1">
      <formula>AND(ISNUMBER(B24),B24&gt;=0)</formula>
    </cfRule>
    <cfRule type="expression" priority="3" dxfId="0" stopIfTrue="1">
      <formula>AND(ISNUMBER(B24),B24&gt;='0. Supuestos'!$B$67)</formula>
    </cfRule>
  </conditionalFormatting>
  <conditionalFormatting sqref="B32:E36">
    <cfRule type="expression" priority="4" dxfId="1" stopIfTrue="1">
      <formula>AND(ISNUMBER(B32),B32&gt;$B$23)</formula>
    </cfRule>
    <cfRule type="expression" priority="5" dxfId="0" stopIfTrue="1">
      <formula>AND(ISNUMBER(B32),B32&lt;=$B$23)</formula>
    </cfRule>
  </conditionalFormatting>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28"/>
  <sheetViews>
    <sheetView workbookViewId="0">
      <pane ySplit="4" topLeftCell="A5" activePane="bottomLeft" state="frozen"/>
      <selection pane="bottomLeft" activeCell="A1" sqref="A1"/>
    </sheetView>
  </sheetViews>
  <sheetFormatPr baseColWidth="8" defaultRowHeight="15"/>
  <cols>
    <col width="40" customWidth="1" min="1" max="1"/>
    <col width="18" customWidth="1" min="2" max="2"/>
    <col width="18" customWidth="1" min="3" max="3"/>
    <col width="18" customWidth="1" min="4" max="4"/>
    <col width="52" customWidth="1" min="5" max="5"/>
  </cols>
  <sheetData>
    <row r="1">
      <c r="A1" s="1" t="inlineStr">
        <is>
          <t>ANÁLISIS DE ESCENARIOS</t>
        </is>
      </c>
    </row>
    <row r="2"/>
    <row r="3"/>
    <row r="4">
      <c r="A4" s="25" t="inlineStr">
        <is>
          <t>Métrica</t>
        </is>
      </c>
      <c r="B4" s="25" t="inlineStr">
        <is>
          <t>Pesimista</t>
        </is>
      </c>
      <c r="C4" s="25" t="inlineStr">
        <is>
          <t>Realista</t>
        </is>
      </c>
      <c r="D4" s="25" t="inlineStr">
        <is>
          <t>Optimista</t>
        </is>
      </c>
      <c r="E4" s="25" t="inlineStr">
        <is>
          <t>Notas</t>
        </is>
      </c>
      <c r="F4" s="28" t="n"/>
    </row>
    <row r="5">
      <c r="A5" s="28" t="inlineStr">
        <is>
          <t>Invitados por evento</t>
        </is>
      </c>
      <c r="B5" s="49" t="n">
        <v>130</v>
      </c>
      <c r="C5" s="40">
        <f>IFERROR(IF('PyG 3 Años'!$B$6="","",'PyG 3 Años'!$B$6),"")</f>
        <v>135.0</v>
      </c>
      <c r="D5" s="49" t="n">
        <v>140</v>
      </c>
      <c r="E5" s="28" t="n"/>
      <c r="F5" s="28" t="n"/>
    </row>
    <row r="6">
      <c r="A6" s="28" t="inlineStr">
        <is>
          <t>Precio medio por invitado sin IVA</t>
        </is>
      </c>
      <c r="B6" s="73" t="n">
        <v>5.7</v>
      </c>
      <c r="C6" s="70">
        <f>IFERROR(IF('PyG 3 Años'!$B$7="","",'PyG 3 Años'!$B$7),"")</f>
        <v>6.2</v>
      </c>
      <c r="D6" s="73" t="n">
        <v>6.3</v>
      </c>
      <c r="E6" s="28" t="n"/>
      <c r="F6" s="28" t="n"/>
    </row>
    <row r="7">
      <c r="A7" s="28" t="inlineStr">
        <is>
          <t>Eventos al año</t>
        </is>
      </c>
      <c r="B7" s="49" t="n">
        <v>110</v>
      </c>
      <c r="C7" s="40">
        <f>IFERROR(IF('PyG 3 Años'!$B$8="","",'PyG 3 Años'!$B$8),"")</f>
        <v>130.0</v>
      </c>
      <c r="D7" s="49" t="n">
        <v>145</v>
      </c>
      <c r="E7" s="28" t="n"/>
      <c r="F7" s="28" t="n"/>
    </row>
    <row r="8">
      <c r="A8" s="25" t="inlineStr">
        <is>
          <t>INGRESOS ANUALES (sin IVA)</t>
        </is>
      </c>
      <c r="B8" s="26">
        <f>IFERROR(IF(B5*B6*B7=0,"",B5*B6*B7),"")</f>
        <v>81510.0</v>
      </c>
      <c r="C8" s="26">
        <f>IFERROR(IF(C5*C6*C7=0,"",C5*C6*C7),"")</f>
        <v>108810.0</v>
      </c>
      <c r="D8" s="26">
        <f>IFERROR(IF(D5*D6*D7=0,"",D5*D6*D7),"")</f>
        <v>127890.0</v>
      </c>
      <c r="E8" s="28" t="n"/>
      <c r="F8" s="28" t="n"/>
    </row>
    <row r="9">
      <c r="A9" s="28" t="inlineStr">
        <is>
          <t>Coste de mercancía — comida</t>
        </is>
      </c>
      <c r="B9" s="32">
        <f>IFERROR(IF(B8="","",B8*'0. Supuestos'!$B$11*'0. Supuestos'!$B$13),"")</f>
        <v>4124.406</v>
      </c>
      <c r="C9" s="32">
        <f>IFERROR(IF(C8="","",C8*'0. Supuestos'!$B$11*'0. Supuestos'!$B$13),"")</f>
        <v>5505.786</v>
      </c>
      <c r="D9" s="32">
        <f>IFERROR(IF(D8="","",D8*'0. Supuestos'!$B$11*'0. Supuestos'!$B$13),"")</f>
        <v>6471.234</v>
      </c>
      <c r="E9" s="28" t="n"/>
      <c r="F9" s="28" t="n"/>
    </row>
    <row r="10">
      <c r="A10" s="28" t="inlineStr">
        <is>
          <t>Coste de mercancía — bebida</t>
        </is>
      </c>
      <c r="B10" s="32">
        <f>IFERROR(IF(B8="","",B8*'0. Supuestos'!$B$12*'0. Supuestos'!$B$14),"")</f>
        <v>11607.024</v>
      </c>
      <c r="C10" s="32">
        <f>IFERROR(IF(C8="","",C8*'0. Supuestos'!$B$12*'0. Supuestos'!$B$14),"")</f>
        <v>15494.544</v>
      </c>
      <c r="D10" s="32">
        <f>IFERROR(IF(D8="","",D8*'0. Supuestos'!$B$12*'0. Supuestos'!$B$14),"")</f>
        <v>18211.536</v>
      </c>
      <c r="E10" s="28" t="n"/>
      <c r="F10" s="28" t="n"/>
    </row>
    <row r="11">
      <c r="A11" s="28" t="inlineStr">
        <is>
          <t>Consumibles y envases</t>
        </is>
      </c>
      <c r="B11" s="32">
        <f>IFERROR(IF(B8="","",B8*'0. Supuestos'!$B$15),"")</f>
        <v>3260.4</v>
      </c>
      <c r="C11" s="32">
        <f>IFERROR(IF(C8="","",C8*'0. Supuestos'!$B$15),"")</f>
        <v>4352.4</v>
      </c>
      <c r="D11" s="32">
        <f>IFERROR(IF(D8="","",D8*'0. Supuestos'!$B$15),"")</f>
        <v>5115.6</v>
      </c>
      <c r="E11" s="28" t="n"/>
      <c r="F11" s="28" t="n"/>
    </row>
    <row r="12">
      <c r="A12" s="28" t="inlineStr">
        <is>
          <t>Canon de ferias y mercados</t>
        </is>
      </c>
      <c r="B12" s="32">
        <f>IFERROR(IF(B8="","",B8*'0. Supuestos'!$B$16*'0. Supuestos'!$B$17),"")</f>
        <v>1027.026</v>
      </c>
      <c r="C12" s="32">
        <f>IFERROR(IF(C8="","",C8*'0. Supuestos'!$B$16*'0. Supuestos'!$B$17),"")</f>
        <v>1371.006</v>
      </c>
      <c r="D12" s="32">
        <f>IFERROR(IF(D8="","",D8*'0. Supuestos'!$B$16*'0. Supuestos'!$B$17),"")</f>
        <v>1611.414</v>
      </c>
      <c r="E12" s="28" t="n"/>
      <c r="F12" s="28" t="n"/>
    </row>
    <row r="13">
      <c r="A13" s="28" t="inlineStr">
        <is>
          <t>Comisiones de los medios de pago</t>
        </is>
      </c>
      <c r="B13" s="32">
        <f>IFERROR(IF(B8="","",B8*'0. Supuestos'!$B$18),"")</f>
        <v>489.06</v>
      </c>
      <c r="C13" s="32">
        <f>IFERROR(IF(C8="","",C8*'0. Supuestos'!$B$18),"")</f>
        <v>652.86</v>
      </c>
      <c r="D13" s="32">
        <f>IFERROR(IF(D8="","",D8*'0. Supuestos'!$B$18),"")</f>
        <v>767.34</v>
      </c>
      <c r="E13" s="28" t="n"/>
      <c r="F13" s="28" t="n"/>
    </row>
    <row r="14">
      <c r="A14" s="28" t="inlineStr">
        <is>
          <t>Varios e imprevistos</t>
        </is>
      </c>
      <c r="B14" s="32">
        <f>IFERROR(IF(B8="","",B8*'0. Supuestos'!$B$28),"")</f>
        <v>3260.4</v>
      </c>
      <c r="C14" s="32">
        <f>IFERROR(IF(C8="","",C8*'0. Supuestos'!$B$28),"")</f>
        <v>4352.4</v>
      </c>
      <c r="D14" s="32">
        <f>IFERROR(IF(D8="","",D8*'0. Supuestos'!$B$28),"")</f>
        <v>5115.6</v>
      </c>
      <c r="E14" s="28" t="n"/>
      <c r="F14" s="28" t="n"/>
    </row>
    <row r="15">
      <c r="A15" s="28" t="inlineStr">
        <is>
          <t>TOTAL COSTES VARIABLES</t>
        </is>
      </c>
      <c r="B15" s="32">
        <f>IFERROR(IF(B8="","",SUM(B9:B14)),"")</f>
        <v>23768.316</v>
      </c>
      <c r="C15" s="32">
        <f>IFERROR(IF(C8="","",SUM(C9:C14)),"")</f>
        <v>31728.996</v>
      </c>
      <c r="D15" s="32">
        <f>IFERROR(IF(D8="","",SUM(D9:D14)),"")</f>
        <v>37292.724</v>
      </c>
      <c r="E15" s="28" t="n"/>
      <c r="F15" s="28" t="n"/>
    </row>
    <row r="16">
      <c r="A16" s="28" t="inlineStr">
        <is>
          <t>MARGEN BRUTO</t>
        </is>
      </c>
      <c r="B16" s="32">
        <f>IFERROR(IF(B8="","",B8-B15),"")</f>
        <v>57741.684</v>
      </c>
      <c r="C16" s="32">
        <f>IFERROR(IF(C8="","",C8-C15),"")</f>
        <v>77081.004</v>
      </c>
      <c r="D16" s="32">
        <f>IFERROR(IF(D8="","",D8-D15),"")</f>
        <v>90597.276</v>
      </c>
      <c r="E16" s="28" t="n"/>
      <c r="F16" s="28" t="n"/>
    </row>
    <row r="17">
      <c r="A17" s="28" t="inlineStr">
        <is>
          <t>COSTES FIJOS (los del P&amp;L)</t>
        </is>
      </c>
      <c r="B17" s="32">
        <f>IFERROR(IF(B8="","",'PyG 3 Años'!$B$38),"")</f>
        <v>66680.42000000001</v>
      </c>
      <c r="C17" s="32">
        <f>IFERROR(IF(C8="","",'PyG 3 Años'!$B$38),"")</f>
        <v>66680.42000000001</v>
      </c>
      <c r="D17" s="32">
        <f>IFERROR(IF(D8="","",'PyG 3 Años'!$B$38),"")</f>
        <v>66680.42000000001</v>
      </c>
      <c r="E17" s="28" t="inlineStr">
        <is>
          <t>Los costes fijos no cambian con el escenario: por eso son fijos</t>
        </is>
      </c>
      <c r="F17" s="28" t="n"/>
    </row>
    <row r="18">
      <c r="A18" s="25" t="inlineStr">
        <is>
          <t>RESULTADO ANTES DE IMPUESTOS</t>
        </is>
      </c>
      <c r="B18" s="26">
        <f>IFERROR(IF(B8="","",B16-B17),"")</f>
        <v>-8938.736000000012</v>
      </c>
      <c r="C18" s="26">
        <f>IFERROR(IF(C8="","",C16-C17),"")</f>
        <v>10400.583999999988</v>
      </c>
      <c r="D18" s="26">
        <f>IFERROR(IF(D8="","",D16-D17),"")</f>
        <v>23916.855999999985</v>
      </c>
      <c r="E18" s="28" t="n"/>
      <c r="F18" s="28" t="n"/>
    </row>
    <row r="19">
      <c r="A19" s="28" t="inlineStr">
        <is>
          <t>Impuesto de Sociedades</t>
        </is>
      </c>
      <c r="B19" s="32">
        <f>IFERROR(IF(B8="","",MAX(0,B18-'0. Supuestos'!$B$42)*'0. Supuestos'!$B$37),"")</f>
        <v>0.0</v>
      </c>
      <c r="C19" s="32">
        <f>IFERROR(IF(C8="","",MAX(0,C18-'0. Supuestos'!$B$42)*'0. Supuestos'!$B$37),"")</f>
        <v>1560.0875999999982</v>
      </c>
      <c r="D19" s="32">
        <f>IFERROR(IF(D8="","",MAX(0,D18-'0. Supuestos'!$B$42)*'0. Supuestos'!$B$37),"")</f>
        <v>3587.528399999998</v>
      </c>
      <c r="E19" s="28" t="inlineStr">
        <is>
          <t>Al tipo de entidad de nueva creación, compensando las bases negativas anteriores</t>
        </is>
      </c>
      <c r="F19" s="28" t="n"/>
    </row>
    <row r="20">
      <c r="A20" s="25" t="inlineStr">
        <is>
          <t>RESULTADO NETO</t>
        </is>
      </c>
      <c r="B20" s="26">
        <f>IFERROR(IF(B8="","",B18-B19),"")</f>
        <v>-8938.736000000012</v>
      </c>
      <c r="C20" s="26">
        <f>IFERROR(IF(C8="","",C18-C19),"")</f>
        <v>8840.496399999989</v>
      </c>
      <c r="D20" s="26">
        <f>IFERROR(IF(D8="","",D18-D19),"")</f>
        <v>20329.327599999986</v>
      </c>
      <c r="E20" s="28" t="n"/>
      <c r="F20" s="28" t="n"/>
    </row>
    <row r="21">
      <c r="A21" s="28" t="inlineStr">
        <is>
          <t>Invitados por evento para el equilibrio</t>
        </is>
      </c>
      <c r="B21" s="44">
        <f>IFERROR(IF(B8="","",IF(B6-B15/(B5*B7)&lt;=0,"",B17/(B6-B15/(B5*B7))/B7)),"")</f>
        <v>150.1247279175301</v>
      </c>
      <c r="C21" s="44">
        <f>IFERROR(IF(C8="","",IF(C6-C15/(C5*C7)&lt;=0,"",C17/(C6-C15/(C5*C7))/C7)),"")</f>
        <v>116.78437271003894</v>
      </c>
      <c r="D21" s="44">
        <f>IFERROR(IF(D8="","",IF(D6-D15/(D5*D7)&lt;=0,"",D17/(D6-D15/(D5*D7))/D7)),"")</f>
        <v>103.04127466260688</v>
      </c>
      <c r="E21" s="28" t="n"/>
      <c r="F21" s="28" t="n"/>
    </row>
    <row r="22">
      <c r="A22" s="25" t="inlineStr">
        <is>
          <t>LO QUE CADA ESCENARIO EXIGE</t>
        </is>
      </c>
      <c r="B22" s="28" t="n"/>
      <c r="C22" s="28" t="n"/>
      <c r="D22" s="28" t="n"/>
      <c r="E22" s="28" t="n"/>
      <c r="F22" s="28" t="n"/>
    </row>
    <row r="23">
      <c r="A23" s="28" t="inlineStr">
        <is>
          <t>Coste de personal / Ventas</t>
        </is>
      </c>
      <c r="B23" s="68">
        <f>IFERROR(IF(B8="","",'PyG 3 Años'!$B$23/B8),"")</f>
        <v>0.55190675990676</v>
      </c>
      <c r="C23" s="68">
        <f>IFERROR(IF(C8="","",'PyG 3 Años'!$B$23/C8),"")</f>
        <v>0.41343552982262666</v>
      </c>
      <c r="D23" s="68">
        <f>IFERROR(IF(D8="","",'PyG 3 Años'!$B$23/D8),"")</f>
        <v>0.3517547892720307</v>
      </c>
      <c r="E23" s="28" t="inlineStr">
        <is>
          <t>La MISMA plantilla en los tres escenarios. Si en el pesimista se dispara, el ajuste hay que hacerlo en la hoja de Personal, no aquí</t>
        </is>
      </c>
      <c r="F23" s="28" t="n"/>
    </row>
    <row r="24">
      <c r="A24" s="28" t="inlineStr">
        <is>
          <t>Invitados al año por jornada equivalente</t>
        </is>
      </c>
      <c r="B24" s="40">
        <f>IFERROR(IF(B8="","",B5*B7/'Personal'!$C$9),"")</f>
        <v>9930.555555555557</v>
      </c>
      <c r="C24" s="40">
        <f>IFERROR(IF(C8="","",C5*C7/'Personal'!$C$9),"")</f>
        <v>12187.5</v>
      </c>
      <c r="D24" s="40">
        <f>IFERROR(IF(D8="","",D5*D7/'Personal'!$C$9),"")</f>
        <v>14097.222222222223</v>
      </c>
      <c r="E24" s="28" t="inlineStr">
        <is>
          <t>Invitados que tendría que servir cada jornada completa del cuadro de Personal. En el optimista dice si hace falta contratar</t>
        </is>
      </c>
      <c r="F24" s="28" t="n"/>
    </row>
    <row r="25">
      <c r="A25" s="25" t="inlineStr">
        <is>
          <t>Saldo de caja al cierre del año 1 (estimado, el mismo método en los tres escenarios)</t>
        </is>
      </c>
      <c r="B25" s="26">
        <f>IFERROR(IF(B8="","",'Inversión Inicial'!$B$25+B20+'PyG 3 Años'!$B$36-'Financiación'!$B$45),"")</f>
        <v>10807.868999999992</v>
      </c>
      <c r="C25" s="26">
        <f>IFERROR(IF(C8="","",'Inversión Inicial'!$B$25+C20+'PyG 3 Años'!$B$36-'Financiación'!$B$45),"")</f>
        <v>28587.101399999992</v>
      </c>
      <c r="D25" s="26">
        <f>IFERROR(IF(D8="","",'Inversión Inicial'!$B$25+D20+'PyG 3 Años'!$B$36-'Financiación'!$B$45),"")</f>
        <v>40075.932599999986</v>
      </c>
      <c r="E25" s="25" t="inlineStr">
        <is>
          <t>Saldo ESTIMADO: fondo de maniobra más el resultado del año, devolviendo la amortización (que no se paga) y restando el principal del préstamo. No incluye el desfase de cobros y pagos ni la liquidación del IVA, así que las tres columnas se pueden comparar entre sí. En rojo, el escenario se queda sin caja</t>
        </is>
      </c>
      <c r="F25" s="28" t="n"/>
    </row>
    <row r="26">
      <c r="A26" s="28" t="inlineStr">
        <is>
          <t>Saldo real del mes 12 de la hoja de Tesorería (sólo realista)</t>
        </is>
      </c>
      <c r="B26" s="28" t="n"/>
      <c r="C26" s="32">
        <f>IFERROR(IF(C8="","",'Tesorería 12 meses'!$M$22),"")</f>
        <v>30156.19633724577</v>
      </c>
      <c r="D26" s="28" t="n"/>
      <c r="E26" s="28" t="inlineStr">
        <is>
          <t>El saldo REAL del caso base, con su desfase de cobros y pagos y su liquidación de IVA. Sólo existe para el escenario realista, que es el único con tesorería mensual propia: por eso no está en la fila de arriba, donde se compararía contra dos estimaciones</t>
        </is>
      </c>
      <c r="F26" s="28" t="n"/>
    </row>
    <row r="27">
      <c r="A27" s="28" t="n"/>
      <c r="B27" s="28" t="n"/>
      <c r="C27" s="28" t="n"/>
      <c r="D27" s="28" t="n"/>
      <c r="E27" s="28" t="n"/>
      <c r="F27" s="28" t="n"/>
    </row>
    <row r="28" ht="165" customHeight="1">
      <c r="A28" s="46" t="inlineStr">
        <is>
          <t>La columna «Realista» lee sus tres datos de la hoja de Supuestos, así que reproduce EXACTAMENTE el año 1 del P&amp;L. Los otros dos escenarios usan las mismas tasas de coste: lo único que cambia son los invitados, el precio por invitado y los eventos. Los COSTES FIJOS sí son los mismos en los tres: los varios e imprevistos, que son un porcentaje de las ventas, van arriba con los variables y cada escenario carga los suyos.</t>
        </is>
      </c>
      <c r="B28" s="28" t="n"/>
      <c r="C28" s="28" t="n"/>
      <c r="D28" s="28" t="n"/>
      <c r="E28" s="28" t="n"/>
      <c r="F28" s="28" t="n"/>
    </row>
  </sheetData>
  <sheetProtection selectLockedCells="0" selectUnlockedCells="0" sheet="1" objects="0" insertRows="1" insertHyperlinks="1" autoFilter="1" scenarios="0" formatColumns="0" deleteColumns="1" insertColumns="1" pivotTables="1" deleteRows="1" formatCells="1" formatRows="0" sort="0"/>
  <mergeCells count="1">
    <mergeCell ref="A1:D1"/>
  </mergeCells>
  <conditionalFormatting sqref="B23:D23">
    <cfRule type="expression" priority="1" dxfId="1" stopIfTrue="1">
      <formula>AND(ISNUMBER(B23),B23&gt;'PyG 3 Años'!$E$54)</formula>
    </cfRule>
    <cfRule type="expression" priority="2" dxfId="0" stopIfTrue="1">
      <formula>AND(ISNUMBER(B23),B23&lt;='PyG 3 Años'!$E$54)</formula>
    </cfRule>
  </conditionalFormatting>
  <conditionalFormatting sqref="B25:D25">
    <cfRule type="expression" priority="3" dxfId="1" stopIfTrue="1">
      <formula>AND(ISNUMBER(B25),B25&lt;=0)</formula>
    </cfRule>
    <cfRule type="expression" priority="4" dxfId="0" stopIfTrue="1">
      <formula>AND(ISNUMBER(B25),B25&gt;0)</formula>
    </cfRule>
  </conditionalFormatting>
  <conditionalFormatting sqref="B18:D18">
    <cfRule type="expression" priority="5" dxfId="1" stopIfTrue="1">
      <formula>AND(ISNUMBER(B18),B18&lt;0)</formula>
    </cfRule>
    <cfRule type="expression" priority="6" dxfId="0" stopIfTrue="1">
      <formula>AND(ISNUMBER(B18),B18&gt;0)</formula>
    </cfRule>
  </conditionalFormatting>
  <conditionalFormatting sqref="B20:D20">
    <cfRule type="expression" priority="7" dxfId="1" stopIfTrue="1">
      <formula>AND(ISNUMBER(B20),B20&lt;0)</formula>
    </cfRule>
    <cfRule type="expression" priority="8" dxfId="0" stopIfTrue="1">
      <formula>AND(ISNUMBER(B20),B20&gt;0)</formula>
    </cfRule>
  </conditionalFormatting>
  <dataValidations count="2">
    <dataValidation sqref="B5 B6 D5 D6" showDropDown="0" showInputMessage="0" showErrorMessage="1" allowBlank="1" errorTitle="Importe no válido" error="Escribe un número mayor o igual que 0." type="decimal" operator="greaterThanOrEqual">
      <formula1>0</formula1>
    </dataValidation>
    <dataValidation sqref="B7 D7" showDropDown="0" showInputMessage="0" showErrorMessage="1" allowBlank="1" errorTitle="Recuento no válido" error="Escribe un número ENTERO de 1 en adelante: esta celda es un recuento y varias fórmulas dividen entre ella." type="whole" operator="between">
      <formula1>1</formula1>
      <formula2>100000</formula2>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25"/>
  <sheetViews>
    <sheetView workbookViewId="0">
      <pane ySplit="4" topLeftCell="A5" activePane="bottomLeft" state="frozen"/>
      <selection pane="bottomLeft" activeCell="A1" sqref="A1"/>
    </sheetView>
  </sheetViews>
  <sheetFormatPr baseColWidth="8" defaultRowHeight="15"/>
  <cols>
    <col width="34" customWidth="1" min="1" max="1"/>
    <col width="14" customWidth="1" min="2" max="2"/>
    <col width="14" customWidth="1" min="3" max="3"/>
    <col width="16" customWidth="1" min="4" max="4"/>
    <col width="18" customWidth="1" min="5" max="5"/>
    <col width="30" customWidth="1" min="6" max="6"/>
    <col width="16" customWidth="1" min="7" max="7"/>
    <col width="14" customWidth="1" min="8" max="8"/>
    <col width="14" customWidth="1" min="9" max="9"/>
    <col width="40" customWidth="1" min="10" max="10"/>
  </cols>
  <sheetData>
    <row r="1">
      <c r="A1" s="1" t="inlineStr">
        <is>
          <t>ESTRUCTURA DE PERSONAL Y COSTES</t>
        </is>
      </c>
    </row>
    <row r="2">
      <c r="A2" t="str">
        <f>IFERROR("Convenio Hostelería — "&amp;TEXT('0. Supuestos'!$B$21,"0")&amp;" pagas + SS "&amp;TEXT('0. Supuestos'!$B$20*100,"0")&amp;" %","")</f>
        <v>Convenio Hostelería — 14 pagas + SS 33 %</v>
      </c>
    </row>
    <row r="3"/>
    <row r="4">
      <c r="A4" s="39" t="inlineStr">
        <is>
          <t>Puesto</t>
        </is>
      </c>
      <c r="B4" s="39" t="inlineStr">
        <is>
          <t>Personas</t>
        </is>
      </c>
      <c r="C4" s="39" t="inlineStr">
        <is>
          <t>Jornada</t>
        </is>
      </c>
      <c r="D4" s="39" t="inlineStr">
        <is>
          <t>Bruto mes (€, total del puesto)</t>
        </is>
      </c>
      <c r="E4" s="39" t="inlineStr">
        <is>
          <t>Seg. Social a cargo de la empresa (€)</t>
        </is>
      </c>
      <c r="F4" s="39" t="inlineStr">
        <is>
          <t>Coste mes (€, total del puesto)</t>
        </is>
      </c>
      <c r="G4" s="39" t="inlineStr">
        <is>
          <t>Coste año (€)</t>
        </is>
      </c>
      <c r="H4" s="39" t="inlineStr">
        <is>
          <t>Horas/semana por persona</t>
        </is>
      </c>
      <c r="I4" s="39" t="inlineStr">
        <is>
          <t>Horas/año del puesto</t>
        </is>
      </c>
      <c r="J4" s="39" t="inlineStr">
        <is>
          <t>Notas</t>
        </is>
      </c>
    </row>
    <row r="5">
      <c r="A5" s="28" t="inlineStr">
        <is>
          <t>Propietario/a — titular-barista, ventas y compras</t>
        </is>
      </c>
      <c r="B5" s="49" t="n">
        <v>1</v>
      </c>
      <c r="C5" s="51" t="n">
        <v>1</v>
      </c>
      <c r="D5" s="73" t="n">
        <v>1800</v>
      </c>
      <c r="E5" s="70">
        <f>IFERROR(IF(D5="","",D5*'0. Supuestos'!$B$20),"")</f>
        <v>594.0</v>
      </c>
      <c r="F5" s="70">
        <f>IFERROR(IF(D5="","",D5+E5),"")</f>
        <v>2394.0</v>
      </c>
      <c r="G5" s="70">
        <f>IFERROR(IF(D5="","",F5*MAX(12,'0. Supuestos'!$B$21)),"")</f>
        <v>33516.0</v>
      </c>
      <c r="H5" s="44">
        <f>IFERROR(IF(D5="","",C5*$B$16),"")</f>
        <v>40.0</v>
      </c>
      <c r="I5" s="40">
        <f>IFERROR(IF(D5="","",H5*B5*$B$17),"")</f>
        <v>1840.0</v>
      </c>
      <c r="J5" s="28" t="inlineStr">
        <is>
          <t>Sirve en cada evento, conduce, vende a novios, empresas y agencias, compra el café y lleva la agenda. Como administrador de la SL cotiza en el régimen de autónomos: confirma con tu gestoría la cuota y si te aplica la reducida de inicio</t>
        </is>
      </c>
    </row>
    <row r="6">
      <c r="A6" s="28" t="inlineStr">
        <is>
          <t>Camarero/a de barra (barista), fijo discontinuo</t>
        </is>
      </c>
      <c r="B6" s="49" t="n">
        <v>1</v>
      </c>
      <c r="C6" s="51" t="n">
        <v>0.36</v>
      </c>
      <c r="D6" s="73" t="n">
        <v>504</v>
      </c>
      <c r="E6" s="70">
        <f>IFERROR(IF(D6="","",D6*'0. Supuestos'!$B$20),"")</f>
        <v>166.32000000000002</v>
      </c>
      <c r="F6" s="70">
        <f>IFERROR(IF(D6="","",D6+E6),"")</f>
        <v>670.32</v>
      </c>
      <c r="G6" s="70">
        <f>IFERROR(IF(D6="","",F6*MAX(12,'0. Supuestos'!$B$21)),"")</f>
        <v>9384.480000000001</v>
      </c>
      <c r="H6" s="44">
        <f>IFERROR(IF(D6="","",C6*$B$16),"")</f>
        <v>14.399999999999999</v>
      </c>
      <c r="I6" s="40">
        <f>IFERROR(IF(D6="","",H6*B6*$B$17),"")</f>
        <v>662.4</v>
      </c>
      <c r="J6" s="28" t="inlineStr">
        <is>
          <t>Contrato fijo discontinuo (art. 16 del Estatuto de los Trabajadores) al 36 % de jornada en cómputo anual: segundo barista en bodas, congresos, la mitad de los eventos de empresa y la venta directa (unas 650 horas). «Barista» no es categoría del convenio: se contrata como camarero/a. Bruto a jornada completa: 1.400 € en 14 pagas</t>
        </is>
      </c>
    </row>
    <row r="7">
      <c r="A7" s="28" t="inlineStr">
        <is>
          <t>Suplencias y refuerzo de temporada (fijo discontinuo)</t>
        </is>
      </c>
      <c r="B7" s="49" t="n">
        <v>1</v>
      </c>
      <c r="C7" s="51" t="n">
        <v>0.04</v>
      </c>
      <c r="D7" s="73" t="n">
        <v>56</v>
      </c>
      <c r="E7" s="70">
        <f>IFERROR(IF(D7="","",D7*'0. Supuestos'!$B$20),"")</f>
        <v>18.48</v>
      </c>
      <c r="F7" s="70">
        <f>IFERROR(IF(D7="","",D7+E7),"")</f>
        <v>74.48</v>
      </c>
      <c r="G7" s="70">
        <f>IFERROR(IF(D7="","",F7*MAX(12,'0. Supuestos'!$B$21)),"")</f>
        <v>1042.72</v>
      </c>
      <c r="H7" s="44">
        <f>IFERROR(IF(D7="","",C7*$B$16),"")</f>
        <v>1.6</v>
      </c>
      <c r="I7" s="40">
        <f>IFERROR(IF(D7="","",H7*B7*$B$17),"")</f>
        <v>73.60000000000001</v>
      </c>
      <c r="J7" s="28" t="inlineStr">
        <is>
          <t>Bolsa para cubrir las vacaciones del camarero/a y los picos de temporada: unas 75 horas al año, mismo contrato y misma categoría. Para cubrir una baja concreta, el contrato es de sustitución (art. 15.3 del Estatuto de los Trabajadores). Nunca como autónomo que te factura: con tu horario y tu dirección es falso autónomo (art. 1.1)</t>
        </is>
      </c>
    </row>
    <row r="8">
      <c r="A8" s="28" t="inlineStr">
        <is>
          <t>Refuerzo para eventos grandes (fijo discontinuo)</t>
        </is>
      </c>
      <c r="B8" s="49" t="n">
        <v>1</v>
      </c>
      <c r="C8" s="51" t="n">
        <v>0.04</v>
      </c>
      <c r="D8" s="73" t="n">
        <v>56</v>
      </c>
      <c r="E8" s="70">
        <f>IFERROR(IF(D8="","",D8*'0. Supuestos'!$B$20),"")</f>
        <v>18.48</v>
      </c>
      <c r="F8" s="70">
        <f>IFERROR(IF(D8="","",D8+E8),"")</f>
        <v>74.48</v>
      </c>
      <c r="G8" s="70">
        <f>IFERROR(IF(D8="","",F8*MAX(12,'0. Supuestos'!$B$21)),"")</f>
        <v>1042.72</v>
      </c>
      <c r="H8" s="44">
        <f>IFERROR(IF(D8="","",C8*$B$16),"")</f>
        <v>1.6</v>
      </c>
      <c r="I8" s="40">
        <f>IFERROR(IF(D8="","",H8*B8*$B$17),"")</f>
        <v>73.60000000000001</v>
      </c>
      <c r="J8" s="28" t="inlineStr">
        <is>
          <t>Tercer barista para los congresos y las bodas de más de 200 invitados que pidan una segunda estación (tabla de escalado de la hoja Instrucciones): unas 75 horas al año. Por encima del SMI en proporción a su jornada</t>
        </is>
      </c>
    </row>
    <row r="9">
      <c r="A9" s="25" t="inlineStr">
        <is>
          <t>TOTAL PLANTILLA</t>
        </is>
      </c>
      <c r="B9" s="76">
        <f>IFERROR(IF(COUNT(D5:D8)=0,"",SUM(B5:B8)),"")</f>
        <v>4.0</v>
      </c>
      <c r="C9" s="62">
        <f>IFERROR(IF(COUNT(D5:D8)=0,"",SUM(C5:C8)),"")</f>
        <v>1.44</v>
      </c>
      <c r="D9" s="72">
        <f>IFERROR(IF(COUNT(D5:D8)=0,"",SUM(D5:D8)),"")</f>
        <v>2416.0</v>
      </c>
      <c r="E9" s="72">
        <f>IFERROR(IF(COUNT(D5:D8)=0,"",SUM(E5:E8)),"")</f>
        <v>797.28</v>
      </c>
      <c r="F9" s="72">
        <f>IFERROR(IF(COUNT(D5:D8)=0,"",SUM(F5:F8)),"")</f>
        <v>3213.28</v>
      </c>
      <c r="G9" s="72">
        <f>IFERROR(IF(COUNT(D5:D8)=0,"",SUM(G5:G8)),"")</f>
        <v>44985.920000000006</v>
      </c>
      <c r="H9" s="28" t="n"/>
      <c r="I9" s="76">
        <f>IFERROR(IF(COUNT(D5:D8)=0,"",SUM(I5:I8)),"")</f>
        <v>2649.6</v>
      </c>
      <c r="J9" s="28" t="n"/>
    </row>
    <row r="10">
      <c r="A10" s="25" t="inlineStr">
        <is>
          <t>CRECIMIENTO DE LA PLANTILLA (coste escalonado)</t>
        </is>
      </c>
      <c r="B10" s="28" t="n"/>
      <c r="C10" s="28" t="n"/>
      <c r="D10" s="28" t="n"/>
      <c r="E10" s="28" t="n"/>
      <c r="F10" s="28" t="n"/>
      <c r="G10" s="28" t="n"/>
      <c r="H10" s="28" t="n"/>
      <c r="I10" s="28" t="n"/>
      <c r="J10" s="28" t="n"/>
    </row>
    <row r="11">
      <c r="A11" s="28" t="inlineStr">
        <is>
          <t>Coste anual de las incorporaciones del año 2 (€)</t>
        </is>
      </c>
      <c r="B11" s="29" t="n">
        <v>6000</v>
      </c>
      <c r="C11" s="28" t="n"/>
      <c r="D11" s="28" t="n"/>
      <c r="E11" s="28" t="n"/>
      <c r="F11" s="28" t="n"/>
      <c r="G11" s="28" t="n"/>
      <c r="H11" s="28" t="n"/>
      <c r="I11" s="28" t="n"/>
      <c r="J11" s="28" t="inlineStr">
        <is>
          <t>Coste ANUAL completo (bruto + Seguridad Social × pagas) de lo que se contrate ese año. El P&amp;L lo suma al coste del año anterior: la plantilla no crece con un porcentaje, crece con personas</t>
        </is>
      </c>
    </row>
    <row r="12">
      <c r="A12" s="28" t="inlineStr">
        <is>
          <t>Coste anual de las incorporaciones del año 3 (€)</t>
        </is>
      </c>
      <c r="B12" s="29" t="n">
        <v>6000</v>
      </c>
      <c r="C12" s="28" t="n"/>
      <c r="D12" s="28" t="n"/>
      <c r="E12" s="28" t="n"/>
      <c r="F12" s="28" t="n"/>
      <c r="G12" s="28" t="n"/>
      <c r="H12" s="28" t="n"/>
      <c r="I12" s="28" t="n"/>
      <c r="J12" s="28" t="inlineStr">
        <is>
          <t>Coste ANUAL completo (bruto + Seguridad Social × pagas) de lo que se contrate ese año. El P&amp;L lo suma al coste del año anterior: la plantilla no crece con un porcentaje, crece con personas</t>
        </is>
      </c>
    </row>
    <row r="13">
      <c r="A13" s="28" t="inlineStr">
        <is>
          <t>Coste de personal del año 2</t>
        </is>
      </c>
      <c r="B13" s="32">
        <f>IFERROR(IF(G9="","",G9*(1+'0. Supuestos'!$B$48)+B11),"")</f>
        <v>50985.920000000006</v>
      </c>
      <c r="C13" s="28" t="n"/>
      <c r="D13" s="28" t="n"/>
      <c r="E13" s="28" t="n"/>
      <c r="F13" s="28" t="n"/>
      <c r="G13" s="28" t="n"/>
      <c r="H13" s="28" t="n"/>
      <c r="I13" s="28" t="n"/>
      <c r="J13" s="28" t="n"/>
    </row>
    <row r="14">
      <c r="A14" s="28" t="inlineStr">
        <is>
          <t>Coste de personal del año 3</t>
        </is>
      </c>
      <c r="B14" s="32">
        <f>IFERROR(IF(B13="","",B13*(1+'0. Supuestos'!$B$48)+B12),"")</f>
        <v>56985.920000000006</v>
      </c>
      <c r="C14" s="28" t="n"/>
      <c r="D14" s="28" t="n"/>
      <c r="E14" s="28" t="n"/>
      <c r="F14" s="28" t="n"/>
      <c r="G14" s="28" t="n"/>
      <c r="H14" s="28" t="n"/>
      <c r="I14" s="28" t="n"/>
      <c r="J14" s="28" t="n"/>
    </row>
    <row r="15">
      <c r="A15" s="25" t="inlineStr">
        <is>
          <t>COBERTURA POR HORAS DE SERVICIO</t>
        </is>
      </c>
      <c r="B15" s="28" t="n"/>
      <c r="C15" s="28" t="n"/>
      <c r="D15" s="28" t="n"/>
      <c r="E15" s="28" t="n"/>
      <c r="F15" s="28" t="n"/>
      <c r="G15" s="28" t="n"/>
      <c r="H15" s="28" t="n"/>
      <c r="I15" s="28" t="n"/>
      <c r="J15" s="28" t="n"/>
    </row>
    <row r="16">
      <c r="A16" s="28" t="inlineStr">
        <is>
          <t>Jornada completa del convenio (horas/semana)</t>
        </is>
      </c>
      <c r="B16" s="49" t="n">
        <v>40</v>
      </c>
      <c r="C16" s="28" t="n"/>
      <c r="D16" s="28" t="n"/>
      <c r="E16" s="28" t="n"/>
      <c r="F16" s="28" t="n"/>
      <c r="G16" s="28" t="n"/>
      <c r="H16" s="28" t="n"/>
      <c r="I16" s="28" t="n"/>
      <c r="J16" s="28" t="inlineStr">
        <is>
          <t>Art. 34.1 del Estatuto de los Trabajadores; tu convenio provincial puede fijar menos</t>
        </is>
      </c>
    </row>
    <row r="17">
      <c r="A17" s="28" t="inlineStr">
        <is>
          <t>Semanas trabajadas al año por persona</t>
        </is>
      </c>
      <c r="B17" s="49" t="n">
        <v>46</v>
      </c>
      <c r="C17" s="28" t="n"/>
      <c r="D17" s="28" t="n"/>
      <c r="E17" s="28" t="n"/>
      <c r="F17" s="28" t="n"/>
      <c r="G17" s="28" t="n"/>
      <c r="H17" s="28" t="n"/>
      <c r="I17" s="28" t="n"/>
      <c r="J17" s="28" t="inlineStr">
        <is>
          <t>46 semanas: 52 menos las vacaciones (30 días naturales, art. 38 ET), los festivos y las ausencias medias</t>
        </is>
      </c>
    </row>
    <row r="18">
      <c r="A18" s="28" t="inlineStr">
        <is>
          <t>Horas de trabajo por evento que hay que cubrir</t>
        </is>
      </c>
      <c r="B18" s="77" t="n">
        <v>7.5</v>
      </c>
      <c r="C18" s="28" t="n"/>
      <c r="D18" s="28" t="n"/>
      <c r="E18" s="28" t="n"/>
      <c r="F18" s="28" t="n"/>
      <c r="G18" s="28" t="n"/>
      <c r="H18" s="28" t="n"/>
      <c r="I18" s="28" t="n"/>
      <c r="J18" s="28" t="inlineStr">
        <is>
          <t>Horas por evento y persona: carga en la base, viaje, llegada una hora antes, montaje, servicio, desmontaje, limpieza y descarga. Un servicio «de 2 horas» es una jornada de 7 a 9 horas. La oficina y la limpieza de la base van aparte</t>
        </is>
      </c>
    </row>
    <row r="19">
      <c r="A19" s="28" t="inlineStr">
        <is>
          <t>Personas necesarias a la vez en cada evento</t>
        </is>
      </c>
      <c r="B19" s="77" t="n">
        <v>1.6</v>
      </c>
      <c r="C19" s="28" t="n"/>
      <c r="D19" s="28" t="n"/>
      <c r="E19" s="28" t="n"/>
      <c r="F19" s="28" t="n"/>
      <c r="G19" s="28" t="n"/>
      <c r="H19" s="28" t="n"/>
      <c r="I19" s="28" t="n"/>
      <c r="J19" s="28" t="inlineStr">
        <is>
          <t>Personas trabajando a la vez en un evento medio: dos baristas en bodas, congresos, ferias y la mitad de los eventos de empresa, y el titular solo en los pequeños. Ajústalo y la hoja te dice si llega la plantilla</t>
        </is>
      </c>
    </row>
    <row r="20">
      <c r="A20" s="28" t="inlineStr">
        <is>
          <t>Horas de servicio a cubrir al año</t>
        </is>
      </c>
      <c r="B20" s="40">
        <f>IFERROR(IF(OR(B18="",B19="",'0. Supuestos'!$B$6=""),"",B18*B19*'0. Supuestos'!$B$6),"")</f>
        <v>1560.0</v>
      </c>
      <c r="C20" s="28" t="n"/>
      <c r="D20" s="28" t="n"/>
      <c r="E20" s="28" t="n"/>
      <c r="F20" s="28" t="n"/>
      <c r="G20" s="28" t="n"/>
      <c r="H20" s="28" t="n"/>
      <c r="I20" s="28" t="n"/>
      <c r="J20" s="28" t="n"/>
    </row>
    <row r="21">
      <c r="A21" s="28" t="inlineStr">
        <is>
          <t>Horas contratadas al año</t>
        </is>
      </c>
      <c r="B21" s="40">
        <f>IFERROR(IF(I9="","",I9),"")</f>
        <v>2649.6</v>
      </c>
      <c r="C21" s="28" t="n"/>
      <c r="D21" s="28" t="n"/>
      <c r="E21" s="28" t="n"/>
      <c r="F21" s="28" t="n"/>
      <c r="G21" s="28" t="n"/>
      <c r="H21" s="28" t="n"/>
      <c r="I21" s="28" t="n"/>
      <c r="J21" s="28" t="n"/>
    </row>
    <row r="22">
      <c r="A22" s="25" t="inlineStr">
        <is>
          <t>Cobertura (contratadas / necesarias)</t>
        </is>
      </c>
      <c r="B22" s="67">
        <f>IFERROR(B21/B20,"")</f>
        <v>1.6984615384615385</v>
      </c>
      <c r="C22" s="28" t="n"/>
      <c r="D22" s="28" t="n"/>
      <c r="E22" s="28" t="n"/>
      <c r="F22" s="28" t="n"/>
      <c r="G22" s="28" t="n"/>
      <c r="H22" s="28" t="n"/>
      <c r="I22" s="28" t="n"/>
      <c r="J22" s="25" t="inlineStr">
        <is>
          <t>Por debajo del 100 % la plantilla no llega a cubrir el horario que declara el plan: o se contrata más o se recorta el horario</t>
        </is>
      </c>
    </row>
    <row r="23">
      <c r="A23" s="28" t="n"/>
      <c r="B23" s="28" t="n"/>
      <c r="C23" s="28" t="n"/>
      <c r="D23" s="28" t="n"/>
      <c r="E23" s="28" t="n"/>
      <c r="F23" s="28" t="n"/>
      <c r="G23" s="28" t="n"/>
      <c r="H23" s="28" t="n"/>
      <c r="I23" s="28" t="n"/>
      <c r="J23" s="28" t="n"/>
    </row>
    <row r="24" ht="150" customHeight="1">
      <c r="A24" s="46" t="inlineStr">
        <is>
          <t>Las columnas «Bruto mes», «Seg. Social», «Coste mes» y «Coste año» son TOTALES de la fila: en un puesto con dos personas incluyen a las dos. «Jornada» es el porcentaje sobre la jornada completa del convenio y sirve para comparar el salario con el suelo legal en proporción. El tipo de Seguridad Social y el número de pagas están en la hoja «0. Supuestos».</t>
        </is>
      </c>
      <c r="B24" s="28" t="n"/>
      <c r="C24" s="28" t="n"/>
      <c r="D24" s="28" t="n"/>
      <c r="E24" s="28" t="n"/>
      <c r="F24" s="28" t="n"/>
      <c r="G24" s="28" t="n"/>
      <c r="H24" s="28" t="n"/>
      <c r="I24" s="28" t="n"/>
      <c r="J24" s="28" t="n"/>
    </row>
    <row r="25" ht="150" customHeight="1">
      <c r="A25" s="46" t="inlineStr">
        <is>
          <t>El suelo salarial es el MAYOR entre el SMI y el salario de convenio, los dos en la hoja «0. Supuestos»; las jornadas parciales lo llevan en proporción. El convenio aplicable es el PROVINCIAL de hostelería: no existe una tabla salarial estatal única, así que la celda del convenio se entrega vacía para que copies la de tu provincia.</t>
        </is>
      </c>
      <c r="B25" s="28" t="n"/>
      <c r="C25" s="28" t="n"/>
      <c r="D25" s="28" t="n"/>
      <c r="E25" s="28" t="n"/>
      <c r="F25" s="28" t="n"/>
      <c r="G25" s="28" t="n"/>
      <c r="H25" s="28" t="n"/>
      <c r="I25" s="28" t="n"/>
      <c r="J25" s="28" t="n"/>
    </row>
  </sheetData>
  <sheetProtection selectLockedCells="0" selectUnlockedCells="0" sheet="1" objects="0" insertRows="1" insertHyperlinks="1" autoFilter="1" scenarios="0" formatColumns="0" deleteColumns="1" insertColumns="1" pivotTables="1" deleteRows="1" formatCells="1" formatRows="0" sort="0"/>
  <mergeCells count="1">
    <mergeCell ref="A1:F1"/>
  </mergeCells>
  <conditionalFormatting sqref="B22">
    <cfRule type="expression" priority="1" dxfId="1" stopIfTrue="1">
      <formula>AND(ISNUMBER(B22),B22&lt;0.9)</formula>
    </cfRule>
    <cfRule type="expression" priority="2" dxfId="2" stopIfTrue="1">
      <formula>AND(ISNUMBER(B22),B22&gt;=0.9)</formula>
    </cfRule>
    <cfRule type="expression" priority="3" dxfId="0" stopIfTrue="1">
      <formula>AND(ISNUMBER(B22),B22&gt;=1)</formula>
    </cfRule>
  </conditionalFormatting>
  <conditionalFormatting sqref="D5:D8">
    <cfRule type="expression" priority="4" dxfId="1" stopIfTrue="1">
      <formula>AND(ISNUMBER(D5),IFERROR(D5/B5,0)*'0. Supuestos'!$B$21&lt;MAX('0. Supuestos'!$B$22,'0. Supuestos'!$B$68)*C5)</formula>
    </cfRule>
  </conditionalFormatting>
  <dataValidations count="4">
    <dataValidation sqref="B5 B6 B7 B11 B12 B16 B17 B18 D5 D6 D7 D8" showDropDown="0" showInputMessage="0" showErrorMessage="1" allowBlank="1" errorTitle="Importe no válido" error="Escribe un número mayor o igual que 0." type="decimal" operator="greaterThanOrEqual">
      <formula1>0</formula1>
    </dataValidation>
    <dataValidation sqref="B19" showDropDown="0" showInputMessage="0" showErrorMessage="1" allowBlank="1" errorTitle="Valor no válido" error="Escribe un número mayor o igual que 0; esta celda admite decimales (1,7 personas es una presencia media, no una persona y media)." type="decimal" operator="greaterThanOrEqual">
      <formula1>0</formula1>
    </dataValidation>
    <dataValidation sqref="C5 C6 C7 C8" showDropDown="0" showInputMessage="0" showErrorMessage="1" allowBlank="1" errorTitle="Porcentaje no válido" error="Escribe un porcentaje entre 0 y 1 (0,35 = 35 %)." type="decimal" operator="between">
      <formula1>0</formula1>
      <formula2>1</formula2>
    </dataValidation>
    <dataValidation sqref="B8" showDropDown="0" showInputMessage="0" showErrorMessage="1" allowBlank="1" errorTitle="Recuento no válido" error="Escribe un número ENTERO de 1 en adelante: esta celda es un recuento y varias fórmulas dividen entre ella." type="whole" operator="between">
      <formula1>1</formula1>
      <formula2>100000</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E73"/>
  <sheetViews>
    <sheetView workbookViewId="0">
      <selection activeCell="A1" sqref="A1"/>
    </sheetView>
  </sheetViews>
  <sheetFormatPr baseColWidth="8" defaultRowHeight="15"/>
  <cols>
    <col width="62" customWidth="1" min="1" max="1"/>
    <col width="25" customWidth="1" min="2" max="2"/>
    <col width="35" customWidth="1" min="3" max="3"/>
    <col width="54" customWidth="1" min="4" max="4"/>
  </cols>
  <sheetData>
    <row r="1">
      <c r="A1" s="25" t="inlineStr">
        <is>
          <t>INSTRUCCIONES DE USO — Plan financiero Cafetería Móvil para Eventos</t>
        </is>
      </c>
      <c r="B1" s="28" t="n"/>
      <c r="C1" s="28" t="n"/>
      <c r="D1" s="28" t="n"/>
      <c r="E1" s="28" t="n"/>
    </row>
    <row r="2">
      <c r="A2" s="28" t="n"/>
      <c r="B2" s="28" t="n"/>
      <c r="C2" s="28" t="n"/>
      <c r="D2" s="28" t="n"/>
      <c r="E2" s="28" t="n"/>
    </row>
    <row r="3">
      <c r="A3" s="39" t="inlineStr">
        <is>
          <t>CÓMO SE USA ESTE LIBRO</t>
        </is>
      </c>
      <c r="B3" s="28" t="n"/>
      <c r="C3" s="28" t="n"/>
      <c r="D3" s="28" t="n"/>
      <c r="E3" s="28" t="n"/>
    </row>
    <row r="4" ht="30" customHeight="1">
      <c r="A4" s="46" t="inlineStr">
        <is>
          <t>Este plan financiero es un MODELO: sólo se teclea en las celdas VERDES y el resto se recalcula solo.</t>
        </is>
      </c>
      <c r="B4" s="28" t="n"/>
      <c r="C4" s="28" t="n"/>
      <c r="D4" s="28" t="n"/>
      <c r="E4" s="28" t="n"/>
    </row>
    <row r="5" ht="45" customHeight="1">
      <c r="A5" s="46" t="inlineStr">
        <is>
          <t>1. «0. Supuestos» es la hoja de mando: invitados, precio por invitado sin IVA, eventos, mezcla de comida y bebida, coste de mercancía, alquiler, financiación e impuestos.</t>
        </is>
      </c>
      <c r="B5" s="28" t="n"/>
      <c r="C5" s="28" t="n"/>
      <c r="D5" s="28" t="n"/>
      <c r="E5" s="28" t="n"/>
    </row>
    <row r="6" ht="45" customHeight="1">
      <c r="A6" s="46" t="inlineStr">
        <is>
          <t>2. Las partidas de la inversión, los costes fijos y la plantilla se teclean en su propia hoja, también en verde. Ningún número se escribe dos veces.</t>
        </is>
      </c>
      <c r="B6" s="28" t="n"/>
      <c r="C6" s="28" t="n"/>
      <c r="D6" s="28" t="n"/>
      <c r="E6" s="28" t="n"/>
    </row>
    <row r="7" ht="90" customHeight="1">
      <c r="A7" s="46" t="inlineStr">
        <is>
          <t>3. Sólo «Punto Equilibrio» se deriva entera de lo anterior. En las otras tres hojas también hay celdas verdes que puedes tocar: el escenario pesimista y el optimista en «Escenarios», la estacionalidad y la rampa de arranque en «Tesorería 12 meses», y las cuatro fuentes alternativas de financiación en «Financiación». Todo lo demás se calcula.</t>
        </is>
      </c>
      <c r="B7" s="28" t="n"/>
      <c r="C7" s="28" t="n"/>
      <c r="D7" s="28" t="n"/>
      <c r="E7" s="28" t="n"/>
    </row>
    <row r="8" ht="195" customHeight="1">
      <c r="A8" s="46" t="inlineStr">
        <is>
          <t>4. Todas las cifras van SIN IVA. Para pasar un PVP a precio sin IVA, divide entre 1,10: todo lo que sirve la cafetería móvil, en la barra del evento o en la venta directa de ferias y mercados, va al 10 % (art. 91.Uno.2.2.º de la Ley 37/1992 del IVA; la bollería y el café que se llevan, al mismo tipo por el art. 91.Uno.1.1.º). Entre 1,21 sólo van los extras con precio propio (personalización de la barra, talleres de latte art, alquiler de la cafetera sin barista) y un refresco envasado con azúcares o edulcorantes añadidos que se venda para llevar: ninguno de los dos está en este libro. El tipo de cada línea de venta está en la columna «Tipo de IVA de la línea» del P&amp;L y de ahí salen los cobros, el IVA repercutido y el PVP equivalente. El IVA de la inversión se adelanta y se recupera con el modelo 303.</t>
        </is>
      </c>
      <c r="B8" s="28" t="n"/>
      <c r="C8" s="28" t="n"/>
      <c r="D8" s="28" t="n"/>
      <c r="E8" s="28" t="n"/>
    </row>
    <row r="9" ht="30" customHeight="1">
      <c r="A9" s="46" t="inlineStr">
        <is>
          <t>5. Si cambias la plantilla, el P&amp;L la lee sola: el coste de personal sale de la hoja «Personal», no de una estimación aparte.</t>
        </is>
      </c>
      <c r="B9" s="28" t="n"/>
      <c r="C9" s="28" t="n"/>
      <c r="D9" s="28" t="n"/>
      <c r="E9" s="28" t="n"/>
    </row>
    <row r="10" ht="90" customHeight="1">
      <c r="A10" s="46" t="inlineStr">
        <is>
          <t>6. La hoja «Tesorería 12 meses» responde la pregunta que decide una operación bancaria: en qué mes se agota la caja. Su Mes 1 es MARZO: la cafetería arranca en primavera y llega al primer invierno con la caja de la temporada. El saldo mínimo del año nunca puede salir en rojo. Las señales de los particulares no se modelan: tu caja real será algo mejor.</t>
        </is>
      </c>
      <c r="B10" s="28" t="n"/>
      <c r="C10" s="28" t="n"/>
      <c r="D10" s="28" t="n"/>
      <c r="E10" s="28" t="n"/>
    </row>
    <row r="11" ht="45" customHeight="1">
      <c r="A11" s="46" t="inlineStr">
        <is>
          <t>7. La hoja «Financiación» cuadra lo que hace falta con lo que se aporta y monta el cuadro de amortización del préstamo. Si la diferencia sale en rojo, el plan no está financiado.</t>
        </is>
      </c>
      <c r="B11" s="28" t="n"/>
      <c r="C11" s="28" t="n"/>
      <c r="D11" s="28" t="n"/>
      <c r="E11" s="28" t="n"/>
    </row>
    <row r="12" ht="90" customHeight="1">
      <c r="A12" s="46" t="inlineStr">
        <is>
          <t>8. El documento Word de este pack usa las cifras de este Excel; la calculadora de presupuestos y el modelo de contrato usan los mismos porcentajes de cobro y de cancelación, y la misma tabla de escalado. Si cambias una celda verde, el Excel manda. El coste de mercancía de Supuestos es la media de la mezcla con la merma: el de una bebida concreta está en la calculadora y no se copia aquí.</t>
        </is>
      </c>
      <c r="B12" s="28" t="n"/>
      <c r="C12" s="28" t="n"/>
      <c r="D12" s="28" t="n"/>
      <c r="E12" s="28" t="n"/>
    </row>
    <row r="13">
      <c r="A13" s="28" t="n"/>
      <c r="B13" s="28" t="n"/>
      <c r="C13" s="28" t="n"/>
      <c r="D13" s="28" t="n"/>
      <c r="E13" s="28" t="n"/>
    </row>
    <row r="14">
      <c r="A14" s="25" t="inlineStr">
        <is>
          <t>RATIOS QUE AUDITA EL LIBRO</t>
        </is>
      </c>
      <c r="B14" s="28" t="n"/>
      <c r="C14" s="28" t="n"/>
      <c r="D14" s="28" t="n"/>
      <c r="E14" s="28" t="n"/>
    </row>
    <row r="15" ht="30" customHeight="1">
      <c r="A15" s="46" t="inlineStr">
        <is>
          <t>Los umbrales viven en la columna «Umbral» del bloque RATIOS CLAVE del P&amp;L: cámbialos ahí y el semáforo cambia con ellos.</t>
        </is>
      </c>
      <c r="B15" s="28" t="n"/>
      <c r="C15" s="28" t="n"/>
      <c r="D15" s="28" t="n"/>
      <c r="E15" s="28" t="n"/>
    </row>
    <row r="16">
      <c r="A16" s="28" t="n"/>
      <c r="B16" s="28" t="n"/>
      <c r="C16" s="28" t="n"/>
      <c r="D16" s="28" t="n"/>
      <c r="E16" s="28" t="n"/>
    </row>
    <row r="17">
      <c r="A17" s="25" t="inlineStr">
        <is>
          <t>Ratio</t>
        </is>
      </c>
      <c r="B17" s="25" t="inlineStr">
        <is>
          <t>Valor del año 1</t>
        </is>
      </c>
      <c r="C17" s="25" t="inlineStr">
        <is>
          <t>Umbral</t>
        </is>
      </c>
      <c r="D17" s="25" t="inlineStr">
        <is>
          <t>Estado</t>
        </is>
      </c>
      <c r="E17" s="28" t="n"/>
    </row>
    <row r="18">
      <c r="A18" s="28" t="inlineStr">
        <is>
          <t>Coste de mercancía / Ventas</t>
        </is>
      </c>
      <c r="B18" s="68">
        <f>IFERROR(IF('PyG 3 Años'!$B$53="","",'PyG 3 Años'!$B$53),"")</f>
        <v>0.193</v>
      </c>
      <c r="C18" s="68">
        <f>IFERROR(IF('PyG 3 Años'!$E$53="","",'PyG 3 Años'!$E$53),"")</f>
        <v>0.22</v>
      </c>
      <c r="D18" s="28" t="str">
        <f>IFERROR(IF(OR(B18="",C18=""),"",IF(B18&lt;=C18,"CUMPLE","REVISAR")),"")</f>
        <v>CUMPLE</v>
      </c>
      <c r="E18" s="28" t="n"/>
    </row>
    <row r="19">
      <c r="A19" s="28" t="inlineStr">
        <is>
          <t>Coste de personal / Ventas</t>
        </is>
      </c>
      <c r="B19" s="68">
        <f>IFERROR(IF('PyG 3 Años'!$B$54="","",'PyG 3 Años'!$B$54),"")</f>
        <v>0.41343552982262666</v>
      </c>
      <c r="C19" s="68">
        <f>IFERROR(IF('PyG 3 Años'!$E$54="","",'PyG 3 Años'!$E$54),"")</f>
        <v>0.45</v>
      </c>
      <c r="D19" s="28" t="str">
        <f>IFERROR(IF(OR(B19="",C19=""),"",IF(B19&lt;=C19,"CUMPLE","REVISAR")),"")</f>
        <v>CUMPLE</v>
      </c>
      <c r="E19" s="28" t="n"/>
    </row>
    <row r="20">
      <c r="A20" s="28" t="inlineStr">
        <is>
          <t>Cuota del almacén base / Ventas</t>
        </is>
      </c>
      <c r="B20" s="68">
        <f>IFERROR(IF('PyG 3 Años'!$B$55="","",'PyG 3 Años'!$B$55),"")</f>
        <v>0.044113592500689275</v>
      </c>
      <c r="C20" s="68">
        <f>IFERROR(IF('PyG 3 Años'!$E$55="","",'PyG 3 Años'!$E$55),"")</f>
        <v>0.06</v>
      </c>
      <c r="D20" s="28" t="str">
        <f>IFERROR(IF(OR(B20="",C20=""),"",IF(B20&lt;=C20,"CUMPLE","REVISAR")),"")</f>
        <v>CUMPLE</v>
      </c>
      <c r="E20" s="28" t="n"/>
    </row>
    <row r="21">
      <c r="A21" s="28" t="inlineStr">
        <is>
          <t>Resultado neto / Ventas</t>
        </is>
      </c>
      <c r="B21" s="68">
        <f>IFERROR(IF('PyG 3 Años'!$B$56="","",'PyG 3 Años'!$B$56),"")</f>
        <v>0.0812470949361271</v>
      </c>
      <c r="C21" s="68">
        <f>IFERROR(IF('PyG 3 Años'!$E$56="","",'PyG 3 Años'!$E$56),"")</f>
        <v>0.05</v>
      </c>
      <c r="D21" s="28" t="str">
        <f>IFERROR(IF(OR(B21="",C21=""),"",IF(B21&gt;=C21,"CUMPLE","REVISAR")),"")</f>
        <v>CUMPLE</v>
      </c>
      <c r="E21" s="28" t="n"/>
    </row>
    <row r="22">
      <c r="A22" s="28" t="inlineStr">
        <is>
          <t>Margen bruto / Ventas</t>
        </is>
      </c>
      <c r="B22" s="68">
        <f>IFERROR(IF('PyG 3 Años'!$B$51="","",'PyG 3 Años'!$B$51),"")</f>
        <v>0.7084</v>
      </c>
      <c r="C22" s="68">
        <f>IFERROR(IF('PyG 3 Años'!$E$51="","",'PyG 3 Años'!$E$51),"")</f>
        <v>0.65</v>
      </c>
      <c r="D22" s="28" t="str">
        <f>IFERROR(IF(OR(B22="",C22=""),"",IF(B22&gt;=C22,"CUMPLE","REVISAR")),"")</f>
        <v>CUMPLE</v>
      </c>
      <c r="E22" s="28" t="n"/>
    </row>
    <row r="23">
      <c r="A23" s="28" t="n"/>
      <c r="B23" s="28" t="n"/>
      <c r="C23" s="28" t="n"/>
      <c r="D23" s="28" t="n"/>
      <c r="E23" s="28" t="n"/>
    </row>
    <row r="24">
      <c r="A24" s="25" t="inlineStr">
        <is>
          <t>CIFRAS DE ESTE PLAN</t>
        </is>
      </c>
      <c r="B24" s="28" t="n"/>
      <c r="C24" s="28" t="n"/>
      <c r="D24" s="28" t="n"/>
      <c r="E24" s="28" t="n"/>
    </row>
    <row r="25">
      <c r="A25" s="28" t="inlineStr">
        <is>
          <t>Inversión total (suma de los bloques)</t>
        </is>
      </c>
      <c r="B25" s="32">
        <f>IFERROR(IF('Inversión Inicial'!$B$26="","",'Inversión Inicial'!$B$26),"")</f>
        <v>60060.605</v>
      </c>
      <c r="C25" s="28" t="n"/>
      <c r="D25" s="28" t="n"/>
      <c r="E25" s="28" t="n"/>
    </row>
    <row r="26">
      <c r="A26" s="28" t="inlineStr">
        <is>
          <t>Necesidad total de caja al arranque</t>
        </is>
      </c>
      <c r="B26" s="32">
        <f>IFERROR(IF('Inversión Inicial'!$B$29="","",'Inversión Inicial'!$B$29),"")</f>
        <v>69009.965</v>
      </c>
      <c r="C26" s="28" t="n"/>
      <c r="D26" s="28" t="n"/>
      <c r="E26" s="28" t="n"/>
    </row>
    <row r="27">
      <c r="A27" s="28" t="inlineStr">
        <is>
          <t>Fondo de maniobra dotado</t>
        </is>
      </c>
      <c r="B27" s="32">
        <f>IFERROR(IF('Inversión Inicial'!$B$25="","",'Inversión Inicial'!$B$25),"")</f>
        <v>15644.605000000003</v>
      </c>
      <c r="C27" s="28" t="n"/>
      <c r="D27" s="28" t="n"/>
      <c r="E27" s="28" t="n"/>
    </row>
    <row r="28">
      <c r="A28" s="28" t="inlineStr">
        <is>
          <t>Facturación prevista del año 1</t>
        </is>
      </c>
      <c r="B28" s="32">
        <f>IFERROR(IF('PyG 3 Años'!$B$9="","",'PyG 3 Años'!$B$9),"")</f>
        <v>108810.0</v>
      </c>
      <c r="C28" s="28" t="n"/>
      <c r="D28" s="28" t="n"/>
      <c r="E28" s="28" t="n"/>
    </row>
    <row r="29">
      <c r="A29" s="28" t="inlineStr">
        <is>
          <t>Resultado neto del año 1</t>
        </is>
      </c>
      <c r="B29" s="32">
        <f>IFERROR(IF('PyG 3 Años'!$B$48="","",'PyG 3 Años'!$B$48),"")</f>
        <v>8840.496399999989</v>
      </c>
      <c r="C29" s="28" t="n"/>
      <c r="D29" s="28" t="n"/>
      <c r="E29" s="28" t="n"/>
    </row>
    <row r="30">
      <c r="A30" s="28" t="inlineStr">
        <is>
          <t>Invitados por evento para el punto de equilibrio CONTABLE (con la amortización dentro)</t>
        </is>
      </c>
      <c r="B30" s="44">
        <f>IFERROR(IF('Punto Equilibrio'!$B$15="","",'Punto Equilibrio'!$B$15),"")</f>
        <v>116.78437271003894</v>
      </c>
      <c r="C30" s="28" t="n"/>
      <c r="D30" s="28" t="n"/>
      <c r="E30" s="28" t="n"/>
    </row>
    <row r="31">
      <c r="A31" s="28" t="inlineStr">
        <is>
          <t>Payback del proyecto (años), antes de la deuda</t>
        </is>
      </c>
      <c r="B31" s="28" t="str">
        <f>IFERROR(IF('Tesorería 12 meses'!$B$31="","",'Tesorería 12 meses'!$B$31),"")</f>
        <v>Más de 3 años</v>
      </c>
      <c r="C31" s="28" t="n"/>
      <c r="D31" s="28" t="n"/>
      <c r="E31" s="28" t="n"/>
    </row>
    <row r="32">
      <c r="A32" s="28" t="n"/>
      <c r="B32" s="28" t="n"/>
      <c r="C32" s="28" t="n"/>
      <c r="D32" s="28" t="n"/>
      <c r="E32" s="28" t="n"/>
    </row>
    <row r="33">
      <c r="A33" s="25" t="inlineStr">
        <is>
          <t>DATOS DE REFERENCIA DEL SECTOR</t>
        </is>
      </c>
      <c r="B33" s="28" t="n"/>
      <c r="C33" s="28" t="n"/>
      <c r="D33" s="28" t="n"/>
      <c r="E33" s="28" t="n"/>
    </row>
    <row r="34">
      <c r="A34" s="25" t="inlineStr">
        <is>
          <t>Referencia</t>
        </is>
      </c>
      <c r="B34" s="25" t="inlineStr">
        <is>
          <t>Valor</t>
        </is>
      </c>
      <c r="C34" s="25" t="inlineStr">
        <is>
          <t>Fuente</t>
        </is>
      </c>
      <c r="D34" s="25" t="inlineStr">
        <is>
          <t>Nota</t>
        </is>
      </c>
      <c r="E34" s="28" t="n"/>
    </row>
    <row r="35" ht="75" customHeight="1">
      <c r="A35" s="28" t="inlineStr">
        <is>
          <t>Mes 1 del plan</t>
        </is>
      </c>
      <c r="B35" s="28" t="inlineStr">
        <is>
          <t>Marzo</t>
        </is>
      </c>
      <c r="C35" s="28" t="inlineStr">
        <is>
          <t>Decisión del plan</t>
        </is>
      </c>
      <c r="D35" s="46" t="inlineStr">
        <is>
          <t>El café se reserva de una semana a seis meses antes: se arranca en primavera, con la empresa y las comuniones, y enero y febrero (los meses más flojos) llegan con la caja de la temporada. La fila de estacionalidad de la Tesorería ya va girada</t>
        </is>
      </c>
      <c r="E35" s="28" t="n"/>
    </row>
    <row r="36" ht="75" customHeight="1">
      <c r="A36" s="28" t="inlineStr">
        <is>
          <t>Mezcla de eventos del plan</t>
        </is>
      </c>
      <c r="B36" s="28" t="inlineStr">
        <is>
          <t>130 eventos: 30 bodas, 40 de empresa, 22 jornadas de congreso o feria, 25 privados y 12 de venta directa</t>
        </is>
      </c>
      <c r="C36" s="28" t="inlineStr">
        <is>
          <t>Estimación del kit</t>
        </is>
      </c>
      <c r="D36" s="46" t="inlineStr">
        <is>
          <t>Bodas (30 × 120 invitados × 9,00 €), empresa (40 × 80 × 8,00 €), congresos (22 × 300 × 4,50 €), privados y rodajes (25 × 50 × 9,50 €) y venta directa (12 × 250 tazas × 3,00 €), sin IVA: 129 servicios y 108.575 €. El plan redondea a 130 eventos de 135 invitados a 6,20 €</t>
        </is>
      </c>
      <c r="E36" s="28" t="n"/>
    </row>
    <row r="37" ht="60" customHeight="1">
      <c r="A37" s="28" t="inlineStr">
        <is>
          <t>Escalado: barra de 3 horas para 50 invitados</t>
        </is>
      </c>
      <c r="B37" s="28" t="inlineStr">
        <is>
          <t>70 bebidas · 1 barista · 1 cafetera de dos grupos · 2 molinos</t>
        </is>
      </c>
      <c r="C37" s="28" t="inlineStr">
        <is>
          <t>Estimación del kit (ratios de EE. UU.)</t>
        </is>
      </c>
      <c r="D37" s="46" t="inlineStr">
        <is>
          <t>1,2 kg de café · 9 l de leche · 77 vasos desechables (o tazas de loza) · 3,5 kW: enchufe de 16 A · 38 l de agua limpia. Con 1,4 bebidas por invitado (barra de 2 a 4 horas); la calculadora lo hace con tus horas y tus invitados</t>
        </is>
      </c>
      <c r="E37" s="28" t="n"/>
    </row>
    <row r="38" ht="75" customHeight="1">
      <c r="A38" s="28" t="inlineStr">
        <is>
          <t>Escalado: barra de 3 horas para 100 invitados</t>
        </is>
      </c>
      <c r="B38" s="28" t="inlineStr">
        <is>
          <t>140 bebidas · 2 baristas · 1 cafetera de dos grupos · 2 molinos</t>
        </is>
      </c>
      <c r="C38" s="28" t="inlineStr">
        <is>
          <t>Estimación del kit (ratios de EE. UU.)</t>
        </is>
      </c>
      <c r="D38" s="46" t="inlineStr">
        <is>
          <t>2,3 kg de café · 18 l de leche · 154 vasos desechables (o tazas de loza) · 3,5 kW: enchufe de 16 A · 55 l de agua limpia. Con 1,4 bebidas por invitado (barra de 2 a 4 horas); la calculadora lo hace con tus horas y tus invitados</t>
        </is>
      </c>
      <c r="E38" s="28" t="n"/>
    </row>
    <row r="39" ht="75" customHeight="1">
      <c r="A39" s="28" t="inlineStr">
        <is>
          <t>Escalado: barra de 3 horas para 200 invitados</t>
        </is>
      </c>
      <c r="B39" s="28" t="inlineStr">
        <is>
          <t>280 bebidas · 3 baristas · 2 cafeteras de dos grupos · 3 molinos</t>
        </is>
      </c>
      <c r="C39" s="28" t="inlineStr">
        <is>
          <t>Estimación del kit (ratios de EE. UU.)</t>
        </is>
      </c>
      <c r="D39" s="46" t="inlineStr">
        <is>
          <t>4,3 kg de café · 35 l de leche · 308 vasos desechables (o tazas de loza) · 7,0 kW: toma dedicada o generador · 90 l de agua limpia. Con 1,4 bebidas por invitado (barra de 2 a 4 horas); la calculadora lo hace con tus horas y tus invitados</t>
        </is>
      </c>
      <c r="E39" s="28" t="n"/>
    </row>
    <row r="40" ht="75" customHeight="1">
      <c r="A40" s="28" t="inlineStr">
        <is>
          <t>Escalado: barra de 3 horas para 300 invitados</t>
        </is>
      </c>
      <c r="B40" s="28" t="inlineStr">
        <is>
          <t>420 bebidas · 4 baristas · 2 cafeteras de dos grupos · 3 molinos</t>
        </is>
      </c>
      <c r="C40" s="28" t="inlineStr">
        <is>
          <t>Estimación del kit (ratios de EE. UU.)</t>
        </is>
      </c>
      <c r="D40" s="46" t="inlineStr">
        <is>
          <t>6,4 kg de café · 53 l de leche · 462 vasos desechables (o tazas de loza) · 7,0 kW: toma dedicada o generador · 125 l de agua limpia. Con 1,4 bebidas por invitado (barra de 2 a 4 horas); la calculadora lo hace con tus horas y tus invitados</t>
        </is>
      </c>
      <c r="E40" s="28" t="n"/>
    </row>
    <row r="41" ht="45" customHeight="1">
      <c r="A41" s="28" t="inlineStr">
        <is>
          <t>Bebidas por invitado según las horas</t>
        </is>
      </c>
      <c r="B41" s="28" t="inlineStr">
        <is>
          <t>Hasta 2 horas 1,0 · más de 2 y hasta 4 horas 1,3-1,5 · más de 4 y hasta 6 horas 1,5-1,8 · más de 6 horas 2,0-2,5</t>
        </is>
      </c>
      <c r="C41" s="28" t="inlineStr">
        <is>
          <t>Estimación del kit (ratios de EE. UU.)</t>
        </is>
      </c>
      <c r="D41" s="46" t="inlineStr">
        <is>
          <t>Por la mañana, un 20-30 % más; en una boda de noche, un 10 % menos. Un barista con dos grupos saca unas 50-60 bebidas por hora y dos baristas, 100-120</t>
        </is>
      </c>
      <c r="E41" s="28" t="n"/>
    </row>
    <row r="42" ht="45" customHeight="1">
      <c r="A42" s="28" t="inlineStr">
        <is>
          <t>Electricidad de la barra</t>
        </is>
      </c>
      <c r="B42" s="28" t="inlineStr">
        <is>
          <t>Cafetera de dos grupos: 2,4-4,5 kW · un enchufe de 16 A da unos 3,7 kW</t>
        </is>
      </c>
      <c r="C42" s="28" t="inlineStr">
        <is>
          <t>Ficha técnica de fabricante y cálculo (230 V × 16 A)</t>
        </is>
      </c>
      <c r="D42" s="46" t="inlineStr">
        <is>
          <t>Cafetera de 3,5 kW como máximo o toma dedicada; si no, generador inverter o baterías. El contrato del kit pide la toma por escrito</t>
        </is>
      </c>
      <c r="E42" s="28" t="n"/>
    </row>
    <row r="43" ht="60" customHeight="1">
      <c r="A43" s="28" t="inlineStr">
        <is>
          <t>Coste de una bebida</t>
        </is>
      </c>
      <c r="B43" s="28" t="inlineStr">
        <is>
          <t>Unos 0,59 € de café, leche y siropes, más unos 0,12 € de vaso y tapa</t>
        </is>
      </c>
      <c r="C43" s="28" t="inlineStr">
        <is>
          <t>Calculadora del kit (estimación con precios de proveedor)</t>
        </is>
      </c>
      <c r="D43" s="46" t="inlineStr">
        <is>
          <t>Media de la mezcla de diez bebidas, con un doble de 16 g de café de especialidad a unos 22 €/kg y la merma. En loza sólo cuenta el producto. El coste de mercancía de Supuestos es la media del año con la merma</t>
        </is>
      </c>
      <c r="E43" s="28" t="n"/>
    </row>
    <row r="44" ht="45" customHeight="1">
      <c r="A44" s="28" t="inlineStr">
        <is>
          <t>Precios publicados de barras de café para bodas</t>
        </is>
      </c>
      <c r="B44" s="28" t="inlineStr">
        <is>
          <t>Desde 295 € hasta 1.300 € por evento</t>
        </is>
      </c>
      <c r="C44" s="28" t="inlineStr">
        <is>
          <t>Fichas de proveedores en Bodas.net, consulta del 28-10-2026</t>
        </is>
      </c>
      <c r="D44" s="46" t="inlineStr">
        <is>
          <t>Precios «desde» de escaparate y sin desglose: sirven para situarte, no para copiarlos. Señal del 30-50 % y el resto antes del evento; hora extra de 37 a 50 €</t>
        </is>
      </c>
      <c r="E44" s="28" t="n"/>
    </row>
    <row r="45" ht="75" customHeight="1">
      <c r="A45" s="28" t="inlineStr">
        <is>
          <t>Cobro y cancelación del kit</t>
        </is>
      </c>
      <c r="B45" s="28" t="inlineStr">
        <is>
          <t>Particular: 30 % al firmar y 70 % siete días antes · Empresa: 30 % y 70 % a 30 días de la factura</t>
        </is>
      </c>
      <c r="C45" s="28" t="inlineStr">
        <is>
          <t>Contrato y calculadora del kit</t>
        </is>
      </c>
      <c r="D45" s="46" t="inlineStr">
        <is>
          <t>Cancelación en cuatro tramos (particular: 60, 30 y 7 días; empresa: 30, 15 y 7): se retiene el 10, el 30 o el 60 % del precio, y en el último tramo el 100 % menos los costes que te ahorras; recíproca si cancelas tú. En la feria se cobra en el acto</t>
        </is>
      </c>
      <c r="E45" s="28" t="n"/>
    </row>
    <row r="46" ht="45" customHeight="1">
      <c r="A46" s="28" t="inlineStr">
        <is>
          <t>Canon de venta en ferias y mercados</t>
        </is>
      </c>
      <c r="B46" s="28" t="inlineStr">
        <is>
          <t>15 % de lo vendido en el caso</t>
        </is>
      </c>
      <c r="C46" s="28" t="inlineStr">
        <is>
          <t>Supuesto del kit</t>
        </is>
      </c>
      <c r="D46" s="46" t="inlineStr">
        <is>
          <t>Hay organizadores que cobran un porcentaje y otros una cuota fija por jornada o emplazamiento: conviértela a porcentaje con tu previsión de ventas de la jornada</t>
        </is>
      </c>
      <c r="E46" s="28" t="n"/>
    </row>
    <row r="47" ht="45" customHeight="1">
      <c r="A47" s="28" t="inlineStr">
        <is>
          <t>IVA de lo que sirve la cafetería</t>
        </is>
      </c>
      <c r="B47" s="28" t="inlineStr">
        <is>
          <t>10 %</t>
        </is>
      </c>
      <c r="C47" s="28" t="inlineStr">
        <is>
          <t>Ley 37/1992, art. 91.Uno.2.2.º</t>
        </is>
      </c>
      <c r="D47" s="46" t="inlineStr">
        <is>
          <t>En la barra del evento y en la venta directa. Los extras con precio propio (personalización, talleres de latte art, alquiler de la cafetera sin barista) van al 21 %</t>
        </is>
      </c>
      <c r="E47" s="28" t="n"/>
    </row>
    <row r="48" ht="45" customHeight="1">
      <c r="A48" s="28" t="inlineStr">
        <is>
          <t>Vasos de un solo uso</t>
        </is>
      </c>
      <c r="B48" s="28" t="inlineStr">
        <is>
          <t>Precio aparte en el tique</t>
        </is>
      </c>
      <c r="C48" s="28" t="inlineStr">
        <is>
          <t>Ley 7/2022, arts. 2.aa, 55.2 y 56</t>
        </is>
      </c>
      <c r="D48" s="46" t="inlineStr">
        <is>
          <t>El vaso de papel con forro de PE o PLA también es plástico. Las pajitas y los agitadores de plástico están prohibidos. En bodas y eventos de empresa, loza</t>
        </is>
      </c>
      <c r="E48" s="28" t="n"/>
    </row>
    <row r="49" ht="75" customHeight="1">
      <c r="A49" s="28" t="inlineStr">
        <is>
          <t>Comida testigo</t>
        </is>
      </c>
      <c r="B49" s="28" t="inlineStr">
        <is>
          <t>Sólo si sirves salado</t>
        </is>
      </c>
      <c r="C49" s="28" t="inlineStr">
        <is>
          <t>RD 1086/2020, arts. 2.h y 30.8-30.10</t>
        </is>
      </c>
      <c r="D49" s="46" t="inlineStr">
        <is>
          <t>Una ración de 100 g o más, a 4 °C o menos (o congelada), durante 7 días, en cada evento. Según nuestra lectura, las bebidas y la bollería servida tal cual quedan fuera, sin criterio oficial: confírmalo con tu autoridad sanitaria</t>
        </is>
      </c>
      <c r="E49" s="28" t="n"/>
    </row>
    <row r="50" ht="45" customHeight="1">
      <c r="A50" s="28" t="inlineStr">
        <is>
          <t>Convenio colectivo aplicable</t>
        </is>
      </c>
      <c r="B50" s="28" t="inlineStr">
        <is>
          <t>Provincial de hostelería</t>
        </is>
      </c>
      <c r="C50" s="28" t="inlineStr">
        <is>
          <t>VI Acuerdo Laboral de ámbito Estatal para el sector de Hostelería, art. 4</t>
        </is>
      </c>
      <c r="D50" s="46" t="inlineStr">
        <is>
          <t>Incluye las «instalaciones fijas o móviles». El barista se contrata como camarero/a; copia tu tabla salarial en la celda de Supuestos</t>
        </is>
      </c>
      <c r="E50" s="28" t="n"/>
    </row>
    <row r="51" ht="30" customHeight="1">
      <c r="A51" s="28" t="inlineStr">
        <is>
          <t>Retención de IRPF en tus facturas</t>
        </is>
      </c>
      <c r="B51" s="28" t="inlineStr">
        <is>
          <t>Ninguna</t>
        </is>
      </c>
      <c r="C51" s="28" t="inlineStr">
        <is>
          <t>Reglamento del IRPF, art. 95.6</t>
        </is>
      </c>
      <c r="D51" s="46" t="inlineStr">
        <is>
          <t>El epígrafe 677.9 es una actividad empresarial: tus facturas a empresas no llevan retención</t>
        </is>
      </c>
      <c r="E51" s="28" t="n"/>
    </row>
    <row r="52" ht="45" customHeight="1">
      <c r="A52" s="28" t="inlineStr">
        <is>
          <t>Epígrafe del IAE</t>
        </is>
      </c>
      <c r="B52" s="28" t="inlineStr">
        <is>
          <t>677.9 (y 675 si vendes en mercados)</t>
        </is>
      </c>
      <c r="C52" s="28" t="inlineStr">
        <is>
          <t>Tarifas del IAE (RDLeg 1175/1990)</t>
        </is>
      </c>
      <c r="D52" s="46" t="inlineStr">
        <is>
          <t>Elegir el epígrafe es criterio de asesoría: confírmalo con tu gestoría. Exento de cuota por debajo de 1 millón de euros de cifra de negocio</t>
        </is>
      </c>
      <c r="E52" s="28" t="n"/>
    </row>
    <row r="53">
      <c r="A53" s="28" t="n"/>
      <c r="B53" s="28" t="n"/>
      <c r="C53" s="28" t="n"/>
      <c r="D53" s="28" t="n"/>
      <c r="E53" s="28" t="n"/>
    </row>
    <row r="54">
      <c r="A54" s="78" t="inlineStr">
        <is>
          <t>Para editar una celda que no esté en verde: Revisar → Desproteger hoja (no tiene contraseña).</t>
        </is>
      </c>
      <c r="B54" s="28" t="n"/>
      <c r="C54" s="28" t="n"/>
      <c r="D54" s="28" t="n"/>
      <c r="E54" s="28" t="n"/>
    </row>
    <row r="55">
      <c r="A55" s="78" t="inlineStr">
        <is>
          <t>Más plantillas y kits del catálogo en aichef.pro/productos-digitales</t>
        </is>
      </c>
      <c r="B55" s="28" t="n"/>
      <c r="C55" s="28" t="n"/>
      <c r="D55" s="28" t="n"/>
      <c r="E55" s="28" t="n"/>
    </row>
    <row r="56">
      <c r="A56" s="78" t="inlineStr">
        <is>
          <t>Diseñado por John Guerrero — chef y consultor gastronómico desde 2010, en cocina desde los 17 años · johnguerrero.es</t>
        </is>
      </c>
      <c r="B56" s="28" t="n"/>
      <c r="C56" s="28" t="n"/>
      <c r="D56" s="28" t="n"/>
      <c r="E56" s="28" t="n"/>
    </row>
    <row r="57">
      <c r="A57" s="78" t="inlineStr">
        <is>
          <t>Versión 1.0 · octubre 2026 · aichef.pro/plan-negocio-cafeteria-movil-eventos · info@aichef.pro</t>
        </is>
      </c>
      <c r="B57" s="28" t="n"/>
      <c r="C57" s="28" t="n"/>
      <c r="D57" s="28" t="n"/>
      <c r="E57" s="28" t="n"/>
    </row>
    <row r="58">
      <c r="A58" s="28" t="n"/>
      <c r="B58" s="28" t="n"/>
      <c r="C58" s="28" t="n"/>
      <c r="D58" s="28" t="n"/>
      <c r="E58" s="28" t="n"/>
    </row>
    <row r="59">
      <c r="A59" s="28" t="n"/>
      <c r="B59" s="28" t="n"/>
      <c r="C59" s="28" t="n"/>
      <c r="D59" s="28" t="n"/>
      <c r="E59" s="28" t="n"/>
    </row>
    <row r="60">
      <c r="A60" s="28" t="n"/>
      <c r="B60" s="28" t="n"/>
      <c r="C60" s="28" t="n"/>
      <c r="D60" s="28" t="n"/>
      <c r="E60" s="28" t="n"/>
    </row>
    <row r="61">
      <c r="A61" s="28" t="n"/>
      <c r="B61" s="28" t="n"/>
      <c r="C61" s="28" t="n"/>
      <c r="D61" s="28" t="n"/>
      <c r="E61" s="28" t="n"/>
    </row>
    <row r="62">
      <c r="A62" s="28" t="n"/>
      <c r="B62" s="28" t="n"/>
      <c r="C62" s="28" t="n"/>
      <c r="D62" s="28" t="n"/>
      <c r="E62" s="28" t="n"/>
    </row>
    <row r="63">
      <c r="A63" s="28" t="n"/>
      <c r="B63" s="28" t="n"/>
      <c r="C63" s="28" t="n"/>
      <c r="D63" s="28" t="n"/>
      <c r="E63" s="28" t="n"/>
    </row>
    <row r="64">
      <c r="A64" s="28" t="n"/>
      <c r="B64" s="28" t="n"/>
      <c r="C64" s="28" t="n"/>
      <c r="D64" s="28" t="n"/>
      <c r="E64" s="28" t="n"/>
    </row>
    <row r="65">
      <c r="A65" s="28" t="n"/>
      <c r="B65" s="28" t="n"/>
      <c r="C65" s="28" t="n"/>
      <c r="D65" s="28" t="n"/>
      <c r="E65" s="28" t="n"/>
    </row>
    <row r="66">
      <c r="A66" s="28" t="n"/>
      <c r="B66" s="28" t="n"/>
      <c r="C66" s="28" t="n"/>
      <c r="D66" s="28" t="n"/>
      <c r="E66" s="28" t="n"/>
    </row>
    <row r="67">
      <c r="A67" s="28" t="n"/>
      <c r="B67" s="28" t="n"/>
      <c r="C67" s="28" t="n"/>
      <c r="D67" s="28" t="n"/>
      <c r="E67" s="28" t="n"/>
    </row>
    <row r="68">
      <c r="A68" s="28" t="n"/>
      <c r="B68" s="28" t="n"/>
      <c r="C68" s="28" t="n"/>
      <c r="D68" s="28" t="n"/>
      <c r="E68" s="28" t="n"/>
    </row>
    <row r="69">
      <c r="A69" s="28" t="n"/>
      <c r="B69" s="28" t="n"/>
      <c r="C69" s="28" t="n"/>
      <c r="D69" s="28" t="n"/>
      <c r="E69" s="28" t="n"/>
    </row>
    <row r="70">
      <c r="A70" s="28" t="n"/>
      <c r="B70" s="28" t="n"/>
      <c r="C70" s="28" t="n"/>
      <c r="D70" s="28" t="n"/>
      <c r="E70" s="28" t="n"/>
    </row>
    <row r="71">
      <c r="A71" s="28" t="n"/>
      <c r="B71" s="28" t="n"/>
      <c r="C71" s="28" t="n"/>
      <c r="D71" s="28" t="n"/>
      <c r="E71" s="28" t="n"/>
    </row>
    <row r="72">
      <c r="A72" s="28" t="n"/>
      <c r="B72" s="28" t="n"/>
      <c r="C72" s="28" t="n"/>
      <c r="D72" s="28" t="n"/>
      <c r="E72" s="28" t="n"/>
    </row>
    <row r="73">
      <c r="A73" s="28" t="n"/>
      <c r="B73" s="28" t="n"/>
      <c r="C73" s="28" t="n"/>
      <c r="D73" s="28" t="n"/>
      <c r="E73" s="28" t="n"/>
    </row>
  </sheetData>
  <sheetProtection selectLockedCells="0" selectUnlockedCells="0" sheet="1" objects="0" insertRows="1" insertHyperlinks="1" autoFilter="1" scenarios="0" formatColumns="0" deleteColumns="1" insertColumns="1" pivotTables="1" deleteRows="1" formatCells="1" formatRows="0" sort="0"/>
  <conditionalFormatting sqref="D18:D22">
    <cfRule type="containsText" priority="1" operator="containsText" dxfId="0" stopIfTrue="1" text="CUMPLE">
      <formula>NOT(ISERROR(SEARCH("CUMPLE",D18)))</formula>
    </cfRule>
    <cfRule type="containsText" priority="2" operator="containsText" dxfId="1" stopIfTrue="1" text="REVISAR">
      <formula>NOT(ISERROR(SEARCH("REVISAR",D18)))</formula>
    </cfRule>
  </conditionalFormatting>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O70"/>
  <sheetViews>
    <sheetView workbookViewId="0">
      <pane xSplit="1" ySplit="4" topLeftCell="B5"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4" customWidth="1" min="14" max="14"/>
    <col width="60" customWidth="1" min="15" max="15"/>
  </cols>
  <sheetData>
    <row r="1">
      <c r="A1" s="25" t="inlineStr">
        <is>
          <t>PREVISIÓN DE TESORERÍA — AÑO 1</t>
        </is>
      </c>
      <c r="B1" s="28" t="n"/>
      <c r="C1" s="28" t="n"/>
      <c r="D1" s="28" t="n"/>
      <c r="E1" s="28" t="n"/>
      <c r="F1" s="28" t="n"/>
      <c r="G1" s="28" t="n"/>
      <c r="H1" s="28" t="n"/>
      <c r="I1" s="28" t="n"/>
      <c r="J1" s="28" t="n"/>
      <c r="K1" s="28" t="n"/>
      <c r="L1" s="28" t="n"/>
      <c r="M1" s="28" t="n"/>
      <c r="N1" s="28" t="n"/>
      <c r="O1" s="28" t="n"/>
    </row>
    <row r="2" ht="45" customHeight="1">
      <c r="A2" s="46" t="inlineStr">
        <is>
          <t>El P&amp;L dice si el negocio gana dinero; esta hoja dice si le queda caja para llegar a fin de mes. Es la primera que mira un banco.</t>
        </is>
      </c>
      <c r="B2" s="28" t="n"/>
      <c r="C2" s="28" t="n"/>
      <c r="D2" s="28" t="n"/>
      <c r="E2" s="28" t="n"/>
      <c r="F2" s="28" t="n"/>
      <c r="G2" s="28" t="n"/>
      <c r="H2" s="28" t="n"/>
      <c r="I2" s="28" t="n"/>
      <c r="J2" s="28" t="n"/>
      <c r="K2" s="28" t="n"/>
      <c r="L2" s="28" t="n"/>
      <c r="M2" s="28" t="n"/>
      <c r="N2" s="28" t="n"/>
      <c r="O2" s="28" t="n"/>
    </row>
    <row r="3">
      <c r="A3" s="28" t="n"/>
      <c r="B3" s="28" t="n"/>
      <c r="C3" s="28" t="n"/>
      <c r="D3" s="28" t="n"/>
      <c r="E3" s="28" t="n"/>
      <c r="F3" s="28" t="n"/>
      <c r="G3" s="28" t="n"/>
      <c r="H3" s="28" t="n"/>
      <c r="I3" s="28" t="n"/>
      <c r="J3" s="28" t="n"/>
      <c r="K3" s="28" t="n"/>
      <c r="L3" s="28" t="n"/>
      <c r="M3" s="28" t="n"/>
      <c r="N3" s="28" t="n"/>
      <c r="O3" s="28" t="n"/>
    </row>
    <row r="4">
      <c r="A4" s="25" t="inlineStr">
        <is>
          <t>Concepto</t>
        </is>
      </c>
      <c r="B4" s="25" t="inlineStr">
        <is>
          <t>Mes 1 (€)</t>
        </is>
      </c>
      <c r="C4" s="25" t="inlineStr">
        <is>
          <t>Mes 2 (€)</t>
        </is>
      </c>
      <c r="D4" s="25" t="inlineStr">
        <is>
          <t>Mes 3 (€)</t>
        </is>
      </c>
      <c r="E4" s="25" t="inlineStr">
        <is>
          <t>Mes 4 (€)</t>
        </is>
      </c>
      <c r="F4" s="25" t="inlineStr">
        <is>
          <t>Mes 5 (€)</t>
        </is>
      </c>
      <c r="G4" s="25" t="inlineStr">
        <is>
          <t>Mes 6 (€)</t>
        </is>
      </c>
      <c r="H4" s="25" t="inlineStr">
        <is>
          <t>Mes 7 (€)</t>
        </is>
      </c>
      <c r="I4" s="25" t="inlineStr">
        <is>
          <t>Mes 8 (€)</t>
        </is>
      </c>
      <c r="J4" s="25" t="inlineStr">
        <is>
          <t>Mes 9 (€)</t>
        </is>
      </c>
      <c r="K4" s="25" t="inlineStr">
        <is>
          <t>Mes 10 (€)</t>
        </is>
      </c>
      <c r="L4" s="25" t="inlineStr">
        <is>
          <t>Mes 11 (€)</t>
        </is>
      </c>
      <c r="M4" s="25" t="inlineStr">
        <is>
          <t>Mes 12 (€)</t>
        </is>
      </c>
      <c r="N4" s="25" t="inlineStr">
        <is>
          <t>Año (€)</t>
        </is>
      </c>
      <c r="O4" s="28" t="n"/>
    </row>
    <row r="5">
      <c r="A5" s="28" t="inlineStr">
        <is>
          <t>Estacionalidad del mes (suma 100 %)</t>
        </is>
      </c>
      <c r="B5" s="75" t="n">
        <v>0.081</v>
      </c>
      <c r="C5" s="75" t="n">
        <v>0.089</v>
      </c>
      <c r="D5" s="75" t="n">
        <v>0.114</v>
      </c>
      <c r="E5" s="75" t="n">
        <v>0.116</v>
      </c>
      <c r="F5" s="75" t="n">
        <v>0.068</v>
      </c>
      <c r="G5" s="75" t="n">
        <v>0.039</v>
      </c>
      <c r="H5" s="75" t="n">
        <v>0.11</v>
      </c>
      <c r="I5" s="75" t="n">
        <v>0.113</v>
      </c>
      <c r="J5" s="75" t="n">
        <v>0.09</v>
      </c>
      <c r="K5" s="75" t="n">
        <v>0.06900000000000001</v>
      </c>
      <c r="L5" s="75" t="n">
        <v>0.043</v>
      </c>
      <c r="M5" s="75" t="n">
        <v>0.068</v>
      </c>
      <c r="N5" s="68">
        <f>IFERROR(IF('PyG 3 Años'!$B$9="","",SUM(B5:M5)),"")</f>
        <v>1.0</v>
      </c>
      <c r="O5" s="28" t="inlineStr">
        <is>
          <t>Mes 1 = MARZO: el café se reserva de una semana a seis meses antes y se arranca en primavera, con la empresa y las comuniones. Los picos son mayo y junio (Meses 3 y 4) y septiembre y octubre (Meses 7 y 8); el valle, agosto (Mes 6) y enero (Mes 11). Si arrancas en otro mes, gira la fila. Tiene que sumar 100 %</t>
        </is>
      </c>
    </row>
    <row r="6">
      <c r="A6" s="28" t="inlineStr">
        <is>
          <t>Rampa de arranque (% de la actividad de crucero)</t>
        </is>
      </c>
      <c r="B6" s="68">
        <f>IFERROR(IF('PyG 3 Años'!$B$9="","",MIN(1,'0. Supuestos'!$B$52+(1-'0. Supuestos'!$B$52)*0/MAX(1,'0. Supuestos'!$B$53-1))),"")</f>
        <v>0.45</v>
      </c>
      <c r="C6" s="68">
        <f>IFERROR(IF('PyG 3 Años'!$B$9="","",MIN(1,'0. Supuestos'!$B$52+(1-'0. Supuestos'!$B$52)*1/MAX(1,'0. Supuestos'!$B$53-1))),"")</f>
        <v>0.51875</v>
      </c>
      <c r="D6" s="68">
        <f>IFERROR(IF('PyG 3 Años'!$B$9="","",MIN(1,'0. Supuestos'!$B$52+(1-'0. Supuestos'!$B$52)*2/MAX(1,'0. Supuestos'!$B$53-1))),"")</f>
        <v>0.5875</v>
      </c>
      <c r="E6" s="68">
        <f>IFERROR(IF('PyG 3 Años'!$B$9="","",MIN(1,'0. Supuestos'!$B$52+(1-'0. Supuestos'!$B$52)*3/MAX(1,'0. Supuestos'!$B$53-1))),"")</f>
        <v>0.65625</v>
      </c>
      <c r="F6" s="68">
        <f>IFERROR(IF('PyG 3 Años'!$B$9="","",MIN(1,'0. Supuestos'!$B$52+(1-'0. Supuestos'!$B$52)*4/MAX(1,'0. Supuestos'!$B$53-1))),"")</f>
        <v>0.7250000000000001</v>
      </c>
      <c r="G6" s="68">
        <f>IFERROR(IF('PyG 3 Años'!$B$9="","",MIN(1,'0. Supuestos'!$B$52+(1-'0. Supuestos'!$B$52)*5/MAX(1,'0. Supuestos'!$B$53-1))),"")</f>
        <v>0.79375</v>
      </c>
      <c r="H6" s="68">
        <f>IFERROR(IF('PyG 3 Años'!$B$9="","",MIN(1,'0. Supuestos'!$B$52+(1-'0. Supuestos'!$B$52)*6/MAX(1,'0. Supuestos'!$B$53-1))),"")</f>
        <v>0.8625</v>
      </c>
      <c r="I6" s="68">
        <f>IFERROR(IF('PyG 3 Años'!$B$9="","",MIN(1,'0. Supuestos'!$B$52+(1-'0. Supuestos'!$B$52)*7/MAX(1,'0. Supuestos'!$B$53-1))),"")</f>
        <v>0.9312500000000001</v>
      </c>
      <c r="J6" s="68">
        <f>IFERROR(IF('PyG 3 Años'!$B$9="","",MIN(1,'0. Supuestos'!$B$52+(1-'0. Supuestos'!$B$52)*8/MAX(1,'0. Supuestos'!$B$53-1))),"")</f>
        <v>1.0</v>
      </c>
      <c r="K6" s="68">
        <f>IFERROR(IF('PyG 3 Años'!$B$9="","",MIN(1,'0. Supuestos'!$B$52+(1-'0. Supuestos'!$B$52)*9/MAX(1,'0. Supuestos'!$B$53-1))),"")</f>
        <v>1.0</v>
      </c>
      <c r="L6" s="68">
        <f>IFERROR(IF('PyG 3 Años'!$B$9="","",MIN(1,'0. Supuestos'!$B$52+(1-'0. Supuestos'!$B$52)*10/MAX(1,'0. Supuestos'!$B$53-1))),"")</f>
        <v>1.0</v>
      </c>
      <c r="M6" s="68">
        <f>IFERROR(IF('PyG 3 Años'!$B$9="","",MIN(1,'0. Supuestos'!$B$52+(1-'0. Supuestos'!$B$52)*11/MAX(1,'0. Supuestos'!$B$53-1))),"")</f>
        <v>1.0</v>
      </c>
      <c r="N6" s="28" t="n"/>
      <c r="O6" s="28" t="inlineStr">
        <is>
          <t>Sube en línea recta desde el porcentaje del mes 1 hasta el 100 % en los meses que digas en Supuestos. Con el mes 1 al 100 % la rampa desaparece</t>
        </is>
      </c>
    </row>
    <row r="7">
      <c r="A7" s="28" t="inlineStr">
        <is>
          <t>Reparto de la actividad por mes (calculado)</t>
        </is>
      </c>
      <c r="B7" s="68">
        <f>IFERROR(IF('PyG 3 Años'!$B$9="","",B5*B6/SUMPRODUCT($B$5:$M$5,$B$6:$M$6)),"")</f>
        <v>0.046966731898238745</v>
      </c>
      <c r="C7" s="68">
        <f>IFERROR(IF('PyG 3 Años'!$B$9="","",C5*C6/SUMPRODUCT($B$5:$M$5,$B$6:$M$6)),"")</f>
        <v>0.05948958308166832</v>
      </c>
      <c r="D7" s="68">
        <f>IFERROR(IF('PyG 3 Años'!$B$9="","",D5*D6/SUMPRODUCT($B$5:$M$5,$B$6:$M$6)),"")</f>
        <v>0.08629895387886256</v>
      </c>
      <c r="E7" s="68">
        <f>IFERROR(IF('PyG 3 Años'!$B$9="","",E5*E6/SUMPRODUCT($B$5:$M$5,$B$6:$M$6)),"")</f>
        <v>0.09808895653644512</v>
      </c>
      <c r="F7" s="68">
        <f>IFERROR(IF('PyG 3 Años'!$B$9="","",F5*F6/SUMPRODUCT($B$5:$M$5,$B$6:$M$6)),"")</f>
        <v>0.06352427661407875</v>
      </c>
      <c r="G7" s="68">
        <f>IFERROR(IF('PyG 3 Años'!$B$9="","",G5*G6/SUMPRODUCT($B$5:$M$5,$B$6:$M$6)),"")</f>
        <v>0.03988789833538691</v>
      </c>
      <c r="H7" s="68">
        <f>IFERROR(IF('PyG 3 Años'!$B$9="","",H5*H6/SUMPRODUCT($B$5:$M$5,$B$6:$M$6)),"")</f>
        <v>0.1222487980478848</v>
      </c>
      <c r="I7" s="68">
        <f>IFERROR(IF('PyG 3 Años'!$B$9="","",I5*I6/SUMPRODUCT($B$5:$M$5,$B$6:$M$6)),"")</f>
        <v>0.13559308384270333</v>
      </c>
      <c r="J7" s="68">
        <f>IFERROR(IF('PyG 3 Años'!$B$9="","",J5*J6/SUMPRODUCT($B$5:$M$5,$B$6:$M$6)),"")</f>
        <v>0.11596723925491048</v>
      </c>
      <c r="K7" s="68">
        <f>IFERROR(IF('PyG 3 Años'!$B$9="","",K5*K6/SUMPRODUCT($B$5:$M$5,$B$6:$M$6)),"")</f>
        <v>0.08890821676209804</v>
      </c>
      <c r="L7" s="68">
        <f>IFERROR(IF('PyG 3 Años'!$B$9="","",L5*L6/SUMPRODUCT($B$5:$M$5,$B$6:$M$6)),"")</f>
        <v>0.055406569866235</v>
      </c>
      <c r="M7" s="68">
        <f>IFERROR(IF('PyG 3 Años'!$B$9="","",M5*M6/SUMPRODUCT($B$5:$M$5,$B$6:$M$6)),"")</f>
        <v>0.08761969188148792</v>
      </c>
      <c r="N7" s="68">
        <f>IFERROR(IF('PyG 3 Años'!$B$9="","",SUM(B7:M7)),"")</f>
        <v>1.0</v>
      </c>
      <c r="O7" s="28" t="inlineStr">
        <is>
          <t>Estacionalidad × rampa, normalizado a 100 %: el AÑO factura lo que dice el P&amp;L, pero repartido como lo reparte una cafetería móvil que acaba de arrancar</t>
        </is>
      </c>
    </row>
    <row r="8">
      <c r="A8" s="25" t="inlineStr">
        <is>
          <t>COBROS</t>
        </is>
      </c>
      <c r="B8" s="28" t="n"/>
      <c r="C8" s="28" t="n"/>
      <c r="D8" s="28" t="n"/>
      <c r="E8" s="28" t="n"/>
      <c r="F8" s="28" t="n"/>
      <c r="G8" s="28" t="n"/>
      <c r="H8" s="28" t="n"/>
      <c r="I8" s="28" t="n"/>
      <c r="J8" s="28" t="n"/>
      <c r="K8" s="28" t="n"/>
      <c r="L8" s="28" t="n"/>
      <c r="M8" s="28" t="n"/>
      <c r="N8" s="28" t="n"/>
      <c r="O8" s="28" t="n"/>
    </row>
    <row r="9">
      <c r="A9" s="28" t="inlineStr">
        <is>
          <t>Ventas cobradas (con IVA repercutido)</t>
        </is>
      </c>
      <c r="B9" s="32">
        <f>IFERROR(IF('PyG 3 Años'!$B$9="","",('PyG 3 Años'!$B$9+'PyG 3 Años'!$B$9*SUMPRODUCT('PyG 3 Años'!$E$10:$E$11,'PyG 3 Años'!$G$10:$G$11))*B7*(1-MIN(30,'0. Supuestos'!$B$58)/30)),"")</f>
        <v>1873.8317025440315</v>
      </c>
      <c r="C9" s="32">
        <f>IFERROR(IF('PyG 3 Años'!$B$9="","",('PyG 3 Años'!$B$9+'PyG 3 Años'!$B$9*SUMPRODUCT('PyG 3 Años'!$E$10:$E$11,'PyG 3 Años'!$G$10:$G$11))*(C7*(1-MIN(30,'0. Supuestos'!$B$58)/30)+B7*MIN(30,'0. Supuestos'!$B$58)/30)),"")</f>
        <v>6121.119301297383</v>
      </c>
      <c r="D9" s="32">
        <f>IFERROR(IF('PyG 3 Años'!$B$9="","",('PyG 3 Años'!$B$9+'PyG 3 Años'!$B$9*SUMPRODUCT('PyG 3 Años'!$E$10:$E$11,'PyG 3 Años'!$G$10:$G$11))*(D7*(1-MIN(30,'0. Supuestos'!$B$58)/30)+C7*MIN(30,'0. Supuestos'!$B$58)/30)),"")</f>
        <v>8189.981155323622</v>
      </c>
      <c r="E9" s="32">
        <f>IFERROR(IF('PyG 3 Años'!$B$9="","",('PyG 3 Años'!$B$9+'PyG 3 Años'!$B$9*SUMPRODUCT('PyG 3 Años'!$E$10:$E$11,'PyG 3 Años'!$G$10:$G$11))*(E7*(1-MIN(30,'0. Supuestos'!$B$58)/30)+D7*MIN(30,'0. Supuestos'!$B$58)/30)),"")</f>
        <v>10799.593824744512</v>
      </c>
      <c r="F9" s="32">
        <f>IFERROR(IF('PyG 3 Años'!$B$9="","",('PyG 3 Años'!$B$9+'PyG 3 Años'!$B$9*SUMPRODUCT('PyG 3 Años'!$E$10:$E$11,'PyG 3 Años'!$G$10:$G$11))*(F7*(1-MIN(30,'0. Supuestos'!$B$58)/30)+E7*MIN(30,'0. Supuestos'!$B$58)/30)),"")</f>
        <v>10361.338261941002</v>
      </c>
      <c r="G9" s="32">
        <f>IFERROR(IF('PyG 3 Años'!$B$9="","",('PyG 3 Años'!$B$9+'PyG 3 Años'!$B$9*SUMPRODUCT('PyG 3 Años'!$E$10:$E$11,'PyG 3 Años'!$G$10:$G$11))*(G7*(1-MIN(30,'0. Supuestos'!$B$58)/30)+F7*MIN(30,'0. Supuestos'!$B$58)/30)),"")</f>
        <v>6660.263608030733</v>
      </c>
      <c r="H9" s="32">
        <f>IFERROR(IF('PyG 3 Años'!$B$9="","",('PyG 3 Años'!$B$9+'PyG 3 Años'!$B$9*SUMPRODUCT('PyG 3 Años'!$E$10:$E$11,'PyG 3 Años'!$G$10:$G$11))*(H7*(1-MIN(30,'0. Supuestos'!$B$58)/30)+G7*MIN(30,'0. Supuestos'!$B$58)/30)),"")</f>
        <v>8060.175255490325</v>
      </c>
      <c r="I9" s="32">
        <f>IFERROR(IF('PyG 3 Años'!$B$9="","",('PyG 3 Años'!$B$9+'PyG 3 Años'!$B$9*SUMPRODUCT('PyG 3 Años'!$E$10:$E$11,'PyG 3 Años'!$G$10:$G$11))*(I7*(1-MIN(30,'0. Supuestos'!$B$58)/30)+H7*MIN(30,'0. Supuestos'!$B$58)/30)),"")</f>
        <v>15164.477857505253</v>
      </c>
      <c r="J9" s="32">
        <f>IFERROR(IF('PyG 3 Años'!$B$9="","",('PyG 3 Años'!$B$9+'PyG 3 Años'!$B$9*SUMPRODUCT('PyG 3 Años'!$E$10:$E$11,'PyG 3 Años'!$G$10:$G$11))*(J7*(1-MIN(30,'0. Supuestos'!$B$58)/30)+I7*MIN(30,'0. Supuestos'!$B$58)/30)),"")</f>
        <v>15446.25947669783</v>
      </c>
      <c r="K9" s="32">
        <f>IFERROR(IF('PyG 3 Años'!$B$9="","",('PyG 3 Años'!$B$9+'PyG 3 Años'!$B$9*SUMPRODUCT('PyG 3 Años'!$E$10:$E$11,'PyG 3 Años'!$G$10:$G$11))*(K7*(1-MIN(30,'0. Supuestos'!$B$58)/30)+J7*MIN(30,'0. Supuestos'!$B$58)/30)),"")</f>
        <v>12800.661013263752</v>
      </c>
      <c r="L9" s="32">
        <f>IFERROR(IF('PyG 3 Años'!$B$9="","",('PyG 3 Años'!$B$9+'PyG 3 Años'!$B$9*SUMPRODUCT('PyG 3 Años'!$E$10:$E$11,'PyG 3 Años'!$G$10:$G$11))*(L7*(1-MIN(30,'0. Supuestos'!$B$58)/30)+K7*MIN(30,'0. Supuestos'!$B$58)/30)),"")</f>
        <v>9304.898166268029</v>
      </c>
      <c r="M9" s="32">
        <f>IFERROR(IF('PyG 3 Años'!$B$9="","",('PyG 3 Años'!$B$9+'PyG 3 Años'!$B$9*SUMPRODUCT('PyG 3 Años'!$E$10:$E$11,'PyG 3 Años'!$G$10:$G$11))*(M7*(1-MIN(30,'0. Supuestos'!$B$58)/30)+L7*MIN(30,'0. Supuestos'!$B$58)/30)),"")</f>
        <v>7916.874682902079</v>
      </c>
      <c r="N9" s="32">
        <f>IFERROR(IF('PyG 3 Años'!$B$9="","",SUM(B9:M9)),"")</f>
        <v>112699.47430600856</v>
      </c>
      <c r="O9" s="28" t="inlineStr">
        <is>
          <t>Ventas del mes con el IVA repercutido, corregidas por los días medios de cobro de la hoja de Supuestos</t>
        </is>
      </c>
    </row>
    <row r="10">
      <c r="A10" s="25" t="inlineStr">
        <is>
          <t>PAGOS</t>
        </is>
      </c>
      <c r="B10" s="28" t="n"/>
      <c r="C10" s="28" t="n"/>
      <c r="D10" s="28" t="n"/>
      <c r="E10" s="28" t="n"/>
      <c r="F10" s="28" t="n"/>
      <c r="G10" s="28" t="n"/>
      <c r="H10" s="28" t="n"/>
      <c r="I10" s="28" t="n"/>
      <c r="J10" s="28" t="n"/>
      <c r="K10" s="28" t="n"/>
      <c r="L10" s="28" t="n"/>
      <c r="M10" s="28" t="n"/>
      <c r="N10" s="28" t="n"/>
      <c r="O10" s="28" t="n"/>
    </row>
    <row r="11">
      <c r="A11" s="28" t="inlineStr">
        <is>
          <t>Compras y costes variables (IVA incluido)</t>
        </is>
      </c>
      <c r="B11" s="32">
        <f>IFERROR(IF('PyG 3 Años'!$B$9="","",-('PyG 3 Años'!$B$13*(1+'PyG 3 Años'!$G$13)+'PyG 3 Años'!$B$14*(1+'PyG 3 Años'!$G$14)+'PyG 3 Años'!$B$15*(1+'PyG 3 Años'!$G$15)+'PyG 3 Años'!$B$16*(1+'PyG 3 Años'!$G$16)+'PyG 3 Años'!$B$17*(1+'PyG 3 Años'!$G$17)+'PyG 3 Años'!$B$18*(1+'PyG 3 Años'!$G$18))*B7*(1-MIN(30,'0. Supuestos'!$B$59)/30)),"")</f>
        <v>-0.0</v>
      </c>
      <c r="C11" s="32">
        <f>IFERROR(IF('PyG 3 Años'!$B$9="","",-('PyG 3 Años'!$B$13*(1+'PyG 3 Años'!$G$13)+'PyG 3 Años'!$B$14*(1+'PyG 3 Años'!$G$14)+'PyG 3 Años'!$B$15*(1+'PyG 3 Años'!$G$15)+'PyG 3 Años'!$B$16*(1+'PyG 3 Años'!$G$16)+'PyG 3 Años'!$B$17*(1+'PyG 3 Años'!$G$17)+'PyG 3 Años'!$B$18*(1+'PyG 3 Años'!$G$18))*(C7*(1-MIN(30,'0. Supuestos'!$B$59)/30)+B7*MIN(30,'0. Supuestos'!$B$59)/30)),"")</f>
        <v>-1688.2167480234832</v>
      </c>
      <c r="D11" s="32">
        <f>IFERROR(IF('PyG 3 Años'!$B$9="","",-('PyG 3 Años'!$B$13*(1+'PyG 3 Años'!$G$13)+'PyG 3 Años'!$B$14*(1+'PyG 3 Años'!$G$14)+'PyG 3 Años'!$B$15*(1+'PyG 3 Años'!$G$15)+'PyG 3 Años'!$B$16*(1+'PyG 3 Años'!$G$16)+'PyG 3 Años'!$B$17*(1+'PyG 3 Años'!$G$17)+'PyG 3 Años'!$B$18*(1+'PyG 3 Años'!$G$18))*(D7*(1-MIN(30,'0. Supuestos'!$B$59)/30)+C7*MIN(30,'0. Supuestos'!$B$59)/30)),"")</f>
        <v>-2138.349985879539</v>
      </c>
      <c r="E11" s="32">
        <f>IFERROR(IF('PyG 3 Años'!$B$9="","",-('PyG 3 Años'!$B$13*(1+'PyG 3 Años'!$G$13)+'PyG 3 Años'!$B$14*(1+'PyG 3 Años'!$G$14)+'PyG 3 Años'!$B$15*(1+'PyG 3 Años'!$G$15)+'PyG 3 Años'!$B$16*(1+'PyG 3 Años'!$G$16)+'PyG 3 Años'!$B$17*(1+'PyG 3 Años'!$G$17)+'PyG 3 Años'!$B$18*(1+'PyG 3 Años'!$G$18))*(E7*(1-MIN(30,'0. Supuestos'!$B$59)/30)+D7*MIN(30,'0. Supuestos'!$B$59)/30)),"")</f>
        <v>-3102.011432067841</v>
      </c>
      <c r="F11" s="32">
        <f>IFERROR(IF('PyG 3 Años'!$B$9="","",-('PyG 3 Años'!$B$13*(1+'PyG 3 Años'!$G$13)+'PyG 3 Años'!$B$14*(1+'PyG 3 Años'!$G$14)+'PyG 3 Años'!$B$15*(1+'PyG 3 Años'!$G$15)+'PyG 3 Años'!$B$16*(1+'PyG 3 Años'!$G$16)+'PyG 3 Años'!$B$17*(1+'PyG 3 Años'!$G$17)+'PyG 3 Años'!$B$18*(1+'PyG 3 Años'!$G$18))*(F7*(1-MIN(30,'0. Supuestos'!$B$59)/30)+E7*MIN(30,'0. Supuestos'!$B$59)/30)),"")</f>
        <v>-3525.8024675799084</v>
      </c>
      <c r="G11" s="32">
        <f>IFERROR(IF('PyG 3 Años'!$B$9="","",-('PyG 3 Años'!$B$13*(1+'PyG 3 Años'!$G$13)+'PyG 3 Años'!$B$14*(1+'PyG 3 Años'!$G$14)+'PyG 3 Años'!$B$15*(1+'PyG 3 Años'!$G$15)+'PyG 3 Años'!$B$16*(1+'PyG 3 Años'!$G$16)+'PyG 3 Años'!$B$17*(1+'PyG 3 Años'!$G$17)+'PyG 3 Años'!$B$18*(1+'PyG 3 Años'!$G$18))*(G7*(1-MIN(30,'0. Supuestos'!$B$59)/30)+F7*MIN(30,'0. Supuestos'!$B$59)/30)),"")</f>
        <v>-2283.3768361469884</v>
      </c>
      <c r="H11" s="32">
        <f>IFERROR(IF('PyG 3 Años'!$B$9="","",-('PyG 3 Años'!$B$13*(1+'PyG 3 Años'!$G$13)+'PyG 3 Años'!$B$14*(1+'PyG 3 Años'!$G$14)+'PyG 3 Años'!$B$15*(1+'PyG 3 Años'!$G$15)+'PyG 3 Años'!$B$16*(1+'PyG 3 Años'!$G$16)+'PyG 3 Años'!$B$17*(1+'PyG 3 Años'!$G$17)+'PyG 3 Años'!$B$18*(1+'PyG 3 Años'!$G$18))*(H7*(1-MIN(30,'0. Supuestos'!$B$59)/30)+G7*MIN(30,'0. Supuestos'!$B$59)/30)),"")</f>
        <v>-1433.7684418656224</v>
      </c>
      <c r="I11" s="32">
        <f>IFERROR(IF('PyG 3 Años'!$B$9="","",-('PyG 3 Años'!$B$13*(1+'PyG 3 Años'!$G$13)+'PyG 3 Años'!$B$14*(1+'PyG 3 Años'!$G$14)+'PyG 3 Años'!$B$15*(1+'PyG 3 Años'!$G$15)+'PyG 3 Años'!$B$16*(1+'PyG 3 Años'!$G$16)+'PyG 3 Años'!$B$17*(1+'PyG 3 Años'!$G$17)+'PyG 3 Años'!$B$18*(1+'PyG 3 Años'!$G$18))*(I7*(1-MIN(30,'0. Supuestos'!$B$59)/30)+H7*MIN(30,'0. Supuestos'!$B$59)/30)),"")</f>
        <v>-4394.226720678408</v>
      </c>
      <c r="J11" s="32">
        <f>IFERROR(IF('PyG 3 Años'!$B$9="","",-('PyG 3 Años'!$B$13*(1+'PyG 3 Años'!$G$13)+'PyG 3 Años'!$B$14*(1+'PyG 3 Años'!$G$14)+'PyG 3 Años'!$B$15*(1+'PyG 3 Años'!$G$15)+'PyG 3 Años'!$B$16*(1+'PyG 3 Años'!$G$16)+'PyG 3 Años'!$B$17*(1+'PyG 3 Años'!$G$17)+'PyG 3 Años'!$B$18*(1+'PyG 3 Años'!$G$18))*(J7*(1-MIN(30,'0. Supuestos'!$B$59)/30)+I7*MIN(30,'0. Supuestos'!$B$59)/30)),"")</f>
        <v>-4873.886383139813</v>
      </c>
      <c r="K11" s="32">
        <f>IFERROR(IF('PyG 3 Años'!$B$9="","",-('PyG 3 Años'!$B$13*(1+'PyG 3 Años'!$G$13)+'PyG 3 Años'!$B$14*(1+'PyG 3 Años'!$G$14)+'PyG 3 Años'!$B$15*(1+'PyG 3 Años'!$G$15)+'PyG 3 Años'!$B$16*(1+'PyG 3 Años'!$G$16)+'PyG 3 Años'!$B$17*(1+'PyG 3 Años'!$G$17)+'PyG 3 Años'!$B$18*(1+'PyG 3 Años'!$G$18))*(K7*(1-MIN(30,'0. Supuestos'!$B$59)/30)+J7*MIN(30,'0. Supuestos'!$B$59)/30)),"")</f>
        <v>-4168.436414872798</v>
      </c>
      <c r="L11" s="32">
        <f>IFERROR(IF('PyG 3 Años'!$B$9="","",-('PyG 3 Años'!$B$13*(1+'PyG 3 Años'!$G$13)+'PyG 3 Años'!$B$14*(1+'PyG 3 Años'!$G$14)+'PyG 3 Años'!$B$15*(1+'PyG 3 Años'!$G$15)+'PyG 3 Años'!$B$16*(1+'PyG 3 Años'!$G$16)+'PyG 3 Años'!$B$17*(1+'PyG 3 Años'!$G$17)+'PyG 3 Años'!$B$18*(1+'PyG 3 Años'!$G$18))*(L7*(1-MIN(30,'0. Supuestos'!$B$59)/30)+K7*MIN(30,'0. Supuestos'!$B$59)/30)),"")</f>
        <v>-3195.8012514024786</v>
      </c>
      <c r="M11" s="32">
        <f>IFERROR(IF('PyG 3 Años'!$B$9="","",-('PyG 3 Años'!$B$13*(1+'PyG 3 Años'!$G$13)+'PyG 3 Años'!$B$14*(1+'PyG 3 Años'!$G$14)+'PyG 3 Años'!$B$15*(1+'PyG 3 Años'!$G$15)+'PyG 3 Años'!$B$16*(1+'PyG 3 Años'!$G$16)+'PyG 3 Años'!$B$17*(1+'PyG 3 Años'!$G$17)+'PyG 3 Años'!$B$18*(1+'PyG 3 Años'!$G$18))*(M7*(1-MIN(30,'0. Supuestos'!$B$59)/30)+L7*MIN(30,'0. Supuestos'!$B$59)/30)),"")</f>
        <v>-1991.586287105892</v>
      </c>
      <c r="N11" s="32">
        <f>IFERROR(IF('PyG 3 Años'!$B$9="","",SUM(B11:M11)),"")</f>
        <v>-32795.46296876277</v>
      </c>
      <c r="O11" s="28" t="str">
        <f>IFERROR("Materia prima, consumibles, comisiones e imprevistos, cada uno con SU tipo de IVA (la columna del P&amp;L) y con los días de pago a proveedor de Supuestos."&amp;IF('0. Supuestos'!$B$59=0,""," Con "&amp;TEXT('0. Supuestos'!$B$59,"0")&amp;" días de pago, las primeras compras se pagan ya en el año siguiente: la columna «Año» de esta fila recoge "&amp;TEXT(MAX(0,12-ROUNDUP('0. Supuestos'!$B$59/30,0)),"0")&amp;" mensualidades de compra, no el coste del ejercicio."),"")</f>
        <v>Materia prima, consumibles, comisiones e imprevistos, cada uno con SU tipo de IVA (la columna del P&amp;L) y con los días de pago a proveedor de Supuestos. Con 30 días de pago, las primeras compras se pagan ya en el año siguiente: la columna «Año» de esta fila recoge 11 mensualidades de compra, no el coste del ejercicio.</v>
      </c>
    </row>
    <row r="12">
      <c r="A12" s="28" t="inlineStr">
        <is>
          <t>Costes fijos de explotación (IVA incluido)</t>
        </is>
      </c>
      <c r="B12" s="32">
        <f>IFERROR(IF('PyG 3 Años'!$B$9="","",-('PyG 3 Años'!$B$38-'PyG 3 Años'!$B$23-'PyG 3 Años'!$B$36-'PyG 3 Años'!$B$37+'PyG 3 Años'!$B$40)/12),"")</f>
        <v>-1459.5000000000007</v>
      </c>
      <c r="C12" s="32">
        <f>IFERROR(IF('PyG 3 Años'!$B$9="","",-('PyG 3 Años'!$B$38-'PyG 3 Años'!$B$23-'PyG 3 Años'!$B$36-'PyG 3 Años'!$B$37+'PyG 3 Años'!$B$40)/12),"")</f>
        <v>-1459.5000000000007</v>
      </c>
      <c r="D12" s="32">
        <f>IFERROR(IF('PyG 3 Años'!$B$9="","",-('PyG 3 Años'!$B$38-'PyG 3 Años'!$B$23-'PyG 3 Años'!$B$36-'PyG 3 Años'!$B$37+'PyG 3 Años'!$B$40)/12),"")</f>
        <v>-1459.5000000000007</v>
      </c>
      <c r="E12" s="32">
        <f>IFERROR(IF('PyG 3 Años'!$B$9="","",-('PyG 3 Años'!$B$38-'PyG 3 Años'!$B$23-'PyG 3 Años'!$B$36-'PyG 3 Años'!$B$37+'PyG 3 Años'!$B$40)/12),"")</f>
        <v>-1459.5000000000007</v>
      </c>
      <c r="F12" s="32">
        <f>IFERROR(IF('PyG 3 Años'!$B$9="","",-('PyG 3 Años'!$B$38-'PyG 3 Años'!$B$23-'PyG 3 Años'!$B$36-'PyG 3 Años'!$B$37+'PyG 3 Años'!$B$40)/12),"")</f>
        <v>-1459.5000000000007</v>
      </c>
      <c r="G12" s="32">
        <f>IFERROR(IF('PyG 3 Años'!$B$9="","",-('PyG 3 Años'!$B$38-'PyG 3 Años'!$B$23-'PyG 3 Años'!$B$36-'PyG 3 Años'!$B$37+'PyG 3 Años'!$B$40)/12),"")</f>
        <v>-1459.5000000000007</v>
      </c>
      <c r="H12" s="32">
        <f>IFERROR(IF('PyG 3 Años'!$B$9="","",-('PyG 3 Años'!$B$38-'PyG 3 Años'!$B$23-'PyG 3 Años'!$B$36-'PyG 3 Años'!$B$37+'PyG 3 Años'!$B$40)/12),"")</f>
        <v>-1459.5000000000007</v>
      </c>
      <c r="I12" s="32">
        <f>IFERROR(IF('PyG 3 Años'!$B$9="","",-('PyG 3 Años'!$B$38-'PyG 3 Años'!$B$23-'PyG 3 Años'!$B$36-'PyG 3 Años'!$B$37+'PyG 3 Años'!$B$40)/12),"")</f>
        <v>-1459.5000000000007</v>
      </c>
      <c r="J12" s="32">
        <f>IFERROR(IF('PyG 3 Años'!$B$9="","",-('PyG 3 Años'!$B$38-'PyG 3 Años'!$B$23-'PyG 3 Años'!$B$36-'PyG 3 Años'!$B$37+'PyG 3 Años'!$B$40)/12),"")</f>
        <v>-1459.5000000000007</v>
      </c>
      <c r="K12" s="32">
        <f>IFERROR(IF('PyG 3 Años'!$B$9="","",-('PyG 3 Años'!$B$38-'PyG 3 Años'!$B$23-'PyG 3 Años'!$B$36-'PyG 3 Años'!$B$37+'PyG 3 Años'!$B$40)/12),"")</f>
        <v>-1459.5000000000007</v>
      </c>
      <c r="L12" s="32">
        <f>IFERROR(IF('PyG 3 Años'!$B$9="","",-('PyG 3 Años'!$B$38-'PyG 3 Años'!$B$23-'PyG 3 Años'!$B$36-'PyG 3 Años'!$B$37+'PyG 3 Años'!$B$40)/12),"")</f>
        <v>-1459.5000000000007</v>
      </c>
      <c r="M12" s="32">
        <f>IFERROR(IF('PyG 3 Años'!$B$9="","",-('PyG 3 Años'!$B$38-'PyG 3 Años'!$B$23-'PyG 3 Años'!$B$36-'PyG 3 Años'!$B$37+'PyG 3 Años'!$B$40)/12),"")</f>
        <v>-1459.5000000000007</v>
      </c>
      <c r="N12" s="32">
        <f>IFERROR(IF('PyG 3 Años'!$B$9="","",SUM(B12:M12)),"")</f>
        <v>-17514.000000000007</v>
      </c>
      <c r="O12" s="28" t="inlineStr">
        <is>
          <t>Los fijos que salen de caja, cada uno con su tipo de IVA: los seguros están exentos y no llevan</t>
        </is>
      </c>
    </row>
    <row r="13">
      <c r="A13" s="28" t="inlineStr">
        <is>
          <t>Nóminas y Seguridad Social</t>
        </is>
      </c>
      <c r="B13" s="32">
        <f>IFERROR(IF('PyG 3 Años'!$B$9="","",-'PyG 3 Años'!$B$23/MAX(12,'0. Supuestos'!$B$21)*(1+IF(1='0. Supuestos'!$B$60,(MAX(12,'0. Supuestos'!$B$21)-12)/2,0)+IF(1='0. Supuestos'!$B$61,(MAX(12,'0. Supuestos'!$B$21)-12)/2,0))),"")</f>
        <v>-3213.28</v>
      </c>
      <c r="C13" s="32">
        <f>IFERROR(IF('PyG 3 Años'!$B$9="","",-'PyG 3 Años'!$B$23/MAX(12,'0. Supuestos'!$B$21)*(1+IF(2='0. Supuestos'!$B$60,(MAX(12,'0. Supuestos'!$B$21)-12)/2,0)+IF(2='0. Supuestos'!$B$61,(MAX(12,'0. Supuestos'!$B$21)-12)/2,0))),"")</f>
        <v>-3213.28</v>
      </c>
      <c r="D13" s="32">
        <f>IFERROR(IF('PyG 3 Años'!$B$9="","",-'PyG 3 Años'!$B$23/MAX(12,'0. Supuestos'!$B$21)*(1+IF(3='0. Supuestos'!$B$60,(MAX(12,'0. Supuestos'!$B$21)-12)/2,0)+IF(3='0. Supuestos'!$B$61,(MAX(12,'0. Supuestos'!$B$21)-12)/2,0))),"")</f>
        <v>-3213.28</v>
      </c>
      <c r="E13" s="32">
        <f>IFERROR(IF('PyG 3 Años'!$B$9="","",-'PyG 3 Años'!$B$23/MAX(12,'0. Supuestos'!$B$21)*(1+IF(4='0. Supuestos'!$B$60,(MAX(12,'0. Supuestos'!$B$21)-12)/2,0)+IF(4='0. Supuestos'!$B$61,(MAX(12,'0. Supuestos'!$B$21)-12)/2,0))),"")</f>
        <v>-3213.28</v>
      </c>
      <c r="F13" s="32">
        <f>IFERROR(IF('PyG 3 Años'!$B$9="","",-'PyG 3 Años'!$B$23/MAX(12,'0. Supuestos'!$B$21)*(1+IF(5='0. Supuestos'!$B$60,(MAX(12,'0. Supuestos'!$B$21)-12)/2,0)+IF(5='0. Supuestos'!$B$61,(MAX(12,'0. Supuestos'!$B$21)-12)/2,0))),"")</f>
        <v>-6426.56</v>
      </c>
      <c r="G13" s="32">
        <f>IFERROR(IF('PyG 3 Años'!$B$9="","",-'PyG 3 Años'!$B$23/MAX(12,'0. Supuestos'!$B$21)*(1+IF(6='0. Supuestos'!$B$60,(MAX(12,'0. Supuestos'!$B$21)-12)/2,0)+IF(6='0. Supuestos'!$B$61,(MAX(12,'0. Supuestos'!$B$21)-12)/2,0))),"")</f>
        <v>-3213.28</v>
      </c>
      <c r="H13" s="32">
        <f>IFERROR(IF('PyG 3 Años'!$B$9="","",-'PyG 3 Años'!$B$23/MAX(12,'0. Supuestos'!$B$21)*(1+IF(7='0. Supuestos'!$B$60,(MAX(12,'0. Supuestos'!$B$21)-12)/2,0)+IF(7='0. Supuestos'!$B$61,(MAX(12,'0. Supuestos'!$B$21)-12)/2,0))),"")</f>
        <v>-3213.28</v>
      </c>
      <c r="I13" s="32">
        <f>IFERROR(IF('PyG 3 Años'!$B$9="","",-'PyG 3 Años'!$B$23/MAX(12,'0. Supuestos'!$B$21)*(1+IF(8='0. Supuestos'!$B$60,(MAX(12,'0. Supuestos'!$B$21)-12)/2,0)+IF(8='0. Supuestos'!$B$61,(MAX(12,'0. Supuestos'!$B$21)-12)/2,0))),"")</f>
        <v>-3213.28</v>
      </c>
      <c r="J13" s="32">
        <f>IFERROR(IF('PyG 3 Años'!$B$9="","",-'PyG 3 Años'!$B$23/MAX(12,'0. Supuestos'!$B$21)*(1+IF(9='0. Supuestos'!$B$60,(MAX(12,'0. Supuestos'!$B$21)-12)/2,0)+IF(9='0. Supuestos'!$B$61,(MAX(12,'0. Supuestos'!$B$21)-12)/2,0))),"")</f>
        <v>-3213.28</v>
      </c>
      <c r="K13" s="32">
        <f>IFERROR(IF('PyG 3 Años'!$B$9="","",-'PyG 3 Años'!$B$23/MAX(12,'0. Supuestos'!$B$21)*(1+IF(10='0. Supuestos'!$B$60,(MAX(12,'0. Supuestos'!$B$21)-12)/2,0)+IF(10='0. Supuestos'!$B$61,(MAX(12,'0. Supuestos'!$B$21)-12)/2,0))),"")</f>
        <v>-6426.56</v>
      </c>
      <c r="L13" s="32">
        <f>IFERROR(IF('PyG 3 Años'!$B$9="","",-'PyG 3 Años'!$B$23/MAX(12,'0. Supuestos'!$B$21)*(1+IF(11='0. Supuestos'!$B$60,(MAX(12,'0. Supuestos'!$B$21)-12)/2,0)+IF(11='0. Supuestos'!$B$61,(MAX(12,'0. Supuestos'!$B$21)-12)/2,0))),"")</f>
        <v>-3213.28</v>
      </c>
      <c r="M13" s="32">
        <f>IFERROR(IF('PyG 3 Años'!$B$9="","",-'PyG 3 Años'!$B$23/MAX(12,'0. Supuestos'!$B$21)*(1+IF(12='0. Supuestos'!$B$60,(MAX(12,'0. Supuestos'!$B$21)-12)/2,0)+IF(12='0. Supuestos'!$B$61,(MAX(12,'0. Supuestos'!$B$21)-12)/2,0))),"")</f>
        <v>-3213.28</v>
      </c>
      <c r="N13" s="32">
        <f>IFERROR(IF('PyG 3 Años'!$B$9="","",SUM(B13:M13)),"")</f>
        <v>-44985.920000000006</v>
      </c>
      <c r="O13" s="28" t="inlineStr">
        <is>
          <t>Doce mensualidades más las pagas extra en los meses que digas en Supuestos. La suma del año es la misma que la del P&amp;L. El personal se reparte en doce meses, pero los fijos discontinuos sólo trabajan en los meses con eventos: aquí la temporada sale algo más barata y el invierno algo más caro que en la realidad</t>
        </is>
      </c>
    </row>
    <row r="14">
      <c r="A14" s="28" t="inlineStr">
        <is>
          <t>Intereses del préstamo</t>
        </is>
      </c>
      <c r="B14" s="32">
        <f>IFERROR(IF('PyG 3 Años'!$B$9="","",-'Financiación'!$B$44/12),"")</f>
        <v>-241.04166666666666</v>
      </c>
      <c r="C14" s="32">
        <f>IFERROR(IF('PyG 3 Años'!$B$9="","",-'Financiación'!$B$44/12),"")</f>
        <v>-241.04166666666666</v>
      </c>
      <c r="D14" s="32">
        <f>IFERROR(IF('PyG 3 Años'!$B$9="","",-'Financiación'!$B$44/12),"")</f>
        <v>-241.04166666666666</v>
      </c>
      <c r="E14" s="32">
        <f>IFERROR(IF('PyG 3 Años'!$B$9="","",-'Financiación'!$B$44/12),"")</f>
        <v>-241.04166666666666</v>
      </c>
      <c r="F14" s="32">
        <f>IFERROR(IF('PyG 3 Años'!$B$9="","",-'Financiación'!$B$44/12),"")</f>
        <v>-241.04166666666666</v>
      </c>
      <c r="G14" s="32">
        <f>IFERROR(IF('PyG 3 Años'!$B$9="","",-'Financiación'!$B$44/12),"")</f>
        <v>-241.04166666666666</v>
      </c>
      <c r="H14" s="32">
        <f>IFERROR(IF('PyG 3 Años'!$B$9="","",-'Financiación'!$B$44/12),"")</f>
        <v>-241.04166666666666</v>
      </c>
      <c r="I14" s="32">
        <f>IFERROR(IF('PyG 3 Años'!$B$9="","",-'Financiación'!$B$44/12),"")</f>
        <v>-241.04166666666666</v>
      </c>
      <c r="J14" s="32">
        <f>IFERROR(IF('PyG 3 Años'!$B$9="","",-'Financiación'!$B$44/12),"")</f>
        <v>-241.04166666666666</v>
      </c>
      <c r="K14" s="32">
        <f>IFERROR(IF('PyG 3 Años'!$B$9="","",-'Financiación'!$B$44/12),"")</f>
        <v>-241.04166666666666</v>
      </c>
      <c r="L14" s="32">
        <f>IFERROR(IF('PyG 3 Años'!$B$9="","",-'Financiación'!$B$44/12),"")</f>
        <v>-241.04166666666666</v>
      </c>
      <c r="M14" s="32">
        <f>IFERROR(IF('PyG 3 Años'!$B$9="","",-'Financiación'!$B$44/12),"")</f>
        <v>-241.04166666666666</v>
      </c>
      <c r="N14" s="32">
        <f>IFERROR(IF('PyG 3 Años'!$B$9="","",SUM(B14:M14)),"")</f>
        <v>-2892.5</v>
      </c>
      <c r="O14" s="28" t="n"/>
    </row>
    <row r="15">
      <c r="A15" s="28" t="inlineStr">
        <is>
          <t>Devolución de principal del préstamo</t>
        </is>
      </c>
      <c r="B15" s="32">
        <f>IFERROR(IF('PyG 3 Años'!$B$9="","",-'Financiación'!$B$45/12),"")</f>
        <v>0.0</v>
      </c>
      <c r="C15" s="32">
        <f>IFERROR(IF('PyG 3 Años'!$B$9="","",-'Financiación'!$B$45/12),"")</f>
        <v>0.0</v>
      </c>
      <c r="D15" s="32">
        <f>IFERROR(IF('PyG 3 Años'!$B$9="","",-'Financiación'!$B$45/12),"")</f>
        <v>0.0</v>
      </c>
      <c r="E15" s="32">
        <f>IFERROR(IF('PyG 3 Años'!$B$9="","",-'Financiación'!$B$45/12),"")</f>
        <v>0.0</v>
      </c>
      <c r="F15" s="32">
        <f>IFERROR(IF('PyG 3 Años'!$B$9="","",-'Financiación'!$B$45/12),"")</f>
        <v>0.0</v>
      </c>
      <c r="G15" s="32">
        <f>IFERROR(IF('PyG 3 Años'!$B$9="","",-'Financiación'!$B$45/12),"")</f>
        <v>0.0</v>
      </c>
      <c r="H15" s="32">
        <f>IFERROR(IF('PyG 3 Años'!$B$9="","",-'Financiación'!$B$45/12),"")</f>
        <v>0.0</v>
      </c>
      <c r="I15" s="32">
        <f>IFERROR(IF('PyG 3 Años'!$B$9="","",-'Financiación'!$B$45/12),"")</f>
        <v>0.0</v>
      </c>
      <c r="J15" s="32">
        <f>IFERROR(IF('PyG 3 Años'!$B$9="","",-'Financiación'!$B$45/12),"")</f>
        <v>0.0</v>
      </c>
      <c r="K15" s="32">
        <f>IFERROR(IF('PyG 3 Años'!$B$9="","",-'Financiación'!$B$45/12),"")</f>
        <v>0.0</v>
      </c>
      <c r="L15" s="32">
        <f>IFERROR(IF('PyG 3 Años'!$B$9="","",-'Financiación'!$B$45/12),"")</f>
        <v>0.0</v>
      </c>
      <c r="M15" s="32">
        <f>IFERROR(IF('PyG 3 Años'!$B$9="","",-'Financiación'!$B$45/12),"")</f>
        <v>0.0</v>
      </c>
      <c r="N15" s="32">
        <f>IFERROR(IF('PyG 3 Años'!$B$9="","",SUM(B15:M15)),"")</f>
        <v>0.0</v>
      </c>
      <c r="O15" s="28" t="n"/>
    </row>
    <row r="16">
      <c r="A16" s="28" t="inlineStr">
        <is>
          <t>IVA repercutido del mes (memoria)</t>
        </is>
      </c>
      <c r="B16" s="32">
        <f>IFERROR(IF('PyG 3 Años'!$B$9="","",'PyG 3 Años'!$B$9*B7*SUMPRODUCT('PyG 3 Años'!$E$10:$E$11,'PyG 3 Años'!$G$10:$G$11)),"")</f>
        <v>511.04500978473584</v>
      </c>
      <c r="C16" s="32">
        <f>IFERROR(IF('PyG 3 Años'!$B$9="","",'PyG 3 Años'!$B$9*C7*SUMPRODUCT('PyG 3 Años'!$E$10:$E$11,'PyG 3 Años'!$G$10:$G$11)),"")</f>
        <v>647.306153511633</v>
      </c>
      <c r="D16" s="32">
        <f>IFERROR(IF('PyG 3 Años'!$B$9="","",'PyG 3 Años'!$B$9*D7*SUMPRODUCT('PyG 3 Años'!$E$10:$E$11,'PyG 3 Años'!$G$10:$G$11)),"")</f>
        <v>939.0189171559036</v>
      </c>
      <c r="E16" s="32">
        <f>IFERROR(IF('PyG 3 Años'!$B$9="","",'PyG 3 Años'!$B$9*E7*SUMPRODUCT('PyG 3 Años'!$E$10:$E$11,'PyG 3 Años'!$G$10:$G$11)),"")</f>
        <v>1067.3059360730592</v>
      </c>
      <c r="F16" s="32">
        <f>IFERROR(IF('PyG 3 Años'!$B$9="","",'PyG 3 Años'!$B$9*F7*SUMPRODUCT('PyG 3 Años'!$E$10:$E$11,'PyG 3 Años'!$G$10:$G$11)),"")</f>
        <v>691.207653837791</v>
      </c>
      <c r="G16" s="32">
        <f>IFERROR(IF('PyG 3 Años'!$B$9="","",'PyG 3 Años'!$B$9*G7*SUMPRODUCT('PyG 3 Años'!$E$10:$E$11,'PyG 3 Años'!$G$10:$G$11)),"")</f>
        <v>434.020221787345</v>
      </c>
      <c r="H16" s="32">
        <f>IFERROR(IF('PyG 3 Años'!$B$9="","",'PyG 3 Años'!$B$9*H7*SUMPRODUCT('PyG 3 Años'!$E$10:$E$11,'PyG 3 Años'!$G$10:$G$11)),"")</f>
        <v>1330.1891715590345</v>
      </c>
      <c r="I16" s="32">
        <f>IFERROR(IF('PyG 3 Años'!$B$9="","",'PyG 3 Años'!$B$9*I7*SUMPRODUCT('PyG 3 Años'!$E$10:$E$11,'PyG 3 Años'!$G$10:$G$11)),"")</f>
        <v>1475.388345292455</v>
      </c>
      <c r="J16" s="32">
        <f>IFERROR(IF('PyG 3 Años'!$B$9="","",'PyG 3 Años'!$B$9*J7*SUMPRODUCT('PyG 3 Años'!$E$10:$E$11,'PyG 3 Años'!$G$10:$G$11)),"")</f>
        <v>1261.839530332681</v>
      </c>
      <c r="K16" s="32">
        <f>IFERROR(IF('PyG 3 Años'!$B$9="","",'PyG 3 Años'!$B$9*K7*SUMPRODUCT('PyG 3 Años'!$E$10:$E$11,'PyG 3 Años'!$G$10:$G$11)),"")</f>
        <v>967.4103065883888</v>
      </c>
      <c r="L16" s="32">
        <f>IFERROR(IF('PyG 3 Años'!$B$9="","",'PyG 3 Años'!$B$9*L7*SUMPRODUCT('PyG 3 Años'!$E$10:$E$11,'PyG 3 Años'!$G$10:$G$11)),"")</f>
        <v>602.8788867145031</v>
      </c>
      <c r="M16" s="32">
        <f>IFERROR(IF('PyG 3 Años'!$B$9="","",'PyG 3 Años'!$B$9*M7*SUMPRODUCT('PyG 3 Años'!$E$10:$E$11,'PyG 3 Años'!$G$10:$G$11)),"")</f>
        <v>953.3898673624701</v>
      </c>
      <c r="N16" s="32">
        <f>IFERROR(IF('PyG 3 Años'!$B$9="","",SUM(B16:M16)),"")</f>
        <v>10881.0</v>
      </c>
      <c r="O16" s="28" t="inlineStr">
        <is>
          <t>Cada línea de venta a SU tipo, leído de la columna de IVA del P&amp;L: las bebidas y la bollería, en la barra del evento y en la venta directa de ferias y mercados, al reducido del 10 % (art. 91.Uno.2.2.º de la Ley 37/1992)</t>
        </is>
      </c>
    </row>
    <row r="17">
      <c r="A17" s="28" t="inlineStr">
        <is>
          <t>IVA soportado del mes (memoria)</t>
        </is>
      </c>
      <c r="B17" s="32">
        <f>IFERROR(IF('PyG 3 Años'!$B$9="","",'PyG 3 Años'!$B$39*B7+'PyG 3 Años'!$B$40/12),"")</f>
        <v>432.50949949119376</v>
      </c>
      <c r="C17" s="32">
        <f>IFERROR(IF('PyG 3 Años'!$B$9="","",'PyG 3 Años'!$B$39*C7+'PyG 3 Años'!$B$40/12),"")</f>
        <v>485.3052422396173</v>
      </c>
      <c r="D17" s="32">
        <f>IFERROR(IF('PyG 3 Años'!$B$9="","",'PyG 3 Años'!$B$39*D7+'PyG 3 Años'!$B$40/12),"")</f>
        <v>598.3322696412264</v>
      </c>
      <c r="E17" s="32">
        <f>IFERROR(IF('PyG 3 Años'!$B$9="","",'PyG 3 Años'!$B$39*E7+'PyG 3 Años'!$B$40/12),"")</f>
        <v>648.0383579908676</v>
      </c>
      <c r="F17" s="32">
        <f>IFERROR(IF('PyG 3 Años'!$B$9="","",'PyG 3 Años'!$B$39*F7+'PyG 3 Años'!$B$40/12),"")</f>
        <v>502.3153175559905</v>
      </c>
      <c r="G17" s="32">
        <f>IFERROR(IF('PyG 3 Años'!$B$9="","",'PyG 3 Años'!$B$39*G7+'PyG 3 Años'!$B$40/12),"")</f>
        <v>402.6654751337247</v>
      </c>
      <c r="H17" s="32">
        <f>IFERROR(IF('PyG 3 Años'!$B$9="","",'PyG 3 Años'!$B$39*H7+'PyG 3 Años'!$B$40/12),"")</f>
        <v>749.8950964122635</v>
      </c>
      <c r="I17" s="32">
        <f>IFERROR(IF('PyG 3 Años'!$B$9="","",'PyG 3 Años'!$B$39*I7+'PyG 3 Años'!$B$40/12),"")</f>
        <v>806.1539682670145</v>
      </c>
      <c r="J17" s="32">
        <f>IFERROR(IF('PyG 3 Años'!$B$9="","",'PyG 3 Años'!$B$39*J7+'PyG 3 Años'!$B$40/12),"")</f>
        <v>723.4123444227006</v>
      </c>
      <c r="K17" s="32">
        <f>IFERROR(IF('PyG 3 Años'!$B$9="","",'PyG 3 Años'!$B$39*K7+'PyG 3 Años'!$B$40/12),"")</f>
        <v>609.3327973907371</v>
      </c>
      <c r="L17" s="32">
        <f>IFERROR(IF('PyG 3 Años'!$B$9="","",'PyG 3 Años'!$B$39*L7+'PyG 3 Años'!$B$40/12),"")</f>
        <v>468.0914534464014</v>
      </c>
      <c r="M17" s="32">
        <f>IFERROR(IF('PyG 3 Años'!$B$9="","",'PyG 3 Años'!$B$39*M7+'PyG 3 Años'!$B$40/12),"")</f>
        <v>603.9004380082627</v>
      </c>
      <c r="N17" s="32">
        <f>IFERROR(IF('PyG 3 Años'!$B$9="","",SUM(B17:M17)),"")</f>
        <v>7029.95226</v>
      </c>
      <c r="O17" s="28" t="inlineStr">
        <is>
          <t>Cada partida a su tipo, leído de la columna de IVA del P&amp;L: los seguros y las comisiones de los medios de pago están exentos</t>
        </is>
      </c>
    </row>
    <row r="18">
      <c r="A18" s="28" t="inlineStr">
        <is>
          <t>IVA a compensar arrastrado (inversión incluida)</t>
        </is>
      </c>
      <c r="B18" s="28" t="n"/>
      <c r="C18" s="28" t="n"/>
      <c r="D18" s="28" t="n"/>
      <c r="E18" s="32">
        <f>IFERROR(IF('PyG 3 Años'!$B$9="","",'Inversión Inicial'!$B$28),"")</f>
        <v>8949.359999999999</v>
      </c>
      <c r="F18" s="28" t="n"/>
      <c r="G18" s="28" t="n"/>
      <c r="H18" s="32">
        <f>IFERROR(IF('PyG 3 Años'!$B$9="","",MAX(0,-E19)),"")</f>
        <v>8368.136930919763</v>
      </c>
      <c r="I18" s="28" t="n"/>
      <c r="J18" s="28" t="n"/>
      <c r="K18" s="32">
        <f>IFERROR(IF('PyG 3 Años'!$B$9="","",MAX(0,-H19)),"")</f>
        <v>7728.622269902151</v>
      </c>
      <c r="L18" s="28" t="n"/>
      <c r="M18" s="28" t="n"/>
      <c r="N18" s="28" t="n"/>
      <c r="O18" s="28" t="inlineStr">
        <is>
          <t>El IVA soportado de la INVERSIÓN entra aquí: se compensa contra el repercutido de los trimestres siguientes hasta agotarlo (modelo 303)</t>
        </is>
      </c>
    </row>
    <row r="19">
      <c r="A19" s="28" t="inlineStr">
        <is>
          <t>Resultado de la liquidación trimestral</t>
        </is>
      </c>
      <c r="B19" s="28" t="n"/>
      <c r="C19" s="28" t="n"/>
      <c r="D19" s="28" t="n"/>
      <c r="E19" s="32">
        <f>IFERROR(IF('PyG 3 Años'!$B$9="","",SUM(B16:D16)-SUM(B17:D17)-E18),"")</f>
        <v>-8368.136930919763</v>
      </c>
      <c r="F19" s="28" t="n"/>
      <c r="G19" s="28" t="n"/>
      <c r="H19" s="32">
        <f>IFERROR(IF('PyG 3 Años'!$B$9="","",SUM(E16:G16)-SUM(E17:G17)-H18),"")</f>
        <v>-7728.622269902151</v>
      </c>
      <c r="I19" s="28" t="n"/>
      <c r="J19" s="28" t="n"/>
      <c r="K19" s="32">
        <f>IFERROR(IF('PyG 3 Años'!$B$9="","",SUM(H16:J16)-SUM(H17:J17)-K18),"")</f>
        <v>-5940.666631819959</v>
      </c>
      <c r="L19" s="28" t="n"/>
      <c r="M19" s="28" t="n"/>
      <c r="N19" s="28" t="n"/>
      <c r="O19" s="28" t="inlineStr">
        <is>
          <t>Repercutido menos soportado del trimestre menos lo que venía arrastrado. En negativo NO se paga: se compensa en el trimestre siguiente</t>
        </is>
      </c>
    </row>
    <row r="20">
      <c r="A20" s="28" t="inlineStr">
        <is>
          <t>Pago del IVA (modelo 303)</t>
        </is>
      </c>
      <c r="B20" s="28" t="n"/>
      <c r="C20" s="28" t="n"/>
      <c r="D20" s="28" t="n"/>
      <c r="E20" s="32">
        <f>IFERROR(IF('PyG 3 Años'!$B$9="","",IF(E19&lt;=0,"",-E19)),"")</f>
        <v/>
      </c>
      <c r="F20" s="28" t="n"/>
      <c r="G20" s="28" t="n"/>
      <c r="H20" s="32">
        <f>IFERROR(IF('PyG 3 Años'!$B$9="","",IF(H19&lt;=0,"",-H19)),"")</f>
        <v/>
      </c>
      <c r="I20" s="28" t="n"/>
      <c r="J20" s="28" t="n"/>
      <c r="K20" s="32">
        <f>IFERROR(IF('PyG 3 Años'!$B$9="","",IF(K19&lt;=0,"",-K19)),"")</f>
        <v/>
      </c>
      <c r="L20" s="28" t="n"/>
      <c r="M20" s="28" t="n"/>
      <c r="N20" s="32">
        <f>IFERROR(IF('PyG 3 Años'!$B$9="","",SUM(B20:M20)),"")</f>
        <v>0.0</v>
      </c>
      <c r="O20" s="28" t="inlineStr">
        <is>
          <t>Sólo sale caja cuando el resultado del trimestre es positivo. Los meses sin liquidación van en blanco, no a cero. La celda se pinta en ROJO cuando el pago del 303 se lleva más caja de la que queda ese mes</t>
        </is>
      </c>
    </row>
    <row r="21">
      <c r="A21" s="25" t="inlineStr">
        <is>
          <t>FLUJO DEL MES</t>
        </is>
      </c>
      <c r="B21" s="26">
        <f>IFERROR(IF('PyG 3 Años'!$B$9="","",SUM(B9:B15)+IF(B20="",0,B20)),"")</f>
        <v>-3039.989964122636</v>
      </c>
      <c r="C21" s="26">
        <f>IFERROR(IF('PyG 3 Años'!$B$9="","",SUM(C9:C15)+IF(C20="",0,C20)),"")</f>
        <v>-480.91911339276805</v>
      </c>
      <c r="D21" s="26">
        <f>IFERROR(IF('PyG 3 Años'!$B$9="","",SUM(D9:D15)+IF(D20="",0,D20)),"")</f>
        <v>1137.809502777415</v>
      </c>
      <c r="E21" s="26">
        <f>IFERROR(IF('PyG 3 Años'!$B$9="","",SUM(E9:E15)+IF(E20="",0,E20)),"")</f>
        <v>2783.760726010004</v>
      </c>
      <c r="F21" s="26">
        <f>IFERROR(IF('PyG 3 Años'!$B$9="","",SUM(F9:F15)+IF(F20="",0,F20)),"")</f>
        <v>-1291.5658723055737</v>
      </c>
      <c r="G21" s="26">
        <f>IFERROR(IF('PyG 3 Años'!$B$9="","",SUM(G9:G15)+IF(G20="",0,G20)),"")</f>
        <v>-536.9348947829232</v>
      </c>
      <c r="H21" s="26">
        <f>IFERROR(IF('PyG 3 Años'!$B$9="","",SUM(H9:H15)+IF(H20="",0,H20)),"")</f>
        <v>1712.5851469580346</v>
      </c>
      <c r="I21" s="26">
        <f>IFERROR(IF('PyG 3 Años'!$B$9="","",SUM(I9:I15)+IF(I20="",0,I20)),"")</f>
        <v>5856.429470160178</v>
      </c>
      <c r="J21" s="26">
        <f>IFERROR(IF('PyG 3 Años'!$B$9="","",SUM(J9:J15)+IF(J20="",0,J20)),"")</f>
        <v>5658.551426891349</v>
      </c>
      <c r="K21" s="26">
        <f>IFERROR(IF('PyG 3 Años'!$B$9="","",SUM(K9:K15)+IF(K20="",0,K20)),"")</f>
        <v>505.12293172428633</v>
      </c>
      <c r="L21" s="26">
        <f>IFERROR(IF('PyG 3 Años'!$B$9="","",SUM(L9:L15)+IF(L20="",0,L20)),"")</f>
        <v>1195.2752481988825</v>
      </c>
      <c r="M21" s="26">
        <f>IFERROR(IF('PyG 3 Años'!$B$9="","",SUM(M9:M15)+IF(M20="",0,M20)),"")</f>
        <v>1011.4667291295199</v>
      </c>
      <c r="N21" s="26">
        <f>IFERROR(IF('PyG 3 Años'!$B$9="","",SUM(B21:M21)),"")</f>
        <v>14511.591337245769</v>
      </c>
      <c r="O21" s="28" t="n"/>
    </row>
    <row r="22">
      <c r="A22" s="25" t="inlineStr">
        <is>
          <t>SALDO ACUMULADO DE CAJA</t>
        </is>
      </c>
      <c r="B22" s="26">
        <f>IFERROR(IF('PyG 3 Años'!$B$9="","",'Inversión Inicial'!$B$25+B21),"")</f>
        <v>12604.615035877367</v>
      </c>
      <c r="C22" s="26">
        <f>IFERROR(IF('PyG 3 Años'!$B$9="","",B22+C21),"")</f>
        <v>12123.695922484598</v>
      </c>
      <c r="D22" s="26">
        <f>IFERROR(IF('PyG 3 Años'!$B$9="","",C22+D21),"")</f>
        <v>13261.505425262012</v>
      </c>
      <c r="E22" s="26">
        <f>IFERROR(IF('PyG 3 Años'!$B$9="","",D22+E21),"")</f>
        <v>16045.266151272015</v>
      </c>
      <c r="F22" s="26">
        <f>IFERROR(IF('PyG 3 Años'!$B$9="","",E22+F21),"")</f>
        <v>14753.700278966442</v>
      </c>
      <c r="G22" s="26">
        <f>IFERROR(IF('PyG 3 Años'!$B$9="","",F22+G21),"")</f>
        <v>14216.765384183518</v>
      </c>
      <c r="H22" s="26">
        <f>IFERROR(IF('PyG 3 Años'!$B$9="","",G22+H21),"")</f>
        <v>15929.350531141552</v>
      </c>
      <c r="I22" s="26">
        <f>IFERROR(IF('PyG 3 Años'!$B$9="","",H22+I21),"")</f>
        <v>21785.78000130173</v>
      </c>
      <c r="J22" s="26">
        <f>IFERROR(IF('PyG 3 Años'!$B$9="","",I22+J21),"")</f>
        <v>27444.33142819308</v>
      </c>
      <c r="K22" s="26">
        <f>IFERROR(IF('PyG 3 Años'!$B$9="","",J22+K21),"")</f>
        <v>27949.454359917367</v>
      </c>
      <c r="L22" s="26">
        <f>IFERROR(IF('PyG 3 Años'!$B$9="","",K22+L21),"")</f>
        <v>29144.72960811625</v>
      </c>
      <c r="M22" s="26">
        <f>IFERROR(IF('PyG 3 Años'!$B$9="","",L22+M21),"")</f>
        <v>30156.19633724577</v>
      </c>
      <c r="N22" s="28" t="n"/>
      <c r="O22" s="28" t="n"/>
    </row>
    <row r="23">
      <c r="A23" s="28" t="inlineStr">
        <is>
          <t>Saldo mínimo del año</t>
        </is>
      </c>
      <c r="B23" s="32">
        <f>IFERROR(IF('PyG 3 Años'!$B$9="","",IF(COUNT(B22:M22)=0,"",MIN(B22:M22))),"")</f>
        <v>12123.695922484598</v>
      </c>
      <c r="C23" s="28" t="n"/>
      <c r="D23" s="28" t="inlineStr">
        <is>
          <t>Si es negativo, sube el fondo de maniobra o el préstamo: te quedas sin caja</t>
        </is>
      </c>
      <c r="E23" s="28" t="n"/>
      <c r="F23" s="28" t="n"/>
      <c r="G23" s="28" t="n"/>
      <c r="H23" s="28" t="n"/>
      <c r="I23" s="28" t="n"/>
      <c r="J23" s="28" t="n"/>
      <c r="K23" s="28" t="n"/>
      <c r="L23" s="28" t="n"/>
      <c r="M23" s="28" t="n"/>
      <c r="N23" s="28" t="n"/>
      <c r="O23" s="28" t="n"/>
    </row>
    <row r="24">
      <c r="A24" s="28" t="inlineStr">
        <is>
          <t>Mes en el que la caja toca fondo</t>
        </is>
      </c>
      <c r="B24" s="40">
        <f>IFERROR(IF('PyG 3 Años'!$B$9="","",IF(COUNT(B22:M22)=0,"",MATCH(MIN(B22:M22),B22:M22,0))),"")</f>
        <v>2.0</v>
      </c>
      <c r="C24" s="28" t="n"/>
      <c r="D24" s="28" t="inlineStr">
        <is>
          <t>Es la respuesta a la pregunta que decide una operación bancaria: en qué mes se agota la caja</t>
        </is>
      </c>
      <c r="E24" s="28" t="n"/>
      <c r="F24" s="28" t="n"/>
      <c r="G24" s="28" t="n"/>
      <c r="H24" s="28" t="n"/>
      <c r="I24" s="28" t="n"/>
      <c r="J24" s="28" t="n"/>
      <c r="K24" s="28" t="n"/>
      <c r="L24" s="28" t="n"/>
      <c r="M24" s="28" t="n"/>
      <c r="N24" s="28" t="n"/>
      <c r="O24" s="28" t="n"/>
    </row>
    <row r="25">
      <c r="A25" s="25" t="inlineStr">
        <is>
          <t>RETORNO DE LA INVERSIÓN</t>
        </is>
      </c>
      <c r="B25" s="28" t="n"/>
      <c r="C25" s="28" t="n"/>
      <c r="D25" s="28" t="n"/>
      <c r="E25" s="28" t="n"/>
      <c r="F25" s="28" t="n"/>
      <c r="G25" s="28" t="n"/>
      <c r="H25" s="28" t="n"/>
      <c r="I25" s="28" t="n"/>
      <c r="J25" s="28" t="n"/>
      <c r="K25" s="28" t="n"/>
      <c r="L25" s="28" t="n"/>
      <c r="M25" s="28" t="n"/>
      <c r="N25" s="28" t="n"/>
      <c r="O25" s="28" t="n"/>
    </row>
    <row r="26">
      <c r="A26" s="28" t="inlineStr">
        <is>
          <t>Flujo de caja libre antes de la deuda, año 1</t>
        </is>
      </c>
      <c r="B26" s="32">
        <f>IFERROR(IF('PyG 3 Años'!$B$9="","",'PyG 3 Años'!$B$48+'PyG 3 Años'!$B$36+'Financiación'!$B$44),"")</f>
        <v>15834.996399999989</v>
      </c>
      <c r="C26" s="28" t="n"/>
      <c r="D26" s="28" t="inlineStr">
        <is>
          <t>Resultado neto más amortización (que no se paga) más los intereses de ese año: el principal no se resta porque este flujo es ANTES de la deuda. La MISMA base que los años 2 y 3, para que el payback compare peras con peras</t>
        </is>
      </c>
      <c r="E26" s="28" t="n"/>
      <c r="F26" s="28" t="n"/>
      <c r="G26" s="28" t="n"/>
      <c r="H26" s="28" t="n"/>
      <c r="I26" s="28" t="n"/>
      <c r="J26" s="28" t="n"/>
      <c r="K26" s="28" t="n"/>
      <c r="L26" s="28" t="n"/>
      <c r="M26" s="28" t="n"/>
      <c r="N26" s="28" t="n"/>
      <c r="O26" s="28" t="n"/>
    </row>
    <row r="27">
      <c r="A27" s="28" t="inlineStr">
        <is>
          <t>Flujo de caja libre antes de la deuda, año 2</t>
        </is>
      </c>
      <c r="B27" s="32">
        <f>IFERROR(IF('PyG 3 Años'!$B$9="","",'PyG 3 Años'!$C$48+'PyG 3 Años'!$C$36+'Financiación'!$B$46),"")</f>
        <v>17286.881739999986</v>
      </c>
      <c r="C27" s="28" t="n"/>
      <c r="D27" s="28" t="inlineStr">
        <is>
          <t>Resultado neto más amortización (que no se paga) más los intereses de ese año: el principal no se resta porque este flujo es ANTES de la deuda. Sin tabla mensual, es una estimación</t>
        </is>
      </c>
      <c r="E27" s="28" t="n"/>
      <c r="F27" s="28" t="n"/>
      <c r="G27" s="28" t="n"/>
      <c r="H27" s="28" t="n"/>
      <c r="I27" s="28" t="n"/>
      <c r="J27" s="28" t="n"/>
      <c r="K27" s="28" t="n"/>
      <c r="L27" s="28" t="n"/>
      <c r="M27" s="28" t="n"/>
      <c r="N27" s="28" t="n"/>
      <c r="O27" s="28" t="n"/>
    </row>
    <row r="28">
      <c r="A28" s="28" t="inlineStr">
        <is>
          <t>Flujo de caja libre antes de la deuda, año 3</t>
        </is>
      </c>
      <c r="B28" s="32">
        <f>IFERROR(IF('PyG 3 Años'!$B$9="","",'PyG 3 Años'!$D$48+'PyG 3 Años'!$D$36+'Financiación'!$B$48),"")</f>
        <v>16536.35383899981</v>
      </c>
      <c r="C28" s="28" t="n"/>
      <c r="D28" s="28" t="inlineStr">
        <is>
          <t>Resultado neto más amortización (que no se paga) más los intereses de ese año: el principal no se resta porque este flujo es ANTES de la deuda. Sin tabla mensual, es una estimación</t>
        </is>
      </c>
      <c r="E28" s="28" t="n"/>
      <c r="F28" s="28" t="n"/>
      <c r="G28" s="28" t="n"/>
      <c r="H28" s="28" t="n"/>
      <c r="I28" s="28" t="n"/>
      <c r="J28" s="28" t="n"/>
      <c r="K28" s="28" t="n"/>
      <c r="L28" s="28" t="n"/>
      <c r="M28" s="28" t="n"/>
      <c r="N28" s="28" t="n"/>
      <c r="O28" s="28" t="n"/>
    </row>
    <row r="29">
      <c r="A29" s="28" t="inlineStr">
        <is>
          <t>Informativo: flujo REAL de caja del año 1 (tabla mensual, antes de la deuda)</t>
        </is>
      </c>
      <c r="B29" s="32">
        <f>IFERROR(IF('PyG 3 Años'!$B$9="","",N21+'Financiación'!$B$44+'Financiación'!$B$45),"")</f>
        <v>17404.09133724577</v>
      </c>
      <c r="C29" s="28" t="n"/>
      <c r="D29" s="28" t="inlineStr">
        <is>
          <t>La suma de los doce FLUJO DEL MES de arriba, devolviéndole los intereses y el principal que se pagaron ese año. NO es la que usa el payback: lleva dentro el IVA que todavía no se ha liquidado y el crédito del proveedor, dos cosas que hay que devolver y que los años 2 y 3 no tienen</t>
        </is>
      </c>
      <c r="E29" s="28" t="n"/>
      <c r="F29" s="28" t="n"/>
      <c r="G29" s="28" t="n"/>
      <c r="H29" s="28" t="n"/>
      <c r="I29" s="28" t="n"/>
      <c r="J29" s="28" t="n"/>
      <c r="K29" s="28" t="n"/>
      <c r="L29" s="28" t="n"/>
      <c r="M29" s="28" t="n"/>
      <c r="N29" s="28" t="n"/>
      <c r="O29" s="28" t="n"/>
    </row>
    <row r="30">
      <c r="A30" s="28" t="inlineStr">
        <is>
          <t>Inversión a recuperar (sin el IVA, que se recupera por el 303)</t>
        </is>
      </c>
      <c r="B30" s="32">
        <f>IFERROR(IF('PyG 3 Años'!$B$9="","",'Inversión Inicial'!$B$29-'Inversión Inicial'!$B$28),"")</f>
        <v>60060.604999999996</v>
      </c>
      <c r="C30" s="28" t="n"/>
      <c r="D30" s="28" t="inlineStr">
        <is>
          <t>CAPEX más fondo de maniobra: la necesidad total de caja MENOS el IVA soportado de la inversión, que no se pierde (se recupera con el modelo 303 y esta misma hoja lo compensa trimestre a trimestre). El fondo de maniobra sí se recupera al cerrar, pero hasta entonces está inmovilizado</t>
        </is>
      </c>
      <c r="E30" s="28" t="n"/>
      <c r="F30" s="28" t="n"/>
      <c r="G30" s="28" t="n"/>
      <c r="H30" s="28" t="n"/>
      <c r="I30" s="28" t="n"/>
      <c r="J30" s="28" t="n"/>
      <c r="K30" s="28" t="n"/>
      <c r="L30" s="28" t="n"/>
      <c r="M30" s="28" t="n"/>
      <c r="N30" s="28" t="n"/>
      <c r="O30" s="28" t="n"/>
    </row>
    <row r="31">
      <c r="A31" s="25" t="inlineStr">
        <is>
          <t>Payback del proyecto (años), antes de la deuda</t>
        </is>
      </c>
      <c r="B31" s="25" t="str">
        <f>IFERROR(IF('PyG 3 Años'!$B$9="","",IF(B26&gt;=B30,ROUND(B30/B26,1),IF(B26+B27&gt;=B30,ROUND(1+(B30-B26)/B27,1),IF(B26+B27+B28&gt;=B30,ROUND(2+(B30-B26-B27)/B28,1),"Más de 3 años")))),"")</f>
        <v>Más de 3 años</v>
      </c>
      <c r="C31" s="28" t="n"/>
      <c r="D31" s="25" t="inlineStr">
        <is>
          <t>Mide cuánto tarda el negocio en devolver la inversión con lo que genera ANTES de pagar al banco, con la MISMA base de flujo en los tres años; si puedes pagar la cuota lo dice el DSCR de la hoja de Financiación. El plan de negocio en Word cita esta cifra; si cambias una celda verde, manda este libro</t>
        </is>
      </c>
      <c r="E31" s="28" t="n"/>
      <c r="F31" s="28" t="n"/>
      <c r="G31" s="28" t="n"/>
      <c r="H31" s="28" t="n"/>
      <c r="I31" s="28" t="n"/>
      <c r="J31" s="28" t="n"/>
      <c r="K31" s="28" t="n"/>
      <c r="L31" s="28" t="n"/>
      <c r="M31" s="28" t="n"/>
      <c r="N31" s="28" t="n"/>
      <c r="O31" s="28" t="n"/>
    </row>
    <row r="32">
      <c r="A32" s="28" t="inlineStr">
        <is>
          <t>Payback sobre el CAPEX, sin fondo de maniobra (años)</t>
        </is>
      </c>
      <c r="B32" s="28">
        <f>IFERROR(IF('PyG 3 Años'!$B$9="","",IF(B26&gt;='Inversión Inicial'!$B$27,ROUND('Inversión Inicial'!$B$27/B26,1),IF(B26+B27&gt;='Inversión Inicial'!$B$27,ROUND(1+('Inversión Inicial'!$B$27-B26)/B27,1),IF(B26+B27+B28&gt;='Inversión Inicial'!$B$27,ROUND(2+('Inversión Inicial'!$B$27-B26-B27)/B28,1),"Más de 3 años")))),"")</f>
        <v>2.7</v>
      </c>
      <c r="C32" s="28" t="n"/>
      <c r="D32" s="28" t="inlineStr">
        <is>
          <t>El mismo cálculo sobre lo que se COMPRA (furgoneta, equipamiento, lanzamiento y constitución), sin el fondo de maniobra: ese dinero no se gasta, se inmoviliza y vuelve al cerrar el negocio. Informativo: el payback que se publica es el de arriba</t>
        </is>
      </c>
      <c r="E32" s="28" t="n"/>
      <c r="F32" s="28" t="n"/>
      <c r="G32" s="28" t="n"/>
      <c r="H32" s="28" t="n"/>
      <c r="I32" s="28" t="n"/>
      <c r="J32" s="28" t="n"/>
      <c r="K32" s="28" t="n"/>
      <c r="L32" s="28" t="n"/>
      <c r="M32" s="28" t="n"/>
      <c r="N32" s="28" t="n"/>
      <c r="O32" s="28" t="n"/>
    </row>
    <row r="33">
      <c r="A33" s="28" t="n"/>
      <c r="B33" s="28" t="n"/>
      <c r="C33" s="28" t="n"/>
      <c r="D33" s="28" t="n"/>
      <c r="E33" s="28" t="n"/>
      <c r="F33" s="28" t="n"/>
      <c r="G33" s="28" t="n"/>
      <c r="H33" s="28" t="n"/>
      <c r="I33" s="28" t="n"/>
      <c r="J33" s="28" t="n"/>
      <c r="K33" s="28" t="n"/>
      <c r="L33" s="28" t="n"/>
      <c r="M33" s="28" t="n"/>
      <c r="N33" s="28" t="n"/>
      <c r="O33" s="28" t="n"/>
    </row>
    <row r="34" ht="195" customHeight="1">
      <c r="A34" s="46" t="inlineStr">
        <is>
          <t>Los trimestres de esta hoja son de tres meses del plan (marzo-mayo, junio-agosto y septiembre-noviembre), no los naturales: con el Mes 1 en marzo, el modelo 303 se presenta en abril (por marzo), julio, octubre y enero (por octubre-diciembre, ya en el Mes 11). El IVA de la inversión se descuenta del que repercutes en las primeras liquidaciones. El Impuesto de Sociedades del año 1 se paga en julio del año 2. La cuota del préstamo se reparte en doce partes iguales siguiendo el cuadro ANUAL de la hoja de Financiación, y las nóminas en doce mensualidades más las dos pagas extra en su mes.</t>
        </is>
      </c>
      <c r="B34" s="28" t="n"/>
      <c r="C34" s="28" t="n"/>
      <c r="D34" s="28" t="n"/>
      <c r="E34" s="28" t="n"/>
      <c r="F34" s="28" t="n"/>
      <c r="G34" s="28" t="n"/>
      <c r="H34" s="28" t="n"/>
      <c r="I34" s="28" t="n"/>
      <c r="J34" s="28" t="n"/>
      <c r="K34" s="28" t="n"/>
      <c r="L34" s="28" t="n"/>
      <c r="M34" s="28" t="n"/>
      <c r="N34" s="28" t="n"/>
      <c r="O34" s="28" t="n"/>
    </row>
    <row r="35">
      <c r="A35" s="28" t="n"/>
      <c r="B35" s="28" t="n"/>
      <c r="C35" s="28" t="n"/>
      <c r="D35" s="28" t="n"/>
      <c r="E35" s="28" t="n"/>
      <c r="F35" s="28" t="n"/>
      <c r="G35" s="28" t="n"/>
      <c r="H35" s="28" t="n"/>
      <c r="I35" s="28" t="n"/>
      <c r="J35" s="28" t="n"/>
      <c r="K35" s="28" t="n"/>
      <c r="L35" s="28" t="n"/>
      <c r="M35" s="28" t="n"/>
      <c r="N35" s="28" t="n"/>
      <c r="O35" s="28" t="n"/>
    </row>
    <row r="36">
      <c r="A36" s="28" t="n"/>
      <c r="B36" s="28" t="n"/>
      <c r="C36" s="28" t="n"/>
      <c r="D36" s="28" t="n"/>
      <c r="E36" s="28" t="n"/>
      <c r="F36" s="28" t="n"/>
      <c r="G36" s="28" t="n"/>
      <c r="H36" s="28" t="n"/>
      <c r="I36" s="28" t="n"/>
      <c r="J36" s="28" t="n"/>
      <c r="K36" s="28" t="n"/>
      <c r="L36" s="28" t="n"/>
      <c r="M36" s="28" t="n"/>
      <c r="N36" s="28" t="n"/>
      <c r="O36" s="28" t="n"/>
    </row>
    <row r="37">
      <c r="A37" s="28" t="n"/>
      <c r="B37" s="28" t="n"/>
      <c r="C37" s="28" t="n"/>
      <c r="D37" s="28" t="n"/>
      <c r="E37" s="28" t="n"/>
      <c r="F37" s="28" t="n"/>
      <c r="G37" s="28" t="n"/>
      <c r="H37" s="28" t="n"/>
      <c r="I37" s="28" t="n"/>
      <c r="J37" s="28" t="n"/>
      <c r="K37" s="28" t="n"/>
      <c r="L37" s="28" t="n"/>
      <c r="M37" s="28" t="n"/>
      <c r="N37" s="28" t="n"/>
      <c r="O37" s="28" t="n"/>
    </row>
    <row r="38">
      <c r="A38" s="28" t="n"/>
      <c r="B38" s="28" t="n"/>
      <c r="C38" s="28" t="n"/>
      <c r="D38" s="28" t="n"/>
      <c r="E38" s="28" t="n"/>
      <c r="F38" s="28" t="n"/>
      <c r="G38" s="28" t="n"/>
      <c r="H38" s="28" t="n"/>
      <c r="I38" s="28" t="n"/>
      <c r="J38" s="28" t="n"/>
      <c r="K38" s="28" t="n"/>
      <c r="L38" s="28" t="n"/>
      <c r="M38" s="28" t="n"/>
      <c r="N38" s="28" t="n"/>
      <c r="O38" s="28" t="n"/>
    </row>
    <row r="39">
      <c r="A39" s="28" t="n"/>
      <c r="B39" s="28" t="n"/>
      <c r="C39" s="28" t="n"/>
      <c r="D39" s="28" t="n"/>
      <c r="E39" s="28" t="n"/>
      <c r="F39" s="28" t="n"/>
      <c r="G39" s="28" t="n"/>
      <c r="H39" s="28" t="n"/>
      <c r="I39" s="28" t="n"/>
      <c r="J39" s="28" t="n"/>
      <c r="K39" s="28" t="n"/>
      <c r="L39" s="28" t="n"/>
      <c r="M39" s="28" t="n"/>
      <c r="N39" s="28" t="n"/>
      <c r="O39" s="28" t="n"/>
    </row>
    <row r="40">
      <c r="A40" s="28" t="n"/>
      <c r="B40" s="28" t="n"/>
      <c r="C40" s="28" t="n"/>
      <c r="D40" s="28" t="n"/>
      <c r="E40" s="28" t="n"/>
      <c r="F40" s="28" t="n"/>
      <c r="G40" s="28" t="n"/>
      <c r="H40" s="28" t="n"/>
      <c r="I40" s="28" t="n"/>
      <c r="J40" s="28" t="n"/>
      <c r="K40" s="28" t="n"/>
      <c r="L40" s="28" t="n"/>
      <c r="M40" s="28" t="n"/>
      <c r="N40" s="28" t="n"/>
      <c r="O40" s="28" t="n"/>
    </row>
    <row r="41">
      <c r="A41" s="28" t="n"/>
      <c r="B41" s="28" t="n"/>
      <c r="C41" s="28" t="n"/>
      <c r="D41" s="28" t="n"/>
      <c r="E41" s="28" t="n"/>
      <c r="F41" s="28" t="n"/>
      <c r="G41" s="28" t="n"/>
      <c r="H41" s="28" t="n"/>
      <c r="I41" s="28" t="n"/>
      <c r="J41" s="28" t="n"/>
      <c r="K41" s="28" t="n"/>
      <c r="L41" s="28" t="n"/>
      <c r="M41" s="28" t="n"/>
      <c r="N41" s="28" t="n"/>
      <c r="O41" s="28" t="n"/>
    </row>
    <row r="42">
      <c r="A42" s="28" t="n"/>
      <c r="B42" s="28" t="n"/>
      <c r="C42" s="28" t="n"/>
      <c r="D42" s="28" t="n"/>
      <c r="E42" s="28" t="n"/>
      <c r="F42" s="28" t="n"/>
      <c r="G42" s="28" t="n"/>
      <c r="H42" s="28" t="n"/>
      <c r="I42" s="28" t="n"/>
      <c r="J42" s="28" t="n"/>
      <c r="K42" s="28" t="n"/>
      <c r="L42" s="28" t="n"/>
      <c r="M42" s="28" t="n"/>
      <c r="N42" s="28" t="n"/>
      <c r="O42" s="28" t="n"/>
    </row>
    <row r="43">
      <c r="A43" s="28" t="n"/>
      <c r="B43" s="28" t="n"/>
      <c r="C43" s="28" t="n"/>
      <c r="D43" s="28" t="n"/>
      <c r="E43" s="28" t="n"/>
      <c r="F43" s="28" t="n"/>
      <c r="G43" s="28" t="n"/>
      <c r="H43" s="28" t="n"/>
      <c r="I43" s="28" t="n"/>
      <c r="J43" s="28" t="n"/>
      <c r="K43" s="28" t="n"/>
      <c r="L43" s="28" t="n"/>
      <c r="M43" s="28" t="n"/>
      <c r="N43" s="28" t="n"/>
      <c r="O43" s="28" t="n"/>
    </row>
    <row r="44">
      <c r="A44" s="28" t="n"/>
      <c r="B44" s="28" t="n"/>
      <c r="C44" s="28" t="n"/>
      <c r="D44" s="28" t="n"/>
      <c r="E44" s="28" t="n"/>
      <c r="F44" s="28" t="n"/>
      <c r="G44" s="28" t="n"/>
      <c r="H44" s="28" t="n"/>
      <c r="I44" s="28" t="n"/>
      <c r="J44" s="28" t="n"/>
      <c r="K44" s="28" t="n"/>
      <c r="L44" s="28" t="n"/>
      <c r="M44" s="28" t="n"/>
      <c r="N44" s="28" t="n"/>
      <c r="O44" s="28" t="n"/>
    </row>
    <row r="45">
      <c r="A45" s="28" t="n"/>
      <c r="B45" s="28" t="n"/>
      <c r="C45" s="28" t="n"/>
      <c r="D45" s="28" t="n"/>
      <c r="E45" s="28" t="n"/>
      <c r="F45" s="28" t="n"/>
      <c r="G45" s="28" t="n"/>
      <c r="H45" s="28" t="n"/>
      <c r="I45" s="28" t="n"/>
      <c r="J45" s="28" t="n"/>
      <c r="K45" s="28" t="n"/>
      <c r="L45" s="28" t="n"/>
      <c r="M45" s="28" t="n"/>
      <c r="N45" s="28" t="n"/>
      <c r="O45" s="28" t="n"/>
    </row>
    <row r="46">
      <c r="A46" s="28" t="n"/>
      <c r="B46" s="28" t="n"/>
      <c r="C46" s="28" t="n"/>
      <c r="D46" s="28" t="n"/>
      <c r="E46" s="28" t="n"/>
      <c r="F46" s="28" t="n"/>
      <c r="G46" s="28" t="n"/>
      <c r="H46" s="28" t="n"/>
      <c r="I46" s="28" t="n"/>
      <c r="J46" s="28" t="n"/>
      <c r="K46" s="28" t="n"/>
      <c r="L46" s="28" t="n"/>
      <c r="M46" s="28" t="n"/>
      <c r="N46" s="28" t="n"/>
      <c r="O46" s="28" t="n"/>
    </row>
    <row r="47">
      <c r="A47" s="28" t="n"/>
      <c r="B47" s="28" t="n"/>
      <c r="C47" s="28" t="n"/>
      <c r="D47" s="28" t="n"/>
      <c r="E47" s="28" t="n"/>
      <c r="F47" s="28" t="n"/>
      <c r="G47" s="28" t="n"/>
      <c r="H47" s="28" t="n"/>
      <c r="I47" s="28" t="n"/>
      <c r="J47" s="28" t="n"/>
      <c r="K47" s="28" t="n"/>
      <c r="L47" s="28" t="n"/>
      <c r="M47" s="28" t="n"/>
      <c r="N47" s="28" t="n"/>
      <c r="O47" s="28" t="n"/>
    </row>
    <row r="48">
      <c r="A48" s="28" t="n"/>
      <c r="B48" s="28" t="n"/>
      <c r="C48" s="28" t="n"/>
      <c r="D48" s="28" t="n"/>
      <c r="E48" s="28" t="n"/>
      <c r="F48" s="28" t="n"/>
      <c r="G48" s="28" t="n"/>
      <c r="H48" s="28" t="n"/>
      <c r="I48" s="28" t="n"/>
      <c r="J48" s="28" t="n"/>
      <c r="K48" s="28" t="n"/>
      <c r="L48" s="28" t="n"/>
      <c r="M48" s="28" t="n"/>
      <c r="N48" s="28" t="n"/>
      <c r="O48" s="28" t="n"/>
    </row>
    <row r="49">
      <c r="A49" s="28" t="n"/>
      <c r="B49" s="28" t="n"/>
      <c r="C49" s="28" t="n"/>
      <c r="D49" s="28" t="n"/>
      <c r="E49" s="28" t="n"/>
      <c r="F49" s="28" t="n"/>
      <c r="G49" s="28" t="n"/>
      <c r="H49" s="28" t="n"/>
      <c r="I49" s="28" t="n"/>
      <c r="J49" s="28" t="n"/>
      <c r="K49" s="28" t="n"/>
      <c r="L49" s="28" t="n"/>
      <c r="M49" s="28" t="n"/>
      <c r="N49" s="28" t="n"/>
      <c r="O49" s="28" t="n"/>
    </row>
    <row r="50">
      <c r="A50" s="28" t="n"/>
      <c r="B50" s="28" t="n"/>
      <c r="C50" s="28" t="n"/>
      <c r="D50" s="28" t="n"/>
      <c r="E50" s="28" t="n"/>
      <c r="F50" s="28" t="n"/>
      <c r="G50" s="28" t="n"/>
      <c r="H50" s="28" t="n"/>
      <c r="I50" s="28" t="n"/>
      <c r="J50" s="28" t="n"/>
      <c r="K50" s="28" t="n"/>
      <c r="L50" s="28" t="n"/>
      <c r="M50" s="28" t="n"/>
      <c r="N50" s="28" t="n"/>
      <c r="O50" s="28" t="n"/>
    </row>
    <row r="51">
      <c r="A51" s="28" t="n"/>
      <c r="B51" s="28" t="n"/>
      <c r="C51" s="28" t="n"/>
      <c r="D51" s="28" t="n"/>
      <c r="E51" s="28" t="n"/>
      <c r="F51" s="28" t="n"/>
      <c r="G51" s="28" t="n"/>
      <c r="H51" s="28" t="n"/>
      <c r="I51" s="28" t="n"/>
      <c r="J51" s="28" t="n"/>
      <c r="K51" s="28" t="n"/>
      <c r="L51" s="28" t="n"/>
      <c r="M51" s="28" t="n"/>
      <c r="N51" s="28" t="n"/>
      <c r="O51" s="28" t="n"/>
    </row>
    <row r="52">
      <c r="A52" s="28" t="n"/>
      <c r="B52" s="28" t="n"/>
      <c r="C52" s="28" t="n"/>
      <c r="D52" s="28" t="n"/>
      <c r="E52" s="28" t="n"/>
      <c r="F52" s="28" t="n"/>
      <c r="G52" s="28" t="n"/>
      <c r="H52" s="28" t="n"/>
      <c r="I52" s="28" t="n"/>
      <c r="J52" s="28" t="n"/>
      <c r="K52" s="28" t="n"/>
      <c r="L52" s="28" t="n"/>
      <c r="M52" s="28" t="n"/>
      <c r="N52" s="28" t="n"/>
      <c r="O52" s="28" t="n"/>
    </row>
    <row r="53">
      <c r="A53" s="28" t="n"/>
      <c r="B53" s="28" t="n"/>
      <c r="C53" s="28" t="n"/>
      <c r="D53" s="28" t="n"/>
      <c r="E53" s="28" t="n"/>
      <c r="F53" s="28" t="n"/>
      <c r="G53" s="28" t="n"/>
      <c r="H53" s="28" t="n"/>
      <c r="I53" s="28" t="n"/>
      <c r="J53" s="28" t="n"/>
      <c r="K53" s="28" t="n"/>
      <c r="L53" s="28" t="n"/>
      <c r="M53" s="28" t="n"/>
      <c r="N53" s="28" t="n"/>
      <c r="O53" s="28" t="n"/>
    </row>
    <row r="54">
      <c r="A54" s="28" t="n"/>
      <c r="B54" s="28" t="n"/>
      <c r="C54" s="28" t="n"/>
      <c r="D54" s="28" t="n"/>
      <c r="E54" s="28" t="n"/>
      <c r="F54" s="28" t="n"/>
      <c r="G54" s="28" t="n"/>
      <c r="H54" s="28" t="n"/>
      <c r="I54" s="28" t="n"/>
      <c r="J54" s="28" t="n"/>
      <c r="K54" s="28" t="n"/>
      <c r="L54" s="28" t="n"/>
      <c r="M54" s="28" t="n"/>
      <c r="N54" s="28" t="n"/>
      <c r="O54" s="28" t="n"/>
    </row>
    <row r="55">
      <c r="A55" s="28" t="n"/>
      <c r="B55" s="28" t="n"/>
      <c r="C55" s="28" t="n"/>
      <c r="D55" s="28" t="n"/>
      <c r="E55" s="28" t="n"/>
      <c r="F55" s="28" t="n"/>
      <c r="G55" s="28" t="n"/>
      <c r="H55" s="28" t="n"/>
      <c r="I55" s="28" t="n"/>
      <c r="J55" s="28" t="n"/>
      <c r="K55" s="28" t="n"/>
      <c r="L55" s="28" t="n"/>
      <c r="M55" s="28" t="n"/>
      <c r="N55" s="28" t="n"/>
      <c r="O55" s="28" t="n"/>
    </row>
    <row r="56">
      <c r="A56" s="28" t="n"/>
      <c r="B56" s="28" t="n"/>
      <c r="C56" s="28" t="n"/>
      <c r="D56" s="28" t="n"/>
      <c r="E56" s="28" t="n"/>
      <c r="F56" s="28" t="n"/>
      <c r="G56" s="28" t="n"/>
      <c r="H56" s="28" t="n"/>
      <c r="I56" s="28" t="n"/>
      <c r="J56" s="28" t="n"/>
      <c r="K56" s="28" t="n"/>
      <c r="L56" s="28" t="n"/>
      <c r="M56" s="28" t="n"/>
      <c r="N56" s="28" t="n"/>
      <c r="O56" s="28" t="n"/>
    </row>
    <row r="57">
      <c r="A57" s="28" t="n"/>
      <c r="B57" s="28" t="n"/>
      <c r="C57" s="28" t="n"/>
      <c r="D57" s="28" t="n"/>
      <c r="E57" s="28" t="n"/>
      <c r="F57" s="28" t="n"/>
      <c r="G57" s="28" t="n"/>
      <c r="H57" s="28" t="n"/>
      <c r="I57" s="28" t="n"/>
      <c r="J57" s="28" t="n"/>
      <c r="K57" s="28" t="n"/>
      <c r="L57" s="28" t="n"/>
      <c r="M57" s="28" t="n"/>
      <c r="N57" s="28" t="n"/>
      <c r="O57" s="28" t="n"/>
    </row>
    <row r="58">
      <c r="A58" s="28" t="n"/>
      <c r="B58" s="28" t="n"/>
      <c r="C58" s="28" t="n"/>
      <c r="D58" s="28" t="n"/>
      <c r="E58" s="28" t="n"/>
      <c r="F58" s="28" t="n"/>
      <c r="G58" s="28" t="n"/>
      <c r="H58" s="28" t="n"/>
      <c r="I58" s="28" t="n"/>
      <c r="J58" s="28" t="n"/>
      <c r="K58" s="28" t="n"/>
      <c r="L58" s="28" t="n"/>
      <c r="M58" s="28" t="n"/>
      <c r="N58" s="28" t="n"/>
      <c r="O58" s="28" t="n"/>
    </row>
    <row r="59">
      <c r="A59" s="28" t="n"/>
      <c r="B59" s="28" t="n"/>
      <c r="C59" s="28" t="n"/>
      <c r="D59" s="28" t="n"/>
      <c r="E59" s="28" t="n"/>
      <c r="F59" s="28" t="n"/>
      <c r="G59" s="28" t="n"/>
      <c r="H59" s="28" t="n"/>
      <c r="I59" s="28" t="n"/>
      <c r="J59" s="28" t="n"/>
      <c r="K59" s="28" t="n"/>
      <c r="L59" s="28" t="n"/>
      <c r="M59" s="28" t="n"/>
      <c r="N59" s="28" t="n"/>
      <c r="O59" s="28" t="n"/>
    </row>
    <row r="60">
      <c r="A60" s="28" t="n"/>
      <c r="B60" s="28" t="n"/>
      <c r="C60" s="28" t="n"/>
      <c r="D60" s="28" t="n"/>
      <c r="E60" s="28" t="n"/>
      <c r="F60" s="28" t="n"/>
      <c r="G60" s="28" t="n"/>
      <c r="H60" s="28" t="n"/>
      <c r="I60" s="28" t="n"/>
      <c r="J60" s="28" t="n"/>
      <c r="K60" s="28" t="n"/>
      <c r="L60" s="28" t="n"/>
      <c r="M60" s="28" t="n"/>
      <c r="N60" s="28" t="n"/>
      <c r="O60" s="28" t="n"/>
    </row>
    <row r="61">
      <c r="A61" s="28" t="n"/>
      <c r="B61" s="28" t="n"/>
      <c r="C61" s="28" t="n"/>
      <c r="D61" s="28" t="n"/>
      <c r="E61" s="28" t="n"/>
      <c r="F61" s="28" t="n"/>
      <c r="G61" s="28" t="n"/>
      <c r="H61" s="28" t="n"/>
      <c r="I61" s="28" t="n"/>
      <c r="J61" s="28" t="n"/>
      <c r="K61" s="28" t="n"/>
      <c r="L61" s="28" t="n"/>
      <c r="M61" s="28" t="n"/>
      <c r="N61" s="28" t="n"/>
      <c r="O61" s="28" t="n"/>
    </row>
    <row r="62">
      <c r="A62" s="28" t="n"/>
      <c r="B62" s="28" t="n"/>
      <c r="C62" s="28" t="n"/>
      <c r="D62" s="28" t="n"/>
      <c r="E62" s="28" t="n"/>
      <c r="F62" s="28" t="n"/>
      <c r="G62" s="28" t="n"/>
      <c r="H62" s="28" t="n"/>
      <c r="I62" s="28" t="n"/>
      <c r="J62" s="28" t="n"/>
      <c r="K62" s="28" t="n"/>
      <c r="L62" s="28" t="n"/>
      <c r="M62" s="28" t="n"/>
      <c r="N62" s="28" t="n"/>
      <c r="O62" s="28" t="n"/>
    </row>
    <row r="63">
      <c r="A63" s="28" t="n"/>
      <c r="B63" s="28" t="n"/>
      <c r="C63" s="28" t="n"/>
      <c r="D63" s="28" t="n"/>
      <c r="E63" s="28" t="n"/>
      <c r="F63" s="28" t="n"/>
      <c r="G63" s="28" t="n"/>
      <c r="H63" s="28" t="n"/>
      <c r="I63" s="28" t="n"/>
      <c r="J63" s="28" t="n"/>
      <c r="K63" s="28" t="n"/>
      <c r="L63" s="28" t="n"/>
      <c r="M63" s="28" t="n"/>
      <c r="N63" s="28" t="n"/>
      <c r="O63" s="28" t="n"/>
    </row>
    <row r="64">
      <c r="A64" s="28" t="n"/>
      <c r="B64" s="28" t="n"/>
      <c r="C64" s="28" t="n"/>
      <c r="D64" s="28" t="n"/>
      <c r="E64" s="28" t="n"/>
      <c r="F64" s="28" t="n"/>
      <c r="G64" s="28" t="n"/>
      <c r="H64" s="28" t="n"/>
      <c r="I64" s="28" t="n"/>
      <c r="J64" s="28" t="n"/>
      <c r="K64" s="28" t="n"/>
      <c r="L64" s="28" t="n"/>
      <c r="M64" s="28" t="n"/>
      <c r="N64" s="28" t="n"/>
      <c r="O64" s="28" t="n"/>
    </row>
    <row r="65">
      <c r="A65" s="28" t="n"/>
      <c r="B65" s="28" t="n"/>
      <c r="C65" s="28" t="n"/>
      <c r="D65" s="28" t="n"/>
      <c r="E65" s="28" t="n"/>
      <c r="F65" s="28" t="n"/>
      <c r="G65" s="28" t="n"/>
      <c r="H65" s="28" t="n"/>
      <c r="I65" s="28" t="n"/>
      <c r="J65" s="28" t="n"/>
      <c r="K65" s="28" t="n"/>
      <c r="L65" s="28" t="n"/>
      <c r="M65" s="28" t="n"/>
      <c r="N65" s="28" t="n"/>
      <c r="O65" s="28" t="n"/>
    </row>
    <row r="66">
      <c r="A66" s="28" t="n"/>
      <c r="B66" s="28" t="n"/>
      <c r="C66" s="28" t="n"/>
      <c r="D66" s="28" t="n"/>
      <c r="E66" s="28" t="n"/>
      <c r="F66" s="28" t="n"/>
      <c r="G66" s="28" t="n"/>
      <c r="H66" s="28" t="n"/>
      <c r="I66" s="28" t="n"/>
      <c r="J66" s="28" t="n"/>
      <c r="K66" s="28" t="n"/>
      <c r="L66" s="28" t="n"/>
      <c r="M66" s="28" t="n"/>
      <c r="N66" s="28" t="n"/>
      <c r="O66" s="28" t="n"/>
    </row>
    <row r="67">
      <c r="A67" s="28" t="n"/>
      <c r="B67" s="28" t="n"/>
      <c r="C67" s="28" t="n"/>
      <c r="D67" s="28" t="n"/>
      <c r="E67" s="28" t="n"/>
      <c r="F67" s="28" t="n"/>
      <c r="G67" s="28" t="n"/>
      <c r="H67" s="28" t="n"/>
      <c r="I67" s="28" t="n"/>
      <c r="J67" s="28" t="n"/>
      <c r="K67" s="28" t="n"/>
      <c r="L67" s="28" t="n"/>
      <c r="M67" s="28" t="n"/>
      <c r="N67" s="28" t="n"/>
      <c r="O67" s="28" t="n"/>
    </row>
    <row r="68">
      <c r="A68" s="28" t="n"/>
      <c r="B68" s="28" t="n"/>
      <c r="C68" s="28" t="n"/>
      <c r="D68" s="28" t="n"/>
      <c r="E68" s="28" t="n"/>
      <c r="F68" s="28" t="n"/>
      <c r="G68" s="28" t="n"/>
      <c r="H68" s="28" t="n"/>
      <c r="I68" s="28" t="n"/>
      <c r="J68" s="28" t="n"/>
      <c r="K68" s="28" t="n"/>
      <c r="L68" s="28" t="n"/>
      <c r="M68" s="28" t="n"/>
      <c r="N68" s="28" t="n"/>
      <c r="O68" s="28" t="n"/>
    </row>
    <row r="69">
      <c r="A69" s="28" t="n"/>
      <c r="B69" s="28" t="n"/>
      <c r="C69" s="28" t="n"/>
      <c r="D69" s="28" t="n"/>
      <c r="E69" s="28" t="n"/>
      <c r="F69" s="28" t="n"/>
      <c r="G69" s="28" t="n"/>
      <c r="H69" s="28" t="n"/>
      <c r="I69" s="28" t="n"/>
      <c r="J69" s="28" t="n"/>
      <c r="K69" s="28" t="n"/>
      <c r="L69" s="28" t="n"/>
      <c r="M69" s="28" t="n"/>
      <c r="N69" s="28" t="n"/>
      <c r="O69" s="28" t="n"/>
    </row>
    <row r="70">
      <c r="A70" s="28" t="n"/>
      <c r="B70" s="28" t="n"/>
      <c r="C70" s="28" t="n"/>
      <c r="D70" s="28" t="n"/>
      <c r="E70" s="28" t="n"/>
      <c r="F70" s="28" t="n"/>
      <c r="G70" s="28" t="n"/>
      <c r="H70" s="28" t="n"/>
      <c r="I70" s="28" t="n"/>
      <c r="J70" s="28" t="n"/>
      <c r="K70" s="28" t="n"/>
      <c r="L70" s="28" t="n"/>
      <c r="M70" s="28" t="n"/>
      <c r="N70" s="28" t="n"/>
      <c r="O70" s="28" t="n"/>
    </row>
  </sheetData>
  <sheetProtection selectLockedCells="0" selectUnlockedCells="0" sheet="1" objects="0" insertRows="1" insertHyperlinks="1" autoFilter="1" scenarios="0" formatColumns="0" deleteColumns="1" insertColumns="1" pivotTables="1" deleteRows="1" formatCells="1" formatRows="0" sort="0"/>
  <conditionalFormatting sqref="N5">
    <cfRule type="expression" priority="1" dxfId="1" stopIfTrue="1">
      <formula>AND(ISNUMBER(N5),ABS(N5-1)&gt;=0.005)</formula>
    </cfRule>
    <cfRule type="expression" priority="2" dxfId="0" stopIfTrue="1">
      <formula>AND(ISNUMBER(N5),ABS(N5-1)&lt;0.005)</formula>
    </cfRule>
  </conditionalFormatting>
  <conditionalFormatting sqref="B22:M22">
    <cfRule type="expression" priority="3" dxfId="1" stopIfTrue="1">
      <formula>AND(ISNUMBER(B22),B22&lt;0)</formula>
    </cfRule>
    <cfRule type="expression" priority="4" dxfId="0" stopIfTrue="1">
      <formula>AND(ISNUMBER(B22),B22&gt;0)</formula>
    </cfRule>
  </conditionalFormatting>
  <conditionalFormatting sqref="B20:M20">
    <cfRule type="expression" priority="5" dxfId="1" stopIfTrue="1">
      <formula>AND(ISNUMBER(B20),-B20&gt;B22)</formula>
    </cfRule>
  </conditionalFormatting>
  <conditionalFormatting sqref="B23">
    <cfRule type="expression" priority="6" dxfId="1" stopIfTrue="1">
      <formula>AND(ISNUMBER(B23),B23&lt;0)</formula>
    </cfRule>
    <cfRule type="expression" priority="7" dxfId="0" stopIfTrue="1">
      <formula>AND(ISNUMBER(B23),B23&gt;=0)</formula>
    </cfRule>
  </conditionalFormatting>
  <conditionalFormatting sqref="B26">
    <cfRule type="expression" priority="8" dxfId="1" stopIfTrue="1">
      <formula>AND(ISNUMBER(B26),B26&lt;0)</formula>
    </cfRule>
    <cfRule type="expression" priority="9" dxfId="0" stopIfTrue="1">
      <formula>AND(ISNUMBER(B26),B26&gt;0)</formula>
    </cfRule>
  </conditionalFormatting>
  <conditionalFormatting sqref="B27">
    <cfRule type="expression" priority="10" dxfId="1" stopIfTrue="1">
      <formula>AND(ISNUMBER(B27),B27&lt;0)</formula>
    </cfRule>
    <cfRule type="expression" priority="11" dxfId="0" stopIfTrue="1">
      <formula>AND(ISNUMBER(B27),B27&gt;0)</formula>
    </cfRule>
  </conditionalFormatting>
  <conditionalFormatting sqref="B28">
    <cfRule type="expression" priority="12" dxfId="1" stopIfTrue="1">
      <formula>AND(ISNUMBER(B28),B28&lt;0)</formula>
    </cfRule>
    <cfRule type="expression" priority="13" dxfId="0" stopIfTrue="1">
      <formula>AND(ISNUMBER(B28),B28&gt;0)</formula>
    </cfRule>
  </conditionalFormatting>
  <dataValidations count="1">
    <dataValidation sqref="B5 C5 D5 E5 F5 G5 H5 I5 J5 K5 L5 M5"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H80"/>
  <sheetViews>
    <sheetView workbookViewId="0">
      <selection activeCell="A1" sqref="A1"/>
    </sheetView>
  </sheetViews>
  <sheetFormatPr baseColWidth="8" defaultRowHeight="15"/>
  <cols>
    <col width="46" customWidth="1" min="1" max="1"/>
    <col width="18" customWidth="1" min="2" max="2"/>
    <col width="52" customWidth="1" min="3" max="3"/>
    <col width="22" customWidth="1" min="4" max="4"/>
    <col width="16" customWidth="1" min="5" max="5"/>
    <col width="18" customWidth="1" min="6" max="6"/>
    <col width="20" customWidth="1" min="7" max="7"/>
    <col width="14" customWidth="1" min="8" max="8"/>
  </cols>
  <sheetData>
    <row r="1">
      <c r="A1" s="25" t="inlineStr">
        <is>
          <t>PLAN DE FINANCIACIÓN</t>
        </is>
      </c>
      <c r="B1" s="28" t="n"/>
      <c r="C1" s="28" t="n"/>
      <c r="D1" s="28" t="n"/>
      <c r="E1" s="28" t="n"/>
      <c r="F1" s="28" t="n"/>
      <c r="G1" s="28" t="n"/>
      <c r="H1" s="28" t="n"/>
    </row>
    <row r="2" ht="45" customHeight="1">
      <c r="A2" s="46" t="inlineStr">
        <is>
          <t>Qué hace falta, de dónde sale y cuánto cuesta devolverlo. Es la hoja que el banco pide junto con el P&amp;L.</t>
        </is>
      </c>
      <c r="B2" s="28" t="n"/>
      <c r="C2" s="28" t="n"/>
      <c r="D2" s="28" t="n"/>
      <c r="E2" s="28" t="n"/>
      <c r="F2" s="28" t="n"/>
      <c r="G2" s="28" t="n"/>
      <c r="H2" s="28" t="n"/>
    </row>
    <row r="3">
      <c r="A3" s="28" t="n"/>
      <c r="B3" s="28" t="n"/>
      <c r="C3" s="28" t="n"/>
      <c r="D3" s="28" t="n"/>
      <c r="E3" s="28" t="n"/>
      <c r="F3" s="28" t="n"/>
      <c r="G3" s="28" t="n"/>
      <c r="H3" s="28" t="n"/>
    </row>
    <row r="4">
      <c r="A4" s="25" t="inlineStr">
        <is>
          <t>Concepto</t>
        </is>
      </c>
      <c r="B4" s="25" t="inlineStr">
        <is>
          <t>Importe</t>
        </is>
      </c>
      <c r="C4" s="25" t="inlineStr">
        <is>
          <t>Notas</t>
        </is>
      </c>
      <c r="D4" s="28" t="n"/>
      <c r="E4" s="28" t="n"/>
      <c r="F4" s="28" t="n"/>
      <c r="G4" s="28" t="n"/>
      <c r="H4" s="28" t="n"/>
    </row>
    <row r="5">
      <c r="A5" s="25" t="inlineStr">
        <is>
          <t>ORIGEN DE FONDOS</t>
        </is>
      </c>
      <c r="B5" s="28" t="n"/>
      <c r="C5" s="28" t="n"/>
      <c r="D5" s="28" t="n"/>
      <c r="E5" s="28" t="n"/>
      <c r="F5" s="28" t="n"/>
      <c r="G5" s="28" t="n"/>
      <c r="H5" s="28" t="n"/>
    </row>
    <row r="6">
      <c r="A6" s="28" t="inlineStr">
        <is>
          <t>Recursos propios de los socios</t>
        </is>
      </c>
      <c r="B6" s="32">
        <f>IFERROR(IF('0. Supuestos'!$B$30="","",'0. Supuestos'!$B$30),"")</f>
        <v>25000.0</v>
      </c>
      <c r="C6" s="28" t="n"/>
      <c r="D6" s="28" t="n"/>
      <c r="E6" s="28" t="n"/>
      <c r="F6" s="28" t="n"/>
      <c r="G6" s="28" t="n"/>
      <c r="H6" s="28" t="n"/>
    </row>
    <row r="7">
      <c r="A7" s="28" t="inlineStr">
        <is>
          <t>Préstamo bancario</t>
        </is>
      </c>
      <c r="B7" s="32">
        <f>IFERROR(IF('0. Supuestos'!$B$31="","",'0. Supuestos'!$B$31),"")</f>
        <v>44500.0</v>
      </c>
      <c r="C7" s="28" t="n"/>
      <c r="D7" s="28" t="n"/>
      <c r="E7" s="28" t="n"/>
      <c r="F7" s="28" t="n"/>
      <c r="G7" s="28" t="n"/>
      <c r="H7" s="28" t="n"/>
    </row>
    <row r="8">
      <c r="A8" s="28" t="inlineStr">
        <is>
          <t>Línea ICO (avalada por el ICO, la concede tu banco)</t>
        </is>
      </c>
      <c r="B8" s="29" t="n">
        <v>0</v>
      </c>
      <c r="C8" s="28" t="inlineStr">
        <is>
          <t>Consulta las líneas del ejercicio en curso en ico.es</t>
        </is>
      </c>
      <c r="D8" s="28" t="n"/>
      <c r="E8" s="28" t="n"/>
      <c r="F8" s="28" t="n"/>
      <c r="G8" s="28" t="n"/>
      <c r="H8" s="28" t="n"/>
    </row>
    <row r="9">
      <c r="A9" s="28" t="inlineStr">
        <is>
          <t>Préstamo participativo ENISA</t>
        </is>
      </c>
      <c r="B9" s="29" t="n">
        <v>0</v>
      </c>
      <c r="C9" s="28" t="inlineStr">
        <is>
          <t>Para sociedades; sin garantías personales</t>
        </is>
      </c>
      <c r="D9" s="28" t="n"/>
      <c r="E9" s="28" t="n"/>
      <c r="F9" s="28" t="n"/>
      <c r="G9" s="28" t="n"/>
      <c r="H9" s="28" t="n"/>
    </row>
    <row r="10">
      <c r="A10" s="28" t="inlineStr">
        <is>
          <t>Business angels o socios inversores</t>
        </is>
      </c>
      <c r="B10" s="29" t="n">
        <v>0</v>
      </c>
      <c r="C10" s="28" t="inlineStr">
        <is>
          <t>Entra en el capital: diluye, no se devuelve</t>
        </is>
      </c>
      <c r="D10" s="28" t="n"/>
      <c r="E10" s="28" t="n"/>
      <c r="F10" s="28" t="n"/>
      <c r="G10" s="28" t="n"/>
      <c r="H10" s="28" t="n"/>
    </row>
    <row r="11">
      <c r="A11" s="28" t="inlineStr">
        <is>
          <t>Subvenciones autonómicas o locales</t>
        </is>
      </c>
      <c r="B11" s="29" t="n">
        <v>0</v>
      </c>
      <c r="C11" s="28" t="inlineStr">
        <is>
          <t>Suelen cobrarse DESPUÉS de justificar el gasto</t>
        </is>
      </c>
      <c r="D11" s="28" t="n"/>
      <c r="E11" s="28" t="n"/>
      <c r="F11" s="28" t="n"/>
      <c r="G11" s="28" t="n"/>
      <c r="H11" s="28" t="n"/>
    </row>
    <row r="12">
      <c r="A12" s="25" t="inlineStr">
        <is>
          <t>TOTAL ORIGEN DE FONDOS</t>
        </is>
      </c>
      <c r="B12" s="26">
        <f>IFERROR(IF(COUNT(B6:B11)=0,"",SUM(B6:B11)),"")</f>
        <v>69500.0</v>
      </c>
      <c r="C12" s="28" t="n"/>
      <c r="D12" s="28" t="n"/>
      <c r="E12" s="28" t="n"/>
      <c r="F12" s="28" t="n"/>
      <c r="G12" s="28" t="n"/>
      <c r="H12" s="28" t="n"/>
    </row>
    <row r="13">
      <c r="A13" s="25" t="inlineStr">
        <is>
          <t>USOS</t>
        </is>
      </c>
      <c r="B13" s="28" t="n"/>
      <c r="C13" s="28" t="n"/>
      <c r="D13" s="28" t="n"/>
      <c r="E13" s="28" t="n"/>
      <c r="F13" s="28" t="n"/>
      <c r="G13" s="28" t="n"/>
      <c r="H13" s="28" t="n"/>
    </row>
    <row r="14">
      <c r="A14" s="28" t="inlineStr">
        <is>
          <t>Necesidad total de caja al arranque</t>
        </is>
      </c>
      <c r="B14" s="32">
        <f>IFERROR(IF('Inversión Inicial'!$B$29="","",'Inversión Inicial'!$B$29),"")</f>
        <v>69009.965</v>
      </c>
      <c r="C14" s="28" t="inlineStr">
        <is>
          <t>Inversión más el IVA que hay que adelantar</t>
        </is>
      </c>
      <c r="D14" s="28" t="n"/>
      <c r="E14" s="28" t="n"/>
      <c r="F14" s="28" t="n"/>
      <c r="G14" s="28" t="n"/>
      <c r="H14" s="28" t="n"/>
    </row>
    <row r="15">
      <c r="A15" s="25" t="inlineStr">
        <is>
          <t>Diferencia (origen - usos)</t>
        </is>
      </c>
      <c r="B15" s="26">
        <f>IFERROR(B12-B14,"")</f>
        <v>490.0350000000035</v>
      </c>
      <c r="C15" s="25" t="inlineStr">
        <is>
          <t>En rojo (negativa) el plan NO está financiado. Muy por encima de cero tampoco es gratis: se pagan intereses por un dinero que no se usa</t>
        </is>
      </c>
      <c r="D15" s="28" t="n"/>
      <c r="E15" s="28" t="n"/>
      <c r="F15" s="28" t="n"/>
      <c r="G15" s="28" t="n"/>
      <c r="H15" s="28" t="n"/>
    </row>
    <row r="16">
      <c r="A16" s="28" t="inlineStr">
        <is>
          <t>Diferencia sobre los usos (%)</t>
        </is>
      </c>
      <c r="B16" s="68">
        <f>IFERROR(B15/B14,"")</f>
        <v>0.007100931003225455</v>
      </c>
      <c r="C16" s="28" t="inlineStr">
        <is>
          <t>Ámbar por encima del margen que fijes: es deuda que pagas sin necesitarla</t>
        </is>
      </c>
      <c r="D16" s="28" t="n"/>
      <c r="E16" s="28" t="n"/>
      <c r="F16" s="28" t="n"/>
      <c r="G16" s="28" t="n"/>
      <c r="H16" s="28" t="n"/>
    </row>
    <row r="17">
      <c r="A17" s="28" t="inlineStr">
        <is>
          <t>Exceso de financiación admisible (%)</t>
        </is>
      </c>
      <c r="B17" s="75" t="n">
        <v>0.05</v>
      </c>
      <c r="C17" s="28" t="inlineStr">
        <is>
          <t>Un pequeño colchón sobre la necesidad es sano; un 20 % de más son intereses tirados</t>
        </is>
      </c>
      <c r="D17" s="28" t="n"/>
      <c r="E17" s="28" t="n"/>
      <c r="F17" s="28" t="n"/>
      <c r="G17" s="28" t="n"/>
      <c r="H17" s="28" t="n"/>
    </row>
    <row r="18">
      <c r="A18" s="28" t="inlineStr">
        <is>
          <t>Préstamo que ajustaría el origen a la necesidad</t>
        </is>
      </c>
      <c r="B18" s="32">
        <f>IFERROR(MAX(0,B14-B12+B7),"")</f>
        <v>44009.965</v>
      </c>
      <c r="C18" s="28" t="inlineStr">
        <is>
          <t>Cópialo en «Préstamo bancario solicitado» de la hoja de Supuestos y la diferencia se pone a cero</t>
        </is>
      </c>
      <c r="D18" s="28" t="n"/>
      <c r="E18" s="28" t="n"/>
      <c r="F18" s="28" t="n"/>
      <c r="G18" s="28" t="n"/>
      <c r="H18" s="28" t="n"/>
    </row>
    <row r="19">
      <c r="A19" s="25" t="inlineStr">
        <is>
          <t>CONDICIONES DEL PRÉSTAMO</t>
        </is>
      </c>
      <c r="B19" s="28" t="n"/>
      <c r="C19" s="28" t="n"/>
      <c r="D19" s="28" t="n"/>
      <c r="E19" s="28" t="n"/>
      <c r="F19" s="28" t="n"/>
      <c r="G19" s="28" t="n"/>
      <c r="H19" s="28" t="n"/>
    </row>
    <row r="20">
      <c r="A20" s="28" t="inlineStr">
        <is>
          <t>Importe del principal</t>
        </is>
      </c>
      <c r="B20" s="32">
        <f>IFERROR(IF('0. Supuestos'!$B$31=0,"",'0. Supuestos'!$B$31),"")</f>
        <v>44500.0</v>
      </c>
      <c r="C20" s="28" t="n"/>
      <c r="D20" s="28" t="n"/>
      <c r="E20" s="28" t="n"/>
      <c r="F20" s="28" t="n"/>
      <c r="G20" s="28" t="n"/>
      <c r="H20" s="28" t="n"/>
    </row>
    <row r="21">
      <c r="A21" s="28" t="inlineStr">
        <is>
          <t>Tipo de interés nominal anual</t>
        </is>
      </c>
      <c r="B21" s="68">
        <f>IFERROR(IF('0. Supuestos'!$B$32="","",'0. Supuestos'!$B$32),"")</f>
        <v>0.065</v>
      </c>
      <c r="C21" s="28" t="n"/>
      <c r="D21" s="28" t="n"/>
      <c r="E21" s="28" t="n"/>
      <c r="F21" s="28" t="n"/>
      <c r="G21" s="28" t="n"/>
      <c r="H21" s="28" t="n"/>
    </row>
    <row r="22">
      <c r="A22" s="28" t="inlineStr">
        <is>
          <t>Plazo total (años)</t>
        </is>
      </c>
      <c r="B22" s="40">
        <f>IFERROR(IF('0. Supuestos'!$B$33="","",'0. Supuestos'!$B$33),"")</f>
        <v>6.0</v>
      </c>
      <c r="C22" s="28" t="n"/>
      <c r="D22" s="28" t="n"/>
      <c r="E22" s="28" t="n"/>
      <c r="F22" s="28" t="n"/>
      <c r="G22" s="28" t="n"/>
      <c r="H22" s="28" t="n"/>
    </row>
    <row r="23">
      <c r="A23" s="28" t="inlineStr">
        <is>
          <t>Carencia de principal aplicada (años)</t>
        </is>
      </c>
      <c r="B23" s="40">
        <f>IFERROR(IF(OR('0. Supuestos'!$B$34="",'0. Supuestos'!$B$33=""),"",IF('0. Supuestos'!$B$34&gt;='0. Supuestos'!$B$33,0,'0. Supuestos'!$B$34)),"")</f>
        <v>1.0</v>
      </c>
      <c r="C23" s="28" t="inlineStr">
        <is>
          <t>Una carencia igual o mayor que el plazo no existe: la hoja la anula en origen</t>
        </is>
      </c>
      <c r="D23" s="28" t="n"/>
      <c r="E23" s="28" t="n"/>
      <c r="F23" s="28" t="n"/>
      <c r="G23" s="28" t="n"/>
      <c r="H23" s="28" t="n"/>
    </row>
    <row r="24">
      <c r="A24" s="25" t="inlineStr">
        <is>
          <t>Cuota anual durante la amortización</t>
        </is>
      </c>
      <c r="B24" s="72">
        <f>IFERROR(IF(B22-B23&lt;=0,"",IF(B21=0,B20/(B22-B23),B20*B21/(1-(1+B21)^-(B22-B23)))),"")</f>
        <v>10708.236923088165</v>
      </c>
      <c r="C24" s="25" t="inlineStr">
        <is>
          <t>Sistema francés, anualidad algebraica. Con el tipo al 0 % es el principal entre los años de amortización: sin esa rama el cuadro se apagaba entero</t>
        </is>
      </c>
      <c r="D24" s="28" t="n"/>
      <c r="E24" s="28" t="n"/>
      <c r="F24" s="28" t="n"/>
      <c r="G24" s="28" t="n"/>
      <c r="H24" s="28" t="n"/>
    </row>
    <row r="25">
      <c r="A25" s="25" t="inlineStr">
        <is>
          <t>CUADRO DE AMORTIZACIÓN</t>
        </is>
      </c>
      <c r="B25" s="28" t="n"/>
      <c r="C25" s="28" t="n"/>
      <c r="D25" s="28" t="n"/>
      <c r="E25" s="28" t="n"/>
      <c r="F25" s="28" t="n"/>
      <c r="G25" s="28" t="n"/>
      <c r="H25" s="28" t="n"/>
    </row>
    <row r="26">
      <c r="A26" s="25" t="inlineStr">
        <is>
          <t>Año</t>
        </is>
      </c>
      <c r="B26" s="25" t="inlineStr">
        <is>
          <t>Capital pendiente</t>
        </is>
      </c>
      <c r="C26" s="25" t="inlineStr">
        <is>
          <t>Intereses</t>
        </is>
      </c>
      <c r="D26" s="25" t="inlineStr">
        <is>
          <t>Amortización de principal</t>
        </is>
      </c>
      <c r="E26" s="25" t="inlineStr">
        <is>
          <t>Cuota total</t>
        </is>
      </c>
      <c r="F26" s="25" t="inlineStr">
        <is>
          <t>Capital al cierre</t>
        </is>
      </c>
      <c r="G26" s="25" t="inlineStr">
        <is>
          <t>Flujo disponible para la deuda (después de impuestos; del año 4 en adelante, el del año 3 mantenido)</t>
        </is>
      </c>
      <c r="H26" s="25" t="inlineStr">
        <is>
          <t>DSCR del año</t>
        </is>
      </c>
    </row>
    <row r="27">
      <c r="A27" s="40" t="n">
        <v>1</v>
      </c>
      <c r="B27" s="70">
        <f>IFERROR(IF(B20="","",B20),"")</f>
        <v>44500.0</v>
      </c>
      <c r="C27" s="70">
        <f>IFERROR(IF(OR(1&gt;B22,B27=""),"",B27*B21),"")</f>
        <v>2892.5</v>
      </c>
      <c r="D27" s="70">
        <f>IFERROR(IF(OR(1&gt;B22,B27=""),"",IF(1&lt;=B23,0,MIN(B27,B24-C27))),"")</f>
        <v>0.0</v>
      </c>
      <c r="E27" s="70">
        <f>IFERROR(IF(C27="","",C27+D27),"")</f>
        <v>2892.5</v>
      </c>
      <c r="F27" s="70">
        <f>IFERROR(IF(D27="","",B27-D27),"")</f>
        <v>44500.0</v>
      </c>
      <c r="G27" s="70">
        <f>IFERROR(IF(E27="","",'PyG 3 Años'!$B$41-'PyG 3 Años'!$B$46+'PyG 3 Años'!$B$36+'PyG 3 Años'!$B$37),"")</f>
        <v>15834.996399999989</v>
      </c>
      <c r="H27" s="61">
        <f>IFERROR(IF(OR(E27="",E27=0),"",G27/E27),"")</f>
        <v>5.474501780466721</v>
      </c>
    </row>
    <row r="28">
      <c r="A28" s="40" t="n">
        <v>2</v>
      </c>
      <c r="B28" s="70">
        <f>IFERROR(IF(OR(2&gt;B22,F27=""),"",F27),"")</f>
        <v>44500.0</v>
      </c>
      <c r="C28" s="70">
        <f>IFERROR(IF(OR(2&gt;B22,B28=""),"",B28*B21),"")</f>
        <v>2892.5</v>
      </c>
      <c r="D28" s="70">
        <f>IFERROR(IF(OR(2&gt;B22,B28=""),"",IF(2&lt;=B23,0,MIN(B28,B24-C28))),"")</f>
        <v>7815.736923088165</v>
      </c>
      <c r="E28" s="70">
        <f>IFERROR(IF(C28="","",C28+D28),"")</f>
        <v>10708.236923088165</v>
      </c>
      <c r="F28" s="70">
        <f>IFERROR(IF(D28="","",B28-D28),"")</f>
        <v>36684.26307691183</v>
      </c>
      <c r="G28" s="70">
        <f>IFERROR(IF(E28="","",'PyG 3 Años'!$C$41-'PyG 3 Años'!$C$46+'PyG 3 Años'!$C$36+'PyG 3 Años'!$C$37),"")</f>
        <v>17286.881739999986</v>
      </c>
      <c r="H28" s="61">
        <f>IFERROR(IF(OR(E28="",E28=0),"",G28/E28),"")</f>
        <v>1.6143536853137348</v>
      </c>
    </row>
    <row r="29">
      <c r="A29" s="40" t="n">
        <v>3</v>
      </c>
      <c r="B29" s="70">
        <f>IFERROR(IF(OR(3&gt;B22,F28=""),"",F28),"")</f>
        <v>36684.26307691183</v>
      </c>
      <c r="C29" s="70">
        <f>IFERROR(IF(OR(3&gt;B22,B29=""),"",B29*B21),"")</f>
        <v>2384.4770999992693</v>
      </c>
      <c r="D29" s="70">
        <f>IFERROR(IF(OR(3&gt;B22,B29=""),"",IF(3&lt;=B23,0,MIN(B29,B24-C29))),"")</f>
        <v>8323.759823088896</v>
      </c>
      <c r="E29" s="70">
        <f>IFERROR(IF(C29="","",C29+D29),"")</f>
        <v>10708.236923088165</v>
      </c>
      <c r="F29" s="70">
        <f>IFERROR(IF(D29="","",B29-D29),"")</f>
        <v>28360.503253822935</v>
      </c>
      <c r="G29" s="70">
        <f>IFERROR(IF(E29="","",'PyG 3 Años'!$D$41-'PyG 3 Años'!$D$46+'PyG 3 Años'!$D$36+'PyG 3 Años'!$D$37),"")</f>
        <v>16536.35383899981</v>
      </c>
      <c r="H29" s="61">
        <f>IFERROR(IF(OR(E29="",E29=0),"",G29/E29),"")</f>
        <v>1.5442648456297758</v>
      </c>
    </row>
    <row r="30">
      <c r="A30" s="40" t="n">
        <v>4</v>
      </c>
      <c r="B30" s="70">
        <f>IFERROR(IF(OR(4&gt;B22,F29=""),"",F29),"")</f>
        <v>28360.503253822935</v>
      </c>
      <c r="C30" s="70">
        <f>IFERROR(IF(OR(4&gt;B22,B30=""),"",B30*B21),"")</f>
        <v>1843.4327114984908</v>
      </c>
      <c r="D30" s="70">
        <f>IFERROR(IF(OR(4&gt;B22,B30=""),"",IF(4&lt;=B23,0,MIN(B30,B24-C30))),"")</f>
        <v>8864.804211589675</v>
      </c>
      <c r="E30" s="70">
        <f>IFERROR(IF(C30="","",C30+D30),"")</f>
        <v>10708.236923088167</v>
      </c>
      <c r="F30" s="70">
        <f>IFERROR(IF(D30="","",B30-D30),"")</f>
        <v>19495.69904223326</v>
      </c>
      <c r="G30" s="70">
        <f>IFERROR(IF(E30="","",'PyG 3 Años'!$D$41-'PyG 3 Años'!$D$46+'PyG 3 Años'!$D$36+'PyG 3 Años'!$D$37),"")</f>
        <v>16536.35383899981</v>
      </c>
      <c r="H30" s="61">
        <f>IFERROR(IF(OR(E30="",E30=0),"",G30/E30),"")</f>
        <v>1.5442648456297756</v>
      </c>
    </row>
    <row r="31">
      <c r="A31" s="40" t="n">
        <v>5</v>
      </c>
      <c r="B31" s="70">
        <f>IFERROR(IF(OR(5&gt;B22,F30=""),"",F30),"")</f>
        <v>19495.69904223326</v>
      </c>
      <c r="C31" s="70">
        <f>IFERROR(IF(OR(5&gt;B22,B31=""),"",B31*B21),"")</f>
        <v>1267.220437745162</v>
      </c>
      <c r="D31" s="70">
        <f>IFERROR(IF(OR(5&gt;B22,B31=""),"",IF(5&lt;=B23,0,MIN(B31,B24-C31))),"")</f>
        <v>9441.016485343003</v>
      </c>
      <c r="E31" s="70">
        <f>IFERROR(IF(C31="","",C31+D31),"")</f>
        <v>10708.236923088165</v>
      </c>
      <c r="F31" s="70">
        <f>IFERROR(IF(D31="","",B31-D31),"")</f>
        <v>10054.682556890257</v>
      </c>
      <c r="G31" s="70">
        <f>IFERROR(IF(E31="","",'PyG 3 Años'!$D$41-'PyG 3 Años'!$D$46+'PyG 3 Años'!$D$36+'PyG 3 Años'!$D$37),"")</f>
        <v>16536.35383899981</v>
      </c>
      <c r="H31" s="61">
        <f>IFERROR(IF(OR(E31="",E31=0),"",G31/E31),"")</f>
        <v>1.5442648456297758</v>
      </c>
    </row>
    <row r="32">
      <c r="A32" s="40" t="n">
        <v>6</v>
      </c>
      <c r="B32" s="70">
        <f>IFERROR(IF(OR(6&gt;B22,F31=""),"",F31),"")</f>
        <v>10054.682556890257</v>
      </c>
      <c r="C32" s="70">
        <f>IFERROR(IF(OR(6&gt;B22,B32=""),"",B32*B21),"")</f>
        <v>653.5543661978667</v>
      </c>
      <c r="D32" s="70">
        <f>IFERROR(IF(OR(6&gt;B22,B32=""),"",IF(6&lt;=B23,0,MIN(B32,B24-C32))),"")</f>
        <v>10054.682556890257</v>
      </c>
      <c r="E32" s="70">
        <f>IFERROR(IF(C32="","",C32+D32),"")</f>
        <v>10708.236923088123</v>
      </c>
      <c r="F32" s="70">
        <f>IFERROR(IF(D32="","",B32-D32),"")</f>
        <v>0.0</v>
      </c>
      <c r="G32" s="70">
        <f>IFERROR(IF(E32="","",'PyG 3 Años'!$D$41-'PyG 3 Años'!$D$46+'PyG 3 Años'!$D$36+'PyG 3 Años'!$D$37),"")</f>
        <v>16536.35383899981</v>
      </c>
      <c r="H32" s="61">
        <f>IFERROR(IF(OR(E32="",E32=0),"",G32/E32),"")</f>
        <v>1.5442648456297818</v>
      </c>
    </row>
    <row r="33">
      <c r="A33" s="40" t="n">
        <v>7</v>
      </c>
      <c r="B33" s="70">
        <f>IFERROR(IF(OR(7&gt;B22,F32=""),"",F32),"")</f>
        <v/>
      </c>
      <c r="C33" s="70">
        <f>IFERROR(IF(OR(7&gt;B22,B33=""),"",B33*B21),"")</f>
        <v/>
      </c>
      <c r="D33" s="70">
        <f>IFERROR(IF(OR(7&gt;B22,B33=""),"",IF(7&lt;=B23,0,MIN(B33,B24-C33))),"")</f>
        <v/>
      </c>
      <c r="E33" s="70">
        <f>IFERROR(IF(C33="","",C33+D33),"")</f>
        <v/>
      </c>
      <c r="F33" s="70">
        <f>IFERROR(IF(D33="","",B33-D33),"")</f>
        <v/>
      </c>
      <c r="G33" s="70">
        <f>IFERROR(IF(E33="","",'PyG 3 Años'!$D$41-'PyG 3 Años'!$D$46+'PyG 3 Años'!$D$36+'PyG 3 Años'!$D$37),"")</f>
        <v/>
      </c>
      <c r="H33" s="61">
        <f>IFERROR(IF(OR(E33="",E33=0),"",G33/E33),"")</f>
        <v/>
      </c>
    </row>
    <row r="34">
      <c r="A34" s="40" t="n">
        <v>8</v>
      </c>
      <c r="B34" s="70">
        <f>IFERROR(IF(OR(8&gt;B22,F33=""),"",F33),"")</f>
        <v/>
      </c>
      <c r="C34" s="70">
        <f>IFERROR(IF(OR(8&gt;B22,B34=""),"",B34*B21),"")</f>
        <v/>
      </c>
      <c r="D34" s="70">
        <f>IFERROR(IF(OR(8&gt;B22,B34=""),"",IF(8&lt;=B23,0,MIN(B34,B24-C34))),"")</f>
        <v/>
      </c>
      <c r="E34" s="70">
        <f>IFERROR(IF(C34="","",C34+D34),"")</f>
        <v/>
      </c>
      <c r="F34" s="70">
        <f>IFERROR(IF(D34="","",B34-D34),"")</f>
        <v/>
      </c>
      <c r="G34" s="70">
        <f>IFERROR(IF(E34="","",'PyG 3 Años'!$D$41-'PyG 3 Años'!$D$46+'PyG 3 Años'!$D$36+'PyG 3 Años'!$D$37),"")</f>
        <v/>
      </c>
      <c r="H34" s="61">
        <f>IFERROR(IF(OR(E34="",E34=0),"",G34/E34),"")</f>
        <v/>
      </c>
    </row>
    <row r="35">
      <c r="A35" s="40" t="n">
        <v>9</v>
      </c>
      <c r="B35" s="70">
        <f>IFERROR(IF(OR(9&gt;B22,F34=""),"",F34),"")</f>
        <v/>
      </c>
      <c r="C35" s="70">
        <f>IFERROR(IF(OR(9&gt;B22,B35=""),"",B35*B21),"")</f>
        <v/>
      </c>
      <c r="D35" s="70">
        <f>IFERROR(IF(OR(9&gt;B22,B35=""),"",IF(9&lt;=B23,0,MIN(B35,B24-C35))),"")</f>
        <v/>
      </c>
      <c r="E35" s="70">
        <f>IFERROR(IF(C35="","",C35+D35),"")</f>
        <v/>
      </c>
      <c r="F35" s="70">
        <f>IFERROR(IF(D35="","",B35-D35),"")</f>
        <v/>
      </c>
      <c r="G35" s="70">
        <f>IFERROR(IF(E35="","",'PyG 3 Años'!$D$41-'PyG 3 Años'!$D$46+'PyG 3 Años'!$D$36+'PyG 3 Años'!$D$37),"")</f>
        <v/>
      </c>
      <c r="H35" s="61">
        <f>IFERROR(IF(OR(E35="",E35=0),"",G35/E35),"")</f>
        <v/>
      </c>
    </row>
    <row r="36">
      <c r="A36" s="40" t="n">
        <v>10</v>
      </c>
      <c r="B36" s="70">
        <f>IFERROR(IF(OR(10&gt;B22,F35=""),"",F35),"")</f>
        <v/>
      </c>
      <c r="C36" s="70">
        <f>IFERROR(IF(OR(10&gt;B22,B36=""),"",B36*B21),"")</f>
        <v/>
      </c>
      <c r="D36" s="70">
        <f>IFERROR(IF(OR(10&gt;B22,B36=""),"",IF(10&lt;=B23,0,MIN(B36,B24-C36))),"")</f>
        <v/>
      </c>
      <c r="E36" s="70">
        <f>IFERROR(IF(C36="","",C36+D36),"")</f>
        <v/>
      </c>
      <c r="F36" s="70">
        <f>IFERROR(IF(D36="","",B36-D36),"")</f>
        <v/>
      </c>
      <c r="G36" s="70">
        <f>IFERROR(IF(E36="","",'PyG 3 Años'!$D$41-'PyG 3 Años'!$D$46+'PyG 3 Años'!$D$36+'PyG 3 Años'!$D$37),"")</f>
        <v/>
      </c>
      <c r="H36" s="61">
        <f>IFERROR(IF(OR(E36="",E36=0),"",G36/E36),"")</f>
        <v/>
      </c>
    </row>
    <row r="37">
      <c r="A37" s="40" t="n">
        <v>11</v>
      </c>
      <c r="B37" s="70">
        <f>IFERROR(IF(OR(11&gt;B22,F36=""),"",F36),"")</f>
        <v/>
      </c>
      <c r="C37" s="70">
        <f>IFERROR(IF(OR(11&gt;B22,B37=""),"",B37*B21),"")</f>
        <v/>
      </c>
      <c r="D37" s="70">
        <f>IFERROR(IF(OR(11&gt;B22,B37=""),"",IF(11&lt;=B23,0,MIN(B37,B24-C37))),"")</f>
        <v/>
      </c>
      <c r="E37" s="70">
        <f>IFERROR(IF(C37="","",C37+D37),"")</f>
        <v/>
      </c>
      <c r="F37" s="70">
        <f>IFERROR(IF(D37="","",B37-D37),"")</f>
        <v/>
      </c>
      <c r="G37" s="70">
        <f>IFERROR(IF(E37="","",'PyG 3 Años'!$D$41-'PyG 3 Años'!$D$46+'PyG 3 Años'!$D$36+'PyG 3 Años'!$D$37),"")</f>
        <v/>
      </c>
      <c r="H37" s="61">
        <f>IFERROR(IF(OR(E37="",E37=0),"",G37/E37),"")</f>
        <v/>
      </c>
    </row>
    <row r="38">
      <c r="A38" s="40" t="n">
        <v>12</v>
      </c>
      <c r="B38" s="70">
        <f>IFERROR(IF(OR(12&gt;B22,F37=""),"",F37),"")</f>
        <v/>
      </c>
      <c r="C38" s="70">
        <f>IFERROR(IF(OR(12&gt;B22,B38=""),"",B38*B21),"")</f>
        <v/>
      </c>
      <c r="D38" s="70">
        <f>IFERROR(IF(OR(12&gt;B22,B38=""),"",IF(12&lt;=B23,0,MIN(B38,B24-C38))),"")</f>
        <v/>
      </c>
      <c r="E38" s="70">
        <f>IFERROR(IF(C38="","",C38+D38),"")</f>
        <v/>
      </c>
      <c r="F38" s="70">
        <f>IFERROR(IF(D38="","",B38-D38),"")</f>
        <v/>
      </c>
      <c r="G38" s="70">
        <f>IFERROR(IF(E38="","",'PyG 3 Años'!$D$41-'PyG 3 Años'!$D$46+'PyG 3 Años'!$D$36+'PyG 3 Años'!$D$37),"")</f>
        <v/>
      </c>
      <c r="H38" s="61">
        <f>IFERROR(IF(OR(E38="",E38=0),"",G38/E38),"")</f>
        <v/>
      </c>
    </row>
    <row r="39">
      <c r="A39" s="40" t="n">
        <v>13</v>
      </c>
      <c r="B39" s="70">
        <f>IFERROR(IF(OR(13&gt;B22,F38=""),"",F38),"")</f>
        <v/>
      </c>
      <c r="C39" s="70">
        <f>IFERROR(IF(OR(13&gt;B22,B39=""),"",B39*B21),"")</f>
        <v/>
      </c>
      <c r="D39" s="70">
        <f>IFERROR(IF(OR(13&gt;B22,B39=""),"",IF(13&lt;=B23,0,MIN(B39,B24-C39))),"")</f>
        <v/>
      </c>
      <c r="E39" s="70">
        <f>IFERROR(IF(C39="","",C39+D39),"")</f>
        <v/>
      </c>
      <c r="F39" s="70">
        <f>IFERROR(IF(D39="","",B39-D39),"")</f>
        <v/>
      </c>
      <c r="G39" s="70">
        <f>IFERROR(IF(E39="","",'PyG 3 Años'!$D$41-'PyG 3 Años'!$D$46+'PyG 3 Años'!$D$36+'PyG 3 Años'!$D$37),"")</f>
        <v/>
      </c>
      <c r="H39" s="61">
        <f>IFERROR(IF(OR(E39="",E39=0),"",G39/E39),"")</f>
        <v/>
      </c>
    </row>
    <row r="40">
      <c r="A40" s="40" t="n">
        <v>14</v>
      </c>
      <c r="B40" s="70">
        <f>IFERROR(IF(OR(14&gt;B22,F39=""),"",F39),"")</f>
        <v/>
      </c>
      <c r="C40" s="70">
        <f>IFERROR(IF(OR(14&gt;B22,B40=""),"",B40*B21),"")</f>
        <v/>
      </c>
      <c r="D40" s="70">
        <f>IFERROR(IF(OR(14&gt;B22,B40=""),"",IF(14&lt;=B23,0,MIN(B40,B24-C40))),"")</f>
        <v/>
      </c>
      <c r="E40" s="70">
        <f>IFERROR(IF(C40="","",C40+D40),"")</f>
        <v/>
      </c>
      <c r="F40" s="70">
        <f>IFERROR(IF(D40="","",B40-D40),"")</f>
        <v/>
      </c>
      <c r="G40" s="70">
        <f>IFERROR(IF(E40="","",'PyG 3 Años'!$D$41-'PyG 3 Años'!$D$46+'PyG 3 Años'!$D$36+'PyG 3 Años'!$D$37),"")</f>
        <v/>
      </c>
      <c r="H40" s="61">
        <f>IFERROR(IF(OR(E40="",E40=0),"",G40/E40),"")</f>
        <v/>
      </c>
    </row>
    <row r="41">
      <c r="A41" s="40" t="n">
        <v>15</v>
      </c>
      <c r="B41" s="70">
        <f>IFERROR(IF(OR(15&gt;B22,F40=""),"",F40),"")</f>
        <v/>
      </c>
      <c r="C41" s="70">
        <f>IFERROR(IF(OR(15&gt;B22,B41=""),"",B41*B21),"")</f>
        <v/>
      </c>
      <c r="D41" s="70">
        <f>IFERROR(IF(OR(15&gt;B22,B41=""),"",IF(15&lt;=B23,0,MIN(B41,B24-C41))),"")</f>
        <v/>
      </c>
      <c r="E41" s="70">
        <f>IFERROR(IF(C41="","",C41+D41),"")</f>
        <v/>
      </c>
      <c r="F41" s="70">
        <f>IFERROR(IF(D41="","",B41-D41),"")</f>
        <v/>
      </c>
      <c r="G41" s="70">
        <f>IFERROR(IF(E41="","",'PyG 3 Años'!$D$41-'PyG 3 Años'!$D$46+'PyG 3 Años'!$D$36+'PyG 3 Años'!$D$37),"")</f>
        <v/>
      </c>
      <c r="H41" s="61">
        <f>IFERROR(IF(OR(E41="",E41=0),"",G41/E41),"")</f>
        <v/>
      </c>
    </row>
    <row r="42">
      <c r="A42" s="28" t="inlineStr">
        <is>
          <t>Tolerancia de cierre del cuadro (€)</t>
        </is>
      </c>
      <c r="B42" s="73" t="n">
        <v>0.01</v>
      </c>
      <c r="C42" s="28" t="inlineStr">
        <is>
          <t>Margen por redondeo. Por encima, el cuadro no cierra y hay capital sin devolver</t>
        </is>
      </c>
      <c r="D42" s="28" t="n"/>
      <c r="E42" s="28" t="n"/>
      <c r="F42" s="28" t="n"/>
      <c r="G42" s="28" t="n"/>
      <c r="H42" s="28" t="n"/>
    </row>
    <row r="43">
      <c r="A43" s="28" t="inlineStr">
        <is>
          <t>Capital pendiente al vencimiento</t>
        </is>
      </c>
      <c r="B43" s="70">
        <f>IFERROR(IF(B20="","",ROUND(B20-SUM(D27:D41),2)),"")</f>
        <v>0.0</v>
      </c>
      <c r="C43" s="28" t="inlineStr">
        <is>
          <t>Tiene que ser cero: el principal devuelto en el cuadro tiene que ser el prestado. Si sale positivo, el plazo no llega</t>
        </is>
      </c>
      <c r="D43" s="28" t="n"/>
      <c r="E43" s="28" t="n"/>
      <c r="F43" s="28" t="n"/>
      <c r="G43" s="28" t="n"/>
      <c r="H43" s="28" t="n"/>
    </row>
    <row r="44">
      <c r="A44" s="28" t="inlineStr">
        <is>
          <t>Intereses del año 1</t>
        </is>
      </c>
      <c r="B44" s="32">
        <f>IFERROR(IF(B20="","",IF(C27="",0,C27)),"")</f>
        <v>2892.5</v>
      </c>
      <c r="C44" s="28" t="n"/>
      <c r="D44" s="28" t="n"/>
      <c r="E44" s="28" t="n"/>
      <c r="F44" s="28" t="n"/>
      <c r="G44" s="28" t="n"/>
      <c r="H44" s="28" t="n"/>
    </row>
    <row r="45">
      <c r="A45" s="28" t="inlineStr">
        <is>
          <t>Devolución de principal del año 1</t>
        </is>
      </c>
      <c r="B45" s="32">
        <f>IFERROR(IF(B20="","",IF(D27="",0,D27)),"")</f>
        <v>0.0</v>
      </c>
      <c r="C45" s="28" t="n"/>
      <c r="D45" s="28" t="n"/>
      <c r="E45" s="28" t="n"/>
      <c r="F45" s="28" t="n"/>
      <c r="G45" s="28" t="n"/>
      <c r="H45" s="28" t="n"/>
    </row>
    <row r="46">
      <c r="A46" s="28" t="inlineStr">
        <is>
          <t>Intereses del año 2</t>
        </is>
      </c>
      <c r="B46" s="32">
        <f>IFERROR(IF(B20="","",IF(C28="",0,C28)),"")</f>
        <v>2892.5</v>
      </c>
      <c r="C46" s="28" t="n"/>
      <c r="D46" s="28" t="n"/>
      <c r="E46" s="28" t="n"/>
      <c r="F46" s="28" t="n"/>
      <c r="G46" s="28" t="n"/>
      <c r="H46" s="28" t="n"/>
    </row>
    <row r="47">
      <c r="A47" s="28" t="inlineStr">
        <is>
          <t>Devolución de principal del año 2</t>
        </is>
      </c>
      <c r="B47" s="32">
        <f>IFERROR(IF(B20="","",IF(D28="",0,D28)),"")</f>
        <v>7815.736923088165</v>
      </c>
      <c r="C47" s="28" t="n"/>
      <c r="D47" s="28" t="n"/>
      <c r="E47" s="28" t="n"/>
      <c r="F47" s="28" t="n"/>
      <c r="G47" s="28" t="n"/>
      <c r="H47" s="28" t="n"/>
    </row>
    <row r="48">
      <c r="A48" s="28" t="inlineStr">
        <is>
          <t>Intereses del año 3</t>
        </is>
      </c>
      <c r="B48" s="32">
        <f>IFERROR(IF(B20="","",IF(C29="",0,C29)),"")</f>
        <v>2384.4770999992693</v>
      </c>
      <c r="C48" s="28" t="n"/>
      <c r="D48" s="28" t="n"/>
      <c r="E48" s="28" t="n"/>
      <c r="F48" s="28" t="n"/>
      <c r="G48" s="28" t="n"/>
      <c r="H48" s="28" t="n"/>
    </row>
    <row r="49">
      <c r="A49" s="28" t="inlineStr">
        <is>
          <t>Devolución de principal del año 3</t>
        </is>
      </c>
      <c r="B49" s="32">
        <f>IFERROR(IF(B20="","",IF(D29="",0,D29)),"")</f>
        <v>8323.759823088896</v>
      </c>
      <c r="C49" s="28" t="n"/>
      <c r="D49" s="28" t="n"/>
      <c r="E49" s="28" t="n"/>
      <c r="F49" s="28" t="n"/>
      <c r="G49" s="28" t="n"/>
      <c r="H49" s="28" t="n"/>
    </row>
    <row r="50">
      <c r="A50" s="25" t="inlineStr">
        <is>
          <t>COBERTURA DEL SERVICIO DE LA DEUDA (DSCR)</t>
        </is>
      </c>
      <c r="B50" s="28" t="n"/>
      <c r="C50" s="28" t="n"/>
      <c r="D50" s="28" t="n"/>
      <c r="E50" s="28" t="n"/>
      <c r="F50" s="28" t="n"/>
      <c r="G50" s="28" t="n"/>
      <c r="H50" s="28" t="n"/>
    </row>
    <row r="51">
      <c r="A51" s="28" t="inlineStr">
        <is>
          <t>DSCR del año 1</t>
        </is>
      </c>
      <c r="B51" s="61">
        <f>IFERROR(('PyG 3 Años'!$B$41-'PyG 3 Años'!$B$46+'PyG 3 Años'!$B$36+B44)/(B44+B45),"")</f>
        <v>5.474501780466721</v>
      </c>
      <c r="C51" s="28" t="inlineStr">
        <is>
          <t>Año de CARENCIA si la hay: con sólo intereses en el denominador el ratio se dispara y no mide el negocio</t>
        </is>
      </c>
      <c r="D51" s="28" t="n"/>
      <c r="E51" s="28" t="n"/>
      <c r="F51" s="28" t="n"/>
      <c r="G51" s="28" t="n"/>
      <c r="H51" s="28" t="n"/>
    </row>
    <row r="52">
      <c r="A52" s="28" t="inlineStr">
        <is>
          <t>DSCR del año 2</t>
        </is>
      </c>
      <c r="B52" s="61">
        <f>IFERROR(('PyG 3 Años'!$C$41-'PyG 3 Años'!$C$46+'PyG 3 Años'!$C$36+B46)/(B46+B47),"")</f>
        <v>1.6143536853137348</v>
      </c>
      <c r="C52" s="28" t="n"/>
      <c r="D52" s="28" t="n"/>
      <c r="E52" s="28" t="n"/>
      <c r="F52" s="28" t="n"/>
      <c r="G52" s="28" t="n"/>
      <c r="H52" s="28" t="n"/>
    </row>
    <row r="53">
      <c r="A53" s="28" t="inlineStr">
        <is>
          <t>DSCR del año 3</t>
        </is>
      </c>
      <c r="B53" s="61">
        <f>IFERROR(('PyG 3 Años'!$D$41-'PyG 3 Años'!$D$46+'PyG 3 Años'!$D$36+B48)/(B48+B49),"")</f>
        <v>1.5442648456297758</v>
      </c>
      <c r="C53" s="28" t="n"/>
      <c r="D53" s="28" t="n"/>
      <c r="E53" s="28" t="n"/>
      <c r="F53" s="28" t="n"/>
      <c r="G53" s="28" t="n"/>
      <c r="H53" s="28" t="n"/>
    </row>
    <row r="54">
      <c r="A54" s="25" t="inlineStr">
        <is>
          <t>DSCR mínimo de todo el cuadro</t>
        </is>
      </c>
      <c r="B54" s="62">
        <f>IFERROR(IF(COUNT(H27:H41)=0,"",MIN(H27:H41)),"")</f>
        <v>1.5442648456297756</v>
      </c>
      <c r="C54" s="25" t="inlineStr">
        <is>
          <t>El peor año de los que dura el préstamo, no el mejor de los tres que proyecta el P&amp;L. Es el número que decide una operación. Ojo al alcance: los años 1 a 3 salen del P&amp;L y del año 4 en adelante el cuadro MANTIENE el flujo del año 3, así que el mínimo de esos años es una proyección sostenida, no un año calculado. El flujo va después de impuestos</t>
        </is>
      </c>
      <c r="D54" s="28" t="n"/>
      <c r="E54" s="28" t="n"/>
      <c r="F54" s="28" t="n"/>
      <c r="G54" s="28" t="n"/>
      <c r="H54" s="28" t="n"/>
    </row>
    <row r="55">
      <c r="A55" s="28" t="n"/>
      <c r="B55" s="28" t="n"/>
      <c r="C55" s="28" t="n"/>
      <c r="D55" s="28" t="n"/>
      <c r="E55" s="28" t="n"/>
      <c r="F55" s="28" t="n"/>
      <c r="G55" s="28" t="n"/>
      <c r="H55" s="28" t="n"/>
    </row>
    <row r="56" ht="165" customHeight="1">
      <c r="A56" s="46" t="inlineStr">
        <is>
          <t>El DSCR se calcula ANTES de la deuda y DESPUÉS de impuestos: al resultado antes de impuestos se le resta el Impuesto de Sociedades y se le devuelven la amortización contable y los intereses; el resultado se divide entre lo que hay que pagar ese año. Por debajo del mínimo de la hoja de Supuestos, el negocio no genera para pagar el préstamo. En el cuadro, el flujo de caja disponible de los años 4 en adelante se mantiene en el del año 3: el P&amp;L sólo proyecta tres, y aquí no se inventa un crecimiento que no está calculado.</t>
        </is>
      </c>
      <c r="B56" s="28" t="n"/>
      <c r="C56" s="28" t="n"/>
      <c r="D56" s="28" t="n"/>
      <c r="E56" s="28" t="n"/>
      <c r="F56" s="28" t="n"/>
      <c r="G56" s="28" t="n"/>
      <c r="H56" s="28" t="n"/>
    </row>
    <row r="57">
      <c r="A57" s="28" t="n"/>
      <c r="B57" s="28" t="n"/>
      <c r="C57" s="28" t="n"/>
      <c r="D57" s="28" t="n"/>
      <c r="E57" s="28" t="n"/>
      <c r="F57" s="28" t="n"/>
      <c r="G57" s="28" t="n"/>
      <c r="H57" s="28" t="n"/>
    </row>
    <row r="58">
      <c r="A58" s="28" t="n"/>
      <c r="B58" s="28" t="n"/>
      <c r="C58" s="28" t="n"/>
      <c r="D58" s="28" t="n"/>
      <c r="E58" s="28" t="n"/>
      <c r="F58" s="28" t="n"/>
      <c r="G58" s="28" t="n"/>
      <c r="H58" s="28" t="n"/>
    </row>
    <row r="59">
      <c r="A59" s="28" t="n"/>
      <c r="B59" s="28" t="n"/>
      <c r="C59" s="28" t="n"/>
      <c r="D59" s="28" t="n"/>
      <c r="E59" s="28" t="n"/>
      <c r="F59" s="28" t="n"/>
      <c r="G59" s="28" t="n"/>
      <c r="H59" s="28" t="n"/>
    </row>
    <row r="60">
      <c r="A60" s="28" t="n"/>
      <c r="B60" s="28" t="n"/>
      <c r="C60" s="28" t="n"/>
      <c r="D60" s="28" t="n"/>
      <c r="E60" s="28" t="n"/>
      <c r="F60" s="28" t="n"/>
      <c r="G60" s="28" t="n"/>
      <c r="H60" s="28" t="n"/>
    </row>
    <row r="61">
      <c r="A61" s="28" t="n"/>
      <c r="B61" s="28" t="n"/>
      <c r="C61" s="28" t="n"/>
      <c r="D61" s="28" t="n"/>
      <c r="E61" s="28" t="n"/>
      <c r="F61" s="28" t="n"/>
      <c r="G61" s="28" t="n"/>
      <c r="H61" s="28" t="n"/>
    </row>
    <row r="62">
      <c r="A62" s="28" t="n"/>
      <c r="B62" s="28" t="n"/>
      <c r="C62" s="28" t="n"/>
      <c r="D62" s="28" t="n"/>
      <c r="E62" s="28" t="n"/>
      <c r="F62" s="28" t="n"/>
      <c r="G62" s="28" t="n"/>
      <c r="H62" s="28" t="n"/>
    </row>
    <row r="63">
      <c r="A63" s="28" t="n"/>
      <c r="B63" s="28" t="n"/>
      <c r="C63" s="28" t="n"/>
      <c r="D63" s="28" t="n"/>
      <c r="E63" s="28" t="n"/>
      <c r="F63" s="28" t="n"/>
      <c r="G63" s="28" t="n"/>
      <c r="H63" s="28" t="n"/>
    </row>
    <row r="64">
      <c r="A64" s="28" t="n"/>
      <c r="B64" s="28" t="n"/>
      <c r="C64" s="28" t="n"/>
      <c r="D64" s="28" t="n"/>
      <c r="E64" s="28" t="n"/>
      <c r="F64" s="28" t="n"/>
      <c r="G64" s="28" t="n"/>
      <c r="H64" s="28" t="n"/>
    </row>
    <row r="65">
      <c r="A65" s="28" t="n"/>
      <c r="B65" s="28" t="n"/>
      <c r="C65" s="28" t="n"/>
      <c r="D65" s="28" t="n"/>
      <c r="E65" s="28" t="n"/>
      <c r="F65" s="28" t="n"/>
      <c r="G65" s="28" t="n"/>
      <c r="H65" s="28" t="n"/>
    </row>
    <row r="66">
      <c r="A66" s="28" t="n"/>
      <c r="B66" s="28" t="n"/>
      <c r="C66" s="28" t="n"/>
      <c r="D66" s="28" t="n"/>
      <c r="E66" s="28" t="n"/>
      <c r="F66" s="28" t="n"/>
      <c r="G66" s="28" t="n"/>
      <c r="H66" s="28" t="n"/>
    </row>
    <row r="67">
      <c r="A67" s="28" t="n"/>
      <c r="B67" s="28" t="n"/>
      <c r="C67" s="28" t="n"/>
      <c r="D67" s="28" t="n"/>
      <c r="E67" s="28" t="n"/>
      <c r="F67" s="28" t="n"/>
      <c r="G67" s="28" t="n"/>
      <c r="H67" s="28" t="n"/>
    </row>
    <row r="68">
      <c r="A68" s="28" t="n"/>
      <c r="B68" s="28" t="n"/>
      <c r="C68" s="28" t="n"/>
      <c r="D68" s="28" t="n"/>
      <c r="E68" s="28" t="n"/>
      <c r="F68" s="28" t="n"/>
      <c r="G68" s="28" t="n"/>
      <c r="H68" s="28" t="n"/>
    </row>
    <row r="69">
      <c r="A69" s="28" t="n"/>
      <c r="B69" s="28" t="n"/>
      <c r="C69" s="28" t="n"/>
      <c r="D69" s="28" t="n"/>
      <c r="E69" s="28" t="n"/>
      <c r="F69" s="28" t="n"/>
      <c r="G69" s="28" t="n"/>
      <c r="H69" s="28" t="n"/>
    </row>
    <row r="70">
      <c r="A70" s="28" t="n"/>
      <c r="B70" s="28" t="n"/>
      <c r="C70" s="28" t="n"/>
      <c r="D70" s="28" t="n"/>
      <c r="E70" s="28" t="n"/>
      <c r="F70" s="28" t="n"/>
      <c r="G70" s="28" t="n"/>
      <c r="H70" s="28" t="n"/>
    </row>
    <row r="71">
      <c r="A71" s="28" t="n"/>
      <c r="B71" s="28" t="n"/>
      <c r="C71" s="28" t="n"/>
      <c r="D71" s="28" t="n"/>
      <c r="E71" s="28" t="n"/>
      <c r="F71" s="28" t="n"/>
      <c r="G71" s="28" t="n"/>
      <c r="H71" s="28" t="n"/>
    </row>
    <row r="72">
      <c r="A72" s="28" t="n"/>
      <c r="B72" s="28" t="n"/>
      <c r="C72" s="28" t="n"/>
      <c r="D72" s="28" t="n"/>
      <c r="E72" s="28" t="n"/>
      <c r="F72" s="28" t="n"/>
      <c r="G72" s="28" t="n"/>
      <c r="H72" s="28" t="n"/>
    </row>
    <row r="73">
      <c r="A73" s="28" t="n"/>
      <c r="B73" s="28" t="n"/>
      <c r="C73" s="28" t="n"/>
      <c r="D73" s="28" t="n"/>
      <c r="E73" s="28" t="n"/>
      <c r="F73" s="28" t="n"/>
      <c r="G73" s="28" t="n"/>
      <c r="H73" s="28" t="n"/>
    </row>
    <row r="74">
      <c r="A74" s="28" t="n"/>
      <c r="B74" s="28" t="n"/>
      <c r="C74" s="28" t="n"/>
      <c r="D74" s="28" t="n"/>
      <c r="E74" s="28" t="n"/>
      <c r="F74" s="28" t="n"/>
      <c r="G74" s="28" t="n"/>
      <c r="H74" s="28" t="n"/>
    </row>
    <row r="75">
      <c r="A75" s="28" t="n"/>
      <c r="B75" s="28" t="n"/>
      <c r="C75" s="28" t="n"/>
      <c r="D75" s="28" t="n"/>
      <c r="E75" s="28" t="n"/>
      <c r="F75" s="28" t="n"/>
      <c r="G75" s="28" t="n"/>
      <c r="H75" s="28" t="n"/>
    </row>
    <row r="76">
      <c r="A76" s="28" t="n"/>
      <c r="B76" s="28" t="n"/>
      <c r="C76" s="28" t="n"/>
      <c r="D76" s="28" t="n"/>
      <c r="E76" s="28" t="n"/>
      <c r="F76" s="28" t="n"/>
      <c r="G76" s="28" t="n"/>
      <c r="H76" s="28" t="n"/>
    </row>
    <row r="77">
      <c r="A77" s="28" t="n"/>
      <c r="B77" s="28" t="n"/>
      <c r="C77" s="28" t="n"/>
      <c r="D77" s="28" t="n"/>
      <c r="E77" s="28" t="n"/>
      <c r="F77" s="28" t="n"/>
      <c r="G77" s="28" t="n"/>
      <c r="H77" s="28" t="n"/>
    </row>
    <row r="78">
      <c r="A78" s="28" t="n"/>
      <c r="B78" s="28" t="n"/>
      <c r="C78" s="28" t="n"/>
      <c r="D78" s="28" t="n"/>
      <c r="E78" s="28" t="n"/>
      <c r="F78" s="28" t="n"/>
      <c r="G78" s="28" t="n"/>
      <c r="H78" s="28" t="n"/>
    </row>
    <row r="79">
      <c r="A79" s="28" t="n"/>
      <c r="B79" s="28" t="n"/>
      <c r="C79" s="28" t="n"/>
      <c r="D79" s="28" t="n"/>
      <c r="E79" s="28" t="n"/>
      <c r="F79" s="28" t="n"/>
      <c r="G79" s="28" t="n"/>
      <c r="H79" s="28" t="n"/>
    </row>
    <row r="80">
      <c r="A80" s="28" t="n"/>
      <c r="B80" s="28" t="n"/>
      <c r="C80" s="28" t="n"/>
      <c r="D80" s="28" t="n"/>
      <c r="E80" s="28" t="n"/>
      <c r="F80" s="28" t="n"/>
      <c r="G80" s="28" t="n"/>
      <c r="H80" s="28" t="n"/>
    </row>
  </sheetData>
  <sheetProtection selectLockedCells="0" selectUnlockedCells="0" sheet="1" objects="0" insertRows="1" insertHyperlinks="1" autoFilter="1" scenarios="0" formatColumns="0" deleteColumns="1" insertColumns="1" pivotTables="1" deleteRows="1" formatCells="1" formatRows="0" sort="0"/>
  <conditionalFormatting sqref="B16">
    <cfRule type="expression" priority="1" dxfId="1" stopIfTrue="1">
      <formula>AND(ISNUMBER(B16),B16&lt;0)</formula>
    </cfRule>
    <cfRule type="expression" priority="2" dxfId="2" stopIfTrue="1">
      <formula>AND(ISNUMBER(B16),B16&gt;$B$17)</formula>
    </cfRule>
    <cfRule type="expression" priority="3" dxfId="0" stopIfTrue="1">
      <formula>AND(ISNUMBER(B16),B16&gt;=0)</formula>
    </cfRule>
  </conditionalFormatting>
  <conditionalFormatting sqref="B43">
    <cfRule type="expression" priority="4" dxfId="1" stopIfTrue="1">
      <formula>AND(ISNUMBER(B43),ABS(B43)&gt;$B$42)</formula>
    </cfRule>
    <cfRule type="expression" priority="5" dxfId="0" stopIfTrue="1">
      <formula>AND(ISNUMBER(B43),ABS(B43)&lt;=$B$42)</formula>
    </cfRule>
  </conditionalFormatting>
  <conditionalFormatting sqref="B51">
    <cfRule type="expression" priority="6" dxfId="1" stopIfTrue="1">
      <formula>AND(ISNUMBER(B51),B51&lt;'0. Supuestos'!$B$65)</formula>
    </cfRule>
    <cfRule type="expression" priority="7" dxfId="2" stopIfTrue="1">
      <formula>AND(ISNUMBER(B51),B51&gt;='0. Supuestos'!$B$65)</formula>
    </cfRule>
    <cfRule type="expression" priority="8" dxfId="0" stopIfTrue="1">
      <formula>AND(ISNUMBER(B51),B51&gt;='0. Supuestos'!$B$66)</formula>
    </cfRule>
  </conditionalFormatting>
  <conditionalFormatting sqref="B52">
    <cfRule type="expression" priority="9" dxfId="1" stopIfTrue="1">
      <formula>AND(ISNUMBER(B52),B52&lt;'0. Supuestos'!$B$65)</formula>
    </cfRule>
    <cfRule type="expression" priority="10" dxfId="2" stopIfTrue="1">
      <formula>AND(ISNUMBER(B52),B52&gt;='0. Supuestos'!$B$65)</formula>
    </cfRule>
    <cfRule type="expression" priority="11" dxfId="0" stopIfTrue="1">
      <formula>AND(ISNUMBER(B52),B52&gt;='0. Supuestos'!$B$66)</formula>
    </cfRule>
  </conditionalFormatting>
  <conditionalFormatting sqref="B53">
    <cfRule type="expression" priority="12" dxfId="1" stopIfTrue="1">
      <formula>AND(ISNUMBER(B53),B53&lt;'0. Supuestos'!$B$65)</formula>
    </cfRule>
    <cfRule type="expression" priority="13" dxfId="2" stopIfTrue="1">
      <formula>AND(ISNUMBER(B53),B53&gt;='0. Supuestos'!$B$65)</formula>
    </cfRule>
    <cfRule type="expression" priority="14" dxfId="0" stopIfTrue="1">
      <formula>AND(ISNUMBER(B53),B53&gt;='0. Supuestos'!$B$66)</formula>
    </cfRule>
  </conditionalFormatting>
  <conditionalFormatting sqref="B54">
    <cfRule type="expression" priority="15" dxfId="1" stopIfTrue="1">
      <formula>AND(ISNUMBER(B54),B54&lt;'0. Supuestos'!$B$65)</formula>
    </cfRule>
    <cfRule type="expression" priority="16" dxfId="2" stopIfTrue="1">
      <formula>AND(ISNUMBER(B54),B54&gt;='0. Supuestos'!$B$65)</formula>
    </cfRule>
    <cfRule type="expression" priority="17" dxfId="0" stopIfTrue="1">
      <formula>AND(ISNUMBER(B54),B54&gt;='0. Supuestos'!$B$66)</formula>
    </cfRule>
  </conditionalFormatting>
  <dataValidations count="2">
    <dataValidation sqref="B8 B9 B10 B11 B42" showDropDown="0" showInputMessage="0" showErrorMessage="1" allowBlank="1" errorTitle="Importe no válido" error="Escribe un número mayor o igual que 0." type="decimal" operator="greaterThanOrEqual">
      <formula1>0</formula1>
    </dataValidation>
    <dataValidation sqref="B17"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Plan financiero — Cafetería Móvil para Eventos · v1.0</dc:title>
  <dc:description xmlns:dc="http://purl.org/dc/elements/1.1/">aichef.pro/plan-negocio-cafeteria-movil-eventos</dc:description>
  <dc:subject xmlns:dc="http://purl.org/dc/elements/1.1/">Plan financiero — Cafetería Móvil para Eventos · v1.0</dc:subject>
  <dcterms:created xmlns:dcterms="http://purl.org/dc/terms/" xmlns:xsi="http://www.w3.org/2001/XMLSchema-instance" xsi:type="dcterms:W3CDTF">2026-03-26T14:46:57Z</dcterms:created>
  <dcterms:modified xmlns:dcterms="http://purl.org/dc/terms/" xmlns:xsi="http://www.w3.org/2001/XMLSchema-instance" xsi:type="dcterms:W3CDTF">2026-10-28T18:46:07Z</dcterms:modified>
  <cp:lastModifiedBy>AI Chef Pro</cp:lastModifiedBy>
  <cp:category>AI Chef Pro · Productos digitales</cp:category>
  <cp:keywords>plan de negocio cafetería móvil para eventos, barra de café, AI Chef Pro</cp:keywords>
</cp:coreProperties>
</file>