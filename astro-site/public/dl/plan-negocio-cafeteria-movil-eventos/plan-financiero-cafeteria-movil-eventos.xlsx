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135</v>
      </c>
      <c r="C4" t="inlineStr">
        <is>
          <t>Invitados de media por evento en el año 1; en la venta directa, cada taza vendida cuenta como un invitado. Sale de la mezcla de la tabla de referencias de la hoja de Instrucciones: bodas de 120, empresa de 80, congresos o ferias de 300 asistentes, celebraciones privadas de 50 y unas 250 tazas por jornada de venta directa. Es una media: la capacidad por evento está más abajo</t>
        </is>
      </c>
    </row>
    <row r="5">
      <c r="A5" t="inlineStr">
        <is>
          <t>Precio medio por invitado SIN IVA (€)</t>
        </is>
      </c>
      <c r="B5" s="63" t="n">
        <v>6.2</v>
      </c>
      <c r="C5" t="inlineStr">
        <is>
          <t>SIN IVA, por invitado: el precio del servicio de barra (paquete de bebidas ilimitadas durante unas horas) repartido entre los invitados y, en la venta directa, el precio de cada taza. Media ponderada de la mezcla: 9,00 € la boda, 8,00 € el evento de empresa, 4,50 € el asistente a un congreso, 9,50 € la celebración privada y 3,00 € la taza en la feria. Por eso la media baja. El precio con IVA (10 %) está en la fila de abajo</t>
        </is>
      </c>
    </row>
    <row r="6">
      <c r="A6" t="inlineStr">
        <is>
          <t>Eventos al año</t>
        </is>
      </c>
      <c r="B6" s="18" t="n">
        <v>130</v>
      </c>
      <c r="C6" t="inlineStr">
        <is>
          <t>Eventos servidos en el año: 30 bodas, 40 de empresa (presentaciones, jornadas, team building, Navidad), 22 jornadas de congreso o feria con stand de marca, 25 celebraciones privadas y rodajes, y 12 jornadas de venta directa en mercados y festivales (la mezcla suma 129; el plan redondea a 130). Es el MISMO dato para la cuenta de resultados, el punto de equilibrio, los escenarios y las horas de personal</t>
        </is>
      </c>
    </row>
    <row r="7">
      <c r="A7" t="inlineStr">
        <is>
          <t>Crecimiento de volumen del año 2</t>
        </is>
      </c>
      <c r="B7" s="64" t="n">
        <v>0.1</v>
      </c>
      <c r="C7" t="inlineStr">
        <is>
          <t>Más actividad el segundo año: empresas y agencias que repiten, bodas que llegan por recomendación y planners que ya te conocen, sobre un primer año con la agenda aún por llenar. El libro lo aplica a los invitados por evento con los mismos eventos; en euros es lo mismo que un 10 % más de eventos del mismo tamaño. El personal no sube con este porcentaje: crece con las incorporaciones de la hoja Personal</t>
        </is>
      </c>
    </row>
    <row r="8">
      <c r="A8" t="inlineStr">
        <is>
          <t>Crecimiento de volumen del año 3</t>
        </is>
      </c>
      <c r="B8" s="64" t="n">
        <v>0.08</v>
      </c>
      <c r="C8" t="inlineStr">
        <is>
          <t>Sobre el año 2. El techo lo ponen los sábados de temporada, el calendario de congresos y una sola barra con su titular: más allá hace falta una segunda estación</t>
        </is>
      </c>
    </row>
    <row r="9">
      <c r="A9" t="inlineStr">
        <is>
          <t>PVP equivalente con IVA (calculado)</t>
        </is>
      </c>
      <c r="B9" s="65">
        <f>IFERROR(IF($B$5="","",$B$5*(1+SUMPRODUCT('PyG 3 Años'!$E$10:$E$11,'PyG 3 Años'!$G$10:$G$11))),"")</f>
        <v>6.820000000000001</v>
      </c>
      <c r="C9" t="str">
        <f>IFERROR("Precio por invitado sin IVA más el IVA medio ponderado de tus líneas de venta: "&amp;TEXT(SUMPRODUCT('PyG 3 Años'!$E$10:$E$11,'PyG 3 Años'!$G$10:$G$11)*100,"0")&amp;" %. Todo lo que sirve la cafetería, en la barra o en la venta directa, va al 10 % (art. 91.Uno.2.2.º de la Ley 37/1992). Aquí va redondeado. Compáralo con el precio por invitado de las barras de tu zona, que suele ir con IVA.","")</f>
        <v>Precio por invitado sin IVA más el IVA medio ponderado de tus líneas de venta: 10 %. Todo lo que sirve la cafetería, en la barra o en la venta directa, va al 10 % (art. 91.Uno.2.2.º de la Ley 37/1992). Aquí va redondeado. Compáralo con el precio por invitado de las barras de tu zona, que suele ir con IVA.</v>
      </c>
    </row>
    <row r="10">
      <c r="A10" s="16" t="inlineStr">
        <is>
          <t>MIX Y COSTE DE MERCANCÍA</t>
        </is>
      </c>
    </row>
    <row r="11">
      <c r="A11" t="inlineStr">
        <is>
          <t>Ventas de COMIDA sobre el total</t>
        </is>
      </c>
      <c r="B11" s="64" t="n">
        <v>0.11</v>
      </c>
      <c r="C11" t="inlineStr">
        <is>
          <t>Peso de la COMIDA sobre el total de ventas. Es un INPUT: cámbialo aquí y el P&amp;L, la tesorería y el IVA repercutido se recalculan solos</t>
        </is>
      </c>
    </row>
    <row r="12">
      <c r="A12" t="inlineStr">
        <is>
          <t>Ventas de BEBIDA sobre el total</t>
        </is>
      </c>
      <c r="B12" s="66">
        <f>IFERROR(IF(COUNT(B11)=0,"",1-B11),"")</f>
        <v>0.89</v>
      </c>
      <c r="C12" t="inlineStr">
        <is>
          <t>Se calcula como el resto: comida + bebida = 100 %</t>
        </is>
      </c>
    </row>
    <row r="13">
      <c r="A13" t="inlineStr">
        <is>
          <t>Coste de mercancía sobre las ventas de COMIDA</t>
        </is>
      </c>
      <c r="B13" s="64" t="n">
        <v>0.46</v>
      </c>
      <c r="C13" t="inlineStr">
        <is>
          <t>Bollería y dulces comprados hechos a un obrador (cruasanes pequeños, galletas, bizcocho) sobre su venta: se sirven tal cual, sin elaborar nada en la base. Pide la ficha de alérgenos de cada pieza</t>
        </is>
      </c>
    </row>
    <row r="14">
      <c r="A14" t="inlineStr">
        <is>
          <t>Coste de mercancía sobre las ventas de BEBIDA</t>
        </is>
      </c>
      <c r="B14" s="64" t="n">
        <v>0.16</v>
      </c>
      <c r="C14" t="inlineStr">
        <is>
          <t>Café, leche, bebidas vegetales, cacao, chai y siropes sobre las ventas de bebida, con la merma (purga del molino, leche que sobra en la jarra) y un punto de catas y pruebas: unos 0,59 € por bebida. Es la MEDIA de la mezcla del año, no la receta de una bebida: el coste de un espresso o de un latte concreto está en la calculadora del kit y no se copia aquí. Los vasos y las tapas van en los consumibles</t>
        </is>
      </c>
    </row>
    <row r="15">
      <c r="A15" t="inlineStr">
        <is>
          <t>Consumibles sobre ventas</t>
        </is>
      </c>
      <c r="B15" s="64" t="n">
        <v>0.04</v>
      </c>
      <c r="C15" t="inlineStr">
        <is>
          <t>Vasos, tapas, servilletas y palillos de madera (unos 0,12 € por bebida servida en vaso de un solo uso), hielo, filtros de agua, detergente de grupos y gasolina del generador. En bodas y empresa se sirve en loza (se lava en la base); el vaso de un solo uso, con su precio aparte en el tique (Ley 7/2022, art. 55.2), sólo en la venta directa</t>
        </is>
      </c>
    </row>
    <row r="16">
      <c r="A16" t="inlineStr">
        <is>
          <t>Ventas directas en ferias y mercados sobre el total</t>
        </is>
      </c>
      <c r="B16" s="64" t="n">
        <v>0.08400000000000001</v>
      </c>
      <c r="C16" t="inlineStr">
        <is>
          <t>Parte de las ventas que se hace en VENTA DIRECTA al público, en mercados gastronómicos, ferias y festivales: 12 jornadas al año con unas 250 tazas a 3,00 € sin IVA. Va también al 10 %. En la vía pública es venta no sedentaria y necesita autorización municipal (RD 199/2010); en un recinto privado, contrato con el organizador. No es venta diaria en la calle: ese es otro negocio</t>
        </is>
      </c>
    </row>
    <row r="17">
      <c r="A17" t="inlineStr">
        <is>
          <t>Canon o comisión del organizador de la feria</t>
        </is>
      </c>
      <c r="B17" s="64" t="n">
        <v>0.15</v>
      </c>
      <c r="C17" t="inlineStr">
        <is>
          <t>Canon del organizador de la feria o del mercado, como porcentaje de lo que vendes allí. Si cobra una cuota fija por jornada o por emplazamiento, divídela entre lo que prevés vender: 110 € por una jornada de 750 € sin IVA son un 15 %</t>
        </is>
      </c>
    </row>
    <row r="18">
      <c r="A18" t="inlineStr">
        <is>
          <t>Comisión de los medios de pago</t>
        </is>
      </c>
      <c r="B18" s="64" t="n">
        <v>0.006</v>
      </c>
      <c r="C18" t="inlineStr">
        <is>
          <t>Casi todo se cobra por transferencia (señales de los particulares y facturas de empresa); el datáfono queda para la venta directa</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ALMACÉN BASE Y FIJOS</t>
        </is>
      </c>
    </row>
    <row r="24">
      <c r="A24" t="inlineStr">
        <is>
          <t>Cuota mensual del almacén base (€)</t>
        </is>
      </c>
      <c r="B24" s="23" t="n">
        <v>400</v>
      </c>
      <c r="C24" t="inlineStr">
        <is>
          <t>Cuota del almacén base: una nave o un garaje con fregadero y punto de agua donde se lavan la loza, las jarras y los depósitos, se guardan el café, la leche y los vasos, y duerme la furgoneta. No hay cocina ni se elabora comida: no se prepara nada en casa para un evento (RD 1021/2022, art. 13.5.b), y un trastero sin agua no sirve para lavar loza ni depósitos. Pide dos presupuestos en tu zona</t>
        </is>
      </c>
    </row>
    <row r="25">
      <c r="A25" t="inlineStr">
        <is>
          <t>Fianza del almacén base (meses)</t>
        </is>
      </c>
      <c r="B25" s="18" t="n">
        <v>2</v>
      </c>
      <c r="C25" t="inlineStr">
        <is>
          <t>Dos cuotas de fianza, lo habitual en un alquiler de nave o garaje</t>
        </is>
      </c>
    </row>
    <row r="26">
      <c r="A26" t="inlineStr">
        <is>
          <t>Suministros mensuales (teléfono, datos y luz del almacén base) (€)</t>
        </is>
      </c>
      <c r="B26" s="23" t="n">
        <v>60</v>
      </c>
      <c r="C26" t="inlineStr">
        <is>
          <t>Teléfono, datos y luz del almacén base fuera de la cuota. La gasolina del generador va en los consumibles y el combustible de la furgoneta en varios, porque suben y bajan con los eventos</t>
        </is>
      </c>
    </row>
    <row r="27">
      <c r="A27" t="inlineStr">
        <is>
          <t>Seguros (€/año)</t>
        </is>
      </c>
      <c r="B27" s="23" t="n">
        <v>1300</v>
      </c>
      <c r="C27" t="inlineStr">
        <is>
          <t>Responsabilidad civil de explotación y de producto de 300.000 a 600.000 € (unos 500 €), seguro de la furgoneta de uso comercial (650 €) y de los equipos que salen a cada evento (150 €)</t>
        </is>
      </c>
    </row>
    <row r="28">
      <c r="A28" t="inlineStr">
        <is>
          <t>Varios e imprevistos sobre ventas</t>
        </is>
      </c>
      <c r="B28" s="64" t="n">
        <v>0.04</v>
      </c>
      <c r="C28" t="inlineStr">
        <is>
          <t>Combustible de los desplazamientos (2 puntos), imprevistos (1 punto) y escaparates de bodas y planners (1 punto). Es variable: sube y baja con los eventos. El desplazamiento que cobras aparte por kilómetro no está en las ventas del libro: compensa este gasto</t>
        </is>
      </c>
    </row>
    <row r="29">
      <c r="A29" s="16" t="inlineStr">
        <is>
          <t>FINANCIACIÓN</t>
        </is>
      </c>
    </row>
    <row r="30">
      <c r="A30" t="inlineStr">
        <is>
          <t>Recursos propios aportados (€)</t>
        </is>
      </c>
      <c r="B30" s="23" t="n">
        <v>25000</v>
      </c>
      <c r="C30" t="inlineStr">
        <is>
          <t>Aportación del socio. Un banco pide entre el 25 y el 30 % de la necesidad de caja con dinero propio</t>
        </is>
      </c>
    </row>
    <row r="31">
      <c r="A31" t="inlineStr">
        <is>
          <t>Préstamo bancario solicitado (€)</t>
        </is>
      </c>
      <c r="B31" s="23" t="n">
        <v>44500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la vida de la cafetera y del equipo</t>
        </is>
      </c>
    </row>
    <row r="34">
      <c r="A34" t="inlineStr">
        <is>
          <t>Carencia de principal (años)</t>
        </is>
      </c>
      <c r="B34" s="18" t="n">
        <v>1</v>
      </c>
      <c r="C34" t="inlineStr">
        <is>
          <t>El primer año sólo intereses: es cuando la caja está más tensa, con la agenda de bodas y empresas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valle de agosto y el de enero y febrero, y los 30-60 días que tardan en pagar empresas y agencias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plan es el de los extras con precio propio (personalización de la barra, talleres de latte art o alquiler de la cafetera sin barista), que no están en este libro; suministros, equipamiento y servicios tienen su tipo en la celda de abajo. La cafetería no sirve alcohol: todo lo que vende va al reducido, y el libro carga la compra de café y bebidas al 10 %. La leche se factura al 4 %, así que el IVA que soportas de verdad es algo menor que el del libro (art. 91.Dos.1.1.º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la furgoneta y su rotulación (años)</t>
        </is>
      </c>
      <c r="B44" s="18" t="n">
        <v>8</v>
      </c>
      <c r="C44" t="inlineStr">
        <is>
          <t>La furgoneta, su rotulación y sus anclajes se amortizan en ocho años,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Cafetera, molinos, generador o baterías, depósitos y bomba, frío, barra-carro, carpa, menaje y TPV: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350</v>
      </c>
      <c r="C51" t="inlineStr">
        <is>
          <t>DATO INFORMATIVO: no entra en ningún cálculo. Es el evento más grande del caso con una cafetera de dos grupos y dos baristas cuando el servicio es largo (una jornada de congreso con pausas); en una barra de 3 horas esa cafetera llega a unos 180 invitados y por encima hace falta una segunda estación: mira la tabla de escalado de la hoja Instrucciones</t>
        </is>
      </c>
    </row>
    <row r="52">
      <c r="A52" t="inlineStr">
        <is>
          <t>Actividad del mes 1 sobre la de crucero</t>
        </is>
      </c>
      <c r="B52" s="64" t="n">
        <v>0.45</v>
      </c>
      <c r="C52" t="inlineStr">
        <is>
          <t>Una cafetería móvil que arranca factura poco el primer mes: el café se contrata después que la finca y el catering, de una semana a seis meses antes, y las empresas tardan en repetir. Con 100 % se elimina la rampa</t>
        </is>
      </c>
    </row>
    <row r="53">
      <c r="A53" t="inlineStr">
        <is>
          <t>Meses hasta alcanzar el régimen de crucero</t>
        </is>
      </c>
      <c r="B53" s="18" t="n">
        <v>9</v>
      </c>
      <c r="C53" t="inlineStr">
        <is>
          <t>Nueve meses hasta el ritmo de crucero: la primera temporada de bodas, empresa y congresos</t>
        </is>
      </c>
    </row>
    <row r="54">
      <c r="A54" t="inlineStr">
        <is>
          <t>Meses de cuota del almacén base ANTES del primer evento</t>
        </is>
      </c>
      <c r="B54" s="18" t="n">
        <v>1</v>
      </c>
      <c r="C54" t="inlineStr">
        <is>
          <t>Un mes de cuota para montar el almacén, calibrar la cafetera y los molinos y hacer las primeras catas antes de facturar</t>
        </is>
      </c>
    </row>
    <row r="55">
      <c r="A55" t="inlineStr">
        <is>
          <t>Imprevistos sobre la compra y la preparación de la furgoneta (%)</t>
        </is>
      </c>
      <c r="B55" s="64" t="n">
        <v>0.08</v>
      </c>
      <c r="C55" t="inlineStr">
        <is>
          <t>Se calcula sobre la furgoneta y su rotulación: es donde aparecen las sorpresas (neumáticos, frenos, anclajes, y el informe y la ITV de la reforma si fijas en ella el mueble o los depósitos)</t>
        </is>
      </c>
    </row>
    <row r="56"/>
    <row r="57">
      <c r="A57" s="16" t="inlineStr">
        <is>
          <t>COBROS, PAGOS Y DESGLOSE DEL IVA</t>
        </is>
      </c>
    </row>
    <row r="58">
      <c r="A58" t="inlineStr">
        <is>
          <t>Días medios de cobro</t>
        </is>
      </c>
      <c r="B58" s="18" t="n">
        <v>20</v>
      </c>
      <c r="C58" t="inlineStr">
        <is>
          <t>Media ponderada: los particulares (bodas y celebraciones) pagan el 30 % de señal al firmar y el 70 % siete días antes del evento, y la venta directa se cobra en el momento; las empresas, agencias y congresos, la mitad de las ventas, pagan el 30 % al confirmar y el 70 % a 30 días de la factura (contrato y calculadora del kit). El libro no admite días negativos, así que las señales no se modelan: tu caja real será algo MEJOR que la de la hoja de Tesorería</t>
        </is>
      </c>
    </row>
    <row r="59">
      <c r="A59" t="inlineStr">
        <is>
          <t>Días medios de pago a proveedor</t>
        </is>
      </c>
      <c r="B59" s="18" t="n">
        <v>30</v>
      </c>
      <c r="C59" t="inlineStr">
        <is>
          <t>El tostador, los lácteos y los vasos, a 30 días: lo que te financian. Es lo primero que se pierde si te retrasas en un pago</t>
        </is>
      </c>
    </row>
    <row r="60">
      <c r="A60" t="inlineStr">
        <is>
          <t>Mes de la paga extra de verano</t>
        </is>
      </c>
      <c r="B60" s="18" t="n">
        <v>5</v>
      </c>
      <c r="C60" t="inlineStr">
        <is>
          <t>Mes de la TESORERÍA en el que sale la paga extra de verano: julio es el Mes 5, porque el Mes 1 del plan es marzo</t>
        </is>
      </c>
    </row>
    <row r="61">
      <c r="A61" t="inlineStr">
        <is>
          <t>Mes de la paga extra de Navidad</t>
        </is>
      </c>
      <c r="B61" s="18" t="n">
        <v>10</v>
      </c>
      <c r="C61" t="inlineStr">
        <is>
          <t>Mes de la TESORERÍA en el que sale la paga extra de Navidad: diciembre es el Mes 10, porque el Mes 1 del plan es marzo</t>
        </is>
      </c>
    </row>
    <row r="62">
      <c r="A62" t="inlineStr">
        <is>
          <t>Bebida ALCOHÓLICA sobre el total de bebida (a cero: no se sirve)</t>
        </is>
      </c>
      <c r="B62" s="64" t="n">
        <v>0</v>
      </c>
      <c r="C62" t="inlineStr">
        <is>
          <t>A CERO: la cafetería móvil del plan no sirve alcohol. Una barra de cócteles es otro negocio, con su propio plan. Con 0 esta celda no mueve nada</t>
        </is>
      </c>
    </row>
    <row r="63">
      <c r="A63" t="inlineStr">
        <is>
          <t>IVA de la bebida ALCOHÓLICA servida (sin efecto en este plan)</t>
        </is>
      </c>
      <c r="B63" s="64" t="n">
        <v>0.1</v>
      </c>
      <c r="C63" t="inlineStr">
        <is>
          <t>Sin efecto: la cafetería no sirve alcohol (la celda de la bebida alcohólica está a cero). Todo lo que sirve, en la barra del evento o en la venta directa, va al 10 % (art. 91.Uno.2.2.º de la Ley 37/1992)</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VI Acuerdo Laboral de ámbito Estatal para el sector de Hostelería (art. 4) incluye la hostelería en «instalaciones fijas o móviles»: el barista se contrata como camarero/a. Copia aquí el salario base de esa categoría en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CAFETERÍA MÓVIL PARA EVENTOS</t>
        </is>
      </c>
    </row>
    <row r="2">
      <c r="A2" s="2" t="inlineStr">
        <is>
          <t>Inversión inicial estimada — barra de café de especialidad para bodas, empresas y ferias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44416.0</v>
      </c>
      <c r="C6" s="67">
        <f>IFERROR(B6/$B$26,"")</f>
        <v>0.7395196901529713</v>
      </c>
      <c r="D6" s="28" t="n"/>
      <c r="E6" s="28" t="n"/>
    </row>
    <row r="7">
      <c r="A7" s="28" t="inlineStr">
        <is>
          <t>Furgoneta usada con rotulación y anclajes</t>
        </is>
      </c>
      <c r="B7" s="29" t="n">
        <v>15200</v>
      </c>
      <c r="C7" s="68">
        <f>IFERROR(B7/$B$26,"")</f>
        <v>0.2530777037627243</v>
      </c>
      <c r="D7" s="28" t="inlineStr">
        <is>
          <t>Furgoneta de ocasión tipo Kangoo L2 o Trafic (12.000-16.000 € en el mercado; el caso, 14.000 €) con la rotulación de la marca, estanterías y anclajes para llevar la barra, la cafetera y los depósitos sujetos. Si fijas en ella fregadero, depósitos o mueble, es una reforma de vehículo: informe de conformidad e ITV. Estimación del kit. Si la compras a un particular no hay IVA, sino el impuesto de transmisiones; en un concesionario, en REBU, el IVA no se deduce: pon «No» en la columna de al lado</t>
        </is>
      </c>
      <c r="E7" s="31" t="inlineStr">
        <is>
          <t>Sí</t>
        </is>
      </c>
    </row>
    <row r="8">
      <c r="A8" s="28" t="inlineStr">
        <is>
          <t>Barra-carro a medida con ruedas y depósitos ocultos, carpa e iluminación</t>
        </is>
      </c>
      <c r="B8" s="29" t="n">
        <v>4400</v>
      </c>
      <c r="C8" s="68">
        <f>IFERROR(B8/$B$26,"")</f>
        <v>0.07325933529973598</v>
      </c>
      <c r="D8" s="28" t="inlineStr">
        <is>
          <t>Barra móvil fabricada a medida, con los depósitos de agua escondidos y ruedas para entrar en salones y pabellones, más una carpa de 3 × 3 m y la iluminación para los servicios de noche. Una mesa de barista básica ronda los 1.800 € sin máquina. Estimación del kit</t>
        </is>
      </c>
      <c r="E8" s="31" t="inlineStr">
        <is>
          <t>Sí</t>
        </is>
      </c>
    </row>
    <row r="9">
      <c r="A9" s="28" t="inlineStr">
        <is>
          <t>Cafetera de dos grupos de gama media (3,5 kW como máximo)</t>
        </is>
      </c>
      <c r="B9" s="29" t="n">
        <v>5500</v>
      </c>
      <c r="C9" s="68">
        <f>IFERROR(B9/$B$26,"")</f>
        <v>0.09157416912466998</v>
      </c>
      <c r="D9" s="28" t="inlineStr">
        <is>
          <t>Máquina de espresso de dos grupos de gama media (3.000-6.000 €). Que no pase de 3,5 kW: así cabe en un enchufe de 16 A (unos 3,7 kW) y no dependes del generador en cada finca. Estimación del kit</t>
        </is>
      </c>
      <c r="E9" s="31" t="inlineStr">
        <is>
          <t>Sí</t>
        </is>
      </c>
    </row>
    <row r="10">
      <c r="A10" s="28" t="inlineStr">
        <is>
          <t>Molinos: espresso bajo demanda y descafeinado o filtro</t>
        </is>
      </c>
      <c r="B10" s="29" t="n">
        <v>2100</v>
      </c>
      <c r="C10" s="68">
        <f>IFERROR(B10/$B$26,"")</f>
        <v>0.03496468275669218</v>
      </c>
      <c r="D10" s="28" t="inlineStr">
        <is>
          <t>Un molino de espresso bajo demanda profesional (unos 1.430 € sin IVA) y otro para el descafeinado o el filtro (unos 620 €): el invitado español pide descafeinado de máquina. Fichas de distribuidor</t>
        </is>
      </c>
      <c r="E10" s="31" t="inlineStr">
        <is>
          <t>Sí</t>
        </is>
      </c>
    </row>
    <row r="11">
      <c r="A11" s="28" t="inlineStr">
        <is>
          <t>Energía: generador inverter de 5-7 kVA o primera batería, y cuadro con protecciones</t>
        </is>
      </c>
      <c r="B11" s="29" t="n">
        <v>4500</v>
      </c>
      <c r="C11" s="68">
        <f>IFERROR(B11/$B$26,"")</f>
        <v>0.0749243201929118</v>
      </c>
      <c r="D11" s="28" t="inlineStr">
        <is>
          <t>Para las fincas sin toma suficiente: un generador inverter de 5 kVA o más (los de 7 kVA, 4.300-5.350 €) o una primera batería de litio con inversor, silenciosa para bodas (un sistema completo, 6.000-10.000 €), con un cuadro con protecciones. Estimación del kit</t>
        </is>
      </c>
      <c r="E11" s="31" t="inlineStr">
        <is>
          <t>Sí</t>
        </is>
      </c>
    </row>
    <row r="12">
      <c r="A12" s="28" t="inlineStr">
        <is>
          <t>Agua e higiene: depósitos alimentarios, bomba, filtro descalcificador y lavamanos</t>
        </is>
      </c>
      <c r="B12" s="29" t="n">
        <v>1000</v>
      </c>
      <c r="C12" s="68">
        <f>IFERROR(B12/$B$26,"")</f>
        <v>0.01664984893175818</v>
      </c>
      <c r="D12" s="28" t="inlineStr">
        <is>
          <t>Dos depósitos de uso alimentario (agua limpia y gris), bomba, filtro descalcificador para la cafetera y un lavamanos autónomo. El agua se carga en red pública y el operador responde de ella hasta el punto de uso (RD 3/2023, arts. 65.3 y 66.b)</t>
        </is>
      </c>
      <c r="E12" s="31" t="inlineStr">
        <is>
          <t>Sí</t>
        </is>
      </c>
    </row>
    <row r="13">
      <c r="A13" s="28" t="inlineStr">
        <is>
          <t>Frío: nevera bajo barra, neveras portátiles, acumuladores y termómetro</t>
        </is>
      </c>
      <c r="B13" s="29" t="n">
        <v>900</v>
      </c>
      <c r="C13" s="68">
        <f>IFERROR(B13/$B$26,"")</f>
        <v>0.014984864038582362</v>
      </c>
      <c r="D13" s="28" t="inlineStr">
        <is>
          <t>Leche y bebidas vegetales a la temperatura de su etiqueta desde la base hasta la barra, y un termómetro para el registro del APPCC</t>
        </is>
      </c>
      <c r="E13" s="31" t="inlineStr">
        <is>
          <t>Sí</t>
        </is>
      </c>
    </row>
    <row r="14">
      <c r="A14" s="28" t="inlineStr">
        <is>
          <t>Menaje: jarras por tipo de leche, tampers, básculas, cajón de posos y loza</t>
        </is>
      </c>
      <c r="B14" s="29" t="n">
        <v>1500</v>
      </c>
      <c r="C14" s="68">
        <f>IFERROR(B14/$B$26,"")</f>
        <v>0.02497477339763727</v>
      </c>
      <c r="D14" s="28" t="inlineStr">
        <is>
          <t>Una jarra por cada tipo de leche (alérgenos), tampers, básculas de extracción, cajón de posos, loza para 150 invitados y cajas para transportarla. En bodas y eventos de empresa se sirve en loza: es la opción segura con la normativa de envases</t>
        </is>
      </c>
      <c r="E14" s="31" t="inlineStr">
        <is>
          <t>Sí</t>
        </is>
      </c>
    </row>
    <row r="15">
      <c r="A15" s="28" t="inlineStr">
        <is>
          <t>TPV, datáfono y software</t>
        </is>
      </c>
      <c r="B15" s="29" t="n">
        <v>600</v>
      </c>
      <c r="C15" s="68">
        <f>IFERROR(B15/$B$26,"")</f>
        <v>0.009989909359054907</v>
      </c>
      <c r="D15" s="28" t="inlineStr">
        <is>
          <t>Cobro en la venta directa y facturación conforme a Veri*factu</t>
        </is>
      </c>
      <c r="E15" s="31" t="inlineStr">
        <is>
          <t>Sí</t>
        </is>
      </c>
    </row>
    <row r="16">
      <c r="A16" s="28" t="inlineStr">
        <is>
          <t>Marca, web, fotos y dossier</t>
        </is>
      </c>
      <c r="B16" s="29" t="n">
        <v>2000</v>
      </c>
      <c r="C16" s="68">
        <f>IFERROR(B16/$B$26,"")</f>
        <v>0.03329969786351636</v>
      </c>
      <c r="D16" s="28" t="inlineStr">
        <is>
          <t>Identidad, web con formulario de presupuesto, sesión de fotos de la barra y dossier para novios, empresas, agencias y planners</t>
        </is>
      </c>
      <c r="E16" s="31" t="inlineStr">
        <is>
          <t>Sí</t>
        </is>
      </c>
    </row>
    <row r="17">
      <c r="A17" s="28" t="inlineStr">
        <is>
          <t>Constitución SL + notaría + registro</t>
        </is>
      </c>
      <c r="B17" s="29" t="n">
        <v>1000</v>
      </c>
      <c r="C17" s="68">
        <f>IFERROR(B17/$B$26,"")</f>
        <v>0.01664984893175818</v>
      </c>
      <c r="D17" s="28" t="inlineStr">
        <is>
          <t>SL unipersonal. Las tasas y el arancel del Registro no llevan IVA; los honorarios del notario y de la gestoría sí: cambia la columna de al lado a «Sí» si tu presupuesto es sobre todo de honorarios</t>
        </is>
      </c>
      <c r="E17" s="31" t="inlineStr">
        <is>
          <t>No</t>
        </is>
      </c>
    </row>
    <row r="18">
      <c r="A18" s="28" t="inlineStr">
        <is>
          <t>Declaración responsable, APPCC, alérgenos y formación de barista</t>
        </is>
      </c>
      <c r="B18" s="29" t="n">
        <v>1000</v>
      </c>
      <c r="C18" s="68">
        <f>IFERROR(B18/$B$26,"")</f>
        <v>0.01664984893175818</v>
      </c>
      <c r="D18" s="28" t="inlineStr">
        <is>
          <t>Redacción del plan APPCC itinerante, fichas de alérgenos de cada bebida y de la bollería, formación en higiene alimentaria y curso de barista</t>
        </is>
      </c>
      <c r="E18" s="31" t="inlineStr">
        <is>
          <t>Sí</t>
        </is>
      </c>
    </row>
    <row r="19">
      <c r="A19" s="28" t="inlineStr">
        <is>
          <t>Stock inicial: café, leche UHT y vasos</t>
        </is>
      </c>
      <c r="B19" s="29" t="n">
        <v>800</v>
      </c>
      <c r="C19" s="68">
        <f>IFERROR(B19/$B$26,"")</f>
        <v>0.013319879145406542</v>
      </c>
      <c r="D19" s="28" t="inlineStr">
        <is>
          <t>Primer pedido de café de especialidad, leche UHT o ESL «barista», bebidas vegetales, siropes y vasos</t>
        </is>
      </c>
      <c r="E19" s="31" t="inlineStr">
        <is>
          <t>Sí</t>
        </is>
      </c>
    </row>
    <row r="20">
      <c r="A20" s="28" t="inlineStr">
        <is>
          <t>Lanzamiento: feria nupcial, escaparate de bodas y catas para agencias</t>
        </is>
      </c>
      <c r="B20" s="29" t="n">
        <v>1500</v>
      </c>
      <c r="C20" s="68">
        <f>IFERROR(B20/$B$26,"")</f>
        <v>0.02497477339763727</v>
      </c>
      <c r="D20" s="28" t="inlineStr">
        <is>
          <t>Stand en una feria nupcial, alta destacada en un portal de bodas y catas para agencias y planners antes del primer evento</t>
        </is>
      </c>
      <c r="E20" s="31" t="inlineStr">
        <is>
          <t>Sí</t>
        </is>
      </c>
    </row>
    <row r="21">
      <c r="A21" s="28" t="inlineStr">
        <is>
          <t>Fianza del almacén base</t>
        </is>
      </c>
      <c r="B21" s="32">
        <f>IFERROR(IF('0. Supuestos'!$B$24="","",'0. Supuestos'!$B$24*'0. Supuestos'!$B$25),"")</f>
        <v>800.0</v>
      </c>
      <c r="C21" s="68">
        <f>IFERROR(B21/$B$26,"")</f>
        <v>0.013319879145406542</v>
      </c>
      <c r="D21" s="28" t="str">
        <f>IFERROR(""&amp;TEXT('0. Supuestos'!$B$25,"0")&amp;" cuotas del almacén base, al tipo de la hoja de Supuestos. Es un activo recuperable al cerrar: ni se amortiza ni lleva IVA","")</f>
        <v>2 cuotas del almacén base, al tipo de la hoja de Supuestos. Es un activo recuperable al cerrar: ni se amortiza ni lleva IVA</v>
      </c>
      <c r="E21" s="28" t="inlineStr">
        <is>
          <t>No</t>
        </is>
      </c>
    </row>
    <row r="22">
      <c r="A22" s="28" t="inlineStr">
        <is>
          <t>Cuota del almacén base de los meses previos al arranque</t>
        </is>
      </c>
      <c r="B22" s="32">
        <f>IFERROR(IF('0. Supuestos'!$B$24="","",'0. Supuestos'!$B$24*'0. Supuestos'!$B$54),"")</f>
        <v>400.0</v>
      </c>
      <c r="C22" s="68">
        <f>IFERROR(B22/$B$26,"")</f>
        <v>0.006659939572703271</v>
      </c>
      <c r="D22" s="28" t="str">
        <f>IFERROR("Cuota "&amp;IF('0. Supuestos'!$B$54=1,"del mes","de los "&amp;TEXT('0. Supuestos'!$B$54,"0")&amp;" meses")&amp;" de puesta en marcha (montaje del almacén, calibrado de la cafetera, catas y primeras reservas). NO se solapa con el P&amp;L, que arranca el día de la apertura: los doce meses del P&amp;L son los doce de explotación","")</f>
        <v>Cuota del mes de puesta en marcha (montaje del almacén, calibrado de la cafetera, catas y primeras reservas).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IFERROR(IF(COUNT(B7)=0,"",ROUND((B7)*'0. Supuestos'!$B$55,0)),"")</f>
        <v>1216.0</v>
      </c>
      <c r="C23" s="68">
        <f>IFERROR(B23/$B$26,"")</f>
        <v>0.020246216301017944</v>
      </c>
      <c r="D23" s="28" t="str">
        <f>IFERROR("Al "&amp;TEXT('0. Supuestos'!$B$55,"0%")&amp;" de las partidas de la furgoneta de este bloque (Furgoneta usada con rotulación y anclajes), no del bloque entero: el resto de partidas del bloque quedan fuera. Un banco no financia una compra así sin colchón: el porcentaje está en la hoja de Supuestos","")</f>
        <v>Al 8% de las partidas de la furgoneta de este bloque (Furgoneta usada con rotulación y anclajes),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15644.605000000003</v>
      </c>
      <c r="C24" s="67">
        <f>IFERROR(B24/$B$26,"")</f>
        <v>0.26048030984702875</v>
      </c>
      <c r="D24" s="28" t="n"/>
      <c r="E24" s="28" t="n"/>
    </row>
    <row r="25">
      <c r="A25" s="28" t="inlineStr">
        <is>
          <t>Colchón operativo hasta alcanzar el equilibrio</t>
        </is>
      </c>
      <c r="B25" s="32">
        <f>IFERROR(IF('0. Supuestos'!$B$35*('PyG 3 Años'!$B$38-'PyG 3 Años'!$B$36)=0,"",'0. Supuestos'!$B$35*('PyG 3 Años'!$B$38-'PyG 3 Años'!$B$36)/12),"")</f>
        <v>15644.605000000003</v>
      </c>
      <c r="C25" s="68">
        <f>IFERROR(B25/$B$26,"")</f>
        <v>0.26048030984702875</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60060.605</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(26% del total). Para comparar el desglose con otro plan, usa la fila de CAPEX de abajo.</v>
      </c>
      <c r="E26" s="28" t="n"/>
    </row>
    <row r="27">
      <c r="A27" s="25" t="inlineStr">
        <is>
          <t>CAPEX (inversión sin el fondo de maniobra)</t>
        </is>
      </c>
      <c r="B27" s="26">
        <f>IFERROR(B26-B24,"")</f>
        <v>44416.0</v>
      </c>
      <c r="C27" s="28" t="n"/>
      <c r="D27" s="25" t="inlineStr">
        <is>
          <t>Es lo que se compra: furgoneta, equipamiento, lanzamiento y gastos de constitución. El colchón de caja no es inversión, es circulante</t>
        </is>
      </c>
      <c r="E27" s="28" t="n"/>
    </row>
    <row r="28">
      <c r="A28" s="28" t="inlineStr">
        <is>
          <t>IVA soportado sobre la inversión (recuperable)</t>
        </is>
      </c>
      <c r="B28" s="32">
        <f>IFERROR(IF(B26="","",SUMIF($E$7:$E$23,"Sí",$B$7:$B$23)*'0. Supuestos'!$B$41),"")</f>
        <v>8949.359999999999</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69009.965</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Furgoneta, rotulación e imprevistos</t>
        </is>
      </c>
      <c r="B31" s="32">
        <f>IFERROR(IF(B7="","",B7+B23),"")</f>
        <v>16416.0</v>
      </c>
      <c r="C31" s="28" t="n"/>
      <c r="D31" s="28" t="str">
        <f>IFERROR("Se amortiza en "&amp;TEXT('0. Supuestos'!$B$44,"0")&amp;" años","")</f>
        <v>Se amortiza en 8 años</v>
      </c>
      <c r="E31" s="28" t="n"/>
    </row>
    <row r="32">
      <c r="A32" s="28" t="inlineStr">
        <is>
          <t>Maquinaria, mobiliario y equipos</t>
        </is>
      </c>
      <c r="B32" s="32">
        <f>IFERROR(IF(B8="","",B8+B9+B10+B11+B12+B13+B14+B15),"")</f>
        <v>20500.0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4102.0</v>
      </c>
      <c r="C33" s="28" t="n"/>
      <c r="D33" s="25" t="str">
        <f>IFERROR("No se amortizan, por no ser inmovilizado, Marca, web, fotos y dossier, Constitución SL + notaría + registro, Declaración responsable, APPCC, alérgenos y formación de barista, Stock inicial: café, leche UHT y vasos, Lanzamiento: feria nupcial, escaparate de bodas y catas para agencias, Fianza del almacén base, Cuota del almacén base de los meses previos al arranque ni Colchón operativo hasta alcanzar el equilibrio. Suman "&amp;TEXT(B26-B31-B32,"0")&amp;" € de los "&amp;TEXT(B26,"0")&amp;" € de inversión.","")</f>
        <v>No se amortizan, por no ser inmovilizado, Marca, web, fotos y dossier, Constitución SL + notaría + registro, Declaración responsable, APPCC, alérgenos y formación de barista, Stock inicial: café, leche UHT y vasos, Lanzamiento: feria nupcial, escaparate de bodas y catas para agencias, Fianza del almacén base, Cuota del almacén base de los meses previos al arranque ni Colchón operativo hasta alcanzar el equilibrio. Suman 23145 € de los 60061 €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cafetería móvil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135.0</v>
      </c>
      <c r="C6" s="40">
        <f>IFERROR(B6*(1+'0. Supuestos'!$B$7),"")</f>
        <v>148.5</v>
      </c>
      <c r="D6" s="40">
        <f>IFERROR(C6*(1+'0. Supuestos'!$B$8),"")</f>
        <v>160.38000000000002</v>
      </c>
      <c r="E6" s="28" t="n"/>
      <c r="F6" s="28" t="inlineStr">
        <is>
          <t>El crecimiento de los años 2 y 3 está en la hoja de Supuestos</t>
        </is>
      </c>
      <c r="G6" s="28" t="n"/>
      <c r="H6" s="28" t="n"/>
    </row>
    <row r="7">
      <c r="A7" s="28" t="inlineStr">
        <is>
          <t>Precio medio por invitado sin IVA</t>
        </is>
      </c>
      <c r="B7" s="70">
        <f>IFERROR(IF('0. Supuestos'!$B$5="","",'0. Supuestos'!$B$5),"")</f>
        <v>6.2</v>
      </c>
      <c r="C7" s="70">
        <f>IFERROR(IF(B7="","",B7),"")</f>
        <v>6.2</v>
      </c>
      <c r="D7" s="70">
        <f>IFERROR(IF(C7="","",C7),"")</f>
        <v>6.2</v>
      </c>
      <c r="E7" s="28" t="n"/>
      <c r="F7" s="28" t="inlineStr">
        <is>
          <t>Constante en euros del año 1: una subida de precios es una decisión aparte</t>
        </is>
      </c>
      <c r="G7" s="28" t="n"/>
      <c r="H7" s="28" t="n"/>
    </row>
    <row r="8">
      <c r="A8" s="28" t="inlineStr">
        <is>
          <t>Eventos al año</t>
        </is>
      </c>
      <c r="B8" s="40">
        <f>IFERROR(IF('0. Supuestos'!$B$6="","",'0. Supuestos'!$B$6),"")</f>
        <v>130.0</v>
      </c>
      <c r="C8" s="40">
        <f>IFERROR(IF(B8="","",B8),"")</f>
        <v>130.0</v>
      </c>
      <c r="D8" s="40">
        <f>IFERROR(IF(C8="","",C8),"")</f>
        <v>130.0</v>
      </c>
      <c r="E8" s="28" t="n"/>
      <c r="F8" s="28" t="n"/>
      <c r="G8" s="28" t="n"/>
      <c r="H8" s="28" t="n"/>
    </row>
    <row r="9">
      <c r="A9" s="25" t="inlineStr">
        <is>
          <t>INGRESOS TOTALES (sin IVA)</t>
        </is>
      </c>
      <c r="B9" s="26">
        <f>IFERROR(IF(B6*B7*B8=0,"",B6*B7*B8),"")</f>
        <v>108810.0</v>
      </c>
      <c r="C9" s="26">
        <f>IFERROR(IF(C6*C7*C8=0,"",C6*C7*C8),"")</f>
        <v>119691.0</v>
      </c>
      <c r="D9" s="26">
        <f>IFERROR(IF(D6*D7*D8=0,"",D6*D7*D8),"")</f>
        <v>129266.28000000003</v>
      </c>
      <c r="E9" s="67">
        <f>IFERROR(IF(B9="","",1),"")</f>
        <v>1.0</v>
      </c>
      <c r="F9" s="28" t="n"/>
      <c r="G9" s="28" t="n"/>
      <c r="H9" s="28" t="n"/>
    </row>
    <row r="10">
      <c r="A10" s="28" t="inlineStr">
        <is>
          <t>Dulces y bollería de obrador</t>
        </is>
      </c>
      <c r="B10" s="32">
        <f>IFERROR(IF(B9="","",B9*$E$10),"")</f>
        <v>11969.1</v>
      </c>
      <c r="C10" s="32">
        <f>IFERROR(IF(C9="","",C9*$E$10),"")</f>
        <v>13166.01</v>
      </c>
      <c r="D10" s="32">
        <f>IFERROR(IF(D9="","",D9*$E$10),"")</f>
        <v>14219.290800000002</v>
      </c>
      <c r="E10" s="68">
        <f>IFERROR(IF('0. Supuestos'!$B$11="","",'0. Supuestos'!$B$11),"")</f>
        <v>0.11</v>
      </c>
      <c r="F10" s="28" t="inlineStr">
        <is>
          <t>Bollería y dulces comprados a un obrador que se añaden al paquete de café o se venden en la feria: se sirven tal cual, sin elaborar. Al 10 % de IVA</t>
        </is>
      </c>
      <c r="G10" s="68">
        <f>IFERROR(IF(B9="","",'0. Supuestos'!$B$39),"")</f>
        <v>0.1</v>
      </c>
      <c r="H10" s="28" t="n"/>
    </row>
    <row r="11">
      <c r="A11" s="28" t="inlineStr">
        <is>
          <t>Bebidas de café y sin café</t>
        </is>
      </c>
      <c r="B11" s="32">
        <f>IFERROR(IF(B9="","",B9*$E$11),"")</f>
        <v>96840.9</v>
      </c>
      <c r="C11" s="32">
        <f>IFERROR(IF(C9="","",C9*$E$11),"")</f>
        <v>106524.99</v>
      </c>
      <c r="D11" s="32">
        <f>IFERROR(IF(D9="","",D9*$E$11),"")</f>
        <v>115046.98920000003</v>
      </c>
      <c r="E11" s="68">
        <f>IFERROR(IF('0. Supuestos'!$B$12="","",'0. Supuestos'!$B$12),"")</f>
        <v>0.89</v>
      </c>
      <c r="F11" s="28" t="inlineStr">
        <is>
          <t>Espresso, americano, cortado, café con leche, flat white, capuchino, latte, mocha, chai y chocolate, con leche entera, sin lactosa o bebida vegetal. Sin alcohol. Al 10 % de IVA, en la barra del evento y en la venta directa</t>
        </is>
      </c>
      <c r="G11" s="68">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5505.786</v>
      </c>
      <c r="C13" s="32">
        <f>IFERROR(IF(C9="","",C9*'0. Supuestos'!$B$11*'0. Supuestos'!$B$13),"")</f>
        <v>6056.364600000001</v>
      </c>
      <c r="D13" s="32">
        <f>IFERROR(IF(D9="","",D9*'0. Supuestos'!$B$11*'0. Supuestos'!$B$13),"")</f>
        <v>6540.873768000001</v>
      </c>
      <c r="E13" s="68">
        <f>IFERROR(B13/$B$9,"")</f>
        <v>0.0506</v>
      </c>
      <c r="F13" s="28" t="str">
        <f>IFERROR("Al "&amp;TEXT('0. Supuestos'!$B$13,"0%")&amp;" de las ventas de COMIDA, no del total: la bebida tiene su propia línea","")</f>
        <v>Al 46% de las ventas de COMIDA, no del total: la bebida tiene su propia línea</v>
      </c>
      <c r="G13" s="68">
        <f>IFERROR(IF(B9="","",'0. Supuestos'!$B$39),"")</f>
        <v>0.1</v>
      </c>
      <c r="H13" s="28" t="n"/>
    </row>
    <row r="14">
      <c r="A14" s="28" t="inlineStr">
        <is>
          <t>Coste de mercancía — bebida</t>
        </is>
      </c>
      <c r="B14" s="32">
        <f>IFERROR(IF(B9="","",B9*'0. Supuestos'!$B$12*'0. Supuestos'!$B$14),"")</f>
        <v>15494.544</v>
      </c>
      <c r="C14" s="32">
        <f>IFERROR(IF(C9="","",C9*'0. Supuestos'!$B$12*'0. Supuestos'!$B$14),"")</f>
        <v>17043.9984</v>
      </c>
      <c r="D14" s="32">
        <f>IFERROR(IF(D9="","",D9*'0. Supuestos'!$B$12*'0. Supuestos'!$B$14),"")</f>
        <v>18407.518272000005</v>
      </c>
      <c r="E14" s="68">
        <f>IFERROR(B14/$B$9,"")</f>
        <v>0.1424</v>
      </c>
      <c r="F14" s="28" t="str">
        <f>IFERROR("Al "&amp;TEXT('0. Supuestos'!$B$14,"0%")&amp;" de las ventas de BEBIDA","")</f>
        <v>Al 16% de las ventas de BEBIDA</v>
      </c>
      <c r="G14" s="68">
        <f>IFERROR(IF(B9="","",('0. Supuestos'!$B$62*'0. Supuestos'!$B$40+(1-'0. Supuestos'!$B$62)*'0. Supuestos'!$B$39)),"")</f>
        <v>0.1</v>
      </c>
      <c r="H14" s="28" t="n"/>
    </row>
    <row r="15">
      <c r="A15" s="28" t="inlineStr">
        <is>
          <t>Consumibles y envases</t>
        </is>
      </c>
      <c r="B15" s="32">
        <f>IFERROR(IF(B9="","",B9*'0. Supuestos'!$B$15),"")</f>
        <v>4352.4</v>
      </c>
      <c r="C15" s="32">
        <f>IFERROR(IF(C9="","",C9*'0. Supuestos'!$B$15),"")</f>
        <v>4787.64</v>
      </c>
      <c r="D15" s="32">
        <f>IFERROR(IF(D9="","",D9*'0. Supuestos'!$B$15),"")</f>
        <v>5170.651200000001</v>
      </c>
      <c r="E15" s="68">
        <f>IFERROR(B15/$B$9,"")</f>
        <v>0.039999999999999994</v>
      </c>
      <c r="F15" s="28" t="n"/>
      <c r="G15" s="68">
        <f>IFERROR(IF(B9="","",'0. Supuestos'!$B$41),"")</f>
        <v>0.21</v>
      </c>
      <c r="H15" s="28" t="n"/>
    </row>
    <row r="16">
      <c r="A16" s="28" t="inlineStr">
        <is>
          <t>Canon de ferias y mercados</t>
        </is>
      </c>
      <c r="B16" s="32">
        <f>IFERROR(IF(B9="","",B9*'0. Supuestos'!$B$16*'0. Supuestos'!$B$17),"")</f>
        <v>1371.006</v>
      </c>
      <c r="C16" s="32">
        <f>IFERROR(IF(C9="","",C9*'0. Supuestos'!$B$16*'0. Supuestos'!$B$17),"")</f>
        <v>1508.1065999999998</v>
      </c>
      <c r="D16" s="32">
        <f>IFERROR(IF(D9="","",D9*'0. Supuestos'!$B$16*'0. Supuestos'!$B$17),"")</f>
        <v>1628.7551280000005</v>
      </c>
      <c r="E16" s="68">
        <f>IFERROR(B16/$B$9,"")</f>
        <v>0.0126</v>
      </c>
      <c r="F16" s="28" t="inlineStr">
        <is>
          <t>Sobre las ventas DEL CANAL. Con 0 % de ferias y mercados en Supuestos, esta línea vale cero</t>
        </is>
      </c>
      <c r="G16" s="68">
        <f>IFERROR(IF(B9="","",'0. Supuestos'!$B$41),"")</f>
        <v>0.21</v>
      </c>
      <c r="H16" s="28" t="n"/>
    </row>
    <row r="17">
      <c r="A17" s="28" t="inlineStr">
        <is>
          <t>Comisiones de los medios de pago</t>
        </is>
      </c>
      <c r="B17" s="32">
        <f>IFERROR(IF(B9="","",B9*'0. Supuestos'!$B$18),"")</f>
        <v>652.86</v>
      </c>
      <c r="C17" s="32">
        <f>IFERROR(IF(C9="","",C9*'0. Supuestos'!$B$18),"")</f>
        <v>718.146</v>
      </c>
      <c r="D17" s="32">
        <f>IFERROR(IF(D9="","",D9*'0. Supuestos'!$B$18),"")</f>
        <v>775.5976800000002</v>
      </c>
      <c r="E17" s="68">
        <f>IFERROR(B17/$B$9,"")</f>
        <v>0.006</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4352.4</v>
      </c>
      <c r="C18" s="32">
        <f>IFERROR(IF(C9="","",C9*'0. Supuestos'!$B$28),"")</f>
        <v>4787.64</v>
      </c>
      <c r="D18" s="32">
        <f>IFERROR(IF(D9="","",D9*'0. Supuestos'!$B$28),"")</f>
        <v>5170.651200000001</v>
      </c>
      <c r="E18" s="68">
        <f>IFERROR(B18/$B$9,"")</f>
        <v>0.039999999999999994</v>
      </c>
      <c r="F18" s="28" t="str">
        <f>IFERROR("Al "&amp;TEXT('0. Supuestos'!$B$28,"0%")&amp;" de las ventas. Es un coste VARIABLE: sube y baja con la facturación, así que no puede vivir en los costes fijos","")</f>
        <v>Al 4% de las ventas. Es un coste VARIABLE: sube y baja con la facturación, así que no puede vivir en los costes fijos</v>
      </c>
      <c r="G18" s="68">
        <f>IFERROR(IF(B9="","",'0. Supuestos'!$B$41),"")</f>
        <v>0.21</v>
      </c>
      <c r="H18" s="28" t="n"/>
    </row>
    <row r="19">
      <c r="A19" s="25" t="inlineStr">
        <is>
          <t>TOTAL COSTES VARIABLES</t>
        </is>
      </c>
      <c r="B19" s="26">
        <f>IFERROR(IF(B9="","",SUM(B13:B18)),"")</f>
        <v>31728.996</v>
      </c>
      <c r="C19" s="26">
        <f>IFERROR(IF(C9="","",SUM(C13:C18)),"")</f>
        <v>34901.8956</v>
      </c>
      <c r="D19" s="26">
        <f>IFERROR(IF(D9="","",SUM(D13:D18)),"")</f>
        <v>37694.04724800001</v>
      </c>
      <c r="E19" s="67">
        <f>IFERROR(B19/$B$9,"")</f>
        <v>0.29159999999999997</v>
      </c>
      <c r="F19" s="28" t="n"/>
      <c r="G19" s="28" t="n"/>
      <c r="H19" s="28" t="n"/>
    </row>
    <row r="20">
      <c r="A20" s="25" t="inlineStr">
        <is>
          <t>MARGEN BRUTO</t>
        </is>
      </c>
      <c r="B20" s="26">
        <f>IFERROR(IF(B9="","",B9-B19),"")</f>
        <v>77081.004</v>
      </c>
      <c r="C20" s="26">
        <f>IFERROR(IF(C9="","",C9-C19),"")</f>
        <v>84789.1044</v>
      </c>
      <c r="D20" s="26">
        <f>IFERROR(IF(D9="","",D9-D19),"")</f>
        <v>91572.23275200001</v>
      </c>
      <c r="E20" s="67">
        <f>IFERROR(B20/$B$9,"")</f>
        <v>0.7084</v>
      </c>
      <c r="F20" s="28" t="n"/>
      <c r="G20" s="28" t="n"/>
      <c r="H20" s="28" t="n"/>
    </row>
    <row r="21">
      <c r="A21" s="25" t="inlineStr">
        <is>
          <t>COSTES FIJOS</t>
        </is>
      </c>
      <c r="B21" s="28" t="n"/>
      <c r="C21" s="28" t="n"/>
      <c r="D21" s="28" t="n"/>
      <c r="E21" s="28" t="n"/>
      <c r="F21" s="28" t="n"/>
      <c r="G21" s="28" t="n"/>
      <c r="H21" s="28" t="n"/>
    </row>
    <row r="22">
      <c r="A22" s="28" t="inlineStr">
        <is>
          <t>Cuota del almacén base</t>
        </is>
      </c>
      <c r="B22" s="32">
        <f>IFERROR(IF(B9="","",'0. Supuestos'!$B$24*12),"")</f>
        <v>4800.0</v>
      </c>
      <c r="C22" s="32">
        <f>IFERROR(IF(C9="","",B22*(1+'0. Supuestos'!$B$48)),"")</f>
        <v>4800.0</v>
      </c>
      <c r="D22" s="32">
        <f>IFERROR(IF(D9="","",C22*(1+'0. Supuestos'!$B$48)),"")</f>
        <v>4800.0</v>
      </c>
      <c r="E22" s="68">
        <f>IFERROR(B22/$B$9,"")</f>
        <v>0.044113592500689275</v>
      </c>
      <c r="F22" s="28" t="inlineStr">
        <is>
          <t>El importe mensual está en la hoja de Supuestos; aquí se multiplica por doce. Es la cuota de una nave o un garaje con fregadero y punto de agua (lavado de loza, jarras y depósitos, almacén de café, leche y vasos, y plaza para la furgoneta). El mes previo al primer evento está en la hoja de Inversión y NO se cuenta dos veces</t>
        </is>
      </c>
      <c r="G22" s="68">
        <f>IFERROR(IF(B9="","",'0. Supuestos'!$B$41),"")</f>
        <v>0.21</v>
      </c>
      <c r="H22" s="28" t="n"/>
    </row>
    <row r="23">
      <c r="A23" s="28" t="inlineStr">
        <is>
          <t>Personal (nóminas + Seguridad Social)</t>
        </is>
      </c>
      <c r="B23" s="32">
        <f>IFERROR(IF(B9="","",'Personal'!$G$9),"")</f>
        <v>44985.920000000006</v>
      </c>
      <c r="C23" s="32">
        <f>IFERROR(IF(C9="","",'Personal'!$B$13),"")</f>
        <v>50985.920000000006</v>
      </c>
      <c r="D23" s="32">
        <f>IFERROR(IF(D9="","",'Personal'!$B$14),"")</f>
        <v>56985.920000000006</v>
      </c>
      <c r="E23" s="68">
        <f>IFERROR(B23/$B$9,"")</f>
        <v>0.41343552982262666</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(teléfono, datos y luz del almacén base)</t>
        </is>
      </c>
      <c r="B24" s="32">
        <f>IFERROR(IF(B9="","",'0. Supuestos'!$B$26*12),"")</f>
        <v>720.0</v>
      </c>
      <c r="C24" s="32">
        <f>IFERROR(IF(C9="","",B24*(1+'0. Supuestos'!$B$48)),"")</f>
        <v>720.0</v>
      </c>
      <c r="D24" s="32">
        <f>IFERROR(IF(D9="","",C24*(1+'0. Supuestos'!$B$48)),"")</f>
        <v>720.0</v>
      </c>
      <c r="E24" s="68">
        <f>IFERROR(B24/$B$9,"")</f>
        <v>0.006617038875103391</v>
      </c>
      <c r="F24" s="28" t="inlineStr">
        <is>
          <t>Teléfono, datos y luz del almacén base. La gasolina del generador va en los consumibles. Va al 21 % de IVA</t>
        </is>
      </c>
      <c r="G24" s="68">
        <f>IFERROR(IF(B9="","",'0. Supuestos'!$B$41),"")</f>
        <v>0.21</v>
      </c>
      <c r="H24" s="28" t="n"/>
    </row>
    <row r="25">
      <c r="A25" s="28" t="inlineStr">
        <is>
          <t>Seguros (RC + multirriesgo)</t>
        </is>
      </c>
      <c r="B25" s="32">
        <f>IFERROR(IF(B9="","",'0. Supuestos'!$B$27),"")</f>
        <v>1300.0</v>
      </c>
      <c r="C25" s="32">
        <f>IFERROR(IF(C9="","",B25*(1+'0. Supuestos'!$B$48)),"")</f>
        <v>1300.0</v>
      </c>
      <c r="D25" s="32">
        <f>IFERROR(IF(D9="","",C25*(1+'0. Supuestos'!$B$48)),"")</f>
        <v>1300.0</v>
      </c>
      <c r="E25" s="68">
        <f>IFERROR(B25/$B$9,"")</f>
        <v>0.011947431302270013</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1680</v>
      </c>
      <c r="C26" s="32">
        <f>IFERROR(IF(C9="","",B26*(1+'0. Supuestos'!$B$48)),"")</f>
        <v>1680.0</v>
      </c>
      <c r="D26" s="32">
        <f>IFERROR(IF(D9="","",C26*(1+'0. Supuestos'!$B$48)),"")</f>
        <v>1680.0</v>
      </c>
      <c r="E26" s="68">
        <f>IFERROR(B26/$B$9,"")</f>
        <v>0.015439757375241246</v>
      </c>
      <c r="F26" s="28" t="inlineStr">
        <is>
          <t>Contabilidad, impuestos de la SL y nóminas de los fijos discontinuos de cada mes con llamamientos</t>
        </is>
      </c>
      <c r="G26" s="68">
        <f>IFERROR(IF(B9="","",'0. Supuestos'!$B$41),"")</f>
        <v>0.21</v>
      </c>
      <c r="H26" s="28" t="n"/>
    </row>
    <row r="27">
      <c r="A27" s="28" t="inlineStr">
        <is>
          <t>Furgoneta: mantenimiento, neumáticos e ITV</t>
        </is>
      </c>
      <c r="B27" s="29" t="n">
        <v>800</v>
      </c>
      <c r="C27" s="32">
        <f>IFERROR(IF(C9="","",B27*(1+'0. Supuestos'!$B$48)),"")</f>
        <v>800.0</v>
      </c>
      <c r="D27" s="32">
        <f>IFERROR(IF(D9="","",C27*(1+'0. Supuestos'!$B$48)),"")</f>
        <v>800.0</v>
      </c>
      <c r="E27" s="68">
        <f>IFERROR(B27/$B$9,"")</f>
        <v>0.007352265416781546</v>
      </c>
      <c r="F27" s="28" t="inlineStr">
        <is>
          <t>Taller, neumáticos e ITV de la furgoneta (y del remolque, si lo usas)</t>
        </is>
      </c>
      <c r="G27" s="68">
        <f>IFERROR(IF(B9="","",'0. Supuestos'!$B$41),"")</f>
        <v>0.21</v>
      </c>
      <c r="H27" s="28" t="n"/>
    </row>
    <row r="28">
      <c r="A28" s="28" t="inlineStr">
        <is>
          <t>Marketing: escaparate de bodas, Google Ads local, redes y feria nupcial</t>
        </is>
      </c>
      <c r="B28" s="29" t="n">
        <v>3000</v>
      </c>
      <c r="C28" s="32">
        <f>IFERROR(IF(C9="","",B28*(1+'0. Supuestos'!$B$48)),"")</f>
        <v>3000.0</v>
      </c>
      <c r="D28" s="32">
        <f>IFERROR(IF(D9="","",C28*(1+'0. Supuestos'!$B$48)),"")</f>
        <v>3000.0</v>
      </c>
      <c r="E28" s="68">
        <f>IFERROR(B28/$B$9,"")</f>
        <v>0.027570995312930797</v>
      </c>
      <c r="F28" s="28" t="inlineStr">
        <is>
          <t>Ficha en los portales de bodas, Google Ads local, redes sociales y una feria nupcial al año</t>
        </is>
      </c>
      <c r="G28" s="68">
        <f>IFERROR(IF(B9="","",'0. Supuestos'!$B$41),"")</f>
        <v>0.21</v>
      </c>
      <c r="H28" s="28" t="n"/>
    </row>
    <row r="29">
      <c r="A29" s="28" t="inlineStr">
        <is>
          <t>Software de gestión comercial, CRM y teléfono</t>
        </is>
      </c>
      <c r="B29" s="29" t="n">
        <v>500</v>
      </c>
      <c r="C29" s="32">
        <f>IFERROR(IF(C9="","",B29*(1+'0. Supuestos'!$B$48)),"")</f>
        <v>500.0</v>
      </c>
      <c r="D29" s="32">
        <f>IFERROR(IF(D9="","",C29*(1+'0. Supuestos'!$B$48)),"")</f>
        <v>500.0</v>
      </c>
      <c r="E29" s="68">
        <f>IFERROR(B29/$B$9,"")</f>
        <v>0.004595165885488466</v>
      </c>
      <c r="F29" s="28" t="inlineStr">
        <is>
          <t>Presupuestos, agenda de eventos, CRM de clientes y línea de teléfono</t>
        </is>
      </c>
      <c r="G29" s="68">
        <f>IFERROR(IF(B9="","",'0. Supuestos'!$B$41),"")</f>
        <v>0.21</v>
      </c>
      <c r="H29" s="28" t="n"/>
    </row>
    <row r="30">
      <c r="A30" s="28" t="inlineStr">
        <is>
          <t>Mantenimiento de la cafetera y los molinos (técnico, juntas y filtros)</t>
        </is>
      </c>
      <c r="B30" s="29" t="n">
        <v>600</v>
      </c>
      <c r="C30" s="32">
        <f>IFERROR(IF(C9="","",B30*(1+'0. Supuestos'!$B$48)),"")</f>
        <v>600.0</v>
      </c>
      <c r="D30" s="32">
        <f>IFERROR(IF(D9="","",C30*(1+'0. Supuestos'!$B$48)),"")</f>
        <v>600.0</v>
      </c>
      <c r="E30" s="68">
        <f>IFERROR(B30/$B$9,"")</f>
        <v>0.005514199062586159</v>
      </c>
      <c r="F30" s="28" t="inlineStr">
        <is>
          <t>Revisión anual del técnico, juntas y duchas de los grupos, fresas del molino y cartuchos del filtro descalcificador</t>
        </is>
      </c>
      <c r="G30" s="68">
        <f>IFERROR(IF(B9="","",'0. Supuestos'!$B$41),"")</f>
        <v>0.21</v>
      </c>
      <c r="H30" s="28" t="n"/>
    </row>
    <row r="31">
      <c r="A31" s="28" t="inlineStr">
        <is>
          <t>Uniformes y lavandería</t>
        </is>
      </c>
      <c r="B31" s="29" t="n">
        <v>300</v>
      </c>
      <c r="C31" s="32">
        <f>IFERROR(IF(C9="","",B31*(1+'0. Supuestos'!$B$48)),"")</f>
        <v>300.0</v>
      </c>
      <c r="D31" s="32">
        <f>IFERROR(IF(D9="","",C31*(1+'0. Supuestos'!$B$48)),"")</f>
        <v>300.0</v>
      </c>
      <c r="E31" s="68">
        <f>IFERROR(B31/$B$9,"")</f>
        <v>0.0027570995312930797</v>
      </c>
      <c r="F31" s="28" t="inlineStr">
        <is>
          <t>Delantales, camisas y paños: lavado y reposición</t>
        </is>
      </c>
      <c r="G31" s="68">
        <f>IFERROR(IF(B9="","",'0. Supuestos'!$B$41),"")</f>
        <v>0.21</v>
      </c>
      <c r="H31" s="28" t="n"/>
    </row>
    <row r="32">
      <c r="A32" s="28" t="inlineStr">
        <is>
          <t>Gestión de residuos (posos de café y envases)</t>
        </is>
      </c>
      <c r="B32" s="29" t="n">
        <v>100</v>
      </c>
      <c r="C32" s="32">
        <f>IFERROR(IF(C9="","",B32*(1+'0. Supuestos'!$B$48)),"")</f>
        <v>100.0</v>
      </c>
      <c r="D32" s="32">
        <f>IFERROR(IF(D9="","",C32*(1+'0. Supuestos'!$B$48)),"")</f>
        <v>100.0</v>
      </c>
      <c r="E32" s="68">
        <f>IFERROR(B32/$B$9,"")</f>
        <v>0.0009190331770976933</v>
      </c>
      <c r="F32" s="28" t="inlineStr">
        <is>
          <t>Retirada de posos y envases al punto autorizado; el agua gris de los depósitos, nunca al terreno de la finca</t>
        </is>
      </c>
      <c r="G32" s="68">
        <f>IFERROR(IF(B9="","",'0. Supuestos'!$B$41),"")</f>
        <v>0.21</v>
      </c>
      <c r="H32" s="28" t="n"/>
    </row>
    <row r="33">
      <c r="A33" s="28" t="inlineStr">
        <is>
          <t>Prevención de riesgos laborales y vigilancia de la salud</t>
        </is>
      </c>
      <c r="B33" s="29" t="n">
        <v>300</v>
      </c>
      <c r="C33" s="32">
        <f>IFERROR(IF(C9="","",B33*(1+'0. Supuestos'!$B$48)),"")</f>
        <v>300.0</v>
      </c>
      <c r="D33" s="32">
        <f>IFERROR(IF(D9="","",C33*(1+'0. Supuestos'!$B$48)),"")</f>
        <v>300.0</v>
      </c>
      <c r="E33" s="68">
        <f>IFERROR(B33/$B$9,"")</f>
        <v>0.0027570995312930797</v>
      </c>
      <c r="F33" s="28" t="inlineStr">
        <is>
          <t>Plan de prevención obligatorio (Ley 31/1995): quemaduras de vapor, cargas, conducción y posturas, y reconocimientos médicos</t>
        </is>
      </c>
      <c r="G33" s="68">
        <f>IFERROR(IF(B9="","",'0. Supuestos'!$B$41),"")</f>
        <v>0.21</v>
      </c>
      <c r="H33" s="28" t="n"/>
    </row>
    <row r="34">
      <c r="A34" s="28" t="inlineStr">
        <is>
          <t>Catas y degustaciones comerciales</t>
        </is>
      </c>
      <c r="B34" s="29" t="n">
        <v>300</v>
      </c>
      <c r="C34" s="32">
        <f>IFERROR(IF(C9="","",B34*(1+'0. Supuestos'!$B$48)),"")</f>
        <v>300.0</v>
      </c>
      <c r="D34" s="32">
        <f>IFERROR(IF(D9="","",C34*(1+'0. Supuestos'!$B$48)),"")</f>
        <v>300.0</v>
      </c>
      <c r="E34" s="68">
        <f>IFERROR(B34/$B$9,"")</f>
        <v>0.0027570995312930797</v>
      </c>
      <c r="F34" s="28" t="inlineStr">
        <is>
          <t>Café, leche y horas de las catas para novios, agencias y planners que no se cobran</t>
        </is>
      </c>
      <c r="G34" s="68">
        <f>IFERROR(IF(B9="","",'0. Supuestos'!$B$41),"")</f>
        <v>0.21</v>
      </c>
      <c r="H34" s="28" t="n"/>
    </row>
    <row r="35">
      <c r="A35" s="28" t="inlineStr">
        <is>
          <t>Licencias y tasas de venta en ferias y mercados</t>
        </is>
      </c>
      <c r="B35" s="29" t="n">
        <v>300</v>
      </c>
      <c r="C35" s="32">
        <f>IFERROR(IF(C9="","",B35*(1+'0. Supuestos'!$B$48)),"")</f>
        <v>300.0</v>
      </c>
      <c r="D35" s="32">
        <f>IFERROR(IF(D9="","",C35*(1+'0. Supuestos'!$B$48)),"")</f>
        <v>300.0</v>
      </c>
      <c r="E35" s="68">
        <f>IFERROR(B35/$B$9,"")</f>
        <v>0.0027570995312930797</v>
      </c>
      <c r="F35" s="28" t="inlineStr">
        <is>
          <t>Autorizaciones municipales de venta no sedentaria y tasas de ocupación de las jornadas de venta directa (RD 199/2010). Pon las de tu ayuntamiento. Las tasas municipales no llevan IVA, pero el libro aplica a todos los costes fijos el tipo general de la columna de al lado: aquí suma unos 63 € al año de IVA que pagas y te deduces en el mismo trimestre, sin efecto en el resultado</t>
        </is>
      </c>
      <c r="G35" s="68">
        <f>IFERROR(IF(B9="","",'0. Supuestos'!$B$41),"")</f>
        <v>0.21</v>
      </c>
      <c r="H35" s="28" t="n"/>
    </row>
    <row r="36">
      <c r="A36" s="28" t="inlineStr">
        <is>
          <t>Amortización del inmovilizado</t>
        </is>
      </c>
      <c r="B36" s="32">
        <f>IFERROR(IF(B9="","",'Inversión Inicial'!$B$33),"")</f>
        <v>4102.0</v>
      </c>
      <c r="C36" s="32">
        <f>IFERROR(IF(C9="","",B36),"")</f>
        <v>4102.0</v>
      </c>
      <c r="D36" s="32">
        <f>IFERROR(IF(D9="","",B36),"")</f>
        <v>4102.0</v>
      </c>
      <c r="E36" s="68">
        <f>IFERROR(B36/$B$9,"")</f>
        <v>0.03769874092454738</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2892.5</v>
      </c>
      <c r="C37" s="32">
        <f>IFERROR(IF(C9="","",'Financiación'!$B$46),"")</f>
        <v>2892.5</v>
      </c>
      <c r="D37" s="32">
        <f>IFERROR(IF(D9="","",'Financiación'!$B$48),"")</f>
        <v>2384.4770999992693</v>
      </c>
      <c r="E37" s="68">
        <f>IFERROR(B37/$B$9,"")</f>
        <v>0.026583034647550775</v>
      </c>
      <c r="F37" s="28" t="inlineStr">
        <is>
          <t>Sólo los INTERESES son gasto. La devolución del principal va en la hoja de Tesorería</t>
        </is>
      </c>
      <c r="G37" s="68" t="n">
        <v>0</v>
      </c>
      <c r="H37" s="28" t="n"/>
    </row>
    <row r="38">
      <c r="A38" s="25" t="inlineStr">
        <is>
          <t>TOTAL COSTES FIJOS</t>
        </is>
      </c>
      <c r="B38" s="26">
        <f>IFERROR(IF(B9="","",SUM(B22:B37)),"")</f>
        <v>66680.42000000001</v>
      </c>
      <c r="C38" s="26">
        <f>IFERROR(IF(C9="","",SUM(C22:C37)),"")</f>
        <v>72680.42000000001</v>
      </c>
      <c r="D38" s="26">
        <f>IFERROR(IF(D9="","",SUM(D22:D37)),"")</f>
        <v>78172.39709999929</v>
      </c>
      <c r="E38" s="67">
        <f>IFERROR(B38/$B$9,"")</f>
        <v>0.6128151824280857</v>
      </c>
      <c r="F38" s="28" t="n"/>
      <c r="G38" s="28" t="n"/>
      <c r="H38" s="28" t="n"/>
    </row>
    <row r="39">
      <c r="A39" s="28" t="inlineStr">
        <is>
          <t>IVA soportado de los costes variables</t>
        </is>
      </c>
      <c r="B39" s="32">
        <f>IFERROR(IF(B9="","",SUMPRODUCT(B13:B18,G13:G18)),"")</f>
        <v>4215.95226</v>
      </c>
      <c r="C39" s="32">
        <f>IFERROR(IF(C9="","",SUMPRODUCT(C13:C18,G13:G18)),"")</f>
        <v>4637.547486</v>
      </c>
      <c r="D39" s="32">
        <f>IFERROR(IF(D9="","",SUMPRODUCT(D13:D18,G13:G18)),"")</f>
        <v>5008.551284880001</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2814.0</v>
      </c>
      <c r="C40" s="32">
        <f>IFERROR(IF(C9="","",SUMPRODUCT(C22:C37,G22:G37)),"")</f>
        <v>2814.0</v>
      </c>
      <c r="D40" s="32">
        <f>IFERROR(IF(D9="","",SUMPRODUCT(D22:D37,G22:G37)),"")</f>
        <v>2814.0</v>
      </c>
      <c r="E40" s="28" t="n"/>
      <c r="F40" s="28" t="n"/>
      <c r="G40" s="28" t="n"/>
      <c r="H40" s="28" t="n"/>
    </row>
    <row r="41">
      <c r="A41" s="25" t="inlineStr">
        <is>
          <t>RESULTADO ANTES DE IMPUESTOS</t>
        </is>
      </c>
      <c r="B41" s="26">
        <f>IFERROR(IF(B9="","",B20-B38),"")</f>
        <v>10400.583999999988</v>
      </c>
      <c r="C41" s="26">
        <f>IFERROR(IF(C9="","",C20-C38),"")</f>
        <v>12108.684399999984</v>
      </c>
      <c r="D41" s="26">
        <f>IFERROR(IF(D9="","",D20-D38),"")</f>
        <v>13399.835652000722</v>
      </c>
      <c r="E41" s="67">
        <f>IFERROR(B41/$B$9,"")</f>
        <v>0.09558481757191424</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10400.583999999988</v>
      </c>
      <c r="C43" s="32">
        <f>IFERROR(IF(C9="","",MAX(0,C41-C42)),"")</f>
        <v>12108.684399999984</v>
      </c>
      <c r="D43" s="32">
        <f>IFERROR(IF(D9="","",MAX(0,D41-D42)),"")</f>
        <v>13399.835652000722</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1560.0875999999982</v>
      </c>
      <c r="C46" s="32">
        <f>IFERROR(IF(C9="","",IF(C45="",0,C43*C45)),"")</f>
        <v>1816.3026599999976</v>
      </c>
      <c r="D46" s="32">
        <f>IFERROR(IF(D9="","",IF(D45="",0,D43*D45)),"")</f>
        <v>3349.9589130001805</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8840.496399999989</v>
      </c>
      <c r="C48" s="26">
        <f>IFERROR(IF(C9="","",C41-C46),"")</f>
        <v>10292.381739999986</v>
      </c>
      <c r="D48" s="26">
        <f>IFERROR(IF(D9="","",D41-D46),"")</f>
        <v>10049.876739000541</v>
      </c>
      <c r="E48" s="67">
        <f>IFERROR(B48/$B$9,"")</f>
        <v>0.0812470949361271</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0.7084</v>
      </c>
      <c r="C51" s="68">
        <f>IFERROR(IF(C9="","",C20/C9),"")</f>
        <v>0.7083999999999999</v>
      </c>
      <c r="D51" s="68">
        <f>IFERROR(IF(D9="","",D20/D9),"")</f>
        <v>0.7083999999999999</v>
      </c>
      <c r="E51" s="75" t="n">
        <v>0.65</v>
      </c>
      <c r="F51" s="28" t="inlineStr">
        <is>
          <t>Los costes variables de la barra incluyen vasos, gasolina, combustible, canon de ferias y medios de pago además de la mercancía: un margen bruto por debajo del 65 % no paga la plantilla. Estimación del kit</t>
        </is>
      </c>
      <c r="G51" s="28" t="n"/>
      <c r="H51" s="28" t="n"/>
    </row>
    <row r="52">
      <c r="A52" s="28" t="inlineStr">
        <is>
          <t>Coste de mercancía (comida + bebida)</t>
        </is>
      </c>
      <c r="B52" s="32">
        <f>IFERROR(IF(B9="","",B13+B14),"")</f>
        <v>21000.33</v>
      </c>
      <c r="C52" s="32">
        <f>IFERROR(IF(C9="","",C13+C14),"")</f>
        <v>23100.363</v>
      </c>
      <c r="D52" s="32">
        <f>IFERROR(IF(D9="","",D13+D14),"")</f>
        <v>24948.392040000006</v>
      </c>
      <c r="E52" s="28" t="n"/>
      <c r="F52" s="28" t="n"/>
      <c r="G52" s="28" t="n"/>
      <c r="H52" s="28" t="n"/>
    </row>
    <row r="53">
      <c r="A53" s="28" t="inlineStr">
        <is>
          <t>Coste de mercancía / Ventas</t>
        </is>
      </c>
      <c r="B53" s="68">
        <f>IFERROR(IF(B9="","",B52/B9),"")</f>
        <v>0.193</v>
      </c>
      <c r="C53" s="68">
        <f>IFERROR(IF(C9="","",C52/C9),"")</f>
        <v>0.193</v>
      </c>
      <c r="D53" s="68">
        <f>IFERROR(IF(D9="","",D52/D9),"")</f>
        <v>0.193</v>
      </c>
      <c r="E53" s="75" t="n">
        <v>0.22</v>
      </c>
      <c r="F53" s="28" t="inlineStr">
        <is>
          <t>Techo de la mercancía (café, leche y bollería) sobre ventas. Estimación del kit</t>
        </is>
      </c>
      <c r="G53" s="28" t="n"/>
      <c r="H53" s="28" t="n"/>
    </row>
    <row r="54">
      <c r="A54" s="28" t="inlineStr">
        <is>
          <t>Coste de personal / Ventas</t>
        </is>
      </c>
      <c r="B54" s="68">
        <f>IFERROR(IF(B9="","",B23/B9),"")</f>
        <v>0.41343552982262666</v>
      </c>
      <c r="C54" s="68">
        <f>IFERROR(IF(C9="","",C23/C9),"")</f>
        <v>0.4259795640440802</v>
      </c>
      <c r="D54" s="68">
        <f>IFERROR(IF(D9="","",D23/D9),"")</f>
        <v>0.44084133928817315</v>
      </c>
      <c r="E54" s="75" t="n">
        <v>0.45</v>
      </c>
      <c r="F54" s="28" t="inlineStr">
        <is>
          <t>Techo del personal sobre ventas: carga, viaje, montaje, servicio y limpieza en cada evento. Estimación del kit</t>
        </is>
      </c>
      <c r="G54" s="28" t="n"/>
      <c r="H54" s="28" t="n"/>
    </row>
    <row r="55">
      <c r="A55" s="28" t="inlineStr">
        <is>
          <t>Cuota del almacén base / Ventas</t>
        </is>
      </c>
      <c r="B55" s="68">
        <f>IFERROR(IF(B9="","",B22/B9),"")</f>
        <v>0.044113592500689275</v>
      </c>
      <c r="C55" s="68">
        <f>IFERROR(IF(C9="","",C22/C9),"")</f>
        <v>0.04010326590971752</v>
      </c>
      <c r="D55" s="68">
        <f>IFERROR(IF(D9="","",D22/D9),"")</f>
        <v>0.037132653620108806</v>
      </c>
      <c r="E55" s="75" t="n">
        <v>0.06</v>
      </c>
      <c r="F55" s="28" t="inlineStr">
        <is>
          <t>Techo de la cuota del almacén base sobre las ventas: estimación del kit</t>
        </is>
      </c>
      <c r="G55" s="28" t="n"/>
      <c r="H55" s="28" t="n"/>
    </row>
    <row r="56">
      <c r="A56" s="28" t="inlineStr">
        <is>
          <t>Resultado neto / Ventas</t>
        </is>
      </c>
      <c r="B56" s="68">
        <f>IFERROR(IF(B9="","",B48/B9),"")</f>
        <v>0.0812470949361271</v>
      </c>
      <c r="C56" s="68">
        <f>IFERROR(IF(C9="","",C48/C9),"")</f>
        <v>0.08599127536740428</v>
      </c>
      <c r="D56" s="68">
        <f>IFERROR(IF(D9="","",D48/D9),"")</f>
        <v>0.07774553997376996</v>
      </c>
      <c r="E56" s="75" t="n">
        <v>0.05</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cafetería móvil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66680.42000000001</v>
      </c>
      <c r="C6" s="70">
        <f>IFERROR(IF('PyG 3 Años'!$C$9="","",'PyG 3 Años'!$C$38),"")</f>
        <v>72680.42000000001</v>
      </c>
      <c r="D6" s="70">
        <f>IFERROR(IF('PyG 3 Años'!$D$9="","",'PyG 3 Años'!$D$38),"")</f>
        <v>78172.39709999929</v>
      </c>
      <c r="E6" s="28" t="inlineStr">
        <is>
          <t>Los MISMOS costes fijos del P&amp;L. Cada año tiene los suyos: por eso el umbral no puede ser uno solo para los tres</t>
        </is>
      </c>
      <c r="F6" s="28" t="n"/>
    </row>
    <row r="7">
      <c r="A7" s="28" t="inlineStr">
        <is>
          <t>Costes fijos mensuales</t>
        </is>
      </c>
      <c r="B7" s="70">
        <f>IFERROR(IF('PyG 3 Años'!$B$9="","",B6/12),"")</f>
        <v>5556.701666666668</v>
      </c>
      <c r="C7" s="70">
        <f>IFERROR(IF('PyG 3 Años'!$C$9="","",C6/12),"")</f>
        <v>6056.701666666668</v>
      </c>
      <c r="D7" s="70">
        <f>IFERROR(IF('PyG 3 Años'!$D$9="","",D6/12),"")</f>
        <v>6514.366424999941</v>
      </c>
      <c r="E7" s="28" t="n"/>
      <c r="F7" s="28" t="n"/>
    </row>
    <row r="8">
      <c r="A8" s="28" t="inlineStr">
        <is>
          <t>Precio medio por invitado sin IVA</t>
        </is>
      </c>
      <c r="B8" s="70">
        <f>IFERROR(IF('PyG 3 Años'!$B$9="","",'PyG 3 Años'!$B$7),"")</f>
        <v>6.2</v>
      </c>
      <c r="C8" s="70">
        <f>IFERROR(IF('PyG 3 Años'!$C$9="","",'PyG 3 Años'!$C$7),"")</f>
        <v>6.2</v>
      </c>
      <c r="D8" s="70">
        <f>IFERROR(IF('PyG 3 Años'!$D$9="","",'PyG 3 Años'!$D$7),"")</f>
        <v>6.2</v>
      </c>
      <c r="E8" s="28" t="n"/>
      <c r="F8" s="28" t="n"/>
    </row>
    <row r="9">
      <c r="A9" s="28" t="inlineStr">
        <is>
          <t>Coste variable por invitado</t>
        </is>
      </c>
      <c r="B9" s="70">
        <f>IFERROR(IF('PyG 3 Años'!$B$9="","",'PyG 3 Años'!$B$19/('PyG 3 Años'!$B$6*'PyG 3 Años'!$B$8)),"")</f>
        <v>1.80792</v>
      </c>
      <c r="C9" s="70">
        <f>IFERROR(IF('PyG 3 Años'!$C$9="","",'PyG 3 Años'!$C$19/('PyG 3 Años'!$C$6*'PyG 3 Años'!$C$8)),"")</f>
        <v>1.8079200000000002</v>
      </c>
      <c r="D9" s="70">
        <f>IFERROR(IF('PyG 3 Años'!$D$9="","",'PyG 3 Años'!$D$19/('PyG 3 Años'!$D$6*'PyG 3 Años'!$D$8)),"")</f>
        <v>1.8079200000000004</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4.39208</v>
      </c>
      <c r="C10" s="70">
        <f>IFERROR(IF('PyG 3 Años'!$C$9="","",C8-C9),"")</f>
        <v>4.39208</v>
      </c>
      <c r="D10" s="70">
        <f>IFERROR(IF('PyG 3 Años'!$D$9="","",D8-D9),"")</f>
        <v>4.39208</v>
      </c>
      <c r="E10" s="28" t="inlineStr">
        <is>
          <t>Precio por invitado menos coste variable unitario</t>
        </is>
      </c>
      <c r="F10" s="28" t="n"/>
    </row>
    <row r="11">
      <c r="A11" s="28" t="inlineStr">
        <is>
          <t>Eventos al año</t>
        </is>
      </c>
      <c r="B11" s="40">
        <f>IFERROR(IF('PyG 3 Años'!$B$9="","",'PyG 3 Años'!$B$8),"")</f>
        <v>130.0</v>
      </c>
      <c r="C11" s="40">
        <f>IFERROR(IF('PyG 3 Años'!$C$9="","",'PyG 3 Años'!$C$8),"")</f>
        <v>130.0</v>
      </c>
      <c r="D11" s="40">
        <f>IFERROR(IF('PyG 3 Años'!$D$9="","",'PyG 3 Años'!$D$8),"")</f>
        <v>130.0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7815.736923088165</v>
      </c>
      <c r="D12" s="70">
        <f>IFERROR(IF('PyG 3 Años'!$D$9="","",'Financiación'!$B$49),"")</f>
        <v>8323.759823088896</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15181.968452305062</v>
      </c>
      <c r="C14" s="40">
        <f>IFERROR(IF('PyG 3 Años'!$C$9="","",IF(C10&lt;=0,"",C6/C10)),"")</f>
        <v>16548.063787544856</v>
      </c>
      <c r="D14" s="40">
        <f>IFERROR(IF('PyG 3 Años'!$D$9="","",IF(D10&lt;=0,"",D6/D10)),"")</f>
        <v>17798.491170470323</v>
      </c>
      <c r="E14" s="28" t="n"/>
      <c r="F14" s="28" t="n"/>
    </row>
    <row r="15">
      <c r="A15" s="28" t="inlineStr">
        <is>
          <t>Invitados necesarios por evento</t>
        </is>
      </c>
      <c r="B15" s="44">
        <f>IFERROR(IF('PyG 3 Años'!$B$9="","",B14/B11),"")</f>
        <v>116.78437271003894</v>
      </c>
      <c r="C15" s="44">
        <f>IFERROR(IF('PyG 3 Años'!$C$9="","",C14/C11),"")</f>
        <v>127.29279836572965</v>
      </c>
      <c r="D15" s="44">
        <f>IFERROR(IF('PyG 3 Años'!$D$9="","",D14/D11),"")</f>
        <v>136.9114705420794</v>
      </c>
      <c r="E15" s="28" t="n"/>
      <c r="F15" s="28" t="n"/>
    </row>
    <row r="16">
      <c r="A16" s="25" t="inlineStr">
        <is>
          <t>Ingresos necesarios al año</t>
        </is>
      </c>
      <c r="B16" s="26">
        <f>IFERROR(IF('PyG 3 Años'!$B$9="","",B14*B8),"")</f>
        <v>94128.20440429139</v>
      </c>
      <c r="C16" s="26">
        <f>IFERROR(IF('PyG 3 Años'!$C$9="","",C14*C8),"")</f>
        <v>102597.9954827781</v>
      </c>
      <c r="D16" s="26">
        <f>IFERROR(IF('PyG 3 Años'!$D$9="","",D14*D8),"")</f>
        <v>110350.645256916</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62578.42000000001</v>
      </c>
      <c r="C18" s="70">
        <f>IFERROR(IF('PyG 3 Años'!$C$9="","",C6-'PyG 3 Años'!$C$36+C12),"")</f>
        <v>76394.15692308817</v>
      </c>
      <c r="D18" s="70">
        <f>IFERROR(IF('PyG 3 Años'!$D$9="","",D6-'PyG 3 Años'!$D$36+D12),"")</f>
        <v>82394.15692308819</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14248.014608112788</v>
      </c>
      <c r="C19" s="40">
        <f>IFERROR(IF('PyG 3 Años'!$C$9="","",IF(C10&lt;=0,"",C18/C10)),"")</f>
        <v>17393.61690203461</v>
      </c>
      <c r="D19" s="40">
        <f>IFERROR(IF('PyG 3 Años'!$D$9="","",IF(D10&lt;=0,"",D18/D10)),"")</f>
        <v>18759.71223727441</v>
      </c>
      <c r="E19" s="28" t="n"/>
      <c r="F19" s="28" t="n"/>
    </row>
    <row r="20">
      <c r="A20" s="25" t="inlineStr">
        <is>
          <t>Invitados necesarios por evento (caja)</t>
        </is>
      </c>
      <c r="B20" s="45">
        <f>IFERROR(IF('PyG 3 Años'!$B$9="","",B19/B11),"")</f>
        <v>109.60011237009837</v>
      </c>
      <c r="C20" s="45">
        <f>IFERROR(IF('PyG 3 Años'!$C$9="","",C19/C11),"")</f>
        <v>133.79705309257392</v>
      </c>
      <c r="D20" s="45">
        <f>IFERROR(IF('PyG 3 Años'!$D$9="","",D19/D11),"")</f>
        <v>144.30547874826468</v>
      </c>
      <c r="E20" s="28" t="n"/>
      <c r="F20" s="28" t="n"/>
    </row>
    <row r="21">
      <c r="A21" s="28" t="inlineStr">
        <is>
          <t>Ingresos necesarios al año (caja)</t>
        </is>
      </c>
      <c r="B21" s="32">
        <f>IFERROR(IF('PyG 3 Años'!$B$9="","",B19*B8),"")</f>
        <v>88337.69057029928</v>
      </c>
      <c r="C21" s="32">
        <f>IFERROR(IF('PyG 3 Años'!$C$9="","",C19*C8),"")</f>
        <v>107840.42479261458</v>
      </c>
      <c r="D21" s="32">
        <f>IFERROR(IF('PyG 3 Años'!$D$9="","",D19*D8),"")</f>
        <v>116310.21587110133</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135.0</v>
      </c>
      <c r="C23" s="40">
        <f>IFERROR(IF('PyG 3 Años'!$C$9="","",'PyG 3 Años'!$C$6),"")</f>
        <v>148.5</v>
      </c>
      <c r="D23" s="40">
        <f>IFERROR(IF('PyG 3 Años'!$D$9="","",'PyG 3 Años'!$D$6),"")</f>
        <v>160.38000000000002</v>
      </c>
      <c r="E23" s="28" t="n"/>
      <c r="F23" s="28" t="n"/>
    </row>
    <row r="24">
      <c r="A24" s="28" t="inlineStr">
        <is>
          <t>Holgura sobre el equilibrio de CAJA (%)</t>
        </is>
      </c>
      <c r="B24" s="68">
        <f>IFERROR(IF('PyG 3 Años'!$B$9="","",B23/B20-1),"")</f>
        <v>0.2317505619349287</v>
      </c>
      <c r="C24" s="68">
        <f>IFERROR(IF('PyG 3 Años'!$C$9="","",C23/C20-1),"")</f>
        <v>0.10988991586573382</v>
      </c>
      <c r="D24" s="68">
        <f>IFERROR(IF('PyG 3 Años'!$D$9="","",D23/D20-1),"")</f>
        <v>0.11139231435402897</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117 invitados por evento durante los 130 eventos del año para no perder dinero (equilibrio contable, con la amortización dentro), y 110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4.2</v>
      </c>
      <c r="C31" s="72">
        <f>IFERROR(IF($B$8="","",$B$8),"")</f>
        <v>6.2</v>
      </c>
      <c r="D31" s="72">
        <f>IFERROR($B$8+2,"")</f>
        <v>8.2</v>
      </c>
      <c r="E31" s="72">
        <f>IFERROR($B$8+4,"")</f>
        <v>10.2</v>
      </c>
      <c r="F31" s="28" t="n"/>
    </row>
    <row r="32">
      <c r="A32" s="70">
        <f>IFERROR($B$9*0.85,"")</f>
        <v>1.536732</v>
      </c>
      <c r="B32" s="44">
        <f>IFERROR(IF($B$31-$A32&lt;=0,"",$B$6/($B$31-$A32)/$B$11),"")</f>
        <v>192.5928249400014</v>
      </c>
      <c r="C32" s="44">
        <f>IFERROR(IF($C$31-$A32&lt;=0,"",$B$6/($C$31-$A32)/$B$11),"")</f>
        <v>109.99288646766769</v>
      </c>
      <c r="D32" s="44">
        <f>IFERROR(IF($D$31-$A32&lt;=0,"",$B$6/($D$31-$A32)/$B$11),"")</f>
        <v>76.97818963492206</v>
      </c>
      <c r="E32" s="44">
        <f>IFERROR(IF($E$31-$A32&lt;=0,"",$B$6/($E$31-$A32)/$B$11),"")</f>
        <v>59.20702299551484</v>
      </c>
      <c r="F32" s="28" t="n"/>
    </row>
    <row r="33">
      <c r="A33" s="70">
        <f>IFERROR($B$9*0.925,"")</f>
        <v>1.672326</v>
      </c>
      <c r="B33" s="44">
        <f>IFERROR(IF($B$31-$A33&lt;=0,"",$B$6/($B$31-$A33)/$B$11),"")</f>
        <v>202.9242329874453</v>
      </c>
      <c r="C33" s="44">
        <f>IFERROR(IF($C$31-$A33&lt;=0,"",$B$6/($C$31-$A33)/$B$11),"")</f>
        <v>113.28693445957191</v>
      </c>
      <c r="D33" s="44">
        <f>IFERROR(IF($D$31-$A33&lt;=0,"",$B$6/($D$31-$A33)/$B$11),"")</f>
        <v>78.57719421838588</v>
      </c>
      <c r="E33" s="44">
        <f>IFERROR(IF($E$31-$A33&lt;=0,"",$B$6/($E$31-$A33)/$B$11),"")</f>
        <v>60.148442317601244</v>
      </c>
      <c r="F33" s="28" t="n"/>
    </row>
    <row r="34">
      <c r="A34" s="70">
        <f>IFERROR($B$9*1.0,"")</f>
        <v>1.80792</v>
      </c>
      <c r="B34" s="44">
        <f>IFERROR(IF($B$31-$A34&lt;=0,"",$B$6/($B$31-$A34)/$B$11),"")</f>
        <v>214.4269036538526</v>
      </c>
      <c r="C34" s="44">
        <f>IFERROR(IF($C$31-$A34&lt;=0,"",$B$6/($C$31-$A34)/$B$11),"")</f>
        <v>116.78437271003894</v>
      </c>
      <c r="D34" s="44">
        <f>IFERROR(IF($D$31-$A34&lt;=0,"",$B$6/($D$31-$A34)/$B$11),"")</f>
        <v>80.2440375734202</v>
      </c>
      <c r="E34" s="44">
        <f>IFERROR(IF($E$31-$A34&lt;=0,"",$B$6/($E$31-$A34)/$B$11),"")</f>
        <v>61.12028337340776</v>
      </c>
      <c r="F34" s="28" t="n"/>
    </row>
    <row r="35">
      <c r="A35" s="70">
        <f>IFERROR($B$9*1.075,"")</f>
        <v>1.943514</v>
      </c>
      <c r="B35" s="44">
        <f>IFERROR(IF($B$31-$A35&lt;=0,"",$B$6/($B$31-$A35)/$B$11),"")</f>
        <v>227.3119831863826</v>
      </c>
      <c r="C35" s="44">
        <f>IFERROR(IF($C$31-$A35&lt;=0,"",$B$6/($C$31-$A35)/$B$11),"")</f>
        <v>120.50463873070596</v>
      </c>
      <c r="D35" s="44">
        <f>IFERROR(IF($D$31-$A35&lt;=0,"",$B$6/($D$31-$A35)/$B$11),"")</f>
        <v>81.98313041734735</v>
      </c>
      <c r="E35" s="44">
        <f>IFERROR(IF($E$31-$A35&lt;=0,"",$B$6/($E$31-$A35)/$B$11),"")</f>
        <v>62.12404498624571</v>
      </c>
      <c r="F35" s="28" t="n"/>
    </row>
    <row r="36">
      <c r="A36" s="70">
        <f>IFERROR($B$9*1.15,"")</f>
        <v>2.0791079999999997</v>
      </c>
      <c r="B36" s="44">
        <f>IFERROR(IF($B$31-$A36&lt;=0,"",$B$6/($B$31-$A36)/$B$11),"")</f>
        <v>241.84461429073602</v>
      </c>
      <c r="C36" s="44">
        <f>IFERROR(IF($C$31-$A36&lt;=0,"",$B$6/($C$31-$A36)/$B$11),"")</f>
        <v>124.46972832394243</v>
      </c>
      <c r="D36" s="44">
        <f>IFERROR(IF($D$31-$A36&lt;=0,"",$B$6/($D$31-$A36)/$B$11),"")</f>
        <v>83.79927430386091</v>
      </c>
      <c r="E36" s="44">
        <f>IFERROR(IF($E$31-$A36&lt;=0,"",$B$6/($E$31-$A36)/$B$11),"")</f>
        <v>63.16132608244363</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130</v>
      </c>
      <c r="C5" s="40">
        <f>IFERROR(IF('PyG 3 Años'!$B$6="","",'PyG 3 Años'!$B$6),"")</f>
        <v>135.0</v>
      </c>
      <c r="D5" s="49" t="n">
        <v>140</v>
      </c>
      <c r="E5" s="28" t="n"/>
      <c r="F5" s="28" t="n"/>
    </row>
    <row r="6">
      <c r="A6" s="28" t="inlineStr">
        <is>
          <t>Precio medio por invitado sin IVA</t>
        </is>
      </c>
      <c r="B6" s="73" t="n">
        <v>5.7</v>
      </c>
      <c r="C6" s="70">
        <f>IFERROR(IF('PyG 3 Años'!$B$7="","",'PyG 3 Años'!$B$7),"")</f>
        <v>6.2</v>
      </c>
      <c r="D6" s="73" t="n">
        <v>6.3</v>
      </c>
      <c r="E6" s="28" t="n"/>
      <c r="F6" s="28" t="n"/>
    </row>
    <row r="7">
      <c r="A7" s="28" t="inlineStr">
        <is>
          <t>Eventos al año</t>
        </is>
      </c>
      <c r="B7" s="49" t="n">
        <v>110</v>
      </c>
      <c r="C7" s="40">
        <f>IFERROR(IF('PyG 3 Años'!$B$8="","",'PyG 3 Años'!$B$8),"")</f>
        <v>130.0</v>
      </c>
      <c r="D7" s="49" t="n">
        <v>145</v>
      </c>
      <c r="E7" s="28" t="n"/>
      <c r="F7" s="28" t="n"/>
    </row>
    <row r="8">
      <c r="A8" s="25" t="inlineStr">
        <is>
          <t>INGRESOS ANUALES (sin IVA)</t>
        </is>
      </c>
      <c r="B8" s="26">
        <f>IFERROR(IF(B5*B6*B7=0,"",B5*B6*B7),"")</f>
        <v>81510.0</v>
      </c>
      <c r="C8" s="26">
        <f>IFERROR(IF(C5*C6*C7=0,"",C5*C6*C7),"")</f>
        <v>108810.0</v>
      </c>
      <c r="D8" s="26">
        <f>IFERROR(IF(D5*D6*D7=0,"",D5*D6*D7),"")</f>
        <v>127890.0</v>
      </c>
      <c r="E8" s="28" t="n"/>
      <c r="F8" s="28" t="n"/>
    </row>
    <row r="9">
      <c r="A9" s="28" t="inlineStr">
        <is>
          <t>Coste de mercancía — comida</t>
        </is>
      </c>
      <c r="B9" s="32">
        <f>IFERROR(IF(B8="","",B8*'0. Supuestos'!$B$11*'0. Supuestos'!$B$13),"")</f>
        <v>4124.406</v>
      </c>
      <c r="C9" s="32">
        <f>IFERROR(IF(C8="","",C8*'0. Supuestos'!$B$11*'0. Supuestos'!$B$13),"")</f>
        <v>5505.786</v>
      </c>
      <c r="D9" s="32">
        <f>IFERROR(IF(D8="","",D8*'0. Supuestos'!$B$11*'0. Supuestos'!$B$13),"")</f>
        <v>6471.234</v>
      </c>
      <c r="E9" s="28" t="n"/>
      <c r="F9" s="28" t="n"/>
    </row>
    <row r="10">
      <c r="A10" s="28" t="inlineStr">
        <is>
          <t>Coste de mercancía — bebida</t>
        </is>
      </c>
      <c r="B10" s="32">
        <f>IFERROR(IF(B8="","",B8*'0. Supuestos'!$B$12*'0. Supuestos'!$B$14),"")</f>
        <v>11607.024</v>
      </c>
      <c r="C10" s="32">
        <f>IFERROR(IF(C8="","",C8*'0. Supuestos'!$B$12*'0. Supuestos'!$B$14),"")</f>
        <v>15494.544</v>
      </c>
      <c r="D10" s="32">
        <f>IFERROR(IF(D8="","",D8*'0. Supuestos'!$B$12*'0. Supuestos'!$B$14),"")</f>
        <v>18211.536</v>
      </c>
      <c r="E10" s="28" t="n"/>
      <c r="F10" s="28" t="n"/>
    </row>
    <row r="11">
      <c r="A11" s="28" t="inlineStr">
        <is>
          <t>Consumibles y envases</t>
        </is>
      </c>
      <c r="B11" s="32">
        <f>IFERROR(IF(B8="","",B8*'0. Supuestos'!$B$15),"")</f>
        <v>3260.4</v>
      </c>
      <c r="C11" s="32">
        <f>IFERROR(IF(C8="","",C8*'0. Supuestos'!$B$15),"")</f>
        <v>4352.4</v>
      </c>
      <c r="D11" s="32">
        <f>IFERROR(IF(D8="","",D8*'0. Supuestos'!$B$15),"")</f>
        <v>5115.6</v>
      </c>
      <c r="E11" s="28" t="n"/>
      <c r="F11" s="28" t="n"/>
    </row>
    <row r="12">
      <c r="A12" s="28" t="inlineStr">
        <is>
          <t>Canon de ferias y mercados</t>
        </is>
      </c>
      <c r="B12" s="32">
        <f>IFERROR(IF(B8="","",B8*'0. Supuestos'!$B$16*'0. Supuestos'!$B$17),"")</f>
        <v>1027.026</v>
      </c>
      <c r="C12" s="32">
        <f>IFERROR(IF(C8="","",C8*'0. Supuestos'!$B$16*'0. Supuestos'!$B$17),"")</f>
        <v>1371.006</v>
      </c>
      <c r="D12" s="32">
        <f>IFERROR(IF(D8="","",D8*'0. Supuestos'!$B$16*'0. Supuestos'!$B$17),"")</f>
        <v>1611.414</v>
      </c>
      <c r="E12" s="28" t="n"/>
      <c r="F12" s="28" t="n"/>
    </row>
    <row r="13">
      <c r="A13" s="28" t="inlineStr">
        <is>
          <t>Comisiones de los medios de pago</t>
        </is>
      </c>
      <c r="B13" s="32">
        <f>IFERROR(IF(B8="","",B8*'0. Supuestos'!$B$18),"")</f>
        <v>489.06</v>
      </c>
      <c r="C13" s="32">
        <f>IFERROR(IF(C8="","",C8*'0. Supuestos'!$B$18),"")</f>
        <v>652.86</v>
      </c>
      <c r="D13" s="32">
        <f>IFERROR(IF(D8="","",D8*'0. Supuestos'!$B$18),"")</f>
        <v>767.34</v>
      </c>
      <c r="E13" s="28" t="n"/>
      <c r="F13" s="28" t="n"/>
    </row>
    <row r="14">
      <c r="A14" s="28" t="inlineStr">
        <is>
          <t>Varios e imprevistos</t>
        </is>
      </c>
      <c r="B14" s="32">
        <f>IFERROR(IF(B8="","",B8*'0. Supuestos'!$B$28),"")</f>
        <v>3260.4</v>
      </c>
      <c r="C14" s="32">
        <f>IFERROR(IF(C8="","",C8*'0. Supuestos'!$B$28),"")</f>
        <v>4352.4</v>
      </c>
      <c r="D14" s="32">
        <f>IFERROR(IF(D8="","",D8*'0. Supuestos'!$B$28),"")</f>
        <v>5115.6</v>
      </c>
      <c r="E14" s="28" t="n"/>
      <c r="F14" s="28" t="n"/>
    </row>
    <row r="15">
      <c r="A15" s="28" t="inlineStr">
        <is>
          <t>TOTAL COSTES VARIABLES</t>
        </is>
      </c>
      <c r="B15" s="32">
        <f>IFERROR(IF(B8="","",SUM(B9:B14)),"")</f>
        <v>23768.316</v>
      </c>
      <c r="C15" s="32">
        <f>IFERROR(IF(C8="","",SUM(C9:C14)),"")</f>
        <v>31728.996</v>
      </c>
      <c r="D15" s="32">
        <f>IFERROR(IF(D8="","",SUM(D9:D14)),"")</f>
        <v>37292.724</v>
      </c>
      <c r="E15" s="28" t="n"/>
      <c r="F15" s="28" t="n"/>
    </row>
    <row r="16">
      <c r="A16" s="28" t="inlineStr">
        <is>
          <t>MARGEN BRUTO</t>
        </is>
      </c>
      <c r="B16" s="32">
        <f>IFERROR(IF(B8="","",B8-B15),"")</f>
        <v>57741.684</v>
      </c>
      <c r="C16" s="32">
        <f>IFERROR(IF(C8="","",C8-C15),"")</f>
        <v>77081.004</v>
      </c>
      <c r="D16" s="32">
        <f>IFERROR(IF(D8="","",D8-D15),"")</f>
        <v>90597.276</v>
      </c>
      <c r="E16" s="28" t="n"/>
      <c r="F16" s="28" t="n"/>
    </row>
    <row r="17">
      <c r="A17" s="28" t="inlineStr">
        <is>
          <t>COSTES FIJOS (los del P&amp;L)</t>
        </is>
      </c>
      <c r="B17" s="32">
        <f>IFERROR(IF(B8="","",'PyG 3 Años'!$B$38),"")</f>
        <v>66680.42000000001</v>
      </c>
      <c r="C17" s="32">
        <f>IFERROR(IF(C8="","",'PyG 3 Años'!$B$38),"")</f>
        <v>66680.42000000001</v>
      </c>
      <c r="D17" s="32">
        <f>IFERROR(IF(D8="","",'PyG 3 Años'!$B$38),"")</f>
        <v>66680.42000000001</v>
      </c>
      <c r="E17" s="28" t="inlineStr">
        <is>
          <t>Los costes fijos no cambian con el escenario: por eso son fijos</t>
        </is>
      </c>
      <c r="F17" s="28" t="n"/>
    </row>
    <row r="18">
      <c r="A18" s="25" t="inlineStr">
        <is>
          <t>RESULTADO ANTES DE IMPUESTOS</t>
        </is>
      </c>
      <c r="B18" s="26">
        <f>IFERROR(IF(B8="","",B16-B17),"")</f>
        <v>-8938.736000000012</v>
      </c>
      <c r="C18" s="26">
        <f>IFERROR(IF(C8="","",C16-C17),"")</f>
        <v>10400.583999999988</v>
      </c>
      <c r="D18" s="26">
        <f>IFERROR(IF(D8="","",D16-D17),"")</f>
        <v>23916.855999999985</v>
      </c>
      <c r="E18" s="28" t="n"/>
      <c r="F18" s="28" t="n"/>
    </row>
    <row r="19">
      <c r="A19" s="28" t="inlineStr">
        <is>
          <t>Impuesto de Sociedades</t>
        </is>
      </c>
      <c r="B19" s="32">
        <f>IFERROR(IF(B8="","",MAX(0,B18-'0. Supuestos'!$B$42)*'0. Supuestos'!$B$37),"")</f>
        <v>0.0</v>
      </c>
      <c r="C19" s="32">
        <f>IFERROR(IF(C8="","",MAX(0,C18-'0. Supuestos'!$B$42)*'0. Supuestos'!$B$37),"")</f>
        <v>1560.0875999999982</v>
      </c>
      <c r="D19" s="32">
        <f>IFERROR(IF(D8="","",MAX(0,D18-'0. Supuestos'!$B$42)*'0. Supuestos'!$B$37),"")</f>
        <v>3587.528399999998</v>
      </c>
      <c r="E19" s="28" t="inlineStr">
        <is>
          <t>Al tipo de entidad de nueva creación, compensando las bases negativas anteriores</t>
        </is>
      </c>
      <c r="F19" s="28" t="n"/>
    </row>
    <row r="20">
      <c r="A20" s="25" t="inlineStr">
        <is>
          <t>RESULTADO NETO</t>
        </is>
      </c>
      <c r="B20" s="26">
        <f>IFERROR(IF(B8="","",B18-B19),"")</f>
        <v>-8938.736000000012</v>
      </c>
      <c r="C20" s="26">
        <f>IFERROR(IF(C8="","",C18-C19),"")</f>
        <v>8840.496399999989</v>
      </c>
      <c r="D20" s="26">
        <f>IFERROR(IF(D8="","",D18-D19),"")</f>
        <v>20329.327599999986</v>
      </c>
      <c r="E20" s="28" t="n"/>
      <c r="F20" s="28" t="n"/>
    </row>
    <row r="21">
      <c r="A21" s="28" t="inlineStr">
        <is>
          <t>Invitados por evento para el equilibrio</t>
        </is>
      </c>
      <c r="B21" s="44">
        <f>IFERROR(IF(B8="","",IF(B6-B15/(B5*B7)&lt;=0,"",B17/(B6-B15/(B5*B7))/B7)),"")</f>
        <v>150.1247279175301</v>
      </c>
      <c r="C21" s="44">
        <f>IFERROR(IF(C8="","",IF(C6-C15/(C5*C7)&lt;=0,"",C17/(C6-C15/(C5*C7))/C7)),"")</f>
        <v>116.78437271003894</v>
      </c>
      <c r="D21" s="44">
        <f>IFERROR(IF(D8="","",IF(D6-D15/(D5*D7)&lt;=0,"",D17/(D6-D15/(D5*D7))/D7)),"")</f>
        <v>103.04127466260688</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0.55190675990676</v>
      </c>
      <c r="C23" s="68">
        <f>IFERROR(IF(C8="","",'PyG 3 Años'!$B$23/C8),"")</f>
        <v>0.41343552982262666</v>
      </c>
      <c r="D23" s="68">
        <f>IFERROR(IF(D8="","",'PyG 3 Años'!$B$23/D8),"")</f>
        <v>0.3517547892720307</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9930.555555555557</v>
      </c>
      <c r="C24" s="40">
        <f>IFERROR(IF(C8="","",C5*C7/'Personal'!$C$9),"")</f>
        <v>12187.5</v>
      </c>
      <c r="D24" s="40">
        <f>IFERROR(IF(D8="","",D5*D7/'Personal'!$C$9),"")</f>
        <v>14097.222222222223</v>
      </c>
      <c r="E24" s="28" t="inlineStr">
        <is>
          <t>Invitados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10807.868999999992</v>
      </c>
      <c r="C25" s="26">
        <f>IFERROR(IF(C8="","",'Inversión Inicial'!$B$25+C20+'PyG 3 Años'!$B$36-'Financiación'!$B$45),"")</f>
        <v>28587.101399999992</v>
      </c>
      <c r="D25" s="26">
        <f>IFERROR(IF(D8="","",'Inversión Inicial'!$B$25+D20+'PyG 3 Años'!$B$36-'Financiación'!$B$45),"")</f>
        <v>40075.932599999986</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30156.19633724577</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titular-barista,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Sirve en cada evento, conduce, vende a novios, empresas y agencias, compra el café y lleva la agenda. Como administrador de la SL cotiza en el régimen de autónomos: confirma con tu gestoría la cuota y si te aplica la reducida de inicio</t>
        </is>
      </c>
    </row>
    <row r="6">
      <c r="A6" s="28" t="inlineStr">
        <is>
          <t>Camarero/a de barra (barista), fijo discontinuo</t>
        </is>
      </c>
      <c r="B6" s="49" t="n">
        <v>1</v>
      </c>
      <c r="C6" s="51" t="n">
        <v>0.36</v>
      </c>
      <c r="D6" s="73" t="n">
        <v>504</v>
      </c>
      <c r="E6" s="70">
        <f>IFERROR(IF(D6="","",D6*'0. Supuestos'!$B$20),"")</f>
        <v>166.32000000000002</v>
      </c>
      <c r="F6" s="70">
        <f>IFERROR(IF(D6="","",D6+E6),"")</f>
        <v>670.32</v>
      </c>
      <c r="G6" s="70">
        <f>IFERROR(IF(D6="","",F6*MAX(12,'0. Supuestos'!$B$21)),"")</f>
        <v>9384.480000000001</v>
      </c>
      <c r="H6" s="44">
        <f>IFERROR(IF(D6="","",C6*$B$16),"")</f>
        <v>14.399999999999999</v>
      </c>
      <c r="I6" s="40">
        <f>IFERROR(IF(D6="","",H6*B6*$B$17),"")</f>
        <v>662.4</v>
      </c>
      <c r="J6" s="28" t="inlineStr">
        <is>
          <t>Contrato fijo discontinuo (art. 16 del Estatuto de los Trabajadores) al 36 % de jornada en cómputo anual: segundo barista en bodas, congresos, la mitad de los eventos de empresa y la venta directa (unas 650 horas). «Barista» no es categoría del convenio: se contrata como camarero/a. Bruto a jornada completa: 1.400 € en 14 pagas</t>
        </is>
      </c>
    </row>
    <row r="7">
      <c r="A7" s="28" t="inlineStr">
        <is>
          <t>Suplencias y refuerzo de temporada (fijo discontinuo)</t>
        </is>
      </c>
      <c r="B7" s="49" t="n">
        <v>1</v>
      </c>
      <c r="C7" s="51" t="n">
        <v>0.04</v>
      </c>
      <c r="D7" s="73" t="n">
        <v>56</v>
      </c>
      <c r="E7" s="70">
        <f>IFERROR(IF(D7="","",D7*'0. Supuestos'!$B$20),"")</f>
        <v>18.48</v>
      </c>
      <c r="F7" s="70">
        <f>IFERROR(IF(D7="","",D7+E7),"")</f>
        <v>74.48</v>
      </c>
      <c r="G7" s="70">
        <f>IFERROR(IF(D7="","",F7*MAX(12,'0. Supuestos'!$B$21)),"")</f>
        <v>1042.72</v>
      </c>
      <c r="H7" s="44">
        <f>IFERROR(IF(D7="","",C7*$B$16),"")</f>
        <v>1.6</v>
      </c>
      <c r="I7" s="40">
        <f>IFERROR(IF(D7="","",H7*B7*$B$17),"")</f>
        <v>73.60000000000001</v>
      </c>
      <c r="J7" s="28" t="inlineStr">
        <is>
          <t>Bolsa para cubrir las vacaciones del camarero/a y los picos de temporada: unas 75 horas al año, mismo contrato y misma categoría. Para cubrir una baja concreta, el contrato es de sustitución (art. 15.3 del Estatuto de los Trabajadores). Nunca como autónomo que te factura: con tu horario y tu dirección es falso autónomo (art. 1.1)</t>
        </is>
      </c>
    </row>
    <row r="8">
      <c r="A8" s="28" t="inlineStr">
        <is>
          <t>Refuerzo para eventos grandes (fijo discontinuo)</t>
        </is>
      </c>
      <c r="B8" s="49" t="n">
        <v>1</v>
      </c>
      <c r="C8" s="51" t="n">
        <v>0.04</v>
      </c>
      <c r="D8" s="73" t="n">
        <v>56</v>
      </c>
      <c r="E8" s="70">
        <f>IFERROR(IF(D8="","",D8*'0. Supuestos'!$B$20),"")</f>
        <v>18.48</v>
      </c>
      <c r="F8" s="70">
        <f>IFERROR(IF(D8="","",D8+E8),"")</f>
        <v>74.48</v>
      </c>
      <c r="G8" s="70">
        <f>IFERROR(IF(D8="","",F8*MAX(12,'0. Supuestos'!$B$21)),"")</f>
        <v>1042.72</v>
      </c>
      <c r="H8" s="44">
        <f>IFERROR(IF(D8="","",C8*$B$16),"")</f>
        <v>1.6</v>
      </c>
      <c r="I8" s="40">
        <f>IFERROR(IF(D8="","",H8*B8*$B$17),"")</f>
        <v>73.60000000000001</v>
      </c>
      <c r="J8" s="28" t="inlineStr">
        <is>
          <t>Tercer barista para los congresos y las bodas de más de 200 invitados que pidan una segunda estación (tabla de escalado de la hoja Instrucciones): unas 75 horas al año. Por encima del SMI en proporción a su jornada</t>
        </is>
      </c>
    </row>
    <row r="9">
      <c r="A9" s="25" t="inlineStr">
        <is>
          <t>TOTAL PLANTILLA</t>
        </is>
      </c>
      <c r="B9" s="76">
        <f>IFERROR(IF(COUNT(D5:D8)=0,"",SUM(B5:B8)),"")</f>
        <v>4.0</v>
      </c>
      <c r="C9" s="62">
        <f>IFERROR(IF(COUNT(D5:D8)=0,"",SUM(C5:C8)),"")</f>
        <v>1.44</v>
      </c>
      <c r="D9" s="72">
        <f>IFERROR(IF(COUNT(D5:D8)=0,"",SUM(D5:D8)),"")</f>
        <v>2416.0</v>
      </c>
      <c r="E9" s="72">
        <f>IFERROR(IF(COUNT(D5:D8)=0,"",SUM(E5:E8)),"")</f>
        <v>797.28</v>
      </c>
      <c r="F9" s="72">
        <f>IFERROR(IF(COUNT(D5:D8)=0,"",SUM(F5:F8)),"")</f>
        <v>3213.28</v>
      </c>
      <c r="G9" s="72">
        <f>IFERROR(IF(COUNT(D5:D8)=0,"",SUM(G5:G8)),"")</f>
        <v>44985.920000000006</v>
      </c>
      <c r="H9" s="28" t="n"/>
      <c r="I9" s="76">
        <f>IFERROR(IF(COUNT(D5:D8)=0,"",SUM(I5:I8)),"")</f>
        <v>2649.6</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50985.920000000006</v>
      </c>
      <c r="C13" s="28" t="n"/>
      <c r="D13" s="28" t="n"/>
      <c r="E13" s="28" t="n"/>
      <c r="F13" s="28" t="n"/>
      <c r="G13" s="28" t="n"/>
      <c r="H13" s="28" t="n"/>
      <c r="I13" s="28" t="n"/>
      <c r="J13" s="28" t="n"/>
    </row>
    <row r="14">
      <c r="A14" s="28" t="inlineStr">
        <is>
          <t>Coste de personal del año 3</t>
        </is>
      </c>
      <c r="B14" s="32">
        <f>IFERROR(IF(B13="","",B13*(1+'0. Supuestos'!$B$48)+B12),"")</f>
        <v>56985.920000000006</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7.5</v>
      </c>
      <c r="C18" s="28" t="n"/>
      <c r="D18" s="28" t="n"/>
      <c r="E18" s="28" t="n"/>
      <c r="F18" s="28" t="n"/>
      <c r="G18" s="28" t="n"/>
      <c r="H18" s="28" t="n"/>
      <c r="I18" s="28" t="n"/>
      <c r="J18" s="28" t="inlineStr">
        <is>
          <t>Horas por evento y persona: carga en la base, viaje, llegada una hora antes, montaje, servicio, desmontaje, limpieza y descarga. Un servicio «de 2 horas» es una jornada de 7 a 9 horas. La oficina y la limpieza de la base van aparte</t>
        </is>
      </c>
    </row>
    <row r="19">
      <c r="A19" s="28" t="inlineStr">
        <is>
          <t>Personas necesarias a la vez en cada evento</t>
        </is>
      </c>
      <c r="B19" s="77" t="n">
        <v>1.6</v>
      </c>
      <c r="C19" s="28" t="n"/>
      <c r="D19" s="28" t="n"/>
      <c r="E19" s="28" t="n"/>
      <c r="F19" s="28" t="n"/>
      <c r="G19" s="28" t="n"/>
      <c r="H19" s="28" t="n"/>
      <c r="I19" s="28" t="n"/>
      <c r="J19" s="28" t="inlineStr">
        <is>
          <t>Personas trabajando a la vez en un evento medio: dos baristas en bodas, congresos, ferias y la mitad de los eventos de empresa, y el titular solo en los pequeños. Ajústalo y la hoja te dice si llega la plantilla</t>
        </is>
      </c>
    </row>
    <row r="20">
      <c r="A20" s="28" t="inlineStr">
        <is>
          <t>Horas de servicio a cubrir al año</t>
        </is>
      </c>
      <c r="B20" s="40">
        <f>IFERROR(IF(OR(B18="",B19="",'0. Supuestos'!$B$6=""),"",B18*B19*'0. Supuestos'!$B$6),"")</f>
        <v>1560.0</v>
      </c>
      <c r="C20" s="28" t="n"/>
      <c r="D20" s="28" t="n"/>
      <c r="E20" s="28" t="n"/>
      <c r="F20" s="28" t="n"/>
      <c r="G20" s="28" t="n"/>
      <c r="H20" s="28" t="n"/>
      <c r="I20" s="28" t="n"/>
      <c r="J20" s="28" t="n"/>
    </row>
    <row r="21">
      <c r="A21" s="28" t="inlineStr">
        <is>
          <t>Horas contratadas al año</t>
        </is>
      </c>
      <c r="B21" s="40">
        <f>IFERROR(IF(I9="","",I9),"")</f>
        <v>2649.6</v>
      </c>
      <c r="C21" s="28" t="n"/>
      <c r="D21" s="28" t="n"/>
      <c r="E21" s="28" t="n"/>
      <c r="F21" s="28" t="n"/>
      <c r="G21" s="28" t="n"/>
      <c r="H21" s="28" t="n"/>
      <c r="I21" s="28" t="n"/>
      <c r="J21" s="28" t="n"/>
    </row>
    <row r="22">
      <c r="A22" s="25" t="inlineStr">
        <is>
          <t>Cobertura (contratadas / necesarias)</t>
        </is>
      </c>
      <c r="B22" s="67">
        <f>IFERROR(B21/B20,"")</f>
        <v>1.6984615384615385</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4">
    <dataValidation sqref="B5 B6 B7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 sqref="B8"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Cafetería Móvil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195" customHeight="1">
      <c r="A8" s="46" t="inlineStr">
        <is>
          <t>4. Todas las cifras van SIN IVA. Para pasar un PVP a precio sin IVA, divide entre 1,10: todo lo que sirve la cafetería móvil, en la barra del evento o en la venta directa de ferias y mercados, va al 10 % (art. 91.Uno.2.2.º de la Ley 37/1992 del IVA; la bollería y el café que se llevan, al mismo tipo por el art. 91.Uno.1.1.º). Entre 1,21 sólo van los extras con precio propio (personalización de la barra, talleres de latte art, alquiler de la cafetera sin barista) y un refresco envasado con azúcares o edulcorantes añadidos que se venda para llevar: ninguno de los dos está en este libro.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90" customHeight="1">
      <c r="A10" s="46" t="inlineStr">
        <is>
          <t>6. La hoja «Tesorería 12 meses» responde la pregunta que decide una operación bancaria: en qué mes se agota la caja. Su Mes 1 es MARZO: la cafetería arranca en primavera y llega al primer invierno con la caja de la temporada. El saldo mínimo del año nunca puede salir en rojo. Las señales de los particulares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90" customHeight="1">
      <c r="A12" s="46" t="inlineStr">
        <is>
          <t>8. El documento Word de este pack usa las cifras de este Excel; la calculadora de presupuestos y el modelo de contrato usan los mismos porcentajes de cobro y de cancelación, y la misma tabla de escalado. Si cambias una celda verde, el Excel manda. El coste de mercancía de Supuestos es la media de la mezcla con la merma: el de una bebida concreta está en la calculadora y no se copia aquí.</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0.193</v>
      </c>
      <c r="C18" s="68">
        <f>IFERROR(IF('PyG 3 Años'!$E$53="","",'PyG 3 Años'!$E$53),"")</f>
        <v>0.22</v>
      </c>
      <c r="D18" s="28" t="str">
        <f>IFERROR(IF(OR(B18="",C18=""),"",IF(B18&lt;=C18,"CUMPLE","REVISAR")),"")</f>
        <v>CUMPLE</v>
      </c>
      <c r="E18" s="28" t="n"/>
    </row>
    <row r="19">
      <c r="A19" s="28" t="inlineStr">
        <is>
          <t>Coste de personal / Ventas</t>
        </is>
      </c>
      <c r="B19" s="68">
        <f>IFERROR(IF('PyG 3 Años'!$B$54="","",'PyG 3 Años'!$B$54),"")</f>
        <v>0.41343552982262666</v>
      </c>
      <c r="C19" s="68">
        <f>IFERROR(IF('PyG 3 Años'!$E$54="","",'PyG 3 Años'!$E$54),"")</f>
        <v>0.45</v>
      </c>
      <c r="D19" s="28" t="str">
        <f>IFERROR(IF(OR(B19="",C19=""),"",IF(B19&lt;=C19,"CUMPLE","REVISAR")),"")</f>
        <v>CUMPLE</v>
      </c>
      <c r="E19" s="28" t="n"/>
    </row>
    <row r="20">
      <c r="A20" s="28" t="inlineStr">
        <is>
          <t>Cuota del almacén base / Ventas</t>
        </is>
      </c>
      <c r="B20" s="68">
        <f>IFERROR(IF('PyG 3 Años'!$B$55="","",'PyG 3 Años'!$B$55),"")</f>
        <v>0.044113592500689275</v>
      </c>
      <c r="C20" s="68">
        <f>IFERROR(IF('PyG 3 Años'!$E$55="","",'PyG 3 Años'!$E$55),"")</f>
        <v>0.06</v>
      </c>
      <c r="D20" s="28" t="str">
        <f>IFERROR(IF(OR(B20="",C20=""),"",IF(B20&lt;=C20,"CUMPLE","REVISAR")),"")</f>
        <v>CUMPLE</v>
      </c>
      <c r="E20" s="28" t="n"/>
    </row>
    <row r="21">
      <c r="A21" s="28" t="inlineStr">
        <is>
          <t>Resultado neto / Ventas</t>
        </is>
      </c>
      <c r="B21" s="68">
        <f>IFERROR(IF('PyG 3 Años'!$B$56="","",'PyG 3 Años'!$B$56),"")</f>
        <v>0.0812470949361271</v>
      </c>
      <c r="C21" s="68">
        <f>IFERROR(IF('PyG 3 Años'!$E$56="","",'PyG 3 Años'!$E$56),"")</f>
        <v>0.05</v>
      </c>
      <c r="D21" s="28" t="str">
        <f>IFERROR(IF(OR(B21="",C21=""),"",IF(B21&gt;=C21,"CUMPLE","REVISAR")),"")</f>
        <v>CUMPLE</v>
      </c>
      <c r="E21" s="28" t="n"/>
    </row>
    <row r="22">
      <c r="A22" s="28" t="inlineStr">
        <is>
          <t>Margen bruto / Ventas</t>
        </is>
      </c>
      <c r="B22" s="68">
        <f>IFERROR(IF('PyG 3 Años'!$B$51="","",'PyG 3 Años'!$B$51),"")</f>
        <v>0.7084</v>
      </c>
      <c r="C22" s="68">
        <f>IFERROR(IF('PyG 3 Años'!$E$51="","",'PyG 3 Años'!$E$51),"")</f>
        <v>0.65</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60060.605</v>
      </c>
      <c r="C25" s="28" t="n"/>
      <c r="D25" s="28" t="n"/>
      <c r="E25" s="28" t="n"/>
    </row>
    <row r="26">
      <c r="A26" s="28" t="inlineStr">
        <is>
          <t>Necesidad total de caja al arranque</t>
        </is>
      </c>
      <c r="B26" s="32">
        <f>IFERROR(IF('Inversión Inicial'!$B$29="","",'Inversión Inicial'!$B$29),"")</f>
        <v>69009.965</v>
      </c>
      <c r="C26" s="28" t="n"/>
      <c r="D26" s="28" t="n"/>
      <c r="E26" s="28" t="n"/>
    </row>
    <row r="27">
      <c r="A27" s="28" t="inlineStr">
        <is>
          <t>Fondo de maniobra dotado</t>
        </is>
      </c>
      <c r="B27" s="32">
        <f>IFERROR(IF('Inversión Inicial'!$B$25="","",'Inversión Inicial'!$B$25),"")</f>
        <v>15644.605000000003</v>
      </c>
      <c r="C27" s="28" t="n"/>
      <c r="D27" s="28" t="n"/>
      <c r="E27" s="28" t="n"/>
    </row>
    <row r="28">
      <c r="A28" s="28" t="inlineStr">
        <is>
          <t>Facturación prevista del año 1</t>
        </is>
      </c>
      <c r="B28" s="32">
        <f>IFERROR(IF('PyG 3 Años'!$B$9="","",'PyG 3 Años'!$B$9),"")</f>
        <v>108810.0</v>
      </c>
      <c r="C28" s="28" t="n"/>
      <c r="D28" s="28" t="n"/>
      <c r="E28" s="28" t="n"/>
    </row>
    <row r="29">
      <c r="A29" s="28" t="inlineStr">
        <is>
          <t>Resultado neto del año 1</t>
        </is>
      </c>
      <c r="B29" s="32">
        <f>IFERROR(IF('PyG 3 Años'!$B$48="","",'PyG 3 Años'!$B$48),"")</f>
        <v>8840.496399999989</v>
      </c>
      <c r="C29" s="28" t="n"/>
      <c r="D29" s="28" t="n"/>
      <c r="E29" s="28" t="n"/>
    </row>
    <row r="30">
      <c r="A30" s="28" t="inlineStr">
        <is>
          <t>Invitados por evento para el punto de equilibrio CONTABLE (con la amortización dentro)</t>
        </is>
      </c>
      <c r="B30" s="44">
        <f>IFERROR(IF('Punto Equilibrio'!$B$15="","",'Punto Equilibrio'!$B$15),"")</f>
        <v>116.78437271003894</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DATOS DE REFERENCIA DEL SECTOR</t>
        </is>
      </c>
      <c r="B33" s="28" t="n"/>
      <c r="C33" s="28" t="n"/>
      <c r="D33" s="28" t="n"/>
      <c r="E33" s="28" t="n"/>
    </row>
    <row r="34">
      <c r="A34" s="25" t="inlineStr">
        <is>
          <t>Referencia</t>
        </is>
      </c>
      <c r="B34" s="25" t="inlineStr">
        <is>
          <t>Valor</t>
        </is>
      </c>
      <c r="C34" s="25" t="inlineStr">
        <is>
          <t>Fuente</t>
        </is>
      </c>
      <c r="D34" s="25" t="inlineStr">
        <is>
          <t>Nota</t>
        </is>
      </c>
      <c r="E34" s="28" t="n"/>
    </row>
    <row r="35" ht="75" customHeight="1">
      <c r="A35" s="28" t="inlineStr">
        <is>
          <t>Mes 1 del plan</t>
        </is>
      </c>
      <c r="B35" s="28" t="inlineStr">
        <is>
          <t>Marzo</t>
        </is>
      </c>
      <c r="C35" s="28" t="inlineStr">
        <is>
          <t>Decisión del plan</t>
        </is>
      </c>
      <c r="D35" s="46" t="inlineStr">
        <is>
          <t>El café se reserva de una semana a seis meses antes: se arranca en primavera, con la empresa y las comuniones, y enero y febrero (los meses más flojos) llegan con la caja de la temporada. La fila de estacionalidad de la Tesorería ya va girada</t>
        </is>
      </c>
      <c r="E35" s="28" t="n"/>
    </row>
    <row r="36" ht="75" customHeight="1">
      <c r="A36" s="28" t="inlineStr">
        <is>
          <t>Mezcla de eventos del plan</t>
        </is>
      </c>
      <c r="B36" s="28" t="inlineStr">
        <is>
          <t>130 eventos: 30 bodas, 40 de empresa, 22 jornadas de congreso o feria, 25 privados y 12 de venta directa</t>
        </is>
      </c>
      <c r="C36" s="28" t="inlineStr">
        <is>
          <t>Estimación del kit</t>
        </is>
      </c>
      <c r="D36" s="46" t="inlineStr">
        <is>
          <t>Bodas (30 × 120 invitados × 9,00 €), empresa (40 × 80 × 8,00 €), congresos (22 × 300 × 4,50 €), privados y rodajes (25 × 50 × 9,50 €) y venta directa (12 × 250 tazas × 3,00 €), sin IVA: 129 servicios y 108.575 €. El plan redondea a 130 eventos de 135 invitados a 6,20 €</t>
        </is>
      </c>
      <c r="E36" s="28" t="n"/>
    </row>
    <row r="37" ht="60" customHeight="1">
      <c r="A37" s="28" t="inlineStr">
        <is>
          <t>Escalado: barra de 3 horas para 50 invitados</t>
        </is>
      </c>
      <c r="B37" s="28" t="inlineStr">
        <is>
          <t>70 bebidas · 1 barista · 1 cafetera de dos grupos · 2 molinos</t>
        </is>
      </c>
      <c r="C37" s="28" t="inlineStr">
        <is>
          <t>Estimación del kit (ratios de EE. UU.)</t>
        </is>
      </c>
      <c r="D37" s="46" t="inlineStr">
        <is>
          <t>1,2 kg de café · 9 l de leche · 77 vasos desechables (o tazas de loza) · 3,5 kW: enchufe de 16 A · 38 l de agua limpia. Con 1,4 bebidas por invitado (barra de 2 a 4 horas); la calculadora lo hace con tus horas y tus invitados</t>
        </is>
      </c>
      <c r="E37" s="28" t="n"/>
    </row>
    <row r="38" ht="75" customHeight="1">
      <c r="A38" s="28" t="inlineStr">
        <is>
          <t>Escalado: barra de 3 horas para 100 invitados</t>
        </is>
      </c>
      <c r="B38" s="28" t="inlineStr">
        <is>
          <t>140 bebidas · 2 baristas · 1 cafetera de dos grupos · 2 molinos</t>
        </is>
      </c>
      <c r="C38" s="28" t="inlineStr">
        <is>
          <t>Estimación del kit (ratios de EE. UU.)</t>
        </is>
      </c>
      <c r="D38" s="46" t="inlineStr">
        <is>
          <t>2,3 kg de café · 18 l de leche · 154 vasos desechables (o tazas de loza) · 3,5 kW: enchufe de 16 A · 55 l de agua limpia. Con 1,4 bebidas por invitado (barra de 2 a 4 horas); la calculadora lo hace con tus horas y tus invitados</t>
        </is>
      </c>
      <c r="E38" s="28" t="n"/>
    </row>
    <row r="39" ht="75" customHeight="1">
      <c r="A39" s="28" t="inlineStr">
        <is>
          <t>Escalado: barra de 3 horas para 200 invitados</t>
        </is>
      </c>
      <c r="B39" s="28" t="inlineStr">
        <is>
          <t>280 bebidas · 3 baristas · 2 cafeteras de dos grupos · 3 molinos</t>
        </is>
      </c>
      <c r="C39" s="28" t="inlineStr">
        <is>
          <t>Estimación del kit (ratios de EE. UU.)</t>
        </is>
      </c>
      <c r="D39" s="46" t="inlineStr">
        <is>
          <t>4,3 kg de café · 35 l de leche · 308 vasos desechables (o tazas de loza) · 7,0 kW: toma dedicada o generador · 90 l de agua limpia. Con 1,4 bebidas por invitado (barra de 2 a 4 horas); la calculadora lo hace con tus horas y tus invitados</t>
        </is>
      </c>
      <c r="E39" s="28" t="n"/>
    </row>
    <row r="40" ht="75" customHeight="1">
      <c r="A40" s="28" t="inlineStr">
        <is>
          <t>Escalado: barra de 3 horas para 300 invitados</t>
        </is>
      </c>
      <c r="B40" s="28" t="inlineStr">
        <is>
          <t>420 bebidas · 4 baristas · 2 cafeteras de dos grupos · 3 molinos</t>
        </is>
      </c>
      <c r="C40" s="28" t="inlineStr">
        <is>
          <t>Estimación del kit (ratios de EE. UU.)</t>
        </is>
      </c>
      <c r="D40" s="46" t="inlineStr">
        <is>
          <t>6,4 kg de café · 53 l de leche · 462 vasos desechables (o tazas de loza) · 7,0 kW: toma dedicada o generador · 125 l de agua limpia. Con 1,4 bebidas por invitado (barra de 2 a 4 horas); la calculadora lo hace con tus horas y tus invitados</t>
        </is>
      </c>
      <c r="E40" s="28" t="n"/>
    </row>
    <row r="41" ht="45" customHeight="1">
      <c r="A41" s="28" t="inlineStr">
        <is>
          <t>Bebidas por invitado según las horas</t>
        </is>
      </c>
      <c r="B41" s="28" t="inlineStr">
        <is>
          <t>Hasta 2 horas 1,0 · más de 2 y hasta 4 horas 1,3-1,5 · más de 4 y hasta 6 horas 1,5-1,8 · más de 6 horas 2,0-2,5</t>
        </is>
      </c>
      <c r="C41" s="28" t="inlineStr">
        <is>
          <t>Estimación del kit (ratios de EE. UU.)</t>
        </is>
      </c>
      <c r="D41" s="46" t="inlineStr">
        <is>
          <t>Por la mañana, un 20-30 % más; en una boda de noche, un 10 % menos. Un barista con dos grupos saca unas 50-60 bebidas por hora y dos baristas, 100-120</t>
        </is>
      </c>
      <c r="E41" s="28" t="n"/>
    </row>
    <row r="42" ht="45" customHeight="1">
      <c r="A42" s="28" t="inlineStr">
        <is>
          <t>Electricidad de la barra</t>
        </is>
      </c>
      <c r="B42" s="28" t="inlineStr">
        <is>
          <t>Cafetera de dos grupos: 2,4-4,5 kW · un enchufe de 16 A da unos 3,7 kW</t>
        </is>
      </c>
      <c r="C42" s="28" t="inlineStr">
        <is>
          <t>Ficha técnica de fabricante y cálculo (230 V × 16 A)</t>
        </is>
      </c>
      <c r="D42" s="46" t="inlineStr">
        <is>
          <t>Cafetera de 3,5 kW como máximo o toma dedicada; si no, generador inverter o baterías. El contrato del kit pide la toma por escrito</t>
        </is>
      </c>
      <c r="E42" s="28" t="n"/>
    </row>
    <row r="43" ht="60" customHeight="1">
      <c r="A43" s="28" t="inlineStr">
        <is>
          <t>Coste de una bebida</t>
        </is>
      </c>
      <c r="B43" s="28" t="inlineStr">
        <is>
          <t>Unos 0,59 € de café, leche y siropes, más unos 0,12 € de vaso y tapa</t>
        </is>
      </c>
      <c r="C43" s="28" t="inlineStr">
        <is>
          <t>Calculadora del kit (estimación con precios de proveedor)</t>
        </is>
      </c>
      <c r="D43" s="46" t="inlineStr">
        <is>
          <t>Media de la mezcla de diez bebidas, con un doble de 16 g de café de especialidad a unos 22 €/kg y la merma. En loza sólo cuenta el producto. El coste de mercancía de Supuestos es la media del año con la merma</t>
        </is>
      </c>
      <c r="E43" s="28" t="n"/>
    </row>
    <row r="44" ht="45" customHeight="1">
      <c r="A44" s="28" t="inlineStr">
        <is>
          <t>Precios publicados de barras de café para bodas</t>
        </is>
      </c>
      <c r="B44" s="28" t="inlineStr">
        <is>
          <t>Desde 295 € hasta 1.300 € por evento</t>
        </is>
      </c>
      <c r="C44" s="28" t="inlineStr">
        <is>
          <t>Fichas de proveedores en Bodas.net, consulta del 28-10-2026</t>
        </is>
      </c>
      <c r="D44" s="46" t="inlineStr">
        <is>
          <t>Precios «desde» de escaparate y sin desglose: sirven para situarte, no para copiarlos. Señal del 30-50 % y el resto antes del evento; hora extra de 37 a 50 €</t>
        </is>
      </c>
      <c r="E44" s="28" t="n"/>
    </row>
    <row r="45" ht="75" customHeight="1">
      <c r="A45" s="28" t="inlineStr">
        <is>
          <t>Cobro y cancelación del kit</t>
        </is>
      </c>
      <c r="B45" s="28" t="inlineStr">
        <is>
          <t>Particular: 30 % al firmar y 70 % siete días antes · Empresa: 30 % y 70 % a 30 días de la factura</t>
        </is>
      </c>
      <c r="C45" s="28" t="inlineStr">
        <is>
          <t>Contrato y calculadora del kit</t>
        </is>
      </c>
      <c r="D45" s="46" t="inlineStr">
        <is>
          <t>Cancelación en cuatro tramos (particular: 60, 30 y 7 días; empresa: 30, 15 y 7): se retiene el 10, el 30 o el 60 % del precio, y en el último tramo el 100 % menos los costes que te ahorras; recíproca si cancelas tú. En la feria se cobra en el acto</t>
        </is>
      </c>
      <c r="E45" s="28" t="n"/>
    </row>
    <row r="46" ht="45" customHeight="1">
      <c r="A46" s="28" t="inlineStr">
        <is>
          <t>Canon de venta en ferias y mercados</t>
        </is>
      </c>
      <c r="B46" s="28" t="inlineStr">
        <is>
          <t>15 % de lo vendido en el caso</t>
        </is>
      </c>
      <c r="C46" s="28" t="inlineStr">
        <is>
          <t>Supuesto del kit</t>
        </is>
      </c>
      <c r="D46" s="46" t="inlineStr">
        <is>
          <t>Hay organizadores que cobran un porcentaje y otros una cuota fija por jornada o emplazamiento: conviértela a porcentaje con tu previsión de ventas de la jornada</t>
        </is>
      </c>
      <c r="E46" s="28" t="n"/>
    </row>
    <row r="47" ht="45" customHeight="1">
      <c r="A47" s="28" t="inlineStr">
        <is>
          <t>IVA de lo que sirve la cafetería</t>
        </is>
      </c>
      <c r="B47" s="28" t="inlineStr">
        <is>
          <t>10 %</t>
        </is>
      </c>
      <c r="C47" s="28" t="inlineStr">
        <is>
          <t>Ley 37/1992, art. 91.Uno.2.2.º</t>
        </is>
      </c>
      <c r="D47" s="46" t="inlineStr">
        <is>
          <t>En la barra del evento y en la venta directa. Los extras con precio propio (personalización, talleres de latte art, alquiler de la cafetera sin barista) van al 21 %</t>
        </is>
      </c>
      <c r="E47" s="28" t="n"/>
    </row>
    <row r="48" ht="45" customHeight="1">
      <c r="A48" s="28" t="inlineStr">
        <is>
          <t>Vasos de un solo uso</t>
        </is>
      </c>
      <c r="B48" s="28" t="inlineStr">
        <is>
          <t>Precio aparte en el tique</t>
        </is>
      </c>
      <c r="C48" s="28" t="inlineStr">
        <is>
          <t>Ley 7/2022, arts. 2.aa, 55.2 y 56</t>
        </is>
      </c>
      <c r="D48" s="46" t="inlineStr">
        <is>
          <t>El vaso de papel con forro de PE o PLA también es plástico. Las pajitas y los agitadores de plástico están prohibidos. En bodas y eventos de empresa, loza</t>
        </is>
      </c>
      <c r="E48" s="28" t="n"/>
    </row>
    <row r="49" ht="75" customHeight="1">
      <c r="A49" s="28" t="inlineStr">
        <is>
          <t>Comida testigo</t>
        </is>
      </c>
      <c r="B49" s="28" t="inlineStr">
        <is>
          <t>Sólo si sirves salado</t>
        </is>
      </c>
      <c r="C49" s="28" t="inlineStr">
        <is>
          <t>RD 1086/2020, arts. 2.h y 30.8-30.10</t>
        </is>
      </c>
      <c r="D49" s="46" t="inlineStr">
        <is>
          <t>Una ración de 100 g o más, a 4 °C o menos (o congelada), durante 7 días, en cada evento. Según nuestra lectura, las bebidas y la bollería servida tal cual quedan fuera, sin criterio oficial: confírmalo con tu autoridad sanitaria</t>
        </is>
      </c>
      <c r="E49" s="28" t="n"/>
    </row>
    <row r="50" ht="45" customHeight="1">
      <c r="A50" s="28" t="inlineStr">
        <is>
          <t>Convenio colectivo aplicable</t>
        </is>
      </c>
      <c r="B50" s="28" t="inlineStr">
        <is>
          <t>Provincial de hostelería</t>
        </is>
      </c>
      <c r="C50" s="28" t="inlineStr">
        <is>
          <t>VI Acuerdo Laboral de ámbito Estatal para el sector de Hostelería, art. 4</t>
        </is>
      </c>
      <c r="D50" s="46" t="inlineStr">
        <is>
          <t>Incluye las «instalaciones fijas o móviles». El barista se contrata como camarero/a; copia tu tabla salarial en la celda de Supuestos</t>
        </is>
      </c>
      <c r="E50" s="28" t="n"/>
    </row>
    <row r="51" ht="30" customHeight="1">
      <c r="A51" s="28" t="inlineStr">
        <is>
          <t>Retención de IRPF en tus facturas</t>
        </is>
      </c>
      <c r="B51" s="28" t="inlineStr">
        <is>
          <t>Ninguna</t>
        </is>
      </c>
      <c r="C51" s="28" t="inlineStr">
        <is>
          <t>Reglamento del IRPF, art. 95.6</t>
        </is>
      </c>
      <c r="D51" s="46" t="inlineStr">
        <is>
          <t>El epígrafe 677.9 es una actividad empresarial: tus facturas a empresas no llevan retención</t>
        </is>
      </c>
      <c r="E51" s="28" t="n"/>
    </row>
    <row r="52" ht="45" customHeight="1">
      <c r="A52" s="28" t="inlineStr">
        <is>
          <t>Epígrafe del IAE</t>
        </is>
      </c>
      <c r="B52" s="28" t="inlineStr">
        <is>
          <t>677.9 (y 675 si vendes en mercados)</t>
        </is>
      </c>
      <c r="C52" s="28" t="inlineStr">
        <is>
          <t>Tarifas del IAE (RDLeg 1175/1990)</t>
        </is>
      </c>
      <c r="D52" s="46" t="inlineStr">
        <is>
          <t>Elegir el epígrafe es criterio de asesoría: confírmalo con tu gestoría. Exento de cuota por debajo de 1 millón de euros de cifra de negocio</t>
        </is>
      </c>
      <c r="E52" s="28" t="n"/>
    </row>
    <row r="53">
      <c r="A53" s="28" t="n"/>
      <c r="B53" s="28" t="n"/>
      <c r="C53" s="28" t="n"/>
      <c r="D53" s="28" t="n"/>
      <c r="E53" s="28" t="n"/>
    </row>
    <row r="54">
      <c r="A54" s="78" t="inlineStr">
        <is>
          <t>Para editar una celda que no esté en verde: Revisar → Desproteger hoja (no tiene contraseña).</t>
        </is>
      </c>
      <c r="B54" s="28" t="n"/>
      <c r="C54" s="28" t="n"/>
      <c r="D54" s="28" t="n"/>
      <c r="E54" s="28" t="n"/>
    </row>
    <row r="55">
      <c r="A55" s="78" t="inlineStr">
        <is>
          <t>Más plantillas y kits del catálogo en aichef.pro/productos-digitales</t>
        </is>
      </c>
      <c r="B55" s="28" t="n"/>
      <c r="C55" s="28" t="n"/>
      <c r="D55" s="28" t="n"/>
      <c r="E55" s="28" t="n"/>
    </row>
    <row r="56">
      <c r="A56" s="78" t="inlineStr">
        <is>
          <t>Diseñado por John Guerrero — chef y consultor gastronómico desde 2010, en cocina desde los 17 años · johnguerrero.es</t>
        </is>
      </c>
      <c r="B56" s="28" t="n"/>
      <c r="C56" s="28" t="n"/>
      <c r="D56" s="28" t="n"/>
      <c r="E56" s="28" t="n"/>
    </row>
    <row r="57">
      <c r="A57" s="78" t="inlineStr">
        <is>
          <t>Versión 1.0 · octubre 2026 · aichef.pro/plan-negocio-cafeteria-movil-eventos · info@aichef.pro</t>
        </is>
      </c>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0.081</v>
      </c>
      <c r="C5" s="75" t="n">
        <v>0.089</v>
      </c>
      <c r="D5" s="75" t="n">
        <v>0.114</v>
      </c>
      <c r="E5" s="75" t="n">
        <v>0.116</v>
      </c>
      <c r="F5" s="75" t="n">
        <v>0.068</v>
      </c>
      <c r="G5" s="75" t="n">
        <v>0.039</v>
      </c>
      <c r="H5" s="75" t="n">
        <v>0.11</v>
      </c>
      <c r="I5" s="75" t="n">
        <v>0.113</v>
      </c>
      <c r="J5" s="75" t="n">
        <v>0.09</v>
      </c>
      <c r="K5" s="75" t="n">
        <v>0.06900000000000001</v>
      </c>
      <c r="L5" s="75" t="n">
        <v>0.043</v>
      </c>
      <c r="M5" s="75" t="n">
        <v>0.068</v>
      </c>
      <c r="N5" s="68">
        <f>IFERROR(IF('PyG 3 Años'!$B$9="","",SUM(B5:M5)),"")</f>
        <v>1.0</v>
      </c>
      <c r="O5" s="28" t="inlineStr">
        <is>
          <t>Mes 1 = MARZO: el café se reserva de una semana a seis meses antes y se arranca en primavera, con la empresa y las comuniones. Los picos son mayo y junio (Meses 3 y 4) y septiembre y octubre (Meses 7 y 8); el valle, agosto (Mes 6) y enero (Mes 11). Si arrancas en otro mes, gira la fila. Tiene que sumar 100 %</t>
        </is>
      </c>
    </row>
    <row r="6">
      <c r="A6" s="28" t="inlineStr">
        <is>
          <t>Rampa de arranque (% de la actividad de crucero)</t>
        </is>
      </c>
      <c r="B6" s="68">
        <f>IFERROR(IF('PyG 3 Años'!$B$9="","",MIN(1,'0. Supuestos'!$B$52+(1-'0. Supuestos'!$B$52)*0/MAX(1,'0. Supuestos'!$B$53-1))),"")</f>
        <v>0.45</v>
      </c>
      <c r="C6" s="68">
        <f>IFERROR(IF('PyG 3 Años'!$B$9="","",MIN(1,'0. Supuestos'!$B$52+(1-'0. Supuestos'!$B$52)*1/MAX(1,'0. Supuestos'!$B$53-1))),"")</f>
        <v>0.51875</v>
      </c>
      <c r="D6" s="68">
        <f>IFERROR(IF('PyG 3 Años'!$B$9="","",MIN(1,'0. Supuestos'!$B$52+(1-'0. Supuestos'!$B$52)*2/MAX(1,'0. Supuestos'!$B$53-1))),"")</f>
        <v>0.5875</v>
      </c>
      <c r="E6" s="68">
        <f>IFERROR(IF('PyG 3 Años'!$B$9="","",MIN(1,'0. Supuestos'!$B$52+(1-'0. Supuestos'!$B$52)*3/MAX(1,'0. Supuestos'!$B$53-1))),"")</f>
        <v>0.65625</v>
      </c>
      <c r="F6" s="68">
        <f>IFERROR(IF('PyG 3 Años'!$B$9="","",MIN(1,'0. Supuestos'!$B$52+(1-'0. Supuestos'!$B$52)*4/MAX(1,'0. Supuestos'!$B$53-1))),"")</f>
        <v>0.7250000000000001</v>
      </c>
      <c r="G6" s="68">
        <f>IFERROR(IF('PyG 3 Años'!$B$9="","",MIN(1,'0. Supuestos'!$B$52+(1-'0. Supuestos'!$B$52)*5/MAX(1,'0. Supuestos'!$B$53-1))),"")</f>
        <v>0.79375</v>
      </c>
      <c r="H6" s="68">
        <f>IFERROR(IF('PyG 3 Años'!$B$9="","",MIN(1,'0. Supuestos'!$B$52+(1-'0. Supuestos'!$B$52)*6/MAX(1,'0. Supuestos'!$B$53-1))),"")</f>
        <v>0.8625</v>
      </c>
      <c r="I6" s="68">
        <f>IFERROR(IF('PyG 3 Años'!$B$9="","",MIN(1,'0. Supuestos'!$B$52+(1-'0. Supuestos'!$B$52)*7/MAX(1,'0. Supuestos'!$B$53-1))),"")</f>
        <v>0.9312500000000001</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0.046966731898238745</v>
      </c>
      <c r="C7" s="68">
        <f>IFERROR(IF('PyG 3 Años'!$B$9="","",C5*C6/SUMPRODUCT($B$5:$M$5,$B$6:$M$6)),"")</f>
        <v>0.05948958308166832</v>
      </c>
      <c r="D7" s="68">
        <f>IFERROR(IF('PyG 3 Años'!$B$9="","",D5*D6/SUMPRODUCT($B$5:$M$5,$B$6:$M$6)),"")</f>
        <v>0.08629895387886256</v>
      </c>
      <c r="E7" s="68">
        <f>IFERROR(IF('PyG 3 Años'!$B$9="","",E5*E6/SUMPRODUCT($B$5:$M$5,$B$6:$M$6)),"")</f>
        <v>0.09808895653644512</v>
      </c>
      <c r="F7" s="68">
        <f>IFERROR(IF('PyG 3 Años'!$B$9="","",F5*F6/SUMPRODUCT($B$5:$M$5,$B$6:$M$6)),"")</f>
        <v>0.06352427661407875</v>
      </c>
      <c r="G7" s="68">
        <f>IFERROR(IF('PyG 3 Años'!$B$9="","",G5*G6/SUMPRODUCT($B$5:$M$5,$B$6:$M$6)),"")</f>
        <v>0.03988789833538691</v>
      </c>
      <c r="H7" s="68">
        <f>IFERROR(IF('PyG 3 Años'!$B$9="","",H5*H6/SUMPRODUCT($B$5:$M$5,$B$6:$M$6)),"")</f>
        <v>0.1222487980478848</v>
      </c>
      <c r="I7" s="68">
        <f>IFERROR(IF('PyG 3 Años'!$B$9="","",I5*I6/SUMPRODUCT($B$5:$M$5,$B$6:$M$6)),"")</f>
        <v>0.13559308384270333</v>
      </c>
      <c r="J7" s="68">
        <f>IFERROR(IF('PyG 3 Años'!$B$9="","",J5*J6/SUMPRODUCT($B$5:$M$5,$B$6:$M$6)),"")</f>
        <v>0.11596723925491048</v>
      </c>
      <c r="K7" s="68">
        <f>IFERROR(IF('PyG 3 Años'!$B$9="","",K5*K6/SUMPRODUCT($B$5:$M$5,$B$6:$M$6)),"")</f>
        <v>0.08890821676209804</v>
      </c>
      <c r="L7" s="68">
        <f>IFERROR(IF('PyG 3 Años'!$B$9="","",L5*L6/SUMPRODUCT($B$5:$M$5,$B$6:$M$6)),"")</f>
        <v>0.055406569866235</v>
      </c>
      <c r="M7" s="68">
        <f>IFERROR(IF('PyG 3 Años'!$B$9="","",M5*M6/SUMPRODUCT($B$5:$M$5,$B$6:$M$6)),"")</f>
        <v>0.08761969188148792</v>
      </c>
      <c r="N7" s="68">
        <f>IFERROR(IF('PyG 3 Años'!$B$9="","",SUM(B7:M7)),"")</f>
        <v>1.0</v>
      </c>
      <c r="O7" s="28" t="inlineStr">
        <is>
          <t>Estacionalidad × rampa, normalizado a 100 %: el AÑO factura lo que dice el P&amp;L, pero repartido como lo reparte una cafetería móvil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1873.8317025440315</v>
      </c>
      <c r="C9" s="32">
        <f>IFERROR(IF('PyG 3 Años'!$B$9="","",('PyG 3 Años'!$B$9+'PyG 3 Años'!$B$9*SUMPRODUCT('PyG 3 Años'!$E$10:$E$11,'PyG 3 Años'!$G$10:$G$11))*(C7*(1-MIN(30,'0. Supuestos'!$B$58)/30)+B7*MIN(30,'0. Supuestos'!$B$58)/30)),"")</f>
        <v>6121.119301297383</v>
      </c>
      <c r="D9" s="32">
        <f>IFERROR(IF('PyG 3 Años'!$B$9="","",('PyG 3 Años'!$B$9+'PyG 3 Años'!$B$9*SUMPRODUCT('PyG 3 Años'!$E$10:$E$11,'PyG 3 Años'!$G$10:$G$11))*(D7*(1-MIN(30,'0. Supuestos'!$B$58)/30)+C7*MIN(30,'0. Supuestos'!$B$58)/30)),"")</f>
        <v>8189.981155323622</v>
      </c>
      <c r="E9" s="32">
        <f>IFERROR(IF('PyG 3 Años'!$B$9="","",('PyG 3 Años'!$B$9+'PyG 3 Años'!$B$9*SUMPRODUCT('PyG 3 Años'!$E$10:$E$11,'PyG 3 Años'!$G$10:$G$11))*(E7*(1-MIN(30,'0. Supuestos'!$B$58)/30)+D7*MIN(30,'0. Supuestos'!$B$58)/30)),"")</f>
        <v>10799.593824744512</v>
      </c>
      <c r="F9" s="32">
        <f>IFERROR(IF('PyG 3 Años'!$B$9="","",('PyG 3 Años'!$B$9+'PyG 3 Años'!$B$9*SUMPRODUCT('PyG 3 Años'!$E$10:$E$11,'PyG 3 Años'!$G$10:$G$11))*(F7*(1-MIN(30,'0. Supuestos'!$B$58)/30)+E7*MIN(30,'0. Supuestos'!$B$58)/30)),"")</f>
        <v>10361.338261941002</v>
      </c>
      <c r="G9" s="32">
        <f>IFERROR(IF('PyG 3 Años'!$B$9="","",('PyG 3 Años'!$B$9+'PyG 3 Años'!$B$9*SUMPRODUCT('PyG 3 Años'!$E$10:$E$11,'PyG 3 Años'!$G$10:$G$11))*(G7*(1-MIN(30,'0. Supuestos'!$B$58)/30)+F7*MIN(30,'0. Supuestos'!$B$58)/30)),"")</f>
        <v>6660.263608030733</v>
      </c>
      <c r="H9" s="32">
        <f>IFERROR(IF('PyG 3 Años'!$B$9="","",('PyG 3 Años'!$B$9+'PyG 3 Años'!$B$9*SUMPRODUCT('PyG 3 Años'!$E$10:$E$11,'PyG 3 Años'!$G$10:$G$11))*(H7*(1-MIN(30,'0. Supuestos'!$B$58)/30)+G7*MIN(30,'0. Supuestos'!$B$58)/30)),"")</f>
        <v>8060.175255490325</v>
      </c>
      <c r="I9" s="32">
        <f>IFERROR(IF('PyG 3 Años'!$B$9="","",('PyG 3 Años'!$B$9+'PyG 3 Años'!$B$9*SUMPRODUCT('PyG 3 Años'!$E$10:$E$11,'PyG 3 Años'!$G$10:$G$11))*(I7*(1-MIN(30,'0. Supuestos'!$B$58)/30)+H7*MIN(30,'0. Supuestos'!$B$58)/30)),"")</f>
        <v>15164.477857505253</v>
      </c>
      <c r="J9" s="32">
        <f>IFERROR(IF('PyG 3 Años'!$B$9="","",('PyG 3 Años'!$B$9+'PyG 3 Años'!$B$9*SUMPRODUCT('PyG 3 Años'!$E$10:$E$11,'PyG 3 Años'!$G$10:$G$11))*(J7*(1-MIN(30,'0. Supuestos'!$B$58)/30)+I7*MIN(30,'0. Supuestos'!$B$58)/30)),"")</f>
        <v>15446.25947669783</v>
      </c>
      <c r="K9" s="32">
        <f>IFERROR(IF('PyG 3 Años'!$B$9="","",('PyG 3 Años'!$B$9+'PyG 3 Años'!$B$9*SUMPRODUCT('PyG 3 Años'!$E$10:$E$11,'PyG 3 Años'!$G$10:$G$11))*(K7*(1-MIN(30,'0. Supuestos'!$B$58)/30)+J7*MIN(30,'0. Supuestos'!$B$58)/30)),"")</f>
        <v>12800.661013263752</v>
      </c>
      <c r="L9" s="32">
        <f>IFERROR(IF('PyG 3 Años'!$B$9="","",('PyG 3 Años'!$B$9+'PyG 3 Años'!$B$9*SUMPRODUCT('PyG 3 Años'!$E$10:$E$11,'PyG 3 Años'!$G$10:$G$11))*(L7*(1-MIN(30,'0. Supuestos'!$B$58)/30)+K7*MIN(30,'0. Supuestos'!$B$58)/30)),"")</f>
        <v>9304.898166268029</v>
      </c>
      <c r="M9" s="32">
        <f>IFERROR(IF('PyG 3 Años'!$B$9="","",('PyG 3 Años'!$B$9+'PyG 3 Años'!$B$9*SUMPRODUCT('PyG 3 Años'!$E$10:$E$11,'PyG 3 Años'!$G$10:$G$11))*(M7*(1-MIN(30,'0. Supuestos'!$B$58)/30)+L7*MIN(30,'0. Supuestos'!$B$58)/30)),"")</f>
        <v>7916.874682902079</v>
      </c>
      <c r="N9" s="32">
        <f>IFERROR(IF('PyG 3 Años'!$B$9="","",SUM(B9:M9)),"")</f>
        <v>112699.47430600856</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-1688.2167480234832</v>
      </c>
      <c r="D11" s="32">
        <f>IFERROR(IF('PyG 3 Años'!$B$9="","",-('PyG 3 Años'!$B$13*(1+'PyG 3 Años'!$G$13)+'PyG 3 Años'!$B$14*(1+'PyG 3 Años'!$G$14)+'PyG 3 Años'!$B$15*(1+'PyG 3 Años'!$G$15)+'PyG 3 Años'!$B$16*(1+'PyG 3 Años'!$G$16)+'PyG 3 Años'!$B$17*(1+'PyG 3 Años'!$G$17)+'PyG 3 Años'!$B$18*(1+'PyG 3 Años'!$G$18))*(D7*(1-MIN(30,'0. Supuestos'!$B$59)/30)+C7*MIN(30,'0. Supuestos'!$B$59)/30)),"")</f>
        <v>-2138.349985879539</v>
      </c>
      <c r="E11" s="32">
        <f>IFERROR(IF('PyG 3 Años'!$B$9="","",-('PyG 3 Años'!$B$13*(1+'PyG 3 Años'!$G$13)+'PyG 3 Años'!$B$14*(1+'PyG 3 Años'!$G$14)+'PyG 3 Años'!$B$15*(1+'PyG 3 Años'!$G$15)+'PyG 3 Años'!$B$16*(1+'PyG 3 Años'!$G$16)+'PyG 3 Años'!$B$17*(1+'PyG 3 Años'!$G$17)+'PyG 3 Años'!$B$18*(1+'PyG 3 Años'!$G$18))*(E7*(1-MIN(30,'0. Supuestos'!$B$59)/30)+D7*MIN(30,'0. Supuestos'!$B$59)/30)),"")</f>
        <v>-3102.011432067841</v>
      </c>
      <c r="F11" s="32">
        <f>IFERROR(IF('PyG 3 Años'!$B$9="","",-('PyG 3 Años'!$B$13*(1+'PyG 3 Años'!$G$13)+'PyG 3 Años'!$B$14*(1+'PyG 3 Años'!$G$14)+'PyG 3 Años'!$B$15*(1+'PyG 3 Años'!$G$15)+'PyG 3 Años'!$B$16*(1+'PyG 3 Años'!$G$16)+'PyG 3 Años'!$B$17*(1+'PyG 3 Años'!$G$17)+'PyG 3 Años'!$B$18*(1+'PyG 3 Años'!$G$18))*(F7*(1-MIN(30,'0. Supuestos'!$B$59)/30)+E7*MIN(30,'0. Supuestos'!$B$59)/30)),"")</f>
        <v>-3525.8024675799084</v>
      </c>
      <c r="G11" s="32">
        <f>IFERROR(IF('PyG 3 Años'!$B$9="","",-('PyG 3 Años'!$B$13*(1+'PyG 3 Años'!$G$13)+'PyG 3 Años'!$B$14*(1+'PyG 3 Años'!$G$14)+'PyG 3 Años'!$B$15*(1+'PyG 3 Años'!$G$15)+'PyG 3 Años'!$B$16*(1+'PyG 3 Años'!$G$16)+'PyG 3 Años'!$B$17*(1+'PyG 3 Años'!$G$17)+'PyG 3 Años'!$B$18*(1+'PyG 3 Años'!$G$18))*(G7*(1-MIN(30,'0. Supuestos'!$B$59)/30)+F7*MIN(30,'0. Supuestos'!$B$59)/30)),"")</f>
        <v>-2283.3768361469884</v>
      </c>
      <c r="H11" s="32">
        <f>IFERROR(IF('PyG 3 Años'!$B$9="","",-('PyG 3 Años'!$B$13*(1+'PyG 3 Años'!$G$13)+'PyG 3 Años'!$B$14*(1+'PyG 3 Años'!$G$14)+'PyG 3 Años'!$B$15*(1+'PyG 3 Años'!$G$15)+'PyG 3 Años'!$B$16*(1+'PyG 3 Años'!$G$16)+'PyG 3 Años'!$B$17*(1+'PyG 3 Años'!$G$17)+'PyG 3 Años'!$B$18*(1+'PyG 3 Años'!$G$18))*(H7*(1-MIN(30,'0. Supuestos'!$B$59)/30)+G7*MIN(30,'0. Supuestos'!$B$59)/30)),"")</f>
        <v>-1433.7684418656224</v>
      </c>
      <c r="I11" s="32">
        <f>IFERROR(IF('PyG 3 Años'!$B$9="","",-('PyG 3 Años'!$B$13*(1+'PyG 3 Años'!$G$13)+'PyG 3 Años'!$B$14*(1+'PyG 3 Años'!$G$14)+'PyG 3 Años'!$B$15*(1+'PyG 3 Años'!$G$15)+'PyG 3 Años'!$B$16*(1+'PyG 3 Años'!$G$16)+'PyG 3 Años'!$B$17*(1+'PyG 3 Años'!$G$17)+'PyG 3 Años'!$B$18*(1+'PyG 3 Años'!$G$18))*(I7*(1-MIN(30,'0. Supuestos'!$B$59)/30)+H7*MIN(30,'0. Supuestos'!$B$59)/30)),"")</f>
        <v>-4394.226720678408</v>
      </c>
      <c r="J11" s="32">
        <f>IFERROR(IF('PyG 3 Años'!$B$9="","",-('PyG 3 Años'!$B$13*(1+'PyG 3 Años'!$G$13)+'PyG 3 Años'!$B$14*(1+'PyG 3 Años'!$G$14)+'PyG 3 Años'!$B$15*(1+'PyG 3 Años'!$G$15)+'PyG 3 Años'!$B$16*(1+'PyG 3 Años'!$G$16)+'PyG 3 Años'!$B$17*(1+'PyG 3 Años'!$G$17)+'PyG 3 Años'!$B$18*(1+'PyG 3 Años'!$G$18))*(J7*(1-MIN(30,'0. Supuestos'!$B$59)/30)+I7*MIN(30,'0. Supuestos'!$B$59)/30)),"")</f>
        <v>-4873.886383139813</v>
      </c>
      <c r="K11" s="32">
        <f>IFERROR(IF('PyG 3 Años'!$B$9="","",-('PyG 3 Años'!$B$13*(1+'PyG 3 Años'!$G$13)+'PyG 3 Años'!$B$14*(1+'PyG 3 Años'!$G$14)+'PyG 3 Años'!$B$15*(1+'PyG 3 Años'!$G$15)+'PyG 3 Años'!$B$16*(1+'PyG 3 Años'!$G$16)+'PyG 3 Años'!$B$17*(1+'PyG 3 Años'!$G$17)+'PyG 3 Años'!$B$18*(1+'PyG 3 Años'!$G$18))*(K7*(1-MIN(30,'0. Supuestos'!$B$59)/30)+J7*MIN(30,'0. Supuestos'!$B$59)/30)),"")</f>
        <v>-4168.436414872798</v>
      </c>
      <c r="L11" s="32">
        <f>IFERROR(IF('PyG 3 Años'!$B$9="","",-('PyG 3 Años'!$B$13*(1+'PyG 3 Años'!$G$13)+'PyG 3 Años'!$B$14*(1+'PyG 3 Años'!$G$14)+'PyG 3 Años'!$B$15*(1+'PyG 3 Años'!$G$15)+'PyG 3 Años'!$B$16*(1+'PyG 3 Años'!$G$16)+'PyG 3 Años'!$B$17*(1+'PyG 3 Años'!$G$17)+'PyG 3 Años'!$B$18*(1+'PyG 3 Años'!$G$18))*(L7*(1-MIN(30,'0. Supuestos'!$B$59)/30)+K7*MIN(30,'0. Supuestos'!$B$59)/30)),"")</f>
        <v>-3195.8012514024786</v>
      </c>
      <c r="M11" s="32">
        <f>IFERROR(IF('PyG 3 Años'!$B$9="","",-('PyG 3 Años'!$B$13*(1+'PyG 3 Años'!$G$13)+'PyG 3 Años'!$B$14*(1+'PyG 3 Años'!$G$14)+'PyG 3 Años'!$B$15*(1+'PyG 3 Años'!$G$15)+'PyG 3 Años'!$B$16*(1+'PyG 3 Años'!$G$16)+'PyG 3 Años'!$B$17*(1+'PyG 3 Años'!$G$17)+'PyG 3 Años'!$B$18*(1+'PyG 3 Años'!$G$18))*(M7*(1-MIN(30,'0. Supuestos'!$B$59)/30)+L7*MIN(30,'0. Supuestos'!$B$59)/30)),"")</f>
        <v>-1991.586287105892</v>
      </c>
      <c r="N11" s="32">
        <f>IFERROR(IF('PyG 3 Años'!$B$9="","",SUM(B11:M11)),"")</f>
        <v>-32795.46296876277</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-1459.5000000000007</v>
      </c>
      <c r="C12" s="32">
        <f>IFERROR(IF('PyG 3 Años'!$B$9="","",-('PyG 3 Años'!$B$38-'PyG 3 Años'!$B$23-'PyG 3 Años'!$B$36-'PyG 3 Años'!$B$37+'PyG 3 Años'!$B$40)/12),"")</f>
        <v>-1459.5000000000007</v>
      </c>
      <c r="D12" s="32">
        <f>IFERROR(IF('PyG 3 Años'!$B$9="","",-('PyG 3 Años'!$B$38-'PyG 3 Años'!$B$23-'PyG 3 Años'!$B$36-'PyG 3 Años'!$B$37+'PyG 3 Años'!$B$40)/12),"")</f>
        <v>-1459.5000000000007</v>
      </c>
      <c r="E12" s="32">
        <f>IFERROR(IF('PyG 3 Años'!$B$9="","",-('PyG 3 Años'!$B$38-'PyG 3 Años'!$B$23-'PyG 3 Años'!$B$36-'PyG 3 Años'!$B$37+'PyG 3 Años'!$B$40)/12),"")</f>
        <v>-1459.5000000000007</v>
      </c>
      <c r="F12" s="32">
        <f>IFERROR(IF('PyG 3 Años'!$B$9="","",-('PyG 3 Años'!$B$38-'PyG 3 Años'!$B$23-'PyG 3 Años'!$B$36-'PyG 3 Años'!$B$37+'PyG 3 Años'!$B$40)/12),"")</f>
        <v>-1459.5000000000007</v>
      </c>
      <c r="G12" s="32">
        <f>IFERROR(IF('PyG 3 Años'!$B$9="","",-('PyG 3 Años'!$B$38-'PyG 3 Años'!$B$23-'PyG 3 Años'!$B$36-'PyG 3 Años'!$B$37+'PyG 3 Años'!$B$40)/12),"")</f>
        <v>-1459.5000000000007</v>
      </c>
      <c r="H12" s="32">
        <f>IFERROR(IF('PyG 3 Años'!$B$9="","",-('PyG 3 Años'!$B$38-'PyG 3 Años'!$B$23-'PyG 3 Años'!$B$36-'PyG 3 Años'!$B$37+'PyG 3 Años'!$B$40)/12),"")</f>
        <v>-1459.5000000000007</v>
      </c>
      <c r="I12" s="32">
        <f>IFERROR(IF('PyG 3 Años'!$B$9="","",-('PyG 3 Años'!$B$38-'PyG 3 Años'!$B$23-'PyG 3 Años'!$B$36-'PyG 3 Años'!$B$37+'PyG 3 Años'!$B$40)/12),"")</f>
        <v>-1459.5000000000007</v>
      </c>
      <c r="J12" s="32">
        <f>IFERROR(IF('PyG 3 Años'!$B$9="","",-('PyG 3 Años'!$B$38-'PyG 3 Años'!$B$23-'PyG 3 Años'!$B$36-'PyG 3 Años'!$B$37+'PyG 3 Años'!$B$40)/12),"")</f>
        <v>-1459.5000000000007</v>
      </c>
      <c r="K12" s="32">
        <f>IFERROR(IF('PyG 3 Años'!$B$9="","",-('PyG 3 Años'!$B$38-'PyG 3 Años'!$B$23-'PyG 3 Años'!$B$36-'PyG 3 Años'!$B$37+'PyG 3 Años'!$B$40)/12),"")</f>
        <v>-1459.5000000000007</v>
      </c>
      <c r="L12" s="32">
        <f>IFERROR(IF('PyG 3 Años'!$B$9="","",-('PyG 3 Años'!$B$38-'PyG 3 Años'!$B$23-'PyG 3 Años'!$B$36-'PyG 3 Años'!$B$37+'PyG 3 Años'!$B$40)/12),"")</f>
        <v>-1459.5000000000007</v>
      </c>
      <c r="M12" s="32">
        <f>IFERROR(IF('PyG 3 Años'!$B$9="","",-('PyG 3 Años'!$B$38-'PyG 3 Años'!$B$23-'PyG 3 Años'!$B$36-'PyG 3 Años'!$B$37+'PyG 3 Años'!$B$40)/12),"")</f>
        <v>-1459.5000000000007</v>
      </c>
      <c r="N12" s="32">
        <f>IFERROR(IF('PyG 3 Años'!$B$9="","",SUM(B12:M12)),"")</f>
        <v>-17514.000000000007</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-3213.28</v>
      </c>
      <c r="C13" s="32">
        <f>IFERROR(IF('PyG 3 Años'!$B$9="","",-'PyG 3 Años'!$B$23/MAX(12,'0. Supuestos'!$B$21)*(1+IF(2='0. Supuestos'!$B$60,(MAX(12,'0. Supuestos'!$B$21)-12)/2,0)+IF(2='0. Supuestos'!$B$61,(MAX(12,'0. Supuestos'!$B$21)-12)/2,0))),"")</f>
        <v>-3213.28</v>
      </c>
      <c r="D13" s="32">
        <f>IFERROR(IF('PyG 3 Años'!$B$9="","",-'PyG 3 Años'!$B$23/MAX(12,'0. Supuestos'!$B$21)*(1+IF(3='0. Supuestos'!$B$60,(MAX(12,'0. Supuestos'!$B$21)-12)/2,0)+IF(3='0. Supuestos'!$B$61,(MAX(12,'0. Supuestos'!$B$21)-12)/2,0))),"")</f>
        <v>-3213.28</v>
      </c>
      <c r="E13" s="32">
        <f>IFERROR(IF('PyG 3 Años'!$B$9="","",-'PyG 3 Años'!$B$23/MAX(12,'0. Supuestos'!$B$21)*(1+IF(4='0. Supuestos'!$B$60,(MAX(12,'0. Supuestos'!$B$21)-12)/2,0)+IF(4='0. Supuestos'!$B$61,(MAX(12,'0. Supuestos'!$B$21)-12)/2,0))),"")</f>
        <v>-3213.28</v>
      </c>
      <c r="F13" s="32">
        <f>IFERROR(IF('PyG 3 Años'!$B$9="","",-'PyG 3 Años'!$B$23/MAX(12,'0. Supuestos'!$B$21)*(1+IF(5='0. Supuestos'!$B$60,(MAX(12,'0. Supuestos'!$B$21)-12)/2,0)+IF(5='0. Supuestos'!$B$61,(MAX(12,'0. Supuestos'!$B$21)-12)/2,0))),"")</f>
        <v>-6426.56</v>
      </c>
      <c r="G13" s="32">
        <f>IFERROR(IF('PyG 3 Años'!$B$9="","",-'PyG 3 Años'!$B$23/MAX(12,'0. Supuestos'!$B$21)*(1+IF(6='0. Supuestos'!$B$60,(MAX(12,'0. Supuestos'!$B$21)-12)/2,0)+IF(6='0. Supuestos'!$B$61,(MAX(12,'0. Supuestos'!$B$21)-12)/2,0))),"")</f>
        <v>-3213.28</v>
      </c>
      <c r="H13" s="32">
        <f>IFERROR(IF('PyG 3 Años'!$B$9="","",-'PyG 3 Años'!$B$23/MAX(12,'0. Supuestos'!$B$21)*(1+IF(7='0. Supuestos'!$B$60,(MAX(12,'0. Supuestos'!$B$21)-12)/2,0)+IF(7='0. Supuestos'!$B$61,(MAX(12,'0. Supuestos'!$B$21)-12)/2,0))),"")</f>
        <v>-3213.28</v>
      </c>
      <c r="I13" s="32">
        <f>IFERROR(IF('PyG 3 Años'!$B$9="","",-'PyG 3 Años'!$B$23/MAX(12,'0. Supuestos'!$B$21)*(1+IF(8='0. Supuestos'!$B$60,(MAX(12,'0. Supuestos'!$B$21)-12)/2,0)+IF(8='0. Supuestos'!$B$61,(MAX(12,'0. Supuestos'!$B$21)-12)/2,0))),"")</f>
        <v>-3213.28</v>
      </c>
      <c r="J13" s="32">
        <f>IFERROR(IF('PyG 3 Años'!$B$9="","",-'PyG 3 Años'!$B$23/MAX(12,'0. Supuestos'!$B$21)*(1+IF(9='0. Supuestos'!$B$60,(MAX(12,'0. Supuestos'!$B$21)-12)/2,0)+IF(9='0. Supuestos'!$B$61,(MAX(12,'0. Supuestos'!$B$21)-12)/2,0))),"")</f>
        <v>-3213.28</v>
      </c>
      <c r="K13" s="32">
        <f>IFERROR(IF('PyG 3 Años'!$B$9="","",-'PyG 3 Años'!$B$23/MAX(12,'0. Supuestos'!$B$21)*(1+IF(10='0. Supuestos'!$B$60,(MAX(12,'0. Supuestos'!$B$21)-12)/2,0)+IF(10='0. Supuestos'!$B$61,(MAX(12,'0. Supuestos'!$B$21)-12)/2,0))),"")</f>
        <v>-6426.56</v>
      </c>
      <c r="L13" s="32">
        <f>IFERROR(IF('PyG 3 Años'!$B$9="","",-'PyG 3 Años'!$B$23/MAX(12,'0. Supuestos'!$B$21)*(1+IF(11='0. Supuestos'!$B$60,(MAX(12,'0. Supuestos'!$B$21)-12)/2,0)+IF(11='0. Supuestos'!$B$61,(MAX(12,'0. Supuestos'!$B$21)-12)/2,0))),"")</f>
        <v>-3213.28</v>
      </c>
      <c r="M13" s="32">
        <f>IFERROR(IF('PyG 3 Años'!$B$9="","",-'PyG 3 Años'!$B$23/MAX(12,'0. Supuestos'!$B$21)*(1+IF(12='0. Supuestos'!$B$60,(MAX(12,'0. Supuestos'!$B$21)-12)/2,0)+IF(12='0. Supuestos'!$B$61,(MAX(12,'0. Supuestos'!$B$21)-12)/2,0))),"")</f>
        <v>-3213.28</v>
      </c>
      <c r="N13" s="32">
        <f>IFERROR(IF('PyG 3 Años'!$B$9="","",SUM(B13:M13)),"")</f>
        <v>-44985.920000000006</v>
      </c>
      <c r="O13" s="28" t="inlineStr">
        <is>
          <t>Doce mensualidades más las pagas extra en los meses que digas en Supuestos. La suma del año es la misma que la del P&amp;L. El personal se reparte en doce meses, pero los fijos discontinuos sólo trabajan en los meses con eventos: aquí la temporada sale algo más barata y el invierno algo más caro que en la realidad</t>
        </is>
      </c>
    </row>
    <row r="14">
      <c r="A14" s="28" t="inlineStr">
        <is>
          <t>Intereses del préstamo</t>
        </is>
      </c>
      <c r="B14" s="32">
        <f>IFERROR(IF('PyG 3 Años'!$B$9="","",-'Financiación'!$B$44/12),"")</f>
        <v>-241.04166666666666</v>
      </c>
      <c r="C14" s="32">
        <f>IFERROR(IF('PyG 3 Años'!$B$9="","",-'Financiación'!$B$44/12),"")</f>
        <v>-241.04166666666666</v>
      </c>
      <c r="D14" s="32">
        <f>IFERROR(IF('PyG 3 Años'!$B$9="","",-'Financiación'!$B$44/12),"")</f>
        <v>-241.04166666666666</v>
      </c>
      <c r="E14" s="32">
        <f>IFERROR(IF('PyG 3 Años'!$B$9="","",-'Financiación'!$B$44/12),"")</f>
        <v>-241.04166666666666</v>
      </c>
      <c r="F14" s="32">
        <f>IFERROR(IF('PyG 3 Años'!$B$9="","",-'Financiación'!$B$44/12),"")</f>
        <v>-241.04166666666666</v>
      </c>
      <c r="G14" s="32">
        <f>IFERROR(IF('PyG 3 Años'!$B$9="","",-'Financiación'!$B$44/12),"")</f>
        <v>-241.04166666666666</v>
      </c>
      <c r="H14" s="32">
        <f>IFERROR(IF('PyG 3 Años'!$B$9="","",-'Financiación'!$B$44/12),"")</f>
        <v>-241.04166666666666</v>
      </c>
      <c r="I14" s="32">
        <f>IFERROR(IF('PyG 3 Años'!$B$9="","",-'Financiación'!$B$44/12),"")</f>
        <v>-241.04166666666666</v>
      </c>
      <c r="J14" s="32">
        <f>IFERROR(IF('PyG 3 Años'!$B$9="","",-'Financiación'!$B$44/12),"")</f>
        <v>-241.04166666666666</v>
      </c>
      <c r="K14" s="32">
        <f>IFERROR(IF('PyG 3 Años'!$B$9="","",-'Financiación'!$B$44/12),"")</f>
        <v>-241.04166666666666</v>
      </c>
      <c r="L14" s="32">
        <f>IFERROR(IF('PyG 3 Años'!$B$9="","",-'Financiación'!$B$44/12),"")</f>
        <v>-241.04166666666666</v>
      </c>
      <c r="M14" s="32">
        <f>IFERROR(IF('PyG 3 Años'!$B$9="","",-'Financiación'!$B$44/12),"")</f>
        <v>-241.04166666666666</v>
      </c>
      <c r="N14" s="32">
        <f>IFERROR(IF('PyG 3 Años'!$B$9="","",SUM(B14:M14)),"")</f>
        <v>-2892.5</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511.04500978473584</v>
      </c>
      <c r="C16" s="32">
        <f>IFERROR(IF('PyG 3 Años'!$B$9="","",'PyG 3 Años'!$B$9*C7*SUMPRODUCT('PyG 3 Años'!$E$10:$E$11,'PyG 3 Años'!$G$10:$G$11)),"")</f>
        <v>647.306153511633</v>
      </c>
      <c r="D16" s="32">
        <f>IFERROR(IF('PyG 3 Años'!$B$9="","",'PyG 3 Años'!$B$9*D7*SUMPRODUCT('PyG 3 Años'!$E$10:$E$11,'PyG 3 Años'!$G$10:$G$11)),"")</f>
        <v>939.0189171559036</v>
      </c>
      <c r="E16" s="32">
        <f>IFERROR(IF('PyG 3 Años'!$B$9="","",'PyG 3 Años'!$B$9*E7*SUMPRODUCT('PyG 3 Años'!$E$10:$E$11,'PyG 3 Años'!$G$10:$G$11)),"")</f>
        <v>1067.3059360730592</v>
      </c>
      <c r="F16" s="32">
        <f>IFERROR(IF('PyG 3 Años'!$B$9="","",'PyG 3 Años'!$B$9*F7*SUMPRODUCT('PyG 3 Años'!$E$10:$E$11,'PyG 3 Años'!$G$10:$G$11)),"")</f>
        <v>691.207653837791</v>
      </c>
      <c r="G16" s="32">
        <f>IFERROR(IF('PyG 3 Años'!$B$9="","",'PyG 3 Años'!$B$9*G7*SUMPRODUCT('PyG 3 Años'!$E$10:$E$11,'PyG 3 Años'!$G$10:$G$11)),"")</f>
        <v>434.020221787345</v>
      </c>
      <c r="H16" s="32">
        <f>IFERROR(IF('PyG 3 Años'!$B$9="","",'PyG 3 Años'!$B$9*H7*SUMPRODUCT('PyG 3 Años'!$E$10:$E$11,'PyG 3 Años'!$G$10:$G$11)),"")</f>
        <v>1330.1891715590345</v>
      </c>
      <c r="I16" s="32">
        <f>IFERROR(IF('PyG 3 Años'!$B$9="","",'PyG 3 Años'!$B$9*I7*SUMPRODUCT('PyG 3 Años'!$E$10:$E$11,'PyG 3 Años'!$G$10:$G$11)),"")</f>
        <v>1475.388345292455</v>
      </c>
      <c r="J16" s="32">
        <f>IFERROR(IF('PyG 3 Años'!$B$9="","",'PyG 3 Años'!$B$9*J7*SUMPRODUCT('PyG 3 Años'!$E$10:$E$11,'PyG 3 Años'!$G$10:$G$11)),"")</f>
        <v>1261.839530332681</v>
      </c>
      <c r="K16" s="32">
        <f>IFERROR(IF('PyG 3 Años'!$B$9="","",'PyG 3 Años'!$B$9*K7*SUMPRODUCT('PyG 3 Años'!$E$10:$E$11,'PyG 3 Años'!$G$10:$G$11)),"")</f>
        <v>967.4103065883888</v>
      </c>
      <c r="L16" s="32">
        <f>IFERROR(IF('PyG 3 Años'!$B$9="","",'PyG 3 Años'!$B$9*L7*SUMPRODUCT('PyG 3 Años'!$E$10:$E$11,'PyG 3 Años'!$G$10:$G$11)),"")</f>
        <v>602.8788867145031</v>
      </c>
      <c r="M16" s="32">
        <f>IFERROR(IF('PyG 3 Años'!$B$9="","",'PyG 3 Años'!$B$9*M7*SUMPRODUCT('PyG 3 Años'!$E$10:$E$11,'PyG 3 Años'!$G$10:$G$11)),"")</f>
        <v>953.3898673624701</v>
      </c>
      <c r="N16" s="32">
        <f>IFERROR(IF('PyG 3 Años'!$B$9="","",SUM(B16:M16)),"")</f>
        <v>10881.0</v>
      </c>
      <c r="O16" s="28" t="inlineStr">
        <is>
          <t>Cada línea de venta a SU tipo, leído de la columna de IVA del P&amp;L: las bebidas y la bollería, en la barra del evento y en la venta directa de ferias y mercados, al reducido del 10 % (art. 91.Uno.2.2.º de la Ley 37/1992)</t>
        </is>
      </c>
    </row>
    <row r="17">
      <c r="A17" s="28" t="inlineStr">
        <is>
          <t>IVA soportado del mes (memoria)</t>
        </is>
      </c>
      <c r="B17" s="32">
        <f>IFERROR(IF('PyG 3 Años'!$B$9="","",'PyG 3 Años'!$B$39*B7+'PyG 3 Años'!$B$40/12),"")</f>
        <v>432.50949949119376</v>
      </c>
      <c r="C17" s="32">
        <f>IFERROR(IF('PyG 3 Años'!$B$9="","",'PyG 3 Años'!$B$39*C7+'PyG 3 Años'!$B$40/12),"")</f>
        <v>485.3052422396173</v>
      </c>
      <c r="D17" s="32">
        <f>IFERROR(IF('PyG 3 Años'!$B$9="","",'PyG 3 Años'!$B$39*D7+'PyG 3 Años'!$B$40/12),"")</f>
        <v>598.3322696412264</v>
      </c>
      <c r="E17" s="32">
        <f>IFERROR(IF('PyG 3 Años'!$B$9="","",'PyG 3 Años'!$B$39*E7+'PyG 3 Años'!$B$40/12),"")</f>
        <v>648.0383579908676</v>
      </c>
      <c r="F17" s="32">
        <f>IFERROR(IF('PyG 3 Años'!$B$9="","",'PyG 3 Años'!$B$39*F7+'PyG 3 Años'!$B$40/12),"")</f>
        <v>502.3153175559905</v>
      </c>
      <c r="G17" s="32">
        <f>IFERROR(IF('PyG 3 Años'!$B$9="","",'PyG 3 Años'!$B$39*G7+'PyG 3 Años'!$B$40/12),"")</f>
        <v>402.6654751337247</v>
      </c>
      <c r="H17" s="32">
        <f>IFERROR(IF('PyG 3 Años'!$B$9="","",'PyG 3 Años'!$B$39*H7+'PyG 3 Años'!$B$40/12),"")</f>
        <v>749.8950964122635</v>
      </c>
      <c r="I17" s="32">
        <f>IFERROR(IF('PyG 3 Años'!$B$9="","",'PyG 3 Años'!$B$39*I7+'PyG 3 Años'!$B$40/12),"")</f>
        <v>806.1539682670145</v>
      </c>
      <c r="J17" s="32">
        <f>IFERROR(IF('PyG 3 Años'!$B$9="","",'PyG 3 Años'!$B$39*J7+'PyG 3 Años'!$B$40/12),"")</f>
        <v>723.4123444227006</v>
      </c>
      <c r="K17" s="32">
        <f>IFERROR(IF('PyG 3 Años'!$B$9="","",'PyG 3 Años'!$B$39*K7+'PyG 3 Años'!$B$40/12),"")</f>
        <v>609.3327973907371</v>
      </c>
      <c r="L17" s="32">
        <f>IFERROR(IF('PyG 3 Años'!$B$9="","",'PyG 3 Años'!$B$39*L7+'PyG 3 Años'!$B$40/12),"")</f>
        <v>468.0914534464014</v>
      </c>
      <c r="M17" s="32">
        <f>IFERROR(IF('PyG 3 Años'!$B$9="","",'PyG 3 Años'!$B$39*M7+'PyG 3 Años'!$B$40/12),"")</f>
        <v>603.9004380082627</v>
      </c>
      <c r="N17" s="32">
        <f>IFERROR(IF('PyG 3 Años'!$B$9="","",SUM(B17:M17)),"")</f>
        <v>7029.95226</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8949.359999999999</v>
      </c>
      <c r="F18" s="28" t="n"/>
      <c r="G18" s="28" t="n"/>
      <c r="H18" s="32">
        <f>IFERROR(IF('PyG 3 Años'!$B$9="","",MAX(0,-E19)),"")</f>
        <v>8368.136930919763</v>
      </c>
      <c r="I18" s="28" t="n"/>
      <c r="J18" s="28" t="n"/>
      <c r="K18" s="32">
        <f>IFERROR(IF('PyG 3 Años'!$B$9="","",MAX(0,-H19)),"")</f>
        <v>7728.622269902151</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-8368.136930919763</v>
      </c>
      <c r="F19" s="28" t="n"/>
      <c r="G19" s="28" t="n"/>
      <c r="H19" s="32">
        <f>IFERROR(IF('PyG 3 Años'!$B$9="","",SUM(E16:G16)-SUM(E17:G17)-H18),"")</f>
        <v>-7728.622269902151</v>
      </c>
      <c r="I19" s="28" t="n"/>
      <c r="J19" s="28" t="n"/>
      <c r="K19" s="32">
        <f>IFERROR(IF('PyG 3 Años'!$B$9="","",SUM(H16:J16)-SUM(H17:J17)-K18),"")</f>
        <v>-5940.666631819959</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-3039.989964122636</v>
      </c>
      <c r="C21" s="26">
        <f>IFERROR(IF('PyG 3 Años'!$B$9="","",SUM(C9:C15)+IF(C20="",0,C20)),"")</f>
        <v>-480.91911339276805</v>
      </c>
      <c r="D21" s="26">
        <f>IFERROR(IF('PyG 3 Años'!$B$9="","",SUM(D9:D15)+IF(D20="",0,D20)),"")</f>
        <v>1137.809502777415</v>
      </c>
      <c r="E21" s="26">
        <f>IFERROR(IF('PyG 3 Años'!$B$9="","",SUM(E9:E15)+IF(E20="",0,E20)),"")</f>
        <v>2783.760726010004</v>
      </c>
      <c r="F21" s="26">
        <f>IFERROR(IF('PyG 3 Años'!$B$9="","",SUM(F9:F15)+IF(F20="",0,F20)),"")</f>
        <v>-1291.5658723055737</v>
      </c>
      <c r="G21" s="26">
        <f>IFERROR(IF('PyG 3 Años'!$B$9="","",SUM(G9:G15)+IF(G20="",0,G20)),"")</f>
        <v>-536.9348947829232</v>
      </c>
      <c r="H21" s="26">
        <f>IFERROR(IF('PyG 3 Años'!$B$9="","",SUM(H9:H15)+IF(H20="",0,H20)),"")</f>
        <v>1712.5851469580346</v>
      </c>
      <c r="I21" s="26">
        <f>IFERROR(IF('PyG 3 Años'!$B$9="","",SUM(I9:I15)+IF(I20="",0,I20)),"")</f>
        <v>5856.429470160178</v>
      </c>
      <c r="J21" s="26">
        <f>IFERROR(IF('PyG 3 Años'!$B$9="","",SUM(J9:J15)+IF(J20="",0,J20)),"")</f>
        <v>5658.551426891349</v>
      </c>
      <c r="K21" s="26">
        <f>IFERROR(IF('PyG 3 Años'!$B$9="","",SUM(K9:K15)+IF(K20="",0,K20)),"")</f>
        <v>505.12293172428633</v>
      </c>
      <c r="L21" s="26">
        <f>IFERROR(IF('PyG 3 Años'!$B$9="","",SUM(L9:L15)+IF(L20="",0,L20)),"")</f>
        <v>1195.2752481988825</v>
      </c>
      <c r="M21" s="26">
        <f>IFERROR(IF('PyG 3 Años'!$B$9="","",SUM(M9:M15)+IF(M20="",0,M20)),"")</f>
        <v>1011.4667291295199</v>
      </c>
      <c r="N21" s="26">
        <f>IFERROR(IF('PyG 3 Años'!$B$9="","",SUM(B21:M21)),"")</f>
        <v>14511.591337245769</v>
      </c>
      <c r="O21" s="28" t="n"/>
    </row>
    <row r="22">
      <c r="A22" s="25" t="inlineStr">
        <is>
          <t>SALDO ACUMULADO DE CAJA</t>
        </is>
      </c>
      <c r="B22" s="26">
        <f>IFERROR(IF('PyG 3 Años'!$B$9="","",'Inversión Inicial'!$B$25+B21),"")</f>
        <v>12604.615035877367</v>
      </c>
      <c r="C22" s="26">
        <f>IFERROR(IF('PyG 3 Años'!$B$9="","",B22+C21),"")</f>
        <v>12123.695922484598</v>
      </c>
      <c r="D22" s="26">
        <f>IFERROR(IF('PyG 3 Años'!$B$9="","",C22+D21),"")</f>
        <v>13261.505425262012</v>
      </c>
      <c r="E22" s="26">
        <f>IFERROR(IF('PyG 3 Años'!$B$9="","",D22+E21),"")</f>
        <v>16045.266151272015</v>
      </c>
      <c r="F22" s="26">
        <f>IFERROR(IF('PyG 3 Años'!$B$9="","",E22+F21),"")</f>
        <v>14753.700278966442</v>
      </c>
      <c r="G22" s="26">
        <f>IFERROR(IF('PyG 3 Años'!$B$9="","",F22+G21),"")</f>
        <v>14216.765384183518</v>
      </c>
      <c r="H22" s="26">
        <f>IFERROR(IF('PyG 3 Años'!$B$9="","",G22+H21),"")</f>
        <v>15929.350531141552</v>
      </c>
      <c r="I22" s="26">
        <f>IFERROR(IF('PyG 3 Años'!$B$9="","",H22+I21),"")</f>
        <v>21785.78000130173</v>
      </c>
      <c r="J22" s="26">
        <f>IFERROR(IF('PyG 3 Años'!$B$9="","",I22+J21),"")</f>
        <v>27444.33142819308</v>
      </c>
      <c r="K22" s="26">
        <f>IFERROR(IF('PyG 3 Años'!$B$9="","",J22+K21),"")</f>
        <v>27949.454359917367</v>
      </c>
      <c r="L22" s="26">
        <f>IFERROR(IF('PyG 3 Años'!$B$9="","",K22+L21),"")</f>
        <v>29144.72960811625</v>
      </c>
      <c r="M22" s="26">
        <f>IFERROR(IF('PyG 3 Años'!$B$9="","",L22+M21),"")</f>
        <v>30156.19633724577</v>
      </c>
      <c r="N22" s="28" t="n"/>
      <c r="O22" s="28" t="n"/>
    </row>
    <row r="23">
      <c r="A23" s="28" t="inlineStr">
        <is>
          <t>Saldo mínimo del año</t>
        </is>
      </c>
      <c r="B23" s="32">
        <f>IFERROR(IF('PyG 3 Años'!$B$9="","",IF(COUNT(B22:M22)=0,"",MIN(B22:M22))),"")</f>
        <v>12123.695922484598</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15834.996399999989</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17286.881739999986</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16536.35383899981</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17404.09133724577</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60060.604999999996</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2.7</v>
      </c>
      <c r="C32" s="28" t="n"/>
      <c r="D32" s="28" t="inlineStr">
        <is>
          <t>El mismo cálculo sobre lo que se COMPRA (furgoneta,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95" customHeight="1">
      <c r="A34" s="46" t="inlineStr">
        <is>
          <t>Los trimestres de esta hoja son de tres meses del plan (marzo-mayo, junio-agosto y septiembre-noviembre), no los naturales: con el Mes 1 en marzo, el modelo 303 se presenta en abril (por marzo), julio, octubre y enero (por octubre-diciembre, ya en el Mes 11). El IVA de la inversión se descuenta del que repercutes en las primeras liquidaciones.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25000.0</v>
      </c>
      <c r="C6" s="28" t="n"/>
      <c r="D6" s="28" t="n"/>
      <c r="E6" s="28" t="n"/>
      <c r="F6" s="28" t="n"/>
      <c r="G6" s="28" t="n"/>
      <c r="H6" s="28" t="n"/>
    </row>
    <row r="7">
      <c r="A7" s="28" t="inlineStr">
        <is>
          <t>Préstamo bancario</t>
        </is>
      </c>
      <c r="B7" s="32">
        <f>IFERROR(IF('0. Supuestos'!$B$31="","",'0. Supuestos'!$B$31),"")</f>
        <v>44500.0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69500.0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69009.965</v>
      </c>
      <c r="C14" s="28" t="inlineStr">
        <is>
          <t>Inversión más el IVA que hay que adelantar</t>
        </is>
      </c>
      <c r="D14" s="28" t="n"/>
      <c r="E14" s="28" t="n"/>
      <c r="F14" s="28" t="n"/>
      <c r="G14" s="28" t="n"/>
      <c r="H14" s="28" t="n"/>
    </row>
    <row r="15">
      <c r="A15" s="25" t="inlineStr">
        <is>
          <t>Diferencia (origen - usos)</t>
        </is>
      </c>
      <c r="B15" s="26">
        <f>IFERROR(B12-B14,"")</f>
        <v>490.0350000000035</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0.007100931003225455</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44009.965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44500.0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10708.236923088165</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44500.0</v>
      </c>
      <c r="C27" s="70">
        <f>IFERROR(IF(OR(1&gt;B22,B27=""),"",B27*B21),"")</f>
        <v>2892.5</v>
      </c>
      <c r="D27" s="70">
        <f>IFERROR(IF(OR(1&gt;B22,B27=""),"",IF(1&lt;=B23,0,MIN(B27,B24-C27))),"")</f>
        <v>0.0</v>
      </c>
      <c r="E27" s="70">
        <f>IFERROR(IF(C27="","",C27+D27),"")</f>
        <v>2892.5</v>
      </c>
      <c r="F27" s="70">
        <f>IFERROR(IF(D27="","",B27-D27),"")</f>
        <v>44500.0</v>
      </c>
      <c r="G27" s="70">
        <f>IFERROR(IF(E27="","",'PyG 3 Años'!$B$41-'PyG 3 Años'!$B$46+'PyG 3 Años'!$B$36+'PyG 3 Años'!$B$37),"")</f>
        <v>15834.996399999989</v>
      </c>
      <c r="H27" s="61">
        <f>IFERROR(IF(OR(E27="",E27=0),"",G27/E27),"")</f>
        <v>5.474501780466721</v>
      </c>
    </row>
    <row r="28">
      <c r="A28" s="40" t="n">
        <v>2</v>
      </c>
      <c r="B28" s="70">
        <f>IFERROR(IF(OR(2&gt;B22,F27=""),"",F27),"")</f>
        <v>44500.0</v>
      </c>
      <c r="C28" s="70">
        <f>IFERROR(IF(OR(2&gt;B22,B28=""),"",B28*B21),"")</f>
        <v>2892.5</v>
      </c>
      <c r="D28" s="70">
        <f>IFERROR(IF(OR(2&gt;B22,B28=""),"",IF(2&lt;=B23,0,MIN(B28,B24-C28))),"")</f>
        <v>7815.736923088165</v>
      </c>
      <c r="E28" s="70">
        <f>IFERROR(IF(C28="","",C28+D28),"")</f>
        <v>10708.236923088165</v>
      </c>
      <c r="F28" s="70">
        <f>IFERROR(IF(D28="","",B28-D28),"")</f>
        <v>36684.26307691183</v>
      </c>
      <c r="G28" s="70">
        <f>IFERROR(IF(E28="","",'PyG 3 Años'!$C$41-'PyG 3 Años'!$C$46+'PyG 3 Años'!$C$36+'PyG 3 Años'!$C$37),"")</f>
        <v>17286.881739999986</v>
      </c>
      <c r="H28" s="61">
        <f>IFERROR(IF(OR(E28="",E28=0),"",G28/E28),"")</f>
        <v>1.6143536853137348</v>
      </c>
    </row>
    <row r="29">
      <c r="A29" s="40" t="n">
        <v>3</v>
      </c>
      <c r="B29" s="70">
        <f>IFERROR(IF(OR(3&gt;B22,F28=""),"",F28),"")</f>
        <v>36684.26307691183</v>
      </c>
      <c r="C29" s="70">
        <f>IFERROR(IF(OR(3&gt;B22,B29=""),"",B29*B21),"")</f>
        <v>2384.4770999992693</v>
      </c>
      <c r="D29" s="70">
        <f>IFERROR(IF(OR(3&gt;B22,B29=""),"",IF(3&lt;=B23,0,MIN(B29,B24-C29))),"")</f>
        <v>8323.759823088896</v>
      </c>
      <c r="E29" s="70">
        <f>IFERROR(IF(C29="","",C29+D29),"")</f>
        <v>10708.236923088165</v>
      </c>
      <c r="F29" s="70">
        <f>IFERROR(IF(D29="","",B29-D29),"")</f>
        <v>28360.503253822935</v>
      </c>
      <c r="G29" s="70">
        <f>IFERROR(IF(E29="","",'PyG 3 Años'!$D$41-'PyG 3 Años'!$D$46+'PyG 3 Años'!$D$36+'PyG 3 Años'!$D$37),"")</f>
        <v>16536.35383899981</v>
      </c>
      <c r="H29" s="61">
        <f>IFERROR(IF(OR(E29="",E29=0),"",G29/E29),"")</f>
        <v>1.5442648456297758</v>
      </c>
    </row>
    <row r="30">
      <c r="A30" s="40" t="n">
        <v>4</v>
      </c>
      <c r="B30" s="70">
        <f>IFERROR(IF(OR(4&gt;B22,F29=""),"",F29),"")</f>
        <v>28360.503253822935</v>
      </c>
      <c r="C30" s="70">
        <f>IFERROR(IF(OR(4&gt;B22,B30=""),"",B30*B21),"")</f>
        <v>1843.4327114984908</v>
      </c>
      <c r="D30" s="70">
        <f>IFERROR(IF(OR(4&gt;B22,B30=""),"",IF(4&lt;=B23,0,MIN(B30,B24-C30))),"")</f>
        <v>8864.804211589675</v>
      </c>
      <c r="E30" s="70">
        <f>IFERROR(IF(C30="","",C30+D30),"")</f>
        <v>10708.236923088167</v>
      </c>
      <c r="F30" s="70">
        <f>IFERROR(IF(D30="","",B30-D30),"")</f>
        <v>19495.69904223326</v>
      </c>
      <c r="G30" s="70">
        <f>IFERROR(IF(E30="","",'PyG 3 Años'!$D$41-'PyG 3 Años'!$D$46+'PyG 3 Años'!$D$36+'PyG 3 Años'!$D$37),"")</f>
        <v>16536.35383899981</v>
      </c>
      <c r="H30" s="61">
        <f>IFERROR(IF(OR(E30="",E30=0),"",G30/E30),"")</f>
        <v>1.5442648456297756</v>
      </c>
    </row>
    <row r="31">
      <c r="A31" s="40" t="n">
        <v>5</v>
      </c>
      <c r="B31" s="70">
        <f>IFERROR(IF(OR(5&gt;B22,F30=""),"",F30),"")</f>
        <v>19495.69904223326</v>
      </c>
      <c r="C31" s="70">
        <f>IFERROR(IF(OR(5&gt;B22,B31=""),"",B31*B21),"")</f>
        <v>1267.220437745162</v>
      </c>
      <c r="D31" s="70">
        <f>IFERROR(IF(OR(5&gt;B22,B31=""),"",IF(5&lt;=B23,0,MIN(B31,B24-C31))),"")</f>
        <v>9441.016485343003</v>
      </c>
      <c r="E31" s="70">
        <f>IFERROR(IF(C31="","",C31+D31),"")</f>
        <v>10708.236923088165</v>
      </c>
      <c r="F31" s="70">
        <f>IFERROR(IF(D31="","",B31-D31),"")</f>
        <v>10054.682556890257</v>
      </c>
      <c r="G31" s="70">
        <f>IFERROR(IF(E31="","",'PyG 3 Años'!$D$41-'PyG 3 Años'!$D$46+'PyG 3 Años'!$D$36+'PyG 3 Años'!$D$37),"")</f>
        <v>16536.35383899981</v>
      </c>
      <c r="H31" s="61">
        <f>IFERROR(IF(OR(E31="",E31=0),"",G31/E31),"")</f>
        <v>1.5442648456297758</v>
      </c>
    </row>
    <row r="32">
      <c r="A32" s="40" t="n">
        <v>6</v>
      </c>
      <c r="B32" s="70">
        <f>IFERROR(IF(OR(6&gt;B22,F31=""),"",F31),"")</f>
        <v>10054.682556890257</v>
      </c>
      <c r="C32" s="70">
        <f>IFERROR(IF(OR(6&gt;B22,B32=""),"",B32*B21),"")</f>
        <v>653.5543661978667</v>
      </c>
      <c r="D32" s="70">
        <f>IFERROR(IF(OR(6&gt;B22,B32=""),"",IF(6&lt;=B23,0,MIN(B32,B24-C32))),"")</f>
        <v>10054.682556890257</v>
      </c>
      <c r="E32" s="70">
        <f>IFERROR(IF(C32="","",C32+D32),"")</f>
        <v>10708.236923088123</v>
      </c>
      <c r="F32" s="70">
        <f>IFERROR(IF(D32="","",B32-D32),"")</f>
        <v>0.0</v>
      </c>
      <c r="G32" s="70">
        <f>IFERROR(IF(E32="","",'PyG 3 Años'!$D$41-'PyG 3 Años'!$D$46+'PyG 3 Años'!$D$36+'PyG 3 Años'!$D$37),"")</f>
        <v>16536.35383899981</v>
      </c>
      <c r="H32" s="61">
        <f>IFERROR(IF(OR(E32="",E32=0),"",G32/E32),"")</f>
        <v>1.5442648456297818</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2892.5</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2892.5</v>
      </c>
      <c r="C46" s="28" t="n"/>
      <c r="D46" s="28" t="n"/>
      <c r="E46" s="28" t="n"/>
      <c r="F46" s="28" t="n"/>
      <c r="G46" s="28" t="n"/>
      <c r="H46" s="28" t="n"/>
    </row>
    <row r="47">
      <c r="A47" s="28" t="inlineStr">
        <is>
          <t>Devolución de principal del año 2</t>
        </is>
      </c>
      <c r="B47" s="32">
        <f>IFERROR(IF(B20="","",IF(D28="",0,D28)),"")</f>
        <v>7815.736923088165</v>
      </c>
      <c r="C47" s="28" t="n"/>
      <c r="D47" s="28" t="n"/>
      <c r="E47" s="28" t="n"/>
      <c r="F47" s="28" t="n"/>
      <c r="G47" s="28" t="n"/>
      <c r="H47" s="28" t="n"/>
    </row>
    <row r="48">
      <c r="A48" s="28" t="inlineStr">
        <is>
          <t>Intereses del año 3</t>
        </is>
      </c>
      <c r="B48" s="32">
        <f>IFERROR(IF(B20="","",IF(C29="",0,C29)),"")</f>
        <v>2384.4770999992693</v>
      </c>
      <c r="C48" s="28" t="n"/>
      <c r="D48" s="28" t="n"/>
      <c r="E48" s="28" t="n"/>
      <c r="F48" s="28" t="n"/>
      <c r="G48" s="28" t="n"/>
      <c r="H48" s="28" t="n"/>
    </row>
    <row r="49">
      <c r="A49" s="28" t="inlineStr">
        <is>
          <t>Devolución de principal del año 3</t>
        </is>
      </c>
      <c r="B49" s="32">
        <f>IFERROR(IF(B20="","",IF(D29="",0,D29)),"")</f>
        <v>8323.759823088896</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5.474501780466721</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1.6143536853137348</v>
      </c>
      <c r="C52" s="28" t="n"/>
      <c r="D52" s="28" t="n"/>
      <c r="E52" s="28" t="n"/>
      <c r="F52" s="28" t="n"/>
      <c r="G52" s="28" t="n"/>
      <c r="H52" s="28" t="n"/>
    </row>
    <row r="53">
      <c r="A53" s="28" t="inlineStr">
        <is>
          <t>DSCR del año 3</t>
        </is>
      </c>
      <c r="B53" s="61">
        <f>IFERROR(('PyG 3 Años'!$D$41-'PyG 3 Años'!$D$46+'PyG 3 Años'!$D$36+B48)/(B48+B49),"")</f>
        <v>1.5442648456297758</v>
      </c>
      <c r="C53" s="28" t="n"/>
      <c r="D53" s="28" t="n"/>
      <c r="E53" s="28" t="n"/>
      <c r="F53" s="28" t="n"/>
      <c r="G53" s="28" t="n"/>
      <c r="H53" s="28" t="n"/>
    </row>
    <row r="54">
      <c r="A54" s="25" t="inlineStr">
        <is>
          <t>DSCR mínimo de todo el cuadro</t>
        </is>
      </c>
      <c r="B54" s="62">
        <f>IFERROR(IF(COUNT(H27:H41)=0,"",MIN(H27:H41)),"")</f>
        <v>1.5442648456297756</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Cafetería Móvil para Eventos · v1.0</dc:title>
  <dc:description xmlns:dc="http://purl.org/dc/elements/1.1/">aichef.pro/plan-negocio-cafeteria-movil-eventos</dc:description>
  <dc:subject xmlns:dc="http://purl.org/dc/elements/1.1/">Plan financiero — Cafetería Móvil para Eventos · v1.0</dc:subject>
  <dcterms:created xmlns:dcterms="http://purl.org/dc/terms/" xmlns:xsi="http://www.w3.org/2001/XMLSchema-instance" xsi:type="dcterms:W3CDTF">2026-03-26T14:46:57Z</dcterms:created>
  <dcterms:modified xmlns:dcterms="http://purl.org/dc/terms/" xmlns:xsi="http://www.w3.org/2001/XMLSchema-instance" xsi:type="dcterms:W3CDTF">2026-10-28T18:46:07Z</dcterms:modified>
  <cp:lastModifiedBy>AI Chef Pro</cp:lastModifiedBy>
  <cp:category>AI Chef Pro · Productos digitales</cp:category>
  <cp:keywords>plan de negocio cafetería móvil para eventos, barra de café, AI Chef Pro</cp:keywords>
</cp:coreProperties>
</file>