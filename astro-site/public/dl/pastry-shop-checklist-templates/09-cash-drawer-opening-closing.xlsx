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ash Drawer Opening" sheetId="2" state="visible" r:id="rId2"/>
    <sheet xmlns:r="http://schemas.openxmlformats.org/officeDocument/2006/relationships" name="Cash Drawer Closing" sheetId="3" state="visible" r:id="rId3"/>
    <sheet xmlns:r="http://schemas.openxmlformats.org/officeDocument/2006/relationships" name="Monthly Cash Log" sheetId="4" state="visible" r:id="rId4"/>
  </sheets>
  <definedNames>
    <definedName name="_xlnm.Print_Area" localSheetId="0">'Instructions'!$A$1:$A$20</definedName>
    <definedName name="_xlnm.Print_Titles" localSheetId="1">'Cash Drawer Opening'!$4:$4</definedName>
    <definedName name="_xlnm.Print_Area" localSheetId="1">'Cash Drawer Opening'!$A$1:$F$18</definedName>
    <definedName name="_xlnm.Print_Titles" localSheetId="2">'Cash Drawer Closing'!$4:$4</definedName>
    <definedName name="_xlnm.Print_Area" localSheetId="2">'Cash Drawer Closing'!$A$1:$F$48</definedName>
    <definedName name="_xlnm.Print_Titles" localSheetId="3">'Monthly Cash Log'!$4:$4</definedName>
    <definedName name="_xlnm.Print_Area" localSheetId="3">'Monthly Cash Log'!$A$1:$I$38</definedName>
  </definedNames>
  <calcPr calcId="124519" fullCalcOnLoad="1"/>
</workbook>
</file>

<file path=xl/styles.xml><?xml version="1.0" encoding="utf-8"?>
<styleSheet xmlns="http://schemas.openxmlformats.org/spreadsheetml/2006/main">
  <numFmts count="1">
    <numFmt numFmtId="164" formatCode="#,##0.00"/>
  </numFmts>
  <fonts count="13">
    <font>
      <name val="Calibri"/>
      <family val="2"/>
      <color theme="1"/>
      <sz val="11"/>
      <scheme val="minor"/>
    </font>
    <font>
      <name val="Calibri"/>
      <b val="1"/>
      <color rgb="00FFFFFF"/>
      <sz val="16"/>
    </font>
    <font>
      <name val="Calibri"/>
      <b val="1"/>
      <color rgb="00FFD700"/>
      <sz val="12"/>
    </font>
    <font>
      <name val="Calibri"/>
      <color rgb="00FFFFFF"/>
      <sz val="11"/>
    </font>
    <font>
      <name val="Calibri"/>
      <b val="1"/>
      <color rgb="001A1A1A"/>
      <sz val="14"/>
    </font>
    <font>
      <name val="Calibri"/>
      <color rgb="001A1A1A"/>
      <sz val="10"/>
    </font>
    <font>
      <name val="Calibri"/>
      <b val="1"/>
      <color rgb="001A1A1A"/>
      <sz val="10"/>
    </font>
    <font>
      <name val="Calibri"/>
      <b val="1"/>
      <color rgb="00FFFFFF"/>
      <sz val="11"/>
    </font>
    <font>
      <name val="Calibri"/>
      <i val="1"/>
      <color rgb="00888888"/>
      <sz val="9"/>
    </font>
    <font>
      <name val="Calibri"/>
      <b val="1"/>
      <color rgb="001A1A1A"/>
      <sz val="13"/>
    </font>
    <font>
      <name val="Calibri"/>
      <b val="1"/>
      <color rgb="001A1A1A"/>
      <sz val="11"/>
    </font>
    <font>
      <name val="Calibri"/>
      <b val="1"/>
      <color rgb="00FFFFFF"/>
      <sz val="12"/>
    </font>
    <font>
      <name val="Calibri"/>
      <color rgb="00999999"/>
      <sz val="9"/>
    </font>
  </fonts>
  <fills count="8">
    <fill>
      <patternFill/>
    </fill>
    <fill>
      <patternFill patternType="gray125"/>
    </fill>
    <fill>
      <patternFill patternType="solid">
        <fgColor rgb="001A1A1A"/>
        <bgColor rgb="001A1A1A"/>
      </patternFill>
    </fill>
    <fill>
      <patternFill patternType="solid">
        <fgColor rgb="00FFD700"/>
        <bgColor rgb="00FFD700"/>
      </patternFill>
    </fill>
    <fill>
      <patternFill patternType="solid">
        <fgColor rgb="00FFFFFF"/>
        <bgColor rgb="00FFFFFF"/>
      </patternFill>
    </fill>
    <fill>
      <patternFill patternType="solid">
        <fgColor rgb="002D2D2D"/>
        <bgColor rgb="002D2D2D"/>
      </patternFill>
    </fill>
    <fill>
      <patternFill patternType="solid">
        <fgColor rgb="00F5F5F5"/>
        <bgColor rgb="00F5F5F5"/>
      </patternFill>
    </fill>
    <fill>
      <patternFill patternType="solid">
        <fgColor rgb="00E8F5E9"/>
      </patternFill>
    </fill>
  </fills>
  <borders count="6">
    <border>
      <left/>
      <right/>
      <top/>
      <bottom/>
      <diagonal/>
    </border>
    <border>
      <left style="thin">
        <color rgb="00E0E0E0"/>
      </left>
      <right style="thin">
        <color rgb="00E0E0E0"/>
      </right>
      <top style="thin">
        <color rgb="00E0E0E0"/>
      </top>
      <bottom style="thin">
        <color rgb="00E0E0E0"/>
      </bottom>
    </border>
    <border>
      <left/>
      <right/>
      <top style="thin">
        <color rgb="00E0E0E0"/>
      </top>
      <bottom/>
      <diagonal/>
    </border>
    <border>
      <left/>
      <right style="thin">
        <color rgb="00E0E0E0"/>
      </right>
      <top style="thin">
        <color rgb="00E0E0E0"/>
      </top>
      <bottom/>
      <diagonal/>
    </border>
    <border>
      <left/>
      <right style="thin">
        <color rgb="00E0E0E0"/>
      </right>
      <top style="thin">
        <color rgb="00E0E0E0"/>
      </top>
      <bottom style="thin">
        <color rgb="00E0E0E0"/>
      </bottom>
      <diagonal/>
    </border>
    <border>
      <left/>
      <right/>
      <top style="thin">
        <color rgb="00E0E0E0"/>
      </top>
      <bottom style="thin">
        <color rgb="00E0E0E0"/>
      </bottom>
      <diagonal/>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3" borderId="0" applyAlignment="1" pivotButton="0" quotePrefix="0" xfId="0">
      <alignment horizontal="center" vertical="center" wrapText="1"/>
    </xf>
    <xf numFmtId="0" fontId="5" fillId="4" borderId="0" applyAlignment="1" pivotButton="0" quotePrefix="0" xfId="0">
      <alignment horizontal="left" vertical="center" wrapText="1"/>
    </xf>
    <xf numFmtId="0" fontId="6" fillId="3" borderId="0" applyAlignment="1" pivotButton="0" quotePrefix="0" xfId="0">
      <alignment horizontal="left" vertical="center" wrapText="1"/>
    </xf>
    <xf numFmtId="0" fontId="7"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8" fillId="0" borderId="0" applyAlignment="1" pivotButton="0" quotePrefix="0" xfId="0">
      <alignment horizontal="right" vertical="center" wrapText="1"/>
    </xf>
    <xf numFmtId="0" fontId="9" fillId="3" borderId="0" applyAlignment="1" pivotButton="0" quotePrefix="0" xfId="0">
      <alignment horizontal="center" vertical="center" wrapText="1"/>
    </xf>
    <xf numFmtId="0" fontId="10" fillId="3" borderId="1" applyAlignment="1" pivotButton="0" quotePrefix="0" xfId="0">
      <alignment horizontal="center" vertical="center" wrapText="1"/>
    </xf>
    <xf numFmtId="0" fontId="6" fillId="6" borderId="1" applyAlignment="1" pivotButton="0" quotePrefix="0" xfId="0">
      <alignment horizontal="center" vertical="center" wrapText="1"/>
    </xf>
    <xf numFmtId="164" fontId="5" fillId="6" borderId="1" applyAlignment="1" pivotButton="0" quotePrefix="0" xfId="0">
      <alignment horizontal="right" vertical="center" wrapText="1"/>
    </xf>
    <xf numFmtId="0" fontId="6" fillId="4" borderId="1" applyAlignment="1" pivotButton="0" quotePrefix="0" xfId="0">
      <alignment horizontal="center" vertical="center" wrapText="1"/>
    </xf>
    <xf numFmtId="164" fontId="5" fillId="4" borderId="1" applyAlignment="1" pivotButton="0" quotePrefix="0" xfId="0">
      <alignment horizontal="right" vertical="center" wrapText="1"/>
    </xf>
    <xf numFmtId="0" fontId="7" fillId="2" borderId="1" applyAlignment="1" pivotButton="0" quotePrefix="0" xfId="0">
      <alignment horizontal="center" vertical="center" wrapText="1"/>
    </xf>
    <xf numFmtId="0" fontId="0" fillId="0" borderId="4" pivotButton="0" quotePrefix="0" xfId="0"/>
    <xf numFmtId="164" fontId="11" fillId="2" borderId="1" applyAlignment="1" pivotButton="0" quotePrefix="0" xfId="0">
      <alignment horizontal="right" vertical="center" wrapText="1"/>
    </xf>
    <xf numFmtId="0" fontId="6" fillId="3" borderId="1" applyAlignment="1" pivotButton="0" quotePrefix="0" xfId="0">
      <alignment horizontal="left" vertical="center" wrapText="1"/>
    </xf>
    <xf numFmtId="164" fontId="6" fillId="3" borderId="1" applyAlignment="1" pivotButton="0" quotePrefix="0" xfId="0">
      <alignment horizontal="right" vertical="center" wrapText="1"/>
    </xf>
    <xf numFmtId="164" fontId="7" fillId="2" borderId="1" applyAlignment="1" pivotButton="0" quotePrefix="0" xfId="0">
      <alignment horizontal="right" vertical="center" wrapText="1"/>
    </xf>
    <xf numFmtId="0" fontId="12" fillId="0" borderId="0" pivotButton="0" quotePrefix="0" xfId="0"/>
    <xf numFmtId="0" fontId="0" fillId="0" borderId="5" pivotButton="0" quotePrefix="0" xfId="0"/>
    <xf numFmtId="0" fontId="5" fillId="7" borderId="1" applyAlignment="1" pivotButton="0" quotePrefix="0" xfId="0">
      <alignment horizontal="center" vertical="center" wrapText="1"/>
    </xf>
    <xf numFmtId="1" fontId="5" fillId="7" borderId="1" applyAlignment="1" pivotButton="0" quotePrefix="0" xfId="0">
      <alignment horizontal="center" vertical="center" wrapText="1"/>
    </xf>
    <xf numFmtId="164" fontId="5" fillId="7" borderId="1" applyAlignment="1" pivotButton="0" quotePrefix="0" xfId="0">
      <alignment horizontal="right" vertical="center" wrapText="1"/>
    </xf>
    <xf numFmtId="164" fontId="5" fillId="7" borderId="1" applyAlignment="1" pivotButton="0" quotePrefix="0" xfId="0">
      <alignment horizontal="center" vertical="center" wrapText="1"/>
    </xf>
    <xf numFmtId="4" fontId="5" fillId="7" borderId="1" applyAlignment="1" pivotButton="0" quotePrefix="0" xfId="0">
      <alignment horizontal="center" vertical="center" wrapText="1"/>
    </xf>
    <xf numFmtId="4" fontId="5" fillId="6" borderId="1" applyAlignment="1" pivotButton="0" quotePrefix="0" xfId="0">
      <alignment horizontal="right" vertical="center" wrapText="1"/>
    </xf>
    <xf numFmtId="4" fontId="5" fillId="4" borderId="1" applyAlignment="1" pivotButton="0" quotePrefix="0" xfId="0">
      <alignment horizontal="right" vertical="center" wrapText="1"/>
    </xf>
    <xf numFmtId="4" fontId="11" fillId="2" borderId="1" applyAlignment="1" pivotButton="0" quotePrefix="0" xfId="0">
      <alignment horizontal="right" vertical="center" wrapText="1"/>
    </xf>
    <xf numFmtId="4" fontId="5" fillId="7" borderId="1" applyAlignment="1" pivotButton="0" quotePrefix="0" xfId="0">
      <alignment horizontal="right" vertical="center" wrapText="1"/>
    </xf>
    <xf numFmtId="4" fontId="6" fillId="3" borderId="1" applyAlignment="1" pivotButton="0" quotePrefix="0" xfId="0">
      <alignment horizontal="right" vertical="center" wrapText="1"/>
    </xf>
    <xf numFmtId="4" fontId="7" fillId="2" borderId="1" applyAlignment="1" pivotButton="0" quotePrefix="0" xfId="0">
      <alignment horizontal="right" vertical="center" wrapText="1"/>
    </xf>
  </cellXfs>
  <cellStyles count="1">
    <cellStyle name="Normal" xfId="0" builtinId="0" hidden="0"/>
  </cellStyles>
  <dxfs count="2">
    <dxf>
      <fill>
        <patternFill patternType="solid">
          <fgColor rgb="00FFF3CD"/>
          <bgColor rgb="00FFF3CD"/>
        </patternFill>
      </fill>
    </dxf>
    <dxf>
      <fill>
        <patternFill patternType="solid">
          <fgColor rgb="00C8E6C9"/>
          <b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sheetPr>
  <dimension ref="A1:B30"/>
  <sheetViews>
    <sheetView workbookViewId="0">
      <selection activeCell="A1" sqref="A1"/>
    </sheetView>
  </sheetViews>
  <sheetFormatPr baseColWidth="8" defaultRowHeight="18"/>
  <cols>
    <col width="3" customWidth="1" min="1" max="1"/>
    <col width="108" customWidth="1" min="2" max="2"/>
  </cols>
  <sheetData>
    <row r="1" ht="40" customHeight="1">
      <c r="A1" s="1" t="n"/>
    </row>
    <row r="2" ht="30" customHeight="1">
      <c r="A2" s="2" t="n"/>
      <c r="B2" s="3" t="inlineStr">
        <is>
          <t>09 · Cash Drawer Opening &amp; Closing: Count Sheet, Z Report &amp; Over/Short Log</t>
        </is>
      </c>
    </row>
    <row r="3">
      <c r="A3" s="3" t="n"/>
    </row>
    <row r="4">
      <c r="B4" s="4" t="inlineStr">
        <is>
          <t>What it solves:</t>
        </is>
      </c>
    </row>
    <row r="5" ht="35" customHeight="1">
      <c r="A5" s="4" t="n"/>
      <c r="B5" s="5" t="inlineStr">
        <is>
          <t>▸ The daily cash count for the shop register: starting bank, count by denomination and reconciliation against the POS Z report</t>
        </is>
      </c>
    </row>
    <row r="6">
      <c r="A6" s="5" t="n"/>
      <c r="B6" s="5" t="inlineStr">
        <is>
          <t>▸ The monthly log, to see at a glance which days were over/short and by how much</t>
        </is>
      </c>
    </row>
    <row r="7">
      <c r="A7" s="5" t="n"/>
    </row>
    <row r="8">
      <c r="A8" s="5" t="n"/>
      <c r="B8" s="4" t="inlineStr">
        <is>
          <t>How to use:</t>
        </is>
      </c>
    </row>
    <row r="9">
      <c r="A9" s="5" t="n"/>
      <c r="B9" s="5" t="inlineStr">
        <is>
          <t>▸ Cash Drawer Opening: count the starting bank and enter it in the green cell "Starting bank (opening float)"</t>
        </is>
      </c>
    </row>
    <row r="10">
      <c r="A10" s="5" t="n"/>
      <c r="B10" s="5" t="inlineStr">
        <is>
          <t>▸ Cash Drawer Closing: print the POS Z report, count the cash by denomination and log card sales (WITHOUT tips), other payments and card tips paid out in cash from the drawer</t>
        </is>
      </c>
    </row>
    <row r="11">
      <c r="A11" s="5" t="n"/>
      <c r="B11" s="5" t="inlineStr">
        <is>
          <t>▸ The starting bank is subtracted automatically: TOTAL COLLECTED = (cash counted − starting bank) + card sales + other</t>
        </is>
      </c>
    </row>
    <row r="12">
      <c r="A12" s="5" t="n"/>
      <c r="B12" s="5" t="inlineStr">
        <is>
          <t>▸ If the OVER / SHORT box turns amber, the drawer doesn't balance: check it before closing</t>
        </is>
      </c>
    </row>
    <row r="13">
      <c r="A13" s="5" t="n"/>
      <c r="B13" s="5" t="inlineStr">
        <is>
          <t>▸ Monthly Cash Log: each day enter net cash (without the starting bank), card sales without tips, other payments plus tips paid out, and the Z report; the over/short calculates itself</t>
        </is>
      </c>
    </row>
    <row r="14">
      <c r="A14" s="5" t="n"/>
    </row>
    <row r="15">
      <c r="A15" s="5" t="n"/>
      <c r="B15" s="4" t="inlineStr">
        <is>
          <t>Customization:</t>
        </is>
      </c>
    </row>
    <row r="16">
      <c r="A16" s="5" t="n"/>
      <c r="B16" s="5" t="inlineStr">
        <is>
          <t>▸ Green cells are editable: adjust amounts, assignments and times</t>
        </is>
      </c>
    </row>
    <row r="17">
      <c r="A17" s="5" t="n"/>
      <c r="B17" s="5" t="inlineStr">
        <is>
          <t>▸ Add or remove tasks to fit your routine and delete the denominations you don't use. The table uses US bills and coins (the penny is no longer minted but is still legal tender; a 25¢ roll counts $10 and a 10¢ roll $5). In the UK, Canada or Australia, change each row's label and value</t>
        </is>
      </c>
    </row>
    <row r="18">
      <c r="A18" s="5" t="n"/>
      <c r="B18" s="5" t="inlineStr">
        <is>
          <t>▸ Laminate a printed copy and use dry-erase markers to reuse it every day</t>
        </is>
      </c>
    </row>
    <row r="19">
      <c r="B19" s="4" t="n"/>
    </row>
    <row r="20">
      <c r="A20" s="25" t="n"/>
      <c r="B20" s="4" t="inlineStr">
        <is>
          <t>Works with:</t>
        </is>
      </c>
    </row>
    <row r="21">
      <c r="B21" s="5" t="inlineStr">
        <is>
          <t>▸ 08 Shop Opening &amp; Closing — cashing out is one of its last tasks of the day</t>
        </is>
      </c>
    </row>
    <row r="22">
      <c r="B22" s="5" t="inlineStr">
        <is>
          <t>▸ 10 Production Schedule &amp; Waste Log — leftover case product is logged on its sheet "Made vs Sold"</t>
        </is>
      </c>
    </row>
    <row r="23">
      <c r="B23" s="5" t="n"/>
    </row>
    <row r="24">
      <c r="B24" s="5" t="inlineStr">
        <is>
          <t>Mark ✓ in the "✓ Done" column (dropdown) for each task you complete.</t>
        </is>
      </c>
    </row>
    <row r="25">
      <c r="B25" s="5" t="n"/>
    </row>
    <row r="26">
      <c r="B26" s="5" t="inlineStr">
        <is>
          <t>© AI Chef Pro — aichef.pro</t>
        </is>
      </c>
    </row>
    <row r="27">
      <c r="B27" s="5" t="inlineStr">
        <is>
          <t>Designed by John Guerrero — chef and restaurant consultant since 2010, in professional kitchens since age 17 · johnguerrero.es</t>
        </is>
      </c>
    </row>
    <row r="28">
      <c r="B28" s="5" t="inlineStr">
        <is>
          <t>Contact: info@aichef.pro</t>
        </is>
      </c>
    </row>
    <row r="29">
      <c r="B29" s="5" t="n"/>
    </row>
    <row r="30">
      <c r="B30" s="5" t="inlineStr">
        <is>
          <t>Version 2.0 · October 2026 · aichef.pro/en/digital-products/pastry-shop-checklist-templates · info@aichef.pro</t>
        </is>
      </c>
    </row>
  </sheetData>
  <pageMargins left="0.75" right="0.75" top="1" bottom="1" header="0.5" footer="0.5"/>
  <pageSetup orientation="portrait" paperSize="1"/>
</worksheet>
</file>

<file path=xl/worksheets/sheet2.xml><?xml version="1.0" encoding="utf-8"?>
<worksheet xmlns="http://schemas.openxmlformats.org/spreadsheetml/2006/main">
  <sheetPr>
    <tabColor rgb="00FFD700"/>
    <outlinePr summaryBelow="1" summaryRight="1"/>
    <pageSetUpPr fitToPage="1"/>
  </sheetPr>
  <dimension ref="A1:F20"/>
  <sheetViews>
    <sheetView workbookViewId="0">
      <pane ySplit="4" topLeftCell="A5" activePane="bottomLeft" state="frozen"/>
      <selection pane="bottomLeft" activeCell="A1" sqref="A1"/>
    </sheetView>
  </sheetViews>
  <sheetFormatPr baseColWidth="8" defaultRowHeight="15"/>
  <cols>
    <col width="5" customWidth="1" min="1" max="1"/>
    <col width="50" customWidth="1" min="2" max="2"/>
    <col width="16" customWidth="1" min="3" max="3"/>
    <col width="14" customWidth="1" min="4" max="4"/>
    <col width="12" customWidth="1" min="5" max="5"/>
    <col width="25" customWidth="1" min="6" max="6"/>
  </cols>
  <sheetData>
    <row r="1" ht="40" customHeight="1">
      <c r="A1" s="1" t="inlineStr">
        <is>
          <t>Cash Drawer Opening Checklist</t>
        </is>
      </c>
    </row>
    <row r="2">
      <c r="A2" s="6" t="inlineStr">
        <is>
          <t>Date: ____/____/________</t>
        </is>
      </c>
      <c r="D2" s="6" t="inlineStr">
        <is>
          <t>Manager: _________________________</t>
        </is>
      </c>
    </row>
    <row r="3" ht="8" customHeight="1"/>
    <row r="4">
      <c r="A4" s="7" t="inlineStr">
        <is>
          <t>#</t>
        </is>
      </c>
      <c r="B4" s="7" t="inlineStr">
        <is>
          <t>Task</t>
        </is>
      </c>
      <c r="C4" s="7" t="inlineStr">
        <is>
          <t>Assigned to</t>
        </is>
      </c>
      <c r="D4" s="7" t="inlineStr">
        <is>
          <t>✓ Done</t>
        </is>
      </c>
      <c r="E4" s="7" t="inlineStr">
        <is>
          <t>Time</t>
        </is>
      </c>
      <c r="F4" s="7" t="inlineStr">
        <is>
          <t>Notes</t>
        </is>
      </c>
    </row>
    <row r="5">
      <c r="A5" s="8" t="n">
        <v>1</v>
      </c>
      <c r="B5" s="9" t="inlineStr">
        <is>
          <t>Verify yesterday's starting bank</t>
        </is>
      </c>
      <c r="C5" s="27" t="inlineStr"/>
      <c r="D5" s="27" t="inlineStr"/>
      <c r="E5" s="27" t="inlineStr"/>
      <c r="F5" s="27" t="inlineStr"/>
    </row>
    <row r="6">
      <c r="A6" s="10" t="n">
        <v>2</v>
      </c>
      <c r="B6" s="11" t="inlineStr">
        <is>
          <t>Count the opening starting bank</t>
        </is>
      </c>
      <c r="C6" s="27" t="inlineStr"/>
      <c r="D6" s="27" t="inlineStr"/>
      <c r="E6" s="27" t="inlineStr"/>
      <c r="F6" s="27" t="inlineStr"/>
    </row>
    <row r="7">
      <c r="A7" s="8" t="n">
        <v>3</v>
      </c>
      <c r="B7" s="9" t="inlineStr">
        <is>
          <t>Enter the amount of the starting bank in the "Starting bank (opening float)" cell on this sheet</t>
        </is>
      </c>
      <c r="C7" s="27" t="inlineStr"/>
      <c r="D7" s="27" t="inlineStr"/>
      <c r="E7" s="27" t="inlineStr"/>
      <c r="F7" s="27" t="inlineStr"/>
    </row>
    <row r="8">
      <c r="A8" s="10" t="n">
        <v>4</v>
      </c>
      <c r="B8" s="11" t="inlineStr">
        <is>
          <t>Check there is enough change (coins, small bills)</t>
        </is>
      </c>
      <c r="C8" s="27" t="inlineStr"/>
      <c r="D8" s="27" t="inlineStr"/>
      <c r="E8" s="27" t="inlineStr"/>
      <c r="F8" s="27" t="inlineStr"/>
    </row>
    <row r="9">
      <c r="A9" s="8" t="n">
        <v>5</v>
      </c>
      <c r="B9" s="9" t="inlineStr">
        <is>
          <t>Turn on the POS</t>
        </is>
      </c>
      <c r="C9" s="27" t="inlineStr"/>
      <c r="D9" s="27" t="inlineStr"/>
      <c r="E9" s="27" t="inlineStr"/>
      <c r="F9" s="27" t="inlineStr"/>
    </row>
    <row r="10">
      <c r="A10" s="10" t="n">
        <v>6</v>
      </c>
      <c r="B10" s="11" t="inlineStr">
        <is>
          <t>Print the opening X report (start-of-day report)</t>
        </is>
      </c>
      <c r="C10" s="27" t="inlineStr"/>
      <c r="D10" s="27" t="inlineStr"/>
      <c r="E10" s="27" t="inlineStr"/>
      <c r="F10" s="27" t="inlineStr"/>
    </row>
    <row r="11">
      <c r="A11" s="8" t="n">
        <v>7</v>
      </c>
      <c r="B11" s="9" t="inlineStr">
        <is>
          <t>Check the receipt paper roll</t>
        </is>
      </c>
      <c r="C11" s="27" t="inlineStr"/>
      <c r="D11" s="27" t="inlineStr"/>
      <c r="E11" s="27" t="inlineStr"/>
      <c r="F11" s="27" t="inlineStr"/>
    </row>
    <row r="12">
      <c r="A12" s="10" t="n">
        <v>8</v>
      </c>
      <c r="B12" s="11" t="inlineStr">
        <is>
          <t>Check the card terminal works</t>
        </is>
      </c>
      <c r="C12" s="27" t="inlineStr"/>
      <c r="D12" s="27" t="inlineStr"/>
      <c r="E12" s="27" t="inlineStr"/>
      <c r="F12" s="27" t="inlineStr"/>
    </row>
    <row r="13">
      <c r="A13" s="8" t="n">
        <v>9</v>
      </c>
      <c r="B13" s="9" t="inlineStr">
        <is>
          <t>Check the payment gateway connection</t>
        </is>
      </c>
      <c r="C13" s="27" t="inlineStr"/>
      <c r="D13" s="27" t="inlineStr"/>
      <c r="E13" s="27" t="inlineStr"/>
      <c r="F13" s="27" t="inlineStr"/>
    </row>
    <row r="14">
      <c r="A14" s="10" t="n">
        <v>10</v>
      </c>
      <c r="B14" s="11" t="inlineStr">
        <is>
          <t>Note issues from the previous shift</t>
        </is>
      </c>
      <c r="C14" s="27" t="inlineStr"/>
      <c r="D14" s="27" t="inlineStr"/>
      <c r="E14" s="27" t="inlineStr"/>
      <c r="F14" s="27" t="inlineStr"/>
    </row>
    <row r="15">
      <c r="A15" s="8" t="n">
        <v>11</v>
      </c>
      <c r="B15" s="9" t="inlineStr">
        <is>
          <t>Opening manager sign-off</t>
        </is>
      </c>
      <c r="C15" s="27" t="inlineStr"/>
      <c r="D15" s="27" t="inlineStr"/>
      <c r="E15" s="27" t="inlineStr"/>
      <c r="F15" s="27" t="inlineStr"/>
    </row>
    <row r="17" ht="30" customHeight="1">
      <c r="A17" s="8" t="n"/>
      <c r="B17" s="9" t="inlineStr">
        <is>
          <t>Starting bank (opening float)</t>
        </is>
      </c>
      <c r="C17" s="31" t="n">
        <v>0</v>
      </c>
      <c r="D17" s="27" t="inlineStr">
        <is>
          <t>Deducted from cash on the "Cash Drawer Closing" sheet</t>
        </is>
      </c>
      <c r="E17" s="26" t="n"/>
      <c r="F17" s="20" t="n"/>
    </row>
    <row r="18" ht="30" customHeight="1"/>
    <row r="19" ht="30" customHeight="1">
      <c r="A19" s="6" t="inlineStr">
        <is>
          <t>Manager signature: _________________________     Time: ________</t>
        </is>
      </c>
    </row>
    <row r="20">
      <c r="A20" s="12" t="inlineStr">
        <is>
          <t>© AI Chef Pro — aichef.pro</t>
        </is>
      </c>
    </row>
  </sheetData>
  <mergeCells count="6">
    <mergeCell ref="D2:F2"/>
    <mergeCell ref="A19:F19"/>
    <mergeCell ref="A1:F1"/>
    <mergeCell ref="D17:F17"/>
    <mergeCell ref="A20:F20"/>
    <mergeCell ref="A2:C2"/>
  </mergeCells>
  <conditionalFormatting sqref="A5:F15">
    <cfRule type="expression" priority="2" dxfId="1">
      <formula>$D5="✓"</formula>
    </cfRule>
  </conditionalFormatting>
  <dataValidations count="1">
    <dataValidation sqref="D5 D6 D7 D8 D9 D10 D11 D12 D13 D14 D15" showDropDown="0" showInputMessage="0" showErrorMessage="0" allowBlank="1" type="list">
      <formula1>"✓,—,N/A"</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tabColor rgb="00FFD700"/>
    <outlinePr summaryBelow="1" summaryRight="1"/>
    <pageSetUpPr fitToPage="1"/>
  </sheetPr>
  <dimension ref="A1:F50"/>
  <sheetViews>
    <sheetView workbookViewId="0">
      <pane ySplit="4" topLeftCell="A5" activePane="bottomLeft" state="frozen"/>
      <selection pane="bottomLeft" activeCell="A1" sqref="A1"/>
    </sheetView>
  </sheetViews>
  <sheetFormatPr baseColWidth="8" defaultRowHeight="15"/>
  <cols>
    <col width="5" customWidth="1" min="1" max="1"/>
    <col width="50" customWidth="1" min="2" max="2"/>
    <col width="16" customWidth="1" min="3" max="3"/>
    <col width="14" customWidth="1" min="4" max="4"/>
    <col width="12" customWidth="1" min="5" max="5"/>
    <col width="25" customWidth="1" min="6" max="6"/>
  </cols>
  <sheetData>
    <row r="1" ht="40" customHeight="1">
      <c r="A1" s="1" t="inlineStr">
        <is>
          <t>Cash Drawer Closing Checklist</t>
        </is>
      </c>
    </row>
    <row r="2">
      <c r="A2" s="6" t="inlineStr">
        <is>
          <t>Date: ____/____/________</t>
        </is>
      </c>
      <c r="D2" s="6" t="inlineStr">
        <is>
          <t>Manager: _________________________</t>
        </is>
      </c>
    </row>
    <row r="3" ht="8" customHeight="1"/>
    <row r="4">
      <c r="A4" s="7" t="inlineStr">
        <is>
          <t>#</t>
        </is>
      </c>
      <c r="B4" s="7" t="inlineStr">
        <is>
          <t>Task</t>
        </is>
      </c>
      <c r="C4" s="7" t="inlineStr">
        <is>
          <t>Assigned to</t>
        </is>
      </c>
      <c r="D4" s="7" t="inlineStr">
        <is>
          <t>✓ Done</t>
        </is>
      </c>
      <c r="E4" s="7" t="inlineStr">
        <is>
          <t>Time</t>
        </is>
      </c>
      <c r="F4" s="7" t="inlineStr">
        <is>
          <t>Notes</t>
        </is>
      </c>
    </row>
    <row r="5">
      <c r="A5" s="8" t="n">
        <v>1</v>
      </c>
      <c r="B5" s="9" t="inlineStr">
        <is>
          <t>Print the closing POS Z report (end-of-day report)</t>
        </is>
      </c>
      <c r="C5" s="27" t="inlineStr"/>
      <c r="D5" s="27" t="inlineStr"/>
      <c r="E5" s="27" t="inlineStr"/>
      <c r="F5" s="27" t="inlineStr"/>
    </row>
    <row r="6">
      <c r="A6" s="10" t="n">
        <v>2</v>
      </c>
      <c r="B6" s="11" t="inlineStr">
        <is>
          <t>Cash count by denomination (see table below)</t>
        </is>
      </c>
      <c r="C6" s="27" t="inlineStr"/>
      <c r="D6" s="27" t="inlineStr"/>
      <c r="E6" s="27" t="inlineStr"/>
      <c r="F6" s="27" t="inlineStr"/>
    </row>
    <row r="7">
      <c r="A7" s="8" t="n">
        <v>3</v>
      </c>
      <c r="B7" s="9" t="inlineStr">
        <is>
          <t>Calculate total cash</t>
        </is>
      </c>
      <c r="C7" s="27" t="inlineStr"/>
      <c r="D7" s="27" t="inlineStr"/>
      <c r="E7" s="27" t="inlineStr"/>
      <c r="F7" s="27" t="inlineStr"/>
    </row>
    <row r="8">
      <c r="A8" s="10" t="n">
        <v>4</v>
      </c>
      <c r="B8" s="11" t="inlineStr">
        <is>
          <t>Batch out the card terminal; note card sales WITHOUT tips</t>
        </is>
      </c>
      <c r="C8" s="27" t="inlineStr"/>
      <c r="D8" s="27" t="inlineStr"/>
      <c r="E8" s="27" t="inlineStr"/>
      <c r="F8" s="27" t="inlineStr"/>
    </row>
    <row r="9">
      <c r="A9" s="8" t="n">
        <v>5</v>
      </c>
      <c r="B9" s="9" t="inlineStr">
        <is>
          <t>Note other tenders (gift cards, house accounts) + card tips paid in cash</t>
        </is>
      </c>
      <c r="C9" s="27" t="inlineStr"/>
      <c r="D9" s="27" t="inlineStr"/>
      <c r="E9" s="27" t="inlineStr"/>
      <c r="F9" s="27" t="inlineStr"/>
    </row>
    <row r="10">
      <c r="A10" s="10" t="n">
        <v>6</v>
      </c>
      <c r="B10" s="11" t="inlineStr">
        <is>
          <t>Total collected = (cash counted − starting bank) + card sales + other</t>
        </is>
      </c>
      <c r="C10" s="27" t="inlineStr"/>
      <c r="D10" s="27" t="inlineStr"/>
      <c r="E10" s="27" t="inlineStr"/>
      <c r="F10" s="27" t="inlineStr"/>
    </row>
    <row r="11">
      <c r="A11" s="8" t="n">
        <v>7</v>
      </c>
      <c r="B11" s="9" t="inlineStr">
        <is>
          <t>Compare with the POS Z report → calculate the over/short</t>
        </is>
      </c>
      <c r="C11" s="27" t="inlineStr"/>
      <c r="D11" s="27" t="inlineStr"/>
      <c r="E11" s="27" t="inlineStr"/>
      <c r="F11" s="27" t="inlineStr"/>
    </row>
    <row r="12">
      <c r="A12" s="10" t="n">
        <v>8</v>
      </c>
      <c r="B12" s="11" t="inlineStr">
        <is>
          <t>Log the day's refunds</t>
        </is>
      </c>
      <c r="C12" s="27" t="inlineStr"/>
      <c r="D12" s="27" t="inlineStr"/>
      <c r="E12" s="27" t="inlineStr"/>
      <c r="F12" s="27" t="inlineStr"/>
    </row>
    <row r="13">
      <c r="A13" s="8" t="n">
        <v>9</v>
      </c>
      <c r="B13" s="9" t="inlineStr">
        <is>
          <t>Log the day's voids</t>
        </is>
      </c>
      <c r="C13" s="27" t="inlineStr"/>
      <c r="D13" s="27" t="inlineStr"/>
      <c r="E13" s="27" t="inlineStr"/>
      <c r="F13" s="27" t="inlineStr"/>
    </row>
    <row r="14">
      <c r="A14" s="10" t="n">
        <v>10</v>
      </c>
      <c r="B14" s="11" t="inlineStr">
        <is>
          <t>Set aside tomorrow's starting bank</t>
        </is>
      </c>
      <c r="C14" s="27" t="inlineStr"/>
      <c r="D14" s="27" t="inlineStr"/>
      <c r="E14" s="27" t="inlineStr"/>
      <c r="F14" s="27" t="inlineStr"/>
    </row>
    <row r="15">
      <c r="A15" s="8" t="n">
        <v>11</v>
      </c>
      <c r="B15" s="9" t="inlineStr">
        <is>
          <t>Prepare the bank deposit / put it in the safe</t>
        </is>
      </c>
      <c r="C15" s="27" t="inlineStr"/>
      <c r="D15" s="27" t="inlineStr"/>
      <c r="E15" s="27" t="inlineStr"/>
      <c r="F15" s="27" t="inlineStr"/>
    </row>
    <row r="16">
      <c r="A16" s="10" t="n">
        <v>12</v>
      </c>
      <c r="B16" s="11" t="inlineStr">
        <is>
          <t>Closing manager sign-off</t>
        </is>
      </c>
      <c r="C16" s="27" t="inlineStr"/>
      <c r="D16" s="27" t="inlineStr"/>
      <c r="E16" s="27" t="inlineStr"/>
      <c r="F16" s="27" t="inlineStr"/>
    </row>
    <row r="18" ht="32" customHeight="1">
      <c r="A18" s="13" t="inlineStr">
        <is>
          <t>Cash Count by Denomination</t>
        </is>
      </c>
    </row>
    <row r="19">
      <c r="A19" s="7" t="inlineStr">
        <is>
          <t>Denomination</t>
        </is>
      </c>
      <c r="B19" s="7" t="inlineStr">
        <is>
          <t>Quantity</t>
        </is>
      </c>
      <c r="C19" s="7" t="inlineStr">
        <is>
          <t>Subtotal</t>
        </is>
      </c>
    </row>
    <row r="20">
      <c r="A20" s="14" t="inlineStr">
        <is>
          <t>BILLS</t>
        </is>
      </c>
      <c r="B20" s="26" t="n"/>
      <c r="C20" s="20" t="n"/>
    </row>
    <row r="21">
      <c r="A21" s="15" t="inlineStr">
        <is>
          <t>$100</t>
        </is>
      </c>
      <c r="B21" s="28" t="n">
        <v>0</v>
      </c>
      <c r="C21" s="32">
        <f>B21*100</f>
        <v>0.0</v>
      </c>
    </row>
    <row r="22">
      <c r="A22" s="17" t="inlineStr">
        <is>
          <t>$50</t>
        </is>
      </c>
      <c r="B22" s="28" t="n">
        <v>0</v>
      </c>
      <c r="C22" s="33">
        <f>B22*50</f>
        <v>0.0</v>
      </c>
    </row>
    <row r="23">
      <c r="A23" s="15" t="inlineStr">
        <is>
          <t>$20</t>
        </is>
      </c>
      <c r="B23" s="28" t="n">
        <v>0</v>
      </c>
      <c r="C23" s="32">
        <f>B23*20</f>
        <v>0.0</v>
      </c>
    </row>
    <row r="24">
      <c r="A24" s="17" t="inlineStr">
        <is>
          <t>$10</t>
        </is>
      </c>
      <c r="B24" s="28" t="n">
        <v>0</v>
      </c>
      <c r="C24" s="33">
        <f>B24*10</f>
        <v>0.0</v>
      </c>
    </row>
    <row r="25">
      <c r="A25" s="15" t="inlineStr">
        <is>
          <t>$5</t>
        </is>
      </c>
      <c r="B25" s="28" t="n">
        <v>0</v>
      </c>
      <c r="C25" s="32">
        <f>B25*5</f>
        <v>0.0</v>
      </c>
    </row>
    <row r="26">
      <c r="A26" s="17" t="inlineStr">
        <is>
          <t>$2</t>
        </is>
      </c>
      <c r="B26" s="28" t="n">
        <v>0</v>
      </c>
      <c r="C26" s="33">
        <f>B26*2</f>
        <v>0.0</v>
      </c>
    </row>
    <row r="27">
      <c r="A27" s="15" t="inlineStr">
        <is>
          <t>$1</t>
        </is>
      </c>
      <c r="B27" s="28" t="n">
        <v>0</v>
      </c>
      <c r="C27" s="32">
        <f>B27*1</f>
        <v>0.0</v>
      </c>
    </row>
    <row r="28">
      <c r="A28" s="14" t="inlineStr">
        <is>
          <t>COINS</t>
        </is>
      </c>
      <c r="B28" s="26" t="n"/>
      <c r="C28" s="20" t="n"/>
    </row>
    <row r="29">
      <c r="A29" s="15" t="inlineStr">
        <is>
          <t>$1 coin</t>
        </is>
      </c>
      <c r="B29" s="28" t="n">
        <v>0</v>
      </c>
      <c r="C29" s="32">
        <f>B29*1</f>
        <v>0.0</v>
      </c>
    </row>
    <row r="30">
      <c r="A30" s="17" t="inlineStr">
        <is>
          <t>50¢</t>
        </is>
      </c>
      <c r="B30" s="28" t="n">
        <v>0</v>
      </c>
      <c r="C30" s="33">
        <f>B30*0.5</f>
        <v>0.0</v>
      </c>
    </row>
    <row r="31">
      <c r="A31" s="15" t="inlineStr">
        <is>
          <t>25¢</t>
        </is>
      </c>
      <c r="B31" s="28" t="n">
        <v>0</v>
      </c>
      <c r="C31" s="32">
        <f>B31*0.25</f>
        <v>0.0</v>
      </c>
    </row>
    <row r="32">
      <c r="A32" s="17" t="inlineStr">
        <is>
          <t>10¢</t>
        </is>
      </c>
      <c r="B32" s="28" t="n">
        <v>0</v>
      </c>
      <c r="C32" s="33">
        <f>B32*0.1</f>
        <v>0.0</v>
      </c>
    </row>
    <row r="33">
      <c r="A33" s="15" t="inlineStr">
        <is>
          <t>5¢</t>
        </is>
      </c>
      <c r="B33" s="28" t="n">
        <v>0</v>
      </c>
      <c r="C33" s="32">
        <f>B33*0.05</f>
        <v>0.0</v>
      </c>
    </row>
    <row r="34">
      <c r="A34" s="17" t="inlineStr">
        <is>
          <t>1¢</t>
        </is>
      </c>
      <c r="B34" s="28" t="n">
        <v>0</v>
      </c>
      <c r="C34" s="33">
        <f>B34*0.01</f>
        <v>0.0</v>
      </c>
    </row>
    <row r="35">
      <c r="A35" s="17" t="inlineStr">
        <is>
          <t>25¢ roll</t>
        </is>
      </c>
      <c r="B35" s="28" t="n">
        <v>0</v>
      </c>
      <c r="C35" s="33">
        <f>B35*10</f>
        <v>0.0</v>
      </c>
    </row>
    <row r="36">
      <c r="A36" s="15" t="inlineStr">
        <is>
          <t>10¢ roll</t>
        </is>
      </c>
      <c r="B36" s="28" t="n">
        <v>0</v>
      </c>
      <c r="C36" s="32">
        <f>B36*5</f>
        <v>0.0</v>
      </c>
    </row>
    <row r="37">
      <c r="A37" s="19" t="inlineStr">
        <is>
          <t>TOTAL CASH</t>
        </is>
      </c>
      <c r="B37" s="20" t="n"/>
      <c r="C37" s="34">
        <f>SUM(C21:C36)</f>
        <v>0.0</v>
      </c>
    </row>
    <row r="38" ht="30" customHeight="1"/>
    <row r="39" ht="30" customHeight="1">
      <c r="A39" s="13" t="inlineStr">
        <is>
          <t>Closing Summary</t>
        </is>
      </c>
    </row>
    <row r="40">
      <c r="A40" s="7" t="inlineStr">
        <is>
          <t>Item</t>
        </is>
      </c>
      <c r="B40" s="7" t="inlineStr">
        <is>
          <t>Amount</t>
        </is>
      </c>
    </row>
    <row r="41">
      <c r="A41" s="9" t="inlineStr">
        <is>
          <t>Total cash (count)</t>
        </is>
      </c>
      <c r="B41" s="32">
        <f>C37</f>
        <v>0.0</v>
      </c>
    </row>
    <row r="42">
      <c r="A42" s="9" t="inlineStr">
        <is>
          <t>Starting bank (−)</t>
        </is>
      </c>
      <c r="B42" s="32">
        <f>IFERROR('Cash Drawer Opening'!C17,0)</f>
        <v>0.0</v>
      </c>
    </row>
    <row r="43">
      <c r="A43" s="11" t="inlineStr">
        <is>
          <t>Card sales, excl. tips</t>
        </is>
      </c>
      <c r="B43" s="35" t="n">
        <v>0</v>
      </c>
    </row>
    <row r="44">
      <c r="A44" s="9" t="inlineStr">
        <is>
          <t>Other tenders + card tips paid in cash</t>
        </is>
      </c>
      <c r="B44" s="35" t="n">
        <v>0</v>
      </c>
    </row>
    <row r="45">
      <c r="A45" s="22" t="inlineStr">
        <is>
          <t>TOTAL COLLECTED</t>
        </is>
      </c>
      <c r="B45" s="36">
        <f>IFERROR(B41-B42,0)+B43+B44</f>
        <v>0.0</v>
      </c>
    </row>
    <row r="46">
      <c r="A46" s="9" t="inlineStr">
        <is>
          <t>POS Z: sales + tax, excl. tips</t>
        </is>
      </c>
      <c r="B46" s="35" t="n">
        <v>0</v>
      </c>
    </row>
    <row r="47" ht="43.75" customHeight="1">
      <c r="A47" s="22" t="inlineStr">
        <is>
          <t>OVER / SHORT</t>
        </is>
      </c>
      <c r="B47" s="36">
        <f>IFERROR(B45-B46,0)</f>
        <v>0.0</v>
      </c>
    </row>
    <row r="48" ht="30" customHeight="1"/>
    <row r="49" ht="30" customHeight="1">
      <c r="A49" s="6" t="inlineStr">
        <is>
          <t>Manager signature: _________________________     Time: ________</t>
        </is>
      </c>
    </row>
    <row r="50">
      <c r="A50" s="12" t="inlineStr">
        <is>
          <t>© AI Chef Pro — aichef.pro</t>
        </is>
      </c>
    </row>
  </sheetData>
  <mergeCells count="10">
    <mergeCell ref="D2:F2"/>
    <mergeCell ref="A28:C28"/>
    <mergeCell ref="A49:F49"/>
    <mergeCell ref="A1:F1"/>
    <mergeCell ref="A37:B37"/>
    <mergeCell ref="A50:F50"/>
    <mergeCell ref="A18:F18"/>
    <mergeCell ref="A39:C39"/>
    <mergeCell ref="A20:C20"/>
    <mergeCell ref="A2:C2"/>
  </mergeCells>
  <conditionalFormatting sqref="B47">
    <cfRule type="cellIs" priority="3" operator="notEqual" dxfId="0">
      <formula>0</formula>
    </cfRule>
  </conditionalFormatting>
  <conditionalFormatting sqref="A5:F16">
    <cfRule type="expression" priority="4" dxfId="1">
      <formula>$D5="✓"</formula>
    </cfRule>
  </conditionalFormatting>
  <dataValidations count="2">
    <dataValidation sqref="B21 B22 B23 B24 B25 B26 B27 B29 B30 B31 B32 B33 B34 B35 B36" showDropDown="0" showInputMessage="0" showErrorMessage="1" allowBlank="1" errorTitle="Invalid quantity" error="Enter the number of bills or coins (a whole number, no decimals)." type="whole" operator="greaterThanOrEqual">
      <formula1>0</formula1>
    </dataValidation>
    <dataValidation sqref="D5 D6 D7 D8 D9 D10 D11 D12 D13 D14 D15 D16" showDropDown="0" showInputMessage="0" showErrorMessage="0" allowBlank="1" type="list">
      <formula1>"✓,—,N/A"</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tabColor rgb="00FFD700"/>
    <outlinePr summaryBelow="1" summaryRight="1"/>
    <pageSetUpPr fitToPage="1"/>
  </sheetPr>
  <dimension ref="A1:J38"/>
  <sheetViews>
    <sheetView workbookViewId="0">
      <pane ySplit="4" topLeftCell="A5" activePane="bottomLeft" state="frozen"/>
      <selection pane="bottomLeft" activeCell="A1" sqref="A1"/>
    </sheetView>
  </sheetViews>
  <sheetFormatPr baseColWidth="8" defaultRowHeight="15"/>
  <cols>
    <col width="12" customWidth="1" min="1" max="1"/>
    <col width="16" customWidth="1" min="2" max="2"/>
    <col width="16" customWidth="1" min="3" max="3"/>
    <col width="16" customWidth="1" min="4" max="4"/>
    <col width="14" customWidth="1" min="5" max="5"/>
    <col width="16" customWidth="1" min="6" max="6"/>
    <col width="14" customWidth="1" min="7" max="7"/>
    <col width="14" customWidth="1" min="8" max="8"/>
    <col width="14" customWidth="1" min="9" max="9"/>
    <col width="16" customWidth="1" min="10" max="10"/>
  </cols>
  <sheetData>
    <row r="1" ht="40" customHeight="1">
      <c r="A1" s="1" t="inlineStr">
        <is>
          <t>Monthly Cash Log</t>
        </is>
      </c>
    </row>
    <row r="2">
      <c r="A2" s="6" t="inlineStr">
        <is>
          <t>Month: ________________     Year: ________</t>
        </is>
      </c>
      <c r="F2" s="6" t="inlineStr">
        <is>
          <t>Manager: _________________________</t>
        </is>
      </c>
    </row>
    <row r="3" ht="8" customHeight="1"/>
    <row r="4">
      <c r="A4" s="7" t="inlineStr">
        <is>
          <t>Day</t>
        </is>
      </c>
      <c r="B4" s="7" t="inlineStr">
        <is>
          <t>Starting Bank</t>
        </is>
      </c>
      <c r="C4" s="7" t="inlineStr">
        <is>
          <t>Cash Sales (net)</t>
        </is>
      </c>
      <c r="D4" s="7" t="inlineStr">
        <is>
          <t>Card Sales (no tips)</t>
        </is>
      </c>
      <c r="E4" s="7" t="inlineStr">
        <is>
          <t>Other + Tips Paid</t>
        </is>
      </c>
      <c r="F4" s="7" t="inlineStr">
        <is>
          <t>Total Collected</t>
        </is>
      </c>
      <c r="G4" s="7" t="inlineStr">
        <is>
          <t>POS Z (+ tax, no tips)</t>
        </is>
      </c>
      <c r="H4" s="7" t="inlineStr">
        <is>
          <t>Over/Short</t>
        </is>
      </c>
      <c r="I4" s="7" t="inlineStr">
        <is>
          <t>Bank Deposit</t>
        </is>
      </c>
      <c r="J4" s="7" t="inlineStr">
        <is>
          <t>Closed by</t>
        </is>
      </c>
    </row>
    <row r="5">
      <c r="A5" s="15" t="n">
        <v>1</v>
      </c>
      <c r="B5" s="35" t="n">
        <v>0</v>
      </c>
      <c r="C5" s="35" t="n">
        <v>0</v>
      </c>
      <c r="D5" s="35" t="n">
        <v>0</v>
      </c>
      <c r="E5" s="35" t="n">
        <v>0</v>
      </c>
      <c r="F5" s="32">
        <f>C5+D5+E5</f>
        <v>0.0</v>
      </c>
      <c r="G5" s="35" t="n">
        <v>0</v>
      </c>
      <c r="H5" s="32">
        <f>IFERROR(F5-G5,0)</f>
        <v>0.0</v>
      </c>
      <c r="I5" s="35" t="n">
        <v>0</v>
      </c>
      <c r="J5" s="35" t="n"/>
    </row>
    <row r="6">
      <c r="A6" s="17" t="n">
        <v>2</v>
      </c>
      <c r="B6" s="35" t="n">
        <v>0</v>
      </c>
      <c r="C6" s="35" t="n">
        <v>0</v>
      </c>
      <c r="D6" s="35" t="n">
        <v>0</v>
      </c>
      <c r="E6" s="35" t="n">
        <v>0</v>
      </c>
      <c r="F6" s="33">
        <f>C6+D6+E6</f>
        <v>0.0</v>
      </c>
      <c r="G6" s="35" t="n">
        <v>0</v>
      </c>
      <c r="H6" s="32">
        <f>IFERROR(F6-G6,0)</f>
        <v>0.0</v>
      </c>
      <c r="I6" s="35" t="n">
        <v>0</v>
      </c>
      <c r="J6" s="35" t="n"/>
    </row>
    <row r="7">
      <c r="A7" s="15" t="n">
        <v>3</v>
      </c>
      <c r="B7" s="35" t="n">
        <v>0</v>
      </c>
      <c r="C7" s="35" t="n">
        <v>0</v>
      </c>
      <c r="D7" s="35" t="n">
        <v>0</v>
      </c>
      <c r="E7" s="35" t="n">
        <v>0</v>
      </c>
      <c r="F7" s="32">
        <f>C7+D7+E7</f>
        <v>0.0</v>
      </c>
      <c r="G7" s="35" t="n">
        <v>0</v>
      </c>
      <c r="H7" s="32">
        <f>IFERROR(F7-G7,0)</f>
        <v>0.0</v>
      </c>
      <c r="I7" s="35" t="n">
        <v>0</v>
      </c>
      <c r="J7" s="35" t="n"/>
    </row>
    <row r="8">
      <c r="A8" s="17" t="n">
        <v>4</v>
      </c>
      <c r="B8" s="35" t="n">
        <v>0</v>
      </c>
      <c r="C8" s="35" t="n">
        <v>0</v>
      </c>
      <c r="D8" s="35" t="n">
        <v>0</v>
      </c>
      <c r="E8" s="35" t="n">
        <v>0</v>
      </c>
      <c r="F8" s="33">
        <f>C8+D8+E8</f>
        <v>0.0</v>
      </c>
      <c r="G8" s="35" t="n">
        <v>0</v>
      </c>
      <c r="H8" s="32">
        <f>IFERROR(F8-G8,0)</f>
        <v>0.0</v>
      </c>
      <c r="I8" s="35" t="n">
        <v>0</v>
      </c>
      <c r="J8" s="35" t="n"/>
    </row>
    <row r="9">
      <c r="A9" s="15" t="n">
        <v>5</v>
      </c>
      <c r="B9" s="35" t="n">
        <v>0</v>
      </c>
      <c r="C9" s="35" t="n">
        <v>0</v>
      </c>
      <c r="D9" s="35" t="n">
        <v>0</v>
      </c>
      <c r="E9" s="35" t="n">
        <v>0</v>
      </c>
      <c r="F9" s="32">
        <f>C9+D9+E9</f>
        <v>0.0</v>
      </c>
      <c r="G9" s="35" t="n">
        <v>0</v>
      </c>
      <c r="H9" s="32">
        <f>IFERROR(F9-G9,0)</f>
        <v>0.0</v>
      </c>
      <c r="I9" s="35" t="n">
        <v>0</v>
      </c>
      <c r="J9" s="35" t="n"/>
    </row>
    <row r="10">
      <c r="A10" s="17" t="n">
        <v>6</v>
      </c>
      <c r="B10" s="35" t="n">
        <v>0</v>
      </c>
      <c r="C10" s="35" t="n">
        <v>0</v>
      </c>
      <c r="D10" s="35" t="n">
        <v>0</v>
      </c>
      <c r="E10" s="35" t="n">
        <v>0</v>
      </c>
      <c r="F10" s="33">
        <f>C10+D10+E10</f>
        <v>0.0</v>
      </c>
      <c r="G10" s="35" t="n">
        <v>0</v>
      </c>
      <c r="H10" s="32">
        <f>IFERROR(F10-G10,0)</f>
        <v>0.0</v>
      </c>
      <c r="I10" s="35" t="n">
        <v>0</v>
      </c>
      <c r="J10" s="35" t="n"/>
    </row>
    <row r="11">
      <c r="A11" s="15" t="n">
        <v>7</v>
      </c>
      <c r="B11" s="35" t="n">
        <v>0</v>
      </c>
      <c r="C11" s="35" t="n">
        <v>0</v>
      </c>
      <c r="D11" s="35" t="n">
        <v>0</v>
      </c>
      <c r="E11" s="35" t="n">
        <v>0</v>
      </c>
      <c r="F11" s="32">
        <f>C11+D11+E11</f>
        <v>0.0</v>
      </c>
      <c r="G11" s="35" t="n">
        <v>0</v>
      </c>
      <c r="H11" s="32">
        <f>IFERROR(F11-G11,0)</f>
        <v>0.0</v>
      </c>
      <c r="I11" s="35" t="n">
        <v>0</v>
      </c>
      <c r="J11" s="35" t="n"/>
    </row>
    <row r="12">
      <c r="A12" s="17" t="n">
        <v>8</v>
      </c>
      <c r="B12" s="35" t="n">
        <v>0</v>
      </c>
      <c r="C12" s="35" t="n">
        <v>0</v>
      </c>
      <c r="D12" s="35" t="n">
        <v>0</v>
      </c>
      <c r="E12" s="35" t="n">
        <v>0</v>
      </c>
      <c r="F12" s="33">
        <f>C12+D12+E12</f>
        <v>0.0</v>
      </c>
      <c r="G12" s="35" t="n">
        <v>0</v>
      </c>
      <c r="H12" s="32">
        <f>IFERROR(F12-G12,0)</f>
        <v>0.0</v>
      </c>
      <c r="I12" s="35" t="n">
        <v>0</v>
      </c>
      <c r="J12" s="35" t="n"/>
    </row>
    <row r="13">
      <c r="A13" s="15" t="n">
        <v>9</v>
      </c>
      <c r="B13" s="35" t="n">
        <v>0</v>
      </c>
      <c r="C13" s="35" t="n">
        <v>0</v>
      </c>
      <c r="D13" s="35" t="n">
        <v>0</v>
      </c>
      <c r="E13" s="35" t="n">
        <v>0</v>
      </c>
      <c r="F13" s="32">
        <f>C13+D13+E13</f>
        <v>0.0</v>
      </c>
      <c r="G13" s="35" t="n">
        <v>0</v>
      </c>
      <c r="H13" s="32">
        <f>IFERROR(F13-G13,0)</f>
        <v>0.0</v>
      </c>
      <c r="I13" s="35" t="n">
        <v>0</v>
      </c>
      <c r="J13" s="35" t="n"/>
    </row>
    <row r="14">
      <c r="A14" s="17" t="n">
        <v>10</v>
      </c>
      <c r="B14" s="35" t="n">
        <v>0</v>
      </c>
      <c r="C14" s="35" t="n">
        <v>0</v>
      </c>
      <c r="D14" s="35" t="n">
        <v>0</v>
      </c>
      <c r="E14" s="35" t="n">
        <v>0</v>
      </c>
      <c r="F14" s="33">
        <f>C14+D14+E14</f>
        <v>0.0</v>
      </c>
      <c r="G14" s="35" t="n">
        <v>0</v>
      </c>
      <c r="H14" s="32">
        <f>IFERROR(F14-G14,0)</f>
        <v>0.0</v>
      </c>
      <c r="I14" s="35" t="n">
        <v>0</v>
      </c>
      <c r="J14" s="35" t="n"/>
    </row>
    <row r="15">
      <c r="A15" s="15" t="n">
        <v>11</v>
      </c>
      <c r="B15" s="35" t="n">
        <v>0</v>
      </c>
      <c r="C15" s="35" t="n">
        <v>0</v>
      </c>
      <c r="D15" s="35" t="n">
        <v>0</v>
      </c>
      <c r="E15" s="35" t="n">
        <v>0</v>
      </c>
      <c r="F15" s="32">
        <f>C15+D15+E15</f>
        <v>0.0</v>
      </c>
      <c r="G15" s="35" t="n">
        <v>0</v>
      </c>
      <c r="H15" s="32">
        <f>IFERROR(F15-G15,0)</f>
        <v>0.0</v>
      </c>
      <c r="I15" s="35" t="n">
        <v>0</v>
      </c>
      <c r="J15" s="35" t="n"/>
    </row>
    <row r="16">
      <c r="A16" s="17" t="n">
        <v>12</v>
      </c>
      <c r="B16" s="35" t="n">
        <v>0</v>
      </c>
      <c r="C16" s="35" t="n">
        <v>0</v>
      </c>
      <c r="D16" s="35" t="n">
        <v>0</v>
      </c>
      <c r="E16" s="35" t="n">
        <v>0</v>
      </c>
      <c r="F16" s="33">
        <f>C16+D16+E16</f>
        <v>0.0</v>
      </c>
      <c r="G16" s="35" t="n">
        <v>0</v>
      </c>
      <c r="H16" s="32">
        <f>IFERROR(F16-G16,0)</f>
        <v>0.0</v>
      </c>
      <c r="I16" s="35" t="n">
        <v>0</v>
      </c>
      <c r="J16" s="35" t="n"/>
    </row>
    <row r="17">
      <c r="A17" s="15" t="n">
        <v>13</v>
      </c>
      <c r="B17" s="35" t="n">
        <v>0</v>
      </c>
      <c r="C17" s="35" t="n">
        <v>0</v>
      </c>
      <c r="D17" s="35" t="n">
        <v>0</v>
      </c>
      <c r="E17" s="35" t="n">
        <v>0</v>
      </c>
      <c r="F17" s="32">
        <f>C17+D17+E17</f>
        <v>0.0</v>
      </c>
      <c r="G17" s="35" t="n">
        <v>0</v>
      </c>
      <c r="H17" s="32">
        <f>IFERROR(F17-G17,0)</f>
        <v>0.0</v>
      </c>
      <c r="I17" s="35" t="n">
        <v>0</v>
      </c>
      <c r="J17" s="35" t="n"/>
    </row>
    <row r="18">
      <c r="A18" s="17" t="n">
        <v>14</v>
      </c>
      <c r="B18" s="35" t="n">
        <v>0</v>
      </c>
      <c r="C18" s="35" t="n">
        <v>0</v>
      </c>
      <c r="D18" s="35" t="n">
        <v>0</v>
      </c>
      <c r="E18" s="35" t="n">
        <v>0</v>
      </c>
      <c r="F18" s="33">
        <f>C18+D18+E18</f>
        <v>0.0</v>
      </c>
      <c r="G18" s="35" t="n">
        <v>0</v>
      </c>
      <c r="H18" s="32">
        <f>IFERROR(F18-G18,0)</f>
        <v>0.0</v>
      </c>
      <c r="I18" s="35" t="n">
        <v>0</v>
      </c>
      <c r="J18" s="35" t="n"/>
    </row>
    <row r="19">
      <c r="A19" s="15" t="n">
        <v>15</v>
      </c>
      <c r="B19" s="35" t="n">
        <v>0</v>
      </c>
      <c r="C19" s="35" t="n">
        <v>0</v>
      </c>
      <c r="D19" s="35" t="n">
        <v>0</v>
      </c>
      <c r="E19" s="35" t="n">
        <v>0</v>
      </c>
      <c r="F19" s="32">
        <f>C19+D19+E19</f>
        <v>0.0</v>
      </c>
      <c r="G19" s="35" t="n">
        <v>0</v>
      </c>
      <c r="H19" s="32">
        <f>IFERROR(F19-G19,0)</f>
        <v>0.0</v>
      </c>
      <c r="I19" s="35" t="n">
        <v>0</v>
      </c>
      <c r="J19" s="35" t="n"/>
    </row>
    <row r="20">
      <c r="A20" s="17" t="n">
        <v>16</v>
      </c>
      <c r="B20" s="35" t="n">
        <v>0</v>
      </c>
      <c r="C20" s="35" t="n">
        <v>0</v>
      </c>
      <c r="D20" s="35" t="n">
        <v>0</v>
      </c>
      <c r="E20" s="35" t="n">
        <v>0</v>
      </c>
      <c r="F20" s="33">
        <f>C20+D20+E20</f>
        <v>0.0</v>
      </c>
      <c r="G20" s="35" t="n">
        <v>0</v>
      </c>
      <c r="H20" s="32">
        <f>IFERROR(F20-G20,0)</f>
        <v>0.0</v>
      </c>
      <c r="I20" s="35" t="n">
        <v>0</v>
      </c>
      <c r="J20" s="35" t="n"/>
    </row>
    <row r="21">
      <c r="A21" s="15" t="n">
        <v>17</v>
      </c>
      <c r="B21" s="35" t="n">
        <v>0</v>
      </c>
      <c r="C21" s="35" t="n">
        <v>0</v>
      </c>
      <c r="D21" s="35" t="n">
        <v>0</v>
      </c>
      <c r="E21" s="35" t="n">
        <v>0</v>
      </c>
      <c r="F21" s="32">
        <f>C21+D21+E21</f>
        <v>0.0</v>
      </c>
      <c r="G21" s="35" t="n">
        <v>0</v>
      </c>
      <c r="H21" s="32">
        <f>IFERROR(F21-G21,0)</f>
        <v>0.0</v>
      </c>
      <c r="I21" s="35" t="n">
        <v>0</v>
      </c>
      <c r="J21" s="35" t="n"/>
    </row>
    <row r="22">
      <c r="A22" s="17" t="n">
        <v>18</v>
      </c>
      <c r="B22" s="35" t="n">
        <v>0</v>
      </c>
      <c r="C22" s="35" t="n">
        <v>0</v>
      </c>
      <c r="D22" s="35" t="n">
        <v>0</v>
      </c>
      <c r="E22" s="35" t="n">
        <v>0</v>
      </c>
      <c r="F22" s="33">
        <f>C22+D22+E22</f>
        <v>0.0</v>
      </c>
      <c r="G22" s="35" t="n">
        <v>0</v>
      </c>
      <c r="H22" s="32">
        <f>IFERROR(F22-G22,0)</f>
        <v>0.0</v>
      </c>
      <c r="I22" s="35" t="n">
        <v>0</v>
      </c>
      <c r="J22" s="35" t="n"/>
    </row>
    <row r="23">
      <c r="A23" s="15" t="n">
        <v>19</v>
      </c>
      <c r="B23" s="35" t="n">
        <v>0</v>
      </c>
      <c r="C23" s="35" t="n">
        <v>0</v>
      </c>
      <c r="D23" s="35" t="n">
        <v>0</v>
      </c>
      <c r="E23" s="35" t="n">
        <v>0</v>
      </c>
      <c r="F23" s="32">
        <f>C23+D23+E23</f>
        <v>0.0</v>
      </c>
      <c r="G23" s="35" t="n">
        <v>0</v>
      </c>
      <c r="H23" s="32">
        <f>IFERROR(F23-G23,0)</f>
        <v>0.0</v>
      </c>
      <c r="I23" s="35" t="n">
        <v>0</v>
      </c>
      <c r="J23" s="35" t="n"/>
    </row>
    <row r="24">
      <c r="A24" s="17" t="n">
        <v>20</v>
      </c>
      <c r="B24" s="35" t="n">
        <v>0</v>
      </c>
      <c r="C24" s="35" t="n">
        <v>0</v>
      </c>
      <c r="D24" s="35" t="n">
        <v>0</v>
      </c>
      <c r="E24" s="35" t="n">
        <v>0</v>
      </c>
      <c r="F24" s="33">
        <f>C24+D24+E24</f>
        <v>0.0</v>
      </c>
      <c r="G24" s="35" t="n">
        <v>0</v>
      </c>
      <c r="H24" s="32">
        <f>IFERROR(F24-G24,0)</f>
        <v>0.0</v>
      </c>
      <c r="I24" s="35" t="n">
        <v>0</v>
      </c>
      <c r="J24" s="35" t="n"/>
    </row>
    <row r="25">
      <c r="A25" s="15" t="n">
        <v>21</v>
      </c>
      <c r="B25" s="35" t="n">
        <v>0</v>
      </c>
      <c r="C25" s="35" t="n">
        <v>0</v>
      </c>
      <c r="D25" s="35" t="n">
        <v>0</v>
      </c>
      <c r="E25" s="35" t="n">
        <v>0</v>
      </c>
      <c r="F25" s="32">
        <f>C25+D25+E25</f>
        <v>0.0</v>
      </c>
      <c r="G25" s="35" t="n">
        <v>0</v>
      </c>
      <c r="H25" s="32">
        <f>IFERROR(F25-G25,0)</f>
        <v>0.0</v>
      </c>
      <c r="I25" s="35" t="n">
        <v>0</v>
      </c>
      <c r="J25" s="35" t="n"/>
    </row>
    <row r="26">
      <c r="A26" s="17" t="n">
        <v>22</v>
      </c>
      <c r="B26" s="35" t="n">
        <v>0</v>
      </c>
      <c r="C26" s="35" t="n">
        <v>0</v>
      </c>
      <c r="D26" s="35" t="n">
        <v>0</v>
      </c>
      <c r="E26" s="35" t="n">
        <v>0</v>
      </c>
      <c r="F26" s="33">
        <f>C26+D26+E26</f>
        <v>0.0</v>
      </c>
      <c r="G26" s="35" t="n">
        <v>0</v>
      </c>
      <c r="H26" s="32">
        <f>IFERROR(F26-G26,0)</f>
        <v>0.0</v>
      </c>
      <c r="I26" s="35" t="n">
        <v>0</v>
      </c>
      <c r="J26" s="35" t="n"/>
    </row>
    <row r="27">
      <c r="A27" s="15" t="n">
        <v>23</v>
      </c>
      <c r="B27" s="35" t="n">
        <v>0</v>
      </c>
      <c r="C27" s="35" t="n">
        <v>0</v>
      </c>
      <c r="D27" s="35" t="n">
        <v>0</v>
      </c>
      <c r="E27" s="35" t="n">
        <v>0</v>
      </c>
      <c r="F27" s="32">
        <f>C27+D27+E27</f>
        <v>0.0</v>
      </c>
      <c r="G27" s="35" t="n">
        <v>0</v>
      </c>
      <c r="H27" s="32">
        <f>IFERROR(F27-G27,0)</f>
        <v>0.0</v>
      </c>
      <c r="I27" s="35" t="n">
        <v>0</v>
      </c>
      <c r="J27" s="35" t="n"/>
    </row>
    <row r="28">
      <c r="A28" s="17" t="n">
        <v>24</v>
      </c>
      <c r="B28" s="35" t="n">
        <v>0</v>
      </c>
      <c r="C28" s="35" t="n">
        <v>0</v>
      </c>
      <c r="D28" s="35" t="n">
        <v>0</v>
      </c>
      <c r="E28" s="35" t="n">
        <v>0</v>
      </c>
      <c r="F28" s="33">
        <f>C28+D28+E28</f>
        <v>0.0</v>
      </c>
      <c r="G28" s="35" t="n">
        <v>0</v>
      </c>
      <c r="H28" s="32">
        <f>IFERROR(F28-G28,0)</f>
        <v>0.0</v>
      </c>
      <c r="I28" s="35" t="n">
        <v>0</v>
      </c>
      <c r="J28" s="35" t="n"/>
    </row>
    <row r="29">
      <c r="A29" s="15" t="n">
        <v>25</v>
      </c>
      <c r="B29" s="35" t="n">
        <v>0</v>
      </c>
      <c r="C29" s="35" t="n">
        <v>0</v>
      </c>
      <c r="D29" s="35" t="n">
        <v>0</v>
      </c>
      <c r="E29" s="35" t="n">
        <v>0</v>
      </c>
      <c r="F29" s="32">
        <f>C29+D29+E29</f>
        <v>0.0</v>
      </c>
      <c r="G29" s="35" t="n">
        <v>0</v>
      </c>
      <c r="H29" s="32">
        <f>IFERROR(F29-G29,0)</f>
        <v>0.0</v>
      </c>
      <c r="I29" s="35" t="n">
        <v>0</v>
      </c>
      <c r="J29" s="35" t="n"/>
    </row>
    <row r="30">
      <c r="A30" s="17" t="n">
        <v>26</v>
      </c>
      <c r="B30" s="35" t="n">
        <v>0</v>
      </c>
      <c r="C30" s="35" t="n">
        <v>0</v>
      </c>
      <c r="D30" s="35" t="n">
        <v>0</v>
      </c>
      <c r="E30" s="35" t="n">
        <v>0</v>
      </c>
      <c r="F30" s="33">
        <f>C30+D30+E30</f>
        <v>0.0</v>
      </c>
      <c r="G30" s="35" t="n">
        <v>0</v>
      </c>
      <c r="H30" s="32">
        <f>IFERROR(F30-G30,0)</f>
        <v>0.0</v>
      </c>
      <c r="I30" s="35" t="n">
        <v>0</v>
      </c>
      <c r="J30" s="35" t="n"/>
    </row>
    <row r="31">
      <c r="A31" s="15" t="n">
        <v>27</v>
      </c>
      <c r="B31" s="35" t="n">
        <v>0</v>
      </c>
      <c r="C31" s="35" t="n">
        <v>0</v>
      </c>
      <c r="D31" s="35" t="n">
        <v>0</v>
      </c>
      <c r="E31" s="35" t="n">
        <v>0</v>
      </c>
      <c r="F31" s="32">
        <f>C31+D31+E31</f>
        <v>0.0</v>
      </c>
      <c r="G31" s="35" t="n">
        <v>0</v>
      </c>
      <c r="H31" s="32">
        <f>IFERROR(F31-G31,0)</f>
        <v>0.0</v>
      </c>
      <c r="I31" s="35" t="n">
        <v>0</v>
      </c>
      <c r="J31" s="35" t="n"/>
    </row>
    <row r="32">
      <c r="A32" s="17" t="n">
        <v>28</v>
      </c>
      <c r="B32" s="35" t="n">
        <v>0</v>
      </c>
      <c r="C32" s="35" t="n">
        <v>0</v>
      </c>
      <c r="D32" s="35" t="n">
        <v>0</v>
      </c>
      <c r="E32" s="35" t="n">
        <v>0</v>
      </c>
      <c r="F32" s="33">
        <f>C32+D32+E32</f>
        <v>0.0</v>
      </c>
      <c r="G32" s="35" t="n">
        <v>0</v>
      </c>
      <c r="H32" s="32">
        <f>IFERROR(F32-G32,0)</f>
        <v>0.0</v>
      </c>
      <c r="I32" s="35" t="n">
        <v>0</v>
      </c>
      <c r="J32" s="35" t="n"/>
    </row>
    <row r="33">
      <c r="A33" s="15" t="n">
        <v>29</v>
      </c>
      <c r="B33" s="35" t="n">
        <v>0</v>
      </c>
      <c r="C33" s="35" t="n">
        <v>0</v>
      </c>
      <c r="D33" s="35" t="n">
        <v>0</v>
      </c>
      <c r="E33" s="35" t="n">
        <v>0</v>
      </c>
      <c r="F33" s="32">
        <f>C33+D33+E33</f>
        <v>0.0</v>
      </c>
      <c r="G33" s="35" t="n">
        <v>0</v>
      </c>
      <c r="H33" s="32">
        <f>IFERROR(F33-G33,0)</f>
        <v>0.0</v>
      </c>
      <c r="I33" s="35" t="n">
        <v>0</v>
      </c>
      <c r="J33" s="35" t="n"/>
    </row>
    <row r="34">
      <c r="A34" s="17" t="n">
        <v>30</v>
      </c>
      <c r="B34" s="35" t="n">
        <v>0</v>
      </c>
      <c r="C34" s="35" t="n">
        <v>0</v>
      </c>
      <c r="D34" s="35" t="n">
        <v>0</v>
      </c>
      <c r="E34" s="35" t="n">
        <v>0</v>
      </c>
      <c r="F34" s="33">
        <f>C34+D34+E34</f>
        <v>0.0</v>
      </c>
      <c r="G34" s="35" t="n">
        <v>0</v>
      </c>
      <c r="H34" s="32">
        <f>IFERROR(F34-G34,0)</f>
        <v>0.0</v>
      </c>
      <c r="I34" s="35" t="n">
        <v>0</v>
      </c>
      <c r="J34" s="35" t="n"/>
    </row>
    <row r="35">
      <c r="A35" s="15" t="n">
        <v>31</v>
      </c>
      <c r="B35" s="35" t="n">
        <v>0</v>
      </c>
      <c r="C35" s="35" t="n">
        <v>0</v>
      </c>
      <c r="D35" s="35" t="n">
        <v>0</v>
      </c>
      <c r="E35" s="35" t="n">
        <v>0</v>
      </c>
      <c r="F35" s="32">
        <f>C35+D35+E35</f>
        <v>0.0</v>
      </c>
      <c r="G35" s="35" t="n">
        <v>0</v>
      </c>
      <c r="H35" s="32">
        <f>IFERROR(F35-G35,0)</f>
        <v>0.0</v>
      </c>
      <c r="I35" s="35" t="n">
        <v>0</v>
      </c>
      <c r="J35" s="35" t="n"/>
    </row>
    <row r="36">
      <c r="A36" s="19" t="inlineStr">
        <is>
          <t>TOTALS</t>
        </is>
      </c>
      <c r="B36" s="37">
        <f>IFERROR(AVERAGEIF(B5:B35,"&gt;0"),0)</f>
        <v>0.0</v>
      </c>
      <c r="C36" s="37">
        <f>SUM(C5:C35)</f>
        <v>0.0</v>
      </c>
      <c r="D36" s="37">
        <f>SUM(D5:D35)</f>
        <v>0.0</v>
      </c>
      <c r="E36" s="37">
        <f>SUM(E5:E35)</f>
        <v>0.0</v>
      </c>
      <c r="F36" s="37">
        <f>SUM(F5:F35)</f>
        <v>0.0</v>
      </c>
      <c r="G36" s="37">
        <f>SUM(G5:G35)</f>
        <v>0.0</v>
      </c>
      <c r="H36" s="37">
        <f>SUM(H5:H35)</f>
        <v>0.0</v>
      </c>
      <c r="I36" s="37">
        <f>SUM(I5:I35)</f>
        <v>0.0</v>
      </c>
      <c r="J36" s="37" t="n"/>
    </row>
    <row r="37">
      <c r="A37" s="12" t="inlineStr">
        <is>
          <t>The starting bank is a balance, not a sale: in the "TOTALS" row, the "Starting Bank" column shows the average starting bank of the days logged, not their sum.</t>
        </is>
      </c>
    </row>
    <row r="38">
      <c r="A38" s="12" t="inlineStr">
        <is>
          <t>© AI Chef Pro — aichef.pro</t>
        </is>
      </c>
    </row>
  </sheetData>
  <mergeCells count="5">
    <mergeCell ref="A1:J1"/>
    <mergeCell ref="A37:J37"/>
    <mergeCell ref="A2:E2"/>
    <mergeCell ref="A38:J38"/>
    <mergeCell ref="F2:J2"/>
  </mergeCells>
  <conditionalFormatting sqref="H5:H35">
    <cfRule type="cellIs" priority="2" operator="notEqual" dxfId="0">
      <formula>0</formula>
    </cfRule>
  </conditionalFormatting>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Cash Drawer Opening &amp; Closing: Count Sheet, Z Report &amp; Over/Short Log</dc:title>
  <dc:description xmlns:dc="http://purl.org/dc/elements/1.1/">aichef.pro/en/digital-products/pastry-shop-checklist-templates</dc:description>
  <dc:subject xmlns:dc="http://purl.org/dc/elements/1.1/">Pastry Shop Checklists Kit Pro · v2.0</dc:subject>
  <dcterms:created xmlns:dcterms="http://purl.org/dc/terms/" xmlns:xsi="http://www.w3.org/2001/XMLSchema-instance" xsi:type="dcterms:W3CDTF">2026-04-05T14:07:31Z</dcterms:created>
  <dcterms:modified xmlns:dcterms="http://purl.org/dc/terms/" xmlns:xsi="http://www.w3.org/2001/XMLSchema-instance" xsi:type="dcterms:W3CDTF">2026-10-24T11:07:48Z</dcterms:modified>
  <cp:lastModifiedBy>AI Chef Pro</cp:lastModifiedBy>
  <cp:category>AI Chef Pro · Digital products</cp:category>
  <cp:keywords>pastry shop checklist, bakery opening checklist, bakery cleaning schedule, cake order form, bakery production schedule, bakery allergen chart, food temperature log, receiving log, AI Chef Pro</cp:keywords>
</cp:coreProperties>
</file>