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llergen Matrix" sheetId="2" state="visible" r:id="rId2"/>
    <sheet xmlns:r="http://schemas.openxmlformats.org/officeDocument/2006/relationships" name="Allergen Chart" sheetId="3" state="visible" r:id="rId3"/>
    <sheet xmlns:r="http://schemas.openxmlformats.org/officeDocument/2006/relationships" name="Case Sign" sheetId="4" state="visible" r:id="rId4"/>
    <sheet xmlns:r="http://schemas.openxmlformats.org/officeDocument/2006/relationships" name="Case Labels" sheetId="5" state="visible" r:id="rId5"/>
  </sheets>
  <definedNames>
    <definedName name="_xlnm.Print_Titles" localSheetId="1">'Allergen Matrix'!$4:$4</definedName>
    <definedName name="_xlnm.Print_Titles" localSheetId="2">'Allergen Chart'!$5:$5</definedName>
    <definedName name="_xlnm.Print_Area" localSheetId="3">'Case Sign'!$A$1:$D$30</definedName>
    <definedName name="_xlnm.Print_Area" localSheetId="4">'Case Labels'!$A$1:$F$31</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D700"/>
      <sz val="18"/>
    </font>
    <font>
      <name val="Calibri"/>
      <b val="1"/>
      <color rgb="00B71C1C"/>
      <sz val="11"/>
    </font>
    <font>
      <name val="Calibri"/>
      <b val="1"/>
      <color rgb="00333333"/>
      <sz val="12"/>
    </font>
    <font>
      <name val="Calibri"/>
      <color rgb="00555555"/>
      <sz val="11"/>
    </font>
    <font>
      <name val="Calibri"/>
      <color rgb="00555555"/>
      <sz val="10"/>
    </font>
    <font>
      <name val="Calibri"/>
      <color rgb="00999999"/>
      <sz val="9"/>
    </font>
    <font>
      <name val="Calibri"/>
      <b val="1"/>
      <color rgb="00FFD700"/>
      <sz val="16"/>
    </font>
    <font>
      <name val="Calibri"/>
      <b val="1"/>
      <color rgb="00FFFFFF"/>
      <sz val="11"/>
    </font>
    <font>
      <name val="Calibri"/>
      <sz val="11"/>
    </font>
    <font>
      <name val="Calibri"/>
      <color rgb="00666666"/>
      <sz val="10"/>
    </font>
    <font>
      <name val="Calibri"/>
      <color rgb="009E9E9E"/>
      <sz val="12"/>
    </font>
    <font>
      <name val="Calibri"/>
      <b val="1"/>
      <sz val="11"/>
    </font>
    <font>
      <name val="Calibri"/>
      <i val="1"/>
      <color rgb="00888888"/>
      <sz val="11"/>
    </font>
    <font>
      <name val="Calibri"/>
      <sz val="12"/>
    </font>
    <font>
      <name val="Calibri"/>
      <b val="1"/>
      <color rgb="001A1A1A"/>
      <sz val="22"/>
    </font>
    <font>
      <name val="Calibri"/>
      <b val="1"/>
      <color rgb="001A1A1A"/>
      <sz val="14"/>
    </font>
    <font>
      <name val="Calibri"/>
      <color rgb="00333333"/>
      <sz val="11"/>
    </font>
    <font>
      <name val="Calibri"/>
      <b val="1"/>
      <color rgb="00FFD700"/>
      <sz val="12"/>
    </font>
    <font>
      <name val="Calibri"/>
      <color rgb="00333333"/>
      <sz val="10"/>
    </font>
    <font>
      <name val="Calibri"/>
      <b val="1"/>
      <sz val="13"/>
    </font>
    <font>
      <name val="Calibri"/>
      <color rgb="00555555"/>
      <sz val="9"/>
    </font>
  </fonts>
  <fills count="7">
    <fill>
      <patternFill/>
    </fill>
    <fill>
      <patternFill patternType="gray125"/>
    </fill>
    <fill>
      <patternFill patternType="solid">
        <fgColor rgb="00FFEBEE"/>
        <bgColor rgb="00FFEBEE"/>
      </patternFill>
    </fill>
    <fill>
      <patternFill patternType="solid">
        <fgColor rgb="002D2D2D"/>
        <bgColor rgb="002D2D2D"/>
      </patternFill>
    </fill>
    <fill>
      <patternFill patternType="solid">
        <fgColor rgb="00E8F5E9"/>
        <bgColor rgb="00E8F5E9"/>
      </patternFill>
    </fill>
    <fill>
      <patternFill patternType="solid">
        <fgColor rgb="00FFD700"/>
        <bgColor rgb="00FFD700"/>
      </patternFill>
    </fill>
    <fill>
      <patternFill patternType="solid">
        <fgColor rgb="00F5F5F5"/>
        <bgColor rgb="00F5F5F5"/>
      </patternFill>
    </fill>
  </fills>
  <borders count="12">
    <border>
      <left/>
      <right/>
      <top/>
      <bottom/>
      <diagonal/>
    </border>
    <border>
      <left style="thin">
        <color rgb="00E0E0E0"/>
      </left>
      <right style="thin">
        <color rgb="00E0E0E0"/>
      </right>
      <top style="thin">
        <color rgb="00E0E0E0"/>
      </top>
      <bottom style="thin">
        <color rgb="00E0E0E0"/>
      </bottom>
    </border>
    <border>
      <left style="medium">
        <color rgb="009E9E9E"/>
      </left>
      <right style="medium">
        <color rgb="009E9E9E"/>
      </right>
      <top style="medium">
        <color rgb="009E9E9E"/>
      </top>
      <bottom style="medium">
        <color rgb="009E9E9E"/>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E0E0E0"/>
      </left>
      <right/>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s>
  <cellStyleXfs count="1">
    <xf numFmtId="0" fontId="0" fillId="0" borderId="0"/>
  </cellStyleXfs>
  <cellXfs count="54">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0" borderId="0" applyAlignment="1" pivotButton="0" quotePrefix="0" xfId="0">
      <alignment horizontal="left" vertical="center" wrapText="1"/>
    </xf>
    <xf numFmtId="0" fontId="5" fillId="0" borderId="0" applyAlignment="1" pivotButton="0" quotePrefix="0" xfId="0">
      <alignment horizontal="left" vertical="center" wrapText="1"/>
    </xf>
    <xf numFmtId="0" fontId="8" fillId="3" borderId="1" applyAlignment="1" pivotButton="0" quotePrefix="0" xfId="0">
      <alignment horizontal="center" vertical="center" wrapText="1"/>
    </xf>
    <xf numFmtId="0" fontId="8" fillId="3" borderId="1" applyAlignment="1" pivotButton="0" quotePrefix="0" xfId="0">
      <alignment horizontal="center" vertical="bottom" textRotation="90"/>
    </xf>
    <xf numFmtId="0" fontId="9"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1" fontId="12" fillId="0" borderId="1" applyAlignment="1" pivotButton="0" quotePrefix="0" xfId="0">
      <alignment horizontal="center" vertical="center" wrapText="1"/>
    </xf>
    <xf numFmtId="0" fontId="9" fillId="4" borderId="1" applyAlignment="1" pivotButton="0" quotePrefix="0" xfId="0">
      <alignment horizontal="left" vertical="center" wrapText="1"/>
    </xf>
    <xf numFmtId="0" fontId="9"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5" fillId="4" borderId="1" applyAlignment="1" pivotButton="0" quotePrefix="0" xfId="0">
      <alignment horizontal="left" vertical="center" wrapText="1"/>
    </xf>
    <xf numFmtId="1" fontId="9"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2" fillId="5" borderId="1" applyAlignment="1" pivotButton="0" quotePrefix="0" xfId="0">
      <alignment horizontal="left" vertical="center" wrapText="1"/>
    </xf>
    <xf numFmtId="0" fontId="9" fillId="5" borderId="1" applyAlignment="1" pivotButton="0" quotePrefix="0" xfId="0">
      <alignment horizontal="left" vertical="center" wrapText="1"/>
    </xf>
    <xf numFmtId="1" fontId="12" fillId="5" borderId="1" applyAlignment="1" pivotButton="0" quotePrefix="0" xfId="0">
      <alignment horizontal="center" vertical="center" wrapText="1"/>
    </xf>
    <xf numFmtId="0" fontId="12" fillId="6" borderId="1" applyAlignment="1" pivotButton="0" quotePrefix="0" xfId="0">
      <alignment horizontal="left" vertical="center" wrapText="1"/>
    </xf>
    <xf numFmtId="0" fontId="9" fillId="6" borderId="1" applyAlignment="1" pivotButton="0" quotePrefix="0" xfId="0">
      <alignment horizontal="left" vertical="center" wrapText="1"/>
    </xf>
    <xf numFmtId="1" fontId="12" fillId="6" borderId="1" applyAlignment="1" pivotButton="0" quotePrefix="0" xfId="0">
      <alignment horizontal="center" vertical="center" wrapText="1"/>
    </xf>
    <xf numFmtId="0" fontId="12" fillId="0" borderId="1" applyAlignment="1" pivotButton="0" quotePrefix="0" xfId="0">
      <alignment horizontal="left" vertical="center" wrapText="1"/>
    </xf>
    <xf numFmtId="0" fontId="5" fillId="0" borderId="1" applyAlignment="1" pivotButton="0" quotePrefix="0" xfId="0">
      <alignment horizontal="left" vertical="center" wrapText="1"/>
    </xf>
    <xf numFmtId="0" fontId="13" fillId="0" borderId="0" applyAlignment="1" pivotButton="0" quotePrefix="0" xfId="0">
      <alignment horizontal="left" vertical="center" wrapText="1"/>
    </xf>
    <xf numFmtId="0" fontId="14" fillId="0" borderId="1" applyAlignment="1" pivotButton="0" quotePrefix="0" xfId="0">
      <alignment horizontal="center" vertical="center" wrapText="1"/>
    </xf>
    <xf numFmtId="0" fontId="0" fillId="4" borderId="1" pivotButton="0" quotePrefix="0" xfId="0"/>
    <xf numFmtId="0" fontId="12" fillId="0" borderId="0" pivotButton="0" quotePrefix="0" xfId="0"/>
    <xf numFmtId="0" fontId="15" fillId="0" borderId="0" applyAlignment="1" pivotButton="0" quotePrefix="0" xfId="0">
      <alignment horizontal="center" vertical="center" wrapText="1"/>
    </xf>
    <xf numFmtId="0" fontId="16" fillId="5" borderId="1" applyAlignment="1" pivotButton="0" quotePrefix="0" xfId="0">
      <alignment horizontal="center" vertical="center" wrapText="1"/>
    </xf>
    <xf numFmtId="0" fontId="0" fillId="5" borderId="1" pivotButton="0" quotePrefix="0" xfId="0"/>
    <xf numFmtId="0" fontId="17" fillId="4" borderId="1" applyAlignment="1" pivotButton="0" quotePrefix="0" xfId="0">
      <alignment horizontal="center" vertical="center" wrapText="1"/>
    </xf>
    <xf numFmtId="0" fontId="18" fillId="3" borderId="0" applyAlignment="1" pivotButton="0" quotePrefix="0" xfId="0">
      <alignment horizontal="center" vertical="center" wrapText="1"/>
    </xf>
    <xf numFmtId="0" fontId="0" fillId="3" borderId="0" pivotButton="0" quotePrefix="0" xfId="0"/>
    <xf numFmtId="0" fontId="19" fillId="0" borderId="1" applyAlignment="1" pivotButton="0" quotePrefix="0" xfId="0">
      <alignment horizontal="left" vertical="center" wrapText="1"/>
    </xf>
    <xf numFmtId="0" fontId="1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20" fillId="4" borderId="2" applyAlignment="1" pivotButton="0" quotePrefix="0" xfId="0">
      <alignment horizontal="center" vertical="center" wrapText="1"/>
    </xf>
    <xf numFmtId="0" fontId="14" fillId="4" borderId="2" applyAlignment="1" pivotButton="0" quotePrefix="0" xfId="0">
      <alignment horizontal="center" vertical="center" wrapText="1"/>
    </xf>
    <xf numFmtId="0" fontId="21" fillId="4" borderId="2"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11" pivotButton="0" quotePrefix="0" xfId="0"/>
    <xf numFmtId="0" fontId="5" fillId="0" borderId="0" applyAlignment="1" pivotButton="0" quotePrefix="0" xfId="0">
      <alignment wrapText="1"/>
    </xf>
  </cellXfs>
  <cellStyles count="1">
    <cellStyle name="Normal" xfId="0" builtinId="0" hidden="0"/>
  </cellStyles>
  <dxfs count="2">
    <dxf>
      <font>
        <name val="Calibri"/>
        <b val="1"/>
        <color rgb="00B71C1C"/>
        <sz val="11"/>
      </font>
      <fill>
        <patternFill patternType="solid">
          <fgColor rgb="00FFCDD2"/>
          <bgColor rgb="00FFCDD2"/>
        </patternFill>
      </fill>
    </dxf>
    <dxf>
      <fill>
        <patternFill patternType="solid">
          <fgColor rgb="00E8F5E9"/>
          <b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B2:B32"/>
  <sheetViews>
    <sheetView workbookViewId="0">
      <selection activeCell="A1" sqref="A1"/>
    </sheetView>
  </sheetViews>
  <sheetFormatPr baseColWidth="8" defaultRowHeight="15"/>
  <cols>
    <col width="3" customWidth="1" min="1" max="1"/>
    <col width="95" customWidth="1" min="2" max="2"/>
  </cols>
  <sheetData>
    <row r="2">
      <c r="B2" s="1" t="inlineStr">
        <is>
          <t>12 · Bakery Allergen Chart (9 Major Allergens, UK 14): Matrix, Chart, Case Sign &amp; Labels</t>
        </is>
      </c>
    </row>
    <row r="4">
      <c r="B4" s="2" t="inlineStr">
        <is>
          <t>This template is delivered as a DRAFT. The symbols come pre-marked in gray as a starting proposal. Do not publish or show anything without checking each item against your actual recipe and your suppliers' spec sheets. The business is responsible for the information.</t>
        </is>
      </c>
    </row>
    <row r="5">
      <c r="B5" s="3" t="n"/>
    </row>
    <row r="6">
      <c r="B6" s="4" t="inlineStr">
        <is>
          <t>What the law requires:</t>
        </is>
      </c>
    </row>
    <row r="7">
      <c r="B7" s="5" t="inlineStr">
        <is>
          <t>▸ US law: the 9 major allergens (FALCPA + FASTER Act) on packaged food; on unpackaged items (bakery case, counter), written notice per the FDA Food Code 2022 3-602.12(C) where your state has adopted it. UK: 14 allergens (Food Information Regulations 2014).</t>
        </is>
      </c>
    </row>
    <row r="8">
      <c r="B8" s="5" t="inlineStr">
        <is>
          <t>▸ For unpackaged products, the information must be IN WRITING and accessible before purchase (3-602.12(C): handout, sign, case label or menu).</t>
        </is>
      </c>
    </row>
    <row r="9">
      <c r="B9" s="5" t="inlineStr">
        <is>
          <t>▸ A "may contain" statement is voluntary and must be truthful: it does not replace declaring the allergens you use on purpose.</t>
        </is>
      </c>
    </row>
    <row r="10">
      <c r="B10" s="3" t="n"/>
    </row>
    <row r="11">
      <c r="B11" s="4" t="inlineStr">
        <is>
          <t>How to use this template:</t>
        </is>
      </c>
    </row>
    <row r="12">
      <c r="B12" s="5" t="inlineStr">
        <is>
          <t>▸ Sheet "Allergen Matrix": go through it item by item. Mark ● if the product contains it and ○ if it may contain traces through cross-contact in your kitchen.</t>
        </is>
      </c>
    </row>
    <row r="13">
      <c r="B13" s="5" t="inlineStr">
        <is>
          <t>▸ Record the supplier and the spec sheet number backing each decision, enter the verification date and sign. Until you enter the date, the Status column says DO NOT PUBLISH.</t>
        </is>
      </c>
    </row>
    <row r="14">
      <c r="B14" s="5" t="inlineStr">
        <is>
          <t>▸ The Verification notes column tells you what to check on items where the symbol depends on the brand or recipe: pain aux raisins and candied fruit (sulfites, declared at 10 ppm or more), almond nougat / torrone (egg white), chocolate coatings and chips (soy lecithin), polvorones (sesame and butter).</t>
        </is>
      </c>
    </row>
    <row r="15">
      <c r="B15" s="5" t="inlineStr">
        <is>
          <t>▸ The cross-contact sentence on the sign and the chart is in a green cell: replace the list with the allergens actually handled in your kitchen. Declaring "all 9" (or "all 14") when you don't work with fish or shellfish is the generic "may contain" that doesn't help.</t>
        </is>
      </c>
    </row>
    <row r="16">
      <c r="B16" s="5" t="inlineStr">
        <is>
          <t>▸ Sheet "Allergen Chart": it fills itself in from the matrix. It is the document you show the customer and the one the health inspector asks for. Print it when no item is left unverified.</t>
        </is>
      </c>
    </row>
    <row r="17">
      <c r="B17" s="5" t="inlineStr">
        <is>
          <t>▸ Sheet "Case Sign": hang it in view of the customer, next to the bakery case.</t>
        </is>
      </c>
    </row>
    <row r="18">
      <c r="B18" s="5" t="inlineStr">
        <is>
          <t>▸ Sheet "Case Labels": one label per item, with price and abbreviated allergens.</t>
        </is>
      </c>
    </row>
    <row r="19">
      <c r="B19" s="3" t="n"/>
    </row>
    <row r="20">
      <c r="B20" s="4" t="inlineStr">
        <is>
          <t>When to review it:</t>
        </is>
      </c>
    </row>
    <row r="21">
      <c r="B21" s="5" t="inlineStr">
        <is>
          <t>▸ Whenever you change a recipe, an ingredient or a supplier.</t>
        </is>
      </c>
    </row>
    <row r="22">
      <c r="B22" s="5" t="inlineStr">
        <is>
          <t>▸ At least once a year, even if nothing has changed, and always before a holiday campaign.</t>
        </is>
      </c>
    </row>
    <row r="23">
      <c r="B23" s="3" t="n"/>
    </row>
    <row r="24">
      <c r="B24" s="4" t="inlineStr">
        <is>
          <t>Customization:</t>
        </is>
      </c>
    </row>
    <row r="25">
      <c r="B25" s="5" t="inlineStr">
        <is>
          <t>▸ Green cells are editable. The ● and ○ symbols are chosen from the dropdown in each cell.</t>
        </is>
      </c>
    </row>
    <row r="26">
      <c r="B26" s="5" t="inlineStr">
        <is>
          <t>▸ There are four free rows at the bottom of the matrix for your own items.</t>
        </is>
      </c>
    </row>
    <row r="27">
      <c r="B27" s="5" t="inlineStr">
        <is>
          <t>▸ Kit references: case labels go out at opening (→ 08 Shop Opening &amp; Closing · sheet "Shop Opening") and the allergens declared by the customer are logged on the order form (→ 11 Cake Orders).</t>
        </is>
      </c>
    </row>
    <row r="30">
      <c r="B30" s="6" t="inlineStr">
        <is>
          <t>Questions or suggestions: info@aichef.pro — we reply within 24–48 business hours.</t>
        </is>
      </c>
    </row>
    <row r="31">
      <c r="B31" s="53" t="inlineStr">
        <is>
          <t>Designed by John Guerrero — chef and restaurant consultant since 2010, in professional kitchens since age 17 · johnguerrero.es</t>
        </is>
      </c>
    </row>
    <row r="32">
      <c r="B32" s="7" t="inlineStr">
        <is>
          <t>Version 2.0 · October 2026 · aichef.pro/en/digital-products/pastry-shop-checklist-templates · info@aichef.pro</t>
        </is>
      </c>
    </row>
  </sheetData>
  <pageMargins left="0.75" right="0.75" top="1" bottom="1" header="0.5" footer="0.5"/>
  <pageSetup orientation="portrait" paperSize="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V57"/>
  <sheetViews>
    <sheetView workbookViewId="0">
      <pane ySplit="4" topLeftCell="A5" activePane="bottomLeft" state="frozen"/>
      <selection pane="bottomLeft" activeCell="A1" sqref="A1"/>
    </sheetView>
  </sheetViews>
  <sheetFormatPr baseColWidth="8" defaultRowHeight="15"/>
  <cols>
    <col width="28" customWidth="1" min="1" max="1"/>
    <col width="17"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9" customWidth="1" min="17" max="17"/>
    <col width="26" customWidth="1" min="18" max="18"/>
    <col width="22" customWidth="1" min="19" max="19"/>
    <col width="13" customWidth="1" min="20" max="20"/>
    <col width="15" customWidth="1" min="21" max="21"/>
    <col width="52" customWidth="1" min="22" max="22"/>
  </cols>
  <sheetData>
    <row r="1" ht="22" customHeight="1">
      <c r="A1" s="8" t="inlineStr">
        <is>
          <t>Bakery Case Allergen Matrix — Working Draft</t>
        </is>
      </c>
    </row>
    <row r="2">
      <c r="A2" s="2" t="inlineStr">
        <is>
          <t>STARTER TEMPLATE — DO NOT PUBLISH IT WITHOUT VERIFYING IT. The symbols come pre-marked in gray as a proposal: check each item against YOUR actual recipe and your suppliers' spec sheets before showing anything to a customer.</t>
        </is>
      </c>
      <c r="B2" s="46" t="n"/>
      <c r="C2" s="46" t="n"/>
      <c r="D2" s="46" t="n"/>
      <c r="E2" s="46" t="n"/>
      <c r="F2" s="46" t="n"/>
      <c r="G2" s="46" t="n"/>
      <c r="H2" s="46" t="n"/>
      <c r="I2" s="46" t="n"/>
      <c r="J2" s="46" t="n"/>
      <c r="K2" s="46" t="n"/>
      <c r="L2" s="46" t="n"/>
      <c r="M2" s="46" t="n"/>
      <c r="N2" s="46" t="n"/>
      <c r="O2" s="46" t="n"/>
      <c r="P2" s="46" t="n"/>
      <c r="Q2" s="46" t="n"/>
      <c r="R2" s="46" t="n"/>
      <c r="S2" s="46" t="n"/>
      <c r="T2" s="46" t="n"/>
      <c r="U2" s="46" t="n"/>
      <c r="V2" s="47" t="n"/>
    </row>
    <row r="3">
      <c r="A3" s="9" t="inlineStr">
        <is>
          <t>●  contains    ○  may contain traces    empty cell  does not contain    Gray symbols are the starting proposal; rewrite them when you verify.</t>
        </is>
      </c>
    </row>
    <row r="4" ht="95" customHeight="1">
      <c r="A4" s="10" t="inlineStr">
        <is>
          <t>Product</t>
        </is>
      </c>
      <c r="B4" s="10" t="inlineStr">
        <is>
          <t>Category</t>
        </is>
      </c>
      <c r="C4" s="11" t="inlineStr">
        <is>
          <t>Wheat (gluten)</t>
        </is>
      </c>
      <c r="D4" s="11" t="inlineStr">
        <is>
          <t>Shellfish</t>
        </is>
      </c>
      <c r="E4" s="11" t="inlineStr">
        <is>
          <t>Eggs</t>
        </is>
      </c>
      <c r="F4" s="11" t="inlineStr">
        <is>
          <t>Fish</t>
        </is>
      </c>
      <c r="G4" s="11" t="inlineStr">
        <is>
          <t>Peanuts</t>
        </is>
      </c>
      <c r="H4" s="11" t="inlineStr">
        <is>
          <t>Soy</t>
        </is>
      </c>
      <c r="I4" s="11" t="inlineStr">
        <is>
          <t>Milk</t>
        </is>
      </c>
      <c r="J4" s="11" t="inlineStr">
        <is>
          <t>Tree nuts</t>
        </is>
      </c>
      <c r="K4" s="11" t="inlineStr">
        <is>
          <t>Celery (UK)</t>
        </is>
      </c>
      <c r="L4" s="11" t="inlineStr">
        <is>
          <t>Mustard (UK)</t>
        </is>
      </c>
      <c r="M4" s="11" t="inlineStr">
        <is>
          <t>Sesame</t>
        </is>
      </c>
      <c r="N4" s="11" t="inlineStr">
        <is>
          <t>Sulfites</t>
        </is>
      </c>
      <c r="O4" s="11" t="inlineStr">
        <is>
          <t>Lupin (UK)</t>
        </is>
      </c>
      <c r="P4" s="11" t="inlineStr">
        <is>
          <t>Mollusks (UK)</t>
        </is>
      </c>
      <c r="Q4" s="10" t="inlineStr">
        <is>
          <t>Total ●</t>
        </is>
      </c>
      <c r="R4" s="10" t="inlineStr">
        <is>
          <t>Supplier / Spec sheet #</t>
        </is>
      </c>
      <c r="S4" s="10" t="inlineStr">
        <is>
          <t>Verified against spec sheet (date)</t>
        </is>
      </c>
      <c r="T4" s="10" t="inlineStr">
        <is>
          <t>Initials</t>
        </is>
      </c>
      <c r="U4" s="10" t="inlineStr">
        <is>
          <t>Status</t>
        </is>
      </c>
      <c r="V4" s="10" t="inlineStr">
        <is>
          <t>Verification notes</t>
        </is>
      </c>
    </row>
    <row r="5">
      <c r="A5" s="12" t="inlineStr">
        <is>
          <t>Butter croissant</t>
        </is>
      </c>
      <c r="B5" s="13" t="inlineStr">
        <is>
          <t>Viennoiserie</t>
        </is>
      </c>
      <c r="C5" s="14" t="inlineStr">
        <is>
          <t>●</t>
        </is>
      </c>
      <c r="D5" s="14" t="n"/>
      <c r="E5" s="14" t="inlineStr">
        <is>
          <t>●</t>
        </is>
      </c>
      <c r="F5" s="14" t="n"/>
      <c r="G5" s="14" t="n"/>
      <c r="H5" s="14" t="inlineStr">
        <is>
          <t>○</t>
        </is>
      </c>
      <c r="I5" s="14" t="inlineStr">
        <is>
          <t>●</t>
        </is>
      </c>
      <c r="J5" s="14" t="inlineStr">
        <is>
          <t>○</t>
        </is>
      </c>
      <c r="K5" s="14" t="n"/>
      <c r="L5" s="14" t="n"/>
      <c r="M5" s="14" t="inlineStr">
        <is>
          <t>○</t>
        </is>
      </c>
      <c r="N5" s="14" t="n"/>
      <c r="O5" s="14" t="n"/>
      <c r="P5" s="14" t="n"/>
      <c r="Q5" s="15">
        <f>COUNTIF(C5:P5,"●")</f>
        <v>3.0</v>
      </c>
      <c r="R5" s="16" t="n"/>
      <c r="S5" s="17" t="n"/>
      <c r="T5" s="17" t="n"/>
      <c r="U5" s="18" t="str">
        <f>IF($S5="","DO NOT PUBLISH","Verified")</f>
        <v>DO NOT PUBLISH</v>
      </c>
      <c r="V5" s="19" t="n"/>
    </row>
    <row r="6">
      <c r="A6" s="12" t="inlineStr">
        <is>
          <t>Pain au chocolat</t>
        </is>
      </c>
      <c r="B6" s="13" t="inlineStr">
        <is>
          <t>Viennoiserie</t>
        </is>
      </c>
      <c r="C6" s="14" t="inlineStr">
        <is>
          <t>●</t>
        </is>
      </c>
      <c r="D6" s="14" t="n"/>
      <c r="E6" s="14" t="inlineStr">
        <is>
          <t>●</t>
        </is>
      </c>
      <c r="F6" s="14" t="n"/>
      <c r="G6" s="14" t="n"/>
      <c r="H6" s="14" t="inlineStr">
        <is>
          <t>●</t>
        </is>
      </c>
      <c r="I6" s="14" t="inlineStr">
        <is>
          <t>●</t>
        </is>
      </c>
      <c r="J6" s="14" t="inlineStr">
        <is>
          <t>○</t>
        </is>
      </c>
      <c r="K6" s="14" t="n"/>
      <c r="L6" s="14" t="n"/>
      <c r="M6" s="14" t="n"/>
      <c r="N6" s="14" t="n"/>
      <c r="O6" s="14" t="n"/>
      <c r="P6" s="14" t="n"/>
      <c r="Q6" s="15">
        <f>COUNTIF(C6:P6,"●")</f>
        <v>4.0</v>
      </c>
      <c r="R6" s="16" t="n"/>
      <c r="S6" s="17" t="n"/>
      <c r="T6" s="17" t="n"/>
      <c r="U6" s="18" t="str">
        <f>IF($S6="","DO NOT PUBLISH","Verified")</f>
        <v>DO NOT PUBLISH</v>
      </c>
      <c r="V6" s="19" t="n"/>
    </row>
    <row r="7">
      <c r="A7" s="12" t="inlineStr">
        <is>
          <t>Custard danish</t>
        </is>
      </c>
      <c r="B7" s="13" t="inlineStr">
        <is>
          <t>Viennoiserie</t>
        </is>
      </c>
      <c r="C7" s="14" t="inlineStr">
        <is>
          <t>●</t>
        </is>
      </c>
      <c r="D7" s="14" t="n"/>
      <c r="E7" s="14" t="inlineStr">
        <is>
          <t>●</t>
        </is>
      </c>
      <c r="F7" s="14" t="n"/>
      <c r="G7" s="14" t="n"/>
      <c r="H7" s="14" t="inlineStr">
        <is>
          <t>○</t>
        </is>
      </c>
      <c r="I7" s="14" t="inlineStr">
        <is>
          <t>●</t>
        </is>
      </c>
      <c r="J7" s="14" t="inlineStr">
        <is>
          <t>○</t>
        </is>
      </c>
      <c r="K7" s="14" t="n"/>
      <c r="L7" s="14" t="n"/>
      <c r="M7" s="14" t="n"/>
      <c r="N7" s="14" t="n"/>
      <c r="O7" s="14" t="n"/>
      <c r="P7" s="14" t="n"/>
      <c r="Q7" s="15">
        <f>COUNTIF(C7:P7,"●")</f>
        <v>3.0</v>
      </c>
      <c r="R7" s="16" t="n"/>
      <c r="S7" s="17" t="n"/>
      <c r="T7" s="17" t="n"/>
      <c r="U7" s="18" t="str">
        <f>IF($S7="","DO NOT PUBLISH","Verified")</f>
        <v>DO NOT PUBLISH</v>
      </c>
      <c r="V7" s="19" t="n"/>
    </row>
    <row r="8">
      <c r="A8" s="12" t="inlineStr">
        <is>
          <t>Concha (pan dulce)</t>
        </is>
      </c>
      <c r="B8" s="13" t="inlineStr">
        <is>
          <t>Viennoiserie</t>
        </is>
      </c>
      <c r="C8" s="14" t="inlineStr">
        <is>
          <t>●</t>
        </is>
      </c>
      <c r="D8" s="14" t="n"/>
      <c r="E8" s="14" t="inlineStr">
        <is>
          <t>●</t>
        </is>
      </c>
      <c r="F8" s="14" t="n"/>
      <c r="G8" s="14" t="n"/>
      <c r="H8" s="14" t="inlineStr">
        <is>
          <t>○</t>
        </is>
      </c>
      <c r="I8" s="14" t="inlineStr">
        <is>
          <t>●</t>
        </is>
      </c>
      <c r="J8" s="14" t="inlineStr">
        <is>
          <t>○</t>
        </is>
      </c>
      <c r="K8" s="14" t="n"/>
      <c r="L8" s="14" t="n"/>
      <c r="M8" s="14" t="n"/>
      <c r="N8" s="14" t="n"/>
      <c r="O8" s="14" t="n"/>
      <c r="P8" s="14" t="n"/>
      <c r="Q8" s="15">
        <f>COUNTIF(C8:P8,"●")</f>
        <v>3.0</v>
      </c>
      <c r="R8" s="16" t="n"/>
      <c r="S8" s="17" t="n"/>
      <c r="T8" s="17" t="n"/>
      <c r="U8" s="18" t="str">
        <f>IF($S8="","DO NOT PUBLISH","Verified")</f>
        <v>DO NOT PUBLISH</v>
      </c>
      <c r="V8" s="19" t="n"/>
    </row>
    <row r="9">
      <c r="A9" s="12" t="inlineStr">
        <is>
          <t>Brioche</t>
        </is>
      </c>
      <c r="B9" s="13" t="inlineStr">
        <is>
          <t>Viennoiserie</t>
        </is>
      </c>
      <c r="C9" s="14" t="inlineStr">
        <is>
          <t>●</t>
        </is>
      </c>
      <c r="D9" s="14" t="n"/>
      <c r="E9" s="14" t="inlineStr">
        <is>
          <t>●</t>
        </is>
      </c>
      <c r="F9" s="14" t="n"/>
      <c r="G9" s="14" t="n"/>
      <c r="H9" s="14" t="inlineStr">
        <is>
          <t>○</t>
        </is>
      </c>
      <c r="I9" s="14" t="inlineStr">
        <is>
          <t>●</t>
        </is>
      </c>
      <c r="J9" s="14" t="inlineStr">
        <is>
          <t>○</t>
        </is>
      </c>
      <c r="K9" s="14" t="n"/>
      <c r="L9" s="14" t="n"/>
      <c r="M9" s="14" t="n"/>
      <c r="N9" s="14" t="n"/>
      <c r="O9" s="14" t="n"/>
      <c r="P9" s="14" t="n"/>
      <c r="Q9" s="15">
        <f>COUNTIF(C9:P9,"●")</f>
        <v>3.0</v>
      </c>
      <c r="R9" s="16" t="n"/>
      <c r="S9" s="17" t="n"/>
      <c r="T9" s="17" t="n"/>
      <c r="U9" s="18" t="str">
        <f>IF($S9="","DO NOT PUBLISH","Verified")</f>
        <v>DO NOT PUBLISH</v>
      </c>
      <c r="V9" s="19" t="n"/>
    </row>
    <row r="10">
      <c r="A10" s="12" t="inlineStr">
        <is>
          <t>Pain aux raisins</t>
        </is>
      </c>
      <c r="B10" s="13" t="inlineStr">
        <is>
          <t>Viennoiserie</t>
        </is>
      </c>
      <c r="C10" s="14" t="inlineStr">
        <is>
          <t>●</t>
        </is>
      </c>
      <c r="D10" s="14" t="n"/>
      <c r="E10" s="14" t="inlineStr">
        <is>
          <t>●</t>
        </is>
      </c>
      <c r="F10" s="14" t="n"/>
      <c r="G10" s="14" t="n"/>
      <c r="H10" s="14" t="inlineStr">
        <is>
          <t>○</t>
        </is>
      </c>
      <c r="I10" s="14" t="inlineStr">
        <is>
          <t>●</t>
        </is>
      </c>
      <c r="J10" s="14" t="inlineStr">
        <is>
          <t>○</t>
        </is>
      </c>
      <c r="K10" s="14" t="n"/>
      <c r="L10" s="14" t="n"/>
      <c r="M10" s="14" t="n"/>
      <c r="N10" s="14" t="inlineStr">
        <is>
          <t>●</t>
        </is>
      </c>
      <c r="O10" s="14" t="n"/>
      <c r="P10" s="14" t="n"/>
      <c r="Q10" s="15">
        <f>COUNTIF(C10:P10,"●")</f>
        <v>4.0</v>
      </c>
      <c r="R10" s="16" t="n"/>
      <c r="S10" s="17" t="n"/>
      <c r="T10" s="17" t="n"/>
      <c r="U10" s="18" t="str">
        <f>IF($S10="","DO NOT PUBLISH","Verified")</f>
        <v>DO NOT PUBLISH</v>
      </c>
      <c r="V10" s="19" t="inlineStr">
        <is>
          <t>Sulfites: raisins are often sulfited; declared at 10 ppm or more (check the spec sheet).</t>
        </is>
      </c>
    </row>
    <row r="11">
      <c r="A11" s="12" t="inlineStr">
        <is>
          <t>Palmier</t>
        </is>
      </c>
      <c r="B11" s="13" t="inlineStr">
        <is>
          <t>Viennoiserie</t>
        </is>
      </c>
      <c r="C11" s="14" t="inlineStr">
        <is>
          <t>●</t>
        </is>
      </c>
      <c r="D11" s="14" t="n"/>
      <c r="E11" s="14" t="inlineStr">
        <is>
          <t>○</t>
        </is>
      </c>
      <c r="F11" s="14" t="n"/>
      <c r="G11" s="14" t="n"/>
      <c r="H11" s="14" t="inlineStr">
        <is>
          <t>○</t>
        </is>
      </c>
      <c r="I11" s="14" t="inlineStr">
        <is>
          <t>●</t>
        </is>
      </c>
      <c r="J11" s="14" t="inlineStr">
        <is>
          <t>○</t>
        </is>
      </c>
      <c r="K11" s="14" t="n"/>
      <c r="L11" s="14" t="n"/>
      <c r="M11" s="14" t="n"/>
      <c r="N11" s="14" t="n"/>
      <c r="O11" s="14" t="n"/>
      <c r="P11" s="14" t="n"/>
      <c r="Q11" s="15">
        <f>COUNTIF(C11:P11,"●")</f>
        <v>2.0</v>
      </c>
      <c r="R11" s="16" t="n"/>
      <c r="S11" s="17" t="n"/>
      <c r="T11" s="17" t="n"/>
      <c r="U11" s="18" t="str">
        <f>IF($S11="","DO NOT PUBLISH","Verified")</f>
        <v>DO NOT PUBLISH</v>
      </c>
      <c r="V11" s="19" t="n"/>
    </row>
    <row r="12">
      <c r="A12" s="12" t="inlineStr">
        <is>
          <t>Cream-filled croissant</t>
        </is>
      </c>
      <c r="B12" s="13" t="inlineStr">
        <is>
          <t>Viennoiserie</t>
        </is>
      </c>
      <c r="C12" s="14" t="inlineStr">
        <is>
          <t>●</t>
        </is>
      </c>
      <c r="D12" s="14" t="n"/>
      <c r="E12" s="14" t="inlineStr">
        <is>
          <t>●</t>
        </is>
      </c>
      <c r="F12" s="14" t="n"/>
      <c r="G12" s="14" t="n"/>
      <c r="H12" s="14" t="inlineStr">
        <is>
          <t>○</t>
        </is>
      </c>
      <c r="I12" s="14" t="inlineStr">
        <is>
          <t>●</t>
        </is>
      </c>
      <c r="J12" s="14" t="inlineStr">
        <is>
          <t>○</t>
        </is>
      </c>
      <c r="K12" s="14" t="n"/>
      <c r="L12" s="14" t="n"/>
      <c r="M12" s="14" t="n"/>
      <c r="N12" s="14" t="n"/>
      <c r="O12" s="14" t="n"/>
      <c r="P12" s="14" t="n"/>
      <c r="Q12" s="15">
        <f>COUNTIF(C12:P12,"●")</f>
        <v>3.0</v>
      </c>
      <c r="R12" s="16" t="n"/>
      <c r="S12" s="17" t="n"/>
      <c r="T12" s="17" t="n"/>
      <c r="U12" s="18" t="str">
        <f>IF($S12="","DO NOT PUBLISH","Verified")</f>
        <v>DO NOT PUBLISH</v>
      </c>
      <c r="V12" s="19" t="n"/>
    </row>
    <row r="13">
      <c r="A13" s="12" t="inlineStr">
        <is>
          <t>Cheesecake</t>
        </is>
      </c>
      <c r="B13" s="13" t="inlineStr">
        <is>
          <t>Cakes &amp; pastries</t>
        </is>
      </c>
      <c r="C13" s="14" t="inlineStr">
        <is>
          <t>●</t>
        </is>
      </c>
      <c r="D13" s="14" t="n"/>
      <c r="E13" s="14" t="inlineStr">
        <is>
          <t>●</t>
        </is>
      </c>
      <c r="F13" s="14" t="n"/>
      <c r="G13" s="14" t="n"/>
      <c r="H13" s="14" t="inlineStr">
        <is>
          <t>○</t>
        </is>
      </c>
      <c r="I13" s="14" t="inlineStr">
        <is>
          <t>●</t>
        </is>
      </c>
      <c r="J13" s="14" t="inlineStr">
        <is>
          <t>○</t>
        </is>
      </c>
      <c r="K13" s="14" t="n"/>
      <c r="L13" s="14" t="n"/>
      <c r="M13" s="14" t="n"/>
      <c r="N13" s="14" t="n"/>
      <c r="O13" s="14" t="n"/>
      <c r="P13" s="14" t="n"/>
      <c r="Q13" s="15">
        <f>COUNTIF(C13:P13,"●")</f>
        <v>3.0</v>
      </c>
      <c r="R13" s="16" t="n"/>
      <c r="S13" s="17" t="n"/>
      <c r="T13" s="17" t="n"/>
      <c r="U13" s="18" t="str">
        <f>IF($S13="","DO NOT PUBLISH","Verified")</f>
        <v>DO NOT PUBLISH</v>
      </c>
      <c r="V13" s="19" t="n"/>
    </row>
    <row r="14">
      <c r="A14" s="12" t="inlineStr">
        <is>
          <t>Apple pie</t>
        </is>
      </c>
      <c r="B14" s="13" t="inlineStr">
        <is>
          <t>Cakes &amp; pastries</t>
        </is>
      </c>
      <c r="C14" s="14" t="inlineStr">
        <is>
          <t>●</t>
        </is>
      </c>
      <c r="D14" s="14" t="n"/>
      <c r="E14" s="14" t="inlineStr">
        <is>
          <t>●</t>
        </is>
      </c>
      <c r="F14" s="14" t="n"/>
      <c r="G14" s="14" t="n"/>
      <c r="H14" s="14" t="n"/>
      <c r="I14" s="14" t="inlineStr">
        <is>
          <t>●</t>
        </is>
      </c>
      <c r="J14" s="14" t="inlineStr">
        <is>
          <t>○</t>
        </is>
      </c>
      <c r="K14" s="14" t="n"/>
      <c r="L14" s="14" t="n"/>
      <c r="M14" s="14" t="n"/>
      <c r="N14" s="14" t="inlineStr">
        <is>
          <t>○</t>
        </is>
      </c>
      <c r="O14" s="14" t="n"/>
      <c r="P14" s="14" t="n"/>
      <c r="Q14" s="15">
        <f>COUNTIF(C14:P14,"●")</f>
        <v>3.0</v>
      </c>
      <c r="R14" s="16" t="n"/>
      <c r="S14" s="17" t="n"/>
      <c r="T14" s="17" t="n"/>
      <c r="U14" s="18" t="str">
        <f>IF($S14="","DO NOT PUBLISH","Verified")</f>
        <v>DO NOT PUBLISH</v>
      </c>
      <c r="V14" s="19" t="n"/>
    </row>
    <row r="15">
      <c r="A15" s="12" t="inlineStr">
        <is>
          <t>Napoleon</t>
        </is>
      </c>
      <c r="B15" s="13" t="inlineStr">
        <is>
          <t>Cakes &amp; pastries</t>
        </is>
      </c>
      <c r="C15" s="14" t="inlineStr">
        <is>
          <t>●</t>
        </is>
      </c>
      <c r="D15" s="14" t="n"/>
      <c r="E15" s="14" t="inlineStr">
        <is>
          <t>●</t>
        </is>
      </c>
      <c r="F15" s="14" t="n"/>
      <c r="G15" s="14" t="n"/>
      <c r="H15" s="14" t="inlineStr">
        <is>
          <t>○</t>
        </is>
      </c>
      <c r="I15" s="14" t="inlineStr">
        <is>
          <t>●</t>
        </is>
      </c>
      <c r="J15" s="14" t="inlineStr">
        <is>
          <t>○</t>
        </is>
      </c>
      <c r="K15" s="14" t="n"/>
      <c r="L15" s="14" t="n"/>
      <c r="M15" s="14" t="n"/>
      <c r="N15" s="14" t="n"/>
      <c r="O15" s="14" t="n"/>
      <c r="P15" s="14" t="n"/>
      <c r="Q15" s="15">
        <f>COUNTIF(C15:P15,"●")</f>
        <v>3.0</v>
      </c>
      <c r="R15" s="16" t="n"/>
      <c r="S15" s="17" t="n"/>
      <c r="T15" s="17" t="n"/>
      <c r="U15" s="18" t="str">
        <f>IF($S15="","DO NOT PUBLISH","Verified")</f>
        <v>DO NOT PUBLISH</v>
      </c>
      <c r="V15" s="19" t="n"/>
    </row>
    <row r="16">
      <c r="A16" s="12" t="inlineStr">
        <is>
          <t>Eclair</t>
        </is>
      </c>
      <c r="B16" s="13" t="inlineStr">
        <is>
          <t>Cakes &amp; pastries</t>
        </is>
      </c>
      <c r="C16" s="14" t="inlineStr">
        <is>
          <t>●</t>
        </is>
      </c>
      <c r="D16" s="14" t="n"/>
      <c r="E16" s="14" t="inlineStr">
        <is>
          <t>●</t>
        </is>
      </c>
      <c r="F16" s="14" t="n"/>
      <c r="G16" s="14" t="n"/>
      <c r="H16" s="14" t="inlineStr">
        <is>
          <t>○</t>
        </is>
      </c>
      <c r="I16" s="14" t="inlineStr">
        <is>
          <t>●</t>
        </is>
      </c>
      <c r="J16" s="14" t="inlineStr">
        <is>
          <t>○</t>
        </is>
      </c>
      <c r="K16" s="14" t="n"/>
      <c r="L16" s="14" t="n"/>
      <c r="M16" s="14" t="n"/>
      <c r="N16" s="14" t="n"/>
      <c r="O16" s="14" t="n"/>
      <c r="P16" s="14" t="n"/>
      <c r="Q16" s="15">
        <f>COUNTIF(C16:P16,"●")</f>
        <v>3.0</v>
      </c>
      <c r="R16" s="16" t="n"/>
      <c r="S16" s="17" t="n"/>
      <c r="T16" s="17" t="n"/>
      <c r="U16" s="18" t="str">
        <f>IF($S16="","DO NOT PUBLISH","Verified")</f>
        <v>DO NOT PUBLISH</v>
      </c>
      <c r="V16" s="19" t="n"/>
    </row>
    <row r="17">
      <c r="A17" s="12" t="inlineStr">
        <is>
          <t>Carrot cake</t>
        </is>
      </c>
      <c r="B17" s="13" t="inlineStr">
        <is>
          <t>Cakes &amp; pastries</t>
        </is>
      </c>
      <c r="C17" s="14" t="inlineStr">
        <is>
          <t>●</t>
        </is>
      </c>
      <c r="D17" s="14" t="n"/>
      <c r="E17" s="14" t="inlineStr">
        <is>
          <t>●</t>
        </is>
      </c>
      <c r="F17" s="14" t="n"/>
      <c r="G17" s="14" t="n"/>
      <c r="H17" s="14" t="inlineStr">
        <is>
          <t>○</t>
        </is>
      </c>
      <c r="I17" s="14" t="inlineStr">
        <is>
          <t>●</t>
        </is>
      </c>
      <c r="J17" s="14" t="inlineStr">
        <is>
          <t>●</t>
        </is>
      </c>
      <c r="K17" s="14" t="n"/>
      <c r="L17" s="14" t="n"/>
      <c r="M17" s="14" t="n"/>
      <c r="N17" s="14" t="n"/>
      <c r="O17" s="14" t="n"/>
      <c r="P17" s="14" t="n"/>
      <c r="Q17" s="15">
        <f>COUNTIF(C17:P17,"●")</f>
        <v>4.0</v>
      </c>
      <c r="R17" s="16" t="n"/>
      <c r="S17" s="17" t="n"/>
      <c r="T17" s="17" t="n"/>
      <c r="U17" s="18" t="str">
        <f>IF($S17="","DO NOT PUBLISH","Verified")</f>
        <v>DO NOT PUBLISH</v>
      </c>
      <c r="V17" s="19" t="n"/>
    </row>
    <row r="18">
      <c r="A18" s="12" t="inlineStr">
        <is>
          <t>Chocolate layer cake</t>
        </is>
      </c>
      <c r="B18" s="13" t="inlineStr">
        <is>
          <t>Cakes &amp; pastries</t>
        </is>
      </c>
      <c r="C18" s="14" t="inlineStr">
        <is>
          <t>●</t>
        </is>
      </c>
      <c r="D18" s="14" t="n"/>
      <c r="E18" s="14" t="inlineStr">
        <is>
          <t>●</t>
        </is>
      </c>
      <c r="F18" s="14" t="n"/>
      <c r="G18" s="14" t="n"/>
      <c r="H18" s="14" t="inlineStr">
        <is>
          <t>●</t>
        </is>
      </c>
      <c r="I18" s="14" t="inlineStr">
        <is>
          <t>●</t>
        </is>
      </c>
      <c r="J18" s="14" t="inlineStr">
        <is>
          <t>○</t>
        </is>
      </c>
      <c r="K18" s="14" t="n"/>
      <c r="L18" s="14" t="n"/>
      <c r="M18" s="14" t="n"/>
      <c r="N18" s="14" t="n"/>
      <c r="O18" s="14" t="n"/>
      <c r="P18" s="14" t="n"/>
      <c r="Q18" s="15">
        <f>COUNTIF(C18:P18,"●")</f>
        <v>4.0</v>
      </c>
      <c r="R18" s="16" t="n"/>
      <c r="S18" s="17" t="n"/>
      <c r="T18" s="17" t="n"/>
      <c r="U18" s="18" t="str">
        <f>IF($S18="","DO NOT PUBLISH","Verified")</f>
        <v>DO NOT PUBLISH</v>
      </c>
      <c r="V18" s="19" t="n"/>
    </row>
    <row r="19">
      <c r="A19" s="12" t="inlineStr">
        <is>
          <t>Individual mousse cake</t>
        </is>
      </c>
      <c r="B19" s="13" t="inlineStr">
        <is>
          <t>Cakes &amp; pastries</t>
        </is>
      </c>
      <c r="C19" s="14" t="inlineStr">
        <is>
          <t>●</t>
        </is>
      </c>
      <c r="D19" s="14" t="n"/>
      <c r="E19" s="14" t="inlineStr">
        <is>
          <t>●</t>
        </is>
      </c>
      <c r="F19" s="14" t="n"/>
      <c r="G19" s="14" t="n"/>
      <c r="H19" s="14" t="inlineStr">
        <is>
          <t>●</t>
        </is>
      </c>
      <c r="I19" s="14" t="inlineStr">
        <is>
          <t>●</t>
        </is>
      </c>
      <c r="J19" s="14" t="inlineStr">
        <is>
          <t>○</t>
        </is>
      </c>
      <c r="K19" s="14" t="n"/>
      <c r="L19" s="14" t="n"/>
      <c r="M19" s="14" t="n"/>
      <c r="N19" s="14" t="n"/>
      <c r="O19" s="14" t="n"/>
      <c r="P19" s="14" t="n"/>
      <c r="Q19" s="15">
        <f>COUNTIF(C19:P19,"●")</f>
        <v>4.0</v>
      </c>
      <c r="R19" s="16" t="n"/>
      <c r="S19" s="17" t="n"/>
      <c r="T19" s="17" t="n"/>
      <c r="U19" s="18" t="str">
        <f>IF($S19="","DO NOT PUBLISH","Verified")</f>
        <v>DO NOT PUBLISH</v>
      </c>
      <c r="V19" s="19" t="n"/>
    </row>
    <row r="20">
      <c r="A20" s="12" t="inlineStr">
        <is>
          <t>French macarons (box of 6)</t>
        </is>
      </c>
      <c r="B20" s="13" t="inlineStr">
        <is>
          <t>Cakes &amp; pastries</t>
        </is>
      </c>
      <c r="C20" s="14" t="inlineStr">
        <is>
          <t>○</t>
        </is>
      </c>
      <c r="D20" s="14" t="n"/>
      <c r="E20" s="14" t="inlineStr">
        <is>
          <t>●</t>
        </is>
      </c>
      <c r="F20" s="14" t="n"/>
      <c r="G20" s="14" t="n"/>
      <c r="H20" s="14" t="inlineStr">
        <is>
          <t>○</t>
        </is>
      </c>
      <c r="I20" s="14" t="inlineStr">
        <is>
          <t>●</t>
        </is>
      </c>
      <c r="J20" s="14" t="inlineStr">
        <is>
          <t>●</t>
        </is>
      </c>
      <c r="K20" s="14" t="n"/>
      <c r="L20" s="14" t="n"/>
      <c r="M20" s="14" t="n"/>
      <c r="N20" s="14" t="n"/>
      <c r="O20" s="14" t="n"/>
      <c r="P20" s="14" t="n"/>
      <c r="Q20" s="15">
        <f>COUNTIF(C20:P20,"●")</f>
        <v>3.0</v>
      </c>
      <c r="R20" s="16" t="n"/>
      <c r="S20" s="17" t="n"/>
      <c r="T20" s="17" t="n"/>
      <c r="U20" s="18" t="str">
        <f>IF($S20="","DO NOT PUBLISH","Verified")</f>
        <v>DO NOT PUBLISH</v>
      </c>
      <c r="V20" s="19" t="inlineStr">
        <is>
          <t>Tree nuts: almond as a main ingredient is never a trace.</t>
        </is>
      </c>
    </row>
    <row r="21">
      <c r="A21" s="12" t="inlineStr">
        <is>
          <t>Fresh fruit tart</t>
        </is>
      </c>
      <c r="B21" s="13" t="inlineStr">
        <is>
          <t>Cakes &amp; pastries</t>
        </is>
      </c>
      <c r="C21" s="14" t="inlineStr">
        <is>
          <t>●</t>
        </is>
      </c>
      <c r="D21" s="14" t="n"/>
      <c r="E21" s="14" t="inlineStr">
        <is>
          <t>●</t>
        </is>
      </c>
      <c r="F21" s="14" t="n"/>
      <c r="G21" s="14" t="n"/>
      <c r="H21" s="14" t="n"/>
      <c r="I21" s="14" t="inlineStr">
        <is>
          <t>●</t>
        </is>
      </c>
      <c r="J21" s="14" t="inlineStr">
        <is>
          <t>○</t>
        </is>
      </c>
      <c r="K21" s="14" t="n"/>
      <c r="L21" s="14" t="n"/>
      <c r="M21" s="14" t="n"/>
      <c r="N21" s="14" t="inlineStr">
        <is>
          <t>○</t>
        </is>
      </c>
      <c r="O21" s="14" t="n"/>
      <c r="P21" s="14" t="n"/>
      <c r="Q21" s="15">
        <f>COUNTIF(C21:P21,"●")</f>
        <v>3.0</v>
      </c>
      <c r="R21" s="16" t="n"/>
      <c r="S21" s="17" t="n"/>
      <c r="T21" s="17" t="n"/>
      <c r="U21" s="18" t="str">
        <f>IF($S21="","DO NOT PUBLISH","Verified")</f>
        <v>DO NOT PUBLISH</v>
      </c>
      <c r="V21" s="19" t="n"/>
    </row>
    <row r="22">
      <c r="A22" s="12" t="inlineStr">
        <is>
          <t>Cream puff</t>
        </is>
      </c>
      <c r="B22" s="13" t="inlineStr">
        <is>
          <t>Cakes &amp; pastries</t>
        </is>
      </c>
      <c r="C22" s="14" t="inlineStr">
        <is>
          <t>●</t>
        </is>
      </c>
      <c r="D22" s="14" t="n"/>
      <c r="E22" s="14" t="inlineStr">
        <is>
          <t>●</t>
        </is>
      </c>
      <c r="F22" s="14" t="n"/>
      <c r="G22" s="14" t="n"/>
      <c r="H22" s="14" t="inlineStr">
        <is>
          <t>○</t>
        </is>
      </c>
      <c r="I22" s="14" t="inlineStr">
        <is>
          <t>●</t>
        </is>
      </c>
      <c r="J22" s="14" t="inlineStr">
        <is>
          <t>○</t>
        </is>
      </c>
      <c r="K22" s="14" t="n"/>
      <c r="L22" s="14" t="n"/>
      <c r="M22" s="14" t="n"/>
      <c r="N22" s="14" t="n"/>
      <c r="O22" s="14" t="n"/>
      <c r="P22" s="14" t="n"/>
      <c r="Q22" s="15">
        <f>COUNTIF(C22:P22,"●")</f>
        <v>3.0</v>
      </c>
      <c r="R22" s="16" t="n"/>
      <c r="S22" s="17" t="n"/>
      <c r="T22" s="17" t="n"/>
      <c r="U22" s="18" t="str">
        <f>IF($S22="","DO NOT PUBLISH","Verified")</f>
        <v>DO NOT PUBLISH</v>
      </c>
      <c r="V22" s="19" t="n"/>
    </row>
    <row r="23">
      <c r="A23" s="12" t="inlineStr">
        <is>
          <t>Three Kings bread (rosca)</t>
        </is>
      </c>
      <c r="B23" s="13" t="inlineStr">
        <is>
          <t>Seasonal</t>
        </is>
      </c>
      <c r="C23" s="14" t="inlineStr">
        <is>
          <t>●</t>
        </is>
      </c>
      <c r="D23" s="14" t="n"/>
      <c r="E23" s="14" t="inlineStr">
        <is>
          <t>●</t>
        </is>
      </c>
      <c r="F23" s="14" t="n"/>
      <c r="G23" s="14" t="n"/>
      <c r="H23" s="14" t="inlineStr">
        <is>
          <t>○</t>
        </is>
      </c>
      <c r="I23" s="14" t="inlineStr">
        <is>
          <t>●</t>
        </is>
      </c>
      <c r="J23" s="14" t="inlineStr">
        <is>
          <t>●</t>
        </is>
      </c>
      <c r="K23" s="14" t="n"/>
      <c r="L23" s="14" t="n"/>
      <c r="M23" s="14" t="n"/>
      <c r="N23" s="14" t="inlineStr">
        <is>
          <t>●</t>
        </is>
      </c>
      <c r="O23" s="14" t="n"/>
      <c r="P23" s="14" t="n"/>
      <c r="Q23" s="15">
        <f>COUNTIF(C23:P23,"●")</f>
        <v>5.0</v>
      </c>
      <c r="R23" s="16" t="n"/>
      <c r="S23" s="17" t="n"/>
      <c r="T23" s="17" t="n"/>
      <c r="U23" s="18" t="str">
        <f>IF($S23="","DO NOT PUBLISH","Verified")</f>
        <v>DO NOT PUBLISH</v>
      </c>
      <c r="V23" s="19" t="inlineStr">
        <is>
          <t>Sulfites: check the spec sheet of the candied fruit and the ate (quince or guava paste).</t>
        </is>
      </c>
    </row>
    <row r="24">
      <c r="A24" s="12" t="inlineStr">
        <is>
          <t>Hot cross buns</t>
        </is>
      </c>
      <c r="B24" s="13" t="inlineStr">
        <is>
          <t>Seasonal</t>
        </is>
      </c>
      <c r="C24" s="14" t="inlineStr">
        <is>
          <t>●</t>
        </is>
      </c>
      <c r="D24" s="14" t="n"/>
      <c r="E24" s="14" t="inlineStr">
        <is>
          <t>●</t>
        </is>
      </c>
      <c r="F24" s="14" t="n"/>
      <c r="G24" s="14" t="n"/>
      <c r="H24" s="14" t="n"/>
      <c r="I24" s="14" t="inlineStr">
        <is>
          <t>●</t>
        </is>
      </c>
      <c r="J24" s="14" t="inlineStr">
        <is>
          <t>○</t>
        </is>
      </c>
      <c r="K24" s="14" t="n"/>
      <c r="L24" s="14" t="n"/>
      <c r="M24" s="14" t="n"/>
      <c r="N24" s="14" t="inlineStr">
        <is>
          <t>●</t>
        </is>
      </c>
      <c r="O24" s="14" t="n"/>
      <c r="P24" s="14" t="n"/>
      <c r="Q24" s="15">
        <f>COUNTIF(C24:P24,"●")</f>
        <v>4.0</v>
      </c>
      <c r="R24" s="16" t="n"/>
      <c r="S24" s="17" t="n"/>
      <c r="T24" s="17" t="n"/>
      <c r="U24" s="18" t="str">
        <f>IF($S24="","DO NOT PUBLISH","Verified")</f>
        <v>DO NOT PUBLISH</v>
      </c>
      <c r="V24" s="19" t="inlineStr">
        <is>
          <t>Sulfites: candied peel and raisins are usually sulfited (10 ppm or more): declare them as an ingredient (●), not as a trace.</t>
        </is>
      </c>
    </row>
    <row r="25">
      <c r="A25" s="12" t="inlineStr">
        <is>
          <t>Paczki (filled doughnuts)</t>
        </is>
      </c>
      <c r="B25" s="13" t="inlineStr">
        <is>
          <t>Seasonal</t>
        </is>
      </c>
      <c r="C25" s="14" t="inlineStr">
        <is>
          <t>●</t>
        </is>
      </c>
      <c r="D25" s="14" t="n"/>
      <c r="E25" s="14" t="inlineStr">
        <is>
          <t>●</t>
        </is>
      </c>
      <c r="F25" s="14" t="n"/>
      <c r="G25" s="14" t="n"/>
      <c r="H25" s="14" t="inlineStr">
        <is>
          <t>○</t>
        </is>
      </c>
      <c r="I25" s="14" t="inlineStr">
        <is>
          <t>●</t>
        </is>
      </c>
      <c r="J25" s="14" t="inlineStr">
        <is>
          <t>○</t>
        </is>
      </c>
      <c r="K25" s="14" t="n"/>
      <c r="L25" s="14" t="n"/>
      <c r="M25" s="14" t="n"/>
      <c r="N25" s="14" t="n"/>
      <c r="O25" s="14" t="n"/>
      <c r="P25" s="14" t="n"/>
      <c r="Q25" s="15">
        <f>COUNTIF(C25:P25,"●")</f>
        <v>3.0</v>
      </c>
      <c r="R25" s="16" t="n"/>
      <c r="S25" s="17" t="n"/>
      <c r="T25" s="17" t="n"/>
      <c r="U25" s="18" t="str">
        <f>IF($S25="","DO NOT PUBLISH","Verified")</f>
        <v>DO NOT PUBLISH</v>
      </c>
      <c r="V25" s="19" t="n"/>
    </row>
    <row r="26">
      <c r="A26" s="12" t="inlineStr">
        <is>
          <t>Amaretti cookies</t>
        </is>
      </c>
      <c r="B26" s="13" t="inlineStr">
        <is>
          <t>Seasonal</t>
        </is>
      </c>
      <c r="C26" s="14" t="inlineStr">
        <is>
          <t>○</t>
        </is>
      </c>
      <c r="D26" s="14" t="n"/>
      <c r="E26" s="14" t="inlineStr">
        <is>
          <t>●</t>
        </is>
      </c>
      <c r="F26" s="14" t="n"/>
      <c r="G26" s="14" t="n"/>
      <c r="H26" s="14" t="n"/>
      <c r="I26" s="14" t="inlineStr">
        <is>
          <t>○</t>
        </is>
      </c>
      <c r="J26" s="14" t="inlineStr">
        <is>
          <t>●</t>
        </is>
      </c>
      <c r="K26" s="14" t="n"/>
      <c r="L26" s="14" t="n"/>
      <c r="M26" s="14" t="n"/>
      <c r="N26" s="14" t="n"/>
      <c r="O26" s="14" t="n"/>
      <c r="P26" s="14" t="n"/>
      <c r="Q26" s="15">
        <f>COUNTIF(C26:P26,"●")</f>
        <v>2.0</v>
      </c>
      <c r="R26" s="16" t="n"/>
      <c r="S26" s="17" t="n"/>
      <c r="T26" s="17" t="n"/>
      <c r="U26" s="18" t="str">
        <f>IF($S26="","DO NOT PUBLISH","Verified")</f>
        <v>DO NOT PUBLISH</v>
      </c>
      <c r="V26" s="19" t="n"/>
    </row>
    <row r="27">
      <c r="A27" s="12" t="inlineStr">
        <is>
          <t>Pignoli cookies</t>
        </is>
      </c>
      <c r="B27" s="13" t="inlineStr">
        <is>
          <t>Seasonal</t>
        </is>
      </c>
      <c r="C27" s="14" t="inlineStr">
        <is>
          <t>○</t>
        </is>
      </c>
      <c r="D27" s="14" t="n"/>
      <c r="E27" s="14" t="inlineStr">
        <is>
          <t>●</t>
        </is>
      </c>
      <c r="F27" s="14" t="n"/>
      <c r="G27" s="14" t="n"/>
      <c r="H27" s="14" t="n"/>
      <c r="I27" s="14" t="inlineStr">
        <is>
          <t>○</t>
        </is>
      </c>
      <c r="J27" s="14" t="inlineStr">
        <is>
          <t>●</t>
        </is>
      </c>
      <c r="K27" s="14" t="n"/>
      <c r="L27" s="14" t="n"/>
      <c r="M27" s="14" t="n"/>
      <c r="N27" s="14" t="n"/>
      <c r="O27" s="14" t="n"/>
      <c r="P27" s="14" t="n"/>
      <c r="Q27" s="15">
        <f>COUNTIF(C27:P27,"●")</f>
        <v>2.0</v>
      </c>
      <c r="R27" s="16" t="n"/>
      <c r="S27" s="17" t="n"/>
      <c r="T27" s="17" t="n"/>
      <c r="U27" s="18" t="str">
        <f>IF($S27="","DO NOT PUBLISH","Verified")</f>
        <v>DO NOT PUBLISH</v>
      </c>
      <c r="V27" s="19" t="n"/>
    </row>
    <row r="28">
      <c r="A28" s="12" t="inlineStr">
        <is>
          <t>Polvorones (Mexican wedding cookies)</t>
        </is>
      </c>
      <c r="B28" s="13" t="inlineStr">
        <is>
          <t>Seasonal</t>
        </is>
      </c>
      <c r="C28" s="14" t="inlineStr">
        <is>
          <t>●</t>
        </is>
      </c>
      <c r="D28" s="14" t="n"/>
      <c r="E28" s="14" t="inlineStr">
        <is>
          <t>○</t>
        </is>
      </c>
      <c r="F28" s="14" t="n"/>
      <c r="G28" s="14" t="n"/>
      <c r="H28" s="14" t="n"/>
      <c r="I28" s="14" t="inlineStr">
        <is>
          <t>●</t>
        </is>
      </c>
      <c r="J28" s="14" t="inlineStr">
        <is>
          <t>●</t>
        </is>
      </c>
      <c r="K28" s="14" t="n"/>
      <c r="L28" s="14" t="n"/>
      <c r="M28" s="14" t="inlineStr">
        <is>
          <t>○</t>
        </is>
      </c>
      <c r="N28" s="14" t="n"/>
      <c r="O28" s="14" t="n"/>
      <c r="P28" s="14" t="n"/>
      <c r="Q28" s="15">
        <f>COUNTIF(C28:P28,"●")</f>
        <v>3.0</v>
      </c>
      <c r="R28" s="16" t="n"/>
      <c r="S28" s="17" t="n"/>
      <c r="T28" s="17" t="n"/>
      <c r="U28" s="18" t="str">
        <f>IF($S28="","DO NOT PUBLISH","Verified")</f>
        <v>DO NOT PUBLISH</v>
      </c>
      <c r="V28" s="19" t="inlineStr">
        <is>
          <t>Milk: Mexican wedding cookies are usually made with butter (●); only with lard or shortening is it ○. Sesame: some polvorones contain it — check yours.</t>
        </is>
      </c>
    </row>
    <row r="29">
      <c r="A29" s="12" t="inlineStr">
        <is>
          <t>Almond nougat (torrone)</t>
        </is>
      </c>
      <c r="B29" s="13" t="inlineStr">
        <is>
          <t>Seasonal</t>
        </is>
      </c>
      <c r="C29" s="14" t="n"/>
      <c r="D29" s="14" t="n"/>
      <c r="E29" s="14" t="inlineStr">
        <is>
          <t>●</t>
        </is>
      </c>
      <c r="F29" s="14" t="n"/>
      <c r="G29" s="14" t="n"/>
      <c r="H29" s="14" t="inlineStr">
        <is>
          <t>○</t>
        </is>
      </c>
      <c r="I29" s="14" t="inlineStr">
        <is>
          <t>○</t>
        </is>
      </c>
      <c r="J29" s="14" t="inlineStr">
        <is>
          <t>●</t>
        </is>
      </c>
      <c r="K29" s="14" t="n"/>
      <c r="L29" s="14" t="n"/>
      <c r="M29" s="14" t="inlineStr">
        <is>
          <t>○</t>
        </is>
      </c>
      <c r="N29" s="14" t="n"/>
      <c r="O29" s="14" t="n"/>
      <c r="P29" s="14" t="n"/>
      <c r="Q29" s="15">
        <f>COUNTIF(C29:P29,"●")</f>
        <v>2.0</v>
      </c>
      <c r="R29" s="16" t="n"/>
      <c r="S29" s="17" t="n"/>
      <c r="T29" s="17" t="n"/>
      <c r="U29" s="18" t="str">
        <f>IF($S29="","DO NOT PUBLISH","Verified")</f>
        <v>DO NOT PUBLISH</v>
      </c>
      <c r="V29" s="19" t="inlineStr">
        <is>
          <t>Egg white: hard torrone contains it; some soft nougats don't — check the recipe or brand.</t>
        </is>
      </c>
    </row>
    <row r="30">
      <c r="A30" s="12" t="inlineStr">
        <is>
          <t>Chocolate Easter cake</t>
        </is>
      </c>
      <c r="B30" s="13" t="inlineStr">
        <is>
          <t>Seasonal</t>
        </is>
      </c>
      <c r="C30" s="14" t="inlineStr">
        <is>
          <t>●</t>
        </is>
      </c>
      <c r="D30" s="14" t="n"/>
      <c r="E30" s="14" t="inlineStr">
        <is>
          <t>●</t>
        </is>
      </c>
      <c r="F30" s="14" t="n"/>
      <c r="G30" s="14" t="n"/>
      <c r="H30" s="14" t="inlineStr">
        <is>
          <t>●</t>
        </is>
      </c>
      <c r="I30" s="14" t="inlineStr">
        <is>
          <t>●</t>
        </is>
      </c>
      <c r="J30" s="14" t="inlineStr">
        <is>
          <t>○</t>
        </is>
      </c>
      <c r="K30" s="14" t="n"/>
      <c r="L30" s="14" t="n"/>
      <c r="M30" s="14" t="n"/>
      <c r="N30" s="14" t="n"/>
      <c r="O30" s="14" t="n"/>
      <c r="P30" s="14" t="n"/>
      <c r="Q30" s="15">
        <f>COUNTIF(C30:P30,"●")</f>
        <v>4.0</v>
      </c>
      <c r="R30" s="16" t="n"/>
      <c r="S30" s="17" t="n"/>
      <c r="T30" s="17" t="n"/>
      <c r="U30" s="18" t="str">
        <f>IF($S30="","DO NOT PUBLISH","Verified")</f>
        <v>DO NOT PUBLISH</v>
      </c>
      <c r="V30" s="19" t="n"/>
    </row>
    <row r="31">
      <c r="A31" s="12" t="inlineStr">
        <is>
          <t>Brownie</t>
        </is>
      </c>
      <c r="B31" s="13" t="inlineStr">
        <is>
          <t>Cookies &amp; small cakes</t>
        </is>
      </c>
      <c r="C31" s="14" t="inlineStr">
        <is>
          <t>●</t>
        </is>
      </c>
      <c r="D31" s="14" t="n"/>
      <c r="E31" s="14" t="inlineStr">
        <is>
          <t>●</t>
        </is>
      </c>
      <c r="F31" s="14" t="n"/>
      <c r="G31" s="14" t="n"/>
      <c r="H31" s="14" t="inlineStr">
        <is>
          <t>●</t>
        </is>
      </c>
      <c r="I31" s="14" t="inlineStr">
        <is>
          <t>●</t>
        </is>
      </c>
      <c r="J31" s="14" t="inlineStr">
        <is>
          <t>●</t>
        </is>
      </c>
      <c r="K31" s="14" t="n"/>
      <c r="L31" s="14" t="n"/>
      <c r="M31" s="14" t="n"/>
      <c r="N31" s="14" t="n"/>
      <c r="O31" s="14" t="n"/>
      <c r="P31" s="14" t="n"/>
      <c r="Q31" s="15">
        <f>COUNTIF(C31:P31,"●")</f>
        <v>5.0</v>
      </c>
      <c r="R31" s="16" t="n"/>
      <c r="S31" s="17" t="n"/>
      <c r="T31" s="17" t="n"/>
      <c r="U31" s="18" t="str">
        <f>IF($S31="","DO NOT PUBLISH","Verified")</f>
        <v>DO NOT PUBLISH</v>
      </c>
      <c r="V31" s="19" t="inlineStr">
        <is>
          <t>Soy: lecithin in the chocolate coating — check your coating's spec sheet.</t>
        </is>
      </c>
    </row>
    <row r="32">
      <c r="A32" s="12" t="inlineStr">
        <is>
          <t>Chocolate chip cookie</t>
        </is>
      </c>
      <c r="B32" s="13" t="inlineStr">
        <is>
          <t>Cookies &amp; small cakes</t>
        </is>
      </c>
      <c r="C32" s="14" t="inlineStr">
        <is>
          <t>●</t>
        </is>
      </c>
      <c r="D32" s="14" t="n"/>
      <c r="E32" s="14" t="inlineStr">
        <is>
          <t>●</t>
        </is>
      </c>
      <c r="F32" s="14" t="n"/>
      <c r="G32" s="14" t="n"/>
      <c r="H32" s="14" t="inlineStr">
        <is>
          <t>●</t>
        </is>
      </c>
      <c r="I32" s="14" t="inlineStr">
        <is>
          <t>●</t>
        </is>
      </c>
      <c r="J32" s="14" t="inlineStr">
        <is>
          <t>○</t>
        </is>
      </c>
      <c r="K32" s="14" t="n"/>
      <c r="L32" s="14" t="n"/>
      <c r="M32" s="14" t="n"/>
      <c r="N32" s="14" t="n"/>
      <c r="O32" s="14" t="n"/>
      <c r="P32" s="14" t="n"/>
      <c r="Q32" s="15">
        <f>COUNTIF(C32:P32,"●")</f>
        <v>4.0</v>
      </c>
      <c r="R32" s="16" t="n"/>
      <c r="S32" s="17" t="n"/>
      <c r="T32" s="17" t="n"/>
      <c r="U32" s="18" t="str">
        <f>IF($S32="","DO NOT PUBLISH","Verified")</f>
        <v>DO NOT PUBLISH</v>
      </c>
      <c r="V32" s="19" t="inlineStr">
        <is>
          <t>Soy: lecithin in the chocolate chips — check the spec sheet.</t>
        </is>
      </c>
    </row>
    <row r="33">
      <c r="A33" s="12" t="inlineStr">
        <is>
          <t>Muffin</t>
        </is>
      </c>
      <c r="B33" s="13" t="inlineStr">
        <is>
          <t>Cookies &amp; small cakes</t>
        </is>
      </c>
      <c r="C33" s="14" t="inlineStr">
        <is>
          <t>●</t>
        </is>
      </c>
      <c r="D33" s="14" t="n"/>
      <c r="E33" s="14" t="inlineStr">
        <is>
          <t>●</t>
        </is>
      </c>
      <c r="F33" s="14" t="n"/>
      <c r="G33" s="14" t="n"/>
      <c r="H33" s="14" t="inlineStr">
        <is>
          <t>○</t>
        </is>
      </c>
      <c r="I33" s="14" t="inlineStr">
        <is>
          <t>●</t>
        </is>
      </c>
      <c r="J33" s="14" t="inlineStr">
        <is>
          <t>○</t>
        </is>
      </c>
      <c r="K33" s="14" t="n"/>
      <c r="L33" s="14" t="n"/>
      <c r="M33" s="14" t="n"/>
      <c r="N33" s="14" t="n"/>
      <c r="O33" s="14" t="n"/>
      <c r="P33" s="14" t="n"/>
      <c r="Q33" s="15">
        <f>COUNTIF(C33:P33,"●")</f>
        <v>3.0</v>
      </c>
      <c r="R33" s="16" t="n"/>
      <c r="S33" s="17" t="n"/>
      <c r="T33" s="17" t="n"/>
      <c r="U33" s="18" t="str">
        <f>IF($S33="","DO NOT PUBLISH","Verified")</f>
        <v>DO NOT PUBLISH</v>
      </c>
      <c r="V33" s="19" t="n"/>
    </row>
    <row r="34">
      <c r="A34" s="12" t="inlineStr">
        <is>
          <t>Pound cake</t>
        </is>
      </c>
      <c r="B34" s="13" t="inlineStr">
        <is>
          <t>Cookies &amp; small cakes</t>
        </is>
      </c>
      <c r="C34" s="14" t="inlineStr">
        <is>
          <t>●</t>
        </is>
      </c>
      <c r="D34" s="14" t="n"/>
      <c r="E34" s="14" t="inlineStr">
        <is>
          <t>●</t>
        </is>
      </c>
      <c r="F34" s="14" t="n"/>
      <c r="G34" s="14" t="n"/>
      <c r="H34" s="14" t="inlineStr">
        <is>
          <t>○</t>
        </is>
      </c>
      <c r="I34" s="14" t="inlineStr">
        <is>
          <t>●</t>
        </is>
      </c>
      <c r="J34" s="14" t="inlineStr">
        <is>
          <t>○</t>
        </is>
      </c>
      <c r="K34" s="14" t="n"/>
      <c r="L34" s="14" t="n"/>
      <c r="M34" s="14" t="n"/>
      <c r="N34" s="14" t="n"/>
      <c r="O34" s="14" t="n"/>
      <c r="P34" s="14" t="n"/>
      <c r="Q34" s="15">
        <f>COUNTIF(C34:P34,"●")</f>
        <v>3.0</v>
      </c>
      <c r="R34" s="16" t="n"/>
      <c r="S34" s="17" t="n"/>
      <c r="T34" s="17" t="n"/>
      <c r="U34" s="18" t="str">
        <f>IF($S34="","DO NOT PUBLISH","Verified")</f>
        <v>DO NOT PUBLISH</v>
      </c>
      <c r="V34" s="19" t="n"/>
    </row>
    <row r="35">
      <c r="A35" s="12" t="inlineStr">
        <is>
          <t>Butter cookie</t>
        </is>
      </c>
      <c r="B35" s="13" t="inlineStr">
        <is>
          <t>Cookies &amp; small cakes</t>
        </is>
      </c>
      <c r="C35" s="14" t="inlineStr">
        <is>
          <t>●</t>
        </is>
      </c>
      <c r="D35" s="14" t="n"/>
      <c r="E35" s="14" t="inlineStr">
        <is>
          <t>●</t>
        </is>
      </c>
      <c r="F35" s="14" t="n"/>
      <c r="G35" s="14" t="n"/>
      <c r="H35" s="14" t="inlineStr">
        <is>
          <t>○</t>
        </is>
      </c>
      <c r="I35" s="14" t="inlineStr">
        <is>
          <t>●</t>
        </is>
      </c>
      <c r="J35" s="14" t="inlineStr">
        <is>
          <t>○</t>
        </is>
      </c>
      <c r="K35" s="14" t="n"/>
      <c r="L35" s="14" t="n"/>
      <c r="M35" s="14" t="n"/>
      <c r="N35" s="14" t="n"/>
      <c r="O35" s="14" t="n"/>
      <c r="P35" s="14" t="n"/>
      <c r="Q35" s="15">
        <f>COUNTIF(C35:P35,"●")</f>
        <v>3.0</v>
      </c>
      <c r="R35" s="16" t="n"/>
      <c r="S35" s="17" t="n"/>
      <c r="T35" s="17" t="n"/>
      <c r="U35" s="18" t="str">
        <f>IF($S35="","DO NOT PUBLISH","Verified")</f>
        <v>DO NOT PUBLISH</v>
      </c>
      <c r="V35" s="19" t="n"/>
    </row>
    <row r="36">
      <c r="A36" s="12" t="inlineStr">
        <is>
          <t>Almond financier</t>
        </is>
      </c>
      <c r="B36" s="13" t="inlineStr">
        <is>
          <t>Cookies &amp; small cakes</t>
        </is>
      </c>
      <c r="C36" s="14" t="inlineStr">
        <is>
          <t>●</t>
        </is>
      </c>
      <c r="D36" s="14" t="n"/>
      <c r="E36" s="14" t="inlineStr">
        <is>
          <t>●</t>
        </is>
      </c>
      <c r="F36" s="14" t="n"/>
      <c r="G36" s="14" t="n"/>
      <c r="H36" s="14" t="inlineStr">
        <is>
          <t>○</t>
        </is>
      </c>
      <c r="I36" s="14" t="inlineStr">
        <is>
          <t>●</t>
        </is>
      </c>
      <c r="J36" s="14" t="inlineStr">
        <is>
          <t>●</t>
        </is>
      </c>
      <c r="K36" s="14" t="n"/>
      <c r="L36" s="14" t="n"/>
      <c r="M36" s="14" t="n"/>
      <c r="N36" s="14" t="n"/>
      <c r="O36" s="14" t="n"/>
      <c r="P36" s="14" t="n"/>
      <c r="Q36" s="15">
        <f>COUNTIF(C36:P36,"●")</f>
        <v>4.0</v>
      </c>
      <c r="R36" s="16" t="n"/>
      <c r="S36" s="17" t="n"/>
      <c r="T36" s="17" t="n"/>
      <c r="U36" s="18" t="str">
        <f>IF($S36="","DO NOT PUBLISH","Verified")</f>
        <v>DO NOT PUBLISH</v>
      </c>
      <c r="V36" s="19" t="n"/>
    </row>
    <row r="37">
      <c r="A37" s="12" t="inlineStr">
        <is>
          <t>Quiche</t>
        </is>
      </c>
      <c r="B37" s="13" t="inlineStr">
        <is>
          <t>Savory</t>
        </is>
      </c>
      <c r="C37" s="14" t="inlineStr">
        <is>
          <t>●</t>
        </is>
      </c>
      <c r="D37" s="14" t="n"/>
      <c r="E37" s="14" t="inlineStr">
        <is>
          <t>●</t>
        </is>
      </c>
      <c r="F37" s="14" t="n"/>
      <c r="G37" s="14" t="n"/>
      <c r="H37" s="14" t="inlineStr">
        <is>
          <t>○</t>
        </is>
      </c>
      <c r="I37" s="14" t="inlineStr">
        <is>
          <t>●</t>
        </is>
      </c>
      <c r="J37" s="14" t="n"/>
      <c r="K37" s="14" t="inlineStr">
        <is>
          <t>○</t>
        </is>
      </c>
      <c r="L37" s="14" t="inlineStr">
        <is>
          <t>○</t>
        </is>
      </c>
      <c r="M37" s="14" t="n"/>
      <c r="N37" s="14" t="n"/>
      <c r="O37" s="14" t="n"/>
      <c r="P37" s="14" t="n"/>
      <c r="Q37" s="15">
        <f>COUNTIF(C37:P37,"●")</f>
        <v>3.0</v>
      </c>
      <c r="R37" s="16" t="n"/>
      <c r="S37" s="17" t="n"/>
      <c r="T37" s="17" t="n"/>
      <c r="U37" s="18" t="str">
        <f>IF($S37="","DO NOT PUBLISH","Verified")</f>
        <v>DO NOT PUBLISH</v>
      </c>
      <c r="V37" s="19" t="n"/>
    </row>
    <row r="38">
      <c r="A38" s="12" t="inlineStr">
        <is>
          <t>Tuna empanada</t>
        </is>
      </c>
      <c r="B38" s="13" t="inlineStr">
        <is>
          <t>Savory</t>
        </is>
      </c>
      <c r="C38" s="14" t="inlineStr">
        <is>
          <t>●</t>
        </is>
      </c>
      <c r="D38" s="14" t="n"/>
      <c r="E38" s="14" t="inlineStr">
        <is>
          <t>○</t>
        </is>
      </c>
      <c r="F38" s="14" t="inlineStr">
        <is>
          <t>●</t>
        </is>
      </c>
      <c r="G38" s="14" t="n"/>
      <c r="H38" s="14" t="n"/>
      <c r="I38" s="14" t="n"/>
      <c r="J38" s="14" t="n"/>
      <c r="K38" s="14" t="inlineStr">
        <is>
          <t>○</t>
        </is>
      </c>
      <c r="L38" s="14" t="n"/>
      <c r="M38" s="14" t="n"/>
      <c r="N38" s="14" t="inlineStr">
        <is>
          <t>○</t>
        </is>
      </c>
      <c r="O38" s="14" t="n"/>
      <c r="P38" s="14" t="n"/>
      <c r="Q38" s="15">
        <f>COUNTIF(C38:P38,"●")</f>
        <v>2.0</v>
      </c>
      <c r="R38" s="16" t="n"/>
      <c r="S38" s="17" t="n"/>
      <c r="T38" s="17" t="n"/>
      <c r="U38" s="18" t="str">
        <f>IF($S38="","DO NOT PUBLISH","Verified")</f>
        <v>DO NOT PUBLISH</v>
      </c>
      <c r="V38" s="19" t="inlineStr">
        <is>
          <t>Fish: only if the filling is tuna. Change the item if yours is meat.</t>
        </is>
      </c>
    </row>
    <row r="39">
      <c r="A39" s="12" t="inlineStr">
        <is>
          <t>Ham &amp; cheese croissant</t>
        </is>
      </c>
      <c r="B39" s="13" t="inlineStr">
        <is>
          <t>Savory</t>
        </is>
      </c>
      <c r="C39" s="14" t="inlineStr">
        <is>
          <t>●</t>
        </is>
      </c>
      <c r="D39" s="14" t="n"/>
      <c r="E39" s="14" t="inlineStr">
        <is>
          <t>●</t>
        </is>
      </c>
      <c r="F39" s="14" t="n"/>
      <c r="G39" s="14" t="n"/>
      <c r="H39" s="14" t="inlineStr">
        <is>
          <t>○</t>
        </is>
      </c>
      <c r="I39" s="14" t="inlineStr">
        <is>
          <t>●</t>
        </is>
      </c>
      <c r="J39" s="14" t="n"/>
      <c r="K39" s="14" t="n"/>
      <c r="L39" s="14" t="inlineStr">
        <is>
          <t>○</t>
        </is>
      </c>
      <c r="M39" s="14" t="n"/>
      <c r="N39" s="14" t="n"/>
      <c r="O39" s="14" t="n"/>
      <c r="P39" s="14" t="n"/>
      <c r="Q39" s="15">
        <f>COUNTIF(C39:P39,"●")</f>
        <v>3.0</v>
      </c>
      <c r="R39" s="16" t="n"/>
      <c r="S39" s="17" t="n"/>
      <c r="T39" s="17" t="n"/>
      <c r="U39" s="18" t="str">
        <f>IF($S39="","DO NOT PUBLISH","Verified")</f>
        <v>DO NOT PUBLISH</v>
      </c>
      <c r="V39" s="19" t="inlineStr">
        <is>
          <t>Egg: it comes from the same egg-washed laminated dough as the butter croissant.</t>
        </is>
      </c>
    </row>
    <row r="40">
      <c r="A40" s="12" t="inlineStr">
        <is>
          <t>Sandwich loaf</t>
        </is>
      </c>
      <c r="B40" s="13" t="inlineStr">
        <is>
          <t>Bread</t>
        </is>
      </c>
      <c r="C40" s="14" t="inlineStr">
        <is>
          <t>●</t>
        </is>
      </c>
      <c r="D40" s="14" t="n"/>
      <c r="E40" s="14" t="n"/>
      <c r="F40" s="14" t="n"/>
      <c r="G40" s="14" t="n"/>
      <c r="H40" s="14" t="inlineStr">
        <is>
          <t>○</t>
        </is>
      </c>
      <c r="I40" s="14" t="inlineStr">
        <is>
          <t>○</t>
        </is>
      </c>
      <c r="J40" s="14" t="n"/>
      <c r="K40" s="14" t="n"/>
      <c r="L40" s="14" t="n"/>
      <c r="M40" s="14" t="inlineStr">
        <is>
          <t>○</t>
        </is>
      </c>
      <c r="N40" s="14" t="n"/>
      <c r="O40" s="14" t="n"/>
      <c r="P40" s="14" t="n"/>
      <c r="Q40" s="15">
        <f>COUNTIF(C40:P40,"●")</f>
        <v>1.0</v>
      </c>
      <c r="R40" s="16" t="n"/>
      <c r="S40" s="17" t="n"/>
      <c r="T40" s="17" t="n"/>
      <c r="U40" s="18" t="str">
        <f>IF($S40="","DO NOT PUBLISH","Verified")</f>
        <v>DO NOT PUBLISH</v>
      </c>
      <c r="V40" s="19" t="n"/>
    </row>
    <row r="41">
      <c r="A41" s="12" t="inlineStr">
        <is>
          <t>Baguette</t>
        </is>
      </c>
      <c r="B41" s="13" t="inlineStr">
        <is>
          <t>Bread</t>
        </is>
      </c>
      <c r="C41" s="14" t="inlineStr">
        <is>
          <t>●</t>
        </is>
      </c>
      <c r="D41" s="14" t="n"/>
      <c r="E41" s="14" t="n"/>
      <c r="F41" s="14" t="n"/>
      <c r="G41" s="14" t="n"/>
      <c r="H41" s="14" t="inlineStr">
        <is>
          <t>○</t>
        </is>
      </c>
      <c r="I41" s="14" t="n"/>
      <c r="J41" s="14" t="n"/>
      <c r="K41" s="14" t="n"/>
      <c r="L41" s="14" t="n"/>
      <c r="M41" s="14" t="inlineStr">
        <is>
          <t>○</t>
        </is>
      </c>
      <c r="N41" s="14" t="n"/>
      <c r="O41" s="14" t="n"/>
      <c r="P41" s="14" t="n"/>
      <c r="Q41" s="15">
        <f>COUNTIF(C41:P41,"●")</f>
        <v>1.0</v>
      </c>
      <c r="R41" s="16" t="n"/>
      <c r="S41" s="17" t="n"/>
      <c r="T41" s="17" t="n"/>
      <c r="U41" s="18" t="str">
        <f>IF($S41="","DO NOT PUBLISH","Verified")</f>
        <v>DO NOT PUBLISH</v>
      </c>
      <c r="V41" s="19" t="n"/>
    </row>
    <row r="42">
      <c r="A42" s="12" t="inlineStr">
        <is>
          <t>Sourdough boule</t>
        </is>
      </c>
      <c r="B42" s="13" t="inlineStr">
        <is>
          <t>Bread</t>
        </is>
      </c>
      <c r="C42" s="14" t="inlineStr">
        <is>
          <t>●</t>
        </is>
      </c>
      <c r="D42" s="14" t="n"/>
      <c r="E42" s="14" t="n"/>
      <c r="F42" s="14" t="n"/>
      <c r="G42" s="14" t="n"/>
      <c r="H42" s="14" t="inlineStr">
        <is>
          <t>○</t>
        </is>
      </c>
      <c r="I42" s="14" t="n"/>
      <c r="J42" s="14" t="n"/>
      <c r="K42" s="14" t="n"/>
      <c r="L42" s="14" t="n"/>
      <c r="M42" s="14" t="inlineStr">
        <is>
          <t>○</t>
        </is>
      </c>
      <c r="N42" s="14" t="n"/>
      <c r="O42" s="14" t="n"/>
      <c r="P42" s="14" t="n"/>
      <c r="Q42" s="15">
        <f>COUNTIF(C42:P42,"●")</f>
        <v>1.0</v>
      </c>
      <c r="R42" s="16" t="n"/>
      <c r="S42" s="17" t="n"/>
      <c r="T42" s="17" t="n"/>
      <c r="U42" s="18" t="str">
        <f>IF($S42="","DO NOT PUBLISH","Verified")</f>
        <v>DO NOT PUBLISH</v>
      </c>
      <c r="V42" s="19" t="n"/>
    </row>
    <row r="43">
      <c r="A43" s="12" t="inlineStr">
        <is>
          <t>Ciabatta</t>
        </is>
      </c>
      <c r="B43" s="13" t="inlineStr">
        <is>
          <t>Bread</t>
        </is>
      </c>
      <c r="C43" s="14" t="inlineStr">
        <is>
          <t>●</t>
        </is>
      </c>
      <c r="D43" s="14" t="n"/>
      <c r="E43" s="14" t="n"/>
      <c r="F43" s="14" t="n"/>
      <c r="G43" s="14" t="n"/>
      <c r="H43" s="14" t="inlineStr">
        <is>
          <t>○</t>
        </is>
      </c>
      <c r="I43" s="14" t="n"/>
      <c r="J43" s="14" t="n"/>
      <c r="K43" s="14" t="n"/>
      <c r="L43" s="14" t="n"/>
      <c r="M43" s="14" t="inlineStr">
        <is>
          <t>○</t>
        </is>
      </c>
      <c r="N43" s="14" t="n"/>
      <c r="O43" s="14" t="n"/>
      <c r="P43" s="14" t="n"/>
      <c r="Q43" s="15">
        <f>COUNTIF(C43:P43,"●")</f>
        <v>1.0</v>
      </c>
      <c r="R43" s="16" t="n"/>
      <c r="S43" s="17" t="n"/>
      <c r="T43" s="17" t="n"/>
      <c r="U43" s="18" t="str">
        <f>IF($S43="","DO NOT PUBLISH","Verified")</f>
        <v>DO NOT PUBLISH</v>
      </c>
      <c r="V43" s="19" t="n"/>
    </row>
    <row r="44">
      <c r="A44" s="12" t="inlineStr">
        <is>
          <t>Focaccia</t>
        </is>
      </c>
      <c r="B44" s="13" t="inlineStr">
        <is>
          <t>Bread</t>
        </is>
      </c>
      <c r="C44" s="14" t="inlineStr">
        <is>
          <t>●</t>
        </is>
      </c>
      <c r="D44" s="14" t="n"/>
      <c r="E44" s="14" t="n"/>
      <c r="F44" s="14" t="n"/>
      <c r="G44" s="14" t="n"/>
      <c r="H44" s="14" t="inlineStr">
        <is>
          <t>○</t>
        </is>
      </c>
      <c r="I44" s="14" t="inlineStr">
        <is>
          <t>○</t>
        </is>
      </c>
      <c r="J44" s="14" t="n"/>
      <c r="K44" s="14" t="n"/>
      <c r="L44" s="14" t="n"/>
      <c r="M44" s="14" t="inlineStr">
        <is>
          <t>○</t>
        </is>
      </c>
      <c r="N44" s="14" t="n"/>
      <c r="O44" s="14" t="n"/>
      <c r="P44" s="14" t="n"/>
      <c r="Q44" s="15">
        <f>COUNTIF(C44:P44,"●")</f>
        <v>1.0</v>
      </c>
      <c r="R44" s="16" t="n"/>
      <c r="S44" s="17" t="n"/>
      <c r="T44" s="17" t="n"/>
      <c r="U44" s="18" t="str">
        <f>IF($S44="","DO NOT PUBLISH","Verified")</f>
        <v>DO NOT PUBLISH</v>
      </c>
      <c r="V44" s="19" t="n"/>
    </row>
    <row r="45">
      <c r="A45" s="12" t="inlineStr">
        <is>
          <t>Pastry cream</t>
        </is>
      </c>
      <c r="B45" s="13" t="inlineStr">
        <is>
          <t>Base recipes</t>
        </is>
      </c>
      <c r="C45" s="14" t="inlineStr">
        <is>
          <t>○</t>
        </is>
      </c>
      <c r="D45" s="14" t="n"/>
      <c r="E45" s="14" t="inlineStr">
        <is>
          <t>●</t>
        </is>
      </c>
      <c r="F45" s="14" t="n"/>
      <c r="G45" s="14" t="n"/>
      <c r="H45" s="14" t="inlineStr">
        <is>
          <t>○</t>
        </is>
      </c>
      <c r="I45" s="14" t="inlineStr">
        <is>
          <t>●</t>
        </is>
      </c>
      <c r="J45" s="14" t="n"/>
      <c r="K45" s="14" t="n"/>
      <c r="L45" s="14" t="n"/>
      <c r="M45" s="14" t="n"/>
      <c r="N45" s="14" t="n"/>
      <c r="O45" s="14" t="n"/>
      <c r="P45" s="14" t="n"/>
      <c r="Q45" s="15">
        <f>COUNTIF(C45:P45,"●")</f>
        <v>2.0</v>
      </c>
      <c r="R45" s="16" t="n"/>
      <c r="S45" s="17" t="n"/>
      <c r="T45" s="17" t="n"/>
      <c r="U45" s="18" t="str">
        <f>IF($S45="","DO NOT PUBLISH","Verified")</f>
        <v>DO NOT PUBLISH</v>
      </c>
      <c r="V45" s="19" t="n"/>
    </row>
    <row r="46">
      <c r="A46" s="12" t="inlineStr">
        <is>
          <t>Chocolate ganache</t>
        </is>
      </c>
      <c r="B46" s="13" t="inlineStr">
        <is>
          <t>Base recipes</t>
        </is>
      </c>
      <c r="C46" s="14" t="inlineStr">
        <is>
          <t>○</t>
        </is>
      </c>
      <c r="D46" s="14" t="n"/>
      <c r="E46" s="14" t="n"/>
      <c r="F46" s="14" t="n"/>
      <c r="G46" s="14" t="n"/>
      <c r="H46" s="14" t="inlineStr">
        <is>
          <t>●</t>
        </is>
      </c>
      <c r="I46" s="14" t="inlineStr">
        <is>
          <t>●</t>
        </is>
      </c>
      <c r="J46" s="14" t="inlineStr">
        <is>
          <t>○</t>
        </is>
      </c>
      <c r="K46" s="14" t="n"/>
      <c r="L46" s="14" t="n"/>
      <c r="M46" s="14" t="n"/>
      <c r="N46" s="14" t="n"/>
      <c r="O46" s="14" t="n"/>
      <c r="P46" s="14" t="n"/>
      <c r="Q46" s="15">
        <f>COUNTIF(C46:P46,"●")</f>
        <v>2.0</v>
      </c>
      <c r="R46" s="16" t="n"/>
      <c r="S46" s="17" t="n"/>
      <c r="T46" s="17" t="n"/>
      <c r="U46" s="18" t="str">
        <f>IF($S46="","DO NOT PUBLISH","Verified")</f>
        <v>DO NOT PUBLISH</v>
      </c>
      <c r="V46" s="19" t="n"/>
    </row>
    <row r="47">
      <c r="A47" s="12" t="inlineStr">
        <is>
          <t>Whipped cream</t>
        </is>
      </c>
      <c r="B47" s="13" t="inlineStr">
        <is>
          <t>Base recipes</t>
        </is>
      </c>
      <c r="C47" s="14" t="n"/>
      <c r="D47" s="14" t="n"/>
      <c r="E47" s="14" t="n"/>
      <c r="F47" s="14" t="n"/>
      <c r="G47" s="14" t="n"/>
      <c r="H47" s="14" t="inlineStr">
        <is>
          <t>○</t>
        </is>
      </c>
      <c r="I47" s="14" t="inlineStr">
        <is>
          <t>●</t>
        </is>
      </c>
      <c r="J47" s="14" t="n"/>
      <c r="K47" s="14" t="n"/>
      <c r="L47" s="14" t="n"/>
      <c r="M47" s="14" t="n"/>
      <c r="N47" s="14" t="n"/>
      <c r="O47" s="14" t="n"/>
      <c r="P47" s="14" t="n"/>
      <c r="Q47" s="15">
        <f>COUNTIF(C47:P47,"●")</f>
        <v>1.0</v>
      </c>
      <c r="R47" s="16" t="n"/>
      <c r="S47" s="17" t="n"/>
      <c r="T47" s="17" t="n"/>
      <c r="U47" s="18" t="str">
        <f>IF($S47="","DO NOT PUBLISH","Verified")</f>
        <v>DO NOT PUBLISH</v>
      </c>
      <c r="V47" s="19" t="n"/>
    </row>
    <row r="48">
      <c r="A48" s="16" t="n"/>
      <c r="B48" s="17" t="n"/>
      <c r="C48" s="17" t="n"/>
      <c r="D48" s="17" t="n"/>
      <c r="E48" s="17" t="n"/>
      <c r="F48" s="17" t="n"/>
      <c r="G48" s="17" t="n"/>
      <c r="H48" s="17" t="n"/>
      <c r="I48" s="17" t="n"/>
      <c r="J48" s="17" t="n"/>
      <c r="K48" s="17" t="n"/>
      <c r="L48" s="17" t="n"/>
      <c r="M48" s="17" t="n"/>
      <c r="N48" s="17" t="n"/>
      <c r="O48" s="17" t="n"/>
      <c r="P48" s="17" t="n"/>
      <c r="Q48" s="20">
        <f>COUNTIF(C48:P48,"●")</f>
        <v>0.0</v>
      </c>
      <c r="R48" s="17" t="n"/>
      <c r="S48" s="17" t="n"/>
      <c r="T48" s="17" t="n"/>
      <c r="U48" s="21" t="str">
        <f>IF($S48="","DO NOT PUBLISH","Verified")</f>
        <v>DO NOT PUBLISH</v>
      </c>
      <c r="V48" s="16" t="n"/>
    </row>
    <row r="49">
      <c r="A49" s="16" t="n"/>
      <c r="B49" s="17" t="n"/>
      <c r="C49" s="17" t="n"/>
      <c r="D49" s="17" t="n"/>
      <c r="E49" s="17" t="n"/>
      <c r="F49" s="17" t="n"/>
      <c r="G49" s="17" t="n"/>
      <c r="H49" s="17" t="n"/>
      <c r="I49" s="17" t="n"/>
      <c r="J49" s="17" t="n"/>
      <c r="K49" s="17" t="n"/>
      <c r="L49" s="17" t="n"/>
      <c r="M49" s="17" t="n"/>
      <c r="N49" s="17" t="n"/>
      <c r="O49" s="17" t="n"/>
      <c r="P49" s="17" t="n"/>
      <c r="Q49" s="20">
        <f>COUNTIF(C49:P49,"●")</f>
        <v>0.0</v>
      </c>
      <c r="R49" s="17" t="n"/>
      <c r="S49" s="17" t="n"/>
      <c r="T49" s="17" t="n"/>
      <c r="U49" s="21" t="str">
        <f>IF($S49="","DO NOT PUBLISH","Verified")</f>
        <v>DO NOT PUBLISH</v>
      </c>
      <c r="V49" s="16" t="n"/>
    </row>
    <row r="50">
      <c r="A50" s="16" t="n"/>
      <c r="B50" s="17" t="n"/>
      <c r="C50" s="17" t="n"/>
      <c r="D50" s="17" t="n"/>
      <c r="E50" s="17" t="n"/>
      <c r="F50" s="17" t="n"/>
      <c r="G50" s="17" t="n"/>
      <c r="H50" s="17" t="n"/>
      <c r="I50" s="17" t="n"/>
      <c r="J50" s="17" t="n"/>
      <c r="K50" s="17" t="n"/>
      <c r="L50" s="17" t="n"/>
      <c r="M50" s="17" t="n"/>
      <c r="N50" s="17" t="n"/>
      <c r="O50" s="17" t="n"/>
      <c r="P50" s="17" t="n"/>
      <c r="Q50" s="20">
        <f>COUNTIF(C50:P50,"●")</f>
        <v>0.0</v>
      </c>
      <c r="R50" s="17" t="n"/>
      <c r="S50" s="17" t="n"/>
      <c r="T50" s="17" t="n"/>
      <c r="U50" s="21" t="str">
        <f>IF($S50="","DO NOT PUBLISH","Verified")</f>
        <v>DO NOT PUBLISH</v>
      </c>
      <c r="V50" s="16" t="n"/>
    </row>
    <row r="51">
      <c r="A51" s="16" t="n"/>
      <c r="B51" s="17" t="n"/>
      <c r="C51" s="17" t="n"/>
      <c r="D51" s="17" t="n"/>
      <c r="E51" s="17" t="n"/>
      <c r="F51" s="17" t="n"/>
      <c r="G51" s="17" t="n"/>
      <c r="H51" s="17" t="n"/>
      <c r="I51" s="17" t="n"/>
      <c r="J51" s="17" t="n"/>
      <c r="K51" s="17" t="n"/>
      <c r="L51" s="17" t="n"/>
      <c r="M51" s="17" t="n"/>
      <c r="N51" s="17" t="n"/>
      <c r="O51" s="17" t="n"/>
      <c r="P51" s="17" t="n"/>
      <c r="Q51" s="20">
        <f>COUNTIF(C51:P51,"●")</f>
        <v>0.0</v>
      </c>
      <c r="R51" s="17" t="n"/>
      <c r="S51" s="17" t="n"/>
      <c r="T51" s="17" t="n"/>
      <c r="U51" s="21" t="str">
        <f>IF($S51="","DO NOT PUBLISH","Verified")</f>
        <v>DO NOT PUBLISH</v>
      </c>
      <c r="V51" s="16" t="n"/>
    </row>
    <row r="53">
      <c r="A53" s="22" t="inlineStr">
        <is>
          <t>No. of items that CONTAIN it (●)</t>
        </is>
      </c>
      <c r="B53" s="23" t="n"/>
      <c r="C53" s="24">
        <f>COUNTIF(C5:C51,"●")</f>
        <v>36.0</v>
      </c>
      <c r="D53" s="24">
        <f>COUNTIF(D5:D51,"●")</f>
        <v>0.0</v>
      </c>
      <c r="E53" s="24">
        <f>COUNTIF(E5:E51,"●")</f>
        <v>33.0</v>
      </c>
      <c r="F53" s="24">
        <f>COUNTIF(F5:F51,"●")</f>
        <v>1.0</v>
      </c>
      <c r="G53" s="24">
        <f>COUNTIF(G5:G51,"●")</f>
        <v>0.0</v>
      </c>
      <c r="H53" s="24">
        <f>COUNTIF(H5:H51,"●")</f>
        <v>7.0</v>
      </c>
      <c r="I53" s="24">
        <f>COUNTIF(I5:I51,"●")</f>
        <v>34.0</v>
      </c>
      <c r="J53" s="24">
        <f>COUNTIF(J5:J51,"●")</f>
        <v>9.0</v>
      </c>
      <c r="K53" s="24">
        <f>COUNTIF(K5:K51,"●")</f>
        <v>0.0</v>
      </c>
      <c r="L53" s="24">
        <f>COUNTIF(L5:L51,"●")</f>
        <v>0.0</v>
      </c>
      <c r="M53" s="24">
        <f>COUNTIF(M5:M51,"●")</f>
        <v>0.0</v>
      </c>
      <c r="N53" s="24">
        <f>COUNTIF(N5:N51,"●")</f>
        <v>3.0</v>
      </c>
      <c r="O53" s="24">
        <f>COUNTIF(O5:O51,"●")</f>
        <v>0.0</v>
      </c>
      <c r="P53" s="24">
        <f>COUNTIF(P5:P51,"●")</f>
        <v>0.0</v>
      </c>
      <c r="Q53" s="23" t="n"/>
      <c r="R53" s="23" t="n"/>
      <c r="S53" s="23" t="n"/>
      <c r="T53" s="23" t="n"/>
      <c r="U53" s="23" t="n"/>
      <c r="V53" s="23" t="n"/>
    </row>
    <row r="54">
      <c r="A54" s="25" t="inlineStr">
        <is>
          <t>No. of items with TRACES (○)</t>
        </is>
      </c>
      <c r="B54" s="26" t="n"/>
      <c r="C54" s="27">
        <f>COUNTIF(C5:C51,"○")</f>
        <v>5.0</v>
      </c>
      <c r="D54" s="27">
        <f>COUNTIF(D5:D51,"○")</f>
        <v>0.0</v>
      </c>
      <c r="E54" s="27">
        <f>COUNTIF(E5:E51,"○")</f>
        <v>3.0</v>
      </c>
      <c r="F54" s="27">
        <f>COUNTIF(F5:F51,"○")</f>
        <v>0.0</v>
      </c>
      <c r="G54" s="27">
        <f>COUNTIF(G5:G51,"○")</f>
        <v>0.0</v>
      </c>
      <c r="H54" s="27">
        <f>COUNTIF(H5:H51,"○")</f>
        <v>29.0</v>
      </c>
      <c r="I54" s="27">
        <f>COUNTIF(I5:I51,"○")</f>
        <v>5.0</v>
      </c>
      <c r="J54" s="27">
        <f>COUNTIF(J5:J51,"○")</f>
        <v>24.0</v>
      </c>
      <c r="K54" s="27">
        <f>COUNTIF(K5:K51,"○")</f>
        <v>2.0</v>
      </c>
      <c r="L54" s="27">
        <f>COUNTIF(L5:L51,"○")</f>
        <v>2.0</v>
      </c>
      <c r="M54" s="27">
        <f>COUNTIF(M5:M51,"○")</f>
        <v>8.0</v>
      </c>
      <c r="N54" s="27">
        <f>COUNTIF(N5:N51,"○")</f>
        <v>3.0</v>
      </c>
      <c r="O54" s="27">
        <f>COUNTIF(O5:O51,"○")</f>
        <v>0.0</v>
      </c>
      <c r="P54" s="27">
        <f>COUNTIF(P5:P51,"○")</f>
        <v>0.0</v>
      </c>
      <c r="Q54" s="26" t="n"/>
      <c r="R54" s="26" t="n"/>
      <c r="S54" s="26" t="n"/>
      <c r="T54" s="26" t="n"/>
      <c r="U54" s="26" t="n"/>
      <c r="V54" s="26" t="n"/>
    </row>
    <row r="55">
      <c r="A55" s="28" t="inlineStr">
        <is>
          <t>Items pending verification</t>
        </is>
      </c>
      <c r="B55" s="15">
        <f>COUNTIF(U5:U51,"DO NOT PUBLISH")</f>
        <v>47.0</v>
      </c>
      <c r="C55" s="29" t="inlineStr">
        <is>
          <t>While this number isn't zero, the allergen chart is not ready to show.</t>
        </is>
      </c>
      <c r="D55" s="46" t="n"/>
      <c r="E55" s="46" t="n"/>
      <c r="F55" s="46" t="n"/>
      <c r="G55" s="46" t="n"/>
      <c r="H55" s="46" t="n"/>
      <c r="I55" s="46" t="n"/>
      <c r="J55" s="46" t="n"/>
      <c r="K55" s="46" t="n"/>
      <c r="L55" s="46" t="n"/>
      <c r="M55" s="46" t="n"/>
      <c r="N55" s="46" t="n"/>
      <c r="O55" s="46" t="n"/>
      <c r="P55" s="46" t="n"/>
      <c r="Q55" s="46" t="n"/>
      <c r="R55" s="46" t="n"/>
      <c r="S55" s="46" t="n"/>
      <c r="T55" s="46" t="n"/>
      <c r="U55" s="46" t="n"/>
      <c r="V55" s="47" t="n"/>
    </row>
    <row r="57">
      <c r="A57" s="7" t="inlineStr">
        <is>
          <t>— Pastry Shop Checklists Kit Pro · AI Chef Pro · aichef.pro</t>
        </is>
      </c>
    </row>
  </sheetData>
  <mergeCells count="4">
    <mergeCell ref="A2:V2"/>
    <mergeCell ref="C55:V55"/>
    <mergeCell ref="A1:V1"/>
    <mergeCell ref="A3:V3"/>
  </mergeCells>
  <conditionalFormatting sqref="U5:U51">
    <cfRule type="cellIs" priority="1" operator="equal" dxfId="0">
      <formula>"DO NOT PUBLISH"</formula>
    </cfRule>
    <cfRule type="cellIs" priority="2" operator="equal" dxfId="1">
      <formula>"Verified"</formula>
    </cfRule>
  </conditionalFormatting>
  <dataValidations count="1">
    <dataValidation sqref="C5:P51" showDropDown="0" showInputMessage="0" showErrorMessage="0" allowBlank="1" type="list">
      <formula1>"●,○"</formula1>
    </dataValidation>
  </dataValidations>
  <printOptions horizontalCentered="1"/>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8C00"/>
    <outlinePr summaryBelow="1" summaryRight="1"/>
    <pageSetUpPr fitToPage="1"/>
  </sheetPr>
  <dimension ref="A1:O59"/>
  <sheetViews>
    <sheetView showGridLines="0" workbookViewId="0">
      <pane ySplit="5" topLeftCell="A6" activePane="bottomLeft" state="frozen"/>
      <selection pane="bottomLeft" activeCell="A1" sqref="A1"/>
    </sheetView>
  </sheetViews>
  <sheetFormatPr baseColWidth="8" defaultRowHeight="15"/>
  <cols>
    <col width="30"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s>
  <sheetData>
    <row r="1" ht="22" customHeight="1">
      <c r="A1" s="8" t="inlineStr">
        <is>
          <t>Allergen Chart</t>
        </is>
      </c>
    </row>
    <row r="2" ht="15" customHeight="1">
      <c r="A2" s="30" t="inlineStr">
        <is>
          <t>Business: ______________________________     Review date: ____/____/________</t>
        </is>
      </c>
    </row>
    <row r="3" ht="30.4" customHeight="1">
      <c r="A3" s="9" t="inlineStr">
        <is>
          <t>Document to show the customer. It fills itself in from the sheet "Allergen Matrix": verify each item there before printing this chart.   ●  contains    ○  may contain traces</t>
        </is>
      </c>
    </row>
    <row r="5" ht="95" customHeight="1">
      <c r="A5" s="10" t="inlineStr">
        <is>
          <t>Product</t>
        </is>
      </c>
      <c r="B5" s="11" t="inlineStr">
        <is>
          <t>Wheat (gluten)</t>
        </is>
      </c>
      <c r="C5" s="11" t="inlineStr">
        <is>
          <t>Shellfish</t>
        </is>
      </c>
      <c r="D5" s="11" t="inlineStr">
        <is>
          <t>Eggs</t>
        </is>
      </c>
      <c r="E5" s="11" t="inlineStr">
        <is>
          <t>Fish</t>
        </is>
      </c>
      <c r="F5" s="11" t="inlineStr">
        <is>
          <t>Peanuts</t>
        </is>
      </c>
      <c r="G5" s="11" t="inlineStr">
        <is>
          <t>Soy</t>
        </is>
      </c>
      <c r="H5" s="11" t="inlineStr">
        <is>
          <t>Milk</t>
        </is>
      </c>
      <c r="I5" s="11" t="inlineStr">
        <is>
          <t>Tree nuts</t>
        </is>
      </c>
      <c r="J5" s="11" t="inlineStr">
        <is>
          <t>Celery (UK)</t>
        </is>
      </c>
      <c r="K5" s="11" t="inlineStr">
        <is>
          <t>Mustard (UK)</t>
        </is>
      </c>
      <c r="L5" s="11" t="inlineStr">
        <is>
          <t>Sesame</t>
        </is>
      </c>
      <c r="M5" s="11" t="inlineStr">
        <is>
          <t>Sulfites</t>
        </is>
      </c>
      <c r="N5" s="11" t="inlineStr">
        <is>
          <t>Lupin (UK)</t>
        </is>
      </c>
      <c r="O5" s="11" t="inlineStr">
        <is>
          <t>Mollusks (UK)</t>
        </is>
      </c>
    </row>
    <row r="6">
      <c r="A6" s="12" t="str">
        <f>IF('Allergen Matrix'!A5="","",'Allergen Matrix'!A5)</f>
        <v>Butter croissant</v>
      </c>
      <c r="B6" s="31" t="str">
        <f>IF('Allergen Matrix'!C5="","",'Allergen Matrix'!C5)</f>
        <v>●</v>
      </c>
      <c r="C6" s="31">
        <f>IF('Allergen Matrix'!D5="","",'Allergen Matrix'!D5)</f>
        <v/>
      </c>
      <c r="D6" s="31" t="str">
        <f>IF('Allergen Matrix'!E5="","",'Allergen Matrix'!E5)</f>
        <v>●</v>
      </c>
      <c r="E6" s="31">
        <f>IF('Allergen Matrix'!F5="","",'Allergen Matrix'!F5)</f>
        <v/>
      </c>
      <c r="F6" s="31">
        <f>IF('Allergen Matrix'!G5="","",'Allergen Matrix'!G5)</f>
        <v/>
      </c>
      <c r="G6" s="31" t="str">
        <f>IF('Allergen Matrix'!H5="","",'Allergen Matrix'!H5)</f>
        <v>○</v>
      </c>
      <c r="H6" s="31" t="str">
        <f>IF('Allergen Matrix'!I5="","",'Allergen Matrix'!I5)</f>
        <v>●</v>
      </c>
      <c r="I6" s="31" t="str">
        <f>IF('Allergen Matrix'!J5="","",'Allergen Matrix'!J5)</f>
        <v>○</v>
      </c>
      <c r="J6" s="31">
        <f>IF('Allergen Matrix'!K5="","",'Allergen Matrix'!K5)</f>
        <v/>
      </c>
      <c r="K6" s="31">
        <f>IF('Allergen Matrix'!L5="","",'Allergen Matrix'!L5)</f>
        <v/>
      </c>
      <c r="L6" s="31" t="str">
        <f>IF('Allergen Matrix'!M5="","",'Allergen Matrix'!M5)</f>
        <v>○</v>
      </c>
      <c r="M6" s="31">
        <f>IF('Allergen Matrix'!N5="","",'Allergen Matrix'!N5)</f>
        <v/>
      </c>
      <c r="N6" s="31">
        <f>IF('Allergen Matrix'!O5="","",'Allergen Matrix'!O5)</f>
        <v/>
      </c>
      <c r="O6" s="31">
        <f>IF('Allergen Matrix'!P5="","",'Allergen Matrix'!P5)</f>
        <v/>
      </c>
    </row>
    <row r="7">
      <c r="A7" s="12" t="str">
        <f>IF('Allergen Matrix'!A6="","",'Allergen Matrix'!A6)</f>
        <v>Pain au chocolat</v>
      </c>
      <c r="B7" s="31" t="str">
        <f>IF('Allergen Matrix'!C6="","",'Allergen Matrix'!C6)</f>
        <v>●</v>
      </c>
      <c r="C7" s="31">
        <f>IF('Allergen Matrix'!D6="","",'Allergen Matrix'!D6)</f>
        <v/>
      </c>
      <c r="D7" s="31" t="str">
        <f>IF('Allergen Matrix'!E6="","",'Allergen Matrix'!E6)</f>
        <v>●</v>
      </c>
      <c r="E7" s="31">
        <f>IF('Allergen Matrix'!F6="","",'Allergen Matrix'!F6)</f>
        <v/>
      </c>
      <c r="F7" s="31">
        <f>IF('Allergen Matrix'!G6="","",'Allergen Matrix'!G6)</f>
        <v/>
      </c>
      <c r="G7" s="31" t="str">
        <f>IF('Allergen Matrix'!H6="","",'Allergen Matrix'!H6)</f>
        <v>●</v>
      </c>
      <c r="H7" s="31" t="str">
        <f>IF('Allergen Matrix'!I6="","",'Allergen Matrix'!I6)</f>
        <v>●</v>
      </c>
      <c r="I7" s="31" t="str">
        <f>IF('Allergen Matrix'!J6="","",'Allergen Matrix'!J6)</f>
        <v>○</v>
      </c>
      <c r="J7" s="31">
        <f>IF('Allergen Matrix'!K6="","",'Allergen Matrix'!K6)</f>
        <v/>
      </c>
      <c r="K7" s="31">
        <f>IF('Allergen Matrix'!L6="","",'Allergen Matrix'!L6)</f>
        <v/>
      </c>
      <c r="L7" s="31">
        <f>IF('Allergen Matrix'!M6="","",'Allergen Matrix'!M6)</f>
        <v/>
      </c>
      <c r="M7" s="31">
        <f>IF('Allergen Matrix'!N6="","",'Allergen Matrix'!N6)</f>
        <v/>
      </c>
      <c r="N7" s="31">
        <f>IF('Allergen Matrix'!O6="","",'Allergen Matrix'!O6)</f>
        <v/>
      </c>
      <c r="O7" s="31">
        <f>IF('Allergen Matrix'!P6="","",'Allergen Matrix'!P6)</f>
        <v/>
      </c>
    </row>
    <row r="8">
      <c r="A8" s="12" t="str">
        <f>IF('Allergen Matrix'!A7="","",'Allergen Matrix'!A7)</f>
        <v>Custard danish</v>
      </c>
      <c r="B8" s="31" t="str">
        <f>IF('Allergen Matrix'!C7="","",'Allergen Matrix'!C7)</f>
        <v>●</v>
      </c>
      <c r="C8" s="31">
        <f>IF('Allergen Matrix'!D7="","",'Allergen Matrix'!D7)</f>
        <v/>
      </c>
      <c r="D8" s="31" t="str">
        <f>IF('Allergen Matrix'!E7="","",'Allergen Matrix'!E7)</f>
        <v>●</v>
      </c>
      <c r="E8" s="31">
        <f>IF('Allergen Matrix'!F7="","",'Allergen Matrix'!F7)</f>
        <v/>
      </c>
      <c r="F8" s="31">
        <f>IF('Allergen Matrix'!G7="","",'Allergen Matrix'!G7)</f>
        <v/>
      </c>
      <c r="G8" s="31" t="str">
        <f>IF('Allergen Matrix'!H7="","",'Allergen Matrix'!H7)</f>
        <v>○</v>
      </c>
      <c r="H8" s="31" t="str">
        <f>IF('Allergen Matrix'!I7="","",'Allergen Matrix'!I7)</f>
        <v>●</v>
      </c>
      <c r="I8" s="31" t="str">
        <f>IF('Allergen Matrix'!J7="","",'Allergen Matrix'!J7)</f>
        <v>○</v>
      </c>
      <c r="J8" s="31">
        <f>IF('Allergen Matrix'!K7="","",'Allergen Matrix'!K7)</f>
        <v/>
      </c>
      <c r="K8" s="31">
        <f>IF('Allergen Matrix'!L7="","",'Allergen Matrix'!L7)</f>
        <v/>
      </c>
      <c r="L8" s="31">
        <f>IF('Allergen Matrix'!M7="","",'Allergen Matrix'!M7)</f>
        <v/>
      </c>
      <c r="M8" s="31">
        <f>IF('Allergen Matrix'!N7="","",'Allergen Matrix'!N7)</f>
        <v/>
      </c>
      <c r="N8" s="31">
        <f>IF('Allergen Matrix'!O7="","",'Allergen Matrix'!O7)</f>
        <v/>
      </c>
      <c r="O8" s="31">
        <f>IF('Allergen Matrix'!P7="","",'Allergen Matrix'!P7)</f>
        <v/>
      </c>
    </row>
    <row r="9">
      <c r="A9" s="12" t="str">
        <f>IF('Allergen Matrix'!A8="","",'Allergen Matrix'!A8)</f>
        <v>Concha (pan dulce)</v>
      </c>
      <c r="B9" s="31" t="str">
        <f>IF('Allergen Matrix'!C8="","",'Allergen Matrix'!C8)</f>
        <v>●</v>
      </c>
      <c r="C9" s="31">
        <f>IF('Allergen Matrix'!D8="","",'Allergen Matrix'!D8)</f>
        <v/>
      </c>
      <c r="D9" s="31" t="str">
        <f>IF('Allergen Matrix'!E8="","",'Allergen Matrix'!E8)</f>
        <v>●</v>
      </c>
      <c r="E9" s="31">
        <f>IF('Allergen Matrix'!F8="","",'Allergen Matrix'!F8)</f>
        <v/>
      </c>
      <c r="F9" s="31">
        <f>IF('Allergen Matrix'!G8="","",'Allergen Matrix'!G8)</f>
        <v/>
      </c>
      <c r="G9" s="31" t="str">
        <f>IF('Allergen Matrix'!H8="","",'Allergen Matrix'!H8)</f>
        <v>○</v>
      </c>
      <c r="H9" s="31" t="str">
        <f>IF('Allergen Matrix'!I8="","",'Allergen Matrix'!I8)</f>
        <v>●</v>
      </c>
      <c r="I9" s="31" t="str">
        <f>IF('Allergen Matrix'!J8="","",'Allergen Matrix'!J8)</f>
        <v>○</v>
      </c>
      <c r="J9" s="31">
        <f>IF('Allergen Matrix'!K8="","",'Allergen Matrix'!K8)</f>
        <v/>
      </c>
      <c r="K9" s="31">
        <f>IF('Allergen Matrix'!L8="","",'Allergen Matrix'!L8)</f>
        <v/>
      </c>
      <c r="L9" s="31">
        <f>IF('Allergen Matrix'!M8="","",'Allergen Matrix'!M8)</f>
        <v/>
      </c>
      <c r="M9" s="31">
        <f>IF('Allergen Matrix'!N8="","",'Allergen Matrix'!N8)</f>
        <v/>
      </c>
      <c r="N9" s="31">
        <f>IF('Allergen Matrix'!O8="","",'Allergen Matrix'!O8)</f>
        <v/>
      </c>
      <c r="O9" s="31">
        <f>IF('Allergen Matrix'!P8="","",'Allergen Matrix'!P8)</f>
        <v/>
      </c>
    </row>
    <row r="10">
      <c r="A10" s="12" t="str">
        <f>IF('Allergen Matrix'!A9="","",'Allergen Matrix'!A9)</f>
        <v>Brioche</v>
      </c>
      <c r="B10" s="31" t="str">
        <f>IF('Allergen Matrix'!C9="","",'Allergen Matrix'!C9)</f>
        <v>●</v>
      </c>
      <c r="C10" s="31">
        <f>IF('Allergen Matrix'!D9="","",'Allergen Matrix'!D9)</f>
        <v/>
      </c>
      <c r="D10" s="31" t="str">
        <f>IF('Allergen Matrix'!E9="","",'Allergen Matrix'!E9)</f>
        <v>●</v>
      </c>
      <c r="E10" s="31">
        <f>IF('Allergen Matrix'!F9="","",'Allergen Matrix'!F9)</f>
        <v/>
      </c>
      <c r="F10" s="31">
        <f>IF('Allergen Matrix'!G9="","",'Allergen Matrix'!G9)</f>
        <v/>
      </c>
      <c r="G10" s="31" t="str">
        <f>IF('Allergen Matrix'!H9="","",'Allergen Matrix'!H9)</f>
        <v>○</v>
      </c>
      <c r="H10" s="31" t="str">
        <f>IF('Allergen Matrix'!I9="","",'Allergen Matrix'!I9)</f>
        <v>●</v>
      </c>
      <c r="I10" s="31" t="str">
        <f>IF('Allergen Matrix'!J9="","",'Allergen Matrix'!J9)</f>
        <v>○</v>
      </c>
      <c r="J10" s="31">
        <f>IF('Allergen Matrix'!K9="","",'Allergen Matrix'!K9)</f>
        <v/>
      </c>
      <c r="K10" s="31">
        <f>IF('Allergen Matrix'!L9="","",'Allergen Matrix'!L9)</f>
        <v/>
      </c>
      <c r="L10" s="31">
        <f>IF('Allergen Matrix'!M9="","",'Allergen Matrix'!M9)</f>
        <v/>
      </c>
      <c r="M10" s="31">
        <f>IF('Allergen Matrix'!N9="","",'Allergen Matrix'!N9)</f>
        <v/>
      </c>
      <c r="N10" s="31">
        <f>IF('Allergen Matrix'!O9="","",'Allergen Matrix'!O9)</f>
        <v/>
      </c>
      <c r="O10" s="31">
        <f>IF('Allergen Matrix'!P9="","",'Allergen Matrix'!P9)</f>
        <v/>
      </c>
    </row>
    <row r="11">
      <c r="A11" s="12" t="str">
        <f>IF('Allergen Matrix'!A10="","",'Allergen Matrix'!A10)</f>
        <v>Pain aux raisins</v>
      </c>
      <c r="B11" s="31" t="str">
        <f>IF('Allergen Matrix'!C10="","",'Allergen Matrix'!C10)</f>
        <v>●</v>
      </c>
      <c r="C11" s="31">
        <f>IF('Allergen Matrix'!D10="","",'Allergen Matrix'!D10)</f>
        <v/>
      </c>
      <c r="D11" s="31" t="str">
        <f>IF('Allergen Matrix'!E10="","",'Allergen Matrix'!E10)</f>
        <v>●</v>
      </c>
      <c r="E11" s="31">
        <f>IF('Allergen Matrix'!F10="","",'Allergen Matrix'!F10)</f>
        <v/>
      </c>
      <c r="F11" s="31">
        <f>IF('Allergen Matrix'!G10="","",'Allergen Matrix'!G10)</f>
        <v/>
      </c>
      <c r="G11" s="31" t="str">
        <f>IF('Allergen Matrix'!H10="","",'Allergen Matrix'!H10)</f>
        <v>○</v>
      </c>
      <c r="H11" s="31" t="str">
        <f>IF('Allergen Matrix'!I10="","",'Allergen Matrix'!I10)</f>
        <v>●</v>
      </c>
      <c r="I11" s="31" t="str">
        <f>IF('Allergen Matrix'!J10="","",'Allergen Matrix'!J10)</f>
        <v>○</v>
      </c>
      <c r="J11" s="31">
        <f>IF('Allergen Matrix'!K10="","",'Allergen Matrix'!K10)</f>
        <v/>
      </c>
      <c r="K11" s="31">
        <f>IF('Allergen Matrix'!L10="","",'Allergen Matrix'!L10)</f>
        <v/>
      </c>
      <c r="L11" s="31">
        <f>IF('Allergen Matrix'!M10="","",'Allergen Matrix'!M10)</f>
        <v/>
      </c>
      <c r="M11" s="31" t="str">
        <f>IF('Allergen Matrix'!N10="","",'Allergen Matrix'!N10)</f>
        <v>●</v>
      </c>
      <c r="N11" s="31">
        <f>IF('Allergen Matrix'!O10="","",'Allergen Matrix'!O10)</f>
        <v/>
      </c>
      <c r="O11" s="31">
        <f>IF('Allergen Matrix'!P10="","",'Allergen Matrix'!P10)</f>
        <v/>
      </c>
    </row>
    <row r="12">
      <c r="A12" s="12" t="str">
        <f>IF('Allergen Matrix'!A11="","",'Allergen Matrix'!A11)</f>
        <v>Palmier</v>
      </c>
      <c r="B12" s="31" t="str">
        <f>IF('Allergen Matrix'!C11="","",'Allergen Matrix'!C11)</f>
        <v>●</v>
      </c>
      <c r="C12" s="31">
        <f>IF('Allergen Matrix'!D11="","",'Allergen Matrix'!D11)</f>
        <v/>
      </c>
      <c r="D12" s="31" t="str">
        <f>IF('Allergen Matrix'!E11="","",'Allergen Matrix'!E11)</f>
        <v>○</v>
      </c>
      <c r="E12" s="31">
        <f>IF('Allergen Matrix'!F11="","",'Allergen Matrix'!F11)</f>
        <v/>
      </c>
      <c r="F12" s="31">
        <f>IF('Allergen Matrix'!G11="","",'Allergen Matrix'!G11)</f>
        <v/>
      </c>
      <c r="G12" s="31" t="str">
        <f>IF('Allergen Matrix'!H11="","",'Allergen Matrix'!H11)</f>
        <v>○</v>
      </c>
      <c r="H12" s="31" t="str">
        <f>IF('Allergen Matrix'!I11="","",'Allergen Matrix'!I11)</f>
        <v>●</v>
      </c>
      <c r="I12" s="31" t="str">
        <f>IF('Allergen Matrix'!J11="","",'Allergen Matrix'!J11)</f>
        <v>○</v>
      </c>
      <c r="J12" s="31">
        <f>IF('Allergen Matrix'!K11="","",'Allergen Matrix'!K11)</f>
        <v/>
      </c>
      <c r="K12" s="31">
        <f>IF('Allergen Matrix'!L11="","",'Allergen Matrix'!L11)</f>
        <v/>
      </c>
      <c r="L12" s="31">
        <f>IF('Allergen Matrix'!M11="","",'Allergen Matrix'!M11)</f>
        <v/>
      </c>
      <c r="M12" s="31">
        <f>IF('Allergen Matrix'!N11="","",'Allergen Matrix'!N11)</f>
        <v/>
      </c>
      <c r="N12" s="31">
        <f>IF('Allergen Matrix'!O11="","",'Allergen Matrix'!O11)</f>
        <v/>
      </c>
      <c r="O12" s="31">
        <f>IF('Allergen Matrix'!P11="","",'Allergen Matrix'!P11)</f>
        <v/>
      </c>
    </row>
    <row r="13">
      <c r="A13" s="12" t="str">
        <f>IF('Allergen Matrix'!A12="","",'Allergen Matrix'!A12)</f>
        <v>Cream-filled croissant</v>
      </c>
      <c r="B13" s="31" t="str">
        <f>IF('Allergen Matrix'!C12="","",'Allergen Matrix'!C12)</f>
        <v>●</v>
      </c>
      <c r="C13" s="31">
        <f>IF('Allergen Matrix'!D12="","",'Allergen Matrix'!D12)</f>
        <v/>
      </c>
      <c r="D13" s="31" t="str">
        <f>IF('Allergen Matrix'!E12="","",'Allergen Matrix'!E12)</f>
        <v>●</v>
      </c>
      <c r="E13" s="31">
        <f>IF('Allergen Matrix'!F12="","",'Allergen Matrix'!F12)</f>
        <v/>
      </c>
      <c r="F13" s="31">
        <f>IF('Allergen Matrix'!G12="","",'Allergen Matrix'!G12)</f>
        <v/>
      </c>
      <c r="G13" s="31" t="str">
        <f>IF('Allergen Matrix'!H12="","",'Allergen Matrix'!H12)</f>
        <v>○</v>
      </c>
      <c r="H13" s="31" t="str">
        <f>IF('Allergen Matrix'!I12="","",'Allergen Matrix'!I12)</f>
        <v>●</v>
      </c>
      <c r="I13" s="31" t="str">
        <f>IF('Allergen Matrix'!J12="","",'Allergen Matrix'!J12)</f>
        <v>○</v>
      </c>
      <c r="J13" s="31">
        <f>IF('Allergen Matrix'!K12="","",'Allergen Matrix'!K12)</f>
        <v/>
      </c>
      <c r="K13" s="31">
        <f>IF('Allergen Matrix'!L12="","",'Allergen Matrix'!L12)</f>
        <v/>
      </c>
      <c r="L13" s="31">
        <f>IF('Allergen Matrix'!M12="","",'Allergen Matrix'!M12)</f>
        <v/>
      </c>
      <c r="M13" s="31">
        <f>IF('Allergen Matrix'!N12="","",'Allergen Matrix'!N12)</f>
        <v/>
      </c>
      <c r="N13" s="31">
        <f>IF('Allergen Matrix'!O12="","",'Allergen Matrix'!O12)</f>
        <v/>
      </c>
      <c r="O13" s="31">
        <f>IF('Allergen Matrix'!P12="","",'Allergen Matrix'!P12)</f>
        <v/>
      </c>
    </row>
    <row r="14">
      <c r="A14" s="12" t="str">
        <f>IF('Allergen Matrix'!A13="","",'Allergen Matrix'!A13)</f>
        <v>Cheesecake</v>
      </c>
      <c r="B14" s="31" t="str">
        <f>IF('Allergen Matrix'!C13="","",'Allergen Matrix'!C13)</f>
        <v>●</v>
      </c>
      <c r="C14" s="31">
        <f>IF('Allergen Matrix'!D13="","",'Allergen Matrix'!D13)</f>
        <v/>
      </c>
      <c r="D14" s="31" t="str">
        <f>IF('Allergen Matrix'!E13="","",'Allergen Matrix'!E13)</f>
        <v>●</v>
      </c>
      <c r="E14" s="31">
        <f>IF('Allergen Matrix'!F13="","",'Allergen Matrix'!F13)</f>
        <v/>
      </c>
      <c r="F14" s="31">
        <f>IF('Allergen Matrix'!G13="","",'Allergen Matrix'!G13)</f>
        <v/>
      </c>
      <c r="G14" s="31" t="str">
        <f>IF('Allergen Matrix'!H13="","",'Allergen Matrix'!H13)</f>
        <v>○</v>
      </c>
      <c r="H14" s="31" t="str">
        <f>IF('Allergen Matrix'!I13="","",'Allergen Matrix'!I13)</f>
        <v>●</v>
      </c>
      <c r="I14" s="31" t="str">
        <f>IF('Allergen Matrix'!J13="","",'Allergen Matrix'!J13)</f>
        <v>○</v>
      </c>
      <c r="J14" s="31">
        <f>IF('Allergen Matrix'!K13="","",'Allergen Matrix'!K13)</f>
        <v/>
      </c>
      <c r="K14" s="31">
        <f>IF('Allergen Matrix'!L13="","",'Allergen Matrix'!L13)</f>
        <v/>
      </c>
      <c r="L14" s="31">
        <f>IF('Allergen Matrix'!M13="","",'Allergen Matrix'!M13)</f>
        <v/>
      </c>
      <c r="M14" s="31">
        <f>IF('Allergen Matrix'!N13="","",'Allergen Matrix'!N13)</f>
        <v/>
      </c>
      <c r="N14" s="31">
        <f>IF('Allergen Matrix'!O13="","",'Allergen Matrix'!O13)</f>
        <v/>
      </c>
      <c r="O14" s="31">
        <f>IF('Allergen Matrix'!P13="","",'Allergen Matrix'!P13)</f>
        <v/>
      </c>
    </row>
    <row r="15">
      <c r="A15" s="12" t="str">
        <f>IF('Allergen Matrix'!A14="","",'Allergen Matrix'!A14)</f>
        <v>Apple pie</v>
      </c>
      <c r="B15" s="31" t="str">
        <f>IF('Allergen Matrix'!C14="","",'Allergen Matrix'!C14)</f>
        <v>●</v>
      </c>
      <c r="C15" s="31">
        <f>IF('Allergen Matrix'!D14="","",'Allergen Matrix'!D14)</f>
        <v/>
      </c>
      <c r="D15" s="31" t="str">
        <f>IF('Allergen Matrix'!E14="","",'Allergen Matrix'!E14)</f>
        <v>●</v>
      </c>
      <c r="E15" s="31">
        <f>IF('Allergen Matrix'!F14="","",'Allergen Matrix'!F14)</f>
        <v/>
      </c>
      <c r="F15" s="31">
        <f>IF('Allergen Matrix'!G14="","",'Allergen Matrix'!G14)</f>
        <v/>
      </c>
      <c r="G15" s="31">
        <f>IF('Allergen Matrix'!H14="","",'Allergen Matrix'!H14)</f>
        <v/>
      </c>
      <c r="H15" s="31" t="str">
        <f>IF('Allergen Matrix'!I14="","",'Allergen Matrix'!I14)</f>
        <v>●</v>
      </c>
      <c r="I15" s="31" t="str">
        <f>IF('Allergen Matrix'!J14="","",'Allergen Matrix'!J14)</f>
        <v>○</v>
      </c>
      <c r="J15" s="31">
        <f>IF('Allergen Matrix'!K14="","",'Allergen Matrix'!K14)</f>
        <v/>
      </c>
      <c r="K15" s="31">
        <f>IF('Allergen Matrix'!L14="","",'Allergen Matrix'!L14)</f>
        <v/>
      </c>
      <c r="L15" s="31">
        <f>IF('Allergen Matrix'!M14="","",'Allergen Matrix'!M14)</f>
        <v/>
      </c>
      <c r="M15" s="31" t="str">
        <f>IF('Allergen Matrix'!N14="","",'Allergen Matrix'!N14)</f>
        <v>○</v>
      </c>
      <c r="N15" s="31">
        <f>IF('Allergen Matrix'!O14="","",'Allergen Matrix'!O14)</f>
        <v/>
      </c>
      <c r="O15" s="31">
        <f>IF('Allergen Matrix'!P14="","",'Allergen Matrix'!P14)</f>
        <v/>
      </c>
    </row>
    <row r="16">
      <c r="A16" s="12" t="str">
        <f>IF('Allergen Matrix'!A15="","",'Allergen Matrix'!A15)</f>
        <v>Napoleon</v>
      </c>
      <c r="B16" s="31" t="str">
        <f>IF('Allergen Matrix'!C15="","",'Allergen Matrix'!C15)</f>
        <v>●</v>
      </c>
      <c r="C16" s="31">
        <f>IF('Allergen Matrix'!D15="","",'Allergen Matrix'!D15)</f>
        <v/>
      </c>
      <c r="D16" s="31" t="str">
        <f>IF('Allergen Matrix'!E15="","",'Allergen Matrix'!E15)</f>
        <v>●</v>
      </c>
      <c r="E16" s="31">
        <f>IF('Allergen Matrix'!F15="","",'Allergen Matrix'!F15)</f>
        <v/>
      </c>
      <c r="F16" s="31">
        <f>IF('Allergen Matrix'!G15="","",'Allergen Matrix'!G15)</f>
        <v/>
      </c>
      <c r="G16" s="31" t="str">
        <f>IF('Allergen Matrix'!H15="","",'Allergen Matrix'!H15)</f>
        <v>○</v>
      </c>
      <c r="H16" s="31" t="str">
        <f>IF('Allergen Matrix'!I15="","",'Allergen Matrix'!I15)</f>
        <v>●</v>
      </c>
      <c r="I16" s="31" t="str">
        <f>IF('Allergen Matrix'!J15="","",'Allergen Matrix'!J15)</f>
        <v>○</v>
      </c>
      <c r="J16" s="31">
        <f>IF('Allergen Matrix'!K15="","",'Allergen Matrix'!K15)</f>
        <v/>
      </c>
      <c r="K16" s="31">
        <f>IF('Allergen Matrix'!L15="","",'Allergen Matrix'!L15)</f>
        <v/>
      </c>
      <c r="L16" s="31">
        <f>IF('Allergen Matrix'!M15="","",'Allergen Matrix'!M15)</f>
        <v/>
      </c>
      <c r="M16" s="31">
        <f>IF('Allergen Matrix'!N15="","",'Allergen Matrix'!N15)</f>
        <v/>
      </c>
      <c r="N16" s="31">
        <f>IF('Allergen Matrix'!O15="","",'Allergen Matrix'!O15)</f>
        <v/>
      </c>
      <c r="O16" s="31">
        <f>IF('Allergen Matrix'!P15="","",'Allergen Matrix'!P15)</f>
        <v/>
      </c>
    </row>
    <row r="17">
      <c r="A17" s="12" t="str">
        <f>IF('Allergen Matrix'!A16="","",'Allergen Matrix'!A16)</f>
        <v>Eclair</v>
      </c>
      <c r="B17" s="31" t="str">
        <f>IF('Allergen Matrix'!C16="","",'Allergen Matrix'!C16)</f>
        <v>●</v>
      </c>
      <c r="C17" s="31">
        <f>IF('Allergen Matrix'!D16="","",'Allergen Matrix'!D16)</f>
        <v/>
      </c>
      <c r="D17" s="31" t="str">
        <f>IF('Allergen Matrix'!E16="","",'Allergen Matrix'!E16)</f>
        <v>●</v>
      </c>
      <c r="E17" s="31">
        <f>IF('Allergen Matrix'!F16="","",'Allergen Matrix'!F16)</f>
        <v/>
      </c>
      <c r="F17" s="31">
        <f>IF('Allergen Matrix'!G16="","",'Allergen Matrix'!G16)</f>
        <v/>
      </c>
      <c r="G17" s="31" t="str">
        <f>IF('Allergen Matrix'!H16="","",'Allergen Matrix'!H16)</f>
        <v>○</v>
      </c>
      <c r="H17" s="31" t="str">
        <f>IF('Allergen Matrix'!I16="","",'Allergen Matrix'!I16)</f>
        <v>●</v>
      </c>
      <c r="I17" s="31" t="str">
        <f>IF('Allergen Matrix'!J16="","",'Allergen Matrix'!J16)</f>
        <v>○</v>
      </c>
      <c r="J17" s="31">
        <f>IF('Allergen Matrix'!K16="","",'Allergen Matrix'!K16)</f>
        <v/>
      </c>
      <c r="K17" s="31">
        <f>IF('Allergen Matrix'!L16="","",'Allergen Matrix'!L16)</f>
        <v/>
      </c>
      <c r="L17" s="31">
        <f>IF('Allergen Matrix'!M16="","",'Allergen Matrix'!M16)</f>
        <v/>
      </c>
      <c r="M17" s="31">
        <f>IF('Allergen Matrix'!N16="","",'Allergen Matrix'!N16)</f>
        <v/>
      </c>
      <c r="N17" s="31">
        <f>IF('Allergen Matrix'!O16="","",'Allergen Matrix'!O16)</f>
        <v/>
      </c>
      <c r="O17" s="31">
        <f>IF('Allergen Matrix'!P16="","",'Allergen Matrix'!P16)</f>
        <v/>
      </c>
    </row>
    <row r="18">
      <c r="A18" s="12" t="str">
        <f>IF('Allergen Matrix'!A17="","",'Allergen Matrix'!A17)</f>
        <v>Carrot cake</v>
      </c>
      <c r="B18" s="31" t="str">
        <f>IF('Allergen Matrix'!C17="","",'Allergen Matrix'!C17)</f>
        <v>●</v>
      </c>
      <c r="C18" s="31">
        <f>IF('Allergen Matrix'!D17="","",'Allergen Matrix'!D17)</f>
        <v/>
      </c>
      <c r="D18" s="31" t="str">
        <f>IF('Allergen Matrix'!E17="","",'Allergen Matrix'!E17)</f>
        <v>●</v>
      </c>
      <c r="E18" s="31">
        <f>IF('Allergen Matrix'!F17="","",'Allergen Matrix'!F17)</f>
        <v/>
      </c>
      <c r="F18" s="31">
        <f>IF('Allergen Matrix'!G17="","",'Allergen Matrix'!G17)</f>
        <v/>
      </c>
      <c r="G18" s="31" t="str">
        <f>IF('Allergen Matrix'!H17="","",'Allergen Matrix'!H17)</f>
        <v>○</v>
      </c>
      <c r="H18" s="31" t="str">
        <f>IF('Allergen Matrix'!I17="","",'Allergen Matrix'!I17)</f>
        <v>●</v>
      </c>
      <c r="I18" s="31" t="str">
        <f>IF('Allergen Matrix'!J17="","",'Allergen Matrix'!J17)</f>
        <v>●</v>
      </c>
      <c r="J18" s="31">
        <f>IF('Allergen Matrix'!K17="","",'Allergen Matrix'!K17)</f>
        <v/>
      </c>
      <c r="K18" s="31">
        <f>IF('Allergen Matrix'!L17="","",'Allergen Matrix'!L17)</f>
        <v/>
      </c>
      <c r="L18" s="31">
        <f>IF('Allergen Matrix'!M17="","",'Allergen Matrix'!M17)</f>
        <v/>
      </c>
      <c r="M18" s="31">
        <f>IF('Allergen Matrix'!N17="","",'Allergen Matrix'!N17)</f>
        <v/>
      </c>
      <c r="N18" s="31">
        <f>IF('Allergen Matrix'!O17="","",'Allergen Matrix'!O17)</f>
        <v/>
      </c>
      <c r="O18" s="31">
        <f>IF('Allergen Matrix'!P17="","",'Allergen Matrix'!P17)</f>
        <v/>
      </c>
    </row>
    <row r="19">
      <c r="A19" s="12" t="str">
        <f>IF('Allergen Matrix'!A18="","",'Allergen Matrix'!A18)</f>
        <v>Chocolate layer cake</v>
      </c>
      <c r="B19" s="31" t="str">
        <f>IF('Allergen Matrix'!C18="","",'Allergen Matrix'!C18)</f>
        <v>●</v>
      </c>
      <c r="C19" s="31">
        <f>IF('Allergen Matrix'!D18="","",'Allergen Matrix'!D18)</f>
        <v/>
      </c>
      <c r="D19" s="31" t="str">
        <f>IF('Allergen Matrix'!E18="","",'Allergen Matrix'!E18)</f>
        <v>●</v>
      </c>
      <c r="E19" s="31">
        <f>IF('Allergen Matrix'!F18="","",'Allergen Matrix'!F18)</f>
        <v/>
      </c>
      <c r="F19" s="31">
        <f>IF('Allergen Matrix'!G18="","",'Allergen Matrix'!G18)</f>
        <v/>
      </c>
      <c r="G19" s="31" t="str">
        <f>IF('Allergen Matrix'!H18="","",'Allergen Matrix'!H18)</f>
        <v>●</v>
      </c>
      <c r="H19" s="31" t="str">
        <f>IF('Allergen Matrix'!I18="","",'Allergen Matrix'!I18)</f>
        <v>●</v>
      </c>
      <c r="I19" s="31" t="str">
        <f>IF('Allergen Matrix'!J18="","",'Allergen Matrix'!J18)</f>
        <v>○</v>
      </c>
      <c r="J19" s="31">
        <f>IF('Allergen Matrix'!K18="","",'Allergen Matrix'!K18)</f>
        <v/>
      </c>
      <c r="K19" s="31">
        <f>IF('Allergen Matrix'!L18="","",'Allergen Matrix'!L18)</f>
        <v/>
      </c>
      <c r="L19" s="31">
        <f>IF('Allergen Matrix'!M18="","",'Allergen Matrix'!M18)</f>
        <v/>
      </c>
      <c r="M19" s="31">
        <f>IF('Allergen Matrix'!N18="","",'Allergen Matrix'!N18)</f>
        <v/>
      </c>
      <c r="N19" s="31">
        <f>IF('Allergen Matrix'!O18="","",'Allergen Matrix'!O18)</f>
        <v/>
      </c>
      <c r="O19" s="31">
        <f>IF('Allergen Matrix'!P18="","",'Allergen Matrix'!P18)</f>
        <v/>
      </c>
    </row>
    <row r="20">
      <c r="A20" s="12" t="str">
        <f>IF('Allergen Matrix'!A19="","",'Allergen Matrix'!A19)</f>
        <v>Individual mousse cake</v>
      </c>
      <c r="B20" s="31" t="str">
        <f>IF('Allergen Matrix'!C19="","",'Allergen Matrix'!C19)</f>
        <v>●</v>
      </c>
      <c r="C20" s="31">
        <f>IF('Allergen Matrix'!D19="","",'Allergen Matrix'!D19)</f>
        <v/>
      </c>
      <c r="D20" s="31" t="str">
        <f>IF('Allergen Matrix'!E19="","",'Allergen Matrix'!E19)</f>
        <v>●</v>
      </c>
      <c r="E20" s="31">
        <f>IF('Allergen Matrix'!F19="","",'Allergen Matrix'!F19)</f>
        <v/>
      </c>
      <c r="F20" s="31">
        <f>IF('Allergen Matrix'!G19="","",'Allergen Matrix'!G19)</f>
        <v/>
      </c>
      <c r="G20" s="31" t="str">
        <f>IF('Allergen Matrix'!H19="","",'Allergen Matrix'!H19)</f>
        <v>●</v>
      </c>
      <c r="H20" s="31" t="str">
        <f>IF('Allergen Matrix'!I19="","",'Allergen Matrix'!I19)</f>
        <v>●</v>
      </c>
      <c r="I20" s="31" t="str">
        <f>IF('Allergen Matrix'!J19="","",'Allergen Matrix'!J19)</f>
        <v>○</v>
      </c>
      <c r="J20" s="31">
        <f>IF('Allergen Matrix'!K19="","",'Allergen Matrix'!K19)</f>
        <v/>
      </c>
      <c r="K20" s="31">
        <f>IF('Allergen Matrix'!L19="","",'Allergen Matrix'!L19)</f>
        <v/>
      </c>
      <c r="L20" s="31">
        <f>IF('Allergen Matrix'!M19="","",'Allergen Matrix'!M19)</f>
        <v/>
      </c>
      <c r="M20" s="31">
        <f>IF('Allergen Matrix'!N19="","",'Allergen Matrix'!N19)</f>
        <v/>
      </c>
      <c r="N20" s="31">
        <f>IF('Allergen Matrix'!O19="","",'Allergen Matrix'!O19)</f>
        <v/>
      </c>
      <c r="O20" s="31">
        <f>IF('Allergen Matrix'!P19="","",'Allergen Matrix'!P19)</f>
        <v/>
      </c>
    </row>
    <row r="21">
      <c r="A21" s="12" t="str">
        <f>IF('Allergen Matrix'!A20="","",'Allergen Matrix'!A20)</f>
        <v>French macarons (box of 6)</v>
      </c>
      <c r="B21" s="31" t="str">
        <f>IF('Allergen Matrix'!C20="","",'Allergen Matrix'!C20)</f>
        <v>○</v>
      </c>
      <c r="C21" s="31">
        <f>IF('Allergen Matrix'!D20="","",'Allergen Matrix'!D20)</f>
        <v/>
      </c>
      <c r="D21" s="31" t="str">
        <f>IF('Allergen Matrix'!E20="","",'Allergen Matrix'!E20)</f>
        <v>●</v>
      </c>
      <c r="E21" s="31">
        <f>IF('Allergen Matrix'!F20="","",'Allergen Matrix'!F20)</f>
        <v/>
      </c>
      <c r="F21" s="31">
        <f>IF('Allergen Matrix'!G20="","",'Allergen Matrix'!G20)</f>
        <v/>
      </c>
      <c r="G21" s="31" t="str">
        <f>IF('Allergen Matrix'!H20="","",'Allergen Matrix'!H20)</f>
        <v>○</v>
      </c>
      <c r="H21" s="31" t="str">
        <f>IF('Allergen Matrix'!I20="","",'Allergen Matrix'!I20)</f>
        <v>●</v>
      </c>
      <c r="I21" s="31" t="str">
        <f>IF('Allergen Matrix'!J20="","",'Allergen Matrix'!J20)</f>
        <v>●</v>
      </c>
      <c r="J21" s="31">
        <f>IF('Allergen Matrix'!K20="","",'Allergen Matrix'!K20)</f>
        <v/>
      </c>
      <c r="K21" s="31">
        <f>IF('Allergen Matrix'!L20="","",'Allergen Matrix'!L20)</f>
        <v/>
      </c>
      <c r="L21" s="31">
        <f>IF('Allergen Matrix'!M20="","",'Allergen Matrix'!M20)</f>
        <v/>
      </c>
      <c r="M21" s="31">
        <f>IF('Allergen Matrix'!N20="","",'Allergen Matrix'!N20)</f>
        <v/>
      </c>
      <c r="N21" s="31">
        <f>IF('Allergen Matrix'!O20="","",'Allergen Matrix'!O20)</f>
        <v/>
      </c>
      <c r="O21" s="31">
        <f>IF('Allergen Matrix'!P20="","",'Allergen Matrix'!P20)</f>
        <v/>
      </c>
    </row>
    <row r="22">
      <c r="A22" s="12" t="str">
        <f>IF('Allergen Matrix'!A21="","",'Allergen Matrix'!A21)</f>
        <v>Fresh fruit tart</v>
      </c>
      <c r="B22" s="31" t="str">
        <f>IF('Allergen Matrix'!C21="","",'Allergen Matrix'!C21)</f>
        <v>●</v>
      </c>
      <c r="C22" s="31">
        <f>IF('Allergen Matrix'!D21="","",'Allergen Matrix'!D21)</f>
        <v/>
      </c>
      <c r="D22" s="31" t="str">
        <f>IF('Allergen Matrix'!E21="","",'Allergen Matrix'!E21)</f>
        <v>●</v>
      </c>
      <c r="E22" s="31">
        <f>IF('Allergen Matrix'!F21="","",'Allergen Matrix'!F21)</f>
        <v/>
      </c>
      <c r="F22" s="31">
        <f>IF('Allergen Matrix'!G21="","",'Allergen Matrix'!G21)</f>
        <v/>
      </c>
      <c r="G22" s="31">
        <f>IF('Allergen Matrix'!H21="","",'Allergen Matrix'!H21)</f>
        <v/>
      </c>
      <c r="H22" s="31" t="str">
        <f>IF('Allergen Matrix'!I21="","",'Allergen Matrix'!I21)</f>
        <v>●</v>
      </c>
      <c r="I22" s="31" t="str">
        <f>IF('Allergen Matrix'!J21="","",'Allergen Matrix'!J21)</f>
        <v>○</v>
      </c>
      <c r="J22" s="31">
        <f>IF('Allergen Matrix'!K21="","",'Allergen Matrix'!K21)</f>
        <v/>
      </c>
      <c r="K22" s="31">
        <f>IF('Allergen Matrix'!L21="","",'Allergen Matrix'!L21)</f>
        <v/>
      </c>
      <c r="L22" s="31">
        <f>IF('Allergen Matrix'!M21="","",'Allergen Matrix'!M21)</f>
        <v/>
      </c>
      <c r="M22" s="31" t="str">
        <f>IF('Allergen Matrix'!N21="","",'Allergen Matrix'!N21)</f>
        <v>○</v>
      </c>
      <c r="N22" s="31">
        <f>IF('Allergen Matrix'!O21="","",'Allergen Matrix'!O21)</f>
        <v/>
      </c>
      <c r="O22" s="31">
        <f>IF('Allergen Matrix'!P21="","",'Allergen Matrix'!P21)</f>
        <v/>
      </c>
    </row>
    <row r="23">
      <c r="A23" s="12" t="str">
        <f>IF('Allergen Matrix'!A22="","",'Allergen Matrix'!A22)</f>
        <v>Cream puff</v>
      </c>
      <c r="B23" s="31" t="str">
        <f>IF('Allergen Matrix'!C22="","",'Allergen Matrix'!C22)</f>
        <v>●</v>
      </c>
      <c r="C23" s="31">
        <f>IF('Allergen Matrix'!D22="","",'Allergen Matrix'!D22)</f>
        <v/>
      </c>
      <c r="D23" s="31" t="str">
        <f>IF('Allergen Matrix'!E22="","",'Allergen Matrix'!E22)</f>
        <v>●</v>
      </c>
      <c r="E23" s="31">
        <f>IF('Allergen Matrix'!F22="","",'Allergen Matrix'!F22)</f>
        <v/>
      </c>
      <c r="F23" s="31">
        <f>IF('Allergen Matrix'!G22="","",'Allergen Matrix'!G22)</f>
        <v/>
      </c>
      <c r="G23" s="31" t="str">
        <f>IF('Allergen Matrix'!H22="","",'Allergen Matrix'!H22)</f>
        <v>○</v>
      </c>
      <c r="H23" s="31" t="str">
        <f>IF('Allergen Matrix'!I22="","",'Allergen Matrix'!I22)</f>
        <v>●</v>
      </c>
      <c r="I23" s="31" t="str">
        <f>IF('Allergen Matrix'!J22="","",'Allergen Matrix'!J22)</f>
        <v>○</v>
      </c>
      <c r="J23" s="31">
        <f>IF('Allergen Matrix'!K22="","",'Allergen Matrix'!K22)</f>
        <v/>
      </c>
      <c r="K23" s="31">
        <f>IF('Allergen Matrix'!L22="","",'Allergen Matrix'!L22)</f>
        <v/>
      </c>
      <c r="L23" s="31">
        <f>IF('Allergen Matrix'!M22="","",'Allergen Matrix'!M22)</f>
        <v/>
      </c>
      <c r="M23" s="31">
        <f>IF('Allergen Matrix'!N22="","",'Allergen Matrix'!N22)</f>
        <v/>
      </c>
      <c r="N23" s="31">
        <f>IF('Allergen Matrix'!O22="","",'Allergen Matrix'!O22)</f>
        <v/>
      </c>
      <c r="O23" s="31">
        <f>IF('Allergen Matrix'!P22="","",'Allergen Matrix'!P22)</f>
        <v/>
      </c>
    </row>
    <row r="24">
      <c r="A24" s="12" t="str">
        <f>IF('Allergen Matrix'!A23="","",'Allergen Matrix'!A23)</f>
        <v>Three Kings bread (rosca)</v>
      </c>
      <c r="B24" s="31" t="str">
        <f>IF('Allergen Matrix'!C23="","",'Allergen Matrix'!C23)</f>
        <v>●</v>
      </c>
      <c r="C24" s="31">
        <f>IF('Allergen Matrix'!D23="","",'Allergen Matrix'!D23)</f>
        <v/>
      </c>
      <c r="D24" s="31" t="str">
        <f>IF('Allergen Matrix'!E23="","",'Allergen Matrix'!E23)</f>
        <v>●</v>
      </c>
      <c r="E24" s="31">
        <f>IF('Allergen Matrix'!F23="","",'Allergen Matrix'!F23)</f>
        <v/>
      </c>
      <c r="F24" s="31">
        <f>IF('Allergen Matrix'!G23="","",'Allergen Matrix'!G23)</f>
        <v/>
      </c>
      <c r="G24" s="31" t="str">
        <f>IF('Allergen Matrix'!H23="","",'Allergen Matrix'!H23)</f>
        <v>○</v>
      </c>
      <c r="H24" s="31" t="str">
        <f>IF('Allergen Matrix'!I23="","",'Allergen Matrix'!I23)</f>
        <v>●</v>
      </c>
      <c r="I24" s="31" t="str">
        <f>IF('Allergen Matrix'!J23="","",'Allergen Matrix'!J23)</f>
        <v>●</v>
      </c>
      <c r="J24" s="31">
        <f>IF('Allergen Matrix'!K23="","",'Allergen Matrix'!K23)</f>
        <v/>
      </c>
      <c r="K24" s="31">
        <f>IF('Allergen Matrix'!L23="","",'Allergen Matrix'!L23)</f>
        <v/>
      </c>
      <c r="L24" s="31">
        <f>IF('Allergen Matrix'!M23="","",'Allergen Matrix'!M23)</f>
        <v/>
      </c>
      <c r="M24" s="31" t="str">
        <f>IF('Allergen Matrix'!N23="","",'Allergen Matrix'!N23)</f>
        <v>●</v>
      </c>
      <c r="N24" s="31">
        <f>IF('Allergen Matrix'!O23="","",'Allergen Matrix'!O23)</f>
        <v/>
      </c>
      <c r="O24" s="31">
        <f>IF('Allergen Matrix'!P23="","",'Allergen Matrix'!P23)</f>
        <v/>
      </c>
    </row>
    <row r="25">
      <c r="A25" s="12" t="str">
        <f>IF('Allergen Matrix'!A24="","",'Allergen Matrix'!A24)</f>
        <v>Hot cross buns</v>
      </c>
      <c r="B25" s="31" t="str">
        <f>IF('Allergen Matrix'!C24="","",'Allergen Matrix'!C24)</f>
        <v>●</v>
      </c>
      <c r="C25" s="31">
        <f>IF('Allergen Matrix'!D24="","",'Allergen Matrix'!D24)</f>
        <v/>
      </c>
      <c r="D25" s="31" t="str">
        <f>IF('Allergen Matrix'!E24="","",'Allergen Matrix'!E24)</f>
        <v>●</v>
      </c>
      <c r="E25" s="31">
        <f>IF('Allergen Matrix'!F24="","",'Allergen Matrix'!F24)</f>
        <v/>
      </c>
      <c r="F25" s="31">
        <f>IF('Allergen Matrix'!G24="","",'Allergen Matrix'!G24)</f>
        <v/>
      </c>
      <c r="G25" s="31">
        <f>IF('Allergen Matrix'!H24="","",'Allergen Matrix'!H24)</f>
        <v/>
      </c>
      <c r="H25" s="31" t="str">
        <f>IF('Allergen Matrix'!I24="","",'Allergen Matrix'!I24)</f>
        <v>●</v>
      </c>
      <c r="I25" s="31" t="str">
        <f>IF('Allergen Matrix'!J24="","",'Allergen Matrix'!J24)</f>
        <v>○</v>
      </c>
      <c r="J25" s="31">
        <f>IF('Allergen Matrix'!K24="","",'Allergen Matrix'!K24)</f>
        <v/>
      </c>
      <c r="K25" s="31">
        <f>IF('Allergen Matrix'!L24="","",'Allergen Matrix'!L24)</f>
        <v/>
      </c>
      <c r="L25" s="31">
        <f>IF('Allergen Matrix'!M24="","",'Allergen Matrix'!M24)</f>
        <v/>
      </c>
      <c r="M25" s="31" t="str">
        <f>IF('Allergen Matrix'!N24="","",'Allergen Matrix'!N24)</f>
        <v>●</v>
      </c>
      <c r="N25" s="31">
        <f>IF('Allergen Matrix'!O24="","",'Allergen Matrix'!O24)</f>
        <v/>
      </c>
      <c r="O25" s="31">
        <f>IF('Allergen Matrix'!P24="","",'Allergen Matrix'!P24)</f>
        <v/>
      </c>
    </row>
    <row r="26">
      <c r="A26" s="12" t="str">
        <f>IF('Allergen Matrix'!A25="","",'Allergen Matrix'!A25)</f>
        <v>Paczki (filled doughnuts)</v>
      </c>
      <c r="B26" s="31" t="str">
        <f>IF('Allergen Matrix'!C25="","",'Allergen Matrix'!C25)</f>
        <v>●</v>
      </c>
      <c r="C26" s="31">
        <f>IF('Allergen Matrix'!D25="","",'Allergen Matrix'!D25)</f>
        <v/>
      </c>
      <c r="D26" s="31" t="str">
        <f>IF('Allergen Matrix'!E25="","",'Allergen Matrix'!E25)</f>
        <v>●</v>
      </c>
      <c r="E26" s="31">
        <f>IF('Allergen Matrix'!F25="","",'Allergen Matrix'!F25)</f>
        <v/>
      </c>
      <c r="F26" s="31">
        <f>IF('Allergen Matrix'!G25="","",'Allergen Matrix'!G25)</f>
        <v/>
      </c>
      <c r="G26" s="31" t="str">
        <f>IF('Allergen Matrix'!H25="","",'Allergen Matrix'!H25)</f>
        <v>○</v>
      </c>
      <c r="H26" s="31" t="str">
        <f>IF('Allergen Matrix'!I25="","",'Allergen Matrix'!I25)</f>
        <v>●</v>
      </c>
      <c r="I26" s="31" t="str">
        <f>IF('Allergen Matrix'!J25="","",'Allergen Matrix'!J25)</f>
        <v>○</v>
      </c>
      <c r="J26" s="31">
        <f>IF('Allergen Matrix'!K25="","",'Allergen Matrix'!K25)</f>
        <v/>
      </c>
      <c r="K26" s="31">
        <f>IF('Allergen Matrix'!L25="","",'Allergen Matrix'!L25)</f>
        <v/>
      </c>
      <c r="L26" s="31">
        <f>IF('Allergen Matrix'!M25="","",'Allergen Matrix'!M25)</f>
        <v/>
      </c>
      <c r="M26" s="31">
        <f>IF('Allergen Matrix'!N25="","",'Allergen Matrix'!N25)</f>
        <v/>
      </c>
      <c r="N26" s="31">
        <f>IF('Allergen Matrix'!O25="","",'Allergen Matrix'!O25)</f>
        <v/>
      </c>
      <c r="O26" s="31">
        <f>IF('Allergen Matrix'!P25="","",'Allergen Matrix'!P25)</f>
        <v/>
      </c>
    </row>
    <row r="27">
      <c r="A27" s="12" t="str">
        <f>IF('Allergen Matrix'!A26="","",'Allergen Matrix'!A26)</f>
        <v>Amaretti cookies</v>
      </c>
      <c r="B27" s="31" t="str">
        <f>IF('Allergen Matrix'!C26="","",'Allergen Matrix'!C26)</f>
        <v>○</v>
      </c>
      <c r="C27" s="31">
        <f>IF('Allergen Matrix'!D26="","",'Allergen Matrix'!D26)</f>
        <v/>
      </c>
      <c r="D27" s="31" t="str">
        <f>IF('Allergen Matrix'!E26="","",'Allergen Matrix'!E26)</f>
        <v>●</v>
      </c>
      <c r="E27" s="31">
        <f>IF('Allergen Matrix'!F26="","",'Allergen Matrix'!F26)</f>
        <v/>
      </c>
      <c r="F27" s="31">
        <f>IF('Allergen Matrix'!G26="","",'Allergen Matrix'!G26)</f>
        <v/>
      </c>
      <c r="G27" s="31">
        <f>IF('Allergen Matrix'!H26="","",'Allergen Matrix'!H26)</f>
        <v/>
      </c>
      <c r="H27" s="31" t="str">
        <f>IF('Allergen Matrix'!I26="","",'Allergen Matrix'!I26)</f>
        <v>○</v>
      </c>
      <c r="I27" s="31" t="str">
        <f>IF('Allergen Matrix'!J26="","",'Allergen Matrix'!J26)</f>
        <v>●</v>
      </c>
      <c r="J27" s="31">
        <f>IF('Allergen Matrix'!K26="","",'Allergen Matrix'!K26)</f>
        <v/>
      </c>
      <c r="K27" s="31">
        <f>IF('Allergen Matrix'!L26="","",'Allergen Matrix'!L26)</f>
        <v/>
      </c>
      <c r="L27" s="31">
        <f>IF('Allergen Matrix'!M26="","",'Allergen Matrix'!M26)</f>
        <v/>
      </c>
      <c r="M27" s="31">
        <f>IF('Allergen Matrix'!N26="","",'Allergen Matrix'!N26)</f>
        <v/>
      </c>
      <c r="N27" s="31">
        <f>IF('Allergen Matrix'!O26="","",'Allergen Matrix'!O26)</f>
        <v/>
      </c>
      <c r="O27" s="31">
        <f>IF('Allergen Matrix'!P26="","",'Allergen Matrix'!P26)</f>
        <v/>
      </c>
    </row>
    <row r="28">
      <c r="A28" s="12" t="str">
        <f>IF('Allergen Matrix'!A27="","",'Allergen Matrix'!A27)</f>
        <v>Pignoli cookies</v>
      </c>
      <c r="B28" s="31" t="str">
        <f>IF('Allergen Matrix'!C27="","",'Allergen Matrix'!C27)</f>
        <v>○</v>
      </c>
      <c r="C28" s="31">
        <f>IF('Allergen Matrix'!D27="","",'Allergen Matrix'!D27)</f>
        <v/>
      </c>
      <c r="D28" s="31" t="str">
        <f>IF('Allergen Matrix'!E27="","",'Allergen Matrix'!E27)</f>
        <v>●</v>
      </c>
      <c r="E28" s="31">
        <f>IF('Allergen Matrix'!F27="","",'Allergen Matrix'!F27)</f>
        <v/>
      </c>
      <c r="F28" s="31">
        <f>IF('Allergen Matrix'!G27="","",'Allergen Matrix'!G27)</f>
        <v/>
      </c>
      <c r="G28" s="31">
        <f>IF('Allergen Matrix'!H27="","",'Allergen Matrix'!H27)</f>
        <v/>
      </c>
      <c r="H28" s="31" t="str">
        <f>IF('Allergen Matrix'!I27="","",'Allergen Matrix'!I27)</f>
        <v>○</v>
      </c>
      <c r="I28" s="31" t="str">
        <f>IF('Allergen Matrix'!J27="","",'Allergen Matrix'!J27)</f>
        <v>●</v>
      </c>
      <c r="J28" s="31">
        <f>IF('Allergen Matrix'!K27="","",'Allergen Matrix'!K27)</f>
        <v/>
      </c>
      <c r="K28" s="31">
        <f>IF('Allergen Matrix'!L27="","",'Allergen Matrix'!L27)</f>
        <v/>
      </c>
      <c r="L28" s="31">
        <f>IF('Allergen Matrix'!M27="","",'Allergen Matrix'!M27)</f>
        <v/>
      </c>
      <c r="M28" s="31">
        <f>IF('Allergen Matrix'!N27="","",'Allergen Matrix'!N27)</f>
        <v/>
      </c>
      <c r="N28" s="31">
        <f>IF('Allergen Matrix'!O27="","",'Allergen Matrix'!O27)</f>
        <v/>
      </c>
      <c r="O28" s="31">
        <f>IF('Allergen Matrix'!P27="","",'Allergen Matrix'!P27)</f>
        <v/>
      </c>
    </row>
    <row r="29">
      <c r="A29" s="12" t="str">
        <f>IF('Allergen Matrix'!A28="","",'Allergen Matrix'!A28)</f>
        <v>Polvorones (Mexican wedding cookies)</v>
      </c>
      <c r="B29" s="31" t="str">
        <f>IF('Allergen Matrix'!C28="","",'Allergen Matrix'!C28)</f>
        <v>●</v>
      </c>
      <c r="C29" s="31">
        <f>IF('Allergen Matrix'!D28="","",'Allergen Matrix'!D28)</f>
        <v/>
      </c>
      <c r="D29" s="31" t="str">
        <f>IF('Allergen Matrix'!E28="","",'Allergen Matrix'!E28)</f>
        <v>○</v>
      </c>
      <c r="E29" s="31">
        <f>IF('Allergen Matrix'!F28="","",'Allergen Matrix'!F28)</f>
        <v/>
      </c>
      <c r="F29" s="31">
        <f>IF('Allergen Matrix'!G28="","",'Allergen Matrix'!G28)</f>
        <v/>
      </c>
      <c r="G29" s="31">
        <f>IF('Allergen Matrix'!H28="","",'Allergen Matrix'!H28)</f>
        <v/>
      </c>
      <c r="H29" s="31" t="str">
        <f>IF('Allergen Matrix'!I28="","",'Allergen Matrix'!I28)</f>
        <v>●</v>
      </c>
      <c r="I29" s="31" t="str">
        <f>IF('Allergen Matrix'!J28="","",'Allergen Matrix'!J28)</f>
        <v>●</v>
      </c>
      <c r="J29" s="31">
        <f>IF('Allergen Matrix'!K28="","",'Allergen Matrix'!K28)</f>
        <v/>
      </c>
      <c r="K29" s="31">
        <f>IF('Allergen Matrix'!L28="","",'Allergen Matrix'!L28)</f>
        <v/>
      </c>
      <c r="L29" s="31" t="str">
        <f>IF('Allergen Matrix'!M28="","",'Allergen Matrix'!M28)</f>
        <v>○</v>
      </c>
      <c r="M29" s="31">
        <f>IF('Allergen Matrix'!N28="","",'Allergen Matrix'!N28)</f>
        <v/>
      </c>
      <c r="N29" s="31">
        <f>IF('Allergen Matrix'!O28="","",'Allergen Matrix'!O28)</f>
        <v/>
      </c>
      <c r="O29" s="31">
        <f>IF('Allergen Matrix'!P28="","",'Allergen Matrix'!P28)</f>
        <v/>
      </c>
    </row>
    <row r="30">
      <c r="A30" s="12" t="str">
        <f>IF('Allergen Matrix'!A29="","",'Allergen Matrix'!A29)</f>
        <v>Almond nougat (torrone)</v>
      </c>
      <c r="B30" s="31">
        <f>IF('Allergen Matrix'!C29="","",'Allergen Matrix'!C29)</f>
        <v/>
      </c>
      <c r="C30" s="31">
        <f>IF('Allergen Matrix'!D29="","",'Allergen Matrix'!D29)</f>
        <v/>
      </c>
      <c r="D30" s="31" t="str">
        <f>IF('Allergen Matrix'!E29="","",'Allergen Matrix'!E29)</f>
        <v>●</v>
      </c>
      <c r="E30" s="31">
        <f>IF('Allergen Matrix'!F29="","",'Allergen Matrix'!F29)</f>
        <v/>
      </c>
      <c r="F30" s="31">
        <f>IF('Allergen Matrix'!G29="","",'Allergen Matrix'!G29)</f>
        <v/>
      </c>
      <c r="G30" s="31" t="str">
        <f>IF('Allergen Matrix'!H29="","",'Allergen Matrix'!H29)</f>
        <v>○</v>
      </c>
      <c r="H30" s="31" t="str">
        <f>IF('Allergen Matrix'!I29="","",'Allergen Matrix'!I29)</f>
        <v>○</v>
      </c>
      <c r="I30" s="31" t="str">
        <f>IF('Allergen Matrix'!J29="","",'Allergen Matrix'!J29)</f>
        <v>●</v>
      </c>
      <c r="J30" s="31">
        <f>IF('Allergen Matrix'!K29="","",'Allergen Matrix'!K29)</f>
        <v/>
      </c>
      <c r="K30" s="31">
        <f>IF('Allergen Matrix'!L29="","",'Allergen Matrix'!L29)</f>
        <v/>
      </c>
      <c r="L30" s="31" t="str">
        <f>IF('Allergen Matrix'!M29="","",'Allergen Matrix'!M29)</f>
        <v>○</v>
      </c>
      <c r="M30" s="31">
        <f>IF('Allergen Matrix'!N29="","",'Allergen Matrix'!N29)</f>
        <v/>
      </c>
      <c r="N30" s="31">
        <f>IF('Allergen Matrix'!O29="","",'Allergen Matrix'!O29)</f>
        <v/>
      </c>
      <c r="O30" s="31">
        <f>IF('Allergen Matrix'!P29="","",'Allergen Matrix'!P29)</f>
        <v/>
      </c>
    </row>
    <row r="31">
      <c r="A31" s="12" t="str">
        <f>IF('Allergen Matrix'!A30="","",'Allergen Matrix'!A30)</f>
        <v>Chocolate Easter cake</v>
      </c>
      <c r="B31" s="31" t="str">
        <f>IF('Allergen Matrix'!C30="","",'Allergen Matrix'!C30)</f>
        <v>●</v>
      </c>
      <c r="C31" s="31">
        <f>IF('Allergen Matrix'!D30="","",'Allergen Matrix'!D30)</f>
        <v/>
      </c>
      <c r="D31" s="31" t="str">
        <f>IF('Allergen Matrix'!E30="","",'Allergen Matrix'!E30)</f>
        <v>●</v>
      </c>
      <c r="E31" s="31">
        <f>IF('Allergen Matrix'!F30="","",'Allergen Matrix'!F30)</f>
        <v/>
      </c>
      <c r="F31" s="31">
        <f>IF('Allergen Matrix'!G30="","",'Allergen Matrix'!G30)</f>
        <v/>
      </c>
      <c r="G31" s="31" t="str">
        <f>IF('Allergen Matrix'!H30="","",'Allergen Matrix'!H30)</f>
        <v>●</v>
      </c>
      <c r="H31" s="31" t="str">
        <f>IF('Allergen Matrix'!I30="","",'Allergen Matrix'!I30)</f>
        <v>●</v>
      </c>
      <c r="I31" s="31" t="str">
        <f>IF('Allergen Matrix'!J30="","",'Allergen Matrix'!J30)</f>
        <v>○</v>
      </c>
      <c r="J31" s="31">
        <f>IF('Allergen Matrix'!K30="","",'Allergen Matrix'!K30)</f>
        <v/>
      </c>
      <c r="K31" s="31">
        <f>IF('Allergen Matrix'!L30="","",'Allergen Matrix'!L30)</f>
        <v/>
      </c>
      <c r="L31" s="31">
        <f>IF('Allergen Matrix'!M30="","",'Allergen Matrix'!M30)</f>
        <v/>
      </c>
      <c r="M31" s="31">
        <f>IF('Allergen Matrix'!N30="","",'Allergen Matrix'!N30)</f>
        <v/>
      </c>
      <c r="N31" s="31">
        <f>IF('Allergen Matrix'!O30="","",'Allergen Matrix'!O30)</f>
        <v/>
      </c>
      <c r="O31" s="31">
        <f>IF('Allergen Matrix'!P30="","",'Allergen Matrix'!P30)</f>
        <v/>
      </c>
    </row>
    <row r="32">
      <c r="A32" s="12" t="str">
        <f>IF('Allergen Matrix'!A31="","",'Allergen Matrix'!A31)</f>
        <v>Brownie</v>
      </c>
      <c r="B32" s="31" t="str">
        <f>IF('Allergen Matrix'!C31="","",'Allergen Matrix'!C31)</f>
        <v>●</v>
      </c>
      <c r="C32" s="31">
        <f>IF('Allergen Matrix'!D31="","",'Allergen Matrix'!D31)</f>
        <v/>
      </c>
      <c r="D32" s="31" t="str">
        <f>IF('Allergen Matrix'!E31="","",'Allergen Matrix'!E31)</f>
        <v>●</v>
      </c>
      <c r="E32" s="31">
        <f>IF('Allergen Matrix'!F31="","",'Allergen Matrix'!F31)</f>
        <v/>
      </c>
      <c r="F32" s="31">
        <f>IF('Allergen Matrix'!G31="","",'Allergen Matrix'!G31)</f>
        <v/>
      </c>
      <c r="G32" s="31" t="str">
        <f>IF('Allergen Matrix'!H31="","",'Allergen Matrix'!H31)</f>
        <v>●</v>
      </c>
      <c r="H32" s="31" t="str">
        <f>IF('Allergen Matrix'!I31="","",'Allergen Matrix'!I31)</f>
        <v>●</v>
      </c>
      <c r="I32" s="31" t="str">
        <f>IF('Allergen Matrix'!J31="","",'Allergen Matrix'!J31)</f>
        <v>●</v>
      </c>
      <c r="J32" s="31">
        <f>IF('Allergen Matrix'!K31="","",'Allergen Matrix'!K31)</f>
        <v/>
      </c>
      <c r="K32" s="31">
        <f>IF('Allergen Matrix'!L31="","",'Allergen Matrix'!L31)</f>
        <v/>
      </c>
      <c r="L32" s="31">
        <f>IF('Allergen Matrix'!M31="","",'Allergen Matrix'!M31)</f>
        <v/>
      </c>
      <c r="M32" s="31">
        <f>IF('Allergen Matrix'!N31="","",'Allergen Matrix'!N31)</f>
        <v/>
      </c>
      <c r="N32" s="31">
        <f>IF('Allergen Matrix'!O31="","",'Allergen Matrix'!O31)</f>
        <v/>
      </c>
      <c r="O32" s="31">
        <f>IF('Allergen Matrix'!P31="","",'Allergen Matrix'!P31)</f>
        <v/>
      </c>
    </row>
    <row r="33">
      <c r="A33" s="12" t="str">
        <f>IF('Allergen Matrix'!A32="","",'Allergen Matrix'!A32)</f>
        <v>Chocolate chip cookie</v>
      </c>
      <c r="B33" s="31" t="str">
        <f>IF('Allergen Matrix'!C32="","",'Allergen Matrix'!C32)</f>
        <v>●</v>
      </c>
      <c r="C33" s="31">
        <f>IF('Allergen Matrix'!D32="","",'Allergen Matrix'!D32)</f>
        <v/>
      </c>
      <c r="D33" s="31" t="str">
        <f>IF('Allergen Matrix'!E32="","",'Allergen Matrix'!E32)</f>
        <v>●</v>
      </c>
      <c r="E33" s="31">
        <f>IF('Allergen Matrix'!F32="","",'Allergen Matrix'!F32)</f>
        <v/>
      </c>
      <c r="F33" s="31">
        <f>IF('Allergen Matrix'!G32="","",'Allergen Matrix'!G32)</f>
        <v/>
      </c>
      <c r="G33" s="31" t="str">
        <f>IF('Allergen Matrix'!H32="","",'Allergen Matrix'!H32)</f>
        <v>●</v>
      </c>
      <c r="H33" s="31" t="str">
        <f>IF('Allergen Matrix'!I32="","",'Allergen Matrix'!I32)</f>
        <v>●</v>
      </c>
      <c r="I33" s="31" t="str">
        <f>IF('Allergen Matrix'!J32="","",'Allergen Matrix'!J32)</f>
        <v>○</v>
      </c>
      <c r="J33" s="31">
        <f>IF('Allergen Matrix'!K32="","",'Allergen Matrix'!K32)</f>
        <v/>
      </c>
      <c r="K33" s="31">
        <f>IF('Allergen Matrix'!L32="","",'Allergen Matrix'!L32)</f>
        <v/>
      </c>
      <c r="L33" s="31">
        <f>IF('Allergen Matrix'!M32="","",'Allergen Matrix'!M32)</f>
        <v/>
      </c>
      <c r="M33" s="31">
        <f>IF('Allergen Matrix'!N32="","",'Allergen Matrix'!N32)</f>
        <v/>
      </c>
      <c r="N33" s="31">
        <f>IF('Allergen Matrix'!O32="","",'Allergen Matrix'!O32)</f>
        <v/>
      </c>
      <c r="O33" s="31">
        <f>IF('Allergen Matrix'!P32="","",'Allergen Matrix'!P32)</f>
        <v/>
      </c>
    </row>
    <row r="34">
      <c r="A34" s="12" t="str">
        <f>IF('Allergen Matrix'!A33="","",'Allergen Matrix'!A33)</f>
        <v>Muffin</v>
      </c>
      <c r="B34" s="31" t="str">
        <f>IF('Allergen Matrix'!C33="","",'Allergen Matrix'!C33)</f>
        <v>●</v>
      </c>
      <c r="C34" s="31">
        <f>IF('Allergen Matrix'!D33="","",'Allergen Matrix'!D33)</f>
        <v/>
      </c>
      <c r="D34" s="31" t="str">
        <f>IF('Allergen Matrix'!E33="","",'Allergen Matrix'!E33)</f>
        <v>●</v>
      </c>
      <c r="E34" s="31">
        <f>IF('Allergen Matrix'!F33="","",'Allergen Matrix'!F33)</f>
        <v/>
      </c>
      <c r="F34" s="31">
        <f>IF('Allergen Matrix'!G33="","",'Allergen Matrix'!G33)</f>
        <v/>
      </c>
      <c r="G34" s="31" t="str">
        <f>IF('Allergen Matrix'!H33="","",'Allergen Matrix'!H33)</f>
        <v>○</v>
      </c>
      <c r="H34" s="31" t="str">
        <f>IF('Allergen Matrix'!I33="","",'Allergen Matrix'!I33)</f>
        <v>●</v>
      </c>
      <c r="I34" s="31" t="str">
        <f>IF('Allergen Matrix'!J33="","",'Allergen Matrix'!J33)</f>
        <v>○</v>
      </c>
      <c r="J34" s="31">
        <f>IF('Allergen Matrix'!K33="","",'Allergen Matrix'!K33)</f>
        <v/>
      </c>
      <c r="K34" s="31">
        <f>IF('Allergen Matrix'!L33="","",'Allergen Matrix'!L33)</f>
        <v/>
      </c>
      <c r="L34" s="31">
        <f>IF('Allergen Matrix'!M33="","",'Allergen Matrix'!M33)</f>
        <v/>
      </c>
      <c r="M34" s="31">
        <f>IF('Allergen Matrix'!N33="","",'Allergen Matrix'!N33)</f>
        <v/>
      </c>
      <c r="N34" s="31">
        <f>IF('Allergen Matrix'!O33="","",'Allergen Matrix'!O33)</f>
        <v/>
      </c>
      <c r="O34" s="31">
        <f>IF('Allergen Matrix'!P33="","",'Allergen Matrix'!P33)</f>
        <v/>
      </c>
    </row>
    <row r="35">
      <c r="A35" s="12" t="str">
        <f>IF('Allergen Matrix'!A34="","",'Allergen Matrix'!A34)</f>
        <v>Pound cake</v>
      </c>
      <c r="B35" s="31" t="str">
        <f>IF('Allergen Matrix'!C34="","",'Allergen Matrix'!C34)</f>
        <v>●</v>
      </c>
      <c r="C35" s="31">
        <f>IF('Allergen Matrix'!D34="","",'Allergen Matrix'!D34)</f>
        <v/>
      </c>
      <c r="D35" s="31" t="str">
        <f>IF('Allergen Matrix'!E34="","",'Allergen Matrix'!E34)</f>
        <v>●</v>
      </c>
      <c r="E35" s="31">
        <f>IF('Allergen Matrix'!F34="","",'Allergen Matrix'!F34)</f>
        <v/>
      </c>
      <c r="F35" s="31">
        <f>IF('Allergen Matrix'!G34="","",'Allergen Matrix'!G34)</f>
        <v/>
      </c>
      <c r="G35" s="31" t="str">
        <f>IF('Allergen Matrix'!H34="","",'Allergen Matrix'!H34)</f>
        <v>○</v>
      </c>
      <c r="H35" s="31" t="str">
        <f>IF('Allergen Matrix'!I34="","",'Allergen Matrix'!I34)</f>
        <v>●</v>
      </c>
      <c r="I35" s="31" t="str">
        <f>IF('Allergen Matrix'!J34="","",'Allergen Matrix'!J34)</f>
        <v>○</v>
      </c>
      <c r="J35" s="31">
        <f>IF('Allergen Matrix'!K34="","",'Allergen Matrix'!K34)</f>
        <v/>
      </c>
      <c r="K35" s="31">
        <f>IF('Allergen Matrix'!L34="","",'Allergen Matrix'!L34)</f>
        <v/>
      </c>
      <c r="L35" s="31">
        <f>IF('Allergen Matrix'!M34="","",'Allergen Matrix'!M34)</f>
        <v/>
      </c>
      <c r="M35" s="31">
        <f>IF('Allergen Matrix'!N34="","",'Allergen Matrix'!N34)</f>
        <v/>
      </c>
      <c r="N35" s="31">
        <f>IF('Allergen Matrix'!O34="","",'Allergen Matrix'!O34)</f>
        <v/>
      </c>
      <c r="O35" s="31">
        <f>IF('Allergen Matrix'!P34="","",'Allergen Matrix'!P34)</f>
        <v/>
      </c>
    </row>
    <row r="36">
      <c r="A36" s="12" t="str">
        <f>IF('Allergen Matrix'!A35="","",'Allergen Matrix'!A35)</f>
        <v>Butter cookie</v>
      </c>
      <c r="B36" s="31" t="str">
        <f>IF('Allergen Matrix'!C35="","",'Allergen Matrix'!C35)</f>
        <v>●</v>
      </c>
      <c r="C36" s="31">
        <f>IF('Allergen Matrix'!D35="","",'Allergen Matrix'!D35)</f>
        <v/>
      </c>
      <c r="D36" s="31" t="str">
        <f>IF('Allergen Matrix'!E35="","",'Allergen Matrix'!E35)</f>
        <v>●</v>
      </c>
      <c r="E36" s="31">
        <f>IF('Allergen Matrix'!F35="","",'Allergen Matrix'!F35)</f>
        <v/>
      </c>
      <c r="F36" s="31">
        <f>IF('Allergen Matrix'!G35="","",'Allergen Matrix'!G35)</f>
        <v/>
      </c>
      <c r="G36" s="31" t="str">
        <f>IF('Allergen Matrix'!H35="","",'Allergen Matrix'!H35)</f>
        <v>○</v>
      </c>
      <c r="H36" s="31" t="str">
        <f>IF('Allergen Matrix'!I35="","",'Allergen Matrix'!I35)</f>
        <v>●</v>
      </c>
      <c r="I36" s="31" t="str">
        <f>IF('Allergen Matrix'!J35="","",'Allergen Matrix'!J35)</f>
        <v>○</v>
      </c>
      <c r="J36" s="31">
        <f>IF('Allergen Matrix'!K35="","",'Allergen Matrix'!K35)</f>
        <v/>
      </c>
      <c r="K36" s="31">
        <f>IF('Allergen Matrix'!L35="","",'Allergen Matrix'!L35)</f>
        <v/>
      </c>
      <c r="L36" s="31">
        <f>IF('Allergen Matrix'!M35="","",'Allergen Matrix'!M35)</f>
        <v/>
      </c>
      <c r="M36" s="31">
        <f>IF('Allergen Matrix'!N35="","",'Allergen Matrix'!N35)</f>
        <v/>
      </c>
      <c r="N36" s="31">
        <f>IF('Allergen Matrix'!O35="","",'Allergen Matrix'!O35)</f>
        <v/>
      </c>
      <c r="O36" s="31">
        <f>IF('Allergen Matrix'!P35="","",'Allergen Matrix'!P35)</f>
        <v/>
      </c>
    </row>
    <row r="37">
      <c r="A37" s="12" t="str">
        <f>IF('Allergen Matrix'!A36="","",'Allergen Matrix'!A36)</f>
        <v>Almond financier</v>
      </c>
      <c r="B37" s="31" t="str">
        <f>IF('Allergen Matrix'!C36="","",'Allergen Matrix'!C36)</f>
        <v>●</v>
      </c>
      <c r="C37" s="31">
        <f>IF('Allergen Matrix'!D36="","",'Allergen Matrix'!D36)</f>
        <v/>
      </c>
      <c r="D37" s="31" t="str">
        <f>IF('Allergen Matrix'!E36="","",'Allergen Matrix'!E36)</f>
        <v>●</v>
      </c>
      <c r="E37" s="31">
        <f>IF('Allergen Matrix'!F36="","",'Allergen Matrix'!F36)</f>
        <v/>
      </c>
      <c r="F37" s="31">
        <f>IF('Allergen Matrix'!G36="","",'Allergen Matrix'!G36)</f>
        <v/>
      </c>
      <c r="G37" s="31" t="str">
        <f>IF('Allergen Matrix'!H36="","",'Allergen Matrix'!H36)</f>
        <v>○</v>
      </c>
      <c r="H37" s="31" t="str">
        <f>IF('Allergen Matrix'!I36="","",'Allergen Matrix'!I36)</f>
        <v>●</v>
      </c>
      <c r="I37" s="31" t="str">
        <f>IF('Allergen Matrix'!J36="","",'Allergen Matrix'!J36)</f>
        <v>●</v>
      </c>
      <c r="J37" s="31">
        <f>IF('Allergen Matrix'!K36="","",'Allergen Matrix'!K36)</f>
        <v/>
      </c>
      <c r="K37" s="31">
        <f>IF('Allergen Matrix'!L36="","",'Allergen Matrix'!L36)</f>
        <v/>
      </c>
      <c r="L37" s="31">
        <f>IF('Allergen Matrix'!M36="","",'Allergen Matrix'!M36)</f>
        <v/>
      </c>
      <c r="M37" s="31">
        <f>IF('Allergen Matrix'!N36="","",'Allergen Matrix'!N36)</f>
        <v/>
      </c>
      <c r="N37" s="31">
        <f>IF('Allergen Matrix'!O36="","",'Allergen Matrix'!O36)</f>
        <v/>
      </c>
      <c r="O37" s="31">
        <f>IF('Allergen Matrix'!P36="","",'Allergen Matrix'!P36)</f>
        <v/>
      </c>
    </row>
    <row r="38">
      <c r="A38" s="12" t="str">
        <f>IF('Allergen Matrix'!A37="","",'Allergen Matrix'!A37)</f>
        <v>Quiche</v>
      </c>
      <c r="B38" s="31" t="str">
        <f>IF('Allergen Matrix'!C37="","",'Allergen Matrix'!C37)</f>
        <v>●</v>
      </c>
      <c r="C38" s="31">
        <f>IF('Allergen Matrix'!D37="","",'Allergen Matrix'!D37)</f>
        <v/>
      </c>
      <c r="D38" s="31" t="str">
        <f>IF('Allergen Matrix'!E37="","",'Allergen Matrix'!E37)</f>
        <v>●</v>
      </c>
      <c r="E38" s="31">
        <f>IF('Allergen Matrix'!F37="","",'Allergen Matrix'!F37)</f>
        <v/>
      </c>
      <c r="F38" s="31">
        <f>IF('Allergen Matrix'!G37="","",'Allergen Matrix'!G37)</f>
        <v/>
      </c>
      <c r="G38" s="31" t="str">
        <f>IF('Allergen Matrix'!H37="","",'Allergen Matrix'!H37)</f>
        <v>○</v>
      </c>
      <c r="H38" s="31" t="str">
        <f>IF('Allergen Matrix'!I37="","",'Allergen Matrix'!I37)</f>
        <v>●</v>
      </c>
      <c r="I38" s="31">
        <f>IF('Allergen Matrix'!J37="","",'Allergen Matrix'!J37)</f>
        <v/>
      </c>
      <c r="J38" s="31" t="str">
        <f>IF('Allergen Matrix'!K37="","",'Allergen Matrix'!K37)</f>
        <v>○</v>
      </c>
      <c r="K38" s="31" t="str">
        <f>IF('Allergen Matrix'!L37="","",'Allergen Matrix'!L37)</f>
        <v>○</v>
      </c>
      <c r="L38" s="31">
        <f>IF('Allergen Matrix'!M37="","",'Allergen Matrix'!M37)</f>
        <v/>
      </c>
      <c r="M38" s="31">
        <f>IF('Allergen Matrix'!N37="","",'Allergen Matrix'!N37)</f>
        <v/>
      </c>
      <c r="N38" s="31">
        <f>IF('Allergen Matrix'!O37="","",'Allergen Matrix'!O37)</f>
        <v/>
      </c>
      <c r="O38" s="31">
        <f>IF('Allergen Matrix'!P37="","",'Allergen Matrix'!P37)</f>
        <v/>
      </c>
    </row>
    <row r="39">
      <c r="A39" s="12" t="str">
        <f>IF('Allergen Matrix'!A38="","",'Allergen Matrix'!A38)</f>
        <v>Tuna empanada</v>
      </c>
      <c r="B39" s="31" t="str">
        <f>IF('Allergen Matrix'!C38="","",'Allergen Matrix'!C38)</f>
        <v>●</v>
      </c>
      <c r="C39" s="31">
        <f>IF('Allergen Matrix'!D38="","",'Allergen Matrix'!D38)</f>
        <v/>
      </c>
      <c r="D39" s="31" t="str">
        <f>IF('Allergen Matrix'!E38="","",'Allergen Matrix'!E38)</f>
        <v>○</v>
      </c>
      <c r="E39" s="31" t="str">
        <f>IF('Allergen Matrix'!F38="","",'Allergen Matrix'!F38)</f>
        <v>●</v>
      </c>
      <c r="F39" s="31">
        <f>IF('Allergen Matrix'!G38="","",'Allergen Matrix'!G38)</f>
        <v/>
      </c>
      <c r="G39" s="31">
        <f>IF('Allergen Matrix'!H38="","",'Allergen Matrix'!H38)</f>
        <v/>
      </c>
      <c r="H39" s="31">
        <f>IF('Allergen Matrix'!I38="","",'Allergen Matrix'!I38)</f>
        <v/>
      </c>
      <c r="I39" s="31">
        <f>IF('Allergen Matrix'!J38="","",'Allergen Matrix'!J38)</f>
        <v/>
      </c>
      <c r="J39" s="31" t="str">
        <f>IF('Allergen Matrix'!K38="","",'Allergen Matrix'!K38)</f>
        <v>○</v>
      </c>
      <c r="K39" s="31">
        <f>IF('Allergen Matrix'!L38="","",'Allergen Matrix'!L38)</f>
        <v/>
      </c>
      <c r="L39" s="31">
        <f>IF('Allergen Matrix'!M38="","",'Allergen Matrix'!M38)</f>
        <v/>
      </c>
      <c r="M39" s="31" t="str">
        <f>IF('Allergen Matrix'!N38="","",'Allergen Matrix'!N38)</f>
        <v>○</v>
      </c>
      <c r="N39" s="31">
        <f>IF('Allergen Matrix'!O38="","",'Allergen Matrix'!O38)</f>
        <v/>
      </c>
      <c r="O39" s="31">
        <f>IF('Allergen Matrix'!P38="","",'Allergen Matrix'!P38)</f>
        <v/>
      </c>
    </row>
    <row r="40">
      <c r="A40" s="12" t="str">
        <f>IF('Allergen Matrix'!A39="","",'Allergen Matrix'!A39)</f>
        <v>Ham &amp; cheese croissant</v>
      </c>
      <c r="B40" s="31" t="str">
        <f>IF('Allergen Matrix'!C39="","",'Allergen Matrix'!C39)</f>
        <v>●</v>
      </c>
      <c r="C40" s="31">
        <f>IF('Allergen Matrix'!D39="","",'Allergen Matrix'!D39)</f>
        <v/>
      </c>
      <c r="D40" s="31" t="str">
        <f>IF('Allergen Matrix'!E39="","",'Allergen Matrix'!E39)</f>
        <v>●</v>
      </c>
      <c r="E40" s="31">
        <f>IF('Allergen Matrix'!F39="","",'Allergen Matrix'!F39)</f>
        <v/>
      </c>
      <c r="F40" s="31">
        <f>IF('Allergen Matrix'!G39="","",'Allergen Matrix'!G39)</f>
        <v/>
      </c>
      <c r="G40" s="31" t="str">
        <f>IF('Allergen Matrix'!H39="","",'Allergen Matrix'!H39)</f>
        <v>○</v>
      </c>
      <c r="H40" s="31" t="str">
        <f>IF('Allergen Matrix'!I39="","",'Allergen Matrix'!I39)</f>
        <v>●</v>
      </c>
      <c r="I40" s="31">
        <f>IF('Allergen Matrix'!J39="","",'Allergen Matrix'!J39)</f>
        <v/>
      </c>
      <c r="J40" s="31">
        <f>IF('Allergen Matrix'!K39="","",'Allergen Matrix'!K39)</f>
        <v/>
      </c>
      <c r="K40" s="31" t="str">
        <f>IF('Allergen Matrix'!L39="","",'Allergen Matrix'!L39)</f>
        <v>○</v>
      </c>
      <c r="L40" s="31">
        <f>IF('Allergen Matrix'!M39="","",'Allergen Matrix'!M39)</f>
        <v/>
      </c>
      <c r="M40" s="31">
        <f>IF('Allergen Matrix'!N39="","",'Allergen Matrix'!N39)</f>
        <v/>
      </c>
      <c r="N40" s="31">
        <f>IF('Allergen Matrix'!O39="","",'Allergen Matrix'!O39)</f>
        <v/>
      </c>
      <c r="O40" s="31">
        <f>IF('Allergen Matrix'!P39="","",'Allergen Matrix'!P39)</f>
        <v/>
      </c>
    </row>
    <row r="41">
      <c r="A41" s="12" t="str">
        <f>IF('Allergen Matrix'!A40="","",'Allergen Matrix'!A40)</f>
        <v>Sandwich loaf</v>
      </c>
      <c r="B41" s="31" t="str">
        <f>IF('Allergen Matrix'!C40="","",'Allergen Matrix'!C40)</f>
        <v>●</v>
      </c>
      <c r="C41" s="31">
        <f>IF('Allergen Matrix'!D40="","",'Allergen Matrix'!D40)</f>
        <v/>
      </c>
      <c r="D41" s="31">
        <f>IF('Allergen Matrix'!E40="","",'Allergen Matrix'!E40)</f>
        <v/>
      </c>
      <c r="E41" s="31">
        <f>IF('Allergen Matrix'!F40="","",'Allergen Matrix'!F40)</f>
        <v/>
      </c>
      <c r="F41" s="31">
        <f>IF('Allergen Matrix'!G40="","",'Allergen Matrix'!G40)</f>
        <v/>
      </c>
      <c r="G41" s="31" t="str">
        <f>IF('Allergen Matrix'!H40="","",'Allergen Matrix'!H40)</f>
        <v>○</v>
      </c>
      <c r="H41" s="31" t="str">
        <f>IF('Allergen Matrix'!I40="","",'Allergen Matrix'!I40)</f>
        <v>○</v>
      </c>
      <c r="I41" s="31">
        <f>IF('Allergen Matrix'!J40="","",'Allergen Matrix'!J40)</f>
        <v/>
      </c>
      <c r="J41" s="31">
        <f>IF('Allergen Matrix'!K40="","",'Allergen Matrix'!K40)</f>
        <v/>
      </c>
      <c r="K41" s="31">
        <f>IF('Allergen Matrix'!L40="","",'Allergen Matrix'!L40)</f>
        <v/>
      </c>
      <c r="L41" s="31" t="str">
        <f>IF('Allergen Matrix'!M40="","",'Allergen Matrix'!M40)</f>
        <v>○</v>
      </c>
      <c r="M41" s="31">
        <f>IF('Allergen Matrix'!N40="","",'Allergen Matrix'!N40)</f>
        <v/>
      </c>
      <c r="N41" s="31">
        <f>IF('Allergen Matrix'!O40="","",'Allergen Matrix'!O40)</f>
        <v/>
      </c>
      <c r="O41" s="31">
        <f>IF('Allergen Matrix'!P40="","",'Allergen Matrix'!P40)</f>
        <v/>
      </c>
    </row>
    <row r="42">
      <c r="A42" s="12" t="str">
        <f>IF('Allergen Matrix'!A41="","",'Allergen Matrix'!A41)</f>
        <v>Baguette</v>
      </c>
      <c r="B42" s="31" t="str">
        <f>IF('Allergen Matrix'!C41="","",'Allergen Matrix'!C41)</f>
        <v>●</v>
      </c>
      <c r="C42" s="31">
        <f>IF('Allergen Matrix'!D41="","",'Allergen Matrix'!D41)</f>
        <v/>
      </c>
      <c r="D42" s="31">
        <f>IF('Allergen Matrix'!E41="","",'Allergen Matrix'!E41)</f>
        <v/>
      </c>
      <c r="E42" s="31">
        <f>IF('Allergen Matrix'!F41="","",'Allergen Matrix'!F41)</f>
        <v/>
      </c>
      <c r="F42" s="31">
        <f>IF('Allergen Matrix'!G41="","",'Allergen Matrix'!G41)</f>
        <v/>
      </c>
      <c r="G42" s="31" t="str">
        <f>IF('Allergen Matrix'!H41="","",'Allergen Matrix'!H41)</f>
        <v>○</v>
      </c>
      <c r="H42" s="31">
        <f>IF('Allergen Matrix'!I41="","",'Allergen Matrix'!I41)</f>
        <v/>
      </c>
      <c r="I42" s="31">
        <f>IF('Allergen Matrix'!J41="","",'Allergen Matrix'!J41)</f>
        <v/>
      </c>
      <c r="J42" s="31">
        <f>IF('Allergen Matrix'!K41="","",'Allergen Matrix'!K41)</f>
        <v/>
      </c>
      <c r="K42" s="31">
        <f>IF('Allergen Matrix'!L41="","",'Allergen Matrix'!L41)</f>
        <v/>
      </c>
      <c r="L42" s="31" t="str">
        <f>IF('Allergen Matrix'!M41="","",'Allergen Matrix'!M41)</f>
        <v>○</v>
      </c>
      <c r="M42" s="31">
        <f>IF('Allergen Matrix'!N41="","",'Allergen Matrix'!N41)</f>
        <v/>
      </c>
      <c r="N42" s="31">
        <f>IF('Allergen Matrix'!O41="","",'Allergen Matrix'!O41)</f>
        <v/>
      </c>
      <c r="O42" s="31">
        <f>IF('Allergen Matrix'!P41="","",'Allergen Matrix'!P41)</f>
        <v/>
      </c>
    </row>
    <row r="43">
      <c r="A43" s="12" t="str">
        <f>IF('Allergen Matrix'!A42="","",'Allergen Matrix'!A42)</f>
        <v>Sourdough boule</v>
      </c>
      <c r="B43" s="31" t="str">
        <f>IF('Allergen Matrix'!C42="","",'Allergen Matrix'!C42)</f>
        <v>●</v>
      </c>
      <c r="C43" s="31">
        <f>IF('Allergen Matrix'!D42="","",'Allergen Matrix'!D42)</f>
        <v/>
      </c>
      <c r="D43" s="31">
        <f>IF('Allergen Matrix'!E42="","",'Allergen Matrix'!E42)</f>
        <v/>
      </c>
      <c r="E43" s="31">
        <f>IF('Allergen Matrix'!F42="","",'Allergen Matrix'!F42)</f>
        <v/>
      </c>
      <c r="F43" s="31">
        <f>IF('Allergen Matrix'!G42="","",'Allergen Matrix'!G42)</f>
        <v/>
      </c>
      <c r="G43" s="31" t="str">
        <f>IF('Allergen Matrix'!H42="","",'Allergen Matrix'!H42)</f>
        <v>○</v>
      </c>
      <c r="H43" s="31">
        <f>IF('Allergen Matrix'!I42="","",'Allergen Matrix'!I42)</f>
        <v/>
      </c>
      <c r="I43" s="31">
        <f>IF('Allergen Matrix'!J42="","",'Allergen Matrix'!J42)</f>
        <v/>
      </c>
      <c r="J43" s="31">
        <f>IF('Allergen Matrix'!K42="","",'Allergen Matrix'!K42)</f>
        <v/>
      </c>
      <c r="K43" s="31">
        <f>IF('Allergen Matrix'!L42="","",'Allergen Matrix'!L42)</f>
        <v/>
      </c>
      <c r="L43" s="31" t="str">
        <f>IF('Allergen Matrix'!M42="","",'Allergen Matrix'!M42)</f>
        <v>○</v>
      </c>
      <c r="M43" s="31">
        <f>IF('Allergen Matrix'!N42="","",'Allergen Matrix'!N42)</f>
        <v/>
      </c>
      <c r="N43" s="31">
        <f>IF('Allergen Matrix'!O42="","",'Allergen Matrix'!O42)</f>
        <v/>
      </c>
      <c r="O43" s="31">
        <f>IF('Allergen Matrix'!P42="","",'Allergen Matrix'!P42)</f>
        <v/>
      </c>
    </row>
    <row r="44">
      <c r="A44" s="12" t="str">
        <f>IF('Allergen Matrix'!A43="","",'Allergen Matrix'!A43)</f>
        <v>Ciabatta</v>
      </c>
      <c r="B44" s="31" t="str">
        <f>IF('Allergen Matrix'!C43="","",'Allergen Matrix'!C43)</f>
        <v>●</v>
      </c>
      <c r="C44" s="31">
        <f>IF('Allergen Matrix'!D43="","",'Allergen Matrix'!D43)</f>
        <v/>
      </c>
      <c r="D44" s="31">
        <f>IF('Allergen Matrix'!E43="","",'Allergen Matrix'!E43)</f>
        <v/>
      </c>
      <c r="E44" s="31">
        <f>IF('Allergen Matrix'!F43="","",'Allergen Matrix'!F43)</f>
        <v/>
      </c>
      <c r="F44" s="31">
        <f>IF('Allergen Matrix'!G43="","",'Allergen Matrix'!G43)</f>
        <v/>
      </c>
      <c r="G44" s="31" t="str">
        <f>IF('Allergen Matrix'!H43="","",'Allergen Matrix'!H43)</f>
        <v>○</v>
      </c>
      <c r="H44" s="31">
        <f>IF('Allergen Matrix'!I43="","",'Allergen Matrix'!I43)</f>
        <v/>
      </c>
      <c r="I44" s="31">
        <f>IF('Allergen Matrix'!J43="","",'Allergen Matrix'!J43)</f>
        <v/>
      </c>
      <c r="J44" s="31">
        <f>IF('Allergen Matrix'!K43="","",'Allergen Matrix'!K43)</f>
        <v/>
      </c>
      <c r="K44" s="31">
        <f>IF('Allergen Matrix'!L43="","",'Allergen Matrix'!L43)</f>
        <v/>
      </c>
      <c r="L44" s="31" t="str">
        <f>IF('Allergen Matrix'!M43="","",'Allergen Matrix'!M43)</f>
        <v>○</v>
      </c>
      <c r="M44" s="31">
        <f>IF('Allergen Matrix'!N43="","",'Allergen Matrix'!N43)</f>
        <v/>
      </c>
      <c r="N44" s="31">
        <f>IF('Allergen Matrix'!O43="","",'Allergen Matrix'!O43)</f>
        <v/>
      </c>
      <c r="O44" s="31">
        <f>IF('Allergen Matrix'!P43="","",'Allergen Matrix'!P43)</f>
        <v/>
      </c>
    </row>
    <row r="45">
      <c r="A45" s="12" t="str">
        <f>IF('Allergen Matrix'!A44="","",'Allergen Matrix'!A44)</f>
        <v>Focaccia</v>
      </c>
      <c r="B45" s="31" t="str">
        <f>IF('Allergen Matrix'!C44="","",'Allergen Matrix'!C44)</f>
        <v>●</v>
      </c>
      <c r="C45" s="31">
        <f>IF('Allergen Matrix'!D44="","",'Allergen Matrix'!D44)</f>
        <v/>
      </c>
      <c r="D45" s="31">
        <f>IF('Allergen Matrix'!E44="","",'Allergen Matrix'!E44)</f>
        <v/>
      </c>
      <c r="E45" s="31">
        <f>IF('Allergen Matrix'!F44="","",'Allergen Matrix'!F44)</f>
        <v/>
      </c>
      <c r="F45" s="31">
        <f>IF('Allergen Matrix'!G44="","",'Allergen Matrix'!G44)</f>
        <v/>
      </c>
      <c r="G45" s="31" t="str">
        <f>IF('Allergen Matrix'!H44="","",'Allergen Matrix'!H44)</f>
        <v>○</v>
      </c>
      <c r="H45" s="31" t="str">
        <f>IF('Allergen Matrix'!I44="","",'Allergen Matrix'!I44)</f>
        <v>○</v>
      </c>
      <c r="I45" s="31">
        <f>IF('Allergen Matrix'!J44="","",'Allergen Matrix'!J44)</f>
        <v/>
      </c>
      <c r="J45" s="31">
        <f>IF('Allergen Matrix'!K44="","",'Allergen Matrix'!K44)</f>
        <v/>
      </c>
      <c r="K45" s="31">
        <f>IF('Allergen Matrix'!L44="","",'Allergen Matrix'!L44)</f>
        <v/>
      </c>
      <c r="L45" s="31" t="str">
        <f>IF('Allergen Matrix'!M44="","",'Allergen Matrix'!M44)</f>
        <v>○</v>
      </c>
      <c r="M45" s="31">
        <f>IF('Allergen Matrix'!N44="","",'Allergen Matrix'!N44)</f>
        <v/>
      </c>
      <c r="N45" s="31">
        <f>IF('Allergen Matrix'!O44="","",'Allergen Matrix'!O44)</f>
        <v/>
      </c>
      <c r="O45" s="31">
        <f>IF('Allergen Matrix'!P44="","",'Allergen Matrix'!P44)</f>
        <v/>
      </c>
    </row>
    <row r="46">
      <c r="A46" s="12" t="str">
        <f>IF('Allergen Matrix'!A45="","",'Allergen Matrix'!A45)</f>
        <v>Pastry cream</v>
      </c>
      <c r="B46" s="31" t="str">
        <f>IF('Allergen Matrix'!C45="","",'Allergen Matrix'!C45)</f>
        <v>○</v>
      </c>
      <c r="C46" s="31">
        <f>IF('Allergen Matrix'!D45="","",'Allergen Matrix'!D45)</f>
        <v/>
      </c>
      <c r="D46" s="31" t="str">
        <f>IF('Allergen Matrix'!E45="","",'Allergen Matrix'!E45)</f>
        <v>●</v>
      </c>
      <c r="E46" s="31">
        <f>IF('Allergen Matrix'!F45="","",'Allergen Matrix'!F45)</f>
        <v/>
      </c>
      <c r="F46" s="31">
        <f>IF('Allergen Matrix'!G45="","",'Allergen Matrix'!G45)</f>
        <v/>
      </c>
      <c r="G46" s="31" t="str">
        <f>IF('Allergen Matrix'!H45="","",'Allergen Matrix'!H45)</f>
        <v>○</v>
      </c>
      <c r="H46" s="31" t="str">
        <f>IF('Allergen Matrix'!I45="","",'Allergen Matrix'!I45)</f>
        <v>●</v>
      </c>
      <c r="I46" s="31">
        <f>IF('Allergen Matrix'!J45="","",'Allergen Matrix'!J45)</f>
        <v/>
      </c>
      <c r="J46" s="31">
        <f>IF('Allergen Matrix'!K45="","",'Allergen Matrix'!K45)</f>
        <v/>
      </c>
      <c r="K46" s="31">
        <f>IF('Allergen Matrix'!L45="","",'Allergen Matrix'!L45)</f>
        <v/>
      </c>
      <c r="L46" s="31">
        <f>IF('Allergen Matrix'!M45="","",'Allergen Matrix'!M45)</f>
        <v/>
      </c>
      <c r="M46" s="31">
        <f>IF('Allergen Matrix'!N45="","",'Allergen Matrix'!N45)</f>
        <v/>
      </c>
      <c r="N46" s="31">
        <f>IF('Allergen Matrix'!O45="","",'Allergen Matrix'!O45)</f>
        <v/>
      </c>
      <c r="O46" s="31">
        <f>IF('Allergen Matrix'!P45="","",'Allergen Matrix'!P45)</f>
        <v/>
      </c>
    </row>
    <row r="47">
      <c r="A47" s="12" t="str">
        <f>IF('Allergen Matrix'!A46="","",'Allergen Matrix'!A46)</f>
        <v>Chocolate ganache</v>
      </c>
      <c r="B47" s="31" t="str">
        <f>IF('Allergen Matrix'!C46="","",'Allergen Matrix'!C46)</f>
        <v>○</v>
      </c>
      <c r="C47" s="31">
        <f>IF('Allergen Matrix'!D46="","",'Allergen Matrix'!D46)</f>
        <v/>
      </c>
      <c r="D47" s="31">
        <f>IF('Allergen Matrix'!E46="","",'Allergen Matrix'!E46)</f>
        <v/>
      </c>
      <c r="E47" s="31">
        <f>IF('Allergen Matrix'!F46="","",'Allergen Matrix'!F46)</f>
        <v/>
      </c>
      <c r="F47" s="31">
        <f>IF('Allergen Matrix'!G46="","",'Allergen Matrix'!G46)</f>
        <v/>
      </c>
      <c r="G47" s="31" t="str">
        <f>IF('Allergen Matrix'!H46="","",'Allergen Matrix'!H46)</f>
        <v>●</v>
      </c>
      <c r="H47" s="31" t="str">
        <f>IF('Allergen Matrix'!I46="","",'Allergen Matrix'!I46)</f>
        <v>●</v>
      </c>
      <c r="I47" s="31" t="str">
        <f>IF('Allergen Matrix'!J46="","",'Allergen Matrix'!J46)</f>
        <v>○</v>
      </c>
      <c r="J47" s="31">
        <f>IF('Allergen Matrix'!K46="","",'Allergen Matrix'!K46)</f>
        <v/>
      </c>
      <c r="K47" s="31">
        <f>IF('Allergen Matrix'!L46="","",'Allergen Matrix'!L46)</f>
        <v/>
      </c>
      <c r="L47" s="31">
        <f>IF('Allergen Matrix'!M46="","",'Allergen Matrix'!M46)</f>
        <v/>
      </c>
      <c r="M47" s="31">
        <f>IF('Allergen Matrix'!N46="","",'Allergen Matrix'!N46)</f>
        <v/>
      </c>
      <c r="N47" s="31">
        <f>IF('Allergen Matrix'!O46="","",'Allergen Matrix'!O46)</f>
        <v/>
      </c>
      <c r="O47" s="31">
        <f>IF('Allergen Matrix'!P46="","",'Allergen Matrix'!P46)</f>
        <v/>
      </c>
    </row>
    <row r="48">
      <c r="A48" s="12" t="str">
        <f>IF('Allergen Matrix'!A47="","",'Allergen Matrix'!A47)</f>
        <v>Whipped cream</v>
      </c>
      <c r="B48" s="31">
        <f>IF('Allergen Matrix'!C47="","",'Allergen Matrix'!C47)</f>
        <v/>
      </c>
      <c r="C48" s="31">
        <f>IF('Allergen Matrix'!D47="","",'Allergen Matrix'!D47)</f>
        <v/>
      </c>
      <c r="D48" s="31">
        <f>IF('Allergen Matrix'!E47="","",'Allergen Matrix'!E47)</f>
        <v/>
      </c>
      <c r="E48" s="31">
        <f>IF('Allergen Matrix'!F47="","",'Allergen Matrix'!F47)</f>
        <v/>
      </c>
      <c r="F48" s="31">
        <f>IF('Allergen Matrix'!G47="","",'Allergen Matrix'!G47)</f>
        <v/>
      </c>
      <c r="G48" s="31" t="str">
        <f>IF('Allergen Matrix'!H47="","",'Allergen Matrix'!H47)</f>
        <v>○</v>
      </c>
      <c r="H48" s="31" t="str">
        <f>IF('Allergen Matrix'!I47="","",'Allergen Matrix'!I47)</f>
        <v>●</v>
      </c>
      <c r="I48" s="31">
        <f>IF('Allergen Matrix'!J47="","",'Allergen Matrix'!J47)</f>
        <v/>
      </c>
      <c r="J48" s="31">
        <f>IF('Allergen Matrix'!K47="","",'Allergen Matrix'!K47)</f>
        <v/>
      </c>
      <c r="K48" s="31">
        <f>IF('Allergen Matrix'!L47="","",'Allergen Matrix'!L47)</f>
        <v/>
      </c>
      <c r="L48" s="31">
        <f>IF('Allergen Matrix'!M47="","",'Allergen Matrix'!M47)</f>
        <v/>
      </c>
      <c r="M48" s="31">
        <f>IF('Allergen Matrix'!N47="","",'Allergen Matrix'!N47)</f>
        <v/>
      </c>
      <c r="N48" s="31">
        <f>IF('Allergen Matrix'!O47="","",'Allergen Matrix'!O47)</f>
        <v/>
      </c>
      <c r="O48" s="31">
        <f>IF('Allergen Matrix'!P47="","",'Allergen Matrix'!P47)</f>
        <v/>
      </c>
    </row>
    <row r="49">
      <c r="A49" s="12">
        <f>IF('Allergen Matrix'!A48="","",'Allergen Matrix'!A48)</f>
        <v/>
      </c>
      <c r="B49" s="31">
        <f>IF('Allergen Matrix'!C48="","",'Allergen Matrix'!C48)</f>
        <v/>
      </c>
      <c r="C49" s="31">
        <f>IF('Allergen Matrix'!D48="","",'Allergen Matrix'!D48)</f>
        <v/>
      </c>
      <c r="D49" s="31">
        <f>IF('Allergen Matrix'!E48="","",'Allergen Matrix'!E48)</f>
        <v/>
      </c>
      <c r="E49" s="31">
        <f>IF('Allergen Matrix'!F48="","",'Allergen Matrix'!F48)</f>
        <v/>
      </c>
      <c r="F49" s="31">
        <f>IF('Allergen Matrix'!G48="","",'Allergen Matrix'!G48)</f>
        <v/>
      </c>
      <c r="G49" s="31">
        <f>IF('Allergen Matrix'!H48="","",'Allergen Matrix'!H48)</f>
        <v/>
      </c>
      <c r="H49" s="31">
        <f>IF('Allergen Matrix'!I48="","",'Allergen Matrix'!I48)</f>
        <v/>
      </c>
      <c r="I49" s="31">
        <f>IF('Allergen Matrix'!J48="","",'Allergen Matrix'!J48)</f>
        <v/>
      </c>
      <c r="J49" s="31">
        <f>IF('Allergen Matrix'!K48="","",'Allergen Matrix'!K48)</f>
        <v/>
      </c>
      <c r="K49" s="31">
        <f>IF('Allergen Matrix'!L48="","",'Allergen Matrix'!L48)</f>
        <v/>
      </c>
      <c r="L49" s="31">
        <f>IF('Allergen Matrix'!M48="","",'Allergen Matrix'!M48)</f>
        <v/>
      </c>
      <c r="M49" s="31">
        <f>IF('Allergen Matrix'!N48="","",'Allergen Matrix'!N48)</f>
        <v/>
      </c>
      <c r="N49" s="31">
        <f>IF('Allergen Matrix'!O48="","",'Allergen Matrix'!O48)</f>
        <v/>
      </c>
      <c r="O49" s="31">
        <f>IF('Allergen Matrix'!P48="","",'Allergen Matrix'!P48)</f>
        <v/>
      </c>
    </row>
    <row r="50">
      <c r="A50" s="12">
        <f>IF('Allergen Matrix'!A49="","",'Allergen Matrix'!A49)</f>
        <v/>
      </c>
      <c r="B50" s="31">
        <f>IF('Allergen Matrix'!C49="","",'Allergen Matrix'!C49)</f>
        <v/>
      </c>
      <c r="C50" s="31">
        <f>IF('Allergen Matrix'!D49="","",'Allergen Matrix'!D49)</f>
        <v/>
      </c>
      <c r="D50" s="31">
        <f>IF('Allergen Matrix'!E49="","",'Allergen Matrix'!E49)</f>
        <v/>
      </c>
      <c r="E50" s="31">
        <f>IF('Allergen Matrix'!F49="","",'Allergen Matrix'!F49)</f>
        <v/>
      </c>
      <c r="F50" s="31">
        <f>IF('Allergen Matrix'!G49="","",'Allergen Matrix'!G49)</f>
        <v/>
      </c>
      <c r="G50" s="31">
        <f>IF('Allergen Matrix'!H49="","",'Allergen Matrix'!H49)</f>
        <v/>
      </c>
      <c r="H50" s="31">
        <f>IF('Allergen Matrix'!I49="","",'Allergen Matrix'!I49)</f>
        <v/>
      </c>
      <c r="I50" s="31">
        <f>IF('Allergen Matrix'!J49="","",'Allergen Matrix'!J49)</f>
        <v/>
      </c>
      <c r="J50" s="31">
        <f>IF('Allergen Matrix'!K49="","",'Allergen Matrix'!K49)</f>
        <v/>
      </c>
      <c r="K50" s="31">
        <f>IF('Allergen Matrix'!L49="","",'Allergen Matrix'!L49)</f>
        <v/>
      </c>
      <c r="L50" s="31">
        <f>IF('Allergen Matrix'!M49="","",'Allergen Matrix'!M49)</f>
        <v/>
      </c>
      <c r="M50" s="31">
        <f>IF('Allergen Matrix'!N49="","",'Allergen Matrix'!N49)</f>
        <v/>
      </c>
      <c r="N50" s="31">
        <f>IF('Allergen Matrix'!O49="","",'Allergen Matrix'!O49)</f>
        <v/>
      </c>
      <c r="O50" s="31">
        <f>IF('Allergen Matrix'!P49="","",'Allergen Matrix'!P49)</f>
        <v/>
      </c>
    </row>
    <row r="51">
      <c r="A51" s="12">
        <f>IF('Allergen Matrix'!A50="","",'Allergen Matrix'!A50)</f>
        <v/>
      </c>
      <c r="B51" s="31">
        <f>IF('Allergen Matrix'!C50="","",'Allergen Matrix'!C50)</f>
        <v/>
      </c>
      <c r="C51" s="31">
        <f>IF('Allergen Matrix'!D50="","",'Allergen Matrix'!D50)</f>
        <v/>
      </c>
      <c r="D51" s="31">
        <f>IF('Allergen Matrix'!E50="","",'Allergen Matrix'!E50)</f>
        <v/>
      </c>
      <c r="E51" s="31">
        <f>IF('Allergen Matrix'!F50="","",'Allergen Matrix'!F50)</f>
        <v/>
      </c>
      <c r="F51" s="31">
        <f>IF('Allergen Matrix'!G50="","",'Allergen Matrix'!G50)</f>
        <v/>
      </c>
      <c r="G51" s="31">
        <f>IF('Allergen Matrix'!H50="","",'Allergen Matrix'!H50)</f>
        <v/>
      </c>
      <c r="H51" s="31">
        <f>IF('Allergen Matrix'!I50="","",'Allergen Matrix'!I50)</f>
        <v/>
      </c>
      <c r="I51" s="31">
        <f>IF('Allergen Matrix'!J50="","",'Allergen Matrix'!J50)</f>
        <v/>
      </c>
      <c r="J51" s="31">
        <f>IF('Allergen Matrix'!K50="","",'Allergen Matrix'!K50)</f>
        <v/>
      </c>
      <c r="K51" s="31">
        <f>IF('Allergen Matrix'!L50="","",'Allergen Matrix'!L50)</f>
        <v/>
      </c>
      <c r="L51" s="31">
        <f>IF('Allergen Matrix'!M50="","",'Allergen Matrix'!M50)</f>
        <v/>
      </c>
      <c r="M51" s="31">
        <f>IF('Allergen Matrix'!N50="","",'Allergen Matrix'!N50)</f>
        <v/>
      </c>
      <c r="N51" s="31">
        <f>IF('Allergen Matrix'!O50="","",'Allergen Matrix'!O50)</f>
        <v/>
      </c>
      <c r="O51" s="31">
        <f>IF('Allergen Matrix'!P50="","",'Allergen Matrix'!P50)</f>
        <v/>
      </c>
    </row>
    <row r="52">
      <c r="A52" s="12">
        <f>IF('Allergen Matrix'!A51="","",'Allergen Matrix'!A51)</f>
        <v/>
      </c>
      <c r="B52" s="31">
        <f>IF('Allergen Matrix'!C51="","",'Allergen Matrix'!C51)</f>
        <v/>
      </c>
      <c r="C52" s="31">
        <f>IF('Allergen Matrix'!D51="","",'Allergen Matrix'!D51)</f>
        <v/>
      </c>
      <c r="D52" s="31">
        <f>IF('Allergen Matrix'!E51="","",'Allergen Matrix'!E51)</f>
        <v/>
      </c>
      <c r="E52" s="31">
        <f>IF('Allergen Matrix'!F51="","",'Allergen Matrix'!F51)</f>
        <v/>
      </c>
      <c r="F52" s="31">
        <f>IF('Allergen Matrix'!G51="","",'Allergen Matrix'!G51)</f>
        <v/>
      </c>
      <c r="G52" s="31">
        <f>IF('Allergen Matrix'!H51="","",'Allergen Matrix'!H51)</f>
        <v/>
      </c>
      <c r="H52" s="31">
        <f>IF('Allergen Matrix'!I51="","",'Allergen Matrix'!I51)</f>
        <v/>
      </c>
      <c r="I52" s="31">
        <f>IF('Allergen Matrix'!J51="","",'Allergen Matrix'!J51)</f>
        <v/>
      </c>
      <c r="J52" s="31">
        <f>IF('Allergen Matrix'!K51="","",'Allergen Matrix'!K51)</f>
        <v/>
      </c>
      <c r="K52" s="31">
        <f>IF('Allergen Matrix'!L51="","",'Allergen Matrix'!L51)</f>
        <v/>
      </c>
      <c r="L52" s="31">
        <f>IF('Allergen Matrix'!M51="","",'Allergen Matrix'!M51)</f>
        <v/>
      </c>
      <c r="M52" s="31">
        <f>IF('Allergen Matrix'!N51="","",'Allergen Matrix'!N51)</f>
        <v/>
      </c>
      <c r="N52" s="31">
        <f>IF('Allergen Matrix'!O51="","",'Allergen Matrix'!O51)</f>
        <v/>
      </c>
      <c r="O52" s="31">
        <f>IF('Allergen Matrix'!P51="","",'Allergen Matrix'!P51)</f>
        <v/>
      </c>
    </row>
    <row r="54" ht="21.8" customHeight="1">
      <c r="A54" s="19" t="inlineStr">
        <is>
          <t>Our kitchen handles, among others, wheat (gluten), eggs, milk, tree nuts, soy, sesame and fish (replace with your own list), so cross-contact is possible. This notice complements the written information: it does not replace it.</t>
        </is>
      </c>
      <c r="B54" s="48" t="n"/>
      <c r="C54" s="48" t="n"/>
      <c r="D54" s="48" t="n"/>
      <c r="E54" s="48" t="n"/>
      <c r="F54" s="48" t="n"/>
      <c r="G54" s="48" t="n"/>
      <c r="H54" s="48" t="n"/>
      <c r="I54" s="48" t="n"/>
      <c r="J54" s="48" t="n"/>
      <c r="K54" s="48" t="n"/>
      <c r="L54" s="48" t="n"/>
      <c r="M54" s="48" t="n"/>
      <c r="N54" s="48" t="n"/>
      <c r="O54" s="49" t="n"/>
    </row>
    <row r="55" ht="21.8" customHeight="1">
      <c r="A55" s="50" t="n"/>
      <c r="B55" s="51" t="n"/>
      <c r="C55" s="51" t="n"/>
      <c r="D55" s="51" t="n"/>
      <c r="E55" s="51" t="n"/>
      <c r="F55" s="51" t="n"/>
      <c r="G55" s="51" t="n"/>
      <c r="H55" s="51" t="n"/>
      <c r="I55" s="51" t="n"/>
      <c r="J55" s="51" t="n"/>
      <c r="K55" s="51" t="n"/>
      <c r="L55" s="51" t="n"/>
      <c r="M55" s="51" t="n"/>
      <c r="N55" s="51" t="n"/>
      <c r="O55" s="52" t="n"/>
    </row>
    <row r="57">
      <c r="A57" s="33" t="inlineStr">
        <is>
          <t>Reviewed by: _________________________     Signature: _________________________</t>
        </is>
      </c>
    </row>
    <row r="59">
      <c r="A59" s="7" t="inlineStr">
        <is>
          <t>— Pastry Shop Checklists Kit Pro · AI Chef Pro · aichef.pro</t>
        </is>
      </c>
    </row>
  </sheetData>
  <mergeCells count="5">
    <mergeCell ref="A57:O57"/>
    <mergeCell ref="A2:O2"/>
    <mergeCell ref="A54:O55"/>
    <mergeCell ref="A1:O1"/>
    <mergeCell ref="A3:O3"/>
  </mergeCells>
  <printOptions horizontalCentered="1"/>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8B4513"/>
    <outlinePr summaryBelow="1" summaryRight="1"/>
    <pageSetUpPr fitToPage="1"/>
  </sheetPr>
  <dimension ref="B2:D30"/>
  <sheetViews>
    <sheetView showGridLines="0" workbookViewId="0">
      <selection activeCell="A1" sqref="A1"/>
    </sheetView>
  </sheetViews>
  <sheetFormatPr baseColWidth="8" defaultRowHeight="15"/>
  <cols>
    <col width="2" customWidth="1" min="1" max="1"/>
    <col width="24" customWidth="1" min="2" max="2"/>
    <col width="56" customWidth="1" min="3" max="3"/>
    <col width="30" customWidth="1" min="4" max="4"/>
  </cols>
  <sheetData>
    <row r="2" ht="34" customHeight="1">
      <c r="B2" s="34" t="inlineStr">
        <is>
          <t>Allergen Information</t>
        </is>
      </c>
    </row>
    <row r="4" ht="26" customHeight="1">
      <c r="B4" s="35" t="inlineStr">
        <is>
          <t>ALLERGEN INFORMATION AVAILABLE IN WRITING — ASK OUR STAFF</t>
        </is>
      </c>
      <c r="C4" s="48" t="n"/>
      <c r="D4" s="49" t="n"/>
    </row>
    <row r="5">
      <c r="B5" s="50" t="n"/>
      <c r="C5" s="51" t="n"/>
      <c r="D5" s="52" t="n"/>
    </row>
    <row r="7" ht="23.8" customHeight="1">
      <c r="B7" s="37" t="inlineStr">
        <is>
          <t>Our kitchen handles, among others, wheat (gluten), eggs, milk, tree nuts, soy, sesame and fish (replace with your own list), so cross-contact is possible. This notice complements the written information: it does not replace it.</t>
        </is>
      </c>
      <c r="C7" s="48" t="n"/>
      <c r="D7" s="49" t="n"/>
    </row>
    <row r="8" ht="23.8" customHeight="1">
      <c r="B8" s="50" t="n"/>
      <c r="C8" s="51" t="n"/>
      <c r="D8" s="52" t="n"/>
    </row>
    <row r="10" ht="22" customHeight="1">
      <c r="B10" s="38" t="inlineStr">
        <is>
          <t>The 9 major food allergens (US) + 5 more for UK customers</t>
        </is>
      </c>
    </row>
    <row r="11">
      <c r="B11" s="10" t="inlineStr">
        <is>
          <t>Allergen</t>
        </is>
      </c>
      <c r="C11" s="10" t="inlineStr">
        <is>
          <t>What it includes</t>
        </is>
      </c>
      <c r="D11" s="10" t="inlineStr">
        <is>
          <t>Our products that contain it</t>
        </is>
      </c>
    </row>
    <row r="12" ht="30.4" customHeight="1">
      <c r="B12" s="28" t="inlineStr">
        <is>
          <t>Wheat (gluten)</t>
        </is>
      </c>
      <c r="C12" s="40" t="inlineStr">
        <is>
          <t>Wheat and wheat products (US); for UK customers, all cereals with gluten: rye, barley, oats, spelt</t>
        </is>
      </c>
      <c r="D12" s="16" t="n"/>
    </row>
    <row r="13" ht="33.25" customHeight="1">
      <c r="B13" s="28" t="inlineStr">
        <is>
          <t>Shellfish</t>
        </is>
      </c>
      <c r="C13" s="40" t="inlineStr">
        <is>
          <t>Crustacean shellfish: crab, lobster, shrimp and products made from them</t>
        </is>
      </c>
      <c r="D13" s="16" t="n"/>
    </row>
    <row r="14" ht="26" customHeight="1">
      <c r="B14" s="28" t="inlineStr">
        <is>
          <t>Eggs</t>
        </is>
      </c>
      <c r="C14" s="40" t="inlineStr">
        <is>
          <t>Eggs and egg products</t>
        </is>
      </c>
      <c r="D14" s="16" t="n"/>
    </row>
    <row r="15" ht="26" customHeight="1">
      <c r="B15" s="28" t="inlineStr">
        <is>
          <t>Fish</t>
        </is>
      </c>
      <c r="C15" s="40" t="inlineStr">
        <is>
          <t>Fish (such as tuna, cod, salmon) and fish products</t>
        </is>
      </c>
      <c r="D15" s="16" t="n"/>
    </row>
    <row r="16" ht="26" customHeight="1">
      <c r="B16" s="28" t="inlineStr">
        <is>
          <t>Peanuts</t>
        </is>
      </c>
      <c r="C16" s="40" t="inlineStr">
        <is>
          <t>Peanuts and peanut products</t>
        </is>
      </c>
      <c r="D16" s="16" t="n"/>
    </row>
    <row r="17" ht="26" customHeight="1">
      <c r="B17" s="28" t="inlineStr">
        <is>
          <t>Soy</t>
        </is>
      </c>
      <c r="C17" s="40" t="inlineStr">
        <is>
          <t>Soybeans and soy products, including soy lecithin</t>
        </is>
      </c>
      <c r="D17" s="16" t="n"/>
    </row>
    <row r="18" ht="26" customHeight="1">
      <c r="B18" s="28" t="inlineStr">
        <is>
          <t>Milk</t>
        </is>
      </c>
      <c r="C18" s="40" t="inlineStr">
        <is>
          <t>Milk and milk products, including butter, cream and lactose</t>
        </is>
      </c>
      <c r="D18" s="16" t="n"/>
    </row>
    <row r="19" ht="30.4" customHeight="1">
      <c r="B19" s="28" t="inlineStr">
        <is>
          <t>Tree nuts</t>
        </is>
      </c>
      <c r="C19" s="40" t="inlineStr">
        <is>
          <t>Almonds, hazelnuts, walnuts, cashews, pistachios, pecans, Brazil nuts, macadamias, pine nuts</t>
        </is>
      </c>
      <c r="D19" s="16" t="n"/>
    </row>
    <row r="20" ht="33.25" customHeight="1">
      <c r="B20" s="28" t="inlineStr">
        <is>
          <t>Celery (UK)</t>
        </is>
      </c>
      <c r="C20" s="40" t="inlineStr">
        <is>
          <t>Celery and celery products (UK allergen; not a US major allergen)</t>
        </is>
      </c>
      <c r="D20" s="16" t="n"/>
    </row>
    <row r="21" ht="33.25" customHeight="1">
      <c r="B21" s="28" t="inlineStr">
        <is>
          <t>Mustard (UK)</t>
        </is>
      </c>
      <c r="C21" s="40" t="inlineStr">
        <is>
          <t>Mustard and mustard products (UK allergen; not a US major allergen)</t>
        </is>
      </c>
      <c r="D21" s="16" t="n"/>
    </row>
    <row r="22" ht="33.25" customHeight="1">
      <c r="B22" s="28" t="inlineStr">
        <is>
          <t>Sesame</t>
        </is>
      </c>
      <c r="C22" s="40" t="inlineStr">
        <is>
          <t>Sesame seeds and sesame products (US major allergen since 2023)</t>
        </is>
      </c>
      <c r="D22" s="16" t="n"/>
    </row>
    <row r="23" ht="30.4" customHeight="1">
      <c r="B23" s="28" t="inlineStr">
        <is>
          <t>Sulfites</t>
        </is>
      </c>
      <c r="C23" s="40" t="inlineStr">
        <is>
          <t>Sulfites at 10 ppm or more (declared in the US; a UK allergen)</t>
        </is>
      </c>
      <c r="D23" s="16" t="n"/>
    </row>
    <row r="24" ht="33.25" customHeight="1">
      <c r="B24" s="28" t="inlineStr">
        <is>
          <t>Lupin (UK)</t>
        </is>
      </c>
      <c r="C24" s="40" t="inlineStr">
        <is>
          <t>Lupin and lupin products (UK allergen; not a US major allergen)</t>
        </is>
      </c>
      <c r="D24" s="16" t="n"/>
    </row>
    <row r="25" ht="33.25" customHeight="1">
      <c r="B25" s="28" t="inlineStr">
        <is>
          <t>Mollusks (UK)</t>
        </is>
      </c>
      <c r="C25" s="40" t="inlineStr">
        <is>
          <t>Mollusks such as clams, mussels, squid (UK allergen; not a US major allergen)</t>
        </is>
      </c>
      <c r="D25" s="16" t="n"/>
    </row>
    <row r="27">
      <c r="B27" s="41" t="inlineStr">
        <is>
          <t>Business: ______________________________          Last review: ____/____/________</t>
        </is>
      </c>
    </row>
    <row r="28" ht="24.5" customHeight="1">
      <c r="B28" s="42" t="inlineStr">
        <is>
          <t>US: FALCPA + FASTER Act (9 major food allergens); FDA Food Code 2022 §3-602.12(C), written notice for unpackaged food where your state has adopted it. UK: Food Information Regulations 2014 (14).</t>
        </is>
      </c>
    </row>
    <row r="30">
      <c r="B30" s="7" t="inlineStr">
        <is>
          <t>— Pastry Shop Checklists Kit Pro · AI Chef Pro · aichef.pro</t>
        </is>
      </c>
    </row>
  </sheetData>
  <mergeCells count="6">
    <mergeCell ref="B10:D10"/>
    <mergeCell ref="B28:D28"/>
    <mergeCell ref="B4:D5"/>
    <mergeCell ref="B27:D27"/>
    <mergeCell ref="B7:D8"/>
    <mergeCell ref="B2:D2"/>
  </mergeCells>
  <printOptions horizontalCentered="1"/>
  <pageMargins left="0.59" right="0.59" top="0.59" bottom="0.59" header="0.3" footer="0.3"/>
  <pageSetup orientation="portrait" paperSize="1" fitToHeight="1"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FFD700"/>
    <outlinePr summaryBelow="1" summaryRight="1"/>
    <pageSetUpPr fitToPage="1"/>
  </sheetPr>
  <dimension ref="B1:F31"/>
  <sheetViews>
    <sheetView showGridLines="0" workbookViewId="0">
      <selection activeCell="A1" sqref="A1"/>
    </sheetView>
  </sheetViews>
  <sheetFormatPr baseColWidth="8" defaultRowHeight="15"/>
  <cols>
    <col width="2" customWidth="1" min="1" max="1"/>
    <col width="30" customWidth="1" min="2" max="2"/>
    <col width="2" customWidth="1" min="3" max="3"/>
    <col width="30" customWidth="1" min="4" max="4"/>
    <col width="2" customWidth="1" min="5" max="5"/>
    <col width="30" customWidth="1" min="6" max="6"/>
  </cols>
  <sheetData>
    <row r="1" ht="21.1" customHeight="1">
      <c r="B1" s="8" t="inlineStr">
        <is>
          <t>Case Labels</t>
        </is>
      </c>
    </row>
    <row r="2" ht="30.4" customHeight="1">
      <c r="B2" s="9" t="inlineStr">
        <is>
          <t>Fill in, print on card stock and cut along the edge. Abbreviate the allergens: W wheat · E eggs · M milk · TN tree nuts · P peanuts · S soy · SE sesame · F fish · SH shellfish · SU sulfites.</t>
        </is>
      </c>
    </row>
    <row r="4" ht="26" customHeight="1">
      <c r="B4" s="43" t="n"/>
      <c r="D4" s="43" t="n"/>
      <c r="F4" s="43" t="n"/>
    </row>
    <row r="5" ht="20" customHeight="1">
      <c r="B5" s="44" t="n"/>
      <c r="D5" s="44" t="n"/>
      <c r="F5" s="44" t="n"/>
    </row>
    <row r="6" ht="18" customHeight="1">
      <c r="B6" s="45" t="n"/>
      <c r="D6" s="45" t="n"/>
      <c r="F6" s="45" t="n"/>
    </row>
    <row r="8" ht="26" customHeight="1">
      <c r="B8" s="43" t="n"/>
      <c r="D8" s="43" t="n"/>
      <c r="F8" s="43" t="n"/>
    </row>
    <row r="9" ht="20" customHeight="1">
      <c r="B9" s="44" t="n"/>
      <c r="D9" s="44" t="n"/>
      <c r="F9" s="44" t="n"/>
    </row>
    <row r="10" ht="18" customHeight="1">
      <c r="B10" s="45" t="n"/>
      <c r="D10" s="45" t="n"/>
      <c r="F10" s="45" t="n"/>
    </row>
    <row r="12" ht="26" customHeight="1">
      <c r="B12" s="43" t="n"/>
      <c r="D12" s="43" t="n"/>
      <c r="F12" s="43" t="n"/>
    </row>
    <row r="13" ht="20" customHeight="1">
      <c r="B13" s="44" t="n"/>
      <c r="D13" s="44" t="n"/>
      <c r="F13" s="44" t="n"/>
    </row>
    <row r="14" ht="18" customHeight="1">
      <c r="B14" s="45" t="n"/>
      <c r="D14" s="45" t="n"/>
      <c r="F14" s="45" t="n"/>
    </row>
    <row r="16" ht="26" customHeight="1">
      <c r="B16" s="43" t="n"/>
      <c r="D16" s="43" t="n"/>
      <c r="F16" s="43" t="n"/>
    </row>
    <row r="17" ht="20" customHeight="1">
      <c r="B17" s="44" t="n"/>
      <c r="D17" s="44" t="n"/>
      <c r="F17" s="44" t="n"/>
    </row>
    <row r="18" ht="18" customHeight="1">
      <c r="B18" s="45" t="n"/>
      <c r="D18" s="45" t="n"/>
      <c r="F18" s="45" t="n"/>
    </row>
    <row r="20" ht="26" customHeight="1">
      <c r="B20" s="43" t="n"/>
      <c r="D20" s="43" t="n"/>
      <c r="F20" s="43" t="n"/>
    </row>
    <row r="21" ht="20" customHeight="1">
      <c r="B21" s="44" t="n"/>
      <c r="D21" s="44" t="n"/>
      <c r="F21" s="44" t="n"/>
    </row>
    <row r="22" ht="18" customHeight="1">
      <c r="B22" s="45" t="n"/>
      <c r="D22" s="45" t="n"/>
      <c r="F22" s="45" t="n"/>
    </row>
    <row r="24" ht="26" customHeight="1">
      <c r="B24" s="43" t="n"/>
      <c r="D24" s="43" t="n"/>
      <c r="F24" s="43" t="n"/>
    </row>
    <row r="25" ht="20" customHeight="1">
      <c r="B25" s="44" t="n"/>
      <c r="D25" s="44" t="n"/>
      <c r="F25" s="44" t="n"/>
    </row>
    <row r="26" ht="18" customHeight="1">
      <c r="B26" s="45" t="n"/>
      <c r="D26" s="45" t="n"/>
      <c r="F26" s="45" t="n"/>
    </row>
    <row r="29" ht="27.25" customHeight="1">
      <c r="B29" s="53" t="inlineStr">
        <is>
          <t>Each label: first line the product, second line the unit price, third line the allergens (→ sheet "Allergen Chart").</t>
        </is>
      </c>
    </row>
    <row r="31">
      <c r="B31" s="7" t="inlineStr">
        <is>
          <t>— Pastry Shop Checklists Kit Pro · AI Chef Pro · aichef.pro</t>
        </is>
      </c>
    </row>
  </sheetData>
  <mergeCells count="3">
    <mergeCell ref="B2:F2"/>
    <mergeCell ref="B29:F29"/>
    <mergeCell ref="B1:F1"/>
  </mergeCells>
  <printOptions horizontalCentered="1"/>
  <pageMargins left="0.59" right="0.59" top="0.59" bottom="0.59" header="0.3" footer="0.3"/>
  <pageSetup orientation="portrait" paperSize="1" fitToHeight="1"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Bakery Allergen Chart (9 Major Allergens, UK 14): Matrix, Chart, Case Sign &amp; Labels</dc:title>
  <dc:description xmlns:dc="http://purl.org/dc/elements/1.1/">aichef.pro/en/digital-products/pastry-shop-checklist-templates</dc:description>
  <dc:subject xmlns:dc="http://purl.org/dc/elements/1.1/">Pastry Shop Checklists Kit Pro · v2.0</dc:subject>
  <dcterms:created xmlns:dcterms="http://purl.org/dc/terms/" xmlns:xsi="http://www.w3.org/2001/XMLSchema-instance" xsi:type="dcterms:W3CDTF">2026-08-21T00:00:00Z</dcterms:created>
  <dcterms:modified xmlns:dcterms="http://purl.org/dc/terms/" xmlns:xsi="http://www.w3.org/2001/XMLSchema-instance" xsi:type="dcterms:W3CDTF">2026-10-24T11:48:20Z</dcterms:modified>
  <cp:lastModifiedBy>AI Chef Pro</cp:lastModifiedBy>
  <cp:category>AI Chef Pro · Digital products</cp:category>
  <cp:keywords>pastry shop checklist, bakery opening checklist, bakery cleaning schedule, cake order form, bakery production schedule, bakery allergen chart, food temperature log, receiving log, AI Chef Pro</cp:keywords>
</cp:coreProperties>
</file>