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gistro de Comidas Testigo" sheetId="2" state="visible" r:id="rId2"/>
    <sheet xmlns:r="http://schemas.openxmlformats.org/officeDocument/2006/relationships" name="Producción y Ficha de Banquete" sheetId="3" state="visible" r:id="rId3"/>
  </sheets>
  <definedNames>
    <definedName name="_xlnm.Print_Titles" localSheetId="1">'Registro de Comidas Testigo'!$38:$38</definedName>
    <definedName name="_xlnm.Print_Titles" localSheetId="2">'Producción y Ficha de Banquete'!$12:$12</definedName>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000"/>
    <numFmt numFmtId="167" formatCode="0.0%"/>
    <numFmt numFmtId="168" formatCode="#,##0.0"/>
  </numFmts>
  <fonts count="8">
    <font>
      <name val="Calibri"/>
      <family val="2"/>
      <color theme="1"/>
      <sz val="11"/>
      <scheme val="minor"/>
    </font>
    <font>
      <b val="1"/>
      <color rgb="00FFD700"/>
      <sz val="16"/>
    </font>
    <font>
      <i val="1"/>
      <sz val="9"/>
    </font>
    <font>
      <b val="1"/>
      <color theme="1"/>
      <sz val="11"/>
    </font>
    <font>
      <b val="1"/>
      <sz val="12"/>
    </font>
    <font>
      <b val="1"/>
      <color rgb="00FFFFFF"/>
    </font>
    <font>
      <color theme="1"/>
      <sz val="11"/>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6" fillId="0" borderId="0" pivotButton="0" quotePrefix="0" xfId="0"/>
    <xf numFmtId="3" fontId="0" fillId="2" borderId="0" applyProtection="1" pivotButton="0" quotePrefix="0" xfId="0">
      <protection locked="0" hidden="0"/>
    </xf>
    <xf numFmtId="165" fontId="0" fillId="2" borderId="0" applyProtection="1" pivotButton="0" quotePrefix="0" xfId="0">
      <protection locked="0" hidden="0"/>
    </xf>
    <xf numFmtId="0" fontId="3" fillId="0" borderId="0" pivotButton="0" quotePrefix="0" xfId="0"/>
    <xf numFmtId="165" fontId="3" fillId="4" borderId="0" pivotButton="0" quotePrefix="0" xfId="0"/>
    <xf numFmtId="0" fontId="0" fillId="0" borderId="0" applyProtection="1" pivotButton="0" quotePrefix="0" xfId="0">
      <protection locked="0" hidden="0"/>
    </xf>
    <xf numFmtId="0" fontId="0" fillId="2" borderId="0" applyAlignment="1" applyProtection="1" pivotButton="0" quotePrefix="0" xfId="0">
      <alignment horizontal="center" vertical="top"/>
      <protection locked="0" hidden="0"/>
    </xf>
    <xf numFmtId="3" fontId="3" fillId="4" borderId="0" applyAlignment="1" pivotButton="0" quotePrefix="0" xfId="0">
      <alignment horizontal="center"/>
    </xf>
    <xf numFmtId="0" fontId="0" fillId="2" borderId="0" applyAlignment="1" applyProtection="1" pivotButton="0" quotePrefix="0" xfId="0">
      <alignment horizontal="general" vertical="top" wrapText="1"/>
      <protection locked="0" hidden="0"/>
    </xf>
    <xf numFmtId="165" fontId="0" fillId="0" borderId="0" pivotButton="0" quotePrefix="0" xfId="0"/>
    <xf numFmtId="3" fontId="0" fillId="0" borderId="0" applyAlignment="1" pivotButton="0" quotePrefix="0" xfId="0">
      <alignment horizontal="center"/>
    </xf>
    <xf numFmtId="3" fontId="3" fillId="4" borderId="0" pivotButton="0" quotePrefix="0" xfId="0"/>
    <xf numFmtId="0" fontId="3" fillId="4" borderId="0" pivotButton="0" quotePrefix="0" xfId="0"/>
    <xf numFmtId="166" fontId="0" fillId="2" borderId="0" applyProtection="1" pivotButton="0" quotePrefix="0" xfId="0">
      <protection locked="0" hidden="0"/>
    </xf>
    <xf numFmtId="0" fontId="7" fillId="5" borderId="0" pivotButton="0" quotePrefix="0" xfId="0"/>
    <xf numFmtId="166" fontId="7" fillId="5" borderId="0" pivotButton="0" quotePrefix="0" xfId="0"/>
    <xf numFmtId="3" fontId="7" fillId="5" borderId="0" pivotButton="0" quotePrefix="0" xfId="0"/>
    <xf numFmtId="167" fontId="0" fillId="0" borderId="0" pivotButton="0" quotePrefix="0" xfId="0"/>
    <xf numFmtId="167" fontId="7" fillId="5" borderId="0" pivotButton="0" quotePrefix="0" xfId="0"/>
    <xf numFmtId="168" fontId="0" fillId="2" borderId="0" applyProtection="1" pivotButton="0" quotePrefix="0" xfId="0">
      <protection locked="0" hidden="0"/>
    </xf>
    <xf numFmtId="168" fontId="7" fillId="5" borderId="0" pivotButton="0" quotePrefix="0" xfId="0"/>
    <xf numFmtId="166" fontId="3" fillId="4"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0" customWidth="1" min="1" max="1"/>
  </cols>
  <sheetData>
    <row r="1" ht="30" customHeight="1">
      <c r="A1" s="1" t="inlineStr">
        <is>
          <t>Banquetes y comidas testigo</t>
        </is>
      </c>
    </row>
    <row r="2">
      <c r="A2" t="inlineStr">
        <is>
          <t>AI Chef Pro · aichef.pro — Manual del Chef Ejecutivo</t>
        </is>
      </c>
    </row>
    <row r="3">
      <c r="A3" s="2" t="inlineStr">
        <is>
          <t>Para qué sirve: saber si este encargo te obliga a guardar comidas testigo, y producir el evento sin calcular nada a ojo.</t>
        </is>
      </c>
    </row>
    <row r="4"/>
    <row r="5">
      <c r="A5" s="3" t="inlineStr">
        <is>
          <t>Instrucciones de uso</t>
        </is>
      </c>
    </row>
    <row r="6" ht="48" customHeight="1">
      <c r="A6" s="4" t="inlineStr">
        <is>
          <t>1. Hoja «Registro de Comidas Testigo», bloque de arriba: los cinco parámetros legales vienen puestos (más de 40 comensales, 100 gramos, 7 días, 4 °C en refrigeración y -18 °C en congelación) con la norma y el enlace al lado. Son celdas verdes por si tu comunidad autónoma te exige más, nunca menos.</t>
        </is>
      </c>
    </row>
    <row r="7" ht="48" customHeight="1">
      <c r="A7" s="4" t="inlineStr">
        <is>
          <t>2. Bloque «El evento»: escribe el id, la fecha, los comensales, la hora de servicio, quién toma las muestras y dónde se guardan. La casilla «Obligación de comida testigo» se enciende sola.</t>
        </is>
      </c>
    </row>
    <row r="8" ht="48" customHeight="1">
      <c r="A8" s="4" t="inlineStr">
        <is>
          <t>3. Bloque «Supuestos»: la obligación NO va solo por el número de comensales. Marca Sí en los supuestos que se te apliquen (residencias, hospitales, comedores escolares, comedores colectivos con menú común, medios de transporte y eventos cuando esa sea tu actividad principal). Con uno solo marcado, la alerta ya se enciende.</t>
        </is>
      </c>
    </row>
    <row r="9" ht="48" customHeight="1">
      <c r="A9" s="4" t="inlineStr">
        <is>
          <t>4. Tabla «Muestras tomadas»: una fila por elaboración servida, con su lote, la fecha y la hora de recogida, los gramos, dónde se guarda y a qué temperatura. El libro calcula la fecha de destrucción, los días que faltan, si los gramos llegan al mínimo y si la temperatura es la que toca.</t>
        </is>
      </c>
    </row>
    <row r="10" ht="48" customHeight="1">
      <c r="A10" s="4" t="inlineStr">
        <is>
          <t>5. La columna «Estado» es la cuenta atrás: mientras queden días dice NO DESTRUIR; el último día lo avisa; después dice que ya se puede tirar. Son días naturales, no laborables.</t>
        </is>
      </c>
    </row>
    <row r="11" ht="48" customHeight="1">
      <c r="A11" s="4" t="inlineStr">
        <is>
          <t>6. La celda verde «Fecha para simular» sirve para ver la cuenta atrás en cualquier día. En el ejemplo trae la fecha del banquete más tres días; bórrala y el libro usará la de hoy.</t>
        </is>
      </c>
    </row>
    <row r="12" ht="48" customHeight="1">
      <c r="A12" s="4" t="inlineStr">
        <is>
          <t>7. Hoja «Producción y Ficha de Banquete»: el evento se lee solo de la hoja anterior. Escribe el menú, cuántas raciones sirve cada plato POR COMENSAL y cuántas raciones salen de cada unidad de producción (una olla, una placa, una bandeja).</t>
        </is>
      </c>
    </row>
    <row r="13" ht="48" customHeight="1">
      <c r="A13" s="4" t="inlineStr">
        <is>
          <t>8. Las raciones a producir y las unidades de producción se calculan solas. Si el comercial cambia los comensales de 120 a 140, cambia UNA celda y toda la producción se recalcula: eso es lo que evita el pedido a ojo la víspera.</t>
        </is>
      </c>
    </row>
    <row r="14" ht="48" customHeight="1">
      <c r="A14" s="4" t="inlineStr">
        <is>
          <t>9. El bloque «Producción por partida» reparte esas raciones entre las partidas de tu cocina, que es como se manda el trabajo. Debajo tienes el timing hora a hora y el personal asignado, con las horas totales y las horas por comensal.</t>
        </is>
      </c>
    </row>
    <row r="15" ht="48" customHeight="1">
      <c r="A15" s="4" t="inlineStr">
        <is>
          <t>10. Cadencia: SÓLO SI HACES EVENTOS. No es una hoja de uso diario ni semanal: se abre cada vez que aceptas un encargo de más de 40 personas o de uno de los supuestos del art. 30.8.</t>
        </is>
      </c>
    </row>
    <row r="16"/>
    <row r="17">
      <c r="A17" s="5" t="inlineStr">
        <is>
          <t>Celdas verdes = campos editables</t>
        </is>
      </c>
    </row>
    <row r="18"/>
    <row r="19">
      <c r="A19" s="3" t="inlineStr">
        <is>
          <t>Lo que conviene saber antes de empezar</t>
        </is>
      </c>
    </row>
    <row r="20" ht="62" customHeight="1">
      <c r="A20" s="4" t="inlineStr">
        <is>
          <t>LA OBLIGACIÓN DE GUARDAR COMIDAS TESTIGO ES LA GRAN DESCONOCIDA. No es una recomendación de buenas prácticas: está en el artículo 30 del Real Decreto 1086/2020, y cualquier encargo para un grupo de más de 40 personas la dispara, lo haga un restaurante, un catering o un hotel. Verificado el 06-09-2026 · RD 1086/2020, art. 30, apartados 8, 9 y 10 · https://www.boe.es/buscar/act.php?id=BOE-A-2020-15872</t>
        </is>
      </c>
    </row>
    <row r="21" ht="62" customHeight="1">
      <c r="A21" s="4" t="inlineStr">
        <is>
          <t>Qué hay que guardar: una ración de cada elaboración servida, de 100 gramos como mínimo, identificada y fechada, durante al menos siete días, en refrigeración a 4 °C o congelada a -18 °C. Si hay un brote, esa muestra es lo único que puede demostrar que el plato salió bien de tu cocina.</t>
        </is>
      </c>
    </row>
    <row r="22" ht="62" customHeight="1">
      <c r="A22" s="4" t="inlineStr">
        <is>
          <t>Los supuestos por tipo de servicio son independientes del número de comensales: residencias, hospitales y comedores escolares, comedores colectivos con menú común, medios de transporte, y los eventos cuando esa sea la actividad principal del establecimiento. Un comedor de empresa con menú común obliga aunque sirva a treinta personas.</t>
        </is>
      </c>
    </row>
    <row r="23" ht="62" customHeight="1">
      <c r="A23" s="4" t="inlineStr">
        <is>
          <t>Al congelar una elaboración propia hay que poner TRES fechas: la de elaboración, la de congelación y la de caducidad o consumo preferente del producto ya congelado. Verificado el 06-09-2026 · RD 1021/2022, art. 5 · https://www.boe.es/buscar/act.php?id=BOE-A-2022-21681</t>
        </is>
      </c>
    </row>
    <row r="24" ht="62" customHeight="1">
      <c r="A24" s="4" t="inlineStr">
        <is>
          <t>Este libro NO lleva hojas de desperdicio. Qué se hace con el excedente de un banquete (la jerarquía de prioridades, la donación y el envase para que el cliente se lleve lo que no se ha comido) está resuelto en una página del capítulo 16 del manual, y en profundidad en el «Manual del Manager de Restaurante».</t>
        </is>
      </c>
    </row>
    <row r="25" ht="62" customHeight="1">
      <c r="A25" s="4" t="inlineStr">
        <is>
          <t>Las raciones se calculan POR COMENSAL, no en absoluto. Es la única forma de que el libro sirva cuando el número de comensales cambia la víspera, que es lo que pasa siempre.</t>
        </is>
      </c>
    </row>
    <row r="26"/>
    <row r="27">
      <c r="A27" t="inlineStr">
        <is>
          <t>Para editar la estructura o una celda que no este en verde, desprotege la hoja (sin contraseña).</t>
        </is>
      </c>
    </row>
    <row r="28">
      <c r="A28" t="inlineStr">
        <is>
          <t>Ruta en Excel: Revisar &gt; Desproteger hoja. La protección no tiene contraseña; sirve para no pisar una fórmula sin querer.</t>
        </is>
      </c>
    </row>
    <row r="29"/>
    <row r="30">
      <c r="A30" t="inlineStr">
        <is>
          <t>Diseñado por John Guerrero — chef y consultor gastronómico desde 2010 · johnguerrero.es</t>
        </is>
      </c>
    </row>
    <row r="31">
      <c r="A31"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79"/>
  <sheetViews>
    <sheetView workbookViewId="0">
      <pane xSplit="2" ySplit="38" topLeftCell="C39"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46" customWidth="1" min="3" max="3"/>
    <col width="18" customWidth="1" min="4" max="4"/>
    <col width="16" customWidth="1" min="5" max="5"/>
    <col width="9" customWidth="1" min="6" max="6"/>
    <col width="10" customWidth="1" min="7" max="7"/>
    <col width="30" customWidth="1" min="8" max="8"/>
    <col width="15" customWidth="1" min="9" max="9"/>
    <col width="16" customWidth="1" min="10" max="10"/>
    <col width="18" customWidth="1" min="11" max="11"/>
    <col width="14" customWidth="1" min="12" max="12"/>
    <col width="30" customWidth="1" min="13" max="13"/>
    <col width="20" customWidth="1" min="14" max="14"/>
    <col width="22" customWidth="1" min="15" max="15"/>
    <col width="14" customWidth="1" min="16" max="16"/>
    <col width="22" customWidth="1" min="17" max="17"/>
    <col width="46" customWidth="1" min="18" max="18"/>
  </cols>
  <sheetData>
    <row r="1" ht="30" customHeight="1">
      <c r="A1" s="1" t="inlineStr">
        <is>
          <t>Registro de comidas testigo</t>
        </is>
      </c>
    </row>
    <row r="2">
      <c r="A2" t="inlineStr">
        <is>
          <t>AI Chef Pro · aichef.pro — Manual del Chef Ejecutivo</t>
        </is>
      </c>
    </row>
    <row r="3">
      <c r="A3" s="2" t="inlineStr">
        <is>
          <t>Si el encargo obliga, se decide arriba. Lo que hay que guardar, cuánto y hasta cuándo, se calcula abajo.</t>
        </is>
      </c>
    </row>
    <row r="4"/>
    <row r="5">
      <c r="A5" s="3" t="inlineStr">
        <is>
          <t>PARÁMETROS LEGALES DE LAS COMIDAS TESTIGO (celdas verdes)</t>
        </is>
      </c>
    </row>
    <row r="6" ht="32" customHeight="1">
      <c r="A6" s="6" t="inlineStr">
        <is>
          <t>Parámetro</t>
        </is>
      </c>
      <c r="D6" s="6" t="inlineStr">
        <is>
          <t>Valor</t>
        </is>
      </c>
      <c r="E6" s="6" t="inlineStr">
        <is>
          <t>Base legal, verificada el 06-09-2026</t>
        </is>
      </c>
    </row>
    <row r="7" ht="30" customHeight="1">
      <c r="A7" s="7" t="inlineStr">
        <is>
          <t>Comensales a partir de los que obliga (más de)</t>
        </is>
      </c>
      <c r="D7" s="8" t="n">
        <v>40</v>
      </c>
      <c r="E7" s="4" t="inlineStr">
        <is>
          <t>Verificado el 06-09-2026 · RD 1086/2020, art. 30, apartados 8, 9 y 10 · https://www.boe.es/buscar/act.php?id=BOE-A-2020-15872</t>
        </is>
      </c>
    </row>
    <row r="8" ht="30" customHeight="1">
      <c r="A8" s="7" t="inlineStr">
        <is>
          <t>Gramos mínimos por elaboración guardada</t>
        </is>
      </c>
      <c r="D8" s="8" t="n">
        <v>100</v>
      </c>
      <c r="E8" s="4" t="inlineStr">
        <is>
          <t>Verificado el 06-09-2026 · RD 1086/2020, art. 30, apartados 8, 9 y 10 · https://www.boe.es/buscar/act.php?id=BOE-A-2020-15872</t>
        </is>
      </c>
    </row>
    <row r="9" ht="30" customHeight="1">
      <c r="A9" s="7" t="inlineStr">
        <is>
          <t>Días de conservación de la muestra (mínimo)</t>
        </is>
      </c>
      <c r="D9" s="8" t="n">
        <v>7</v>
      </c>
      <c r="E9" s="4" t="inlineStr">
        <is>
          <t>Verificado el 06-09-2026 · RD 1086/2020, art. 30, apartados 8, 9 y 10 · https://www.boe.es/buscar/act.php?id=BOE-A-2020-15872</t>
        </is>
      </c>
    </row>
    <row r="10" ht="30" customHeight="1">
      <c r="A10" s="7" t="inlineStr">
        <is>
          <t>Temperatura máxima en refrigeración (°C)</t>
        </is>
      </c>
      <c r="D10" s="8" t="n">
        <v>4</v>
      </c>
      <c r="E10" s="4" t="inlineStr">
        <is>
          <t>Verificado el 06-09-2026 · RD 1086/2020, art. 30, apartados 8, 9 y 10 · https://www.boe.es/buscar/act.php?id=BOE-A-2020-15872</t>
        </is>
      </c>
    </row>
    <row r="11" ht="30" customHeight="1">
      <c r="A11" s="7" t="inlineStr">
        <is>
          <t>Temperatura máxima en congelación (°C)</t>
        </is>
      </c>
      <c r="D11" s="8" t="n">
        <v>-18</v>
      </c>
      <c r="E11" s="4" t="inlineStr">
        <is>
          <t>Verificado el 06-09-2026 · RD 1086/2020, art. 30, apartados 8, 9 y 10 · https://www.boe.es/buscar/act.php?id=BOE-A-2020-15872</t>
        </is>
      </c>
    </row>
    <row r="12">
      <c r="A12" s="7" t="inlineStr">
        <is>
          <t>Fecha para simular (déjala vacía y se usa la de hoy)</t>
        </is>
      </c>
      <c r="D12" s="9" t="n">
        <v>46287</v>
      </c>
      <c r="E12" t="inlineStr">
        <is>
          <t>En el ejemplo trae la fecha del banquete más tres días, para que se vea la cuenta atrás. Bórrala y el libro usará la de hoy.</t>
        </is>
      </c>
    </row>
    <row r="13">
      <c r="A13" s="10" t="inlineStr">
        <is>
          <t>Hoy (fecha de referencia de la cuenta atrás)</t>
        </is>
      </c>
      <c r="D13" s="11">
        <f>IFERROR(IF($D$12="",TODAY(),$D$12),"")</f>
        <v>46287.0</v>
      </c>
    </row>
    <row r="14"/>
    <row r="15"/>
    <row r="16"/>
    <row r="17">
      <c r="A17" s="3" t="inlineStr">
        <is>
          <t>EL EVENTO</t>
        </is>
      </c>
    </row>
    <row r="18" ht="20" customHeight="1">
      <c r="A18" s="6" t="inlineStr">
        <is>
          <t>Campo</t>
        </is>
      </c>
      <c r="D18" s="6" t="inlineStr">
        <is>
          <t>Valor</t>
        </is>
      </c>
    </row>
    <row r="19">
      <c r="A19" s="7" t="inlineStr">
        <is>
          <t>Id del evento</t>
        </is>
      </c>
      <c r="D19" s="5" t="inlineStr">
        <is>
          <t>EV-2026-014</t>
        </is>
      </c>
    </row>
    <row r="20">
      <c r="A20" s="7" t="inlineStr">
        <is>
          <t>Nombre del evento</t>
        </is>
      </c>
      <c r="D20" s="5" t="inlineStr">
        <is>
          <t>Banquete de boda</t>
        </is>
      </c>
      <c r="E20" s="12" t="n"/>
      <c r="F20" s="12" t="n"/>
      <c r="G20" s="12" t="n"/>
      <c r="H20" s="12" t="n"/>
    </row>
    <row r="21">
      <c r="A21" s="7" t="inlineStr">
        <is>
          <t>Fecha del evento</t>
        </is>
      </c>
      <c r="D21" s="9" t="n">
        <v>46284</v>
      </c>
    </row>
    <row r="22">
      <c r="A22" s="7" t="inlineStr">
        <is>
          <t>Comensales</t>
        </is>
      </c>
      <c r="D22" s="8" t="n">
        <v>120</v>
      </c>
    </row>
    <row r="23">
      <c r="A23" s="7" t="inlineStr">
        <is>
          <t>Hora de servicio</t>
        </is>
      </c>
      <c r="D23" s="5" t="inlineStr">
        <is>
          <t>14:30</t>
        </is>
      </c>
    </row>
    <row r="24">
      <c r="A24" s="7" t="inlineStr">
        <is>
          <t>Responsable de tomar las muestras</t>
        </is>
      </c>
      <c r="D24" s="5" t="inlineStr">
        <is>
          <t>P02</t>
        </is>
      </c>
    </row>
    <row r="25">
      <c r="A25" s="7" t="inlineStr">
        <is>
          <t>Dónde se guardan las muestras</t>
        </is>
      </c>
      <c r="D25" s="5" t="inlineStr">
        <is>
          <t>Cámara 3 (postres), balda superior, caja rotulada COMIDAS TESTIGO</t>
        </is>
      </c>
      <c r="E25" s="12" t="n"/>
      <c r="F25" s="12" t="n"/>
      <c r="G25" s="12" t="n"/>
      <c r="H25" s="12" t="n"/>
    </row>
    <row r="26" ht="26" customHeight="1">
      <c r="A26" s="10" t="inlineStr">
        <is>
          <t>OBLIGACIÓN DE COMIDA TESTIGO</t>
        </is>
      </c>
      <c r="D26" s="10" t="str">
        <f>IF(OR(AND(ISNUMBER($D$22),ISNUMBER($D$7),$D$22&gt;$D$7),AND(ISNUMBER($D$35),$D$35&gt;0)),"COMIDA TESTIGO OBLIGATORIA","Por número de comensales no es obligatoria: revisa igualmente los supuestos de la tabla de abajo")</f>
        <v>COMIDA TESTIGO OBLIGATORIA</v>
      </c>
    </row>
    <row r="27" ht="30" customHeight="1">
      <c r="A27" s="7" t="inlineStr">
        <is>
          <t>¿Elaboración y servicio en establecimientos distintos?</t>
        </is>
      </c>
      <c r="D27" s="5" t="inlineStr">
        <is>
          <t>No</t>
        </is>
      </c>
      <c r="E27" s="4" t="inlineStr">
        <is>
          <t>Si es «Sí» (catering: se elabora en un obrador y se sirve en otro sitio), el art. 30.9 exige DOS tomas por elaboración: una a la salida del obrador y otra en el servicio. Verificado el 06-09-2026 · RD 1086/2020, art. 30, apartados 8, 9 y 10 · https://www.boe.es/buscar/act.php?id=BOE-A-2020-15872</t>
        </is>
      </c>
    </row>
    <row r="28">
      <c r="A28" s="3" t="inlineStr">
        <is>
          <t>SUPUESTOS DEL ARTÍCULO 30.8 — obligan por TIPO DE SERVICIO, sin mirar el número de comensales</t>
        </is>
      </c>
    </row>
    <row r="29" ht="20" customHeight="1">
      <c r="A29" s="6" t="inlineStr">
        <is>
          <t>Supuesto</t>
        </is>
      </c>
      <c r="D29" s="6" t="inlineStr">
        <is>
          <t>¿Te aplica?</t>
        </is>
      </c>
    </row>
    <row r="30">
      <c r="A30" s="7" t="inlineStr">
        <is>
          <t>Residencias, hospitales y comedores escolares</t>
        </is>
      </c>
      <c r="D30" s="13" t="inlineStr">
        <is>
          <t>No</t>
        </is>
      </c>
    </row>
    <row r="31">
      <c r="A31" s="7" t="inlineStr">
        <is>
          <t>Comedores colectivos con menú común</t>
        </is>
      </c>
      <c r="D31" s="13" t="inlineStr">
        <is>
          <t>No</t>
        </is>
      </c>
    </row>
    <row r="32">
      <c r="A32" s="7" t="inlineStr">
        <is>
          <t>Medios de transporte</t>
        </is>
      </c>
      <c r="D32" s="13" t="inlineStr">
        <is>
          <t>No</t>
        </is>
      </c>
    </row>
    <row r="33">
      <c r="A33" s="7" t="inlineStr">
        <is>
          <t>Eventos cuando esa sea la actividad principal</t>
        </is>
      </c>
      <c r="D33" s="13" t="inlineStr">
        <is>
          <t>No</t>
        </is>
      </c>
    </row>
    <row r="34">
      <c r="A34" s="7" t="inlineStr">
        <is>
          <t>Cualquier encargo, de quien sea, para grupos o eventos de más de 40 personas</t>
        </is>
      </c>
      <c r="D34" s="13" t="inlineStr">
        <is>
          <t>Sí</t>
        </is>
      </c>
    </row>
    <row r="35" ht="30" customHeight="1">
      <c r="A35" s="10" t="inlineStr">
        <is>
          <t>Supuestos marcados</t>
        </is>
      </c>
      <c r="D35" s="14">
        <f>COUNTIF($D$30:$D$34,"Sí")</f>
        <v>1.0</v>
      </c>
      <c r="E35" s="4" t="inlineStr">
        <is>
          <t>Verificado el 06-09-2026 · RD 1086/2020, art. 30, apartados 8, 9 y 10 · https://www.boe.es/buscar/act.php?id=BOE-A-2020-15872</t>
        </is>
      </c>
    </row>
    <row r="36"/>
    <row r="37">
      <c r="A37" s="3" t="inlineStr">
        <is>
          <t>MUESTRAS TOMADAS</t>
        </is>
      </c>
    </row>
    <row r="38" ht="52" customHeight="1">
      <c r="A38" s="6" t="inlineStr">
        <is>
          <t>Id de muestra</t>
        </is>
      </c>
      <c r="B38" s="6" t="inlineStr">
        <is>
          <t>Id del plato</t>
        </is>
      </c>
      <c r="C38" s="6" t="inlineStr">
        <is>
          <t>Elaboración</t>
        </is>
      </c>
      <c r="D38" s="6" t="inlineStr">
        <is>
          <t>Lote</t>
        </is>
      </c>
      <c r="E38" s="6" t="inlineStr">
        <is>
          <t>Fecha de recogida</t>
        </is>
      </c>
      <c r="F38" s="6" t="inlineStr">
        <is>
          <t>Hora</t>
        </is>
      </c>
      <c r="G38" s="6" t="inlineStr">
        <is>
          <t>Gramos</t>
        </is>
      </c>
      <c r="H38" s="6" t="inlineStr">
        <is>
          <t>Ubicación</t>
        </is>
      </c>
      <c r="I38" s="6" t="inlineStr">
        <is>
          <t>Temperatura (°C)</t>
        </is>
      </c>
      <c r="J38" s="6" t="inlineStr">
        <is>
          <t>Conservación</t>
        </is>
      </c>
      <c r="K38" s="6" t="inlineStr">
        <is>
          <t>Fecha de destrucción prevista</t>
        </is>
      </c>
      <c r="L38" s="6" t="inlineStr">
        <is>
          <t>Días que faltan</t>
        </is>
      </c>
      <c r="M38" s="6" t="inlineStr">
        <is>
          <t>Estado</t>
        </is>
      </c>
      <c r="N38" s="6" t="inlineStr">
        <is>
          <t>Gramos suficientes</t>
        </is>
      </c>
      <c r="O38" s="6" t="inlineStr">
        <is>
          <t>Temperatura conforme</t>
        </is>
      </c>
      <c r="P38" s="6" t="inlineStr">
        <is>
          <t>Responsable</t>
        </is>
      </c>
      <c r="Q38" s="6" t="inlineStr">
        <is>
          <t>Momento de la toma (art. 30.9)</t>
        </is>
      </c>
      <c r="R38" s="6" t="inlineStr">
        <is>
          <t>Aviso</t>
        </is>
      </c>
    </row>
    <row r="39" ht="28" customHeight="1">
      <c r="A39" s="5" t="inlineStr">
        <is>
          <t>CT-2026-014-1</t>
        </is>
      </c>
      <c r="B39" s="5" t="inlineStr">
        <is>
          <t>E1</t>
        </is>
      </c>
      <c r="C39" s="15" t="inlineStr">
        <is>
          <t>Croquetas de jamón ibérico</t>
        </is>
      </c>
      <c r="D39" s="5" t="inlineStr">
        <is>
          <t>L260918-CRO</t>
        </is>
      </c>
      <c r="E39" s="9" t="n">
        <v>46284</v>
      </c>
      <c r="F39" s="13" t="inlineStr">
        <is>
          <t>14:20</t>
        </is>
      </c>
      <c r="G39" s="8" t="n">
        <v>120</v>
      </c>
      <c r="H39" s="5" t="inlineStr">
        <is>
          <t>Cámara 3, balda superior</t>
        </is>
      </c>
      <c r="I39" s="8" t="n">
        <v>4</v>
      </c>
      <c r="J39" s="5" t="inlineStr">
        <is>
          <t>Refrigeración</t>
        </is>
      </c>
      <c r="K39" s="16">
        <f>IFERROR(IF(OR(NOT(ISNUMBER($E39)),NOT(ISNUMBER($D$9))),"",$E39+$D$9),"")</f>
        <v>46291.0</v>
      </c>
      <c r="L39" s="17">
        <f>IFERROR(IF(OR(NOT(ISNUMBER($K39)),NOT(ISNUMBER($D$13))),"",$K39-$D$13),"")</f>
        <v>4.0</v>
      </c>
      <c r="M39" t="str">
        <f>IF(NOT(ISNUMBER($L39)),"",IF($L39&gt;0,"En conservación: NO destruir",IF($L39=0,"Último día de conservación","Ya se puede destruir")))</f>
        <v>En conservación: NO destruir</v>
      </c>
      <c r="N39" t="str">
        <f>IF(OR(NOT(ISNUMBER($G39)),NOT(ISNUMBER($D$8))),"",IF($G39&gt;=$D$8,"Sí","NO: por debajo del mínimo"))</f>
        <v>Sí</v>
      </c>
      <c r="O39" t="str">
        <f>IF(OR($J39="",NOT(ISNUMBER($I39))),"",IF($J39=$A$72,IF($I39&lt;=$D$10,"Sí","NO: por encima del máximo"),IF($J39=$A$73,IF($I39&lt;=$D$11,"Sí","NO: por encima del máximo"),"")))</f>
        <v>Sí</v>
      </c>
      <c r="P39" s="5" t="inlineStr">
        <is>
          <t>P02</t>
        </is>
      </c>
      <c r="Q39" s="5" t="inlineStr">
        <is>
          <t>Toma única</t>
        </is>
      </c>
      <c r="R39">
        <f>IF(OR($Q39="",$D$27=""),"",IF(AND($D$27="Sí",$Q39=$A$78),"Revisar: art. 30.9 exige DOS tomas (salida del obrador y servicio) cuando elaboras y sirves en establecimientos distintos",""))</f>
        <v/>
      </c>
    </row>
    <row r="40" ht="28" customHeight="1">
      <c r="A40" s="5" t="inlineStr">
        <is>
          <t>CT-2026-014-2</t>
        </is>
      </c>
      <c r="B40" s="5" t="inlineStr">
        <is>
          <t>E2</t>
        </is>
      </c>
      <c r="C40" s="15" t="inlineStr">
        <is>
          <t>Ensalada de tomate rosa, ventresca y cebolleta</t>
        </is>
      </c>
      <c r="D40" s="5" t="inlineStr">
        <is>
          <t>L260919-TOM</t>
        </is>
      </c>
      <c r="E40" s="9" t="n">
        <v>46284</v>
      </c>
      <c r="F40" s="13" t="inlineStr">
        <is>
          <t>14:20</t>
        </is>
      </c>
      <c r="G40" s="8" t="n">
        <v>110</v>
      </c>
      <c r="H40" s="5" t="inlineStr">
        <is>
          <t>Cámara 3, balda superior</t>
        </is>
      </c>
      <c r="I40" s="8" t="n">
        <v>4</v>
      </c>
      <c r="J40" s="5" t="inlineStr">
        <is>
          <t>Refrigeración</t>
        </is>
      </c>
      <c r="K40" s="16">
        <f>IFERROR(IF(OR(NOT(ISNUMBER($E40)),NOT(ISNUMBER($D$9))),"",$E40+$D$9),"")</f>
        <v>46291.0</v>
      </c>
      <c r="L40" s="17">
        <f>IFERROR(IF(OR(NOT(ISNUMBER($K40)),NOT(ISNUMBER($D$13))),"",$K40-$D$13),"")</f>
        <v>4.0</v>
      </c>
      <c r="M40" t="str">
        <f>IF(NOT(ISNUMBER($L40)),"",IF($L40&gt;0,"En conservación: NO destruir",IF($L40=0,"Último día de conservación","Ya se puede destruir")))</f>
        <v>En conservación: NO destruir</v>
      </c>
      <c r="N40" t="str">
        <f>IF(OR(NOT(ISNUMBER($G40)),NOT(ISNUMBER($D$8))),"",IF($G40&gt;=$D$8,"Sí","NO: por debajo del mínimo"))</f>
        <v>Sí</v>
      </c>
      <c r="O40" t="str">
        <f>IF(OR($J40="",NOT(ISNUMBER($I40))),"",IF($J40=$A$72,IF($I40&lt;=$D$10,"Sí","NO: por encima del máximo"),IF($J40=$A$73,IF($I40&lt;=$D$11,"Sí","NO: por encima del máximo"),"")))</f>
        <v>Sí</v>
      </c>
      <c r="P40" s="5" t="inlineStr">
        <is>
          <t>P02</t>
        </is>
      </c>
      <c r="Q40" s="5" t="inlineStr">
        <is>
          <t>Toma única</t>
        </is>
      </c>
      <c r="R40">
        <f>IF(OR($Q40="",$D$27=""),"",IF(AND($D$27="Sí",$Q40=$A$78),"Revisar: art. 30.9 exige DOS tomas (salida del obrador y servicio) cuando elaboras y sirves en establecimientos distintos",""))</f>
        <v/>
      </c>
    </row>
    <row r="41" ht="28" customHeight="1">
      <c r="A41" s="5" t="inlineStr">
        <is>
          <t>CT-2026-014-3</t>
        </is>
      </c>
      <c r="B41" s="5" t="inlineStr">
        <is>
          <t>E6</t>
        </is>
      </c>
      <c r="C41" s="15" t="inlineStr">
        <is>
          <t>Alcachofas confitadas con jamón</t>
        </is>
      </c>
      <c r="D41" s="5" t="inlineStr">
        <is>
          <t>L260918-ALC</t>
        </is>
      </c>
      <c r="E41" s="9" t="n">
        <v>46284</v>
      </c>
      <c r="F41" s="13" t="inlineStr">
        <is>
          <t>14:25</t>
        </is>
      </c>
      <c r="G41" s="8" t="n">
        <v>105</v>
      </c>
      <c r="H41" s="5" t="inlineStr">
        <is>
          <t>Cámara 3, balda superior</t>
        </is>
      </c>
      <c r="I41" s="8" t="n">
        <v>4</v>
      </c>
      <c r="J41" s="5" t="inlineStr">
        <is>
          <t>Refrigeración</t>
        </is>
      </c>
      <c r="K41" s="16">
        <f>IFERROR(IF(OR(NOT(ISNUMBER($E41)),NOT(ISNUMBER($D$9))),"",$E41+$D$9),"")</f>
        <v>46291.0</v>
      </c>
      <c r="L41" s="17">
        <f>IFERROR(IF(OR(NOT(ISNUMBER($K41)),NOT(ISNUMBER($D$13))),"",$K41-$D$13),"")</f>
        <v>4.0</v>
      </c>
      <c r="M41" t="str">
        <f>IF(NOT(ISNUMBER($L41)),"",IF($L41&gt;0,"En conservación: NO destruir",IF($L41=0,"Último día de conservación","Ya se puede destruir")))</f>
        <v>En conservación: NO destruir</v>
      </c>
      <c r="N41" t="str">
        <f>IF(OR(NOT(ISNUMBER($G41)),NOT(ISNUMBER($D$8))),"",IF($G41&gt;=$D$8,"Sí","NO: por debajo del mínimo"))</f>
        <v>Sí</v>
      </c>
      <c r="O41" t="str">
        <f>IF(OR($J41="",NOT(ISNUMBER($I41))),"",IF($J41=$A$72,IF($I41&lt;=$D$10,"Sí","NO: por encima del máximo"),IF($J41=$A$73,IF($I41&lt;=$D$11,"Sí","NO: por encima del máximo"),"")))</f>
        <v>Sí</v>
      </c>
      <c r="P41" s="5" t="inlineStr">
        <is>
          <t>P05</t>
        </is>
      </c>
      <c r="Q41" s="5" t="inlineStr">
        <is>
          <t>Toma única</t>
        </is>
      </c>
      <c r="R41">
        <f>IF(OR($Q41="",$D$27=""),"",IF(AND($D$27="Sí",$Q41=$A$78),"Revisar: art. 30.9 exige DOS tomas (salida del obrador y servicio) cuando elaboras y sirves en establecimientos distintos",""))</f>
        <v/>
      </c>
    </row>
    <row r="42" ht="28" customHeight="1">
      <c r="A42" s="5" t="inlineStr">
        <is>
          <t>CT-2026-014-4</t>
        </is>
      </c>
      <c r="B42" s="5" t="inlineStr">
        <is>
          <t>P1</t>
        </is>
      </c>
      <c r="C42" s="15" t="inlineStr">
        <is>
          <t>Solomillo de cerdo ibérico con puré de boniato</t>
        </is>
      </c>
      <c r="D42" s="5" t="inlineStr">
        <is>
          <t>L260919-SOL</t>
        </is>
      </c>
      <c r="E42" s="9" t="n">
        <v>46284</v>
      </c>
      <c r="F42" s="13" t="inlineStr">
        <is>
          <t>15:10</t>
        </is>
      </c>
      <c r="G42" s="8" t="n">
        <v>130</v>
      </c>
      <c r="H42" s="5" t="inlineStr">
        <is>
          <t>Cámara 3, balda superior</t>
        </is>
      </c>
      <c r="I42" s="8" t="n">
        <v>4</v>
      </c>
      <c r="J42" s="5" t="inlineStr">
        <is>
          <t>Refrigeración</t>
        </is>
      </c>
      <c r="K42" s="16">
        <f>IFERROR(IF(OR(NOT(ISNUMBER($E42)),NOT(ISNUMBER($D$9))),"",$E42+$D$9),"")</f>
        <v>46291.0</v>
      </c>
      <c r="L42" s="17">
        <f>IFERROR(IF(OR(NOT(ISNUMBER($K42)),NOT(ISNUMBER($D$13))),"",$K42-$D$13),"")</f>
        <v>4.0</v>
      </c>
      <c r="M42" t="str">
        <f>IF(NOT(ISNUMBER($L42)),"",IF($L42&gt;0,"En conservación: NO destruir",IF($L42=0,"Último día de conservación","Ya se puede destruir")))</f>
        <v>En conservación: NO destruir</v>
      </c>
      <c r="N42" t="str">
        <f>IF(OR(NOT(ISNUMBER($G42)),NOT(ISNUMBER($D$8))),"",IF($G42&gt;=$D$8,"Sí","NO: por debajo del mínimo"))</f>
        <v>Sí</v>
      </c>
      <c r="O42" t="str">
        <f>IF(OR($J42="",NOT(ISNUMBER($I42))),"",IF($J42=$A$72,IF($I42&lt;=$D$10,"Sí","NO: por encima del máximo"),IF($J42=$A$73,IF($I42&lt;=$D$11,"Sí","NO: por encima del máximo"),"")))</f>
        <v>Sí</v>
      </c>
      <c r="P42" s="5" t="inlineStr">
        <is>
          <t>P04</t>
        </is>
      </c>
      <c r="Q42" s="5" t="inlineStr">
        <is>
          <t>Toma única</t>
        </is>
      </c>
      <c r="R42">
        <f>IF(OR($Q42="",$D$27=""),"",IF(AND($D$27="Sí",$Q42=$A$78),"Revisar: art. 30.9 exige DOS tomas (salida del obrador y servicio) cuando elaboras y sirves en establecimientos distintos",""))</f>
        <v/>
      </c>
    </row>
    <row r="43" ht="28" customHeight="1">
      <c r="A43" s="5" t="inlineStr">
        <is>
          <t>CT-2026-014-5</t>
        </is>
      </c>
      <c r="B43" s="5" t="inlineStr">
        <is>
          <t>P2</t>
        </is>
      </c>
      <c r="C43" s="15" t="inlineStr">
        <is>
          <t>Bacalao confitado al pil-pil</t>
        </is>
      </c>
      <c r="D43" s="5" t="inlineStr">
        <is>
          <t>L260919-BAC</t>
        </is>
      </c>
      <c r="E43" s="9" t="n">
        <v>46284</v>
      </c>
      <c r="F43" s="13" t="inlineStr">
        <is>
          <t>15:10</t>
        </is>
      </c>
      <c r="G43" s="8" t="n">
        <v>115</v>
      </c>
      <c r="H43" s="5" t="inlineStr">
        <is>
          <t>Cámara 3, balda superior</t>
        </is>
      </c>
      <c r="I43" s="8" t="n">
        <v>4</v>
      </c>
      <c r="J43" s="5" t="inlineStr">
        <is>
          <t>Refrigeración</t>
        </is>
      </c>
      <c r="K43" s="16">
        <f>IFERROR(IF(OR(NOT(ISNUMBER($E43)),NOT(ISNUMBER($D$9))),"",$E43+$D$9),"")</f>
        <v>46291.0</v>
      </c>
      <c r="L43" s="17">
        <f>IFERROR(IF(OR(NOT(ISNUMBER($K43)),NOT(ISNUMBER($D$13))),"",$K43-$D$13),"")</f>
        <v>4.0</v>
      </c>
      <c r="M43" t="str">
        <f>IF(NOT(ISNUMBER($L43)),"",IF($L43&gt;0,"En conservación: NO destruir",IF($L43=0,"Último día de conservación","Ya se puede destruir")))</f>
        <v>En conservación: NO destruir</v>
      </c>
      <c r="N43" t="str">
        <f>IF(OR(NOT(ISNUMBER($G43)),NOT(ISNUMBER($D$8))),"",IF($G43&gt;=$D$8,"Sí","NO: por debajo del mínimo"))</f>
        <v>Sí</v>
      </c>
      <c r="O43" t="str">
        <f>IF(OR($J43="",NOT(ISNUMBER($I43))),"",IF($J43=$A$72,IF($I43&lt;=$D$10,"Sí","NO: por encima del máximo"),IF($J43=$A$73,IF($I43&lt;=$D$11,"Sí","NO: por encima del máximo"),"")))</f>
        <v>Sí</v>
      </c>
      <c r="P43" s="5" t="inlineStr">
        <is>
          <t>P04</t>
        </is>
      </c>
      <c r="Q43" s="5" t="inlineStr">
        <is>
          <t>Toma única</t>
        </is>
      </c>
      <c r="R43">
        <f>IF(OR($Q43="",$D$27=""),"",IF(AND($D$27="Sí",$Q43=$A$78),"Revisar: art. 30.9 exige DOS tomas (salida del obrador y servicio) cuando elaboras y sirves en establecimientos distintos",""))</f>
        <v/>
      </c>
    </row>
    <row r="44" ht="28" customHeight="1">
      <c r="A44" s="5" t="inlineStr">
        <is>
          <t>CT-2026-014-6</t>
        </is>
      </c>
      <c r="B44" s="5" t="inlineStr">
        <is>
          <t>D1</t>
        </is>
      </c>
      <c r="C44" s="15" t="inlineStr">
        <is>
          <t>Tarta de queso cremosa</t>
        </is>
      </c>
      <c r="D44" s="5" t="inlineStr">
        <is>
          <t>L260918-TAR</t>
        </is>
      </c>
      <c r="E44" s="9" t="n">
        <v>46284</v>
      </c>
      <c r="F44" s="13" t="inlineStr">
        <is>
          <t>16:00</t>
        </is>
      </c>
      <c r="G44" s="8" t="n">
        <v>100</v>
      </c>
      <c r="H44" s="5" t="inlineStr">
        <is>
          <t>Congelador 1, cesta 2</t>
        </is>
      </c>
      <c r="I44" s="8" t="n">
        <v>-18</v>
      </c>
      <c r="J44" s="5" t="inlineStr">
        <is>
          <t>Congelación</t>
        </is>
      </c>
      <c r="K44" s="16">
        <f>IFERROR(IF(OR(NOT(ISNUMBER($E44)),NOT(ISNUMBER($D$9))),"",$E44+$D$9),"")</f>
        <v>46291.0</v>
      </c>
      <c r="L44" s="17">
        <f>IFERROR(IF(OR(NOT(ISNUMBER($K44)),NOT(ISNUMBER($D$13))),"",$K44-$D$13),"")</f>
        <v>4.0</v>
      </c>
      <c r="M44" t="str">
        <f>IF(NOT(ISNUMBER($L44)),"",IF($L44&gt;0,"En conservación: NO destruir",IF($L44=0,"Último día de conservación","Ya se puede destruir")))</f>
        <v>En conservación: NO destruir</v>
      </c>
      <c r="N44" t="str">
        <f>IF(OR(NOT(ISNUMBER($G44)),NOT(ISNUMBER($D$8))),"",IF($G44&gt;=$D$8,"Sí","NO: por debajo del mínimo"))</f>
        <v>Sí</v>
      </c>
      <c r="O44" t="str">
        <f>IF(OR($J44="",NOT(ISNUMBER($I44))),"",IF($J44=$A$72,IF($I44&lt;=$D$10,"Sí","NO: por encima del máximo"),IF($J44=$A$73,IF($I44&lt;=$D$11,"Sí","NO: por encima del máximo"),"")))</f>
        <v>Sí</v>
      </c>
      <c r="P44" s="5" t="inlineStr">
        <is>
          <t>P07</t>
        </is>
      </c>
      <c r="Q44" s="5" t="inlineStr">
        <is>
          <t>Toma única</t>
        </is>
      </c>
      <c r="R44">
        <f>IF(OR($Q44="",$D$27=""),"",IF(AND($D$27="Sí",$Q44=$A$78),"Revisar: art. 30.9 exige DOS tomas (salida del obrador y servicio) cuando elaboras y sirves en establecimientos distintos",""))</f>
        <v/>
      </c>
    </row>
    <row r="45">
      <c r="A45" s="5" t="n"/>
      <c r="B45" s="5" t="n"/>
      <c r="C45" s="5" t="n"/>
      <c r="D45" s="5" t="n"/>
      <c r="E45" s="5" t="n"/>
      <c r="F45" s="5" t="n"/>
      <c r="G45" s="5" t="n"/>
      <c r="H45" s="5" t="n"/>
      <c r="I45" s="5" t="n"/>
      <c r="J45" s="5" t="n"/>
      <c r="K45" s="16">
        <f>IFERROR(IF(OR(NOT(ISNUMBER($E45)),NOT(ISNUMBER($D$9))),"",$E45+$D$9),"")</f>
        <v/>
      </c>
      <c r="L45" s="17">
        <f>IFERROR(IF(OR(NOT(ISNUMBER($K45)),NOT(ISNUMBER($D$13))),"",$K45-$D$13),"")</f>
        <v/>
      </c>
      <c r="M45">
        <f>IF(NOT(ISNUMBER($L45)),"",IF($L45&gt;0,"En conservación: NO destruir",IF($L45=0,"Último día de conservación","Ya se puede destruir")))</f>
        <v/>
      </c>
      <c r="N45">
        <f>IF(OR(NOT(ISNUMBER($G45)),NOT(ISNUMBER($D$8))),"",IF($G45&gt;=$D$8,"Sí","NO: por debajo del mínimo"))</f>
        <v/>
      </c>
      <c r="O45">
        <f>IF(OR($J45="",NOT(ISNUMBER($I45))),"",IF($J45=$A$72,IF($I45&lt;=$D$10,"Sí","NO: por encima del máximo"),IF($J45=$A$73,IF($I45&lt;=$D$11,"Sí","NO: por encima del máximo"),"")))</f>
        <v/>
      </c>
      <c r="P45" s="5" t="n"/>
      <c r="Q45" s="5" t="n"/>
      <c r="R45">
        <f>IF(OR($Q45="",$D$27=""),"",IF(AND($D$27="Sí",$Q45=$A$78),"Revisar: art. 30.9 exige DOS tomas (salida del obrador y servicio) cuando elaboras y sirves en establecimientos distintos",""))</f>
        <v/>
      </c>
    </row>
    <row r="46">
      <c r="A46" s="5" t="n"/>
      <c r="B46" s="5" t="n"/>
      <c r="C46" s="5" t="n"/>
      <c r="D46" s="5" t="n"/>
      <c r="E46" s="5" t="n"/>
      <c r="F46" s="5" t="n"/>
      <c r="G46" s="5" t="n"/>
      <c r="H46" s="5" t="n"/>
      <c r="I46" s="5" t="n"/>
      <c r="J46" s="5" t="n"/>
      <c r="K46" s="16">
        <f>IFERROR(IF(OR(NOT(ISNUMBER($E46)),NOT(ISNUMBER($D$9))),"",$E46+$D$9),"")</f>
        <v/>
      </c>
      <c r="L46" s="17">
        <f>IFERROR(IF(OR(NOT(ISNUMBER($K46)),NOT(ISNUMBER($D$13))),"",$K46-$D$13),"")</f>
        <v/>
      </c>
      <c r="M46">
        <f>IF(NOT(ISNUMBER($L46)),"",IF($L46&gt;0,"En conservación: NO destruir",IF($L46=0,"Último día de conservación","Ya se puede destruir")))</f>
        <v/>
      </c>
      <c r="N46">
        <f>IF(OR(NOT(ISNUMBER($G46)),NOT(ISNUMBER($D$8))),"",IF($G46&gt;=$D$8,"Sí","NO: por debajo del mínimo"))</f>
        <v/>
      </c>
      <c r="O46">
        <f>IF(OR($J46="",NOT(ISNUMBER($I46))),"",IF($J46=$A$72,IF($I46&lt;=$D$10,"Sí","NO: por encima del máximo"),IF($J46=$A$73,IF($I46&lt;=$D$11,"Sí","NO: por encima del máximo"),"")))</f>
        <v/>
      </c>
      <c r="P46" s="5" t="n"/>
      <c r="Q46" s="5" t="n"/>
      <c r="R46">
        <f>IF(OR($Q46="",$D$27=""),"",IF(AND($D$27="Sí",$Q46=$A$78),"Revisar: art. 30.9 exige DOS tomas (salida del obrador y servicio) cuando elaboras y sirves en establecimientos distintos",""))</f>
        <v/>
      </c>
    </row>
    <row r="47">
      <c r="A47" s="5" t="n"/>
      <c r="B47" s="5" t="n"/>
      <c r="C47" s="5" t="n"/>
      <c r="D47" s="5" t="n"/>
      <c r="E47" s="5" t="n"/>
      <c r="F47" s="5" t="n"/>
      <c r="G47" s="5" t="n"/>
      <c r="H47" s="5" t="n"/>
      <c r="I47" s="5" t="n"/>
      <c r="J47" s="5" t="n"/>
      <c r="K47" s="16">
        <f>IFERROR(IF(OR(NOT(ISNUMBER($E47)),NOT(ISNUMBER($D$9))),"",$E47+$D$9),"")</f>
        <v/>
      </c>
      <c r="L47" s="17">
        <f>IFERROR(IF(OR(NOT(ISNUMBER($K47)),NOT(ISNUMBER($D$13))),"",$K47-$D$13),"")</f>
        <v/>
      </c>
      <c r="M47">
        <f>IF(NOT(ISNUMBER($L47)),"",IF($L47&gt;0,"En conservación: NO destruir",IF($L47=0,"Último día de conservación","Ya se puede destruir")))</f>
        <v/>
      </c>
      <c r="N47">
        <f>IF(OR(NOT(ISNUMBER($G47)),NOT(ISNUMBER($D$8))),"",IF($G47&gt;=$D$8,"Sí","NO: por debajo del mínimo"))</f>
        <v/>
      </c>
      <c r="O47">
        <f>IF(OR($J47="",NOT(ISNUMBER($I47))),"",IF($J47=$A$72,IF($I47&lt;=$D$10,"Sí","NO: por encima del máximo"),IF($J47=$A$73,IF($I47&lt;=$D$11,"Sí","NO: por encima del máximo"),"")))</f>
        <v/>
      </c>
      <c r="P47" s="5" t="n"/>
      <c r="Q47" s="5" t="n"/>
      <c r="R47">
        <f>IF(OR($Q47="",$D$27=""),"",IF(AND($D$27="Sí",$Q47=$A$78),"Revisar: art. 30.9 exige DOS tomas (salida del obrador y servicio) cuando elaboras y sirves en establecimientos distintos",""))</f>
        <v/>
      </c>
    </row>
    <row r="48">
      <c r="A48" s="5" t="n"/>
      <c r="B48" s="5" t="n"/>
      <c r="C48" s="5" t="n"/>
      <c r="D48" s="5" t="n"/>
      <c r="E48" s="5" t="n"/>
      <c r="F48" s="5" t="n"/>
      <c r="G48" s="5" t="n"/>
      <c r="H48" s="5" t="n"/>
      <c r="I48" s="5" t="n"/>
      <c r="J48" s="5" t="n"/>
      <c r="K48" s="16">
        <f>IFERROR(IF(OR(NOT(ISNUMBER($E48)),NOT(ISNUMBER($D$9))),"",$E48+$D$9),"")</f>
        <v/>
      </c>
      <c r="L48" s="17">
        <f>IFERROR(IF(OR(NOT(ISNUMBER($K48)),NOT(ISNUMBER($D$13))),"",$K48-$D$13),"")</f>
        <v/>
      </c>
      <c r="M48">
        <f>IF(NOT(ISNUMBER($L48)),"",IF($L48&gt;0,"En conservación: NO destruir",IF($L48=0,"Último día de conservación","Ya se puede destruir")))</f>
        <v/>
      </c>
      <c r="N48">
        <f>IF(OR(NOT(ISNUMBER($G48)),NOT(ISNUMBER($D$8))),"",IF($G48&gt;=$D$8,"Sí","NO: por debajo del mínimo"))</f>
        <v/>
      </c>
      <c r="O48">
        <f>IF(OR($J48="",NOT(ISNUMBER($I48))),"",IF($J48=$A$72,IF($I48&lt;=$D$10,"Sí","NO: por encima del máximo"),IF($J48=$A$73,IF($I48&lt;=$D$11,"Sí","NO: por encima del máximo"),"")))</f>
        <v/>
      </c>
      <c r="P48" s="5" t="n"/>
      <c r="Q48" s="5" t="n"/>
      <c r="R48">
        <f>IF(OR($Q48="",$D$27=""),"",IF(AND($D$27="Sí",$Q48=$A$78),"Revisar: art. 30.9 exige DOS tomas (salida del obrador y servicio) cuando elaboras y sirves en establecimientos distintos",""))</f>
        <v/>
      </c>
    </row>
    <row r="49">
      <c r="A49" s="5" t="n"/>
      <c r="B49" s="5" t="n"/>
      <c r="C49" s="5" t="n"/>
      <c r="D49" s="5" t="n"/>
      <c r="E49" s="5" t="n"/>
      <c r="F49" s="5" t="n"/>
      <c r="G49" s="5" t="n"/>
      <c r="H49" s="5" t="n"/>
      <c r="I49" s="5" t="n"/>
      <c r="J49" s="5" t="n"/>
      <c r="K49" s="16">
        <f>IFERROR(IF(OR(NOT(ISNUMBER($E49)),NOT(ISNUMBER($D$9))),"",$E49+$D$9),"")</f>
        <v/>
      </c>
      <c r="L49" s="17">
        <f>IFERROR(IF(OR(NOT(ISNUMBER($K49)),NOT(ISNUMBER($D$13))),"",$K49-$D$13),"")</f>
        <v/>
      </c>
      <c r="M49">
        <f>IF(NOT(ISNUMBER($L49)),"",IF($L49&gt;0,"En conservación: NO destruir",IF($L49=0,"Último día de conservación","Ya se puede destruir")))</f>
        <v/>
      </c>
      <c r="N49">
        <f>IF(OR(NOT(ISNUMBER($G49)),NOT(ISNUMBER($D$8))),"",IF($G49&gt;=$D$8,"Sí","NO: por debajo del mínimo"))</f>
        <v/>
      </c>
      <c r="O49">
        <f>IF(OR($J49="",NOT(ISNUMBER($I49))),"",IF($J49=$A$72,IF($I49&lt;=$D$10,"Sí","NO: por encima del máximo"),IF($J49=$A$73,IF($I49&lt;=$D$11,"Sí","NO: por encima del máximo"),"")))</f>
        <v/>
      </c>
      <c r="P49" s="5" t="n"/>
      <c r="Q49" s="5" t="n"/>
      <c r="R49">
        <f>IF(OR($Q49="",$D$27=""),"",IF(AND($D$27="Sí",$Q49=$A$78),"Revisar: art. 30.9 exige DOS tomas (salida del obrador y servicio) cuando elaboras y sirves en establecimientos distintos",""))</f>
        <v/>
      </c>
    </row>
    <row r="50">
      <c r="A50" s="5" t="n"/>
      <c r="B50" s="5" t="n"/>
      <c r="C50" s="5" t="n"/>
      <c r="D50" s="5" t="n"/>
      <c r="E50" s="5" t="n"/>
      <c r="F50" s="5" t="n"/>
      <c r="G50" s="5" t="n"/>
      <c r="H50" s="5" t="n"/>
      <c r="I50" s="5" t="n"/>
      <c r="J50" s="5" t="n"/>
      <c r="K50" s="16">
        <f>IFERROR(IF(OR(NOT(ISNUMBER($E50)),NOT(ISNUMBER($D$9))),"",$E50+$D$9),"")</f>
        <v/>
      </c>
      <c r="L50" s="17">
        <f>IFERROR(IF(OR(NOT(ISNUMBER($K50)),NOT(ISNUMBER($D$13))),"",$K50-$D$13),"")</f>
        <v/>
      </c>
      <c r="M50">
        <f>IF(NOT(ISNUMBER($L50)),"",IF($L50&gt;0,"En conservación: NO destruir",IF($L50=0,"Último día de conservación","Ya se puede destruir")))</f>
        <v/>
      </c>
      <c r="N50">
        <f>IF(OR(NOT(ISNUMBER($G50)),NOT(ISNUMBER($D$8))),"",IF($G50&gt;=$D$8,"Sí","NO: por debajo del mínimo"))</f>
        <v/>
      </c>
      <c r="O50">
        <f>IF(OR($J50="",NOT(ISNUMBER($I50))),"",IF($J50=$A$72,IF($I50&lt;=$D$10,"Sí","NO: por encima del máximo"),IF($J50=$A$73,IF($I50&lt;=$D$11,"Sí","NO: por encima del máximo"),"")))</f>
        <v/>
      </c>
      <c r="P50" s="5" t="n"/>
      <c r="Q50" s="5" t="n"/>
      <c r="R50">
        <f>IF(OR($Q50="",$D$27=""),"",IF(AND($D$27="Sí",$Q50=$A$78),"Revisar: art. 30.9 exige DOS tomas (salida del obrador y servicio) cuando elaboras y sirves en establecimientos distintos",""))</f>
        <v/>
      </c>
    </row>
    <row r="51"/>
    <row r="52">
      <c r="A52" s="3" t="inlineStr">
        <is>
          <t>RESUMEN DEL REGISTRO</t>
        </is>
      </c>
    </row>
    <row r="53" ht="20" customHeight="1">
      <c r="A53" s="6" t="inlineStr">
        <is>
          <t>Indicador</t>
        </is>
      </c>
      <c r="D53" s="6" t="inlineStr">
        <is>
          <t>Valor</t>
        </is>
      </c>
    </row>
    <row r="54">
      <c r="A54" s="7" t="inlineStr">
        <is>
          <t>Muestras registradas</t>
        </is>
      </c>
      <c r="D54" s="18">
        <f>COUNTIF($A$39:$A$50,"&lt;&gt;")</f>
        <v>6.0</v>
      </c>
    </row>
    <row r="55">
      <c r="A55" s="7" t="inlineStr">
        <is>
          <t>Elaboraciones del menú del evento</t>
        </is>
      </c>
      <c r="D55" s="18">
        <f>COUNTIF('Producción y Ficha de Banquete'!$B$13:$B$24,"&lt;&gt;")</f>
        <v>6.0</v>
      </c>
    </row>
    <row r="56">
      <c r="A56" s="7" t="inlineStr">
        <is>
          <t>Muestras que faltan por tomar</t>
        </is>
      </c>
      <c r="D56" s="18">
        <f>IFERROR(IF(OR(NOT(ISNUMBER($D$54)),NOT(ISNUMBER($D$55))),"",$D$55-$D$54),"")</f>
        <v>0.0</v>
      </c>
    </row>
    <row r="57">
      <c r="A57" s="7" t="inlineStr">
        <is>
          <t>Muestras con los gramos por debajo del mínimo</t>
        </is>
      </c>
      <c r="D57" s="18">
        <f>COUNTIF($N$39:$N$50,"NO: por debajo del mínimo")</f>
        <v>0.0</v>
      </c>
    </row>
    <row r="58">
      <c r="A58" s="7" t="inlineStr">
        <is>
          <t>Muestras con la temperatura fuera de rango</t>
        </is>
      </c>
      <c r="D58" s="18">
        <f>COUNTIF($O$39:$O$50,"NO: por encima del máximo")</f>
        <v>0.0</v>
      </c>
    </row>
    <row r="59">
      <c r="A59" s="7" t="inlineStr">
        <is>
          <t>Muestras que ya se pueden destruir</t>
        </is>
      </c>
      <c r="D59" s="18">
        <f>COUNTIF($M$39:$M$50,"Ya se puede destruir")</f>
        <v>0.0</v>
      </c>
    </row>
    <row r="60">
      <c r="A60" s="7" t="inlineStr">
        <is>
          <t>Muestras con aviso de doble toma (art. 30.9)</t>
        </is>
      </c>
      <c r="D60" s="18">
        <f>COUNTIF($R$39:$R$50,"&lt;&gt;")</f>
        <v>0.0</v>
      </c>
    </row>
    <row r="61" ht="32" customHeight="1">
      <c r="A61" s="4" t="inlineStr">
        <is>
          <t>La comida testigo se guarda de CADA elaboración servida, no del plato montado: si el menú lleva seis elaboraciones, son seis muestras. Verificado el 06-09-2026 · RD 1086/2020, art. 30, apartados 8, 9 y 10 · https://www.boe.es/buscar/act.php?id=BOE-A-2020-15872</t>
        </is>
      </c>
    </row>
    <row r="62" ht="32" customHeight="1">
      <c r="A62" s="4" t="inlineStr">
        <is>
          <t>Los siete días son un MÍNIMO legal. Si tu comunidad autónoma o el pliego del cliente te piden más, sube la celda verde: el libro recalcula la fecha de destrucción y la cuenta atrás.</t>
        </is>
      </c>
    </row>
    <row r="63" ht="32" customHeight="1">
      <c r="A63" s="4" t="inlineStr">
        <is>
          <t>La muestra se identifica y se fecha. Una bolsa sin rotular no sirve de nada el día que hay que demostrar algo.</t>
        </is>
      </c>
    </row>
    <row r="64" ht="32" customHeight="1">
      <c r="A64" s="4" t="inlineStr">
        <is>
          <t>Si el evento es de catering en dos establecimientos distintos (marca «Sí» en el bloque «El evento»), el art. 30.9 exige DOS tomas por elaboración: una a la salida del obrador y otra en el servicio. La columna «Momento de la toma» y el aviso de la columna «Aviso» son para eso. Verificado el 06-09-2026 · RD 1086/2020, art. 30, apartados 8, 9 y 10 · https://www.boe.es/buscar/act.php?id=BOE-A-2020-15872</t>
        </is>
      </c>
    </row>
    <row r="65"/>
    <row r="66">
      <c r="A66" s="3" t="inlineStr">
        <is>
          <t>LISTAS DE LOS DESPLEGABLES (no las borres)</t>
        </is>
      </c>
    </row>
    <row r="67" ht="20" customHeight="1">
      <c r="A67" s="6" t="inlineStr">
        <is>
          <t>Sí / No</t>
        </is>
      </c>
    </row>
    <row r="68">
      <c r="A68" t="inlineStr">
        <is>
          <t>Sí</t>
        </is>
      </c>
    </row>
    <row r="69">
      <c r="A69" t="inlineStr">
        <is>
          <t>No</t>
        </is>
      </c>
    </row>
    <row r="70"/>
    <row r="71" ht="20" customHeight="1">
      <c r="A71" s="6" t="inlineStr">
        <is>
          <t>Conservación</t>
        </is>
      </c>
    </row>
    <row r="72">
      <c r="A72" t="inlineStr">
        <is>
          <t>Refrigeración</t>
        </is>
      </c>
    </row>
    <row r="73">
      <c r="A73" t="inlineStr">
        <is>
          <t>Congelación</t>
        </is>
      </c>
    </row>
    <row r="74"/>
    <row r="75" ht="20" customHeight="1">
      <c r="A75" s="6" t="inlineStr">
        <is>
          <t>Momento de la toma (art. 30.9)</t>
        </is>
      </c>
    </row>
    <row r="76">
      <c r="A76" t="inlineStr">
        <is>
          <t>Salida del obrador</t>
        </is>
      </c>
    </row>
    <row r="77">
      <c r="A77" t="inlineStr">
        <is>
          <t>En el servicio</t>
        </is>
      </c>
    </row>
    <row r="78">
      <c r="A78" t="inlineStr">
        <is>
          <t>Toma única</t>
        </is>
      </c>
    </row>
    <row r="79">
      <c r="A79" s="4" t="inlineStr">
        <is>
          <t>Estas listas alimentan los desplegables de la hoja: no las borres ni las muevas.</t>
        </is>
      </c>
    </row>
  </sheetData>
  <sheetProtection selectLockedCells="0" selectUnlockedCells="0" sheet="1" objects="0" insertRows="0" insertHyperlinks="1" autoFilter="1" scenarios="0" formatColumns="0" deleteColumns="1" insertColumns="1" pivotTables="1" deleteRows="1" formatCells="1" formatRows="0" sort="0"/>
  <mergeCells count="48">
    <mergeCell ref="A6:C6"/>
    <mergeCell ref="A64:O64"/>
    <mergeCell ref="E8:O8"/>
    <mergeCell ref="A59:C59"/>
    <mergeCell ref="A63:O63"/>
    <mergeCell ref="D20:H20"/>
    <mergeCell ref="A57:C57"/>
    <mergeCell ref="E10:O10"/>
    <mergeCell ref="A18:C18"/>
    <mergeCell ref="A30:C30"/>
    <mergeCell ref="A61:O61"/>
    <mergeCell ref="A24:C24"/>
    <mergeCell ref="A56:C56"/>
    <mergeCell ref="A11:C11"/>
    <mergeCell ref="A19:C19"/>
    <mergeCell ref="A20:C20"/>
    <mergeCell ref="A12:C12"/>
    <mergeCell ref="A33:C33"/>
    <mergeCell ref="A10:C10"/>
    <mergeCell ref="A22:C22"/>
    <mergeCell ref="A32:C32"/>
    <mergeCell ref="E11:O11"/>
    <mergeCell ref="A9:C9"/>
    <mergeCell ref="E9:O9"/>
    <mergeCell ref="A62:O62"/>
    <mergeCell ref="A27:C27"/>
    <mergeCell ref="A35:C35"/>
    <mergeCell ref="A60:C60"/>
    <mergeCell ref="A26:C26"/>
    <mergeCell ref="A58:C58"/>
    <mergeCell ref="E27:O27"/>
    <mergeCell ref="E35:O35"/>
    <mergeCell ref="D26:O26"/>
    <mergeCell ref="E7:O7"/>
    <mergeCell ref="A7:C7"/>
    <mergeCell ref="A25:C25"/>
    <mergeCell ref="A34:C34"/>
    <mergeCell ref="A21:C21"/>
    <mergeCell ref="A13:C13"/>
    <mergeCell ref="A53:C53"/>
    <mergeCell ref="D25:H25"/>
    <mergeCell ref="A31:C31"/>
    <mergeCell ref="A54:C54"/>
    <mergeCell ref="A23:C23"/>
    <mergeCell ref="A55:C55"/>
    <mergeCell ref="E6:O6"/>
    <mergeCell ref="A8:C8"/>
    <mergeCell ref="A29:C29"/>
  </mergeCells>
  <conditionalFormatting sqref="D26">
    <cfRule type="cellIs" priority="1" operator="equal" dxfId="0" stopIfTrue="1">
      <formula>"COMIDA TESTIGO OBLIGATORIA"</formula>
    </cfRule>
    <cfRule type="cellIs" priority="2" operator="equal" dxfId="1" stopIfTrue="1">
      <formula>"Por número de comensales no es obligatoria: revisa igualmente los supuestos de la tabla de abajo"</formula>
    </cfRule>
  </conditionalFormatting>
  <conditionalFormatting sqref="D30:D34">
    <cfRule type="cellIs" priority="3" operator="equal" dxfId="0" stopIfTrue="1">
      <formula>"Sí"</formula>
    </cfRule>
  </conditionalFormatting>
  <conditionalFormatting sqref="M39:M50">
    <cfRule type="cellIs" priority="4" operator="equal" dxfId="0" stopIfTrue="1">
      <formula>"En conservación: NO destruir"</formula>
    </cfRule>
    <cfRule type="cellIs" priority="5" operator="equal" dxfId="1" stopIfTrue="1">
      <formula>"Último día de conservación"</formula>
    </cfRule>
    <cfRule type="cellIs" priority="6" operator="equal" dxfId="2" stopIfTrue="1">
      <formula>"Ya se puede destruir"</formula>
    </cfRule>
  </conditionalFormatting>
  <conditionalFormatting sqref="N39:N50">
    <cfRule type="cellIs" priority="7" operator="equal" dxfId="2" stopIfTrue="1">
      <formula>"Sí"</formula>
    </cfRule>
    <cfRule type="cellIs" priority="8" operator="equal" dxfId="0" stopIfTrue="1">
      <formula>"NO: por debajo del mínimo"</formula>
    </cfRule>
  </conditionalFormatting>
  <conditionalFormatting sqref="O39:O50">
    <cfRule type="cellIs" priority="9" operator="equal" dxfId="2" stopIfTrue="1">
      <formula>"Sí"</formula>
    </cfRule>
    <cfRule type="cellIs" priority="10" operator="equal" dxfId="0" stopIfTrue="1">
      <formula>"NO: por encima del máximo"</formula>
    </cfRule>
  </conditionalFormatting>
  <conditionalFormatting sqref="R39:R50">
    <cfRule type="expression" priority="11" dxfId="0" stopIfTrue="1">
      <formula>=LEN($R39)&gt;0</formula>
    </cfRule>
  </conditionalFormatting>
  <conditionalFormatting sqref="D56">
    <cfRule type="expression" priority="12" dxfId="0" stopIfTrue="1">
      <formula>=AND(ISNUMBER($D$56),$D$56&gt;0)</formula>
    </cfRule>
  </conditionalFormatting>
  <conditionalFormatting sqref="D57">
    <cfRule type="expression" priority="13" dxfId="0" stopIfTrue="1">
      <formula>=AND(ISNUMBER($D$57),$D$57&gt;0)</formula>
    </cfRule>
  </conditionalFormatting>
  <conditionalFormatting sqref="D58">
    <cfRule type="expression" priority="14" dxfId="0" stopIfTrue="1">
      <formula>=AND(ISNUMBER($D$58),$D$58&gt;0)</formula>
    </cfRule>
  </conditionalFormatting>
  <conditionalFormatting sqref="D60">
    <cfRule type="expression" priority="15" dxfId="0" stopIfTrue="1">
      <formula>=AND(ISNUMBER($D$60),$D$60&gt;0)</formula>
    </cfRule>
  </conditionalFormatting>
  <dataValidations count="11">
    <dataValidation sqref="D7 D8 D9" showDropDown="0" showInputMessage="0" showErrorMessage="1" allowBlank="1" errorTitle="Valor del parámetro" error="Escribe un número mayor o igual que 1." type="decimal" operator="greaterThanOrEqual">
      <formula1>1</formula1>
    </dataValidation>
    <dataValidation sqref="D10 D11" showDropDown="0" showInputMessage="0" showErrorMessage="1" allowBlank="1" errorTitle="Temperatura (°C)" error="Escribe la temperatura en grados centígrados, entre -40 y 20." type="decimal" operator="between">
      <formula1>-40</formula1>
      <formula2>20</formula2>
    </dataValidation>
    <dataValidation sqref="D12" showDropDown="0" showInputMessage="0" showErrorMessage="1" allowBlank="1" errorTitle="Fecha no válida" error="Escribe una fecha (dd/mm/aaaa) entre 2020 y 2040." type="date" operator="between">
      <formula1>DATE(2020,1,1)</formula1>
      <formula2>DATE(2040,12,31)</formula2>
    </dataValidation>
    <dataValidation sqref="D22" showDropDown="0" showInputMessage="0" showErrorMessage="1" allowBlank="1" errorTitle="Comensales" error="Escribe un valor entre 1 y 100000." type="decimal" operator="between">
      <formula1>1</formula1>
      <formula2>100000</formula2>
    </dataValidation>
    <dataValidation sqref="D21" showDropDown="0" showInputMessage="0" showErrorMessage="1" allowBlank="1" errorTitle="Fecha no válida" error="Escribe una fecha (dd/mm/aaaa) entre 2020 y 2040." type="date" operator="between">
      <formula1>DATE(2020,1,1)</formula1>
      <formula2>DATE(2040,12,31)</formula2>
    </dataValidation>
    <dataValidation sqref="D27 D30 D31 D32 D33 D34" showDropDown="0" showInputMessage="0" showErrorMessage="1" allowBlank="1" errorTitle="¿Te aplica?" error="Elige Sí o No de la lista del final de esta hoja." type="list">
      <formula1>'Registro de Comidas Testigo'!$A$68:$A$69</formula1>
    </dataValidation>
    <dataValidation sqref="E39 E40 E41 E42 E43 E44 E45 E46 E47 E48 E49 E50" showDropDown="0" showInputMessage="0" showErrorMessage="1" allowBlank="1" errorTitle="Fecha no válida" error="Escribe una fecha (dd/mm/aaaa) entre 2020 y 2040." type="date" operator="between">
      <formula1>DATE(2020,1,1)</formula1>
      <formula2>DATE(2040,12,31)</formula2>
    </dataValidation>
    <dataValidation sqref="J39 J40 J41 J42 J43 J44 J45 J46 J47 J48 J49 J50" showDropDown="0" showInputMessage="0" showErrorMessage="1" allowBlank="1" errorTitle="Conservación" error="Elige Refrigeración o Congelación de la lista del final de esta hoja." type="list">
      <formula1>'Registro de Comidas Testigo'!$A$72:$A$73</formula1>
    </dataValidation>
    <dataValidation sqref="Q39 Q40 Q41 Q42 Q43 Q44 Q45 Q46 Q47 Q48 Q49 Q50" showDropDown="0" showInputMessage="0" showErrorMessage="1" allowBlank="1" errorTitle="Momento de la toma" error="Elige un momento de la lista del final de esta hoja." type="list">
      <formula1>'Registro de Comidas Testigo'!$A$76:$A$78</formula1>
    </dataValidation>
    <dataValidation sqref="G39 G40 G41 G42 G43 G44 G45 G46 G47 G48 G49 G50" showDropDown="0" showInputMessage="0" showErrorMessage="1" allowBlank="1" errorTitle="Gramos" error="Escribe un número mayor o igual que 0." type="decimal" operator="greaterThanOrEqual">
      <formula1>0</formula1>
    </dataValidation>
    <dataValidation sqref="I39 I40 I41 I42 I43 I44 I45 I46 I47 I48 I49 I50" showDropDown="0" showInputMessage="0" showErrorMessage="1" allowBlank="1" errorTitle="Temperatura (°C)" error="Escribe la temperatura en grados centígrados, entre -40 y 20." type="decimal" operator="between">
      <formula1>-40</formula1>
      <formula2>20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80"/>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52" customWidth="1" min="3" max="3"/>
    <col width="21" customWidth="1" min="4" max="4"/>
    <col width="16" customWidth="1" min="5" max="5"/>
    <col width="16" customWidth="1" min="6" max="6"/>
    <col width="18" customWidth="1" min="7" max="7"/>
    <col width="16" customWidth="1" min="8" max="8"/>
    <col width="40" customWidth="1" min="9" max="9"/>
  </cols>
  <sheetData>
    <row r="1" ht="30" customHeight="1">
      <c r="A1" s="1" t="inlineStr">
        <is>
          <t>Producción y ficha de banquete</t>
        </is>
      </c>
    </row>
    <row r="2">
      <c r="A2" t="inlineStr">
        <is>
          <t>AI Chef Pro · aichef.pro — Manual del Chef Ejecutivo</t>
        </is>
      </c>
    </row>
    <row r="3">
      <c r="A3" s="2" t="inlineStr">
        <is>
          <t>Todo se calcula desde los comensales. Si cambian la víspera, cambia una celda y se recalcula la producción entera.</t>
        </is>
      </c>
    </row>
    <row r="4"/>
    <row r="5">
      <c r="A5" s="3" t="inlineStr">
        <is>
          <t>EL EVENTO — se lee de la hoja «Registro de Comidas Testigo»; cámbialo allí, no aquí</t>
        </is>
      </c>
    </row>
    <row r="6">
      <c r="A6" s="10" t="inlineStr">
        <is>
          <t>Id del evento</t>
        </is>
      </c>
      <c r="C6" s="19" t="str">
        <f>IF('Registro de Comidas Testigo'!$D$19="","",'Registro de Comidas Testigo'!$D$19)</f>
        <v>EV-2026-014</v>
      </c>
    </row>
    <row r="7">
      <c r="A7" s="10" t="inlineStr">
        <is>
          <t>Fecha del evento</t>
        </is>
      </c>
      <c r="C7" s="11">
        <f>IF('Registro de Comidas Testigo'!$D$21="","",'Registro de Comidas Testigo'!$D$21)</f>
        <v>46284.0</v>
      </c>
    </row>
    <row r="8">
      <c r="A8" s="10" t="inlineStr">
        <is>
          <t>Comensales</t>
        </is>
      </c>
      <c r="C8" s="18">
        <f>IF('Registro de Comidas Testigo'!$D$22="","",'Registro de Comidas Testigo'!$D$22)</f>
        <v>120.0</v>
      </c>
    </row>
    <row r="9">
      <c r="A9" s="10" t="inlineStr">
        <is>
          <t>Obligación de comida testigo</t>
        </is>
      </c>
      <c r="C9" s="10" t="str">
        <f>IF('Registro de Comidas Testigo'!$D$26="","",'Registro de Comidas Testigo'!$D$26)</f>
        <v>COMIDA TESTIGO OBLIGATORIA</v>
      </c>
    </row>
    <row r="10"/>
    <row r="11">
      <c r="A11" s="3" t="inlineStr">
        <is>
          <t>MENÚ Y PRODUCCIÓN POR PLATO</t>
        </is>
      </c>
    </row>
    <row r="12" ht="48" customHeight="1">
      <c r="A12" s="6" t="inlineStr">
        <is>
          <t>Momento del menú</t>
        </is>
      </c>
      <c r="B12" s="6" t="inlineStr">
        <is>
          <t>Id del plato</t>
        </is>
      </c>
      <c r="C12" s="6" t="inlineStr">
        <is>
          <t>Elaboración</t>
        </is>
      </c>
      <c r="D12" s="6" t="inlineStr">
        <is>
          <t>Partida</t>
        </is>
      </c>
      <c r="E12" s="6" t="inlineStr">
        <is>
          <t>Raciones por comensal</t>
        </is>
      </c>
      <c r="F12" s="6" t="inlineStr">
        <is>
          <t>Raciones a producir</t>
        </is>
      </c>
      <c r="G12" s="6" t="inlineStr">
        <is>
          <t>Raciones por unidad de producción</t>
        </is>
      </c>
      <c r="H12" s="6" t="inlineStr">
        <is>
          <t>Unidades de producción</t>
        </is>
      </c>
    </row>
    <row r="13" ht="28" customHeight="1">
      <c r="A13" s="5" t="inlineStr">
        <is>
          <t>Aperitivo</t>
        </is>
      </c>
      <c r="B13" s="5" t="inlineStr">
        <is>
          <t>E1</t>
        </is>
      </c>
      <c r="C13" s="15" t="inlineStr">
        <is>
          <t>Croquetas de jamón ibérico (6 ud)</t>
        </is>
      </c>
      <c r="D13" s="5" t="inlineStr">
        <is>
          <t>Fríos y entrantes</t>
        </is>
      </c>
      <c r="E13" s="20" t="n">
        <v>1</v>
      </c>
      <c r="F13" s="17">
        <f>IFERROR(IF(OR(NOT(ISNUMBER($E13)),NOT(ISNUMBER($C$8))),"",ROUND($C$8*$E13,0)),"")</f>
        <v>120.0</v>
      </c>
      <c r="G13" s="8" t="n">
        <v>30</v>
      </c>
      <c r="H13" s="17">
        <f>IFERROR(IF(OR(NOT(ISNUMBER($F13)),NOT(ISNUMBER($G13)),$G13=0),"",ROUNDUP($F13/$G13,0)),"")</f>
        <v>4.0</v>
      </c>
    </row>
    <row r="14" ht="28" customHeight="1">
      <c r="A14" s="5" t="inlineStr">
        <is>
          <t>Aperitivo</t>
        </is>
      </c>
      <c r="B14" s="5" t="inlineStr">
        <is>
          <t>E6</t>
        </is>
      </c>
      <c r="C14" s="15" t="inlineStr">
        <is>
          <t>Alcachofas confitadas con jamón</t>
        </is>
      </c>
      <c r="D14" s="5" t="inlineStr">
        <is>
          <t>Fríos y entrantes</t>
        </is>
      </c>
      <c r="E14" s="20" t="n">
        <v>1</v>
      </c>
      <c r="F14" s="17">
        <f>IFERROR(IF(OR(NOT(ISNUMBER($E14)),NOT(ISNUMBER($C$8))),"",ROUND($C$8*$E14,0)),"")</f>
        <v>120.0</v>
      </c>
      <c r="G14" s="8" t="n">
        <v>40</v>
      </c>
      <c r="H14" s="17">
        <f>IFERROR(IF(OR(NOT(ISNUMBER($F14)),NOT(ISNUMBER($G14)),$G14=0),"",ROUNDUP($F14/$G14,0)),"")</f>
        <v>3.0</v>
      </c>
    </row>
    <row r="15" ht="28" customHeight="1">
      <c r="A15" s="5" t="inlineStr">
        <is>
          <t>Entrante</t>
        </is>
      </c>
      <c r="B15" s="5" t="inlineStr">
        <is>
          <t>E2</t>
        </is>
      </c>
      <c r="C15" s="15" t="inlineStr">
        <is>
          <t>Ensalada de tomate rosa, ventresca y cebolleta</t>
        </is>
      </c>
      <c r="D15" s="5" t="inlineStr">
        <is>
          <t>Fríos y entrantes</t>
        </is>
      </c>
      <c r="E15" s="20" t="n">
        <v>1</v>
      </c>
      <c r="F15" s="17">
        <f>IFERROR(IF(OR(NOT(ISNUMBER($E15)),NOT(ISNUMBER($C$8))),"",ROUND($C$8*$E15,0)),"")</f>
        <v>120.0</v>
      </c>
      <c r="G15" s="8" t="n">
        <v>20</v>
      </c>
      <c r="H15" s="17">
        <f>IFERROR(IF(OR(NOT(ISNUMBER($F15)),NOT(ISNUMBER($G15)),$G15=0),"",ROUNDUP($F15/$G15,0)),"")</f>
        <v>6.0</v>
      </c>
    </row>
    <row r="16" ht="28" customHeight="1">
      <c r="A16" s="5" t="inlineStr">
        <is>
          <t>Principal 1</t>
        </is>
      </c>
      <c r="B16" s="5" t="inlineStr">
        <is>
          <t>P2</t>
        </is>
      </c>
      <c r="C16" s="15" t="inlineStr">
        <is>
          <t>Bacalao confitado al pil-pil</t>
        </is>
      </c>
      <c r="D16" s="5" t="inlineStr">
        <is>
          <t>Pase y caliente</t>
        </is>
      </c>
      <c r="E16" s="20" t="n">
        <v>0.4</v>
      </c>
      <c r="F16" s="17">
        <f>IFERROR(IF(OR(NOT(ISNUMBER($E16)),NOT(ISNUMBER($C$8))),"",ROUND($C$8*$E16,0)),"")</f>
        <v>48.0</v>
      </c>
      <c r="G16" s="8" t="n">
        <v>12</v>
      </c>
      <c r="H16" s="17">
        <f>IFERROR(IF(OR(NOT(ISNUMBER($F16)),NOT(ISNUMBER($G16)),$G16=0),"",ROUNDUP($F16/$G16,0)),"")</f>
        <v>4.0</v>
      </c>
    </row>
    <row r="17" ht="28" customHeight="1">
      <c r="A17" s="5" t="inlineStr">
        <is>
          <t>Principal 2</t>
        </is>
      </c>
      <c r="B17" s="5" t="inlineStr">
        <is>
          <t>P1</t>
        </is>
      </c>
      <c r="C17" s="15" t="inlineStr">
        <is>
          <t>Solomillo de cerdo ibérico con puré de boniato</t>
        </is>
      </c>
      <c r="D17" s="5" t="inlineStr">
        <is>
          <t>Pase y caliente</t>
        </is>
      </c>
      <c r="E17" s="20" t="n">
        <v>0.6</v>
      </c>
      <c r="F17" s="17">
        <f>IFERROR(IF(OR(NOT(ISNUMBER($E17)),NOT(ISNUMBER($C$8))),"",ROUND($C$8*$E17,0)),"")</f>
        <v>72.0</v>
      </c>
      <c r="G17" s="8" t="n">
        <v>12</v>
      </c>
      <c r="H17" s="17">
        <f>IFERROR(IF(OR(NOT(ISNUMBER($F17)),NOT(ISNUMBER($G17)),$G17=0),"",ROUNDUP($F17/$G17,0)),"")</f>
        <v>6.0</v>
      </c>
    </row>
    <row r="18" ht="28" customHeight="1">
      <c r="A18" s="5" t="inlineStr">
        <is>
          <t>Postre</t>
        </is>
      </c>
      <c r="B18" s="5" t="inlineStr">
        <is>
          <t>D1</t>
        </is>
      </c>
      <c r="C18" s="15" t="inlineStr">
        <is>
          <t>Tarta de queso cremosa</t>
        </is>
      </c>
      <c r="D18" s="5" t="inlineStr">
        <is>
          <t>Postres y panadería</t>
        </is>
      </c>
      <c r="E18" s="20" t="n">
        <v>1</v>
      </c>
      <c r="F18" s="17">
        <f>IFERROR(IF(OR(NOT(ISNUMBER($E18)),NOT(ISNUMBER($C$8))),"",ROUND($C$8*$E18,0)),"")</f>
        <v>120.0</v>
      </c>
      <c r="G18" s="8" t="n">
        <v>12</v>
      </c>
      <c r="H18" s="17">
        <f>IFERROR(IF(OR(NOT(ISNUMBER($F18)),NOT(ISNUMBER($G18)),$G18=0),"",ROUNDUP($F18/$G18,0)),"")</f>
        <v>10.0</v>
      </c>
    </row>
    <row r="19">
      <c r="A19" s="5" t="n"/>
      <c r="B19" s="5" t="n"/>
      <c r="C19" s="5" t="n"/>
      <c r="D19" s="5" t="n"/>
      <c r="E19" s="5" t="n"/>
      <c r="F19" s="17">
        <f>IFERROR(IF(OR(NOT(ISNUMBER($E19)),NOT(ISNUMBER($C$8))),"",ROUND($C$8*$E19,0)),"")</f>
        <v/>
      </c>
      <c r="G19" s="5" t="n"/>
      <c r="H19" s="17">
        <f>IFERROR(IF(OR(NOT(ISNUMBER($F19)),NOT(ISNUMBER($G19)),$G19=0),"",ROUNDUP($F19/$G19,0)),"")</f>
        <v/>
      </c>
    </row>
    <row r="20">
      <c r="A20" s="5" t="n"/>
      <c r="B20" s="5" t="n"/>
      <c r="C20" s="5" t="n"/>
      <c r="D20" s="5" t="n"/>
      <c r="E20" s="5" t="n"/>
      <c r="F20" s="17">
        <f>IFERROR(IF(OR(NOT(ISNUMBER($E20)),NOT(ISNUMBER($C$8))),"",ROUND($C$8*$E20,0)),"")</f>
        <v/>
      </c>
      <c r="G20" s="5" t="n"/>
      <c r="H20" s="17">
        <f>IFERROR(IF(OR(NOT(ISNUMBER($F20)),NOT(ISNUMBER($G20)),$G20=0),"",ROUNDUP($F20/$G20,0)),"")</f>
        <v/>
      </c>
    </row>
    <row r="21">
      <c r="A21" s="5" t="n"/>
      <c r="B21" s="5" t="n"/>
      <c r="C21" s="5" t="n"/>
      <c r="D21" s="5" t="n"/>
      <c r="E21" s="5" t="n"/>
      <c r="F21" s="17">
        <f>IFERROR(IF(OR(NOT(ISNUMBER($E21)),NOT(ISNUMBER($C$8))),"",ROUND($C$8*$E21,0)),"")</f>
        <v/>
      </c>
      <c r="G21" s="5" t="n"/>
      <c r="H21" s="17">
        <f>IFERROR(IF(OR(NOT(ISNUMBER($F21)),NOT(ISNUMBER($G21)),$G21=0),"",ROUNDUP($F21/$G21,0)),"")</f>
        <v/>
      </c>
    </row>
    <row r="22">
      <c r="A22" s="5" t="n"/>
      <c r="B22" s="5" t="n"/>
      <c r="C22" s="5" t="n"/>
      <c r="D22" s="5" t="n"/>
      <c r="E22" s="5" t="n"/>
      <c r="F22" s="17">
        <f>IFERROR(IF(OR(NOT(ISNUMBER($E22)),NOT(ISNUMBER($C$8))),"",ROUND($C$8*$E22,0)),"")</f>
        <v/>
      </c>
      <c r="G22" s="5" t="n"/>
      <c r="H22" s="17">
        <f>IFERROR(IF(OR(NOT(ISNUMBER($F22)),NOT(ISNUMBER($G22)),$G22=0),"",ROUNDUP($F22/$G22,0)),"")</f>
        <v/>
      </c>
    </row>
    <row r="23">
      <c r="A23" s="5" t="n"/>
      <c r="B23" s="5" t="n"/>
      <c r="C23" s="5" t="n"/>
      <c r="D23" s="5" t="n"/>
      <c r="E23" s="5" t="n"/>
      <c r="F23" s="17">
        <f>IFERROR(IF(OR(NOT(ISNUMBER($E23)),NOT(ISNUMBER($C$8))),"",ROUND($C$8*$E23,0)),"")</f>
        <v/>
      </c>
      <c r="G23" s="5" t="n"/>
      <c r="H23" s="17">
        <f>IFERROR(IF(OR(NOT(ISNUMBER($F23)),NOT(ISNUMBER($G23)),$G23=0),"",ROUNDUP($F23/$G23,0)),"")</f>
        <v/>
      </c>
    </row>
    <row r="24">
      <c r="A24" s="5" t="n"/>
      <c r="B24" s="5" t="n"/>
      <c r="C24" s="5" t="n"/>
      <c r="D24" s="5" t="n"/>
      <c r="E24" s="5" t="n"/>
      <c r="F24" s="17">
        <f>IFERROR(IF(OR(NOT(ISNUMBER($E24)),NOT(ISNUMBER($C$8))),"",ROUND($C$8*$E24,0)),"")</f>
        <v/>
      </c>
      <c r="G24" s="5" t="n"/>
      <c r="H24" s="17">
        <f>IFERROR(IF(OR(NOT(ISNUMBER($F24)),NOT(ISNUMBER($G24)),$G24=0),"",ROUNDUP($F24/$G24,0)),"")</f>
        <v/>
      </c>
    </row>
    <row r="25">
      <c r="A25" s="21" t="inlineStr">
        <is>
          <t>TOTAL</t>
        </is>
      </c>
      <c r="B25" s="21" t="n"/>
      <c r="C25" s="21" t="n"/>
      <c r="D25" s="21" t="n"/>
      <c r="E25" s="22">
        <f>IF(COUNT(E13:E24)=0,"",SUM(E13:E24))</f>
        <v>5.0</v>
      </c>
      <c r="F25" s="23">
        <f>IF(COUNT(F13:F24)=0,"",SUM(F13:F24))</f>
        <v>600.0</v>
      </c>
      <c r="G25" s="21" t="n"/>
      <c r="H25" s="23">
        <f>IF(COUNT(H13:H24)=0,"",SUM(H13:H24))</f>
        <v>33.0</v>
      </c>
    </row>
    <row r="26"/>
    <row r="27">
      <c r="A27" s="3" t="inlineStr">
        <is>
          <t>PRODUCCIÓN POR PARTIDA — así se manda el trabajo</t>
        </is>
      </c>
    </row>
    <row r="28" ht="32" customHeight="1">
      <c r="A28" s="6" t="inlineStr">
        <is>
          <t>Partida</t>
        </is>
      </c>
      <c r="C28" s="6" t="inlineStr">
        <is>
          <t>Raciones a producir</t>
        </is>
      </c>
      <c r="D28" s="6" t="inlineStr">
        <is>
          <t>Unidades de producción</t>
        </is>
      </c>
      <c r="E28" s="6" t="inlineStr">
        <is>
          <t>Porcentaje del total</t>
        </is>
      </c>
    </row>
    <row r="29">
      <c r="A29" s="10" t="inlineStr">
        <is>
          <t>Pase y caliente</t>
        </is>
      </c>
      <c r="C29" s="17">
        <f>IFERROR(IF(COUNTIF($D$13:$D$24,$A29&amp;"")=0,"",SUMIF($D$13:$D$24,$A29&amp;"",$F$13:$F$24)),"")</f>
        <v>120.0</v>
      </c>
      <c r="D29" s="17">
        <f>IFERROR(IF(COUNTIF($D$13:$D$24,$A29&amp;"")=0,"",SUMIF($D$13:$D$24,$A29&amp;"",$H$13:$H$24)),"")</f>
        <v>10.0</v>
      </c>
      <c r="E29" s="24">
        <f>IFERROR(IF(OR(NOT(ISNUMBER($C29)),NOT(ISNUMBER($C$33)),$C$33=0),"",$C29/$C$33),"")</f>
        <v>0.2</v>
      </c>
      <c r="G29" t="inlineStr">
        <is>
          <t>Las partidas que no producen nada en este evento se quedan en blanco, no en cero: en esta familia «sin dato» y «cero» no son lo mismo.</t>
        </is>
      </c>
    </row>
    <row r="30">
      <c r="A30" s="10" t="inlineStr">
        <is>
          <t>Fríos y entrantes</t>
        </is>
      </c>
      <c r="C30" s="17">
        <f>IFERROR(IF(COUNTIF($D$13:$D$24,$A30&amp;"")=0,"",SUMIF($D$13:$D$24,$A30&amp;"",$F$13:$F$24)),"")</f>
        <v>360.0</v>
      </c>
      <c r="D30" s="17">
        <f>IFERROR(IF(COUNTIF($D$13:$D$24,$A30&amp;"")=0,"",SUMIF($D$13:$D$24,$A30&amp;"",$H$13:$H$24)),"")</f>
        <v>13.0</v>
      </c>
      <c r="E30" s="24">
        <f>IFERROR(IF(OR(NOT(ISNUMBER($C30)),NOT(ISNUMBER($C$33)),$C$33=0),"",$C30/$C$33),"")</f>
        <v>0.6</v>
      </c>
    </row>
    <row r="31">
      <c r="A31" s="10" t="inlineStr">
        <is>
          <t>Postres y panadería</t>
        </is>
      </c>
      <c r="C31" s="17">
        <f>IFERROR(IF(COUNTIF($D$13:$D$24,$A31&amp;"")=0,"",SUMIF($D$13:$D$24,$A31&amp;"",$F$13:$F$24)),"")</f>
        <v>120.0</v>
      </c>
      <c r="D31" s="17">
        <f>IFERROR(IF(COUNTIF($D$13:$D$24,$A31&amp;"")=0,"",SUMIF($D$13:$D$24,$A31&amp;"",$H$13:$H$24)),"")</f>
        <v>10.0</v>
      </c>
      <c r="E31" s="24">
        <f>IFERROR(IF(OR(NOT(ISNUMBER($C31)),NOT(ISNUMBER($C$33)),$C$33=0),"",$C31/$C$33),"")</f>
        <v>0.2</v>
      </c>
    </row>
    <row r="32">
      <c r="A32" s="10" t="inlineStr">
        <is>
          <t>Barra y bebidas</t>
        </is>
      </c>
      <c r="C32" s="17">
        <f>IFERROR(IF(COUNTIF($D$13:$D$24,$A32&amp;"")=0,"",SUMIF($D$13:$D$24,$A32&amp;"",$F$13:$F$24)),"")</f>
        <v/>
      </c>
      <c r="D32" s="17">
        <f>IFERROR(IF(COUNTIF($D$13:$D$24,$A32&amp;"")=0,"",SUMIF($D$13:$D$24,$A32&amp;"",$H$13:$H$24)),"")</f>
        <v/>
      </c>
      <c r="E32" s="24">
        <f>IFERROR(IF(OR(NOT(ISNUMBER($C32)),NOT(ISNUMBER($C$33)),$C$33=0),"",$C32/$C$33),"")</f>
        <v/>
      </c>
    </row>
    <row r="33">
      <c r="A33" s="21" t="inlineStr">
        <is>
          <t>TOTAL</t>
        </is>
      </c>
      <c r="B33" s="21" t="n"/>
      <c r="C33" s="23">
        <f>IF(COUNT(C29:C32)=0,"",SUM(C29:C32))</f>
        <v>600.0</v>
      </c>
      <c r="D33" s="23">
        <f>IF(COUNT(D29:D32)=0,"",SUM(D29:D32))</f>
        <v>33.0</v>
      </c>
      <c r="E33" s="25">
        <f>IF(COUNT($E$29:$E$32)=0,"",SUM($E$29:$E$32))</f>
        <v>1.0</v>
      </c>
    </row>
    <row r="34"/>
    <row r="35">
      <c r="A35" s="3" t="inlineStr">
        <is>
          <t>TIMING DEL EVENTO</t>
        </is>
      </c>
    </row>
    <row r="36" ht="28" customHeight="1">
      <c r="A36" s="6" t="inlineStr">
        <is>
          <t>Fecha</t>
        </is>
      </c>
      <c r="B36" s="6" t="inlineStr">
        <is>
          <t>Hora</t>
        </is>
      </c>
      <c r="C36" s="6" t="inlineStr">
        <is>
          <t>Hito</t>
        </is>
      </c>
      <c r="D36" s="6" t="inlineStr">
        <is>
          <t>Partida o área</t>
        </is>
      </c>
      <c r="E36" s="6" t="inlineStr">
        <is>
          <t>Responsable (id)</t>
        </is>
      </c>
      <c r="F36" s="6" t="inlineStr">
        <is>
          <t>Nombre</t>
        </is>
      </c>
    </row>
    <row r="37" ht="26" customHeight="1">
      <c r="A37" s="9" t="n">
        <v>46283</v>
      </c>
      <c r="B37" s="13" t="inlineStr">
        <is>
          <t>09:00</t>
        </is>
      </c>
      <c r="C37" s="15" t="inlineStr">
        <is>
          <t>Recepción de pescado y verdura; comprobación y etiquetado</t>
        </is>
      </c>
      <c r="D37" s="5" t="inlineStr">
        <is>
          <t>Economato</t>
        </is>
      </c>
      <c r="E37" s="13" t="inlineStr">
        <is>
          <t>P06</t>
        </is>
      </c>
      <c r="F37" s="5" t="inlineStr">
        <is>
          <t>Omar B.</t>
        </is>
      </c>
    </row>
    <row r="38" ht="26" customHeight="1">
      <c r="A38" s="9" t="n">
        <v>46283</v>
      </c>
      <c r="B38" s="13" t="inlineStr">
        <is>
          <t>11:00</t>
        </is>
      </c>
      <c r="C38" s="15" t="inlineStr">
        <is>
          <t>Masa de croqueta, alcachofas confitadas y tarta de queso</t>
        </is>
      </c>
      <c r="D38" s="5" t="inlineStr">
        <is>
          <t>Fríos y entrantes</t>
        </is>
      </c>
      <c r="E38" s="13" t="inlineStr">
        <is>
          <t>P05</t>
        </is>
      </c>
      <c r="F38" s="5" t="inlineStr">
        <is>
          <t>Laura S.</t>
        </is>
      </c>
    </row>
    <row r="39" ht="26" customHeight="1">
      <c r="A39" s="9" t="n">
        <v>46283</v>
      </c>
      <c r="B39" s="13" t="inlineStr">
        <is>
          <t>17:00</t>
        </is>
      </c>
      <c r="C39" s="15" t="inlineStr">
        <is>
          <t>Desalado del bacalao y racionado del solomillo</t>
        </is>
      </c>
      <c r="D39" s="5" t="inlineStr">
        <is>
          <t>Pase y caliente</t>
        </is>
      </c>
      <c r="E39" s="13" t="inlineStr">
        <is>
          <t>P04</t>
        </is>
      </c>
      <c r="F39" s="5" t="inlineStr">
        <is>
          <t>Diego M.</t>
        </is>
      </c>
    </row>
    <row r="40" ht="26" customHeight="1">
      <c r="A40" s="9" t="n">
        <v>46284</v>
      </c>
      <c r="B40" s="13" t="inlineStr">
        <is>
          <t>08:30</t>
        </is>
      </c>
      <c r="C40" s="15" t="inlineStr">
        <is>
          <t>Puré de boniato, salsa de Pedro Ximénez y fondo de pil-pil</t>
        </is>
      </c>
      <c r="D40" s="5" t="inlineStr">
        <is>
          <t>Pase y caliente</t>
        </is>
      </c>
      <c r="E40" s="13" t="inlineStr">
        <is>
          <t>P04</t>
        </is>
      </c>
      <c r="F40" s="5" t="inlineStr">
        <is>
          <t>Diego M.</t>
        </is>
      </c>
    </row>
    <row r="41" ht="26" customHeight="1">
      <c r="A41" s="9" t="n">
        <v>46284</v>
      </c>
      <c r="B41" s="13" t="inlineStr">
        <is>
          <t>10:00</t>
        </is>
      </c>
      <c r="C41" s="15" t="inlineStr">
        <is>
          <t>Montaje de ensaladas en bandeja y frito de croquetas de prueba</t>
        </is>
      </c>
      <c r="D41" s="5" t="inlineStr">
        <is>
          <t>Fríos y entrantes</t>
        </is>
      </c>
      <c r="E41" s="13" t="inlineStr">
        <is>
          <t>P05</t>
        </is>
      </c>
      <c r="F41" s="5" t="inlineStr">
        <is>
          <t>Laura S.</t>
        </is>
      </c>
    </row>
    <row r="42" ht="26" customHeight="1">
      <c r="A42" s="9" t="n">
        <v>46284</v>
      </c>
      <c r="B42" s="13" t="inlineStr">
        <is>
          <t>13:30</t>
        </is>
      </c>
      <c r="C42" s="15" t="inlineStr">
        <is>
          <t>Aperitivo en el jardin</t>
        </is>
      </c>
      <c r="D42" s="5" t="inlineStr">
        <is>
          <t>Fríos y entrantes</t>
        </is>
      </c>
      <c r="E42" s="13" t="inlineStr">
        <is>
          <t>P05</t>
        </is>
      </c>
      <c r="F42" s="5" t="inlineStr">
        <is>
          <t>Laura S.</t>
        </is>
      </c>
    </row>
    <row r="43" ht="26" customHeight="1">
      <c r="A43" s="9" t="n">
        <v>46284</v>
      </c>
      <c r="B43" s="13" t="inlineStr">
        <is>
          <t>14:20</t>
        </is>
      </c>
      <c r="C43" s="15" t="inlineStr">
        <is>
          <t>Toma de las comidas testigo del aperitivo y el entrante</t>
        </is>
      </c>
      <c r="D43" s="5" t="inlineStr">
        <is>
          <t>Cocina</t>
        </is>
      </c>
      <c r="E43" s="13" t="inlineStr">
        <is>
          <t>P02</t>
        </is>
      </c>
      <c r="F43" s="5" t="inlineStr">
        <is>
          <t>Iván R.</t>
        </is>
      </c>
    </row>
    <row r="44" ht="26" customHeight="1">
      <c r="A44" s="9" t="n">
        <v>46284</v>
      </c>
      <c r="B44" s="13" t="inlineStr">
        <is>
          <t>14:30</t>
        </is>
      </c>
      <c r="C44" s="15" t="inlineStr">
        <is>
          <t>Entrante en mesa</t>
        </is>
      </c>
      <c r="D44" s="5" t="inlineStr">
        <is>
          <t>Fríos y entrantes</t>
        </is>
      </c>
      <c r="E44" s="13" t="inlineStr">
        <is>
          <t>P05</t>
        </is>
      </c>
      <c r="F44" s="5" t="inlineStr">
        <is>
          <t>Laura S.</t>
        </is>
      </c>
    </row>
    <row r="45" ht="26" customHeight="1">
      <c r="A45" s="9" t="n">
        <v>46284</v>
      </c>
      <c r="B45" s="13" t="inlineStr">
        <is>
          <t>15:10</t>
        </is>
      </c>
      <c r="C45" s="15" t="inlineStr">
        <is>
          <t>Principales en mesa y toma de sus comidas testigo</t>
        </is>
      </c>
      <c r="D45" s="5" t="inlineStr">
        <is>
          <t>Pase y caliente</t>
        </is>
      </c>
      <c r="E45" s="13" t="inlineStr">
        <is>
          <t>P02</t>
        </is>
      </c>
      <c r="F45" s="5" t="inlineStr">
        <is>
          <t>Iván R.</t>
        </is>
      </c>
    </row>
    <row r="46" ht="26" customHeight="1">
      <c r="A46" s="9" t="n">
        <v>46284</v>
      </c>
      <c r="B46" s="13" t="inlineStr">
        <is>
          <t>16:00</t>
        </is>
      </c>
      <c r="C46" s="15" t="inlineStr">
        <is>
          <t>Postre y toma de su comida testigo</t>
        </is>
      </c>
      <c r="D46" s="5" t="inlineStr">
        <is>
          <t>Postres y panadería</t>
        </is>
      </c>
      <c r="E46" s="13" t="inlineStr">
        <is>
          <t>P07</t>
        </is>
      </c>
      <c r="F46" s="5" t="inlineStr">
        <is>
          <t>Rocío F.</t>
        </is>
      </c>
    </row>
    <row r="47" ht="26" customHeight="1">
      <c r="A47" s="9" t="n">
        <v>46284</v>
      </c>
      <c r="B47" s="13" t="inlineStr">
        <is>
          <t>17:30</t>
        </is>
      </c>
      <c r="C47" s="15" t="inlineStr">
        <is>
          <t>Limpieza, registro APPCC y cierre del evento</t>
        </is>
      </c>
      <c r="D47" s="5" t="inlineStr">
        <is>
          <t>Cocina</t>
        </is>
      </c>
      <c r="E47" s="13" t="inlineStr">
        <is>
          <t>P12</t>
        </is>
      </c>
      <c r="F47" s="5" t="inlineStr">
        <is>
          <t>Andrés P.</t>
        </is>
      </c>
    </row>
    <row r="48">
      <c r="A48" s="5" t="n"/>
      <c r="B48" s="5" t="n"/>
      <c r="C48" s="5" t="n"/>
      <c r="D48" s="5" t="n"/>
      <c r="E48" s="5" t="n"/>
      <c r="F48" s="5" t="n"/>
    </row>
    <row r="49">
      <c r="A49" s="5" t="n"/>
      <c r="B49" s="5" t="n"/>
      <c r="C49" s="5" t="n"/>
      <c r="D49" s="5" t="n"/>
      <c r="E49" s="5" t="n"/>
      <c r="F49" s="5" t="n"/>
    </row>
    <row r="50">
      <c r="A50" s="5" t="n"/>
      <c r="B50" s="5" t="n"/>
      <c r="C50" s="5" t="n"/>
      <c r="D50" s="5" t="n"/>
      <c r="E50" s="5" t="n"/>
      <c r="F50" s="5" t="n"/>
    </row>
    <row r="51">
      <c r="A51" s="5" t="n"/>
      <c r="B51" s="5" t="n"/>
      <c r="C51" s="5" t="n"/>
      <c r="D51" s="5" t="n"/>
      <c r="E51" s="5" t="n"/>
      <c r="F51" s="5" t="n"/>
    </row>
    <row r="52"/>
    <row r="53">
      <c r="A53" s="3" t="inlineStr">
        <is>
          <t>PERSONAL ASIGNADO AL EVENTO</t>
        </is>
      </c>
    </row>
    <row r="54" ht="28" customHeight="1">
      <c r="A54" s="6" t="inlineStr">
        <is>
          <t>Id</t>
        </is>
      </c>
      <c r="B54" s="6" t="inlineStr">
        <is>
          <t>Nombre</t>
        </is>
      </c>
      <c r="C54" s="6" t="inlineStr">
        <is>
          <t>Puesto en el evento</t>
        </is>
      </c>
      <c r="D54" s="6" t="inlineStr">
        <is>
          <t>Horas</t>
        </is>
      </c>
      <c r="E54" s="6" t="inlineStr">
        <is>
          <t>Día</t>
        </is>
      </c>
    </row>
    <row r="55">
      <c r="A55" s="13" t="inlineStr">
        <is>
          <t>P02</t>
        </is>
      </c>
      <c r="B55" s="5" t="inlineStr">
        <is>
          <t>Iván R.</t>
        </is>
      </c>
      <c r="C55" s="5" t="inlineStr">
        <is>
          <t>Jefe de cocina: pase y comidas testigo</t>
        </is>
      </c>
      <c r="D55" s="26" t="n">
        <v>11</v>
      </c>
      <c r="E55" s="9" t="n">
        <v>46284</v>
      </c>
    </row>
    <row r="56">
      <c r="A56" s="13" t="inlineStr">
        <is>
          <t>P04</t>
        </is>
      </c>
      <c r="B56" s="5" t="inlineStr">
        <is>
          <t>Diego M.</t>
        </is>
      </c>
      <c r="C56" s="5" t="inlineStr">
        <is>
          <t>Partida de caliente</t>
        </is>
      </c>
      <c r="D56" s="26" t="n">
        <v>10</v>
      </c>
      <c r="E56" s="9" t="n">
        <v>46284</v>
      </c>
    </row>
    <row r="57">
      <c r="A57" s="13" t="inlineStr">
        <is>
          <t>P05</t>
        </is>
      </c>
      <c r="B57" s="5" t="inlineStr">
        <is>
          <t>Laura S.</t>
        </is>
      </c>
      <c r="C57" s="5" t="inlineStr">
        <is>
          <t>Partida de fríos y aperitivo</t>
        </is>
      </c>
      <c r="D57" s="26" t="n">
        <v>10</v>
      </c>
      <c r="E57" s="9" t="n">
        <v>46284</v>
      </c>
    </row>
    <row r="58">
      <c r="A58" s="13" t="inlineStr">
        <is>
          <t>P06</t>
        </is>
      </c>
      <c r="B58" s="5" t="inlineStr">
        <is>
          <t>Omar B.</t>
        </is>
      </c>
      <c r="C58" s="5" t="inlineStr">
        <is>
          <t>Apoyo a caliente y economato</t>
        </is>
      </c>
      <c r="D58" s="26" t="n">
        <v>9</v>
      </c>
      <c r="E58" s="9" t="n">
        <v>46284</v>
      </c>
    </row>
    <row r="59">
      <c r="A59" s="13" t="inlineStr">
        <is>
          <t>P07</t>
        </is>
      </c>
      <c r="B59" s="5" t="inlineStr">
        <is>
          <t>Rocío F.</t>
        </is>
      </c>
      <c r="C59" s="5" t="inlineStr">
        <is>
          <t>Postres y montaje</t>
        </is>
      </c>
      <c r="D59" s="26" t="n">
        <v>8</v>
      </c>
      <c r="E59" s="9" t="n">
        <v>46284</v>
      </c>
    </row>
    <row r="60">
      <c r="A60" s="13" t="inlineStr">
        <is>
          <t>P12</t>
        </is>
      </c>
      <c r="B60" s="5" t="inlineStr">
        <is>
          <t>Andrés P.</t>
        </is>
      </c>
      <c r="C60" s="5" t="inlineStr">
        <is>
          <t>Office y limpieza</t>
        </is>
      </c>
      <c r="D60" s="26" t="n">
        <v>8</v>
      </c>
      <c r="E60" s="9" t="n">
        <v>46284</v>
      </c>
    </row>
    <row r="61">
      <c r="A61" s="5" t="n"/>
      <c r="B61" s="5" t="n"/>
      <c r="C61" s="5" t="n"/>
      <c r="D61" s="5" t="n"/>
      <c r="E61" s="5" t="n"/>
    </row>
    <row r="62">
      <c r="A62" s="5" t="n"/>
      <c r="B62" s="5" t="n"/>
      <c r="C62" s="5" t="n"/>
      <c r="D62" s="5" t="n"/>
      <c r="E62" s="5" t="n"/>
    </row>
    <row r="63">
      <c r="A63" s="5" t="n"/>
      <c r="B63" s="5" t="n"/>
      <c r="C63" s="5" t="n"/>
      <c r="D63" s="5" t="n"/>
      <c r="E63" s="5" t="n"/>
    </row>
    <row r="64">
      <c r="A64" s="21" t="inlineStr">
        <is>
          <t>TOTAL de horas del evento</t>
        </is>
      </c>
      <c r="B64" s="21" t="n"/>
      <c r="C64" s="21" t="n"/>
      <c r="D64" s="27">
        <f>IF(COUNT($D$55:$D$63)=0,"",SUM($D$55:$D$63))</f>
        <v>56.0</v>
      </c>
      <c r="E64" s="21" t="n"/>
    </row>
    <row r="65">
      <c r="A65" s="10" t="inlineStr">
        <is>
          <t>Horas de cocina por comensal</t>
        </is>
      </c>
      <c r="D65" s="28">
        <f>IFERROR(IF(OR(NOT(ISNUMBER($D$64)),NOT(ISNUMBER($C$8)),$C$8=0),"",$D$64/$C$8),"")</f>
        <v>0.4666666666666667</v>
      </c>
    </row>
    <row r="66"/>
    <row r="67" ht="44" customHeight="1">
      <c r="A67" s="4" t="inlineStr">
        <is>
          <t>Las horas de este evento son EXTRA sobre la jornada ordinaria de la brigada, así que hay que sumarlas a las horas de cocina de la semana en el cuadro de mando (libro 1). Un banquete que no se apunta en las horas hace parecer que esa semana la cocina fue cara sin motivo.</t>
        </is>
      </c>
    </row>
    <row r="68" ht="44" customHeight="1">
      <c r="A68" s="4" t="inlineStr">
        <is>
          <t>La toma de las comidas testigo está en el timing a propósito: es la única forma de que no se olvide justo el día en que hay 120 personas esperando. Verificado el 06-09-2026 · RD 1086/2020, art. 30, apartados 8, 9 y 10 · https://www.boe.es/buscar/act.php?id=BOE-A-2020-15872</t>
        </is>
      </c>
    </row>
    <row r="69" ht="44" customHeight="1">
      <c r="A69" s="4" t="inlineStr">
        <is>
          <t>Las temperaturas de servicio del banquete son las mismas de siempre: lo que se mantiene en caliente, a 63 °C o más. Verificado el 06-09-2026 · RD 1086/2020, art. 30.1, 30.2, 30.5 y 30.7 (redacción del RD 1021/2022) · https://www.boe.es/buscar/act.php?id=BOE-A-2020-15872</t>
        </is>
      </c>
    </row>
    <row r="70"/>
    <row r="71"/>
    <row r="72">
      <c r="A72" s="3" t="inlineStr">
        <is>
          <t>LISTA DEL DESPLEGABLE (no la borres)</t>
        </is>
      </c>
    </row>
    <row r="73" ht="20" customHeight="1">
      <c r="A73" s="6" t="inlineStr">
        <is>
          <t>Partidas de tu cocina</t>
        </is>
      </c>
    </row>
    <row r="74">
      <c r="A74" s="5" t="inlineStr">
        <is>
          <t>Pase y caliente</t>
        </is>
      </c>
    </row>
    <row r="75">
      <c r="A75" s="5" t="inlineStr">
        <is>
          <t>Fríos y entrantes</t>
        </is>
      </c>
    </row>
    <row r="76">
      <c r="A76" s="5" t="inlineStr">
        <is>
          <t>Postres y panadería</t>
        </is>
      </c>
    </row>
    <row r="77">
      <c r="A77" s="5" t="inlineStr">
        <is>
          <t>Barra y bebidas</t>
        </is>
      </c>
    </row>
    <row r="78">
      <c r="A78" s="5" t="inlineStr">
        <is>
          <t>Sala y servicio</t>
        </is>
      </c>
    </row>
    <row r="79">
      <c r="A79" s="5" t="inlineStr">
        <is>
          <t>Caja y cierre</t>
        </is>
      </c>
    </row>
    <row r="80">
      <c r="A80" s="4" t="inlineStr">
        <is>
          <t>Son las mismas partidas del cuadro de mando de cocina (libro 1). Cópialas de allí: este libro no lee ningún fichero ajeno.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25:D25"/>
    <mergeCell ref="A65:C65"/>
    <mergeCell ref="A68:I68"/>
    <mergeCell ref="A64:C64"/>
    <mergeCell ref="A7:B7"/>
    <mergeCell ref="A9:B9"/>
    <mergeCell ref="A30:B30"/>
    <mergeCell ref="A8:B8"/>
    <mergeCell ref="A29:B29"/>
    <mergeCell ref="A69:I69"/>
    <mergeCell ref="A28:B28"/>
    <mergeCell ref="A31:B31"/>
    <mergeCell ref="A33:B33"/>
    <mergeCell ref="A6:B6"/>
    <mergeCell ref="A32:B32"/>
    <mergeCell ref="A67:I67"/>
    <mergeCell ref="C9:I9"/>
  </mergeCells>
  <conditionalFormatting sqref="C9">
    <cfRule type="cellIs" priority="1" operator="equal" dxfId="0" stopIfTrue="1">
      <formula>"COMIDA TESTIGO OBLIGATORIA"</formula>
    </cfRule>
    <cfRule type="cellIs" priority="2" operator="equal" dxfId="1" stopIfTrue="1">
      <formula>"Por número de comensales no es obligatoria: revisa igualmente los supuestos de la tabla de abajo"</formula>
    </cfRule>
  </conditionalFormatting>
  <dataValidations count="6">
    <dataValidation sqref="D13 D14 D15 D16 D17 D18 D19 D20 D21 D22 D23 D24" showDropDown="0" showInputMessage="0" showErrorMessage="1" allowBlank="1" errorTitle="Partida" error="Elige una partida de la lista del final de esta hoja." type="list">
      <formula1>'Producción y Ficha de Banquete'!$A$74:$A$79</formula1>
    </dataValidation>
    <dataValidation sqref="E13 E14 E15 E16 E17 E18 E19 E20 E21 E22 E23 E24" showDropDown="0" showInputMessage="1" showErrorMessage="1" allowBlank="1" errorTitle="Raciones por comensal" error="Escribe un valor entre 0 y 20." promptTitle="Raciones por comensal" prompt="Cuántas raciones de este plato sirve CADA comensal: 1 si lo toman todos, 0,4 si es uno de los dos principales a elegir." type="decimal" operator="between">
      <formula1>0</formula1>
      <formula2>20</formula2>
    </dataValidation>
    <dataValidation sqref="G13 G14 G15 G16 G17 G18 G19 G20 G21 G22 G23 G24" showDropDown="0" showInputMessage="0" showErrorMessage="1" allowBlank="1" errorTitle="Raciones por unidad" error="Escribe un número mayor o igual que 1." type="decimal" operator="greaterThanOrEqual">
      <formula1>1</formula1>
    </dataValidation>
    <dataValidation sqref="A37 A38 A39 A40 A41 A42 A43 A44 A45 A46 A47 A48 A49 A50 A51" showDropDown="0" showInputMessage="0" showErrorMessage="1" allowBlank="1" errorTitle="Fecha no válida" error="Escribe una fecha (dd/mm/aaaa) entre 2020 y 2040." type="date" operator="between">
      <formula1>DATE(2020,1,1)</formula1>
      <formula2>DATE(2040,12,31)</formula2>
    </dataValidation>
    <dataValidation sqref="D55 D56 D57 D58 D59 D60 D61 D62 D63" showDropDown="0" showInputMessage="0" showErrorMessage="1" allowBlank="1" errorTitle="Horas" error="Escribe un valor entre 0 y 24." type="decimal" operator="between">
      <formula1>0</formula1>
      <formula2>24</formula2>
    </dataValidation>
    <dataValidation sqref="E55 E56 E57 E58 E59 E60 E61 E62 E63"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Banquetes y comidas testigo</dc:title>
  <dc:subject xmlns:dc="http://purl.org/dc/elements/1.1/">Manual del Chef Ejecutivo · v1.0</dc:subject>
  <dcterms:created xmlns:dcterms="http://purl.org/dc/terms/" xmlns:xsi="http://www.w3.org/2001/XMLSchema-instance" xsi:type="dcterms:W3CDTF">2026-09-06T16:13:50Z</dcterms:created>
  <dcterms:modified xmlns:dcterms="http://purl.org/dc/terms/" xmlns:xsi="http://www.w3.org/2001/XMLSchema-instance" xsi:type="dcterms:W3CDTF">2026-09-06T16:13:51Z</dcterms:modified>
  <cp:lastModifiedBy>AI Chef Pro</cp:lastModifiedBy>
</cp:coreProperties>
</file>