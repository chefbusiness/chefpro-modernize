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icha (plantilla)" sheetId="2" state="visible" r:id="rId2"/>
    <sheet xmlns:r="http://schemas.openxmlformats.org/officeDocument/2006/relationships" name="Ficha (ejemplo)" sheetId="3" state="visible" r:id="rId3"/>
    <sheet xmlns:r="http://schemas.openxmlformats.org/officeDocument/2006/relationships" name="Índice de Fichas" sheetId="4" state="visible" r:id="rId4"/>
  </sheets>
  <definedNames>
    <definedName name="_xlnm.Print_Area" localSheetId="1">'Ficha (plantilla)'!$A$1:$F$100</definedName>
    <definedName name="_xlnm.Print_Area" localSheetId="2">'Ficha (ejemplo)'!$A$1:$F$100</definedName>
    <definedName name="_xlnm.Print_Titles" localSheetId="3">'Índice de Fichas'!$9:$9</definedName>
  </definedNames>
  <calcPr calcId="124519" fullCalcOnLoad="1"/>
</workbook>
</file>

<file path=xl/styles.xml><?xml version="1.0" encoding="utf-8"?>
<styleSheet xmlns="http://schemas.openxmlformats.org/spreadsheetml/2006/main">
  <numFmts count="4">
    <numFmt numFmtId="164" formatCode="dd/mm/yyyy"/>
    <numFmt numFmtId="165" formatCode="#,##0.00 €"/>
    <numFmt numFmtId="166" formatCode="yyyy-mm-dd"/>
    <numFmt numFmtId="167" formatCode="0.0%"/>
  </numFmts>
  <fonts count="7">
    <font>
      <name val="Calibri"/>
      <family val="2"/>
      <color theme="1"/>
      <sz val="11"/>
      <scheme val="minor"/>
    </font>
    <font>
      <b val="1"/>
      <color rgb="00FFD700"/>
      <sz val="16"/>
    </font>
    <font>
      <i val="1"/>
      <sz val="9"/>
    </font>
    <font>
      <b val="1"/>
      <color theme="1"/>
      <sz val="11"/>
    </font>
    <font>
      <b val="1"/>
      <sz val="12"/>
    </font>
    <font>
      <b val="1"/>
      <color rgb="00FFFFFF"/>
    </font>
    <font>
      <i val="1"/>
      <sz val="8"/>
    </font>
  </fonts>
  <fills count="6">
    <fill>
      <patternFill/>
    </fill>
    <fill>
      <patternFill patternType="gray125"/>
    </fill>
    <fill>
      <patternFill patternType="solid">
        <fgColor rgb="00E8F5E9"/>
      </patternFill>
    </fill>
    <fill>
      <patternFill patternType="solid">
        <fgColor rgb="00FFF6DC"/>
      </patternFill>
    </fill>
    <fill>
      <patternFill patternType="solid">
        <fgColor rgb="002D2D2D"/>
      </patternFill>
    </fill>
    <fill>
      <patternFill patternType="solid">
        <fgColor rgb="00F2F2F2"/>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2" fillId="0" borderId="0" applyAlignment="1" pivotButton="0" quotePrefix="0" xfId="0">
      <alignment horizontal="general" vertical="top" wrapText="1"/>
    </xf>
    <xf numFmtId="0" fontId="3" fillId="0" borderId="0" applyAlignment="1" pivotButton="0" quotePrefix="0" xfId="0">
      <alignment horizontal="general" vertical="top" wrapText="1"/>
    </xf>
    <xf numFmtId="0" fontId="0" fillId="2" borderId="0" applyAlignment="1" applyProtection="1" pivotButton="0" quotePrefix="0" xfId="0">
      <alignment horizontal="general" vertical="top" wrapText="1"/>
      <protection locked="0" hidden="0"/>
    </xf>
    <xf numFmtId="3" fontId="0" fillId="2" borderId="0" applyAlignment="1" applyProtection="1" pivotButton="0" quotePrefix="0" xfId="0">
      <alignment horizontal="general" vertical="top" wrapText="1"/>
      <protection locked="0" hidden="0"/>
    </xf>
    <xf numFmtId="164" fontId="0" fillId="2" borderId="0" applyAlignment="1" applyProtection="1" pivotButton="0" quotePrefix="0" xfId="0">
      <alignment horizontal="general" vertical="top" wrapText="1"/>
      <protection locked="0" hidden="0"/>
    </xf>
    <xf numFmtId="165" fontId="0" fillId="2" borderId="0" applyAlignment="1" applyProtection="1" pivotButton="0" quotePrefix="0" xfId="0">
      <alignment horizontal="general" vertical="top" wrapText="1"/>
      <protection locked="0" hidden="0"/>
    </xf>
    <xf numFmtId="165" fontId="3" fillId="3" borderId="0" pivotButton="0" quotePrefix="0" xfId="0"/>
    <xf numFmtId="0" fontId="5" fillId="4" borderId="0" applyAlignment="1" pivotButton="0" quotePrefix="0" xfId="0">
      <alignment horizontal="center" vertical="center" wrapText="1"/>
    </xf>
    <xf numFmtId="0" fontId="0" fillId="4" borderId="0" pivotButton="0" quotePrefix="0" xfId="0"/>
    <xf numFmtId="3" fontId="0" fillId="0" borderId="0" applyAlignment="1" pivotButton="0" quotePrefix="0" xfId="0">
      <alignment horizontal="center" vertical="top"/>
    </xf>
    <xf numFmtId="0" fontId="3" fillId="0" borderId="0" pivotButton="0" quotePrefix="0" xfId="0"/>
    <xf numFmtId="3" fontId="3" fillId="3" borderId="0" pivotButton="0" quotePrefix="0" xfId="0"/>
    <xf numFmtId="3" fontId="0" fillId="2" borderId="0" applyProtection="1" pivotButton="0" quotePrefix="0" xfId="0">
      <protection locked="0" hidden="0"/>
    </xf>
    <xf numFmtId="164" fontId="0" fillId="0" borderId="0" pivotButton="0" quotePrefix="0" xfId="0"/>
    <xf numFmtId="0" fontId="6" fillId="0" borderId="0" pivotButton="0" quotePrefix="0" xfId="0"/>
    <xf numFmtId="164" fontId="0" fillId="2" borderId="0" applyProtection="1" pivotButton="0" quotePrefix="0" xfId="0">
      <protection locked="0" hidden="0"/>
    </xf>
    <xf numFmtId="3" fontId="0" fillId="0" borderId="0" pivotButton="0" quotePrefix="0" xfId="0"/>
    <xf numFmtId="3" fontId="0" fillId="5" borderId="0" pivotButton="0" quotePrefix="0" xfId="0"/>
    <xf numFmtId="167" fontId="3" fillId="3"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10" customWidth="1" min="1" max="1"/>
  </cols>
  <sheetData>
    <row r="1" ht="30" customHeight="1">
      <c r="A1" s="1" t="inlineStr">
        <is>
          <t>Ficha técnica de proceso</t>
        </is>
      </c>
    </row>
    <row r="2">
      <c r="A2" t="inlineStr">
        <is>
          <t>AI Chef Pro · aichef.pro — Manual del Chef Ejecutivo</t>
        </is>
      </c>
    </row>
    <row r="3">
      <c r="A3" s="2" t="inlineStr">
        <is>
          <t>Para qué sirve: que el plato salga igual lo haga quien lo haga.</t>
        </is>
      </c>
    </row>
    <row r="4"/>
    <row r="5">
      <c r="A5" s="3" t="inlineStr">
        <is>
          <t>Instrucciones de uso</t>
        </is>
      </c>
    </row>
    <row r="6" ht="44" customHeight="1">
      <c r="A6" s="4" t="inlineStr">
        <is>
          <t>1. Este libro tiene DOS fichas iguales: «Ficha (plantilla)», vacía, para imprimir o duplicar por cada plato, y «Ficha (ejemplo)», rellena con un plato del restaurante de ejemplo para que veas hasta dónde llega el detalle. Copia la plantilla una vez por plato y cámbiale el nombre a la pestaña. Todo lo que este libro llama partida (estación, en el vocabulario de la matriz de polivalencia del Manual del Manager) es la unidad de trabajo de tu cocina: pase, fríos, postres, barra.</t>
        </is>
      </c>
    </row>
    <row r="7" ht="44" customHeight="1">
      <c r="A7" s="4" t="inlineStr">
        <is>
          <t>2. Rellena primero la identificación: código, nombre, familia, partida que lo produce, cuántas raciones rinde la ficha, versión y fecha de revisión. La versión y la fecha no son burocracia: son lo que te deja saber si el cocinero está mirando la ficha buena o una impresión de hace ocho meses.</t>
        </is>
      </c>
    </row>
    <row r="8" ht="44" customHeight="1">
      <c r="A8" s="4" t="inlineStr">
        <is>
          <t>3. El COSTE por ración se COPIA de tu escandallo; esta hoja no calcula costes y no está enlazada con ningún otro fichero. Está así a propósito: un enlace entre ficheros se rompe en cuanto alguien mueve una carpeta, y entonces la ficha miente sin avisar. Si cambia el precio de compra, se actualiza en el escandallo y se vuelve a copiar aquí.</t>
        </is>
      </c>
    </row>
    <row r="9" ht="44" customHeight="1">
      <c r="A9" s="4" t="inlineStr">
        <is>
          <t>4. Escribe los pasos como se los dirías a alguien que entra hoy: una operación por línea, con el gramaje, el tiempo y la temperatura dentro de la frase. La columna «Punto de control» es para lo que hay que COMPROBAR en ese paso (temperatura en el centro, textura, peso de la ración).</t>
        </is>
      </c>
    </row>
    <row r="10" ht="44" customHeight="1">
      <c r="A10" s="4" t="inlineStr">
        <is>
          <t>5. Temperaturas: la celda «temperatura mínima de mantenimiento en caliente» viene con el mínimo legal y su norma al lado. Si el plato se mantiene en caliente antes de servirse, escribe la temperatura que mides de verdad en la celda de al lado y la ficha te dice si estás por debajo. Si el plato sale directo del fuego al pase, deja esa casilla vacía.</t>
        </is>
      </c>
    </row>
    <row r="11" ht="44" customHeight="1">
      <c r="A11" s="4" t="inlineStr">
        <is>
          <t>6. La tabla de ALÉRGENOS de esta ficha es de PROCESO: dice dónde entra cada alérgeno en ESTA elaboración, si es traza, si viene de un utensilio o una superficie compartidos, y si se puede sustituir. La declaración de carta —los 14 alérgenos por plato, la que se le enseña al cliente— se hace en la matriz de alérgenos del Pack APPCC; aquí no se duplica.</t>
        </is>
      </c>
    </row>
    <row r="12" ht="44" customHeight="1">
      <c r="A12" s="4" t="inlineStr">
        <is>
          <t>7. Conservación y vida útil: escribe cada elaboración intermedia con su conservación y sus días. Pon la fecha del lote arriba y la hoja te calcula el consumo preferente de cada una. Los días los fijas tú y los documentas: no existe una tabla legal que diga cuánto dura una salsa.</t>
        </is>
      </c>
    </row>
    <row r="13" ht="44" customHeight="1">
      <c r="A13" s="4" t="inlineStr">
        <is>
          <t>8. Hoja «Índice de Fichas»: se escribe A MANO, una línea por plato de tu carta. Es lo único que te dice cuántos platos vendes sin ficha, que es el número que de verdad importa el día que falta el jefe de partida.</t>
        </is>
      </c>
    </row>
    <row r="14"/>
    <row r="15">
      <c r="A15" s="5" t="inlineStr">
        <is>
          <t>Celdas verdes = campos editables</t>
        </is>
      </c>
    </row>
    <row r="16"/>
    <row r="17">
      <c r="A17" s="3" t="inlineStr">
        <is>
          <t>Lo que conviene saber antes de empezar</t>
        </is>
      </c>
    </row>
    <row r="18" ht="44" customHeight="1">
      <c r="A18" s="4" t="inlineStr">
        <is>
          <t>ESTA FICHA NO ES UN ESCANDALLO. El escandallo dice cuánto cuesta un plato; la ficha técnica de proceso dice cómo se hace para que salga igual. Se usan a la vez y cada una vive en su sitio: el coste, en el Kit de Escandallos o en la Guía Food Cost + Ingeniería de Menú; el proceso, aquí.</t>
        </is>
      </c>
    </row>
    <row r="19" ht="44" customHeight="1">
      <c r="A19" s="4" t="inlineStr">
        <is>
          <t>ESTA FICHA NO ES LA DECLARACIÓN DE ALÉRGENOS DE LA CARTA. La declaración por plato, con los 14 alérgenos de declaración obligatoria, se hace en la matriz de alérgenos del Pack APPCC. Aquí van los alérgenos de PROCESO de una sola elaboración. Duplicar las dos declaraciones es la forma más rápida de que un día digan cosas distintas.</t>
        </is>
      </c>
    </row>
    <row r="20" ht="44" customHeight="1">
      <c r="A20" s="4" t="inlineStr">
        <is>
          <t>Por qué el índice es manual: para rellenarse solo, Excel tendría que leer el nombre de cada pestaña con INDIRECT, una función que Google Sheets y los visores del móvil no resuelven igual. Antes que un índice que a veces funciona, un índice que se escribe a mano y siempre dice la verdad.</t>
        </is>
      </c>
    </row>
    <row r="21" ht="44" customHeight="1">
      <c r="A21" s="4" t="inlineStr">
        <is>
          <t>La ficha se cierra cuando alguien que no la escribió ejecuta el plato con ella delante y sale igual. Hasta entonces está en borrador, aunque esté escrita: eso es lo que mide la columna «ficha cerrada» del índice.</t>
        </is>
      </c>
    </row>
    <row r="22" ht="44" customHeight="1">
      <c r="A22" s="4" t="inlineStr">
        <is>
          <t>Cambiar el gramaje o el proceso de un plato que ya está en carta obliga a subir la versión y la fecha de revisión, y a decírselo a la partida. Una ficha nueva con la versión de la anterior es peor que no tener ficha.</t>
        </is>
      </c>
    </row>
    <row r="23"/>
    <row r="24">
      <c r="A24" s="3" t="inlineStr">
        <is>
          <t>Cada cuánto se usa este libro</t>
        </is>
      </c>
    </row>
    <row r="25" ht="30" customHeight="1">
      <c r="A25" s="4" t="inlineStr">
        <is>
          <t>Cadencia: UNA VEZ por plato, y cada vez que cambie el proceso o el gramaje. El índice se repasa al cerrar cada carta de temporada.</t>
        </is>
      </c>
    </row>
    <row r="26"/>
    <row r="27">
      <c r="A27" s="3" t="inlineStr">
        <is>
          <t>Lo que este libro NO hace (y dónde se hace)</t>
        </is>
      </c>
    </row>
    <row r="28" ht="30" customHeight="1">
      <c r="A28" s="4" t="inlineStr">
        <is>
          <t>Coste por ración, escandallo y rendimiento: Kit de Escandallos y Guía Food Cost + Ingeniería de Menú.</t>
        </is>
      </c>
    </row>
    <row r="29" ht="30" customHeight="1">
      <c r="A29" s="4" t="inlineStr">
        <is>
          <t>Declaración de alérgenos por plato para el cliente (14 columnas): Pack APPCC, matriz de alérgenos.</t>
        </is>
      </c>
    </row>
    <row r="30" ht="30" customHeight="1">
      <c r="A30" s="4" t="inlineStr">
        <is>
          <t>Registros de temperaturas, limpieza y plagas: Pack APPCC.</t>
        </is>
      </c>
    </row>
    <row r="31" ht="30" customHeight="1">
      <c r="A31" s="4" t="inlineStr">
        <is>
          <t>Cuánto hay que producir hoy de cada partida: libro 2 de este mismo manual, planificación de producción semanal.</t>
        </is>
      </c>
    </row>
    <row r="32" ht="30" customHeight="1">
      <c r="A32" s="4" t="inlineStr">
        <is>
          <t>Quién puede cubrir una partida: matriz de polivalencia del Manual del Manager de Restaurante.</t>
        </is>
      </c>
    </row>
    <row r="33"/>
    <row r="34">
      <c r="A34" t="inlineStr">
        <is>
          <t>Para editar la estructura o una celda que no este en verde, desprotege la hoja (sin contraseña).</t>
        </is>
      </c>
    </row>
    <row r="35">
      <c r="A35" t="inlineStr">
        <is>
          <t>Ruta en Excel: Revisar &gt; Desproteger hoja. La protección no tiene contraseña; sirve para no pisar una fórmula sin querer.</t>
        </is>
      </c>
    </row>
    <row r="36"/>
    <row r="37">
      <c r="A37" t="inlineStr">
        <is>
          <t>Diseñado por John Guerrero — chef y consultor gastronómico desde 2010 · johnguerrero.es</t>
        </is>
      </c>
    </row>
    <row r="38">
      <c r="A38"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10"/>
  <sheetViews>
    <sheetView workbookViewId="0">
      <pane ySplit="4" topLeftCell="A5" activePane="bottomLeft" state="frozen"/>
      <selection pane="bottomLeft" activeCell="A1" sqref="A1"/>
    </sheetView>
  </sheetViews>
  <sheetFormatPr baseColWidth="8" defaultRowHeight="15"/>
  <cols>
    <col width="36" customWidth="1" min="1" max="1"/>
    <col width="22" customWidth="1" min="2" max="2"/>
    <col width="22" customWidth="1" min="3" max="3"/>
    <col width="26" customWidth="1" min="4" max="4"/>
    <col width="34" customWidth="1" min="5" max="5"/>
    <col width="26" customWidth="1" min="6" max="6"/>
  </cols>
  <sheetData>
    <row r="1" ht="30" customHeight="1">
      <c r="A1" s="1" t="inlineStr">
        <is>
          <t>Ficha técnica de proceso — plantilla</t>
        </is>
      </c>
    </row>
    <row r="2">
      <c r="A2" t="inlineStr">
        <is>
          <t>AI Chef Pro · aichef.pro — Manual del Chef Ejecutivo</t>
        </is>
      </c>
    </row>
    <row r="3" ht="26" customHeight="1">
      <c r="A3" s="6" t="inlineStr">
        <is>
          <t>Duplica esta hoja una vez por plato. Todas las celdas verdes son editables; el resto se calcula o es texto fijo.</t>
        </is>
      </c>
    </row>
    <row r="4"/>
    <row r="5">
      <c r="A5" s="3" t="inlineStr">
        <is>
          <t>IDENTIFICACIÓN DE LA FICHA</t>
        </is>
      </c>
    </row>
    <row r="6">
      <c r="A6" s="7" t="inlineStr">
        <is>
          <t>Código del plato</t>
        </is>
      </c>
      <c r="B6" s="8" t="inlineStr"/>
    </row>
    <row r="7">
      <c r="A7" s="7" t="inlineStr">
        <is>
          <t>Nombre del plato</t>
        </is>
      </c>
      <c r="B7" s="8" t="inlineStr"/>
      <c r="C7" s="5" t="n"/>
      <c r="D7" s="5" t="n"/>
    </row>
    <row r="8">
      <c r="A8" s="7" t="inlineStr">
        <is>
          <t>Familia</t>
        </is>
      </c>
      <c r="B8" s="8" t="inlineStr"/>
    </row>
    <row r="9">
      <c r="A9" s="7" t="inlineStr">
        <is>
          <t>Partida que lo produce</t>
        </is>
      </c>
      <c r="B9" s="8" t="inlineStr"/>
    </row>
    <row r="10">
      <c r="A10" s="7" t="inlineStr">
        <is>
          <t>Raciones que rinde la ficha</t>
        </is>
      </c>
      <c r="B10" s="9" t="inlineStr"/>
    </row>
    <row r="11">
      <c r="A11" s="7" t="inlineStr">
        <is>
          <t>Versión de la ficha</t>
        </is>
      </c>
      <c r="B11" s="8" t="inlineStr"/>
      <c r="E11" s="6" t="inlineStr">
        <is>
          <t>Sube la versión cada vez que cambies gramaje, proceso o montaje.</t>
        </is>
      </c>
    </row>
    <row r="12">
      <c r="A12" s="7" t="inlineStr">
        <is>
          <t>Fecha de revisión</t>
        </is>
      </c>
      <c r="B12" s="10" t="inlineStr"/>
    </row>
    <row r="13">
      <c r="A13" s="7" t="inlineStr">
        <is>
          <t>Revisada por</t>
        </is>
      </c>
      <c r="B13" s="8" t="inlineStr"/>
      <c r="C13" s="5" t="n"/>
      <c r="D13" s="5" t="n"/>
    </row>
    <row r="14"/>
    <row r="15">
      <c r="A15" s="3" t="inlineStr">
        <is>
          <t>COSTE — SE COPIA DEL ESCANDALLO; ESTA HOJA NO LO CALCULA</t>
        </is>
      </c>
    </row>
    <row r="16">
      <c r="A16" s="7" t="inlineStr">
        <is>
          <t>Coste por ración copiado del escandallo (€)</t>
        </is>
      </c>
      <c r="B16" s="11" t="inlineStr"/>
    </row>
    <row r="17">
      <c r="A17" s="7" t="inlineStr">
        <is>
          <t>Raciones vendidas al mes (referencia de la carta)</t>
        </is>
      </c>
      <c r="B17" s="9" t="inlineStr"/>
    </row>
    <row r="18">
      <c r="A18" s="7" t="inlineStr">
        <is>
          <t>Coste de materia prima al mes de este plato (€)</t>
        </is>
      </c>
      <c r="B18" s="12">
        <f>IFERROR(IF(OR($B$16="",$B$17=""),"",$B$16*$B$17),"")</f>
        <v/>
      </c>
    </row>
    <row r="19" ht="30" customHeight="1">
      <c r="A19" s="6" t="inlineStr">
        <is>
          <t>Copiado de la ficha de escandallo del plato en el Kit de Escandallos / Guía Food Cost. Esta hoja NO recalcula costes: si cambia el precio de compra, se actualiza allí y se vuelve a copiar aquí.</t>
        </is>
      </c>
    </row>
    <row r="20" ht="26" customHeight="1">
      <c r="A20" s="6" t="inlineStr">
        <is>
          <t>Es coste de MATERIA PRIMA, nada más: ni personal, ni energía, ni la merma de la partida. Sirve para saber qué plato mueve de verdad tu compra, no para fijar el precio de venta.</t>
        </is>
      </c>
    </row>
    <row r="21"/>
    <row r="22">
      <c r="A22" s="3" t="inlineStr">
        <is>
          <t>PROCESO: PASOS DE ELABORACIÓN</t>
        </is>
      </c>
    </row>
    <row r="23" ht="22" customHeight="1">
      <c r="A23" s="13" t="inlineStr">
        <is>
          <t>Nº</t>
        </is>
      </c>
      <c r="B23" s="13" t="inlineStr">
        <is>
          <t>Operación</t>
        </is>
      </c>
      <c r="C23" s="14" t="n"/>
      <c r="D23" s="14" t="n"/>
      <c r="E23" s="14" t="n"/>
      <c r="F23" s="13" t="inlineStr">
        <is>
          <t>Punto de control</t>
        </is>
      </c>
    </row>
    <row r="24" ht="30" customHeight="1">
      <c r="A24" s="15" t="n">
        <v>1</v>
      </c>
      <c r="B24" s="8" t="inlineStr"/>
      <c r="C24" s="5" t="n"/>
      <c r="D24" s="5" t="n"/>
      <c r="E24" s="5" t="n"/>
      <c r="F24" s="8" t="inlineStr"/>
    </row>
    <row r="25" ht="30" customHeight="1">
      <c r="A25" s="15" t="n">
        <v>2</v>
      </c>
      <c r="B25" s="8" t="inlineStr"/>
      <c r="C25" s="5" t="n"/>
      <c r="D25" s="5" t="n"/>
      <c r="E25" s="5" t="n"/>
      <c r="F25" s="8" t="inlineStr"/>
    </row>
    <row r="26" ht="30" customHeight="1">
      <c r="A26" s="15" t="n">
        <v>3</v>
      </c>
      <c r="B26" s="8" t="inlineStr"/>
      <c r="C26" s="5" t="n"/>
      <c r="D26" s="5" t="n"/>
      <c r="E26" s="5" t="n"/>
      <c r="F26" s="8" t="inlineStr"/>
    </row>
    <row r="27" ht="30" customHeight="1">
      <c r="A27" s="15" t="n">
        <v>4</v>
      </c>
      <c r="B27" s="8" t="inlineStr"/>
      <c r="C27" s="5" t="n"/>
      <c r="D27" s="5" t="n"/>
      <c r="E27" s="5" t="n"/>
      <c r="F27" s="8" t="inlineStr"/>
    </row>
    <row r="28" ht="30" customHeight="1">
      <c r="A28" s="15" t="n">
        <v>5</v>
      </c>
      <c r="B28" s="8" t="inlineStr"/>
      <c r="C28" s="5" t="n"/>
      <c r="D28" s="5" t="n"/>
      <c r="E28" s="5" t="n"/>
      <c r="F28" s="8" t="inlineStr"/>
    </row>
    <row r="29" ht="30" customHeight="1">
      <c r="A29" s="15" t="n">
        <v>6</v>
      </c>
      <c r="B29" s="8" t="inlineStr"/>
      <c r="C29" s="5" t="n"/>
      <c r="D29" s="5" t="n"/>
      <c r="E29" s="5" t="n"/>
      <c r="F29" s="8" t="inlineStr"/>
    </row>
    <row r="30" ht="30" customHeight="1">
      <c r="A30" s="15" t="n">
        <v>7</v>
      </c>
      <c r="B30" s="8" t="inlineStr"/>
      <c r="C30" s="5" t="n"/>
      <c r="D30" s="5" t="n"/>
      <c r="E30" s="5" t="n"/>
      <c r="F30" s="8" t="inlineStr"/>
    </row>
    <row r="31" ht="30" customHeight="1">
      <c r="A31" s="15" t="n">
        <v>8</v>
      </c>
      <c r="B31" s="8" t="inlineStr"/>
      <c r="C31" s="5" t="n"/>
      <c r="D31" s="5" t="n"/>
      <c r="E31" s="5" t="n"/>
      <c r="F31" s="8" t="inlineStr"/>
    </row>
    <row r="32" ht="30" customHeight="1">
      <c r="A32" s="15" t="n">
        <v>9</v>
      </c>
      <c r="B32" s="8" t="inlineStr"/>
      <c r="C32" s="5" t="n"/>
      <c r="D32" s="5" t="n"/>
      <c r="E32" s="5" t="n"/>
      <c r="F32" s="8" t="inlineStr"/>
    </row>
    <row r="33" ht="30" customHeight="1">
      <c r="A33" s="15" t="n">
        <v>10</v>
      </c>
      <c r="B33" s="8" t="inlineStr"/>
      <c r="C33" s="5" t="n"/>
      <c r="D33" s="5" t="n"/>
      <c r="E33" s="5" t="n"/>
      <c r="F33" s="8" t="inlineStr"/>
    </row>
    <row r="34" ht="30" customHeight="1">
      <c r="A34" s="15" t="n">
        <v>11</v>
      </c>
      <c r="B34" s="8" t="inlineStr"/>
      <c r="C34" s="5" t="n"/>
      <c r="D34" s="5" t="n"/>
      <c r="E34" s="5" t="n"/>
      <c r="F34" s="8" t="inlineStr"/>
    </row>
    <row r="35" ht="30" customHeight="1">
      <c r="A35" s="15" t="n">
        <v>12</v>
      </c>
      <c r="B35" s="8" t="inlineStr"/>
      <c r="C35" s="5" t="n"/>
      <c r="D35" s="5" t="n"/>
      <c r="E35" s="5" t="n"/>
      <c r="F35" s="8" t="inlineStr"/>
    </row>
    <row r="36"/>
    <row r="37">
      <c r="A37" s="16" t="inlineStr">
        <is>
          <t>Técnicas empleadas</t>
        </is>
      </c>
      <c r="B37" s="8" t="inlineStr"/>
      <c r="C37" s="5" t="n"/>
      <c r="D37" s="5" t="n"/>
      <c r="E37" s="5" t="n"/>
      <c r="F37" s="5" t="n"/>
    </row>
    <row r="38"/>
    <row r="39">
      <c r="A39" s="3" t="inlineStr">
        <is>
          <t>TIEMPOS</t>
        </is>
      </c>
    </row>
    <row r="40">
      <c r="A40" s="7" t="inlineStr">
        <is>
          <t>Mise en place (minutos)</t>
        </is>
      </c>
      <c r="B40" s="9" t="inlineStr"/>
    </row>
    <row r="41">
      <c r="A41" s="7" t="inlineStr">
        <is>
          <t>Tiempo de pase, de la comanda al pase (minutos)</t>
        </is>
      </c>
      <c r="B41" s="9" t="inlineStr"/>
      <c r="E41" s="6" t="inlineStr">
        <is>
          <t>El tiempo de pase de esta ficha es el que alimenta el control de calidad del pase (libro 5).</t>
        </is>
      </c>
    </row>
    <row r="42">
      <c r="A42" s="7" t="inlineStr">
        <is>
          <t>Reposo (minutos)</t>
        </is>
      </c>
      <c r="B42" s="9" t="inlineStr"/>
    </row>
    <row r="43">
      <c r="A43" s="7" t="inlineStr">
        <is>
          <t>Tiempo total de la elaboración (minutos)</t>
        </is>
      </c>
      <c r="B43" s="17">
        <f>IF(COUNT($B$40:$B$42)=0,"",SUM($B$40:$B$42))</f>
        <v/>
      </c>
    </row>
    <row r="44"/>
    <row r="45">
      <c r="A45" s="3" t="inlineStr">
        <is>
          <t>PUNTO Y TEMPERATURAS</t>
        </is>
      </c>
    </row>
    <row r="46">
      <c r="A46" s="7" t="inlineStr">
        <is>
          <t>Punto de cocción y temperatura en el centro</t>
        </is>
      </c>
      <c r="B46" s="8" t="inlineStr"/>
      <c r="C46" s="5" t="n"/>
      <c r="D46" s="5" t="n"/>
      <c r="E46" s="5" t="n"/>
      <c r="F46" s="5" t="n"/>
    </row>
    <row r="47">
      <c r="A47" s="7" t="inlineStr">
        <is>
          <t>Temperatura mínima de mantenimiento en caliente (°C)</t>
        </is>
      </c>
      <c r="B47" s="9" t="n">
        <v>63</v>
      </c>
    </row>
    <row r="48" ht="42" customHeight="1">
      <c r="A48" s="6" t="inlineStr">
        <is>
          <t>Si el plato o alguno de sus componentes se mantiene en caliente antes de servirse, la temperatura no puede bajar de esa cifra. La norma admite otra temperatura si demuestras ante la autoridad que es segura (art. 30.5) y otro recalentamiento si documentas su equivalencia (art. 30.7). Verificado el 06-09-2026 · RD 1086/2020, art. 30.1, 30.2, 30.5 y 30.7 (redacción del RD 1021/2022) · https://www.boe.es/buscar/act.php?id=BOE-A-2020-15872</t>
        </is>
      </c>
    </row>
    <row r="49">
      <c r="A49" s="7" t="inlineStr">
        <is>
          <t>Temperatura de servicio medida (°C)</t>
        </is>
      </c>
      <c r="B49" s="9" t="inlineStr"/>
    </row>
    <row r="50">
      <c r="A50" s="7" t="inlineStr">
        <is>
          <t>Lectura de la temperatura de servicio</t>
        </is>
      </c>
      <c r="B50" s="16">
        <f>IF(OR(NOT(ISNUMBER($B$49)),NOT(ISNUMBER($B$47))),"",IF($B$49&gt;=$B$47,"Correcta","POR DEBAJO DEL MÍNIMO"))</f>
        <v/>
      </c>
    </row>
    <row r="51" ht="30" customHeight="1">
      <c r="A51" s="6" t="inlineStr">
        <is>
          <t>Si el plato sale del fuego directo al pase, deja vacía la casilla de temperatura medida: la lectura se queda en blanco, que es lo que quiere decir «aquí no aplica». Vacío no es cero.</t>
        </is>
      </c>
    </row>
    <row r="52"/>
    <row r="53">
      <c r="A53" s="3" t="inlineStr">
        <is>
          <t>MONTAJE Y PRESENTACIÓN</t>
        </is>
      </c>
    </row>
    <row r="54" ht="54" customHeight="1">
      <c r="A54" s="8" t="inlineStr"/>
      <c r="B54" s="5" t="n"/>
      <c r="C54" s="5" t="n"/>
      <c r="D54" s="5" t="n"/>
      <c r="E54" s="5" t="n"/>
      <c r="F54" s="5" t="n"/>
    </row>
    <row r="55" ht="26" customHeight="1">
      <c r="A55" s="6" t="inlineStr">
        <is>
          <t>Pega aquí la foto del montaje bueno, el que sale cuando lo hace quien mejor lo hace. Una ficha sin foto se interpreta, y una ficha que se interpreta no es un estándar.</t>
        </is>
      </c>
    </row>
    <row r="56"/>
    <row r="57">
      <c r="A57" s="3" t="inlineStr">
        <is>
          <t>ALÉRGENOS DE PROCESO DE ESTA ELABORACIÓN</t>
        </is>
      </c>
    </row>
    <row r="58" ht="42" customHeight="1">
      <c r="A58" s="6" t="inlineStr">
        <is>
          <t>Esta tabla es de PROCESO: dice dónde entra cada alérgeno en ESTA elaboración y si se puede sustituir. La declaración de carta (los 14 alérgenos por plato, para el cliente) se hace en la matriz de alérgenos del Pack APPCC; no se duplica aquí. El cartel de «consulte al personal» no basta sin soporte escrito (CE-06, MM-31).</t>
        </is>
      </c>
    </row>
    <row r="59" ht="32" customHeight="1">
      <c r="A59" s="13" t="inlineStr">
        <is>
          <t>Alérgeno</t>
        </is>
      </c>
      <c r="B59" s="13" t="inlineStr">
        <is>
          <t>Estado en esta elaboración</t>
        </is>
      </c>
      <c r="C59" s="13" t="inlineStr">
        <is>
          <t>Dónde entra en ESTA elaboración</t>
        </is>
      </c>
      <c r="D59" s="14" t="n"/>
      <c r="E59" s="13" t="inlineStr">
        <is>
          <t>Sustitución posible</t>
        </is>
      </c>
      <c r="F59" s="14" t="n"/>
    </row>
    <row r="60" ht="32" customHeight="1">
      <c r="A60" s="8" t="inlineStr"/>
      <c r="B60" s="8" t="inlineStr"/>
      <c r="C60" s="8" t="inlineStr"/>
      <c r="D60" s="5" t="n"/>
      <c r="E60" s="8" t="inlineStr"/>
      <c r="F60" s="5" t="n"/>
    </row>
    <row r="61" ht="32" customHeight="1">
      <c r="A61" s="8" t="inlineStr"/>
      <c r="B61" s="8" t="inlineStr"/>
      <c r="C61" s="8" t="inlineStr"/>
      <c r="D61" s="5" t="n"/>
      <c r="E61" s="8" t="inlineStr"/>
      <c r="F61" s="5" t="n"/>
    </row>
    <row r="62" ht="32" customHeight="1">
      <c r="A62" s="8" t="inlineStr"/>
      <c r="B62" s="8" t="inlineStr"/>
      <c r="C62" s="8" t="inlineStr"/>
      <c r="D62" s="5" t="n"/>
      <c r="E62" s="8" t="inlineStr"/>
      <c r="F62" s="5" t="n"/>
    </row>
    <row r="63" ht="32" customHeight="1">
      <c r="A63" s="8" t="inlineStr"/>
      <c r="B63" s="8" t="inlineStr"/>
      <c r="C63" s="8" t="inlineStr"/>
      <c r="D63" s="5" t="n"/>
      <c r="E63" s="8" t="inlineStr"/>
      <c r="F63" s="5" t="n"/>
    </row>
    <row r="64" ht="32" customHeight="1">
      <c r="A64" s="8" t="inlineStr"/>
      <c r="B64" s="8" t="inlineStr"/>
      <c r="C64" s="8" t="inlineStr"/>
      <c r="D64" s="5" t="n"/>
      <c r="E64" s="8" t="inlineStr"/>
      <c r="F64" s="5" t="n"/>
    </row>
    <row r="65" ht="32" customHeight="1">
      <c r="A65" s="8" t="inlineStr"/>
      <c r="B65" s="8" t="inlineStr"/>
      <c r="C65" s="8" t="inlineStr"/>
      <c r="D65" s="5" t="n"/>
      <c r="E65" s="8" t="inlineStr"/>
      <c r="F65" s="5" t="n"/>
    </row>
    <row r="66" ht="32" customHeight="1">
      <c r="A66" s="8" t="inlineStr"/>
      <c r="B66" s="8" t="inlineStr"/>
      <c r="C66" s="8" t="inlineStr"/>
      <c r="D66" s="5" t="n"/>
      <c r="E66" s="8" t="inlineStr"/>
      <c r="F66" s="5" t="n"/>
    </row>
    <row r="67" ht="32" customHeight="1">
      <c r="A67" s="8" t="inlineStr"/>
      <c r="B67" s="8" t="inlineStr"/>
      <c r="C67" s="8" t="inlineStr"/>
      <c r="D67" s="5" t="n"/>
      <c r="E67" s="8" t="inlineStr"/>
      <c r="F67" s="5" t="n"/>
    </row>
    <row r="68" ht="32" customHeight="1">
      <c r="A68" s="8" t="inlineStr"/>
      <c r="B68" s="8" t="inlineStr"/>
      <c r="C68" s="8" t="inlineStr"/>
      <c r="D68" s="5" t="n"/>
      <c r="E68" s="8" t="inlineStr"/>
      <c r="F68" s="5" t="n"/>
    </row>
    <row r="69" ht="32" customHeight="1">
      <c r="A69" s="8" t="inlineStr"/>
      <c r="B69" s="8" t="inlineStr"/>
      <c r="C69" s="8" t="inlineStr"/>
      <c r="D69" s="5" t="n"/>
      <c r="E69" s="8" t="inlineStr"/>
      <c r="F69" s="5" t="n"/>
    </row>
    <row r="70" ht="32" customHeight="1">
      <c r="A70" s="8" t="inlineStr"/>
      <c r="B70" s="8" t="inlineStr"/>
      <c r="C70" s="8" t="inlineStr"/>
      <c r="D70" s="5" t="n"/>
      <c r="E70" s="8" t="inlineStr"/>
      <c r="F70" s="5" t="n"/>
    </row>
    <row r="71" ht="32" customHeight="1">
      <c r="A71" s="8" t="inlineStr"/>
      <c r="B71" s="8" t="inlineStr"/>
      <c r="C71" s="8" t="inlineStr"/>
      <c r="D71" s="5" t="n"/>
      <c r="E71" s="8" t="inlineStr"/>
      <c r="F71" s="5" t="n"/>
    </row>
    <row r="72"/>
    <row r="73" ht="20" customHeight="1">
      <c r="A73" s="13" t="inlineStr">
        <is>
          <t>Estado</t>
        </is>
      </c>
      <c r="B73" s="13" t="inlineStr">
        <is>
          <t>Qué quiere decir</t>
        </is>
      </c>
      <c r="C73" s="14" t="n"/>
      <c r="D73" s="14" t="n"/>
      <c r="E73" s="14" t="n"/>
      <c r="F73" s="14" t="n"/>
    </row>
    <row r="74" ht="26" customHeight="1">
      <c r="A74" s="7" t="inlineStr">
        <is>
          <t>Presente</t>
        </is>
      </c>
      <c r="B74" s="4" t="inlineStr">
        <is>
          <t>El alérgeno es un ingrediente de esta elaboración.</t>
        </is>
      </c>
    </row>
    <row r="75" ht="26" customHeight="1">
      <c r="A75" s="7" t="inlineStr">
        <is>
          <t>Traza en esta elaboración</t>
        </is>
      </c>
      <c r="B75" s="4" t="inlineStr">
        <is>
          <t>No es ingrediente, pero puede llegar por una materia prima de proveedor: hay que comprobar su ficha.</t>
        </is>
      </c>
    </row>
    <row r="76" ht="26" customHeight="1">
      <c r="A76" s="7" t="inlineStr">
        <is>
          <t>Utensilio o superficie compartidos</t>
        </is>
      </c>
      <c r="B76" s="4" t="inlineStr">
        <is>
          <t>No es ingrediente ni traza de la materia prima: entra por un utensilio o una superficie que se comparten con otra elaboración.</t>
        </is>
      </c>
    </row>
    <row r="77" ht="26" customHeight="1">
      <c r="A77" s="7" t="inlineStr">
        <is>
          <t>No interviene</t>
        </is>
      </c>
      <c r="B77" s="4" t="inlineStr">
        <is>
          <t>Ni ingrediente, ni traza, ni contacto: en esta elaboración no aparece.</t>
        </is>
      </c>
    </row>
    <row r="78"/>
    <row r="79">
      <c r="A79" s="7" t="inlineStr">
        <is>
          <t>Alérgenos presentes como ingrediente</t>
        </is>
      </c>
      <c r="B79" s="17">
        <f>IFERROR(COUNTIF($B$60:$B$71,$A$74),"")</f>
        <v>0.0</v>
      </c>
    </row>
    <row r="80">
      <c r="A80" s="7" t="inlineStr">
        <is>
          <t>Alérgenos por traza en esta elaboración</t>
        </is>
      </c>
      <c r="B80" s="17">
        <f>IFERROR(COUNTIF($B$60:$B$71,$A$75),"")</f>
        <v>0.0</v>
      </c>
    </row>
    <row r="81">
      <c r="A81" s="7" t="inlineStr">
        <is>
          <t>Alérgenos por utensilio o superficie compartidos</t>
        </is>
      </c>
      <c r="B81" s="17">
        <f>IFERROR(COUNTIF($B$60:$B$71,$A$76),"")</f>
        <v>0.0</v>
      </c>
    </row>
    <row r="82" ht="42" customHeight="1">
      <c r="A82" s="6" t="inlineStr">
        <is>
          <t>El utensilio y la superficie compartidos no son una manía: el equipo o el recipiente que ha tocado un alérgeno no se puede reutilizar para un alimento sin ese alérgeno salvo limpieza y comprobación de que no quedan restos visibles. Verificado el 06-09-2026 · Reglamento (CE) 852/2004, Anexo II, Cap. IX, punto 9 (redacción del Reglamento 2021/382) · https://eur-lex.europa.eu/legal-content/ES/TXT/HTML/?uri=CELEX:02004R0852-20210324</t>
        </is>
      </c>
    </row>
    <row r="83" ht="42" customHeight="1">
      <c r="A83" s="6" t="inlineStr">
        <is>
          <t>Y el cartel de «consulte al personal» no basta por sí solo: la información oral sólo vale si además está escrita y accesible al personal, a la autoridad de control y a quien la pida. Verificado el 06-09-2026 · Reglamento (UE) 1169/2011 Anexo II y art. 44.1; RD 126/2015 art. 6.5 · https://www.boe.es/buscar/act.php?id=BOE-A-2015-2293</t>
        </is>
      </c>
    </row>
    <row r="84"/>
    <row r="85">
      <c r="A85" s="3" t="inlineStr">
        <is>
          <t>CONSERVACIÓN Y VIDA ÚTIL</t>
        </is>
      </c>
    </row>
    <row r="86">
      <c r="A86" s="7" t="inlineStr">
        <is>
          <t>Fecha de elaboración del lote</t>
        </is>
      </c>
      <c r="B86" s="10" t="inlineStr"/>
      <c r="E86" s="6" t="inlineStr">
        <is>
          <t>Cámbiala y se recalculan todos los consumos preferentes de abajo.</t>
        </is>
      </c>
    </row>
    <row r="87" ht="32" customHeight="1">
      <c r="A87" s="13" t="inlineStr">
        <is>
          <t>Elaboración</t>
        </is>
      </c>
      <c r="B87" s="13" t="inlineStr">
        <is>
          <t>Conservación</t>
        </is>
      </c>
      <c r="C87" s="14" t="n"/>
      <c r="D87" s="13" t="inlineStr">
        <is>
          <t>Vida útil (días)</t>
        </is>
      </c>
      <c r="E87" s="13" t="inlineStr">
        <is>
          <t>Consumo preferente</t>
        </is>
      </c>
      <c r="F87" s="13" t="inlineStr">
        <is>
          <t>Comprobación</t>
        </is>
      </c>
    </row>
    <row r="88" ht="26" customHeight="1">
      <c r="A88" s="8" t="inlineStr"/>
      <c r="B88" s="8" t="inlineStr"/>
      <c r="C88" s="5" t="n"/>
      <c r="D88" s="18" t="inlineStr"/>
      <c r="E88" s="19">
        <f>IFERROR(IF(OR($B$86="",$D88=""),"",$B$86+$D88),"")</f>
        <v/>
      </c>
      <c r="F88" s="8" t="inlineStr"/>
    </row>
    <row r="89" ht="26" customHeight="1">
      <c r="A89" s="8" t="inlineStr"/>
      <c r="B89" s="8" t="inlineStr"/>
      <c r="C89" s="5" t="n"/>
      <c r="D89" s="18" t="inlineStr"/>
      <c r="E89" s="19">
        <f>IFERROR(IF(OR($B$86="",$D89=""),"",$B$86+$D89),"")</f>
        <v/>
      </c>
      <c r="F89" s="8" t="inlineStr"/>
    </row>
    <row r="90" ht="26" customHeight="1">
      <c r="A90" s="8" t="inlineStr"/>
      <c r="B90" s="8" t="inlineStr"/>
      <c r="C90" s="5" t="n"/>
      <c r="D90" s="18" t="inlineStr"/>
      <c r="E90" s="19">
        <f>IFERROR(IF(OR($B$86="",$D90=""),"",$B$86+$D90),"")</f>
        <v/>
      </c>
      <c r="F90" s="8" t="inlineStr"/>
    </row>
    <row r="91" ht="26" customHeight="1">
      <c r="A91" s="8" t="inlineStr"/>
      <c r="B91" s="8" t="inlineStr"/>
      <c r="C91" s="5" t="n"/>
      <c r="D91" s="18" t="inlineStr"/>
      <c r="E91" s="19">
        <f>IFERROR(IF(OR($B$86="",$D91=""),"",$B$86+$D91),"")</f>
        <v/>
      </c>
      <c r="F91" s="8" t="inlineStr"/>
    </row>
    <row r="92" ht="26" customHeight="1">
      <c r="A92" s="8" t="inlineStr"/>
      <c r="B92" s="8" t="inlineStr"/>
      <c r="C92" s="5" t="n"/>
      <c r="D92" s="18" t="inlineStr"/>
      <c r="E92" s="19">
        <f>IFERROR(IF(OR($B$86="",$D92=""),"",$B$86+$D92),"")</f>
        <v/>
      </c>
      <c r="F92" s="8" t="inlineStr"/>
    </row>
    <row r="93" ht="26" customHeight="1">
      <c r="A93" s="8" t="inlineStr"/>
      <c r="B93" s="8" t="inlineStr"/>
      <c r="C93" s="5" t="n"/>
      <c r="D93" s="18" t="inlineStr"/>
      <c r="E93" s="19">
        <f>IFERROR(IF(OR($B$86="",$D93=""),"",$B$86+$D93),"")</f>
        <v/>
      </c>
      <c r="F93" s="8" t="inlineStr"/>
    </row>
    <row r="94" ht="26" customHeight="1">
      <c r="A94" s="8" t="inlineStr"/>
      <c r="B94" s="8" t="inlineStr"/>
      <c r="C94" s="5" t="n"/>
      <c r="D94" s="18" t="inlineStr"/>
      <c r="E94" s="19">
        <f>IFERROR(IF(OR($B$86="",$D94=""),"",$B$86+$D94),"")</f>
        <v/>
      </c>
      <c r="F94" s="8" t="inlineStr"/>
    </row>
    <row r="95" ht="26" customHeight="1">
      <c r="A95" s="8" t="inlineStr"/>
      <c r="B95" s="8" t="inlineStr"/>
      <c r="C95" s="5" t="n"/>
      <c r="D95" s="18" t="inlineStr"/>
      <c r="E95" s="19">
        <f>IFERROR(IF(OR($B$86="",$D95=""),"",$B$86+$D95),"")</f>
        <v/>
      </c>
      <c r="F95" s="8" t="inlineStr"/>
    </row>
    <row r="96" ht="42" customHeight="1">
      <c r="A96" s="6" t="inlineStr">
        <is>
          <t>No existe una cifra legal general de días de vida útil para una elaboración propia (CE-37). Los días de esta tabla son de la casa y salen de las pruebas hechas en el propio local; si el plato favorece el crecimiento de Listeria hay que documentar un estudio de vida útil (CE-08). Verificado el 06-09-2026 · Síntesis de CE-08 + CE-13 + CE-35 · https://eur-lex.europa.eu/legal-content/ES/TXT/HTML/?uri=CELEX:02005R2073-20200308</t>
        </is>
      </c>
    </row>
    <row r="97" ht="42" customHeight="1">
      <c r="A97" s="6" t="inlineStr">
        <is>
          <t>Si el plato es un listo para consumo que favorece el crecimiento de Listeria monocytogenes, los días no los pones a ojo: hace falta un estudio de vida útil documentado. Verificado el 06-09-2026 · Reglamento (CE) 2073/2005, art. 1 y Anexo II · https://eur-lex.europa.eu/legal-content/ES/TXT/HTML/?uri=CELEX:02005R2073-20200308</t>
        </is>
      </c>
    </row>
    <row r="98" ht="54" customHeight="1">
      <c r="A98" s="6" t="inlineStr">
        <is>
          <t>Al congelar una elaboración propia hacen falta TRES fechas: elaboración, congelación y caducidad del congelado. Verificado el 06-09-2026 · RD 1021/2022, art. 5 · https://www.boe.es/buscar/act.php?id=BOE-A-2022-21681. Y si envasas al vacío, la recomendación de la AESAN para la V gama es conservar por debajo de 4 °C. Verificado el 06-09-2026 · Informe del Comité Científico de la AESAN sobre botulismo en envasados al vacío, 2024 · https://acsa.gencat.cat/es/detall/noticia/informe-botulisme</t>
        </is>
      </c>
    </row>
    <row r="99"/>
    <row r="100">
      <c r="A100" s="20" t="inlineStr">
        <is>
          <t>Versión 1.0 · septiembre 2026 · aichef.pro/manual-chef-ejecutivo · info@aichef.pro</t>
        </is>
      </c>
    </row>
    <row r="101"/>
    <row r="102"/>
    <row r="103">
      <c r="A103" s="3" t="inlineStr">
        <is>
          <t>LISTAS DE REFERENCIA DE LOS DESPLEGABLES (fuera del área de impresión)</t>
        </is>
      </c>
    </row>
    <row r="104" ht="20" customHeight="1">
      <c r="A104" s="13" t="inlineStr">
        <is>
          <t>Partidas</t>
        </is>
      </c>
      <c r="B104" s="13" t="inlineStr">
        <is>
          <t>Familias de carta</t>
        </is>
      </c>
    </row>
    <row r="105">
      <c r="A105" t="inlineStr">
        <is>
          <t>Pase y caliente</t>
        </is>
      </c>
      <c r="B105" t="inlineStr">
        <is>
          <t>Entrantes</t>
        </is>
      </c>
    </row>
    <row r="106">
      <c r="A106" t="inlineStr">
        <is>
          <t>Fríos y entrantes</t>
        </is>
      </c>
      <c r="B106" t="inlineStr">
        <is>
          <t>Postres</t>
        </is>
      </c>
    </row>
    <row r="107">
      <c r="A107" t="inlineStr">
        <is>
          <t>Postres y panadería</t>
        </is>
      </c>
      <c r="B107" t="inlineStr">
        <is>
          <t>Principales</t>
        </is>
      </c>
    </row>
    <row r="108">
      <c r="A108" t="inlineStr">
        <is>
          <t>Barra y bebidas</t>
        </is>
      </c>
    </row>
    <row r="109">
      <c r="A109" t="inlineStr">
        <is>
          <t>Sala y servicio</t>
        </is>
      </c>
    </row>
    <row r="110">
      <c r="A110" t="inlineStr">
        <is>
          <t>Caja y cierre</t>
        </is>
      </c>
    </row>
  </sheetData>
  <sheetProtection selectLockedCells="0" selectUnlockedCells="0" sheet="1" objects="0" insertRows="0" insertHyperlinks="1" autoFilter="1" scenarios="0" formatColumns="0" deleteColumns="1" insertColumns="1" pivotTables="1" deleteRows="1" formatCells="1" formatRows="0" sort="0"/>
  <mergeCells count="71">
    <mergeCell ref="C68:D68"/>
    <mergeCell ref="A98:F98"/>
    <mergeCell ref="B89:C89"/>
    <mergeCell ref="B46:F46"/>
    <mergeCell ref="C66:D66"/>
    <mergeCell ref="B30:E30"/>
    <mergeCell ref="B34:E34"/>
    <mergeCell ref="A19:F19"/>
    <mergeCell ref="A51:F51"/>
    <mergeCell ref="A54:F54"/>
    <mergeCell ref="C63:D63"/>
    <mergeCell ref="E59:F59"/>
    <mergeCell ref="E67:F67"/>
    <mergeCell ref="A20:F20"/>
    <mergeCell ref="E70:F70"/>
    <mergeCell ref="B77:F77"/>
    <mergeCell ref="B74:F74"/>
    <mergeCell ref="B32:E32"/>
    <mergeCell ref="E68:F68"/>
    <mergeCell ref="B27:E27"/>
    <mergeCell ref="B95:C95"/>
    <mergeCell ref="E62:F62"/>
    <mergeCell ref="A96:F96"/>
    <mergeCell ref="A97:F97"/>
    <mergeCell ref="C64:D64"/>
    <mergeCell ref="B87:C87"/>
    <mergeCell ref="C61:D61"/>
    <mergeCell ref="C69:D69"/>
    <mergeCell ref="B93:C93"/>
    <mergeCell ref="B25:E25"/>
    <mergeCell ref="C70:D70"/>
    <mergeCell ref="E63:F63"/>
    <mergeCell ref="A83:F83"/>
    <mergeCell ref="B26:E26"/>
    <mergeCell ref="C60:D60"/>
    <mergeCell ref="C71:D71"/>
    <mergeCell ref="B88:C88"/>
    <mergeCell ref="E64:F64"/>
    <mergeCell ref="A82:F82"/>
    <mergeCell ref="B31:E31"/>
    <mergeCell ref="B33:E33"/>
    <mergeCell ref="B24:E24"/>
    <mergeCell ref="C62:D62"/>
    <mergeCell ref="B76:F76"/>
    <mergeCell ref="C65:D65"/>
    <mergeCell ref="B75:F75"/>
    <mergeCell ref="B23:E23"/>
    <mergeCell ref="E61:F61"/>
    <mergeCell ref="E69:F69"/>
    <mergeCell ref="E60:F60"/>
    <mergeCell ref="B35:E35"/>
    <mergeCell ref="B29:E29"/>
    <mergeCell ref="B7:D7"/>
    <mergeCell ref="A48:F48"/>
    <mergeCell ref="E66:F66"/>
    <mergeCell ref="B94:C94"/>
    <mergeCell ref="B13:D13"/>
    <mergeCell ref="A55:F55"/>
    <mergeCell ref="C59:D59"/>
    <mergeCell ref="C67:D67"/>
    <mergeCell ref="B73:F73"/>
    <mergeCell ref="E71:F71"/>
    <mergeCell ref="B90:C90"/>
    <mergeCell ref="B91:C91"/>
    <mergeCell ref="B92:C92"/>
    <mergeCell ref="A3:F3"/>
    <mergeCell ref="B28:E28"/>
    <mergeCell ref="B37:F37"/>
    <mergeCell ref="A58:F58"/>
    <mergeCell ref="B50:D50"/>
    <mergeCell ref="E65:F65"/>
  </mergeCells>
  <conditionalFormatting sqref="B50:D50">
    <cfRule type="cellIs" priority="1" operator="equal" dxfId="0" stopIfTrue="1">
      <formula>"Correcta"</formula>
    </cfRule>
    <cfRule type="cellIs" priority="2" operator="equal" dxfId="1" stopIfTrue="1">
      <formula>"POR DEBAJO DEL MÍNIMO"</formula>
    </cfRule>
  </conditionalFormatting>
  <conditionalFormatting sqref="B60:B71">
    <cfRule type="cellIs" priority="3" operator="equal" dxfId="1" stopIfTrue="1">
      <formula>"Presente"</formula>
    </cfRule>
    <cfRule type="cellIs" priority="4" operator="equal" dxfId="2" stopIfTrue="1">
      <formula>"Traza en esta elaboración"</formula>
    </cfRule>
    <cfRule type="cellIs" priority="5" operator="equal" dxfId="2" stopIfTrue="1">
      <formula>"Utensilio o superficie compartidos"</formula>
    </cfRule>
    <cfRule type="cellIs" priority="6" operator="equal" dxfId="3" stopIfTrue="1">
      <formula>"No interviene"</formula>
    </cfRule>
  </conditionalFormatting>
  <dataValidations count="7">
    <dataValidation sqref="B60 B61 B62 B63 B64 B65 B66 B67 B68 B69 B70 B71" showDropDown="0" showInputMessage="0" showErrorMessage="1" allowBlank="1" errorTitle="Estado del alérgeno" error="Elige uno de los cuatro estados de la leyenda de abajo." type="list">
      <formula1>'Ficha (plantilla)'!$A$74:$A$77</formula1>
    </dataValidation>
    <dataValidation sqref="B9" showDropDown="0" showInputMessage="0" showErrorMessage="1" allowBlank="1" errorTitle="Partida" error="Elige una de las partidas de tu cocina." type="list">
      <formula1>'Ficha (plantilla)'!$A$105:$A$110</formula1>
    </dataValidation>
    <dataValidation sqref="B8" showDropDown="0" showInputMessage="0" showErrorMessage="1" allowBlank="1" errorTitle="Familia de carta" error="Elige una familia de la carta." type="list">
      <formula1>'Ficha (plantilla)'!$B$105:$B$107</formula1>
    </dataValidation>
    <dataValidation sqref="B10 B17 B40 B41 B42 D88 D89 D90 D91 D92 D93 D94 D95" showDropDown="0" showInputMessage="0" showErrorMessage="1" allowBlank="1" errorTitle="Recuento" error="Escribe un número mayor o igual que 0." type="decimal" operator="greaterThanOrEqual">
      <formula1>0</formula1>
    </dataValidation>
    <dataValidation sqref="B16" showDropDown="0" showInputMessage="0" showErrorMessage="1" allowBlank="1" errorTitle="Importe (€)" error="Escribe un número mayor o igual que 0." type="decimal" operator="greaterThanOrEqual">
      <formula1>0</formula1>
    </dataValidation>
    <dataValidation sqref="B47 B49" showDropDown="0" showInputMessage="0" showErrorMessage="1" allowBlank="1" errorTitle="Temperatura (°C)" error="Escribe la temperatura en grados centígrados." type="decimal" operator="between">
      <formula1>-40</formula1>
      <formula2>300</formula2>
    </dataValidation>
    <dataValidation sqref="B12 B8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10"/>
  <sheetViews>
    <sheetView workbookViewId="0">
      <pane ySplit="4" topLeftCell="A5" activePane="bottomLeft" state="frozen"/>
      <selection pane="bottomLeft" activeCell="A1" sqref="A1"/>
    </sheetView>
  </sheetViews>
  <sheetFormatPr baseColWidth="8" defaultRowHeight="15"/>
  <cols>
    <col width="36" customWidth="1" min="1" max="1"/>
    <col width="22" customWidth="1" min="2" max="2"/>
    <col width="22" customWidth="1" min="3" max="3"/>
    <col width="26" customWidth="1" min="4" max="4"/>
    <col width="34" customWidth="1" min="5" max="5"/>
    <col width="26" customWidth="1" min="6" max="6"/>
  </cols>
  <sheetData>
    <row r="1" ht="30" customHeight="1">
      <c r="A1" s="1" t="inlineStr">
        <is>
          <t>Ficha técnica de proceso — ejemplo relleno</t>
        </is>
      </c>
    </row>
    <row r="2">
      <c r="A2" t="inlineStr">
        <is>
          <t>AI Chef Pro · aichef.pro — Manual del Chef Ejecutivo</t>
        </is>
      </c>
    </row>
    <row r="3" ht="26" customHeight="1">
      <c r="A3" s="6" t="inlineStr">
        <is>
          <t>Ejemplo del restaurante modelado del manual: un plato real de la carta, con su proceso completo. Cambia lo que quieras: todas las celdas verdes son tuyas.</t>
        </is>
      </c>
    </row>
    <row r="4"/>
    <row r="5">
      <c r="A5" s="3" t="inlineStr">
        <is>
          <t>IDENTIFICACIÓN DE LA FICHA</t>
        </is>
      </c>
    </row>
    <row r="6">
      <c r="A6" s="7" t="inlineStr">
        <is>
          <t>Código del plato</t>
        </is>
      </c>
      <c r="B6" s="8" t="inlineStr">
        <is>
          <t>P1</t>
        </is>
      </c>
    </row>
    <row r="7">
      <c r="A7" s="7" t="inlineStr">
        <is>
          <t>Nombre del plato</t>
        </is>
      </c>
      <c r="B7" s="8" t="inlineStr">
        <is>
          <t>Solomillo de cerdo ibérico con puré de boniato</t>
        </is>
      </c>
      <c r="C7" s="5" t="n"/>
      <c r="D7" s="5" t="n"/>
    </row>
    <row r="8">
      <c r="A8" s="7" t="inlineStr">
        <is>
          <t>Familia</t>
        </is>
      </c>
      <c r="B8" s="8" t="inlineStr">
        <is>
          <t>Principales</t>
        </is>
      </c>
    </row>
    <row r="9">
      <c r="A9" s="7" t="inlineStr">
        <is>
          <t>Partida que lo produce</t>
        </is>
      </c>
      <c r="B9" s="8" t="inlineStr">
        <is>
          <t>Pase y caliente</t>
        </is>
      </c>
    </row>
    <row r="10">
      <c r="A10" s="7" t="inlineStr">
        <is>
          <t>Raciones que rinde la ficha</t>
        </is>
      </c>
      <c r="B10" s="9" t="n">
        <v>1</v>
      </c>
    </row>
    <row r="11">
      <c r="A11" s="7" t="inlineStr">
        <is>
          <t>Versión de la ficha</t>
        </is>
      </c>
      <c r="B11" s="8" t="inlineStr">
        <is>
          <t>1.2</t>
        </is>
      </c>
      <c r="E11" s="6" t="inlineStr">
        <is>
          <t>Sube la versión cada vez que cambies gramaje, proceso o montaje.</t>
        </is>
      </c>
    </row>
    <row r="12">
      <c r="A12" s="7" t="inlineStr">
        <is>
          <t>Fecha de revisión</t>
        </is>
      </c>
      <c r="B12" s="10" t="n">
        <v>46271</v>
      </c>
    </row>
    <row r="13">
      <c r="A13" s="7" t="inlineStr">
        <is>
          <t>Revisada por</t>
        </is>
      </c>
      <c r="B13" s="8" t="inlineStr">
        <is>
          <t>P02 (jefe de cocina)</t>
        </is>
      </c>
      <c r="C13" s="5" t="n"/>
      <c r="D13" s="5" t="n"/>
    </row>
    <row r="14"/>
    <row r="15">
      <c r="A15" s="3" t="inlineStr">
        <is>
          <t>COSTE — SE COPIA DEL ESCANDALLO; ESTA HOJA NO LO CALCULA</t>
        </is>
      </c>
    </row>
    <row r="16">
      <c r="A16" s="7" t="inlineStr">
        <is>
          <t>Coste por ración copiado del escandallo (€)</t>
        </is>
      </c>
      <c r="B16" s="11" t="n">
        <v>5.67</v>
      </c>
    </row>
    <row r="17">
      <c r="A17" s="7" t="inlineStr">
        <is>
          <t>Raciones vendidas al mes (referencia de la carta)</t>
        </is>
      </c>
      <c r="B17" s="9" t="n">
        <v>340</v>
      </c>
    </row>
    <row r="18">
      <c r="A18" s="7" t="inlineStr">
        <is>
          <t>Coste de materia prima al mes de este plato (€)</t>
        </is>
      </c>
      <c r="B18" s="12">
        <f>IFERROR(IF(OR($B$16="",$B$17=""),"",$B$16*$B$17),"")</f>
        <v>1927.8</v>
      </c>
    </row>
    <row r="19" ht="30" customHeight="1">
      <c r="A19" s="6" t="inlineStr">
        <is>
          <t>Copiado de la ficha de escandallo del plato en el Kit de Escandallos / Guía Food Cost. Esta hoja NO recalcula costes: si cambia el precio de compra, se actualiza allí y se vuelve a copiar aquí.</t>
        </is>
      </c>
    </row>
    <row r="20" ht="26" customHeight="1">
      <c r="A20" s="6" t="inlineStr">
        <is>
          <t>Es coste de MATERIA PRIMA, nada más: ni personal, ni energía, ni la merma de la partida. Sirve para saber qué plato mueve de verdad tu compra, no para fijar el precio de venta.</t>
        </is>
      </c>
    </row>
    <row r="21"/>
    <row r="22">
      <c r="A22" s="3" t="inlineStr">
        <is>
          <t>PROCESO: PASOS DE ELABORACIÓN</t>
        </is>
      </c>
    </row>
    <row r="23" ht="22" customHeight="1">
      <c r="A23" s="13" t="inlineStr">
        <is>
          <t>Nº</t>
        </is>
      </c>
      <c r="B23" s="13" t="inlineStr">
        <is>
          <t>Operación</t>
        </is>
      </c>
      <c r="C23" s="14" t="n"/>
      <c r="D23" s="14" t="n"/>
      <c r="E23" s="14" t="n"/>
      <c r="F23" s="13" t="inlineStr">
        <is>
          <t>Punto de control</t>
        </is>
      </c>
    </row>
    <row r="24" ht="30" customHeight="1">
      <c r="A24" s="15" t="n">
        <v>1</v>
      </c>
      <c r="B24" s="8" t="inlineStr">
        <is>
          <t>Atemperar el solomillo 20 minutos fuera de cámara y salpimentar.</t>
        </is>
      </c>
      <c r="C24" s="5" t="n"/>
      <c r="D24" s="5" t="n"/>
      <c r="E24" s="5" t="n"/>
      <c r="F24" s="8" t="inlineStr"/>
    </row>
    <row r="25" ht="30" customHeight="1">
      <c r="A25" s="15" t="n">
        <v>2</v>
      </c>
      <c r="B25" s="8" t="inlineStr">
        <is>
          <t>Cocer el boniato pelado en agua con sal 18 minutos, escurrir y triturar con la mantequilla y la nata calientes. Pasar por colador fino.</t>
        </is>
      </c>
      <c r="C25" s="5" t="n"/>
      <c r="D25" s="5" t="n"/>
      <c r="E25" s="5" t="n"/>
      <c r="F25" s="8" t="inlineStr"/>
    </row>
    <row r="26" ht="30" customHeight="1">
      <c r="A26" s="15" t="n">
        <v>3</v>
      </c>
      <c r="B26" s="8" t="inlineStr">
        <is>
          <t>Pochar la cebolla en juliana a fuego suave 25 minutos, sin coger color.</t>
        </is>
      </c>
      <c r="C26" s="5" t="n"/>
      <c r="D26" s="5" t="n"/>
      <c r="E26" s="5" t="n"/>
      <c r="F26" s="8" t="inlineStr"/>
    </row>
    <row r="27" ht="30" customHeight="1">
      <c r="A27" s="15" t="n">
        <v>4</v>
      </c>
      <c r="B27" s="8" t="inlineStr">
        <is>
          <t>Desglasar la cebolla con el Pedro Ximénez, reducir a la mitad, añadir el caldo de carne y reducir hasta napar. Colar.</t>
        </is>
      </c>
      <c r="C27" s="5" t="n"/>
      <c r="D27" s="5" t="n"/>
      <c r="E27" s="5" t="n"/>
      <c r="F27" s="8" t="inlineStr"/>
    </row>
    <row r="28" ht="30" customHeight="1">
      <c r="A28" s="15" t="n">
        <v>5</v>
      </c>
      <c r="B28" s="8" t="inlineStr">
        <is>
          <t>Marcar el solomillo en plancha muy caliente 2 minutos por cara.</t>
        </is>
      </c>
      <c r="C28" s="5" t="n"/>
      <c r="D28" s="5" t="n"/>
      <c r="E28" s="5" t="n"/>
      <c r="F28" s="8" t="inlineStr"/>
    </row>
    <row r="29" ht="30" customHeight="1">
      <c r="A29" s="15" t="n">
        <v>6</v>
      </c>
      <c r="B29" s="8" t="inlineStr">
        <is>
          <t>Terminar en horno a 180 °C hasta 58 °C en el centro (punto al punto). Reposar 4 minutos antes de cortar.</t>
        </is>
      </c>
      <c r="C29" s="5" t="n"/>
      <c r="D29" s="5" t="n"/>
      <c r="E29" s="5" t="n"/>
      <c r="F29" s="8" t="inlineStr"/>
    </row>
    <row r="30" ht="30" customHeight="1">
      <c r="A30" s="15" t="n">
        <v>7</v>
      </c>
      <c r="B30" s="8" t="inlineStr">
        <is>
          <t>Crujiente de panceta: horno a 170 °C, 12 minutos entre dos papeles.</t>
        </is>
      </c>
      <c r="C30" s="5" t="n"/>
      <c r="D30" s="5" t="n"/>
      <c r="E30" s="5" t="n"/>
      <c r="F30" s="8" t="inlineStr"/>
    </row>
    <row r="31" ht="30" customHeight="1">
      <c r="A31" s="15" t="n">
        <v>8</v>
      </c>
      <c r="B31" s="8" t="inlineStr">
        <is>
          <t>Montar: base de puré caliente, solomillo cortado en dos medallones, salsa alrededor, crujiente de panceta y brotes de rúcula.</t>
        </is>
      </c>
      <c r="C31" s="5" t="n"/>
      <c r="D31" s="5" t="n"/>
      <c r="E31" s="5" t="n"/>
      <c r="F31" s="8" t="inlineStr"/>
    </row>
    <row r="32" ht="30" customHeight="1">
      <c r="A32" s="15" t="n">
        <v>9</v>
      </c>
      <c r="B32" s="8" t="inlineStr"/>
      <c r="C32" s="5" t="n"/>
      <c r="D32" s="5" t="n"/>
      <c r="E32" s="5" t="n"/>
      <c r="F32" s="8" t="inlineStr"/>
    </row>
    <row r="33" ht="30" customHeight="1">
      <c r="A33" s="15" t="n">
        <v>10</v>
      </c>
      <c r="B33" s="8" t="inlineStr"/>
      <c r="C33" s="5" t="n"/>
      <c r="D33" s="5" t="n"/>
      <c r="E33" s="5" t="n"/>
      <c r="F33" s="8" t="inlineStr"/>
    </row>
    <row r="34" ht="30" customHeight="1">
      <c r="A34" s="15" t="n">
        <v>11</v>
      </c>
      <c r="B34" s="8" t="inlineStr"/>
      <c r="C34" s="5" t="n"/>
      <c r="D34" s="5" t="n"/>
      <c r="E34" s="5" t="n"/>
      <c r="F34" s="8" t="inlineStr"/>
    </row>
    <row r="35" ht="30" customHeight="1">
      <c r="A35" s="15" t="n">
        <v>12</v>
      </c>
      <c r="B35" s="8" t="inlineStr"/>
      <c r="C35" s="5" t="n"/>
      <c r="D35" s="5" t="n"/>
      <c r="E35" s="5" t="n"/>
      <c r="F35" s="8" t="inlineStr"/>
    </row>
    <row r="36"/>
    <row r="37">
      <c r="A37" s="16" t="inlineStr">
        <is>
          <t>Técnicas empleadas</t>
        </is>
      </c>
      <c r="B37" s="8" t="inlineStr">
        <is>
          <t>Plancha, horno, pochado, reducción y triturado fino</t>
        </is>
      </c>
      <c r="C37" s="5" t="n"/>
      <c r="D37" s="5" t="n"/>
      <c r="E37" s="5" t="n"/>
      <c r="F37" s="5" t="n"/>
    </row>
    <row r="38"/>
    <row r="39">
      <c r="A39" s="3" t="inlineStr">
        <is>
          <t>TIEMPOS</t>
        </is>
      </c>
    </row>
    <row r="40">
      <c r="A40" s="7" t="inlineStr">
        <is>
          <t>Mise en place (minutos)</t>
        </is>
      </c>
      <c r="B40" s="9" t="n">
        <v>45</v>
      </c>
    </row>
    <row r="41">
      <c r="A41" s="7" t="inlineStr">
        <is>
          <t>Tiempo de pase, de la comanda al pase (minutos)</t>
        </is>
      </c>
      <c r="B41" s="9" t="n">
        <v>9</v>
      </c>
      <c r="E41" s="6" t="inlineStr">
        <is>
          <t>El tiempo de pase de esta ficha es el que alimenta el control de calidad del pase (libro 5).</t>
        </is>
      </c>
    </row>
    <row r="42">
      <c r="A42" s="7" t="inlineStr">
        <is>
          <t>Reposo (minutos)</t>
        </is>
      </c>
      <c r="B42" s="9" t="n">
        <v>4</v>
      </c>
    </row>
    <row r="43">
      <c r="A43" s="7" t="inlineStr">
        <is>
          <t>Tiempo total de la elaboración (minutos)</t>
        </is>
      </c>
      <c r="B43" s="17">
        <f>IF(COUNT($B$40:$B$42)=0,"",SUM($B$40:$B$42))</f>
        <v>58.0</v>
      </c>
    </row>
    <row r="44"/>
    <row r="45">
      <c r="A45" s="3" t="inlineStr">
        <is>
          <t>PUNTO Y TEMPERATURAS</t>
        </is>
      </c>
    </row>
    <row r="46">
      <c r="A46" s="7" t="inlineStr">
        <is>
          <t>Punto de cocción y temperatura en el centro</t>
        </is>
      </c>
      <c r="B46" s="8" t="inlineStr">
        <is>
          <t>Al punto: 58 °C en el centro de la pieza tras el reposo</t>
        </is>
      </c>
      <c r="C46" s="5" t="n"/>
      <c r="D46" s="5" t="n"/>
      <c r="E46" s="5" t="n"/>
      <c r="F46" s="5" t="n"/>
    </row>
    <row r="47">
      <c r="A47" s="7" t="inlineStr">
        <is>
          <t>Temperatura mínima de mantenimiento en caliente (°C)</t>
        </is>
      </c>
      <c r="B47" s="9" t="n">
        <v>63</v>
      </c>
    </row>
    <row r="48" ht="42" customHeight="1">
      <c r="A48" s="6" t="inlineStr">
        <is>
          <t>Si el plato o alguno de sus componentes se mantiene en caliente antes de servirse, la temperatura no puede bajar de esa cifra. La norma admite otra temperatura si demuestras ante la autoridad que es segura (art. 30.5) y otro recalentamiento si documentas su equivalencia (art. 30.7). Verificado el 06-09-2026 · RD 1086/2020, art. 30.1, 30.2, 30.5 y 30.7 (redacción del RD 1021/2022) · https://www.boe.es/buscar/act.php?id=BOE-A-2020-15872</t>
        </is>
      </c>
    </row>
    <row r="49">
      <c r="A49" s="7" t="inlineStr">
        <is>
          <t>Temperatura de servicio medida (°C)</t>
        </is>
      </c>
      <c r="B49" s="9" t="inlineStr"/>
    </row>
    <row r="50">
      <c r="A50" s="7" t="inlineStr">
        <is>
          <t>Lectura de la temperatura de servicio</t>
        </is>
      </c>
      <c r="B50" s="16">
        <f>IF(OR(NOT(ISNUMBER($B$49)),NOT(ISNUMBER($B$47))),"",IF($B$49&gt;=$B$47,"Correcta","POR DEBAJO DEL MÍNIMO"))</f>
        <v/>
      </c>
    </row>
    <row r="51" ht="30" customHeight="1">
      <c r="A51" s="6" t="inlineStr">
        <is>
          <t>Si el plato sale del fuego directo al pase, deja vacía la casilla de temperatura medida: la lectura se queda en blanco, que es lo que quiere decir «aquí no aplica». Vacío no es cero.</t>
        </is>
      </c>
    </row>
    <row r="52"/>
    <row r="53">
      <c r="A53" s="3" t="inlineStr">
        <is>
          <t>MONTAJE Y PRESENTACIÓN</t>
        </is>
      </c>
    </row>
    <row r="54" ht="54" customHeight="1">
      <c r="A54" s="8" t="inlineStr">
        <is>
          <t>Plato hondo de 26 cm. Puré en el centro con la cuchara, dos medallones apoyados en diagonal, salsa por fuera del puré, crujiente de pie y cinco brotes. Foto de referencia en la hoja.</t>
        </is>
      </c>
      <c r="B54" s="5" t="n"/>
      <c r="C54" s="5" t="n"/>
      <c r="D54" s="5" t="n"/>
      <c r="E54" s="5" t="n"/>
      <c r="F54" s="5" t="n"/>
    </row>
    <row r="55" ht="26" customHeight="1">
      <c r="A55" s="6" t="inlineStr">
        <is>
          <t>Pega aquí la foto del montaje bueno, el que sale cuando lo hace quien mejor lo hace. Una ficha sin foto se interpreta, y una ficha que se interpreta no es un estándar.</t>
        </is>
      </c>
    </row>
    <row r="56"/>
    <row r="57">
      <c r="A57" s="3" t="inlineStr">
        <is>
          <t>ALÉRGENOS DE PROCESO DE ESTA ELABORACIÓN</t>
        </is>
      </c>
    </row>
    <row r="58" ht="42" customHeight="1">
      <c r="A58" s="6" t="inlineStr">
        <is>
          <t>Esta tabla es de PROCESO: dice dónde entra cada alérgeno en ESTA elaboración y si se puede sustituir. La declaración de carta (los 14 alérgenos por plato, para el cliente) se hace en la matriz de alérgenos del Pack APPCC; no se duplica aquí. El cartel de «consulte al personal» no basta sin soporte escrito (CE-06, MM-31).</t>
        </is>
      </c>
    </row>
    <row r="59" ht="32" customHeight="1">
      <c r="A59" s="13" t="inlineStr">
        <is>
          <t>Alérgeno</t>
        </is>
      </c>
      <c r="B59" s="13" t="inlineStr">
        <is>
          <t>Estado en esta elaboración</t>
        </is>
      </c>
      <c r="C59" s="13" t="inlineStr">
        <is>
          <t>Dónde entra en ESTA elaboración</t>
        </is>
      </c>
      <c r="D59" s="14" t="n"/>
      <c r="E59" s="13" t="inlineStr">
        <is>
          <t>Sustitución posible</t>
        </is>
      </c>
      <c r="F59" s="14" t="n"/>
    </row>
    <row r="60" ht="32" customHeight="1">
      <c r="A60" s="8" t="inlineStr">
        <is>
          <t>Leche</t>
        </is>
      </c>
      <c r="B60" s="8" t="inlineStr">
        <is>
          <t>Presente</t>
        </is>
      </c>
      <c r="C60" s="8" t="inlineStr">
        <is>
          <t>Mantequilla y nata del puré de boniato</t>
        </is>
      </c>
      <c r="D60" s="5" t="n"/>
      <c r="E60" s="8" t="inlineStr">
        <is>
          <t>Sí: puré ligado con aceite de oliva virgen extra y agua de cocción</t>
        </is>
      </c>
      <c r="F60" s="5" t="n"/>
    </row>
    <row r="61" ht="32" customHeight="1">
      <c r="A61" s="8" t="inlineStr">
        <is>
          <t>Sulfitos</t>
        </is>
      </c>
      <c r="B61" s="8" t="inlineStr">
        <is>
          <t>Presente</t>
        </is>
      </c>
      <c r="C61" s="8" t="inlineStr">
        <is>
          <t>Vino Pedro Ximénez de la salsa</t>
        </is>
      </c>
      <c r="D61" s="5" t="n"/>
      <c r="E61" s="8" t="inlineStr">
        <is>
          <t>Sí: reducción de caldo de carne sin vino, con un punto de miel</t>
        </is>
      </c>
      <c r="F61" s="5" t="n"/>
    </row>
    <row r="62" ht="32" customHeight="1">
      <c r="A62" s="8" t="inlineStr">
        <is>
          <t>Apio</t>
        </is>
      </c>
      <c r="B62" s="8" t="inlineStr">
        <is>
          <t>Traza en esta elaboración</t>
        </is>
      </c>
      <c r="C62" s="8" t="inlineStr">
        <is>
          <t>Puede venir en el caldo de carne comercial: comprobar la ficha del proveedor</t>
        </is>
      </c>
      <c r="D62" s="5" t="n"/>
      <c r="E62" s="8" t="inlineStr">
        <is>
          <t>Sí: caldo de carne propio sin apio</t>
        </is>
      </c>
      <c r="F62" s="5" t="n"/>
    </row>
    <row r="63" ht="32" customHeight="1">
      <c r="A63" s="8" t="inlineStr">
        <is>
          <t>Gluten</t>
        </is>
      </c>
      <c r="B63" s="8" t="inlineStr">
        <is>
          <t>Utensilio o superficie compartidos</t>
        </is>
      </c>
      <c r="C63" s="8" t="inlineStr">
        <is>
          <t>La misma plancha tuesta el pan del servicio</t>
        </is>
      </c>
      <c r="D63" s="5" t="n"/>
      <c r="E63" s="8" t="inlineStr">
        <is>
          <t>Sí: marcar en sartén limpia reservada</t>
        </is>
      </c>
      <c r="F63" s="5" t="n"/>
    </row>
    <row r="64" ht="32" customHeight="1">
      <c r="A64" s="8" t="inlineStr">
        <is>
          <t>Frutos de cáscara</t>
        </is>
      </c>
      <c r="B64" s="8" t="inlineStr">
        <is>
          <t>No interviene</t>
        </is>
      </c>
      <c r="C64" s="8" t="inlineStr"/>
      <c r="D64" s="5" t="n"/>
      <c r="E64" s="8" t="inlineStr"/>
      <c r="F64" s="5" t="n"/>
    </row>
    <row r="65" ht="32" customHeight="1">
      <c r="A65" s="8" t="inlineStr">
        <is>
          <t>Mostaza</t>
        </is>
      </c>
      <c r="B65" s="8" t="inlineStr">
        <is>
          <t>No interviene</t>
        </is>
      </c>
      <c r="C65" s="8" t="inlineStr"/>
      <c r="D65" s="5" t="n"/>
      <c r="E65" s="8" t="inlineStr"/>
      <c r="F65" s="5" t="n"/>
    </row>
    <row r="66" ht="32" customHeight="1">
      <c r="A66" s="8" t="inlineStr"/>
      <c r="B66" s="8" t="inlineStr"/>
      <c r="C66" s="8" t="inlineStr"/>
      <c r="D66" s="5" t="n"/>
      <c r="E66" s="8" t="inlineStr"/>
      <c r="F66" s="5" t="n"/>
    </row>
    <row r="67" ht="32" customHeight="1">
      <c r="A67" s="8" t="inlineStr"/>
      <c r="B67" s="8" t="inlineStr"/>
      <c r="C67" s="8" t="inlineStr"/>
      <c r="D67" s="5" t="n"/>
      <c r="E67" s="8" t="inlineStr"/>
      <c r="F67" s="5" t="n"/>
    </row>
    <row r="68" ht="32" customHeight="1">
      <c r="A68" s="8" t="inlineStr"/>
      <c r="B68" s="8" t="inlineStr"/>
      <c r="C68" s="8" t="inlineStr"/>
      <c r="D68" s="5" t="n"/>
      <c r="E68" s="8" t="inlineStr"/>
      <c r="F68" s="5" t="n"/>
    </row>
    <row r="69" ht="32" customHeight="1">
      <c r="A69" s="8" t="inlineStr"/>
      <c r="B69" s="8" t="inlineStr"/>
      <c r="C69" s="8" t="inlineStr"/>
      <c r="D69" s="5" t="n"/>
      <c r="E69" s="8" t="inlineStr"/>
      <c r="F69" s="5" t="n"/>
    </row>
    <row r="70" ht="32" customHeight="1">
      <c r="A70" s="8" t="inlineStr"/>
      <c r="B70" s="8" t="inlineStr"/>
      <c r="C70" s="8" t="inlineStr"/>
      <c r="D70" s="5" t="n"/>
      <c r="E70" s="8" t="inlineStr"/>
      <c r="F70" s="5" t="n"/>
    </row>
    <row r="71" ht="32" customHeight="1">
      <c r="A71" s="8" t="inlineStr"/>
      <c r="B71" s="8" t="inlineStr"/>
      <c r="C71" s="8" t="inlineStr"/>
      <c r="D71" s="5" t="n"/>
      <c r="E71" s="8" t="inlineStr"/>
      <c r="F71" s="5" t="n"/>
    </row>
    <row r="72"/>
    <row r="73" ht="20" customHeight="1">
      <c r="A73" s="13" t="inlineStr">
        <is>
          <t>Estado</t>
        </is>
      </c>
      <c r="B73" s="13" t="inlineStr">
        <is>
          <t>Qué quiere decir</t>
        </is>
      </c>
      <c r="C73" s="14" t="n"/>
      <c r="D73" s="14" t="n"/>
      <c r="E73" s="14" t="n"/>
      <c r="F73" s="14" t="n"/>
    </row>
    <row r="74" ht="26" customHeight="1">
      <c r="A74" s="7" t="inlineStr">
        <is>
          <t>Presente</t>
        </is>
      </c>
      <c r="B74" s="4" t="inlineStr">
        <is>
          <t>El alérgeno es un ingrediente de esta elaboración.</t>
        </is>
      </c>
    </row>
    <row r="75" ht="26" customHeight="1">
      <c r="A75" s="7" t="inlineStr">
        <is>
          <t>Traza en esta elaboración</t>
        </is>
      </c>
      <c r="B75" s="4" t="inlineStr">
        <is>
          <t>No es ingrediente, pero puede llegar por una materia prima de proveedor: hay que comprobar su ficha.</t>
        </is>
      </c>
    </row>
    <row r="76" ht="26" customHeight="1">
      <c r="A76" s="7" t="inlineStr">
        <is>
          <t>Utensilio o superficie compartidos</t>
        </is>
      </c>
      <c r="B76" s="4" t="inlineStr">
        <is>
          <t>No es ingrediente ni traza de la materia prima: entra por un utensilio o una superficie que se comparten con otra elaboración.</t>
        </is>
      </c>
    </row>
    <row r="77" ht="26" customHeight="1">
      <c r="A77" s="7" t="inlineStr">
        <is>
          <t>No interviene</t>
        </is>
      </c>
      <c r="B77" s="4" t="inlineStr">
        <is>
          <t>Ni ingrediente, ni traza, ni contacto: en esta elaboración no aparece.</t>
        </is>
      </c>
    </row>
    <row r="78"/>
    <row r="79">
      <c r="A79" s="7" t="inlineStr">
        <is>
          <t>Alérgenos presentes como ingrediente</t>
        </is>
      </c>
      <c r="B79" s="17">
        <f>IFERROR(COUNTIF($B$60:$B$71,$A$74),"")</f>
        <v>2.0</v>
      </c>
    </row>
    <row r="80">
      <c r="A80" s="7" t="inlineStr">
        <is>
          <t>Alérgenos por traza en esta elaboración</t>
        </is>
      </c>
      <c r="B80" s="17">
        <f>IFERROR(COUNTIF($B$60:$B$71,$A$75),"")</f>
        <v>1.0</v>
      </c>
    </row>
    <row r="81">
      <c r="A81" s="7" t="inlineStr">
        <is>
          <t>Alérgenos por utensilio o superficie compartidos</t>
        </is>
      </c>
      <c r="B81" s="17">
        <f>IFERROR(COUNTIF($B$60:$B$71,$A$76),"")</f>
        <v>1.0</v>
      </c>
    </row>
    <row r="82" ht="42" customHeight="1">
      <c r="A82" s="6" t="inlineStr">
        <is>
          <t>El utensilio y la superficie compartidos no son una manía: el equipo o el recipiente que ha tocado un alérgeno no se puede reutilizar para un alimento sin ese alérgeno salvo limpieza y comprobación de que no quedan restos visibles. Verificado el 06-09-2026 · Reglamento (CE) 852/2004, Anexo II, Cap. IX, punto 9 (redacción del Reglamento 2021/382) · https://eur-lex.europa.eu/legal-content/ES/TXT/HTML/?uri=CELEX:02004R0852-20210324</t>
        </is>
      </c>
    </row>
    <row r="83" ht="42" customHeight="1">
      <c r="A83" s="6" t="inlineStr">
        <is>
          <t>Y el cartel de «consulte al personal» no basta por sí solo: la información oral sólo vale si además está escrita y accesible al personal, a la autoridad de control y a quien la pida. Verificado el 06-09-2026 · Reglamento (UE) 1169/2011 Anexo II y art. 44.1; RD 126/2015 art. 6.5 · https://www.boe.es/buscar/act.php?id=BOE-A-2015-2293</t>
        </is>
      </c>
    </row>
    <row r="84"/>
    <row r="85">
      <c r="A85" s="3" t="inlineStr">
        <is>
          <t>CONSERVACIÓN Y VIDA ÚTIL</t>
        </is>
      </c>
    </row>
    <row r="86">
      <c r="A86" s="7" t="inlineStr">
        <is>
          <t>Fecha de elaboración del lote</t>
        </is>
      </c>
      <c r="B86" s="10" t="n">
        <v>46271</v>
      </c>
      <c r="E86" s="6" t="inlineStr">
        <is>
          <t>Cámbiala y se recalculan todos los consumos preferentes de abajo.</t>
        </is>
      </c>
    </row>
    <row r="87" ht="32" customHeight="1">
      <c r="A87" s="13" t="inlineStr">
        <is>
          <t>Elaboración</t>
        </is>
      </c>
      <c r="B87" s="13" t="inlineStr">
        <is>
          <t>Conservación</t>
        </is>
      </c>
      <c r="C87" s="14" t="n"/>
      <c r="D87" s="13" t="inlineStr">
        <is>
          <t>Vida útil (días)</t>
        </is>
      </c>
      <c r="E87" s="13" t="inlineStr">
        <is>
          <t>Consumo preferente</t>
        </is>
      </c>
      <c r="F87" s="13" t="inlineStr">
        <is>
          <t>Comprobación</t>
        </is>
      </c>
    </row>
    <row r="88" ht="26" customHeight="1">
      <c r="A88" s="8" t="inlineStr">
        <is>
          <t>Puré de boniato</t>
        </is>
      </c>
      <c r="B88" s="8" t="inlineStr">
        <is>
          <t>Refrigeración a 4 °C, tapado</t>
        </is>
      </c>
      <c r="C88" s="5" t="n"/>
      <c r="D88" s="18" t="n">
        <v>3</v>
      </c>
      <c r="E88" s="19">
        <f>IFERROR(IF(OR($B$86="",$D88=""),"",$B$86+$D88),"")</f>
        <v>46274.0</v>
      </c>
      <c r="F88" s="8" t="inlineStr"/>
    </row>
    <row r="89" ht="26" customHeight="1">
      <c r="A89" s="8" t="inlineStr">
        <is>
          <t>Salsa de Pedro Ximénez</t>
        </is>
      </c>
      <c r="B89" s="8" t="inlineStr">
        <is>
          <t>Refrigeración a 4 °C</t>
        </is>
      </c>
      <c r="C89" s="5" t="n"/>
      <c r="D89" s="18" t="n">
        <v>4</v>
      </c>
      <c r="E89" s="19">
        <f>IFERROR(IF(OR($B$86="",$D89=""),"",$B$86+$D89),"")</f>
        <v>46275.0</v>
      </c>
      <c r="F89" s="8" t="inlineStr"/>
    </row>
    <row r="90" ht="26" customHeight="1">
      <c r="A90" s="8" t="inlineStr">
        <is>
          <t>Crujiente de panceta</t>
        </is>
      </c>
      <c r="B90" s="8" t="inlineStr">
        <is>
          <t>Ambiente, en hermético con desecante</t>
        </is>
      </c>
      <c r="C90" s="5" t="n"/>
      <c r="D90" s="18" t="n">
        <v>2</v>
      </c>
      <c r="E90" s="19">
        <f>IFERROR(IF(OR($B$86="",$D90=""),"",$B$86+$D90),"")</f>
        <v>46273.0</v>
      </c>
      <c r="F90" s="8" t="inlineStr"/>
    </row>
    <row r="91" ht="26" customHeight="1">
      <c r="A91" s="8" t="inlineStr">
        <is>
          <t>Solomillo racionado</t>
        </is>
      </c>
      <c r="B91" s="8" t="inlineStr">
        <is>
          <t>Refrigeración a 4 °C</t>
        </is>
      </c>
      <c r="C91" s="5" t="n"/>
      <c r="D91" s="18" t="n">
        <v>2</v>
      </c>
      <c r="E91" s="19">
        <f>IFERROR(IF(OR($B$86="",$D91=""),"",$B$86+$D91),"")</f>
        <v>46273.0</v>
      </c>
      <c r="F91" s="8" t="inlineStr"/>
    </row>
    <row r="92" ht="26" customHeight="1">
      <c r="A92" s="8" t="inlineStr"/>
      <c r="B92" s="8" t="inlineStr"/>
      <c r="C92" s="5" t="n"/>
      <c r="D92" s="18" t="inlineStr"/>
      <c r="E92" s="19">
        <f>IFERROR(IF(OR($B$86="",$D92=""),"",$B$86+$D92),"")</f>
        <v/>
      </c>
      <c r="F92" s="8" t="inlineStr"/>
    </row>
    <row r="93" ht="26" customHeight="1">
      <c r="A93" s="8" t="inlineStr"/>
      <c r="B93" s="8" t="inlineStr"/>
      <c r="C93" s="5" t="n"/>
      <c r="D93" s="18" t="inlineStr"/>
      <c r="E93" s="19">
        <f>IFERROR(IF(OR($B$86="",$D93=""),"",$B$86+$D93),"")</f>
        <v/>
      </c>
      <c r="F93" s="8" t="inlineStr"/>
    </row>
    <row r="94" ht="26" customHeight="1">
      <c r="A94" s="8" t="inlineStr"/>
      <c r="B94" s="8" t="inlineStr"/>
      <c r="C94" s="5" t="n"/>
      <c r="D94" s="18" t="inlineStr"/>
      <c r="E94" s="19">
        <f>IFERROR(IF(OR($B$86="",$D94=""),"",$B$86+$D94),"")</f>
        <v/>
      </c>
      <c r="F94" s="8" t="inlineStr"/>
    </row>
    <row r="95" ht="26" customHeight="1">
      <c r="A95" s="8" t="inlineStr"/>
      <c r="B95" s="8" t="inlineStr"/>
      <c r="C95" s="5" t="n"/>
      <c r="D95" s="18" t="inlineStr"/>
      <c r="E95" s="19">
        <f>IFERROR(IF(OR($B$86="",$D95=""),"",$B$86+$D95),"")</f>
        <v/>
      </c>
      <c r="F95" s="8" t="inlineStr"/>
    </row>
    <row r="96" ht="42" customHeight="1">
      <c r="A96" s="6" t="inlineStr">
        <is>
          <t>No existe una cifra legal general de días de vida útil para una elaboración propia (CE-37). Los días de esta tabla son de la casa y salen de las pruebas hechas en el propio local; si el plato favorece el crecimiento de Listeria hay que documentar un estudio de vida útil (CE-08). Verificado el 06-09-2026 · Síntesis de CE-08 + CE-13 + CE-35 · https://eur-lex.europa.eu/legal-content/ES/TXT/HTML/?uri=CELEX:02005R2073-20200308</t>
        </is>
      </c>
    </row>
    <row r="97" ht="42" customHeight="1">
      <c r="A97" s="6" t="inlineStr">
        <is>
          <t>Si el plato es un listo para consumo que favorece el crecimiento de Listeria monocytogenes, los días no los pones a ojo: hace falta un estudio de vida útil documentado. Verificado el 06-09-2026 · Reglamento (CE) 2073/2005, art. 1 y Anexo II · https://eur-lex.europa.eu/legal-content/ES/TXT/HTML/?uri=CELEX:02005R2073-20200308</t>
        </is>
      </c>
    </row>
    <row r="98" ht="54" customHeight="1">
      <c r="A98" s="6" t="inlineStr">
        <is>
          <t>Al congelar una elaboración propia hacen falta TRES fechas: elaboración, congelación y caducidad del congelado. Verificado el 06-09-2026 · RD 1021/2022, art. 5 · https://www.boe.es/buscar/act.php?id=BOE-A-2022-21681. Y si envasas al vacío, la recomendación de la AESAN para la V gama es conservar por debajo de 4 °C. Verificado el 06-09-2026 · Informe del Comité Científico de la AESAN sobre botulismo en envasados al vacío, 2024 · https://acsa.gencat.cat/es/detall/noticia/informe-botulisme</t>
        </is>
      </c>
    </row>
    <row r="99"/>
    <row r="100">
      <c r="A100" s="20" t="inlineStr">
        <is>
          <t>Versión 1.0 · septiembre 2026 · aichef.pro/manual-chef-ejecutivo · info@aichef.pro</t>
        </is>
      </c>
    </row>
    <row r="101"/>
    <row r="102"/>
    <row r="103">
      <c r="A103" s="3" t="inlineStr">
        <is>
          <t>LISTAS DE REFERENCIA DE LOS DESPLEGABLES (fuera del área de impresión)</t>
        </is>
      </c>
    </row>
    <row r="104" ht="20" customHeight="1">
      <c r="A104" s="13" t="inlineStr">
        <is>
          <t>Partidas</t>
        </is>
      </c>
      <c r="B104" s="13" t="inlineStr">
        <is>
          <t>Familias de carta</t>
        </is>
      </c>
    </row>
    <row r="105">
      <c r="A105" t="inlineStr">
        <is>
          <t>Pase y caliente</t>
        </is>
      </c>
      <c r="B105" t="inlineStr">
        <is>
          <t>Entrantes</t>
        </is>
      </c>
    </row>
    <row r="106">
      <c r="A106" t="inlineStr">
        <is>
          <t>Fríos y entrantes</t>
        </is>
      </c>
      <c r="B106" t="inlineStr">
        <is>
          <t>Postres</t>
        </is>
      </c>
    </row>
    <row r="107">
      <c r="A107" t="inlineStr">
        <is>
          <t>Postres y panadería</t>
        </is>
      </c>
      <c r="B107" t="inlineStr">
        <is>
          <t>Principales</t>
        </is>
      </c>
    </row>
    <row r="108">
      <c r="A108" t="inlineStr">
        <is>
          <t>Barra y bebidas</t>
        </is>
      </c>
    </row>
    <row r="109">
      <c r="A109" t="inlineStr">
        <is>
          <t>Sala y servicio</t>
        </is>
      </c>
    </row>
    <row r="110">
      <c r="A110" t="inlineStr">
        <is>
          <t>Caja y cierre</t>
        </is>
      </c>
    </row>
  </sheetData>
  <sheetProtection selectLockedCells="0" selectUnlockedCells="0" sheet="1" objects="0" insertRows="0" insertHyperlinks="1" autoFilter="1" scenarios="0" formatColumns="0" deleteColumns="1" insertColumns="1" pivotTables="1" deleteRows="1" formatCells="1" formatRows="0" sort="0"/>
  <mergeCells count="71">
    <mergeCell ref="C68:D68"/>
    <mergeCell ref="A98:F98"/>
    <mergeCell ref="B89:C89"/>
    <mergeCell ref="B46:F46"/>
    <mergeCell ref="C66:D66"/>
    <mergeCell ref="B30:E30"/>
    <mergeCell ref="B34:E34"/>
    <mergeCell ref="A19:F19"/>
    <mergeCell ref="A51:F51"/>
    <mergeCell ref="A54:F54"/>
    <mergeCell ref="C63:D63"/>
    <mergeCell ref="E59:F59"/>
    <mergeCell ref="E67:F67"/>
    <mergeCell ref="A20:F20"/>
    <mergeCell ref="E70:F70"/>
    <mergeCell ref="B77:F77"/>
    <mergeCell ref="B74:F74"/>
    <mergeCell ref="B32:E32"/>
    <mergeCell ref="E68:F68"/>
    <mergeCell ref="B27:E27"/>
    <mergeCell ref="B95:C95"/>
    <mergeCell ref="E62:F62"/>
    <mergeCell ref="A96:F96"/>
    <mergeCell ref="A97:F97"/>
    <mergeCell ref="C64:D64"/>
    <mergeCell ref="B87:C87"/>
    <mergeCell ref="C61:D61"/>
    <mergeCell ref="C69:D69"/>
    <mergeCell ref="B93:C93"/>
    <mergeCell ref="B25:E25"/>
    <mergeCell ref="C70:D70"/>
    <mergeCell ref="E63:F63"/>
    <mergeCell ref="A83:F83"/>
    <mergeCell ref="B26:E26"/>
    <mergeCell ref="C60:D60"/>
    <mergeCell ref="C71:D71"/>
    <mergeCell ref="B88:C88"/>
    <mergeCell ref="E64:F64"/>
    <mergeCell ref="A82:F82"/>
    <mergeCell ref="B31:E31"/>
    <mergeCell ref="B33:E33"/>
    <mergeCell ref="B24:E24"/>
    <mergeCell ref="C62:D62"/>
    <mergeCell ref="B76:F76"/>
    <mergeCell ref="C65:D65"/>
    <mergeCell ref="B75:F75"/>
    <mergeCell ref="B23:E23"/>
    <mergeCell ref="E61:F61"/>
    <mergeCell ref="E69:F69"/>
    <mergeCell ref="E60:F60"/>
    <mergeCell ref="B35:E35"/>
    <mergeCell ref="B29:E29"/>
    <mergeCell ref="B7:D7"/>
    <mergeCell ref="A48:F48"/>
    <mergeCell ref="E66:F66"/>
    <mergeCell ref="B94:C94"/>
    <mergeCell ref="B13:D13"/>
    <mergeCell ref="A55:F55"/>
    <mergeCell ref="C59:D59"/>
    <mergeCell ref="C67:D67"/>
    <mergeCell ref="B73:F73"/>
    <mergeCell ref="E71:F71"/>
    <mergeCell ref="B90:C90"/>
    <mergeCell ref="B91:C91"/>
    <mergeCell ref="B92:C92"/>
    <mergeCell ref="A3:F3"/>
    <mergeCell ref="B28:E28"/>
    <mergeCell ref="B37:F37"/>
    <mergeCell ref="A58:F58"/>
    <mergeCell ref="B50:D50"/>
    <mergeCell ref="E65:F65"/>
  </mergeCells>
  <conditionalFormatting sqref="B50:D50">
    <cfRule type="cellIs" priority="1" operator="equal" dxfId="0" stopIfTrue="1">
      <formula>"Correcta"</formula>
    </cfRule>
    <cfRule type="cellIs" priority="2" operator="equal" dxfId="1" stopIfTrue="1">
      <formula>"POR DEBAJO DEL MÍNIMO"</formula>
    </cfRule>
  </conditionalFormatting>
  <conditionalFormatting sqref="B60:B71">
    <cfRule type="cellIs" priority="3" operator="equal" dxfId="1" stopIfTrue="1">
      <formula>"Presente"</formula>
    </cfRule>
    <cfRule type="cellIs" priority="4" operator="equal" dxfId="2" stopIfTrue="1">
      <formula>"Traza en esta elaboración"</formula>
    </cfRule>
    <cfRule type="cellIs" priority="5" operator="equal" dxfId="2" stopIfTrue="1">
      <formula>"Utensilio o superficie compartidos"</formula>
    </cfRule>
    <cfRule type="cellIs" priority="6" operator="equal" dxfId="3" stopIfTrue="1">
      <formula>"No interviene"</formula>
    </cfRule>
  </conditionalFormatting>
  <dataValidations count="7">
    <dataValidation sqref="B60 B61 B62 B63 B64 B65 B66 B67 B68 B69 B70 B71" showDropDown="0" showInputMessage="0" showErrorMessage="1" allowBlank="1" errorTitle="Estado del alérgeno" error="Elige uno de los cuatro estados de la leyenda de abajo." type="list">
      <formula1>'Ficha (ejemplo)'!$A$74:$A$77</formula1>
    </dataValidation>
    <dataValidation sqref="B9" showDropDown="0" showInputMessage="0" showErrorMessage="1" allowBlank="1" errorTitle="Partida" error="Elige una de las partidas de tu cocina." type="list">
      <formula1>'Ficha (ejemplo)'!$A$105:$A$110</formula1>
    </dataValidation>
    <dataValidation sqref="B8" showDropDown="0" showInputMessage="0" showErrorMessage="1" allowBlank="1" errorTitle="Familia de carta" error="Elige una familia de la carta." type="list">
      <formula1>'Ficha (ejemplo)'!$B$105:$B$107</formula1>
    </dataValidation>
    <dataValidation sqref="B10 B17 B40 B41 B42 D88 D89 D90 D91 D92 D93 D94 D95" showDropDown="0" showInputMessage="0" showErrorMessage="1" allowBlank="1" errorTitle="Recuento" error="Escribe un número mayor o igual que 0." type="decimal" operator="greaterThanOrEqual">
      <formula1>0</formula1>
    </dataValidation>
    <dataValidation sqref="B16" showDropDown="0" showInputMessage="0" showErrorMessage="1" allowBlank="1" errorTitle="Importe (€)" error="Escribe un número mayor o igual que 0." type="decimal" operator="greaterThanOrEqual">
      <formula1>0</formula1>
    </dataValidation>
    <dataValidation sqref="B47 B49" showDropDown="0" showInputMessage="0" showErrorMessage="1" allowBlank="1" errorTitle="Temperatura (°C)" error="Escribe la temperatura en grados centígrados." type="decimal" operator="between">
      <formula1>-40</formula1>
      <formula2>300</formula2>
    </dataValidation>
    <dataValidation sqref="B12 B8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6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2" customWidth="1" min="3" max="3"/>
    <col width="16" customWidth="1" min="4" max="4"/>
    <col width="11" customWidth="1" min="5" max="5"/>
    <col width="15" customWidth="1" min="6" max="6"/>
    <col width="20" customWidth="1" min="7" max="7"/>
    <col width="14" customWidth="1" min="8" max="8"/>
    <col width="15" customWidth="1" min="9" max="9"/>
    <col width="22" customWidth="1" min="10" max="10"/>
  </cols>
  <sheetData>
    <row r="1" ht="30" customHeight="1">
      <c r="A1" s="1" t="inlineStr">
        <is>
          <t>Índice de fichas técnicas</t>
        </is>
      </c>
    </row>
    <row r="2">
      <c r="A2" t="inlineStr">
        <is>
          <t>AI Chef Pro · aichef.pro — Manual del Chef Ejecutivo</t>
        </is>
      </c>
    </row>
    <row r="3" ht="26" customHeight="1">
      <c r="A3" s="6" t="inlineStr">
        <is>
          <t>Este índice se escribe A MANO, una línea por plato de tu carta. Es lo único que te dice cuántos platos vendes sin ficha.</t>
        </is>
      </c>
    </row>
    <row r="4"/>
    <row r="5">
      <c r="A5" s="16" t="inlineStr">
        <is>
          <t>Fecha de control</t>
        </is>
      </c>
      <c r="C5" s="21" t="n">
        <v>46271</v>
      </c>
      <c r="D5" s="6" t="inlineStr">
        <is>
          <t>Cámbiala para ver cómo envejecen tus fichas.</t>
        </is>
      </c>
    </row>
    <row r="6" ht="26" customHeight="1">
      <c r="A6" s="7" t="inlineStr">
        <is>
          <t>Avisar si la ficha supera (días)</t>
        </is>
      </c>
      <c r="C6" s="18" t="inlineStr"/>
      <c r="D6" s="6" t="inlineStr">
        <is>
          <t>Vacía a propósito: el plazo de revisión lo pones tú. Mientras esté vacía no se enciende ningún aviso de antigüedad, y una ficha cerrada seguirá leyéndose como cerrada.</t>
        </is>
      </c>
    </row>
    <row r="7"/>
    <row r="8"/>
    <row r="9" ht="44" customHeight="1">
      <c r="A9" s="13" t="inlineStr">
        <is>
          <t>Código</t>
        </is>
      </c>
      <c r="B9" s="13" t="inlineStr">
        <is>
          <t>Plato</t>
        </is>
      </c>
      <c r="C9" s="13" t="inlineStr">
        <is>
          <t>Partida que lo produce</t>
        </is>
      </c>
      <c r="D9" s="13" t="inlineStr">
        <is>
          <t>Familia</t>
        </is>
      </c>
      <c r="E9" s="13" t="inlineStr">
        <is>
          <t>Versión</t>
        </is>
      </c>
      <c r="F9" s="13" t="inlineStr">
        <is>
          <t>Fecha de revisión</t>
        </is>
      </c>
      <c r="G9" s="13" t="inlineStr">
        <is>
          <t>Revisada por</t>
        </is>
      </c>
      <c r="H9" s="13" t="inlineStr">
        <is>
          <t>¿Ficha cerrada?</t>
        </is>
      </c>
      <c r="I9" s="13" t="inlineStr">
        <is>
          <t>Antigüedad de la ficha (días)</t>
        </is>
      </c>
      <c r="J9" s="13" t="inlineStr">
        <is>
          <t>Estado</t>
        </is>
      </c>
    </row>
    <row r="10" ht="26" customHeight="1">
      <c r="A10" s="5" t="inlineStr">
        <is>
          <t>E1</t>
        </is>
      </c>
      <c r="B10" s="8" t="inlineStr">
        <is>
          <t>Croquetas de jamón ibérico (6 ud)</t>
        </is>
      </c>
      <c r="C10" s="8" t="inlineStr">
        <is>
          <t>Fríos y entrantes</t>
        </is>
      </c>
      <c r="D10" s="5" t="inlineStr">
        <is>
          <t>Entrantes</t>
        </is>
      </c>
      <c r="E10" s="5" t="inlineStr"/>
      <c r="F10" s="21" t="inlineStr"/>
      <c r="G10" s="8" t="inlineStr"/>
      <c r="H10" s="5" t="inlineStr"/>
      <c r="I10" s="22">
        <f>IFERROR(IF(OR($F10="",$C$5=""),"",$C$5-$F10),"")</f>
        <v/>
      </c>
      <c r="J10" t="str">
        <f>IF($B10="","",IF($H10="",$A$45,IF($H10=$A$49,$A$43,IF(OR($I10="",$C$6=""),$A$42,IF($I10&gt;$C$6,$A$44,$A$42)))))</f>
        <v>Sin ficha</v>
      </c>
    </row>
    <row r="11" ht="26" customHeight="1">
      <c r="A11" s="5" t="inlineStr">
        <is>
          <t>E2</t>
        </is>
      </c>
      <c r="B11" s="8" t="inlineStr">
        <is>
          <t>Ensalada de tomate rosa, ventresca y cebolleta</t>
        </is>
      </c>
      <c r="C11" s="8" t="inlineStr">
        <is>
          <t>Fríos y entrantes</t>
        </is>
      </c>
      <c r="D11" s="5" t="inlineStr">
        <is>
          <t>Entrantes</t>
        </is>
      </c>
      <c r="E11" s="5" t="inlineStr"/>
      <c r="F11" s="21" t="inlineStr"/>
      <c r="G11" s="8" t="inlineStr"/>
      <c r="H11" s="5" t="inlineStr"/>
      <c r="I11" s="22">
        <f>IFERROR(IF(OR($F11="",$C$5=""),"",$C$5-$F11),"")</f>
        <v/>
      </c>
      <c r="J11" t="str">
        <f>IF($B11="","",IF($H11="",$A$45,IF($H11=$A$49,$A$43,IF(OR($I11="",$C$6=""),$A$42,IF($I11&gt;$C$6,$A$44,$A$42)))))</f>
        <v>Sin ficha</v>
      </c>
    </row>
    <row r="12" ht="26" customHeight="1">
      <c r="A12" s="5" t="inlineStr">
        <is>
          <t>E3</t>
        </is>
      </c>
      <c r="B12" s="8" t="inlineStr">
        <is>
          <t>Gambas al ajillo</t>
        </is>
      </c>
      <c r="C12" s="8" t="inlineStr">
        <is>
          <t>Fríos y entrantes</t>
        </is>
      </c>
      <c r="D12" s="5" t="inlineStr">
        <is>
          <t>Entrantes</t>
        </is>
      </c>
      <c r="E12" s="5" t="inlineStr"/>
      <c r="F12" s="21" t="inlineStr"/>
      <c r="G12" s="8" t="inlineStr"/>
      <c r="H12" s="5" t="inlineStr"/>
      <c r="I12" s="22">
        <f>IFERROR(IF(OR($F12="",$C$5=""),"",$C$5-$F12),"")</f>
        <v/>
      </c>
      <c r="J12" t="str">
        <f>IF($B12="","",IF($H12="",$A$45,IF($H12=$A$49,$A$43,IF(OR($I12="",$C$6=""),$A$42,IF($I12&gt;$C$6,$A$44,$A$42)))))</f>
        <v>Sin ficha</v>
      </c>
    </row>
    <row r="13" ht="26" customHeight="1">
      <c r="A13" s="5" t="inlineStr">
        <is>
          <t>E4</t>
        </is>
      </c>
      <c r="B13" s="8" t="inlineStr">
        <is>
          <t>Huevos rotos con patatas y chistorra</t>
        </is>
      </c>
      <c r="C13" s="8" t="inlineStr">
        <is>
          <t>Fríos y entrantes</t>
        </is>
      </c>
      <c r="D13" s="5" t="inlineStr">
        <is>
          <t>Entrantes</t>
        </is>
      </c>
      <c r="E13" s="5" t="inlineStr"/>
      <c r="F13" s="21" t="inlineStr"/>
      <c r="G13" s="8" t="inlineStr"/>
      <c r="H13" s="5" t="inlineStr"/>
      <c r="I13" s="22">
        <f>IFERROR(IF(OR($F13="",$C$5=""),"",$C$5-$F13),"")</f>
        <v/>
      </c>
      <c r="J13" t="str">
        <f>IF($B13="","",IF($H13="",$A$45,IF($H13=$A$49,$A$43,IF(OR($I13="",$C$6=""),$A$42,IF($I13&gt;$C$6,$A$44,$A$42)))))</f>
        <v>Sin ficha</v>
      </c>
    </row>
    <row r="14" ht="26" customHeight="1">
      <c r="A14" s="5" t="inlineStr">
        <is>
          <t>P1</t>
        </is>
      </c>
      <c r="B14" s="8" t="inlineStr">
        <is>
          <t>Solomillo de cerdo ibérico con puré de boniato</t>
        </is>
      </c>
      <c r="C14" s="8" t="inlineStr">
        <is>
          <t>Pase y caliente</t>
        </is>
      </c>
      <c r="D14" s="5" t="inlineStr">
        <is>
          <t>Principales</t>
        </is>
      </c>
      <c r="E14" s="5" t="inlineStr">
        <is>
          <t>1.2</t>
        </is>
      </c>
      <c r="F14" s="21" t="n">
        <v>46271</v>
      </c>
      <c r="G14" s="8" t="inlineStr">
        <is>
          <t>P02 (jefe de cocina)</t>
        </is>
      </c>
      <c r="H14" s="5" t="inlineStr">
        <is>
          <t>Sí</t>
        </is>
      </c>
      <c r="I14" s="22">
        <f>IFERROR(IF(OR($F14="",$C$5=""),"",$C$5-$F14),"")</f>
        <v>0.0</v>
      </c>
      <c r="J14" t="str">
        <f>IF($B14="","",IF($H14="",$A$45,IF($H14=$A$49,$A$43,IF(OR($I14="",$C$6=""),$A$42,IF($I14&gt;$C$6,$A$44,$A$42)))))</f>
        <v>Cerrada</v>
      </c>
    </row>
    <row r="15" ht="26" customHeight="1">
      <c r="A15" s="5" t="inlineStr">
        <is>
          <t>P2</t>
        </is>
      </c>
      <c r="B15" s="8" t="inlineStr">
        <is>
          <t>Bacalao confitado al pil-pil</t>
        </is>
      </c>
      <c r="C15" s="8" t="inlineStr">
        <is>
          <t>Pase y caliente</t>
        </is>
      </c>
      <c r="D15" s="5" t="inlineStr">
        <is>
          <t>Principales</t>
        </is>
      </c>
      <c r="E15" s="5" t="inlineStr"/>
      <c r="F15" s="21" t="inlineStr"/>
      <c r="G15" s="8" t="inlineStr"/>
      <c r="H15" s="5" t="inlineStr"/>
      <c r="I15" s="22">
        <f>IFERROR(IF(OR($F15="",$C$5=""),"",$C$5-$F15),"")</f>
        <v/>
      </c>
      <c r="J15" t="str">
        <f>IF($B15="","",IF($H15="",$A$45,IF($H15=$A$49,$A$43,IF(OR($I15="",$C$6=""),$A$42,IF($I15&gt;$C$6,$A$44,$A$42)))))</f>
        <v>Sin ficha</v>
      </c>
    </row>
    <row r="16" ht="26" customHeight="1">
      <c r="A16" s="5" t="inlineStr">
        <is>
          <t>P3</t>
        </is>
      </c>
      <c r="B16" s="8" t="inlineStr">
        <is>
          <t>Hamburguesa de vaca madurada con patatas</t>
        </is>
      </c>
      <c r="C16" s="8" t="inlineStr">
        <is>
          <t>Pase y caliente</t>
        </is>
      </c>
      <c r="D16" s="5" t="inlineStr">
        <is>
          <t>Principales</t>
        </is>
      </c>
      <c r="E16" s="5" t="inlineStr"/>
      <c r="F16" s="21" t="inlineStr"/>
      <c r="G16" s="8" t="inlineStr"/>
      <c r="H16" s="5" t="inlineStr"/>
      <c r="I16" s="22">
        <f>IFERROR(IF(OR($F16="",$C$5=""),"",$C$5-$F16),"")</f>
        <v/>
      </c>
      <c r="J16" t="str">
        <f>IF($B16="","",IF($H16="",$A$45,IF($H16=$A$49,$A$43,IF(OR($I16="",$C$6=""),$A$42,IF($I16&gt;$C$6,$A$44,$A$42)))))</f>
        <v>Sin ficha</v>
      </c>
    </row>
    <row r="17" ht="26" customHeight="1">
      <c r="A17" s="5" t="inlineStr">
        <is>
          <t>P4</t>
        </is>
      </c>
      <c r="B17" s="8" t="inlineStr">
        <is>
          <t>Arroz meloso de secreto ibérico y setas</t>
        </is>
      </c>
      <c r="C17" s="8" t="inlineStr">
        <is>
          <t>Pase y caliente</t>
        </is>
      </c>
      <c r="D17" s="5" t="inlineStr">
        <is>
          <t>Principales</t>
        </is>
      </c>
      <c r="E17" s="5" t="inlineStr"/>
      <c r="F17" s="21" t="inlineStr"/>
      <c r="G17" s="8" t="inlineStr"/>
      <c r="H17" s="5" t="inlineStr"/>
      <c r="I17" s="22">
        <f>IFERROR(IF(OR($F17="",$C$5=""),"",$C$5-$F17),"")</f>
        <v/>
      </c>
      <c r="J17" t="str">
        <f>IF($B17="","",IF($H17="",$A$45,IF($H17=$A$49,$A$43,IF(OR($I17="",$C$6=""),$A$42,IF($I17&gt;$C$6,$A$44,$A$42)))))</f>
        <v>Sin ficha</v>
      </c>
    </row>
    <row r="18" ht="26" customHeight="1">
      <c r="A18" s="5" t="inlineStr">
        <is>
          <t>P5</t>
        </is>
      </c>
      <c r="B18" s="8" t="inlineStr">
        <is>
          <t>Chuletón de vaca madurada (500 g)</t>
        </is>
      </c>
      <c r="C18" s="8" t="inlineStr">
        <is>
          <t>Pase y caliente</t>
        </is>
      </c>
      <c r="D18" s="5" t="inlineStr">
        <is>
          <t>Principales</t>
        </is>
      </c>
      <c r="E18" s="5" t="inlineStr"/>
      <c r="F18" s="21" t="inlineStr"/>
      <c r="G18" s="8" t="inlineStr"/>
      <c r="H18" s="5" t="inlineStr"/>
      <c r="I18" s="22">
        <f>IFERROR(IF(OR($F18="",$C$5=""),"",$C$5-$F18),"")</f>
        <v/>
      </c>
      <c r="J18" t="str">
        <f>IF($B18="","",IF($H18="",$A$45,IF($H18=$A$49,$A$43,IF(OR($I18="",$C$6=""),$A$42,IF($I18&gt;$C$6,$A$44,$A$42)))))</f>
        <v>Sin ficha</v>
      </c>
    </row>
    <row r="19" ht="26" customHeight="1">
      <c r="A19" s="5" t="inlineStr">
        <is>
          <t>D1</t>
        </is>
      </c>
      <c r="B19" s="8" t="inlineStr">
        <is>
          <t>Tarta de queso cremosa</t>
        </is>
      </c>
      <c r="C19" s="8" t="inlineStr">
        <is>
          <t>Postres y panadería</t>
        </is>
      </c>
      <c r="D19" s="5" t="inlineStr">
        <is>
          <t>Postres</t>
        </is>
      </c>
      <c r="E19" s="5" t="inlineStr"/>
      <c r="F19" s="21" t="inlineStr"/>
      <c r="G19" s="8" t="inlineStr"/>
      <c r="H19" s="5" t="inlineStr"/>
      <c r="I19" s="22">
        <f>IFERROR(IF(OR($F19="",$C$5=""),"",$C$5-$F19),"")</f>
        <v/>
      </c>
      <c r="J19" t="str">
        <f>IF($B19="","",IF($H19="",$A$45,IF($H19=$A$49,$A$43,IF(OR($I19="",$C$6=""),$A$42,IF($I19&gt;$C$6,$A$44,$A$42)))))</f>
        <v>Sin ficha</v>
      </c>
    </row>
    <row r="20" ht="26" customHeight="1">
      <c r="A20" s="5" t="inlineStr">
        <is>
          <t>D2</t>
        </is>
      </c>
      <c r="B20" s="8" t="inlineStr">
        <is>
          <t>Torrija caramelizada con helado</t>
        </is>
      </c>
      <c r="C20" s="8" t="inlineStr">
        <is>
          <t>Postres y panadería</t>
        </is>
      </c>
      <c r="D20" s="5" t="inlineStr">
        <is>
          <t>Postres</t>
        </is>
      </c>
      <c r="E20" s="5" t="inlineStr"/>
      <c r="F20" s="21" t="inlineStr"/>
      <c r="G20" s="8" t="inlineStr"/>
      <c r="H20" s="5" t="inlineStr"/>
      <c r="I20" s="22">
        <f>IFERROR(IF(OR($F20="",$C$5=""),"",$C$5-$F20),"")</f>
        <v/>
      </c>
      <c r="J20" t="str">
        <f>IF($B20="","",IF($H20="",$A$45,IF($H20=$A$49,$A$43,IF(OR($I20="",$C$6=""),$A$42,IF($I20&gt;$C$6,$A$44,$A$42)))))</f>
        <v>Sin ficha</v>
      </c>
    </row>
    <row r="21" ht="26" customHeight="1">
      <c r="A21" s="5" t="inlineStr">
        <is>
          <t>D3</t>
        </is>
      </c>
      <c r="B21" s="8" t="inlineStr">
        <is>
          <t>Coulant de chocolate</t>
        </is>
      </c>
      <c r="C21" s="8" t="inlineStr">
        <is>
          <t>Postres y panadería</t>
        </is>
      </c>
      <c r="D21" s="5" t="inlineStr">
        <is>
          <t>Postres</t>
        </is>
      </c>
      <c r="E21" s="5" t="inlineStr"/>
      <c r="F21" s="21" t="inlineStr"/>
      <c r="G21" s="8" t="inlineStr"/>
      <c r="H21" s="5" t="inlineStr"/>
      <c r="I21" s="22">
        <f>IFERROR(IF(OR($F21="",$C$5=""),"",$C$5-$F21),"")</f>
        <v/>
      </c>
      <c r="J21" t="str">
        <f>IF($B21="","",IF($H21="",$A$45,IF($H21=$A$49,$A$43,IF(OR($I21="",$C$6=""),$A$42,IF($I21&gt;$C$6,$A$44,$A$42)))))</f>
        <v>Sin ficha</v>
      </c>
    </row>
    <row r="22" ht="26" customHeight="1">
      <c r="A22" s="5" t="inlineStr">
        <is>
          <t>N1</t>
        </is>
      </c>
      <c r="B22" s="8" t="inlineStr">
        <is>
          <t>Alcachofas confitadas con panceta y yema curada</t>
        </is>
      </c>
      <c r="C22" s="8" t="inlineStr">
        <is>
          <t>Fríos y entrantes</t>
        </is>
      </c>
      <c r="D22" s="5" t="inlineStr">
        <is>
          <t>Entrantes</t>
        </is>
      </c>
      <c r="E22" s="5" t="inlineStr">
        <is>
          <t>1.0</t>
        </is>
      </c>
      <c r="F22" s="21" t="n">
        <v>46287</v>
      </c>
      <c r="G22" s="8" t="inlineStr">
        <is>
          <t>P02 (jefe de cocina)</t>
        </is>
      </c>
      <c r="H22" s="5" t="inlineStr">
        <is>
          <t>Sí</t>
        </is>
      </c>
      <c r="I22" s="22">
        <f>IFERROR(IF(OR($F22="",$C$5=""),"",$C$5-$F22),"")</f>
        <v>-16.0</v>
      </c>
      <c r="J22" t="str">
        <f>IF($B22="","",IF($H22="",$A$45,IF($H22=$A$49,$A$43,IF(OR($I22="",$C$6=""),$A$42,IF($I22&gt;$C$6,$A$44,$A$42)))))</f>
        <v>Cerrada</v>
      </c>
    </row>
    <row r="23" ht="26" customHeight="1">
      <c r="A23" s="5" t="inlineStr">
        <is>
          <t>N2</t>
        </is>
      </c>
      <c r="B23" s="8" t="inlineStr">
        <is>
          <t>Guiso de carrilleras al vino tinto con puré de apionabo</t>
        </is>
      </c>
      <c r="C23" s="8" t="inlineStr">
        <is>
          <t>Pase y caliente</t>
        </is>
      </c>
      <c r="D23" s="5" t="inlineStr">
        <is>
          <t>Principales</t>
        </is>
      </c>
      <c r="E23" s="5" t="inlineStr">
        <is>
          <t>1.0</t>
        </is>
      </c>
      <c r="F23" s="21" t="n">
        <v>46289</v>
      </c>
      <c r="G23" s="8" t="inlineStr">
        <is>
          <t>P02 (jefe de cocina)</t>
        </is>
      </c>
      <c r="H23" s="5" t="inlineStr">
        <is>
          <t>Sí</t>
        </is>
      </c>
      <c r="I23" s="22">
        <f>IFERROR(IF(OR($F23="",$C$5=""),"",$C$5-$F23),"")</f>
        <v>-18.0</v>
      </c>
      <c r="J23" t="str">
        <f>IF($B23="","",IF($H23="",$A$45,IF($H23=$A$49,$A$43,IF(OR($I23="",$C$6=""),$A$42,IF($I23&gt;$C$6,$A$44,$A$42)))))</f>
        <v>Cerrada</v>
      </c>
    </row>
    <row r="24" ht="26" customHeight="1">
      <c r="A24" s="5" t="inlineStr"/>
      <c r="B24" s="8" t="inlineStr"/>
      <c r="C24" s="8" t="inlineStr"/>
      <c r="D24" s="5" t="inlineStr"/>
      <c r="E24" s="5" t="inlineStr"/>
      <c r="F24" s="21" t="inlineStr"/>
      <c r="G24" s="8" t="inlineStr"/>
      <c r="H24" s="5" t="inlineStr"/>
      <c r="I24" s="22">
        <f>IFERROR(IF(OR($F24="",$C$5=""),"",$C$5-$F24),"")</f>
        <v/>
      </c>
      <c r="J24">
        <f>IF($B24="","",IF($H24="",$A$45,IF($H24=$A$49,$A$43,IF(OR($I24="",$C$6=""),$A$42,IF($I24&gt;$C$6,$A$44,$A$42)))))</f>
        <v/>
      </c>
    </row>
    <row r="25" ht="26" customHeight="1">
      <c r="A25" s="5" t="inlineStr"/>
      <c r="B25" s="8" t="inlineStr"/>
      <c r="C25" s="8" t="inlineStr"/>
      <c r="D25" s="5" t="inlineStr"/>
      <c r="E25" s="5" t="inlineStr"/>
      <c r="F25" s="21" t="inlineStr"/>
      <c r="G25" s="8" t="inlineStr"/>
      <c r="H25" s="5" t="inlineStr"/>
      <c r="I25" s="22">
        <f>IFERROR(IF(OR($F25="",$C$5=""),"",$C$5-$F25),"")</f>
        <v/>
      </c>
      <c r="J25">
        <f>IF($B25="","",IF($H25="",$A$45,IF($H25=$A$49,$A$43,IF(OR($I25="",$C$6=""),$A$42,IF($I25&gt;$C$6,$A$44,$A$42)))))</f>
        <v/>
      </c>
    </row>
    <row r="26" ht="26" customHeight="1">
      <c r="A26" s="5" t="inlineStr"/>
      <c r="B26" s="8" t="inlineStr"/>
      <c r="C26" s="8" t="inlineStr"/>
      <c r="D26" s="5" t="inlineStr"/>
      <c r="E26" s="5" t="inlineStr"/>
      <c r="F26" s="21" t="inlineStr"/>
      <c r="G26" s="8" t="inlineStr"/>
      <c r="H26" s="5" t="inlineStr"/>
      <c r="I26" s="22">
        <f>IFERROR(IF(OR($F26="",$C$5=""),"",$C$5-$F26),"")</f>
        <v/>
      </c>
      <c r="J26">
        <f>IF($B26="","",IF($H26="",$A$45,IF($H26=$A$49,$A$43,IF(OR($I26="",$C$6=""),$A$42,IF($I26&gt;$C$6,$A$44,$A$42)))))</f>
        <v/>
      </c>
    </row>
    <row r="27" ht="26" customHeight="1">
      <c r="A27" s="5" t="inlineStr"/>
      <c r="B27" s="8" t="inlineStr"/>
      <c r="C27" s="8" t="inlineStr"/>
      <c r="D27" s="5" t="inlineStr"/>
      <c r="E27" s="5" t="inlineStr"/>
      <c r="F27" s="21" t="inlineStr"/>
      <c r="G27" s="8" t="inlineStr"/>
      <c r="H27" s="5" t="inlineStr"/>
      <c r="I27" s="22">
        <f>IFERROR(IF(OR($F27="",$C$5=""),"",$C$5-$F27),"")</f>
        <v/>
      </c>
      <c r="J27">
        <f>IF($B27="","",IF($H27="",$A$45,IF($H27=$A$49,$A$43,IF(OR($I27="",$C$6=""),$A$42,IF($I27&gt;$C$6,$A$44,$A$42)))))</f>
        <v/>
      </c>
    </row>
    <row r="28" ht="26" customHeight="1">
      <c r="A28" s="5" t="inlineStr"/>
      <c r="B28" s="8" t="inlineStr"/>
      <c r="C28" s="8" t="inlineStr"/>
      <c r="D28" s="5" t="inlineStr"/>
      <c r="E28" s="5" t="inlineStr"/>
      <c r="F28" s="21" t="inlineStr"/>
      <c r="G28" s="8" t="inlineStr"/>
      <c r="H28" s="5" t="inlineStr"/>
      <c r="I28" s="22">
        <f>IFERROR(IF(OR($F28="",$C$5=""),"",$C$5-$F28),"")</f>
        <v/>
      </c>
      <c r="J28">
        <f>IF($B28="","",IF($H28="",$A$45,IF($H28=$A$49,$A$43,IF(OR($I28="",$C$6=""),$A$42,IF($I28&gt;$C$6,$A$44,$A$42)))))</f>
        <v/>
      </c>
    </row>
    <row r="29" ht="26" customHeight="1">
      <c r="A29" s="5" t="inlineStr"/>
      <c r="B29" s="8" t="inlineStr"/>
      <c r="C29" s="8" t="inlineStr"/>
      <c r="D29" s="5" t="inlineStr"/>
      <c r="E29" s="5" t="inlineStr"/>
      <c r="F29" s="21" t="inlineStr"/>
      <c r="G29" s="8" t="inlineStr"/>
      <c r="H29" s="5" t="inlineStr"/>
      <c r="I29" s="22">
        <f>IFERROR(IF(OR($F29="",$C$5=""),"",$C$5-$F29),"")</f>
        <v/>
      </c>
      <c r="J29">
        <f>IF($B29="","",IF($H29="",$A$45,IF($H29=$A$49,$A$43,IF(OR($I29="",$C$6=""),$A$42,IF($I29&gt;$C$6,$A$44,$A$42)))))</f>
        <v/>
      </c>
    </row>
    <row r="30" ht="26" customHeight="1">
      <c r="A30" s="5" t="inlineStr"/>
      <c r="B30" s="8" t="inlineStr"/>
      <c r="C30" s="8" t="inlineStr"/>
      <c r="D30" s="5" t="inlineStr"/>
      <c r="E30" s="5" t="inlineStr"/>
      <c r="F30" s="21" t="inlineStr"/>
      <c r="G30" s="8" t="inlineStr"/>
      <c r="H30" s="5" t="inlineStr"/>
      <c r="I30" s="22">
        <f>IFERROR(IF(OR($F30="",$C$5=""),"",$C$5-$F30),"")</f>
        <v/>
      </c>
      <c r="J30">
        <f>IF($B30="","",IF($H30="",$A$45,IF($H30=$A$49,$A$43,IF(OR($I30="",$C$6=""),$A$42,IF($I30&gt;$C$6,$A$44,$A$42)))))</f>
        <v/>
      </c>
    </row>
    <row r="31" ht="26" customHeight="1">
      <c r="A31" s="5" t="inlineStr"/>
      <c r="B31" s="8" t="inlineStr"/>
      <c r="C31" s="8" t="inlineStr"/>
      <c r="D31" s="5" t="inlineStr"/>
      <c r="E31" s="5" t="inlineStr"/>
      <c r="F31" s="21" t="inlineStr"/>
      <c r="G31" s="8" t="inlineStr"/>
      <c r="H31" s="5" t="inlineStr"/>
      <c r="I31" s="22">
        <f>IFERROR(IF(OR($F31="",$C$5=""),"",$C$5-$F31),"")</f>
        <v/>
      </c>
      <c r="J31">
        <f>IF($B31="","",IF($H31="",$A$45,IF($H31=$A$49,$A$43,IF(OR($I31="",$C$6=""),$A$42,IF($I31&gt;$C$6,$A$44,$A$42)))))</f>
        <v/>
      </c>
    </row>
    <row r="32" ht="26" customHeight="1">
      <c r="A32" s="5" t="inlineStr"/>
      <c r="B32" s="8" t="inlineStr"/>
      <c r="C32" s="8" t="inlineStr"/>
      <c r="D32" s="5" t="inlineStr"/>
      <c r="E32" s="5" t="inlineStr"/>
      <c r="F32" s="21" t="inlineStr"/>
      <c r="G32" s="8" t="inlineStr"/>
      <c r="H32" s="5" t="inlineStr"/>
      <c r="I32" s="22">
        <f>IFERROR(IF(OR($F32="",$C$5=""),"",$C$5-$F32),"")</f>
        <v/>
      </c>
      <c r="J32">
        <f>IF($B32="","",IF($H32="",$A$45,IF($H32=$A$49,$A$43,IF(OR($I32="",$C$6=""),$A$42,IF($I32&gt;$C$6,$A$44,$A$42)))))</f>
        <v/>
      </c>
    </row>
    <row r="33" ht="26" customHeight="1">
      <c r="A33" s="5" t="inlineStr"/>
      <c r="B33" s="8" t="inlineStr"/>
      <c r="C33" s="8" t="inlineStr"/>
      <c r="D33" s="5" t="inlineStr"/>
      <c r="E33" s="5" t="inlineStr"/>
      <c r="F33" s="21" t="inlineStr"/>
      <c r="G33" s="8" t="inlineStr"/>
      <c r="H33" s="5" t="inlineStr"/>
      <c r="I33" s="22">
        <f>IFERROR(IF(OR($F33="",$C$5=""),"",$C$5-$F33),"")</f>
        <v/>
      </c>
      <c r="J33">
        <f>IF($B33="","",IF($H33="",$A$45,IF($H33=$A$49,$A$43,IF(OR($I33="",$C$6=""),$A$42,IF($I33&gt;$C$6,$A$44,$A$42)))))</f>
        <v/>
      </c>
    </row>
    <row r="34" ht="26" customHeight="1">
      <c r="A34" s="5" t="inlineStr"/>
      <c r="B34" s="8" t="inlineStr"/>
      <c r="C34" s="8" t="inlineStr"/>
      <c r="D34" s="5" t="inlineStr"/>
      <c r="E34" s="5" t="inlineStr"/>
      <c r="F34" s="21" t="inlineStr"/>
      <c r="G34" s="8" t="inlineStr"/>
      <c r="H34" s="5" t="inlineStr"/>
      <c r="I34" s="22">
        <f>IFERROR(IF(OR($F34="",$C$5=""),"",$C$5-$F34),"")</f>
        <v/>
      </c>
      <c r="J34">
        <f>IF($B34="","",IF($H34="",$A$45,IF($H34=$A$49,$A$43,IF(OR($I34="",$C$6=""),$A$42,IF($I34&gt;$C$6,$A$44,$A$42)))))</f>
        <v/>
      </c>
    </row>
    <row r="35" ht="26" customHeight="1">
      <c r="A35" s="5" t="inlineStr"/>
      <c r="B35" s="8" t="inlineStr"/>
      <c r="C35" s="8" t="inlineStr"/>
      <c r="D35" s="5" t="inlineStr"/>
      <c r="E35" s="5" t="inlineStr"/>
      <c r="F35" s="21" t="inlineStr"/>
      <c r="G35" s="8" t="inlineStr"/>
      <c r="H35" s="5" t="inlineStr"/>
      <c r="I35" s="22">
        <f>IFERROR(IF(OR($F35="",$C$5=""),"",$C$5-$F35),"")</f>
        <v/>
      </c>
      <c r="J35">
        <f>IF($B35="","",IF($H35="",$A$45,IF($H35=$A$49,$A$43,IF(OR($I35="",$C$6=""),$A$42,IF($I35&gt;$C$6,$A$44,$A$42)))))</f>
        <v/>
      </c>
    </row>
    <row r="36" ht="26" customHeight="1">
      <c r="A36" s="5" t="inlineStr"/>
      <c r="B36" s="8" t="inlineStr"/>
      <c r="C36" s="8" t="inlineStr"/>
      <c r="D36" s="5" t="inlineStr"/>
      <c r="E36" s="5" t="inlineStr"/>
      <c r="F36" s="21" t="inlineStr"/>
      <c r="G36" s="8" t="inlineStr"/>
      <c r="H36" s="5" t="inlineStr"/>
      <c r="I36" s="22">
        <f>IFERROR(IF(OR($F36="",$C$5=""),"",$C$5-$F36),"")</f>
        <v/>
      </c>
      <c r="J36">
        <f>IF($B36="","",IF($H36="",$A$45,IF($H36=$A$49,$A$43,IF(OR($I36="",$C$6=""),$A$42,IF($I36&gt;$C$6,$A$44,$A$42)))))</f>
        <v/>
      </c>
    </row>
    <row r="37" ht="26" customHeight="1">
      <c r="A37" s="5" t="inlineStr"/>
      <c r="B37" s="8" t="inlineStr"/>
      <c r="C37" s="8" t="inlineStr"/>
      <c r="D37" s="5" t="inlineStr"/>
      <c r="E37" s="5" t="inlineStr"/>
      <c r="F37" s="21" t="inlineStr"/>
      <c r="G37" s="8" t="inlineStr"/>
      <c r="H37" s="5" t="inlineStr"/>
      <c r="I37" s="22">
        <f>IFERROR(IF(OR($F37="",$C$5=""),"",$C$5-$F37),"")</f>
        <v/>
      </c>
      <c r="J37">
        <f>IF($B37="","",IF($H37="",$A$45,IF($H37=$A$49,$A$43,IF(OR($I37="",$C$6=""),$A$42,IF($I37&gt;$C$6,$A$44,$A$42)))))</f>
        <v/>
      </c>
    </row>
    <row r="38" ht="26" customHeight="1">
      <c r="A38" s="5" t="inlineStr"/>
      <c r="B38" s="8" t="inlineStr"/>
      <c r="C38" s="8" t="inlineStr"/>
      <c r="D38" s="5" t="inlineStr"/>
      <c r="E38" s="5" t="inlineStr"/>
      <c r="F38" s="21" t="inlineStr"/>
      <c r="G38" s="8" t="inlineStr"/>
      <c r="H38" s="5" t="inlineStr"/>
      <c r="I38" s="22">
        <f>IFERROR(IF(OR($F38="",$C$5=""),"",$C$5-$F38),"")</f>
        <v/>
      </c>
      <c r="J38">
        <f>IF($B38="","",IF($H38="",$A$45,IF($H38=$A$49,$A$43,IF(OR($I38="",$C$6=""),$A$42,IF($I38&gt;$C$6,$A$44,$A$42)))))</f>
        <v/>
      </c>
    </row>
    <row r="39" ht="26" customHeight="1">
      <c r="A39" s="5" t="inlineStr"/>
      <c r="B39" s="8" t="inlineStr"/>
      <c r="C39" s="8" t="inlineStr"/>
      <c r="D39" s="5" t="inlineStr"/>
      <c r="E39" s="5" t="inlineStr"/>
      <c r="F39" s="21" t="inlineStr"/>
      <c r="G39" s="8" t="inlineStr"/>
      <c r="H39" s="5" t="inlineStr"/>
      <c r="I39" s="22">
        <f>IFERROR(IF(OR($F39="",$C$5=""),"",$C$5-$F39),"")</f>
        <v/>
      </c>
      <c r="J39">
        <f>IF($B39="","",IF($H39="",$A$45,IF($H39=$A$49,$A$43,IF(OR($I39="",$C$6=""),$A$42,IF($I39&gt;$C$6,$A$44,$A$42)))))</f>
        <v/>
      </c>
    </row>
    <row r="40"/>
    <row r="41" ht="20" customHeight="1">
      <c r="A41" s="13" t="inlineStr">
        <is>
          <t>Estado de la ficha</t>
        </is>
      </c>
      <c r="B41" s="13" t="inlineStr">
        <is>
          <t>Qué quiere decir</t>
        </is>
      </c>
    </row>
    <row r="42" ht="26" customHeight="1">
      <c r="A42" s="16" t="inlineStr">
        <is>
          <t>Cerrada</t>
        </is>
      </c>
      <c r="B42" s="4" t="inlineStr">
        <is>
          <t>La ficha existe, está escrita y alguien que no la escribió ya ha ejecutado el plato con ella delante.</t>
        </is>
      </c>
    </row>
    <row r="43" ht="26" customHeight="1">
      <c r="A43" s="16" t="inlineStr">
        <is>
          <t>Pendiente de cerrar</t>
        </is>
      </c>
      <c r="B43" s="4" t="inlineStr">
        <is>
          <t>La ficha existe pero todavía no la ha validado nadie ejecutándola.</t>
        </is>
      </c>
    </row>
    <row r="44" ht="26" customHeight="1">
      <c r="A44" s="16" t="inlineStr">
        <is>
          <t>Toca revisarla</t>
        </is>
      </c>
      <c r="B44" s="4" t="inlineStr">
        <is>
          <t>La ficha está cerrada, pero lleva más días de los que has puesto arriba sin revisarse.</t>
        </is>
      </c>
    </row>
    <row r="45" ht="26" customHeight="1">
      <c r="A45" s="16" t="inlineStr">
        <is>
          <t>Sin ficha</t>
        </is>
      </c>
      <c r="B45" s="4" t="inlineStr">
        <is>
          <t>El plato está en la carta y no tiene ficha. Es la fila que cuesta dinero.</t>
        </is>
      </c>
    </row>
    <row r="46"/>
    <row r="47" ht="20" customHeight="1">
      <c r="A47" s="13" t="inlineStr">
        <is>
          <t>¿Ficha cerrada?</t>
        </is>
      </c>
      <c r="B47" s="13" t="inlineStr">
        <is>
          <t>Cuándo se marca</t>
        </is>
      </c>
    </row>
    <row r="48" ht="26" customHeight="1">
      <c r="A48" s="16" t="inlineStr">
        <is>
          <t>Sí</t>
        </is>
      </c>
      <c r="B48" s="4" t="inlineStr">
        <is>
          <t>Ya la ha ejecutado alguien que no la escribió y salió igual.</t>
        </is>
      </c>
    </row>
    <row r="49" ht="26" customHeight="1">
      <c r="A49" s="16" t="inlineStr">
        <is>
          <t>No</t>
        </is>
      </c>
      <c r="B49" s="4" t="inlineStr">
        <is>
          <t>Está escrita pero sin validar. Déjala en blanco si ni siquiera está escrita.</t>
        </is>
      </c>
    </row>
    <row r="50"/>
    <row r="51" ht="20" customHeight="1">
      <c r="A51" s="13" t="inlineStr">
        <is>
          <t>Resumen del índice</t>
        </is>
      </c>
      <c r="B51" s="14" t="n"/>
      <c r="C51" s="13" t="inlineStr">
        <is>
          <t>Platos</t>
        </is>
      </c>
    </row>
    <row r="52">
      <c r="A52" t="inlineStr">
        <is>
          <t>Platos en estado «Cerrada»</t>
        </is>
      </c>
      <c r="C52" s="23">
        <f>IFERROR(COUNTIF($J$10:$J$39,$A$42),"")</f>
        <v>3.0</v>
      </c>
    </row>
    <row r="53">
      <c r="A53" t="inlineStr">
        <is>
          <t>Platos en estado «Pendiente de cerrar»</t>
        </is>
      </c>
      <c r="C53" s="23">
        <f>IFERROR(COUNTIF($J$10:$J$39,$A$43),"")</f>
        <v>0.0</v>
      </c>
    </row>
    <row r="54">
      <c r="A54" t="inlineStr">
        <is>
          <t>Platos en estado «Toca revisarla»</t>
        </is>
      </c>
      <c r="C54" s="23">
        <f>IFERROR(COUNTIF($J$10:$J$39,$A$44),"")</f>
        <v>0.0</v>
      </c>
    </row>
    <row r="55">
      <c r="A55" t="inlineStr">
        <is>
          <t>Platos en estado «Sin ficha»</t>
        </is>
      </c>
      <c r="C55" s="23">
        <f>IFERROR(COUNTIF($J$10:$J$39,$A$45),"")</f>
        <v>11.0</v>
      </c>
    </row>
    <row r="56">
      <c r="A56" s="16" t="inlineStr">
        <is>
          <t>Platos registrados en el índice</t>
        </is>
      </c>
      <c r="C56" s="17">
        <f>IF(COUNT($C$52:$C$55)=0,"",SUM($C$52:$C$55))</f>
        <v>14.0</v>
      </c>
    </row>
    <row r="57">
      <c r="A57" s="16" t="inlineStr">
        <is>
          <t>Platos de la carta con la ficha cerrada (%)</t>
        </is>
      </c>
      <c r="C57" s="24">
        <f>IFERROR(IF(OR($C$56="",$C$56=0),"",$C$52/$C$56),"")</f>
        <v>0.21428571428571427</v>
      </c>
    </row>
    <row r="58"/>
    <row r="59" ht="44" customHeight="1">
      <c r="A59" s="6" t="inlineStr">
        <is>
          <t>El porcentaje se calcula sobre los platos REGISTRADOS en el índice, no sobre los que tienen algo escrito en la columna de ficha cerrada: una fila en blanco cuenta como «Sin ficha», que es exactamente lo que es. En el ejemplo hay 12 platos de la carta y una sola ficha cerrada, y ése es el número con el que se empieza a trabajar.</t>
        </is>
      </c>
    </row>
    <row r="60"/>
    <row r="61" ht="40" customHeight="1">
      <c r="A61" s="6" t="inlineStr">
        <is>
          <t>Por qué es manual: para rellenarse solo, la hoja tendría que leer el nombre de cada pestaña con INDIRECT, que Google Sheets y los visores del móvil no resuelven igual. Antes un índice que se escribe a mano y siempre dice la verdad que uno que a veces funciona.</t>
        </is>
      </c>
    </row>
    <row r="62"/>
    <row r="63">
      <c r="A63" s="20"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D6:G6"/>
    <mergeCell ref="B44:G44"/>
    <mergeCell ref="A55:B55"/>
    <mergeCell ref="A57:B57"/>
    <mergeCell ref="A59:J59"/>
    <mergeCell ref="A61:J61"/>
    <mergeCell ref="B43:G43"/>
    <mergeCell ref="B45:G45"/>
    <mergeCell ref="B48:G48"/>
    <mergeCell ref="A51:B51"/>
    <mergeCell ref="A53:B53"/>
    <mergeCell ref="A56:B56"/>
    <mergeCell ref="A3:F3"/>
    <mergeCell ref="B42:G42"/>
    <mergeCell ref="B49:G49"/>
    <mergeCell ref="A52:B52"/>
    <mergeCell ref="A54:B54"/>
  </mergeCells>
  <conditionalFormatting sqref="J10:J39">
    <cfRule type="cellIs" priority="1" operator="equal" dxfId="0" stopIfTrue="1">
      <formula>"Cerrada"</formula>
    </cfRule>
    <cfRule type="cellIs" priority="2" operator="equal" dxfId="2" stopIfTrue="1">
      <formula>"Pendiente de cerrar"</formula>
    </cfRule>
    <cfRule type="cellIs" priority="3" operator="equal" dxfId="2" stopIfTrue="1">
      <formula>"Toca revisarla"</formula>
    </cfRule>
    <cfRule type="cellIs" priority="4" operator="equal" dxfId="1" stopIfTrue="1">
      <formula>"Sin ficha"</formula>
    </cfRule>
  </conditionalFormatting>
  <dataValidations count="3">
    <dataValidation sqref="H10 H11 H12 H13 H14 H15 H16 H17 H18 H19 H20 H21 H22 H23 H24 H25 H26 H27 H28 H29 H30 H31 H32 H33 H34 H35 H36 H37 H38 H39" showDropDown="0" showInputMessage="0" showErrorMessage="1" allowBlank="1" errorTitle="Sí o No" error="Marca Sí sólo si la ficha ya se ha validado ejecutándola. Déjala vacía si no hay ficha." type="list">
      <formula1>'Índice de Fichas'!$A$48:$A$49</formula1>
    </dataValidation>
    <dataValidation sqref="C5 F10 F11 F12 F13 F14 F15 F16 F17 F18 F19 F20 F21 F22 F23 F24 F25 F26 F27 F28 F29 F30 F31 F32 F33 F34 F35 F36 F37 F38 F39"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Días" error="Escribe cada cuántos días quieres revisar una ficha cerrada. Déjala vacía si no quieres aviso." type="decimal" operator="between">
      <formula1>0</formula1>
      <formula2>3650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Ficha técnica de proceso</dc:title>
  <dc:subject xmlns:dc="http://purl.org/dc/elements/1.1/">Manual del Chef Ejecutivo · v1.0</dc:subject>
  <dcterms:created xmlns:dcterms="http://purl.org/dc/terms/" xmlns:xsi="http://www.w3.org/2001/XMLSchema-instance" xsi:type="dcterms:W3CDTF">2026-09-06T16:13:23Z</dcterms:created>
  <dcterms:modified xmlns:dcterms="http://purl.org/dc/terms/" xmlns:xsi="http://www.w3.org/2001/XMLSchema-instance" xsi:type="dcterms:W3CDTF">2026-09-06T16:13:24Z</dcterms:modified>
  <cp:lastModifiedBy>AI Chef Pro</cp:lastModifiedBy>
</cp:coreProperties>
</file>