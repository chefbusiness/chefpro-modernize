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Semana" sheetId="3" state="visible" r:id="rId3"/>
    <sheet xmlns:r="http://schemas.openxmlformats.org/officeDocument/2006/relationships" name="KPI y Definiciones" sheetId="4" state="visible" r:id="rId4"/>
    <sheet xmlns:r="http://schemas.openxmlformats.org/officeDocument/2006/relationships" name="Comparativa entre Unidades" sheetId="5" state="visible" r:id="rId5"/>
  </sheets>
  <definedNames>
    <definedName name="_xlnm.Print_Titles" localSheetId="2">'Semana'!$4:$4</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yyyy-mm-dd"/>
    <numFmt numFmtId="168" formatCode="dd/mm/yyyy"/>
  </numFmts>
  <fonts count="7">
    <font>
      <name val="Calibri"/>
      <family val="2"/>
      <color theme="1"/>
      <sz val="11"/>
      <scheme val="minor"/>
    </font>
    <font>
      <b val="1"/>
      <color rgb="00FFD700"/>
      <sz val="16"/>
    </font>
    <font>
      <i val="1"/>
      <sz val="9"/>
    </font>
    <font>
      <b val="1"/>
      <color theme="1"/>
      <sz val="11"/>
    </font>
    <font>
      <b val="1"/>
      <sz val="12"/>
    </font>
    <font>
      <b val="1"/>
      <color rgb="00FFFFFF"/>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2F2F2"/>
      </patternFill>
    </fill>
    <fill>
      <patternFill patternType="solid">
        <fgColor rgb="00FFF6DC"/>
      </patternFill>
    </fill>
  </fills>
  <borders count="1">
    <border>
      <left/>
      <right/>
      <top/>
      <bottom/>
      <diagonal/>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3" fillId="0" borderId="0" applyAlignment="1" pivotButton="0" quotePrefix="0" xfId="0">
      <alignment horizontal="general" vertical="top" wrapText="1"/>
    </xf>
    <xf numFmtId="0" fontId="3" fillId="0" borderId="0" pivotButton="0" quotePrefix="0" xfId="0"/>
    <xf numFmtId="3" fontId="0" fillId="2" borderId="0" applyProtection="1" pivotButton="0" quotePrefix="0" xfId="0">
      <protection locked="0" hidden="0"/>
    </xf>
    <xf numFmtId="0" fontId="0" fillId="2" borderId="0" applyAlignment="1" applyProtection="1" pivotButton="0" quotePrefix="0" xfId="0">
      <alignment horizontal="center" vertical="top"/>
      <protection locked="0" hidden="0"/>
    </xf>
    <xf numFmtId="4" fontId="0" fillId="2" borderId="0" applyProtection="1" pivotButton="0" quotePrefix="0" xfId="0">
      <protection locked="0" hidden="0"/>
    </xf>
    <xf numFmtId="164" fontId="0" fillId="2" borderId="0" applyProtection="1" pivotButton="0" quotePrefix="0" xfId="0">
      <protection locked="0" hidden="0"/>
    </xf>
    <xf numFmtId="0" fontId="0" fillId="2" borderId="0" applyAlignment="1" applyProtection="1" pivotButton="0" quotePrefix="0" xfId="0">
      <alignment horizontal="general" vertical="top" wrapText="1"/>
      <protection locked="0" hidden="0"/>
    </xf>
    <xf numFmtId="165" fontId="0" fillId="2" borderId="0" applyProtection="1" pivotButton="0" quotePrefix="0" xfId="0">
      <protection locked="0" hidden="0"/>
    </xf>
    <xf numFmtId="0" fontId="0" fillId="0" borderId="0" applyAlignment="1" pivotButton="0" quotePrefix="0" xfId="0">
      <alignment horizontal="center" vertical="top"/>
    </xf>
    <xf numFmtId="166" fontId="0" fillId="2" borderId="0" applyProtection="1" pivotButton="0" quotePrefix="0" xfId="0">
      <protection locked="0" hidden="0"/>
    </xf>
    <xf numFmtId="165" fontId="0" fillId="4" borderId="0" pivotButton="0" quotePrefix="0" xfId="0"/>
    <xf numFmtId="168" fontId="0" fillId="2" borderId="0" applyProtection="1" pivotButton="0" quotePrefix="0" xfId="0">
      <protection locked="0" hidden="0"/>
    </xf>
    <xf numFmtId="3" fontId="0" fillId="0" borderId="0" pivotButton="0" quotePrefix="0" xfId="0"/>
    <xf numFmtId="4"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6" fillId="5" borderId="0" pivotButton="0" quotePrefix="0" xfId="0"/>
    <xf numFmtId="3" fontId="6" fillId="5" borderId="0" pivotButton="0" quotePrefix="0" xfId="0"/>
    <xf numFmtId="4" fontId="6" fillId="5" borderId="0" pivotButton="0" quotePrefix="0" xfId="0"/>
    <xf numFmtId="164" fontId="6" fillId="5" borderId="0" pivotButton="0" quotePrefix="0" xfId="0"/>
    <xf numFmtId="165" fontId="6" fillId="5" borderId="0" pivotButton="0" quotePrefix="0" xfId="0"/>
    <xf numFmtId="166" fontId="6" fillId="5" borderId="0" pivotButton="0" quotePrefix="0" xfId="0"/>
    <xf numFmtId="0" fontId="0" fillId="4" borderId="0" pivotButton="0" quotePrefix="0" xfId="0"/>
    <xf numFmtId="4" fontId="0" fillId="4" borderId="0" pivotButton="0" quotePrefix="0" xfId="0"/>
    <xf numFmtId="164" fontId="0" fillId="4" borderId="0" pivotButton="0" quotePrefix="0" xfId="0"/>
    <xf numFmtId="166" fontId="0" fillId="4" borderId="0" pivotButton="0" quotePrefix="0" xfId="0"/>
    <xf numFmtId="3" fontId="0" fillId="4" borderId="0" pivotButton="0" quotePrefix="0" xfId="0"/>
    <xf numFmtId="0" fontId="0" fillId="0" borderId="0" applyAlignment="1" pivotButton="0" quotePrefix="0" xfId="0">
      <alignment horizontal="center" vertical="top" wrapText="1"/>
    </xf>
    <xf numFmtId="165" fontId="0" fillId="4" borderId="0" applyAlignment="1" pivotButton="0" quotePrefix="0" xfId="0">
      <alignment horizontal="center"/>
    </xf>
    <xf numFmtId="166" fontId="0" fillId="4" borderId="0" applyAlignment="1" pivotButton="0" quotePrefix="0" xfId="0">
      <alignment horizontal="center"/>
    </xf>
    <xf numFmtId="1" fontId="0" fillId="2" borderId="0" applyProtection="1" pivotButton="0" quotePrefix="0" xfId="0">
      <protection locked="0" hidden="0"/>
    </xf>
    <xf numFmtId="0" fontId="0" fillId="4" borderId="0" applyAlignment="1" pivotButton="0" quotePrefix="0" xfId="0">
      <alignment vertical="top" wrapText="1"/>
    </xf>
  </cellXfs>
  <cellStyles count="1">
    <cellStyle name="Normal" xfId="0" builtinId="0" hidden="0"/>
  </cellStyles>
  <dxfs count="4">
    <dxf>
      <font>
        <b val="1"/>
        <color rgb="00595959"/>
      </font>
      <fill>
        <patternFill patternType="solid">
          <fgColor rgb="00F2F2F2"/>
          <bgColor rgb="00F2F2F2"/>
        </patternFill>
      </fill>
    </dxf>
    <dxf>
      <font>
        <b val="1"/>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36"/>
  <sheetViews>
    <sheetView workbookViewId="0">
      <selection activeCell="A1" sqref="A1"/>
    </sheetView>
  </sheetViews>
  <sheetFormatPr baseColWidth="8" defaultRowHeight="15"/>
  <cols>
    <col width="38" customWidth="1" min="1" max="1"/>
    <col width="52" customWidth="1" min="2" max="2"/>
    <col width="52" customWidth="1" min="3" max="3"/>
  </cols>
  <sheetData>
    <row r="1" ht="30" customHeight="1">
      <c r="A1" s="1" t="inlineStr">
        <is>
          <t>Cuadro de mando de cocina</t>
        </is>
      </c>
    </row>
    <row r="2">
      <c r="A2" t="inlineStr">
        <is>
          <t>AI Chef Pro · aichef.pro — Manual del Chef Ejecutivo</t>
        </is>
      </c>
    </row>
    <row r="3">
      <c r="A3" s="2" t="inlineStr">
        <is>
          <t>Para qué sirve: saber qué partida se está comiendo el margen mientras todavía puedes hacer algo con ella.</t>
        </is>
      </c>
    </row>
    <row r="4"/>
    <row r="5">
      <c r="A5" s="3" t="inlineStr">
        <is>
          <t>Instrucciones de uso</t>
        </is>
      </c>
    </row>
    <row r="6" ht="44" customHeight="1">
      <c r="A6" s="4" t="inlineStr">
        <is>
          <t>1. Hoja «Parámetros»: escribe el nombre de tu cocina, elige el tipo de carta y di cuántas partidas (estaciones, en el vocabulario de la matriz de polivalencia del Manual del Manager) tienes activas. Ese número, de 3 a 8, es el que enciende las columnas de la hoja «Semana»: si pones 4, las columnas 5 a 8 se quedan sin encabezado y dejan de avisarte, aunque los totales siguen sumando lo que quede escrito en ellas.</t>
        </is>
      </c>
    </row>
    <row r="7" ht="44" customHeight="1">
      <c r="A7" s="4" t="inlineStr">
        <is>
          <t>2. En la misma hoja, escribe el nombre de cada partida, si produce raciones, cuántos kilos de materia prima neta lleva una ración media de esa partida y el objetivo de merma que TÚ te pones. Los kilos por ración son lo que convierte la merma (en kg) y la producción (en raciones) en un porcentaje comparable entre partidas.</t>
        </is>
      </c>
    </row>
    <row r="8" ht="44" customHeight="1">
      <c r="A8" s="4" t="inlineStr">
        <is>
          <t>3. Debajo están los demás objetivos de la casa: tiempos de pase, incidencias de alérgenos, horas de cocina por cubierto y platos devueltos y retrabajados. Son celdas verdes y son OBLIGATORIAS: mientras una esté vacía, su semáforo se queda GRIS. Este libro no trae ningún objetivo de referencia del sector porque no existe ninguno publicado.</t>
        </is>
      </c>
    </row>
    <row r="9" ht="44" customHeight="1">
      <c r="A9" s="4" t="inlineStr">
        <is>
          <t>4. Hoja «Semana»: una fila por semana ISO. Rellena las celdas verdes con lo que registres en cocina: cubiertos, raciones producidas por partida, kilos de merma por partida, tiempos de pase muestreados, incidencias de alérgenos, horas de cocina trabajadas y platos devueltos y retrabajados.</t>
        </is>
      </c>
    </row>
    <row r="10" ht="44" customHeight="1">
      <c r="A10" s="4" t="inlineStr">
        <is>
          <t>5. Las columnas grises las calcula el libro: la merma de cada partida en porcentaje, la merma global, las tasas por cubiertos y el recuento de indicadores fuera de objetivo. La última columna te lo dice con palabras.</t>
        </is>
      </c>
    </row>
    <row r="11" ht="44" customHeight="1">
      <c r="A11" s="4" t="inlineStr">
        <is>
          <t>6. Hoja «KPI y Definiciones»: qué mide cada indicador, cómo se calcula, con qué cadencia y cuál es el error típico. Es la hoja que se consulta cuando dos personas dan dos números distintos para lo mismo.</t>
        </is>
      </c>
    </row>
    <row r="12" ht="44" customHeight="1">
      <c r="A12" s="4" t="inlineStr">
        <is>
          <t>7. Hoja «Comparativa entre Unidades»: si diriges varias cocinas, elige el mes cerrado que quieres comparar. La primera fila es TU cocina y la calcula el libro desde la hoja «Semana»; las otras cinco las tecleas tú copiando de la hoja «Semana» del libro de cada unidad.</t>
        </is>
      </c>
    </row>
    <row r="13" ht="44" customHeight="1">
      <c r="A13" s="4" t="inlineStr">
        <is>
          <t>8. Cadencia de uso: este libro se rellena UNA VEZ POR SEMANA, al cerrar la semana, y se lee en la reunión de cocina de la semana siguiente. La comparativa entre unidades, una vez al mes.</t>
        </is>
      </c>
    </row>
    <row r="14"/>
    <row r="15">
      <c r="A15" s="5" t="inlineStr">
        <is>
          <t>Celdas verdes = campos editables</t>
        </is>
      </c>
    </row>
    <row r="16"/>
    <row r="17">
      <c r="A17" s="3" t="inlineStr">
        <is>
          <t>Qué se copia de dónde (y qué NO hay que volver a teclear)</t>
        </is>
      </c>
    </row>
    <row r="18" ht="32" customHeight="1">
      <c r="A18" s="6" t="inlineStr">
        <is>
          <t>Producto</t>
        </is>
      </c>
      <c r="B18" s="6" t="inlineStr">
        <is>
          <t>Qué te da</t>
        </is>
      </c>
      <c r="C18" s="6" t="inlineStr">
        <is>
          <t>Qué no hay que volver a teclear</t>
        </is>
      </c>
    </row>
    <row r="19" ht="58" customHeight="1">
      <c r="A19" s="7" t="inlineStr">
        <is>
          <t>Manual del Manager de Restaurante</t>
        </is>
      </c>
      <c r="B19" s="4" t="inlineStr">
        <is>
          <t>Las 12 personas de la plantilla, las 6 unidades (aquí «partidas»), la matriz de polivalencia y las 52 semanas ISO con sus cubiertos</t>
        </is>
      </c>
      <c r="C19" s="4" t="inlineStr">
        <is>
          <t>No vuelvas a teclear la plantilla ni los cubiertos: si ya tienes el Manager, copia y pega de su cuadro semanal</t>
        </is>
      </c>
    </row>
    <row r="20" ht="58" customHeight="1">
      <c r="A20" s="7" t="inlineStr">
        <is>
          <t>Guía Food Cost + Ingeniería de Menú</t>
        </is>
      </c>
      <c r="B20" s="4" t="inlineStr">
        <is>
          <t>La carta de 20 platos, el mix de venta de los 12 de ejemplo y el coste por ración de la ficha de escandallo</t>
        </is>
      </c>
      <c r="C20" s="4" t="inlineStr">
        <is>
          <t>El coste por ración de la ficha técnica de proceso se COPIA del escandallo (celda verde); este pack no lo recalcula</t>
        </is>
      </c>
    </row>
    <row r="21" ht="58" customHeight="1">
      <c r="A21" s="7" t="inlineStr">
        <is>
          <t>Este manual</t>
        </is>
      </c>
      <c r="B21" s="4" t="inlineStr">
        <is>
          <t>Producción y merma por partida, tiempos de pase, incidencias de alérgenos, horas de cocina, evaluación técnica, banquetes y auditoría de cocina</t>
        </is>
      </c>
      <c r="C21" s="4" t="inlineStr">
        <is>
          <t>Es la capa que no cubre ninguno de los dos anteriores</t>
        </is>
      </c>
    </row>
    <row r="22" ht="30" customHeight="1">
      <c r="A22" s="4" t="inlineStr">
        <is>
          <t>Es una COPIA declarada, no un vínculo: ningún libro de este pack lee una celda de otro fichero. Si mañana mueves un fichero de carpeta, nada se rompe.</t>
        </is>
      </c>
    </row>
    <row r="23"/>
    <row r="24">
      <c r="A24" s="3" t="inlineStr">
        <is>
          <t>Lo que conviene saber antes de empezar</t>
        </is>
      </c>
    </row>
    <row r="25" ht="58" customHeight="1">
      <c r="A25" s="4" t="inlineStr">
        <is>
          <t>ESTE LIBRO NO LLEVA NI UNA COLUMNA DE DINERO, y es a propósito. Las ventas, el food cost, el labor cost y el prime cost de la misma semana están en el cuadro de mando semanal del «Manual del Manager de Restaurante». Aquel dice CUÁNTO se ha ido; éste dice EN QUÉ PARTIDA.</t>
        </is>
      </c>
    </row>
    <row r="26" ht="58" customHeight="1">
      <c r="A26" s="4" t="inlineStr">
        <is>
          <t>La merma que se mide aquí es la merma AGREGADA de cada partida contra lo que esa partida ha producido. El rendimiento de un ingrediente concreto (cuánto queda de un lomo después de limpiarlo) vive en la «Guía Food Cost + Ingeniería de Menú», y la merma por producto y la recepción, en el «Kit de Inventario». No son lo mismo y no se suman.</t>
        </is>
      </c>
    </row>
    <row r="27" ht="58" customHeight="1">
      <c r="A27" s="4" t="inlineStr">
        <is>
          <t>Los objetivos de este libro son TUYOS. No existe un estándar publicado de KPI de cocina en español: ésta es nuestra lista de indicadores y el porqué de cada uno, pero el número contra el que te mides lo pones tú, con tu carta, tu equipo y tu temporada. Mientras la celda del objetivo esté vacía, el semáforo se queda gris.</t>
        </is>
      </c>
    </row>
    <row r="28" ht="58" customHeight="1">
      <c r="A28" s="4" t="inlineStr">
        <is>
          <t>La semana ISO empieza en lunes y la semana 1 del año es la que contiene el primer jueves de enero. Por eso la semana 1 de 2026 arranca el lunes 29 de diciembre de 2025: es la convención, no una errata.</t>
        </is>
      </c>
    </row>
    <row r="29" ht="58" customHeight="1">
      <c r="A29" s="4" t="inlineStr">
        <is>
          <t>La columna «Mes» sirve para cerrar el mes en la comparativa entre unidades. La convención es asignar la semana al mes de su JUEVES, que es la que usa la norma ISO; por eso la semana 14 de 2026 (lunes 30 de marzo) cuenta como abril.</t>
        </is>
      </c>
    </row>
    <row r="30" ht="58" customHeight="1">
      <c r="A30" s="4" t="inlineStr">
        <is>
          <t>Un dato que falta se deja EN BLANCO, nunca a cero: un cero es una medida («esta semana no hubo ninguna incidencia») y un blanco es la ausencia de medida. El libro los trata distinto y los semáforos ignoran los blancos.</t>
        </is>
      </c>
    </row>
    <row r="31"/>
    <row r="32">
      <c r="A32" s="4" t="inlineStr">
        <is>
          <t>Para editar la estructura o una celda que no este en verde, desprotege la hoja (sin contraseña).</t>
        </is>
      </c>
    </row>
    <row r="33">
      <c r="A33" s="4" t="inlineStr">
        <is>
          <t>Ruta en Excel: Revisar &gt; Desproteger hoja. La protección no tiene contraseña; sirve para no pisar una fórmula sin querer.</t>
        </is>
      </c>
    </row>
    <row r="34"/>
    <row r="35">
      <c r="A35" t="inlineStr">
        <is>
          <t>Diseñado por John Guerrero — chef y consultor gastronómico desde 2010 · johnguerrero.es</t>
        </is>
      </c>
    </row>
    <row r="36">
      <c r="A36" t="inlineStr">
        <is>
          <t>Versión 1.0 · septiembre 2026 · aichef.pro/manual-chef-ejecutivo · info@aichef.pro</t>
        </is>
      </c>
    </row>
  </sheetData>
  <sheetProtection selectLockedCells="0" selectUnlockedCells="0" sheet="1" objects="0" insertRows="0" insertHyperlinks="1" autoFilter="1" scenarios="0" formatColumns="0" deleteColumns="1" insertColumns="1" pivotTables="1" deleteRows="1" formatCells="1" formatRows="0" sort="0"/>
  <mergeCells count="17">
    <mergeCell ref="A6:C6"/>
    <mergeCell ref="A10:C10"/>
    <mergeCell ref="A22:C22"/>
    <mergeCell ref="A26:C26"/>
    <mergeCell ref="A32:C32"/>
    <mergeCell ref="A27:C27"/>
    <mergeCell ref="A9:C9"/>
    <mergeCell ref="A7:C7"/>
    <mergeCell ref="A25:C25"/>
    <mergeCell ref="A30:C30"/>
    <mergeCell ref="A29:C29"/>
    <mergeCell ref="A8:C8"/>
    <mergeCell ref="A11:C11"/>
    <mergeCell ref="A33:C33"/>
    <mergeCell ref="A12:C12"/>
    <mergeCell ref="A13:C13"/>
    <mergeCell ref="A28:C28"/>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54"/>
  <sheetViews>
    <sheetView workbookViewId="0">
      <selection activeCell="A1" sqref="A1"/>
    </sheetView>
  </sheetViews>
  <sheetFormatPr baseColWidth="8" defaultRowHeight="15"/>
  <cols>
    <col width="38" customWidth="1" min="1" max="1"/>
    <col width="20" customWidth="1" min="2" max="2"/>
    <col width="24" customWidth="1" min="3" max="3"/>
    <col width="26" customWidth="1" min="4" max="4"/>
    <col width="58" customWidth="1" min="5" max="5"/>
    <col width="76" customWidth="1" min="6" max="6"/>
  </cols>
  <sheetData>
    <row r="1" ht="30" customHeight="1">
      <c r="A1" s="1" t="inlineStr">
        <is>
          <t>Parámetros del cuadro de mando de cocina</t>
        </is>
      </c>
    </row>
    <row r="2">
      <c r="A2" t="inlineStr">
        <is>
          <t>AI Chef Pro · aichef.pro — Manual del Chef Ejecutivo</t>
        </is>
      </c>
    </row>
    <row r="3">
      <c r="A3" s="2" t="inlineStr">
        <is>
          <t>Todas las celdas verdes son tuyas. Los objetivos son criterio de la casa, no un estándar del sector.</t>
        </is>
      </c>
    </row>
    <row r="4">
      <c r="A4" s="3" t="inlineStr">
        <is>
          <t>IDENTIFICACIÓN Y ESCALA</t>
        </is>
      </c>
    </row>
    <row r="5">
      <c r="A5" s="8" t="inlineStr">
        <is>
          <t>Nombre de la cocina o unidad</t>
        </is>
      </c>
      <c r="B5" s="5" t="inlineStr">
        <is>
          <t>Restaurante de ejemplo «La Encina»</t>
        </is>
      </c>
    </row>
    <row r="6">
      <c r="A6" s="8" t="inlineStr">
        <is>
          <t>Tipo de carta</t>
        </is>
      </c>
      <c r="B6" s="5" t="inlineStr">
        <is>
          <t>Carta de temporada con menú del mediodía</t>
        </is>
      </c>
    </row>
    <row r="7">
      <c r="A7" s="8" t="inlineStr">
        <is>
          <t>Partidas activas (de 3 a 8)</t>
        </is>
      </c>
      <c r="B7" s="9" t="n">
        <v>6</v>
      </c>
    </row>
    <row r="8">
      <c r="A8" s="8" t="inlineStr">
        <is>
          <t>Base de las tasas por cubiertos</t>
        </is>
      </c>
      <c r="B8" s="9" t="n">
        <v>1000</v>
      </c>
    </row>
    <row r="9">
      <c r="A9" t="inlineStr">
        <is>
          <t>Las partidas activas gobiernan los encabezados de la hoja «Semana»: si escribes 4, las columnas de la 5.ª a la 8.ª partida se quedan sin encabezado y sin semáforo. La lista de abajo es la que da el nombre a cada columna.</t>
        </is>
      </c>
    </row>
    <row r="10">
      <c r="A10" t="inlineStr">
        <is>
          <t>La base de las tasas es el número de cubiertos sobre el que se expresan las incidencias de alérgenos y los platos devueltos y retrabajados. Viene en 1.000 cubiertos; si tu cocina es pequeña y prefieres leerlo por cada 100, cámbialo aquí y se recalcula toda la hoja «Semana». Los objetivos de más abajo van en esta misma base.</t>
        </is>
      </c>
    </row>
    <row r="11">
      <c r="A11" t="inlineStr">
        <is>
          <t>El nombre de la cocina es el que aparece como unidad de referencia en la hoja «Comparativa entre Unidades».</t>
        </is>
      </c>
    </row>
    <row r="12"/>
    <row r="13">
      <c r="A13" s="3" t="inlineStr">
        <is>
          <t>LAS PARTIDAS DE TU COCINA</t>
        </is>
      </c>
    </row>
    <row r="14" ht="46" customHeight="1">
      <c r="A14" s="6" t="inlineStr">
        <is>
          <t>Partida</t>
        </is>
      </c>
      <c r="B14" s="6" t="inlineStr">
        <is>
          <t>¿Produce raciones?</t>
        </is>
      </c>
      <c r="C14" s="6" t="inlineStr">
        <is>
          <t>Kg de materia prima neta por ración</t>
        </is>
      </c>
      <c r="D14" s="6" t="inlineStr">
        <is>
          <t>Objetivo de merma (%)</t>
        </is>
      </c>
      <c r="E14" s="6" t="inlineStr">
        <is>
          <t>Qué produce</t>
        </is>
      </c>
    </row>
    <row r="15" ht="30" customHeight="1">
      <c r="A15" s="5" t="inlineStr">
        <is>
          <t>Pase y caliente</t>
        </is>
      </c>
      <c r="B15" s="10" t="inlineStr">
        <is>
          <t>Sí</t>
        </is>
      </c>
      <c r="C15" s="11" t="n">
        <v>0.36</v>
      </c>
      <c r="D15" s="12" t="n">
        <v>0.035</v>
      </c>
      <c r="E15" s="13" t="inlineStr">
        <is>
          <t>Principales calientes: plancha, brasa, horno, arroces y salsas del pase</t>
        </is>
      </c>
    </row>
    <row r="16" ht="30" customHeight="1">
      <c r="A16" s="5" t="inlineStr">
        <is>
          <t>Fríos y entrantes</t>
        </is>
      </c>
      <c r="B16" s="10" t="inlineStr">
        <is>
          <t>Sí</t>
        </is>
      </c>
      <c r="C16" s="11" t="n">
        <v>0.22</v>
      </c>
      <c r="D16" s="12" t="n">
        <v>0.055</v>
      </c>
      <c r="E16" s="13" t="inlineStr">
        <is>
          <t>Entrantes fríos y calientes de entrada: ensaladas, cazuelas, fritos y raciones</t>
        </is>
      </c>
    </row>
    <row r="17" ht="30" customHeight="1">
      <c r="A17" s="5" t="inlineStr">
        <is>
          <t>Postres y panadería</t>
        </is>
      </c>
      <c r="B17" s="10" t="inlineStr">
        <is>
          <t>Sí</t>
        </is>
      </c>
      <c r="C17" s="11" t="n">
        <v>0.14</v>
      </c>
      <c r="D17" s="12" t="n">
        <v>0.03</v>
      </c>
      <c r="E17" s="13" t="inlineStr">
        <is>
          <t>Postres de plato, masas y pan de la casa</t>
        </is>
      </c>
    </row>
    <row r="18" ht="30" customHeight="1">
      <c r="A18" s="5" t="inlineStr">
        <is>
          <t>Barra y bebidas</t>
        </is>
      </c>
      <c r="B18" s="10" t="inlineStr">
        <is>
          <t>Sí</t>
        </is>
      </c>
      <c r="C18" s="11" t="n">
        <v>0.09</v>
      </c>
      <c r="D18" s="12" t="n">
        <v>0.045</v>
      </c>
      <c r="E18" s="13" t="inlineStr">
        <is>
          <t>Elaboraciones de barra: zumos naturales, vermut, coctelería y aperitivo</t>
        </is>
      </c>
    </row>
    <row r="19" ht="30" customHeight="1">
      <c r="A19" s="5" t="inlineStr">
        <is>
          <t>Sala y servicio</t>
        </is>
      </c>
      <c r="B19" s="10" t="inlineStr">
        <is>
          <t>No</t>
        </is>
      </c>
      <c r="C19" s="11" t="n"/>
      <c r="D19" s="12" t="n"/>
      <c r="E19" s="13" t="inlineStr">
        <is>
          <t>Servicio de sala: no produce raciones, por eso su columna va vacía</t>
        </is>
      </c>
    </row>
    <row r="20" ht="30" customHeight="1">
      <c r="A20" s="5" t="inlineStr">
        <is>
          <t>Caja y cierre</t>
        </is>
      </c>
      <c r="B20" s="10" t="inlineStr">
        <is>
          <t>No</t>
        </is>
      </c>
      <c r="C20" s="11" t="n"/>
      <c r="D20" s="12" t="n"/>
      <c r="E20" s="13" t="inlineStr">
        <is>
          <t>Caja y cierre: no produce raciones, por eso su columna va vacía</t>
        </is>
      </c>
    </row>
    <row r="21">
      <c r="A21" s="5" t="n"/>
      <c r="B21" s="5" t="n"/>
      <c r="C21" s="11" t="n"/>
      <c r="D21" s="12" t="n"/>
      <c r="E21" s="5" t="n"/>
    </row>
    <row r="22">
      <c r="A22" s="5" t="n"/>
      <c r="B22" s="5" t="n"/>
      <c r="C22" s="11" t="n"/>
      <c r="D22" s="12" t="n"/>
      <c r="E22" s="5" t="n"/>
    </row>
    <row r="23">
      <c r="A23" t="inlineStr">
        <is>
          <t>Las dos últimas filas están libres: son las ranuras 7 y 8, para cocinas con más partidas. Escribe el nombre y sube «partidas activas» a 7 u 8.</t>
        </is>
      </c>
    </row>
    <row r="24">
      <c r="A24" t="inlineStr">
        <is>
          <t>Una partida que no produce raciones (sala, caja, barra sin elaboración) se deja con «No» y sin kilos por ración: su columna de la hoja «Semana» se queda en blanco y el semáforo la ignora. Existe en la lista porque es una partida de tu organigrama, aunque no produzca.</t>
        </is>
      </c>
    </row>
    <row r="25">
      <c r="A25" t="inlineStr">
        <is>
          <t>Los kilos por ración son de MATERIA PRIMA NETA y son una media de la partida, no de un plato. Se miden una vez, pesando lo que entra en una ración media de esa partida, y se revisan al cambiar la carta.</t>
        </is>
      </c>
    </row>
    <row r="26"/>
    <row r="27">
      <c r="A27" s="3" t="inlineStr">
        <is>
          <t>OBJETIVOS DE LA CASA (los demás indicadores)</t>
        </is>
      </c>
    </row>
    <row r="28" ht="32" customHeight="1">
      <c r="A28" s="6" t="inlineStr">
        <is>
          <t>Indicador</t>
        </is>
      </c>
      <c r="B28" s="6" t="inlineStr">
        <is>
          <t>Objetivo</t>
        </is>
      </c>
      <c r="C28" s="6" t="inlineStr">
        <is>
          <t>Unidad</t>
        </is>
      </c>
      <c r="D28" s="6" t="inlineStr">
        <is>
          <t>Cómo se lee</t>
        </is>
      </c>
    </row>
    <row r="29" ht="32" customHeight="1">
      <c r="A29" s="7" t="inlineStr">
        <is>
          <t>Tiempo de pase de entrantes</t>
        </is>
      </c>
      <c r="B29" s="14" t="n">
        <v>10</v>
      </c>
      <c r="C29" s="15" t="inlineStr">
        <is>
          <t>minutos</t>
        </is>
      </c>
      <c r="D29" s="4" t="inlineStr">
        <is>
          <t>Media de los muestreos de la semana, de la comanda a la salida.</t>
        </is>
      </c>
    </row>
    <row r="30" ht="32" customHeight="1">
      <c r="A30" s="7" t="inlineStr">
        <is>
          <t>Tiempo de pase de principales</t>
        </is>
      </c>
      <c r="B30" s="14" t="n">
        <v>18</v>
      </c>
      <c r="C30" s="15" t="inlineStr">
        <is>
          <t>minutos</t>
        </is>
      </c>
      <c r="D30" s="4" t="inlineStr">
        <is>
          <t>Un arroz y un postre no compiten en la misma liga: por eso hay tres objetivos y no una media de carta.</t>
        </is>
      </c>
    </row>
    <row r="31" ht="32" customHeight="1">
      <c r="A31" s="7" t="inlineStr">
        <is>
          <t>Tiempo de pase de postres</t>
        </is>
      </c>
      <c r="B31" s="14" t="n">
        <v>8</v>
      </c>
      <c r="C31" s="15" t="inlineStr">
        <is>
          <t>minutos</t>
        </is>
      </c>
      <c r="D31" s="4" t="inlineStr">
        <is>
          <t>Se mide igual que los otros dos, y casi siempre es el que más se descuida.</t>
        </is>
      </c>
    </row>
    <row r="32" ht="32" customHeight="1">
      <c r="A32" s="7" t="inlineStr">
        <is>
          <t>Incidencias de alérgenos por base de cubiertos</t>
        </is>
      </c>
      <c r="B32" s="14" t="n">
        <v>0.5</v>
      </c>
      <c r="C32" s="15" t="inlineStr">
        <is>
          <t>incidencias</t>
        </is>
      </c>
      <c r="D32" s="4" t="inlineStr">
        <is>
          <t>Cuenta también la que se detecta en el pase y no llega al cliente: ésa es la que te enseña dónde falla el proceso.</t>
        </is>
      </c>
    </row>
    <row r="33" ht="32" customHeight="1">
      <c r="A33" s="7" t="inlineStr">
        <is>
          <t>Horas de cocina por cubierto</t>
        </is>
      </c>
      <c r="B33" s="16" t="n">
        <v>0.26</v>
      </c>
      <c r="C33" s="15" t="inlineStr">
        <is>
          <t>horas</t>
        </is>
      </c>
      <c r="D33" s="4" t="inlineStr">
        <is>
          <t>Horas del registro de jornada de la brigada, no las del contrato, y sin meter dentro las de sala.</t>
        </is>
      </c>
    </row>
    <row r="34" ht="32" customHeight="1">
      <c r="A34" s="7" t="inlineStr">
        <is>
          <t>Platos devueltos por base de cubiertos</t>
        </is>
      </c>
      <c r="B34" s="14" t="n">
        <v>6</v>
      </c>
      <c r="C34" s="15" t="inlineStr">
        <is>
          <t>platos</t>
        </is>
      </c>
      <c r="D34" s="4" t="inlineStr">
        <is>
          <t>El plato que vuelve de la mesa.</t>
        </is>
      </c>
    </row>
    <row r="35" ht="32" customHeight="1">
      <c r="A35" s="7" t="inlineStr">
        <is>
          <t>Platos retrabajados por base de cubiertos</t>
        </is>
      </c>
      <c r="B35" s="14" t="n">
        <v>16</v>
      </c>
      <c r="C35" s="15" t="inlineStr">
        <is>
          <t>platos</t>
        </is>
      </c>
      <c r="D35" s="4" t="inlineStr">
        <is>
          <t>El plato que se rehace ANTES de salir. No se ve en ninguna cuenta y suele ser el que más dinero cuesta.</t>
        </is>
      </c>
    </row>
    <row r="36" ht="32" customHeight="1">
      <c r="A36" s="7" t="inlineStr">
        <is>
          <t>Platos devueltos y retrabajados (objetivo conjunto)</t>
        </is>
      </c>
      <c r="B36" s="17">
        <f>IFERROR(IF(OR($B$34="",$B$35=""),"",$B$34+$B$35),"")</f>
        <v>22.0</v>
      </c>
      <c r="C36" s="15" t="inlineStr">
        <is>
          <t>platos</t>
        </is>
      </c>
      <c r="D36" s="4" t="inlineStr">
        <is>
          <t>Lo calcula el libro sumando los dos de arriba: es el que gobierna el semáforo de la hoja «Semana».</t>
        </is>
      </c>
    </row>
    <row r="37">
      <c r="A37" t="inlineStr">
        <is>
          <t>ESTOS OBJETIVOS SON DE LA CASA. No existe un estándar publicado de KPI de cocina en español, y este producto no cita ninguno: los números que ves son los del restaurante de ejemplo con el que está montado el pack. Cámbialos por los tuyos antes de leer un solo semáforo.</t>
        </is>
      </c>
    </row>
    <row r="38">
      <c r="A38" t="inlineStr">
        <is>
          <t>Si borras un objetivo, su semáforo se queda GRIS en vez de verde o rojo. Es deliberado: el libro no dice «bien» ni «mal» mientras nadie haya decidido qué es bien y qué es mal en esta casa.</t>
        </is>
      </c>
    </row>
    <row r="39">
      <c r="A39" t="inlineStr">
        <is>
          <t>Qué cuenta como incidencia de alérgenos: cualquier fallo en la declaración al cliente o en la separación de un alérgeno del Anexo II del Reglamento 1169/2011, se haya servido el plato o no. El cartel de «consulte al personal» no basta por sí solo: hace falta soporte escrito o electrónico accesible. Verificado el 06-09-2026 · Reglamento (UE) 1169/2011, Anexo II y art. 44.1; RD 126/2015 art. 6.5 · https://www.boe.es/buscar/act.php?id=BOE-A-2015-2293</t>
        </is>
      </c>
    </row>
    <row r="40">
      <c r="A40" t="inlineStr">
        <is>
          <t>Y también cuenta el utensilio o el recipiente que se ha usado con un alérgeno y se reutiliza sin limpieza comprobada: no es un capítulo propio de alérgenos, es el punto 9 del Capítulo IX del Anexo II del Reglamento 852/2004. Verificado el 06-09-2026 · Reglamento (CE) 852/2004, Anexo II, Cap. IX, punto 9 (redacción del Reglamento 2021/382) · https://eur-lex.europa.eu/legal-content/ES/TXT/HTML/?uri=CELEX:02004R0852-20210324</t>
        </is>
      </c>
    </row>
    <row r="41">
      <c r="A41" t="inlineStr">
        <is>
          <t>Las horas de cocina salen del registro diario de jornada, que es obligatorio para toda la plantilla y se conserva cuatro años. Verificado el 06-09-2026 · BOE-A-2015-11430 — Real Decreto Legislativo 2/2015, de 23 de octubre, texto refundido de la Ley del Estatuto de los Trabajadores (texto consolidado), art. 34.9 · https://www.boe.es/eli/es/rdlg/2015/10/23/2/con</t>
        </is>
      </c>
    </row>
    <row r="42">
      <c r="A42" s="3" t="inlineStr">
        <is>
          <t>LISTAS DE LOS DESPLEGABLES (no borres estas celdas)</t>
        </is>
      </c>
    </row>
    <row r="43" ht="20" customHeight="1">
      <c r="A43" s="6" t="inlineStr">
        <is>
          <t>Tipos de carta</t>
        </is>
      </c>
    </row>
    <row r="44">
      <c r="A44" t="inlineStr">
        <is>
          <t>Carta fija</t>
        </is>
      </c>
    </row>
    <row r="45">
      <c r="A45" t="inlineStr">
        <is>
          <t>Carta de temporada con menú del mediodía</t>
        </is>
      </c>
    </row>
    <row r="46">
      <c r="A46" t="inlineStr">
        <is>
          <t>Menú degustación</t>
        </is>
      </c>
    </row>
    <row r="47">
      <c r="A47" t="inlineStr">
        <is>
          <t>Solo menú del día</t>
        </is>
      </c>
    </row>
    <row r="48">
      <c r="A48" t="inlineStr">
        <is>
          <t>Banquetes y eventos</t>
        </is>
      </c>
    </row>
    <row r="49"/>
    <row r="50" ht="20" customHeight="1">
      <c r="A50" s="6" t="inlineStr">
        <is>
          <t>Sí / No</t>
        </is>
      </c>
    </row>
    <row r="51">
      <c r="A51" t="inlineStr">
        <is>
          <t>Sí</t>
        </is>
      </c>
    </row>
    <row r="52">
      <c r="A52" t="inlineStr">
        <is>
          <t>No</t>
        </is>
      </c>
    </row>
    <row r="53"/>
    <row r="54">
      <c r="A54" t="inlineStr">
        <is>
          <t>Los desplegables de este libro leen estas dos listas. Puedes ampliarlas: si añades un tipo de carta, amplía también el rango del desplegable (Datos &gt; Validación de datos).</t>
        </is>
      </c>
    </row>
  </sheetData>
  <sheetProtection selectLockedCells="0" selectUnlockedCells="0" sheet="1" objects="0" insertRows="0" insertHyperlinks="1" autoFilter="1" scenarios="0" formatColumns="0" deleteColumns="1" insertColumns="1" pivotTables="1" deleteRows="1" formatCells="1" formatRows="0" sort="0"/>
  <mergeCells count="9">
    <mergeCell ref="D30:E30"/>
    <mergeCell ref="D34:E34"/>
    <mergeCell ref="D29:E29"/>
    <mergeCell ref="D35:E35"/>
    <mergeCell ref="D31:E31"/>
    <mergeCell ref="D33:E33"/>
    <mergeCell ref="D28:E28"/>
    <mergeCell ref="D36:E36"/>
    <mergeCell ref="D32:E32"/>
  </mergeCells>
  <dataValidations count="9">
    <dataValidation sqref="B6" showDropDown="0" showInputMessage="0" showErrorMessage="1" allowBlank="1" errorTitle="Tipo de carta" error="Elige un tipo de carta de la lista de la parte de abajo de esta hoja." type="list">
      <formula1>'Parámetros'!$A$44:$A$48</formula1>
    </dataValidation>
    <dataValidation sqref="B15 B16 B17 B18 B19 B20 B21 B22" showDropDown="0" showInputMessage="0" showErrorMessage="1" allowBlank="1" errorTitle="¿Produce raciones?" error="Escribe Sí o No (la lista está en la parte de abajo de esta hoja)." type="list">
      <formula1>'Parámetros'!$A$51:$A$52</formula1>
    </dataValidation>
    <dataValidation sqref="B7" showDropDown="0" showInputMessage="0" showErrorMessage="1" allowBlank="1" errorTitle="Partidas activas" error="Un número entre 3 y 8." type="decimal" operator="between">
      <formula1>3</formula1>
      <formula2>8</formula2>
    </dataValidation>
    <dataValidation sqref="B8" showDropDown="0" showInputMessage="0" showErrorMessage="1" allowBlank="1" errorTitle="Base de las tasas" error="Número de cubiertos sobre el que se expresan las tasas (por ejemplo 1.000)." type="decimal" operator="between">
      <formula1>1</formula1>
      <formula2>100000</formula2>
    </dataValidation>
    <dataValidation sqref="C15 C16 C17 C18 C19 C20 C21 C22" showDropDown="0" showInputMessage="0" showErrorMessage="1" allowBlank="1" errorTitle="Kg por ración" error="Kilos de materia prima neta de una ración media de esa partida." type="decimal" operator="between">
      <formula1>0</formula1>
      <formula2>10</formula2>
    </dataValidation>
    <dataValidation sqref="D15 D16 D17 D18 D19 D20 D21 D22" showDropDown="0" showInputMessage="1" showErrorMessage="1" allowBlank="1" errorTitle="Objetivo de merma" error="Escribe un porcentaje entre 0 y 1 (0,20 = 20 %)." promptTitle="Objetivo de merma" prompt="Se escribe en tanto por uno: 0,055 = 5,5 %." type="decimal" operator="between">
      <formula1>0</formula1>
      <formula2>1.0</formula2>
    </dataValidation>
    <dataValidation sqref="B29 B30 B31" showDropDown="0" showInputMessage="0" showErrorMessage="1" allowBlank="1" errorTitle="Minutos" error="Minutos desde la comanda hasta la salida." type="decimal" operator="between">
      <formula1>0</formula1>
      <formula2>240</formula2>
    </dataValidation>
    <dataValidation sqref="B32 B34 B35" showDropDown="0" showInputMessage="0" showErrorMessage="1" allowBlank="1" errorTitle="Tasa por cubiertos" error="En la misma base de cubiertos que has fijado arriba." type="decimal" operator="between">
      <formula1>0</formula1>
      <formula2>100000</formula2>
    </dataValidation>
    <dataValidation sqref="B33" showDropDown="0" showInputMessage="0" showErrorMessage="1" allowBlank="1" errorTitle="Horas por cubierto" error="Horas de cocina por cada cubierto servido." type="decimal" operator="between">
      <formula1>0</formula1>
      <formula2>24</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S67"/>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7" customWidth="1" min="3" max="3"/>
    <col width="11"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5" customWidth="1" min="31" max="31"/>
    <col width="13" customWidth="1" min="32" max="32"/>
    <col width="12" customWidth="1" min="33" max="33"/>
    <col width="12" customWidth="1" min="34" max="34"/>
    <col width="12" customWidth="1" min="35" max="35"/>
    <col width="13" customWidth="1" min="36" max="36"/>
    <col width="12" customWidth="1" min="37" max="37"/>
    <col width="14" customWidth="1" min="38" max="38"/>
    <col width="13" customWidth="1" min="39" max="39"/>
    <col width="14" customWidth="1" min="40" max="40"/>
    <col width="11" customWidth="1" min="41" max="41"/>
    <col width="12" customWidth="1" min="42" max="42"/>
    <col width="15" customWidth="1" min="43" max="43"/>
    <col width="14" customWidth="1" min="44" max="44"/>
    <col width="40" customWidth="1" min="45" max="45"/>
  </cols>
  <sheetData>
    <row r="1" ht="30" customHeight="1">
      <c r="A1" s="1" t="inlineStr">
        <is>
          <t>Las 52 semanas ISO de la cocina</t>
        </is>
      </c>
    </row>
    <row r="2">
      <c r="A2" t="inlineStr">
        <is>
          <t>AI Chef Pro · aichef.pro — Manual del Chef Ejecutivo</t>
        </is>
      </c>
    </row>
    <row r="3">
      <c r="A3" s="2" t="inlineStr">
        <is>
          <t>Aquí no hay ni una cifra de dinero: eso es el cuadro de mando del Manual del Manager. Aquí está la partida.</t>
        </is>
      </c>
    </row>
    <row r="4" ht="74" customHeight="1">
      <c r="A4" s="6" t="inlineStr">
        <is>
          <t>Semana ISO</t>
        </is>
      </c>
      <c r="B4" s="6" t="inlineStr">
        <is>
          <t>Lunes de la semana</t>
        </is>
      </c>
      <c r="C4" s="6" t="inlineStr">
        <is>
          <t>Mes</t>
        </is>
      </c>
      <c r="D4" s="6" t="inlineStr">
        <is>
          <t>Cubiertos servidos</t>
        </is>
      </c>
      <c r="E4" s="6" t="str">
        <f>IF($E$61="","","Producción · "&amp;$E$61&amp;" (raciones)")</f>
        <v>Producción · Pase y caliente (raciones)</v>
      </c>
      <c r="F4" s="6" t="str">
        <f>IF($F$61="","","Producción · "&amp;$F$61&amp;" (raciones)")</f>
        <v>Producción · Fríos y entrantes (raciones)</v>
      </c>
      <c r="G4" s="6" t="str">
        <f>IF($G$61="","","Producción · "&amp;$G$61&amp;" (raciones)")</f>
        <v>Producción · Postres y panadería (raciones)</v>
      </c>
      <c r="H4" s="6" t="str">
        <f>IF($H$61="","","Producción · "&amp;$H$61&amp;" (raciones)")</f>
        <v>Producción · Barra y bebidas (raciones)</v>
      </c>
      <c r="I4" s="6" t="str">
        <f>IF($I$61="","","Producción · "&amp;$I$61&amp;" (raciones)")</f>
        <v>Producción · Sala y servicio (raciones)</v>
      </c>
      <c r="J4" s="6" t="str">
        <f>IF($J$61="","","Producción · "&amp;$J$61&amp;" (raciones)")</f>
        <v>Producción · Caja y cierre (raciones)</v>
      </c>
      <c r="K4" s="6">
        <f>IF($K$61="","","Producción · "&amp;$K$61&amp;" (raciones)")</f>
        <v/>
      </c>
      <c r="L4" s="6">
        <f>IF($L$61="","","Producción · "&amp;$L$61&amp;" (raciones)")</f>
        <v/>
      </c>
      <c r="M4" s="6" t="inlineStr">
        <is>
          <t>Raciones producidas (total)</t>
        </is>
      </c>
      <c r="N4" s="6" t="str">
        <f>IF($E$61="","","Merma · "&amp;$E$61&amp;" (kg)")</f>
        <v>Merma · Pase y caliente (kg)</v>
      </c>
      <c r="O4" s="6" t="str">
        <f>IF($F$61="","","Merma · "&amp;$F$61&amp;" (kg)")</f>
        <v>Merma · Fríos y entrantes (kg)</v>
      </c>
      <c r="P4" s="6" t="str">
        <f>IF($G$61="","","Merma · "&amp;$G$61&amp;" (kg)")</f>
        <v>Merma · Postres y panadería (kg)</v>
      </c>
      <c r="Q4" s="6" t="str">
        <f>IF($H$61="","","Merma · "&amp;$H$61&amp;" (kg)")</f>
        <v>Merma · Barra y bebidas (kg)</v>
      </c>
      <c r="R4" s="6" t="str">
        <f>IF($I$61="","","Merma · "&amp;$I$61&amp;" (kg)")</f>
        <v>Merma · Sala y servicio (kg)</v>
      </c>
      <c r="S4" s="6" t="str">
        <f>IF($J$61="","","Merma · "&amp;$J$61&amp;" (kg)")</f>
        <v>Merma · Caja y cierre (kg)</v>
      </c>
      <c r="T4" s="6">
        <f>IF($K$61="","","Merma · "&amp;$K$61&amp;" (kg)")</f>
        <v/>
      </c>
      <c r="U4" s="6">
        <f>IF($L$61="","","Merma · "&amp;$L$61&amp;" (kg)")</f>
        <v/>
      </c>
      <c r="V4" s="6" t="inlineStr">
        <is>
          <t>Merma total (kg)</t>
        </is>
      </c>
      <c r="W4" s="6" t="str">
        <f>IF($E$61="","","Merma · "&amp;$E$61&amp;" (%)")</f>
        <v>Merma · Pase y caliente (%)</v>
      </c>
      <c r="X4" s="6" t="str">
        <f>IF($F$61="","","Merma · "&amp;$F$61&amp;" (%)")</f>
        <v>Merma · Fríos y entrantes (%)</v>
      </c>
      <c r="Y4" s="6" t="str">
        <f>IF($G$61="","","Merma · "&amp;$G$61&amp;" (%)")</f>
        <v>Merma · Postres y panadería (%)</v>
      </c>
      <c r="Z4" s="6" t="str">
        <f>IF($H$61="","","Merma · "&amp;$H$61&amp;" (%)")</f>
        <v>Merma · Barra y bebidas (%)</v>
      </c>
      <c r="AA4" s="6" t="str">
        <f>IF($I$61="","","Merma · "&amp;$I$61&amp;" (%)")</f>
        <v>Merma · Sala y servicio (%)</v>
      </c>
      <c r="AB4" s="6" t="str">
        <f>IF($J$61="","","Merma · "&amp;$J$61&amp;" (%)")</f>
        <v>Merma · Caja y cierre (%)</v>
      </c>
      <c r="AC4" s="6">
        <f>IF($K$61="","","Merma · "&amp;$K$61&amp;" (%)")</f>
        <v/>
      </c>
      <c r="AD4" s="6">
        <f>IF($L$61="","","Merma · "&amp;$L$61&amp;" (%)")</f>
        <v/>
      </c>
      <c r="AE4" s="6" t="inlineStr">
        <is>
          <t>Materia prima producida (kg)</t>
        </is>
      </c>
      <c r="AF4" s="6" t="inlineStr">
        <is>
          <t>Merma global de la cocina (%)</t>
        </is>
      </c>
      <c r="AG4" s="6" t="inlineStr">
        <is>
          <t>Pase de entrantes (min)</t>
        </is>
      </c>
      <c r="AH4" s="6" t="inlineStr">
        <is>
          <t>Pase de principales (min)</t>
        </is>
      </c>
      <c r="AI4" s="6" t="inlineStr">
        <is>
          <t>Pase de postres (min)</t>
        </is>
      </c>
      <c r="AJ4" s="6" t="inlineStr">
        <is>
          <t>Incidencias de alérgenos</t>
        </is>
      </c>
      <c r="AK4" s="6" t="inlineStr">
        <is>
          <t>Gravedad máxima (0 a 3)</t>
        </is>
      </c>
      <c r="AL4" s="6" t="inlineStr">
        <is>
          <t>Incidencias por base de cubiertos</t>
        </is>
      </c>
      <c r="AM4" s="6" t="inlineStr">
        <is>
          <t>Horas de cocina trabajadas</t>
        </is>
      </c>
      <c r="AN4" s="6" t="inlineStr">
        <is>
          <t>Horas de cocina por cubierto</t>
        </is>
      </c>
      <c r="AO4" s="6" t="inlineStr">
        <is>
          <t>Platos devueltos</t>
        </is>
      </c>
      <c r="AP4" s="6" t="inlineStr">
        <is>
          <t>Platos retrabajados</t>
        </is>
      </c>
      <c r="AQ4" s="6" t="inlineStr">
        <is>
          <t>Devueltos y retrabajados por base</t>
        </is>
      </c>
      <c r="AR4" s="6" t="inlineStr">
        <is>
          <t>Indicadores fuera de objetivo</t>
        </is>
      </c>
      <c r="AS4" s="6" t="inlineStr">
        <is>
          <t>Lectura de la semana</t>
        </is>
      </c>
    </row>
    <row r="5">
      <c r="A5" s="9" t="n">
        <v>1</v>
      </c>
      <c r="B5" s="18" t="n">
        <v>46020</v>
      </c>
      <c r="C5" s="9" t="n">
        <v>1</v>
      </c>
      <c r="D5" s="9" t="n">
        <v>829</v>
      </c>
      <c r="E5" s="9" t="n">
        <v>441</v>
      </c>
      <c r="F5" s="9" t="n">
        <v>371</v>
      </c>
      <c r="G5" s="9" t="n">
        <v>233</v>
      </c>
      <c r="H5" s="9" t="n">
        <v>296</v>
      </c>
      <c r="I5" s="9" t="n"/>
      <c r="J5" s="9" t="n"/>
      <c r="K5" s="9" t="n"/>
      <c r="L5" s="9" t="n"/>
      <c r="M5" s="19">
        <f>IF(COUNT($E5:$L5)=0,"",SUM($E5:$L5))</f>
        <v>1341.0</v>
      </c>
      <c r="N5" s="11" t="n">
        <v>5.2</v>
      </c>
      <c r="O5" s="11" t="n">
        <v>3.6</v>
      </c>
      <c r="P5" s="11" t="n">
        <v>0.7</v>
      </c>
      <c r="Q5" s="11" t="n">
        <v>1.1</v>
      </c>
      <c r="R5" s="11" t="n"/>
      <c r="S5" s="11" t="n"/>
      <c r="T5" s="11" t="n"/>
      <c r="U5" s="11" t="n"/>
      <c r="V5" s="20">
        <f>IF(COUNT($N5:$U5)=0,"",SUM($N5:$U5))</f>
        <v>10.6</v>
      </c>
      <c r="W5" s="21">
        <f>IFERROR(IF(OR($N5="",$E5="",$E5=0,E$62="",E$62=0),"",$N5/($E5*E$62)),"")</f>
        <v>0.0327538422776518</v>
      </c>
      <c r="X5" s="21">
        <f>IFERROR(IF(OR($O5="",$F5="",$F5=0,F$62="",F$62=0),"",$O5/($F5*F$62)),"")</f>
        <v>0.04410683655966675</v>
      </c>
      <c r="Y5" s="21">
        <f>IFERROR(IF(OR($P5="",$G5="",$G5=0,G$62="",G$62=0),"",$P5/($G5*G$62)),"")</f>
        <v>0.021459227467811155</v>
      </c>
      <c r="Z5" s="21">
        <f>IFERROR(IF(OR($Q5="",$H5="",$H5=0,H$62="",H$62=0),"",$Q5/($H5*H$62)),"")</f>
        <v>0.04129129129129129</v>
      </c>
      <c r="AA5" s="21">
        <f>IFERROR(IF(OR($R5="",$I5="",$I5=0,I$62="",I$62=0),"",$R5/($I5*I$62)),"")</f>
        <v/>
      </c>
      <c r="AB5" s="21">
        <f>IFERROR(IF(OR($S5="",$J5="",$J5=0,J$62="",J$62=0),"",$S5/($J5*J$62)),"")</f>
        <v/>
      </c>
      <c r="AC5" s="21">
        <f>IFERROR(IF(OR($T5="",$K5="",$K5=0,K$62="",K$62=0),"",$T5/($K5*K$62)),"")</f>
        <v/>
      </c>
      <c r="AD5" s="21">
        <f>IFERROR(IF(OR($U5="",$L5="",$L5=0,L$62="",L$62=0),"",$U5/($L5*L$62)),"")</f>
        <v/>
      </c>
      <c r="AE5" s="20">
        <f>IF(SUMPRODUCT($E5:$L5,$E$62:$L$62)=0,"",SUMPRODUCT($E5:$L5,$E$62:$L$62))</f>
        <v>299.64</v>
      </c>
      <c r="AF5" s="21">
        <f>IFERROR(IF(OR($V5="",$AE5="",$AE5=0),"",$V5/$AE5),"")</f>
        <v>0.03537578427446269</v>
      </c>
      <c r="AG5" s="14" t="n">
        <v>9.800000000000001</v>
      </c>
      <c r="AH5" s="14" t="n">
        <v>18.2</v>
      </c>
      <c r="AI5" s="14" t="n">
        <v>6.5</v>
      </c>
      <c r="AJ5" s="9" t="n">
        <v>0</v>
      </c>
      <c r="AK5" s="9" t="n">
        <v>0</v>
      </c>
      <c r="AL5" s="22">
        <f>IFERROR(IF(OR($AJ5="",$D5="",$D5=0,$M$64=""),"",$AJ5/$D5*$M$64),"")</f>
        <v>0.0</v>
      </c>
      <c r="AM5" s="9" t="n">
        <v>198</v>
      </c>
      <c r="AN5" s="23">
        <f>IFERROR(IF(OR($AM5="",$D5="",$D5=0),"",$AM5/$D5),"")</f>
        <v>0.2388419782870929</v>
      </c>
      <c r="AO5" s="9" t="n">
        <v>5</v>
      </c>
      <c r="AP5" s="9" t="n">
        <v>9</v>
      </c>
      <c r="AQ5" s="22">
        <f>IFERROR(IF(OR($AO5="",$AP5="",$D5="",$D5=0,$M$64=""),"",($AO5+$AP5)/$D5*$M$64),"")</f>
        <v>16.887816646562122</v>
      </c>
      <c r="AR5" s="19">
        <f>IF(NOT(ISNUMBER($D5)),"",SUMPRODUCT(--(ISNUMBER($W5:$AD5)),--(ISNUMBER($W$63:$AD$63)),--($W5:$AD5&gt;$W$63:$AD$63))+IF(AND(ISNUMBER($AG5),ISNUMBER($AG$63),$AG5&gt;$AG$63),1,0)+IF(AND(ISNUMBER($AH5),ISNUMBER($AH$63),$AH5&gt;$AH$63),1,0)+IF(AND(ISNUMBER($AI5),ISNUMBER($AI$63),$AI5&gt;$AI$63),1,0)+IF(AND(ISNUMBER($AL5),ISNUMBER($AL$63),$AL5&gt;$AL$63),1,0)+IF(AND(ISNUMBER($AN5),ISNUMBER($AN$63),$AN5&gt;$AN$63),1,0)+IF(AND(ISNUMBER($AQ5),ISNUMBER($AQ$63),$AQ5&gt;$AQ$63),1,0))</f>
        <v>1.0</v>
      </c>
      <c r="AS5" t="str">
        <f>IF(NOT(ISNUMBER($AR5)),"",IF($AR5=0,"Semana en objetivo",IF($AR5=1,"1 indicador fuera de objetivo",$AR5&amp;" indicadores fuera de objetivo")))</f>
        <v>1 indicador fuera de objetivo</v>
      </c>
    </row>
    <row r="6">
      <c r="A6" s="9" t="n">
        <v>2</v>
      </c>
      <c r="B6" s="18" t="n">
        <v>46027</v>
      </c>
      <c r="C6" s="9" t="n">
        <v>1</v>
      </c>
      <c r="D6" s="9" t="n">
        <v>785</v>
      </c>
      <c r="E6" s="9" t="n">
        <v>404</v>
      </c>
      <c r="F6" s="9" t="n">
        <v>339</v>
      </c>
      <c r="G6" s="9" t="n">
        <v>222</v>
      </c>
      <c r="H6" s="9" t="n">
        <v>292</v>
      </c>
      <c r="I6" s="9" t="n"/>
      <c r="J6" s="9" t="n"/>
      <c r="K6" s="9" t="n"/>
      <c r="L6" s="9" t="n"/>
      <c r="M6" s="19">
        <f>IF(COUNT($E6:$L6)=0,"",SUM($E6:$L6))</f>
        <v>1257.0</v>
      </c>
      <c r="N6" s="11" t="n">
        <v>4.3</v>
      </c>
      <c r="O6" s="11" t="n">
        <v>3.6</v>
      </c>
      <c r="P6" s="11" t="n">
        <v>0.8</v>
      </c>
      <c r="Q6" s="11" t="n">
        <v>1.1</v>
      </c>
      <c r="R6" s="11" t="n"/>
      <c r="S6" s="11" t="n"/>
      <c r="T6" s="11" t="n"/>
      <c r="U6" s="11" t="n"/>
      <c r="V6" s="20">
        <f>IF(COUNT($N6:$U6)=0,"",SUM($N6:$U6))</f>
        <v>9.8</v>
      </c>
      <c r="W6" s="21">
        <f>IFERROR(IF(OR($N6="",$E6="",$E6=0,E$62="",E$62=0),"",$N6/($E6*E$62)),"")</f>
        <v>0.029565456545654564</v>
      </c>
      <c r="X6" s="21">
        <f>IFERROR(IF(OR($O6="",$F6="",$F6=0,F$62="",F$62=0),"",$O6/($F6*F$62)),"")</f>
        <v>0.048270313757039426</v>
      </c>
      <c r="Y6" s="21">
        <f>IFERROR(IF(OR($P6="",$G6="",$G6=0,G$62="",G$62=0),"",$P6/($G6*G$62)),"")</f>
        <v>0.02574002574002574</v>
      </c>
      <c r="Z6" s="21">
        <f>IFERROR(IF(OR($Q6="",$H6="",$H6=0,H$62="",H$62=0),"",$Q6/($H6*H$62)),"")</f>
        <v>0.04185692541856926</v>
      </c>
      <c r="AA6" s="21">
        <f>IFERROR(IF(OR($R6="",$I6="",$I6=0,I$62="",I$62=0),"",$R6/($I6*I$62)),"")</f>
        <v/>
      </c>
      <c r="AB6" s="21">
        <f>IFERROR(IF(OR($S6="",$J6="",$J6=0,J$62="",J$62=0),"",$S6/($J6*J$62)),"")</f>
        <v/>
      </c>
      <c r="AC6" s="21">
        <f>IFERROR(IF(OR($T6="",$K6="",$K6=0,K$62="",K$62=0),"",$T6/($K6*K$62)),"")</f>
        <v/>
      </c>
      <c r="AD6" s="21">
        <f>IFERROR(IF(OR($U6="",$L6="",$L6=0,L$62="",L$62=0),"",$U6/($L6*L$62)),"")</f>
        <v/>
      </c>
      <c r="AE6" s="20">
        <f>IF(SUMPRODUCT($E6:$L6,$E$62:$L$62)=0,"",SUMPRODUCT($E6:$L6,$E$62:$L$62))</f>
        <v>277.38</v>
      </c>
      <c r="AF6" s="21">
        <f>IFERROR(IF(OR($V6="",$AE6="",$AE6=0),"",$V6/$AE6),"")</f>
        <v>0.03533059340976279</v>
      </c>
      <c r="AG6" s="14" t="n">
        <v>9.699999999999999</v>
      </c>
      <c r="AH6" s="14" t="n">
        <v>16.8</v>
      </c>
      <c r="AI6" s="14" t="n">
        <v>5.6</v>
      </c>
      <c r="AJ6" s="9" t="n">
        <v>0</v>
      </c>
      <c r="AK6" s="9" t="n">
        <v>0</v>
      </c>
      <c r="AL6" s="22">
        <f>IFERROR(IF(OR($AJ6="",$D6="",$D6=0,$M$64=""),"",$AJ6/$D6*$M$64),"")</f>
        <v>0.0</v>
      </c>
      <c r="AM6" s="9" t="n">
        <v>193</v>
      </c>
      <c r="AN6" s="23">
        <f>IFERROR(IF(OR($AM6="",$D6="",$D6=0),"",$AM6/$D6),"")</f>
        <v>0.24585987261146497</v>
      </c>
      <c r="AO6" s="9" t="n">
        <v>3</v>
      </c>
      <c r="AP6" s="9" t="n">
        <v>6</v>
      </c>
      <c r="AQ6" s="22">
        <f>IFERROR(IF(OR($AO6="",$AP6="",$D6="",$D6=0,$M$64=""),"",($AO6+$AP6)/$D6*$M$64),"")</f>
        <v>11.464968152866241</v>
      </c>
      <c r="AR6" s="19">
        <f>IF(NOT(ISNUMBER($D6)),"",SUMPRODUCT(--(ISNUMBER($W6:$AD6)),--(ISNUMBER($W$63:$AD$63)),--($W6:$AD6&gt;$W$63:$AD$63))+IF(AND(ISNUMBER($AG6),ISNUMBER($AG$63),$AG6&gt;$AG$63),1,0)+IF(AND(ISNUMBER($AH6),ISNUMBER($AH$63),$AH6&gt;$AH$63),1,0)+IF(AND(ISNUMBER($AI6),ISNUMBER($AI$63),$AI6&gt;$AI$63),1,0)+IF(AND(ISNUMBER($AL6),ISNUMBER($AL$63),$AL6&gt;$AL$63),1,0)+IF(AND(ISNUMBER($AN6),ISNUMBER($AN$63),$AN6&gt;$AN$63),1,0)+IF(AND(ISNUMBER($AQ6),ISNUMBER($AQ$63),$AQ6&gt;$AQ$63),1,0))</f>
        <v>0.0</v>
      </c>
      <c r="AS6" t="str">
        <f>IF(NOT(ISNUMBER($AR6)),"",IF($AR6=0,"Semana en objetivo",IF($AR6=1,"1 indicador fuera de objetivo",$AR6&amp;" indicadores fuera de objetivo")))</f>
        <v>Semana en objetivo</v>
      </c>
    </row>
    <row r="7">
      <c r="A7" s="9" t="n">
        <v>3</v>
      </c>
      <c r="B7" s="18" t="n">
        <v>46034</v>
      </c>
      <c r="C7" s="9" t="n">
        <v>1</v>
      </c>
      <c r="D7" s="9" t="n">
        <v>764</v>
      </c>
      <c r="E7" s="9" t="n">
        <v>385</v>
      </c>
      <c r="F7" s="9" t="n">
        <v>338</v>
      </c>
      <c r="G7" s="9" t="n">
        <v>225</v>
      </c>
      <c r="H7" s="9" t="n">
        <v>286</v>
      </c>
      <c r="I7" s="9" t="n"/>
      <c r="J7" s="9" t="n"/>
      <c r="K7" s="9" t="n"/>
      <c r="L7" s="9" t="n"/>
      <c r="M7" s="19">
        <f>IF(COUNT($E7:$L7)=0,"",SUM($E7:$L7))</f>
        <v>1234.0</v>
      </c>
      <c r="N7" s="11" t="n">
        <v>4.8</v>
      </c>
      <c r="O7" s="11" t="n">
        <v>3.8</v>
      </c>
      <c r="P7" s="11" t="n">
        <v>0.7</v>
      </c>
      <c r="Q7" s="11" t="n">
        <v>0.9</v>
      </c>
      <c r="R7" s="11" t="n"/>
      <c r="S7" s="11" t="n"/>
      <c r="T7" s="11" t="n"/>
      <c r="U7" s="11" t="n"/>
      <c r="V7" s="20">
        <f>IF(COUNT($N7:$U7)=0,"",SUM($N7:$U7))</f>
        <v>10.2</v>
      </c>
      <c r="W7" s="21">
        <f>IFERROR(IF(OR($N7="",$E7="",$E7=0,E$62="",E$62=0),"",$N7/($E7*E$62)),"")</f>
        <v>0.03463203463203463</v>
      </c>
      <c r="X7" s="21">
        <f>IFERROR(IF(OR($O7="",$F7="",$F7=0,F$62="",F$62=0),"",$O7/($F7*F$62)),"")</f>
        <v>0.05110274341043572</v>
      </c>
      <c r="Y7" s="21">
        <f>IFERROR(IF(OR($P7="",$G7="",$G7=0,G$62="",G$62=0),"",$P7/($G7*G$62)),"")</f>
        <v>0.02222222222222222</v>
      </c>
      <c r="Z7" s="21">
        <f>IFERROR(IF(OR($Q7="",$H7="",$H7=0,H$62="",H$62=0),"",$Q7/($H7*H$62)),"")</f>
        <v>0.03496503496503497</v>
      </c>
      <c r="AA7" s="21">
        <f>IFERROR(IF(OR($R7="",$I7="",$I7=0,I$62="",I$62=0),"",$R7/($I7*I$62)),"")</f>
        <v/>
      </c>
      <c r="AB7" s="21">
        <f>IFERROR(IF(OR($S7="",$J7="",$J7=0,J$62="",J$62=0),"",$S7/($J7*J$62)),"")</f>
        <v/>
      </c>
      <c r="AC7" s="21">
        <f>IFERROR(IF(OR($T7="",$K7="",$K7=0,K$62="",K$62=0),"",$T7/($K7*K$62)),"")</f>
        <v/>
      </c>
      <c r="AD7" s="21">
        <f>IFERROR(IF(OR($U7="",$L7="",$L7=0,L$62="",L$62=0),"",$U7/($L7*L$62)),"")</f>
        <v/>
      </c>
      <c r="AE7" s="20">
        <f>IF(SUMPRODUCT($E7:$L7,$E$62:$L$62)=0,"",SUMPRODUCT($E7:$L7,$E$62:$L$62))</f>
        <v>270.2</v>
      </c>
      <c r="AF7" s="21">
        <f>IFERROR(IF(OR($V7="",$AE7="",$AE7=0),"",$V7/$AE7),"")</f>
        <v>0.03774981495188749</v>
      </c>
      <c r="AG7" s="14" t="n">
        <v>8.6</v>
      </c>
      <c r="AH7" s="14" t="n">
        <v>15</v>
      </c>
      <c r="AI7" s="14" t="n">
        <v>5.9</v>
      </c>
      <c r="AJ7" s="9" t="n">
        <v>0</v>
      </c>
      <c r="AK7" s="9" t="n">
        <v>0</v>
      </c>
      <c r="AL7" s="22">
        <f>IFERROR(IF(OR($AJ7="",$D7="",$D7=0,$M$64=""),"",$AJ7/$D7*$M$64),"")</f>
        <v>0.0</v>
      </c>
      <c r="AM7" s="9" t="n">
        <v>190</v>
      </c>
      <c r="AN7" s="23">
        <f>IFERROR(IF(OR($AM7="",$D7="",$D7=0),"",$AM7/$D7),"")</f>
        <v>0.2486910994764398</v>
      </c>
      <c r="AO7" s="9" t="n">
        <v>2</v>
      </c>
      <c r="AP7" s="9" t="n">
        <v>6</v>
      </c>
      <c r="AQ7" s="22">
        <f>IFERROR(IF(OR($AO7="",$AP7="",$D7="",$D7=0,$M$64=""),"",($AO7+$AP7)/$D7*$M$64),"")</f>
        <v>10.471204188481677</v>
      </c>
      <c r="AR7" s="19">
        <f>IF(NOT(ISNUMBER($D7)),"",SUMPRODUCT(--(ISNUMBER($W7:$AD7)),--(ISNUMBER($W$63:$AD$63)),--($W7:$AD7&gt;$W$63:$AD$63))+IF(AND(ISNUMBER($AG7),ISNUMBER($AG$63),$AG7&gt;$AG$63),1,0)+IF(AND(ISNUMBER($AH7),ISNUMBER($AH$63),$AH7&gt;$AH$63),1,0)+IF(AND(ISNUMBER($AI7),ISNUMBER($AI$63),$AI7&gt;$AI$63),1,0)+IF(AND(ISNUMBER($AL7),ISNUMBER($AL$63),$AL7&gt;$AL$63),1,0)+IF(AND(ISNUMBER($AN7),ISNUMBER($AN$63),$AN7&gt;$AN$63),1,0)+IF(AND(ISNUMBER($AQ7),ISNUMBER($AQ$63),$AQ7&gt;$AQ$63),1,0))</f>
        <v>0.0</v>
      </c>
      <c r="AS7" t="str">
        <f>IF(NOT(ISNUMBER($AR7)),"",IF($AR7=0,"Semana en objetivo",IF($AR7=1,"1 indicador fuera de objetivo",$AR7&amp;" indicadores fuera de objetivo")))</f>
        <v>Semana en objetivo</v>
      </c>
    </row>
    <row r="8">
      <c r="A8" s="9" t="n">
        <v>4</v>
      </c>
      <c r="B8" s="18" t="n">
        <v>46041</v>
      </c>
      <c r="C8" s="9" t="n">
        <v>1</v>
      </c>
      <c r="D8" s="9" t="n">
        <v>792</v>
      </c>
      <c r="E8" s="9" t="n">
        <v>416</v>
      </c>
      <c r="F8" s="9" t="n">
        <v>361</v>
      </c>
      <c r="G8" s="9" t="n">
        <v>229</v>
      </c>
      <c r="H8" s="9" t="n">
        <v>285</v>
      </c>
      <c r="I8" s="9" t="n"/>
      <c r="J8" s="9" t="n"/>
      <c r="K8" s="9" t="n"/>
      <c r="L8" s="9" t="n"/>
      <c r="M8" s="19">
        <f>IF(COUNT($E8:$L8)=0,"",SUM($E8:$L8))</f>
        <v>1291.0</v>
      </c>
      <c r="N8" s="11" t="n">
        <v>4.7</v>
      </c>
      <c r="O8" s="11" t="n">
        <v>3.5</v>
      </c>
      <c r="P8" s="11" t="n">
        <v>0.8</v>
      </c>
      <c r="Q8" s="11" t="n">
        <v>1.1</v>
      </c>
      <c r="R8" s="11" t="n"/>
      <c r="S8" s="11" t="n"/>
      <c r="T8" s="11" t="n"/>
      <c r="U8" s="11" t="n"/>
      <c r="V8" s="20">
        <f>IF(COUNT($N8:$U8)=0,"",SUM($N8:$U8))</f>
        <v>10.1</v>
      </c>
      <c r="W8" s="21">
        <f>IFERROR(IF(OR($N8="",$E8="",$E8=0,E$62="",E$62=0),"",$N8/($E8*E$62)),"")</f>
        <v>0.031383547008547015</v>
      </c>
      <c r="X8" s="21">
        <f>IFERROR(IF(OR($O8="",$F8="",$F8=0,F$62="",F$62=0),"",$O8/($F8*F$62)),"")</f>
        <v>0.04406950390329892</v>
      </c>
      <c r="Y8" s="21">
        <f>IFERROR(IF(OR($P8="",$G8="",$G8=0,G$62="",G$62=0),"",$P8/($G8*G$62)),"")</f>
        <v>0.02495321272613849</v>
      </c>
      <c r="Z8" s="21">
        <f>IFERROR(IF(OR($Q8="",$H8="",$H8=0,H$62="",H$62=0),"",$Q8/($H8*H$62)),"")</f>
        <v>0.04288499025341131</v>
      </c>
      <c r="AA8" s="21">
        <f>IFERROR(IF(OR($R8="",$I8="",$I8=0,I$62="",I$62=0),"",$R8/($I8*I$62)),"")</f>
        <v/>
      </c>
      <c r="AB8" s="21">
        <f>IFERROR(IF(OR($S8="",$J8="",$J8=0,J$62="",J$62=0),"",$S8/($J8*J$62)),"")</f>
        <v/>
      </c>
      <c r="AC8" s="21">
        <f>IFERROR(IF(OR($T8="",$K8="",$K8=0,K$62="",K$62=0),"",$T8/($K8*K$62)),"")</f>
        <v/>
      </c>
      <c r="AD8" s="21">
        <f>IFERROR(IF(OR($U8="",$L8="",$L8=0,L$62="",L$62=0),"",$U8/($L8*L$62)),"")</f>
        <v/>
      </c>
      <c r="AE8" s="20">
        <f>IF(SUMPRODUCT($E8:$L8,$E$62:$L$62)=0,"",SUMPRODUCT($E8:$L8,$E$62:$L$62))</f>
        <v>286.89</v>
      </c>
      <c r="AF8" s="21">
        <f>IFERROR(IF(OR($V8="",$AE8="",$AE8=0),"",$V8/$AE8),"")</f>
        <v>0.03520513088640245</v>
      </c>
      <c r="AG8" s="14" t="n">
        <v>7.4</v>
      </c>
      <c r="AH8" s="14" t="n">
        <v>13.9</v>
      </c>
      <c r="AI8" s="14" t="n">
        <v>7</v>
      </c>
      <c r="AJ8" s="9" t="n">
        <v>1</v>
      </c>
      <c r="AK8" s="9" t="n">
        <v>1</v>
      </c>
      <c r="AL8" s="22">
        <f>IFERROR(IF(OR($AJ8="",$D8="",$D8=0,$M$64=""),"",$AJ8/$D8*$M$64),"")</f>
        <v>1.2626262626262628</v>
      </c>
      <c r="AM8" s="9" t="n">
        <v>193</v>
      </c>
      <c r="AN8" s="23">
        <f>IFERROR(IF(OR($AM8="",$D8="",$D8=0),"",$AM8/$D8),"")</f>
        <v>0.24368686868686867</v>
      </c>
      <c r="AO8" s="9" t="n">
        <v>3</v>
      </c>
      <c r="AP8" s="9" t="n">
        <v>9</v>
      </c>
      <c r="AQ8" s="22">
        <f>IFERROR(IF(OR($AO8="",$AP8="",$D8="",$D8=0,$M$64=""),"",($AO8+$AP8)/$D8*$M$64),"")</f>
        <v>15.151515151515152</v>
      </c>
      <c r="AR8" s="19">
        <f>IF(NOT(ISNUMBER($D8)),"",SUMPRODUCT(--(ISNUMBER($W8:$AD8)),--(ISNUMBER($W$63:$AD$63)),--($W8:$AD8&gt;$W$63:$AD$63))+IF(AND(ISNUMBER($AG8),ISNUMBER($AG$63),$AG8&gt;$AG$63),1,0)+IF(AND(ISNUMBER($AH8),ISNUMBER($AH$63),$AH8&gt;$AH$63),1,0)+IF(AND(ISNUMBER($AI8),ISNUMBER($AI$63),$AI8&gt;$AI$63),1,0)+IF(AND(ISNUMBER($AL8),ISNUMBER($AL$63),$AL8&gt;$AL$63),1,0)+IF(AND(ISNUMBER($AN8),ISNUMBER($AN$63),$AN8&gt;$AN$63),1,0)+IF(AND(ISNUMBER($AQ8),ISNUMBER($AQ$63),$AQ8&gt;$AQ$63),1,0))</f>
        <v>1.0</v>
      </c>
      <c r="AS8" t="str">
        <f>IF(NOT(ISNUMBER($AR8)),"",IF($AR8=0,"Semana en objetivo",IF($AR8=1,"1 indicador fuera de objetivo",$AR8&amp;" indicadores fuera de objetivo")))</f>
        <v>1 indicador fuera de objetivo</v>
      </c>
    </row>
    <row r="9">
      <c r="A9" s="9" t="n">
        <v>5</v>
      </c>
      <c r="B9" s="18" t="n">
        <v>46048</v>
      </c>
      <c r="C9" s="9" t="n">
        <v>1</v>
      </c>
      <c r="D9" s="9" t="n">
        <v>774</v>
      </c>
      <c r="E9" s="9" t="n">
        <v>410</v>
      </c>
      <c r="F9" s="9" t="n">
        <v>342</v>
      </c>
      <c r="G9" s="9" t="n">
        <v>216</v>
      </c>
      <c r="H9" s="9" t="n">
        <v>279</v>
      </c>
      <c r="I9" s="9" t="n"/>
      <c r="J9" s="9" t="n"/>
      <c r="K9" s="9" t="n"/>
      <c r="L9" s="9" t="n"/>
      <c r="M9" s="19">
        <f>IF(COUNT($E9:$L9)=0,"",SUM($E9:$L9))</f>
        <v>1247.0</v>
      </c>
      <c r="N9" s="11" t="n">
        <v>4.5</v>
      </c>
      <c r="O9" s="11" t="n">
        <v>3.9</v>
      </c>
      <c r="P9" s="11" t="n">
        <v>0.8</v>
      </c>
      <c r="Q9" s="11" t="n">
        <v>1</v>
      </c>
      <c r="R9" s="11" t="n"/>
      <c r="S9" s="11" t="n"/>
      <c r="T9" s="11" t="n"/>
      <c r="U9" s="11" t="n"/>
      <c r="V9" s="20">
        <f>IF(COUNT($N9:$U9)=0,"",SUM($N9:$U9))</f>
        <v>10.200000000000001</v>
      </c>
      <c r="W9" s="21">
        <f>IFERROR(IF(OR($N9="",$E9="",$E9=0,E$62="",E$62=0),"",$N9/($E9*E$62)),"")</f>
        <v>0.030487804878048783</v>
      </c>
      <c r="X9" s="21">
        <f>IFERROR(IF(OR($O9="",$F9="",$F9=0,F$62="",F$62=0),"",$O9/($F9*F$62)),"")</f>
        <v>0.051834130781499205</v>
      </c>
      <c r="Y9" s="21">
        <f>IFERROR(IF(OR($P9="",$G9="",$G9=0,G$62="",G$62=0),"",$P9/($G9*G$62)),"")</f>
        <v>0.026455026455026454</v>
      </c>
      <c r="Z9" s="21">
        <f>IFERROR(IF(OR($Q9="",$H9="",$H9=0,H$62="",H$62=0),"",$Q9/($H9*H$62)),"")</f>
        <v>0.039824771007566706</v>
      </c>
      <c r="AA9" s="21">
        <f>IFERROR(IF(OR($R9="",$I9="",$I9=0,I$62="",I$62=0),"",$R9/($I9*I$62)),"")</f>
        <v/>
      </c>
      <c r="AB9" s="21">
        <f>IFERROR(IF(OR($S9="",$J9="",$J9=0,J$62="",J$62=0),"",$S9/($J9*J$62)),"")</f>
        <v/>
      </c>
      <c r="AC9" s="21">
        <f>IFERROR(IF(OR($T9="",$K9="",$K9=0,K$62="",K$62=0),"",$T9/($K9*K$62)),"")</f>
        <v/>
      </c>
      <c r="AD9" s="21">
        <f>IFERROR(IF(OR($U9="",$L9="",$L9=0,L$62="",L$62=0),"",$U9/($L9*L$62)),"")</f>
        <v/>
      </c>
      <c r="AE9" s="20">
        <f>IF(SUMPRODUCT($E9:$L9,$E$62:$L$62)=0,"",SUMPRODUCT($E9:$L9,$E$62:$L$62))</f>
        <v>278.19</v>
      </c>
      <c r="AF9" s="21">
        <f>IFERROR(IF(OR($V9="",$AE9="",$AE9=0),"",$V9/$AE9),"")</f>
        <v>0.03666558826701176</v>
      </c>
      <c r="AG9" s="14" t="n">
        <v>6.9</v>
      </c>
      <c r="AH9" s="14" t="n">
        <v>14</v>
      </c>
      <c r="AI9" s="14" t="n">
        <v>7.7</v>
      </c>
      <c r="AJ9" s="9" t="n">
        <v>0</v>
      </c>
      <c r="AK9" s="9" t="n">
        <v>0</v>
      </c>
      <c r="AL9" s="22">
        <f>IFERROR(IF(OR($AJ9="",$D9="",$D9=0,$M$64=""),"",$AJ9/$D9*$M$64),"")</f>
        <v>0.0</v>
      </c>
      <c r="AM9" s="9" t="n">
        <v>193</v>
      </c>
      <c r="AN9" s="23">
        <f>IFERROR(IF(OR($AM9="",$D9="",$D9=0),"",$AM9/$D9),"")</f>
        <v>0.24935400516795866</v>
      </c>
      <c r="AO9" s="9" t="n">
        <v>4</v>
      </c>
      <c r="AP9" s="9" t="n">
        <v>10</v>
      </c>
      <c r="AQ9" s="22">
        <f>IFERROR(IF(OR($AO9="",$AP9="",$D9="",$D9=0,$M$64=""),"",($AO9+$AP9)/$D9*$M$64),"")</f>
        <v>18.08785529715762</v>
      </c>
      <c r="AR9" s="19">
        <f>IF(NOT(ISNUMBER($D9)),"",SUMPRODUCT(--(ISNUMBER($W9:$AD9)),--(ISNUMBER($W$63:$AD$63)),--($W9:$AD9&gt;$W$63:$AD$63))+IF(AND(ISNUMBER($AG9),ISNUMBER($AG$63),$AG9&gt;$AG$63),1,0)+IF(AND(ISNUMBER($AH9),ISNUMBER($AH$63),$AH9&gt;$AH$63),1,0)+IF(AND(ISNUMBER($AI9),ISNUMBER($AI$63),$AI9&gt;$AI$63),1,0)+IF(AND(ISNUMBER($AL9),ISNUMBER($AL$63),$AL9&gt;$AL$63),1,0)+IF(AND(ISNUMBER($AN9),ISNUMBER($AN$63),$AN9&gt;$AN$63),1,0)+IF(AND(ISNUMBER($AQ9),ISNUMBER($AQ$63),$AQ9&gt;$AQ$63),1,0))</f>
        <v>0.0</v>
      </c>
      <c r="AS9" t="str">
        <f>IF(NOT(ISNUMBER($AR9)),"",IF($AR9=0,"Semana en objetivo",IF($AR9=1,"1 indicador fuera de objetivo",$AR9&amp;" indicadores fuera de objetivo")))</f>
        <v>Semana en objetivo</v>
      </c>
    </row>
    <row r="10">
      <c r="A10" s="9" t="n">
        <v>6</v>
      </c>
      <c r="B10" s="18" t="n">
        <v>46055</v>
      </c>
      <c r="C10" s="9" t="n">
        <v>2</v>
      </c>
      <c r="D10" s="9" t="n">
        <v>807</v>
      </c>
      <c r="E10" s="9" t="n">
        <v>410</v>
      </c>
      <c r="F10" s="9" t="n">
        <v>348</v>
      </c>
      <c r="G10" s="9" t="n">
        <v>231</v>
      </c>
      <c r="H10" s="9" t="n">
        <v>303</v>
      </c>
      <c r="I10" s="9" t="n"/>
      <c r="J10" s="9" t="n"/>
      <c r="K10" s="9" t="n"/>
      <c r="L10" s="9" t="n"/>
      <c r="M10" s="19">
        <f>IF(COUNT($E10:$L10)=0,"",SUM($E10:$L10))</f>
        <v>1292.0</v>
      </c>
      <c r="N10" s="11" t="n">
        <v>5.1</v>
      </c>
      <c r="O10" s="11" t="n">
        <v>3.7</v>
      </c>
      <c r="P10" s="11" t="n">
        <v>0.7</v>
      </c>
      <c r="Q10" s="11" t="n">
        <v>1</v>
      </c>
      <c r="R10" s="11" t="n"/>
      <c r="S10" s="11" t="n"/>
      <c r="T10" s="11" t="n"/>
      <c r="U10" s="11" t="n"/>
      <c r="V10" s="20">
        <f>IF(COUNT($N10:$U10)=0,"",SUM($N10:$U10))</f>
        <v>10.5</v>
      </c>
      <c r="W10" s="21">
        <f>IFERROR(IF(OR($N10="",$E10="",$E10=0,E$62="",E$62=0),"",$N10/($E10*E$62)),"")</f>
        <v>0.034552845528455285</v>
      </c>
      <c r="X10" s="21">
        <f>IFERROR(IF(OR($O10="",$F10="",$F10=0,F$62="",F$62=0),"",$O10/($F10*F$62)),"")</f>
        <v>0.04832810867293626</v>
      </c>
      <c r="Y10" s="21">
        <f>IFERROR(IF(OR($P10="",$G10="",$G10=0,G$62="",G$62=0),"",$P10/($G10*G$62)),"")</f>
        <v>0.02164502164502164</v>
      </c>
      <c r="Z10" s="21">
        <f>IFERROR(IF(OR($Q10="",$H10="",$H10=0,H$62="",H$62=0),"",$Q10/($H10*H$62)),"")</f>
        <v>0.036670333700036674</v>
      </c>
      <c r="AA10" s="21">
        <f>IFERROR(IF(OR($R10="",$I10="",$I10=0,I$62="",I$62=0),"",$R10/($I10*I$62)),"")</f>
        <v/>
      </c>
      <c r="AB10" s="21">
        <f>IFERROR(IF(OR($S10="",$J10="",$J10=0,J$62="",J$62=0),"",$S10/($J10*J$62)),"")</f>
        <v/>
      </c>
      <c r="AC10" s="21">
        <f>IFERROR(IF(OR($T10="",$K10="",$K10=0,K$62="",K$62=0),"",$T10/($K10*K$62)),"")</f>
        <v/>
      </c>
      <c r="AD10" s="21">
        <f>IFERROR(IF(OR($U10="",$L10="",$L10=0,L$62="",L$62=0),"",$U10/($L10*L$62)),"")</f>
        <v/>
      </c>
      <c r="AE10" s="20">
        <f>IF(SUMPRODUCT($E10:$L10,$E$62:$L$62)=0,"",SUMPRODUCT($E10:$L10,$E$62:$L$62))</f>
        <v>283.77</v>
      </c>
      <c r="AF10" s="21">
        <f>IFERROR(IF(OR($V10="",$AE10="",$AE10=0),"",$V10/$AE10),"")</f>
        <v>0.03700179723015118</v>
      </c>
      <c r="AG10" s="14" t="n">
        <v>7.6</v>
      </c>
      <c r="AH10" s="14" t="n">
        <v>15.3</v>
      </c>
      <c r="AI10" s="14" t="n">
        <v>7.1</v>
      </c>
      <c r="AJ10" s="9" t="n">
        <v>0</v>
      </c>
      <c r="AK10" s="9" t="n">
        <v>0</v>
      </c>
      <c r="AL10" s="22">
        <f>IFERROR(IF(OR($AJ10="",$D10="",$D10=0,$M$64=""),"",$AJ10/$D10*$M$64),"")</f>
        <v>0.0</v>
      </c>
      <c r="AM10" s="9" t="n">
        <v>197</v>
      </c>
      <c r="AN10" s="23">
        <f>IFERROR(IF(OR($AM10="",$D10="",$D10=0),"",$AM10/$D10),"")</f>
        <v>0.24411400247831475</v>
      </c>
      <c r="AO10" s="9" t="n">
        <v>5</v>
      </c>
      <c r="AP10" s="9" t="n">
        <v>10</v>
      </c>
      <c r="AQ10" s="22">
        <f>IFERROR(IF(OR($AO10="",$AP10="",$D10="",$D10=0,$M$64=""),"",($AO10+$AP10)/$D10*$M$64),"")</f>
        <v>18.58736059479554</v>
      </c>
      <c r="AR10" s="19">
        <f>IF(NOT(ISNUMBER($D10)),"",SUMPRODUCT(--(ISNUMBER($W10:$AD10)),--(ISNUMBER($W$63:$AD$63)),--($W10:$AD10&gt;$W$63:$AD$63))+IF(AND(ISNUMBER($AG10),ISNUMBER($AG$63),$AG10&gt;$AG$63),1,0)+IF(AND(ISNUMBER($AH10),ISNUMBER($AH$63),$AH10&gt;$AH$63),1,0)+IF(AND(ISNUMBER($AI10),ISNUMBER($AI$63),$AI10&gt;$AI$63),1,0)+IF(AND(ISNUMBER($AL10),ISNUMBER($AL$63),$AL10&gt;$AL$63),1,0)+IF(AND(ISNUMBER($AN10),ISNUMBER($AN$63),$AN10&gt;$AN$63),1,0)+IF(AND(ISNUMBER($AQ10),ISNUMBER($AQ$63),$AQ10&gt;$AQ$63),1,0))</f>
        <v>0.0</v>
      </c>
      <c r="AS10" t="str">
        <f>IF(NOT(ISNUMBER($AR10)),"",IF($AR10=0,"Semana en objetivo",IF($AR10=1,"1 indicador fuera de objetivo",$AR10&amp;" indicadores fuera de objetivo")))</f>
        <v>Semana en objetivo</v>
      </c>
    </row>
    <row r="11">
      <c r="A11" s="9" t="n">
        <v>7</v>
      </c>
      <c r="B11" s="18" t="n">
        <v>46062</v>
      </c>
      <c r="C11" s="9" t="n">
        <v>2</v>
      </c>
      <c r="D11" s="9" t="n">
        <v>753</v>
      </c>
      <c r="E11" s="9" t="n">
        <v>383</v>
      </c>
      <c r="F11" s="9" t="n">
        <v>338</v>
      </c>
      <c r="G11" s="9" t="n">
        <v>222</v>
      </c>
      <c r="H11" s="9" t="n">
        <v>279</v>
      </c>
      <c r="I11" s="9" t="n"/>
      <c r="J11" s="9" t="n"/>
      <c r="K11" s="9" t="n"/>
      <c r="L11" s="9" t="n"/>
      <c r="M11" s="19">
        <f>IF(COUNT($E11:$L11)=0,"",SUM($E11:$L11))</f>
        <v>1222.0</v>
      </c>
      <c r="N11" s="11" t="n">
        <v>4.1</v>
      </c>
      <c r="O11" s="11" t="n">
        <v>3.3</v>
      </c>
      <c r="P11" s="11" t="n">
        <v>0.8</v>
      </c>
      <c r="Q11" s="11" t="n">
        <v>1.1</v>
      </c>
      <c r="R11" s="11" t="n"/>
      <c r="S11" s="11" t="n"/>
      <c r="T11" s="11" t="n"/>
      <c r="U11" s="11" t="n"/>
      <c r="V11" s="20">
        <f>IF(COUNT($N11:$U11)=0,"",SUM($N11:$U11))</f>
        <v>9.299999999999999</v>
      </c>
      <c r="W11" s="21">
        <f>IFERROR(IF(OR($N11="",$E11="",$E11=0,E$62="",E$62=0),"",$N11/($E11*E$62)),"")</f>
        <v>0.029736002320858716</v>
      </c>
      <c r="X11" s="21">
        <f>IFERROR(IF(OR($O11="",$F11="",$F11=0,F$62="",F$62=0),"",$O11/($F11*F$62)),"")</f>
        <v>0.04437869822485207</v>
      </c>
      <c r="Y11" s="21">
        <f>IFERROR(IF(OR($P11="",$G11="",$G11=0,G$62="",G$62=0),"",$P11/($G11*G$62)),"")</f>
        <v>0.02574002574002574</v>
      </c>
      <c r="Z11" s="21">
        <f>IFERROR(IF(OR($Q11="",$H11="",$H11=0,H$62="",H$62=0),"",$Q11/($H11*H$62)),"")</f>
        <v>0.043807248108323385</v>
      </c>
      <c r="AA11" s="21">
        <f>IFERROR(IF(OR($R11="",$I11="",$I11=0,I$62="",I$62=0),"",$R11/($I11*I$62)),"")</f>
        <v/>
      </c>
      <c r="AB11" s="21">
        <f>IFERROR(IF(OR($S11="",$J11="",$J11=0,J$62="",J$62=0),"",$S11/($J11*J$62)),"")</f>
        <v/>
      </c>
      <c r="AC11" s="21">
        <f>IFERROR(IF(OR($T11="",$K11="",$K11=0,K$62="",K$62=0),"",$T11/($K11*K$62)),"")</f>
        <v/>
      </c>
      <c r="AD11" s="21">
        <f>IFERROR(IF(OR($U11="",$L11="",$L11=0,L$62="",L$62=0),"",$U11/($L11*L$62)),"")</f>
        <v/>
      </c>
      <c r="AE11" s="20">
        <f>IF(SUMPRODUCT($E11:$L11,$E$62:$L$62)=0,"",SUMPRODUCT($E11:$L11,$E$62:$L$62))</f>
        <v>268.43</v>
      </c>
      <c r="AF11" s="21">
        <f>IFERROR(IF(OR($V11="",$AE11="",$AE11=0),"",$V11/$AE11),"")</f>
        <v>0.03464590396006407</v>
      </c>
      <c r="AG11" s="14" t="n">
        <v>13.8</v>
      </c>
      <c r="AH11" s="14" t="n">
        <v>25.6</v>
      </c>
      <c r="AI11" s="14" t="n">
        <v>10.9</v>
      </c>
      <c r="AJ11" s="9" t="n">
        <v>1</v>
      </c>
      <c r="AK11" s="9" t="n">
        <v>3</v>
      </c>
      <c r="AL11" s="22">
        <f>IFERROR(IF(OR($AJ11="",$D11="",$D11=0,$M$64=""),"",$AJ11/$D11*$M$64),"")</f>
        <v>1.3280212483399734</v>
      </c>
      <c r="AM11" s="9" t="n">
        <v>193</v>
      </c>
      <c r="AN11" s="23">
        <f>IFERROR(IF(OR($AM11="",$D11="",$D11=0),"",$AM11/$D11),"")</f>
        <v>0.25630810092961487</v>
      </c>
      <c r="AO11" s="9" t="n">
        <v>9</v>
      </c>
      <c r="AP11" s="9" t="n">
        <v>19</v>
      </c>
      <c r="AQ11" s="22">
        <f>IFERROR(IF(OR($AO11="",$AP11="",$D11="",$D11=0,$M$64=""),"",($AO11+$AP11)/$D11*$M$64),"")</f>
        <v>37.18459495351926</v>
      </c>
      <c r="AR11" s="19">
        <f>IF(NOT(ISNUMBER($D11)),"",SUMPRODUCT(--(ISNUMBER($W11:$AD11)),--(ISNUMBER($W$63:$AD$63)),--($W11:$AD11&gt;$W$63:$AD$63))+IF(AND(ISNUMBER($AG11),ISNUMBER($AG$63),$AG11&gt;$AG$63),1,0)+IF(AND(ISNUMBER($AH11),ISNUMBER($AH$63),$AH11&gt;$AH$63),1,0)+IF(AND(ISNUMBER($AI11),ISNUMBER($AI$63),$AI11&gt;$AI$63),1,0)+IF(AND(ISNUMBER($AL11),ISNUMBER($AL$63),$AL11&gt;$AL$63),1,0)+IF(AND(ISNUMBER($AN11),ISNUMBER($AN$63),$AN11&gt;$AN$63),1,0)+IF(AND(ISNUMBER($AQ11),ISNUMBER($AQ$63),$AQ11&gt;$AQ$63),1,0))</f>
        <v>5.0</v>
      </c>
      <c r="AS11" t="str">
        <f>IF(NOT(ISNUMBER($AR11)),"",IF($AR11=0,"Semana en objetivo",IF($AR11=1,"1 indicador fuera de objetivo",$AR11&amp;" indicadores fuera de objetivo")))</f>
        <v>5 indicadores fuera de objetivo</v>
      </c>
    </row>
    <row r="12">
      <c r="A12" s="9" t="n">
        <v>8</v>
      </c>
      <c r="B12" s="18" t="n">
        <v>46069</v>
      </c>
      <c r="C12" s="9" t="n">
        <v>2</v>
      </c>
      <c r="D12" s="9" t="n">
        <v>775</v>
      </c>
      <c r="E12" s="9" t="n">
        <v>411</v>
      </c>
      <c r="F12" s="9" t="n">
        <v>352</v>
      </c>
      <c r="G12" s="9" t="n">
        <v>221</v>
      </c>
      <c r="H12" s="9" t="n">
        <v>277</v>
      </c>
      <c r="I12" s="9" t="n"/>
      <c r="J12" s="9" t="n"/>
      <c r="K12" s="9" t="n"/>
      <c r="L12" s="9" t="n"/>
      <c r="M12" s="19">
        <f>IF(COUNT($E12:$L12)=0,"",SUM($E12:$L12))</f>
        <v>1261.0</v>
      </c>
      <c r="N12" s="11" t="n">
        <v>4.8</v>
      </c>
      <c r="O12" s="11" t="n">
        <v>4</v>
      </c>
      <c r="P12" s="11" t="n">
        <v>0.8</v>
      </c>
      <c r="Q12" s="11" t="n">
        <v>0.9</v>
      </c>
      <c r="R12" s="11" t="n"/>
      <c r="S12" s="11" t="n"/>
      <c r="T12" s="11" t="n"/>
      <c r="U12" s="11" t="n"/>
      <c r="V12" s="20">
        <f>IF(COUNT($N12:$U12)=0,"",SUM($N12:$U12))</f>
        <v>10.500000000000002</v>
      </c>
      <c r="W12" s="21">
        <f>IFERROR(IF(OR($N12="",$E12="",$E12=0,E$62="",E$62=0),"",$N12/($E12*E$62)),"")</f>
        <v>0.032441200324412</v>
      </c>
      <c r="X12" s="21">
        <f>IFERROR(IF(OR($O12="",$F12="",$F12=0,F$62="",F$62=0),"",$O12/($F12*F$62)),"")</f>
        <v>0.05165289256198347</v>
      </c>
      <c r="Y12" s="21">
        <f>IFERROR(IF(OR($P12="",$G12="",$G12=0,G$62="",G$62=0),"",$P12/($G12*G$62)),"")</f>
        <v>0.02585649644473174</v>
      </c>
      <c r="Z12" s="21">
        <f>IFERROR(IF(OR($Q12="",$H12="",$H12=0,H$62="",H$62=0),"",$Q12/($H12*H$62)),"")</f>
        <v>0.036101083032490974</v>
      </c>
      <c r="AA12" s="21">
        <f>IFERROR(IF(OR($R12="",$I12="",$I12=0,I$62="",I$62=0),"",$R12/($I12*I$62)),"")</f>
        <v/>
      </c>
      <c r="AB12" s="21">
        <f>IFERROR(IF(OR($S12="",$J12="",$J12=0,J$62="",J$62=0),"",$S12/($J12*J$62)),"")</f>
        <v/>
      </c>
      <c r="AC12" s="21">
        <f>IFERROR(IF(OR($T12="",$K12="",$K12=0,K$62="",K$62=0),"",$T12/($K12*K$62)),"")</f>
        <v/>
      </c>
      <c r="AD12" s="21">
        <f>IFERROR(IF(OR($U12="",$L12="",$L12=0,L$62="",L$62=0),"",$U12/($L12*L$62)),"")</f>
        <v/>
      </c>
      <c r="AE12" s="20">
        <f>IF(SUMPRODUCT($E12:$L12,$E$62:$L$62)=0,"",SUMPRODUCT($E12:$L12,$E$62:$L$62))</f>
        <v>281.27</v>
      </c>
      <c r="AF12" s="21">
        <f>IFERROR(IF(OR($V12="",$AE12="",$AE12=0),"",$V12/$AE12),"")</f>
        <v>0.03733067870729193</v>
      </c>
      <c r="AG12" s="14" t="n">
        <v>9.800000000000001</v>
      </c>
      <c r="AH12" s="14" t="n">
        <v>18.4</v>
      </c>
      <c r="AI12" s="14" t="n">
        <v>5.6</v>
      </c>
      <c r="AJ12" s="9" t="n">
        <v>0</v>
      </c>
      <c r="AK12" s="9" t="n">
        <v>0</v>
      </c>
      <c r="AL12" s="22">
        <f>IFERROR(IF(OR($AJ12="",$D12="",$D12=0,$M$64=""),"",$AJ12/$D12*$M$64),"")</f>
        <v>0.0</v>
      </c>
      <c r="AM12" s="9" t="n">
        <v>196</v>
      </c>
      <c r="AN12" s="23">
        <f>IFERROR(IF(OR($AM12="",$D12="",$D12=0),"",$AM12/$D12),"")</f>
        <v>0.25290322580645164</v>
      </c>
      <c r="AO12" s="9" t="n">
        <v>2</v>
      </c>
      <c r="AP12" s="9" t="n">
        <v>6</v>
      </c>
      <c r="AQ12" s="22">
        <f>IFERROR(IF(OR($AO12="",$AP12="",$D12="",$D12=0,$M$64=""),"",($AO12+$AP12)/$D12*$M$64),"")</f>
        <v>10.32258064516129</v>
      </c>
      <c r="AR12" s="19">
        <f>IF(NOT(ISNUMBER($D12)),"",SUMPRODUCT(--(ISNUMBER($W12:$AD12)),--(ISNUMBER($W$63:$AD$63)),--($W12:$AD12&gt;$W$63:$AD$63))+IF(AND(ISNUMBER($AG12),ISNUMBER($AG$63),$AG12&gt;$AG$63),1,0)+IF(AND(ISNUMBER($AH12),ISNUMBER($AH$63),$AH12&gt;$AH$63),1,0)+IF(AND(ISNUMBER($AI12),ISNUMBER($AI$63),$AI12&gt;$AI$63),1,0)+IF(AND(ISNUMBER($AL12),ISNUMBER($AL$63),$AL12&gt;$AL$63),1,0)+IF(AND(ISNUMBER($AN12),ISNUMBER($AN$63),$AN12&gt;$AN$63),1,0)+IF(AND(ISNUMBER($AQ12),ISNUMBER($AQ$63),$AQ12&gt;$AQ$63),1,0))</f>
        <v>1.0</v>
      </c>
      <c r="AS12" t="str">
        <f>IF(NOT(ISNUMBER($AR12)),"",IF($AR12=0,"Semana en objetivo",IF($AR12=1,"1 indicador fuera de objetivo",$AR12&amp;" indicadores fuera de objetivo")))</f>
        <v>1 indicador fuera de objetivo</v>
      </c>
    </row>
    <row r="13">
      <c r="A13" s="9" t="n">
        <v>9</v>
      </c>
      <c r="B13" s="18" t="n">
        <v>46076</v>
      </c>
      <c r="C13" s="9" t="n">
        <v>2</v>
      </c>
      <c r="D13" s="9" t="n">
        <v>795</v>
      </c>
      <c r="E13" s="9" t="n">
        <v>416</v>
      </c>
      <c r="F13" s="9" t="n">
        <v>346</v>
      </c>
      <c r="G13" s="9" t="n">
        <v>222</v>
      </c>
      <c r="H13" s="9" t="n">
        <v>290</v>
      </c>
      <c r="I13" s="9" t="n"/>
      <c r="J13" s="9" t="n"/>
      <c r="K13" s="9" t="n"/>
      <c r="L13" s="9" t="n"/>
      <c r="M13" s="19">
        <f>IF(COUNT($E13:$L13)=0,"",SUM($E13:$L13))</f>
        <v>1274.0</v>
      </c>
      <c r="N13" s="11" t="n">
        <v>5.1</v>
      </c>
      <c r="O13" s="11" t="n">
        <v>3.5</v>
      </c>
      <c r="P13" s="11" t="n">
        <v>0.7</v>
      </c>
      <c r="Q13" s="11" t="n">
        <v>1</v>
      </c>
      <c r="R13" s="11" t="n"/>
      <c r="S13" s="11" t="n"/>
      <c r="T13" s="11" t="n"/>
      <c r="U13" s="11" t="n"/>
      <c r="V13" s="20">
        <f>IF(COUNT($N13:$U13)=0,"",SUM($N13:$U13))</f>
        <v>10.299999999999999</v>
      </c>
      <c r="W13" s="21">
        <f>IFERROR(IF(OR($N13="",$E13="",$E13=0,E$62="",E$62=0),"",$N13/($E13*E$62)),"")</f>
        <v>0.034054487179487176</v>
      </c>
      <c r="X13" s="21">
        <f>IFERROR(IF(OR($O13="",$F13="",$F13=0,F$62="",F$62=0),"",$O13/($F13*F$62)),"")</f>
        <v>0.045980031529164474</v>
      </c>
      <c r="Y13" s="21">
        <f>IFERROR(IF(OR($P13="",$G13="",$G13=0,G$62="",G$62=0),"",$P13/($G13*G$62)),"")</f>
        <v>0.02252252252252252</v>
      </c>
      <c r="Z13" s="21">
        <f>IFERROR(IF(OR($Q13="",$H13="",$H13=0,H$62="",H$62=0),"",$Q13/($H13*H$62)),"")</f>
        <v>0.03831417624521073</v>
      </c>
      <c r="AA13" s="21">
        <f>IFERROR(IF(OR($R13="",$I13="",$I13=0,I$62="",I$62=0),"",$R13/($I13*I$62)),"")</f>
        <v/>
      </c>
      <c r="AB13" s="21">
        <f>IFERROR(IF(OR($S13="",$J13="",$J13=0,J$62="",J$62=0),"",$S13/($J13*J$62)),"")</f>
        <v/>
      </c>
      <c r="AC13" s="21">
        <f>IFERROR(IF(OR($T13="",$K13="",$K13=0,K$62="",K$62=0),"",$T13/($K13*K$62)),"")</f>
        <v/>
      </c>
      <c r="AD13" s="21">
        <f>IFERROR(IF(OR($U13="",$L13="",$L13=0,L$62="",L$62=0),"",$U13/($L13*L$62)),"")</f>
        <v/>
      </c>
      <c r="AE13" s="20">
        <f>IF(SUMPRODUCT($E13:$L13,$E$62:$L$62)=0,"",SUMPRODUCT($E13:$L13,$E$62:$L$62))</f>
        <v>283.06</v>
      </c>
      <c r="AF13" s="21">
        <f>IFERROR(IF(OR($V13="",$AE13="",$AE13=0),"",$V13/$AE13),"")</f>
        <v>0.03638804493746908</v>
      </c>
      <c r="AG13" s="14" t="n">
        <v>9.699999999999999</v>
      </c>
      <c r="AH13" s="14" t="n">
        <v>18.5</v>
      </c>
      <c r="AI13" s="14" t="n">
        <v>6.5</v>
      </c>
      <c r="AJ13" s="9" t="n">
        <v>0</v>
      </c>
      <c r="AK13" s="9" t="n">
        <v>0</v>
      </c>
      <c r="AL13" s="22">
        <f>IFERROR(IF(OR($AJ13="",$D13="",$D13=0,$M$64=""),"",$AJ13/$D13*$M$64),"")</f>
        <v>0.0</v>
      </c>
      <c r="AM13" s="9" t="n">
        <v>199</v>
      </c>
      <c r="AN13" s="23">
        <f>IFERROR(IF(OR($AM13="",$D13="",$D13=0),"",$AM13/$D13),"")</f>
        <v>0.25031446540880503</v>
      </c>
      <c r="AO13" s="9" t="n">
        <v>3</v>
      </c>
      <c r="AP13" s="9" t="n">
        <v>7</v>
      </c>
      <c r="AQ13" s="22">
        <f>IFERROR(IF(OR($AO13="",$AP13="",$D13="",$D13=0,$M$64=""),"",($AO13+$AP13)/$D13*$M$64),"")</f>
        <v>12.578616352201259</v>
      </c>
      <c r="AR13" s="19">
        <f>IF(NOT(ISNUMBER($D13)),"",SUMPRODUCT(--(ISNUMBER($W13:$AD13)),--(ISNUMBER($W$63:$AD$63)),--($W13:$AD13&gt;$W$63:$AD$63))+IF(AND(ISNUMBER($AG13),ISNUMBER($AG$63),$AG13&gt;$AG$63),1,0)+IF(AND(ISNUMBER($AH13),ISNUMBER($AH$63),$AH13&gt;$AH$63),1,0)+IF(AND(ISNUMBER($AI13),ISNUMBER($AI$63),$AI13&gt;$AI$63),1,0)+IF(AND(ISNUMBER($AL13),ISNUMBER($AL$63),$AL13&gt;$AL$63),1,0)+IF(AND(ISNUMBER($AN13),ISNUMBER($AN$63),$AN13&gt;$AN$63),1,0)+IF(AND(ISNUMBER($AQ13),ISNUMBER($AQ$63),$AQ13&gt;$AQ$63),1,0))</f>
        <v>1.0</v>
      </c>
      <c r="AS13" t="str">
        <f>IF(NOT(ISNUMBER($AR13)),"",IF($AR13=0,"Semana en objetivo",IF($AR13=1,"1 indicador fuera de objetivo",$AR13&amp;" indicadores fuera de objetivo")))</f>
        <v>1 indicador fuera de objetivo</v>
      </c>
    </row>
    <row r="14">
      <c r="A14" s="9" t="n">
        <v>10</v>
      </c>
      <c r="B14" s="18" t="n">
        <v>46083</v>
      </c>
      <c r="C14" s="9" t="n">
        <v>3</v>
      </c>
      <c r="D14" s="9" t="n">
        <v>776</v>
      </c>
      <c r="E14" s="9" t="n">
        <v>391</v>
      </c>
      <c r="F14" s="9" t="n">
        <v>338</v>
      </c>
      <c r="G14" s="9" t="n">
        <v>226</v>
      </c>
      <c r="H14" s="9" t="n">
        <v>292</v>
      </c>
      <c r="I14" s="9" t="n"/>
      <c r="J14" s="9" t="n"/>
      <c r="K14" s="9" t="n"/>
      <c r="L14" s="9" t="n"/>
      <c r="M14" s="19">
        <f>IF(COUNT($E14:$L14)=0,"",SUM($E14:$L14))</f>
        <v>1247.0</v>
      </c>
      <c r="N14" s="11" t="n">
        <v>4.1</v>
      </c>
      <c r="O14" s="11" t="n">
        <v>3.5</v>
      </c>
      <c r="P14" s="11" t="n">
        <v>0.8</v>
      </c>
      <c r="Q14" s="11" t="n">
        <v>1.1</v>
      </c>
      <c r="R14" s="11" t="n"/>
      <c r="S14" s="11" t="n"/>
      <c r="T14" s="11" t="n"/>
      <c r="U14" s="11" t="n"/>
      <c r="V14" s="20">
        <f>IF(COUNT($N14:$U14)=0,"",SUM($N14:$U14))</f>
        <v>9.5</v>
      </c>
      <c r="W14" s="21">
        <f>IFERROR(IF(OR($N14="",$E14="",$E14=0,E$62="",E$62=0),"",$N14/($E14*E$62)),"")</f>
        <v>0.02912759306621199</v>
      </c>
      <c r="X14" s="21">
        <f>IFERROR(IF(OR($O14="",$F14="",$F14=0,F$62="",F$62=0),"",$O14/($F14*F$62)),"")</f>
        <v>0.04706831629908553</v>
      </c>
      <c r="Y14" s="21">
        <f>IFERROR(IF(OR($P14="",$G14="",$G14=0,G$62="",G$62=0),"",$P14/($G14*G$62)),"")</f>
        <v>0.025284450063211124</v>
      </c>
      <c r="Z14" s="21">
        <f>IFERROR(IF(OR($Q14="",$H14="",$H14=0,H$62="",H$62=0),"",$Q14/($H14*H$62)),"")</f>
        <v>0.04185692541856926</v>
      </c>
      <c r="AA14" s="21">
        <f>IFERROR(IF(OR($R14="",$I14="",$I14=0,I$62="",I$62=0),"",$R14/($I14*I$62)),"")</f>
        <v/>
      </c>
      <c r="AB14" s="21">
        <f>IFERROR(IF(OR($S14="",$J14="",$J14=0,J$62="",J$62=0),"",$S14/($J14*J$62)),"")</f>
        <v/>
      </c>
      <c r="AC14" s="21">
        <f>IFERROR(IF(OR($T14="",$K14="",$K14=0,K$62="",K$62=0),"",$T14/($K14*K$62)),"")</f>
        <v/>
      </c>
      <c r="AD14" s="21">
        <f>IFERROR(IF(OR($U14="",$L14="",$L14=0,L$62="",L$62=0),"",$U14/($L14*L$62)),"")</f>
        <v/>
      </c>
      <c r="AE14" s="20">
        <f>IF(SUMPRODUCT($E14:$L14,$E$62:$L$62)=0,"",SUMPRODUCT($E14:$L14,$E$62:$L$62))</f>
        <v>273.04</v>
      </c>
      <c r="AF14" s="21">
        <f>IFERROR(IF(OR($V14="",$AE14="",$AE14=0),"",$V14/$AE14),"")</f>
        <v>0.034793436859068265</v>
      </c>
      <c r="AG14" s="14" t="n">
        <v>8.6</v>
      </c>
      <c r="AH14" s="14" t="n">
        <v>17.4</v>
      </c>
      <c r="AI14" s="14" t="n">
        <v>7.5</v>
      </c>
      <c r="AJ14" s="9" t="n">
        <v>0</v>
      </c>
      <c r="AK14" s="9" t="n">
        <v>0</v>
      </c>
      <c r="AL14" s="22">
        <f>IFERROR(IF(OR($AJ14="",$D14="",$D14=0,$M$64=""),"",$AJ14/$D14*$M$64),"")</f>
        <v>0.0</v>
      </c>
      <c r="AM14" s="9" t="n">
        <v>217</v>
      </c>
      <c r="AN14" s="23">
        <f>IFERROR(IF(OR($AM14="",$D14="",$D14=0),"",$AM14/$D14),"")</f>
        <v>0.27963917525773196</v>
      </c>
      <c r="AO14" s="9" t="n">
        <v>4</v>
      </c>
      <c r="AP14" s="9" t="n">
        <v>9</v>
      </c>
      <c r="AQ14" s="22">
        <f>IFERROR(IF(OR($AO14="",$AP14="",$D14="",$D14=0,$M$64=""),"",($AO14+$AP14)/$D14*$M$64),"")</f>
        <v>16.75257731958763</v>
      </c>
      <c r="AR14" s="19">
        <f>IF(NOT(ISNUMBER($D14)),"",SUMPRODUCT(--(ISNUMBER($W14:$AD14)),--(ISNUMBER($W$63:$AD$63)),--($W14:$AD14&gt;$W$63:$AD$63))+IF(AND(ISNUMBER($AG14),ISNUMBER($AG$63),$AG14&gt;$AG$63),1,0)+IF(AND(ISNUMBER($AH14),ISNUMBER($AH$63),$AH14&gt;$AH$63),1,0)+IF(AND(ISNUMBER($AI14),ISNUMBER($AI$63),$AI14&gt;$AI$63),1,0)+IF(AND(ISNUMBER($AL14),ISNUMBER($AL$63),$AL14&gt;$AL$63),1,0)+IF(AND(ISNUMBER($AN14),ISNUMBER($AN$63),$AN14&gt;$AN$63),1,0)+IF(AND(ISNUMBER($AQ14),ISNUMBER($AQ$63),$AQ14&gt;$AQ$63),1,0))</f>
        <v>1.0</v>
      </c>
      <c r="AS14" t="str">
        <f>IF(NOT(ISNUMBER($AR14)),"",IF($AR14=0,"Semana en objetivo",IF($AR14=1,"1 indicador fuera de objetivo",$AR14&amp;" indicadores fuera de objetivo")))</f>
        <v>1 indicador fuera de objetivo</v>
      </c>
    </row>
    <row r="15">
      <c r="A15" s="9" t="n">
        <v>11</v>
      </c>
      <c r="B15" s="18" t="n">
        <v>46090</v>
      </c>
      <c r="C15" s="9" t="n">
        <v>3</v>
      </c>
      <c r="D15" s="9" t="n">
        <v>802</v>
      </c>
      <c r="E15" s="9" t="n">
        <v>414</v>
      </c>
      <c r="F15" s="9" t="n">
        <v>364</v>
      </c>
      <c r="G15" s="9" t="n">
        <v>236</v>
      </c>
      <c r="H15" s="9" t="n">
        <v>293</v>
      </c>
      <c r="I15" s="9" t="n"/>
      <c r="J15" s="9" t="n"/>
      <c r="K15" s="9" t="n"/>
      <c r="L15" s="9" t="n"/>
      <c r="M15" s="19">
        <f>IF(COUNT($E15:$L15)=0,"",SUM($E15:$L15))</f>
        <v>1307.0</v>
      </c>
      <c r="N15" s="11" t="n">
        <v>5</v>
      </c>
      <c r="O15" s="11" t="n">
        <v>4.1</v>
      </c>
      <c r="P15" s="11" t="n">
        <v>0.8</v>
      </c>
      <c r="Q15" s="11" t="n">
        <v>1</v>
      </c>
      <c r="R15" s="11" t="n"/>
      <c r="S15" s="11" t="n"/>
      <c r="T15" s="11" t="n"/>
      <c r="U15" s="11" t="n"/>
      <c r="V15" s="20">
        <f>IF(COUNT($N15:$U15)=0,"",SUM($N15:$U15))</f>
        <v>10.9</v>
      </c>
      <c r="W15" s="21">
        <f>IFERROR(IF(OR($N15="",$E15="",$E15=0,E$62="",E$62=0),"",$N15/($E15*E$62)),"")</f>
        <v>0.03354804079441761</v>
      </c>
      <c r="X15" s="21">
        <f>IFERROR(IF(OR($O15="",$F15="",$F15=0,F$62="",F$62=0),"",$O15/($F15*F$62)),"")</f>
        <v>0.05119880119880119</v>
      </c>
      <c r="Y15" s="21">
        <f>IFERROR(IF(OR($P15="",$G15="",$G15=0,G$62="",G$62=0),"",$P15/($G15*G$62)),"")</f>
        <v>0.024213075060532684</v>
      </c>
      <c r="Z15" s="21">
        <f>IFERROR(IF(OR($Q15="",$H15="",$H15=0,H$62="",H$62=0),"",$Q15/($H15*H$62)),"")</f>
        <v>0.037921880925293895</v>
      </c>
      <c r="AA15" s="21">
        <f>IFERROR(IF(OR($R15="",$I15="",$I15=0,I$62="",I$62=0),"",$R15/($I15*I$62)),"")</f>
        <v/>
      </c>
      <c r="AB15" s="21">
        <f>IFERROR(IF(OR($S15="",$J15="",$J15=0,J$62="",J$62=0),"",$S15/($J15*J$62)),"")</f>
        <v/>
      </c>
      <c r="AC15" s="21">
        <f>IFERROR(IF(OR($T15="",$K15="",$K15=0,K$62="",K$62=0),"",$T15/($K15*K$62)),"")</f>
        <v/>
      </c>
      <c r="AD15" s="21">
        <f>IFERROR(IF(OR($U15="",$L15="",$L15=0,L$62="",L$62=0),"",$U15/($L15*L$62)),"")</f>
        <v/>
      </c>
      <c r="AE15" s="20">
        <f>IF(SUMPRODUCT($E15:$L15,$E$62:$L$62)=0,"",SUMPRODUCT($E15:$L15,$E$62:$L$62))</f>
        <v>288.53000000000003</v>
      </c>
      <c r="AF15" s="21">
        <f>IFERROR(IF(OR($V15="",$AE15="",$AE15=0),"",$V15/$AE15),"")</f>
        <v>0.03777770075901986</v>
      </c>
      <c r="AG15" s="14" t="n">
        <v>7.4</v>
      </c>
      <c r="AH15" s="14" t="n">
        <v>15.7</v>
      </c>
      <c r="AI15" s="14" t="n">
        <v>7.5</v>
      </c>
      <c r="AJ15" s="9" t="n">
        <v>0</v>
      </c>
      <c r="AK15" s="9" t="n">
        <v>0</v>
      </c>
      <c r="AL15" s="22">
        <f>IFERROR(IF(OR($AJ15="",$D15="",$D15=0,$M$64=""),"",$AJ15/$D15*$M$64),"")</f>
        <v>0.0</v>
      </c>
      <c r="AM15" s="9" t="n">
        <v>219</v>
      </c>
      <c r="AN15" s="23">
        <f>IFERROR(IF(OR($AM15="",$D15="",$D15=0),"",$AM15/$D15),"")</f>
        <v>0.2730673316708229</v>
      </c>
      <c r="AO15" s="9" t="n">
        <v>4</v>
      </c>
      <c r="AP15" s="9" t="n">
        <v>11</v>
      </c>
      <c r="AQ15" s="22">
        <f>IFERROR(IF(OR($AO15="",$AP15="",$D15="",$D15=0,$M$64=""),"",($AO15+$AP15)/$D15*$M$64),"")</f>
        <v>18.703241895261847</v>
      </c>
      <c r="AR15" s="19">
        <f>IF(NOT(ISNUMBER($D15)),"",SUMPRODUCT(--(ISNUMBER($W15:$AD15)),--(ISNUMBER($W$63:$AD$63)),--($W15:$AD15&gt;$W$63:$AD$63))+IF(AND(ISNUMBER($AG15),ISNUMBER($AG$63),$AG15&gt;$AG$63),1,0)+IF(AND(ISNUMBER($AH15),ISNUMBER($AH$63),$AH15&gt;$AH$63),1,0)+IF(AND(ISNUMBER($AI15),ISNUMBER($AI$63),$AI15&gt;$AI$63),1,0)+IF(AND(ISNUMBER($AL15),ISNUMBER($AL$63),$AL15&gt;$AL$63),1,0)+IF(AND(ISNUMBER($AN15),ISNUMBER($AN$63),$AN15&gt;$AN$63),1,0)+IF(AND(ISNUMBER($AQ15),ISNUMBER($AQ$63),$AQ15&gt;$AQ$63),1,0))</f>
        <v>1.0</v>
      </c>
      <c r="AS15" t="str">
        <f>IF(NOT(ISNUMBER($AR15)),"",IF($AR15=0,"Semana en objetivo",IF($AR15=1,"1 indicador fuera de objetivo",$AR15&amp;" indicadores fuera de objetivo")))</f>
        <v>1 indicador fuera de objetivo</v>
      </c>
    </row>
    <row r="16">
      <c r="A16" s="9" t="n">
        <v>12</v>
      </c>
      <c r="B16" s="18" t="n">
        <v>46097</v>
      </c>
      <c r="C16" s="9" t="n">
        <v>3</v>
      </c>
      <c r="D16" s="9" t="n">
        <v>824</v>
      </c>
      <c r="E16" s="9" t="n">
        <v>439</v>
      </c>
      <c r="F16" s="9" t="n">
        <v>370</v>
      </c>
      <c r="G16" s="9" t="n">
        <v>232</v>
      </c>
      <c r="H16" s="9" t="n">
        <v>294</v>
      </c>
      <c r="I16" s="9" t="n"/>
      <c r="J16" s="9" t="n"/>
      <c r="K16" s="9" t="n"/>
      <c r="L16" s="9" t="n"/>
      <c r="M16" s="19">
        <f>IF(COUNT($E16:$L16)=0,"",SUM($E16:$L16))</f>
        <v>1335.0</v>
      </c>
      <c r="N16" s="11" t="n">
        <v>5.1</v>
      </c>
      <c r="O16" s="11" t="n">
        <v>3.6</v>
      </c>
      <c r="P16" s="11" t="n">
        <v>0.7</v>
      </c>
      <c r="Q16" s="11" t="n">
        <v>1.1</v>
      </c>
      <c r="R16" s="11" t="n"/>
      <c r="S16" s="11" t="n"/>
      <c r="T16" s="11" t="n"/>
      <c r="U16" s="11" t="n"/>
      <c r="V16" s="20">
        <f>IF(COUNT($N16:$U16)=0,"",SUM($N16:$U16))</f>
        <v>10.499999999999998</v>
      </c>
      <c r="W16" s="21">
        <f>IFERROR(IF(OR($N16="",$E16="",$E16=0,E$62="",E$62=0),"",$N16/($E16*E$62)),"")</f>
        <v>0.032270311313591496</v>
      </c>
      <c r="X16" s="21">
        <f>IFERROR(IF(OR($O16="",$F16="",$F16=0,F$62="",F$62=0),"",$O16/($F16*F$62)),"")</f>
        <v>0.044226044226044224</v>
      </c>
      <c r="Y16" s="21">
        <f>IFERROR(IF(OR($P16="",$G16="",$G16=0,G$62="",G$62=0),"",$P16/($G16*G$62)),"")</f>
        <v>0.02155172413793103</v>
      </c>
      <c r="Z16" s="21">
        <f>IFERROR(IF(OR($Q16="",$H16="",$H16=0,H$62="",H$62=0),"",$Q16/($H16*H$62)),"")</f>
        <v>0.041572184429327294</v>
      </c>
      <c r="AA16" s="21">
        <f>IFERROR(IF(OR($R16="",$I16="",$I16=0,I$62="",I$62=0),"",$R16/($I16*I$62)),"")</f>
        <v/>
      </c>
      <c r="AB16" s="21">
        <f>IFERROR(IF(OR($S16="",$J16="",$J16=0,J$62="",J$62=0),"",$S16/($J16*J$62)),"")</f>
        <v/>
      </c>
      <c r="AC16" s="21">
        <f>IFERROR(IF(OR($T16="",$K16="",$K16=0,K$62="",K$62=0),"",$T16/($K16*K$62)),"")</f>
        <v/>
      </c>
      <c r="AD16" s="21">
        <f>IFERROR(IF(OR($U16="",$L16="",$L16=0,L$62="",L$62=0),"",$U16/($L16*L$62)),"")</f>
        <v/>
      </c>
      <c r="AE16" s="20">
        <f>IF(SUMPRODUCT($E16:$L16,$E$62:$L$62)=0,"",SUMPRODUCT($E16:$L16,$E$62:$L$62))</f>
        <v>298.38</v>
      </c>
      <c r="AF16" s="21">
        <f>IFERROR(IF(OR($V16="",$AE16="",$AE16=0),"",$V16/$AE16),"")</f>
        <v>0.03519002614116227</v>
      </c>
      <c r="AG16" s="14" t="n">
        <v>6.9</v>
      </c>
      <c r="AH16" s="14" t="n">
        <v>14.2</v>
      </c>
      <c r="AI16" s="14" t="n">
        <v>6.4</v>
      </c>
      <c r="AJ16" s="9" t="n">
        <v>1</v>
      </c>
      <c r="AK16" s="9" t="n">
        <v>2</v>
      </c>
      <c r="AL16" s="22">
        <f>IFERROR(IF(OR($AJ16="",$D16="",$D16=0,$M$64=""),"",$AJ16/$D16*$M$64),"")</f>
        <v>1.2135922330097086</v>
      </c>
      <c r="AM16" s="9" t="n">
        <v>220</v>
      </c>
      <c r="AN16" s="23">
        <f>IFERROR(IF(OR($AM16="",$D16="",$D16=0),"",$AM16/$D16),"")</f>
        <v>0.2669902912621359</v>
      </c>
      <c r="AO16" s="9" t="n">
        <v>3</v>
      </c>
      <c r="AP16" s="9" t="n">
        <v>10</v>
      </c>
      <c r="AQ16" s="22">
        <f>IFERROR(IF(OR($AO16="",$AP16="",$D16="",$D16=0,$M$64=""),"",($AO16+$AP16)/$D16*$M$64),"")</f>
        <v>15.776699029126213</v>
      </c>
      <c r="AR16" s="19">
        <f>IF(NOT(ISNUMBER($D16)),"",SUMPRODUCT(--(ISNUMBER($W16:$AD16)),--(ISNUMBER($W$63:$AD$63)),--($W16:$AD16&gt;$W$63:$AD$63))+IF(AND(ISNUMBER($AG16),ISNUMBER($AG$63),$AG16&gt;$AG$63),1,0)+IF(AND(ISNUMBER($AH16),ISNUMBER($AH$63),$AH16&gt;$AH$63),1,0)+IF(AND(ISNUMBER($AI16),ISNUMBER($AI$63),$AI16&gt;$AI$63),1,0)+IF(AND(ISNUMBER($AL16),ISNUMBER($AL$63),$AL16&gt;$AL$63),1,0)+IF(AND(ISNUMBER($AN16),ISNUMBER($AN$63),$AN16&gt;$AN$63),1,0)+IF(AND(ISNUMBER($AQ16),ISNUMBER($AQ$63),$AQ16&gt;$AQ$63),1,0))</f>
        <v>2.0</v>
      </c>
      <c r="AS16" t="str">
        <f>IF(NOT(ISNUMBER($AR16)),"",IF($AR16=0,"Semana en objetivo",IF($AR16=1,"1 indicador fuera de objetivo",$AR16&amp;" indicadores fuera de objetivo")))</f>
        <v>2 indicadores fuera de objetivo</v>
      </c>
    </row>
    <row r="17">
      <c r="A17" s="9" t="n">
        <v>13</v>
      </c>
      <c r="B17" s="18" t="n">
        <v>46104</v>
      </c>
      <c r="C17" s="9" t="n">
        <v>3</v>
      </c>
      <c r="D17" s="9" t="n">
        <v>839</v>
      </c>
      <c r="E17" s="9" t="n">
        <v>433</v>
      </c>
      <c r="F17" s="9" t="n">
        <v>362</v>
      </c>
      <c r="G17" s="9" t="n">
        <v>236</v>
      </c>
      <c r="H17" s="9" t="n">
        <v>311</v>
      </c>
      <c r="I17" s="9" t="n"/>
      <c r="J17" s="9" t="n"/>
      <c r="K17" s="9" t="n"/>
      <c r="L17" s="9" t="n"/>
      <c r="M17" s="19">
        <f>IF(COUNT($E17:$L17)=0,"",SUM($E17:$L17))</f>
        <v>1342.0</v>
      </c>
      <c r="N17" s="11" t="n">
        <v>4.6</v>
      </c>
      <c r="O17" s="11" t="n">
        <v>4</v>
      </c>
      <c r="P17" s="11" t="n">
        <v>0.9</v>
      </c>
      <c r="Q17" s="11" t="n">
        <v>1.2</v>
      </c>
      <c r="R17" s="11" t="n"/>
      <c r="S17" s="11" t="n"/>
      <c r="T17" s="11" t="n"/>
      <c r="U17" s="11" t="n"/>
      <c r="V17" s="20">
        <f>IF(COUNT($N17:$U17)=0,"",SUM($N17:$U17))</f>
        <v>10.7</v>
      </c>
      <c r="W17" s="21">
        <f>IFERROR(IF(OR($N17="",$E17="",$E17=0,E$62="",E$62=0),"",$N17/($E17*E$62)),"")</f>
        <v>0.02950987939440595</v>
      </c>
      <c r="X17" s="21">
        <f>IFERROR(IF(OR($O17="",$F17="",$F17=0,F$62="",F$62=0),"",$O17/($F17*F$62)),"")</f>
        <v>0.050226017076845805</v>
      </c>
      <c r="Y17" s="21">
        <f>IFERROR(IF(OR($P17="",$G17="",$G17=0,G$62="",G$62=0),"",$P17/($G17*G$62)),"")</f>
        <v>0.02723970944309927</v>
      </c>
      <c r="Z17" s="21">
        <f>IFERROR(IF(OR($Q17="",$H17="",$H17=0,H$62="",H$62=0),"",$Q17/($H17*H$62)),"")</f>
        <v>0.04287245444801715</v>
      </c>
      <c r="AA17" s="21">
        <f>IFERROR(IF(OR($R17="",$I17="",$I17=0,I$62="",I$62=0),"",$R17/($I17*I$62)),"")</f>
        <v/>
      </c>
      <c r="AB17" s="21">
        <f>IFERROR(IF(OR($S17="",$J17="",$J17=0,J$62="",J$62=0),"",$S17/($J17*J$62)),"")</f>
        <v/>
      </c>
      <c r="AC17" s="21">
        <f>IFERROR(IF(OR($T17="",$K17="",$K17=0,K$62="",K$62=0),"",$T17/($K17*K$62)),"")</f>
        <v/>
      </c>
      <c r="AD17" s="21">
        <f>IFERROR(IF(OR($U17="",$L17="",$L17=0,L$62="",L$62=0),"",$U17/($L17*L$62)),"")</f>
        <v/>
      </c>
      <c r="AE17" s="20">
        <f>IF(SUMPRODUCT($E17:$L17,$E$62:$L$62)=0,"",SUMPRODUCT($E17:$L17,$E$62:$L$62))</f>
        <v>296.54999999999995</v>
      </c>
      <c r="AF17" s="21">
        <f>IFERROR(IF(OR($V17="",$AE17="",$AE17=0),"",$V17/$AE17),"")</f>
        <v>0.0360816051256112</v>
      </c>
      <c r="AG17" s="14" t="n">
        <v>7.6</v>
      </c>
      <c r="AH17" s="14" t="n">
        <v>13.8</v>
      </c>
      <c r="AI17" s="14" t="n">
        <v>5.5</v>
      </c>
      <c r="AJ17" s="9" t="n">
        <v>0</v>
      </c>
      <c r="AK17" s="9" t="n">
        <v>0</v>
      </c>
      <c r="AL17" s="22">
        <f>IFERROR(IF(OR($AJ17="",$D17="",$D17=0,$M$64=""),"",$AJ17/$D17*$M$64),"")</f>
        <v>0.0</v>
      </c>
      <c r="AM17" s="9" t="n">
        <v>220</v>
      </c>
      <c r="AN17" s="23">
        <f>IFERROR(IF(OR($AM17="",$D17="",$D17=0),"",$AM17/$D17),"")</f>
        <v>0.2622169249106079</v>
      </c>
      <c r="AO17" s="9" t="n">
        <v>3</v>
      </c>
      <c r="AP17" s="9" t="n">
        <v>8</v>
      </c>
      <c r="AQ17" s="22">
        <f>IFERROR(IF(OR($AO17="",$AP17="",$D17="",$D17=0,$M$64=""),"",($AO17+$AP17)/$D17*$M$64),"")</f>
        <v>13.110846245530393</v>
      </c>
      <c r="AR17" s="19">
        <f>IF(NOT(ISNUMBER($D17)),"",SUMPRODUCT(--(ISNUMBER($W17:$AD17)),--(ISNUMBER($W$63:$AD$63)),--($W17:$AD17&gt;$W$63:$AD$63))+IF(AND(ISNUMBER($AG17),ISNUMBER($AG$63),$AG17&gt;$AG$63),1,0)+IF(AND(ISNUMBER($AH17),ISNUMBER($AH$63),$AH17&gt;$AH$63),1,0)+IF(AND(ISNUMBER($AI17),ISNUMBER($AI$63),$AI17&gt;$AI$63),1,0)+IF(AND(ISNUMBER($AL17),ISNUMBER($AL$63),$AL17&gt;$AL$63),1,0)+IF(AND(ISNUMBER($AN17),ISNUMBER($AN$63),$AN17&gt;$AN$63),1,0)+IF(AND(ISNUMBER($AQ17),ISNUMBER($AQ$63),$AQ17&gt;$AQ$63),1,0))</f>
        <v>1.0</v>
      </c>
      <c r="AS17" t="str">
        <f>IF(NOT(ISNUMBER($AR17)),"",IF($AR17=0,"Semana en objetivo",IF($AR17=1,"1 indicador fuera de objetivo",$AR17&amp;" indicadores fuera de objetivo")))</f>
        <v>1 indicador fuera de objetivo</v>
      </c>
    </row>
    <row r="18">
      <c r="A18" s="9" t="n">
        <v>14</v>
      </c>
      <c r="B18" s="18" t="n">
        <v>46111</v>
      </c>
      <c r="C18" s="9" t="n">
        <v>4</v>
      </c>
      <c r="D18" s="9" t="n">
        <v>1045</v>
      </c>
      <c r="E18" s="9" t="n">
        <v>527</v>
      </c>
      <c r="F18" s="9" t="n">
        <v>461</v>
      </c>
      <c r="G18" s="9" t="n">
        <v>307</v>
      </c>
      <c r="H18" s="9" t="n">
        <v>393</v>
      </c>
      <c r="I18" s="9" t="n"/>
      <c r="J18" s="9" t="n"/>
      <c r="K18" s="9" t="n"/>
      <c r="L18" s="9" t="n"/>
      <c r="M18" s="19">
        <f>IF(COUNT($E18:$L18)=0,"",SUM($E18:$L18))</f>
        <v>1688.0</v>
      </c>
      <c r="N18" s="11" t="n">
        <v>6.6</v>
      </c>
      <c r="O18" s="11" t="n">
        <v>5.1</v>
      </c>
      <c r="P18" s="11" t="n">
        <v>1</v>
      </c>
      <c r="Q18" s="11" t="n">
        <v>1.3</v>
      </c>
      <c r="R18" s="11" t="n"/>
      <c r="S18" s="11" t="n"/>
      <c r="T18" s="11" t="n"/>
      <c r="U18" s="11" t="n"/>
      <c r="V18" s="20">
        <f>IF(COUNT($N18:$U18)=0,"",SUM($N18:$U18))</f>
        <v>14.0</v>
      </c>
      <c r="W18" s="21">
        <f>IFERROR(IF(OR($N18="",$E18="",$E18=0,E$62="",E$62=0),"",$N18/($E18*E$62)),"")</f>
        <v>0.03478810879190386</v>
      </c>
      <c r="X18" s="21">
        <f>IFERROR(IF(OR($O18="",$F18="",$F18=0,F$62="",F$62=0),"",$O18/($F18*F$62)),"")</f>
        <v>0.050285939656872405</v>
      </c>
      <c r="Y18" s="21">
        <f>IFERROR(IF(OR($P18="",$G18="",$G18=0,G$62="",G$62=0),"",$P18/($G18*G$62)),"")</f>
        <v>0.023266635644485806</v>
      </c>
      <c r="Z18" s="21">
        <f>IFERROR(IF(OR($Q18="",$H18="",$H18=0,H$62="",H$62=0),"",$Q18/($H18*H$62)),"")</f>
        <v>0.03675431156347187</v>
      </c>
      <c r="AA18" s="21">
        <f>IFERROR(IF(OR($R18="",$I18="",$I18=0,I$62="",I$62=0),"",$R18/($I18*I$62)),"")</f>
        <v/>
      </c>
      <c r="AB18" s="21">
        <f>IFERROR(IF(OR($S18="",$J18="",$J18=0,J$62="",J$62=0),"",$S18/($J18*J$62)),"")</f>
        <v/>
      </c>
      <c r="AC18" s="21">
        <f>IFERROR(IF(OR($T18="",$K18="",$K18=0,K$62="",K$62=0),"",$T18/($K18*K$62)),"")</f>
        <v/>
      </c>
      <c r="AD18" s="21">
        <f>IFERROR(IF(OR($U18="",$L18="",$L18=0,L$62="",L$62=0),"",$U18/($L18*L$62)),"")</f>
        <v/>
      </c>
      <c r="AE18" s="20">
        <f>IF(SUMPRODUCT($E18:$L18,$E$62:$L$62)=0,"",SUMPRODUCT($E18:$L18,$E$62:$L$62))</f>
        <v>369.49</v>
      </c>
      <c r="AF18" s="21">
        <f>IFERROR(IF(OR($V18="",$AE18="",$AE18=0),"",$V18/$AE18),"")</f>
        <v>0.03789006468375328</v>
      </c>
      <c r="AG18" s="14" t="n">
        <v>8.9</v>
      </c>
      <c r="AH18" s="14" t="n">
        <v>14.7</v>
      </c>
      <c r="AI18" s="14" t="n">
        <v>5.9</v>
      </c>
      <c r="AJ18" s="9" t="n">
        <v>0</v>
      </c>
      <c r="AK18" s="9" t="n">
        <v>0</v>
      </c>
      <c r="AL18" s="22">
        <f>IFERROR(IF(OR($AJ18="",$D18="",$D18=0,$M$64=""),"",$AJ18/$D18*$M$64),"")</f>
        <v>0.0</v>
      </c>
      <c r="AM18" s="9" t="n">
        <v>242</v>
      </c>
      <c r="AN18" s="23">
        <f>IFERROR(IF(OR($AM18="",$D18="",$D18=0),"",$AM18/$D18),"")</f>
        <v>0.23157894736842105</v>
      </c>
      <c r="AO18" s="9" t="n">
        <v>5</v>
      </c>
      <c r="AP18" s="9" t="n">
        <v>8</v>
      </c>
      <c r="AQ18" s="22">
        <f>IFERROR(IF(OR($AO18="",$AP18="",$D18="",$D18=0,$M$64=""),"",($AO18+$AP18)/$D18*$M$64),"")</f>
        <v>12.440191387559809</v>
      </c>
      <c r="AR18" s="19">
        <f>IF(NOT(ISNUMBER($D18)),"",SUMPRODUCT(--(ISNUMBER($W18:$AD18)),--(ISNUMBER($W$63:$AD$63)),--($W18:$AD18&gt;$W$63:$AD$63))+IF(AND(ISNUMBER($AG18),ISNUMBER($AG$63),$AG18&gt;$AG$63),1,0)+IF(AND(ISNUMBER($AH18),ISNUMBER($AH$63),$AH18&gt;$AH$63),1,0)+IF(AND(ISNUMBER($AI18),ISNUMBER($AI$63),$AI18&gt;$AI$63),1,0)+IF(AND(ISNUMBER($AL18),ISNUMBER($AL$63),$AL18&gt;$AL$63),1,0)+IF(AND(ISNUMBER($AN18),ISNUMBER($AN$63),$AN18&gt;$AN$63),1,0)+IF(AND(ISNUMBER($AQ18),ISNUMBER($AQ$63),$AQ18&gt;$AQ$63),1,0))</f>
        <v>0.0</v>
      </c>
      <c r="AS18" t="str">
        <f>IF(NOT(ISNUMBER($AR18)),"",IF($AR18=0,"Semana en objetivo",IF($AR18=1,"1 indicador fuera de objetivo",$AR18&amp;" indicadores fuera de objetivo")))</f>
        <v>Semana en objetivo</v>
      </c>
    </row>
    <row r="19">
      <c r="A19" s="9" t="n">
        <v>15</v>
      </c>
      <c r="B19" s="18" t="n">
        <v>46118</v>
      </c>
      <c r="C19" s="9" t="n">
        <v>4</v>
      </c>
      <c r="D19" s="9" t="n">
        <v>894</v>
      </c>
      <c r="E19" s="9" t="n">
        <v>468</v>
      </c>
      <c r="F19" s="9" t="n">
        <v>408</v>
      </c>
      <c r="G19" s="9" t="n">
        <v>260</v>
      </c>
      <c r="H19" s="9" t="n">
        <v>322</v>
      </c>
      <c r="I19" s="9" t="n"/>
      <c r="J19" s="9" t="n"/>
      <c r="K19" s="9" t="n"/>
      <c r="L19" s="9" t="n"/>
      <c r="M19" s="19">
        <f>IF(COUNT($E19:$L19)=0,"",SUM($E19:$L19))</f>
        <v>1458.0</v>
      </c>
      <c r="N19" s="11" t="n">
        <v>5.2</v>
      </c>
      <c r="O19" s="11" t="n">
        <v>3.9</v>
      </c>
      <c r="P19" s="11" t="n">
        <v>0.9</v>
      </c>
      <c r="Q19" s="11" t="n">
        <v>1.2</v>
      </c>
      <c r="R19" s="11" t="n"/>
      <c r="S19" s="11" t="n"/>
      <c r="T19" s="11" t="n"/>
      <c r="U19" s="11" t="n"/>
      <c r="V19" s="20">
        <f>IF(COUNT($N19:$U19)=0,"",SUM($N19:$U19))</f>
        <v>11.2</v>
      </c>
      <c r="W19" s="21">
        <f>IFERROR(IF(OR($N19="",$E19="",$E19=0,E$62="",E$62=0),"",$N19/($E19*E$62)),"")</f>
        <v>0.0308641975308642</v>
      </c>
      <c r="X19" s="21">
        <f>IFERROR(IF(OR($O19="",$F19="",$F19=0,F$62="",F$62=0),"",$O19/($F19*F$62)),"")</f>
        <v>0.04344919786096256</v>
      </c>
      <c r="Y19" s="21">
        <f>IFERROR(IF(OR($P19="",$G19="",$G19=0,G$62="",G$62=0),"",$P19/($G19*G$62)),"")</f>
        <v>0.02472527472527472</v>
      </c>
      <c r="Z19" s="21">
        <f>IFERROR(IF(OR($Q19="",$H19="",$H19=0,H$62="",H$62=0),"",$Q19/($H19*H$62)),"")</f>
        <v>0.041407867494824016</v>
      </c>
      <c r="AA19" s="21">
        <f>IFERROR(IF(OR($R19="",$I19="",$I19=0,I$62="",I$62=0),"",$R19/($I19*I$62)),"")</f>
        <v/>
      </c>
      <c r="AB19" s="21">
        <f>IFERROR(IF(OR($S19="",$J19="",$J19=0,J$62="",J$62=0),"",$S19/($J19*J$62)),"")</f>
        <v/>
      </c>
      <c r="AC19" s="21">
        <f>IFERROR(IF(OR($T19="",$K19="",$K19=0,K$62="",K$62=0),"",$T19/($K19*K$62)),"")</f>
        <v/>
      </c>
      <c r="AD19" s="21">
        <f>IFERROR(IF(OR($U19="",$L19="",$L19=0,L$62="",L$62=0),"",$U19/($L19*L$62)),"")</f>
        <v/>
      </c>
      <c r="AE19" s="20">
        <f>IF(SUMPRODUCT($E19:$L19,$E$62:$L$62)=0,"",SUMPRODUCT($E19:$L19,$E$62:$L$62))</f>
        <v>323.62</v>
      </c>
      <c r="AF19" s="21">
        <f>IFERROR(IF(OR($V19="",$AE19="",$AE19=0),"",$V19/$AE19),"")</f>
        <v>0.034608491440578454</v>
      </c>
      <c r="AG19" s="14" t="n">
        <v>9.800000000000001</v>
      </c>
      <c r="AH19" s="14" t="n">
        <v>16.4</v>
      </c>
      <c r="AI19" s="14" t="n">
        <v>7.1</v>
      </c>
      <c r="AJ19" s="9" t="n">
        <v>0</v>
      </c>
      <c r="AK19" s="9" t="n">
        <v>0</v>
      </c>
      <c r="AL19" s="22">
        <f>IFERROR(IF(OR($AJ19="",$D19="",$D19=0,$M$64=""),"",$AJ19/$D19*$M$64),"")</f>
        <v>0.0</v>
      </c>
      <c r="AM19" s="9" t="n">
        <v>224</v>
      </c>
      <c r="AN19" s="23">
        <f>IFERROR(IF(OR($AM19="",$D19="",$D19=0),"",$AM19/$D19),"")</f>
        <v>0.2505592841163311</v>
      </c>
      <c r="AO19" s="9" t="n">
        <v>5</v>
      </c>
      <c r="AP19" s="9" t="n">
        <v>9</v>
      </c>
      <c r="AQ19" s="22">
        <f>IFERROR(IF(OR($AO19="",$AP19="",$D19="",$D19=0,$M$64=""),"",($AO19+$AP19)/$D19*$M$64),"")</f>
        <v>15.659955257270694</v>
      </c>
      <c r="AR19" s="19">
        <f>IF(NOT(ISNUMBER($D19)),"",SUMPRODUCT(--(ISNUMBER($W19:$AD19)),--(ISNUMBER($W$63:$AD$63)),--($W19:$AD19&gt;$W$63:$AD$63))+IF(AND(ISNUMBER($AG19),ISNUMBER($AG$63),$AG19&gt;$AG$63),1,0)+IF(AND(ISNUMBER($AH19),ISNUMBER($AH$63),$AH19&gt;$AH$63),1,0)+IF(AND(ISNUMBER($AI19),ISNUMBER($AI$63),$AI19&gt;$AI$63),1,0)+IF(AND(ISNUMBER($AL19),ISNUMBER($AL$63),$AL19&gt;$AL$63),1,0)+IF(AND(ISNUMBER($AN19),ISNUMBER($AN$63),$AN19&gt;$AN$63),1,0)+IF(AND(ISNUMBER($AQ19),ISNUMBER($AQ$63),$AQ19&gt;$AQ$63),1,0))</f>
        <v>0.0</v>
      </c>
      <c r="AS19" t="str">
        <f>IF(NOT(ISNUMBER($AR19)),"",IF($AR19=0,"Semana en objetivo",IF($AR19=1,"1 indicador fuera de objetivo",$AR19&amp;" indicadores fuera de objetivo")))</f>
        <v>Semana en objetivo</v>
      </c>
    </row>
    <row r="20">
      <c r="A20" s="9" t="n">
        <v>16</v>
      </c>
      <c r="B20" s="18" t="n">
        <v>46125</v>
      </c>
      <c r="C20" s="9" t="n">
        <v>4</v>
      </c>
      <c r="D20" s="9" t="n">
        <v>881</v>
      </c>
      <c r="E20" s="9" t="n">
        <v>468</v>
      </c>
      <c r="F20" s="9" t="n">
        <v>391</v>
      </c>
      <c r="G20" s="9" t="n">
        <v>246</v>
      </c>
      <c r="H20" s="9" t="n">
        <v>316</v>
      </c>
      <c r="I20" s="9" t="n"/>
      <c r="J20" s="9" t="n"/>
      <c r="K20" s="9" t="n"/>
      <c r="L20" s="9" t="n"/>
      <c r="M20" s="19">
        <f>IF(COUNT($E20:$L20)=0,"",SUM($E20:$L20))</f>
        <v>1421.0</v>
      </c>
      <c r="N20" s="11" t="n">
        <v>5.2</v>
      </c>
      <c r="O20" s="11" t="n">
        <v>4.4</v>
      </c>
      <c r="P20" s="11" t="n">
        <v>0.9</v>
      </c>
      <c r="Q20" s="11" t="n">
        <v>1.1</v>
      </c>
      <c r="R20" s="11" t="n"/>
      <c r="S20" s="11" t="n"/>
      <c r="T20" s="11" t="n"/>
      <c r="U20" s="11" t="n"/>
      <c r="V20" s="20">
        <f>IF(COUNT($N20:$U20)=0,"",SUM($N20:$U20))</f>
        <v>11.600000000000001</v>
      </c>
      <c r="W20" s="21">
        <f>IFERROR(IF(OR($N20="",$E20="",$E20=0,E$62="",E$62=0),"",$N20/($E20*E$62)),"")</f>
        <v>0.0308641975308642</v>
      </c>
      <c r="X20" s="21">
        <f>IFERROR(IF(OR($O20="",$F20="",$F20=0,F$62="",F$62=0),"",$O20/($F20*F$62)),"")</f>
        <v>0.05115089514066497</v>
      </c>
      <c r="Y20" s="21">
        <f>IFERROR(IF(OR($P20="",$G20="",$G20=0,G$62="",G$62=0),"",$P20/($G20*G$62)),"")</f>
        <v>0.026132404181184666</v>
      </c>
      <c r="Z20" s="21">
        <f>IFERROR(IF(OR($Q20="",$H20="",$H20=0,H$62="",H$62=0),"",$Q20/($H20*H$62)),"")</f>
        <v>0.03867791842475388</v>
      </c>
      <c r="AA20" s="21">
        <f>IFERROR(IF(OR($R20="",$I20="",$I20=0,I$62="",I$62=0),"",$R20/($I20*I$62)),"")</f>
        <v/>
      </c>
      <c r="AB20" s="21">
        <f>IFERROR(IF(OR($S20="",$J20="",$J20=0,J$62="",J$62=0),"",$S20/($J20*J$62)),"")</f>
        <v/>
      </c>
      <c r="AC20" s="21">
        <f>IFERROR(IF(OR($T20="",$K20="",$K20=0,K$62="",K$62=0),"",$T20/($K20*K$62)),"")</f>
        <v/>
      </c>
      <c r="AD20" s="21">
        <f>IFERROR(IF(OR($U20="",$L20="",$L20=0,L$62="",L$62=0),"",$U20/($L20*L$62)),"")</f>
        <v/>
      </c>
      <c r="AE20" s="20">
        <f>IF(SUMPRODUCT($E20:$L20,$E$62:$L$62)=0,"",SUMPRODUCT($E20:$L20,$E$62:$L$62))</f>
        <v>317.38</v>
      </c>
      <c r="AF20" s="21">
        <f>IFERROR(IF(OR($V20="",$AE20="",$AE20=0),"",$V20/$AE20),"")</f>
        <v>0.03654924695948075</v>
      </c>
      <c r="AG20" s="14" t="n">
        <v>9.699999999999999</v>
      </c>
      <c r="AH20" s="14" t="n">
        <v>18</v>
      </c>
      <c r="AI20" s="14" t="n">
        <v>7.7</v>
      </c>
      <c r="AJ20" s="9" t="n">
        <v>1</v>
      </c>
      <c r="AK20" s="9" t="n">
        <v>1</v>
      </c>
      <c r="AL20" s="22">
        <f>IFERROR(IF(OR($AJ20="",$D20="",$D20=0,$M$64=""),"",$AJ20/$D20*$M$64),"")</f>
        <v>1.1350737797956867</v>
      </c>
      <c r="AM20" s="9" t="n">
        <v>223</v>
      </c>
      <c r="AN20" s="23">
        <f>IFERROR(IF(OR($AM20="",$D20="",$D20=0),"",$AM20/$D20),"")</f>
        <v>0.25312145289443816</v>
      </c>
      <c r="AO20" s="9" t="n">
        <v>5</v>
      </c>
      <c r="AP20" s="9" t="n">
        <v>11</v>
      </c>
      <c r="AQ20" s="22">
        <f>IFERROR(IF(OR($AO20="",$AP20="",$D20="",$D20=0,$M$64=""),"",($AO20+$AP20)/$D20*$M$64),"")</f>
        <v>18.161180476730987</v>
      </c>
      <c r="AR20" s="19">
        <f>IF(NOT(ISNUMBER($D20)),"",SUMPRODUCT(--(ISNUMBER($W20:$AD20)),--(ISNUMBER($W$63:$AD$63)),--($W20:$AD20&gt;$W$63:$AD$63))+IF(AND(ISNUMBER($AG20),ISNUMBER($AG$63),$AG20&gt;$AG$63),1,0)+IF(AND(ISNUMBER($AH20),ISNUMBER($AH$63),$AH20&gt;$AH$63),1,0)+IF(AND(ISNUMBER($AI20),ISNUMBER($AI$63),$AI20&gt;$AI$63),1,0)+IF(AND(ISNUMBER($AL20),ISNUMBER($AL$63),$AL20&gt;$AL$63),1,0)+IF(AND(ISNUMBER($AN20),ISNUMBER($AN$63),$AN20&gt;$AN$63),1,0)+IF(AND(ISNUMBER($AQ20),ISNUMBER($AQ$63),$AQ20&gt;$AQ$63),1,0))</f>
        <v>1.0</v>
      </c>
      <c r="AS20" t="str">
        <f>IF(NOT(ISNUMBER($AR20)),"",IF($AR20=0,"Semana en objetivo",IF($AR20=1,"1 indicador fuera de objetivo",$AR20&amp;" indicadores fuera de objetivo")))</f>
        <v>1 indicador fuera de objetivo</v>
      </c>
    </row>
    <row r="21">
      <c r="A21" s="9" t="n">
        <v>17</v>
      </c>
      <c r="B21" s="18" t="n">
        <v>46132</v>
      </c>
      <c r="C21" s="9" t="n">
        <v>4</v>
      </c>
      <c r="D21" s="9" t="n">
        <v>870</v>
      </c>
      <c r="E21" s="9" t="n">
        <v>443</v>
      </c>
      <c r="F21" s="9" t="n">
        <v>375</v>
      </c>
      <c r="G21" s="9" t="n">
        <v>248</v>
      </c>
      <c r="H21" s="9" t="n">
        <v>326</v>
      </c>
      <c r="I21" s="9" t="n"/>
      <c r="J21" s="9" t="n"/>
      <c r="K21" s="9" t="n"/>
      <c r="L21" s="9" t="n"/>
      <c r="M21" s="19">
        <f>IF(COUNT($E21:$L21)=0,"",SUM($E21:$L21))</f>
        <v>1392.0</v>
      </c>
      <c r="N21" s="11" t="n">
        <v>5.5</v>
      </c>
      <c r="O21" s="11" t="n">
        <v>3.9</v>
      </c>
      <c r="P21" s="11" t="n">
        <v>0.8</v>
      </c>
      <c r="Q21" s="11" t="n">
        <v>1.1</v>
      </c>
      <c r="R21" s="11" t="n"/>
      <c r="S21" s="11" t="n"/>
      <c r="T21" s="11" t="n"/>
      <c r="U21" s="11" t="n"/>
      <c r="V21" s="20">
        <f>IF(COUNT($N21:$U21)=0,"",SUM($N21:$U21))</f>
        <v>11.3</v>
      </c>
      <c r="W21" s="21">
        <f>IFERROR(IF(OR($N21="",$E21="",$E21=0,E$62="",E$62=0),"",$N21/($E21*E$62)),"")</f>
        <v>0.0344870830198144</v>
      </c>
      <c r="X21" s="21">
        <f>IFERROR(IF(OR($O21="",$F21="",$F21=0,F$62="",F$62=0),"",$O21/($F21*F$62)),"")</f>
        <v>0.04727272727272727</v>
      </c>
      <c r="Y21" s="21">
        <f>IFERROR(IF(OR($P21="",$G21="",$G21=0,G$62="",G$62=0),"",$P21/($G21*G$62)),"")</f>
        <v>0.023041474654377878</v>
      </c>
      <c r="Z21" s="21">
        <f>IFERROR(IF(OR($Q21="",$H21="",$H21=0,H$62="",H$62=0),"",$Q21/($H21*H$62)),"")</f>
        <v>0.03749147920927062</v>
      </c>
      <c r="AA21" s="21">
        <f>IFERROR(IF(OR($R21="",$I21="",$I21=0,I$62="",I$62=0),"",$R21/($I21*I$62)),"")</f>
        <v/>
      </c>
      <c r="AB21" s="21">
        <f>IFERROR(IF(OR($S21="",$J21="",$J21=0,J$62="",J$62=0),"",$S21/($J21*J$62)),"")</f>
        <v/>
      </c>
      <c r="AC21" s="21">
        <f>IFERROR(IF(OR($T21="",$K21="",$K21=0,K$62="",K$62=0),"",$T21/($K21*K$62)),"")</f>
        <v/>
      </c>
      <c r="AD21" s="21">
        <f>IFERROR(IF(OR($U21="",$L21="",$L21=0,L$62="",L$62=0),"",$U21/($L21*L$62)),"")</f>
        <v/>
      </c>
      <c r="AE21" s="20">
        <f>IF(SUMPRODUCT($E21:$L21,$E$62:$L$62)=0,"",SUMPRODUCT($E21:$L21,$E$62:$L$62))</f>
        <v>306.03999999999996</v>
      </c>
      <c r="AF21" s="21">
        <f>IFERROR(IF(OR($V21="",$AE21="",$AE21=0),"",$V21/$AE21),"")</f>
        <v>0.03692327800287545</v>
      </c>
      <c r="AG21" s="14" t="n">
        <v>8.6</v>
      </c>
      <c r="AH21" s="14" t="n">
        <v>18.6</v>
      </c>
      <c r="AI21" s="14" t="n">
        <v>7</v>
      </c>
      <c r="AJ21" s="9" t="n">
        <v>0</v>
      </c>
      <c r="AK21" s="9" t="n">
        <v>0</v>
      </c>
      <c r="AL21" s="22">
        <f>IFERROR(IF(OR($AJ21="",$D21="",$D21=0,$M$64=""),"",$AJ21/$D21*$M$64),"")</f>
        <v>0.0</v>
      </c>
      <c r="AM21" s="9" t="n">
        <v>223</v>
      </c>
      <c r="AN21" s="23">
        <f>IFERROR(IF(OR($AM21="",$D21="",$D21=0),"",$AM21/$D21),"")</f>
        <v>0.25632183908045975</v>
      </c>
      <c r="AO21" s="9" t="n">
        <v>3</v>
      </c>
      <c r="AP21" s="9" t="n">
        <v>11</v>
      </c>
      <c r="AQ21" s="22">
        <f>IFERROR(IF(OR($AO21="",$AP21="",$D21="",$D21=0,$M$64=""),"",($AO21+$AP21)/$D21*$M$64),"")</f>
        <v>16.091954022988507</v>
      </c>
      <c r="AR21" s="19">
        <f>IF(NOT(ISNUMBER($D21)),"",SUMPRODUCT(--(ISNUMBER($W21:$AD21)),--(ISNUMBER($W$63:$AD$63)),--($W21:$AD21&gt;$W$63:$AD$63))+IF(AND(ISNUMBER($AG21),ISNUMBER($AG$63),$AG21&gt;$AG$63),1,0)+IF(AND(ISNUMBER($AH21),ISNUMBER($AH$63),$AH21&gt;$AH$63),1,0)+IF(AND(ISNUMBER($AI21),ISNUMBER($AI$63),$AI21&gt;$AI$63),1,0)+IF(AND(ISNUMBER($AL21),ISNUMBER($AL$63),$AL21&gt;$AL$63),1,0)+IF(AND(ISNUMBER($AN21),ISNUMBER($AN$63),$AN21&gt;$AN$63),1,0)+IF(AND(ISNUMBER($AQ21),ISNUMBER($AQ$63),$AQ21&gt;$AQ$63),1,0))</f>
        <v>1.0</v>
      </c>
      <c r="AS21" t="str">
        <f>IF(NOT(ISNUMBER($AR21)),"",IF($AR21=0,"Semana en objetivo",IF($AR21=1,"1 indicador fuera de objetivo",$AR21&amp;" indicadores fuera de objetivo")))</f>
        <v>1 indicador fuera de objetivo</v>
      </c>
    </row>
    <row r="22">
      <c r="A22" s="9" t="n">
        <v>18</v>
      </c>
      <c r="B22" s="18" t="n">
        <v>46139</v>
      </c>
      <c r="C22" s="9" t="n">
        <v>4</v>
      </c>
      <c r="D22" s="9" t="n">
        <v>864</v>
      </c>
      <c r="E22" s="9" t="n">
        <v>438</v>
      </c>
      <c r="F22" s="9" t="n">
        <v>386</v>
      </c>
      <c r="G22" s="9" t="n">
        <v>255</v>
      </c>
      <c r="H22" s="9" t="n">
        <v>321</v>
      </c>
      <c r="I22" s="9" t="n"/>
      <c r="J22" s="9" t="n"/>
      <c r="K22" s="9" t="n"/>
      <c r="L22" s="9" t="n"/>
      <c r="M22" s="19">
        <f>IF(COUNT($E22:$L22)=0,"",SUM($E22:$L22))</f>
        <v>1400.0</v>
      </c>
      <c r="N22" s="11" t="n">
        <v>4.6</v>
      </c>
      <c r="O22" s="11" t="n">
        <v>3.8</v>
      </c>
      <c r="P22" s="11" t="n">
        <v>0.9</v>
      </c>
      <c r="Q22" s="11" t="n">
        <v>1.3</v>
      </c>
      <c r="R22" s="11" t="n"/>
      <c r="S22" s="11" t="n"/>
      <c r="T22" s="11" t="n"/>
      <c r="U22" s="11" t="n"/>
      <c r="V22" s="20">
        <f>IF(COUNT($N22:$U22)=0,"",SUM($N22:$U22))</f>
        <v>10.6</v>
      </c>
      <c r="W22" s="21">
        <f>IFERROR(IF(OR($N22="",$E22="",$E22=0,E$62="",E$62=0),"",$N22/($E22*E$62)),"")</f>
        <v>0.029173008625063414</v>
      </c>
      <c r="X22" s="21">
        <f>IFERROR(IF(OR($O22="",$F22="",$F22=0,F$62="",F$62=0),"",$O22/($F22*F$62)),"")</f>
        <v>0.04474799811587376</v>
      </c>
      <c r="Y22" s="21">
        <f>IFERROR(IF(OR($P22="",$G22="",$G22=0,G$62="",G$62=0),"",$P22/($G22*G$62)),"")</f>
        <v>0.025210084033613443</v>
      </c>
      <c r="Z22" s="21">
        <f>IFERROR(IF(OR($Q22="",$H22="",$H22=0,H$62="",H$62=0),"",$Q22/($H22*H$62)),"")</f>
        <v>0.04499826929733472</v>
      </c>
      <c r="AA22" s="21">
        <f>IFERROR(IF(OR($R22="",$I22="",$I22=0,I$62="",I$62=0),"",$R22/($I22*I$62)),"")</f>
        <v/>
      </c>
      <c r="AB22" s="21">
        <f>IFERROR(IF(OR($S22="",$J22="",$J22=0,J$62="",J$62=0),"",$S22/($J22*J$62)),"")</f>
        <v/>
      </c>
      <c r="AC22" s="21">
        <f>IFERROR(IF(OR($T22="",$K22="",$K22=0,K$62="",K$62=0),"",$T22/($K22*K$62)),"")</f>
        <v/>
      </c>
      <c r="AD22" s="21">
        <f>IFERROR(IF(OR($U22="",$L22="",$L22=0,L$62="",L$62=0),"",$U22/($L22*L$62)),"")</f>
        <v/>
      </c>
      <c r="AE22" s="20">
        <f>IF(SUMPRODUCT($E22:$L22,$E$62:$L$62)=0,"",SUMPRODUCT($E22:$L22,$E$62:$L$62))</f>
        <v>307.19000000000005</v>
      </c>
      <c r="AF22" s="21">
        <f>IFERROR(IF(OR($V22="",$AE22="",$AE22=0),"",$V22/$AE22),"")</f>
        <v>0.03450633158631465</v>
      </c>
      <c r="AG22" s="14" t="n">
        <v>7.3</v>
      </c>
      <c r="AH22" s="14" t="n">
        <v>17.9</v>
      </c>
      <c r="AI22" s="14" t="n">
        <v>5.8</v>
      </c>
      <c r="AJ22" s="9" t="n">
        <v>0</v>
      </c>
      <c r="AK22" s="9" t="n">
        <v>0</v>
      </c>
      <c r="AL22" s="22">
        <f>IFERROR(IF(OR($AJ22="",$D22="",$D22=0,$M$64=""),"",$AJ22/$D22*$M$64),"")</f>
        <v>0.0</v>
      </c>
      <c r="AM22" s="9" t="n">
        <v>224</v>
      </c>
      <c r="AN22" s="23">
        <f>IFERROR(IF(OR($AM22="",$D22="",$D22=0),"",$AM22/$D22),"")</f>
        <v>0.25925925925925924</v>
      </c>
      <c r="AO22" s="9" t="n">
        <v>3</v>
      </c>
      <c r="AP22" s="9" t="n">
        <v>10</v>
      </c>
      <c r="AQ22" s="22">
        <f>IFERROR(IF(OR($AO22="",$AP22="",$D22="",$D22=0,$M$64=""),"",($AO22+$AP22)/$D22*$M$64),"")</f>
        <v>15.046296296296296</v>
      </c>
      <c r="AR22" s="19">
        <f>IF(NOT(ISNUMBER($D22)),"",SUMPRODUCT(--(ISNUMBER($W22:$AD22)),--(ISNUMBER($W$63:$AD$63)),--($W22:$AD22&gt;$W$63:$AD$63))+IF(AND(ISNUMBER($AG22),ISNUMBER($AG$63),$AG22&gt;$AG$63),1,0)+IF(AND(ISNUMBER($AH22),ISNUMBER($AH$63),$AH22&gt;$AH$63),1,0)+IF(AND(ISNUMBER($AI22),ISNUMBER($AI$63),$AI22&gt;$AI$63),1,0)+IF(AND(ISNUMBER($AL22),ISNUMBER($AL$63),$AL22&gt;$AL$63),1,0)+IF(AND(ISNUMBER($AN22),ISNUMBER($AN$63),$AN22&gt;$AN$63),1,0)+IF(AND(ISNUMBER($AQ22),ISNUMBER($AQ$63),$AQ22&gt;$AQ$63),1,0))</f>
        <v>0.0</v>
      </c>
      <c r="AS22" t="str">
        <f>IF(NOT(ISNUMBER($AR22)),"",IF($AR22=0,"Semana en objetivo",IF($AR22=1,"1 indicador fuera de objetivo",$AR22&amp;" indicadores fuera de objetivo")))</f>
        <v>Semana en objetivo</v>
      </c>
    </row>
    <row r="23">
      <c r="A23" s="9" t="n">
        <v>19</v>
      </c>
      <c r="B23" s="18" t="n">
        <v>46146</v>
      </c>
      <c r="C23" s="9" t="n">
        <v>5</v>
      </c>
      <c r="D23" s="9" t="n">
        <v>902</v>
      </c>
      <c r="E23" s="9" t="n">
        <v>477</v>
      </c>
      <c r="F23" s="9" t="n">
        <v>410</v>
      </c>
      <c r="G23" s="9" t="n">
        <v>259</v>
      </c>
      <c r="H23" s="9" t="n">
        <v>322</v>
      </c>
      <c r="I23" s="9" t="n"/>
      <c r="J23" s="9" t="n"/>
      <c r="K23" s="9" t="n"/>
      <c r="L23" s="9" t="n"/>
      <c r="M23" s="19">
        <f>IF(COUNT($E23:$L23)=0,"",SUM($E23:$L23))</f>
        <v>1468.0</v>
      </c>
      <c r="N23" s="11" t="n">
        <v>5.6</v>
      </c>
      <c r="O23" s="11" t="n">
        <v>4.7</v>
      </c>
      <c r="P23" s="11" t="n">
        <v>0.9</v>
      </c>
      <c r="Q23" s="11" t="n">
        <v>1.1</v>
      </c>
      <c r="R23" s="11" t="n"/>
      <c r="S23" s="11" t="n"/>
      <c r="T23" s="11" t="n"/>
      <c r="U23" s="11" t="n"/>
      <c r="V23" s="20">
        <f>IF(COUNT($N23:$U23)=0,"",SUM($N23:$U23))</f>
        <v>12.3</v>
      </c>
      <c r="W23" s="21">
        <f>IFERROR(IF(OR($N23="",$E23="",$E23=0,E$62="",E$62=0),"",$N23/($E23*E$62)),"")</f>
        <v>0.032611227579781035</v>
      </c>
      <c r="X23" s="21">
        <f>IFERROR(IF(OR($O23="",$F23="",$F23=0,F$62="",F$62=0),"",$O23/($F23*F$62)),"")</f>
        <v>0.052106430155210645</v>
      </c>
      <c r="Y23" s="21">
        <f>IFERROR(IF(OR($P23="",$G23="",$G23=0,G$62="",G$62=0),"",$P23/($G23*G$62)),"")</f>
        <v>0.02482073910645339</v>
      </c>
      <c r="Z23" s="21">
        <f>IFERROR(IF(OR($Q23="",$H23="",$H23=0,H$62="",H$62=0),"",$Q23/($H23*H$62)),"")</f>
        <v>0.03795721187025535</v>
      </c>
      <c r="AA23" s="21">
        <f>IFERROR(IF(OR($R23="",$I23="",$I23=0,I$62="",I$62=0),"",$R23/($I23*I$62)),"")</f>
        <v/>
      </c>
      <c r="AB23" s="21">
        <f>IFERROR(IF(OR($S23="",$J23="",$J23=0,J$62="",J$62=0),"",$S23/($J23*J$62)),"")</f>
        <v/>
      </c>
      <c r="AC23" s="21">
        <f>IFERROR(IF(OR($T23="",$K23="",$K23=0,K$62="",K$62=0),"",$T23/($K23*K$62)),"")</f>
        <v/>
      </c>
      <c r="AD23" s="21">
        <f>IFERROR(IF(OR($U23="",$L23="",$L23=0,L$62="",L$62=0),"",$U23/($L23*L$62)),"")</f>
        <v/>
      </c>
      <c r="AE23" s="20">
        <f>IF(SUMPRODUCT($E23:$L23,$E$62:$L$62)=0,"",SUMPRODUCT($E23:$L23,$E$62:$L$62))</f>
        <v>327.16</v>
      </c>
      <c r="AF23" s="21">
        <f>IFERROR(IF(OR($V23="",$AE23="",$AE23=0),"",$V23/$AE23),"")</f>
        <v>0.037596283164201</v>
      </c>
      <c r="AG23" s="14" t="n">
        <v>6.9</v>
      </c>
      <c r="AH23" s="14" t="n">
        <v>16.3</v>
      </c>
      <c r="AI23" s="14" t="n">
        <v>5.6</v>
      </c>
      <c r="AJ23" s="9" t="n">
        <v>0</v>
      </c>
      <c r="AK23" s="9" t="n">
        <v>0</v>
      </c>
      <c r="AL23" s="22">
        <f>IFERROR(IF(OR($AJ23="",$D23="",$D23=0,$M$64=""),"",$AJ23/$D23*$M$64),"")</f>
        <v>0.0</v>
      </c>
      <c r="AM23" s="9" t="n">
        <v>231</v>
      </c>
      <c r="AN23" s="23">
        <f>IFERROR(IF(OR($AM23="",$D23="",$D23=0),"",$AM23/$D23),"")</f>
        <v>0.25609756097560976</v>
      </c>
      <c r="AO23" s="9" t="n">
        <v>4</v>
      </c>
      <c r="AP23" s="9" t="n">
        <v>8</v>
      </c>
      <c r="AQ23" s="22">
        <f>IFERROR(IF(OR($AO23="",$AP23="",$D23="",$D23=0,$M$64=""),"",($AO23+$AP23)/$D23*$M$64),"")</f>
        <v>13.303769401330378</v>
      </c>
      <c r="AR23" s="19">
        <f>IF(NOT(ISNUMBER($D23)),"",SUMPRODUCT(--(ISNUMBER($W23:$AD23)),--(ISNUMBER($W$63:$AD$63)),--($W23:$AD23&gt;$W$63:$AD$63))+IF(AND(ISNUMBER($AG23),ISNUMBER($AG$63),$AG23&gt;$AG$63),1,0)+IF(AND(ISNUMBER($AH23),ISNUMBER($AH$63),$AH23&gt;$AH$63),1,0)+IF(AND(ISNUMBER($AI23),ISNUMBER($AI$63),$AI23&gt;$AI$63),1,0)+IF(AND(ISNUMBER($AL23),ISNUMBER($AL$63),$AL23&gt;$AL$63),1,0)+IF(AND(ISNUMBER($AN23),ISNUMBER($AN$63),$AN23&gt;$AN$63),1,0)+IF(AND(ISNUMBER($AQ23),ISNUMBER($AQ$63),$AQ23&gt;$AQ$63),1,0))</f>
        <v>0.0</v>
      </c>
      <c r="AS23" t="str">
        <f>IF(NOT(ISNUMBER($AR23)),"",IF($AR23=0,"Semana en objetivo",IF($AR23=1,"1 indicador fuera de objetivo",$AR23&amp;" indicadores fuera de objetivo")))</f>
        <v>Semana en objetivo</v>
      </c>
    </row>
    <row r="24">
      <c r="A24" s="9" t="n">
        <v>20</v>
      </c>
      <c r="B24" s="18" t="n">
        <v>46153</v>
      </c>
      <c r="C24" s="9" t="n">
        <v>5</v>
      </c>
      <c r="D24" s="9" t="n">
        <v>899</v>
      </c>
      <c r="E24" s="9" t="n">
        <v>473</v>
      </c>
      <c r="F24" s="9" t="n">
        <v>393</v>
      </c>
      <c r="G24" s="9" t="n">
        <v>251</v>
      </c>
      <c r="H24" s="9" t="n">
        <v>327</v>
      </c>
      <c r="I24" s="9" t="n"/>
      <c r="J24" s="9" t="n"/>
      <c r="K24" s="9" t="n"/>
      <c r="L24" s="9" t="n"/>
      <c r="M24" s="19">
        <f>IF(COUNT($E24:$L24)=0,"",SUM($E24:$L24))</f>
        <v>1444.0</v>
      </c>
      <c r="N24" s="11" t="n">
        <v>5.7</v>
      </c>
      <c r="O24" s="11" t="n">
        <v>3.9</v>
      </c>
      <c r="P24" s="11" t="n">
        <v>0.8</v>
      </c>
      <c r="Q24" s="11" t="n">
        <v>1.2</v>
      </c>
      <c r="R24" s="11" t="n"/>
      <c r="S24" s="11" t="n"/>
      <c r="T24" s="11" t="n"/>
      <c r="U24" s="11" t="n"/>
      <c r="V24" s="20">
        <f>IF(COUNT($N24:$U24)=0,"",SUM($N24:$U24))</f>
        <v>11.6</v>
      </c>
      <c r="W24" s="21">
        <f>IFERROR(IF(OR($N24="",$E24="",$E24=0,E$62="",E$62=0),"",$N24/($E24*E$62)),"")</f>
        <v>0.033474277660324174</v>
      </c>
      <c r="X24" s="21">
        <f>IFERROR(IF(OR($O24="",$F24="",$F24=0,F$62="",F$62=0),"",$O24/($F24*F$62)),"")</f>
        <v>0.04510756419153366</v>
      </c>
      <c r="Y24" s="21">
        <f>IFERROR(IF(OR($P24="",$G24="",$G24=0,G$62="",G$62=0),"",$P24/($G24*G$62)),"")</f>
        <v>0.022766078542970976</v>
      </c>
      <c r="Z24" s="21">
        <f>IFERROR(IF(OR($Q24="",$H24="",$H24=0,H$62="",H$62=0),"",$Q24/($H24*H$62)),"")</f>
        <v>0.040774719673802244</v>
      </c>
      <c r="AA24" s="21">
        <f>IFERROR(IF(OR($R24="",$I24="",$I24=0,I$62="",I$62=0),"",$R24/($I24*I$62)),"")</f>
        <v/>
      </c>
      <c r="AB24" s="21">
        <f>IFERROR(IF(OR($S24="",$J24="",$J24=0,J$62="",J$62=0),"",$S24/($J24*J$62)),"")</f>
        <v/>
      </c>
      <c r="AC24" s="21">
        <f>IFERROR(IF(OR($T24="",$K24="",$K24=0,K$62="",K$62=0),"",$T24/($K24*K$62)),"")</f>
        <v/>
      </c>
      <c r="AD24" s="21">
        <f>IFERROR(IF(OR($U24="",$L24="",$L24=0,L$62="",L$62=0),"",$U24/($L24*L$62)),"")</f>
        <v/>
      </c>
      <c r="AE24" s="20">
        <f>IF(SUMPRODUCT($E24:$L24,$E$62:$L$62)=0,"",SUMPRODUCT($E24:$L24,$E$62:$L$62))</f>
        <v>321.31</v>
      </c>
      <c r="AF24" s="21">
        <f>IFERROR(IF(OR($V24="",$AE24="",$AE24=0),"",$V24/$AE24),"")</f>
        <v>0.03610220659176496</v>
      </c>
      <c r="AG24" s="14" t="n">
        <v>7.6</v>
      </c>
      <c r="AH24" s="14" t="n">
        <v>14.7</v>
      </c>
      <c r="AI24" s="14" t="n">
        <v>6.6</v>
      </c>
      <c r="AJ24" s="9" t="n">
        <v>0</v>
      </c>
      <c r="AK24" s="9" t="n">
        <v>0</v>
      </c>
      <c r="AL24" s="22">
        <f>IFERROR(IF(OR($AJ24="",$D24="",$D24=0,$M$64=""),"",$AJ24/$D24*$M$64),"")</f>
        <v>0.0</v>
      </c>
      <c r="AM24" s="9" t="n">
        <v>232</v>
      </c>
      <c r="AN24" s="23">
        <f>IFERROR(IF(OR($AM24="",$D24="",$D24=0),"",$AM24/$D24),"")</f>
        <v>0.25806451612903225</v>
      </c>
      <c r="AO24" s="9" t="n">
        <v>5</v>
      </c>
      <c r="AP24" s="9" t="n">
        <v>7</v>
      </c>
      <c r="AQ24" s="22">
        <f>IFERROR(IF(OR($AO24="",$AP24="",$D24="",$D24=0,$M$64=""),"",($AO24+$AP24)/$D24*$M$64),"")</f>
        <v>13.348164627363738</v>
      </c>
      <c r="AR24" s="19">
        <f>IF(NOT(ISNUMBER($D24)),"",SUMPRODUCT(--(ISNUMBER($W24:$AD24)),--(ISNUMBER($W$63:$AD$63)),--($W24:$AD24&gt;$W$63:$AD$63))+IF(AND(ISNUMBER($AG24),ISNUMBER($AG$63),$AG24&gt;$AG$63),1,0)+IF(AND(ISNUMBER($AH24),ISNUMBER($AH$63),$AH24&gt;$AH$63),1,0)+IF(AND(ISNUMBER($AI24),ISNUMBER($AI$63),$AI24&gt;$AI$63),1,0)+IF(AND(ISNUMBER($AL24),ISNUMBER($AL$63),$AL24&gt;$AL$63),1,0)+IF(AND(ISNUMBER($AN24),ISNUMBER($AN$63),$AN24&gt;$AN$63),1,0)+IF(AND(ISNUMBER($AQ24),ISNUMBER($AQ$63),$AQ24&gt;$AQ$63),1,0))</f>
        <v>0.0</v>
      </c>
      <c r="AS24" t="str">
        <f>IF(NOT(ISNUMBER($AR24)),"",IF($AR24=0,"Semana en objetivo",IF($AR24=1,"1 indicador fuera de objetivo",$AR24&amp;" indicadores fuera de objetivo")))</f>
        <v>Semana en objetivo</v>
      </c>
    </row>
    <row r="25">
      <c r="A25" s="9" t="n">
        <v>21</v>
      </c>
      <c r="B25" s="18" t="n">
        <v>46160</v>
      </c>
      <c r="C25" s="9" t="n">
        <v>5</v>
      </c>
      <c r="D25" s="9" t="n">
        <v>894</v>
      </c>
      <c r="E25" s="9" t="n">
        <v>451</v>
      </c>
      <c r="F25" s="9" t="n">
        <v>388</v>
      </c>
      <c r="G25" s="9" t="n">
        <v>259</v>
      </c>
      <c r="H25" s="9" t="n">
        <v>337</v>
      </c>
      <c r="I25" s="9" t="n"/>
      <c r="J25" s="9" t="n"/>
      <c r="K25" s="9" t="n"/>
      <c r="L25" s="9" t="n"/>
      <c r="M25" s="19">
        <f>IF(COUNT($E25:$L25)=0,"",SUM($E25:$L25))</f>
        <v>1435.0</v>
      </c>
      <c r="N25" s="11" t="n">
        <v>4.7</v>
      </c>
      <c r="O25" s="11" t="n">
        <v>4.1</v>
      </c>
      <c r="P25" s="11" t="n">
        <v>0.9</v>
      </c>
      <c r="Q25" s="11" t="n">
        <v>1.3</v>
      </c>
      <c r="R25" s="11" t="n"/>
      <c r="S25" s="11" t="n"/>
      <c r="T25" s="11" t="n"/>
      <c r="U25" s="11" t="n"/>
      <c r="V25" s="20">
        <f>IF(COUNT($N25:$U25)=0,"",SUM($N25:$U25))</f>
        <v>11.000000000000002</v>
      </c>
      <c r="W25" s="21">
        <f>IFERROR(IF(OR($N25="",$E25="",$E25=0,E$62="",E$62=0),"",$N25/($E25*E$62)),"")</f>
        <v>0.028948016752894806</v>
      </c>
      <c r="X25" s="21">
        <f>IFERROR(IF(OR($O25="",$F25="",$F25=0,F$62="",F$62=0),"",$O25/($F25*F$62)),"")</f>
        <v>0.04803186504217432</v>
      </c>
      <c r="Y25" s="21">
        <f>IFERROR(IF(OR($P25="",$G25="",$G25=0,G$62="",G$62=0),"",$P25/($G25*G$62)),"")</f>
        <v>0.02482073910645339</v>
      </c>
      <c r="Z25" s="21">
        <f>IFERROR(IF(OR($Q25="",$H25="",$H25=0,H$62="",H$62=0),"",$Q25/($H25*H$62)),"")</f>
        <v>0.042861852950873726</v>
      </c>
      <c r="AA25" s="21">
        <f>IFERROR(IF(OR($R25="",$I25="",$I25=0,I$62="",I$62=0),"",$R25/($I25*I$62)),"")</f>
        <v/>
      </c>
      <c r="AB25" s="21">
        <f>IFERROR(IF(OR($S25="",$J25="",$J25=0,J$62="",J$62=0),"",$S25/($J25*J$62)),"")</f>
        <v/>
      </c>
      <c r="AC25" s="21">
        <f>IFERROR(IF(OR($T25="",$K25="",$K25=0,K$62="",K$62=0),"",$T25/($K25*K$62)),"")</f>
        <v/>
      </c>
      <c r="AD25" s="21">
        <f>IFERROR(IF(OR($U25="",$L25="",$L25=0,L$62="",L$62=0),"",$U25/($L25*L$62)),"")</f>
        <v/>
      </c>
      <c r="AE25" s="20">
        <f>IF(SUMPRODUCT($E25:$L25,$E$62:$L$62)=0,"",SUMPRODUCT($E25:$L25,$E$62:$L$62))</f>
        <v>314.30999999999995</v>
      </c>
      <c r="AF25" s="21">
        <f>IFERROR(IF(OR($V25="",$AE25="",$AE25=0),"",$V25/$AE25),"")</f>
        <v>0.03499729566351692</v>
      </c>
      <c r="AG25" s="14" t="n">
        <v>8.9</v>
      </c>
      <c r="AH25" s="14" t="n">
        <v>13.8</v>
      </c>
      <c r="AI25" s="14" t="n">
        <v>7.6</v>
      </c>
      <c r="AJ25" s="9" t="n">
        <v>1</v>
      </c>
      <c r="AK25" s="9" t="n">
        <v>2</v>
      </c>
      <c r="AL25" s="22">
        <f>IFERROR(IF(OR($AJ25="",$D25="",$D25=0,$M$64=""),"",$AJ25/$D25*$M$64),"")</f>
        <v>1.1185682326621924</v>
      </c>
      <c r="AM25" s="9" t="n">
        <v>232</v>
      </c>
      <c r="AN25" s="23">
        <f>IFERROR(IF(OR($AM25="",$D25="",$D25=0),"",$AM25/$D25),"")</f>
        <v>0.2595078299776286</v>
      </c>
      <c r="AO25" s="9" t="n">
        <v>4</v>
      </c>
      <c r="AP25" s="9" t="n">
        <v>9</v>
      </c>
      <c r="AQ25" s="22">
        <f>IFERROR(IF(OR($AO25="",$AP25="",$D25="",$D25=0,$M$64=""),"",($AO25+$AP25)/$D25*$M$64),"")</f>
        <v>14.5413870246085</v>
      </c>
      <c r="AR25" s="19">
        <f>IF(NOT(ISNUMBER($D25)),"",SUMPRODUCT(--(ISNUMBER($W25:$AD25)),--(ISNUMBER($W$63:$AD$63)),--($W25:$AD25&gt;$W$63:$AD$63))+IF(AND(ISNUMBER($AG25),ISNUMBER($AG$63),$AG25&gt;$AG$63),1,0)+IF(AND(ISNUMBER($AH25),ISNUMBER($AH$63),$AH25&gt;$AH$63),1,0)+IF(AND(ISNUMBER($AI25),ISNUMBER($AI$63),$AI25&gt;$AI$63),1,0)+IF(AND(ISNUMBER($AL25),ISNUMBER($AL$63),$AL25&gt;$AL$63),1,0)+IF(AND(ISNUMBER($AN25),ISNUMBER($AN$63),$AN25&gt;$AN$63),1,0)+IF(AND(ISNUMBER($AQ25),ISNUMBER($AQ$63),$AQ25&gt;$AQ$63),1,0))</f>
        <v>1.0</v>
      </c>
      <c r="AS25" t="str">
        <f>IF(NOT(ISNUMBER($AR25)),"",IF($AR25=0,"Semana en objetivo",IF($AR25=1,"1 indicador fuera de objetivo",$AR25&amp;" indicadores fuera de objetivo")))</f>
        <v>1 indicador fuera de objetivo</v>
      </c>
    </row>
    <row r="26">
      <c r="A26" s="9" t="n">
        <v>22</v>
      </c>
      <c r="B26" s="18" t="n">
        <v>46167</v>
      </c>
      <c r="C26" s="9" t="n">
        <v>5</v>
      </c>
      <c r="D26" s="9" t="n">
        <v>906</v>
      </c>
      <c r="E26" s="9" t="n">
        <v>465</v>
      </c>
      <c r="F26" s="9" t="n">
        <v>410</v>
      </c>
      <c r="G26" s="9" t="n">
        <v>267</v>
      </c>
      <c r="H26" s="9" t="n">
        <v>333</v>
      </c>
      <c r="I26" s="9" t="n"/>
      <c r="J26" s="9" t="n"/>
      <c r="K26" s="9" t="n"/>
      <c r="L26" s="9" t="n"/>
      <c r="M26" s="19">
        <f>IF(COUNT($E26:$L26)=0,"",SUM($E26:$L26))</f>
        <v>1475.0</v>
      </c>
      <c r="N26" s="11" t="n">
        <v>5.7</v>
      </c>
      <c r="O26" s="11" t="n">
        <v>4.6</v>
      </c>
      <c r="P26" s="11" t="n">
        <v>0.9</v>
      </c>
      <c r="Q26" s="11" t="n">
        <v>1.1</v>
      </c>
      <c r="R26" s="11" t="n"/>
      <c r="S26" s="11" t="n"/>
      <c r="T26" s="11" t="n"/>
      <c r="U26" s="11" t="n"/>
      <c r="V26" s="20">
        <f>IF(COUNT($N26:$U26)=0,"",SUM($N26:$U26))</f>
        <v>12.3</v>
      </c>
      <c r="W26" s="21">
        <f>IFERROR(IF(OR($N26="",$E26="",$E26=0,E$62="",E$62=0),"",$N26/($E26*E$62)),"")</f>
        <v>0.034050179211469536</v>
      </c>
      <c r="X26" s="21">
        <f>IFERROR(IF(OR($O26="",$F26="",$F26=0,F$62="",F$62=0),"",$O26/($F26*F$62)),"")</f>
        <v>0.050997782705099776</v>
      </c>
      <c r="Y26" s="21">
        <f>IFERROR(IF(OR($P26="",$G26="",$G26=0,G$62="",G$62=0),"",$P26/($G26*G$62)),"")</f>
        <v>0.02407704654895666</v>
      </c>
      <c r="Z26" s="21">
        <f>IFERROR(IF(OR($Q26="",$H26="",$H26=0,H$62="",H$62=0),"",$Q26/($H26*H$62)),"")</f>
        <v>0.036703370036703376</v>
      </c>
      <c r="AA26" s="21">
        <f>IFERROR(IF(OR($R26="",$I26="",$I26=0,I$62="",I$62=0),"",$R26/($I26*I$62)),"")</f>
        <v/>
      </c>
      <c r="AB26" s="21">
        <f>IFERROR(IF(OR($S26="",$J26="",$J26=0,J$62="",J$62=0),"",$S26/($J26*J$62)),"")</f>
        <v/>
      </c>
      <c r="AC26" s="21">
        <f>IFERROR(IF(OR($T26="",$K26="",$K26=0,K$62="",K$62=0),"",$T26/($K26*K$62)),"")</f>
        <v/>
      </c>
      <c r="AD26" s="21">
        <f>IFERROR(IF(OR($U26="",$L26="",$L26=0,L$62="",L$62=0),"",$U26/($L26*L$62)),"")</f>
        <v/>
      </c>
      <c r="AE26" s="20">
        <f>IF(SUMPRODUCT($E26:$L26,$E$62:$L$62)=0,"",SUMPRODUCT($E26:$L26,$E$62:$L$62))</f>
        <v>324.95000000000005</v>
      </c>
      <c r="AF26" s="21">
        <f>IFERROR(IF(OR($V26="",$AE26="",$AE26=0),"",$V26/$AE26),"")</f>
        <v>0.03785197722726573</v>
      </c>
      <c r="AG26" s="14" t="n">
        <v>9.800000000000001</v>
      </c>
      <c r="AH26" s="14" t="n">
        <v>14.2</v>
      </c>
      <c r="AI26" s="14" t="n">
        <v>7.4</v>
      </c>
      <c r="AJ26" s="9" t="n">
        <v>0</v>
      </c>
      <c r="AK26" s="9" t="n">
        <v>0</v>
      </c>
      <c r="AL26" s="22">
        <f>IFERROR(IF(OR($AJ26="",$D26="",$D26=0,$M$64=""),"",$AJ26/$D26*$M$64),"")</f>
        <v>0.0</v>
      </c>
      <c r="AM26" s="9" t="n">
        <v>233</v>
      </c>
      <c r="AN26" s="23">
        <f>IFERROR(IF(OR($AM26="",$D26="",$D26=0),"",$AM26/$D26),"")</f>
        <v>0.2571743929359823</v>
      </c>
      <c r="AO26" s="9" t="n">
        <v>3</v>
      </c>
      <c r="AP26" s="9" t="n">
        <v>12</v>
      </c>
      <c r="AQ26" s="22">
        <f>IFERROR(IF(OR($AO26="",$AP26="",$D26="",$D26=0,$M$64=""),"",($AO26+$AP26)/$D26*$M$64),"")</f>
        <v>16.55629139072848</v>
      </c>
      <c r="AR26" s="19">
        <f>IF(NOT(ISNUMBER($D26)),"",SUMPRODUCT(--(ISNUMBER($W26:$AD26)),--(ISNUMBER($W$63:$AD$63)),--($W26:$AD26&gt;$W$63:$AD$63))+IF(AND(ISNUMBER($AG26),ISNUMBER($AG$63),$AG26&gt;$AG$63),1,0)+IF(AND(ISNUMBER($AH26),ISNUMBER($AH$63),$AH26&gt;$AH$63),1,0)+IF(AND(ISNUMBER($AI26),ISNUMBER($AI$63),$AI26&gt;$AI$63),1,0)+IF(AND(ISNUMBER($AL26),ISNUMBER($AL$63),$AL26&gt;$AL$63),1,0)+IF(AND(ISNUMBER($AN26),ISNUMBER($AN$63),$AN26&gt;$AN$63),1,0)+IF(AND(ISNUMBER($AQ26),ISNUMBER($AQ$63),$AQ26&gt;$AQ$63),1,0))</f>
        <v>0.0</v>
      </c>
      <c r="AS26" t="str">
        <f>IF(NOT(ISNUMBER($AR26)),"",IF($AR26=0,"Semana en objetivo",IF($AR26=1,"1 indicador fuera de objetivo",$AR26&amp;" indicadores fuera de objetivo")))</f>
        <v>Semana en objetivo</v>
      </c>
    </row>
    <row r="27">
      <c r="A27" s="9" t="n">
        <v>23</v>
      </c>
      <c r="B27" s="18" t="n">
        <v>46174</v>
      </c>
      <c r="C27" s="9" t="n">
        <v>6</v>
      </c>
      <c r="D27" s="9" t="n">
        <v>962</v>
      </c>
      <c r="E27" s="9" t="n">
        <v>512</v>
      </c>
      <c r="F27" s="9" t="n">
        <v>434</v>
      </c>
      <c r="G27" s="9" t="n">
        <v>272</v>
      </c>
      <c r="H27" s="9" t="n">
        <v>343</v>
      </c>
      <c r="I27" s="9" t="n"/>
      <c r="J27" s="9" t="n"/>
      <c r="K27" s="9" t="n"/>
      <c r="L27" s="9" t="n"/>
      <c r="M27" s="19">
        <f>IF(COUNT($E27:$L27)=0,"",SUM($E27:$L27))</f>
        <v>1561.0</v>
      </c>
      <c r="N27" s="11" t="n">
        <v>5.9</v>
      </c>
      <c r="O27" s="11" t="n">
        <v>4.2</v>
      </c>
      <c r="P27" s="11" t="n">
        <v>0.9</v>
      </c>
      <c r="Q27" s="11" t="n">
        <v>1.3</v>
      </c>
      <c r="R27" s="11" t="n"/>
      <c r="S27" s="11" t="n"/>
      <c r="T27" s="11" t="n"/>
      <c r="U27" s="11" t="n"/>
      <c r="V27" s="20">
        <f>IF(COUNT($N27:$U27)=0,"",SUM($N27:$U27))</f>
        <v>12.300000000000002</v>
      </c>
      <c r="W27" s="21">
        <f>IFERROR(IF(OR($N27="",$E27="",$E27=0,E$62="",E$62=0),"",$N27/($E27*E$62)),"")</f>
        <v>0.03200954861111111</v>
      </c>
      <c r="X27" s="21">
        <f>IFERROR(IF(OR($O27="",$F27="",$F27=0,F$62="",F$62=0),"",$O27/($F27*F$62)),"")</f>
        <v>0.04398826979472141</v>
      </c>
      <c r="Y27" s="21">
        <f>IFERROR(IF(OR($P27="",$G27="",$G27=0,G$62="",G$62=0),"",$P27/($G27*G$62)),"")</f>
        <v>0.0236344537815126</v>
      </c>
      <c r="Z27" s="21">
        <f>IFERROR(IF(OR($Q27="",$H27="",$H27=0,H$62="",H$62=0),"",$Q27/($H27*H$62)),"")</f>
        <v>0.04211208292840946</v>
      </c>
      <c r="AA27" s="21">
        <f>IFERROR(IF(OR($R27="",$I27="",$I27=0,I$62="",I$62=0),"",$R27/($I27*I$62)),"")</f>
        <v/>
      </c>
      <c r="AB27" s="21">
        <f>IFERROR(IF(OR($S27="",$J27="",$J27=0,J$62="",J$62=0),"",$S27/($J27*J$62)),"")</f>
        <v/>
      </c>
      <c r="AC27" s="21">
        <f>IFERROR(IF(OR($T27="",$K27="",$K27=0,K$62="",K$62=0),"",$T27/($K27*K$62)),"")</f>
        <v/>
      </c>
      <c r="AD27" s="21">
        <f>IFERROR(IF(OR($U27="",$L27="",$L27=0,L$62="",L$62=0),"",$U27/($L27*L$62)),"")</f>
        <v/>
      </c>
      <c r="AE27" s="20">
        <f>IF(SUMPRODUCT($E27:$L27,$E$62:$L$62)=0,"",SUMPRODUCT($E27:$L27,$E$62:$L$62))</f>
        <v>348.75</v>
      </c>
      <c r="AF27" s="21">
        <f>IFERROR(IF(OR($V27="",$AE27="",$AE27=0),"",$V27/$AE27),"")</f>
        <v>0.035268817204301084</v>
      </c>
      <c r="AG27" s="14" t="n">
        <v>9.699999999999999</v>
      </c>
      <c r="AH27" s="14" t="n">
        <v>15.7</v>
      </c>
      <c r="AI27" s="14" t="n">
        <v>6.3</v>
      </c>
      <c r="AJ27" s="9" t="n">
        <v>0</v>
      </c>
      <c r="AK27" s="9" t="n">
        <v>0</v>
      </c>
      <c r="AL27" s="22">
        <f>IFERROR(IF(OR($AJ27="",$D27="",$D27=0,$M$64=""),"",$AJ27/$D27*$M$64),"")</f>
        <v>0.0</v>
      </c>
      <c r="AM27" s="9" t="n">
        <v>238</v>
      </c>
      <c r="AN27" s="23">
        <f>IFERROR(IF(OR($AM27="",$D27="",$D27=0),"",$AM27/$D27),"")</f>
        <v>0.24740124740124741</v>
      </c>
      <c r="AO27" s="9" t="n">
        <v>3</v>
      </c>
      <c r="AP27" s="9" t="n">
        <v>12</v>
      </c>
      <c r="AQ27" s="22">
        <f>IFERROR(IF(OR($AO27="",$AP27="",$D27="",$D27=0,$M$64=""),"",($AO27+$AP27)/$D27*$M$64),"")</f>
        <v>15.592515592515593</v>
      </c>
      <c r="AR27" s="19">
        <f>IF(NOT(ISNUMBER($D27)),"",SUMPRODUCT(--(ISNUMBER($W27:$AD27)),--(ISNUMBER($W$63:$AD$63)),--($W27:$AD27&gt;$W$63:$AD$63))+IF(AND(ISNUMBER($AG27),ISNUMBER($AG$63),$AG27&gt;$AG$63),1,0)+IF(AND(ISNUMBER($AH27),ISNUMBER($AH$63),$AH27&gt;$AH$63),1,0)+IF(AND(ISNUMBER($AI27),ISNUMBER($AI$63),$AI27&gt;$AI$63),1,0)+IF(AND(ISNUMBER($AL27),ISNUMBER($AL$63),$AL27&gt;$AL$63),1,0)+IF(AND(ISNUMBER($AN27),ISNUMBER($AN$63),$AN27&gt;$AN$63),1,0)+IF(AND(ISNUMBER($AQ27),ISNUMBER($AQ$63),$AQ27&gt;$AQ$63),1,0))</f>
        <v>0.0</v>
      </c>
      <c r="AS27" t="str">
        <f>IF(NOT(ISNUMBER($AR27)),"",IF($AR27=0,"Semana en objetivo",IF($AR27=1,"1 indicador fuera de objetivo",$AR27&amp;" indicadores fuera de objetivo")))</f>
        <v>Semana en objetivo</v>
      </c>
    </row>
    <row r="28">
      <c r="A28" s="9" t="n">
        <v>24</v>
      </c>
      <c r="B28" s="18" t="n">
        <v>46181</v>
      </c>
      <c r="C28" s="9" t="n">
        <v>6</v>
      </c>
      <c r="D28" s="9" t="n">
        <v>979</v>
      </c>
      <c r="E28" s="9" t="n">
        <v>508</v>
      </c>
      <c r="F28" s="9" t="n">
        <v>424</v>
      </c>
      <c r="G28" s="9" t="n">
        <v>275</v>
      </c>
      <c r="H28" s="9" t="n">
        <v>361</v>
      </c>
      <c r="I28" s="9" t="n"/>
      <c r="J28" s="9" t="n"/>
      <c r="K28" s="9" t="n"/>
      <c r="L28" s="9" t="n"/>
      <c r="M28" s="19">
        <f>IF(COUNT($E28:$L28)=0,"",SUM($E28:$L28))</f>
        <v>1568.0</v>
      </c>
      <c r="N28" s="11" t="n">
        <v>5.5</v>
      </c>
      <c r="O28" s="11" t="n">
        <v>4.7</v>
      </c>
      <c r="P28" s="11" t="n">
        <v>1</v>
      </c>
      <c r="Q28" s="11" t="n">
        <v>1.3</v>
      </c>
      <c r="R28" s="11" t="n"/>
      <c r="S28" s="11" t="n"/>
      <c r="T28" s="11" t="n"/>
      <c r="U28" s="11" t="n"/>
      <c r="V28" s="20">
        <f>IF(COUNT($N28:$U28)=0,"",SUM($N28:$U28))</f>
        <v>12.5</v>
      </c>
      <c r="W28" s="21">
        <f>IFERROR(IF(OR($N28="",$E28="",$E28=0,E$62="",E$62=0),"",$N28/($E28*E$62)),"")</f>
        <v>0.030074365704286964</v>
      </c>
      <c r="X28" s="21">
        <f>IFERROR(IF(OR($O28="",$F28="",$F28=0,F$62="",F$62=0),"",$O28/($F28*F$62)),"")</f>
        <v>0.05038593481989709</v>
      </c>
      <c r="Y28" s="21">
        <f>IFERROR(IF(OR($P28="",$G28="",$G28=0,G$62="",G$62=0),"",$P28/($G28*G$62)),"")</f>
        <v>0.02597402597402597</v>
      </c>
      <c r="Z28" s="21">
        <f>IFERROR(IF(OR($Q28="",$H28="",$H28=0,H$62="",H$62=0),"",$Q28/($H28*H$62)),"")</f>
        <v>0.040012311480455524</v>
      </c>
      <c r="AA28" s="21">
        <f>IFERROR(IF(OR($R28="",$I28="",$I28=0,I$62="",I$62=0),"",$R28/($I28*I$62)),"")</f>
        <v/>
      </c>
      <c r="AB28" s="21">
        <f>IFERROR(IF(OR($S28="",$J28="",$J28=0,J$62="",J$62=0),"",$S28/($J28*J$62)),"")</f>
        <v/>
      </c>
      <c r="AC28" s="21">
        <f>IFERROR(IF(OR($T28="",$K28="",$K28=0,K$62="",K$62=0),"",$T28/($K28*K$62)),"")</f>
        <v/>
      </c>
      <c r="AD28" s="21">
        <f>IFERROR(IF(OR($U28="",$L28="",$L28=0,L$62="",L$62=0),"",$U28/($L28*L$62)),"")</f>
        <v/>
      </c>
      <c r="AE28" s="20">
        <f>IF(SUMPRODUCT($E28:$L28,$E$62:$L$62)=0,"",SUMPRODUCT($E28:$L28,$E$62:$L$62))</f>
        <v>347.15</v>
      </c>
      <c r="AF28" s="21">
        <f>IFERROR(IF(OR($V28="",$AE28="",$AE28=0),"",$V28/$AE28),"")</f>
        <v>0.03600748955782803</v>
      </c>
      <c r="AG28" s="14" t="n">
        <v>8.5</v>
      </c>
      <c r="AH28" s="14" t="n">
        <v>17.5</v>
      </c>
      <c r="AI28" s="14" t="n">
        <v>5.5</v>
      </c>
      <c r="AJ28" s="9" t="n">
        <v>0</v>
      </c>
      <c r="AK28" s="9" t="n">
        <v>0</v>
      </c>
      <c r="AL28" s="22">
        <f>IFERROR(IF(OR($AJ28="",$D28="",$D28=0,$M$64=""),"",$AJ28/$D28*$M$64),"")</f>
        <v>0.0</v>
      </c>
      <c r="AM28" s="9" t="n">
        <v>238</v>
      </c>
      <c r="AN28" s="23">
        <f>IFERROR(IF(OR($AM28="",$D28="",$D28=0),"",$AM28/$D28),"")</f>
        <v>0.24310520939734423</v>
      </c>
      <c r="AO28" s="9" t="n">
        <v>5</v>
      </c>
      <c r="AP28" s="9" t="n">
        <v>10</v>
      </c>
      <c r="AQ28" s="22">
        <f>IFERROR(IF(OR($AO28="",$AP28="",$D28="",$D28=0,$M$64=""),"",($AO28+$AP28)/$D28*$M$64),"")</f>
        <v>15.321756894790603</v>
      </c>
      <c r="AR28" s="19">
        <f>IF(NOT(ISNUMBER($D28)),"",SUMPRODUCT(--(ISNUMBER($W28:$AD28)),--(ISNUMBER($W$63:$AD$63)),--($W28:$AD28&gt;$W$63:$AD$63))+IF(AND(ISNUMBER($AG28),ISNUMBER($AG$63),$AG28&gt;$AG$63),1,0)+IF(AND(ISNUMBER($AH28),ISNUMBER($AH$63),$AH28&gt;$AH$63),1,0)+IF(AND(ISNUMBER($AI28),ISNUMBER($AI$63),$AI28&gt;$AI$63),1,0)+IF(AND(ISNUMBER($AL28),ISNUMBER($AL$63),$AL28&gt;$AL$63),1,0)+IF(AND(ISNUMBER($AN28),ISNUMBER($AN$63),$AN28&gt;$AN$63),1,0)+IF(AND(ISNUMBER($AQ28),ISNUMBER($AQ$63),$AQ28&gt;$AQ$63),1,0))</f>
        <v>0.0</v>
      </c>
      <c r="AS28" t="str">
        <f>IF(NOT(ISNUMBER($AR28)),"",IF($AR28=0,"Semana en objetivo",IF($AR28=1,"1 indicador fuera de objetivo",$AR28&amp;" indicadores fuera de objetivo")))</f>
        <v>Semana en objetivo</v>
      </c>
    </row>
    <row r="29">
      <c r="A29" s="9" t="n">
        <v>25</v>
      </c>
      <c r="B29" s="18" t="n">
        <v>46188</v>
      </c>
      <c r="C29" s="9" t="n">
        <v>6</v>
      </c>
      <c r="D29" s="9" t="n">
        <v>996</v>
      </c>
      <c r="E29" s="9" t="n">
        <v>501</v>
      </c>
      <c r="F29" s="9" t="n">
        <v>437</v>
      </c>
      <c r="G29" s="9" t="n">
        <v>292</v>
      </c>
      <c r="H29" s="9" t="n">
        <v>375</v>
      </c>
      <c r="I29" s="9" t="n"/>
      <c r="J29" s="9" t="n"/>
      <c r="K29" s="9" t="n"/>
      <c r="L29" s="9" t="n"/>
      <c r="M29" s="19">
        <f>IF(COUNT($E29:$L29)=0,"",SUM($E29:$L29))</f>
        <v>1605.0</v>
      </c>
      <c r="N29" s="11" t="n">
        <v>6.3</v>
      </c>
      <c r="O29" s="11" t="n">
        <v>4.7</v>
      </c>
      <c r="P29" s="11" t="n">
        <v>0.9</v>
      </c>
      <c r="Q29" s="11" t="n">
        <v>1.2</v>
      </c>
      <c r="R29" s="11" t="n"/>
      <c r="S29" s="11" t="n"/>
      <c r="T29" s="11" t="n"/>
      <c r="U29" s="11" t="n"/>
      <c r="V29" s="20">
        <f>IF(COUNT($N29:$U29)=0,"",SUM($N29:$U29))</f>
        <v>13.1</v>
      </c>
      <c r="W29" s="21">
        <f>IFERROR(IF(OR($N29="",$E29="",$E29=0,E$62="",E$62=0),"",$N29/($E29*E$62)),"")</f>
        <v>0.03493013972055888</v>
      </c>
      <c r="X29" s="21">
        <f>IFERROR(IF(OR($O29="",$F29="",$F29=0,F$62="",F$62=0),"",$O29/($F29*F$62)),"")</f>
        <v>0.04888703973372166</v>
      </c>
      <c r="Y29" s="21">
        <f>IFERROR(IF(OR($P29="",$G29="",$G29=0,G$62="",G$62=0),"",$P29/($G29*G$62)),"")</f>
        <v>0.02201565557729941</v>
      </c>
      <c r="Z29" s="21">
        <f>IFERROR(IF(OR($Q29="",$H29="",$H29=0,H$62="",H$62=0),"",$Q29/($H29*H$62)),"")</f>
        <v>0.035555555555555556</v>
      </c>
      <c r="AA29" s="21">
        <f>IFERROR(IF(OR($R29="",$I29="",$I29=0,I$62="",I$62=0),"",$R29/($I29*I$62)),"")</f>
        <v/>
      </c>
      <c r="AB29" s="21">
        <f>IFERROR(IF(OR($S29="",$J29="",$J29=0,J$62="",J$62=0),"",$S29/($J29*J$62)),"")</f>
        <v/>
      </c>
      <c r="AC29" s="21">
        <f>IFERROR(IF(OR($T29="",$K29="",$K29=0,K$62="",K$62=0),"",$T29/($K29*K$62)),"")</f>
        <v/>
      </c>
      <c r="AD29" s="21">
        <f>IFERROR(IF(OR($U29="",$L29="",$L29=0,L$62="",L$62=0),"",$U29/($L29*L$62)),"")</f>
        <v/>
      </c>
      <c r="AE29" s="20">
        <f>IF(SUMPRODUCT($E29:$L29,$E$62:$L$62)=0,"",SUMPRODUCT($E29:$L29,$E$62:$L$62))</f>
        <v>351.13</v>
      </c>
      <c r="AF29" s="21">
        <f>IFERROR(IF(OR($V29="",$AE29="",$AE29=0),"",$V29/$AE29),"")</f>
        <v>0.03730811949990032</v>
      </c>
      <c r="AG29" s="14" t="n">
        <v>7.3</v>
      </c>
      <c r="AH29" s="14" t="n">
        <v>18.5</v>
      </c>
      <c r="AI29" s="14" t="n">
        <v>6</v>
      </c>
      <c r="AJ29" s="9" t="n">
        <v>1</v>
      </c>
      <c r="AK29" s="9" t="n">
        <v>1</v>
      </c>
      <c r="AL29" s="22">
        <f>IFERROR(IF(OR($AJ29="",$D29="",$D29=0,$M$64=""),"",$AJ29/$D29*$M$64),"")</f>
        <v>1.004016064257028</v>
      </c>
      <c r="AM29" s="9" t="n">
        <v>238</v>
      </c>
      <c r="AN29" s="23">
        <f>IFERROR(IF(OR($AM29="",$D29="",$D29=0),"",$AM29/$D29),"")</f>
        <v>0.2389558232931727</v>
      </c>
      <c r="AO29" s="9" t="n">
        <v>6</v>
      </c>
      <c r="AP29" s="9" t="n">
        <v>8</v>
      </c>
      <c r="AQ29" s="22">
        <f>IFERROR(IF(OR($AO29="",$AP29="",$D29="",$D29=0,$M$64=""),"",($AO29+$AP29)/$D29*$M$64),"")</f>
        <v>14.056224899598392</v>
      </c>
      <c r="AR29" s="19">
        <f>IF(NOT(ISNUMBER($D29)),"",SUMPRODUCT(--(ISNUMBER($W29:$AD29)),--(ISNUMBER($W$63:$AD$63)),--($W29:$AD29&gt;$W$63:$AD$63))+IF(AND(ISNUMBER($AG29),ISNUMBER($AG$63),$AG29&gt;$AG$63),1,0)+IF(AND(ISNUMBER($AH29),ISNUMBER($AH$63),$AH29&gt;$AH$63),1,0)+IF(AND(ISNUMBER($AI29),ISNUMBER($AI$63),$AI29&gt;$AI$63),1,0)+IF(AND(ISNUMBER($AL29),ISNUMBER($AL$63),$AL29&gt;$AL$63),1,0)+IF(AND(ISNUMBER($AN29),ISNUMBER($AN$63),$AN29&gt;$AN$63),1,0)+IF(AND(ISNUMBER($AQ29),ISNUMBER($AQ$63),$AQ29&gt;$AQ$63),1,0))</f>
        <v>2.0</v>
      </c>
      <c r="AS29" t="str">
        <f>IF(NOT(ISNUMBER($AR29)),"",IF($AR29=0,"Semana en objetivo",IF($AR29=1,"1 indicador fuera de objetivo",$AR29&amp;" indicadores fuera de objetivo")))</f>
        <v>2 indicadores fuera de objetivo</v>
      </c>
    </row>
    <row r="30">
      <c r="A30" s="9" t="n">
        <v>26</v>
      </c>
      <c r="B30" s="18" t="n">
        <v>46195</v>
      </c>
      <c r="C30" s="9" t="n">
        <v>6</v>
      </c>
      <c r="D30" s="9" t="n">
        <v>1010</v>
      </c>
      <c r="E30" s="9" t="n">
        <v>526</v>
      </c>
      <c r="F30" s="9" t="n">
        <v>460</v>
      </c>
      <c r="G30" s="9" t="n">
        <v>295</v>
      </c>
      <c r="H30" s="9" t="n">
        <v>366</v>
      </c>
      <c r="I30" s="9" t="n"/>
      <c r="J30" s="9" t="n"/>
      <c r="K30" s="9" t="n"/>
      <c r="L30" s="9" t="n"/>
      <c r="M30" s="19">
        <f>IF(COUNT($E30:$L30)=0,"",SUM($E30:$L30))</f>
        <v>1647.0</v>
      </c>
      <c r="N30" s="11" t="n">
        <v>5.7</v>
      </c>
      <c r="O30" s="11" t="n">
        <v>4.5</v>
      </c>
      <c r="P30" s="11" t="n">
        <v>1</v>
      </c>
      <c r="Q30" s="11" t="n">
        <v>1.4</v>
      </c>
      <c r="R30" s="11" t="n"/>
      <c r="S30" s="11" t="n"/>
      <c r="T30" s="11" t="n"/>
      <c r="U30" s="11" t="n"/>
      <c r="V30" s="20">
        <f>IF(COUNT($N30:$U30)=0,"",SUM($N30:$U30))</f>
        <v>12.6</v>
      </c>
      <c r="W30" s="21">
        <f>IFERROR(IF(OR($N30="",$E30="",$E30=0,E$62="",E$62=0),"",$N30/($E30*E$62)),"")</f>
        <v>0.030101394169835236</v>
      </c>
      <c r="X30" s="21">
        <f>IFERROR(IF(OR($O30="",$F30="",$F30=0,F$62="",F$62=0),"",$O30/($F30*F$62)),"")</f>
        <v>0.044466403162055336</v>
      </c>
      <c r="Y30" s="21">
        <f>IFERROR(IF(OR($P30="",$G30="",$G30=0,G$62="",G$62=0),"",$P30/($G30*G$62)),"")</f>
        <v>0.024213075060532684</v>
      </c>
      <c r="Z30" s="21">
        <f>IFERROR(IF(OR($Q30="",$H30="",$H30=0,H$62="",H$62=0),"",$Q30/($H30*H$62)),"")</f>
        <v>0.042501517911353974</v>
      </c>
      <c r="AA30" s="21">
        <f>IFERROR(IF(OR($R30="",$I30="",$I30=0,I$62="",I$62=0),"",$R30/($I30*I$62)),"")</f>
        <v/>
      </c>
      <c r="AB30" s="21">
        <f>IFERROR(IF(OR($S30="",$J30="",$J30=0,J$62="",J$62=0),"",$S30/($J30*J$62)),"")</f>
        <v/>
      </c>
      <c r="AC30" s="21">
        <f>IFERROR(IF(OR($T30="",$K30="",$K30=0,K$62="",K$62=0),"",$T30/($K30*K$62)),"")</f>
        <v/>
      </c>
      <c r="AD30" s="21">
        <f>IFERROR(IF(OR($U30="",$L30="",$L30=0,L$62="",L$62=0),"",$U30/($L30*L$62)),"")</f>
        <v/>
      </c>
      <c r="AE30" s="20">
        <f>IF(SUMPRODUCT($E30:$L30,$E$62:$L$62)=0,"",SUMPRODUCT($E30:$L30,$E$62:$L$62))</f>
        <v>364.8</v>
      </c>
      <c r="AF30" s="21">
        <f>IFERROR(IF(OR($V30="",$AE30="",$AE30=0),"",$V30/$AE30),"")</f>
        <v>0.03453947368421052</v>
      </c>
      <c r="AG30" s="14" t="n">
        <v>6.9</v>
      </c>
      <c r="AH30" s="14" t="n">
        <v>18.3</v>
      </c>
      <c r="AI30" s="14" t="n">
        <v>7.2</v>
      </c>
      <c r="AJ30" s="9" t="n">
        <v>0</v>
      </c>
      <c r="AK30" s="9" t="n">
        <v>0</v>
      </c>
      <c r="AL30" s="22">
        <f>IFERROR(IF(OR($AJ30="",$D30="",$D30=0,$M$64=""),"",$AJ30/$D30*$M$64),"")</f>
        <v>0.0</v>
      </c>
      <c r="AM30" s="9" t="n">
        <v>238</v>
      </c>
      <c r="AN30" s="23">
        <f>IFERROR(IF(OR($AM30="",$D30="",$D30=0),"",$AM30/$D30),"")</f>
        <v>0.23564356435643563</v>
      </c>
      <c r="AO30" s="9" t="n">
        <v>5</v>
      </c>
      <c r="AP30" s="9" t="n">
        <v>9</v>
      </c>
      <c r="AQ30" s="22">
        <f>IFERROR(IF(OR($AO30="",$AP30="",$D30="",$D30=0,$M$64=""),"",($AO30+$AP30)/$D30*$M$64),"")</f>
        <v>13.861386138613861</v>
      </c>
      <c r="AR30" s="19">
        <f>IF(NOT(ISNUMBER($D30)),"",SUMPRODUCT(--(ISNUMBER($W30:$AD30)),--(ISNUMBER($W$63:$AD$63)),--($W30:$AD30&gt;$W$63:$AD$63))+IF(AND(ISNUMBER($AG30),ISNUMBER($AG$63),$AG30&gt;$AG$63),1,0)+IF(AND(ISNUMBER($AH30),ISNUMBER($AH$63),$AH30&gt;$AH$63),1,0)+IF(AND(ISNUMBER($AI30),ISNUMBER($AI$63),$AI30&gt;$AI$63),1,0)+IF(AND(ISNUMBER($AL30),ISNUMBER($AL$63),$AL30&gt;$AL$63),1,0)+IF(AND(ISNUMBER($AN30),ISNUMBER($AN$63),$AN30&gt;$AN$63),1,0)+IF(AND(ISNUMBER($AQ30),ISNUMBER($AQ$63),$AQ30&gt;$AQ$63),1,0))</f>
        <v>1.0</v>
      </c>
      <c r="AS30" t="str">
        <f>IF(NOT(ISNUMBER($AR30)),"",IF($AR30=0,"Semana en objetivo",IF($AR30=1,"1 indicador fuera de objetivo",$AR30&amp;" indicadores fuera de objetivo")))</f>
        <v>1 indicador fuera de objetivo</v>
      </c>
    </row>
    <row r="31">
      <c r="A31" s="9" t="n">
        <v>27</v>
      </c>
      <c r="B31" s="18" t="n">
        <v>46202</v>
      </c>
      <c r="C31" s="9" t="n">
        <v>7</v>
      </c>
      <c r="D31" s="9" t="n">
        <v>1022</v>
      </c>
      <c r="E31" s="9" t="n">
        <v>543</v>
      </c>
      <c r="F31" s="9" t="n">
        <v>455</v>
      </c>
      <c r="G31" s="9" t="n">
        <v>286</v>
      </c>
      <c r="H31" s="9" t="n">
        <v>366</v>
      </c>
      <c r="I31" s="9" t="n"/>
      <c r="J31" s="9" t="n"/>
      <c r="K31" s="9" t="n"/>
      <c r="L31" s="9" t="n"/>
      <c r="M31" s="19">
        <f>IF(COUNT($E31:$L31)=0,"",SUM($E31:$L31))</f>
        <v>1650.0</v>
      </c>
      <c r="N31" s="11" t="n">
        <v>6.1</v>
      </c>
      <c r="O31" s="11" t="n">
        <v>5.2</v>
      </c>
      <c r="P31" s="11" t="n">
        <v>1</v>
      </c>
      <c r="Q31" s="11" t="n">
        <v>1.3</v>
      </c>
      <c r="R31" s="11" t="n"/>
      <c r="S31" s="11" t="n"/>
      <c r="T31" s="11" t="n"/>
      <c r="U31" s="11" t="n"/>
      <c r="V31" s="20">
        <f>IF(COUNT($N31:$U31)=0,"",SUM($N31:$U31))</f>
        <v>13.600000000000001</v>
      </c>
      <c r="W31" s="21">
        <f>IFERROR(IF(OR($N31="",$E31="",$E31=0,E$62="",E$62=0),"",$N31/($E31*E$62)),"")</f>
        <v>0.03120523838755883</v>
      </c>
      <c r="X31" s="21">
        <f>IFERROR(IF(OR($O31="",$F31="",$F31=0,F$62="",F$62=0),"",$O31/($F31*F$62)),"")</f>
        <v>0.05194805194805195</v>
      </c>
      <c r="Y31" s="21">
        <f>IFERROR(IF(OR($P31="",$G31="",$G31=0,G$62="",G$62=0),"",$P31/($G31*G$62)),"")</f>
        <v>0.024975024975024972</v>
      </c>
      <c r="Z31" s="21">
        <f>IFERROR(IF(OR($Q31="",$H31="",$H31=0,H$62="",H$62=0),"",$Q31/($H31*H$62)),"")</f>
        <v>0.039465695203400125</v>
      </c>
      <c r="AA31" s="21">
        <f>IFERROR(IF(OR($R31="",$I31="",$I31=0,I$62="",I$62=0),"",$R31/($I31*I$62)),"")</f>
        <v/>
      </c>
      <c r="AB31" s="21">
        <f>IFERROR(IF(OR($S31="",$J31="",$J31=0,J$62="",J$62=0),"",$S31/($J31*J$62)),"")</f>
        <v/>
      </c>
      <c r="AC31" s="21">
        <f>IFERROR(IF(OR($T31="",$K31="",$K31=0,K$62="",K$62=0),"",$T31/($K31*K$62)),"")</f>
        <v/>
      </c>
      <c r="AD31" s="21">
        <f>IFERROR(IF(OR($U31="",$L31="",$L31=0,L$62="",L$62=0),"",$U31/($L31*L$62)),"")</f>
        <v/>
      </c>
      <c r="AE31" s="20">
        <f>IF(SUMPRODUCT($E31:$L31,$E$62:$L$62)=0,"",SUMPRODUCT($E31:$L31,$E$62:$L$62))</f>
        <v>368.56</v>
      </c>
      <c r="AF31" s="21">
        <f>IFERROR(IF(OR($V31="",$AE31="",$AE31=0),"",$V31/$AE31),"")</f>
        <v>0.036900369003690044</v>
      </c>
      <c r="AG31" s="14" t="n">
        <v>7.6</v>
      </c>
      <c r="AH31" s="14" t="n">
        <v>17</v>
      </c>
      <c r="AI31" s="14" t="n">
        <v>7.7</v>
      </c>
      <c r="AJ31" s="9" t="n">
        <v>0</v>
      </c>
      <c r="AK31" s="9" t="n">
        <v>0</v>
      </c>
      <c r="AL31" s="22">
        <f>IFERROR(IF(OR($AJ31="",$D31="",$D31=0,$M$64=""),"",$AJ31/$D31*$M$64),"")</f>
        <v>0.0</v>
      </c>
      <c r="AM31" s="9" t="n">
        <v>239</v>
      </c>
      <c r="AN31" s="23">
        <f>IFERROR(IF(OR($AM31="",$D31="",$D31=0),"",$AM31/$D31),"")</f>
        <v>0.23385518590998042</v>
      </c>
      <c r="AO31" s="9" t="n">
        <v>3</v>
      </c>
      <c r="AP31" s="9" t="n">
        <v>11</v>
      </c>
      <c r="AQ31" s="22">
        <f>IFERROR(IF(OR($AO31="",$AP31="",$D31="",$D31=0,$M$64=""),"",($AO31+$AP31)/$D31*$M$64),"")</f>
        <v>13.698630136986301</v>
      </c>
      <c r="AR31" s="19">
        <f>IF(NOT(ISNUMBER($D31)),"",SUMPRODUCT(--(ISNUMBER($W31:$AD31)),--(ISNUMBER($W$63:$AD$63)),--($W31:$AD31&gt;$W$63:$AD$63))+IF(AND(ISNUMBER($AG31),ISNUMBER($AG$63),$AG31&gt;$AG$63),1,0)+IF(AND(ISNUMBER($AH31),ISNUMBER($AH$63),$AH31&gt;$AH$63),1,0)+IF(AND(ISNUMBER($AI31),ISNUMBER($AI$63),$AI31&gt;$AI$63),1,0)+IF(AND(ISNUMBER($AL31),ISNUMBER($AL$63),$AL31&gt;$AL$63),1,0)+IF(AND(ISNUMBER($AN31),ISNUMBER($AN$63),$AN31&gt;$AN$63),1,0)+IF(AND(ISNUMBER($AQ31),ISNUMBER($AQ$63),$AQ31&gt;$AQ$63),1,0))</f>
        <v>0.0</v>
      </c>
      <c r="AS31" t="str">
        <f>IF(NOT(ISNUMBER($AR31)),"",IF($AR31=0,"Semana en objetivo",IF($AR31=1,"1 indicador fuera de objetivo",$AR31&amp;" indicadores fuera de objetivo")))</f>
        <v>Semana en objetivo</v>
      </c>
    </row>
    <row r="32">
      <c r="A32" s="9" t="n">
        <v>28</v>
      </c>
      <c r="B32" s="18" t="n">
        <v>46209</v>
      </c>
      <c r="C32" s="9" t="n">
        <v>7</v>
      </c>
      <c r="D32" s="9" t="n">
        <v>1029</v>
      </c>
      <c r="E32" s="9" t="n">
        <v>526</v>
      </c>
      <c r="F32" s="9" t="n">
        <v>444</v>
      </c>
      <c r="G32" s="9" t="n">
        <v>293</v>
      </c>
      <c r="H32" s="9" t="n">
        <v>384</v>
      </c>
      <c r="I32" s="9" t="n"/>
      <c r="J32" s="9" t="n"/>
      <c r="K32" s="9" t="n"/>
      <c r="L32" s="9" t="n"/>
      <c r="M32" s="19">
        <f>IF(COUNT($E32:$L32)=0,"",SUM($E32:$L32))</f>
        <v>1647.0</v>
      </c>
      <c r="N32" s="11" t="n">
        <v>6.5</v>
      </c>
      <c r="O32" s="11" t="n">
        <v>4.6</v>
      </c>
      <c r="P32" s="11" t="n">
        <v>0.9</v>
      </c>
      <c r="Q32" s="11" t="n">
        <v>1.3</v>
      </c>
      <c r="R32" s="11" t="n"/>
      <c r="S32" s="11" t="n"/>
      <c r="T32" s="11" t="n"/>
      <c r="U32" s="11" t="n"/>
      <c r="V32" s="20">
        <f>IF(COUNT($N32:$U32)=0,"",SUM($N32:$U32))</f>
        <v>13.3</v>
      </c>
      <c r="W32" s="21">
        <f>IFERROR(IF(OR($N32="",$E32="",$E32=0,E$62="",E$62=0),"",$N32/($E32*E$62)),"")</f>
        <v>0.03432615124630334</v>
      </c>
      <c r="X32" s="21">
        <f>IFERROR(IF(OR($O32="",$F32="",$F32=0,F$62="",F$62=0),"",$O32/($F32*F$62)),"")</f>
        <v>0.04709254709254709</v>
      </c>
      <c r="Y32" s="21">
        <f>IFERROR(IF(OR($P32="",$G32="",$G32=0,G$62="",G$62=0),"",$P32/($G32*G$62)),"")</f>
        <v>0.021940516821062895</v>
      </c>
      <c r="Z32" s="21">
        <f>IFERROR(IF(OR($Q32="",$H32="",$H32=0,H$62="",H$62=0),"",$Q32/($H32*H$62)),"")</f>
        <v>0.03761574074074074</v>
      </c>
      <c r="AA32" s="21">
        <f>IFERROR(IF(OR($R32="",$I32="",$I32=0,I$62="",I$62=0),"",$R32/($I32*I$62)),"")</f>
        <v/>
      </c>
      <c r="AB32" s="21">
        <f>IFERROR(IF(OR($S32="",$J32="",$J32=0,J$62="",J$62=0),"",$S32/($J32*J$62)),"")</f>
        <v/>
      </c>
      <c r="AC32" s="21">
        <f>IFERROR(IF(OR($T32="",$K32="",$K32=0,K$62="",K$62=0),"",$T32/($K32*K$62)),"")</f>
        <v/>
      </c>
      <c r="AD32" s="21">
        <f>IFERROR(IF(OR($U32="",$L32="",$L32=0,L$62="",L$62=0),"",$U32/($L32*L$62)),"")</f>
        <v/>
      </c>
      <c r="AE32" s="20">
        <f>IF(SUMPRODUCT($E32:$L32,$E$62:$L$62)=0,"",SUMPRODUCT($E32:$L32,$E$62:$L$62))</f>
        <v>362.62</v>
      </c>
      <c r="AF32" s="21">
        <f>IFERROR(IF(OR($V32="",$AE32="",$AE32=0),"",$V32/$AE32),"")</f>
        <v>0.03667751365065358</v>
      </c>
      <c r="AG32" s="14" t="n">
        <v>8.9</v>
      </c>
      <c r="AH32" s="14" t="n">
        <v>15.2</v>
      </c>
      <c r="AI32" s="14" t="n">
        <v>6.9</v>
      </c>
      <c r="AJ32" s="9" t="n">
        <v>0</v>
      </c>
      <c r="AK32" s="9" t="n">
        <v>0</v>
      </c>
      <c r="AL32" s="22">
        <f>IFERROR(IF(OR($AJ32="",$D32="",$D32=0,$M$64=""),"",$AJ32/$D32*$M$64),"")</f>
        <v>0.0</v>
      </c>
      <c r="AM32" s="9" t="n">
        <v>240</v>
      </c>
      <c r="AN32" s="23">
        <f>IFERROR(IF(OR($AM32="",$D32="",$D32=0),"",$AM32/$D32),"")</f>
        <v>0.23323615160349853</v>
      </c>
      <c r="AO32" s="9" t="n">
        <v>4</v>
      </c>
      <c r="AP32" s="9" t="n">
        <v>13</v>
      </c>
      <c r="AQ32" s="22">
        <f>IFERROR(IF(OR($AO32="",$AP32="",$D32="",$D32=0,$M$64=""),"",($AO32+$AP32)/$D32*$M$64),"")</f>
        <v>16.52089407191448</v>
      </c>
      <c r="AR32" s="19">
        <f>IF(NOT(ISNUMBER($D32)),"",SUMPRODUCT(--(ISNUMBER($W32:$AD32)),--(ISNUMBER($W$63:$AD$63)),--($W32:$AD32&gt;$W$63:$AD$63))+IF(AND(ISNUMBER($AG32),ISNUMBER($AG$63),$AG32&gt;$AG$63),1,0)+IF(AND(ISNUMBER($AH32),ISNUMBER($AH$63),$AH32&gt;$AH$63),1,0)+IF(AND(ISNUMBER($AI32),ISNUMBER($AI$63),$AI32&gt;$AI$63),1,0)+IF(AND(ISNUMBER($AL32),ISNUMBER($AL$63),$AL32&gt;$AL$63),1,0)+IF(AND(ISNUMBER($AN32),ISNUMBER($AN$63),$AN32&gt;$AN$63),1,0)+IF(AND(ISNUMBER($AQ32),ISNUMBER($AQ$63),$AQ32&gt;$AQ$63),1,0))</f>
        <v>0.0</v>
      </c>
      <c r="AS32" t="str">
        <f>IF(NOT(ISNUMBER($AR32)),"",IF($AR32=0,"Semana en objetivo",IF($AR32=1,"1 indicador fuera de objetivo",$AR32&amp;" indicadores fuera de objetivo")))</f>
        <v>Semana en objetivo</v>
      </c>
    </row>
    <row r="33">
      <c r="A33" s="9" t="n">
        <v>29</v>
      </c>
      <c r="B33" s="18" t="n">
        <v>46216</v>
      </c>
      <c r="C33" s="9" t="n">
        <v>7</v>
      </c>
      <c r="D33" s="9" t="n">
        <v>1027</v>
      </c>
      <c r="E33" s="9" t="n">
        <v>520</v>
      </c>
      <c r="F33" s="9" t="n">
        <v>457</v>
      </c>
      <c r="G33" s="9" t="n">
        <v>303</v>
      </c>
      <c r="H33" s="9" t="n">
        <v>383</v>
      </c>
      <c r="I33" s="9" t="n"/>
      <c r="J33" s="9" t="n"/>
      <c r="K33" s="9" t="n"/>
      <c r="L33" s="9" t="n"/>
      <c r="M33" s="19">
        <f>IF(COUNT($E33:$L33)=0,"",SUM($E33:$L33))</f>
        <v>1663.0</v>
      </c>
      <c r="N33" s="11" t="n">
        <v>5.5</v>
      </c>
      <c r="O33" s="11" t="n">
        <v>4.6</v>
      </c>
      <c r="P33" s="11" t="n">
        <v>1.1</v>
      </c>
      <c r="Q33" s="11" t="n">
        <v>1.5</v>
      </c>
      <c r="R33" s="11" t="n"/>
      <c r="S33" s="11" t="n"/>
      <c r="T33" s="11" t="n"/>
      <c r="U33" s="11" t="n"/>
      <c r="V33" s="20">
        <f>IF(COUNT($N33:$U33)=0,"",SUM($N33:$U33))</f>
        <v>12.7</v>
      </c>
      <c r="W33" s="21">
        <f>IFERROR(IF(OR($N33="",$E33="",$E33=0,E$62="",E$62=0),"",$N33/($E33*E$62)),"")</f>
        <v>0.029380341880341884</v>
      </c>
      <c r="X33" s="21">
        <f>IFERROR(IF(OR($O33="",$F33="",$F33=0,F$62="",F$62=0),"",$O33/($F33*F$62)),"")</f>
        <v>0.04575293415555997</v>
      </c>
      <c r="Y33" s="21">
        <f>IFERROR(IF(OR($P33="",$G33="",$G33=0,G$62="",G$62=0),"",$P33/($G33*G$62)),"")</f>
        <v>0.025931164545025934</v>
      </c>
      <c r="Z33" s="21">
        <f>IFERROR(IF(OR($Q33="",$H33="",$H33=0,H$62="",H$62=0),"",$Q33/($H33*H$62)),"")</f>
        <v>0.043516100957354226</v>
      </c>
      <c r="AA33" s="21">
        <f>IFERROR(IF(OR($R33="",$I33="",$I33=0,I$62="",I$62=0),"",$R33/($I33*I$62)),"")</f>
        <v/>
      </c>
      <c r="AB33" s="21">
        <f>IFERROR(IF(OR($S33="",$J33="",$J33=0,J$62="",J$62=0),"",$S33/($J33*J$62)),"")</f>
        <v/>
      </c>
      <c r="AC33" s="21">
        <f>IFERROR(IF(OR($T33="",$K33="",$K33=0,K$62="",K$62=0),"",$T33/($K33*K$62)),"")</f>
        <v/>
      </c>
      <c r="AD33" s="21">
        <f>IFERROR(IF(OR($U33="",$L33="",$L33=0,L$62="",L$62=0),"",$U33/($L33*L$62)),"")</f>
        <v/>
      </c>
      <c r="AE33" s="20">
        <f>IF(SUMPRODUCT($E33:$L33,$E$62:$L$62)=0,"",SUMPRODUCT($E33:$L33,$E$62:$L$62))</f>
        <v>364.63</v>
      </c>
      <c r="AF33" s="21">
        <f>IFERROR(IF(OR($V33="",$AE33="",$AE33=0),"",$V33/$AE33),"")</f>
        <v>0.03482982749636618</v>
      </c>
      <c r="AG33" s="14" t="n">
        <v>9.800000000000001</v>
      </c>
      <c r="AH33" s="14" t="n">
        <v>14</v>
      </c>
      <c r="AI33" s="14" t="n">
        <v>5.7</v>
      </c>
      <c r="AJ33" s="9" t="n">
        <v>2</v>
      </c>
      <c r="AK33" s="9" t="n">
        <v>2</v>
      </c>
      <c r="AL33" s="22">
        <f>IFERROR(IF(OR($AJ33="",$D33="",$D33=0,$M$64=""),"",$AJ33/$D33*$M$64),"")</f>
        <v>1.9474196689386563</v>
      </c>
      <c r="AM33" s="9" t="n">
        <v>241</v>
      </c>
      <c r="AN33" s="23">
        <f>IFERROR(IF(OR($AM33="",$D33="",$D33=0),"",$AM33/$D33),"")</f>
        <v>0.23466407010710807</v>
      </c>
      <c r="AO33" s="9" t="n">
        <v>6</v>
      </c>
      <c r="AP33" s="9" t="n">
        <v>12</v>
      </c>
      <c r="AQ33" s="22">
        <f>IFERROR(IF(OR($AO33="",$AP33="",$D33="",$D33=0,$M$64=""),"",($AO33+$AP33)/$D33*$M$64),"")</f>
        <v>17.52677702044791</v>
      </c>
      <c r="AR33" s="19">
        <f>IF(NOT(ISNUMBER($D33)),"",SUMPRODUCT(--(ISNUMBER($W33:$AD33)),--(ISNUMBER($W$63:$AD$63)),--($W33:$AD33&gt;$W$63:$AD$63))+IF(AND(ISNUMBER($AG33),ISNUMBER($AG$63),$AG33&gt;$AG$63),1,0)+IF(AND(ISNUMBER($AH33),ISNUMBER($AH$63),$AH33&gt;$AH$63),1,0)+IF(AND(ISNUMBER($AI33),ISNUMBER($AI$63),$AI33&gt;$AI$63),1,0)+IF(AND(ISNUMBER($AL33),ISNUMBER($AL$63),$AL33&gt;$AL$63),1,0)+IF(AND(ISNUMBER($AN33),ISNUMBER($AN$63),$AN33&gt;$AN$63),1,0)+IF(AND(ISNUMBER($AQ33),ISNUMBER($AQ$63),$AQ33&gt;$AQ$63),1,0))</f>
        <v>1.0</v>
      </c>
      <c r="AS33" t="str">
        <f>IF(NOT(ISNUMBER($AR33)),"",IF($AR33=0,"Semana en objetivo",IF($AR33=1,"1 indicador fuera de objetivo",$AR33&amp;" indicadores fuera de objetivo")))</f>
        <v>1 indicador fuera de objetivo</v>
      </c>
    </row>
    <row r="34">
      <c r="A34" s="9" t="n">
        <v>30</v>
      </c>
      <c r="B34" s="18" t="n">
        <v>46223</v>
      </c>
      <c r="C34" s="9" t="n">
        <v>7</v>
      </c>
      <c r="D34" s="9" t="n">
        <v>1020</v>
      </c>
      <c r="E34" s="9" t="n">
        <v>538</v>
      </c>
      <c r="F34" s="9" t="n">
        <v>465</v>
      </c>
      <c r="G34" s="9" t="n">
        <v>294</v>
      </c>
      <c r="H34" s="9" t="n">
        <v>365</v>
      </c>
      <c r="I34" s="9" t="n"/>
      <c r="J34" s="9" t="n"/>
      <c r="K34" s="9" t="n"/>
      <c r="L34" s="9" t="n"/>
      <c r="M34" s="19">
        <f>IF(COUNT($E34:$L34)=0,"",SUM($E34:$L34))</f>
        <v>1662.0</v>
      </c>
      <c r="N34" s="11" t="n">
        <v>6.4</v>
      </c>
      <c r="O34" s="11" t="n">
        <v>5.3</v>
      </c>
      <c r="P34" s="11" t="n">
        <v>1</v>
      </c>
      <c r="Q34" s="11" t="n">
        <v>1.2</v>
      </c>
      <c r="R34" s="11" t="n"/>
      <c r="S34" s="11" t="n"/>
      <c r="T34" s="11" t="n"/>
      <c r="U34" s="11" t="n"/>
      <c r="V34" s="20">
        <f>IF(COUNT($N34:$U34)=0,"",SUM($N34:$U34))</f>
        <v>13.899999999999999</v>
      </c>
      <c r="W34" s="21">
        <f>IFERROR(IF(OR($N34="",$E34="",$E34=0,E$62="",E$62=0),"",$N34/($E34*E$62)),"")</f>
        <v>0.033044196612969846</v>
      </c>
      <c r="X34" s="21">
        <f>IFERROR(IF(OR($O34="",$F34="",$F34=0,F$62="",F$62=0),"",$O34/($F34*F$62)),"")</f>
        <v>0.05180840664711633</v>
      </c>
      <c r="Y34" s="21">
        <f>IFERROR(IF(OR($P34="",$G34="",$G34=0,G$62="",G$62=0),"",$P34/($G34*G$62)),"")</f>
        <v>0.024295432458697763</v>
      </c>
      <c r="Z34" s="21">
        <f>IFERROR(IF(OR($Q34="",$H34="",$H34=0,H$62="",H$62=0),"",$Q34/($H34*H$62)),"")</f>
        <v>0.0365296803652968</v>
      </c>
      <c r="AA34" s="21">
        <f>IFERROR(IF(OR($R34="",$I34="",$I34=0,I$62="",I$62=0),"",$R34/($I34*I$62)),"")</f>
        <v/>
      </c>
      <c r="AB34" s="21">
        <f>IFERROR(IF(OR($S34="",$J34="",$J34=0,J$62="",J$62=0),"",$S34/($J34*J$62)),"")</f>
        <v/>
      </c>
      <c r="AC34" s="21">
        <f>IFERROR(IF(OR($T34="",$K34="",$K34=0,K$62="",K$62=0),"",$T34/($K34*K$62)),"")</f>
        <v/>
      </c>
      <c r="AD34" s="21">
        <f>IFERROR(IF(OR($U34="",$L34="",$L34=0,L$62="",L$62=0),"",$U34/($L34*L$62)),"")</f>
        <v/>
      </c>
      <c r="AE34" s="20">
        <f>IF(SUMPRODUCT($E34:$L34,$E$62:$L$62)=0,"",SUMPRODUCT($E34:$L34,$E$62:$L$62))</f>
        <v>369.99</v>
      </c>
      <c r="AF34" s="21">
        <f>IFERROR(IF(OR($V34="",$AE34="",$AE34=0),"",$V34/$AE34),"")</f>
        <v>0.037568582934673904</v>
      </c>
      <c r="AG34" s="14" t="n">
        <v>9.6</v>
      </c>
      <c r="AH34" s="14" t="n">
        <v>13.9</v>
      </c>
      <c r="AI34" s="14" t="n">
        <v>5.6</v>
      </c>
      <c r="AJ34" s="9" t="n">
        <v>0</v>
      </c>
      <c r="AK34" s="9" t="n">
        <v>0</v>
      </c>
      <c r="AL34" s="22">
        <f>IFERROR(IF(OR($AJ34="",$D34="",$D34=0,$M$64=""),"",$AJ34/$D34*$M$64),"")</f>
        <v>0.0</v>
      </c>
      <c r="AM34" s="9" t="n">
        <v>242</v>
      </c>
      <c r="AN34" s="23">
        <f>IFERROR(IF(OR($AM34="",$D34="",$D34=0),"",$AM34/$D34),"")</f>
        <v>0.2372549019607843</v>
      </c>
      <c r="AO34" s="9" t="n">
        <v>6</v>
      </c>
      <c r="AP34" s="9" t="n">
        <v>10</v>
      </c>
      <c r="AQ34" s="22">
        <f>IFERROR(IF(OR($AO34="",$AP34="",$D34="",$D34=0,$M$64=""),"",($AO34+$AP34)/$D34*$M$64),"")</f>
        <v>15.686274509803921</v>
      </c>
      <c r="AR34" s="19">
        <f>IF(NOT(ISNUMBER($D34)),"",SUMPRODUCT(--(ISNUMBER($W34:$AD34)),--(ISNUMBER($W$63:$AD$63)),--($W34:$AD34&gt;$W$63:$AD$63))+IF(AND(ISNUMBER($AG34),ISNUMBER($AG$63),$AG34&gt;$AG$63),1,0)+IF(AND(ISNUMBER($AH34),ISNUMBER($AH$63),$AH34&gt;$AH$63),1,0)+IF(AND(ISNUMBER($AI34),ISNUMBER($AI$63),$AI34&gt;$AI$63),1,0)+IF(AND(ISNUMBER($AL34),ISNUMBER($AL$63),$AL34&gt;$AL$63),1,0)+IF(AND(ISNUMBER($AN34),ISNUMBER($AN$63),$AN34&gt;$AN$63),1,0)+IF(AND(ISNUMBER($AQ34),ISNUMBER($AQ$63),$AQ34&gt;$AQ$63),1,0))</f>
        <v>0.0</v>
      </c>
      <c r="AS34" t="str">
        <f>IF(NOT(ISNUMBER($AR34)),"",IF($AR34=0,"Semana en objetivo",IF($AR34=1,"1 indicador fuera de objetivo",$AR34&amp;" indicadores fuera de objetivo")))</f>
        <v>Semana en objetivo</v>
      </c>
    </row>
    <row r="35">
      <c r="A35" s="9" t="n">
        <v>31</v>
      </c>
      <c r="B35" s="18" t="n">
        <v>46230</v>
      </c>
      <c r="C35" s="9" t="n">
        <v>7</v>
      </c>
      <c r="D35" s="9" t="n">
        <v>962</v>
      </c>
      <c r="E35" s="9" t="n">
        <v>507</v>
      </c>
      <c r="F35" s="9" t="n">
        <v>422</v>
      </c>
      <c r="G35" s="9" t="n">
        <v>269</v>
      </c>
      <c r="H35" s="9" t="n">
        <v>348</v>
      </c>
      <c r="I35" s="9" t="n"/>
      <c r="J35" s="9" t="n"/>
      <c r="K35" s="9" t="n"/>
      <c r="L35" s="9" t="n"/>
      <c r="M35" s="19">
        <f>IF(COUNT($E35:$L35)=0,"",SUM($E35:$L35))</f>
        <v>1546.0</v>
      </c>
      <c r="N35" s="11" t="n">
        <v>6.1</v>
      </c>
      <c r="O35" s="11" t="n">
        <v>4.1</v>
      </c>
      <c r="P35" s="11" t="n">
        <v>0.8</v>
      </c>
      <c r="Q35" s="11" t="n">
        <v>1.3</v>
      </c>
      <c r="R35" s="11" t="n"/>
      <c r="S35" s="11" t="n"/>
      <c r="T35" s="11" t="n"/>
      <c r="U35" s="11" t="n"/>
      <c r="V35" s="20">
        <f>IF(COUNT($N35:$U35)=0,"",SUM($N35:$U35))</f>
        <v>12.3</v>
      </c>
      <c r="W35" s="21">
        <f>IFERROR(IF(OR($N35="",$E35="",$E35=0,E$62="",E$62=0),"",$N35/($E35*E$62)),"")</f>
        <v>0.033420994959456496</v>
      </c>
      <c r="X35" s="21">
        <f>IFERROR(IF(OR($O35="",$F35="",$F35=0,F$62="",F$62=0),"",$O35/($F35*F$62)),"")</f>
        <v>0.04416199913830245</v>
      </c>
      <c r="Y35" s="21">
        <f>IFERROR(IF(OR($P35="",$G35="",$G35=0,G$62="",G$62=0),"",$P35/($G35*G$62)),"")</f>
        <v>0.02124269782262347</v>
      </c>
      <c r="Z35" s="21">
        <f>IFERROR(IF(OR($Q35="",$H35="",$H35=0,H$62="",H$62=0),"",$Q35/($H35*H$62)),"")</f>
        <v>0.041507024265644954</v>
      </c>
      <c r="AA35" s="21">
        <f>IFERROR(IF(OR($R35="",$I35="",$I35=0,I$62="",I$62=0),"",$R35/($I35*I$62)),"")</f>
        <v/>
      </c>
      <c r="AB35" s="21">
        <f>IFERROR(IF(OR($S35="",$J35="",$J35=0,J$62="",J$62=0),"",$S35/($J35*J$62)),"")</f>
        <v/>
      </c>
      <c r="AC35" s="21">
        <f>IFERROR(IF(OR($T35="",$K35="",$K35=0,K$62="",K$62=0),"",$T35/($K35*K$62)),"")</f>
        <v/>
      </c>
      <c r="AD35" s="21">
        <f>IFERROR(IF(OR($U35="",$L35="",$L35=0,L$62="",L$62=0),"",$U35/($L35*L$62)),"")</f>
        <v/>
      </c>
      <c r="AE35" s="20">
        <f>IF(SUMPRODUCT($E35:$L35,$E$62:$L$62)=0,"",SUMPRODUCT($E35:$L35,$E$62:$L$62))</f>
        <v>344.34000000000003</v>
      </c>
      <c r="AF35" s="21">
        <f>IFERROR(IF(OR($V35="",$AE35="",$AE35=0),"",$V35/$AE35),"")</f>
        <v>0.03572050879944241</v>
      </c>
      <c r="AG35" s="14" t="n">
        <v>8.5</v>
      </c>
      <c r="AH35" s="14" t="n">
        <v>15.1</v>
      </c>
      <c r="AI35" s="14" t="n">
        <v>6.7</v>
      </c>
      <c r="AJ35" s="9" t="n">
        <v>1</v>
      </c>
      <c r="AK35" s="9" t="n">
        <v>1</v>
      </c>
      <c r="AL35" s="22">
        <f>IFERROR(IF(OR($AJ35="",$D35="",$D35=0,$M$64=""),"",$AJ35/$D35*$M$64),"")</f>
        <v>1.0395010395010396</v>
      </c>
      <c r="AM35" s="9" t="n">
        <v>237</v>
      </c>
      <c r="AN35" s="23">
        <f>IFERROR(IF(OR($AM35="",$D35="",$D35=0),"",$AM35/$D35),"")</f>
        <v>0.24636174636174638</v>
      </c>
      <c r="AO35" s="9" t="n">
        <v>4</v>
      </c>
      <c r="AP35" s="9" t="n">
        <v>8</v>
      </c>
      <c r="AQ35" s="22">
        <f>IFERROR(IF(OR($AO35="",$AP35="",$D35="",$D35=0,$M$64=""),"",($AO35+$AP35)/$D35*$M$64),"")</f>
        <v>12.474012474012476</v>
      </c>
      <c r="AR35" s="19">
        <f>IF(NOT(ISNUMBER($D35)),"",SUMPRODUCT(--(ISNUMBER($W35:$AD35)),--(ISNUMBER($W$63:$AD$63)),--($W35:$AD35&gt;$W$63:$AD$63))+IF(AND(ISNUMBER($AG35),ISNUMBER($AG$63),$AG35&gt;$AG$63),1,0)+IF(AND(ISNUMBER($AH35),ISNUMBER($AH$63),$AH35&gt;$AH$63),1,0)+IF(AND(ISNUMBER($AI35),ISNUMBER($AI$63),$AI35&gt;$AI$63),1,0)+IF(AND(ISNUMBER($AL35),ISNUMBER($AL$63),$AL35&gt;$AL$63),1,0)+IF(AND(ISNUMBER($AN35),ISNUMBER($AN$63),$AN35&gt;$AN$63),1,0)+IF(AND(ISNUMBER($AQ35),ISNUMBER($AQ$63),$AQ35&gt;$AQ$63),1,0))</f>
        <v>1.0</v>
      </c>
      <c r="AS35" t="str">
        <f>IF(NOT(ISNUMBER($AR35)),"",IF($AR35=0,"Semana en objetivo",IF($AR35=1,"1 indicador fuera de objetivo",$AR35&amp;" indicadores fuera de objetivo")))</f>
        <v>1 indicador fuera de objetivo</v>
      </c>
    </row>
    <row r="36">
      <c r="A36" s="9" t="n">
        <v>32</v>
      </c>
      <c r="B36" s="18" t="n">
        <v>46237</v>
      </c>
      <c r="C36" s="9" t="n">
        <v>8</v>
      </c>
      <c r="D36" s="9" t="n">
        <v>847</v>
      </c>
      <c r="E36" s="9" t="n">
        <v>428</v>
      </c>
      <c r="F36" s="9" t="n">
        <v>367</v>
      </c>
      <c r="G36" s="9" t="n">
        <v>244</v>
      </c>
      <c r="H36" s="9" t="n">
        <v>319</v>
      </c>
      <c r="I36" s="9" t="n"/>
      <c r="J36" s="9" t="n"/>
      <c r="K36" s="9" t="n"/>
      <c r="L36" s="9" t="n"/>
      <c r="M36" s="19">
        <f>IF(COUNT($E36:$L36)=0,"",SUM($E36:$L36))</f>
        <v>1358.0</v>
      </c>
      <c r="N36" s="11" t="n">
        <v>4.5</v>
      </c>
      <c r="O36" s="11" t="n">
        <v>3.9</v>
      </c>
      <c r="P36" s="11" t="n">
        <v>0.9</v>
      </c>
      <c r="Q36" s="11" t="n">
        <v>1.2</v>
      </c>
      <c r="R36" s="11" t="n"/>
      <c r="S36" s="11" t="n"/>
      <c r="T36" s="11" t="n"/>
      <c r="U36" s="11" t="n"/>
      <c r="V36" s="20">
        <f>IF(COUNT($N36:$U36)=0,"",SUM($N36:$U36))</f>
        <v>10.5</v>
      </c>
      <c r="W36" s="21">
        <f>IFERROR(IF(OR($N36="",$E36="",$E36=0,E$62="",E$62=0),"",$N36/($E36*E$62)),"")</f>
        <v>0.029205607476635517</v>
      </c>
      <c r="X36" s="21">
        <f>IFERROR(IF(OR($O36="",$F36="",$F36=0,F$62="",F$62=0),"",$O36/($F36*F$62)),"")</f>
        <v>0.048303195442160024</v>
      </c>
      <c r="Y36" s="21">
        <f>IFERROR(IF(OR($P36="",$G36="",$G36=0,G$62="",G$62=0),"",$P36/($G36*G$62)),"")</f>
        <v>0.026346604215456672</v>
      </c>
      <c r="Z36" s="21">
        <f>IFERROR(IF(OR($Q36="",$H36="",$H36=0,H$62="",H$62=0),"",$Q36/($H36*H$62)),"")</f>
        <v>0.04179728317659352</v>
      </c>
      <c r="AA36" s="21">
        <f>IFERROR(IF(OR($R36="",$I36="",$I36=0,I$62="",I$62=0),"",$R36/($I36*I$62)),"")</f>
        <v/>
      </c>
      <c r="AB36" s="21">
        <f>IFERROR(IF(OR($S36="",$J36="",$J36=0,J$62="",J$62=0),"",$S36/($J36*J$62)),"")</f>
        <v/>
      </c>
      <c r="AC36" s="21">
        <f>IFERROR(IF(OR($T36="",$K36="",$K36=0,K$62="",K$62=0),"",$T36/($K36*K$62)),"")</f>
        <v/>
      </c>
      <c r="AD36" s="21">
        <f>IFERROR(IF(OR($U36="",$L36="",$L36=0,L$62="",L$62=0),"",$U36/($L36*L$62)),"")</f>
        <v/>
      </c>
      <c r="AE36" s="20">
        <f>IF(SUMPRODUCT($E36:$L36,$E$62:$L$62)=0,"",SUMPRODUCT($E36:$L36,$E$62:$L$62))</f>
        <v>297.69</v>
      </c>
      <c r="AF36" s="21">
        <f>IFERROR(IF(OR($V36="",$AE36="",$AE36=0),"",$V36/$AE36),"")</f>
        <v>0.03527159125264537</v>
      </c>
      <c r="AG36" s="14" t="n">
        <v>7.3</v>
      </c>
      <c r="AH36" s="14" t="n">
        <v>16.8</v>
      </c>
      <c r="AI36" s="14" t="n">
        <v>7.6</v>
      </c>
      <c r="AJ36" s="9" t="n">
        <v>0</v>
      </c>
      <c r="AK36" s="9" t="n">
        <v>0</v>
      </c>
      <c r="AL36" s="22">
        <f>IFERROR(IF(OR($AJ36="",$D36="",$D36=0,$M$64=""),"",$AJ36/$D36*$M$64),"")</f>
        <v>0.0</v>
      </c>
      <c r="AM36" s="9" t="n">
        <v>225</v>
      </c>
      <c r="AN36" s="23">
        <f>IFERROR(IF(OR($AM36="",$D36="",$D36=0),"",$AM36/$D36),"")</f>
        <v>0.26564344746162927</v>
      </c>
      <c r="AO36" s="9" t="n">
        <v>3</v>
      </c>
      <c r="AP36" s="9" t="n">
        <v>8</v>
      </c>
      <c r="AQ36" s="22">
        <f>IFERROR(IF(OR($AO36="",$AP36="",$D36="",$D36=0,$M$64=""),"",($AO36+$AP36)/$D36*$M$64),"")</f>
        <v>12.987012987012989</v>
      </c>
      <c r="AR36" s="19">
        <f>IF(NOT(ISNUMBER($D36)),"",SUMPRODUCT(--(ISNUMBER($W36:$AD36)),--(ISNUMBER($W$63:$AD$63)),--($W36:$AD36&gt;$W$63:$AD$63))+IF(AND(ISNUMBER($AG36),ISNUMBER($AG$63),$AG36&gt;$AG$63),1,0)+IF(AND(ISNUMBER($AH36),ISNUMBER($AH$63),$AH36&gt;$AH$63),1,0)+IF(AND(ISNUMBER($AI36),ISNUMBER($AI$63),$AI36&gt;$AI$63),1,0)+IF(AND(ISNUMBER($AL36),ISNUMBER($AL$63),$AL36&gt;$AL$63),1,0)+IF(AND(ISNUMBER($AN36),ISNUMBER($AN$63),$AN36&gt;$AN$63),1,0)+IF(AND(ISNUMBER($AQ36),ISNUMBER($AQ$63),$AQ36&gt;$AQ$63),1,0))</f>
        <v>1.0</v>
      </c>
      <c r="AS36" t="str">
        <f>IF(NOT(ISNUMBER($AR36)),"",IF($AR36=0,"Semana en objetivo",IF($AR36=1,"1 indicador fuera de objetivo",$AR36&amp;" indicadores fuera de objetivo")))</f>
        <v>1 indicador fuera de objetivo</v>
      </c>
    </row>
    <row r="37">
      <c r="A37" s="9" t="n">
        <v>33</v>
      </c>
      <c r="B37" s="18" t="n">
        <v>46244</v>
      </c>
      <c r="C37" s="9" t="n">
        <v>8</v>
      </c>
      <c r="D37" s="9" t="n">
        <v>809</v>
      </c>
      <c r="E37" s="9" t="n">
        <v>414</v>
      </c>
      <c r="F37" s="9" t="n">
        <v>365</v>
      </c>
      <c r="G37" s="9" t="n">
        <v>239</v>
      </c>
      <c r="H37" s="9" t="n">
        <v>298</v>
      </c>
      <c r="I37" s="9" t="n"/>
      <c r="J37" s="9" t="n"/>
      <c r="K37" s="9" t="n"/>
      <c r="L37" s="9" t="n"/>
      <c r="M37" s="19">
        <f>IF(COUNT($E37:$L37)=0,"",SUM($E37:$L37))</f>
        <v>1316.0</v>
      </c>
      <c r="N37" s="11" t="n">
        <v>5.1</v>
      </c>
      <c r="O37" s="11" t="n">
        <v>7.4</v>
      </c>
      <c r="P37" s="11" t="n">
        <v>0.8</v>
      </c>
      <c r="Q37" s="11" t="n">
        <v>1</v>
      </c>
      <c r="R37" s="11" t="n"/>
      <c r="S37" s="11" t="n"/>
      <c r="T37" s="11" t="n"/>
      <c r="U37" s="11" t="n"/>
      <c r="V37" s="20">
        <f>IF(COUNT($N37:$U37)=0,"",SUM($N37:$U37))</f>
        <v>14.3</v>
      </c>
      <c r="W37" s="21">
        <f>IFERROR(IF(OR($N37="",$E37="",$E37=0,E$62="",E$62=0),"",$N37/($E37*E$62)),"")</f>
        <v>0.03421900161030596</v>
      </c>
      <c r="X37" s="21">
        <f>IFERROR(IF(OR($O37="",$F37="",$F37=0,F$62="",F$62=0),"",$O37/($F37*F$62)),"")</f>
        <v>0.09215442092154422</v>
      </c>
      <c r="Y37" s="21">
        <f>IFERROR(IF(OR($P37="",$G37="",$G37=0,G$62="",G$62=0),"",$P37/($G37*G$62)),"")</f>
        <v>0.023909145248057383</v>
      </c>
      <c r="Z37" s="21">
        <f>IFERROR(IF(OR($Q37="",$H37="",$H37=0,H$62="",H$62=0),"",$Q37/($H37*H$62)),"")</f>
        <v>0.03728560775540641</v>
      </c>
      <c r="AA37" s="21">
        <f>IFERROR(IF(OR($R37="",$I37="",$I37=0,I$62="",I$62=0),"",$R37/($I37*I$62)),"")</f>
        <v/>
      </c>
      <c r="AB37" s="21">
        <f>IFERROR(IF(OR($S37="",$J37="",$J37=0,J$62="",J$62=0),"",$S37/($J37*J$62)),"")</f>
        <v/>
      </c>
      <c r="AC37" s="21">
        <f>IFERROR(IF(OR($T37="",$K37="",$K37=0,K$62="",K$62=0),"",$T37/($K37*K$62)),"")</f>
        <v/>
      </c>
      <c r="AD37" s="21">
        <f>IFERROR(IF(OR($U37="",$L37="",$L37=0,L$62="",L$62=0),"",$U37/($L37*L$62)),"")</f>
        <v/>
      </c>
      <c r="AE37" s="20">
        <f>IF(SUMPRODUCT($E37:$L37,$E$62:$L$62)=0,"",SUMPRODUCT($E37:$L37,$E$62:$L$62))</f>
        <v>289.62</v>
      </c>
      <c r="AF37" s="21">
        <f>IFERROR(IF(OR($V37="",$AE37="",$AE37=0),"",$V37/$AE37),"")</f>
        <v>0.04937504316000276</v>
      </c>
      <c r="AG37" s="14" t="n">
        <v>8.199999999999999</v>
      </c>
      <c r="AH37" s="14" t="n">
        <v>20.1</v>
      </c>
      <c r="AI37" s="14" t="n">
        <v>7.4</v>
      </c>
      <c r="AJ37" s="9" t="n">
        <v>0</v>
      </c>
      <c r="AK37" s="9" t="n">
        <v>0</v>
      </c>
      <c r="AL37" s="22">
        <f>IFERROR(IF(OR($AJ37="",$D37="",$D37=0,$M$64=""),"",$AJ37/$D37*$M$64),"")</f>
        <v>0.0</v>
      </c>
      <c r="AM37" s="9" t="n">
        <v>221</v>
      </c>
      <c r="AN37" s="23">
        <f>IFERROR(IF(OR($AM37="",$D37="",$D37=0),"",$AM37/$D37),"")</f>
        <v>0.273176761433869</v>
      </c>
      <c r="AO37" s="9" t="n">
        <v>5</v>
      </c>
      <c r="AP37" s="9" t="n">
        <v>14</v>
      </c>
      <c r="AQ37" s="22">
        <f>IFERROR(IF(OR($AO37="",$AP37="",$D37="",$D37=0,$M$64=""),"",($AO37+$AP37)/$D37*$M$64),"")</f>
        <v>23.485784919653895</v>
      </c>
      <c r="AR37" s="19">
        <f>IF(NOT(ISNUMBER($D37)),"",SUMPRODUCT(--(ISNUMBER($W37:$AD37)),--(ISNUMBER($W$63:$AD$63)),--($W37:$AD37&gt;$W$63:$AD$63))+IF(AND(ISNUMBER($AG37),ISNUMBER($AG$63),$AG37&gt;$AG$63),1,0)+IF(AND(ISNUMBER($AH37),ISNUMBER($AH$63),$AH37&gt;$AH$63),1,0)+IF(AND(ISNUMBER($AI37),ISNUMBER($AI$63),$AI37&gt;$AI$63),1,0)+IF(AND(ISNUMBER($AL37),ISNUMBER($AL$63),$AL37&gt;$AL$63),1,0)+IF(AND(ISNUMBER($AN37),ISNUMBER($AN$63),$AN37&gt;$AN$63),1,0)+IF(AND(ISNUMBER($AQ37),ISNUMBER($AQ$63),$AQ37&gt;$AQ$63),1,0))</f>
        <v>4.0</v>
      </c>
      <c r="AS37" t="str">
        <f>IF(NOT(ISNUMBER($AR37)),"",IF($AR37=0,"Semana en objetivo",IF($AR37=1,"1 indicador fuera de objetivo",$AR37&amp;" indicadores fuera de objetivo")))</f>
        <v>4 indicadores fuera de objetivo</v>
      </c>
    </row>
    <row r="38">
      <c r="A38" s="9" t="n">
        <v>34</v>
      </c>
      <c r="B38" s="18" t="n">
        <v>46251</v>
      </c>
      <c r="C38" s="9" t="n">
        <v>8</v>
      </c>
      <c r="D38" s="9" t="n">
        <v>819</v>
      </c>
      <c r="E38" s="9" t="n">
        <v>435</v>
      </c>
      <c r="F38" s="9" t="n">
        <v>371</v>
      </c>
      <c r="G38" s="9" t="n">
        <v>233</v>
      </c>
      <c r="H38" s="9" t="n">
        <v>292</v>
      </c>
      <c r="I38" s="9" t="n"/>
      <c r="J38" s="9" t="n"/>
      <c r="K38" s="9" t="n"/>
      <c r="L38" s="9" t="n"/>
      <c r="M38" s="19">
        <f>IF(COUNT($E38:$L38)=0,"",SUM($E38:$L38))</f>
        <v>1331.0</v>
      </c>
      <c r="N38" s="11" t="n">
        <v>4.9</v>
      </c>
      <c r="O38" s="11" t="n">
        <v>8.699999999999999</v>
      </c>
      <c r="P38" s="11" t="n">
        <v>0.8</v>
      </c>
      <c r="Q38" s="11" t="n">
        <v>1.1</v>
      </c>
      <c r="R38" s="11" t="n"/>
      <c r="S38" s="11" t="n"/>
      <c r="T38" s="11" t="n"/>
      <c r="U38" s="11" t="n"/>
      <c r="V38" s="20">
        <f>IF(COUNT($N38:$U38)=0,"",SUM($N38:$U38))</f>
        <v>15.5</v>
      </c>
      <c r="W38" s="21">
        <f>IFERROR(IF(OR($N38="",$E38="",$E38=0,E$62="",E$62=0),"",$N38/($E38*E$62)),"")</f>
        <v>0.03128991060025543</v>
      </c>
      <c r="X38" s="21">
        <f>IFERROR(IF(OR($O38="",$F38="",$F38=0,F$62="",F$62=0),"",$O38/($F38*F$62)),"")</f>
        <v>0.10659152168586129</v>
      </c>
      <c r="Y38" s="21">
        <f>IFERROR(IF(OR($P38="",$G38="",$G38=0,G$62="",G$62=0),"",$P38/($G38*G$62)),"")</f>
        <v>0.02452483139178418</v>
      </c>
      <c r="Z38" s="21">
        <f>IFERROR(IF(OR($Q38="",$H38="",$H38=0,H$62="",H$62=0),"",$Q38/($H38*H$62)),"")</f>
        <v>0.04185692541856926</v>
      </c>
      <c r="AA38" s="21">
        <f>IFERROR(IF(OR($R38="",$I38="",$I38=0,I$62="",I$62=0),"",$R38/($I38*I$62)),"")</f>
        <v/>
      </c>
      <c r="AB38" s="21">
        <f>IFERROR(IF(OR($S38="",$J38="",$J38=0,J$62="",J$62=0),"",$S38/($J38*J$62)),"")</f>
        <v/>
      </c>
      <c r="AC38" s="21">
        <f>IFERROR(IF(OR($T38="",$K38="",$K38=0,K$62="",K$62=0),"",$T38/($K38*K$62)),"")</f>
        <v/>
      </c>
      <c r="AD38" s="21">
        <f>IFERROR(IF(OR($U38="",$L38="",$L38=0,L$62="",L$62=0),"",$U38/($L38*L$62)),"")</f>
        <v/>
      </c>
      <c r="AE38" s="20">
        <f>IF(SUMPRODUCT($E38:$L38,$E$62:$L$62)=0,"",SUMPRODUCT($E38:$L38,$E$62:$L$62))</f>
        <v>297.12</v>
      </c>
      <c r="AF38" s="21">
        <f>IFERROR(IF(OR($V38="",$AE38="",$AE38=0),"",$V38/$AE38),"")</f>
        <v>0.05216747442110931</v>
      </c>
      <c r="AG38" s="14" t="n">
        <v>9</v>
      </c>
      <c r="AH38" s="14" t="n">
        <v>20.5</v>
      </c>
      <c r="AI38" s="14" t="n">
        <v>6.2</v>
      </c>
      <c r="AJ38" s="9" t="n">
        <v>1</v>
      </c>
      <c r="AK38" s="9" t="n">
        <v>2</v>
      </c>
      <c r="AL38" s="22">
        <f>IFERROR(IF(OR($AJ38="",$D38="",$D38=0,$M$64=""),"",$AJ38/$D38*$M$64),"")</f>
        <v>1.221001221001221</v>
      </c>
      <c r="AM38" s="9" t="n">
        <v>222</v>
      </c>
      <c r="AN38" s="23">
        <f>IFERROR(IF(OR($AM38="",$D38="",$D38=0),"",$AM38/$D38),"")</f>
        <v>0.27106227106227104</v>
      </c>
      <c r="AO38" s="9" t="n">
        <v>7</v>
      </c>
      <c r="AP38" s="9" t="n">
        <v>15</v>
      </c>
      <c r="AQ38" s="22">
        <f>IFERROR(IF(OR($AO38="",$AP38="",$D38="",$D38=0,$M$64=""),"",($AO38+$AP38)/$D38*$M$64),"")</f>
        <v>26.862026862026863</v>
      </c>
      <c r="AR38" s="19">
        <f>IF(NOT(ISNUMBER($D38)),"",SUMPRODUCT(--(ISNUMBER($W38:$AD38)),--(ISNUMBER($W$63:$AD$63)),--($W38:$AD38&gt;$W$63:$AD$63))+IF(AND(ISNUMBER($AG38),ISNUMBER($AG$63),$AG38&gt;$AG$63),1,0)+IF(AND(ISNUMBER($AH38),ISNUMBER($AH$63),$AH38&gt;$AH$63),1,0)+IF(AND(ISNUMBER($AI38),ISNUMBER($AI$63),$AI38&gt;$AI$63),1,0)+IF(AND(ISNUMBER($AL38),ISNUMBER($AL$63),$AL38&gt;$AL$63),1,0)+IF(AND(ISNUMBER($AN38),ISNUMBER($AN$63),$AN38&gt;$AN$63),1,0)+IF(AND(ISNUMBER($AQ38),ISNUMBER($AQ$63),$AQ38&gt;$AQ$63),1,0))</f>
        <v>5.0</v>
      </c>
      <c r="AS38" t="str">
        <f>IF(NOT(ISNUMBER($AR38)),"",IF($AR38=0,"Semana en objetivo",IF($AR38=1,"1 indicador fuera de objetivo",$AR38&amp;" indicadores fuera de objetivo")))</f>
        <v>5 indicadores fuera de objetivo</v>
      </c>
    </row>
    <row r="39">
      <c r="A39" s="9" t="n">
        <v>35</v>
      </c>
      <c r="B39" s="18" t="n">
        <v>46258</v>
      </c>
      <c r="C39" s="9" t="n">
        <v>8</v>
      </c>
      <c r="D39" s="9" t="n">
        <v>845</v>
      </c>
      <c r="E39" s="9" t="n">
        <v>440</v>
      </c>
      <c r="F39" s="9" t="n">
        <v>367</v>
      </c>
      <c r="G39" s="9" t="n">
        <v>237</v>
      </c>
      <c r="H39" s="9" t="n">
        <v>310</v>
      </c>
      <c r="I39" s="9" t="n"/>
      <c r="J39" s="9" t="n"/>
      <c r="K39" s="9" t="n"/>
      <c r="L39" s="9" t="n"/>
      <c r="M39" s="19">
        <f>IF(COUNT($E39:$L39)=0,"",SUM($E39:$L39))</f>
        <v>1354.0</v>
      </c>
      <c r="N39" s="11" t="n">
        <v>4.8</v>
      </c>
      <c r="O39" s="11" t="n">
        <v>7.8</v>
      </c>
      <c r="P39" s="11" t="n">
        <v>0.9</v>
      </c>
      <c r="Q39" s="11" t="n">
        <v>1.1</v>
      </c>
      <c r="R39" s="11" t="n"/>
      <c r="S39" s="11" t="n"/>
      <c r="T39" s="11" t="n"/>
      <c r="U39" s="11" t="n"/>
      <c r="V39" s="20">
        <f>IF(COUNT($N39:$U39)=0,"",SUM($N39:$U39))</f>
        <v>14.6</v>
      </c>
      <c r="W39" s="21">
        <f>IFERROR(IF(OR($N39="",$E39="",$E39=0,E$62="",E$62=0),"",$N39/($E39*E$62)),"")</f>
        <v>0.0303030303030303</v>
      </c>
      <c r="X39" s="21">
        <f>IFERROR(IF(OR($O39="",$F39="",$F39=0,F$62="",F$62=0),"",$O39/($F39*F$62)),"")</f>
        <v>0.09660639088432005</v>
      </c>
      <c r="Y39" s="21">
        <f>IFERROR(IF(OR($P39="",$G39="",$G39=0,G$62="",G$62=0),"",$P39/($G39*G$62)),"")</f>
        <v>0.027124773960216998</v>
      </c>
      <c r="Z39" s="21">
        <f>IFERROR(IF(OR($Q39="",$H39="",$H39=0,H$62="",H$62=0),"",$Q39/($H39*H$62)),"")</f>
        <v>0.039426523297491044</v>
      </c>
      <c r="AA39" s="21">
        <f>IFERROR(IF(OR($R39="",$I39="",$I39=0,I$62="",I$62=0),"",$R39/($I39*I$62)),"")</f>
        <v/>
      </c>
      <c r="AB39" s="21">
        <f>IFERROR(IF(OR($S39="",$J39="",$J39=0,J$62="",J$62=0),"",$S39/($J39*J$62)),"")</f>
        <v/>
      </c>
      <c r="AC39" s="21">
        <f>IFERROR(IF(OR($T39="",$K39="",$K39=0,K$62="",K$62=0),"",$T39/($K39*K$62)),"")</f>
        <v/>
      </c>
      <c r="AD39" s="21">
        <f>IFERROR(IF(OR($U39="",$L39="",$L39=0,L$62="",L$62=0),"",$U39/($L39*L$62)),"")</f>
        <v/>
      </c>
      <c r="AE39" s="20">
        <f>IF(SUMPRODUCT($E39:$L39,$E$62:$L$62)=0,"",SUMPRODUCT($E39:$L39,$E$62:$L$62))</f>
        <v>300.21999999999997</v>
      </c>
      <c r="AF39" s="21">
        <f>IFERROR(IF(OR($V39="",$AE39="",$AE39=0),"",$V39/$AE39),"")</f>
        <v>0.04863100393045101</v>
      </c>
      <c r="AG39" s="14" t="n">
        <v>10.3</v>
      </c>
      <c r="AH39" s="14" t="n">
        <v>19.5</v>
      </c>
      <c r="AI39" s="14" t="n">
        <v>5.5</v>
      </c>
      <c r="AJ39" s="9" t="n">
        <v>0</v>
      </c>
      <c r="AK39" s="9" t="n">
        <v>0</v>
      </c>
      <c r="AL39" s="22">
        <f>IFERROR(IF(OR($AJ39="",$D39="",$D39=0,$M$64=""),"",$AJ39/$D39*$M$64),"")</f>
        <v>0.0</v>
      </c>
      <c r="AM39" s="9" t="n">
        <v>224</v>
      </c>
      <c r="AN39" s="23">
        <f>IFERROR(IF(OR($AM39="",$D39="",$D39=0),"",$AM39/$D39),"")</f>
        <v>0.2650887573964497</v>
      </c>
      <c r="AO39" s="9" t="n">
        <v>7</v>
      </c>
      <c r="AP39" s="9" t="n">
        <v>14</v>
      </c>
      <c r="AQ39" s="22">
        <f>IFERROR(IF(OR($AO39="",$AP39="",$D39="",$D39=0,$M$64=""),"",($AO39+$AP39)/$D39*$M$64),"")</f>
        <v>24.85207100591716</v>
      </c>
      <c r="AR39" s="19">
        <f>IF(NOT(ISNUMBER($D39)),"",SUMPRODUCT(--(ISNUMBER($W39:$AD39)),--(ISNUMBER($W$63:$AD$63)),--($W39:$AD39&gt;$W$63:$AD$63))+IF(AND(ISNUMBER($AG39),ISNUMBER($AG$63),$AG39&gt;$AG$63),1,0)+IF(AND(ISNUMBER($AH39),ISNUMBER($AH$63),$AH39&gt;$AH$63),1,0)+IF(AND(ISNUMBER($AI39),ISNUMBER($AI$63),$AI39&gt;$AI$63),1,0)+IF(AND(ISNUMBER($AL39),ISNUMBER($AL$63),$AL39&gt;$AL$63),1,0)+IF(AND(ISNUMBER($AN39),ISNUMBER($AN$63),$AN39&gt;$AN$63),1,0)+IF(AND(ISNUMBER($AQ39),ISNUMBER($AQ$63),$AQ39&gt;$AQ$63),1,0))</f>
        <v>5.0</v>
      </c>
      <c r="AS39" t="str">
        <f>IF(NOT(ISNUMBER($AR39)),"",IF($AR39=0,"Semana en objetivo",IF($AR39=1,"1 indicador fuera de objetivo",$AR39&amp;" indicadores fuera de objetivo")))</f>
        <v>5 indicadores fuera de objetivo</v>
      </c>
    </row>
    <row r="40">
      <c r="A40" s="9" t="n">
        <v>36</v>
      </c>
      <c r="B40" s="18" t="n">
        <v>46265</v>
      </c>
      <c r="C40" s="9" t="n">
        <v>9</v>
      </c>
      <c r="D40" s="9" t="n">
        <v>903</v>
      </c>
      <c r="E40" s="9" t="n">
        <v>455</v>
      </c>
      <c r="F40" s="9" t="n">
        <v>395</v>
      </c>
      <c r="G40" s="9" t="n">
        <v>264</v>
      </c>
      <c r="H40" s="9" t="n">
        <v>340</v>
      </c>
      <c r="I40" s="9" t="n"/>
      <c r="J40" s="9" t="n"/>
      <c r="K40" s="9" t="n"/>
      <c r="L40" s="9" t="n"/>
      <c r="M40" s="19">
        <f>IF(COUNT($E40:$L40)=0,"",SUM($E40:$L40))</f>
        <v>1454.0</v>
      </c>
      <c r="N40" s="11" t="n">
        <v>5.7</v>
      </c>
      <c r="O40" s="11" t="n">
        <v>4.2</v>
      </c>
      <c r="P40" s="11" t="n">
        <v>0.8</v>
      </c>
      <c r="Q40" s="11" t="n">
        <v>1.1</v>
      </c>
      <c r="R40" s="11" t="n"/>
      <c r="S40" s="11" t="n"/>
      <c r="T40" s="11" t="n"/>
      <c r="U40" s="11" t="n"/>
      <c r="V40" s="20">
        <f>IF(COUNT($N40:$U40)=0,"",SUM($N40:$U40))</f>
        <v>11.8</v>
      </c>
      <c r="W40" s="21">
        <f>IFERROR(IF(OR($N40="",$E40="",$E40=0,E$62="",E$62=0),"",$N40/($E40*E$62)),"")</f>
        <v>0.0347985347985348</v>
      </c>
      <c r="X40" s="21">
        <f>IFERROR(IF(OR($O40="",$F40="",$F40=0,F$62="",F$62=0),"",$O40/($F40*F$62)),"")</f>
        <v>0.04833141542002301</v>
      </c>
      <c r="Y40" s="21">
        <f>IFERROR(IF(OR($P40="",$G40="",$G40=0,G$62="",G$62=0),"",$P40/($G40*G$62)),"")</f>
        <v>0.021645021645021644</v>
      </c>
      <c r="Z40" s="21">
        <f>IFERROR(IF(OR($Q40="",$H40="",$H40=0,H$62="",H$62=0),"",$Q40/($H40*H$62)),"")</f>
        <v>0.03594771241830066</v>
      </c>
      <c r="AA40" s="21">
        <f>IFERROR(IF(OR($R40="",$I40="",$I40=0,I$62="",I$62=0),"",$R40/($I40*I$62)),"")</f>
        <v/>
      </c>
      <c r="AB40" s="21">
        <f>IFERROR(IF(OR($S40="",$J40="",$J40=0,J$62="",J$62=0),"",$S40/($J40*J$62)),"")</f>
        <v/>
      </c>
      <c r="AC40" s="21">
        <f>IFERROR(IF(OR($T40="",$K40="",$K40=0,K$62="",K$62=0),"",$T40/($K40*K$62)),"")</f>
        <v/>
      </c>
      <c r="AD40" s="21">
        <f>IFERROR(IF(OR($U40="",$L40="",$L40=0,L$62="",L$62=0),"",$U40/($L40*L$62)),"")</f>
        <v/>
      </c>
      <c r="AE40" s="20">
        <f>IF(SUMPRODUCT($E40:$L40,$E$62:$L$62)=0,"",SUMPRODUCT($E40:$L40,$E$62:$L$62))</f>
        <v>318.26</v>
      </c>
      <c r="AF40" s="21">
        <f>IFERROR(IF(OR($V40="",$AE40="",$AE40=0),"",$V40/$AE40),"")</f>
        <v>0.03707660403443726</v>
      </c>
      <c r="AG40" s="14" t="n">
        <v>9.800000000000001</v>
      </c>
      <c r="AH40" s="14" t="n">
        <v>15.9</v>
      </c>
      <c r="AI40" s="14" t="n">
        <v>6.1</v>
      </c>
      <c r="AJ40" s="9" t="n">
        <v>0</v>
      </c>
      <c r="AK40" s="9" t="n">
        <v>0</v>
      </c>
      <c r="AL40" s="22">
        <f>IFERROR(IF(OR($AJ40="",$D40="",$D40=0,$M$64=""),"",$AJ40/$D40*$M$64),"")</f>
        <v>0.0</v>
      </c>
      <c r="AM40" s="9" t="n">
        <v>229</v>
      </c>
      <c r="AN40" s="23">
        <f>IFERROR(IF(OR($AM40="",$D40="",$D40=0),"",$AM40/$D40),"")</f>
        <v>0.25359911406423036</v>
      </c>
      <c r="AO40" s="9" t="n">
        <v>4</v>
      </c>
      <c r="AP40" s="9" t="n">
        <v>8</v>
      </c>
      <c r="AQ40" s="22">
        <f>IFERROR(IF(OR($AO40="",$AP40="",$D40="",$D40=0,$M$64=""),"",($AO40+$AP40)/$D40*$M$64),"")</f>
        <v>13.289036544850498</v>
      </c>
      <c r="AR40" s="19">
        <f>IF(NOT(ISNUMBER($D40)),"",SUMPRODUCT(--(ISNUMBER($W40:$AD40)),--(ISNUMBER($W$63:$AD$63)),--($W40:$AD40&gt;$W$63:$AD$63))+IF(AND(ISNUMBER($AG40),ISNUMBER($AG$63),$AG40&gt;$AG$63),1,0)+IF(AND(ISNUMBER($AH40),ISNUMBER($AH$63),$AH40&gt;$AH$63),1,0)+IF(AND(ISNUMBER($AI40),ISNUMBER($AI$63),$AI40&gt;$AI$63),1,0)+IF(AND(ISNUMBER($AL40),ISNUMBER($AL$63),$AL40&gt;$AL$63),1,0)+IF(AND(ISNUMBER($AN40),ISNUMBER($AN$63),$AN40&gt;$AN$63),1,0)+IF(AND(ISNUMBER($AQ40),ISNUMBER($AQ$63),$AQ40&gt;$AQ$63),1,0))</f>
        <v>0.0</v>
      </c>
      <c r="AS40" t="str">
        <f>IF(NOT(ISNUMBER($AR40)),"",IF($AR40=0,"Semana en objetivo",IF($AR40=1,"1 indicador fuera de objetivo",$AR40&amp;" indicadores fuera de objetivo")))</f>
        <v>Semana en objetivo</v>
      </c>
    </row>
    <row r="41">
      <c r="A41" s="9" t="n">
        <v>37</v>
      </c>
      <c r="B41" s="18" t="n">
        <v>46272</v>
      </c>
      <c r="C41" s="9" t="n">
        <v>9</v>
      </c>
      <c r="D41" s="9" t="n">
        <v>958</v>
      </c>
      <c r="E41" s="9" t="n">
        <v>497</v>
      </c>
      <c r="F41" s="9" t="n">
        <v>436</v>
      </c>
      <c r="G41" s="9" t="n">
        <v>280</v>
      </c>
      <c r="H41" s="9" t="n">
        <v>348</v>
      </c>
      <c r="I41" s="9" t="n"/>
      <c r="J41" s="9" t="n"/>
      <c r="K41" s="9" t="n"/>
      <c r="L41" s="9" t="n"/>
      <c r="M41" s="19">
        <f>IF(COUNT($E41:$L41)=0,"",SUM($E41:$L41))</f>
        <v>1561.0</v>
      </c>
      <c r="N41" s="11" t="n">
        <v>5.4</v>
      </c>
      <c r="O41" s="11" t="n">
        <v>4.3</v>
      </c>
      <c r="P41" s="11" t="n">
        <v>1</v>
      </c>
      <c r="Q41" s="11" t="n">
        <v>1.4</v>
      </c>
      <c r="R41" s="11" t="n"/>
      <c r="S41" s="11" t="n"/>
      <c r="T41" s="11" t="n"/>
      <c r="U41" s="11" t="n"/>
      <c r="V41" s="20">
        <f>IF(COUNT($N41:$U41)=0,"",SUM($N41:$U41))</f>
        <v>12.1</v>
      </c>
      <c r="W41" s="21">
        <f>IFERROR(IF(OR($N41="",$E41="",$E41=0,E$62="",E$62=0),"",$N41/($E41*E$62)),"")</f>
        <v>0.03018108651911469</v>
      </c>
      <c r="X41" s="21">
        <f>IFERROR(IF(OR($O41="",$F41="",$F41=0,F$62="",F$62=0),"",$O41/($F41*F$62)),"")</f>
        <v>0.04482902418682235</v>
      </c>
      <c r="Y41" s="21">
        <f>IFERROR(IF(OR($P41="",$G41="",$G41=0,G$62="",G$62=0),"",$P41/($G41*G$62)),"")</f>
        <v>0.02551020408163265</v>
      </c>
      <c r="Z41" s="21">
        <f>IFERROR(IF(OR($Q41="",$H41="",$H41=0,H$62="",H$62=0),"",$Q41/($H41*H$62)),"")</f>
        <v>0.04469987228607918</v>
      </c>
      <c r="AA41" s="21">
        <f>IFERROR(IF(OR($R41="",$I41="",$I41=0,I$62="",I$62=0),"",$R41/($I41*I$62)),"")</f>
        <v/>
      </c>
      <c r="AB41" s="21">
        <f>IFERROR(IF(OR($S41="",$J41="",$J41=0,J$62="",J$62=0),"",$S41/($J41*J$62)),"")</f>
        <v/>
      </c>
      <c r="AC41" s="21">
        <f>IFERROR(IF(OR($T41="",$K41="",$K41=0,K$62="",K$62=0),"",$T41/($K41*K$62)),"")</f>
        <v/>
      </c>
      <c r="AD41" s="21">
        <f>IFERROR(IF(OR($U41="",$L41="",$L41=0,L$62="",L$62=0),"",$U41/($L41*L$62)),"")</f>
        <v/>
      </c>
      <c r="AE41" s="20">
        <f>IF(SUMPRODUCT($E41:$L41,$E$62:$L$62)=0,"",SUMPRODUCT($E41:$L41,$E$62:$L$62))</f>
        <v>345.36</v>
      </c>
      <c r="AF41" s="21">
        <f>IFERROR(IF(OR($V41="",$AE41="",$AE41=0),"",$V41/$AE41),"")</f>
        <v>0.035035904563354175</v>
      </c>
      <c r="AG41" s="14" t="n">
        <v>9.6</v>
      </c>
      <c r="AH41" s="14" t="n">
        <v>14.4</v>
      </c>
      <c r="AI41" s="14" t="n">
        <v>7.3</v>
      </c>
      <c r="AJ41" s="9" t="n">
        <v>0</v>
      </c>
      <c r="AK41" s="9" t="n">
        <v>0</v>
      </c>
      <c r="AL41" s="22">
        <f>IFERROR(IF(OR($AJ41="",$D41="",$D41=0,$M$64=""),"",$AJ41/$D41*$M$64),"")</f>
        <v>0.0</v>
      </c>
      <c r="AM41" s="9" t="n">
        <v>234</v>
      </c>
      <c r="AN41" s="23">
        <f>IFERROR(IF(OR($AM41="",$D41="",$D41=0),"",$AM41/$D41),"")</f>
        <v>0.24425887265135698</v>
      </c>
      <c r="AO41" s="9" t="n">
        <v>3</v>
      </c>
      <c r="AP41" s="9" t="n">
        <v>8</v>
      </c>
      <c r="AQ41" s="22">
        <f>IFERROR(IF(OR($AO41="",$AP41="",$D41="",$D41=0,$M$64=""),"",($AO41+$AP41)/$D41*$M$64),"")</f>
        <v>11.482254697286013</v>
      </c>
      <c r="AR41" s="19">
        <f>IF(NOT(ISNUMBER($D41)),"",SUMPRODUCT(--(ISNUMBER($W41:$AD41)),--(ISNUMBER($W$63:$AD$63)),--($W41:$AD41&gt;$W$63:$AD$63))+IF(AND(ISNUMBER($AG41),ISNUMBER($AG$63),$AG41&gt;$AG$63),1,0)+IF(AND(ISNUMBER($AH41),ISNUMBER($AH$63),$AH41&gt;$AH$63),1,0)+IF(AND(ISNUMBER($AI41),ISNUMBER($AI$63),$AI41&gt;$AI$63),1,0)+IF(AND(ISNUMBER($AL41),ISNUMBER($AL$63),$AL41&gt;$AL$63),1,0)+IF(AND(ISNUMBER($AN41),ISNUMBER($AN$63),$AN41&gt;$AN$63),1,0)+IF(AND(ISNUMBER($AQ41),ISNUMBER($AQ$63),$AQ41&gt;$AQ$63),1,0))</f>
        <v>0.0</v>
      </c>
      <c r="AS41" t="str">
        <f>IF(NOT(ISNUMBER($AR41)),"",IF($AR41=0,"Semana en objetivo",IF($AR41=1,"1 indicador fuera de objetivo",$AR41&amp;" indicadores fuera de objetivo")))</f>
        <v>Semana en objetivo</v>
      </c>
    </row>
    <row r="42">
      <c r="A42" s="9" t="n">
        <v>38</v>
      </c>
      <c r="B42" s="18" t="n">
        <v>46279</v>
      </c>
      <c r="C42" s="9" t="n">
        <v>9</v>
      </c>
      <c r="D42" s="9" t="n">
        <v>981</v>
      </c>
      <c r="E42" s="9" t="n">
        <v>522</v>
      </c>
      <c r="F42" s="9" t="n">
        <v>438</v>
      </c>
      <c r="G42" s="9" t="n">
        <v>275</v>
      </c>
      <c r="H42" s="9" t="n">
        <v>351</v>
      </c>
      <c r="I42" s="9" t="n"/>
      <c r="J42" s="9" t="n"/>
      <c r="K42" s="9" t="n"/>
      <c r="L42" s="9" t="n"/>
      <c r="M42" s="19">
        <f>IF(COUNT($E42:$L42)=0,"",SUM($E42:$L42))</f>
        <v>1586.0</v>
      </c>
      <c r="N42" s="11" t="n">
        <v>6</v>
      </c>
      <c r="O42" s="11" t="n">
        <v>5</v>
      </c>
      <c r="P42" s="11" t="n">
        <v>1</v>
      </c>
      <c r="Q42" s="11" t="n">
        <v>1.2</v>
      </c>
      <c r="R42" s="11" t="n"/>
      <c r="S42" s="11" t="n"/>
      <c r="T42" s="11" t="n"/>
      <c r="U42" s="11" t="n"/>
      <c r="V42" s="20">
        <f>IF(COUNT($N42:$U42)=0,"",SUM($N42:$U42))</f>
        <v>13.2</v>
      </c>
      <c r="W42" s="21">
        <f>IFERROR(IF(OR($N42="",$E42="",$E42=0,E$62="",E$62=0),"",$N42/($E42*E$62)),"")</f>
        <v>0.031928480204342274</v>
      </c>
      <c r="X42" s="21">
        <f>IFERROR(IF(OR($O42="",$F42="",$F42=0,F$62="",F$62=0),"",$O42/($F42*F$62)),"")</f>
        <v>0.05188875051888751</v>
      </c>
      <c r="Y42" s="21">
        <f>IFERROR(IF(OR($P42="",$G42="",$G42=0,G$62="",G$62=0),"",$P42/($G42*G$62)),"")</f>
        <v>0.02597402597402597</v>
      </c>
      <c r="Z42" s="21">
        <f>IFERROR(IF(OR($Q42="",$H42="",$H42=0,H$62="",H$62=0),"",$Q42/($H42*H$62)),"")</f>
        <v>0.03798670465337132</v>
      </c>
      <c r="AA42" s="21">
        <f>IFERROR(IF(OR($R42="",$I42="",$I42=0,I$62="",I$62=0),"",$R42/($I42*I$62)),"")</f>
        <v/>
      </c>
      <c r="AB42" s="21">
        <f>IFERROR(IF(OR($S42="",$J42="",$J42=0,J$62="",J$62=0),"",$S42/($J42*J$62)),"")</f>
        <v/>
      </c>
      <c r="AC42" s="21">
        <f>IFERROR(IF(OR($T42="",$K42="",$K42=0,K$62="",K$62=0),"",$T42/($K42*K$62)),"")</f>
        <v/>
      </c>
      <c r="AD42" s="21">
        <f>IFERROR(IF(OR($U42="",$L42="",$L42=0,L$62="",L$62=0),"",$U42/($L42*L$62)),"")</f>
        <v/>
      </c>
      <c r="AE42" s="20">
        <f>IF(SUMPRODUCT($E42:$L42,$E$62:$L$62)=0,"",SUMPRODUCT($E42:$L42,$E$62:$L$62))</f>
        <v>354.37</v>
      </c>
      <c r="AF42" s="21">
        <f>IFERROR(IF(OR($V42="",$AE42="",$AE42=0),"",$V42/$AE42),"")</f>
        <v>0.03724920281062166</v>
      </c>
      <c r="AG42" s="14" t="n">
        <v>8.5</v>
      </c>
      <c r="AH42" s="14" t="n">
        <v>13.8</v>
      </c>
      <c r="AI42" s="14" t="n">
        <v>7.7</v>
      </c>
      <c r="AJ42" s="9" t="n">
        <v>1</v>
      </c>
      <c r="AK42" s="9" t="n">
        <v>1</v>
      </c>
      <c r="AL42" s="22">
        <f>IFERROR(IF(OR($AJ42="",$D42="",$D42=0,$M$64=""),"",$AJ42/$D42*$M$64),"")</f>
        <v>1.0193679918450562</v>
      </c>
      <c r="AM42" s="9" t="n">
        <v>235</v>
      </c>
      <c r="AN42" s="23">
        <f>IFERROR(IF(OR($AM42="",$D42="",$D42=0),"",$AM42/$D42),"")</f>
        <v>0.23955147808358818</v>
      </c>
      <c r="AO42" s="9" t="n">
        <v>4</v>
      </c>
      <c r="AP42" s="9" t="n">
        <v>10</v>
      </c>
      <c r="AQ42" s="22">
        <f>IFERROR(IF(OR($AO42="",$AP42="",$D42="",$D42=0,$M$64=""),"",($AO42+$AP42)/$D42*$M$64),"")</f>
        <v>14.271151885830784</v>
      </c>
      <c r="AR42" s="19">
        <f>IF(NOT(ISNUMBER($D42)),"",SUMPRODUCT(--(ISNUMBER($W42:$AD42)),--(ISNUMBER($W$63:$AD$63)),--($W42:$AD42&gt;$W$63:$AD$63))+IF(AND(ISNUMBER($AG42),ISNUMBER($AG$63),$AG42&gt;$AG$63),1,0)+IF(AND(ISNUMBER($AH42),ISNUMBER($AH$63),$AH42&gt;$AH$63),1,0)+IF(AND(ISNUMBER($AI42),ISNUMBER($AI$63),$AI42&gt;$AI$63),1,0)+IF(AND(ISNUMBER($AL42),ISNUMBER($AL$63),$AL42&gt;$AL$63),1,0)+IF(AND(ISNUMBER($AN42),ISNUMBER($AN$63),$AN42&gt;$AN$63),1,0)+IF(AND(ISNUMBER($AQ42),ISNUMBER($AQ$63),$AQ42&gt;$AQ$63),1,0))</f>
        <v>1.0</v>
      </c>
      <c r="AS42" t="str">
        <f>IF(NOT(ISNUMBER($AR42)),"",IF($AR42=0,"Semana en objetivo",IF($AR42=1,"1 indicador fuera de objetivo",$AR42&amp;" indicadores fuera de objetivo")))</f>
        <v>1 indicador fuera de objetivo</v>
      </c>
    </row>
    <row r="43">
      <c r="A43" s="9" t="n">
        <v>39</v>
      </c>
      <c r="B43" s="18" t="n">
        <v>46286</v>
      </c>
      <c r="C43" s="9" t="n">
        <v>9</v>
      </c>
      <c r="D43" s="9" t="n">
        <v>969</v>
      </c>
      <c r="E43" s="9" t="n">
        <v>497</v>
      </c>
      <c r="F43" s="9" t="n">
        <v>418</v>
      </c>
      <c r="G43" s="9" t="n">
        <v>274</v>
      </c>
      <c r="H43" s="9" t="n">
        <v>361</v>
      </c>
      <c r="I43" s="9" t="n"/>
      <c r="J43" s="9" t="n"/>
      <c r="K43" s="9" t="n"/>
      <c r="L43" s="9" t="n"/>
      <c r="M43" s="19">
        <f>IF(COUNT($E43:$L43)=0,"",SUM($E43:$L43))</f>
        <v>1550.0</v>
      </c>
      <c r="N43" s="11" t="n">
        <v>6.1</v>
      </c>
      <c r="O43" s="11" t="n">
        <v>4.2</v>
      </c>
      <c r="P43" s="11" t="n">
        <v>0.8</v>
      </c>
      <c r="Q43" s="11" t="n">
        <v>1.3</v>
      </c>
      <c r="R43" s="11" t="n"/>
      <c r="S43" s="11" t="n"/>
      <c r="T43" s="11" t="n"/>
      <c r="U43" s="11" t="n"/>
      <c r="V43" s="20">
        <f>IF(COUNT($N43:$U43)=0,"",SUM($N43:$U43))</f>
        <v>12.400000000000002</v>
      </c>
      <c r="W43" s="21">
        <f>IFERROR(IF(OR($N43="",$E43="",$E43=0,E$62="",E$62=0),"",$N43/($E43*E$62)),"")</f>
        <v>0.03409344958640733</v>
      </c>
      <c r="X43" s="21">
        <f>IFERROR(IF(OR($O43="",$F43="",$F43=0,F$62="",F$62=0),"",$O43/($F43*F$62)),"")</f>
        <v>0.04567203131796434</v>
      </c>
      <c r="Y43" s="21">
        <f>IFERROR(IF(OR($P43="",$G43="",$G43=0,G$62="",G$62=0),"",$P43/($G43*G$62)),"")</f>
        <v>0.020855057351407715</v>
      </c>
      <c r="Z43" s="21">
        <f>IFERROR(IF(OR($Q43="",$H43="",$H43=0,H$62="",H$62=0),"",$Q43/($H43*H$62)),"")</f>
        <v>0.040012311480455524</v>
      </c>
      <c r="AA43" s="21">
        <f>IFERROR(IF(OR($R43="",$I43="",$I43=0,I$62="",I$62=0),"",$R43/($I43*I$62)),"")</f>
        <v/>
      </c>
      <c r="AB43" s="21">
        <f>IFERROR(IF(OR($S43="",$J43="",$J43=0,J$62="",J$62=0),"",$S43/($J43*J$62)),"")</f>
        <v/>
      </c>
      <c r="AC43" s="21">
        <f>IFERROR(IF(OR($T43="",$K43="",$K43=0,K$62="",K$62=0),"",$T43/($K43*K$62)),"")</f>
        <v/>
      </c>
      <c r="AD43" s="21">
        <f>IFERROR(IF(OR($U43="",$L43="",$L43=0,L$62="",L$62=0),"",$U43/($L43*L$62)),"")</f>
        <v/>
      </c>
      <c r="AE43" s="20">
        <f>IF(SUMPRODUCT($E43:$L43,$E$62:$L$62)=0,"",SUMPRODUCT($E43:$L43,$E$62:$L$62))</f>
        <v>341.73</v>
      </c>
      <c r="AF43" s="21">
        <f>IFERROR(IF(OR($V43="",$AE43="",$AE43=0),"",$V43/$AE43),"")</f>
        <v>0.03628595674948059</v>
      </c>
      <c r="AG43" s="14" t="n">
        <v>7.3</v>
      </c>
      <c r="AH43" s="14" t="n">
        <v>14.5</v>
      </c>
      <c r="AI43" s="14" t="n">
        <v>6.8</v>
      </c>
      <c r="AJ43" s="9" t="n">
        <v>0</v>
      </c>
      <c r="AK43" s="9" t="n">
        <v>0</v>
      </c>
      <c r="AL43" s="22">
        <f>IFERROR(IF(OR($AJ43="",$D43="",$D43=0,$M$64=""),"",$AJ43/$D43*$M$64),"")</f>
        <v>0.0</v>
      </c>
      <c r="AM43" s="9" t="n">
        <v>233</v>
      </c>
      <c r="AN43" s="23">
        <f>IFERROR(IF(OR($AM43="",$D43="",$D43=0),"",$AM43/$D43),"")</f>
        <v>0.24045407636738905</v>
      </c>
      <c r="AO43" s="9" t="n">
        <v>6</v>
      </c>
      <c r="AP43" s="9" t="n">
        <v>12</v>
      </c>
      <c r="AQ43" s="22">
        <f>IFERROR(IF(OR($AO43="",$AP43="",$D43="",$D43=0,$M$64=""),"",($AO43+$AP43)/$D43*$M$64),"")</f>
        <v>18.575851393188852</v>
      </c>
      <c r="AR43" s="19">
        <f>IF(NOT(ISNUMBER($D43)),"",SUMPRODUCT(--(ISNUMBER($W43:$AD43)),--(ISNUMBER($W$63:$AD$63)),--($W43:$AD43&gt;$W$63:$AD$63))+IF(AND(ISNUMBER($AG43),ISNUMBER($AG$63),$AG43&gt;$AG$63),1,0)+IF(AND(ISNUMBER($AH43),ISNUMBER($AH$63),$AH43&gt;$AH$63),1,0)+IF(AND(ISNUMBER($AI43),ISNUMBER($AI$63),$AI43&gt;$AI$63),1,0)+IF(AND(ISNUMBER($AL43),ISNUMBER($AL$63),$AL43&gt;$AL$63),1,0)+IF(AND(ISNUMBER($AN43),ISNUMBER($AN$63),$AN43&gt;$AN$63),1,0)+IF(AND(ISNUMBER($AQ43),ISNUMBER($AQ$63),$AQ43&gt;$AQ$63),1,0))</f>
        <v>0.0</v>
      </c>
      <c r="AS43" t="str">
        <f>IF(NOT(ISNUMBER($AR43)),"",IF($AR43=0,"Semana en objetivo",IF($AR43=1,"1 indicador fuera de objetivo",$AR43&amp;" indicadores fuera de objetivo")))</f>
        <v>Semana en objetivo</v>
      </c>
    </row>
    <row r="44">
      <c r="A44" s="9" t="n">
        <v>40</v>
      </c>
      <c r="B44" s="18" t="n">
        <v>46293</v>
      </c>
      <c r="C44" s="9" t="n">
        <v>10</v>
      </c>
      <c r="D44" s="9" t="n">
        <v>892</v>
      </c>
      <c r="E44" s="9" t="n">
        <v>450</v>
      </c>
      <c r="F44" s="9" t="n">
        <v>396</v>
      </c>
      <c r="G44" s="9" t="n">
        <v>263</v>
      </c>
      <c r="H44" s="9" t="n">
        <v>334</v>
      </c>
      <c r="I44" s="9" t="n"/>
      <c r="J44" s="9" t="n"/>
      <c r="K44" s="9" t="n"/>
      <c r="L44" s="9" t="n"/>
      <c r="M44" s="19">
        <f>IF(COUNT($E44:$L44)=0,"",SUM($E44:$L44))</f>
        <v>1443.0</v>
      </c>
      <c r="N44" s="11" t="n">
        <v>4.7</v>
      </c>
      <c r="O44" s="11" t="n">
        <v>4.1</v>
      </c>
      <c r="P44" s="11" t="n">
        <v>0.9</v>
      </c>
      <c r="Q44" s="11" t="n">
        <v>1.3</v>
      </c>
      <c r="R44" s="11" t="n"/>
      <c r="S44" s="11" t="n"/>
      <c r="T44" s="11" t="n"/>
      <c r="U44" s="11" t="n"/>
      <c r="V44" s="20">
        <f>IF(COUNT($N44:$U44)=0,"",SUM($N44:$U44))</f>
        <v>11.000000000000002</v>
      </c>
      <c r="W44" s="21">
        <f>IFERROR(IF(OR($N44="",$E44="",$E44=0,E$62="",E$62=0),"",$N44/($E44*E$62)),"")</f>
        <v>0.029012345679012348</v>
      </c>
      <c r="X44" s="21">
        <f>IFERROR(IF(OR($O44="",$F44="",$F44=0,F$62="",F$62=0),"",$O44/($F44*F$62)),"")</f>
        <v>0.0470615243342516</v>
      </c>
      <c r="Y44" s="21">
        <f>IFERROR(IF(OR($P44="",$G44="",$G44=0,G$62="",G$62=0),"",$P44/($G44*G$62)),"")</f>
        <v>0.024443237370994027</v>
      </c>
      <c r="Z44" s="21">
        <f>IFERROR(IF(OR($Q44="",$H44="",$H44=0,H$62="",H$62=0),"",$Q44/($H44*H$62)),"")</f>
        <v>0.04324683965402529</v>
      </c>
      <c r="AA44" s="21">
        <f>IFERROR(IF(OR($R44="",$I44="",$I44=0,I$62="",I$62=0),"",$R44/($I44*I$62)),"")</f>
        <v/>
      </c>
      <c r="AB44" s="21">
        <f>IFERROR(IF(OR($S44="",$J44="",$J44=0,J$62="",J$62=0),"",$S44/($J44*J$62)),"")</f>
        <v/>
      </c>
      <c r="AC44" s="21">
        <f>IFERROR(IF(OR($T44="",$K44="",$K44=0,K$62="",K$62=0),"",$T44/($K44*K$62)),"")</f>
        <v/>
      </c>
      <c r="AD44" s="21">
        <f>IFERROR(IF(OR($U44="",$L44="",$L44=0,L$62="",L$62=0),"",$U44/($L44*L$62)),"")</f>
        <v/>
      </c>
      <c r="AE44" s="20">
        <f>IF(SUMPRODUCT($E44:$L44,$E$62:$L$62)=0,"",SUMPRODUCT($E44:$L44,$E$62:$L$62))</f>
        <v>316.0</v>
      </c>
      <c r="AF44" s="21">
        <f>IFERROR(IF(OR($V44="",$AE44="",$AE44=0),"",$V44/$AE44),"")</f>
        <v>0.034810126582278486</v>
      </c>
      <c r="AG44" s="14" t="n">
        <v>6.9</v>
      </c>
      <c r="AH44" s="14" t="n">
        <v>16.2</v>
      </c>
      <c r="AI44" s="14" t="n">
        <v>5.7</v>
      </c>
      <c r="AJ44" s="9" t="n">
        <v>0</v>
      </c>
      <c r="AK44" s="9" t="n">
        <v>0</v>
      </c>
      <c r="AL44" s="22">
        <f>IFERROR(IF(OR($AJ44="",$D44="",$D44=0,$M$64=""),"",$AJ44/$D44*$M$64),"")</f>
        <v>0.0</v>
      </c>
      <c r="AM44" s="9" t="n">
        <v>224</v>
      </c>
      <c r="AN44" s="23">
        <f>IFERROR(IF(OR($AM44="",$D44="",$D44=0),"",$AM44/$D44),"")</f>
        <v>0.25112107623318386</v>
      </c>
      <c r="AO44" s="9" t="n">
        <v>5</v>
      </c>
      <c r="AP44" s="9" t="n">
        <v>11</v>
      </c>
      <c r="AQ44" s="22">
        <f>IFERROR(IF(OR($AO44="",$AP44="",$D44="",$D44=0,$M$64=""),"",($AO44+$AP44)/$D44*$M$64),"")</f>
        <v>17.937219730941703</v>
      </c>
      <c r="AR44" s="19">
        <f>IF(NOT(ISNUMBER($D44)),"",SUMPRODUCT(--(ISNUMBER($W44:$AD44)),--(ISNUMBER($W$63:$AD$63)),--($W44:$AD44&gt;$W$63:$AD$63))+IF(AND(ISNUMBER($AG44),ISNUMBER($AG$63),$AG44&gt;$AG$63),1,0)+IF(AND(ISNUMBER($AH44),ISNUMBER($AH$63),$AH44&gt;$AH$63),1,0)+IF(AND(ISNUMBER($AI44),ISNUMBER($AI$63),$AI44&gt;$AI$63),1,0)+IF(AND(ISNUMBER($AL44),ISNUMBER($AL$63),$AL44&gt;$AL$63),1,0)+IF(AND(ISNUMBER($AN44),ISNUMBER($AN$63),$AN44&gt;$AN$63),1,0)+IF(AND(ISNUMBER($AQ44),ISNUMBER($AQ$63),$AQ44&gt;$AQ$63),1,0))</f>
        <v>0.0</v>
      </c>
      <c r="AS44" t="str">
        <f>IF(NOT(ISNUMBER($AR44)),"",IF($AR44=0,"Semana en objetivo",IF($AR44=1,"1 indicador fuera de objetivo",$AR44&amp;" indicadores fuera de objetivo")))</f>
        <v>Semana en objetivo</v>
      </c>
    </row>
    <row r="45">
      <c r="A45" s="9" t="n">
        <v>41</v>
      </c>
      <c r="B45" s="18" t="n">
        <v>46300</v>
      </c>
      <c r="C45" s="9" t="n">
        <v>10</v>
      </c>
      <c r="D45" s="9" t="n">
        <v>909</v>
      </c>
      <c r="E45" s="9" t="n">
        <v>478</v>
      </c>
      <c r="F45" s="9" t="n">
        <v>414</v>
      </c>
      <c r="G45" s="9" t="n">
        <v>263</v>
      </c>
      <c r="H45" s="9" t="n">
        <v>326</v>
      </c>
      <c r="I45" s="9" t="n"/>
      <c r="J45" s="9" t="n"/>
      <c r="K45" s="9" t="n"/>
      <c r="L45" s="9" t="n"/>
      <c r="M45" s="19">
        <f>IF(COUNT($E45:$L45)=0,"",SUM($E45:$L45))</f>
        <v>1481.0</v>
      </c>
      <c r="N45" s="11" t="n">
        <v>5.8</v>
      </c>
      <c r="O45" s="11" t="n">
        <v>4.7</v>
      </c>
      <c r="P45" s="11" t="n">
        <v>0.9</v>
      </c>
      <c r="Q45" s="11" t="n">
        <v>1.1</v>
      </c>
      <c r="R45" s="11" t="n"/>
      <c r="S45" s="11" t="n"/>
      <c r="T45" s="11" t="n"/>
      <c r="U45" s="11" t="n"/>
      <c r="V45" s="20">
        <f>IF(COUNT($N45:$U45)=0,"",SUM($N45:$U45))</f>
        <v>12.5</v>
      </c>
      <c r="W45" s="21">
        <f>IFERROR(IF(OR($N45="",$E45="",$E45=0,E$62="",E$62=0),"",$N45/($E45*E$62)),"")</f>
        <v>0.03370525337052534</v>
      </c>
      <c r="X45" s="21">
        <f>IFERROR(IF(OR($O45="",$F45="",$F45=0,F$62="",F$62=0),"",$O45/($F45*F$62)),"")</f>
        <v>0.05160298638559509</v>
      </c>
      <c r="Y45" s="21">
        <f>IFERROR(IF(OR($P45="",$G45="",$G45=0,G$62="",G$62=0),"",$P45/($G45*G$62)),"")</f>
        <v>0.024443237370994027</v>
      </c>
      <c r="Z45" s="21">
        <f>IFERROR(IF(OR($Q45="",$H45="",$H45=0,H$62="",H$62=0),"",$Q45/($H45*H$62)),"")</f>
        <v>0.03749147920927062</v>
      </c>
      <c r="AA45" s="21">
        <f>IFERROR(IF(OR($R45="",$I45="",$I45=0,I$62="",I$62=0),"",$R45/($I45*I$62)),"")</f>
        <v/>
      </c>
      <c r="AB45" s="21">
        <f>IFERROR(IF(OR($S45="",$J45="",$J45=0,J$62="",J$62=0),"",$S45/($J45*J$62)),"")</f>
        <v/>
      </c>
      <c r="AC45" s="21">
        <f>IFERROR(IF(OR($T45="",$K45="",$K45=0,K$62="",K$62=0),"",$T45/($K45*K$62)),"")</f>
        <v/>
      </c>
      <c r="AD45" s="21">
        <f>IFERROR(IF(OR($U45="",$L45="",$L45=0,L$62="",L$62=0),"",$U45/($L45*L$62)),"")</f>
        <v/>
      </c>
      <c r="AE45" s="20">
        <f>IF(SUMPRODUCT($E45:$L45,$E$62:$L$62)=0,"",SUMPRODUCT($E45:$L45,$E$62:$L$62))</f>
        <v>329.31999999999994</v>
      </c>
      <c r="AF45" s="21">
        <f>IFERROR(IF(OR($V45="",$AE45="",$AE45=0),"",$V45/$AE45),"")</f>
        <v>0.037957002307785745</v>
      </c>
      <c r="AG45" s="14" t="n">
        <v>7.7</v>
      </c>
      <c r="AH45" s="14" t="n">
        <v>17.8</v>
      </c>
      <c r="AI45" s="14" t="n">
        <v>5.7</v>
      </c>
      <c r="AJ45" s="9" t="n">
        <v>0</v>
      </c>
      <c r="AK45" s="9" t="n">
        <v>0</v>
      </c>
      <c r="AL45" s="22">
        <f>IFERROR(IF(OR($AJ45="",$D45="",$D45=0,$M$64=""),"",$AJ45/$D45*$M$64),"")</f>
        <v>0.0</v>
      </c>
      <c r="AM45" s="9" t="n">
        <v>227</v>
      </c>
      <c r="AN45" s="23">
        <f>IFERROR(IF(OR($AM45="",$D45="",$D45=0),"",$AM45/$D45),"")</f>
        <v>0.24972497249724973</v>
      </c>
      <c r="AO45" s="9" t="n">
        <v>3</v>
      </c>
      <c r="AP45" s="9" t="n">
        <v>10</v>
      </c>
      <c r="AQ45" s="22">
        <f>IFERROR(IF(OR($AO45="",$AP45="",$D45="",$D45=0,$M$64=""),"",($AO45+$AP45)/$D45*$M$64),"")</f>
        <v>14.301430143014302</v>
      </c>
      <c r="AR45" s="19">
        <f>IF(NOT(ISNUMBER($D45)),"",SUMPRODUCT(--(ISNUMBER($W45:$AD45)),--(ISNUMBER($W$63:$AD$63)),--($W45:$AD45&gt;$W$63:$AD$63))+IF(AND(ISNUMBER($AG45),ISNUMBER($AG$63),$AG45&gt;$AG$63),1,0)+IF(AND(ISNUMBER($AH45),ISNUMBER($AH$63),$AH45&gt;$AH$63),1,0)+IF(AND(ISNUMBER($AI45),ISNUMBER($AI$63),$AI45&gt;$AI$63),1,0)+IF(AND(ISNUMBER($AL45),ISNUMBER($AL$63),$AL45&gt;$AL$63),1,0)+IF(AND(ISNUMBER($AN45),ISNUMBER($AN$63),$AN45&gt;$AN$63),1,0)+IF(AND(ISNUMBER($AQ45),ISNUMBER($AQ$63),$AQ45&gt;$AQ$63),1,0))</f>
        <v>0.0</v>
      </c>
      <c r="AS45" t="str">
        <f>IF(NOT(ISNUMBER($AR45)),"",IF($AR45=0,"Semana en objetivo",IF($AR45=1,"1 indicador fuera de objetivo",$AR45&amp;" indicadores fuera de objetivo")))</f>
        <v>Semana en objetivo</v>
      </c>
    </row>
    <row r="46">
      <c r="A46" s="9" t="n">
        <v>42</v>
      </c>
      <c r="B46" s="18" t="n">
        <v>46307</v>
      </c>
      <c r="C46" s="9" t="n">
        <v>10</v>
      </c>
      <c r="D46" s="9" t="n">
        <v>894</v>
      </c>
      <c r="E46" s="9" t="n">
        <v>473</v>
      </c>
      <c r="F46" s="9" t="n">
        <v>394</v>
      </c>
      <c r="G46" s="9" t="n">
        <v>250</v>
      </c>
      <c r="H46" s="9" t="n">
        <v>323</v>
      </c>
      <c r="I46" s="9" t="n"/>
      <c r="J46" s="9" t="n"/>
      <c r="K46" s="9" t="n"/>
      <c r="L46" s="9" t="n"/>
      <c r="M46" s="19">
        <f>IF(COUNT($E46:$L46)=0,"",SUM($E46:$L46))</f>
        <v>1440.0</v>
      </c>
      <c r="N46" s="11" t="n">
        <v>5.6</v>
      </c>
      <c r="O46" s="11" t="n">
        <v>3.8</v>
      </c>
      <c r="P46" s="11" t="n">
        <v>0.8</v>
      </c>
      <c r="Q46" s="11" t="n">
        <v>1.2</v>
      </c>
      <c r="R46" s="11" t="n"/>
      <c r="S46" s="11" t="n"/>
      <c r="T46" s="11" t="n"/>
      <c r="U46" s="11" t="n"/>
      <c r="V46" s="20">
        <f>IF(COUNT($N46:$U46)=0,"",SUM($N46:$U46))</f>
        <v>11.399999999999999</v>
      </c>
      <c r="W46" s="21">
        <f>IFERROR(IF(OR($N46="",$E46="",$E46=0,E$62="",E$62=0),"",$N46/($E46*E$62)),"")</f>
        <v>0.032887009631195674</v>
      </c>
      <c r="X46" s="21">
        <f>IFERROR(IF(OR($O46="",$F46="",$F46=0,F$62="",F$62=0),"",$O46/($F46*F$62)),"")</f>
        <v>0.04383940932164282</v>
      </c>
      <c r="Y46" s="21">
        <f>IFERROR(IF(OR($P46="",$G46="",$G46=0,G$62="",G$62=0),"",$P46/($G46*G$62)),"")</f>
        <v>0.022857142857142857</v>
      </c>
      <c r="Z46" s="21">
        <f>IFERROR(IF(OR($Q46="",$H46="",$H46=0,H$62="",H$62=0),"",$Q46/($H46*H$62)),"")</f>
        <v>0.0412796697626419</v>
      </c>
      <c r="AA46" s="21">
        <f>IFERROR(IF(OR($R46="",$I46="",$I46=0,I$62="",I$62=0),"",$R46/($I46*I$62)),"")</f>
        <v/>
      </c>
      <c r="AB46" s="21">
        <f>IFERROR(IF(OR($S46="",$J46="",$J46=0,J$62="",J$62=0),"",$S46/($J46*J$62)),"")</f>
        <v/>
      </c>
      <c r="AC46" s="21">
        <f>IFERROR(IF(OR($T46="",$K46="",$K46=0,K$62="",K$62=0),"",$T46/($K46*K$62)),"")</f>
        <v/>
      </c>
      <c r="AD46" s="21">
        <f>IFERROR(IF(OR($U46="",$L46="",$L46=0,L$62="",L$62=0),"",$U46/($L46*L$62)),"")</f>
        <v/>
      </c>
      <c r="AE46" s="20">
        <f>IF(SUMPRODUCT($E46:$L46,$E$62:$L$62)=0,"",SUMPRODUCT($E46:$L46,$E$62:$L$62))</f>
        <v>321.03000000000003</v>
      </c>
      <c r="AF46" s="21">
        <f>IFERROR(IF(OR($V46="",$AE46="",$AE46=0),"",$V46/$AE46),"")</f>
        <v>0.03551069993458555</v>
      </c>
      <c r="AG46" s="14" t="n">
        <v>9</v>
      </c>
      <c r="AH46" s="14" t="n">
        <v>18.6</v>
      </c>
      <c r="AI46" s="14" t="n">
        <v>6.7</v>
      </c>
      <c r="AJ46" s="9" t="n">
        <v>0</v>
      </c>
      <c r="AK46" s="9" t="n">
        <v>0</v>
      </c>
      <c r="AL46" s="22">
        <f>IFERROR(IF(OR($AJ46="",$D46="",$D46=0,$M$64=""),"",$AJ46/$D46*$M$64),"")</f>
        <v>0.0</v>
      </c>
      <c r="AM46" s="9" t="n">
        <v>227</v>
      </c>
      <c r="AN46" s="23">
        <f>IFERROR(IF(OR($AM46="",$D46="",$D46=0),"",$AM46/$D46),"")</f>
        <v>0.2539149888143177</v>
      </c>
      <c r="AO46" s="9" t="n">
        <v>3</v>
      </c>
      <c r="AP46" s="9" t="n">
        <v>7</v>
      </c>
      <c r="AQ46" s="22">
        <f>IFERROR(IF(OR($AO46="",$AP46="",$D46="",$D46=0,$M$64=""),"",($AO46+$AP46)/$D46*$M$64),"")</f>
        <v>11.185682326621924</v>
      </c>
      <c r="AR46" s="19">
        <f>IF(NOT(ISNUMBER($D46)),"",SUMPRODUCT(--(ISNUMBER($W46:$AD46)),--(ISNUMBER($W$63:$AD$63)),--($W46:$AD46&gt;$W$63:$AD$63))+IF(AND(ISNUMBER($AG46),ISNUMBER($AG$63),$AG46&gt;$AG$63),1,0)+IF(AND(ISNUMBER($AH46),ISNUMBER($AH$63),$AH46&gt;$AH$63),1,0)+IF(AND(ISNUMBER($AI46),ISNUMBER($AI$63),$AI46&gt;$AI$63),1,0)+IF(AND(ISNUMBER($AL46),ISNUMBER($AL$63),$AL46&gt;$AL$63),1,0)+IF(AND(ISNUMBER($AN46),ISNUMBER($AN$63),$AN46&gt;$AN$63),1,0)+IF(AND(ISNUMBER($AQ46),ISNUMBER($AQ$63),$AQ46&gt;$AQ$63),1,0))</f>
        <v>1.0</v>
      </c>
      <c r="AS46" t="str">
        <f>IF(NOT(ISNUMBER($AR46)),"",IF($AR46=0,"Semana en objetivo",IF($AR46=1,"1 indicador fuera de objetivo",$AR46&amp;" indicadores fuera de objetivo")))</f>
        <v>1 indicador fuera de objetivo</v>
      </c>
    </row>
    <row r="47">
      <c r="A47" s="9" t="n">
        <v>43</v>
      </c>
      <c r="B47" s="18" t="n">
        <v>46314</v>
      </c>
      <c r="C47" s="9" t="n">
        <v>10</v>
      </c>
      <c r="D47" s="9" t="n">
        <v>869</v>
      </c>
      <c r="E47" s="9" t="n">
        <v>441</v>
      </c>
      <c r="F47" s="9" t="n">
        <v>375</v>
      </c>
      <c r="G47" s="9" t="n">
        <v>250</v>
      </c>
      <c r="H47" s="9" t="n">
        <v>327</v>
      </c>
      <c r="I47" s="9" t="n"/>
      <c r="J47" s="9" t="n"/>
      <c r="K47" s="9" t="n"/>
      <c r="L47" s="9" t="n"/>
      <c r="M47" s="19">
        <f>IF(COUNT($E47:$L47)=0,"",SUM($E47:$L47))</f>
        <v>1393.0</v>
      </c>
      <c r="N47" s="11" t="n">
        <v>4.7</v>
      </c>
      <c r="O47" s="11" t="n">
        <v>4.1</v>
      </c>
      <c r="P47" s="11" t="n">
        <v>0.9</v>
      </c>
      <c r="Q47" s="11" t="n">
        <v>1.2</v>
      </c>
      <c r="R47" s="11" t="n"/>
      <c r="S47" s="11" t="n"/>
      <c r="T47" s="11" t="n"/>
      <c r="U47" s="11" t="n"/>
      <c r="V47" s="20">
        <f>IF(COUNT($N47:$U47)=0,"",SUM($N47:$U47))</f>
        <v>10.9</v>
      </c>
      <c r="W47" s="21">
        <f>IFERROR(IF(OR($N47="",$E47="",$E47=0,E$62="",E$62=0),"",$N47/($E47*E$62)),"")</f>
        <v>0.02960443436633913</v>
      </c>
      <c r="X47" s="21">
        <f>IFERROR(IF(OR($O47="",$F47="",$F47=0,F$62="",F$62=0),"",$O47/($F47*F$62)),"")</f>
        <v>0.04969696969696969</v>
      </c>
      <c r="Y47" s="21">
        <f>IFERROR(IF(OR($P47="",$G47="",$G47=0,G$62="",G$62=0),"",$P47/($G47*G$62)),"")</f>
        <v>0.025714285714285714</v>
      </c>
      <c r="Z47" s="21">
        <f>IFERROR(IF(OR($Q47="",$H47="",$H47=0,H$62="",H$62=0),"",$Q47/($H47*H$62)),"")</f>
        <v>0.040774719673802244</v>
      </c>
      <c r="AA47" s="21">
        <f>IFERROR(IF(OR($R47="",$I47="",$I47=0,I$62="",I$62=0),"",$R47/($I47*I$62)),"")</f>
        <v/>
      </c>
      <c r="AB47" s="21">
        <f>IFERROR(IF(OR($S47="",$J47="",$J47=0,J$62="",J$62=0),"",$S47/($J47*J$62)),"")</f>
        <v/>
      </c>
      <c r="AC47" s="21">
        <f>IFERROR(IF(OR($T47="",$K47="",$K47=0,K$62="",K$62=0),"",$T47/($K47*K$62)),"")</f>
        <v/>
      </c>
      <c r="AD47" s="21">
        <f>IFERROR(IF(OR($U47="",$L47="",$L47=0,L$62="",L$62=0),"",$U47/($L47*L$62)),"")</f>
        <v/>
      </c>
      <c r="AE47" s="20">
        <f>IF(SUMPRODUCT($E47:$L47,$E$62:$L$62)=0,"",SUMPRODUCT($E47:$L47,$E$62:$L$62))</f>
        <v>305.69</v>
      </c>
      <c r="AF47" s="21">
        <f>IFERROR(IF(OR($V47="",$AE47="",$AE47=0),"",$V47/$AE47),"")</f>
        <v>0.03565703817592986</v>
      </c>
      <c r="AG47" s="14" t="n">
        <v>9.800000000000001</v>
      </c>
      <c r="AH47" s="14" t="n">
        <v>18.1</v>
      </c>
      <c r="AI47" s="14" t="n">
        <v>7.7</v>
      </c>
      <c r="AJ47" s="9" t="n">
        <v>1</v>
      </c>
      <c r="AK47" s="9" t="n">
        <v>2</v>
      </c>
      <c r="AL47" s="22">
        <f>IFERROR(IF(OR($AJ47="",$D47="",$D47=0,$M$64=""),"",$AJ47/$D47*$M$64),"")</f>
        <v>1.1507479861910241</v>
      </c>
      <c r="AM47" s="9" t="n">
        <v>226</v>
      </c>
      <c r="AN47" s="23">
        <f>IFERROR(IF(OR($AM47="",$D47="",$D47=0),"",$AM47/$D47),"")</f>
        <v>0.2600690448791715</v>
      </c>
      <c r="AO47" s="9" t="n">
        <v>4</v>
      </c>
      <c r="AP47" s="9" t="n">
        <v>7</v>
      </c>
      <c r="AQ47" s="22">
        <f>IFERROR(IF(OR($AO47="",$AP47="",$D47="",$D47=0,$M$64=""),"",($AO47+$AP47)/$D47*$M$64),"")</f>
        <v>12.658227848101266</v>
      </c>
      <c r="AR47" s="19">
        <f>IF(NOT(ISNUMBER($D47)),"",SUMPRODUCT(--(ISNUMBER($W47:$AD47)),--(ISNUMBER($W$63:$AD$63)),--($W47:$AD47&gt;$W$63:$AD$63))+IF(AND(ISNUMBER($AG47),ISNUMBER($AG$63),$AG47&gt;$AG$63),1,0)+IF(AND(ISNUMBER($AH47),ISNUMBER($AH$63),$AH47&gt;$AH$63),1,0)+IF(AND(ISNUMBER($AI47),ISNUMBER($AI$63),$AI47&gt;$AI$63),1,0)+IF(AND(ISNUMBER($AL47),ISNUMBER($AL$63),$AL47&gt;$AL$63),1,0)+IF(AND(ISNUMBER($AN47),ISNUMBER($AN$63),$AN47&gt;$AN$63),1,0)+IF(AND(ISNUMBER($AQ47),ISNUMBER($AQ$63),$AQ47&gt;$AQ$63),1,0))</f>
        <v>3.0</v>
      </c>
      <c r="AS47" t="str">
        <f>IF(NOT(ISNUMBER($AR47)),"",IF($AR47=0,"Semana en objetivo",IF($AR47=1,"1 indicador fuera de objetivo",$AR47&amp;" indicadores fuera de objetivo")))</f>
        <v>3 indicadores fuera de objetivo</v>
      </c>
    </row>
    <row r="48">
      <c r="A48" s="9" t="n">
        <v>44</v>
      </c>
      <c r="B48" s="18" t="n">
        <v>46321</v>
      </c>
      <c r="C48" s="9" t="n">
        <v>10</v>
      </c>
      <c r="D48" s="9" t="n">
        <v>857</v>
      </c>
      <c r="E48" s="9" t="n">
        <v>437</v>
      </c>
      <c r="F48" s="9" t="n">
        <v>385</v>
      </c>
      <c r="G48" s="9" t="n">
        <v>253</v>
      </c>
      <c r="H48" s="9" t="n">
        <v>317</v>
      </c>
      <c r="I48" s="9" t="n"/>
      <c r="J48" s="9" t="n"/>
      <c r="K48" s="9" t="n"/>
      <c r="L48" s="9" t="n"/>
      <c r="M48" s="19">
        <f>IF(COUNT($E48:$L48)=0,"",SUM($E48:$L48))</f>
        <v>1392.0</v>
      </c>
      <c r="N48" s="11" t="n">
        <v>5.5</v>
      </c>
      <c r="O48" s="11" t="n">
        <v>4.3</v>
      </c>
      <c r="P48" s="11" t="n">
        <v>0.8</v>
      </c>
      <c r="Q48" s="11" t="n">
        <v>1</v>
      </c>
      <c r="R48" s="11" t="n"/>
      <c r="S48" s="11" t="n"/>
      <c r="T48" s="11" t="n"/>
      <c r="U48" s="11" t="n"/>
      <c r="V48" s="20">
        <f>IF(COUNT($N48:$U48)=0,"",SUM($N48:$U48))</f>
        <v>11.600000000000001</v>
      </c>
      <c r="W48" s="21">
        <f>IFERROR(IF(OR($N48="",$E48="",$E48=0,E$62="",E$62=0),"",$N48/($E48*E$62)),"")</f>
        <v>0.03496058988049835</v>
      </c>
      <c r="X48" s="21">
        <f>IFERROR(IF(OR($O48="",$F48="",$F48=0,F$62="",F$62=0),"",$O48/($F48*F$62)),"")</f>
        <v>0.050767414403778036</v>
      </c>
      <c r="Y48" s="21">
        <f>IFERROR(IF(OR($P48="",$G48="",$G48=0,G$62="",G$62=0),"",$P48/($G48*G$62)),"")</f>
        <v>0.02258610954263128</v>
      </c>
      <c r="Z48" s="21">
        <f>IFERROR(IF(OR($Q48="",$H48="",$H48=0,H$62="",H$62=0),"",$Q48/($H48*H$62)),"")</f>
        <v>0.03505082369435682</v>
      </c>
      <c r="AA48" s="21">
        <f>IFERROR(IF(OR($R48="",$I48="",$I48=0,I$62="",I$62=0),"",$R48/($I48*I$62)),"")</f>
        <v/>
      </c>
      <c r="AB48" s="21">
        <f>IFERROR(IF(OR($S48="",$J48="",$J48=0,J$62="",J$62=0),"",$S48/($J48*J$62)),"")</f>
        <v/>
      </c>
      <c r="AC48" s="21">
        <f>IFERROR(IF(OR($T48="",$K48="",$K48=0,K$62="",K$62=0),"",$T48/($K48*K$62)),"")</f>
        <v/>
      </c>
      <c r="AD48" s="21">
        <f>IFERROR(IF(OR($U48="",$L48="",$L48=0,L$62="",L$62=0),"",$U48/($L48*L$62)),"")</f>
        <v/>
      </c>
      <c r="AE48" s="20">
        <f>IF(SUMPRODUCT($E48:$L48,$E$62:$L$62)=0,"",SUMPRODUCT($E48:$L48,$E$62:$L$62))</f>
        <v>305.96999999999997</v>
      </c>
      <c r="AF48" s="21">
        <f>IFERROR(IF(OR($V48="",$AE48="",$AE48=0),"",$V48/$AE48),"")</f>
        <v>0.037912213615713966</v>
      </c>
      <c r="AG48" s="14" t="n">
        <v>9.6</v>
      </c>
      <c r="AH48" s="14" t="n">
        <v>16.6</v>
      </c>
      <c r="AI48" s="14" t="n">
        <v>7.3</v>
      </c>
      <c r="AJ48" s="9" t="n">
        <v>0</v>
      </c>
      <c r="AK48" s="9" t="n">
        <v>0</v>
      </c>
      <c r="AL48" s="22">
        <f>IFERROR(IF(OR($AJ48="",$D48="",$D48=0,$M$64=""),"",$AJ48/$D48*$M$64),"")</f>
        <v>0.0</v>
      </c>
      <c r="AM48" s="9" t="n">
        <v>226</v>
      </c>
      <c r="AN48" s="23">
        <f>IFERROR(IF(OR($AM48="",$D48="",$D48=0),"",$AM48/$D48),"")</f>
        <v>0.2637106184364061</v>
      </c>
      <c r="AO48" s="9" t="n">
        <v>5</v>
      </c>
      <c r="AP48" s="9" t="n">
        <v>9</v>
      </c>
      <c r="AQ48" s="22">
        <f>IFERROR(IF(OR($AO48="",$AP48="",$D48="",$D48=0,$M$64=""),"",($AO48+$AP48)/$D48*$M$64),"")</f>
        <v>16.33605600933489</v>
      </c>
      <c r="AR48" s="19">
        <f>IF(NOT(ISNUMBER($D48)),"",SUMPRODUCT(--(ISNUMBER($W48:$AD48)),--(ISNUMBER($W$63:$AD$63)),--($W48:$AD48&gt;$W$63:$AD$63))+IF(AND(ISNUMBER($AG48),ISNUMBER($AG$63),$AG48&gt;$AG$63),1,0)+IF(AND(ISNUMBER($AH48),ISNUMBER($AH$63),$AH48&gt;$AH$63),1,0)+IF(AND(ISNUMBER($AI48),ISNUMBER($AI$63),$AI48&gt;$AI$63),1,0)+IF(AND(ISNUMBER($AL48),ISNUMBER($AL$63),$AL48&gt;$AL$63),1,0)+IF(AND(ISNUMBER($AN48),ISNUMBER($AN$63),$AN48&gt;$AN$63),1,0)+IF(AND(ISNUMBER($AQ48),ISNUMBER($AQ$63),$AQ48&gt;$AQ$63),1,0))</f>
        <v>1.0</v>
      </c>
      <c r="AS48" t="str">
        <f>IF(NOT(ISNUMBER($AR48)),"",IF($AR48=0,"Semana en objetivo",IF($AR48=1,"1 indicador fuera de objetivo",$AR48&amp;" indicadores fuera de objetivo")))</f>
        <v>1 indicador fuera de objetivo</v>
      </c>
    </row>
    <row r="49">
      <c r="A49" s="9" t="n">
        <v>45</v>
      </c>
      <c r="B49" s="18" t="n">
        <v>46328</v>
      </c>
      <c r="C49" s="9" t="n">
        <v>11</v>
      </c>
      <c r="D49" s="9" t="n">
        <v>830</v>
      </c>
      <c r="E49" s="9" t="n">
        <v>441</v>
      </c>
      <c r="F49" s="9" t="n">
        <v>377</v>
      </c>
      <c r="G49" s="9" t="n">
        <v>237</v>
      </c>
      <c r="H49" s="9" t="n">
        <v>296</v>
      </c>
      <c r="I49" s="9" t="n"/>
      <c r="J49" s="9" t="n"/>
      <c r="K49" s="9" t="n"/>
      <c r="L49" s="9" t="n"/>
      <c r="M49" s="19">
        <f>IF(COUNT($E49:$L49)=0,"",SUM($E49:$L49))</f>
        <v>1351.0</v>
      </c>
      <c r="N49" s="11" t="n">
        <v>4.9</v>
      </c>
      <c r="O49" s="11" t="n">
        <v>3.6</v>
      </c>
      <c r="P49" s="11" t="n">
        <v>0.8</v>
      </c>
      <c r="Q49" s="11" t="n">
        <v>1.1</v>
      </c>
      <c r="R49" s="11" t="n"/>
      <c r="S49" s="11" t="n"/>
      <c r="T49" s="11" t="n"/>
      <c r="U49" s="11" t="n"/>
      <c r="V49" s="20">
        <f>IF(COUNT($N49:$U49)=0,"",SUM($N49:$U49))</f>
        <v>10.4</v>
      </c>
      <c r="W49" s="21">
        <f>IFERROR(IF(OR($N49="",$E49="",$E49=0,E$62="",E$62=0),"",$N49/($E49*E$62)),"")</f>
        <v>0.030864197530864203</v>
      </c>
      <c r="X49" s="21">
        <f>IFERROR(IF(OR($O49="",$F49="",$F49=0,F$62="",F$62=0),"",$O49/($F49*F$62)),"")</f>
        <v>0.04340487099107789</v>
      </c>
      <c r="Y49" s="21">
        <f>IFERROR(IF(OR($P49="",$G49="",$G49=0,G$62="",G$62=0),"",$P49/($G49*G$62)),"")</f>
        <v>0.024110910186859555</v>
      </c>
      <c r="Z49" s="21">
        <f>IFERROR(IF(OR($Q49="",$H49="",$H49=0,H$62="",H$62=0),"",$Q49/($H49*H$62)),"")</f>
        <v>0.04129129129129129</v>
      </c>
      <c r="AA49" s="21">
        <f>IFERROR(IF(OR($R49="",$I49="",$I49=0,I$62="",I$62=0),"",$R49/($I49*I$62)),"")</f>
        <v/>
      </c>
      <c r="AB49" s="21">
        <f>IFERROR(IF(OR($S49="",$J49="",$J49=0,J$62="",J$62=0),"",$S49/($J49*J$62)),"")</f>
        <v/>
      </c>
      <c r="AC49" s="21">
        <f>IFERROR(IF(OR($T49="",$K49="",$K49=0,K$62="",K$62=0),"",$T49/($K49*K$62)),"")</f>
        <v/>
      </c>
      <c r="AD49" s="21">
        <f>IFERROR(IF(OR($U49="",$L49="",$L49=0,L$62="",L$62=0),"",$U49/($L49*L$62)),"")</f>
        <v/>
      </c>
      <c r="AE49" s="20">
        <f>IF(SUMPRODUCT($E49:$L49,$E$62:$L$62)=0,"",SUMPRODUCT($E49:$L49,$E$62:$L$62))</f>
        <v>301.52</v>
      </c>
      <c r="AF49" s="21">
        <f>IFERROR(IF(OR($V49="",$AE49="",$AE49=0),"",$V49/$AE49),"")</f>
        <v>0.0344919076678164</v>
      </c>
      <c r="AG49" s="14" t="n">
        <v>8.5</v>
      </c>
      <c r="AH49" s="14" t="n">
        <v>14.9</v>
      </c>
      <c r="AI49" s="14" t="n">
        <v>6.1</v>
      </c>
      <c r="AJ49" s="9" t="n">
        <v>0</v>
      </c>
      <c r="AK49" s="9" t="n">
        <v>0</v>
      </c>
      <c r="AL49" s="22">
        <f>IFERROR(IF(OR($AJ49="",$D49="",$D49=0,$M$64=""),"",$AJ49/$D49*$M$64),"")</f>
        <v>0.0</v>
      </c>
      <c r="AM49" s="9" t="n">
        <v>224</v>
      </c>
      <c r="AN49" s="23">
        <f>IFERROR(IF(OR($AM49="",$D49="",$D49=0),"",$AM49/$D49),"")</f>
        <v>0.26987951807228916</v>
      </c>
      <c r="AO49" s="9" t="n">
        <v>4</v>
      </c>
      <c r="AP49" s="9" t="n">
        <v>11</v>
      </c>
      <c r="AQ49" s="22">
        <f>IFERROR(IF(OR($AO49="",$AP49="",$D49="",$D49=0,$M$64=""),"",($AO49+$AP49)/$D49*$M$64),"")</f>
        <v>18.072289156626507</v>
      </c>
      <c r="AR49" s="19">
        <f>IF(NOT(ISNUMBER($D49)),"",SUMPRODUCT(--(ISNUMBER($W49:$AD49)),--(ISNUMBER($W$63:$AD$63)),--($W49:$AD49&gt;$W$63:$AD$63))+IF(AND(ISNUMBER($AG49),ISNUMBER($AG$63),$AG49&gt;$AG$63),1,0)+IF(AND(ISNUMBER($AH49),ISNUMBER($AH$63),$AH49&gt;$AH$63),1,0)+IF(AND(ISNUMBER($AI49),ISNUMBER($AI$63),$AI49&gt;$AI$63),1,0)+IF(AND(ISNUMBER($AL49),ISNUMBER($AL$63),$AL49&gt;$AL$63),1,0)+IF(AND(ISNUMBER($AN49),ISNUMBER($AN$63),$AN49&gt;$AN$63),1,0)+IF(AND(ISNUMBER($AQ49),ISNUMBER($AQ$63),$AQ49&gt;$AQ$63),1,0))</f>
        <v>1.0</v>
      </c>
      <c r="AS49" t="str">
        <f>IF(NOT(ISNUMBER($AR49)),"",IF($AR49=0,"Semana en objetivo",IF($AR49=1,"1 indicador fuera de objetivo",$AR49&amp;" indicadores fuera de objetivo")))</f>
        <v>1 indicador fuera de objetivo</v>
      </c>
    </row>
    <row r="50">
      <c r="A50" s="9" t="n">
        <v>46</v>
      </c>
      <c r="B50" s="18" t="n">
        <v>46335</v>
      </c>
      <c r="C50" s="9" t="n">
        <v>11</v>
      </c>
      <c r="D50" s="9" t="n">
        <v>840</v>
      </c>
      <c r="E50" s="9" t="n">
        <v>439</v>
      </c>
      <c r="F50" s="9" t="n">
        <v>365</v>
      </c>
      <c r="G50" s="9" t="n">
        <v>235</v>
      </c>
      <c r="H50" s="9" t="n">
        <v>307</v>
      </c>
      <c r="I50" s="9" t="n"/>
      <c r="J50" s="9" t="n"/>
      <c r="K50" s="9" t="n"/>
      <c r="L50" s="9" t="n"/>
      <c r="M50" s="19">
        <f>IF(COUNT($E50:$L50)=0,"",SUM($E50:$L50))</f>
        <v>1346.0</v>
      </c>
      <c r="N50" s="11" t="n">
        <v>4.8</v>
      </c>
      <c r="O50" s="11" t="n">
        <v>4.1</v>
      </c>
      <c r="P50" s="11" t="n">
        <v>0.9</v>
      </c>
      <c r="Q50" s="11" t="n">
        <v>1.1</v>
      </c>
      <c r="R50" s="11" t="n"/>
      <c r="S50" s="11" t="n"/>
      <c r="T50" s="11" t="n"/>
      <c r="U50" s="11" t="n"/>
      <c r="V50" s="20">
        <f>IF(COUNT($N50:$U50)=0,"",SUM($N50:$U50))</f>
        <v>10.899999999999999</v>
      </c>
      <c r="W50" s="21">
        <f>IFERROR(IF(OR($N50="",$E50="",$E50=0,E$62="",E$62=0),"",$N50/($E50*E$62)),"")</f>
        <v>0.030372057706909643</v>
      </c>
      <c r="X50" s="21">
        <f>IFERROR(IF(OR($O50="",$F50="",$F50=0,F$62="",F$62=0),"",$O50/($F50*F$62)),"")</f>
        <v>0.0510585305105853</v>
      </c>
      <c r="Y50" s="21">
        <f>IFERROR(IF(OR($P50="",$G50="",$G50=0,G$62="",G$62=0),"",$P50/($G50*G$62)),"")</f>
        <v>0.027355623100303948</v>
      </c>
      <c r="Z50" s="21">
        <f>IFERROR(IF(OR($Q50="",$H50="",$H50=0,H$62="",H$62=0),"",$Q50/($H50*H$62)),"")</f>
        <v>0.039811798769453496</v>
      </c>
      <c r="AA50" s="21">
        <f>IFERROR(IF(OR($R50="",$I50="",$I50=0,I$62="",I$62=0),"",$R50/($I50*I$62)),"")</f>
        <v/>
      </c>
      <c r="AB50" s="21">
        <f>IFERROR(IF(OR($S50="",$J50="",$J50=0,J$62="",J$62=0),"",$S50/($J50*J$62)),"")</f>
        <v/>
      </c>
      <c r="AC50" s="21">
        <f>IFERROR(IF(OR($T50="",$K50="",$K50=0,K$62="",K$62=0),"",$T50/($K50*K$62)),"")</f>
        <v/>
      </c>
      <c r="AD50" s="21">
        <f>IFERROR(IF(OR($U50="",$L50="",$L50=0,L$62="",L$62=0),"",$U50/($L50*L$62)),"")</f>
        <v/>
      </c>
      <c r="AE50" s="20">
        <f>IF(SUMPRODUCT($E50:$L50,$E$62:$L$62)=0,"",SUMPRODUCT($E50:$L50,$E$62:$L$62))</f>
        <v>298.87</v>
      </c>
      <c r="AF50" s="21">
        <f>IFERROR(IF(OR($V50="",$AE50="",$AE50=0),"",$V50/$AE50),"")</f>
        <v>0.036470706327165654</v>
      </c>
      <c r="AG50" s="14" t="n">
        <v>7.3</v>
      </c>
      <c r="AH50" s="14" t="n">
        <v>13.9</v>
      </c>
      <c r="AI50" s="14" t="n">
        <v>5.5</v>
      </c>
      <c r="AJ50" s="9" t="n">
        <v>0</v>
      </c>
      <c r="AK50" s="9" t="n">
        <v>0</v>
      </c>
      <c r="AL50" s="22">
        <f>IFERROR(IF(OR($AJ50="",$D50="",$D50=0,$M$64=""),"",$AJ50/$D50*$M$64),"")</f>
        <v>0.0</v>
      </c>
      <c r="AM50" s="9" t="n">
        <v>225</v>
      </c>
      <c r="AN50" s="23">
        <f>IFERROR(IF(OR($AM50="",$D50="",$D50=0),"",$AM50/$D50),"")</f>
        <v>0.26785714285714285</v>
      </c>
      <c r="AO50" s="9" t="n">
        <v>3</v>
      </c>
      <c r="AP50" s="9" t="n">
        <v>10</v>
      </c>
      <c r="AQ50" s="22">
        <f>IFERROR(IF(OR($AO50="",$AP50="",$D50="",$D50=0,$M$64=""),"",($AO50+$AP50)/$D50*$M$64),"")</f>
        <v>15.476190476190476</v>
      </c>
      <c r="AR50" s="19">
        <f>IF(NOT(ISNUMBER($D50)),"",SUMPRODUCT(--(ISNUMBER($W50:$AD50)),--(ISNUMBER($W$63:$AD$63)),--($W50:$AD50&gt;$W$63:$AD$63))+IF(AND(ISNUMBER($AG50),ISNUMBER($AG$63),$AG50&gt;$AG$63),1,0)+IF(AND(ISNUMBER($AH50),ISNUMBER($AH$63),$AH50&gt;$AH$63),1,0)+IF(AND(ISNUMBER($AI50),ISNUMBER($AI$63),$AI50&gt;$AI$63),1,0)+IF(AND(ISNUMBER($AL50),ISNUMBER($AL$63),$AL50&gt;$AL$63),1,0)+IF(AND(ISNUMBER($AN50),ISNUMBER($AN$63),$AN50&gt;$AN$63),1,0)+IF(AND(ISNUMBER($AQ50),ISNUMBER($AQ$63),$AQ50&gt;$AQ$63),1,0))</f>
        <v>1.0</v>
      </c>
      <c r="AS50" t="str">
        <f>IF(NOT(ISNUMBER($AR50)),"",IF($AR50=0,"Semana en objetivo",IF($AR50=1,"1 indicador fuera de objetivo",$AR50&amp;" indicadores fuera de objetivo")))</f>
        <v>1 indicador fuera de objetivo</v>
      </c>
    </row>
    <row r="51">
      <c r="A51" s="9" t="n">
        <v>47</v>
      </c>
      <c r="B51" s="18" t="n">
        <v>46342</v>
      </c>
      <c r="C51" s="9" t="n">
        <v>11</v>
      </c>
      <c r="D51" s="9" t="n">
        <v>849</v>
      </c>
      <c r="E51" s="9" t="n">
        <v>428</v>
      </c>
      <c r="F51" s="9" t="n">
        <v>370</v>
      </c>
      <c r="G51" s="9" t="n">
        <v>247</v>
      </c>
      <c r="H51" s="9" t="n">
        <v>320</v>
      </c>
      <c r="I51" s="9" t="n"/>
      <c r="J51" s="9" t="n"/>
      <c r="K51" s="9" t="n"/>
      <c r="L51" s="9" t="n"/>
      <c r="M51" s="19">
        <f>IF(COUNT($E51:$L51)=0,"",SUM($E51:$L51))</f>
        <v>1365.0</v>
      </c>
      <c r="N51" s="11" t="n">
        <v>5.4</v>
      </c>
      <c r="O51" s="11" t="n">
        <v>3.9</v>
      </c>
      <c r="P51" s="11" t="n">
        <v>0.8</v>
      </c>
      <c r="Q51" s="11" t="n">
        <v>1.1</v>
      </c>
      <c r="R51" s="11" t="n"/>
      <c r="S51" s="11" t="n"/>
      <c r="T51" s="11" t="n"/>
      <c r="U51" s="11" t="n"/>
      <c r="V51" s="20">
        <f>IF(COUNT($N51:$U51)=0,"",SUM($N51:$U51))</f>
        <v>11.200000000000001</v>
      </c>
      <c r="W51" s="21">
        <f>IFERROR(IF(OR($N51="",$E51="",$E51=0,E$62="",E$62=0),"",$N51/($E51*E$62)),"")</f>
        <v>0.03504672897196262</v>
      </c>
      <c r="X51" s="21">
        <f>IFERROR(IF(OR($O51="",$F51="",$F51=0,F$62="",F$62=0),"",$O51/($F51*F$62)),"")</f>
        <v>0.047911547911547905</v>
      </c>
      <c r="Y51" s="21">
        <f>IFERROR(IF(OR($P51="",$G51="",$G51=0,G$62="",G$62=0),"",$P51/($G51*G$62)),"")</f>
        <v>0.02313475997686524</v>
      </c>
      <c r="Z51" s="21">
        <f>IFERROR(IF(OR($Q51="",$H51="",$H51=0,H$62="",H$62=0),"",$Q51/($H51*H$62)),"")</f>
        <v>0.038194444444444454</v>
      </c>
      <c r="AA51" s="21">
        <f>IFERROR(IF(OR($R51="",$I51="",$I51=0,I$62="",I$62=0),"",$R51/($I51*I$62)),"")</f>
        <v/>
      </c>
      <c r="AB51" s="21">
        <f>IFERROR(IF(OR($S51="",$J51="",$J51=0,J$62="",J$62=0),"",$S51/($J51*J$62)),"")</f>
        <v/>
      </c>
      <c r="AC51" s="21">
        <f>IFERROR(IF(OR($T51="",$K51="",$K51=0,K$62="",K$62=0),"",$T51/($K51*K$62)),"")</f>
        <v/>
      </c>
      <c r="AD51" s="21">
        <f>IFERROR(IF(OR($U51="",$L51="",$L51=0,L$62="",L$62=0),"",$U51/($L51*L$62)),"")</f>
        <v/>
      </c>
      <c r="AE51" s="20">
        <f>IF(SUMPRODUCT($E51:$L51,$E$62:$L$62)=0,"",SUMPRODUCT($E51:$L51,$E$62:$L$62))</f>
        <v>298.86</v>
      </c>
      <c r="AF51" s="21">
        <f>IFERROR(IF(OR($V51="",$AE51="",$AE51=0),"",$V51/$AE51),"")</f>
        <v>0.0374757411497022</v>
      </c>
      <c r="AG51" s="14" t="n">
        <v>6.9</v>
      </c>
      <c r="AH51" s="14" t="n">
        <v>14.1</v>
      </c>
      <c r="AI51" s="14" t="n">
        <v>6.2</v>
      </c>
      <c r="AJ51" s="9" t="n">
        <v>1</v>
      </c>
      <c r="AK51" s="9" t="n">
        <v>1</v>
      </c>
      <c r="AL51" s="22">
        <f>IFERROR(IF(OR($AJ51="",$D51="",$D51=0,$M$64=""),"",$AJ51/$D51*$M$64),"")</f>
        <v>1.1778563015312131</v>
      </c>
      <c r="AM51" s="9" t="n">
        <v>225</v>
      </c>
      <c r="AN51" s="23">
        <f>IFERROR(IF(OR($AM51="",$D51="",$D51=0),"",$AM51/$D51),"")</f>
        <v>0.26501766784452296</v>
      </c>
      <c r="AO51" s="9" t="n">
        <v>3</v>
      </c>
      <c r="AP51" s="9" t="n">
        <v>8</v>
      </c>
      <c r="AQ51" s="22">
        <f>IFERROR(IF(OR($AO51="",$AP51="",$D51="",$D51=0,$M$64=""),"",($AO51+$AP51)/$D51*$M$64),"")</f>
        <v>12.956419316843345</v>
      </c>
      <c r="AR51" s="19">
        <f>IF(NOT(ISNUMBER($D51)),"",SUMPRODUCT(--(ISNUMBER($W51:$AD51)),--(ISNUMBER($W$63:$AD$63)),--($W51:$AD51&gt;$W$63:$AD$63))+IF(AND(ISNUMBER($AG51),ISNUMBER($AG$63),$AG51&gt;$AG$63),1,0)+IF(AND(ISNUMBER($AH51),ISNUMBER($AH$63),$AH51&gt;$AH$63),1,0)+IF(AND(ISNUMBER($AI51),ISNUMBER($AI$63),$AI51&gt;$AI$63),1,0)+IF(AND(ISNUMBER($AL51),ISNUMBER($AL$63),$AL51&gt;$AL$63),1,0)+IF(AND(ISNUMBER($AN51),ISNUMBER($AN$63),$AN51&gt;$AN$63),1,0)+IF(AND(ISNUMBER($AQ51),ISNUMBER($AQ$63),$AQ51&gt;$AQ$63),1,0))</f>
        <v>3.0</v>
      </c>
      <c r="AS51" t="str">
        <f>IF(NOT(ISNUMBER($AR51)),"",IF($AR51=0,"Semana en objetivo",IF($AR51=1,"1 indicador fuera de objetivo",$AR51&amp;" indicadores fuera de objetivo")))</f>
        <v>3 indicadores fuera de objetivo</v>
      </c>
    </row>
    <row r="52">
      <c r="A52" s="9" t="n">
        <v>48</v>
      </c>
      <c r="B52" s="18" t="n">
        <v>46349</v>
      </c>
      <c r="C52" s="9" t="n">
        <v>11</v>
      </c>
      <c r="D52" s="9" t="n">
        <v>872</v>
      </c>
      <c r="E52" s="9" t="n">
        <v>451</v>
      </c>
      <c r="F52" s="9" t="n">
        <v>396</v>
      </c>
      <c r="G52" s="9" t="n">
        <v>256</v>
      </c>
      <c r="H52" s="9" t="n">
        <v>318</v>
      </c>
      <c r="I52" s="9" t="n"/>
      <c r="J52" s="9" t="n"/>
      <c r="K52" s="9" t="n"/>
      <c r="L52" s="9" t="n"/>
      <c r="M52" s="19">
        <f>IF(COUNT($E52:$L52)=0,"",SUM($E52:$L52))</f>
        <v>1421.0</v>
      </c>
      <c r="N52" s="11" t="n">
        <v>4.8</v>
      </c>
      <c r="O52" s="11" t="n">
        <v>3.9</v>
      </c>
      <c r="P52" s="11" t="n">
        <v>0.9</v>
      </c>
      <c r="Q52" s="11" t="n">
        <v>1.2</v>
      </c>
      <c r="R52" s="11" t="n"/>
      <c r="S52" s="11" t="n"/>
      <c r="T52" s="11" t="n"/>
      <c r="U52" s="11" t="n"/>
      <c r="V52" s="20">
        <f>IF(COUNT($N52:$U52)=0,"",SUM($N52:$U52))</f>
        <v>10.799999999999999</v>
      </c>
      <c r="W52" s="21">
        <f>IFERROR(IF(OR($N52="",$E52="",$E52=0,E$62="",E$62=0),"",$N52/($E52*E$62)),"")</f>
        <v>0.029563932002956393</v>
      </c>
      <c r="X52" s="21">
        <f>IFERROR(IF(OR($O52="",$F52="",$F52=0,F$62="",F$62=0),"",$O52/($F52*F$62)),"")</f>
        <v>0.04476584022038567</v>
      </c>
      <c r="Y52" s="21">
        <f>IFERROR(IF(OR($P52="",$G52="",$G52=0,G$62="",G$62=0),"",$P52/($G52*G$62)),"")</f>
        <v>0.02511160714285714</v>
      </c>
      <c r="Z52" s="21">
        <f>IFERROR(IF(OR($Q52="",$H52="",$H52=0,H$62="",H$62=0),"",$Q52/($H52*H$62)),"")</f>
        <v>0.041928721174004195</v>
      </c>
      <c r="AA52" s="21">
        <f>IFERROR(IF(OR($R52="",$I52="",$I52=0,I$62="",I$62=0),"",$R52/($I52*I$62)),"")</f>
        <v/>
      </c>
      <c r="AB52" s="21">
        <f>IFERROR(IF(OR($S52="",$J52="",$J52=0,J$62="",J$62=0),"",$S52/($J52*J$62)),"")</f>
        <v/>
      </c>
      <c r="AC52" s="21">
        <f>IFERROR(IF(OR($T52="",$K52="",$K52=0,K$62="",K$62=0),"",$T52/($K52*K$62)),"")</f>
        <v/>
      </c>
      <c r="AD52" s="21">
        <f>IFERROR(IF(OR($U52="",$L52="",$L52=0,L$62="",L$62=0),"",$U52/($L52*L$62)),"")</f>
        <v/>
      </c>
      <c r="AE52" s="20">
        <f>IF(SUMPRODUCT($E52:$L52,$E$62:$L$62)=0,"",SUMPRODUCT($E52:$L52,$E$62:$L$62))</f>
        <v>313.94</v>
      </c>
      <c r="AF52" s="21">
        <f>IFERROR(IF(OR($V52="",$AE52="",$AE52=0),"",$V52/$AE52),"")</f>
        <v>0.03440147798942473</v>
      </c>
      <c r="AG52" s="14" t="n">
        <v>7.7</v>
      </c>
      <c r="AH52" s="14" t="n">
        <v>15.5</v>
      </c>
      <c r="AI52" s="14" t="n">
        <v>7.4</v>
      </c>
      <c r="AJ52" s="9" t="n">
        <v>0</v>
      </c>
      <c r="AK52" s="9" t="n">
        <v>0</v>
      </c>
      <c r="AL52" s="22">
        <f>IFERROR(IF(OR($AJ52="",$D52="",$D52=0,$M$64=""),"",$AJ52/$D52*$M$64),"")</f>
        <v>0.0</v>
      </c>
      <c r="AM52" s="9" t="n">
        <v>226</v>
      </c>
      <c r="AN52" s="23">
        <f>IFERROR(IF(OR($AM52="",$D52="",$D52=0),"",$AM52/$D52),"")</f>
        <v>0.2591743119266055</v>
      </c>
      <c r="AO52" s="9" t="n">
        <v>4</v>
      </c>
      <c r="AP52" s="9" t="n">
        <v>7</v>
      </c>
      <c r="AQ52" s="22">
        <f>IFERROR(IF(OR($AO52="",$AP52="",$D52="",$D52=0,$M$64=""),"",($AO52+$AP52)/$D52*$M$64),"")</f>
        <v>12.61467889908257</v>
      </c>
      <c r="AR52" s="19">
        <f>IF(NOT(ISNUMBER($D52)),"",SUMPRODUCT(--(ISNUMBER($W52:$AD52)),--(ISNUMBER($W$63:$AD$63)),--($W52:$AD52&gt;$W$63:$AD$63))+IF(AND(ISNUMBER($AG52),ISNUMBER($AG$63),$AG52&gt;$AG$63),1,0)+IF(AND(ISNUMBER($AH52),ISNUMBER($AH$63),$AH52&gt;$AH$63),1,0)+IF(AND(ISNUMBER($AI52),ISNUMBER($AI$63),$AI52&gt;$AI$63),1,0)+IF(AND(ISNUMBER($AL52),ISNUMBER($AL$63),$AL52&gt;$AL$63),1,0)+IF(AND(ISNUMBER($AN52),ISNUMBER($AN$63),$AN52&gt;$AN$63),1,0)+IF(AND(ISNUMBER($AQ52),ISNUMBER($AQ$63),$AQ52&gt;$AQ$63),1,0))</f>
        <v>0.0</v>
      </c>
      <c r="AS52" t="str">
        <f>IF(NOT(ISNUMBER($AR52)),"",IF($AR52=0,"Semana en objetivo",IF($AR52=1,"1 indicador fuera de objetivo",$AR52&amp;" indicadores fuera de objetivo")))</f>
        <v>Semana en objetivo</v>
      </c>
    </row>
    <row r="53">
      <c r="A53" s="9" t="n">
        <v>49</v>
      </c>
      <c r="B53" s="18" t="n">
        <v>46356</v>
      </c>
      <c r="C53" s="9" t="n">
        <v>12</v>
      </c>
      <c r="D53" s="9" t="n">
        <v>989</v>
      </c>
      <c r="E53" s="9" t="n">
        <v>527</v>
      </c>
      <c r="F53" s="9" t="n">
        <v>444</v>
      </c>
      <c r="G53" s="9" t="n">
        <v>278</v>
      </c>
      <c r="H53" s="9" t="n">
        <v>353</v>
      </c>
      <c r="I53" s="9" t="n"/>
      <c r="J53" s="9" t="n"/>
      <c r="K53" s="9" t="n"/>
      <c r="L53" s="9" t="n"/>
      <c r="M53" s="19">
        <f>IF(COUNT($E53:$L53)=0,"",SUM($E53:$L53))</f>
        <v>1602.0</v>
      </c>
      <c r="N53" s="11" t="n">
        <v>6.1</v>
      </c>
      <c r="O53" s="11" t="n">
        <v>5.1</v>
      </c>
      <c r="P53" s="11" t="n">
        <v>1</v>
      </c>
      <c r="Q53" s="11" t="n">
        <v>1.2</v>
      </c>
      <c r="R53" s="11" t="n"/>
      <c r="S53" s="11" t="n"/>
      <c r="T53" s="11" t="n"/>
      <c r="U53" s="11" t="n"/>
      <c r="V53" s="20">
        <f>IF(COUNT($N53:$U53)=0,"",SUM($N53:$U53))</f>
        <v>13.399999999999999</v>
      </c>
      <c r="W53" s="21">
        <f>IFERROR(IF(OR($N53="",$E53="",$E53=0,E$62="",E$62=0),"",$N53/($E53*E$62)),"")</f>
        <v>0.032152646004638415</v>
      </c>
      <c r="X53" s="21">
        <f>IFERROR(IF(OR($O53="",$F53="",$F53=0,F$62="",F$62=0),"",$O53/($F53*F$62)),"")</f>
        <v>0.052211302211302206</v>
      </c>
      <c r="Y53" s="21">
        <f>IFERROR(IF(OR($P53="",$G53="",$G53=0,G$62="",G$62=0),"",$P53/($G53*G$62)),"")</f>
        <v>0.025693730729701953</v>
      </c>
      <c r="Z53" s="21">
        <f>IFERROR(IF(OR($Q53="",$H53="",$H53=0,H$62="",H$62=0),"",$Q53/($H53*H$62)),"")</f>
        <v>0.03777148253068933</v>
      </c>
      <c r="AA53" s="21">
        <f>IFERROR(IF(OR($R53="",$I53="",$I53=0,I$62="",I$62=0),"",$R53/($I53*I$62)),"")</f>
        <v/>
      </c>
      <c r="AB53" s="21">
        <f>IFERROR(IF(OR($S53="",$J53="",$J53=0,J$62="",J$62=0),"",$S53/($J53*J$62)),"")</f>
        <v/>
      </c>
      <c r="AC53" s="21">
        <f>IFERROR(IF(OR($T53="",$K53="",$K53=0,K$62="",K$62=0),"",$T53/($K53*K$62)),"")</f>
        <v/>
      </c>
      <c r="AD53" s="21">
        <f>IFERROR(IF(OR($U53="",$L53="",$L53=0,L$62="",L$62=0),"",$U53/($L53*L$62)),"")</f>
        <v/>
      </c>
      <c r="AE53" s="20">
        <f>IF(SUMPRODUCT($E53:$L53,$E$62:$L$62)=0,"",SUMPRODUCT($E53:$L53,$E$62:$L$62))</f>
        <v>358.09</v>
      </c>
      <c r="AF53" s="21">
        <f>IFERROR(IF(OR($V53="",$AE53="",$AE53=0),"",$V53/$AE53),"")</f>
        <v>0.03742076014409785</v>
      </c>
      <c r="AG53" s="14" t="n">
        <v>9</v>
      </c>
      <c r="AH53" s="14" t="n">
        <v>17.2</v>
      </c>
      <c r="AI53" s="14" t="n">
        <v>7.6</v>
      </c>
      <c r="AJ53" s="9" t="n">
        <v>0</v>
      </c>
      <c r="AK53" s="9" t="n">
        <v>0</v>
      </c>
      <c r="AL53" s="22">
        <f>IFERROR(IF(OR($AJ53="",$D53="",$D53=0,$M$64=""),"",$AJ53/$D53*$M$64),"")</f>
        <v>0.0</v>
      </c>
      <c r="AM53" s="9" t="n">
        <v>215</v>
      </c>
      <c r="AN53" s="23">
        <f>IFERROR(IF(OR($AM53="",$D53="",$D53=0),"",$AM53/$D53),"")</f>
        <v>0.21739130434782608</v>
      </c>
      <c r="AO53" s="9" t="n">
        <v>6</v>
      </c>
      <c r="AP53" s="9" t="n">
        <v>9</v>
      </c>
      <c r="AQ53" s="22">
        <f>IFERROR(IF(OR($AO53="",$AP53="",$D53="",$D53=0,$M$64=""),"",($AO53+$AP53)/$D53*$M$64),"")</f>
        <v>15.166835187057634</v>
      </c>
      <c r="AR53" s="19">
        <f>IF(NOT(ISNUMBER($D53)),"",SUMPRODUCT(--(ISNUMBER($W53:$AD53)),--(ISNUMBER($W$63:$AD$63)),--($W53:$AD53&gt;$W$63:$AD$63))+IF(AND(ISNUMBER($AG53),ISNUMBER($AG$63),$AG53&gt;$AG$63),1,0)+IF(AND(ISNUMBER($AH53),ISNUMBER($AH$63),$AH53&gt;$AH$63),1,0)+IF(AND(ISNUMBER($AI53),ISNUMBER($AI$63),$AI53&gt;$AI$63),1,0)+IF(AND(ISNUMBER($AL53),ISNUMBER($AL$63),$AL53&gt;$AL$63),1,0)+IF(AND(ISNUMBER($AN53),ISNUMBER($AN$63),$AN53&gt;$AN$63),1,0)+IF(AND(ISNUMBER($AQ53),ISNUMBER($AQ$63),$AQ53&gt;$AQ$63),1,0))</f>
        <v>0.0</v>
      </c>
      <c r="AS53" t="str">
        <f>IF(NOT(ISNUMBER($AR53)),"",IF($AR53=0,"Semana en objetivo",IF($AR53=1,"1 indicador fuera de objetivo",$AR53&amp;" indicadores fuera de objetivo")))</f>
        <v>Semana en objetivo</v>
      </c>
    </row>
    <row r="54">
      <c r="A54" s="9" t="n">
        <v>50</v>
      </c>
      <c r="B54" s="18" t="n">
        <v>46363</v>
      </c>
      <c r="C54" s="9" t="n">
        <v>12</v>
      </c>
      <c r="D54" s="9" t="n">
        <v>1068</v>
      </c>
      <c r="E54" s="9" t="n">
        <v>550</v>
      </c>
      <c r="F54" s="9" t="n">
        <v>461</v>
      </c>
      <c r="G54" s="9" t="n">
        <v>301</v>
      </c>
      <c r="H54" s="9" t="n">
        <v>396</v>
      </c>
      <c r="I54" s="9" t="n"/>
      <c r="J54" s="9" t="n"/>
      <c r="K54" s="9" t="n"/>
      <c r="L54" s="9" t="n"/>
      <c r="M54" s="19">
        <f>IF(COUNT($E54:$L54)=0,"",SUM($E54:$L54))</f>
        <v>1708.0</v>
      </c>
      <c r="N54" s="11" t="n">
        <v>6.7</v>
      </c>
      <c r="O54" s="11" t="n">
        <v>4.6</v>
      </c>
      <c r="P54" s="11" t="n">
        <v>0.9</v>
      </c>
      <c r="Q54" s="11" t="n">
        <v>1.4</v>
      </c>
      <c r="R54" s="11" t="n"/>
      <c r="S54" s="11" t="n"/>
      <c r="T54" s="11" t="n"/>
      <c r="U54" s="11" t="n"/>
      <c r="V54" s="20">
        <f>IF(COUNT($N54:$U54)=0,"",SUM($N54:$U54))</f>
        <v>13.600000000000001</v>
      </c>
      <c r="W54" s="21">
        <f>IFERROR(IF(OR($N54="",$E54="",$E54=0,E$62="",E$62=0),"",$N54/($E54*E$62)),"")</f>
        <v>0.03383838383838384</v>
      </c>
      <c r="X54" s="21">
        <f>IFERROR(IF(OR($O54="",$F54="",$F54=0,F$62="",F$62=0),"",$O54/($F54*F$62)),"")</f>
        <v>0.045355945572865305</v>
      </c>
      <c r="Y54" s="21">
        <f>IFERROR(IF(OR($P54="",$G54="",$G54=0,G$62="",G$62=0),"",$P54/($G54*G$62)),"")</f>
        <v>0.021357380161366873</v>
      </c>
      <c r="Z54" s="21">
        <f>IFERROR(IF(OR($Q54="",$H54="",$H54=0,H$62="",H$62=0),"",$Q54/($H54*H$62)),"")</f>
        <v>0.03928170594837261</v>
      </c>
      <c r="AA54" s="21">
        <f>IFERROR(IF(OR($R54="",$I54="",$I54=0,I$62="",I$62=0),"",$R54/($I54*I$62)),"")</f>
        <v/>
      </c>
      <c r="AB54" s="21">
        <f>IFERROR(IF(OR($S54="",$J54="",$J54=0,J$62="",J$62=0),"",$S54/($J54*J$62)),"")</f>
        <v/>
      </c>
      <c r="AC54" s="21">
        <f>IFERROR(IF(OR($T54="",$K54="",$K54=0,K$62="",K$62=0),"",$T54/($K54*K$62)),"")</f>
        <v/>
      </c>
      <c r="AD54" s="21">
        <f>IFERROR(IF(OR($U54="",$L54="",$L54=0,L$62="",L$62=0),"",$U54/($L54*L$62)),"")</f>
        <v/>
      </c>
      <c r="AE54" s="20">
        <f>IF(SUMPRODUCT($E54:$L54,$E$62:$L$62)=0,"",SUMPRODUCT($E54:$L54,$E$62:$L$62))</f>
        <v>377.20000000000005</v>
      </c>
      <c r="AF54" s="21">
        <f>IFERROR(IF(OR($V54="",$AE54="",$AE54=0),"",$V54/$AE54),"")</f>
        <v>0.03605514316012725</v>
      </c>
      <c r="AG54" s="14" t="n">
        <v>9.9</v>
      </c>
      <c r="AH54" s="14" t="n">
        <v>18.4</v>
      </c>
      <c r="AI54" s="14" t="n">
        <v>6.7</v>
      </c>
      <c r="AJ54" s="9" t="n">
        <v>1</v>
      </c>
      <c r="AK54" s="9" t="n">
        <v>1</v>
      </c>
      <c r="AL54" s="22">
        <f>IFERROR(IF(OR($AJ54="",$D54="",$D54=0,$M$64=""),"",$AJ54/$D54*$M$64),"")</f>
        <v>0.9363295880149812</v>
      </c>
      <c r="AM54" s="9" t="n">
        <v>221</v>
      </c>
      <c r="AN54" s="23">
        <f>IFERROR(IF(OR($AM54="",$D54="",$D54=0),"",$AM54/$D54),"")</f>
        <v>0.20692883895131087</v>
      </c>
      <c r="AO54" s="9" t="n">
        <v>5</v>
      </c>
      <c r="AP54" s="9" t="n">
        <v>12</v>
      </c>
      <c r="AQ54" s="22">
        <f>IFERROR(IF(OR($AO54="",$AP54="",$D54="",$D54=0,$M$64=""),"",($AO54+$AP54)/$D54*$M$64),"")</f>
        <v>15.917602996254683</v>
      </c>
      <c r="AR54" s="19">
        <f>IF(NOT(ISNUMBER($D54)),"",SUMPRODUCT(--(ISNUMBER($W54:$AD54)),--(ISNUMBER($W$63:$AD$63)),--($W54:$AD54&gt;$W$63:$AD$63))+IF(AND(ISNUMBER($AG54),ISNUMBER($AG$63),$AG54&gt;$AG$63),1,0)+IF(AND(ISNUMBER($AH54),ISNUMBER($AH$63),$AH54&gt;$AH$63),1,0)+IF(AND(ISNUMBER($AI54),ISNUMBER($AI$63),$AI54&gt;$AI$63),1,0)+IF(AND(ISNUMBER($AL54),ISNUMBER($AL$63),$AL54&gt;$AL$63),1,0)+IF(AND(ISNUMBER($AN54),ISNUMBER($AN$63),$AN54&gt;$AN$63),1,0)+IF(AND(ISNUMBER($AQ54),ISNUMBER($AQ$63),$AQ54&gt;$AQ$63),1,0))</f>
        <v>2.0</v>
      </c>
      <c r="AS54" t="str">
        <f>IF(NOT(ISNUMBER($AR54)),"",IF($AR54=0,"Semana en objetivo",IF($AR54=1,"1 indicador fuera de objetivo",$AR54&amp;" indicadores fuera de objetivo")))</f>
        <v>2 indicadores fuera de objetivo</v>
      </c>
    </row>
    <row r="55">
      <c r="A55" s="9" t="n">
        <v>51</v>
      </c>
      <c r="B55" s="18" t="n">
        <v>46370</v>
      </c>
      <c r="C55" s="9" t="n">
        <v>12</v>
      </c>
      <c r="D55" s="9" t="n">
        <v>1120</v>
      </c>
      <c r="E55" s="9" t="n">
        <v>565</v>
      </c>
      <c r="F55" s="9" t="n">
        <v>495</v>
      </c>
      <c r="G55" s="9" t="n">
        <v>329</v>
      </c>
      <c r="H55" s="9" t="n">
        <v>420</v>
      </c>
      <c r="I55" s="9" t="n"/>
      <c r="J55" s="9" t="n"/>
      <c r="K55" s="9" t="n"/>
      <c r="L55" s="9" t="n"/>
      <c r="M55" s="19">
        <f>IF(COUNT($E55:$L55)=0,"",SUM($E55:$L55))</f>
        <v>1809.0</v>
      </c>
      <c r="N55" s="11" t="n">
        <v>5.9</v>
      </c>
      <c r="O55" s="11" t="n">
        <v>5.1</v>
      </c>
      <c r="P55" s="11" t="n">
        <v>1.2</v>
      </c>
      <c r="Q55" s="11" t="n">
        <v>1.6</v>
      </c>
      <c r="R55" s="11" t="n"/>
      <c r="S55" s="11" t="n"/>
      <c r="T55" s="11" t="n"/>
      <c r="U55" s="11" t="n"/>
      <c r="V55" s="20">
        <f>IF(COUNT($N55:$U55)=0,"",SUM($N55:$U55))</f>
        <v>13.799999999999999</v>
      </c>
      <c r="W55" s="21">
        <f>IFERROR(IF(OR($N55="",$E55="",$E55=0,E$62="",E$62=0),"",$N55/($E55*E$62)),"")</f>
        <v>0.029006882989183875</v>
      </c>
      <c r="X55" s="21">
        <f>IFERROR(IF(OR($O55="",$F55="",$F55=0,F$62="",F$62=0),"",$O55/($F55*F$62)),"")</f>
        <v>0.04683195592286501</v>
      </c>
      <c r="Y55" s="21">
        <f>IFERROR(IF(OR($P55="",$G55="",$G55=0,G$62="",G$62=0),"",$P55/($G55*G$62)),"")</f>
        <v>0.026052974381241857</v>
      </c>
      <c r="Z55" s="21">
        <f>IFERROR(IF(OR($Q55="",$H55="",$H55=0,H$62="",H$62=0),"",$Q55/($H55*H$62)),"")</f>
        <v>0.04232804232804233</v>
      </c>
      <c r="AA55" s="21">
        <f>IFERROR(IF(OR($R55="",$I55="",$I55=0,I$62="",I$62=0),"",$R55/($I55*I$62)),"")</f>
        <v/>
      </c>
      <c r="AB55" s="21">
        <f>IFERROR(IF(OR($S55="",$J55="",$J55=0,J$62="",J$62=0),"",$S55/($J55*J$62)),"")</f>
        <v/>
      </c>
      <c r="AC55" s="21">
        <f>IFERROR(IF(OR($T55="",$K55="",$K55=0,K$62="",K$62=0),"",$T55/($K55*K$62)),"")</f>
        <v/>
      </c>
      <c r="AD55" s="21">
        <f>IFERROR(IF(OR($U55="",$L55="",$L55=0,L$62="",L$62=0),"",$U55/($L55*L$62)),"")</f>
        <v/>
      </c>
      <c r="AE55" s="20">
        <f>IF(SUMPRODUCT($E55:$L55,$E$62:$L$62)=0,"",SUMPRODUCT($E55:$L55,$E$62:$L$62))</f>
        <v>396.16</v>
      </c>
      <c r="AF55" s="21">
        <f>IFERROR(IF(OR($V55="",$AE55="",$AE55=0),"",$V55/$AE55),"")</f>
        <v>0.03483441033925686</v>
      </c>
      <c r="AG55" s="14" t="n">
        <v>9.6</v>
      </c>
      <c r="AH55" s="14" t="n">
        <v>18.4</v>
      </c>
      <c r="AI55" s="14" t="n">
        <v>5.6</v>
      </c>
      <c r="AJ55" s="9" t="n">
        <v>1</v>
      </c>
      <c r="AK55" s="9" t="n">
        <v>2</v>
      </c>
      <c r="AL55" s="22">
        <f>IFERROR(IF(OR($AJ55="",$D55="",$D55=0,$M$64=""),"",$AJ55/$D55*$M$64),"")</f>
        <v>0.8928571428571428</v>
      </c>
      <c r="AM55" s="9" t="n">
        <v>226</v>
      </c>
      <c r="AN55" s="23">
        <f>IFERROR(IF(OR($AM55="",$D55="",$D55=0),"",$AM55/$D55),"")</f>
        <v>0.2017857142857143</v>
      </c>
      <c r="AO55" s="9" t="n">
        <v>4</v>
      </c>
      <c r="AP55" s="9" t="n">
        <v>15</v>
      </c>
      <c r="AQ55" s="22">
        <f>IFERROR(IF(OR($AO55="",$AP55="",$D55="",$D55=0,$M$64=""),"",($AO55+$AP55)/$D55*$M$64),"")</f>
        <v>16.96428571428571</v>
      </c>
      <c r="AR55" s="19">
        <f>IF(NOT(ISNUMBER($D55)),"",SUMPRODUCT(--(ISNUMBER($W55:$AD55)),--(ISNUMBER($W$63:$AD$63)),--($W55:$AD55&gt;$W$63:$AD$63))+IF(AND(ISNUMBER($AG55),ISNUMBER($AG$63),$AG55&gt;$AG$63),1,0)+IF(AND(ISNUMBER($AH55),ISNUMBER($AH$63),$AH55&gt;$AH$63),1,0)+IF(AND(ISNUMBER($AI55),ISNUMBER($AI$63),$AI55&gt;$AI$63),1,0)+IF(AND(ISNUMBER($AL55),ISNUMBER($AL$63),$AL55&gt;$AL$63),1,0)+IF(AND(ISNUMBER($AN55),ISNUMBER($AN$63),$AN55&gt;$AN$63),1,0)+IF(AND(ISNUMBER($AQ55),ISNUMBER($AQ$63),$AQ55&gt;$AQ$63),1,0))</f>
        <v>2.0</v>
      </c>
      <c r="AS55" t="str">
        <f>IF(NOT(ISNUMBER($AR55)),"",IF($AR55=0,"Semana en objetivo",IF($AR55=1,"1 indicador fuera de objetivo",$AR55&amp;" indicadores fuera de objetivo")))</f>
        <v>2 indicadores fuera de objetivo</v>
      </c>
    </row>
    <row r="56">
      <c r="A56" s="9" t="n">
        <v>52</v>
      </c>
      <c r="B56" s="18" t="n">
        <v>46377</v>
      </c>
      <c r="C56" s="9" t="n">
        <v>12</v>
      </c>
      <c r="D56" s="9" t="n">
        <v>1140</v>
      </c>
      <c r="E56" s="9" t="n">
        <v>597</v>
      </c>
      <c r="F56" s="9" t="n">
        <v>520</v>
      </c>
      <c r="G56" s="9" t="n">
        <v>331</v>
      </c>
      <c r="H56" s="9" t="n">
        <v>411</v>
      </c>
      <c r="I56" s="9" t="n"/>
      <c r="J56" s="9" t="n"/>
      <c r="K56" s="9" t="n"/>
      <c r="L56" s="9" t="n"/>
      <c r="M56" s="19">
        <f>IF(COUNT($E56:$L56)=0,"",SUM($E56:$L56))</f>
        <v>1859.0</v>
      </c>
      <c r="N56" s="11" t="n">
        <v>7.3</v>
      </c>
      <c r="O56" s="11" t="n">
        <v>5.9</v>
      </c>
      <c r="P56" s="11" t="n">
        <v>1.1</v>
      </c>
      <c r="Q56" s="11" t="n">
        <v>1.4</v>
      </c>
      <c r="R56" s="11" t="n"/>
      <c r="S56" s="11" t="n"/>
      <c r="T56" s="11" t="n"/>
      <c r="U56" s="11" t="n"/>
      <c r="V56" s="20">
        <f>IF(COUNT($N56:$U56)=0,"",SUM($N56:$U56))</f>
        <v>15.7</v>
      </c>
      <c r="W56" s="21">
        <f>IFERROR(IF(OR($N56="",$E56="",$E56=0,E$62="",E$62=0),"",$N56/($E56*E$62)),"")</f>
        <v>0.03396612693095105</v>
      </c>
      <c r="X56" s="21">
        <f>IFERROR(IF(OR($O56="",$F56="",$F56=0,F$62="",F$62=0),"",$O56/($F56*F$62)),"")</f>
        <v>0.051573426573426576</v>
      </c>
      <c r="Y56" s="21">
        <f>IFERROR(IF(OR($P56="",$G56="",$G56=0,G$62="",G$62=0),"",$P56/($G56*G$62)),"")</f>
        <v>0.023737591713422528</v>
      </c>
      <c r="Z56" s="21">
        <f>IFERROR(IF(OR($Q56="",$H56="",$H56=0,H$62="",H$62=0),"",$Q56/($H56*H$62)),"")</f>
        <v>0.03784806704514733</v>
      </c>
      <c r="AA56" s="21">
        <f>IFERROR(IF(OR($R56="",$I56="",$I56=0,I$62="",I$62=0),"",$R56/($I56*I$62)),"")</f>
        <v/>
      </c>
      <c r="AB56" s="21">
        <f>IFERROR(IF(OR($S56="",$J56="",$J56=0,J$62="",J$62=0),"",$S56/($J56*J$62)),"")</f>
        <v/>
      </c>
      <c r="AC56" s="21">
        <f>IFERROR(IF(OR($T56="",$K56="",$K56=0,K$62="",K$62=0),"",$T56/($K56*K$62)),"")</f>
        <v/>
      </c>
      <c r="AD56" s="21">
        <f>IFERROR(IF(OR($U56="",$L56="",$L56=0,L$62="",L$62=0),"",$U56/($L56*L$62)),"")</f>
        <v/>
      </c>
      <c r="AE56" s="20">
        <f>IF(SUMPRODUCT($E56:$L56,$E$62:$L$62)=0,"",SUMPRODUCT($E56:$L56,$E$62:$L$62))</f>
        <v>412.65</v>
      </c>
      <c r="AF56" s="21">
        <f>IFERROR(IF(OR($V56="",$AE56="",$AE56=0),"",$V56/$AE56),"")</f>
        <v>0.03804677087119835</v>
      </c>
      <c r="AG56" s="14" t="n">
        <v>8.4</v>
      </c>
      <c r="AH56" s="14" t="n">
        <v>17.2</v>
      </c>
      <c r="AI56" s="14" t="n">
        <v>5.7</v>
      </c>
      <c r="AJ56" s="9" t="n">
        <v>0</v>
      </c>
      <c r="AK56" s="9" t="n">
        <v>0</v>
      </c>
      <c r="AL56" s="22">
        <f>IFERROR(IF(OR($AJ56="",$D56="",$D56=0,$M$64=""),"",$AJ56/$D56*$M$64),"")</f>
        <v>0.0</v>
      </c>
      <c r="AM56" s="9" t="n">
        <v>228</v>
      </c>
      <c r="AN56" s="23">
        <f>IFERROR(IF(OR($AM56="",$D56="",$D56=0),"",$AM56/$D56),"")</f>
        <v>0.2</v>
      </c>
      <c r="AO56" s="9" t="n">
        <v>4</v>
      </c>
      <c r="AP56" s="9" t="n">
        <v>13</v>
      </c>
      <c r="AQ56" s="22">
        <f>IFERROR(IF(OR($AO56="",$AP56="",$D56="",$D56=0,$M$64=""),"",($AO56+$AP56)/$D56*$M$64),"")</f>
        <v>14.912280701754385</v>
      </c>
      <c r="AR56" s="19">
        <f>IF(NOT(ISNUMBER($D56)),"",SUMPRODUCT(--(ISNUMBER($W56:$AD56)),--(ISNUMBER($W$63:$AD$63)),--($W56:$AD56&gt;$W$63:$AD$63))+IF(AND(ISNUMBER($AG56),ISNUMBER($AG$63),$AG56&gt;$AG$63),1,0)+IF(AND(ISNUMBER($AH56),ISNUMBER($AH$63),$AH56&gt;$AH$63),1,0)+IF(AND(ISNUMBER($AI56),ISNUMBER($AI$63),$AI56&gt;$AI$63),1,0)+IF(AND(ISNUMBER($AL56),ISNUMBER($AL$63),$AL56&gt;$AL$63),1,0)+IF(AND(ISNUMBER($AN56),ISNUMBER($AN$63),$AN56&gt;$AN$63),1,0)+IF(AND(ISNUMBER($AQ56),ISNUMBER($AQ$63),$AQ56&gt;$AQ$63),1,0))</f>
        <v>0.0</v>
      </c>
      <c r="AS56" t="str">
        <f>IF(NOT(ISNUMBER($AR56)),"",IF($AR56=0,"Semana en objetivo",IF($AR56=1,"1 indicador fuera de objetivo",$AR56&amp;" indicadores fuera de objetivo")))</f>
        <v>Semana en objetivo</v>
      </c>
    </row>
    <row r="57">
      <c r="A57" s="24" t="inlineStr">
        <is>
          <t>TOTAL / MEDIA</t>
        </is>
      </c>
      <c r="B57" s="24" t="n"/>
      <c r="C57" s="24" t="n"/>
      <c r="D57" s="25">
        <f>IF(COUNT(D5:D56)=0,"",SUM(D5:D56))</f>
        <v>46737.0</v>
      </c>
      <c r="E57" s="25">
        <f>IF(COUNT(E5:E56)=0,"",SUM(E5:E56))</f>
        <v>24209.0</v>
      </c>
      <c r="F57" s="25">
        <f>IF(COUNT(F5:F56)=0,"",SUM(F5:F56))</f>
        <v>20738.0</v>
      </c>
      <c r="G57" s="25">
        <f>IF(COUNT(G5:G56)=0,"",SUM(G5:G56))</f>
        <v>13421.0</v>
      </c>
      <c r="H57" s="25">
        <f>IF(COUNT(H5:H56)=0,"",SUM(H5:H56))</f>
        <v>17132.0</v>
      </c>
      <c r="I57" s="25">
        <f>IF(COUNT(I5:I56)=0,"",SUM(I5:I56))</f>
        <v/>
      </c>
      <c r="J57" s="25">
        <f>IF(COUNT(J5:J56)=0,"",SUM(J5:J56))</f>
        <v/>
      </c>
      <c r="K57" s="25">
        <f>IF(COUNT(K5:K56)=0,"",SUM(K5:K56))</f>
        <v/>
      </c>
      <c r="L57" s="25">
        <f>IF(COUNT(L5:L56)=0,"",SUM(L5:L56))</f>
        <v/>
      </c>
      <c r="M57" s="25">
        <f>IF(COUNT(M5:M56)=0,"",SUM(M5:M56))</f>
        <v>75500.0</v>
      </c>
      <c r="N57" s="26">
        <f>IF(COUNT(N5:N56)=0,"",SUM(N5:N56))</f>
        <v>278.9</v>
      </c>
      <c r="O57" s="26">
        <f>IF(COUNT(O5:O56)=0,"",SUM(O5:O56))</f>
        <v>231.1</v>
      </c>
      <c r="P57" s="26">
        <f>IF(COUNT(P5:P56)=0,"",SUM(P5:P56))</f>
        <v>45.49999999999998</v>
      </c>
      <c r="Q57" s="26">
        <f>IF(COUNT(Q5:Q56)=0,"",SUM(Q5:Q56))</f>
        <v>61.40000000000003</v>
      </c>
      <c r="R57" s="26">
        <f>IF(COUNT(R5:R56)=0,"",SUM(R5:R56))</f>
        <v/>
      </c>
      <c r="S57" s="26">
        <f>IF(COUNT(S5:S56)=0,"",SUM(S5:S56))</f>
        <v/>
      </c>
      <c r="T57" s="26">
        <f>IF(COUNT(T5:T56)=0,"",SUM(T5:T56))</f>
        <v/>
      </c>
      <c r="U57" s="26">
        <f>IF(COUNT(U5:U56)=0,"",SUM(U5:U56))</f>
        <v/>
      </c>
      <c r="V57" s="26">
        <f>IF(COUNT(V5:V56)=0,"",SUM(V5:V56))</f>
        <v>616.9</v>
      </c>
      <c r="W57" s="27">
        <f>IFERROR(IF(OR($N57="",$E57="",$E57=0,E$62="",E$62=0),"",$N57/($E57*E$62)),"")</f>
        <v>0.0320014136156893</v>
      </c>
      <c r="X57" s="27">
        <f>IFERROR(IF(OR($O57="",$F57="",$F57=0,F$62="",F$62=0),"",$O57/($F57*F$62)),"")</f>
        <v>0.05065360909704627</v>
      </c>
      <c r="Y57" s="27">
        <f>IFERROR(IF(OR($P57="",$G57="",$G57=0,G$62="",G$62=0),"",$P57/($G57*G$62)),"")</f>
        <v>0.024215781238357784</v>
      </c>
      <c r="Z57" s="27">
        <f>IFERROR(IF(OR($Q57="",$H57="",$H57=0,H$62="",H$62=0),"",$Q57/($H57*H$62)),"")</f>
        <v>0.03982151659013674</v>
      </c>
      <c r="AA57" s="27">
        <f>IFERROR(IF(OR($R57="",$I57="",$I57=0,I$62="",I$62=0),"",$R57/($I57*I$62)),"")</f>
        <v/>
      </c>
      <c r="AB57" s="27">
        <f>IFERROR(IF(OR($S57="",$J57="",$J57=0,J$62="",J$62=0),"",$S57/($J57*J$62)),"")</f>
        <v/>
      </c>
      <c r="AC57" s="27">
        <f>IFERROR(IF(OR($T57="",$K57="",$K57=0,K$62="",K$62=0),"",$T57/($K57*K$62)),"")</f>
        <v/>
      </c>
      <c r="AD57" s="27">
        <f>IFERROR(IF(OR($U57="",$L57="",$L57=0,L$62="",L$62=0),"",$U57/($L57*L$62)),"")</f>
        <v/>
      </c>
      <c r="AE57" s="26">
        <f>IF(COUNT(AE5:AE56)=0,"",SUM(AE5:AE56))</f>
        <v>16698.42000000001</v>
      </c>
      <c r="AF57" s="27">
        <f>IFERROR(IF(OR($V$57="",$AE$57="",$AE$57=0),"",$V$57/$AE$57),"")</f>
        <v>0.036943615024655006</v>
      </c>
      <c r="AG57" s="28">
        <f>IF(COUNT(AG5:AG56)=0,"",AVERAGE(AG5:AG56))</f>
        <v>8.623076923076924</v>
      </c>
      <c r="AH57" s="28">
        <f>IF(COUNT(AH5:AH56)=0,"",AVERAGE(AH5:AH56))</f>
        <v>16.51923076923077</v>
      </c>
      <c r="AI57" s="28">
        <f>IF(COUNT(AI5:AI56)=0,"",AVERAGE(AI5:AI56))</f>
        <v>6.663461538461537</v>
      </c>
      <c r="AJ57" s="25">
        <f>IF(COUNT(AJ5:AJ56)=0,"",SUM(AJ5:AJ56))</f>
        <v>15.0</v>
      </c>
      <c r="AK57" s="25">
        <f>IF(COUNT(AK5:AK56)=0,"",MAX(AK5:AK56))</f>
        <v>3.0</v>
      </c>
      <c r="AL57" s="28">
        <f>IFERROR(IF(OR($AJ$57="",$D$57="",$D$57=0,$M$64=""),"",$AJ$57/$D$57*$M$64),"")</f>
        <v>0.32094486167276465</v>
      </c>
      <c r="AM57" s="25">
        <f>IF(COUNT(AM5:AM56)=0,"",SUM(AM5:AM56))</f>
        <v>11586.0</v>
      </c>
      <c r="AN57" s="29">
        <f>IFERROR(IF(OR($AM$57="",$D$57="",$D$57=0),"",$AM$57/$D$57),"")</f>
        <v>0.2478978111560434</v>
      </c>
      <c r="AO57" s="25">
        <f>IF(COUNT(AO5:AO56)=0,"",SUM(AO5:AO56))</f>
        <v>221.0</v>
      </c>
      <c r="AP57" s="25">
        <f>IF(COUNT(AP5:AP56)=0,"",SUM(AP5:AP56))</f>
        <v>516.0</v>
      </c>
      <c r="AQ57" s="28">
        <f>IFERROR(IF(OR($AO$57="",$AP$57="",$D$57="",$D$57=0,$M$64=""),"",($AO$57+$AP$57)/$D$57*$M$64),"")</f>
        <v>15.769090870188501</v>
      </c>
      <c r="AR57" s="25">
        <f>IF(NOT(ISNUMBER($D57)),"",SUMPRODUCT(--(ISNUMBER($W57:$AD57)),--(ISNUMBER($W$63:$AD$63)),--($W57:$AD57&gt;$W$63:$AD$63))+IF(AND(ISNUMBER($AG57),ISNUMBER($AG$63),$AG57&gt;$AG$63),1,0)+IF(AND(ISNUMBER($AH57),ISNUMBER($AH$63),$AH57&gt;$AH$63),1,0)+IF(AND(ISNUMBER($AI57),ISNUMBER($AI$63),$AI57&gt;$AI$63),1,0)+IF(AND(ISNUMBER($AL57),ISNUMBER($AL$63),$AL57&gt;$AL$63),1,0)+IF(AND(ISNUMBER($AN57),ISNUMBER($AN$63),$AN57&gt;$AN$63),1,0)+IF(AND(ISNUMBER($AQ57),ISNUMBER($AQ$63),$AQ57&gt;$AQ$63),1,0))</f>
        <v>0.0</v>
      </c>
      <c r="AS57" s="24" t="str">
        <f>IF(NOT(ISNUMBER($AR$57)),"",IF($AR$57=0,"Año en objetivo",IF($AR$57=1,"1 indicador fuera de objetivo en el año",$AR$57&amp;" indicadores fuera de objetivo en el año")))</f>
        <v>Año en objetivo</v>
      </c>
    </row>
    <row r="58">
      <c r="A58" t="inlineStr">
        <is>
          <t>En la fila TOTAL los porcentajes NO son la media de los 52 porcentajes: la merma del año es la merma en kilos del año dividida entre los kilos producidos del año, que es la media ponderada y la única correcta. Los tiempos de pase sí son una media simple de las semanas medidas, porque cada semana aporta su propio muestreo.</t>
        </is>
      </c>
    </row>
    <row r="59">
      <c r="A59" t="inlineStr">
        <is>
          <t>Y ojo con leer sólo esta fila: el año puede cerrar en objetivo con semanas malas dentro. En el restaurante de ejemplo el año entero entra en objetivo y aun así hay cuatro semanas fuera (la 7, por el pase, y la 33, la 34 y la 35, por la merma de la partida de fríos). Por eso este libro se mira por semanas y no por medias del año.</t>
        </is>
      </c>
    </row>
    <row r="60">
      <c r="A60" s="3" t="inlineStr">
        <is>
          <t>PARÁMETROS EN VIGOR — se leen de la hoja «Parámetros»; cámbialos allí, no aquí</t>
        </is>
      </c>
    </row>
    <row r="61">
      <c r="A61" t="inlineStr">
        <is>
          <t>Partida activa</t>
        </is>
      </c>
      <c r="E61" s="30" t="str">
        <f>IFERROR(IF(1&gt;Parámetros!$B$7,"",IF(INDEX(Parámetros!$A$15:$A$22,1)=0,"",INDEX(Parámetros!$A$15:$A$22,1))),"")</f>
        <v>Pase y caliente</v>
      </c>
      <c r="F61" s="30" t="str">
        <f>IFERROR(IF(2&gt;Parámetros!$B$7,"",IF(INDEX(Parámetros!$A$15:$A$22,2)=0,"",INDEX(Parámetros!$A$15:$A$22,2))),"")</f>
        <v>Fríos y entrantes</v>
      </c>
      <c r="G61" s="30" t="str">
        <f>IFERROR(IF(3&gt;Parámetros!$B$7,"",IF(INDEX(Parámetros!$A$15:$A$22,3)=0,"",INDEX(Parámetros!$A$15:$A$22,3))),"")</f>
        <v>Postres y panadería</v>
      </c>
      <c r="H61" s="30" t="str">
        <f>IFERROR(IF(4&gt;Parámetros!$B$7,"",IF(INDEX(Parámetros!$A$15:$A$22,4)=0,"",INDEX(Parámetros!$A$15:$A$22,4))),"")</f>
        <v>Barra y bebidas</v>
      </c>
      <c r="I61" s="30" t="str">
        <f>IFERROR(IF(5&gt;Parámetros!$B$7,"",IF(INDEX(Parámetros!$A$15:$A$22,5)=0,"",INDEX(Parámetros!$A$15:$A$22,5))),"")</f>
        <v>Sala y servicio</v>
      </c>
      <c r="J61" s="30" t="str">
        <f>IFERROR(IF(6&gt;Parámetros!$B$7,"",IF(INDEX(Parámetros!$A$15:$A$22,6)=0,"",INDEX(Parámetros!$A$15:$A$22,6))),"")</f>
        <v>Caja y cierre</v>
      </c>
      <c r="K61" s="30">
        <f>IFERROR(IF(7&gt;Parámetros!$B$7,"",IF(INDEX(Parámetros!$A$15:$A$22,7)=0,"",INDEX(Parámetros!$A$15:$A$22,7))),"")</f>
        <v/>
      </c>
      <c r="L61" s="30">
        <f>IFERROR(IF(8&gt;Parámetros!$B$7,"",IF(INDEX(Parámetros!$A$15:$A$22,8)=0,"",INDEX(Parámetros!$A$15:$A$22,8))),"")</f>
        <v/>
      </c>
    </row>
    <row r="62">
      <c r="A62" t="inlineStr">
        <is>
          <t>Kg de materia prima por ración</t>
        </is>
      </c>
      <c r="E62" s="31">
        <f>IFERROR(IF(1&gt;Parámetros!$B$7,"",IF(INDEX(Parámetros!$C$15:$C$22,1)=0,"",INDEX(Parámetros!$C$15:$C$22,1))),"")</f>
        <v>0.36</v>
      </c>
      <c r="F62" s="31">
        <f>IFERROR(IF(2&gt;Parámetros!$B$7,"",IF(INDEX(Parámetros!$C$15:$C$22,2)=0,"",INDEX(Parámetros!$C$15:$C$22,2))),"")</f>
        <v>0.22</v>
      </c>
      <c r="G62" s="31">
        <f>IFERROR(IF(3&gt;Parámetros!$B$7,"",IF(INDEX(Parámetros!$C$15:$C$22,3)=0,"",INDEX(Parámetros!$C$15:$C$22,3))),"")</f>
        <v>0.14</v>
      </c>
      <c r="H62" s="31">
        <f>IFERROR(IF(4&gt;Parámetros!$B$7,"",IF(INDEX(Parámetros!$C$15:$C$22,4)=0,"",INDEX(Parámetros!$C$15:$C$22,4))),"")</f>
        <v>0.09</v>
      </c>
      <c r="I62" s="31">
        <f>IFERROR(IF(5&gt;Parámetros!$B$7,"",IF(INDEX(Parámetros!$C$15:$C$22,5)=0,"",INDEX(Parámetros!$C$15:$C$22,5))),"")</f>
        <v/>
      </c>
      <c r="J62" s="31">
        <f>IFERROR(IF(6&gt;Parámetros!$B$7,"",IF(INDEX(Parámetros!$C$15:$C$22,6)=0,"",INDEX(Parámetros!$C$15:$C$22,6))),"")</f>
        <v/>
      </c>
      <c r="K62" s="31">
        <f>IFERROR(IF(7&gt;Parámetros!$B$7,"",IF(INDEX(Parámetros!$C$15:$C$22,7)=0,"",INDEX(Parámetros!$C$15:$C$22,7))),"")</f>
        <v/>
      </c>
      <c r="L62" s="31">
        <f>IFERROR(IF(8&gt;Parámetros!$B$7,"",IF(INDEX(Parámetros!$C$15:$C$22,8)=0,"",INDEX(Parámetros!$C$15:$C$22,8))),"")</f>
        <v/>
      </c>
    </row>
    <row r="63">
      <c r="A63" t="inlineStr">
        <is>
          <t>Objetivo de la casa</t>
        </is>
      </c>
      <c r="W63" s="32">
        <f>IFERROR(IF(1&gt;Parámetros!$B$7,"",IF(INDEX(Parámetros!$D$15:$D$22,1)=0,"",INDEX(Parámetros!$D$15:$D$22,1))),"")</f>
        <v>0.035</v>
      </c>
      <c r="X63" s="32">
        <f>IFERROR(IF(2&gt;Parámetros!$B$7,"",IF(INDEX(Parámetros!$D$15:$D$22,2)=0,"",INDEX(Parámetros!$D$15:$D$22,2))),"")</f>
        <v>0.055</v>
      </c>
      <c r="Y63" s="32">
        <f>IFERROR(IF(3&gt;Parámetros!$B$7,"",IF(INDEX(Parámetros!$D$15:$D$22,3)=0,"",INDEX(Parámetros!$D$15:$D$22,3))),"")</f>
        <v>0.03</v>
      </c>
      <c r="Z63" s="32">
        <f>IFERROR(IF(4&gt;Parámetros!$B$7,"",IF(INDEX(Parámetros!$D$15:$D$22,4)=0,"",INDEX(Parámetros!$D$15:$D$22,4))),"")</f>
        <v>0.045</v>
      </c>
      <c r="AA63" s="32">
        <f>IFERROR(IF(5&gt;Parámetros!$B$7,"",IF(INDEX(Parámetros!$D$15:$D$22,5)=0,"",INDEX(Parámetros!$D$15:$D$22,5))),"")</f>
        <v/>
      </c>
      <c r="AB63" s="32">
        <f>IFERROR(IF(6&gt;Parámetros!$B$7,"",IF(INDEX(Parámetros!$D$15:$D$22,6)=0,"",INDEX(Parámetros!$D$15:$D$22,6))),"")</f>
        <v/>
      </c>
      <c r="AC63" s="32">
        <f>IFERROR(IF(7&gt;Parámetros!$B$7,"",IF(INDEX(Parámetros!$D$15:$D$22,7)=0,"",INDEX(Parámetros!$D$15:$D$22,7))),"")</f>
        <v/>
      </c>
      <c r="AD63" s="32">
        <f>IFERROR(IF(8&gt;Parámetros!$B$7,"",IF(INDEX(Parámetros!$D$15:$D$22,8)=0,"",INDEX(Parámetros!$D$15:$D$22,8))),"")</f>
        <v/>
      </c>
      <c r="AG63" s="17">
        <f>IF(Parámetros!$B$29="","",Parámetros!$B$29)</f>
        <v>10.0</v>
      </c>
      <c r="AH63" s="17">
        <f>IF(Parámetros!$B$30="","",Parámetros!$B$30)</f>
        <v>18.0</v>
      </c>
      <c r="AI63" s="17">
        <f>IF(Parámetros!$B$31="","",Parámetros!$B$31)</f>
        <v>8.0</v>
      </c>
      <c r="AL63" s="17">
        <f>IF(Parámetros!$B$32="","",Parámetros!$B$32)</f>
        <v>0.5</v>
      </c>
      <c r="AN63" s="33">
        <f>IF(Parámetros!$B$33="","",Parámetros!$B$33)</f>
        <v>0.26</v>
      </c>
      <c r="AQ63" s="17">
        <f>IF(Parámetros!$B$36="","",Parámetros!$B$36)</f>
        <v>22.0</v>
      </c>
    </row>
    <row r="64">
      <c r="A64" t="inlineStr">
        <is>
          <t>Base de las tasas por cubiertos</t>
        </is>
      </c>
      <c r="M64" s="34">
        <f>IF(Parámetros!$B$8="","",Parámetros!$B$8)</f>
        <v>1000.0</v>
      </c>
    </row>
    <row r="65">
      <c r="A65" t="inlineStr">
        <is>
          <t>Partidas activas</t>
        </is>
      </c>
      <c r="M65" s="34">
        <f>IF(Parámetros!$B$7="","",Parámetros!$B$7)</f>
        <v>6.0</v>
      </c>
    </row>
    <row r="66"/>
    <row r="67">
      <c r="A67" t="inlineStr">
        <is>
          <t>Este bloque es un espejo de la hoja «Parámetros». Está aquí porque el formato condicional no puede leer otra hoja sin usar INDIRECT, que esta familia de libros tiene prohibida por frágil.</t>
        </is>
      </c>
    </row>
  </sheetData>
  <sheetProtection selectLockedCells="0" selectUnlockedCells="0" sheet="1" objects="0" insertRows="0" insertHyperlinks="1" autoFilter="1" scenarios="0" formatColumns="0" deleteColumns="1" insertColumns="1" pivotTables="1" deleteRows="1" formatCells="1" formatRows="0" sort="0"/>
  <conditionalFormatting sqref="W5:AD57">
    <cfRule type="expression" priority="1" dxfId="0" stopIfTrue="1">
      <formula>=AND(ISNUMBER(W5),NOT(ISNUMBER(W$63)))</formula>
    </cfRule>
    <cfRule type="expression" priority="2" dxfId="1" stopIfTrue="1">
      <formula>=AND(ISNUMBER(W5),ISNUMBER(W$63),W5&gt;W$63)</formula>
    </cfRule>
    <cfRule type="expression" priority="3" dxfId="2" stopIfTrue="1">
      <formula>=AND(ISNUMBER(W5),ISNUMBER(W$63),W5&lt;=W$63)</formula>
    </cfRule>
  </conditionalFormatting>
  <conditionalFormatting sqref="AG5:AI57">
    <cfRule type="expression" priority="4" dxfId="0" stopIfTrue="1">
      <formula>=AND(ISNUMBER(AG5),NOT(ISNUMBER(AG$63)))</formula>
    </cfRule>
    <cfRule type="expression" priority="5" dxfId="1" stopIfTrue="1">
      <formula>=AND(ISNUMBER(AG5),ISNUMBER(AG$63),AG5&gt;AG$63)</formula>
    </cfRule>
    <cfRule type="expression" priority="6" dxfId="2" stopIfTrue="1">
      <formula>=AND(ISNUMBER(AG5),ISNUMBER(AG$63),AG5&lt;=AG$63)</formula>
    </cfRule>
  </conditionalFormatting>
  <conditionalFormatting sqref="AL5:AL57">
    <cfRule type="expression" priority="7" dxfId="0" stopIfTrue="1">
      <formula>=AND(ISNUMBER(AL5),NOT(ISNUMBER(AL$63)))</formula>
    </cfRule>
    <cfRule type="expression" priority="8" dxfId="1" stopIfTrue="1">
      <formula>=AND(ISNUMBER(AL5),ISNUMBER(AL$63),AL5&gt;AL$63)</formula>
    </cfRule>
    <cfRule type="expression" priority="9" dxfId="2" stopIfTrue="1">
      <formula>=AND(ISNUMBER(AL5),ISNUMBER(AL$63),AL5&lt;=AL$63)</formula>
    </cfRule>
  </conditionalFormatting>
  <conditionalFormatting sqref="AN5:AN57">
    <cfRule type="expression" priority="10" dxfId="0" stopIfTrue="1">
      <formula>=AND(ISNUMBER(AN5),NOT(ISNUMBER(AN$63)))</formula>
    </cfRule>
    <cfRule type="expression" priority="11" dxfId="1" stopIfTrue="1">
      <formula>=AND(ISNUMBER(AN5),ISNUMBER(AN$63),AN5&gt;AN$63)</formula>
    </cfRule>
    <cfRule type="expression" priority="12" dxfId="2" stopIfTrue="1">
      <formula>=AND(ISNUMBER(AN5),ISNUMBER(AN$63),AN5&lt;=AN$63)</formula>
    </cfRule>
  </conditionalFormatting>
  <conditionalFormatting sqref="AQ5:AQ57">
    <cfRule type="expression" priority="13" dxfId="0" stopIfTrue="1">
      <formula>=AND(ISNUMBER(AQ5),NOT(ISNUMBER(AQ$63)))</formula>
    </cfRule>
    <cfRule type="expression" priority="14" dxfId="1" stopIfTrue="1">
      <formula>=AND(ISNUMBER(AQ5),ISNUMBER(AQ$63),AQ5&gt;AQ$63)</formula>
    </cfRule>
    <cfRule type="expression" priority="15" dxfId="2" stopIfTrue="1">
      <formula>=AND(ISNUMBER(AQ5),ISNUMBER(AQ$63),AQ5&lt;=AQ$63)</formula>
    </cfRule>
  </conditionalFormatting>
  <conditionalFormatting sqref="AR5:AR57">
    <cfRule type="expression" priority="16" dxfId="1" stopIfTrue="1">
      <formula>=AND(ISNUMBER($AR5),$AR5&gt;0)</formula>
    </cfRule>
    <cfRule type="expression" priority="17" dxfId="2" stopIfTrue="1">
      <formula>=AND(ISNUMBER($AR5),$AR5=0)</formula>
    </cfRule>
  </conditionalFormatting>
  <conditionalFormatting sqref="AS5:AS57">
    <cfRule type="expression" priority="18" dxfId="1" stopIfTrue="1">
      <formula>=AND(ISNUMBER($AR5),$AR5&gt;0)</formula>
    </cfRule>
    <cfRule type="expression" priority="19" dxfId="2" stopIfTrue="1">
      <formula>=AND(ISNUMBER($AR5),$AR5=0)</formula>
    </cfRule>
  </conditionalFormatting>
  <conditionalFormatting sqref="AK5:AK57">
    <cfRule type="expression" priority="20" dxfId="3" stopIfTrue="1">
      <formula>=AND(ISNUMBER($AK5),$AK5&gt;0)</formula>
    </cfRule>
  </conditionalFormatting>
  <dataValidations count="7">
    <dataValidation sqref="A5 A6 A7 A8 A9 A10 A11 A12 A13 A14 A15 A16 A17 A18 A19 A20 A21 A22 A23 A24 A25 A26 A27 A28 A29 A30 A31 A32 A33 A34 A35 A36 A37 A38 A39 A40 A41 A42 A43 A44 A45 A46 A47 A48 A49 A50 A51 A52 A53 A54 A55 A56" showDropDown="0" showInputMessage="0" showErrorMessage="1" allowBlank="1" errorTitle="Semana ISO" error="La semana ISO va de 1 a 53." type="decimal" operator="between">
      <formula1>1</formula1>
      <formula2>53</formula2>
    </dataValidation>
    <dataValidation sqref="B5 B6 B7 B8 B9 B10 B11 B12 B13 B14 B15 B16 B17 B18 B19 B20 B21 B22 B23 B24 B25 B26 B27 B28 B29 B30 B31 B32 B33 B34 B35 B36 B37 B38 B39 B40 B41 B42 B43 B44 B45 B46 B47 B48 B49 B50 B51 B52 B53 B54 B55 B56" showDropDown="0" showInputMessage="0" showErrorMessage="1" allowBlank="1" errorTitle="Fecha no válida" error="Escribe una fecha (dd/mm/aaaa) entre 2020 y 2040." type="date" operator="between">
      <formula1>DATE(2020,1,1)</formula1>
      <formula2>DATE(2040,12,31)</formula2>
    </dataValidation>
    <dataValidation sqref="C5 C6 C7 C8 C9 C10 C11 C12 C13 C14 C15 C16 C17 C18 C19 C20 C21 C22 C23 C24 C25 C26 C27 C28 C29 C30 C31 C32 C33 C34 C35 C36 C37 C38 C39 C40 C41 C42 C43 C44 C45 C46 C47 C48 C49 C50 C51 C52 C53 C54 C55 C56" showDropDown="0" showInputMessage="0" showErrorMessage="1" allowBlank="1" errorTitle="Mes" error="El mes al que asignas la semana (1 a 12). La convención ISO es el mes de su jueves." type="decimal" operator="between">
      <formula1>1</formula1>
      <formula2>12</formula2>
    </dataValidation>
    <dataValidation sqref="D5 D6 D7 D8 D9 D10 D11 D12 D13 D14 D15 D16 D17 D18 D19 D20 D21 D22 D23 D24 D25 D26 D27 D28 D29 D30 D31 D32 D33 D34 D35 D36 D37 D38 D39 D40 D41 D42 D43 D44 D45 D46 D47 D48 D49 D50 D51 D52 D53 D54 D55 D56 E5 E6 E7 E8 E9 E10 E11 E12 E13 E14 E15 E16 E17 E18 E19 E20 E21 E22 E23 E24 E25 E26 E27 E28 E29 E30 E31 E32 E33 E34 E35 E36 E37 E38 E39 E40 E41 E42 E43 E44 E45 E46 E47 E48 E49 E50 E51 E52 E53 E54 E55 E56 F5 F6 F7 F8 F9 F10 F11 F12 F13 F14 F15 F16 F17 F18 F19 F20 F21 F22 F23 F24 F25 F26 F27 F28 F29 F30 F31 F32 F33 F34 F35 F36 F37 F38 F39 F40 F41 F42 F43 F44 F45 F46 F47 F48 F49 F50 F51 F52 F53 F54 F55 F56 G5 G6 G7 G8 G9 G10 G11 G12 G13 G14 G15 G16 G17 G18 G19 G20 G21 G22 G23 G24 G25 G26 G27 G28 G29 G30 G31 G32 G33 G34 G35 G36 G37 G38 G39 G40 G41 G42 G43 G44 G45 G46 G47 G48 G49 G50 G51 G52 G53 G54 G55 G56 H5 H6 H7 H8 H9 H10 H11 H12 H13 H14 H15 H16 H17 H18 H19 H20 H21 H22 H23 H24 H25 H26 H27 H28 H29 H30 H31 H32 H33 H34 H35 H36 H37 H38 H39 H40 H41 H42 H43 H44 H45 H46 H47 H48 H49 H50 H51 H52 H53 H54 H55 H56 I5 I6 I7 I8 I9 I10 I11 I12 I13 I14 I15 I16 I17 I18 I19 I20 I21 I22 I23 I24 I25 I26 I27 I28 I29 I30 I31 I32 I33 I34 I35 I36 I37 I38 I39 I40 I41 I42 I43 I44 I45 I46 I47 I48 I49 I50 I51 I52 I53 I54 I55 I56 J5 J6 J7 J8 J9 J10 J11 J12 J13 J14 J15 J16 J17 J18 J19 J20 J21 J22 J23 J24 J25 J26 J27 J28 J29 J30 J31 J32 J33 J34 J35 J36 J37 J38 J39 J40 J41 J42 J43 J44 J45 J46 J47 J48 J49 J50 J51 J52 J53 J54 J55 J56 K5 K6 K7 K8 K9 K10 K11 K12 K13 K14 K15 K16 K17 K18 K19 K20 K21 K22 K23 K24 K25 K26 K27 K28 K29 K30 K31 K32 K33 K34 K35 K36 K37 K38 K39 K40 K41 K42 K43 K44 K45 K46 K47 K48 K49 K50 K51 K52 K53 K54 K55 K56 L5 L6 L7 L8 L9 L10 L11 L12 L13 L14 L15 L16 L17 L18 L19 L20 L21 L22 L23 L24 L25 L26 L27 L28 L29 L30 L31 L32 L33 L34 L35 L36 L37 L38 L39 L40 L41 L42 L43 L44 L45 L46 L47 L48 L49 L50 L51 L52 L53 L54 L55 L56 AJ5 AJ6 AJ7 AJ8 AJ9 AJ10 AJ11 AJ12 AJ13 AJ14 AJ15 AJ16 AJ17 AJ18 AJ19 AJ20 AJ21 AJ22 AJ23 AJ24 AJ25 AJ26 AJ27 AJ28 AJ29 AJ30 AJ31 AJ32 AJ33 AJ34 AJ35 AJ36 AJ37 AJ38 AJ39 AJ40 AJ41 AJ42 AJ43 AJ44 AJ45 AJ46 AJ47 AJ48 AJ49 AJ50 AJ51 AJ52 AJ53 AJ54 AJ55 AJ56 AM5 AM6 AM7 AM8 AM9 AM10 AM11 AM12 AM13 AM14 AM15 AM16 AM17 AM18 AM19 AM20 AM21 AM22 AM23 AM24 AM25 AM26 AM27 AM28 AM29 AM30 AM31 AM32 AM33 AM34 AM35 AM36 AM37 AM38 AM39 AM40 AM41 AM42 AM43 AM44 AM45 AM46 AM47 AM48 AM49 AM50 AM51 AM52 AM53 AM54 AM55 AM56 AO5 AO6 AO7 AO8 AO9 AO10 AO11 AO12 AO13 AO14 AO15 AO16 AO17 AO18 AO19 AO20 AO21 AO22 AO23 AO24 AO25 AO26 AO27 AO28 AO29 AO30 AO31 AO32 AO33 AO34 AO35 AO36 AO37 AO38 AO39 AO40 AO41 AO42 AO43 AO44 AO45 AO46 AO47 AO48 AO49 AO50 AO51 AO52 AO53 AO54 AO55 AO56 AP5 AP6 AP7 AP8 AP9 AP10 AP11 AP12 AP13 AP14 AP15 AP16 AP17 AP18 AP19 AP20 AP21 AP22 AP23 AP24 AP25 AP26 AP27 AP28 AP29 AP30 AP31 AP32 AP33 AP34 AP35 AP36 AP37 AP38 AP39 AP40 AP41 AP42 AP43 AP44 AP45 AP46 AP47 AP48 AP49 AP50 AP51 AP52 AP53 AP54 AP55 AP56" showDropDown="0" showInputMessage="0" showErrorMessage="1" allowBlank="1" errorTitle="Recuento" error="Escribe un número entero mayor o igual que 0." type="decimal" operator="greaterThanOrEqual">
      <formula1>0</formula1>
    </dataValidation>
    <dataValidation sqref="N5 N6 N7 N8 N9 N10 N11 N12 N13 N14 N15 N16 N17 N18 N19 N20 N21 N22 N23 N24 N25 N26 N27 N28 N29 N30 N31 N32 N33 N34 N35 N36 N37 N38 N39 N40 N41 N42 N43 N44 N45 N46 N47 N48 N49 N50 N51 N52 N53 N54 N55 N56 O5 O6 O7 O8 O9 O10 O11 O12 O13 O14 O15 O16 O17 O18 O19 O20 O21 O22 O23 O24 O25 O26 O27 O28 O29 O30 O31 O32 O33 O34 O35 O36 O37 O38 O39 O40 O41 O42 O43 O44 O45 O46 O47 O48 O49 O50 O51 O52 O53 O54 O55 O56 P5 P6 P7 P8 P9 P10 P11 P12 P13 P14 P15 P16 P17 P18 P19 P20 P21 P22 P23 P24 P25 P26 P27 P28 P29 P30 P31 P32 P33 P34 P35 P36 P37 P38 P39 P40 P41 P42 P43 P44 P45 P46 P47 P48 P49 P50 P51 P52 P53 P54 P55 P56 Q5 Q6 Q7 Q8 Q9 Q10 Q11 Q12 Q13 Q14 Q15 Q16 Q17 Q18 Q19 Q20 Q21 Q22 Q23 Q24 Q25 Q26 Q27 Q28 Q29 Q30 Q31 Q32 Q33 Q34 Q35 Q36 Q37 Q38 Q39 Q40 Q41 Q42 Q43 Q44 Q45 Q46 Q47 Q48 Q49 Q50 Q51 Q52 Q53 Q54 Q55 Q56 R5 R6 R7 R8 R9 R10 R11 R12 R13 R14 R15 R16 R17 R18 R19 R20 R21 R22 R23 R24 R25 R26 R27 R28 R29 R30 R31 R32 R33 R34 R35 R36 R37 R38 R39 R40 R41 R42 R43 R44 R45 R46 R47 R48 R49 R50 R51 R52 R53 R54 R55 R56 S5 S6 S7 S8 S9 S10 S11 S12 S13 S14 S15 S16 S17 S18 S19 S20 S21 S22 S23 S24 S25 S26 S27 S28 S29 S30 S31 S32 S33 S34 S35 S36 S37 S38 S39 S40 S41 S42 S43 S44 S45 S46 S47 S48 S49 S50 S51 S52 S53 S54 S55 S56 T5 T6 T7 T8 T9 T10 T11 T12 T13 T14 T15 T16 T17 T18 T19 T20 T21 T22 T23 T24 T25 T26 T27 T28 T29 T30 T31 T32 T33 T34 T35 T36 T37 T38 T39 T40 T41 T42 T43 T44 T45 T46 T47 T48 T49 T50 T51 T52 T53 T54 T55 T56 U5 U6 U7 U8 U9 U10 U11 U12 U13 U14 U15 U16 U17 U18 U19 U20 U21 U22 U23 U24 U25 U26 U27 U28 U29 U30 U31 U32 U33 U34 U35 U36 U37 U38 U39 U40 U41 U42 U43 U44 U45 U46 U47 U48 U49 U50 U51 U52 U53 U54 U55 U56" showDropDown="0" showInputMessage="0" showErrorMessage="1" allowBlank="1" errorTitle="Merma (kg)" error="Kilos de merma de esa partida en la semana." type="decimal" operator="greaterThanOrEqual">
      <formula1>0</formula1>
    </dataValidation>
    <dataValidation sqref="AG5 AG6 AG7 AG8 AG9 AG10 AG11 AG12 AG13 AG14 AG15 AG16 AG17 AG18 AG19 AG20 AG21 AG22 AG23 AG24 AG25 AG26 AG27 AG28 AG29 AG30 AG31 AG32 AG33 AG34 AG35 AG36 AG37 AG38 AG39 AG40 AG41 AG42 AG43 AG44 AG45 AG46 AG47 AG48 AG49 AG50 AG51 AG52 AG53 AG54 AG55 AG56 AH5 AH6 AH7 AH8 AH9 AH10 AH11 AH12 AH13 AH14 AH15 AH16 AH17 AH18 AH19 AH20 AH21 AH22 AH23 AH24 AH25 AH26 AH27 AH28 AH29 AH30 AH31 AH32 AH33 AH34 AH35 AH36 AH37 AH38 AH39 AH40 AH41 AH42 AH43 AH44 AH45 AH46 AH47 AH48 AH49 AH50 AH51 AH52 AH53 AH54 AH55 AH56 AI5 AI6 AI7 AI8 AI9 AI10 AI11 AI12 AI13 AI14 AI15 AI16 AI17 AI18 AI19 AI20 AI21 AI22 AI23 AI24 AI25 AI26 AI27 AI28 AI29 AI30 AI31 AI32 AI33 AI34 AI35 AI36 AI37 AI38 AI39 AI40 AI41 AI42 AI43 AI44 AI45 AI46 AI47 AI48 AI49 AI50 AI51 AI52 AI53 AI54 AI55 AI56" showDropDown="0" showInputMessage="0" showErrorMessage="1" allowBlank="1" errorTitle="Minutos" error="Minutos desde la comanda hasta la salida." type="decimal" operator="between">
      <formula1>0</formula1>
      <formula2>240</formula2>
    </dataValidation>
    <dataValidation sqref="AK5 AK6 AK7 AK8 AK9 AK10 AK11 AK12 AK13 AK14 AK15 AK16 AK17 AK18 AK19 AK20 AK21 AK22 AK23 AK24 AK25 AK26 AK27 AK28 AK29 AK30 AK31 AK32 AK33 AK34 AK35 AK36 AK37 AK38 AK39 AK40 AK41 AK42 AK43 AK44 AK45 AK46 AK47 AK48 AK49 AK50 AK51 AK52 AK53 AK54 AK55 AK56" showDropDown="0" showInputMessage="0" showErrorMessage="1" allowBlank="1" errorTitle="Gravedad" error="De 0 (ninguna) a 3 (llegó al cliente con consecuencias)." type="decimal" operator="between">
      <formula1>0</formula1>
      <formula2>3</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5"/>
  <sheetViews>
    <sheetView workbookViewId="0">
      <pane ySplit="4" topLeftCell="A5" activePane="bottomLeft" state="frozen"/>
      <selection pane="bottomLeft" activeCell="A1" sqref="A1"/>
    </sheetView>
  </sheetViews>
  <sheetFormatPr baseColWidth="8" defaultRowHeight="15"/>
  <cols>
    <col width="30" customWidth="1" min="1" max="1"/>
    <col width="54" customWidth="1" min="2" max="2"/>
    <col width="16" customWidth="1" min="3" max="3"/>
    <col width="62" customWidth="1" min="4" max="4"/>
    <col width="14" customWidth="1" min="5" max="5"/>
    <col width="18" customWidth="1" min="6" max="6"/>
    <col width="46" customWidth="1" min="7" max="7"/>
  </cols>
  <sheetData>
    <row r="1" ht="30" customHeight="1">
      <c r="A1" s="1" t="inlineStr">
        <is>
          <t>Los siete KPI de cocina</t>
        </is>
      </c>
    </row>
    <row r="2">
      <c r="A2" t="inlineStr">
        <is>
          <t>AI Chef Pro · aichef.pro — Manual del Chef Ejecutivo</t>
        </is>
      </c>
    </row>
    <row r="3">
      <c r="A3" s="2" t="inlineStr">
        <is>
          <t>No existe un estándar publicado de KPI de cocina en español. Ésta es nuestra lista: por qué cada uno y cuál es su error típico. El objetivo lo pones tú.</t>
        </is>
      </c>
    </row>
    <row r="4" ht="32" customHeight="1">
      <c r="A4" s="6" t="inlineStr">
        <is>
          <t>Indicador</t>
        </is>
      </c>
      <c r="B4" s="6" t="inlineStr">
        <is>
          <t>Cómo se calcula</t>
        </is>
      </c>
      <c r="C4" s="6" t="inlineStr">
        <is>
          <t>Unidad</t>
        </is>
      </c>
      <c r="D4" s="6" t="inlineStr">
        <is>
          <t>Error típico</t>
        </is>
      </c>
      <c r="E4" s="6" t="inlineStr">
        <is>
          <t>Cadencia</t>
        </is>
      </c>
      <c r="F4" s="6" t="inlineStr">
        <is>
          <t>Objetivo de la casa</t>
        </is>
      </c>
      <c r="G4" s="6" t="inlineStr">
        <is>
          <t>De dónde sale el dato</t>
        </is>
      </c>
    </row>
    <row r="5" ht="52" customHeight="1">
      <c r="A5" s="7" t="inlineStr">
        <is>
          <t>Merma por partida</t>
        </is>
      </c>
      <c r="B5" s="4" t="inlineStr">
        <is>
          <t>Merma de la partida (kg) / (raciones producidas x kg por ración de esa partida)</t>
        </is>
      </c>
      <c r="C5" s="15" t="inlineStr">
        <is>
          <t>%</t>
        </is>
      </c>
      <c r="D5" s="4" t="inlineStr">
        <is>
          <t>Mirar la merma total de la cocina en vez de la de cada partida: la de una partida se compensa con la de otra y el problema no aparece nunca</t>
        </is>
      </c>
      <c r="E5" s="15" t="inlineStr">
        <is>
          <t>Semanal</t>
        </is>
      </c>
      <c r="F5" s="35" t="inlineStr">
        <is>
          <t>Uno por partida</t>
        </is>
      </c>
      <c r="G5" s="4" t="inlineStr">
        <is>
          <t>Semana, columnas «Merma · &lt;partida&gt; (%)»</t>
        </is>
      </c>
    </row>
    <row r="6" ht="52" customHeight="1">
      <c r="A6" s="7" t="inlineStr">
        <is>
          <t>Tiempo de pase por familia de plato</t>
        </is>
      </c>
      <c r="B6" s="4" t="inlineStr">
        <is>
          <t>Media de los tiempos muestreados entre comanda y salida, separando entrantes, principales y postres</t>
        </is>
      </c>
      <c r="C6" s="15" t="inlineStr">
        <is>
          <t>minutos</t>
        </is>
      </c>
      <c r="D6" s="4" t="inlineStr">
        <is>
          <t>Dar una sola media para toda la carta: un postre y un arroz no compiten en la misma liga y la media los esconde a los dos</t>
        </is>
      </c>
      <c r="E6" s="15" t="inlineStr">
        <is>
          <t>Semanal</t>
        </is>
      </c>
      <c r="F6" s="35" t="inlineStr">
        <is>
          <t>Tres, uno por familia</t>
        </is>
      </c>
      <c r="G6" s="4" t="inlineStr">
        <is>
          <t>Semana, columnas «Pase de entrantes / principales / postres»</t>
        </is>
      </c>
    </row>
    <row r="7" ht="52" customHeight="1">
      <c r="A7" s="7" t="inlineStr">
        <is>
          <t>Incidencias de alérgenos por 1.000 cubiertos</t>
        </is>
      </c>
      <c r="B7" s="4" t="inlineStr">
        <is>
          <t>Incidencias registradas x 1.000 / cubiertos servidos</t>
        </is>
      </c>
      <c r="C7" s="15" t="inlineStr">
        <is>
          <t>incidencias/1.000</t>
        </is>
      </c>
      <c r="D7" s="4" t="inlineStr">
        <is>
          <t>Contar solo las que llegaron al cliente: la que se detecta en el pase es la que te dice dónde está el fallo del proceso</t>
        </is>
      </c>
      <c r="E7" s="15" t="inlineStr">
        <is>
          <t>Semanal</t>
        </is>
      </c>
      <c r="F7" s="36">
        <f>IF(Parámetros!$B$32="","",Parámetros!$B$32)</f>
        <v>0.5</v>
      </c>
      <c r="G7" s="4" t="inlineStr">
        <is>
          <t>Semana, columna «Incidencias por base de cubiertos»</t>
        </is>
      </c>
    </row>
    <row r="8" ht="52" customHeight="1">
      <c r="A8" s="7" t="inlineStr">
        <is>
          <t>Horas de cocina por cubierto</t>
        </is>
      </c>
      <c r="B8" s="4" t="inlineStr">
        <is>
          <t>Horas realmente trabajadas por la brigada / cubiertos servidos</t>
        </is>
      </c>
      <c r="C8" s="15" t="inlineStr">
        <is>
          <t>h/cubierto</t>
        </is>
      </c>
      <c r="D8" s="4" t="inlineStr">
        <is>
          <t>Alimentarlo con las horas del contrato en lugar de las del registro de jornada, y meter dentro las horas de sala</t>
        </is>
      </c>
      <c r="E8" s="15" t="inlineStr">
        <is>
          <t>Semanal</t>
        </is>
      </c>
      <c r="F8" s="37">
        <f>IF(Parámetros!$B$33="","",Parámetros!$B$33)</f>
        <v>0.26</v>
      </c>
      <c r="G8" s="4" t="inlineStr">
        <is>
          <t>Semana, columna «Horas de cocina por cubierto»</t>
        </is>
      </c>
    </row>
    <row r="9" ht="52" customHeight="1">
      <c r="A9" s="7" t="inlineStr">
        <is>
          <t>Cumplimiento de ficha técnica</t>
        </is>
      </c>
      <c r="B9" s="4" t="inlineStr">
        <is>
          <t>Muestreos conformes con la ficha / muestreos hechos en el pase</t>
        </is>
      </c>
      <c r="C9" s="15" t="inlineStr">
        <is>
          <t>%</t>
        </is>
      </c>
      <c r="D9" s="4" t="inlineStr">
        <is>
          <t>Preguntar «tenemos ficha?» en vez de «se ha seguido?»: tener la ficha escrita no es cumplirla</t>
        </is>
      </c>
      <c r="E9" s="15" t="inlineStr">
        <is>
          <t>Semanal</t>
        </is>
      </c>
      <c r="F9" s="35" t="inlineStr">
        <is>
          <t>No se mide en este libro</t>
        </is>
      </c>
      <c r="G9" s="4" t="inlineStr">
        <is>
          <t>No se mide aquí: hoja «Control de Calidad del Pase» del libro de desarrollo de carta</t>
        </is>
      </c>
    </row>
    <row r="10" ht="52" customHeight="1">
      <c r="A10" s="7" t="inlineStr">
        <is>
          <t>Platos devueltos y retrabajados por 1.000 cubiertos</t>
        </is>
      </c>
      <c r="B10" s="4" t="inlineStr">
        <is>
          <t>(Devueltos + retrabajados) x 1.000 / cubiertos servidos</t>
        </is>
      </c>
      <c r="C10" s="15" t="inlineStr">
        <is>
          <t>platos/1.000</t>
        </is>
      </c>
      <c r="D10" s="4" t="inlineStr">
        <is>
          <t>Registrar solo la devolución del cliente: el plato que se rehace antes de salir no se ve en la cuenta y es el que más dinero cuesta</t>
        </is>
      </c>
      <c r="E10" s="15" t="inlineStr">
        <is>
          <t>Semanal</t>
        </is>
      </c>
      <c r="F10" s="36">
        <f>IF(Parámetros!$B$36="","",Parámetros!$B$36)</f>
        <v>22.0</v>
      </c>
      <c r="G10" s="4" t="inlineStr">
        <is>
          <t>Semana, columna «Devueltos y retrabajados por base»</t>
        </is>
      </c>
    </row>
    <row r="11" ht="52" customHeight="1">
      <c r="A11" s="7" t="inlineStr">
        <is>
          <t>Rotación de la brigada</t>
        </is>
      </c>
      <c r="B11" s="4" t="inlineStr">
        <is>
          <t>Bajas de cocina del periodo / plantilla media de cocina del periodo</t>
        </is>
      </c>
      <c r="C11" s="15" t="inlineStr">
        <is>
          <t>%</t>
        </is>
      </c>
      <c r="D11" s="4" t="inlineStr">
        <is>
          <t>Mezclarla con la rotación de sala: en un restaurante con temporada son dos realidades distintas y se corrigen distinto</t>
        </is>
      </c>
      <c r="E11" s="15" t="inlineStr">
        <is>
          <t>Trimestral</t>
        </is>
      </c>
      <c r="F11" s="35" t="inlineStr">
        <is>
          <t>No se mide en este libro</t>
        </is>
      </c>
      <c r="G11" s="4" t="inlineStr">
        <is>
          <t>No se mide aquí: cuadro de mando del Manual del Manager, con cadencia trimestral</t>
        </is>
      </c>
    </row>
    <row r="12"/>
    <row r="13">
      <c r="A13" t="inlineStr">
        <is>
          <t>La columna «Error típico» es la que evita las discusiones: casi siempre que dos personas dan dos números distintos para lo mismo, una de las dos está cometiendo el error de esa columna.</t>
        </is>
      </c>
    </row>
    <row r="14">
      <c r="A14" t="inlineStr">
        <is>
          <t>Ninguno de estos siete indicadores se compara con el de otra cocina sin mirar antes qué carta tiene, cuántos servicios hace y con qué brigada: para eso está la hoja «Comparativa entre Unidades», que compara contra el estándar que fija tu grupo, no contra el sector.</t>
        </is>
      </c>
    </row>
    <row r="15">
      <c r="A15" t="inlineStr">
        <is>
          <t>Ninguna cifra de este libro es un benchmark de mercado. Este producto no publica ni uno solo de merma, de tiempo de pase ni de horas de formación, porque no existe ninguno verificado en español.</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O27"/>
  <sheetViews>
    <sheetView workbookViewId="0">
      <selection activeCell="A1" sqref="A1"/>
    </sheetView>
  </sheetViews>
  <sheetFormatPr baseColWidth="8" defaultRowHeight="15"/>
  <cols>
    <col width="34" customWidth="1" min="1" max="1"/>
    <col width="14" customWidth="1" min="2" max="2"/>
    <col width="14" customWidth="1" min="3" max="3"/>
    <col width="16" customWidth="1" min="4" max="4"/>
    <col width="18" customWidth="1" min="5" max="5"/>
    <col width="16" customWidth="1" min="6" max="6"/>
    <col width="16" customWidth="1" min="7" max="7"/>
    <col width="3" customWidth="1" min="8" max="8"/>
    <col width="14" customWidth="1" min="9" max="9"/>
    <col width="14" customWidth="1" min="10" max="10"/>
    <col width="14" customWidth="1" min="11" max="11"/>
    <col width="14" customWidth="1" min="12" max="12"/>
    <col width="14" customWidth="1" min="13" max="13"/>
    <col width="16" customWidth="1" min="14" max="14"/>
    <col width="12" customWidth="1" min="15" max="15"/>
  </cols>
  <sheetData>
    <row r="1" ht="30" customHeight="1">
      <c r="A1" s="1" t="inlineStr">
        <is>
          <t>Comparativa entre unidades</t>
        </is>
      </c>
    </row>
    <row r="2">
      <c r="A2" t="inlineStr">
        <is>
          <t>AI Chef Pro · aichef.pro — Manual del Chef Ejecutivo</t>
        </is>
      </c>
    </row>
    <row r="3">
      <c r="A3" s="2" t="inlineStr">
        <is>
          <t>Una cocina, con las herramientas para comparar varias. La primera fila la calcula el libro desde tu hoja «Semana»; las otras cinco las tecleas copiando del libro de cada unidad.</t>
        </is>
      </c>
    </row>
    <row r="4">
      <c r="A4" s="3" t="inlineStr">
        <is>
          <t>MES CERRADO QUE SE COMPARA</t>
        </is>
      </c>
    </row>
    <row r="5">
      <c r="A5" s="8" t="inlineStr">
        <is>
          <t>Mes (1 a 12)</t>
        </is>
      </c>
      <c r="B5" s="9" t="n">
        <v>8</v>
      </c>
    </row>
    <row r="6">
      <c r="A6" s="8" t="inlineStr">
        <is>
          <t>Año</t>
        </is>
      </c>
      <c r="B6" s="38" t="n">
        <v>2026</v>
      </c>
    </row>
    <row r="7">
      <c r="A7" s="8" t="inlineStr">
        <is>
          <t>Base de las tasas por cubiertos</t>
        </is>
      </c>
      <c r="B7" s="34">
        <f>IF(Parámetros!$B$8="","",Parámetros!$B$8)</f>
        <v>1000.0</v>
      </c>
    </row>
    <row r="8">
      <c r="A8" t="inlineStr">
        <is>
          <t>El mes se busca en la columna «Mes» de la hoja «Semana». El año no entra en el cálculo: este libro cubre un año, y está aquí para que la comparativa quede fechada cuando la imprimas o la copies.</t>
        </is>
      </c>
    </row>
    <row r="9"/>
    <row r="10">
      <c r="A10" s="3" t="inlineStr">
        <is>
          <t>ESTÁNDAR DEL GRUPO</t>
        </is>
      </c>
    </row>
    <row r="11" ht="46" customHeight="1">
      <c r="A11" s="6" t="inlineStr">
        <is>
          <t>Estándar contra el que se comparan las unidades</t>
        </is>
      </c>
      <c r="C11" s="6" t="inlineStr">
        <is>
          <t>Merma global (%)</t>
        </is>
      </c>
      <c r="D11" s="6" t="inlineStr">
        <is>
          <t>Pase de principales (min)</t>
        </is>
      </c>
      <c r="E11" s="6" t="inlineStr">
        <is>
          <t>Incidencias de alérgenos por base</t>
        </is>
      </c>
      <c r="F11" s="6" t="inlineStr">
        <is>
          <t>Horas de cocina por cubierto</t>
        </is>
      </c>
      <c r="G11" s="6" t="inlineStr">
        <is>
          <t>Platos devueltos por base</t>
        </is>
      </c>
    </row>
    <row r="12">
      <c r="A12" s="8" t="inlineStr">
        <is>
          <t>Objetivo del grupo</t>
        </is>
      </c>
      <c r="C12" s="12" t="n">
        <v>0.04</v>
      </c>
      <c r="D12" s="14" t="n">
        <v>18</v>
      </c>
      <c r="E12" s="14" t="n">
        <v>0.5</v>
      </c>
      <c r="F12" s="16" t="n">
        <v>0.26</v>
      </c>
      <c r="G12" s="14" t="n">
        <v>6</v>
      </c>
    </row>
    <row r="13">
      <c r="A13" t="inlineStr">
        <is>
          <t>Este estándar es del GRUPO, no del sector: no hay ninguno publicado. Viene igualado a los objetivos de la hoja «Parámetros» del restaurante de ejemplo; si tu grupo fija otros, cámbialos aquí y la comparativa se recalcula.</t>
        </is>
      </c>
    </row>
    <row r="14">
      <c r="A14" t="inlineStr">
        <is>
          <t>Los cinco indicadores van en el mismo sentido: cuanto MÁS BAJO, mejor. Por eso una desviación positiva es siempre peor que el estándar, y se pinta en rojo.</t>
        </is>
      </c>
    </row>
    <row r="15">
      <c r="A15" s="3" t="inlineStr">
        <is>
          <t>UNIDADES</t>
        </is>
      </c>
    </row>
    <row r="16" ht="74" customHeight="1">
      <c r="A16" s="6" t="inlineStr">
        <is>
          <t>Unidad</t>
        </is>
      </c>
      <c r="B16" s="6" t="inlineStr">
        <is>
          <t>Cubiertos del mes</t>
        </is>
      </c>
      <c r="C16" s="6" t="inlineStr">
        <is>
          <t>Merma global (%)</t>
        </is>
      </c>
      <c r="D16" s="6" t="inlineStr">
        <is>
          <t>Pase de principales (min)</t>
        </is>
      </c>
      <c r="E16" s="6" t="inlineStr">
        <is>
          <t>Incidencias de alérgenos por base</t>
        </is>
      </c>
      <c r="F16" s="6" t="inlineStr">
        <is>
          <t>Horas de cocina por cubierto</t>
        </is>
      </c>
      <c r="G16" s="6" t="inlineStr">
        <is>
          <t>Platos devueltos por base</t>
        </is>
      </c>
      <c r="H16" s="6" t="inlineStr"/>
      <c r="I16" s="6" t="inlineStr">
        <is>
          <t>Desviación · Merma global (%)</t>
        </is>
      </c>
      <c r="J16" s="6" t="inlineStr">
        <is>
          <t>Desviación · Pase de principales (min)</t>
        </is>
      </c>
      <c r="K16" s="6" t="inlineStr">
        <is>
          <t>Desviación · Incidencias de alérgenos por base</t>
        </is>
      </c>
      <c r="L16" s="6" t="inlineStr">
        <is>
          <t>Desviación · Horas de cocina por cubierto</t>
        </is>
      </c>
      <c r="M16" s="6" t="inlineStr">
        <is>
          <t>Desviación · Platos devueltos por base</t>
        </is>
      </c>
      <c r="N16" s="6" t="inlineStr">
        <is>
          <t>Indicadores dentro del estándar (de 5)</t>
        </is>
      </c>
      <c r="O16" s="6" t="inlineStr">
        <is>
          <t>Posición</t>
        </is>
      </c>
    </row>
    <row r="17">
      <c r="A17" s="39" t="str">
        <f>IF(Parámetros!$B$5="","",Parámetros!$B$5&amp;" (unidad de referencia)")</f>
        <v>Restaurante de ejemplo «La Encina» (unidad de referencia)</v>
      </c>
      <c r="B17" s="34">
        <f>IFERROR(IF(SUMIF(Semana!$C$5:$C$56,$B$5,Semana!$D$5:$D$56)=0,"",SUMIF(Semana!$C$5:$C$56,$B$5,Semana!$D$5:$D$56)),"")</f>
        <v>3320.0</v>
      </c>
      <c r="C17" s="32">
        <f>IFERROR(SUMIF(Semana!$C$5:$C$56,$B$5,Semana!$V$5:$V$56)/SUMIF(Semana!$C$5:$C$56,$B$5,Semana!$AE$5:$AE$56),"")</f>
        <v>0.04634280167137974</v>
      </c>
      <c r="D17" s="17">
        <f>IFERROR(AVERAGEIF(Semana!$C$5:$C$56,$B$5,Semana!$AH$5:$AH$56),"")</f>
        <v>19.225</v>
      </c>
      <c r="E17" s="17">
        <f>IFERROR(SUMIF(Semana!$C$5:$C$56,$B$5,Semana!$AJ$5:$AJ$56)/SUMIF(Semana!$C$5:$C$56,$B$5,Semana!$D$5:$D$56)*$B$7,"")</f>
        <v>0.30120481927710846</v>
      </c>
      <c r="F17" s="33">
        <f>IFERROR(SUMIF(Semana!$C$5:$C$56,$B$5,Semana!$AM$5:$AM$56)/SUMIF(Semana!$C$5:$C$56,$B$5,Semana!$D$5:$D$56),"")</f>
        <v>0.26867469879518074</v>
      </c>
      <c r="G17" s="17">
        <f>IFERROR(SUMIF(Semana!$C$5:$C$56,$B$5,Semana!$AO$5:$AO$56)/SUMIF(Semana!$C$5:$C$56,$B$5,Semana!$D$5:$D$56)*$B$7,"")</f>
        <v>6.626506024096385</v>
      </c>
      <c r="I17" s="21">
        <f>IFERROR(IF(OR(NOT(ISNUMBER($C17)),NOT(ISNUMBER($C$12)),$C$12=0),"",($C17-$C$12)/$C$12),"")</f>
        <v>0.15857004178449347</v>
      </c>
      <c r="J17" s="21">
        <f>IFERROR(IF(OR(NOT(ISNUMBER($D17)),NOT(ISNUMBER($D$12)),$D$12=0),"",($D17-$D$12)/$D$12),"")</f>
        <v>0.06805555555555563</v>
      </c>
      <c r="K17" s="21">
        <f>IFERROR(IF(OR(NOT(ISNUMBER($E17)),NOT(ISNUMBER($E$12)),$E$12=0),"",($E17-$E$12)/$E$12),"")</f>
        <v>-0.3975903614457831</v>
      </c>
      <c r="L17" s="21">
        <f>IFERROR(IF(OR(NOT(ISNUMBER($F17)),NOT(ISNUMBER($F$12)),$F$12=0),"",($F17-$F$12)/$F$12),"")</f>
        <v>0.03336422613531052</v>
      </c>
      <c r="M17" s="21">
        <f>IFERROR(IF(OR(NOT(ISNUMBER($G17)),NOT(ISNUMBER($G$12)),$G$12=0),"",($G17-$G$12)/$G$12),"")</f>
        <v>0.10441767068273089</v>
      </c>
      <c r="N17" s="19">
        <f>IF(NOT(ISNUMBER($B17)),"",IF(AND(ISNUMBER($C17),ISNUMBER($C$12),$C17&lt;=$C$12),1,0)+IF(AND(ISNUMBER($D17),ISNUMBER($D$12),$D17&lt;=$D$12),1,0)+IF(AND(ISNUMBER($E17),ISNUMBER($E$12),$E17&lt;=$E$12),1,0)+IF(AND(ISNUMBER($F17),ISNUMBER($F$12),$F17&lt;=$F$12),1,0)+IF(AND(ISNUMBER($G17),ISNUMBER($G$12),$G17&lt;=$G$12),1,0))</f>
        <v>1.0</v>
      </c>
      <c r="O17" s="19">
        <f>IF(NOT(ISNUMBER($N17)),"",SUMPRODUCT(--(ISNUMBER($N$17:$N$22)),--($N$17:$N$22&gt;$N17))+1)</f>
        <v>2.0</v>
      </c>
    </row>
    <row r="18">
      <c r="A18" s="13" t="inlineStr">
        <is>
          <t>La Encina Norte</t>
        </is>
      </c>
      <c r="B18" s="9" t="n">
        <v>2860</v>
      </c>
      <c r="C18" s="12" t="n">
        <v>0.0382</v>
      </c>
      <c r="D18" s="14" t="n">
        <v>17.4</v>
      </c>
      <c r="E18" s="14" t="n">
        <v>0.35</v>
      </c>
      <c r="F18" s="16" t="n">
        <v>0.249</v>
      </c>
      <c r="G18" s="14" t="n">
        <v>4.9</v>
      </c>
      <c r="I18" s="21">
        <f>IFERROR(IF(OR(NOT(ISNUMBER($C18)),NOT(ISNUMBER($C$12)),$C$12=0),"",($C18-$C$12)/$C$12),"")</f>
        <v>-0.045000000000000075</v>
      </c>
      <c r="J18" s="21">
        <f>IFERROR(IF(OR(NOT(ISNUMBER($D18)),NOT(ISNUMBER($D$12)),$D$12=0),"",($D18-$D$12)/$D$12),"")</f>
        <v>-0.03333333333333341</v>
      </c>
      <c r="K18" s="21">
        <f>IFERROR(IF(OR(NOT(ISNUMBER($E18)),NOT(ISNUMBER($E$12)),$E$12=0),"",($E18-$E$12)/$E$12),"")</f>
        <v>-0.30000000000000004</v>
      </c>
      <c r="L18" s="21">
        <f>IFERROR(IF(OR(NOT(ISNUMBER($F18)),NOT(ISNUMBER($F$12)),$F$12=0),"",($F18-$F$12)/$F$12),"")</f>
        <v>-0.042307692307692345</v>
      </c>
      <c r="M18" s="21">
        <f>IFERROR(IF(OR(NOT(ISNUMBER($G18)),NOT(ISNUMBER($G$12)),$G$12=0),"",($G18-$G$12)/$G$12),"")</f>
        <v>-0.18333333333333326</v>
      </c>
      <c r="N18" s="19">
        <f>IF(NOT(ISNUMBER($B18)),"",IF(AND(ISNUMBER($C18),ISNUMBER($C$12),$C18&lt;=$C$12),1,0)+IF(AND(ISNUMBER($D18),ISNUMBER($D$12),$D18&lt;=$D$12),1,0)+IF(AND(ISNUMBER($E18),ISNUMBER($E$12),$E18&lt;=$E$12),1,0)+IF(AND(ISNUMBER($F18),ISNUMBER($F$12),$F18&lt;=$F$12),1,0)+IF(AND(ISNUMBER($G18),ISNUMBER($G$12),$G18&lt;=$G$12),1,0))</f>
        <v>5.0</v>
      </c>
      <c r="O18" s="19">
        <f>IF(NOT(ISNUMBER($N18)),"",SUMPRODUCT(--(ISNUMBER($N$17:$N$22)),--($N$17:$N$22&gt;$N18))+1)</f>
        <v>1.0</v>
      </c>
    </row>
    <row r="19">
      <c r="A19" s="13" t="inlineStr">
        <is>
          <t>La Encina Playa</t>
        </is>
      </c>
      <c r="B19" s="9" t="n">
        <v>4180</v>
      </c>
      <c r="C19" s="12" t="n">
        <v>0.0541</v>
      </c>
      <c r="D19" s="14" t="n">
        <v>21.3</v>
      </c>
      <c r="E19" s="14" t="n">
        <v>0.72</v>
      </c>
      <c r="F19" s="16" t="n">
        <v>0.288</v>
      </c>
      <c r="G19" s="14" t="n">
        <v>8.609999999999999</v>
      </c>
      <c r="I19" s="21">
        <f>IFERROR(IF(OR(NOT(ISNUMBER($C19)),NOT(ISNUMBER($C$12)),$C$12=0),"",($C19-$C$12)/$C$12),"")</f>
        <v>0.35250000000000004</v>
      </c>
      <c r="J19" s="21">
        <f>IFERROR(IF(OR(NOT(ISNUMBER($D19)),NOT(ISNUMBER($D$12)),$D$12=0),"",($D19-$D$12)/$D$12),"")</f>
        <v>0.18333333333333338</v>
      </c>
      <c r="K19" s="21">
        <f>IFERROR(IF(OR(NOT(ISNUMBER($E19)),NOT(ISNUMBER($E$12)),$E$12=0),"",($E19-$E$12)/$E$12),"")</f>
        <v>0.43999999999999995</v>
      </c>
      <c r="L19" s="21">
        <f>IFERROR(IF(OR(NOT(ISNUMBER($F19)),NOT(ISNUMBER($F$12)),$F$12=0),"",($F19-$F$12)/$F$12),"")</f>
        <v>0.10769230769230757</v>
      </c>
      <c r="M19" s="21">
        <f>IFERROR(IF(OR(NOT(ISNUMBER($G19)),NOT(ISNUMBER($G$12)),$G$12=0),"",($G19-$G$12)/$G$12),"")</f>
        <v>0.4349999999999999</v>
      </c>
      <c r="N19" s="19">
        <f>IF(NOT(ISNUMBER($B19)),"",IF(AND(ISNUMBER($C19),ISNUMBER($C$12),$C19&lt;=$C$12),1,0)+IF(AND(ISNUMBER($D19),ISNUMBER($D$12),$D19&lt;=$D$12),1,0)+IF(AND(ISNUMBER($E19),ISNUMBER($E$12),$E19&lt;=$E$12),1,0)+IF(AND(ISNUMBER($F19),ISNUMBER($F$12),$F19&lt;=$F$12),1,0)+IF(AND(ISNUMBER($G19),ISNUMBER($G$12),$G19&lt;=$G$12),1,0))</f>
        <v>0.0</v>
      </c>
      <c r="O19" s="19">
        <f>IF(NOT(ISNUMBER($N19)),"",SUMPRODUCT(--(ISNUMBER($N$17:$N$22)),--($N$17:$N$22&gt;$N19))+1)</f>
        <v>3.0</v>
      </c>
    </row>
    <row r="20">
      <c r="A20" s="5" t="n"/>
      <c r="B20" s="9" t="n"/>
      <c r="C20" s="12" t="n"/>
      <c r="D20" s="14" t="n"/>
      <c r="E20" s="14" t="n"/>
      <c r="F20" s="16" t="n"/>
      <c r="G20" s="14" t="n"/>
      <c r="I20" s="21">
        <f>IFERROR(IF(OR(NOT(ISNUMBER($C20)),NOT(ISNUMBER($C$12)),$C$12=0),"",($C20-$C$12)/$C$12),"")</f>
        <v/>
      </c>
      <c r="J20" s="21">
        <f>IFERROR(IF(OR(NOT(ISNUMBER($D20)),NOT(ISNUMBER($D$12)),$D$12=0),"",($D20-$D$12)/$D$12),"")</f>
        <v/>
      </c>
      <c r="K20" s="21">
        <f>IFERROR(IF(OR(NOT(ISNUMBER($E20)),NOT(ISNUMBER($E$12)),$E$12=0),"",($E20-$E$12)/$E$12),"")</f>
        <v/>
      </c>
      <c r="L20" s="21">
        <f>IFERROR(IF(OR(NOT(ISNUMBER($F20)),NOT(ISNUMBER($F$12)),$F$12=0),"",($F20-$F$12)/$F$12),"")</f>
        <v/>
      </c>
      <c r="M20" s="21">
        <f>IFERROR(IF(OR(NOT(ISNUMBER($G20)),NOT(ISNUMBER($G$12)),$G$12=0),"",($G20-$G$12)/$G$12),"")</f>
        <v/>
      </c>
      <c r="N20" s="19">
        <f>IF(NOT(ISNUMBER($B20)),"",IF(AND(ISNUMBER($C20),ISNUMBER($C$12),$C20&lt;=$C$12),1,0)+IF(AND(ISNUMBER($D20),ISNUMBER($D$12),$D20&lt;=$D$12),1,0)+IF(AND(ISNUMBER($E20),ISNUMBER($E$12),$E20&lt;=$E$12),1,0)+IF(AND(ISNUMBER($F20),ISNUMBER($F$12),$F20&lt;=$F$12),1,0)+IF(AND(ISNUMBER($G20),ISNUMBER($G$12),$G20&lt;=$G$12),1,0))</f>
        <v/>
      </c>
      <c r="O20" s="19">
        <f>IF(NOT(ISNUMBER($N20)),"",SUMPRODUCT(--(ISNUMBER($N$17:$N$22)),--($N$17:$N$22&gt;$N20))+1)</f>
        <v/>
      </c>
    </row>
    <row r="21">
      <c r="A21" s="5" t="n"/>
      <c r="B21" s="9" t="n"/>
      <c r="C21" s="12" t="n"/>
      <c r="D21" s="14" t="n"/>
      <c r="E21" s="14" t="n"/>
      <c r="F21" s="16" t="n"/>
      <c r="G21" s="14" t="n"/>
      <c r="I21" s="21">
        <f>IFERROR(IF(OR(NOT(ISNUMBER($C21)),NOT(ISNUMBER($C$12)),$C$12=0),"",($C21-$C$12)/$C$12),"")</f>
        <v/>
      </c>
      <c r="J21" s="21">
        <f>IFERROR(IF(OR(NOT(ISNUMBER($D21)),NOT(ISNUMBER($D$12)),$D$12=0),"",($D21-$D$12)/$D$12),"")</f>
        <v/>
      </c>
      <c r="K21" s="21">
        <f>IFERROR(IF(OR(NOT(ISNUMBER($E21)),NOT(ISNUMBER($E$12)),$E$12=0),"",($E21-$E$12)/$E$12),"")</f>
        <v/>
      </c>
      <c r="L21" s="21">
        <f>IFERROR(IF(OR(NOT(ISNUMBER($F21)),NOT(ISNUMBER($F$12)),$F$12=0),"",($F21-$F$12)/$F$12),"")</f>
        <v/>
      </c>
      <c r="M21" s="21">
        <f>IFERROR(IF(OR(NOT(ISNUMBER($G21)),NOT(ISNUMBER($G$12)),$G$12=0),"",($G21-$G$12)/$G$12),"")</f>
        <v/>
      </c>
      <c r="N21" s="19">
        <f>IF(NOT(ISNUMBER($B21)),"",IF(AND(ISNUMBER($C21),ISNUMBER($C$12),$C21&lt;=$C$12),1,0)+IF(AND(ISNUMBER($D21),ISNUMBER($D$12),$D21&lt;=$D$12),1,0)+IF(AND(ISNUMBER($E21),ISNUMBER($E$12),$E21&lt;=$E$12),1,0)+IF(AND(ISNUMBER($F21),ISNUMBER($F$12),$F21&lt;=$F$12),1,0)+IF(AND(ISNUMBER($G21),ISNUMBER($G$12),$G21&lt;=$G$12),1,0))</f>
        <v/>
      </c>
      <c r="O21" s="19">
        <f>IF(NOT(ISNUMBER($N21)),"",SUMPRODUCT(--(ISNUMBER($N$17:$N$22)),--($N$17:$N$22&gt;$N21))+1)</f>
        <v/>
      </c>
    </row>
    <row r="22">
      <c r="A22" s="5" t="n"/>
      <c r="B22" s="9" t="n"/>
      <c r="C22" s="12" t="n"/>
      <c r="D22" s="14" t="n"/>
      <c r="E22" s="14" t="n"/>
      <c r="F22" s="16" t="n"/>
      <c r="G22" s="14" t="n"/>
      <c r="I22" s="21">
        <f>IFERROR(IF(OR(NOT(ISNUMBER($C22)),NOT(ISNUMBER($C$12)),$C$12=0),"",($C22-$C$12)/$C$12),"")</f>
        <v/>
      </c>
      <c r="J22" s="21">
        <f>IFERROR(IF(OR(NOT(ISNUMBER($D22)),NOT(ISNUMBER($D$12)),$D$12=0),"",($D22-$D$12)/$D$12),"")</f>
        <v/>
      </c>
      <c r="K22" s="21">
        <f>IFERROR(IF(OR(NOT(ISNUMBER($E22)),NOT(ISNUMBER($E$12)),$E$12=0),"",($E22-$E$12)/$E$12),"")</f>
        <v/>
      </c>
      <c r="L22" s="21">
        <f>IFERROR(IF(OR(NOT(ISNUMBER($F22)),NOT(ISNUMBER($F$12)),$F$12=0),"",($F22-$F$12)/$F$12),"")</f>
        <v/>
      </c>
      <c r="M22" s="21">
        <f>IFERROR(IF(OR(NOT(ISNUMBER($G22)),NOT(ISNUMBER($G$12)),$G$12=0),"",($G22-$G$12)/$G$12),"")</f>
        <v/>
      </c>
      <c r="N22" s="19">
        <f>IF(NOT(ISNUMBER($B22)),"",IF(AND(ISNUMBER($C22),ISNUMBER($C$12),$C22&lt;=$C$12),1,0)+IF(AND(ISNUMBER($D22),ISNUMBER($D$12),$D22&lt;=$D$12),1,0)+IF(AND(ISNUMBER($E22),ISNUMBER($E$12),$E22&lt;=$E$12),1,0)+IF(AND(ISNUMBER($F22),ISNUMBER($F$12),$F22&lt;=$F$12),1,0)+IF(AND(ISNUMBER($G22),ISNUMBER($G$12),$G22&lt;=$G$12),1,0))</f>
        <v/>
      </c>
      <c r="O22" s="19">
        <f>IF(NOT(ISNUMBER($N22)),"",SUMPRODUCT(--(ISNUMBER($N$17:$N$22)),--($N$17:$N$22&gt;$N22))+1)</f>
        <v/>
      </c>
    </row>
    <row r="23"/>
    <row r="24">
      <c r="A24" t="inlineStr">
        <is>
          <t>La fila de la unidad de referencia NO se teclea: el nombre lo trae de la hoja «Parámetros» (cámbialo allí, no aquí) y las cifras salen de tu hoja «Semana», sumando las semanas cuyo mes coincide con el de arriba.</t>
        </is>
      </c>
    </row>
    <row r="25">
      <c r="A25" t="inlineStr">
        <is>
          <t>Las otras cinco filas se rellenan a mano copiando la fila TOTAL del mes de la hoja «Semana» del libro de cada unidad. Es copia, no vínculo: ningún libro de este pack lee un fichero ajeno.</t>
        </is>
      </c>
    </row>
    <row r="26">
      <c r="A26" t="inlineStr">
        <is>
          <t>La posición ordena por cuántos indicadores están dentro del estándar, no por una media de magnitudes distintas (no se puede promediar un minuto con un kilo). Dos unidades con el mismo recuento comparten posición.</t>
        </is>
      </c>
    </row>
    <row r="27">
      <c r="A27" t="inlineStr">
        <is>
          <t>Antes de sacar una conclusión de esta hoja: dos cocinas del mismo grupo no son comparables sin mirar la carta, los servicios y la brigada de cada una. Esta tabla dice DÓNDE mirar, no quién lo hace mal.</t>
        </is>
      </c>
    </row>
  </sheetData>
  <sheetProtection selectLockedCells="0" selectUnlockedCells="0" sheet="1" objects="0" insertRows="0" insertHyperlinks="1" autoFilter="1" scenarios="0" formatColumns="0" deleteColumns="1" insertColumns="1" pivotTables="1" deleteRows="1" formatCells="1" formatRows="0" sort="0"/>
  <conditionalFormatting sqref="I17:I22">
    <cfRule type="expression" priority="1" dxfId="1" stopIfTrue="1">
      <formula>=AND(ISNUMBER($I17),$I17&gt;0)</formula>
    </cfRule>
    <cfRule type="expression" priority="2" dxfId="2" stopIfTrue="1">
      <formula>=AND(ISNUMBER($I17),$I17&lt;=0)</formula>
    </cfRule>
  </conditionalFormatting>
  <conditionalFormatting sqref="J17:J22">
    <cfRule type="expression" priority="3" dxfId="1" stopIfTrue="1">
      <formula>=AND(ISNUMBER($J17),$J17&gt;0)</formula>
    </cfRule>
    <cfRule type="expression" priority="4" dxfId="2" stopIfTrue="1">
      <formula>=AND(ISNUMBER($J17),$J17&lt;=0)</formula>
    </cfRule>
  </conditionalFormatting>
  <conditionalFormatting sqref="K17:K22">
    <cfRule type="expression" priority="5" dxfId="1" stopIfTrue="1">
      <formula>=AND(ISNUMBER($K17),$K17&gt;0)</formula>
    </cfRule>
    <cfRule type="expression" priority="6" dxfId="2" stopIfTrue="1">
      <formula>=AND(ISNUMBER($K17),$K17&lt;=0)</formula>
    </cfRule>
  </conditionalFormatting>
  <conditionalFormatting sqref="L17:L22">
    <cfRule type="expression" priority="7" dxfId="1" stopIfTrue="1">
      <formula>=AND(ISNUMBER($L17),$L17&gt;0)</formula>
    </cfRule>
    <cfRule type="expression" priority="8" dxfId="2" stopIfTrue="1">
      <formula>=AND(ISNUMBER($L17),$L17&lt;=0)</formula>
    </cfRule>
  </conditionalFormatting>
  <conditionalFormatting sqref="M17:M22">
    <cfRule type="expression" priority="9" dxfId="1" stopIfTrue="1">
      <formula>=AND(ISNUMBER($M17),$M17&gt;0)</formula>
    </cfRule>
    <cfRule type="expression" priority="10" dxfId="2" stopIfTrue="1">
      <formula>=AND(ISNUMBER($M17),$M17&lt;=0)</formula>
    </cfRule>
  </conditionalFormatting>
  <dataValidations count="7">
    <dataValidation sqref="B5" showDropDown="0" showInputMessage="0" showErrorMessage="1" allowBlank="1" errorTitle="Mes" error="Un número del 1 al 12." type="decimal" operator="between">
      <formula1>1</formula1>
      <formula2>12</formula2>
    </dataValidation>
    <dataValidation sqref="B6" showDropDown="0" showInputMessage="0" showErrorMessage="1" allowBlank="1" errorTitle="Año" error="Un año entre 2020 y 2040." type="decimal" operator="between">
      <formula1>2020</formula1>
      <formula2>2040</formula2>
    </dataValidation>
    <dataValidation sqref="C12 C18 C19 C20 C21 C22" showDropDown="0" showInputMessage="1" showErrorMessage="1" allowBlank="1" errorTitle="Merma global" error="Escribe un porcentaje entre 0 y 1 (0,20 = 20 %)." promptTitle="Merma global" prompt="Se escribe en tanto por uno: 0,040 = 4,0 %." type="decimal" operator="between">
      <formula1>0</formula1>
      <formula2>1.0</formula2>
    </dataValidation>
    <dataValidation sqref="D12 D18 D19 D20 D21 D22" showDropDown="0" showInputMessage="0" showErrorMessage="1" allowBlank="1" errorTitle="Minutos" error="Minutos de pase de principales." type="decimal" operator="between">
      <formula1>0</formula1>
      <formula2>240</formula2>
    </dataValidation>
    <dataValidation sqref="E12 E18 E19 E20 E21 E22 G12 G18 G19 G20 G21 G22" showDropDown="0" showInputMessage="0" showErrorMessage="1" allowBlank="1" errorTitle="Tasa por cubiertos" error="En la misma base de cubiertos de la hoja «Parámetros»." type="decimal" operator="between">
      <formula1>0</formula1>
      <formula2>100000</formula2>
    </dataValidation>
    <dataValidation sqref="F12 F18 F19 F20 F21 F22" showDropDown="0" showInputMessage="0" showErrorMessage="1" allowBlank="1" errorTitle="Horas por cubierto" error="Horas de cocina por cada cubierto servido." type="decimal" operator="between">
      <formula1>0</formula1>
      <formula2>24</formula2>
    </dataValidation>
    <dataValidation sqref="B18 B19 B20 B21 B22" showDropDown="0" showInputMessage="0" showErrorMessage="1" allowBlank="1" errorTitle="Cubiertos" error="Cubiertos servidos por esa unidad en el mes."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Cuadro de mando de cocina</dc:title>
  <dc:subject xmlns:dc="http://purl.org/dc/elements/1.1/">Manual del Chef Ejecutivo · v1.0</dc:subject>
  <dcterms:created xmlns:dcterms="http://purl.org/dc/terms/" xmlns:xsi="http://www.w3.org/2001/XMLSchema-instance" xsi:type="dcterms:W3CDTF">2026-09-06T16:13:06Z</dcterms:created>
  <dcterms:modified xmlns:dcterms="http://purl.org/dc/terms/" xmlns:xsi="http://www.w3.org/2001/XMLSchema-instance" xsi:type="dcterms:W3CDTF">2026-09-06T16:13:06Z</dcterms:modified>
  <cp:lastModifiedBy>AI Chef Pro</cp:lastModifiedBy>
</cp:coreProperties>
</file>