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lendario de Temporada" sheetId="2" state="visible" r:id="rId2"/>
    <sheet xmlns:r="http://schemas.openxmlformats.org/officeDocument/2006/relationships" name="Registro de Pruebas de Plato" sheetId="3" state="visible" r:id="rId3"/>
    <sheet xmlns:r="http://schemas.openxmlformats.org/officeDocument/2006/relationships" name="Control de Calidad del Pase" sheetId="4" state="visible" r:id="rId4"/>
  </sheets>
  <definedNames>
    <definedName name="_xlnm.Print_Titles" localSheetId="1">'Calendario de Temporada'!$12:$12</definedName>
    <definedName name="_xlnm.Print_Titles" localSheetId="2">'Registro de Pruebas de Plato'!$5:$5</definedName>
    <definedName name="_xlnm.Print_Titles" localSheetId="3">'Control de Calidad del Pase'!$5:$5</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
    <numFmt numFmtId="167" formatCode="#,##0.00 €"/>
    <numFmt numFmtId="168" formatCode="0.0%"/>
  </numFmts>
  <fonts count="6">
    <font>
      <name val="Calibri"/>
      <family val="2"/>
      <color theme="1"/>
      <sz val="11"/>
      <scheme val="minor"/>
    </font>
    <font>
      <b val="1"/>
      <color rgb="00FFD700"/>
      <sz val="16"/>
    </font>
    <font>
      <i val="1"/>
      <sz val="9"/>
    </font>
    <font>
      <b val="1"/>
      <color theme="1"/>
      <sz val="11"/>
    </font>
    <font>
      <b val="1"/>
      <sz val="12"/>
    </font>
    <font>
      <b val="1"/>
      <color rgb="00FFFFFF"/>
    </font>
  </fonts>
  <fills count="5">
    <fill>
      <patternFill/>
    </fill>
    <fill>
      <patternFill patternType="gray125"/>
    </fill>
    <fill>
      <patternFill patternType="solid">
        <fgColor rgb="00E8F5E9"/>
      </patternFill>
    </fill>
    <fill>
      <patternFill patternType="solid">
        <fgColor rgb="00F2F2F2"/>
      </patternFill>
    </fill>
    <fill>
      <patternFill patternType="solid">
        <fgColor rgb="002D2D2D"/>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165" fontId="0" fillId="2" borderId="0" applyProtection="1" pivotButton="0" quotePrefix="0" xfId="0">
      <protection locked="0" hidden="0"/>
    </xf>
    <xf numFmtId="0" fontId="3" fillId="0" borderId="0" pivotButton="0" quotePrefix="0" xfId="0"/>
    <xf numFmtId="165" fontId="3" fillId="3" borderId="0" pivotButton="0" quotePrefix="0" xfId="0"/>
    <xf numFmtId="3" fontId="0" fillId="2" borderId="0" applyProtection="1" pivotButton="0" quotePrefix="0" xfId="0">
      <protection locked="0" hidden="0"/>
    </xf>
    <xf numFmtId="0" fontId="5" fillId="4" borderId="0" applyAlignment="1" pivotButton="0" quotePrefix="0" xfId="0">
      <alignment horizontal="center" vertical="center" wrapText="1"/>
    </xf>
    <xf numFmtId="0" fontId="0" fillId="2" borderId="0" applyAlignment="1" applyProtection="1" pivotButton="0" quotePrefix="0" xfId="0">
      <alignment horizontal="general" vertical="top" wrapText="1"/>
      <protection locked="0" hidden="0"/>
    </xf>
    <xf numFmtId="3" fontId="0" fillId="0" borderId="0" applyAlignment="1" pivotButton="0" quotePrefix="0" xfId="0">
      <alignment horizontal="center"/>
    </xf>
    <xf numFmtId="0" fontId="0" fillId="0" borderId="0" applyAlignment="1" pivotButton="0" quotePrefix="0" xfId="0">
      <alignment horizontal="left"/>
    </xf>
    <xf numFmtId="166" fontId="0" fillId="0" borderId="0" pivotButton="0" quotePrefix="0" xfId="0"/>
    <xf numFmtId="167" fontId="0" fillId="0" borderId="0" pivotButton="0" quotePrefix="0" xfId="0"/>
    <xf numFmtId="3" fontId="3" fillId="3" borderId="0" pivotButton="0" quotePrefix="0" xfId="0"/>
    <xf numFmtId="168" fontId="3" fillId="3" borderId="0" pivotButton="0" quotePrefix="0" xfId="0"/>
    <xf numFmtId="167" fontId="0" fillId="2" borderId="0" applyProtection="1" pivotButton="0" quotePrefix="0" xfId="0">
      <protection locked="0" hidden="0"/>
    </xf>
    <xf numFmtId="166" fontId="3" fillId="3" borderId="0" pivotButton="0" quotePrefix="0" xfId="0"/>
    <xf numFmtId="167" fontId="3" fillId="3" borderId="0" pivotButton="0" quotePrefix="0" xfId="0"/>
    <xf numFmtId="166" fontId="0" fillId="2" borderId="0" applyProtection="1" pivotButton="0" quotePrefix="0" xfId="0">
      <protection locked="0" hidden="0"/>
    </xf>
    <xf numFmtId="0" fontId="0" fillId="4" borderId="0" pivotButton="0" quotePrefix="0" xfId="0"/>
    <xf numFmtId="3" fontId="0" fillId="3" borderId="0" pivotButton="0" quotePrefix="0" xfId="0"/>
    <xf numFmtId="168" fontId="0" fillId="2" borderId="0" applyProtection="1" pivotButton="0" quotePrefix="0" xfId="0">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0" customWidth="1" min="1" max="1"/>
  </cols>
  <sheetData>
    <row r="1" ht="30" customHeight="1">
      <c r="A1" s="1" t="inlineStr">
        <is>
          <t>Desarrollo de carta y control de calidad del pase</t>
        </is>
      </c>
    </row>
    <row r="2">
      <c r="A2" t="inlineStr">
        <is>
          <t>AI Chef Pro · aichef.pro — Manual del Chef Ejecutivo</t>
        </is>
      </c>
    </row>
    <row r="3">
      <c r="A3" s="2" t="inlineStr">
        <is>
          <t>Para qué sirve: meter un plato en carta con método, y comprobar que lo que sale por el pase es lo que dice su ficha.</t>
        </is>
      </c>
    </row>
    <row r="4"/>
    <row r="5">
      <c r="A5" s="3" t="inlineStr">
        <is>
          <t>Instrucciones de uso</t>
        </is>
      </c>
    </row>
    <row r="6" ht="44" customHeight="1">
      <c r="A6" s="4" t="inlineStr">
        <is>
          <t>1. Hoja «Calendario de Temporada»: una fila por plato nuevo. Escribe las cinco fechas de sus cinco hitos (probar, costear, documentar la ficha, formar a la brigada y lanzar), el estado y si la ficha técnica ya está cerrada. Lo demás lo calcula el libro.</t>
        </is>
      </c>
    </row>
    <row r="7" ht="44" customHeight="1">
      <c r="A7" s="4" t="inlineStr">
        <is>
          <t>2. Arriba de esa hoja tienes dos celdas verdes: la fecha para simular (déjala vacía y el libro usa la de hoy) y los días máximos que aceptas que un plato esté en prueba sin ficha cerrada. Vienen a 30 días; es un criterio de la casa, no una cifra de nadie.</t>
        </is>
      </c>
    </row>
    <row r="8" ht="44" customHeight="1">
      <c r="A8" s="4" t="inlineStr">
        <is>
          <t>3. La columna «Aviso» se enciende sola. Si un plato lleva más días en prueba de los que has puesto y su ficha sigue abierta, se pone en rojo y lo dice con palabras. Se cuentan días NATURALES: una ficha que lleva 40 días sin cerrar lleva 40 días, abra la cocina o no.</t>
        </is>
      </c>
    </row>
    <row r="9" ht="44" customHeight="1">
      <c r="A9" s="4" t="inlineStr">
        <is>
          <t>4. Hoja «Registro de Pruebas de Plato»: una fila por prueba, con su resultado de 1 a 5, el coste estimado por ración de esa prueba y la decisión (repetir, aprobar o descartar). El nombre del plato lo trae solo desde el calendario en cuanto escribes el id.</t>
        </is>
      </c>
    </row>
    <row r="10" ht="44" customHeight="1">
      <c r="A10" s="4" t="inlineStr">
        <is>
          <t>5. Las cinco últimas columnas del calendario resumen ese registro plato a plato: cuántas pruebas lleva, qué nota media saca, cuánto cuesta de media la ración, cuántas veces se aprobó y cuántas se descartó. No hay que escribir nada ahí.</t>
        </is>
      </c>
    </row>
    <row r="11" ht="44" customHeight="1">
      <c r="A11" s="4" t="inlineStr">
        <is>
          <t>6. El coste por ración de la prueba es ESTIMADO y sirve para descartar pronto lo que no cabe en la carta. El coste bueno sale de tu escandallo (Kit de Escandallos o Guía Food Cost + Ingeniería de Menú) y es el que se copia a la ficha técnica de proceso, en el libro 3 de este pack.</t>
        </is>
      </c>
    </row>
    <row r="12" ht="44" customHeight="1">
      <c r="A12" s="4" t="inlineStr">
        <is>
          <t>7. Hoja «Control de Calidad del Pase»: muestrea el servicio. Una fila por plato muestreado, con la hora, la familia, la temperatura de emplatado, los minutos entre comanda y salida, si salió conforme a la ficha y si el cliente lo devolvió.</t>
        </is>
      </c>
    </row>
    <row r="13" ht="44" customHeight="1">
      <c r="A13" s="4" t="inlineStr">
        <is>
          <t>8. Al final de esa hoja tienes los objetivos de la casa en celdas verdes (tiempo de pase por familia y % de cumplimiento de ficha) y el resumen del muestreo al lado. Mientras un objetivo esté vacío su semáforo no se enciende: es a propósito.</t>
        </is>
      </c>
    </row>
    <row r="14" ht="44" customHeight="1">
      <c r="A14" s="4" t="inlineStr">
        <is>
          <t>9. Los tres tiempos medios de pase y el porcentaje de cumplimiento de ficha son los que se copian a la hoja «Semana» del cuadro de mando de cocina (libro 1 de este pack). Se copian a mano: en este pack no hay ni una fórmula que salte de un fichero a otro.</t>
        </is>
      </c>
    </row>
    <row r="15" ht="44" customHeight="1">
      <c r="A15" s="4" t="inlineStr">
        <is>
          <t>10. Cadencia: el calendario de temporada se abre y se revisa AL ABRIR TEMPORADA, cada vez que cambias la carta; el registro de pruebas, cada vez que pruebas un plato nuevo; el control de calidad del pase, con un muestreo SEMANAL del servicio.</t>
        </is>
      </c>
    </row>
    <row r="16"/>
    <row r="17">
      <c r="A17" s="5" t="inlineStr">
        <is>
          <t>Celdas verdes = campos editables</t>
        </is>
      </c>
    </row>
    <row r="18"/>
    <row r="19">
      <c r="A19" s="3" t="inlineStr">
        <is>
          <t>Lo que conviene saber antes de empezar</t>
        </is>
      </c>
    </row>
    <row r="20" ht="58" customHeight="1">
      <c r="A20" s="4" t="inlineStr">
        <is>
          <t>ESTE LIBRO NO HACE INGENIERÍA DE MENÚ. Aquí se decide si el plato está listo para entrar en carta y si el pase lo respeta. Qué plato deja más margen, cuál es vaca y cuál perro, y qué se retira de la carta se decide en la «Guía Food Cost + Ingeniería de Menú», que es otro producto.</t>
        </is>
      </c>
    </row>
    <row r="21" ht="58" customHeight="1">
      <c r="A21" s="4" t="inlineStr">
        <is>
          <t>Los cinco hitos son a propósito los mismos siempre: probar, costear, documentar, formar y lanzar. El que casi todo el mundo se salta es «formar»: un plato lanzado sin que la partida sepa hacerlo vuelve al pase en forma de tiempo y de devoluciones, que es justo lo que mide la tercera hoja.</t>
        </is>
      </c>
    </row>
    <row r="22" ht="58" customHeight="1">
      <c r="A22" s="4" t="inlineStr">
        <is>
          <t>El plato de ejemplo que dispara la alerta lleva desde julio en prueba, tres pruebas hechas, dos repeticiones y un descarte final. Es el caso normal: no se rompe nada, simplemente el plato se queda a medias y nadie lo cierra hasta que alguien lo mira escrito.</t>
        </is>
      </c>
    </row>
    <row r="23" ht="58" customHeight="1">
      <c r="A23" s="4" t="inlineStr">
        <is>
          <t>La temperatura de emplatado se registra pero el libro NO la puntúa solo. El motivo es honesto: el mantenimiento en caliente obliga a partir de 63 °C, pero una ensalada se sirve a 9 °C y una torrija templada a 57 °C sin incumplir nada. Quien decide qué elaboración se mantiene en caliente es la ficha de cada plato, no una fórmula. Verificado el 06-09-2026 · RD 1086/2020, art. 30.1, 30.2, 30.5 y 30.7 (redacción del RD 1021/2022) · https://www.boe.es/buscar/act.php?id=BOE-A-2020-15872</t>
        </is>
      </c>
    </row>
    <row r="24" ht="58" customHeight="1">
      <c r="A24" s="4" t="inlineStr">
        <is>
          <t>Los objetivos de tiempo de pase y de cumplimiento de ficha son de la casa y van en celdas verdes. No existe un estándar publicado de tiempos de pase en español, así que aquí no se cita ninguno: se miden los tuyos y se comparan contigo mismo semana a semana.</t>
        </is>
      </c>
    </row>
    <row r="25" ht="58" customHeight="1">
      <c r="A25" s="4" t="inlineStr">
        <is>
          <t>Formar a la brigada en el plato nuevo antes de lanzarlo no es solo sentido común: la formación en higiene tiene que darse por puesto y según la actividad de cada uno. Verificado el 06-09-2026 · Reglamento (CE) 852/2004, Anexo II, Cap. XII, punto 1 · https://eur-lex.europa.eu/legal-content/ES/TXT/HTML/?uri=CELEX:02004R0852-20210324</t>
        </is>
      </c>
    </row>
    <row r="26"/>
    <row r="27">
      <c r="A27" t="inlineStr">
        <is>
          <t>Para editar la estructura o una celda que no este en verde, desprotege la hoja (sin contraseña).</t>
        </is>
      </c>
    </row>
    <row r="28">
      <c r="A28" t="inlineStr">
        <is>
          <t>Ruta en Excel: Revisar &gt; Desproteger hoja. La protección no tiene contraseña; sirve para no pisar una fórmula sin querer.</t>
        </is>
      </c>
    </row>
    <row r="29"/>
    <row r="30">
      <c r="A30" t="inlineStr">
        <is>
          <t>Diseñado por John Guerrero — chef y consultor gastronómico desde 2010 · johnguerrero.es</t>
        </is>
      </c>
    </row>
    <row r="31">
      <c r="A31"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58"/>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21" customWidth="1" min="3" max="3"/>
    <col width="13" customWidth="1" min="4" max="4"/>
    <col width="13" customWidth="1" min="5" max="5"/>
    <col width="15" customWidth="1" min="6" max="6"/>
    <col width="15" customWidth="1" min="7" max="7"/>
    <col width="13" customWidth="1" min="8" max="8"/>
    <col width="14" customWidth="1" min="9" max="9"/>
    <col width="14" customWidth="1" min="10" max="10"/>
    <col width="15" customWidth="1" min="11" max="11"/>
    <col width="14" customWidth="1" min="12" max="12"/>
    <col width="46" customWidth="1" min="13" max="13"/>
    <col width="12" customWidth="1" min="14" max="14"/>
    <col width="13" customWidth="1" min="15" max="15"/>
    <col width="17" customWidth="1" min="16" max="16"/>
    <col width="12" customWidth="1" min="17" max="17"/>
    <col width="13" customWidth="1" min="18" max="18"/>
  </cols>
  <sheetData>
    <row r="1" ht="30" customHeight="1">
      <c r="A1" s="1" t="inlineStr">
        <is>
          <t>Calendario de temporada: de la prueba a la carta</t>
        </is>
      </c>
    </row>
    <row r="2">
      <c r="A2" t="inlineStr">
        <is>
          <t>AI Chef Pro · aichef.pro — Manual del Chef Ejecutivo</t>
        </is>
      </c>
    </row>
    <row r="3">
      <c r="A3" s="2" t="inlineStr">
        <is>
          <t>Cinco hitos por plato. La columna «Aviso» se enciende sola cuando un plato lleva demasiado tiempo en prueba con la ficha abierta.</t>
        </is>
      </c>
    </row>
    <row r="4"/>
    <row r="5">
      <c r="B5" s="3" t="inlineStr">
        <is>
          <t>PARÁMETROS DE ESTA HOJA</t>
        </is>
      </c>
    </row>
    <row r="6">
      <c r="B6" t="inlineStr">
        <is>
          <t>Fecha para simular (déjala vacía y se usa la de hoy)</t>
        </is>
      </c>
      <c r="C6" s="6" t="n">
        <v>46289</v>
      </c>
      <c r="D6" t="inlineStr">
        <is>
          <t>En el ejemplo trae la fecha de la última prueba registrada, para que se vea el cálculo. Bórrala y el libro usará la de hoy.</t>
        </is>
      </c>
    </row>
    <row r="7">
      <c r="B7" s="7" t="inlineStr">
        <is>
          <t>Hoy (fecha de referencia)</t>
        </is>
      </c>
      <c r="C7" s="8">
        <f>IFERROR(IF($C$6="",TODAY(),$C$6),"")</f>
        <v>46289.0</v>
      </c>
    </row>
    <row r="8">
      <c r="B8" t="inlineStr">
        <is>
          <t>Días máximos en prueba sin ficha técnica cerrada</t>
        </is>
      </c>
      <c r="C8" s="9" t="n">
        <v>30</v>
      </c>
      <c r="D8" t="inlineStr">
        <is>
          <t>Criterio de la casa, no una cifra publicada por nadie. Son días NATURALES: no se descuentan los cierres ni los festivos.</t>
        </is>
      </c>
    </row>
    <row r="9"/>
    <row r="10">
      <c r="B10" t="inlineStr">
        <is>
          <t>Los cinco hitos son: probar, costear, documentar, formar, lanzar. El que más se salta es «formar»: un plato que llega al pase sin que la partida sepa hacerlo se paga en tiempo y en devoluciones.</t>
        </is>
      </c>
    </row>
    <row r="11"/>
    <row r="12" ht="62" customHeight="1">
      <c r="A12" s="10" t="inlineStr">
        <is>
          <t>Id</t>
        </is>
      </c>
      <c r="B12" s="10" t="inlineStr">
        <is>
          <t>Plato</t>
        </is>
      </c>
      <c r="C12" s="10" t="inlineStr">
        <is>
          <t>Partida</t>
        </is>
      </c>
      <c r="D12" s="10" t="inlineStr">
        <is>
          <t>Probar (fecha)</t>
        </is>
      </c>
      <c r="E12" s="10" t="inlineStr">
        <is>
          <t>Costear (fecha)</t>
        </is>
      </c>
      <c r="F12" s="10" t="inlineStr">
        <is>
          <t>Documentar la ficha (fecha)</t>
        </is>
      </c>
      <c r="G12" s="10" t="inlineStr">
        <is>
          <t>Formar a la brigada (fecha)</t>
        </is>
      </c>
      <c r="H12" s="10" t="inlineStr">
        <is>
          <t>Lanzar (fecha)</t>
        </is>
      </c>
      <c r="I12" s="10" t="inlineStr">
        <is>
          <t>Estado</t>
        </is>
      </c>
      <c r="J12" s="10" t="inlineStr">
        <is>
          <t>Ficha técnica cerrada</t>
        </is>
      </c>
      <c r="K12" s="10" t="inlineStr">
        <is>
          <t>Días naturales desde la primera prueba</t>
        </is>
      </c>
      <c r="L12" s="10" t="inlineStr">
        <is>
          <t>Hitos con fecha puesta (de 5)</t>
        </is>
      </c>
      <c r="M12" s="10" t="inlineStr">
        <is>
          <t>Aviso</t>
        </is>
      </c>
      <c r="N12" s="10" t="inlineStr">
        <is>
          <t>Pruebas hechas</t>
        </is>
      </c>
      <c r="O12" s="10" t="inlineStr">
        <is>
          <t>Resultado medio (1-5)</t>
        </is>
      </c>
      <c r="P12" s="10" t="inlineStr">
        <is>
          <t>Coste medio estimado por ración</t>
        </is>
      </c>
      <c r="Q12" s="10" t="inlineStr">
        <is>
          <t>Veces aprobado</t>
        </is>
      </c>
      <c r="R12" s="10" t="inlineStr">
        <is>
          <t>Veces descartado</t>
        </is>
      </c>
    </row>
    <row r="13" ht="30" customHeight="1">
      <c r="A13" s="5" t="inlineStr">
        <is>
          <t>N1</t>
        </is>
      </c>
      <c r="B13" s="11" t="inlineStr">
        <is>
          <t>Alcachofas confitadas con panceta y yema curada</t>
        </is>
      </c>
      <c r="C13" s="5" t="inlineStr">
        <is>
          <t>Fríos y entrantes</t>
        </is>
      </c>
      <c r="D13" s="6" t="n">
        <v>46238</v>
      </c>
      <c r="E13" s="6" t="n">
        <v>46245</v>
      </c>
      <c r="F13" s="6" t="n">
        <v>46256</v>
      </c>
      <c r="G13" s="6" t="n">
        <v>46265</v>
      </c>
      <c r="H13" s="6" t="n">
        <v>46301</v>
      </c>
      <c r="I13" s="5" t="inlineStr">
        <is>
          <t>En curso</t>
        </is>
      </c>
      <c r="J13" s="5" t="inlineStr">
        <is>
          <t>Sí</t>
        </is>
      </c>
      <c r="K13" s="12">
        <f>IFERROR(IF(OR($D13="",$C$7=""),"",IF($C$7&lt;$D13,"",$C$7-$D13)),"")</f>
        <v>51.0</v>
      </c>
      <c r="L13" s="12">
        <f>COUNT($D13:$H13)</f>
        <v>5.0</v>
      </c>
      <c r="M13" s="13" t="str">
        <f>IF($J13="","",IF(AND($J13=$A$58,ISNUMBER($K13),ISNUMBER($C$8),$K13&gt;$C$8),"REVISAR: demasiados días en prueba sin ficha cerrada",IF($J13=$A$58,"Ficha pendiente","Ficha cerrada")))</f>
        <v>Ficha cerrada</v>
      </c>
      <c r="N13" s="12">
        <f>IF($A13="","",COUNTIF('Registro de Pruebas de Plato'!$B$6:$B$35,$A13&amp;""))</f>
        <v>2.0</v>
      </c>
      <c r="O13" s="14">
        <f>IFERROR(IF(OR($N13="",$N13=0),"",SUMIF('Registro de Pruebas de Plato'!$B$6:$B$35,$A13&amp;"",'Registro de Pruebas de Plato'!$F$6:$F$35)/$N13),"")</f>
        <v>4.5</v>
      </c>
      <c r="P13" s="15">
        <f>IFERROR(IF(OR($N13="",$N13=0),"",SUMIF('Registro de Pruebas de Plato'!$B$6:$B$35,$A13&amp;"",'Registro de Pruebas de Plato'!$G$6:$G$35)/$N13),"")</f>
        <v>3.125</v>
      </c>
      <c r="Q13" s="12">
        <f>IF($A13="","",SUMIF('Registro de Pruebas de Plato'!$B$6:$B$35,$A13&amp;"",'Registro de Pruebas de Plato'!$J$6:$J$35))</f>
        <v>1.0</v>
      </c>
      <c r="R13" s="12">
        <f>IF($A13="","",SUMIF('Registro de Pruebas de Plato'!$B$6:$B$35,$A13&amp;"",'Registro de Pruebas de Plato'!$K$6:$K$35))</f>
        <v>0.0</v>
      </c>
    </row>
    <row r="14" ht="30" customHeight="1">
      <c r="A14" s="5" t="inlineStr">
        <is>
          <t>N2</t>
        </is>
      </c>
      <c r="B14" s="11" t="inlineStr">
        <is>
          <t>Guiso de carrilleras al vino tinto con puré de apionabo</t>
        </is>
      </c>
      <c r="C14" s="5" t="inlineStr">
        <is>
          <t>Pase y caliente</t>
        </is>
      </c>
      <c r="D14" s="6" t="n">
        <v>46240</v>
      </c>
      <c r="E14" s="6" t="n">
        <v>46247</v>
      </c>
      <c r="F14" s="6" t="n">
        <v>46258</v>
      </c>
      <c r="G14" s="6" t="n">
        <v>46267</v>
      </c>
      <c r="H14" s="6" t="n">
        <v>46301</v>
      </c>
      <c r="I14" s="5" t="inlineStr">
        <is>
          <t>En curso</t>
        </is>
      </c>
      <c r="J14" s="5" t="inlineStr">
        <is>
          <t>Sí</t>
        </is>
      </c>
      <c r="K14" s="12">
        <f>IFERROR(IF(OR($D14="",$C$7=""),"",IF($C$7&lt;$D14,"",$C$7-$D14)),"")</f>
        <v>49.0</v>
      </c>
      <c r="L14" s="12">
        <f>COUNT($D14:$H14)</f>
        <v>5.0</v>
      </c>
      <c r="M14" s="13" t="str">
        <f>IF($J14="","",IF(AND($J14=$A$58,ISNUMBER($K14),ISNUMBER($C$8),$K14&gt;$C$8),"REVISAR: demasiados días en prueba sin ficha cerrada",IF($J14=$A$58,"Ficha pendiente","Ficha cerrada")))</f>
        <v>Ficha cerrada</v>
      </c>
      <c r="N14" s="12">
        <f>IF($A14="","",COUNTIF('Registro de Pruebas de Plato'!$B$6:$B$35,$A14&amp;""))</f>
        <v>3.0</v>
      </c>
      <c r="O14" s="14">
        <f>IFERROR(IF(OR($N14="",$N14=0),"",SUMIF('Registro de Pruebas de Plato'!$B$6:$B$35,$A14&amp;"",'Registro de Pruebas de Plato'!$F$6:$F$35)/$N14),"")</f>
        <v>4.333333333333333</v>
      </c>
      <c r="P14" s="15">
        <f>IFERROR(IF(OR($N14="",$N14=0),"",SUMIF('Registro de Pruebas de Plato'!$B$6:$B$35,$A14&amp;"",'Registro de Pruebas de Plato'!$G$6:$G$35)/$N14),"")</f>
        <v>4.383333333333333</v>
      </c>
      <c r="Q14" s="12">
        <f>IF($A14="","",SUMIF('Registro de Pruebas de Plato'!$B$6:$B$35,$A14&amp;"",'Registro de Pruebas de Plato'!$J$6:$J$35))</f>
        <v>1.0</v>
      </c>
      <c r="R14" s="12">
        <f>IF($A14="","",SUMIF('Registro de Pruebas de Plato'!$B$6:$B$35,$A14&amp;"",'Registro de Pruebas de Plato'!$K$6:$K$35))</f>
        <v>0.0</v>
      </c>
    </row>
    <row r="15" ht="30" customHeight="1">
      <c r="A15" s="5" t="inlineStr">
        <is>
          <t>N3</t>
        </is>
      </c>
      <c r="B15" s="11" t="inlineStr">
        <is>
          <t>Crema de calabaza asada con aceite de pipas</t>
        </is>
      </c>
      <c r="C15" s="5" t="inlineStr">
        <is>
          <t>Fríos y entrantes</t>
        </is>
      </c>
      <c r="D15" s="6" t="n">
        <v>46231</v>
      </c>
      <c r="E15" s="6" t="n">
        <v>46245</v>
      </c>
      <c r="F15" s="6" t="n"/>
      <c r="G15" s="6" t="n"/>
      <c r="H15" s="6" t="n"/>
      <c r="I15" s="5" t="inlineStr">
        <is>
          <t>Descartado</t>
        </is>
      </c>
      <c r="J15" s="5" t="inlineStr">
        <is>
          <t>No</t>
        </is>
      </c>
      <c r="K15" s="12">
        <f>IFERROR(IF(OR($D15="",$C$7=""),"",IF($C$7&lt;$D15,"",$C$7-$D15)),"")</f>
        <v>58.0</v>
      </c>
      <c r="L15" s="12">
        <f>COUNT($D15:$H15)</f>
        <v>2.0</v>
      </c>
      <c r="M15" s="13" t="str">
        <f>IF($J15="","",IF(AND($J15=$A$58,ISNUMBER($K15),ISNUMBER($C$8),$K15&gt;$C$8),"REVISAR: demasiados días en prueba sin ficha cerrada",IF($J15=$A$58,"Ficha pendiente","Ficha cerrada")))</f>
        <v>REVISAR: demasiados días en prueba sin ficha cerrada</v>
      </c>
      <c r="N15" s="12">
        <f>IF($A15="","",COUNTIF('Registro de Pruebas de Plato'!$B$6:$B$35,$A15&amp;""))</f>
        <v>3.0</v>
      </c>
      <c r="O15" s="14">
        <f>IFERROR(IF(OR($N15="",$N15=0),"",SUMIF('Registro de Pruebas de Plato'!$B$6:$B$35,$A15&amp;"",'Registro de Pruebas de Plato'!$F$6:$F$35)/$N15),"")</f>
        <v>2.6666666666666665</v>
      </c>
      <c r="P15" s="15">
        <f>IFERROR(IF(OR($N15="",$N15=0),"",SUMIF('Registro de Pruebas de Plato'!$B$6:$B$35,$A15&amp;"",'Registro de Pruebas de Plato'!$G$6:$G$35)/$N15),"")</f>
        <v>1.1</v>
      </c>
      <c r="Q15" s="12">
        <f>IF($A15="","",SUMIF('Registro de Pruebas de Plato'!$B$6:$B$35,$A15&amp;"",'Registro de Pruebas de Plato'!$J$6:$J$35))</f>
        <v>0.0</v>
      </c>
      <c r="R15" s="12">
        <f>IF($A15="","",SUMIF('Registro de Pruebas de Plato'!$B$6:$B$35,$A15&amp;"",'Registro de Pruebas de Plato'!$K$6:$K$35))</f>
        <v>1.0</v>
      </c>
    </row>
    <row r="16" ht="30" customHeight="1">
      <c r="A16" s="5" t="inlineStr">
        <is>
          <t>N4</t>
        </is>
      </c>
      <c r="B16" s="11" t="inlineStr">
        <is>
          <t>Arroz de setas de temporada y castañas</t>
        </is>
      </c>
      <c r="C16" s="5" t="inlineStr">
        <is>
          <t>Pase y caliente</t>
        </is>
      </c>
      <c r="D16" s="6" t="n">
        <v>46280</v>
      </c>
      <c r="E16" s="6" t="n">
        <v>46287</v>
      </c>
      <c r="F16" s="6" t="n">
        <v>46294</v>
      </c>
      <c r="G16" s="6" t="n">
        <v>46308</v>
      </c>
      <c r="H16" s="6" t="n">
        <v>46315</v>
      </c>
      <c r="I16" s="5" t="inlineStr">
        <is>
          <t>Planificado</t>
        </is>
      </c>
      <c r="J16" s="5" t="inlineStr">
        <is>
          <t>No</t>
        </is>
      </c>
      <c r="K16" s="12">
        <f>IFERROR(IF(OR($D16="",$C$7=""),"",IF($C$7&lt;$D16,"",$C$7-$D16)),"")</f>
        <v>9.0</v>
      </c>
      <c r="L16" s="12">
        <f>COUNT($D16:$H16)</f>
        <v>5.0</v>
      </c>
      <c r="M16" s="13" t="str">
        <f>IF($J16="","",IF(AND($J16=$A$58,ISNUMBER($K16),ISNUMBER($C$8),$K16&gt;$C$8),"REVISAR: demasiados días en prueba sin ficha cerrada",IF($J16=$A$58,"Ficha pendiente","Ficha cerrada")))</f>
        <v>Ficha pendiente</v>
      </c>
      <c r="N16" s="12">
        <f>IF($A16="","",COUNTIF('Registro de Pruebas de Plato'!$B$6:$B$35,$A16&amp;""))</f>
        <v>0.0</v>
      </c>
      <c r="O16" s="14">
        <f>IFERROR(IF(OR($N16="",$N16=0),"",SUMIF('Registro de Pruebas de Plato'!$B$6:$B$35,$A16&amp;"",'Registro de Pruebas de Plato'!$F$6:$F$35)/$N16),"")</f>
        <v/>
      </c>
      <c r="P16" s="15">
        <f>IFERROR(IF(OR($N16="",$N16=0),"",SUMIF('Registro de Pruebas de Plato'!$B$6:$B$35,$A16&amp;"",'Registro de Pruebas de Plato'!$G$6:$G$35)/$N16),"")</f>
        <v/>
      </c>
      <c r="Q16" s="12">
        <f>IF($A16="","",SUMIF('Registro de Pruebas de Plato'!$B$6:$B$35,$A16&amp;"",'Registro de Pruebas de Plato'!$J$6:$J$35))</f>
        <v>0.0</v>
      </c>
      <c r="R16" s="12">
        <f>IF($A16="","",SUMIF('Registro de Pruebas de Plato'!$B$6:$B$35,$A16&amp;"",'Registro de Pruebas de Plato'!$K$6:$K$35))</f>
        <v>0.0</v>
      </c>
    </row>
    <row r="17" ht="30" customHeight="1">
      <c r="A17" s="5" t="inlineStr">
        <is>
          <t>N5</t>
        </is>
      </c>
      <c r="B17" s="11" t="inlineStr">
        <is>
          <t>Tarta de manzana con helado de canela</t>
        </is>
      </c>
      <c r="C17" s="5" t="inlineStr">
        <is>
          <t>Postres y panadería</t>
        </is>
      </c>
      <c r="D17" s="6" t="n">
        <v>46287</v>
      </c>
      <c r="E17" s="6" t="n">
        <v>46294</v>
      </c>
      <c r="F17" s="6" t="n">
        <v>46301</v>
      </c>
      <c r="G17" s="6" t="n">
        <v>46308</v>
      </c>
      <c r="H17" s="6" t="n">
        <v>46315</v>
      </c>
      <c r="I17" s="5" t="inlineStr">
        <is>
          <t>Planificado</t>
        </is>
      </c>
      <c r="J17" s="5" t="inlineStr">
        <is>
          <t>No</t>
        </is>
      </c>
      <c r="K17" s="12">
        <f>IFERROR(IF(OR($D17="",$C$7=""),"",IF($C$7&lt;$D17,"",$C$7-$D17)),"")</f>
        <v>2.0</v>
      </c>
      <c r="L17" s="12">
        <f>COUNT($D17:$H17)</f>
        <v>5.0</v>
      </c>
      <c r="M17" s="13" t="str">
        <f>IF($J17="","",IF(AND($J17=$A$58,ISNUMBER($K17),ISNUMBER($C$8),$K17&gt;$C$8),"REVISAR: demasiados días en prueba sin ficha cerrada",IF($J17=$A$58,"Ficha pendiente","Ficha cerrada")))</f>
        <v>Ficha pendiente</v>
      </c>
      <c r="N17" s="12">
        <f>IF($A17="","",COUNTIF('Registro de Pruebas de Plato'!$B$6:$B$35,$A17&amp;""))</f>
        <v>0.0</v>
      </c>
      <c r="O17" s="14">
        <f>IFERROR(IF(OR($N17="",$N17=0),"",SUMIF('Registro de Pruebas de Plato'!$B$6:$B$35,$A17&amp;"",'Registro de Pruebas de Plato'!$F$6:$F$35)/$N17),"")</f>
        <v/>
      </c>
      <c r="P17" s="15">
        <f>IFERROR(IF(OR($N17="",$N17=0),"",SUMIF('Registro de Pruebas de Plato'!$B$6:$B$35,$A17&amp;"",'Registro de Pruebas de Plato'!$G$6:$G$35)/$N17),"")</f>
        <v/>
      </c>
      <c r="Q17" s="12">
        <f>IF($A17="","",SUMIF('Registro de Pruebas de Plato'!$B$6:$B$35,$A17&amp;"",'Registro de Pruebas de Plato'!$J$6:$J$35))</f>
        <v>0.0</v>
      </c>
      <c r="R17" s="12">
        <f>IF($A17="","",SUMIF('Registro de Pruebas de Plato'!$B$6:$B$35,$A17&amp;"",'Registro de Pruebas de Plato'!$K$6:$K$35))</f>
        <v>0.0</v>
      </c>
    </row>
    <row r="18">
      <c r="A18" s="5" t="n"/>
      <c r="B18" s="5" t="n"/>
      <c r="C18" s="5" t="n"/>
      <c r="D18" s="5" t="n"/>
      <c r="E18" s="5" t="n"/>
      <c r="F18" s="5" t="n"/>
      <c r="G18" s="5" t="n"/>
      <c r="H18" s="5" t="n"/>
      <c r="I18" s="5" t="n"/>
      <c r="J18" s="5" t="n"/>
      <c r="K18" s="12">
        <f>IFERROR(IF(OR($D18="",$C$7=""),"",IF($C$7&lt;$D18,"",$C$7-$D18)),"")</f>
        <v/>
      </c>
      <c r="L18" s="12">
        <f>COUNT($D18:$H18)</f>
        <v>0.0</v>
      </c>
      <c r="M18" s="13">
        <f>IF($J18="","",IF(AND($J18=$A$58,ISNUMBER($K18),ISNUMBER($C$8),$K18&gt;$C$8),"REVISAR: demasiados días en prueba sin ficha cerrada",IF($J18=$A$58,"Ficha pendiente","Ficha cerrada")))</f>
        <v/>
      </c>
      <c r="N18" s="12">
        <f>IF($A18="","",COUNTIF('Registro de Pruebas de Plato'!$B$6:$B$35,$A18&amp;""))</f>
        <v/>
      </c>
      <c r="O18" s="14">
        <f>IFERROR(IF(OR($N18="",$N18=0),"",SUMIF('Registro de Pruebas de Plato'!$B$6:$B$35,$A18&amp;"",'Registro de Pruebas de Plato'!$F$6:$F$35)/$N18),"")</f>
        <v/>
      </c>
      <c r="P18" s="15">
        <f>IFERROR(IF(OR($N18="",$N18=0),"",SUMIF('Registro de Pruebas de Plato'!$B$6:$B$35,$A18&amp;"",'Registro de Pruebas de Plato'!$G$6:$G$35)/$N18),"")</f>
        <v/>
      </c>
      <c r="Q18" s="12">
        <f>IF($A18="","",SUMIF('Registro de Pruebas de Plato'!$B$6:$B$35,$A18&amp;"",'Registro de Pruebas de Plato'!$J$6:$J$35))</f>
        <v/>
      </c>
      <c r="R18" s="12">
        <f>IF($A18="","",SUMIF('Registro de Pruebas de Plato'!$B$6:$B$35,$A18&amp;"",'Registro de Pruebas de Plato'!$K$6:$K$35))</f>
        <v/>
      </c>
    </row>
    <row r="19">
      <c r="A19" s="5" t="n"/>
      <c r="B19" s="5" t="n"/>
      <c r="C19" s="5" t="n"/>
      <c r="D19" s="5" t="n"/>
      <c r="E19" s="5" t="n"/>
      <c r="F19" s="5" t="n"/>
      <c r="G19" s="5" t="n"/>
      <c r="H19" s="5" t="n"/>
      <c r="I19" s="5" t="n"/>
      <c r="J19" s="5" t="n"/>
      <c r="K19" s="12">
        <f>IFERROR(IF(OR($D19="",$C$7=""),"",IF($C$7&lt;$D19,"",$C$7-$D19)),"")</f>
        <v/>
      </c>
      <c r="L19" s="12">
        <f>COUNT($D19:$H19)</f>
        <v>0.0</v>
      </c>
      <c r="M19" s="13">
        <f>IF($J19="","",IF(AND($J19=$A$58,ISNUMBER($K19),ISNUMBER($C$8),$K19&gt;$C$8),"REVISAR: demasiados días en prueba sin ficha cerrada",IF($J19=$A$58,"Ficha pendiente","Ficha cerrada")))</f>
        <v/>
      </c>
      <c r="N19" s="12">
        <f>IF($A19="","",COUNTIF('Registro de Pruebas de Plato'!$B$6:$B$35,$A19&amp;""))</f>
        <v/>
      </c>
      <c r="O19" s="14">
        <f>IFERROR(IF(OR($N19="",$N19=0),"",SUMIF('Registro de Pruebas de Plato'!$B$6:$B$35,$A19&amp;"",'Registro de Pruebas de Plato'!$F$6:$F$35)/$N19),"")</f>
        <v/>
      </c>
      <c r="P19" s="15">
        <f>IFERROR(IF(OR($N19="",$N19=0),"",SUMIF('Registro de Pruebas de Plato'!$B$6:$B$35,$A19&amp;"",'Registro de Pruebas de Plato'!$G$6:$G$35)/$N19),"")</f>
        <v/>
      </c>
      <c r="Q19" s="12">
        <f>IF($A19="","",SUMIF('Registro de Pruebas de Plato'!$B$6:$B$35,$A19&amp;"",'Registro de Pruebas de Plato'!$J$6:$J$35))</f>
        <v/>
      </c>
      <c r="R19" s="12">
        <f>IF($A19="","",SUMIF('Registro de Pruebas de Plato'!$B$6:$B$35,$A19&amp;"",'Registro de Pruebas de Plato'!$K$6:$K$35))</f>
        <v/>
      </c>
    </row>
    <row r="20">
      <c r="A20" s="5" t="n"/>
      <c r="B20" s="5" t="n"/>
      <c r="C20" s="5" t="n"/>
      <c r="D20" s="5" t="n"/>
      <c r="E20" s="5" t="n"/>
      <c r="F20" s="5" t="n"/>
      <c r="G20" s="5" t="n"/>
      <c r="H20" s="5" t="n"/>
      <c r="I20" s="5" t="n"/>
      <c r="J20" s="5" t="n"/>
      <c r="K20" s="12">
        <f>IFERROR(IF(OR($D20="",$C$7=""),"",IF($C$7&lt;$D20,"",$C$7-$D20)),"")</f>
        <v/>
      </c>
      <c r="L20" s="12">
        <f>COUNT($D20:$H20)</f>
        <v>0.0</v>
      </c>
      <c r="M20" s="13">
        <f>IF($J20="","",IF(AND($J20=$A$58,ISNUMBER($K20),ISNUMBER($C$8),$K20&gt;$C$8),"REVISAR: demasiados días en prueba sin ficha cerrada",IF($J20=$A$58,"Ficha pendiente","Ficha cerrada")))</f>
        <v/>
      </c>
      <c r="N20" s="12">
        <f>IF($A20="","",COUNTIF('Registro de Pruebas de Plato'!$B$6:$B$35,$A20&amp;""))</f>
        <v/>
      </c>
      <c r="O20" s="14">
        <f>IFERROR(IF(OR($N20="",$N20=0),"",SUMIF('Registro de Pruebas de Plato'!$B$6:$B$35,$A20&amp;"",'Registro de Pruebas de Plato'!$F$6:$F$35)/$N20),"")</f>
        <v/>
      </c>
      <c r="P20" s="15">
        <f>IFERROR(IF(OR($N20="",$N20=0),"",SUMIF('Registro de Pruebas de Plato'!$B$6:$B$35,$A20&amp;"",'Registro de Pruebas de Plato'!$G$6:$G$35)/$N20),"")</f>
        <v/>
      </c>
      <c r="Q20" s="12">
        <f>IF($A20="","",SUMIF('Registro de Pruebas de Plato'!$B$6:$B$35,$A20&amp;"",'Registro de Pruebas de Plato'!$J$6:$J$35))</f>
        <v/>
      </c>
      <c r="R20" s="12">
        <f>IF($A20="","",SUMIF('Registro de Pruebas de Plato'!$B$6:$B$35,$A20&amp;"",'Registro de Pruebas de Plato'!$K$6:$K$35))</f>
        <v/>
      </c>
    </row>
    <row r="21">
      <c r="A21" s="5" t="n"/>
      <c r="B21" s="5" t="n"/>
      <c r="C21" s="5" t="n"/>
      <c r="D21" s="5" t="n"/>
      <c r="E21" s="5" t="n"/>
      <c r="F21" s="5" t="n"/>
      <c r="G21" s="5" t="n"/>
      <c r="H21" s="5" t="n"/>
      <c r="I21" s="5" t="n"/>
      <c r="J21" s="5" t="n"/>
      <c r="K21" s="12">
        <f>IFERROR(IF(OR($D21="",$C$7=""),"",IF($C$7&lt;$D21,"",$C$7-$D21)),"")</f>
        <v/>
      </c>
      <c r="L21" s="12">
        <f>COUNT($D21:$H21)</f>
        <v>0.0</v>
      </c>
      <c r="M21" s="13">
        <f>IF($J21="","",IF(AND($J21=$A$58,ISNUMBER($K21),ISNUMBER($C$8),$K21&gt;$C$8),"REVISAR: demasiados días en prueba sin ficha cerrada",IF($J21=$A$58,"Ficha pendiente","Ficha cerrada")))</f>
        <v/>
      </c>
      <c r="N21" s="12">
        <f>IF($A21="","",COUNTIF('Registro de Pruebas de Plato'!$B$6:$B$35,$A21&amp;""))</f>
        <v/>
      </c>
      <c r="O21" s="14">
        <f>IFERROR(IF(OR($N21="",$N21=0),"",SUMIF('Registro de Pruebas de Plato'!$B$6:$B$35,$A21&amp;"",'Registro de Pruebas de Plato'!$F$6:$F$35)/$N21),"")</f>
        <v/>
      </c>
      <c r="P21" s="15">
        <f>IFERROR(IF(OR($N21="",$N21=0),"",SUMIF('Registro de Pruebas de Plato'!$B$6:$B$35,$A21&amp;"",'Registro de Pruebas de Plato'!$G$6:$G$35)/$N21),"")</f>
        <v/>
      </c>
      <c r="Q21" s="12">
        <f>IF($A21="","",SUMIF('Registro de Pruebas de Plato'!$B$6:$B$35,$A21&amp;"",'Registro de Pruebas de Plato'!$J$6:$J$35))</f>
        <v/>
      </c>
      <c r="R21" s="12">
        <f>IF($A21="","",SUMIF('Registro de Pruebas de Plato'!$B$6:$B$35,$A21&amp;"",'Registro de Pruebas de Plato'!$K$6:$K$35))</f>
        <v/>
      </c>
    </row>
    <row r="22">
      <c r="A22" s="5" t="n"/>
      <c r="B22" s="5" t="n"/>
      <c r="C22" s="5" t="n"/>
      <c r="D22" s="5" t="n"/>
      <c r="E22" s="5" t="n"/>
      <c r="F22" s="5" t="n"/>
      <c r="G22" s="5" t="n"/>
      <c r="H22" s="5" t="n"/>
      <c r="I22" s="5" t="n"/>
      <c r="J22" s="5" t="n"/>
      <c r="K22" s="12">
        <f>IFERROR(IF(OR($D22="",$C$7=""),"",IF($C$7&lt;$D22,"",$C$7-$D22)),"")</f>
        <v/>
      </c>
      <c r="L22" s="12">
        <f>COUNT($D22:$H22)</f>
        <v>0.0</v>
      </c>
      <c r="M22" s="13">
        <f>IF($J22="","",IF(AND($J22=$A$58,ISNUMBER($K22),ISNUMBER($C$8),$K22&gt;$C$8),"REVISAR: demasiados días en prueba sin ficha cerrada",IF($J22=$A$58,"Ficha pendiente","Ficha cerrada")))</f>
        <v/>
      </c>
      <c r="N22" s="12">
        <f>IF($A22="","",COUNTIF('Registro de Pruebas de Plato'!$B$6:$B$35,$A22&amp;""))</f>
        <v/>
      </c>
      <c r="O22" s="14">
        <f>IFERROR(IF(OR($N22="",$N22=0),"",SUMIF('Registro de Pruebas de Plato'!$B$6:$B$35,$A22&amp;"",'Registro de Pruebas de Plato'!$F$6:$F$35)/$N22),"")</f>
        <v/>
      </c>
      <c r="P22" s="15">
        <f>IFERROR(IF(OR($N22="",$N22=0),"",SUMIF('Registro de Pruebas de Plato'!$B$6:$B$35,$A22&amp;"",'Registro de Pruebas de Plato'!$G$6:$G$35)/$N22),"")</f>
        <v/>
      </c>
      <c r="Q22" s="12">
        <f>IF($A22="","",SUMIF('Registro de Pruebas de Plato'!$B$6:$B$35,$A22&amp;"",'Registro de Pruebas de Plato'!$J$6:$J$35))</f>
        <v/>
      </c>
      <c r="R22" s="12">
        <f>IF($A22="","",SUMIF('Registro de Pruebas de Plato'!$B$6:$B$35,$A22&amp;"",'Registro de Pruebas de Plato'!$K$6:$K$35))</f>
        <v/>
      </c>
    </row>
    <row r="23">
      <c r="A23" s="5" t="n"/>
      <c r="B23" s="5" t="n"/>
      <c r="C23" s="5" t="n"/>
      <c r="D23" s="5" t="n"/>
      <c r="E23" s="5" t="n"/>
      <c r="F23" s="5" t="n"/>
      <c r="G23" s="5" t="n"/>
      <c r="H23" s="5" t="n"/>
      <c r="I23" s="5" t="n"/>
      <c r="J23" s="5" t="n"/>
      <c r="K23" s="12">
        <f>IFERROR(IF(OR($D23="",$C$7=""),"",IF($C$7&lt;$D23,"",$C$7-$D23)),"")</f>
        <v/>
      </c>
      <c r="L23" s="12">
        <f>COUNT($D23:$H23)</f>
        <v>0.0</v>
      </c>
      <c r="M23" s="13">
        <f>IF($J23="","",IF(AND($J23=$A$58,ISNUMBER($K23),ISNUMBER($C$8),$K23&gt;$C$8),"REVISAR: demasiados días en prueba sin ficha cerrada",IF($J23=$A$58,"Ficha pendiente","Ficha cerrada")))</f>
        <v/>
      </c>
      <c r="N23" s="12">
        <f>IF($A23="","",COUNTIF('Registro de Pruebas de Plato'!$B$6:$B$35,$A23&amp;""))</f>
        <v/>
      </c>
      <c r="O23" s="14">
        <f>IFERROR(IF(OR($N23="",$N23=0),"",SUMIF('Registro de Pruebas de Plato'!$B$6:$B$35,$A23&amp;"",'Registro de Pruebas de Plato'!$F$6:$F$35)/$N23),"")</f>
        <v/>
      </c>
      <c r="P23" s="15">
        <f>IFERROR(IF(OR($N23="",$N23=0),"",SUMIF('Registro de Pruebas de Plato'!$B$6:$B$35,$A23&amp;"",'Registro de Pruebas de Plato'!$G$6:$G$35)/$N23),"")</f>
        <v/>
      </c>
      <c r="Q23" s="12">
        <f>IF($A23="","",SUMIF('Registro de Pruebas de Plato'!$B$6:$B$35,$A23&amp;"",'Registro de Pruebas de Plato'!$J$6:$J$35))</f>
        <v/>
      </c>
      <c r="R23" s="12">
        <f>IF($A23="","",SUMIF('Registro de Pruebas de Plato'!$B$6:$B$35,$A23&amp;"",'Registro de Pruebas de Plato'!$K$6:$K$35))</f>
        <v/>
      </c>
    </row>
    <row r="24">
      <c r="A24" s="5" t="n"/>
      <c r="B24" s="5" t="n"/>
      <c r="C24" s="5" t="n"/>
      <c r="D24" s="5" t="n"/>
      <c r="E24" s="5" t="n"/>
      <c r="F24" s="5" t="n"/>
      <c r="G24" s="5" t="n"/>
      <c r="H24" s="5" t="n"/>
      <c r="I24" s="5" t="n"/>
      <c r="J24" s="5" t="n"/>
      <c r="K24" s="12">
        <f>IFERROR(IF(OR($D24="",$C$7=""),"",IF($C$7&lt;$D24,"",$C$7-$D24)),"")</f>
        <v/>
      </c>
      <c r="L24" s="12">
        <f>COUNT($D24:$H24)</f>
        <v>0.0</v>
      </c>
      <c r="M24" s="13">
        <f>IF($J24="","",IF(AND($J24=$A$58,ISNUMBER($K24),ISNUMBER($C$8),$K24&gt;$C$8),"REVISAR: demasiados días en prueba sin ficha cerrada",IF($J24=$A$58,"Ficha pendiente","Ficha cerrada")))</f>
        <v/>
      </c>
      <c r="N24" s="12">
        <f>IF($A24="","",COUNTIF('Registro de Pruebas de Plato'!$B$6:$B$35,$A24&amp;""))</f>
        <v/>
      </c>
      <c r="O24" s="14">
        <f>IFERROR(IF(OR($N24="",$N24=0),"",SUMIF('Registro de Pruebas de Plato'!$B$6:$B$35,$A24&amp;"",'Registro de Pruebas de Plato'!$F$6:$F$35)/$N24),"")</f>
        <v/>
      </c>
      <c r="P24" s="15">
        <f>IFERROR(IF(OR($N24="",$N24=0),"",SUMIF('Registro de Pruebas de Plato'!$B$6:$B$35,$A24&amp;"",'Registro de Pruebas de Plato'!$G$6:$G$35)/$N24),"")</f>
        <v/>
      </c>
      <c r="Q24" s="12">
        <f>IF($A24="","",SUMIF('Registro de Pruebas de Plato'!$B$6:$B$35,$A24&amp;"",'Registro de Pruebas de Plato'!$J$6:$J$35))</f>
        <v/>
      </c>
      <c r="R24" s="12">
        <f>IF($A24="","",SUMIF('Registro de Pruebas de Plato'!$B$6:$B$35,$A24&amp;"",'Registro de Pruebas de Plato'!$K$6:$K$35))</f>
        <v/>
      </c>
    </row>
    <row r="25"/>
    <row r="26">
      <c r="B26" s="3" t="inlineStr">
        <is>
          <t>RESUMEN DEL DESARROLLO DE CARTA</t>
        </is>
      </c>
    </row>
    <row r="27" ht="20" customHeight="1">
      <c r="B27" s="10" t="inlineStr">
        <is>
          <t>Indicador</t>
        </is>
      </c>
      <c r="C27" s="10" t="inlineStr">
        <is>
          <t>Valor</t>
        </is>
      </c>
    </row>
    <row r="28">
      <c r="B28" t="inlineStr">
        <is>
          <t>Platos en desarrollo</t>
        </is>
      </c>
      <c r="C28" s="16">
        <f>COUNTIF($A$13:$A$24,"&lt;&gt;")</f>
        <v>5.0</v>
      </c>
    </row>
    <row r="29">
      <c r="B29" t="inlineStr">
        <is>
          <t>Platos con ficha técnica cerrada</t>
        </is>
      </c>
      <c r="C29" s="16">
        <f>COUNTIF($J$13:$J$24,"Sí")</f>
        <v>2.0</v>
      </c>
    </row>
    <row r="30">
      <c r="B30" t="inlineStr">
        <is>
          <t>Porcentaje de platos con ficha cerrada</t>
        </is>
      </c>
      <c r="C30" s="17">
        <f>IFERROR(IF($C$28=0,"",$C$29/$C$28),"")</f>
        <v>0.4</v>
      </c>
    </row>
    <row r="31">
      <c r="B31" t="inlineStr">
        <is>
          <t>Platos que superan los días máximos en prueba</t>
        </is>
      </c>
      <c r="C31" s="16">
        <f>COUNTIFS($J$13:$J$24,"No",$K$13:$K$24,"&gt;"&amp;$C$8)</f>
        <v>1.0</v>
      </c>
    </row>
    <row r="32">
      <c r="B32" t="inlineStr">
        <is>
          <t>Platos ya lanzados</t>
        </is>
      </c>
      <c r="C32" s="16">
        <f>COUNTIF($I$13:$I$24,"Lanzado")</f>
        <v>0.0</v>
      </c>
    </row>
    <row r="33">
      <c r="B33" t="inlineStr">
        <is>
          <t>Pruebas registradas en total</t>
        </is>
      </c>
      <c r="C33" s="16">
        <f>SUM($N$13:$N$24)</f>
        <v>8.0</v>
      </c>
    </row>
    <row r="34"/>
    <row r="35">
      <c r="B35" t="inlineStr">
        <is>
          <t>La columna «Coste medio estimado por ración» es de las PRUEBAS: sirve para descartar pronto un plato que no cabe en la carta. El coste bueno sale del escandallo y es el que se copia a la ficha técnica de proceso (libro 3). Este pack no lo recalcula.</t>
        </is>
      </c>
    </row>
    <row r="36">
      <c r="B36" t="inlineStr">
        <is>
          <t>Qué plato deja más margen y cuál sale de la carta es ingeniería de menú, y vive en la «Guía Food Cost + Ingeniería de Menú». Aquí solo se decide si el plato está listo.</t>
        </is>
      </c>
    </row>
    <row r="37"/>
    <row r="38"/>
    <row r="39">
      <c r="B39" s="3" t="inlineStr">
        <is>
          <t>LISTAS DE LOS DESPLEGABLES (no las borres)</t>
        </is>
      </c>
    </row>
    <row r="40" ht="20" customHeight="1">
      <c r="A40" s="10" t="inlineStr">
        <is>
          <t>Partidas de tu cocina</t>
        </is>
      </c>
    </row>
    <row r="41">
      <c r="A41" s="5" t="inlineStr">
        <is>
          <t>Pase y caliente</t>
        </is>
      </c>
    </row>
    <row r="42">
      <c r="A42" s="5" t="inlineStr">
        <is>
          <t>Fríos y entrantes</t>
        </is>
      </c>
    </row>
    <row r="43">
      <c r="A43" s="5" t="inlineStr">
        <is>
          <t>Postres y panadería</t>
        </is>
      </c>
    </row>
    <row r="44">
      <c r="A44" s="5" t="inlineStr">
        <is>
          <t>Barra y bebidas</t>
        </is>
      </c>
    </row>
    <row r="45">
      <c r="A45" s="5" t="inlineStr">
        <is>
          <t>Sala y servicio</t>
        </is>
      </c>
    </row>
    <row r="46">
      <c r="A46" s="5" t="inlineStr">
        <is>
          <t>Caja y cierre</t>
        </is>
      </c>
    </row>
    <row r="47">
      <c r="A47" t="inlineStr">
        <is>
          <t>Son las mismas partidas del cuadro de mando de cocina (libro 1). Cópialas de allí: este libro no lee ningún fichero ajeno.</t>
        </is>
      </c>
    </row>
    <row r="48"/>
    <row r="49" ht="20" customHeight="1">
      <c r="A49" s="10" t="inlineStr">
        <is>
          <t>Estado del plato</t>
        </is>
      </c>
    </row>
    <row r="50">
      <c r="A50" t="inlineStr">
        <is>
          <t>Planificado</t>
        </is>
      </c>
    </row>
    <row r="51">
      <c r="A51" t="inlineStr">
        <is>
          <t>En prueba</t>
        </is>
      </c>
    </row>
    <row r="52">
      <c r="A52" t="inlineStr">
        <is>
          <t>En curso</t>
        </is>
      </c>
    </row>
    <row r="53">
      <c r="A53" t="inlineStr">
        <is>
          <t>Lanzado</t>
        </is>
      </c>
    </row>
    <row r="54">
      <c r="A54" t="inlineStr">
        <is>
          <t>Descartado</t>
        </is>
      </c>
    </row>
    <row r="55"/>
    <row r="56" ht="20" customHeight="1">
      <c r="A56" s="10" t="inlineStr">
        <is>
          <t>Ficha técnica cerrada</t>
        </is>
      </c>
    </row>
    <row r="57">
      <c r="A57" t="inlineStr">
        <is>
          <t>Sí</t>
        </is>
      </c>
    </row>
    <row r="58">
      <c r="A58" t="inlineStr">
        <is>
          <t>No</t>
        </is>
      </c>
    </row>
  </sheetData>
  <sheetProtection selectLockedCells="0" selectUnlockedCells="0" sheet="1" objects="0" insertRows="0" insertHyperlinks="1" autoFilter="1" scenarios="0" formatColumns="0" deleteColumns="1" insertColumns="1" pivotTables="1" deleteRows="1" formatCells="1" formatRows="0" sort="0"/>
  <conditionalFormatting sqref="M13:M24">
    <cfRule type="cellIs" priority="1" operator="equal" dxfId="0" stopIfTrue="1">
      <formula>"REVISAR: demasiados días en prueba sin ficha cerrada"</formula>
    </cfRule>
    <cfRule type="cellIs" priority="2" operator="equal" dxfId="1" stopIfTrue="1">
      <formula>"Ficha pendiente"</formula>
    </cfRule>
    <cfRule type="cellIs" priority="3" operator="equal" dxfId="2" stopIfTrue="1">
      <formula>"Ficha cerrada"</formula>
    </cfRule>
  </conditionalFormatting>
  <conditionalFormatting sqref="K13:K24">
    <cfRule type="expression" priority="4" dxfId="0" stopIfTrue="1">
      <formula>=AND(ISNUMBER($K13),ISNUMBER($C$8),$K13&gt;$C$8,$J13="No")</formula>
    </cfRule>
  </conditionalFormatting>
  <conditionalFormatting sqref="C31">
    <cfRule type="expression" priority="5" dxfId="0" stopIfTrue="1">
      <formula>=AND(ISNUMBER($C$31),$C$31&gt;0)</formula>
    </cfRule>
  </conditionalFormatting>
  <dataValidations count="6">
    <dataValidation sqref="C6" showDropDown="0" showInputMessage="0" showErrorMessage="1" allowBlank="1" errorTitle="Fecha no válida" error="Escribe una fecha (dd/mm/aaaa) entre 2020 y 2040." type="date" operator="between">
      <formula1>DATE(2020,1,1)</formula1>
      <formula2>DATE(2040,12,31)</formula2>
    </dataValidation>
    <dataValidation sqref="C8" showDropDown="0" showInputMessage="0" showErrorMessage="1" allowBlank="1" errorTitle="Días máximos" error="Escribe un número de días entre 1 y 365." type="decimal" operator="between">
      <formula1>1</formula1>
      <formula2>365</formula2>
    </dataValidation>
    <dataValidation sqref="I13 I14 I15 I16 I17 I18 I19 I20 I21 I22 I23 I24" showDropDown="0" showInputMessage="0" showErrorMessage="1" allowBlank="1" errorTitle="Estado del plato" error="Elige un estado de la lista del final de esta hoja." type="list">
      <formula1>'Calendario de Temporada'!$A$50:$A$54</formula1>
    </dataValidation>
    <dataValidation sqref="J13 J14 J15 J16 J17 J18 J19 J20 J21 J22 J23 J24" showDropDown="0" showInputMessage="0" showErrorMessage="1" allowBlank="1" errorTitle="Ficha cerrada" error="Elige Sí o No de la lista del final de esta hoja." type="list">
      <formula1>'Calendario de Temporada'!$A$57:$A$58</formula1>
    </dataValidation>
    <dataValidation sqref="C13 C14 C15 C16 C17 C18 C19 C20 C21 C22 C23 C24" showDropDown="0" showInputMessage="0" showErrorMessage="1" allowBlank="1" errorTitle="Partida" error="Elige una partida de la lista del final de esta hoja." type="list">
      <formula1>'Calendario de Temporada'!$A$41:$A$46</formula1>
    </dataValidation>
    <dataValidation sqref="D13 D14 D15 D16 D17 D18 D19 D20 D21 D22 D23 D24 E13 E14 E15 E16 E17 E18 E19 E20 E21 E22 E23 E24 F13 F14 F15 F16 F17 F18 F19 F20 F21 F22 F23 F24 G13 G14 G15 G16 G17 G18 G19 G20 G21 G22 G23 G24 H13 H14 H15 H16 H17 H18 H19 H20 H21 H22 H23 H24"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5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50" customWidth="1" min="3" max="3"/>
    <col width="12" customWidth="1" min="4" max="4"/>
    <col width="21" customWidth="1" min="5" max="5"/>
    <col width="12" customWidth="1" min="6" max="6"/>
    <col width="16" customWidth="1" min="7" max="7"/>
    <col width="14" customWidth="1" min="8" max="8"/>
    <col width="58" customWidth="1" min="9" max="9"/>
    <col width="12" customWidth="1" min="10" max="10"/>
    <col width="12" customWidth="1" min="11" max="11"/>
  </cols>
  <sheetData>
    <row r="1" ht="30" customHeight="1">
      <c r="A1" s="1" t="inlineStr">
        <is>
          <t>Registro de pruebas de plato</t>
        </is>
      </c>
    </row>
    <row r="2">
      <c r="A2" t="inlineStr">
        <is>
          <t>AI Chef Pro · aichef.pro — Manual del Chef Ejecutivo</t>
        </is>
      </c>
    </row>
    <row r="3">
      <c r="A3" s="2" t="inlineStr">
        <is>
          <t>Una fila por prueba. El nombre del plato lo trae el calendario en cuanto escribes su id.</t>
        </is>
      </c>
    </row>
    <row r="4"/>
    <row r="5" ht="48" customHeight="1">
      <c r="A5" s="10" t="inlineStr">
        <is>
          <t>Fecha</t>
        </is>
      </c>
      <c r="B5" s="10" t="inlineStr">
        <is>
          <t>Id del plato</t>
        </is>
      </c>
      <c r="C5" s="10" t="inlineStr">
        <is>
          <t>Plato (lo trae el calendario)</t>
        </is>
      </c>
      <c r="D5" s="10" t="inlineStr">
        <is>
          <t>Número de prueba</t>
        </is>
      </c>
      <c r="E5" s="10" t="inlineStr">
        <is>
          <t>Partida</t>
        </is>
      </c>
      <c r="F5" s="10" t="inlineStr">
        <is>
          <t>Resultado (1 a 5)</t>
        </is>
      </c>
      <c r="G5" s="10" t="inlineStr">
        <is>
          <t>Coste estimado por ración</t>
        </is>
      </c>
      <c r="H5" s="10" t="inlineStr">
        <is>
          <t>Decisión</t>
        </is>
      </c>
      <c r="I5" s="10" t="inlineStr">
        <is>
          <t>Observación</t>
        </is>
      </c>
      <c r="J5" s="10" t="inlineStr">
        <is>
          <t>Aprobada (1 o 0)</t>
        </is>
      </c>
      <c r="K5" s="10" t="inlineStr">
        <is>
          <t>Descartada (1 o 0)</t>
        </is>
      </c>
    </row>
    <row r="6" ht="28" customHeight="1">
      <c r="A6" s="6" t="n">
        <v>46231</v>
      </c>
      <c r="B6" s="5" t="inlineStr">
        <is>
          <t>N3</t>
        </is>
      </c>
      <c r="C6" s="13" t="str">
        <f>IFERROR(IF($B6="","",INDEX('Calendario de Temporada'!$B$13:$B$24,MATCH($B6&amp;"",'Calendario de Temporada'!$A$13:$A$24,0))),"")</f>
        <v>Crema de calabaza asada con aceite de pipas</v>
      </c>
      <c r="D6" s="9" t="n">
        <v>1</v>
      </c>
      <c r="E6" s="5" t="inlineStr">
        <is>
          <t>Fríos y entrantes</t>
        </is>
      </c>
      <c r="F6" s="9" t="n">
        <v>3</v>
      </c>
      <c r="G6" s="18" t="n">
        <v>1.05</v>
      </c>
      <c r="H6" s="5" t="inlineStr">
        <is>
          <t>Repetir</t>
        </is>
      </c>
      <c r="I6" s="11" t="inlineStr">
        <is>
          <t>Poco sabor de asado; la calabaza suelta agua al triturar</t>
        </is>
      </c>
      <c r="J6" s="12">
        <f>IF($H6="","",IF($H6="Aprobar",1,0))</f>
        <v>0.0</v>
      </c>
      <c r="K6" s="12">
        <f>IF($H6="","",IF($H6="Descartar",1,0))</f>
        <v>0.0</v>
      </c>
    </row>
    <row r="7" ht="28" customHeight="1">
      <c r="A7" s="6" t="n">
        <v>46245</v>
      </c>
      <c r="B7" s="5" t="inlineStr">
        <is>
          <t>N3</t>
        </is>
      </c>
      <c r="C7" s="13" t="str">
        <f>IFERROR(IF($B7="","",INDEX('Calendario de Temporada'!$B$13:$B$24,MATCH($B7&amp;"",'Calendario de Temporada'!$A$13:$A$24,0))),"")</f>
        <v>Crema de calabaza asada con aceite de pipas</v>
      </c>
      <c r="D7" s="9" t="n">
        <v>2</v>
      </c>
      <c r="E7" s="5" t="inlineStr">
        <is>
          <t>Fríos y entrantes</t>
        </is>
      </c>
      <c r="F7" s="9" t="n">
        <v>3</v>
      </c>
      <c r="G7" s="18" t="n">
        <v>1.15</v>
      </c>
      <c r="H7" s="5" t="inlineStr">
        <is>
          <t>Repetir</t>
        </is>
      </c>
      <c r="I7" s="11" t="inlineStr">
        <is>
          <t>Mejor con asado a 200 °C, pero el aceite de pipas enrancia en dos días</t>
        </is>
      </c>
      <c r="J7" s="12">
        <f>IF($H7="","",IF($H7="Aprobar",1,0))</f>
        <v>0.0</v>
      </c>
      <c r="K7" s="12">
        <f>IF($H7="","",IF($H7="Descartar",1,0))</f>
        <v>0.0</v>
      </c>
    </row>
    <row r="8" ht="28" customHeight="1">
      <c r="A8" s="6" t="n">
        <v>46273</v>
      </c>
      <c r="B8" s="5" t="inlineStr">
        <is>
          <t>N1</t>
        </is>
      </c>
      <c r="C8" s="13" t="str">
        <f>IFERROR(IF($B8="","",INDEX('Calendario de Temporada'!$B$13:$B$24,MATCH($B8&amp;"",'Calendario de Temporada'!$A$13:$A$24,0))),"")</f>
        <v>Alcachofas confitadas con panceta y yema curada</v>
      </c>
      <c r="D8" s="9" t="n">
        <v>1</v>
      </c>
      <c r="E8" s="5" t="inlineStr">
        <is>
          <t>Fríos y entrantes</t>
        </is>
      </c>
      <c r="F8" s="9" t="n">
        <v>4</v>
      </c>
      <c r="G8" s="18" t="n">
        <v>3.2</v>
      </c>
      <c r="H8" s="5" t="inlineStr">
        <is>
          <t>Repetir</t>
        </is>
      </c>
      <c r="I8" s="11" t="inlineStr">
        <is>
          <t>Buen equilibrio; ajustar el punto de la yema curada</t>
        </is>
      </c>
      <c r="J8" s="12">
        <f>IF($H8="","",IF($H8="Aprobar",1,0))</f>
        <v>0.0</v>
      </c>
      <c r="K8" s="12">
        <f>IF($H8="","",IF($H8="Descartar",1,0))</f>
        <v>0.0</v>
      </c>
    </row>
    <row r="9" ht="28" customHeight="1">
      <c r="A9" s="6" t="n">
        <v>46275</v>
      </c>
      <c r="B9" s="5" t="inlineStr">
        <is>
          <t>N2</t>
        </is>
      </c>
      <c r="C9" s="13" t="str">
        <f>IFERROR(IF($B9="","",INDEX('Calendario de Temporada'!$B$13:$B$24,MATCH($B9&amp;"",'Calendario de Temporada'!$A$13:$A$24,0))),"")</f>
        <v>Guiso de carrilleras al vino tinto con puré de apionabo</v>
      </c>
      <c r="D9" s="9" t="n">
        <v>1</v>
      </c>
      <c r="E9" s="5" t="inlineStr">
        <is>
          <t>Pase y caliente</t>
        </is>
      </c>
      <c r="F9" s="9" t="n">
        <v>4</v>
      </c>
      <c r="G9" s="18" t="n">
        <v>4.6</v>
      </c>
      <c r="H9" s="5" t="inlineStr">
        <is>
          <t>Repetir</t>
        </is>
      </c>
      <c r="I9" s="11" t="inlineStr">
        <is>
          <t>Guiso correcto; el puré de apionabo queda basto</t>
        </is>
      </c>
      <c r="J9" s="12">
        <f>IF($H9="","",IF($H9="Aprobar",1,0))</f>
        <v>0.0</v>
      </c>
      <c r="K9" s="12">
        <f>IF($H9="","",IF($H9="Descartar",1,0))</f>
        <v>0.0</v>
      </c>
    </row>
    <row r="10" ht="28" customHeight="1">
      <c r="A10" s="6" t="n">
        <v>46279</v>
      </c>
      <c r="B10" s="5" t="inlineStr">
        <is>
          <t>N1</t>
        </is>
      </c>
      <c r="C10" s="13" t="str">
        <f>IFERROR(IF($B10="","",INDEX('Calendario de Temporada'!$B$13:$B$24,MATCH($B10&amp;"",'Calendario de Temporada'!$A$13:$A$24,0))),"")</f>
        <v>Alcachofas confitadas con panceta y yema curada</v>
      </c>
      <c r="D10" s="9" t="n">
        <v>2</v>
      </c>
      <c r="E10" s="5" t="inlineStr">
        <is>
          <t>Fríos y entrantes</t>
        </is>
      </c>
      <c r="F10" s="9" t="n">
        <v>5</v>
      </c>
      <c r="G10" s="18" t="n">
        <v>3.05</v>
      </c>
      <c r="H10" s="5" t="inlineStr">
        <is>
          <t>Aprobar</t>
        </is>
      </c>
      <c r="I10" s="11" t="inlineStr">
        <is>
          <t>Yema curada 24 h en sal y azúcar; ración de 4 alcachofas</t>
        </is>
      </c>
      <c r="J10" s="12">
        <f>IF($H10="","",IF($H10="Aprobar",1,0))</f>
        <v>1.0</v>
      </c>
      <c r="K10" s="12">
        <f>IF($H10="","",IF($H10="Descartar",1,0))</f>
        <v>0.0</v>
      </c>
    </row>
    <row r="11" ht="28" customHeight="1">
      <c r="A11" s="6" t="n">
        <v>46281</v>
      </c>
      <c r="B11" s="5" t="inlineStr">
        <is>
          <t>N2</t>
        </is>
      </c>
      <c r="C11" s="13" t="str">
        <f>IFERROR(IF($B11="","",INDEX('Calendario de Temporada'!$B$13:$B$24,MATCH($B11&amp;"",'Calendario de Temporada'!$A$13:$A$24,0))),"")</f>
        <v>Guiso de carrilleras al vino tinto con puré de apionabo</v>
      </c>
      <c r="D11" s="9" t="n">
        <v>2</v>
      </c>
      <c r="E11" s="5" t="inlineStr">
        <is>
          <t>Pase y caliente</t>
        </is>
      </c>
      <c r="F11" s="9" t="n">
        <v>4</v>
      </c>
      <c r="G11" s="18" t="n">
        <v>4.35</v>
      </c>
      <c r="H11" s="5" t="inlineStr">
        <is>
          <t>Repetir</t>
        </is>
      </c>
      <c r="I11" s="11" t="inlineStr">
        <is>
          <t>Apionabo pasado por colador fino; se reduce la salsa 10 minutos más</t>
        </is>
      </c>
      <c r="J11" s="12">
        <f>IF($H11="","",IF($H11="Aprobar",1,0))</f>
        <v>0.0</v>
      </c>
      <c r="K11" s="12">
        <f>IF($H11="","",IF($H11="Descartar",1,0))</f>
        <v>0.0</v>
      </c>
    </row>
    <row r="12" ht="28" customHeight="1">
      <c r="A12" s="6" t="n">
        <v>46286</v>
      </c>
      <c r="B12" s="5" t="inlineStr">
        <is>
          <t>N2</t>
        </is>
      </c>
      <c r="C12" s="13" t="str">
        <f>IFERROR(IF($B12="","",INDEX('Calendario de Temporada'!$B$13:$B$24,MATCH($B12&amp;"",'Calendario de Temporada'!$A$13:$A$24,0))),"")</f>
        <v>Guiso de carrilleras al vino tinto con puré de apionabo</v>
      </c>
      <c r="D12" s="9" t="n">
        <v>3</v>
      </c>
      <c r="E12" s="5" t="inlineStr">
        <is>
          <t>Pase y caliente</t>
        </is>
      </c>
      <c r="F12" s="9" t="n">
        <v>5</v>
      </c>
      <c r="G12" s="18" t="n">
        <v>4.2</v>
      </c>
      <c r="H12" s="5" t="inlineStr">
        <is>
          <t>Aprobar</t>
        </is>
      </c>
      <c r="I12" s="11" t="inlineStr">
        <is>
          <t>Listo para ficha; rinde 12 raciones por olla</t>
        </is>
      </c>
      <c r="J12" s="12">
        <f>IF($H12="","",IF($H12="Aprobar",1,0))</f>
        <v>1.0</v>
      </c>
      <c r="K12" s="12">
        <f>IF($H12="","",IF($H12="Descartar",1,0))</f>
        <v>0.0</v>
      </c>
    </row>
    <row r="13" ht="28" customHeight="1">
      <c r="A13" s="6" t="n">
        <v>46289</v>
      </c>
      <c r="B13" s="5" t="inlineStr">
        <is>
          <t>N3</t>
        </is>
      </c>
      <c r="C13" s="13" t="str">
        <f>IFERROR(IF($B13="","",INDEX('Calendario de Temporada'!$B$13:$B$24,MATCH($B13&amp;"",'Calendario de Temporada'!$A$13:$A$24,0))),"")</f>
        <v>Crema de calabaza asada con aceite de pipas</v>
      </c>
      <c r="D13" s="9" t="n">
        <v>3</v>
      </c>
      <c r="E13" s="5" t="inlineStr">
        <is>
          <t>Fríos y entrantes</t>
        </is>
      </c>
      <c r="F13" s="9" t="n">
        <v>2</v>
      </c>
      <c r="G13" s="18" t="n">
        <v>1.1</v>
      </c>
      <c r="H13" s="5" t="inlineStr">
        <is>
          <t>Descartar</t>
        </is>
      </c>
      <c r="I13" s="11" t="inlineStr">
        <is>
          <t>Sigue sin diferenciarse de la crema de la competencia</t>
        </is>
      </c>
      <c r="J13" s="12">
        <f>IF($H13="","",IF($H13="Aprobar",1,0))</f>
        <v>0.0</v>
      </c>
      <c r="K13" s="12">
        <f>IF($H13="","",IF($H13="Descartar",1,0))</f>
        <v>1.0</v>
      </c>
    </row>
    <row r="14">
      <c r="A14" s="5" t="n"/>
      <c r="B14" s="5" t="n"/>
      <c r="C14" s="13">
        <f>IFERROR(IF($B14="","",INDEX('Calendario de Temporada'!$B$13:$B$24,MATCH($B14&amp;"",'Calendario de Temporada'!$A$13:$A$24,0))),"")</f>
        <v/>
      </c>
      <c r="D14" s="5" t="n"/>
      <c r="E14" s="5" t="n"/>
      <c r="F14" s="5" t="n"/>
      <c r="G14" s="5" t="n"/>
      <c r="H14" s="5" t="n"/>
      <c r="I14" s="5" t="n"/>
      <c r="J14" s="12">
        <f>IF($H14="","",IF($H14="Aprobar",1,0))</f>
        <v/>
      </c>
      <c r="K14" s="12">
        <f>IF($H14="","",IF($H14="Descartar",1,0))</f>
        <v/>
      </c>
    </row>
    <row r="15">
      <c r="A15" s="5" t="n"/>
      <c r="B15" s="5" t="n"/>
      <c r="C15" s="13">
        <f>IFERROR(IF($B15="","",INDEX('Calendario de Temporada'!$B$13:$B$24,MATCH($B15&amp;"",'Calendario de Temporada'!$A$13:$A$24,0))),"")</f>
        <v/>
      </c>
      <c r="D15" s="5" t="n"/>
      <c r="E15" s="5" t="n"/>
      <c r="F15" s="5" t="n"/>
      <c r="G15" s="5" t="n"/>
      <c r="H15" s="5" t="n"/>
      <c r="I15" s="5" t="n"/>
      <c r="J15" s="12">
        <f>IF($H15="","",IF($H15="Aprobar",1,0))</f>
        <v/>
      </c>
      <c r="K15" s="12">
        <f>IF($H15="","",IF($H15="Descartar",1,0))</f>
        <v/>
      </c>
    </row>
    <row r="16">
      <c r="A16" s="5" t="n"/>
      <c r="B16" s="5" t="n"/>
      <c r="C16" s="13">
        <f>IFERROR(IF($B16="","",INDEX('Calendario de Temporada'!$B$13:$B$24,MATCH($B16&amp;"",'Calendario de Temporada'!$A$13:$A$24,0))),"")</f>
        <v/>
      </c>
      <c r="D16" s="5" t="n"/>
      <c r="E16" s="5" t="n"/>
      <c r="F16" s="5" t="n"/>
      <c r="G16" s="5" t="n"/>
      <c r="H16" s="5" t="n"/>
      <c r="I16" s="5" t="n"/>
      <c r="J16" s="12">
        <f>IF($H16="","",IF($H16="Aprobar",1,0))</f>
        <v/>
      </c>
      <c r="K16" s="12">
        <f>IF($H16="","",IF($H16="Descartar",1,0))</f>
        <v/>
      </c>
    </row>
    <row r="17">
      <c r="A17" s="5" t="n"/>
      <c r="B17" s="5" t="n"/>
      <c r="C17" s="13">
        <f>IFERROR(IF($B17="","",INDEX('Calendario de Temporada'!$B$13:$B$24,MATCH($B17&amp;"",'Calendario de Temporada'!$A$13:$A$24,0))),"")</f>
        <v/>
      </c>
      <c r="D17" s="5" t="n"/>
      <c r="E17" s="5" t="n"/>
      <c r="F17" s="5" t="n"/>
      <c r="G17" s="5" t="n"/>
      <c r="H17" s="5" t="n"/>
      <c r="I17" s="5" t="n"/>
      <c r="J17" s="12">
        <f>IF($H17="","",IF($H17="Aprobar",1,0))</f>
        <v/>
      </c>
      <c r="K17" s="12">
        <f>IF($H17="","",IF($H17="Descartar",1,0))</f>
        <v/>
      </c>
    </row>
    <row r="18">
      <c r="A18" s="5" t="n"/>
      <c r="B18" s="5" t="n"/>
      <c r="C18" s="13">
        <f>IFERROR(IF($B18="","",INDEX('Calendario de Temporada'!$B$13:$B$24,MATCH($B18&amp;"",'Calendario de Temporada'!$A$13:$A$24,0))),"")</f>
        <v/>
      </c>
      <c r="D18" s="5" t="n"/>
      <c r="E18" s="5" t="n"/>
      <c r="F18" s="5" t="n"/>
      <c r="G18" s="5" t="n"/>
      <c r="H18" s="5" t="n"/>
      <c r="I18" s="5" t="n"/>
      <c r="J18" s="12">
        <f>IF($H18="","",IF($H18="Aprobar",1,0))</f>
        <v/>
      </c>
      <c r="K18" s="12">
        <f>IF($H18="","",IF($H18="Descartar",1,0))</f>
        <v/>
      </c>
    </row>
    <row r="19">
      <c r="A19" s="5" t="n"/>
      <c r="B19" s="5" t="n"/>
      <c r="C19" s="13">
        <f>IFERROR(IF($B19="","",INDEX('Calendario de Temporada'!$B$13:$B$24,MATCH($B19&amp;"",'Calendario de Temporada'!$A$13:$A$24,0))),"")</f>
        <v/>
      </c>
      <c r="D19" s="5" t="n"/>
      <c r="E19" s="5" t="n"/>
      <c r="F19" s="5" t="n"/>
      <c r="G19" s="5" t="n"/>
      <c r="H19" s="5" t="n"/>
      <c r="I19" s="5" t="n"/>
      <c r="J19" s="12">
        <f>IF($H19="","",IF($H19="Aprobar",1,0))</f>
        <v/>
      </c>
      <c r="K19" s="12">
        <f>IF($H19="","",IF($H19="Descartar",1,0))</f>
        <v/>
      </c>
    </row>
    <row r="20">
      <c r="A20" s="5" t="n"/>
      <c r="B20" s="5" t="n"/>
      <c r="C20" s="13">
        <f>IFERROR(IF($B20="","",INDEX('Calendario de Temporada'!$B$13:$B$24,MATCH($B20&amp;"",'Calendario de Temporada'!$A$13:$A$24,0))),"")</f>
        <v/>
      </c>
      <c r="D20" s="5" t="n"/>
      <c r="E20" s="5" t="n"/>
      <c r="F20" s="5" t="n"/>
      <c r="G20" s="5" t="n"/>
      <c r="H20" s="5" t="n"/>
      <c r="I20" s="5" t="n"/>
      <c r="J20" s="12">
        <f>IF($H20="","",IF($H20="Aprobar",1,0))</f>
        <v/>
      </c>
      <c r="K20" s="12">
        <f>IF($H20="","",IF($H20="Descartar",1,0))</f>
        <v/>
      </c>
    </row>
    <row r="21">
      <c r="A21" s="5" t="n"/>
      <c r="B21" s="5" t="n"/>
      <c r="C21" s="13">
        <f>IFERROR(IF($B21="","",INDEX('Calendario de Temporada'!$B$13:$B$24,MATCH($B21&amp;"",'Calendario de Temporada'!$A$13:$A$24,0))),"")</f>
        <v/>
      </c>
      <c r="D21" s="5" t="n"/>
      <c r="E21" s="5" t="n"/>
      <c r="F21" s="5" t="n"/>
      <c r="G21" s="5" t="n"/>
      <c r="H21" s="5" t="n"/>
      <c r="I21" s="5" t="n"/>
      <c r="J21" s="12">
        <f>IF($H21="","",IF($H21="Aprobar",1,0))</f>
        <v/>
      </c>
      <c r="K21" s="12">
        <f>IF($H21="","",IF($H21="Descartar",1,0))</f>
        <v/>
      </c>
    </row>
    <row r="22">
      <c r="A22" s="5" t="n"/>
      <c r="B22" s="5" t="n"/>
      <c r="C22" s="13">
        <f>IFERROR(IF($B22="","",INDEX('Calendario de Temporada'!$B$13:$B$24,MATCH($B22&amp;"",'Calendario de Temporada'!$A$13:$A$24,0))),"")</f>
        <v/>
      </c>
      <c r="D22" s="5" t="n"/>
      <c r="E22" s="5" t="n"/>
      <c r="F22" s="5" t="n"/>
      <c r="G22" s="5" t="n"/>
      <c r="H22" s="5" t="n"/>
      <c r="I22" s="5" t="n"/>
      <c r="J22" s="12">
        <f>IF($H22="","",IF($H22="Aprobar",1,0))</f>
        <v/>
      </c>
      <c r="K22" s="12">
        <f>IF($H22="","",IF($H22="Descartar",1,0))</f>
        <v/>
      </c>
    </row>
    <row r="23">
      <c r="A23" s="5" t="n"/>
      <c r="B23" s="5" t="n"/>
      <c r="C23" s="13">
        <f>IFERROR(IF($B23="","",INDEX('Calendario de Temporada'!$B$13:$B$24,MATCH($B23&amp;"",'Calendario de Temporada'!$A$13:$A$24,0))),"")</f>
        <v/>
      </c>
      <c r="D23" s="5" t="n"/>
      <c r="E23" s="5" t="n"/>
      <c r="F23" s="5" t="n"/>
      <c r="G23" s="5" t="n"/>
      <c r="H23" s="5" t="n"/>
      <c r="I23" s="5" t="n"/>
      <c r="J23" s="12">
        <f>IF($H23="","",IF($H23="Aprobar",1,0))</f>
        <v/>
      </c>
      <c r="K23" s="12">
        <f>IF($H23="","",IF($H23="Descartar",1,0))</f>
        <v/>
      </c>
    </row>
    <row r="24">
      <c r="A24" s="5" t="n"/>
      <c r="B24" s="5" t="n"/>
      <c r="C24" s="13">
        <f>IFERROR(IF($B24="","",INDEX('Calendario de Temporada'!$B$13:$B$24,MATCH($B24&amp;"",'Calendario de Temporada'!$A$13:$A$24,0))),"")</f>
        <v/>
      </c>
      <c r="D24" s="5" t="n"/>
      <c r="E24" s="5" t="n"/>
      <c r="F24" s="5" t="n"/>
      <c r="G24" s="5" t="n"/>
      <c r="H24" s="5" t="n"/>
      <c r="I24" s="5" t="n"/>
      <c r="J24" s="12">
        <f>IF($H24="","",IF($H24="Aprobar",1,0))</f>
        <v/>
      </c>
      <c r="K24" s="12">
        <f>IF($H24="","",IF($H24="Descartar",1,0))</f>
        <v/>
      </c>
    </row>
    <row r="25">
      <c r="A25" s="5" t="n"/>
      <c r="B25" s="5" t="n"/>
      <c r="C25" s="13">
        <f>IFERROR(IF($B25="","",INDEX('Calendario de Temporada'!$B$13:$B$24,MATCH($B25&amp;"",'Calendario de Temporada'!$A$13:$A$24,0))),"")</f>
        <v/>
      </c>
      <c r="D25" s="5" t="n"/>
      <c r="E25" s="5" t="n"/>
      <c r="F25" s="5" t="n"/>
      <c r="G25" s="5" t="n"/>
      <c r="H25" s="5" t="n"/>
      <c r="I25" s="5" t="n"/>
      <c r="J25" s="12">
        <f>IF($H25="","",IF($H25="Aprobar",1,0))</f>
        <v/>
      </c>
      <c r="K25" s="12">
        <f>IF($H25="","",IF($H25="Descartar",1,0))</f>
        <v/>
      </c>
    </row>
    <row r="26">
      <c r="A26" s="5" t="n"/>
      <c r="B26" s="5" t="n"/>
      <c r="C26" s="13">
        <f>IFERROR(IF($B26="","",INDEX('Calendario de Temporada'!$B$13:$B$24,MATCH($B26&amp;"",'Calendario de Temporada'!$A$13:$A$24,0))),"")</f>
        <v/>
      </c>
      <c r="D26" s="5" t="n"/>
      <c r="E26" s="5" t="n"/>
      <c r="F26" s="5" t="n"/>
      <c r="G26" s="5" t="n"/>
      <c r="H26" s="5" t="n"/>
      <c r="I26" s="5" t="n"/>
      <c r="J26" s="12">
        <f>IF($H26="","",IF($H26="Aprobar",1,0))</f>
        <v/>
      </c>
      <c r="K26" s="12">
        <f>IF($H26="","",IF($H26="Descartar",1,0))</f>
        <v/>
      </c>
    </row>
    <row r="27">
      <c r="A27" s="5" t="n"/>
      <c r="B27" s="5" t="n"/>
      <c r="C27" s="13">
        <f>IFERROR(IF($B27="","",INDEX('Calendario de Temporada'!$B$13:$B$24,MATCH($B27&amp;"",'Calendario de Temporada'!$A$13:$A$24,0))),"")</f>
        <v/>
      </c>
      <c r="D27" s="5" t="n"/>
      <c r="E27" s="5" t="n"/>
      <c r="F27" s="5" t="n"/>
      <c r="G27" s="5" t="n"/>
      <c r="H27" s="5" t="n"/>
      <c r="I27" s="5" t="n"/>
      <c r="J27" s="12">
        <f>IF($H27="","",IF($H27="Aprobar",1,0))</f>
        <v/>
      </c>
      <c r="K27" s="12">
        <f>IF($H27="","",IF($H27="Descartar",1,0))</f>
        <v/>
      </c>
    </row>
    <row r="28">
      <c r="A28" s="5" t="n"/>
      <c r="B28" s="5" t="n"/>
      <c r="C28" s="13">
        <f>IFERROR(IF($B28="","",INDEX('Calendario de Temporada'!$B$13:$B$24,MATCH($B28&amp;"",'Calendario de Temporada'!$A$13:$A$24,0))),"")</f>
        <v/>
      </c>
      <c r="D28" s="5" t="n"/>
      <c r="E28" s="5" t="n"/>
      <c r="F28" s="5" t="n"/>
      <c r="G28" s="5" t="n"/>
      <c r="H28" s="5" t="n"/>
      <c r="I28" s="5" t="n"/>
      <c r="J28" s="12">
        <f>IF($H28="","",IF($H28="Aprobar",1,0))</f>
        <v/>
      </c>
      <c r="K28" s="12">
        <f>IF($H28="","",IF($H28="Descartar",1,0))</f>
        <v/>
      </c>
    </row>
    <row r="29">
      <c r="A29" s="5" t="n"/>
      <c r="B29" s="5" t="n"/>
      <c r="C29" s="13">
        <f>IFERROR(IF($B29="","",INDEX('Calendario de Temporada'!$B$13:$B$24,MATCH($B29&amp;"",'Calendario de Temporada'!$A$13:$A$24,0))),"")</f>
        <v/>
      </c>
      <c r="D29" s="5" t="n"/>
      <c r="E29" s="5" t="n"/>
      <c r="F29" s="5" t="n"/>
      <c r="G29" s="5" t="n"/>
      <c r="H29" s="5" t="n"/>
      <c r="I29" s="5" t="n"/>
      <c r="J29" s="12">
        <f>IF($H29="","",IF($H29="Aprobar",1,0))</f>
        <v/>
      </c>
      <c r="K29" s="12">
        <f>IF($H29="","",IF($H29="Descartar",1,0))</f>
        <v/>
      </c>
    </row>
    <row r="30">
      <c r="A30" s="5" t="n"/>
      <c r="B30" s="5" t="n"/>
      <c r="C30" s="13">
        <f>IFERROR(IF($B30="","",INDEX('Calendario de Temporada'!$B$13:$B$24,MATCH($B30&amp;"",'Calendario de Temporada'!$A$13:$A$24,0))),"")</f>
        <v/>
      </c>
      <c r="D30" s="5" t="n"/>
      <c r="E30" s="5" t="n"/>
      <c r="F30" s="5" t="n"/>
      <c r="G30" s="5" t="n"/>
      <c r="H30" s="5" t="n"/>
      <c r="I30" s="5" t="n"/>
      <c r="J30" s="12">
        <f>IF($H30="","",IF($H30="Aprobar",1,0))</f>
        <v/>
      </c>
      <c r="K30" s="12">
        <f>IF($H30="","",IF($H30="Descartar",1,0))</f>
        <v/>
      </c>
    </row>
    <row r="31">
      <c r="A31" s="5" t="n"/>
      <c r="B31" s="5" t="n"/>
      <c r="C31" s="13">
        <f>IFERROR(IF($B31="","",INDEX('Calendario de Temporada'!$B$13:$B$24,MATCH($B31&amp;"",'Calendario de Temporada'!$A$13:$A$24,0))),"")</f>
        <v/>
      </c>
      <c r="D31" s="5" t="n"/>
      <c r="E31" s="5" t="n"/>
      <c r="F31" s="5" t="n"/>
      <c r="G31" s="5" t="n"/>
      <c r="H31" s="5" t="n"/>
      <c r="I31" s="5" t="n"/>
      <c r="J31" s="12">
        <f>IF($H31="","",IF($H31="Aprobar",1,0))</f>
        <v/>
      </c>
      <c r="K31" s="12">
        <f>IF($H31="","",IF($H31="Descartar",1,0))</f>
        <v/>
      </c>
    </row>
    <row r="32">
      <c r="A32" s="5" t="n"/>
      <c r="B32" s="5" t="n"/>
      <c r="C32" s="13">
        <f>IFERROR(IF($B32="","",INDEX('Calendario de Temporada'!$B$13:$B$24,MATCH($B32&amp;"",'Calendario de Temporada'!$A$13:$A$24,0))),"")</f>
        <v/>
      </c>
      <c r="D32" s="5" t="n"/>
      <c r="E32" s="5" t="n"/>
      <c r="F32" s="5" t="n"/>
      <c r="G32" s="5" t="n"/>
      <c r="H32" s="5" t="n"/>
      <c r="I32" s="5" t="n"/>
      <c r="J32" s="12">
        <f>IF($H32="","",IF($H32="Aprobar",1,0))</f>
        <v/>
      </c>
      <c r="K32" s="12">
        <f>IF($H32="","",IF($H32="Descartar",1,0))</f>
        <v/>
      </c>
    </row>
    <row r="33">
      <c r="A33" s="5" t="n"/>
      <c r="B33" s="5" t="n"/>
      <c r="C33" s="13">
        <f>IFERROR(IF($B33="","",INDEX('Calendario de Temporada'!$B$13:$B$24,MATCH($B33&amp;"",'Calendario de Temporada'!$A$13:$A$24,0))),"")</f>
        <v/>
      </c>
      <c r="D33" s="5" t="n"/>
      <c r="E33" s="5" t="n"/>
      <c r="F33" s="5" t="n"/>
      <c r="G33" s="5" t="n"/>
      <c r="H33" s="5" t="n"/>
      <c r="I33" s="5" t="n"/>
      <c r="J33" s="12">
        <f>IF($H33="","",IF($H33="Aprobar",1,0))</f>
        <v/>
      </c>
      <c r="K33" s="12">
        <f>IF($H33="","",IF($H33="Descartar",1,0))</f>
        <v/>
      </c>
    </row>
    <row r="34">
      <c r="A34" s="5" t="n"/>
      <c r="B34" s="5" t="n"/>
      <c r="C34" s="13">
        <f>IFERROR(IF($B34="","",INDEX('Calendario de Temporada'!$B$13:$B$24,MATCH($B34&amp;"",'Calendario de Temporada'!$A$13:$A$24,0))),"")</f>
        <v/>
      </c>
      <c r="D34" s="5" t="n"/>
      <c r="E34" s="5" t="n"/>
      <c r="F34" s="5" t="n"/>
      <c r="G34" s="5" t="n"/>
      <c r="H34" s="5" t="n"/>
      <c r="I34" s="5" t="n"/>
      <c r="J34" s="12">
        <f>IF($H34="","",IF($H34="Aprobar",1,0))</f>
        <v/>
      </c>
      <c r="K34" s="12">
        <f>IF($H34="","",IF($H34="Descartar",1,0))</f>
        <v/>
      </c>
    </row>
    <row r="35">
      <c r="A35" s="5" t="n"/>
      <c r="B35" s="5" t="n"/>
      <c r="C35" s="13">
        <f>IFERROR(IF($B35="","",INDEX('Calendario de Temporada'!$B$13:$B$24,MATCH($B35&amp;"",'Calendario de Temporada'!$A$13:$A$24,0))),"")</f>
        <v/>
      </c>
      <c r="D35" s="5" t="n"/>
      <c r="E35" s="5" t="n"/>
      <c r="F35" s="5" t="n"/>
      <c r="G35" s="5" t="n"/>
      <c r="H35" s="5" t="n"/>
      <c r="I35" s="5" t="n"/>
      <c r="J35" s="12">
        <f>IF($H35="","",IF($H35="Aprobar",1,0))</f>
        <v/>
      </c>
      <c r="K35" s="12">
        <f>IF($H35="","",IF($H35="Descartar",1,0))</f>
        <v/>
      </c>
    </row>
    <row r="36"/>
    <row r="37">
      <c r="A37" s="3" t="inlineStr">
        <is>
          <t>RESUMEN DEL REGISTRO</t>
        </is>
      </c>
    </row>
    <row r="38" ht="20" customHeight="1">
      <c r="A38" s="10" t="inlineStr">
        <is>
          <t>Indicador</t>
        </is>
      </c>
    </row>
    <row r="39">
      <c r="A39" t="inlineStr">
        <is>
          <t>Pruebas registradas</t>
        </is>
      </c>
      <c r="C39" s="16">
        <f>COUNTIF($B$6:$B$35,"&lt;&gt;")</f>
        <v>8.0</v>
      </c>
    </row>
    <row r="40">
      <c r="A40" t="inlineStr">
        <is>
          <t>Resultado medio de todas las pruebas (1 a 5)</t>
        </is>
      </c>
      <c r="C40" s="19">
        <f>IFERROR(IF(COUNT($F$6:$F$35)=0,"",SUM($F$6:$F$35)/COUNT($F$6:$F$35)),"")</f>
        <v>3.75</v>
      </c>
    </row>
    <row r="41">
      <c r="A41" t="inlineStr">
        <is>
          <t>Coste estimado medio por ración</t>
        </is>
      </c>
      <c r="C41" s="20">
        <f>IFERROR(IF(COUNT($G$6:$G$35)=0,"",SUM($G$6:$G$35)/COUNT($G$6:$G$35)),"")</f>
        <v>2.8375</v>
      </c>
    </row>
    <row r="42">
      <c r="A42" t="inlineStr">
        <is>
          <t>Pruebas aprobadas</t>
        </is>
      </c>
      <c r="C42" s="16">
        <f>SUM($J$6:$J$35)</f>
        <v>2.0</v>
      </c>
    </row>
    <row r="43">
      <c r="A43" t="inlineStr">
        <is>
          <t>Pruebas descartadas</t>
        </is>
      </c>
      <c r="C43" s="16">
        <f>SUM($K$6:$K$35)</f>
        <v>1.0</v>
      </c>
    </row>
    <row r="44">
      <c r="A44" t="inlineStr">
        <is>
          <t>Pruebas que hubo que repetir</t>
        </is>
      </c>
      <c r="C44" s="16">
        <f>COUNTIF($H$6:$H$35,"Repetir")</f>
        <v>5.0</v>
      </c>
    </row>
    <row r="45"/>
    <row r="46">
      <c r="A46" t="inlineStr">
        <is>
          <t>Las columnas «Aprobada» y «Descartada» valen 1 o 0 y están para que el calendario pueda contarlas por plato sin fórmulas raras. No hay que tocarlas.</t>
        </is>
      </c>
    </row>
    <row r="47"/>
    <row r="48">
      <c r="A48" s="3" t="inlineStr">
        <is>
          <t>LISTA DEL DESPLEGABLE (no la borres)</t>
        </is>
      </c>
    </row>
    <row r="49" ht="20" customHeight="1">
      <c r="A49" s="10" t="inlineStr">
        <is>
          <t>Decisión</t>
        </is>
      </c>
    </row>
    <row r="50">
      <c r="A50" t="inlineStr">
        <is>
          <t>Repetir</t>
        </is>
      </c>
    </row>
    <row r="51">
      <c r="A51" t="inlineStr">
        <is>
          <t>Aprobar</t>
        </is>
      </c>
    </row>
    <row r="52">
      <c r="A52" t="inlineStr">
        <is>
          <t>Descartar</t>
        </is>
      </c>
    </row>
  </sheetData>
  <sheetProtection selectLockedCells="0" selectUnlockedCells="0" sheet="1" objects="0" insertRows="0" insertHyperlinks="1" autoFilter="1" scenarios="0" formatColumns="0" deleteColumns="1" insertColumns="1" pivotTables="1" deleteRows="1" formatCells="1" formatRows="0" sort="0"/>
  <mergeCells count="7">
    <mergeCell ref="A41:B41"/>
    <mergeCell ref="A39:B39"/>
    <mergeCell ref="A40:B40"/>
    <mergeCell ref="A42:B42"/>
    <mergeCell ref="A43:B43"/>
    <mergeCell ref="A44:B44"/>
    <mergeCell ref="A38:B38"/>
  </mergeCells>
  <conditionalFormatting sqref="H6:H35">
    <cfRule type="cellIs" priority="1" operator="equal" dxfId="2" stopIfTrue="1">
      <formula>"Aprobar"</formula>
    </cfRule>
    <cfRule type="cellIs" priority="2" operator="equal" dxfId="1" stopIfTrue="1">
      <formula>"Repetir"</formula>
    </cfRule>
    <cfRule type="cellIs" priority="3" operator="equal" dxfId="0" stopIfTrue="1">
      <formula>"Descartar"</formula>
    </cfRule>
  </conditionalFormatting>
  <dataValidations count="6">
    <dataValidation sqref="A6 A7 A8 A9 A10 A11 A12 A13 A14 A15 A16 A17 A18 A19 A20 A21 A22 A23 A24 A25 A26 A27 A28 A29 A30 A31 A32 A33 A34 A35" showDropDown="0" showInputMessage="0" showErrorMessage="1" allowBlank="1" errorTitle="Fecha no válida" error="Escribe una fecha (dd/mm/aaaa) entre 2020 y 2040." type="date" operator="between">
      <formula1>DATE(2020,1,1)</formula1>
      <formula2>DATE(2040,12,31)</formula2>
    </dataValidation>
    <dataValidation sqref="E6 E7 E8 E9 E10 E11 E12 E13 E14 E15 E16 E17 E18 E19 E20 E21 E22 E23 E24 E25 E26 E27 E28 E29 E30 E31 E32 E33 E34 E35" showDropDown="0" showInputMessage="0" showErrorMessage="1" allowBlank="1" errorTitle="Partida" error="Elige una partida de la lista del final de la hoja «Calendario de Temporada»." type="list">
      <formula1>'Calendario de Temporada'!$A$41:$A$46</formula1>
    </dataValidation>
    <dataValidation sqref="H6 H7 H8 H9 H10 H11 H12 H13 H14 H15 H16 H17 H18 H19 H20 H21 H22 H23 H24 H25 H26 H27 H28 H29 H30 H31 H32 H33 H34 H35" showDropDown="0" showInputMessage="0" showErrorMessage="1" allowBlank="1" errorTitle="Decisión" error="Elige una decisión de la lista del final de esta hoja." type="list">
      <formula1>'Registro de Pruebas de Plato'!$A$50:$A$52</formula1>
    </dataValidation>
    <dataValidation sqref="F6 F7 F8 F9 F10 F11 F12 F13 F14 F15 F16 F17 F18 F19 F20 F21 F22 F23 F24 F25 F26 F27 F28 F29 F30 F31 F32 F33 F34 F35" showDropDown="0" showInputMessage="0" showErrorMessage="1" allowBlank="1" errorTitle="Resultado" error="Puntúa la prueba de 1 a 5." type="decimal" operator="between">
      <formula1>1</formula1>
      <formula2>5</formula2>
    </dataValidation>
    <dataValidation sqref="D6 D7 D8 D9 D10 D11 D12 D13 D14 D15 D16 D17 D18 D19 D20 D21 D22 D23 D24 D25 D26 D27 D28 D29 D30 D31 D32 D33 D34 D35" showDropDown="0" showInputMessage="0" showErrorMessage="1" allowBlank="1" errorTitle="Número de prueba" error="Escribe un valor entre 1 y 99." type="decimal" operator="between">
      <formula1>1</formula1>
      <formula2>99</formula2>
    </dataValidation>
    <dataValidation sqref="G6 G7 G8 G9 G10 G11 G12 G13 G14 G15 G16 G17 G18 G19 G20 G21 G22 G23 G24 G25 G26 G27 G28 G29 G30 G31 G32 G33 G34 G35" showDropDown="0" showInputMessage="0" showErrorMessage="1" allowBlank="1" errorTitle="Importe (€)"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7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2" customWidth="1" min="3" max="3"/>
    <col width="16" customWidth="1" min="4" max="4"/>
    <col width="17" customWidth="1" min="5" max="5"/>
    <col width="15" customWidth="1" min="6" max="6"/>
    <col width="16" customWidth="1" min="7" max="7"/>
    <col width="16" customWidth="1" min="8" max="8"/>
    <col width="52" customWidth="1" min="9" max="9"/>
    <col width="12" customWidth="1" min="10" max="10"/>
    <col width="12" customWidth="1" min="11" max="11"/>
    <col width="20" customWidth="1" min="12" max="12"/>
  </cols>
  <sheetData>
    <row r="1" ht="30" customHeight="1">
      <c r="A1" s="1" t="inlineStr">
        <is>
          <t>Control de calidad del pase</t>
        </is>
      </c>
    </row>
    <row r="2">
      <c r="A2" t="inlineStr">
        <is>
          <t>AI Chef Pro · aichef.pro — Manual del Chef Ejecutivo</t>
        </is>
      </c>
    </row>
    <row r="3">
      <c r="A3" s="2" t="inlineStr">
        <is>
          <t>Muestreo del servicio. De aquí salen los tiempos de pase y el cumplimiento de ficha que se copian al cuadro de mando de cocina.</t>
        </is>
      </c>
    </row>
    <row r="4"/>
    <row r="5" ht="52" customHeight="1">
      <c r="A5" s="10" t="inlineStr">
        <is>
          <t>Fecha</t>
        </is>
      </c>
      <c r="B5" s="10" t="inlineStr">
        <is>
          <t>Servicio</t>
        </is>
      </c>
      <c r="C5" s="10" t="inlineStr">
        <is>
          <t>Id del plato</t>
        </is>
      </c>
      <c r="D5" s="10" t="inlineStr">
        <is>
          <t>Familia</t>
        </is>
      </c>
      <c r="E5" s="10" t="inlineStr">
        <is>
          <t>Temperatura de emplatado (°C)</t>
        </is>
      </c>
      <c r="F5" s="10" t="inlineStr">
        <is>
          <t>Tiempo de pase (min)</t>
        </is>
      </c>
      <c r="G5" s="10" t="inlineStr">
        <is>
          <t>Conforme a la ficha</t>
        </is>
      </c>
      <c r="H5" s="10" t="inlineStr">
        <is>
          <t>Devuelto por el cliente</t>
        </is>
      </c>
      <c r="I5" s="10" t="inlineStr">
        <is>
          <t>Observación</t>
        </is>
      </c>
      <c r="J5" s="10" t="inlineStr">
        <is>
          <t>Conforme (1 o 0)</t>
        </is>
      </c>
      <c r="K5" s="10" t="inlineStr">
        <is>
          <t>Devuelto (1 o 0)</t>
        </is>
      </c>
      <c r="L5" s="10" t="inlineStr">
        <is>
          <t>¿Se mantiene en caliente? (Sí/No)</t>
        </is>
      </c>
    </row>
    <row r="6">
      <c r="A6" s="6" t="n">
        <v>46273</v>
      </c>
      <c r="B6" s="5" t="inlineStr">
        <is>
          <t>Cena</t>
        </is>
      </c>
      <c r="C6" s="5" t="inlineStr">
        <is>
          <t>P1</t>
        </is>
      </c>
      <c r="D6" s="5" t="inlineStr">
        <is>
          <t>Principales</t>
        </is>
      </c>
      <c r="E6" s="9" t="n">
        <v>68</v>
      </c>
      <c r="F6" s="21" t="n">
        <v>14</v>
      </c>
      <c r="G6" s="5" t="inlineStr">
        <is>
          <t>Sí</t>
        </is>
      </c>
      <c r="H6" s="5" t="inlineStr">
        <is>
          <t>No</t>
        </is>
      </c>
      <c r="I6" s="5" t="n"/>
      <c r="J6" s="12">
        <f>IF($G6="","",IF($G6=$A$78,1,0))</f>
        <v>1.0</v>
      </c>
      <c r="K6" s="12">
        <f>IF($H6="","",IF($H6=$A$78,1,0))</f>
        <v>0.0</v>
      </c>
      <c r="L6" s="5" t="inlineStr">
        <is>
          <t>Sí</t>
        </is>
      </c>
    </row>
    <row r="7">
      <c r="A7" s="6" t="n">
        <v>46273</v>
      </c>
      <c r="B7" s="5" t="inlineStr">
        <is>
          <t>Cena</t>
        </is>
      </c>
      <c r="C7" s="5" t="inlineStr">
        <is>
          <t>E2</t>
        </is>
      </c>
      <c r="D7" s="5" t="inlineStr">
        <is>
          <t>Entrantes</t>
        </is>
      </c>
      <c r="E7" s="9" t="n">
        <v>9</v>
      </c>
      <c r="F7" s="21" t="n">
        <v>7.5</v>
      </c>
      <c r="G7" s="5" t="inlineStr">
        <is>
          <t>Sí</t>
        </is>
      </c>
      <c r="H7" s="5" t="inlineStr">
        <is>
          <t>No</t>
        </is>
      </c>
      <c r="I7" s="5" t="n"/>
      <c r="J7" s="12">
        <f>IF($G7="","",IF($G7=$A$78,1,0))</f>
        <v>1.0</v>
      </c>
      <c r="K7" s="12">
        <f>IF($H7="","",IF($H7=$A$78,1,0))</f>
        <v>0.0</v>
      </c>
      <c r="L7" s="5" t="inlineStr">
        <is>
          <t>No</t>
        </is>
      </c>
    </row>
    <row r="8">
      <c r="A8" s="6" t="n">
        <v>46274</v>
      </c>
      <c r="B8" s="5" t="inlineStr">
        <is>
          <t>Comida</t>
        </is>
      </c>
      <c r="C8" s="5" t="inlineStr">
        <is>
          <t>P3</t>
        </is>
      </c>
      <c r="D8" s="5" t="inlineStr">
        <is>
          <t>Principales</t>
        </is>
      </c>
      <c r="E8" s="9" t="n">
        <v>71</v>
      </c>
      <c r="F8" s="21" t="n">
        <v>12.5</v>
      </c>
      <c r="G8" s="5" t="inlineStr">
        <is>
          <t>Sí</t>
        </is>
      </c>
      <c r="H8" s="5" t="inlineStr">
        <is>
          <t>No</t>
        </is>
      </c>
      <c r="I8" s="5" t="n"/>
      <c r="J8" s="12">
        <f>IF($G8="","",IF($G8=$A$78,1,0))</f>
        <v>1.0</v>
      </c>
      <c r="K8" s="12">
        <f>IF($H8="","",IF($H8=$A$78,1,0))</f>
        <v>0.0</v>
      </c>
      <c r="L8" s="5" t="inlineStr">
        <is>
          <t>No</t>
        </is>
      </c>
    </row>
    <row r="9">
      <c r="A9" s="6" t="n">
        <v>46274</v>
      </c>
      <c r="B9" s="5" t="inlineStr">
        <is>
          <t>Comida</t>
        </is>
      </c>
      <c r="C9" s="5" t="inlineStr">
        <is>
          <t>E1</t>
        </is>
      </c>
      <c r="D9" s="5" t="inlineStr">
        <is>
          <t>Entrantes</t>
        </is>
      </c>
      <c r="E9" s="9" t="n">
        <v>74</v>
      </c>
      <c r="F9" s="21" t="n">
        <v>8</v>
      </c>
      <c r="G9" s="5" t="inlineStr">
        <is>
          <t>Sí</t>
        </is>
      </c>
      <c r="H9" s="5" t="inlineStr">
        <is>
          <t>No</t>
        </is>
      </c>
      <c r="I9" s="5" t="n"/>
      <c r="J9" s="12">
        <f>IF($G9="","",IF($G9=$A$78,1,0))</f>
        <v>1.0</v>
      </c>
      <c r="K9" s="12">
        <f>IF($H9="","",IF($H9=$A$78,1,0))</f>
        <v>0.0</v>
      </c>
      <c r="L9" s="5" t="inlineStr">
        <is>
          <t>No</t>
        </is>
      </c>
    </row>
    <row r="10">
      <c r="A10" s="6" t="n">
        <v>46274</v>
      </c>
      <c r="B10" s="5" t="inlineStr">
        <is>
          <t>Cena</t>
        </is>
      </c>
      <c r="C10" s="5" t="inlineStr">
        <is>
          <t>P4</t>
        </is>
      </c>
      <c r="D10" s="5" t="inlineStr">
        <is>
          <t>Principales</t>
        </is>
      </c>
      <c r="E10" s="9" t="n">
        <v>76</v>
      </c>
      <c r="F10" s="21" t="n">
        <v>21</v>
      </c>
      <c r="G10" s="5" t="inlineStr">
        <is>
          <t>Sí</t>
        </is>
      </c>
      <c r="H10" s="5" t="inlineStr">
        <is>
          <t>No</t>
        </is>
      </c>
      <c r="I10" s="11" t="inlineStr">
        <is>
          <t>Arroz, tiempo de ficha</t>
        </is>
      </c>
      <c r="J10" s="12">
        <f>IF($G10="","",IF($G10=$A$78,1,0))</f>
        <v>1.0</v>
      </c>
      <c r="K10" s="12">
        <f>IF($H10="","",IF($H10=$A$78,1,0))</f>
        <v>0.0</v>
      </c>
      <c r="L10" s="5" t="inlineStr">
        <is>
          <t>No</t>
        </is>
      </c>
    </row>
    <row r="11">
      <c r="A11" s="6" t="n">
        <v>46274</v>
      </c>
      <c r="B11" s="5" t="inlineStr">
        <is>
          <t>Cena</t>
        </is>
      </c>
      <c r="C11" s="5" t="inlineStr">
        <is>
          <t>D1</t>
        </is>
      </c>
      <c r="D11" s="5" t="inlineStr">
        <is>
          <t>Postres</t>
        </is>
      </c>
      <c r="E11" s="9" t="n">
        <v>7</v>
      </c>
      <c r="F11" s="21" t="n">
        <v>5.5</v>
      </c>
      <c r="G11" s="5" t="inlineStr">
        <is>
          <t>Sí</t>
        </is>
      </c>
      <c r="H11" s="5" t="inlineStr">
        <is>
          <t>No</t>
        </is>
      </c>
      <c r="I11" s="5" t="n"/>
      <c r="J11" s="12">
        <f>IF($G11="","",IF($G11=$A$78,1,0))</f>
        <v>1.0</v>
      </c>
      <c r="K11" s="12">
        <f>IF($H11="","",IF($H11=$A$78,1,0))</f>
        <v>0.0</v>
      </c>
      <c r="L11" s="5" t="inlineStr">
        <is>
          <t>No</t>
        </is>
      </c>
    </row>
    <row r="12">
      <c r="A12" s="6" t="n">
        <v>46275</v>
      </c>
      <c r="B12" s="5" t="inlineStr">
        <is>
          <t>Comida</t>
        </is>
      </c>
      <c r="C12" s="5" t="inlineStr">
        <is>
          <t>P2</t>
        </is>
      </c>
      <c r="D12" s="5" t="inlineStr">
        <is>
          <t>Principales</t>
        </is>
      </c>
      <c r="E12" s="9" t="n">
        <v>65</v>
      </c>
      <c r="F12" s="21" t="n">
        <v>15.5</v>
      </c>
      <c r="G12" s="5" t="inlineStr">
        <is>
          <t>Sí</t>
        </is>
      </c>
      <c r="H12" s="5" t="inlineStr">
        <is>
          <t>No</t>
        </is>
      </c>
      <c r="I12" s="5" t="n"/>
      <c r="J12" s="12">
        <f>IF($G12="","",IF($G12=$A$78,1,0))</f>
        <v>1.0</v>
      </c>
      <c r="K12" s="12">
        <f>IF($H12="","",IF($H12=$A$78,1,0))</f>
        <v>0.0</v>
      </c>
      <c r="L12" s="5" t="inlineStr">
        <is>
          <t>No</t>
        </is>
      </c>
    </row>
    <row r="13">
      <c r="A13" s="6" t="n">
        <v>46275</v>
      </c>
      <c r="B13" s="5" t="inlineStr">
        <is>
          <t>Comida</t>
        </is>
      </c>
      <c r="C13" s="5" t="inlineStr">
        <is>
          <t>E3</t>
        </is>
      </c>
      <c r="D13" s="5" t="inlineStr">
        <is>
          <t>Entrantes</t>
        </is>
      </c>
      <c r="E13" s="9" t="n">
        <v>78</v>
      </c>
      <c r="F13" s="21" t="n">
        <v>9</v>
      </c>
      <c r="G13" s="5" t="inlineStr">
        <is>
          <t>Sí</t>
        </is>
      </c>
      <c r="H13" s="5" t="inlineStr">
        <is>
          <t>No</t>
        </is>
      </c>
      <c r="I13" s="5" t="n"/>
      <c r="J13" s="12">
        <f>IF($G13="","",IF($G13=$A$78,1,0))</f>
        <v>1.0</v>
      </c>
      <c r="K13" s="12">
        <f>IF($H13="","",IF($H13=$A$78,1,0))</f>
        <v>0.0</v>
      </c>
      <c r="L13" s="5" t="inlineStr">
        <is>
          <t>No</t>
        </is>
      </c>
    </row>
    <row r="14">
      <c r="A14" s="6" t="n">
        <v>46275</v>
      </c>
      <c r="B14" s="5" t="inlineStr">
        <is>
          <t>Cena</t>
        </is>
      </c>
      <c r="C14" s="5" t="inlineStr">
        <is>
          <t>P1</t>
        </is>
      </c>
      <c r="D14" s="5" t="inlineStr">
        <is>
          <t>Principales</t>
        </is>
      </c>
      <c r="E14" s="9" t="n">
        <v>61</v>
      </c>
      <c r="F14" s="21" t="n">
        <v>16</v>
      </c>
      <c r="G14" s="5" t="inlineStr">
        <is>
          <t>No</t>
        </is>
      </c>
      <c r="H14" s="5" t="inlineStr">
        <is>
          <t>No</t>
        </is>
      </c>
      <c r="I14" s="11" t="inlineStr">
        <is>
          <t>Sale por debajo de 63 °C: se rehace</t>
        </is>
      </c>
      <c r="J14" s="12">
        <f>IF($G14="","",IF($G14=$A$78,1,0))</f>
        <v>0.0</v>
      </c>
      <c r="K14" s="12">
        <f>IF($H14="","",IF($H14=$A$78,1,0))</f>
        <v>0.0</v>
      </c>
      <c r="L14" s="5" t="inlineStr">
        <is>
          <t>Sí</t>
        </is>
      </c>
    </row>
    <row r="15">
      <c r="A15" s="6" t="n">
        <v>46275</v>
      </c>
      <c r="B15" s="5" t="inlineStr">
        <is>
          <t>Cena</t>
        </is>
      </c>
      <c r="C15" s="5" t="inlineStr">
        <is>
          <t>D3</t>
        </is>
      </c>
      <c r="D15" s="5" t="inlineStr">
        <is>
          <t>Postres</t>
        </is>
      </c>
      <c r="E15" s="9" t="n">
        <v>66</v>
      </c>
      <c r="F15" s="21" t="n">
        <v>8.5</v>
      </c>
      <c r="G15" s="5" t="inlineStr">
        <is>
          <t>Sí</t>
        </is>
      </c>
      <c r="H15" s="5" t="inlineStr">
        <is>
          <t>No</t>
        </is>
      </c>
      <c r="I15" s="5" t="n"/>
      <c r="J15" s="12">
        <f>IF($G15="","",IF($G15=$A$78,1,0))</f>
        <v>1.0</v>
      </c>
      <c r="K15" s="12">
        <f>IF($H15="","",IF($H15=$A$78,1,0))</f>
        <v>0.0</v>
      </c>
      <c r="L15" s="5" t="inlineStr">
        <is>
          <t>No</t>
        </is>
      </c>
    </row>
    <row r="16">
      <c r="A16" s="6" t="n">
        <v>46276</v>
      </c>
      <c r="B16" s="5" t="inlineStr">
        <is>
          <t>Comida</t>
        </is>
      </c>
      <c r="C16" s="5" t="inlineStr">
        <is>
          <t>E4</t>
        </is>
      </c>
      <c r="D16" s="5" t="inlineStr">
        <is>
          <t>Entrantes</t>
        </is>
      </c>
      <c r="E16" s="9" t="n">
        <v>72</v>
      </c>
      <c r="F16" s="21" t="n">
        <v>9.5</v>
      </c>
      <c r="G16" s="5" t="inlineStr">
        <is>
          <t>Sí</t>
        </is>
      </c>
      <c r="H16" s="5" t="inlineStr">
        <is>
          <t>No</t>
        </is>
      </c>
      <c r="I16" s="5" t="n"/>
      <c r="J16" s="12">
        <f>IF($G16="","",IF($G16=$A$78,1,0))</f>
        <v>1.0</v>
      </c>
      <c r="K16" s="12">
        <f>IF($H16="","",IF($H16=$A$78,1,0))</f>
        <v>0.0</v>
      </c>
      <c r="L16" s="5" t="inlineStr">
        <is>
          <t>No</t>
        </is>
      </c>
    </row>
    <row r="17">
      <c r="A17" s="6" t="n">
        <v>46276</v>
      </c>
      <c r="B17" s="5" t="inlineStr">
        <is>
          <t>Comida</t>
        </is>
      </c>
      <c r="C17" s="5" t="inlineStr">
        <is>
          <t>P3</t>
        </is>
      </c>
      <c r="D17" s="5" t="inlineStr">
        <is>
          <t>Principales</t>
        </is>
      </c>
      <c r="E17" s="9" t="n">
        <v>70</v>
      </c>
      <c r="F17" s="21" t="n">
        <v>13</v>
      </c>
      <c r="G17" s="5" t="inlineStr">
        <is>
          <t>Sí</t>
        </is>
      </c>
      <c r="H17" s="5" t="inlineStr">
        <is>
          <t>No</t>
        </is>
      </c>
      <c r="I17" s="5" t="n"/>
      <c r="J17" s="12">
        <f>IF($G17="","",IF($G17=$A$78,1,0))</f>
        <v>1.0</v>
      </c>
      <c r="K17" s="12">
        <f>IF($H17="","",IF($H17=$A$78,1,0))</f>
        <v>0.0</v>
      </c>
      <c r="L17" s="5" t="inlineStr">
        <is>
          <t>No</t>
        </is>
      </c>
    </row>
    <row r="18">
      <c r="A18" s="6" t="n">
        <v>46276</v>
      </c>
      <c r="B18" s="5" t="inlineStr">
        <is>
          <t>Cena</t>
        </is>
      </c>
      <c r="C18" s="5" t="inlineStr">
        <is>
          <t>P5</t>
        </is>
      </c>
      <c r="D18" s="5" t="inlineStr">
        <is>
          <t>Principales</t>
        </is>
      </c>
      <c r="E18" s="9" t="n">
        <v>64</v>
      </c>
      <c r="F18" s="21" t="n">
        <v>19.5</v>
      </c>
      <c r="G18" s="5" t="inlineStr">
        <is>
          <t>Sí</t>
        </is>
      </c>
      <c r="H18" s="5" t="inlineStr">
        <is>
          <t>No</t>
        </is>
      </c>
      <c r="I18" s="5" t="n"/>
      <c r="J18" s="12">
        <f>IF($G18="","",IF($G18=$A$78,1,0))</f>
        <v>1.0</v>
      </c>
      <c r="K18" s="12">
        <f>IF($H18="","",IF($H18=$A$78,1,0))</f>
        <v>0.0</v>
      </c>
      <c r="L18" s="5" t="inlineStr">
        <is>
          <t>No</t>
        </is>
      </c>
    </row>
    <row r="19">
      <c r="A19" s="6" t="n">
        <v>46276</v>
      </c>
      <c r="B19" s="5" t="inlineStr">
        <is>
          <t>Cena</t>
        </is>
      </c>
      <c r="C19" s="5" t="inlineStr">
        <is>
          <t>E2</t>
        </is>
      </c>
      <c r="D19" s="5" t="inlineStr">
        <is>
          <t>Entrantes</t>
        </is>
      </c>
      <c r="E19" s="9" t="n">
        <v>8</v>
      </c>
      <c r="F19" s="21" t="n">
        <v>8</v>
      </c>
      <c r="G19" s="5" t="inlineStr">
        <is>
          <t>Sí</t>
        </is>
      </c>
      <c r="H19" s="5" t="inlineStr">
        <is>
          <t>No</t>
        </is>
      </c>
      <c r="I19" s="5" t="n"/>
      <c r="J19" s="12">
        <f>IF($G19="","",IF($G19=$A$78,1,0))</f>
        <v>1.0</v>
      </c>
      <c r="K19" s="12">
        <f>IF($H19="","",IF($H19=$A$78,1,0))</f>
        <v>0.0</v>
      </c>
      <c r="L19" s="5" t="inlineStr">
        <is>
          <t>No</t>
        </is>
      </c>
    </row>
    <row r="20">
      <c r="A20" s="6" t="n">
        <v>46276</v>
      </c>
      <c r="B20" s="5" t="inlineStr">
        <is>
          <t>Cena</t>
        </is>
      </c>
      <c r="C20" s="5" t="inlineStr">
        <is>
          <t>D2</t>
        </is>
      </c>
      <c r="D20" s="5" t="inlineStr">
        <is>
          <t>Postres</t>
        </is>
      </c>
      <c r="E20" s="9" t="n">
        <v>58</v>
      </c>
      <c r="F20" s="21" t="n">
        <v>7</v>
      </c>
      <c r="G20" s="5" t="inlineStr">
        <is>
          <t>Sí</t>
        </is>
      </c>
      <c r="H20" s="5" t="inlineStr">
        <is>
          <t>No</t>
        </is>
      </c>
      <c r="I20" s="5" t="n"/>
      <c r="J20" s="12">
        <f>IF($G20="","",IF($G20=$A$78,1,0))</f>
        <v>1.0</v>
      </c>
      <c r="K20" s="12">
        <f>IF($H20="","",IF($H20=$A$78,1,0))</f>
        <v>0.0</v>
      </c>
      <c r="L20" s="5" t="inlineStr">
        <is>
          <t>No</t>
        </is>
      </c>
    </row>
    <row r="21">
      <c r="A21" s="6" t="n">
        <v>46277</v>
      </c>
      <c r="B21" s="5" t="inlineStr">
        <is>
          <t>Comida</t>
        </is>
      </c>
      <c r="C21" s="5" t="inlineStr">
        <is>
          <t>P1</t>
        </is>
      </c>
      <c r="D21" s="5" t="inlineStr">
        <is>
          <t>Principales</t>
        </is>
      </c>
      <c r="E21" s="9" t="n">
        <v>69</v>
      </c>
      <c r="F21" s="21" t="n">
        <v>15</v>
      </c>
      <c r="G21" s="5" t="inlineStr">
        <is>
          <t>Sí</t>
        </is>
      </c>
      <c r="H21" s="5" t="inlineStr">
        <is>
          <t>No</t>
        </is>
      </c>
      <c r="I21" s="5" t="n"/>
      <c r="J21" s="12">
        <f>IF($G21="","",IF($G21=$A$78,1,0))</f>
        <v>1.0</v>
      </c>
      <c r="K21" s="12">
        <f>IF($H21="","",IF($H21=$A$78,1,0))</f>
        <v>0.0</v>
      </c>
      <c r="L21" s="5" t="inlineStr">
        <is>
          <t>Sí</t>
        </is>
      </c>
    </row>
    <row r="22">
      <c r="A22" s="6" t="n">
        <v>46277</v>
      </c>
      <c r="B22" s="5" t="inlineStr">
        <is>
          <t>Comida</t>
        </is>
      </c>
      <c r="C22" s="5" t="inlineStr">
        <is>
          <t>E1</t>
        </is>
      </c>
      <c r="D22" s="5" t="inlineStr">
        <is>
          <t>Entrantes</t>
        </is>
      </c>
      <c r="E22" s="9" t="n">
        <v>75</v>
      </c>
      <c r="F22" s="21" t="n">
        <v>8.5</v>
      </c>
      <c r="G22" s="5" t="inlineStr">
        <is>
          <t>No</t>
        </is>
      </c>
      <c r="H22" s="5" t="inlineStr">
        <is>
          <t>No</t>
        </is>
      </c>
      <c r="I22" s="11" t="inlineStr">
        <is>
          <t>Ración de 5 croquetas en vez de 6</t>
        </is>
      </c>
      <c r="J22" s="12">
        <f>IF($G22="","",IF($G22=$A$78,1,0))</f>
        <v>0.0</v>
      </c>
      <c r="K22" s="12">
        <f>IF($H22="","",IF($H22=$A$78,1,0))</f>
        <v>0.0</v>
      </c>
      <c r="L22" s="5" t="inlineStr">
        <is>
          <t>No</t>
        </is>
      </c>
    </row>
    <row r="23">
      <c r="A23" s="6" t="n">
        <v>46277</v>
      </c>
      <c r="B23" s="5" t="inlineStr">
        <is>
          <t>Comida</t>
        </is>
      </c>
      <c r="C23" s="5" t="inlineStr">
        <is>
          <t>D1</t>
        </is>
      </c>
      <c r="D23" s="5" t="inlineStr">
        <is>
          <t>Postres</t>
        </is>
      </c>
      <c r="E23" s="9" t="n">
        <v>6</v>
      </c>
      <c r="F23" s="21" t="n">
        <v>6</v>
      </c>
      <c r="G23" s="5" t="inlineStr">
        <is>
          <t>Sí</t>
        </is>
      </c>
      <c r="H23" s="5" t="inlineStr">
        <is>
          <t>No</t>
        </is>
      </c>
      <c r="I23" s="5" t="n"/>
      <c r="J23" s="12">
        <f>IF($G23="","",IF($G23=$A$78,1,0))</f>
        <v>1.0</v>
      </c>
      <c r="K23" s="12">
        <f>IF($H23="","",IF($H23=$A$78,1,0))</f>
        <v>0.0</v>
      </c>
      <c r="L23" s="5" t="inlineStr">
        <is>
          <t>No</t>
        </is>
      </c>
    </row>
    <row r="24">
      <c r="A24" s="6" t="n">
        <v>46277</v>
      </c>
      <c r="B24" s="5" t="inlineStr">
        <is>
          <t>Cena</t>
        </is>
      </c>
      <c r="C24" s="5" t="inlineStr">
        <is>
          <t>P4</t>
        </is>
      </c>
      <c r="D24" s="5" t="inlineStr">
        <is>
          <t>Principales</t>
        </is>
      </c>
      <c r="E24" s="9" t="n">
        <v>77</v>
      </c>
      <c r="F24" s="21" t="n">
        <v>22.5</v>
      </c>
      <c r="G24" s="5" t="inlineStr">
        <is>
          <t>Sí</t>
        </is>
      </c>
      <c r="H24" s="5" t="inlineStr">
        <is>
          <t>No</t>
        </is>
      </c>
      <c r="I24" s="5" t="n"/>
      <c r="J24" s="12">
        <f>IF($G24="","",IF($G24=$A$78,1,0))</f>
        <v>1.0</v>
      </c>
      <c r="K24" s="12">
        <f>IF($H24="","",IF($H24=$A$78,1,0))</f>
        <v>0.0</v>
      </c>
      <c r="L24" s="5" t="inlineStr">
        <is>
          <t>No</t>
        </is>
      </c>
    </row>
    <row r="25">
      <c r="A25" s="6" t="n">
        <v>46277</v>
      </c>
      <c r="B25" s="5" t="inlineStr">
        <is>
          <t>Cena</t>
        </is>
      </c>
      <c r="C25" s="5" t="inlineStr">
        <is>
          <t>E3</t>
        </is>
      </c>
      <c r="D25" s="5" t="inlineStr">
        <is>
          <t>Entrantes</t>
        </is>
      </c>
      <c r="E25" s="9" t="n">
        <v>79</v>
      </c>
      <c r="F25" s="21" t="n">
        <v>10.5</v>
      </c>
      <c r="G25" s="5" t="inlineStr">
        <is>
          <t>Sí</t>
        </is>
      </c>
      <c r="H25" s="5" t="inlineStr">
        <is>
          <t>No</t>
        </is>
      </c>
      <c r="I25" s="5" t="n"/>
      <c r="J25" s="12">
        <f>IF($G25="","",IF($G25=$A$78,1,0))</f>
        <v>1.0</v>
      </c>
      <c r="K25" s="12">
        <f>IF($H25="","",IF($H25=$A$78,1,0))</f>
        <v>0.0</v>
      </c>
      <c r="L25" s="5" t="inlineStr">
        <is>
          <t>No</t>
        </is>
      </c>
    </row>
    <row r="26">
      <c r="A26" s="6" t="n">
        <v>46277</v>
      </c>
      <c r="B26" s="5" t="inlineStr">
        <is>
          <t>Cena</t>
        </is>
      </c>
      <c r="C26" s="5" t="inlineStr">
        <is>
          <t>P2</t>
        </is>
      </c>
      <c r="D26" s="5" t="inlineStr">
        <is>
          <t>Principales</t>
        </is>
      </c>
      <c r="E26" s="9" t="n">
        <v>66</v>
      </c>
      <c r="F26" s="21" t="n">
        <v>17</v>
      </c>
      <c r="G26" s="5" t="inlineStr">
        <is>
          <t>Sí</t>
        </is>
      </c>
      <c r="H26" s="5" t="inlineStr">
        <is>
          <t>No</t>
        </is>
      </c>
      <c r="I26" s="5" t="n"/>
      <c r="J26" s="12">
        <f>IF($G26="","",IF($G26=$A$78,1,0))</f>
        <v>1.0</v>
      </c>
      <c r="K26" s="12">
        <f>IF($H26="","",IF($H26=$A$78,1,0))</f>
        <v>0.0</v>
      </c>
      <c r="L26" s="5" t="inlineStr">
        <is>
          <t>No</t>
        </is>
      </c>
    </row>
    <row r="27">
      <c r="A27" s="6" t="n">
        <v>46277</v>
      </c>
      <c r="B27" s="5" t="inlineStr">
        <is>
          <t>Cena</t>
        </is>
      </c>
      <c r="C27" s="5" t="inlineStr">
        <is>
          <t>D3</t>
        </is>
      </c>
      <c r="D27" s="5" t="inlineStr">
        <is>
          <t>Postres</t>
        </is>
      </c>
      <c r="E27" s="9" t="n">
        <v>64</v>
      </c>
      <c r="F27" s="21" t="n">
        <v>9</v>
      </c>
      <c r="G27" s="5" t="inlineStr">
        <is>
          <t>Sí</t>
        </is>
      </c>
      <c r="H27" s="5" t="inlineStr">
        <is>
          <t>No</t>
        </is>
      </c>
      <c r="I27" s="5" t="n"/>
      <c r="J27" s="12">
        <f>IF($G27="","",IF($G27=$A$78,1,0))</f>
        <v>1.0</v>
      </c>
      <c r="K27" s="12">
        <f>IF($H27="","",IF($H27=$A$78,1,0))</f>
        <v>0.0</v>
      </c>
      <c r="L27" s="5" t="inlineStr">
        <is>
          <t>No</t>
        </is>
      </c>
    </row>
    <row r="28">
      <c r="A28" s="6" t="n">
        <v>46278</v>
      </c>
      <c r="B28" s="5" t="inlineStr">
        <is>
          <t>Comida</t>
        </is>
      </c>
      <c r="C28" s="5" t="inlineStr">
        <is>
          <t>P3</t>
        </is>
      </c>
      <c r="D28" s="5" t="inlineStr">
        <is>
          <t>Principales</t>
        </is>
      </c>
      <c r="E28" s="9" t="n">
        <v>68</v>
      </c>
      <c r="F28" s="21" t="n">
        <v>14.5</v>
      </c>
      <c r="G28" s="5" t="inlineStr">
        <is>
          <t>Sí</t>
        </is>
      </c>
      <c r="H28" s="5" t="inlineStr">
        <is>
          <t>No</t>
        </is>
      </c>
      <c r="I28" s="5" t="n"/>
      <c r="J28" s="12">
        <f>IF($G28="","",IF($G28=$A$78,1,0))</f>
        <v>1.0</v>
      </c>
      <c r="K28" s="12">
        <f>IF($H28="","",IF($H28=$A$78,1,0))</f>
        <v>0.0</v>
      </c>
      <c r="L28" s="5" t="inlineStr">
        <is>
          <t>No</t>
        </is>
      </c>
    </row>
    <row r="29">
      <c r="A29" s="6" t="n">
        <v>46278</v>
      </c>
      <c r="B29" s="5" t="inlineStr">
        <is>
          <t>Comida</t>
        </is>
      </c>
      <c r="C29" s="5" t="inlineStr">
        <is>
          <t>E4</t>
        </is>
      </c>
      <c r="D29" s="5" t="inlineStr">
        <is>
          <t>Entrantes</t>
        </is>
      </c>
      <c r="E29" s="9" t="n">
        <v>71</v>
      </c>
      <c r="F29" s="21" t="n">
        <v>10</v>
      </c>
      <c r="G29" s="5" t="inlineStr">
        <is>
          <t>Sí</t>
        </is>
      </c>
      <c r="H29" s="5" t="inlineStr">
        <is>
          <t>No</t>
        </is>
      </c>
      <c r="I29" s="5" t="n"/>
      <c r="J29" s="12">
        <f>IF($G29="","",IF($G29=$A$78,1,0))</f>
        <v>1.0</v>
      </c>
      <c r="K29" s="12">
        <f>IF($H29="","",IF($H29=$A$78,1,0))</f>
        <v>0.0</v>
      </c>
      <c r="L29" s="5" t="inlineStr">
        <is>
          <t>No</t>
        </is>
      </c>
    </row>
    <row r="30">
      <c r="A30" s="6" t="n">
        <v>46278</v>
      </c>
      <c r="B30" s="5" t="inlineStr">
        <is>
          <t>Comida</t>
        </is>
      </c>
      <c r="C30" s="5" t="inlineStr">
        <is>
          <t>P1</t>
        </is>
      </c>
      <c r="D30" s="5" t="inlineStr">
        <is>
          <t>Principales</t>
        </is>
      </c>
      <c r="E30" s="9" t="n">
        <v>67</v>
      </c>
      <c r="F30" s="21" t="n">
        <v>18</v>
      </c>
      <c r="G30" s="5" t="inlineStr">
        <is>
          <t>No</t>
        </is>
      </c>
      <c r="H30" s="5" t="inlineStr">
        <is>
          <t>Sí</t>
        </is>
      </c>
      <c r="I30" s="11" t="inlineStr">
        <is>
          <t>Punto pasado: el cliente lo devuelve</t>
        </is>
      </c>
      <c r="J30" s="12">
        <f>IF($G30="","",IF($G30=$A$78,1,0))</f>
        <v>0.0</v>
      </c>
      <c r="K30" s="12">
        <f>IF($H30="","",IF($H30=$A$78,1,0))</f>
        <v>1.0</v>
      </c>
      <c r="L30" s="5" t="inlineStr">
        <is>
          <t>Sí</t>
        </is>
      </c>
    </row>
    <row r="31">
      <c r="A31" s="6" t="n">
        <v>46278</v>
      </c>
      <c r="B31" s="5" t="inlineStr">
        <is>
          <t>Comida</t>
        </is>
      </c>
      <c r="C31" s="5" t="inlineStr">
        <is>
          <t>D2</t>
        </is>
      </c>
      <c r="D31" s="5" t="inlineStr">
        <is>
          <t>Postres</t>
        </is>
      </c>
      <c r="E31" s="9" t="n">
        <v>57</v>
      </c>
      <c r="F31" s="21" t="n">
        <v>7.5</v>
      </c>
      <c r="G31" s="5" t="inlineStr">
        <is>
          <t>Sí</t>
        </is>
      </c>
      <c r="H31" s="5" t="inlineStr">
        <is>
          <t>No</t>
        </is>
      </c>
      <c r="I31" s="5" t="n"/>
      <c r="J31" s="12">
        <f>IF($G31="","",IF($G31=$A$78,1,0))</f>
        <v>1.0</v>
      </c>
      <c r="K31" s="12">
        <f>IF($H31="","",IF($H31=$A$78,1,0))</f>
        <v>0.0</v>
      </c>
      <c r="L31" s="5" t="inlineStr">
        <is>
          <t>No</t>
        </is>
      </c>
    </row>
    <row r="32">
      <c r="A32" s="6" t="n">
        <v>46278</v>
      </c>
      <c r="B32" s="5" t="inlineStr">
        <is>
          <t>Cena</t>
        </is>
      </c>
      <c r="C32" s="5" t="inlineStr">
        <is>
          <t>P5</t>
        </is>
      </c>
      <c r="D32" s="5" t="inlineStr">
        <is>
          <t>Principales</t>
        </is>
      </c>
      <c r="E32" s="9" t="n">
        <v>63</v>
      </c>
      <c r="F32" s="21" t="n">
        <v>20</v>
      </c>
      <c r="G32" s="5" t="inlineStr">
        <is>
          <t>Sí</t>
        </is>
      </c>
      <c r="H32" s="5" t="inlineStr">
        <is>
          <t>No</t>
        </is>
      </c>
      <c r="I32" s="5" t="n"/>
      <c r="J32" s="12">
        <f>IF($G32="","",IF($G32=$A$78,1,0))</f>
        <v>1.0</v>
      </c>
      <c r="K32" s="12">
        <f>IF($H32="","",IF($H32=$A$78,1,0))</f>
        <v>0.0</v>
      </c>
      <c r="L32" s="5" t="inlineStr">
        <is>
          <t>No</t>
        </is>
      </c>
    </row>
    <row r="33">
      <c r="A33" s="6" t="n">
        <v>46278</v>
      </c>
      <c r="B33" s="5" t="inlineStr">
        <is>
          <t>Cena</t>
        </is>
      </c>
      <c r="C33" s="5" t="inlineStr">
        <is>
          <t>E2</t>
        </is>
      </c>
      <c r="D33" s="5" t="inlineStr">
        <is>
          <t>Entrantes</t>
        </is>
      </c>
      <c r="E33" s="9" t="n">
        <v>9</v>
      </c>
      <c r="F33" s="21" t="n">
        <v>8.5</v>
      </c>
      <c r="G33" s="5" t="inlineStr">
        <is>
          <t>Sí</t>
        </is>
      </c>
      <c r="H33" s="5" t="inlineStr">
        <is>
          <t>No</t>
        </is>
      </c>
      <c r="I33" s="5" t="n"/>
      <c r="J33" s="12">
        <f>IF($G33="","",IF($G33=$A$78,1,0))</f>
        <v>1.0</v>
      </c>
      <c r="K33" s="12">
        <f>IF($H33="","",IF($H33=$A$78,1,0))</f>
        <v>0.0</v>
      </c>
      <c r="L33" s="5" t="inlineStr">
        <is>
          <t>No</t>
        </is>
      </c>
    </row>
    <row r="34">
      <c r="A34" s="6" t="n">
        <v>46278</v>
      </c>
      <c r="B34" s="5" t="inlineStr">
        <is>
          <t>Cena</t>
        </is>
      </c>
      <c r="C34" s="5" t="inlineStr">
        <is>
          <t>P4</t>
        </is>
      </c>
      <c r="D34" s="5" t="inlineStr">
        <is>
          <t>Principales</t>
        </is>
      </c>
      <c r="E34" s="9" t="n">
        <v>75</v>
      </c>
      <c r="F34" s="21" t="n">
        <v>23</v>
      </c>
      <c r="G34" s="5" t="inlineStr">
        <is>
          <t>No</t>
        </is>
      </c>
      <c r="H34" s="5" t="inlineStr">
        <is>
          <t>No</t>
        </is>
      </c>
      <c r="I34" s="11" t="inlineStr">
        <is>
          <t>Sale 5 minutos por encima del tiempo de ficha</t>
        </is>
      </c>
      <c r="J34" s="12">
        <f>IF($G34="","",IF($G34=$A$78,1,0))</f>
        <v>0.0</v>
      </c>
      <c r="K34" s="12">
        <f>IF($H34="","",IF($H34=$A$78,1,0))</f>
        <v>0.0</v>
      </c>
      <c r="L34" s="5" t="inlineStr">
        <is>
          <t>No</t>
        </is>
      </c>
    </row>
    <row r="35">
      <c r="A35" s="6" t="n">
        <v>46278</v>
      </c>
      <c r="B35" s="5" t="inlineStr">
        <is>
          <t>Cena</t>
        </is>
      </c>
      <c r="C35" s="5" t="inlineStr">
        <is>
          <t>D1</t>
        </is>
      </c>
      <c r="D35" s="5" t="inlineStr">
        <is>
          <t>Postres</t>
        </is>
      </c>
      <c r="E35" s="9" t="n">
        <v>7</v>
      </c>
      <c r="F35" s="21" t="n">
        <v>6.5</v>
      </c>
      <c r="G35" s="5" t="inlineStr">
        <is>
          <t>Sí</t>
        </is>
      </c>
      <c r="H35" s="5" t="inlineStr">
        <is>
          <t>No</t>
        </is>
      </c>
      <c r="I35" s="5" t="n"/>
      <c r="J35" s="12">
        <f>IF($G35="","",IF($G35=$A$78,1,0))</f>
        <v>1.0</v>
      </c>
      <c r="K35" s="12">
        <f>IF($H35="","",IF($H35=$A$78,1,0))</f>
        <v>0.0</v>
      </c>
      <c r="L35" s="5" t="inlineStr">
        <is>
          <t>No</t>
        </is>
      </c>
    </row>
    <row r="36">
      <c r="A36" s="5" t="n"/>
      <c r="B36" s="5" t="n"/>
      <c r="C36" s="5" t="n"/>
      <c r="D36" s="5" t="n"/>
      <c r="E36" s="5" t="n"/>
      <c r="F36" s="5" t="n"/>
      <c r="G36" s="5" t="n"/>
      <c r="H36" s="5" t="n"/>
      <c r="I36" s="5" t="n"/>
      <c r="J36" s="12">
        <f>IF($G36="","",IF($G36=$A$78,1,0))</f>
        <v/>
      </c>
      <c r="K36" s="12">
        <f>IF($H36="","",IF($H36=$A$78,1,0))</f>
        <v/>
      </c>
      <c r="L36" s="5" t="n"/>
    </row>
    <row r="37">
      <c r="A37" s="5" t="n"/>
      <c r="B37" s="5" t="n"/>
      <c r="C37" s="5" t="n"/>
      <c r="D37" s="5" t="n"/>
      <c r="E37" s="5" t="n"/>
      <c r="F37" s="5" t="n"/>
      <c r="G37" s="5" t="n"/>
      <c r="H37" s="5" t="n"/>
      <c r="I37" s="5" t="n"/>
      <c r="J37" s="12">
        <f>IF($G37="","",IF($G37=$A$78,1,0))</f>
        <v/>
      </c>
      <c r="K37" s="12">
        <f>IF($H37="","",IF($H37=$A$78,1,0))</f>
        <v/>
      </c>
      <c r="L37" s="5" t="n"/>
    </row>
    <row r="38">
      <c r="A38" s="5" t="n"/>
      <c r="B38" s="5" t="n"/>
      <c r="C38" s="5" t="n"/>
      <c r="D38" s="5" t="n"/>
      <c r="E38" s="5" t="n"/>
      <c r="F38" s="5" t="n"/>
      <c r="G38" s="5" t="n"/>
      <c r="H38" s="5" t="n"/>
      <c r="I38" s="5" t="n"/>
      <c r="J38" s="12">
        <f>IF($G38="","",IF($G38=$A$78,1,0))</f>
        <v/>
      </c>
      <c r="K38" s="12">
        <f>IF($H38="","",IF($H38=$A$78,1,0))</f>
        <v/>
      </c>
      <c r="L38" s="5" t="n"/>
    </row>
    <row r="39">
      <c r="A39" s="5" t="n"/>
      <c r="B39" s="5" t="n"/>
      <c r="C39" s="5" t="n"/>
      <c r="D39" s="5" t="n"/>
      <c r="E39" s="5" t="n"/>
      <c r="F39" s="5" t="n"/>
      <c r="G39" s="5" t="n"/>
      <c r="H39" s="5" t="n"/>
      <c r="I39" s="5" t="n"/>
      <c r="J39" s="12">
        <f>IF($G39="","",IF($G39=$A$78,1,0))</f>
        <v/>
      </c>
      <c r="K39" s="12">
        <f>IF($H39="","",IF($H39=$A$78,1,0))</f>
        <v/>
      </c>
      <c r="L39" s="5" t="n"/>
    </row>
    <row r="40">
      <c r="A40" s="5" t="n"/>
      <c r="B40" s="5" t="n"/>
      <c r="C40" s="5" t="n"/>
      <c r="D40" s="5" t="n"/>
      <c r="E40" s="5" t="n"/>
      <c r="F40" s="5" t="n"/>
      <c r="G40" s="5" t="n"/>
      <c r="H40" s="5" t="n"/>
      <c r="I40" s="5" t="n"/>
      <c r="J40" s="12">
        <f>IF($G40="","",IF($G40=$A$78,1,0))</f>
        <v/>
      </c>
      <c r="K40" s="12">
        <f>IF($H40="","",IF($H40=$A$78,1,0))</f>
        <v/>
      </c>
      <c r="L40" s="5" t="n"/>
    </row>
    <row r="41">
      <c r="A41" s="5" t="n"/>
      <c r="B41" s="5" t="n"/>
      <c r="C41" s="5" t="n"/>
      <c r="D41" s="5" t="n"/>
      <c r="E41" s="5" t="n"/>
      <c r="F41" s="5" t="n"/>
      <c r="G41" s="5" t="n"/>
      <c r="H41" s="5" t="n"/>
      <c r="I41" s="5" t="n"/>
      <c r="J41" s="12">
        <f>IF($G41="","",IF($G41=$A$78,1,0))</f>
        <v/>
      </c>
      <c r="K41" s="12">
        <f>IF($H41="","",IF($H41=$A$78,1,0))</f>
        <v/>
      </c>
      <c r="L41" s="5" t="n"/>
    </row>
    <row r="42">
      <c r="A42" s="5" t="n"/>
      <c r="B42" s="5" t="n"/>
      <c r="C42" s="5" t="n"/>
      <c r="D42" s="5" t="n"/>
      <c r="E42" s="5" t="n"/>
      <c r="F42" s="5" t="n"/>
      <c r="G42" s="5" t="n"/>
      <c r="H42" s="5" t="n"/>
      <c r="I42" s="5" t="n"/>
      <c r="J42" s="12">
        <f>IF($G42="","",IF($G42=$A$78,1,0))</f>
        <v/>
      </c>
      <c r="K42" s="12">
        <f>IF($H42="","",IF($H42=$A$78,1,0))</f>
        <v/>
      </c>
      <c r="L42" s="5" t="n"/>
    </row>
    <row r="43">
      <c r="A43" s="5" t="n"/>
      <c r="B43" s="5" t="n"/>
      <c r="C43" s="5" t="n"/>
      <c r="D43" s="5" t="n"/>
      <c r="E43" s="5" t="n"/>
      <c r="F43" s="5" t="n"/>
      <c r="G43" s="5" t="n"/>
      <c r="H43" s="5" t="n"/>
      <c r="I43" s="5" t="n"/>
      <c r="J43" s="12">
        <f>IF($G43="","",IF($G43=$A$78,1,0))</f>
        <v/>
      </c>
      <c r="K43" s="12">
        <f>IF($H43="","",IF($H43=$A$78,1,0))</f>
        <v/>
      </c>
      <c r="L43" s="5" t="n"/>
    </row>
    <row r="44">
      <c r="A44" s="5" t="n"/>
      <c r="B44" s="5" t="n"/>
      <c r="C44" s="5" t="n"/>
      <c r="D44" s="5" t="n"/>
      <c r="E44" s="5" t="n"/>
      <c r="F44" s="5" t="n"/>
      <c r="G44" s="5" t="n"/>
      <c r="H44" s="5" t="n"/>
      <c r="I44" s="5" t="n"/>
      <c r="J44" s="12">
        <f>IF($G44="","",IF($G44=$A$78,1,0))</f>
        <v/>
      </c>
      <c r="K44" s="12">
        <f>IF($H44="","",IF($H44=$A$78,1,0))</f>
        <v/>
      </c>
      <c r="L44" s="5" t="n"/>
    </row>
    <row r="45">
      <c r="A45" s="5" t="n"/>
      <c r="B45" s="5" t="n"/>
      <c r="C45" s="5" t="n"/>
      <c r="D45" s="5" t="n"/>
      <c r="E45" s="5" t="n"/>
      <c r="F45" s="5" t="n"/>
      <c r="G45" s="5" t="n"/>
      <c r="H45" s="5" t="n"/>
      <c r="I45" s="5" t="n"/>
      <c r="J45" s="12">
        <f>IF($G45="","",IF($G45=$A$78,1,0))</f>
        <v/>
      </c>
      <c r="K45" s="12">
        <f>IF($H45="","",IF($H45=$A$78,1,0))</f>
        <v/>
      </c>
      <c r="L45" s="5" t="n"/>
    </row>
    <row r="46"/>
    <row r="47">
      <c r="A47" s="3" t="inlineStr">
        <is>
          <t>RESUMEN DEL MUESTREO Y OBJETIVOS DE LA CASA</t>
        </is>
      </c>
    </row>
    <row r="48" ht="32" customHeight="1">
      <c r="A48" s="10" t="inlineStr">
        <is>
          <t>Indicador</t>
        </is>
      </c>
      <c r="D48" s="10" t="inlineStr">
        <is>
          <t>Medido</t>
        </is>
      </c>
      <c r="E48" s="10" t="inlineStr">
        <is>
          <t>Objetivo de la casa</t>
        </is>
      </c>
      <c r="F48" s="10" t="inlineStr">
        <is>
          <t>Lectura</t>
        </is>
      </c>
      <c r="G48" s="22" t="n"/>
      <c r="H48" s="10" t="inlineStr">
        <is>
          <t>Muestreos de la familia</t>
        </is>
      </c>
    </row>
    <row r="49">
      <c r="A49" t="inlineStr">
        <is>
          <t>Tiempo medio de pase - Entrantes (min)</t>
        </is>
      </c>
      <c r="D49" s="19">
        <f>IFERROR(IF(COUNTIF($D$6:$D$45,"Entrantes")=0,"",SUMIF($D$6:$D$45,"Entrantes",$F$6:$F$45)/COUNTIF($D$6:$D$45,"Entrantes")),"")</f>
        <v>8.833333333333334</v>
      </c>
      <c r="E49" s="21" t="n">
        <v>10</v>
      </c>
      <c r="F49" t="str">
        <f>IF(OR(NOT(ISNUMBER($D49)),NOT(ISNUMBER($E49))),"",IF($D49&lt;=$E49,"En objetivo","Por encima del objetivo"))</f>
        <v>En objetivo</v>
      </c>
      <c r="H49" s="23">
        <f>COUNTIF($D$6:$D$45,"Entrantes")</f>
        <v>9.0</v>
      </c>
    </row>
    <row r="50">
      <c r="A50" t="inlineStr">
        <is>
          <t>Tiempo medio de pase - Principales (min)</t>
        </is>
      </c>
      <c r="D50" s="19">
        <f>IFERROR(IF(COUNTIF($D$6:$D$45,"Principales")=0,"",SUMIF($D$6:$D$45,"Principales",$F$6:$F$45)/COUNTIF($D$6:$D$45,"Principales")),"")</f>
        <v>17.25</v>
      </c>
      <c r="E50" s="21" t="n">
        <v>18</v>
      </c>
      <c r="F50" t="str">
        <f>IF(OR(NOT(ISNUMBER($D50)),NOT(ISNUMBER($E50))),"",IF($D50&lt;=$E50,"En objetivo","Por encima del objetivo"))</f>
        <v>En objetivo</v>
      </c>
      <c r="H50" s="23">
        <f>COUNTIF($D$6:$D$45,"Principales")</f>
        <v>14.0</v>
      </c>
    </row>
    <row r="51">
      <c r="A51" t="inlineStr">
        <is>
          <t>Tiempo medio de pase - Postres (min)</t>
        </is>
      </c>
      <c r="D51" s="19">
        <f>IFERROR(IF(COUNTIF($D$6:$D$45,"Postres")=0,"",SUMIF($D$6:$D$45,"Postres",$F$6:$F$45)/COUNTIF($D$6:$D$45,"Postres")),"")</f>
        <v>7.142857142857143</v>
      </c>
      <c r="E51" s="21" t="n">
        <v>8</v>
      </c>
      <c r="F51" t="str">
        <f>IF(OR(NOT(ISNUMBER($D51)),NOT(ISNUMBER($E51))),"",IF($D51&lt;=$E51,"En objetivo","Por encima del objetivo"))</f>
        <v>En objetivo</v>
      </c>
      <c r="H51" s="23">
        <f>COUNTIF($D$6:$D$45,"Postres")</f>
        <v>7.0</v>
      </c>
    </row>
    <row r="52">
      <c r="A52" t="inlineStr">
        <is>
          <t>Cumplimiento de ficha técnica en el pase</t>
        </is>
      </c>
      <c r="D52" s="17">
        <f>IFERROR(IF(COUNT($J$6:$J$45)=0,"",SUM($J$6:$J$45)/COUNT($J$6:$J$45)),"")</f>
        <v>0.8666666666666667</v>
      </c>
      <c r="E52" s="24" t="n">
        <v>0.9</v>
      </c>
      <c r="F52" t="str">
        <f>IF(OR(NOT(ISNUMBER($D52)),NOT(ISNUMBER($E52))),"",IF($D52&gt;=$E52,"En objetivo","Por debajo del objetivo"))</f>
        <v>Por debajo del objetivo</v>
      </c>
    </row>
    <row r="53">
      <c r="A53" t="inlineStr">
        <is>
          <t>Muestreos hechos</t>
        </is>
      </c>
      <c r="D53" s="16">
        <f>COUNT($F$6:$F$45)</f>
        <v>30.0</v>
      </c>
    </row>
    <row r="54">
      <c r="A54" t="inlineStr">
        <is>
          <t>Muestreos NO conformes con la ficha</t>
        </is>
      </c>
      <c r="D54" s="16">
        <f>COUNTIF($G$6:$G$45,"No")</f>
        <v>4.0</v>
      </c>
    </row>
    <row r="55">
      <c r="A55" t="inlineStr">
        <is>
          <t>Platos devueltos por el cliente</t>
        </is>
      </c>
      <c r="D55" s="16">
        <f>COUNTIF($H$6:$H$45,"Sí")</f>
        <v>1.0</v>
      </c>
    </row>
    <row r="56">
      <c r="A56" t="inlineStr">
        <is>
          <t>Temperatura de emplatado más baja del muestreo (°C)</t>
        </is>
      </c>
      <c r="D56" s="16">
        <f>IFERROR(IF(COUNT($E$6:$E$45)=0,"",MIN($E$6:$E$45)),"")</f>
        <v>6.0</v>
      </c>
    </row>
    <row r="57">
      <c r="A57" t="inlineStr">
        <is>
          <t>Temperatura de emplatado más alta del muestreo (°C)</t>
        </is>
      </c>
      <c r="D57" s="16">
        <f>IFERROR(IF(COUNT($E$6:$E$45)=0,"",MAX($E$6:$E$45)),"")</f>
        <v>79.0</v>
      </c>
    </row>
    <row r="58">
      <c r="A58" t="inlineStr">
        <is>
          <t>Temperatura mínima de mantenimiento en caliente (°C)</t>
        </is>
      </c>
      <c r="D58" s="9" t="n">
        <v>63</v>
      </c>
    </row>
    <row r="59">
      <c r="A59" t="inlineStr">
        <is>
          <t>Muestras de elaboraciones que se mantienen en caliente</t>
        </is>
      </c>
      <c r="D59" s="16">
        <f>COUNTIF($L$6:$L$45,"Sí")</f>
        <v>4.0</v>
      </c>
    </row>
    <row r="60">
      <c r="A60" t="inlineStr">
        <is>
          <t>De ellas, por debajo del mínimo de D58</t>
        </is>
      </c>
      <c r="D60" s="16">
        <f>COUNTIFS($L$6:$L$45,"Sí",$E$6:$E$45,"&lt;"&amp;$D$58)</f>
        <v>1.0</v>
      </c>
    </row>
    <row r="61" ht="30" customHeight="1">
      <c r="A61" s="4" t="inlineStr">
        <is>
          <t>Verificado el 06-09-2026 · RD 1086/2020, art. 30.1, 30.2, 30.5 y 30.7 (redacción del RD 1021/2022) · https://www.boe.es/buscar/act.php?id=BOE-A-2020-15872</t>
        </is>
      </c>
    </row>
    <row r="62"/>
    <row r="63" ht="42" customHeight="1">
      <c r="A63" s="4" t="inlineStr">
        <is>
          <t>Este umbral es el del mantenimiento en caliente y va en la ficha de cada plato que se mantenga o se regenere. El libro NO lo aplica solo a la columna de temperatura, y es a propósito: una ensalada se sirve a 9 °C y una torrija templada a 57 °C sin incumplir nada. Quien dice qué elaboración se mantiene en caliente es su ficha, no una fórmula.</t>
        </is>
      </c>
    </row>
    <row r="64" ht="42" customHeight="1">
      <c r="A64" s="4" t="inlineStr">
        <is>
          <t>Los tres tiempos medios de pase y el porcentaje de cumplimiento de ficha son los que se copian a la hoja «Semana» del cuadro de mando de cocina (libro 1 de este pack). Se copian a mano: en este pack no hay ni una fórmula que salte de un fichero a otro.</t>
        </is>
      </c>
    </row>
    <row r="65" ht="42" customHeight="1">
      <c r="A65" s="4" t="inlineStr">
        <is>
          <t>Mientras un objetivo esté vacío, su semáforo no se enciende. No existe un estándar publicado de tiempos de pase en español: la referencia eres tú mismo, semana a semana.</t>
        </is>
      </c>
    </row>
    <row r="66"/>
    <row r="67">
      <c r="A67" s="3" t="inlineStr">
        <is>
          <t>LISTAS DE LOS DESPLEGABLES (no las borres)</t>
        </is>
      </c>
    </row>
    <row r="68" ht="20" customHeight="1">
      <c r="A68" s="10" t="inlineStr">
        <is>
          <t>Servicio</t>
        </is>
      </c>
    </row>
    <row r="69">
      <c r="A69" t="inlineStr">
        <is>
          <t>Comida</t>
        </is>
      </c>
    </row>
    <row r="70">
      <c r="A70" t="inlineStr">
        <is>
          <t>Cena</t>
        </is>
      </c>
    </row>
    <row r="71"/>
    <row r="72" ht="20" customHeight="1">
      <c r="A72" s="10" t="inlineStr">
        <is>
          <t>Familia</t>
        </is>
      </c>
    </row>
    <row r="73">
      <c r="A73" t="inlineStr">
        <is>
          <t>Entrantes</t>
        </is>
      </c>
    </row>
    <row r="74">
      <c r="A74" t="inlineStr">
        <is>
          <t>Principales</t>
        </is>
      </c>
    </row>
    <row r="75">
      <c r="A75" t="inlineStr">
        <is>
          <t>Postres</t>
        </is>
      </c>
    </row>
    <row r="76"/>
    <row r="77" ht="20" customHeight="1">
      <c r="A77" s="10" t="inlineStr">
        <is>
          <t>Sí / No</t>
        </is>
      </c>
    </row>
    <row r="78">
      <c r="A78" t="inlineStr">
        <is>
          <t>Sí</t>
        </is>
      </c>
    </row>
    <row r="79">
      <c r="A79"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54:C54"/>
    <mergeCell ref="A58:C58"/>
    <mergeCell ref="A48:C48"/>
    <mergeCell ref="A61:I61"/>
    <mergeCell ref="A59:C59"/>
    <mergeCell ref="A55:C55"/>
    <mergeCell ref="A57:C57"/>
    <mergeCell ref="A50:C50"/>
    <mergeCell ref="A64:I64"/>
    <mergeCell ref="A60:C60"/>
    <mergeCell ref="A56:C56"/>
    <mergeCell ref="A63:I63"/>
    <mergeCell ref="A51:C51"/>
    <mergeCell ref="A65:I65"/>
    <mergeCell ref="A53:C53"/>
    <mergeCell ref="A52:C52"/>
    <mergeCell ref="A49:C49"/>
  </mergeCells>
  <conditionalFormatting sqref="G6:G45">
    <cfRule type="cellIs" priority="1" operator="equal" dxfId="2" stopIfTrue="1">
      <formula>"Sí"</formula>
    </cfRule>
    <cfRule type="cellIs" priority="2" operator="equal" dxfId="0" stopIfTrue="1">
      <formula>"No"</formula>
    </cfRule>
  </conditionalFormatting>
  <conditionalFormatting sqref="H6:H45">
    <cfRule type="cellIs" priority="3" operator="equal" dxfId="0" stopIfTrue="1">
      <formula>"Sí"</formula>
    </cfRule>
    <cfRule type="cellIs" priority="4" operator="equal" dxfId="2" stopIfTrue="1">
      <formula>"No"</formula>
    </cfRule>
  </conditionalFormatting>
  <conditionalFormatting sqref="D60">
    <cfRule type="expression" priority="5" dxfId="0" stopIfTrue="1">
      <formula>=AND(ISNUMBER($D$60),$D$60&gt;0)</formula>
    </cfRule>
  </conditionalFormatting>
  <conditionalFormatting sqref="D49">
    <cfRule type="expression" priority="6" dxfId="0" stopIfTrue="1">
      <formula>=AND(ISNUMBER($D$49),ISNUMBER($E$49),$D$49&gt;$E$49)</formula>
    </cfRule>
  </conditionalFormatting>
  <conditionalFormatting sqref="D50">
    <cfRule type="expression" priority="7" dxfId="0" stopIfTrue="1">
      <formula>=AND(ISNUMBER($D$50),ISNUMBER($E$50),$D$50&gt;$E$50)</formula>
    </cfRule>
  </conditionalFormatting>
  <conditionalFormatting sqref="D51">
    <cfRule type="expression" priority="8" dxfId="0" stopIfTrue="1">
      <formula>=AND(ISNUMBER($D$51),ISNUMBER($E$51),$D$51&gt;$E$51)</formula>
    </cfRule>
  </conditionalFormatting>
  <conditionalFormatting sqref="D52">
    <cfRule type="expression" priority="9" dxfId="0" stopIfTrue="1">
      <formula>=AND(ISNUMBER($D$52),ISNUMBER($E$52),$D$52&lt;$E$52)</formula>
    </cfRule>
  </conditionalFormatting>
  <conditionalFormatting sqref="F49:F52">
    <cfRule type="cellIs" priority="10" operator="equal" dxfId="2" stopIfTrue="1">
      <formula>"En objetivo"</formula>
    </cfRule>
    <cfRule type="cellIs" priority="11" operator="equal" dxfId="0" stopIfTrue="1">
      <formula>"Por encima del objetivo"</formula>
    </cfRule>
    <cfRule type="cellIs" priority="12" operator="equal" dxfId="0" stopIfTrue="1">
      <formula>"Por debajo del objetivo"</formula>
    </cfRule>
  </conditionalFormatting>
  <dataValidations count="11">
    <dataValidation sqref="A6 A7 A8 A9 A10 A11 A12 A13 A14 A15 A16 A17 A18 A19 A20 A21 A22 A23 A24 A25 A26 A27 A28 A29 A30 A31 A32 A33 A34 A35 A36 A37 A38 A39 A40 A41 A42 A43 A44 A45" showDropDown="0" showInputMessage="0" showErrorMessage="1" allowBlank="1" errorTitle="Fecha no válida" error="Escribe una fecha (dd/mm/aaaa) entre 2020 y 2040." type="date" operator="between">
      <formula1>DATE(2020,1,1)</formula1>
      <formula2>DATE(2040,12,31)</formula2>
    </dataValidation>
    <dataValidation sqref="B6 B7 B8 B9 B10 B11 B12 B13 B14 B15 B16 B17 B18 B19 B20 B21 B22 B23 B24 B25 B26 B27 B28 B29 B30 B31 B32 B33 B34 B35 B36 B37 B38 B39 B40 B41 B42 B43 B44 B45" showDropDown="0" showInputMessage="0" showErrorMessage="1" allowBlank="1" errorTitle="Servicio" error="Elige un servicio de la lista del final de esta hoja." type="list">
      <formula1>'Control de Calidad del Pase'!$A$69:$A$70</formula1>
    </dataValidation>
    <dataValidation sqref="D6 D7 D8 D9 D10 D11 D12 D13 D14 D15 D16 D17 D18 D19 D20 D21 D22 D23 D24 D25 D26 D27 D28 D29 D30 D31 D32 D33 D34 D35 D36 D37 D38 D39 D40 D41 D42 D43 D44 D45" showDropDown="0" showInputMessage="0" showErrorMessage="1" allowBlank="1" errorTitle="Familia" error="Elige una familia de la lista del final de esta hoja." type="list">
      <formula1>'Control de Calidad del Pase'!$A$73:$A$75</formula1>
    </dataValidation>
    <dataValidation sqref="G6 G7 G8 G9 G10 G11 G12 G13 G14 G15 G16 G17 G18 G19 G20 G21 G22 G23 G24 G25 G26 G27 G28 G29 G30 G31 G32 G33 G34 G35 G36 G37 G38 G39 G40 G41 G42 G43 G44 G45" showDropDown="0" showInputMessage="0" showErrorMessage="1" allowBlank="1" errorTitle="Conforme a la ficha" error="Elige Sí o No de la lista del final de esta hoja." type="list">
      <formula1>'Control de Calidad del Pase'!$A$78:$A$79</formula1>
    </dataValidation>
    <dataValidation sqref="H6 H7 H8 H9 H10 H11 H12 H13 H14 H15 H16 H17 H18 H19 H20 H21 H22 H23 H24 H25 H26 H27 H28 H29 H30 H31 H32 H33 H34 H35 H36 H37 H38 H39 H40 H41 H42 H43 H44 H45" showDropDown="0" showInputMessage="0" showErrorMessage="1" allowBlank="1" errorTitle="Devuelto" error="Elige Sí o No de la lista del final de esta hoja." type="list">
      <formula1>'Control de Calidad del Pase'!$A$78:$A$79</formula1>
    </dataValidation>
    <dataValidation sqref="L6 L7 L8 L9 L10 L11 L12 L13 L14 L15 L16 L17 L18 L19 L20 L21 L22 L23 L24 L25 L26 L27 L28 L29 L30 L31 L32 L33 L34 L35 L36 L37 L38 L39 L40 L41 L42 L43 L44 L45" showDropDown="0" showInputMessage="0" showErrorMessage="1" allowBlank="1" errorTitle="¿Se mantiene en caliente?" error="Elige Sí o No de la lista del final de esta hoja." type="list">
      <formula1>'Control de Calidad del Pase'!$A$78:$A$79</formula1>
    </dataValidation>
    <dataValidation sqref="E6 E7 E8 E9 E10 E11 E12 E13 E14 E15 E16 E17 E18 E19 E20 E21 E22 E23 E24 E25 E26 E27 E28 E29 E30 E31 E32 E33 E34 E35 E36 E37 E38 E39 E40 E41 E42 E43 E44 E45" showDropDown="0" showInputMessage="0" showErrorMessage="1" allowBlank="1" errorTitle="Temperatura (°C)" error="Escribe la temperatura en grados centígrados, entre -30 y 120." type="decimal" operator="between">
      <formula1>-30</formula1>
      <formula2>120</formula2>
    </dataValidation>
    <dataValidation sqref="F6 F7 F8 F9 F10 F11 F12 F13 F14 F15 F16 F17 F18 F19 F20 F21 F22 F23 F24 F25 F26 F27 F28 F29 F30 F31 F32 F33 F34 F35 F36 F37 F38 F39 F40 F41 F42 F43 F44 F45" showDropDown="0" showInputMessage="0" showErrorMessage="1" allowBlank="1" errorTitle="Minutos de pase" error="Escribe un valor entre 0 y 240." type="decimal" operator="between">
      <formula1>0</formula1>
      <formula2>240</formula2>
    </dataValidation>
    <dataValidation sqref="E49 E50 E51" showDropDown="0" showInputMessage="0" showErrorMessage="1" allowBlank="1" errorTitle="Minutos de pase" error="Escribe un valor entre 0 y 240." type="decimal" operator="between">
      <formula1>0</formula1>
      <formula2>240</formula2>
    </dataValidation>
    <dataValidation sqref="E52" showDropDown="0" showInputMessage="1" showErrorMessage="1" allowBlank="1" errorTitle="Cumplimiento (%)" error="Escribe un porcentaje entre 0 y 1 (0,20 = 20 %)." promptTitle="Cumplimiento (%)" prompt="Se escribe en tanto por uno: 0,20 = 20 %." type="decimal" operator="between">
      <formula1>0</formula1>
      <formula2>1.0</formula2>
    </dataValidation>
    <dataValidation sqref="D58" showDropDown="0" showInputMessage="0" showErrorMessage="1" allowBlank="1" errorTitle="Temperatura (°C)" error="Escribe un valor entre 0 y 120." type="decimal" operator="between">
      <formula1>0</formula1>
      <formula2>120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Desarrollo de carta y control de calidad del pase</dc:title>
  <dc:subject xmlns:dc="http://purl.org/dc/elements/1.1/">Manual del Chef Ejecutivo · v1.0</dc:subject>
  <dcterms:created xmlns:dcterms="http://purl.org/dc/terms/" xmlns:xsi="http://www.w3.org/2001/XMLSchema-instance" xsi:type="dcterms:W3CDTF">2026-09-06T19:40:34Z</dcterms:created>
  <dcterms:modified xmlns:dcterms="http://purl.org/dc/terms/" xmlns:xsi="http://www.w3.org/2001/XMLSchema-instance" xsi:type="dcterms:W3CDTF">2026-09-06T19:40:35Z</dcterms:modified>
  <cp:lastModifiedBy>AI Chef Pro</cp:lastModifiedBy>
</cp:coreProperties>
</file>