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Escandallo por kg de Masa" sheetId="3" state="visible" r:id="rId3"/>
    <sheet xmlns:r="http://schemas.openxmlformats.org/officeDocument/2006/relationships" name="Absorción de Aceite y Merma" sheetId="4" state="visible" r:id="rId4"/>
    <sheet xmlns:r="http://schemas.openxmlformats.org/officeDocument/2006/relationships" name="Chocolate a la Taza" sheetId="5" state="visible" r:id="rId5"/>
    <sheet xmlns:r="http://schemas.openxmlformats.org/officeDocument/2006/relationships" name="Coste Hora" sheetId="6" state="visible" r:id="rId6"/>
    <sheet xmlns:r="http://schemas.openxmlformats.org/officeDocument/2006/relationships" name="Ración, Docena o Kilo" sheetId="7" state="visible" r:id="rId7"/>
    <sheet xmlns:r="http://schemas.openxmlformats.org/officeDocument/2006/relationships" name="Mix y Ticket Canal y Temporada" sheetId="8" state="visible" r:id="rId8"/>
    <sheet xmlns:r="http://schemas.openxmlformats.org/officeDocument/2006/relationships" name="Los Dos Márgenes" sheetId="9" state="visible" r:id="rId9"/>
    <sheet xmlns:r="http://schemas.openxmlformats.org/officeDocument/2006/relationships" name="Decisión de Surtido" sheetId="10" state="visible" r:id="rId10"/>
  </sheets>
  <definedNames>
    <definedName name="_xlnm.Print_Titles" localSheetId="1">'Parámetros'!$32:$32</definedName>
    <definedName name="_xlnm.Print_Titles" localSheetId="2">'Escandallo por kg de Masa'!$34:$34</definedName>
    <definedName name="_xlnm.Print_Titles" localSheetId="6">'Ración, Docena o Kilo'!$6:$6</definedName>
    <definedName name="_xlnm.Print_Titles" localSheetId="7">'Mix y Ticket Canal y Temporada'!$16:$16</definedName>
    <definedName name="_xlnm.Print_Titles" localSheetId="9">'Decisión de Surtido'!$6:$6</definedName>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00"/>
    <numFmt numFmtId="167" formatCode="#,##0.00 €"/>
    <numFmt numFmtId="168" formatCode="#,##0.0000 €"/>
    <numFmt numFmtId="169" formatCode="#,##0.000"/>
  </numFmts>
  <fonts count="13">
    <font>
      <name val="Calibri"/>
      <family val="2"/>
      <color theme="1"/>
      <sz val="11"/>
      <scheme val="minor"/>
    </font>
    <font>
      <b val="1"/>
      <color theme="1"/>
      <sz val="11"/>
    </font>
    <font>
      <b val="1"/>
      <color rgb="00FFD700"/>
      <sz val="16"/>
    </font>
    <font>
      <color rgb="00888888"/>
      <sz val="10"/>
    </font>
    <font>
      <i val="1"/>
      <sz val="9"/>
    </font>
    <font>
      <b val="1"/>
      <color rgb="00FFD700"/>
      <sz val="12"/>
    </font>
    <font>
      <sz val="9"/>
    </font>
    <font>
      <i val="1"/>
      <sz val="8"/>
    </font>
    <font>
      <color rgb="00888888"/>
      <sz val="8"/>
    </font>
    <font>
      <b val="1"/>
      <color rgb="00FFFFFF"/>
      <sz val="9"/>
    </font>
    <font>
      <b val="1"/>
      <sz val="12"/>
    </font>
    <font>
      <b val="1"/>
      <sz val="9"/>
    </font>
    <font>
      <color theme="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52">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2" borderId="0" applyProtection="1" pivotButton="0" quotePrefix="0" xfId="0">
      <protection locked="0" hidden="0"/>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pivotButton="0" quotePrefix="0" xfId="0"/>
    <xf numFmtId="164" fontId="0" fillId="2" borderId="0" applyProtection="1" pivotButton="0" quotePrefix="0" xfId="0">
      <protection locked="0" hidden="0"/>
    </xf>
    <xf numFmtId="0" fontId="8" fillId="0" borderId="0" applyAlignment="1" pivotButton="0" quotePrefix="0" xfId="0">
      <alignment horizontal="general" vertical="top" wrapText="1"/>
    </xf>
    <xf numFmtId="0" fontId="11" fillId="0" borderId="0" applyAlignment="1" pivotButton="0" quotePrefix="0" xfId="0">
      <alignment horizontal="general" vertical="top" wrapText="1"/>
    </xf>
    <xf numFmtId="168" fontId="1" fillId="4" borderId="0" pivotButton="0" quotePrefix="0" xfId="0"/>
    <xf numFmtId="164" fontId="1" fillId="4" borderId="0" pivotButton="0" quotePrefix="0" xfId="0"/>
    <xf numFmtId="4" fontId="1" fillId="4" borderId="0" pivotButton="0" quotePrefix="0" xfId="0"/>
    <xf numFmtId="165" fontId="0" fillId="2" borderId="0" applyProtection="1" pivotButton="0" quotePrefix="0" xfId="0">
      <protection locked="0" hidden="0"/>
    </xf>
    <xf numFmtId="4" fontId="0" fillId="2" borderId="0" applyProtection="1" pivotButton="0" quotePrefix="0" xfId="0">
      <protection locked="0" hidden="0"/>
    </xf>
    <xf numFmtId="166" fontId="0" fillId="2" borderId="0" applyProtection="1" pivotButton="0" quotePrefix="0" xfId="0">
      <protection locked="0" hidden="0"/>
    </xf>
    <xf numFmtId="167" fontId="0" fillId="2" borderId="0" applyProtection="1" pivotButton="0" quotePrefix="0" xfId="0">
      <protection locked="0" hidden="0"/>
    </xf>
    <xf numFmtId="0" fontId="9" fillId="3" borderId="0" applyAlignment="1" pivotButton="0" quotePrefix="0" xfId="0">
      <alignment horizontal="center" vertical="center" wrapText="1"/>
    </xf>
    <xf numFmtId="164" fontId="0" fillId="0" borderId="0" pivotButton="0" quotePrefix="0" xfId="0"/>
    <xf numFmtId="0" fontId="8" fillId="0" borderId="0" pivotButton="0" quotePrefix="0" xfId="0"/>
    <xf numFmtId="0" fontId="10" fillId="0" borderId="0" pivotButton="0" quotePrefix="0" xfId="0"/>
    <xf numFmtId="0" fontId="1" fillId="0" borderId="0" pivotButton="0" quotePrefix="0" xfId="0"/>
    <xf numFmtId="166" fontId="0" fillId="0" borderId="0" pivotButton="0" quotePrefix="0" xfId="0"/>
    <xf numFmtId="168" fontId="0" fillId="0" borderId="0" pivotButton="0" quotePrefix="0" xfId="0"/>
    <xf numFmtId="168" fontId="0" fillId="4" borderId="0" pivotButton="0" quotePrefix="0" xfId="0"/>
    <xf numFmtId="0" fontId="12" fillId="0" borderId="0" pivotButton="0" quotePrefix="0" xfId="0"/>
    <xf numFmtId="165" fontId="12" fillId="0" borderId="0" pivotButton="0" quotePrefix="0" xfId="0"/>
    <xf numFmtId="168" fontId="12" fillId="0" borderId="0" pivotButton="0" quotePrefix="0" xfId="0"/>
    <xf numFmtId="167" fontId="12" fillId="4" borderId="0" pivotButton="0" quotePrefix="0" xfId="0"/>
    <xf numFmtId="3" fontId="0" fillId="2" borderId="0" applyProtection="1" pivotButton="0" quotePrefix="0" xfId="0">
      <protection locked="0" hidden="0"/>
    </xf>
    <xf numFmtId="169" fontId="0" fillId="2" borderId="0" applyProtection="1" pivotButton="0" quotePrefix="0" xfId="0">
      <protection locked="0" hidden="0"/>
    </xf>
    <xf numFmtId="4" fontId="12" fillId="0" borderId="0" pivotButton="0" quotePrefix="0" xfId="0"/>
    <xf numFmtId="164" fontId="12" fillId="0" borderId="0" pivotButton="0" quotePrefix="0" xfId="0"/>
    <xf numFmtId="166" fontId="12" fillId="0" borderId="0" pivotButton="0" quotePrefix="0" xfId="0"/>
    <xf numFmtId="168" fontId="12" fillId="4" borderId="0" pivotButton="0" quotePrefix="0" xfId="0"/>
    <xf numFmtId="167" fontId="0" fillId="0" borderId="0" pivotButton="0" quotePrefix="0" xfId="0"/>
    <xf numFmtId="169" fontId="0" fillId="0" borderId="0" pivotButton="0" quotePrefix="0" xfId="0"/>
    <xf numFmtId="0" fontId="1" fillId="4" borderId="0" pivotButton="0" quotePrefix="0" xfId="0"/>
    <xf numFmtId="0" fontId="0" fillId="4" borderId="0" pivotButton="0" quotePrefix="0" xfId="0"/>
    <xf numFmtId="164" fontId="0" fillId="4" borderId="0" pivotButton="0" quotePrefix="0" xfId="0"/>
    <xf numFmtId="0" fontId="1" fillId="0" borderId="0" applyAlignment="1" pivotButton="0" quotePrefix="0" xfId="0">
      <alignment horizontal="general" vertical="top" wrapText="1"/>
    </xf>
    <xf numFmtId="167" fontId="1" fillId="4" borderId="0" pivotButton="0" quotePrefix="0" xfId="0"/>
    <xf numFmtId="164" fontId="12" fillId="4" borderId="0" pivotButton="0" quotePrefix="0" xfId="0"/>
    <xf numFmtId="167" fontId="0" fillId="4" borderId="0" pivotButton="0" quotePrefix="0" xfId="0"/>
    <xf numFmtId="3" fontId="0" fillId="0" borderId="0" pivotButton="0" quotePrefix="0" xfId="0"/>
    <xf numFmtId="166" fontId="1" fillId="4" borderId="0" pivotButton="0" quotePrefix="0" xfId="0"/>
    <xf numFmtId="1" fontId="0" fillId="2" borderId="0" applyProtection="1" pivotButton="0" quotePrefix="0" xfId="0">
      <protection locked="0" hidden="0"/>
    </xf>
    <xf numFmtId="165" fontId="1" fillId="0" borderId="0" pivotButton="0" quotePrefix="0" xfId="0"/>
    <xf numFmtId="165" fontId="0" fillId="0" borderId="0" pivotButton="0" quotePrefix="0" xfId="0"/>
    <xf numFmtId="3" fontId="1" fillId="0" borderId="0" pivotButton="0" quotePrefix="0" xfId="0"/>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AI Chef Pro</author>
  </authors>
  <commentList>
    <comment ref="B5" authorId="0" shapeId="0">
      <text>
        <t>Verificado el 12-09-2026 · Ley 37/1992, de 28 de diciembre, del Impuesto sobre el Valor Añadido (BOE-A-1992-28740), texto consolidado · «Última modificación: 28 de febrero de 2026» (Art. 91.Uno.2.2.º y art. 90.Uno («El Impuesto se exigirá al tipo del 21 por ciento, salvo lo dispuesto en el artículo siguiente»).) · https://www.boe.es/buscar/act.php?id=BOE-A-1992-28740</t>
      </text>
    </comment>
    <comment ref="B6" authorId="0" shapeId="0">
      <text>
        <t>Fuente: FC-IVA-02 · fiabilidad alta · https://petete.tributos.hacienda.gob.es/consultas/?num_consulta=V2254-22</t>
      </text>
    </comment>
    <comment ref="B7" authorId="0" shapeId="0">
      <text>
        <t>Verificado el 03-10-2026 · Agencia Tributaria, «Tipos impositivos en el IVA 2025» (Ley 37/1992, art. 91) · petete.tributos.hacienda.gob.es (buscador no consultable de forma automática) · https://sede.agenciatributaria.gob.es/static_files/Sede/Tema/IVA/IVA_reperc/Tipos_IVA_2025.pdf</t>
      </text>
    </comment>
    <comment ref="B8" authorId="0" shapeId="0">
      <text>
        <t>Verificado el 03-10-2026 · Agencia Tributaria, «Tipos impositivos en el IVA 2025» (Ley 37/1992, art. 91) · petete.tributos.hacienda.gob.es (buscador no consultable de forma automática) · https://sede.agenciatributaria.gob.es/static_files/Sede/Tema/IVA/IVA_reperc/Tipos_IVA_2025.pdf</t>
      </text>
    </comment>
    <comment ref="B9" authorId="0" shapeId="0">
      <text>
        <t>Verificado el 03-10-2026 · Real Decreto 650/2011, de 9 de mayo, por el que se aprueba la reglamentación técnico-sanitaria en materia de bebidas refrescantes (BOE-A-2011-8687), texto consolidado · «Última actualización publicada el 04/10/2023», art. 2.1 · https://www.boe.es/buscar/act.php?id=BOE-A-2011-8687</t>
      </text>
    </comment>
    <comment ref="B10" authorId="0" shapeId="0">
      <text>
        <t>Verificado el 12-09-2026 · Ley 37/1992, de 28 de diciembre, del Impuesto sobre el Valor Añadido (BOE-A-1992-28740), texto consolidado · «Última modificación: 28 de febrero de 2026» (Art. 91.Uno.2.2.º y art. 90.Uno («El Impuesto se exigirá al tipo del 21 por ciento, salvo lo dispuesto en el artículo siguiente»).) · https://www.boe.es/buscar/act.php?id=BOE-A-1992-28740</t>
      </text>
    </comment>
    <comment ref="B21" authorId="0" shapeId="0">
      <text>
        <t>Fuente: CUS-21 · fiabilidad alta · https://www.churrofacil.com/tienda/es/accesorios-y-consumibles/13-preparado-para-masa-de-churro-de-lazo-o-relleno-pack-de-3-cajas.html</t>
      </text>
    </comment>
    <comment ref="B25" authorId="0" shapeId="0">
      <text>
        <t>Verificado el 03-10-2026 · Ley 7/2022 (BOE-A-2022-5809), art. 55 y anexo IV, partes A y B · https://www.boe.es/buscar/act.php?id=BOE-A-2022-5809</t>
      </text>
    </comment>
    <comment ref="B33" authorId="0" shapeId="0">
      <text>
        <t>Fuente: CUS-21 · fiabilidad alta · https://www.churrofacil.com/tienda/es/accesorios-y-consumibles/13-preparado-para-masa-de-churro-de-lazo-o-relleno-pack-de-3-cajas.html</t>
      </text>
    </comment>
    <comment ref="B34" authorId="0" shapeId="0">
      <text>
        <t>Fuente: CUS-23 · fiabilidad alta · https://www.churrofacil.com/tienda/es/accesorios-y-consumibles/82-aceite-girasol-profesional-25-litros-alto-rendimiento.html</t>
      </text>
    </comment>
    <comment ref="B35" authorId="0" shapeId="0">
      <text>
        <t>Fuente: CUS-24 · fiabilidad alta · https://www.churrofacil.com/tienda/es/accesorios-y-consumibles/14-chocolate-a-la-taza-en-polvo.html</t>
      </text>
    </comment>
    <comment ref="B36" authorId="0" shapeId="0">
      <text>
        <t>Fuente: CUS-24 · fiabilidad alta · https://www.churrofacil.com/tienda/es/accesorios-y-consumibles/14-chocolate-a-la-taza-en-polvo.html</t>
      </text>
    </comment>
    <comment ref="B37" authorId="0" shapeId="0">
      <text>
        <t>Fuente: CUS-25 · fiabilidad media · https://www.churrofacil.com/tienda/es/30-accesorios-y-consumibles</t>
      </text>
    </comment>
  </commentList>
</comments>
</file>

<file path=xl/comments/comment2.xml><?xml version="1.0" encoding="utf-8"?>
<comments xmlns="http://schemas.openxmlformats.org/spreadsheetml/2006/main">
  <authors>
    <author>AI Chef Pro</author>
  </authors>
  <commentList>
    <comment ref="B8" authorId="0" shapeId="0">
      <text>
        <t>Fuente: CUS-24 · fiabilidad alta · https://www.churrofacil.com/tienda/es/accesorios-y-consumibles/14-chocolate-a-la-taza-en-polvo.html</t>
      </text>
    </comment>
    <comment ref="B20" authorId="0" shapeId="0">
      <text>
        <t>Verificado el 12-09-2026 · Real Decreto 1055/2003, de 1 de agosto, por el que se aprueba la Reglamentación técnico-sanitaria sobre los productos de cacao y chocolate destinados a la alimentación humana (B... (Apartados 1.11, 1.12 y 6.e).) · https://www.boe.es/buscar/act.php?id=BOE-A-2003-15599</t>
      </text>
    </comment>
    <comment ref="B23" authorId="0" shapeId="0">
      <text>
        <t>Verificado el 03-10-2026 · Real Decreto 1055/2003, de 1 de agosto (BOE-A-2003-15599), texto consolidado, apartado 1.11 de la Reglamentación técnico-sanitaria · https://www.boe.es/buscar/act.php?id=BOE-A-2003-15599</t>
      </text>
    </comment>
    <comment ref="B24" authorId="0" shapeId="0">
      <text>
        <t>Verificado el 03-10-2026 · Real Decreto 1055/2003 (BOE-A-2003-15599), texto consolidado, apartados 1.11 y 6.a)-b) y e) de la Reglamentación técnico-sanitaria · https://www.boe.es/buscar/act.php?id=BOE-A-2003-15599</t>
      </text>
    </comment>
    <comment ref="B28" authorId="0" shapeId="0">
      <text>
        <t>Verificado el 03-10-2026 · Agencia Tributaria, «Tipos impositivos en el IVA 2025» (Ley 37/1992, art. 91) · petete.tributos.hacienda.gob.es (buscador no consultable de forma automática) · https://sede.agenciatributaria.gob.es/static_files/Sede/Tema/IVA/IVA_reperc/Tipos_IVA_2025.pdf</t>
      </text>
    </comment>
  </commentList>
</comments>
</file>

<file path=xl/comments/comment3.xml><?xml version="1.0" encoding="utf-8"?>
<comments xmlns="http://schemas.openxmlformats.org/spreadsheetml/2006/main">
  <authors>
    <author>AI Chef Pro</author>
  </authors>
  <commentList>
    <comment ref="Z16" authorId="0" shapeId="0">
      <text>
        <t>Verificado el 12-09-2026 · Real Decreto 126/2015, de 27 de febrero, por el que se aprueba la norma general relativa a la información alimentaria de los alimentos que se presenten sin envasar para la venta... (Arts.) · https://www.boe.es/buscar/act.php?id=BOE-A-2015-2293</t>
      </text>
    </comment>
    <comment ref="D17" authorId="0" shapeId="0">
      <text>
        <t>Fuente: CUS-17 · fiabilidad media · https://www.elespanol.com/sociedad/20251021/dueno-negocio-churros-anos-historia-vendemos-raciones-dia-rentabilidad/1003743974262_0.html</t>
      </text>
    </comment>
    <comment ref="D18" authorId="0" shapeId="0">
      <text>
        <t>Fuente: CUS-17 · fiabilidad media · https://www.elespanol.com/sociedad/20251021/dueno-negocio-churros-anos-historia-vendemos-raciones-dia-rentabilidad/1003743974262_0.html</t>
      </text>
    </comment>
    <comment ref="D20" authorId="0" shapeId="0">
      <text>
        <t>Fuente: CUS-16 · fiabilidad media · https://www.moncloa.com/2026/09/21/madrid-vallecas-churreria-3431587</t>
      </text>
    </comment>
    <comment ref="D21" authorId="0" shapeId="0">
      <text>
        <t>Fuente: CUS-16 · fiabilidad media · https://www.moncloa.com/2026/09/21/madrid-vallecas-churreria-3431587</t>
      </text>
    </comment>
    <comment ref="D26" authorId="0" shapeId="0">
      <text>
        <t>Fuente: CUS-15 · fiabilidad alta · https://www.lachurreriadegranada.es/carta-precios.html</t>
      </text>
    </comment>
    <comment ref="D27" authorId="0" shapeId="0">
      <text>
        <t>Fuente: CUS-15 · fiabilidad alta · https://www.lachurreriadegranada.es/carta-precios.html</t>
      </text>
    </comment>
    <comment ref="D37" authorId="0" shapeId="0">
      <text>
        <t>Fuente: CUS-11 · fiabilidad alta · https://chocolateria1902.com/carta/</t>
      </text>
    </comment>
    <comment ref="D38" authorId="0" shapeId="0">
      <text>
        <t>Fuente: CUS-11 · fiabilidad alta · https://chocolateria1902.com/carta/</t>
      </text>
    </comment>
    <comment ref="D40" authorId="0" shapeId="0">
      <text>
        <t>Fuente: CUS-11 · fiabilidad alta · https://chocolateria1902.com/carta/</t>
      </text>
    </comment>
  </commentList>
</comments>
</file>

<file path=xl/comments/comment4.xml><?xml version="1.0" encoding="utf-8"?>
<comments xmlns="http://schemas.openxmlformats.org/spreadsheetml/2006/main">
  <authors>
    <author>AI Chef Pro</author>
  </authors>
  <commentList>
    <comment ref="B13" authorId="0" shapeId="0">
      <text>
        <t>Fuente: CUS-01 · fiabilidad media · https://es.loomispay.com/blog/rentabilidad-churreria-2025</t>
      </text>
    </comment>
    <comment ref="B14" authorId="0" shapeId="0">
      <text>
        <t>Fuente: CUS-30 · fiabilidad baja · https://www.elespanol.com/sociedad/20251021/dueno-negocio-churros-anos-historia-vendemos-raciones-dia-rentabilidad/1003743974262_0.html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fitToPage="1"/>
  </sheetPr>
  <dimension ref="A1:A63"/>
  <sheetViews>
    <sheetView workbookViewId="0">
      <selection activeCell="A1" sqref="A1"/>
    </sheetView>
  </sheetViews>
  <sheetFormatPr baseColWidth="8" defaultRowHeight="15"/>
  <cols>
    <col width="100" customWidth="1" min="1" max="1"/>
  </cols>
  <sheetData>
    <row r="1">
      <c r="A1" s="1" t="inlineStr">
        <is>
          <t>Carta de Apertura y Escandallo del Churro</t>
        </is>
      </c>
    </row>
    <row r="2">
      <c r="A2" s="2" t="inlineStr">
        <is>
          <t>AI Chef Pro · aichef.pro — Cómo Montar una Churrería-Chocolatería</t>
        </is>
      </c>
    </row>
    <row r="3">
      <c r="A3" s="3" t="inlineStr">
        <is>
          <t>Para qué sirve: decidir a cuánto vendes la ración, la docena, el kilo y la taza, con el coste real de la masa frita y del aceite que se lleva, y saber qué margen te queda de verdad.</t>
        </is>
      </c>
    </row>
    <row r="4"/>
    <row r="5">
      <c r="A5" s="4" t="inlineStr">
        <is>
          <t>Instrucciones de Uso</t>
        </is>
      </c>
    </row>
    <row r="6">
      <c r="A6" s="5" t="inlineStr">
        <is>
          <t>Celdas verdes = campos editables</t>
        </is>
      </c>
    </row>
    <row r="7">
      <c r="A7" s="6" t="inlineStr">
        <is>
          <t>Las celdas en crema son resultados que el libro calcula; las blancas con fórmula, también. No escribas encima.</t>
        </is>
      </c>
    </row>
    <row r="8"/>
    <row r="9" ht="58" customHeight="1">
      <c r="A9" s="6" t="inlineStr">
        <is>
          <t>1. Hoja «Parámetros». Arriba, el IVA de cada canal: la sala al 10 % y, para llevar, una celda por categoría. Chocolate y bebidas para llevar van al 10 % en celda verde con un aviso (consulta a tu asesor: con agua y un preparado azucarado podría ser el 21 %); granizado y horchata para llevar llevan el 21 % por prudencia, también en celda verde y con el mismo aviso (es zona gris: lo decide tu asesor). Abajo, los supuestos de la masa y del aceite, y la tabla de insumos: es la ÚNICA tabla donde se tocan los precios. El del aceite es la celda única de todo el paquete.</t>
        </is>
      </c>
    </row>
    <row r="10" ht="58" customHeight="1">
      <c r="A10" s="6" t="inlineStr">
        <is>
          <t>2. Hoja «Escandallo por kg de Masa». Cuánto cuesta un kilo de masa con el preparado comercial y con un mix propio, cuánto cuesta un churro y una porra, y de la masa a cada una de las 24 referencias de la carta. Al pie, la receta y el envase de cada referencia: el envase sólo cuenta cuando se vende para llevar.</t>
        </is>
      </c>
    </row>
    <row r="11" ht="58" customHeight="1">
      <c r="A11" s="6" t="inlineStr">
        <is>
          <t>3. Hoja «Absorción de Aceite y Merma». Los euros de aceite que se lleva cada kilo de masa frita y lo que cuesta la masa que se fríe y no se vende. Aquí sólo está el aceite ABSORBIDO; la renovación del aceite de la cuba la calcula el libro 4.</t>
        </is>
      </c>
    </row>
    <row r="12" ht="58" customHeight="1">
      <c r="A12" s="6" t="inlineStr">
        <is>
          <t>4. Hoja «Chocolate a la Taza». Lo que cuesta una taza y qué dice la etiqueta de tu preparado. La carta usa la denominación que figura en esa etiqueta; si el cacao seco total baja del 35 % o lleva grasa vegetal, la hoja te pide consultar a tu servicio de consumo antes de imprimir la carta.</t>
        </is>
      </c>
    </row>
    <row r="13" ht="58" customHeight="1">
      <c r="A13" s="6" t="inlineStr">
        <is>
          <t>5. Hoja «Coste Hora». El coste de empresa de una hora de tu plantilla y los minutos de mano de obra que lleva cada ración. Nace con el de El Molinete; cuando rellenes el libro 8, su fila de CUADRE te dirá si este número se ha quedado viejo.</t>
        </is>
      </c>
    </row>
    <row r="14" ht="58" customHeight="1">
      <c r="A14" s="6" t="inlineStr">
        <is>
          <t>6. Hoja «Ración, Docena o Kilo». Los siete formatos de churro y porra, comparados por los euros que deja cada kilo de masa que fríes.</t>
        </is>
      </c>
    </row>
    <row r="15" ht="58" customHeight="1">
      <c r="A15" s="6" t="inlineStr">
        <is>
          <t>7. Hoja «Mix y Ticket Canal y Temporada». El PVP con IVA de cada referencia, la parte que se vende para llevar y el mix de invierno (septiembre a junio) y de verano (julio y agosto). De aquí salen el ticket sin IVA y el coste de materia por canal y temporada, que copian los libros 5 y 6.</t>
        </is>
      </c>
    </row>
    <row r="16" ht="58" customHeight="1">
      <c r="A16" s="6" t="inlineStr">
        <is>
          <t>8. Hoja «Los Dos Márgenes». Tu margen sobre materia prima y tu margen tras aceite y mano de obra, al lado de las dos cifras publicadas con las que se suelen comparar, cada una con su definición. No son la misma cosa y no se mezclan.</t>
        </is>
      </c>
    </row>
    <row r="17" ht="58" customHeight="1">
      <c r="A17" s="6" t="inlineStr">
        <is>
          <t>9. Hoja «Decisión de Surtido». Margen en euros por unidad contra rotación: qué mantener, a qué revisarle el precio, qué vigilar y qué retirar.</t>
        </is>
      </c>
    </row>
    <row r="18"/>
    <row r="19">
      <c r="A19" s="4" t="inlineStr">
        <is>
          <t>Orden de Relleno y Lo que Este Libro Pasa a los Demás</t>
        </is>
      </c>
    </row>
    <row r="20" ht="58" customHeight="1">
      <c r="A20" s="6" t="inlineStr">
        <is>
          <t>Orden de relleno del paquete: 3 (carta-de-apertura-y-escandallo-churro.xlsx), luego 1 (produccion-hora-punta-y-local.xlsx), luego 4 (aceite-de-fritura-coste-y-cambio.xlsx), luego 5 (temporada-franjas-y-ferias.xlsx), luego 8 (turnos-plantilla-y-madrugada.xlsx), luego 2 (calculadora-capex-churreria.xlsx), luego 6 (plan-financiero-3-anos-churreria.xlsx). El libro 7 (checklist-legal-fritura-y-licencias.xlsx) no depende de ninguno: rellénalo cuando quieras. Este es el libro 3 y va el PRIMERO: los demás copian sus cifras.</t>
        </is>
      </c>
    </row>
    <row r="21" ht="44" customHeight="1">
      <c r="A21" s="6" t="inlineStr">
        <is>
          <t>Las cifras que viajan están en el bloque «Lo que Copian Otros Libros» de cada hoja (rótulo en la columna K, valor en la L). Ningún libro se vincula con otro por fórmula: el libro que la recibe tiene una celda verde para copiarla a mano y una fila de CUADRE que avisa si se ha quedado vieja.</t>
        </is>
      </c>
    </row>
    <row r="22" ht="28" customHeight="1">
      <c r="A22" s="7" t="inlineStr">
        <is>
          <t>Parámetros!L5 - Precio del aceite (base imponible). Lo copia: libro 2 (X17), libro 4 (X2).</t>
        </is>
      </c>
    </row>
    <row r="23" ht="28" customHeight="1">
      <c r="A23" s="7" t="inlineStr">
        <is>
          <t>Parámetros!L6 - Absorción de aceite, en % del peso frito. Lo copia: libro 4 (X2).</t>
        </is>
      </c>
    </row>
    <row r="24" ht="28" customHeight="1">
      <c r="A24" s="7" t="inlineStr">
        <is>
          <t>Parámetros!L7 - Densidad del aceite. Lo copia: libro 4 (X2).</t>
        </is>
      </c>
    </row>
    <row r="25" ht="28" customHeight="1">
      <c r="A25" s="7" t="inlineStr">
        <is>
          <t>Parámetros!L8 - Precio del mix (base imponible). Lo copia: libro 2 (X17).</t>
        </is>
      </c>
    </row>
    <row r="26" ht="28" customHeight="1">
      <c r="A26" s="7" t="inlineStr">
        <is>
          <t>Parámetros!L9 - Kilos fritos que salen de un kilo de masa. Lo copia: libro 1 (X1 bis).</t>
        </is>
      </c>
    </row>
    <row r="27" ht="28" customHeight="1">
      <c r="A27" s="7" t="inlineStr">
        <is>
          <t>Parámetros!L10 - Precio del insumo «preparado_taza» del stock inicial (base imponible). Lo copia: libro 2 (X17).</t>
        </is>
      </c>
    </row>
    <row r="28" ht="28" customHeight="1">
      <c r="A28" s="7" t="inlineStr">
        <is>
          <t>Parámetros!L11 - Precio del insumo «cobertura» del stock inicial (base imponible). Lo copia: libro 2 (X17).</t>
        </is>
      </c>
    </row>
    <row r="29" ht="28" customHeight="1">
      <c r="A29" s="7" t="inlineStr">
        <is>
          <t>Parámetros!L12 - Precio del insumo «cucurucho» del stock inicial (base imponible). Lo copia: libro 2 (X17).</t>
        </is>
      </c>
    </row>
    <row r="30" ht="28" customHeight="1">
      <c r="A30" s="7" t="inlineStr">
        <is>
          <t>Parámetros!L13 - Precio del insumo «vaso_llevar» del stock inicial (base imponible). Lo copia: libro 2 (X17).</t>
        </is>
      </c>
    </row>
    <row r="31" ht="28" customHeight="1">
      <c r="A31" s="7" t="inlineStr">
        <is>
          <t>Parámetros!L14 - Precio del insumo «papel_antigrasa» del stock inicial (base imponible). Lo copia: libro 2 (X17).</t>
        </is>
      </c>
    </row>
    <row r="32" ht="28" customHeight="1">
      <c r="A32" s="7" t="inlineStr">
        <is>
          <t>Parámetros!L15 - Precio del insumo «caja_kilo» del stock inicial (base imponible). Lo copia: libro 2 (X17).</t>
        </is>
      </c>
    </row>
    <row r="33" ht="28" customHeight="1">
      <c r="A33" s="7" t="inlineStr">
        <is>
          <t>Parámetros!L16 - Precio del insumo «cafe» del stock inicial (base imponible). Lo copia: libro 2 (X17).</t>
        </is>
      </c>
    </row>
    <row r="34" ht="28" customHeight="1">
      <c r="A34" s="7" t="inlineStr">
        <is>
          <t>Parámetros!L17 - Precio del insumo «leche» del stock inicial (base imponible). Lo copia: libro 2 (X17).</t>
        </is>
      </c>
    </row>
    <row r="35" ht="28" customHeight="1">
      <c r="A35" s="7" t="inlineStr">
        <is>
          <t>Parámetros!L18 - Precio del insumo «azucar» del stock inicial (base imponible). Lo copia: libro 2 (X17).</t>
        </is>
      </c>
    </row>
    <row r="36" ht="28" customHeight="1">
      <c r="A36" s="7" t="inlineStr">
        <is>
          <t>Parámetros!L19 - Precio del insumo «cacao_soluble» del stock inicial (base imponible). Lo copia: libro 2 (X17).</t>
        </is>
      </c>
    </row>
    <row r="37" ht="28" customHeight="1">
      <c r="A37" s="7" t="inlineStr">
        <is>
          <t>Parámetros!L20 - Precio del insumo «infusion» del stock inicial (base imponible). Lo copia: libro 2 (X17).</t>
        </is>
      </c>
    </row>
    <row r="38" ht="28" customHeight="1">
      <c r="A38" s="7" t="inlineStr">
        <is>
          <t>Parámetros!L21 - Precio del insumo «agua» del stock inicial (base imponible). Lo copia: libro 2 (X17).</t>
        </is>
      </c>
    </row>
    <row r="39" ht="28" customHeight="1">
      <c r="A39" s="7" t="inlineStr">
        <is>
          <t>Absorción de Aceite y Merma!L5 - Aceite absorbido por ración (mix de invierno). Lo copia: libro 4 (X2 bis).</t>
        </is>
      </c>
    </row>
    <row r="40" ht="28" customHeight="1">
      <c r="A40" s="7" t="inlineStr">
        <is>
          <t>Coste Hora!L5 - Coste hora de mano de obra. Lo copia: libro 5 (X5), libro 8 (X8).</t>
        </is>
      </c>
    </row>
    <row r="41" ht="28" customHeight="1">
      <c r="A41" s="7" t="inlineStr">
        <is>
          <t>Mix y Ticket Canal y Temporada!L5 - kg de masa por ración media (mix de invierno, merma incluida). Lo copia: libro 1 (X1), libro 4 (X2 bis).</t>
        </is>
      </c>
    </row>
    <row r="42" ht="28" customHeight="1">
      <c r="A42" s="7" t="inlineStr">
        <is>
          <t>Mix y Ticket Canal y Temporada!L6 - Ticket sin IVA por ración en verano (carta de verano). Lo copia: libro 5 (X5).</t>
        </is>
      </c>
    </row>
    <row r="43" ht="28" customHeight="1">
      <c r="A43" s="7" t="inlineStr">
        <is>
          <t>Mix y Ticket Canal y Temporada!L7 - Coste de materia por ración en verano, aceite absorbido incluido. Lo copia: libro 5 (X5).</t>
        </is>
      </c>
    </row>
    <row r="44" ht="28" customHeight="1">
      <c r="A44" s="7" t="inlineStr">
        <is>
          <t>Mix y Ticket Canal y Temporada!L8 - Coste de materia por ración para llevar, aceite absorbido incluido. Lo copia: libro 5 (X5), libro 6 (X11).</t>
        </is>
      </c>
    </row>
    <row r="45" ht="28" customHeight="1">
      <c r="A45" s="7" t="inlineStr">
        <is>
          <t>Mix y Ticket Canal y Temporada!L9 - Coste de materia por ración en sala (invierno), aceite absorbido incluido. Lo copia: libro 6 (X11).</t>
        </is>
      </c>
    </row>
    <row r="46" ht="28" customHeight="1">
      <c r="A46" s="7" t="inlineStr">
        <is>
          <t>Mix y Ticket Canal y Temporada!L10 - Ticket sin IVA por ración en sala (invierno). Lo copia: libro 6 (X11).</t>
        </is>
      </c>
    </row>
    <row r="47" ht="28" customHeight="1">
      <c r="A47" s="7" t="inlineStr">
        <is>
          <t>Mix y Ticket Canal y Temporada!L11 - Ticket sin IVA por ración para llevar (invierno). Lo copia: libro 6 (X11).</t>
        </is>
      </c>
    </row>
    <row r="48" ht="28" customHeight="1">
      <c r="A48" s="7" t="inlineStr">
        <is>
          <t>Mix y Ticket Canal y Temporada!L12 - Raciones en sala, en fracción (0,70 = 70 %; el resto, para llevar). Lo copia: libro 6 (X11).</t>
        </is>
      </c>
    </row>
    <row r="49"/>
    <row r="50">
      <c r="A50" s="4" t="inlineStr">
        <is>
          <t>Lo que Conviene Saber Antes de Empezar</t>
        </is>
      </c>
    </row>
    <row r="51" ht="72" customHeight="1">
      <c r="A51" s="6" t="inlineStr">
        <is>
          <t>UNA RACIÓN, EN ESTE PAQUETE, ES LA UNIDAD DE VENTA MEDIA DE LA CARTA. Una ración de churros, una taza, un café o una docena cuentan como una cada una, ponderadas por el mix. Es la unidad con la que los libros 1, 4, 5 y 6 cuentan raciones al día y al año.</t>
        </is>
      </c>
    </row>
    <row r="52" ht="72" customHeight="1">
      <c r="A52" s="6" t="inlineStr">
        <is>
          <t>EL COSTE DE MATERIA INCLUYE EL ACEITE QUE SE LLEVA LA MASA. Es el que el plan financiero resta por ración. El aceite que tiras al cambiar la cuba (la renovación) no está aquí: lo calcula el libro 4 y el 6 suma las dos partes, cada una con su fuente.</t>
        </is>
      </c>
    </row>
    <row r="53" ht="72" customHeight="1">
      <c r="A53" s="6" t="inlineStr">
        <is>
          <t>LOS DOS MÁRGENES NO SON LA MISMA COSA. «Márgenes superiores al 60 % en producto» (Loomis Pay, proveedor de TPV) es un margen sobre materia prima, sin método publicado. «Un poquito más del 50 %» es la rentabilidad que declara de palabra Javier, gestor de La Artesana (Palma): no es un margen sobre materia prima. El plan financiero usa el margen de TU escandallo, nunca ninguno de los dos.</t>
        </is>
      </c>
    </row>
    <row r="54" ht="72" customHeight="1">
      <c r="A54" s="6" t="inlineStr">
        <is>
          <t>EL IVA SE APLICA POR REFERENCIA Y POR CANAL. En sala, todo al 10 % (servicio de hostelería). Para llevar, churros y porras al 10 %; chocolate y demás bebidas para llevar, al 10 % en celda verde con aviso; granizado y horchata para llevar, al 21 % por prudencia (llevan azúcar añadido y es zona gris), en celda verde y con el mismo aviso. El capítulo 03 de la guía lo explica. El food cost se calcula SIEMPRE sobre base imponible en los dos lados.</t>
        </is>
      </c>
    </row>
    <row r="55" ht="72" customHeight="1">
      <c r="A55" s="6" t="inlineStr">
        <is>
          <t>LOS SUPUESTOS DE LA MASA Y DEL ACEITE NO SON DATOS DEL SECTOR. Los gramos por pieza, la absorción, la densidad, la merma y los kilos fritos por kilo de masa son supuestos declarados de El Molinete, sin fuente pública. Pon los tuyos: pesa diez piezas, pesa la masa de una tanda y lo que sale de la freidora, y apunta lo que tiras al cierre.</t>
        </is>
      </c>
    </row>
    <row r="56" ht="72" customHeight="1">
      <c r="A56" s="6" t="inlineStr">
        <is>
          <t>DÓNDE NO ESTÁ LO QUE AQUÍ NO ESTÁ. Ni el Kit de Escandallos ni la Guía Food Cost costean masa frita por kilo, con absorción de aceite y merma: eso es este libro. Las franjas del día viven en el libro 5; la plantilla, el convenio y la madrugada, en el 8; el cambio del aceite y el gestor de aceite usado, en el 4.</t>
        </is>
      </c>
    </row>
    <row r="57"/>
    <row r="58" ht="58" customHeight="1">
      <c r="A58" s="6" t="inlineStr">
        <is>
          <t>Cada cuánto se usa este libro: los precios de insumos, cada vez que te suba un proveedor (el aceite, como mínimo una vez al mes). Los gramos por pieza, la absorción y la merma, al abrir y cada vez que cambies de masa o de freidora. El mix y los PVP, a los tres meses de abrir con las ventas del TPV, y otra vez al pasar a la carta de verano. Cada vez que cambie una cifra del bloque «Lo que Copian Otros Libros», cópiala de nuevo en los libros que la usan.</t>
        </is>
      </c>
    </row>
    <row r="59"/>
    <row r="60">
      <c r="A60" s="6" t="inlineStr">
        <is>
          <t>Para editar la estructura o una celda que no esté en verde: Revisar &gt; Desproteger hoja (no tiene contraseña).</t>
        </is>
      </c>
    </row>
    <row r="61"/>
    <row r="62">
      <c r="A62" s="6" t="inlineStr">
        <is>
          <t>Diseñado por John Guerrero — chef y consultor gastronómico desde 2010, en cocina desde los 17 años.</t>
        </is>
      </c>
    </row>
    <row r="63">
      <c r="A63"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M62"/>
  <sheetViews>
    <sheetView workbookViewId="0">
      <selection activeCell="A1" sqref="A1"/>
    </sheetView>
  </sheetViews>
  <sheetFormatPr baseColWidth="8" defaultRowHeight="15"/>
  <cols>
    <col width="50" customWidth="1" min="1" max="1"/>
    <col width="15" customWidth="1" min="2" max="2"/>
    <col width="13" customWidth="1" min="3" max="3"/>
    <col width="22" customWidth="1" min="4" max="4"/>
    <col width="66" customWidth="1" min="5" max="5"/>
    <col width="10" customWidth="1" min="6" max="6"/>
    <col width="15" customWidth="1" min="7" max="7"/>
    <col width="16" customWidth="1" min="8" max="8"/>
    <col width="60" customWidth="1" min="9" max="9"/>
    <col width="40" customWidth="1" min="11" max="11"/>
    <col width="14" customWidth="1" min="12" max="12"/>
    <col width="48" customWidth="1" min="13" max="13"/>
  </cols>
  <sheetData>
    <row r="1">
      <c r="A1" s="1" t="inlineStr">
        <is>
          <t>Parámetros</t>
        </is>
      </c>
    </row>
    <row r="2">
      <c r="A2" s="2" t="inlineStr">
        <is>
          <t>AI Chef Pro · aichef.pro — Cómo Montar una Churrería-Chocolatería</t>
        </is>
      </c>
    </row>
    <row r="3">
      <c r="A3" s="3" t="inlineStr">
        <is>
          <t>Todo lo que el resto de hojas da por sabido vive aquí. Ninguna fórmula de este libro lleva un número de IVA, de margen o de umbral dentro.</t>
        </is>
      </c>
    </row>
    <row r="4">
      <c r="A4" s="4" t="inlineStr">
        <is>
          <t>IVA por Canal (El Capítulo 03 de la Guía lo Explica)</t>
        </is>
      </c>
      <c r="K4" s="4" t="inlineStr">
        <is>
          <t>Lo que Copian Otros Libros (No Muevas Estas Celdas)</t>
        </is>
      </c>
    </row>
    <row r="5" ht="44" customHeight="1">
      <c r="A5" s="6" t="inlineStr">
        <is>
          <t>IVA en sala, barra y terraza (servicio de hostelería)</t>
        </is>
      </c>
      <c r="B5" s="9" t="n">
        <v>0.1</v>
      </c>
      <c r="C5" t="inlineStr">
        <is>
          <t>tipo</t>
        </is>
      </c>
      <c r="D5" s="10" t="inlineStr">
        <is>
          <t>CHN-71c + FC-IVA-01</t>
        </is>
      </c>
      <c r="E5" s="10" t="inlineStr">
        <is>
          <t>Servicio de hostelería: lo que se consume en barra, sala o terraza, bebidas incluidas, va al tipo reducido.</t>
        </is>
      </c>
      <c r="K5" s="11" t="inlineStr">
        <is>
          <t>Precio del aceite (base imponible), EUR/L</t>
        </is>
      </c>
      <c r="L5" s="12">
        <f>G34</f>
        <v>1.996</v>
      </c>
      <c r="M5" s="10" t="inlineStr">
        <is>
          <t>Lo copia: libro 2 (calculadora-capex-churreria.xlsx, hoja Parámetros, X17); libro 4 (aceite-de-fritura-coste-y-cambio.xlsx, hoja Parámetros, X2)</t>
        </is>
      </c>
    </row>
    <row r="6" ht="44" customHeight="1">
      <c r="A6" s="6" t="inlineStr">
        <is>
          <t>IVA de churros y porras para llevar</t>
        </is>
      </c>
      <c r="B6" s="9" t="n">
        <v>0.1</v>
      </c>
      <c r="C6" t="inlineStr">
        <is>
          <t>tipo</t>
        </is>
      </c>
      <c r="D6" s="10" t="inlineStr">
        <is>
          <t>FC-IVA-02</t>
        </is>
      </c>
      <c r="E6" s="10" t="inlineStr">
        <is>
          <t>Churros y porras para llevar: entrega de un alimento.</t>
        </is>
      </c>
      <c r="K6" s="11" t="inlineStr">
        <is>
          <t>Absorción de aceite, en % del peso frito</t>
        </is>
      </c>
      <c r="L6" s="13">
        <f>B18</f>
        <v>0.1</v>
      </c>
      <c r="M6" s="10" t="inlineStr">
        <is>
          <t>Lo copia: libro 4 (aceite-de-fritura-coste-y-cambio.xlsx, hoja Parámetros, X2)</t>
        </is>
      </c>
    </row>
    <row r="7" ht="44" customHeight="1">
      <c r="A7" s="6" t="inlineStr">
        <is>
          <t>IVA del chocolate a la taza para llevar</t>
        </is>
      </c>
      <c r="B7" s="9" t="n">
        <v>0.1</v>
      </c>
      <c r="C7" t="inlineStr">
        <is>
          <t>tipo</t>
        </is>
      </c>
      <c r="D7" s="10" t="inlineStr">
        <is>
          <t>CUN-18</t>
        </is>
      </c>
      <c r="E7" s="10" t="inlineStr">
        <is>
          <t>Consulta a tu asesor: con agua y un preparado azucarado podría ser el 21 %. El Molinete aplica el 10 % y lo deja en celda verde: es una zona gris y el tipo lo decide tu asesor, no este libro.</t>
        </is>
      </c>
      <c r="K7" s="11" t="inlineStr">
        <is>
          <t>Densidad del aceite, kg/L</t>
        </is>
      </c>
      <c r="L7" s="14">
        <f>B19</f>
        <v>0.92</v>
      </c>
      <c r="M7" s="10" t="inlineStr">
        <is>
          <t>Lo copia: libro 4 (aceite-de-fritura-coste-y-cambio.xlsx, hoja Parámetros, X2)</t>
        </is>
      </c>
    </row>
    <row r="8" ht="44" customHeight="1">
      <c r="A8" s="6" t="inlineStr">
        <is>
          <t>IVA de las demás bebidas para llevar (café, leche con cacao, zumo, agua, batido)</t>
        </is>
      </c>
      <c r="B8" s="9" t="n">
        <v>0.1</v>
      </c>
      <c r="C8" t="inlineStr">
        <is>
          <t>tipo</t>
        </is>
      </c>
      <c r="D8" s="10" t="inlineStr">
        <is>
          <t>CUN-18 + CHN-71c</t>
        </is>
      </c>
      <c r="E8" s="10" t="inlineStr">
        <is>
          <t>Consulta a tu asesor: con agua y un preparado azucarado podría ser el 21 %. El mismo aviso vale para todas las bebidas para llevar, leche con cacao incluida. El refresco con azúcar añadido para llevar va al tipo general: tiene su propia fila.</t>
        </is>
      </c>
      <c r="K8" s="11" t="inlineStr">
        <is>
          <t>Precio del preparado para masa (base imponible), EUR/kg</t>
        </is>
      </c>
      <c r="L8" s="12">
        <f>G33</f>
        <v>1.45</v>
      </c>
      <c r="M8" s="10" t="inlineStr">
        <is>
          <t>Lo copia: libro 2 (calculadora-capex-churreria.xlsx, hoja Parámetros, X17)</t>
        </is>
      </c>
    </row>
    <row r="9" ht="44" customHeight="1">
      <c r="A9" s="6" t="inlineStr">
        <is>
          <t>IVA del granizado y la horchata para llevar</t>
        </is>
      </c>
      <c r="B9" s="9" t="n">
        <v>0.21</v>
      </c>
      <c r="C9" t="inlineStr">
        <is>
          <t>tipo</t>
        </is>
      </c>
      <c r="D9" s="10" t="inlineStr">
        <is>
          <t>FC-IVA-04 + CUN-17</t>
        </is>
      </c>
      <c r="E9" s="10" t="inlineStr">
        <is>
          <t>Aviso, no regla: El Molinete pone el 21 % por prudencia. Desde el 1-1-2021 las bebidas refrescantes con azúcares añadidos para llevar quedan fuera del tipo reducido y no hay una consulta que diga si tu granizado o tu horchata lo son. Es zona gris: consúltalo con tu asesor y, si te confirma el 10 %, cámbialo aquí. En sala siguen al 10 % (servicio de hostelería).</t>
        </is>
      </c>
      <c r="K9" s="11" t="inlineStr">
        <is>
          <t>Kilos fritos que salen de un kilo de masa, kg/kg</t>
        </is>
      </c>
      <c r="L9" s="14">
        <f>B17</f>
        <v>0.9</v>
      </c>
      <c r="M9" s="10" t="inlineStr">
        <is>
          <t>Lo copia: libro 1 (produccion-hora-punta-y-local.xlsx, hoja Parámetros, X1 bis)</t>
        </is>
      </c>
    </row>
    <row r="10" ht="44" customHeight="1">
      <c r="A10" s="6" t="inlineStr">
        <is>
          <t>IVA general (envases, equipamiento, servicios)</t>
        </is>
      </c>
      <c r="B10" s="9" t="n">
        <v>0.21</v>
      </c>
      <c r="C10" t="inlineStr">
        <is>
          <t>tipo</t>
        </is>
      </c>
      <c r="D10" s="10" t="inlineStr">
        <is>
          <t>CHN-71c</t>
        </is>
      </c>
      <c r="E10" s="10" t="inlineStr">
        <is>
          <t>Tipo general: equipamiento, obra, envases y servicios.</t>
        </is>
      </c>
      <c r="K10" s="11" t="inlineStr">
        <is>
          <t>Precio del insumo «Chocolate a la taza en polvo (bolsa de 800 g, rinde 4,3 L)» (base imponible), EUR/unidad</t>
        </is>
      </c>
      <c r="L10" s="12">
        <f>G35</f>
        <v>7.1875</v>
      </c>
      <c r="M10" s="10" t="inlineStr">
        <is>
          <t>Lo copia: libro 2 (calculadora-capex-churreria.xlsx, hoja Parámetros, X17)</t>
        </is>
      </c>
    </row>
    <row r="11" ht="44" customHeight="1">
      <c r="A11" s="6" t="inlineStr">
        <is>
          <t>IVA soportado de los alimentos que compras</t>
        </is>
      </c>
      <c r="B11" s="9" t="n">
        <v>0.1</v>
      </c>
      <c r="C11" t="inlineStr">
        <is>
          <t>tipo</t>
        </is>
      </c>
      <c r="D11" s="10" t="inlineStr">
        <is>
          <t>supuesto declarado</t>
        </is>
      </c>
      <c r="E11" s="10" t="inlineStr">
        <is>
          <t>IVA soportado del mix, el aceite y el preparado: compruébalo en cada factura, el aceite ha tenido tipos rebajados temporales.</t>
        </is>
      </c>
      <c r="K11" s="11" t="inlineStr">
        <is>
          <t>Precio del insumo «Cobertura de chocolate negro (1 kg)» (base imponible), EUR/unidad</t>
        </is>
      </c>
      <c r="L11" s="12">
        <f>G36</f>
        <v>6.5</v>
      </c>
      <c r="M11" s="10" t="inlineStr">
        <is>
          <t>Lo copia: libro 2 (calculadora-capex-churreria.xlsx, hoja Parámetros, X17)</t>
        </is>
      </c>
    </row>
    <row r="12" ht="30" customHeight="1">
      <c r="K12" s="11" t="inlineStr">
        <is>
          <t>Precio del insumo «Cucurucho de cartón para churros (caja de 100)» (base imponible), EUR/unidad</t>
        </is>
      </c>
      <c r="L12" s="12">
        <f>G37</f>
        <v>0.15</v>
      </c>
      <c r="M12" s="10" t="inlineStr">
        <is>
          <t>Lo copia: libro 2 (calculadora-capex-churreria.xlsx, hoja Parámetros, X17)</t>
        </is>
      </c>
    </row>
    <row r="13" ht="30" customHeight="1">
      <c r="A13" s="4" t="inlineStr">
        <is>
          <t>Masa, Fritura y Aceite (Supuestos Declarados de El Molinete)</t>
        </is>
      </c>
      <c r="K13" s="11" t="inlineStr">
        <is>
          <t>Precio del insumo «Vaso de papel plastificado con tapa» (base imponible), EUR/unidad</t>
        </is>
      </c>
      <c r="L13" s="12">
        <f>G51</f>
        <v>0.08</v>
      </c>
      <c r="M13" s="10" t="inlineStr">
        <is>
          <t>Lo copia: libro 2 (calculadora-capex-churreria.xlsx, hoja Parámetros, X17)</t>
        </is>
      </c>
    </row>
    <row r="14" ht="44" customHeight="1">
      <c r="A14" s="6" t="inlineStr">
        <is>
          <t>Gramos de masa por churro (lo que se vende)</t>
        </is>
      </c>
      <c r="B14" s="15" t="n">
        <v>20</v>
      </c>
      <c r="C14" t="inlineStr">
        <is>
          <t>g/pieza</t>
        </is>
      </c>
      <c r="D14" s="10" t="inlineStr">
        <is>
          <t>supuesto declarado</t>
        </is>
      </c>
      <c r="E14" s="10" t="inlineStr">
        <is>
          <t>Supuesto de El Molinete: pesa diez churros de tu masa y divide.</t>
        </is>
      </c>
      <c r="K14" s="11" t="inlineStr">
        <is>
          <t>Precio del insumo «Papel antigrasa para sueltos» (base imponible), EUR/unidad</t>
        </is>
      </c>
      <c r="L14" s="12">
        <f>G52</f>
        <v>0.02</v>
      </c>
      <c r="M14" s="10" t="inlineStr">
        <is>
          <t>Lo copia: libro 2 (calculadora-capex-churreria.xlsx, hoja Parámetros, X17)</t>
        </is>
      </c>
    </row>
    <row r="15" ht="44" customHeight="1">
      <c r="A15" s="6" t="inlineStr">
        <is>
          <t>Gramos de masa por porra (lo que se vende)</t>
        </is>
      </c>
      <c r="B15" s="15" t="n">
        <v>60</v>
      </c>
      <c r="C15" t="inlineStr">
        <is>
          <t>g/pieza</t>
        </is>
      </c>
      <c r="D15" s="10" t="inlineStr">
        <is>
          <t>supuesto declarado</t>
        </is>
      </c>
      <c r="E15" s="10" t="inlineStr">
        <is>
          <t>Supuesto de El Molinete: pesa diez porras de tu masa y divide.</t>
        </is>
      </c>
      <c r="K15" s="11" t="inlineStr">
        <is>
          <t>Precio del insumo «Caja de cartón para el kilo» (base imponible), EUR/unidad</t>
        </is>
      </c>
      <c r="L15" s="12">
        <f>G53</f>
        <v>0.25</v>
      </c>
      <c r="M15" s="10" t="inlineStr">
        <is>
          <t>Lo copia: libro 2 (calculadora-capex-churreria.xlsx, hoja Parámetros, X17)</t>
        </is>
      </c>
    </row>
    <row r="16" ht="44" customHeight="1">
      <c r="A16" s="6" t="inlineStr">
        <is>
          <t>Merma: masa que se fríe y no se vende</t>
        </is>
      </c>
      <c r="B16" s="9" t="n">
        <v>0.05</v>
      </c>
      <c r="C16" t="inlineStr">
        <is>
          <t>sobre lo frito</t>
        </is>
      </c>
      <c r="D16" s="10" t="inlineStr">
        <is>
          <t>supuesto declarado</t>
        </is>
      </c>
      <c r="E16" s="10" t="inlineStr">
        <is>
          <t>Masa que se fríe y no se vende: restos, piezas rotas y el sobrante del cierre. Se produce y se fríe igual.</t>
        </is>
      </c>
      <c r="K16" s="11" t="inlineStr">
        <is>
          <t>Precio del insumo «Café en grano» (base imponible), EUR/unidad</t>
        </is>
      </c>
      <c r="L16" s="12">
        <f>G42</f>
        <v>18.0</v>
      </c>
      <c r="M16" s="10" t="inlineStr">
        <is>
          <t>Lo copia: libro 2 (calculadora-capex-churreria.xlsx, hoja Parámetros, X17)</t>
        </is>
      </c>
    </row>
    <row r="17" ht="44" customHeight="1">
      <c r="A17" s="6" t="inlineStr">
        <is>
          <t>Kilos fritos que salen de un kilo de masa</t>
        </is>
      </c>
      <c r="B17" s="16" t="n">
        <v>0.9</v>
      </c>
      <c r="C17" t="inlineStr">
        <is>
          <t>kg/kg</t>
        </is>
      </c>
      <c r="D17" s="10" t="inlineStr">
        <is>
          <t>supuesto declarado</t>
        </is>
      </c>
      <c r="E17" s="10" t="inlineStr">
        <is>
          <t>La masa pierde agua al freírse y gana aceite: lo que pesa la pieza frita frente a la masa cruda. Sin fuente pública.</t>
        </is>
      </c>
      <c r="K17" s="11" t="inlineStr">
        <is>
          <t>Precio del insumo «Leche» (base imponible), EUR/unidad</t>
        </is>
      </c>
      <c r="L17" s="12">
        <f>G41</f>
        <v>0.85</v>
      </c>
      <c r="M17" s="10" t="inlineStr">
        <is>
          <t>Lo copia: libro 2 (calculadora-capex-churreria.xlsx, hoja Parámetros, X17)</t>
        </is>
      </c>
    </row>
    <row r="18" ht="44" customHeight="1">
      <c r="A18" s="6" t="inlineStr">
        <is>
          <t>Absorción de aceite, en % del peso frito</t>
        </is>
      </c>
      <c r="B18" s="9" t="n">
        <v>0.1</v>
      </c>
      <c r="C18" t="inlineStr">
        <is>
          <t>del peso frito</t>
        </is>
      </c>
      <c r="D18" s="10" t="inlineStr">
        <is>
          <t>supuesto declarado</t>
        </is>
      </c>
      <c r="E18" s="10" t="inlineStr">
        <is>
          <t>Supuesto, sin fuente pública; pon el tuyo. Aceite que se queda en la pieza, en % de lo que pesa ya frita: pesa una tanda de masa antes y después de freír.</t>
        </is>
      </c>
      <c r="K18" s="11" t="inlineStr">
        <is>
          <t>Precio del insumo «Azúcar para espolvorear y sobres» (base imponible), EUR/unidad</t>
        </is>
      </c>
      <c r="L18" s="12">
        <f>G40</f>
        <v>1.0</v>
      </c>
      <c r="M18" s="10" t="inlineStr">
        <is>
          <t>Lo copia: libro 2 (calculadora-capex-churreria.xlsx, hoja Parámetros, X17)</t>
        </is>
      </c>
    </row>
    <row r="19" ht="44" customHeight="1">
      <c r="A19" s="6" t="inlineStr">
        <is>
          <t>Densidad del aceite</t>
        </is>
      </c>
      <c r="B19" s="16" t="n">
        <v>0.92</v>
      </c>
      <c r="C19" t="inlineStr">
        <is>
          <t>kg/L</t>
        </is>
      </c>
      <c r="D19" s="10" t="inlineStr">
        <is>
          <t>supuesto declarado</t>
        </is>
      </c>
      <c r="E19" s="10" t="inlineStr">
        <is>
          <t>Supuesto, sin fuente pública; pon el tuyo (lo trae la ficha técnica del aceite). Hace falta porque la absorción va en peso y el aceite se compra por litros.</t>
        </is>
      </c>
      <c r="K19" s="11" t="inlineStr">
        <is>
          <t>Precio del insumo «Cacao soluble» (base imponible), EUR/unidad</t>
        </is>
      </c>
      <c r="L19" s="12">
        <f>G44</f>
        <v>6.0</v>
      </c>
      <c r="M19" s="10" t="inlineStr">
        <is>
          <t>Lo copia: libro 2 (calculadora-capex-churreria.xlsx, hoja Parámetros, X17)</t>
        </is>
      </c>
    </row>
    <row r="20" ht="44" customHeight="1">
      <c r="A20" s="6" t="inlineStr">
        <is>
          <t>Azúcar para espolvorear por cada 100 g de masa vendida</t>
        </is>
      </c>
      <c r="B20" s="15" t="n">
        <v>5</v>
      </c>
      <c r="C20" t="inlineStr">
        <is>
          <t>g/100 g</t>
        </is>
      </c>
      <c r="D20" s="10" t="inlineStr">
        <is>
          <t>supuesto declarado</t>
        </is>
      </c>
      <c r="E20" s="10" t="inlineStr">
        <is>
          <t>Azúcar para espolvorear, por cada 100 g de masa vendida.</t>
        </is>
      </c>
      <c r="K20" s="11" t="inlineStr">
        <is>
          <t>Precio del insumo «Infusión (sobre)» (base imponible), EUR/unidad</t>
        </is>
      </c>
      <c r="L20" s="12">
        <f>G43</f>
        <v>0.06</v>
      </c>
      <c r="M20" s="10" t="inlineStr">
        <is>
          <t>Lo copia: libro 2 (calculadora-capex-churreria.xlsx, hoja Parámetros, X17)</t>
        </is>
      </c>
    </row>
    <row r="21" ht="44" customHeight="1">
      <c r="A21" s="6" t="inlineStr">
        <is>
          <t>Kilos de preparado comercial por kilo de masa</t>
        </is>
      </c>
      <c r="B21" s="17" t="n">
        <v>0.3478260869565217</v>
      </c>
      <c r="C21" t="inlineStr">
        <is>
          <t>kg/kg</t>
        </is>
      </c>
      <c r="D21" s="10" t="inlineStr">
        <is>
          <t>CUS-21</t>
        </is>
      </c>
      <c r="E21" s="10" t="inlineStr">
        <is>
          <t>El vendedor declara que cada saco de 4 kg prepara unos 11,5 kg de masa; el resto hasta el kilo es agua, sin coste.</t>
        </is>
      </c>
      <c r="K21" s="11" t="inlineStr">
        <is>
          <t>Precio del insumo «Agua (botella de 50 cl)» (base imponible), EUR/unidad</t>
        </is>
      </c>
      <c r="L21" s="12">
        <f>G46</f>
        <v>0.22</v>
      </c>
      <c r="M21" s="10" t="inlineStr">
        <is>
          <t>Lo copia: libro 2 (calculadora-capex-churreria.xlsx, hoja Parámetros, X17)</t>
        </is>
      </c>
    </row>
    <row r="22" ht="36" customHeight="1">
      <c r="A22" s="6" t="inlineStr">
        <is>
          <t>Masa con la que costeas la carta</t>
        </is>
      </c>
      <c r="B22" s="5" t="inlineStr">
        <is>
          <t>Preparado comercial</t>
        </is>
      </c>
      <c r="C22" t="inlineStr">
        <is>
          <t>lista</t>
        </is>
      </c>
      <c r="D22" s="10" t="inlineStr">
        <is>
          <t>decisión 5</t>
        </is>
      </c>
      <c r="E22" s="10" t="inlineStr">
        <is>
          <t>El Molinete compra el preparado comercial. Cambia a «Mix propio» para ver el escandallo con tu mezcla (hoja «Escandallo por kg de Masa»).</t>
        </is>
      </c>
    </row>
    <row r="23"/>
    <row r="24">
      <c r="A24" s="4" t="inlineStr">
        <is>
          <t>El Vaso para Llevar, Cobrado Aparte</t>
        </is>
      </c>
    </row>
    <row r="25" ht="44" customHeight="1">
      <c r="A25" s="6" t="inlineStr">
        <is>
          <t>Vaso para llevar (plástico o papel plastificado), cobrado aparte: importe con IVA</t>
        </is>
      </c>
      <c r="B25" s="18" t="n">
        <v>0.1</v>
      </c>
      <c r="C25" t="inlineStr">
        <is>
          <t>EUR/vaso</t>
        </is>
      </c>
      <c r="D25" s="10" t="inlineStr">
        <is>
          <t>supuesto declarado</t>
        </is>
      </c>
      <c r="E25" s="10" t="inlineStr">
        <is>
          <t>El importe es un supuesto: la ley obliga a cobrarlo aparte, no fija cuánto. Su IVA, el de la bebida, en celda verde. Su IVA es el de «las demás bebidas para llevar» (fila 8).</t>
        </is>
      </c>
    </row>
    <row r="26"/>
    <row r="27">
      <c r="A27" s="4" t="inlineStr">
        <is>
          <t>Umbrales de la Decisión de Surtido (Criterio de la Casa)</t>
        </is>
      </c>
    </row>
    <row r="28" ht="44" customHeight="1">
      <c r="A28" s="6" t="inlineStr">
        <is>
          <t>Margen mínimo por unidad para no revisar el precio</t>
        </is>
      </c>
      <c r="B28" s="18" t="n">
        <v>0.5</v>
      </c>
      <c r="C28" t="inlineStr">
        <is>
          <t>EUR/unidad</t>
        </is>
      </c>
      <c r="D28" s="10" t="inlineStr">
        <is>
          <t>supuesto declarado</t>
        </is>
      </c>
      <c r="E28" s="10" t="inlineStr">
        <is>
          <t>Criterio de la casa, no del sector: es el margen en EUROS de la unidad de venta. Un margen alto en porcentaje sobre un churro de 0,30 EUR no paga la renta.</t>
        </is>
      </c>
    </row>
    <row r="29" ht="44" customHeight="1">
      <c r="A29" s="6" t="inlineStr">
        <is>
          <t>Rotación mínima para no vigilar una referencia</t>
        </is>
      </c>
      <c r="B29" s="15" t="n">
        <v>2</v>
      </c>
      <c r="C29" t="inlineStr">
        <is>
          <t>% del mix</t>
        </is>
      </c>
      <c r="D29" s="10" t="inlineStr">
        <is>
          <t>supuesto declarado</t>
        </is>
      </c>
      <c r="E29" s="10" t="inlineStr">
        <is>
          <t>Por debajo de este peso en el mix de invierno Y en el de verano, la referencia ocupa carta, stock y cabeza sin vender.</t>
        </is>
      </c>
    </row>
    <row r="30"/>
    <row r="31">
      <c r="A31" s="4" t="inlineStr">
        <is>
          <t>Insumos: La Única Tabla Donde se Tocan los Precios</t>
        </is>
      </c>
    </row>
    <row r="32" ht="44" customHeight="1">
      <c r="A32" s="19" t="inlineStr">
        <is>
          <t>Insumo</t>
        </is>
      </c>
      <c r="B32" s="19" t="inlineStr">
        <is>
          <t>Precio del formato (EUR)</t>
        </is>
      </c>
      <c r="C32" s="19" t="inlineStr">
        <is>
          <t>¿El precio lleva IVA?</t>
        </is>
      </c>
      <c r="D32" s="19" t="inlineStr">
        <is>
          <t>Tipo de IVA</t>
        </is>
      </c>
      <c r="E32" s="19" t="inlineStr">
        <is>
          <t>Cantidad del formato</t>
        </is>
      </c>
      <c r="F32" s="19" t="inlineStr">
        <is>
          <t>Unidad</t>
        </is>
      </c>
      <c r="G32" s="19" t="inlineStr">
        <is>
          <t>Precio SIN IVA por unidad (EUR)</t>
        </is>
      </c>
      <c r="H32" s="19" t="inlineStr">
        <is>
          <t>Fuente</t>
        </is>
      </c>
      <c r="I32" s="19" t="inlineStr">
        <is>
          <t>Base de IVA declarada y nota</t>
        </is>
      </c>
    </row>
    <row r="33" ht="40" customHeight="1">
      <c r="A33" s="6" t="inlineStr">
        <is>
          <t>Preparado para masa de churro (caja de 6 sacos de 4 kg)</t>
        </is>
      </c>
      <c r="B33" s="18" t="n">
        <v>34.8</v>
      </c>
      <c r="C33" s="5" t="inlineStr">
        <is>
          <t>No</t>
        </is>
      </c>
      <c r="D33" s="20">
        <f>'Parámetros'!$B$11</f>
        <v>0.1</v>
      </c>
      <c r="E33" s="16" t="n">
        <v>24</v>
      </c>
      <c r="F33" t="inlineStr">
        <is>
          <t>kg</t>
        </is>
      </c>
      <c r="G33" s="12">
        <f>IFERROR(IF(C33="Sí",B33/(1+D33),B33)/E33,"")</f>
        <v>1.45</v>
      </c>
      <c r="H33" s="21" t="inlineStr">
        <is>
          <t>CUS-21</t>
        </is>
      </c>
      <c r="I33" s="10" t="inlineStr">
        <is>
          <t>Base de la fuente: sin IVA, declarada en la ficha («Impuestos excluidos»). Precio de una caja de 6 sacos de 4 kg, impuestos excluidos (tienda del proveedor, leída el 03-10-2026). Cada saco prepara unos 11,5 kg de masa.</t>
        </is>
      </c>
    </row>
    <row r="34" ht="40" customHeight="1">
      <c r="A34" s="6" t="inlineStr">
        <is>
          <t>Aceite especial de fritura (garrafa de 25 L)</t>
        </is>
      </c>
      <c r="B34" s="18" t="n">
        <v>49.9</v>
      </c>
      <c r="C34" s="5" t="inlineStr">
        <is>
          <t>No</t>
        </is>
      </c>
      <c r="D34" s="20">
        <f>'Parámetros'!$B$11</f>
        <v>0.1</v>
      </c>
      <c r="E34" s="16" t="n">
        <v>25</v>
      </c>
      <c r="F34" t="inlineStr">
        <is>
          <t>L</t>
        </is>
      </c>
      <c r="G34" s="12">
        <f>IFERROR(IF(C34="Sí",B34/(1+D34),B34)/E34,"")</f>
        <v>1.996</v>
      </c>
      <c r="H34" s="21" t="inlineStr">
        <is>
          <t>CUS-23</t>
        </is>
      </c>
      <c r="I34" s="10" t="inlineStr">
        <is>
          <t>Base de la fuente: sin IVA, declarada en la ficha («Impuestos excluidos»). El techo de las dos garrafas de la ficha. Es la CELDA ÚNICA del precio del aceite de todo el paquete: vive en el libro 3 y la copian el 4 y el 2.</t>
        </is>
      </c>
    </row>
    <row r="35" ht="40" customHeight="1">
      <c r="A35" s="6" t="inlineStr">
        <is>
          <t>Chocolate a la taza en polvo (bolsa de 800 g, rinde 4,3 L)</t>
        </is>
      </c>
      <c r="B35" s="18" t="n">
        <v>5.75</v>
      </c>
      <c r="C35" s="5" t="inlineStr">
        <is>
          <t>No</t>
        </is>
      </c>
      <c r="D35" s="20">
        <f>'Parámetros'!$B$11</f>
        <v>0.1</v>
      </c>
      <c r="E35" s="16" t="n">
        <v>0.8</v>
      </c>
      <c r="F35" t="inlineStr">
        <is>
          <t>kg</t>
        </is>
      </c>
      <c r="G35" s="12">
        <f>IFERROR(IF(C35="Sí",B35/(1+D35),B35)/E35,"")</f>
        <v>7.1875</v>
      </c>
      <c r="H35" s="21" t="inlineStr">
        <is>
          <t>CUS-24</t>
        </is>
      </c>
      <c r="I35" s="10" t="inlineStr">
        <is>
          <t>Base de la fuente: sin IVA, declarada en la ficha («Impuestos excluidos»). El techo por kilo de la ficha. La ficha no dice a qué denominación del RD 1055/2003 corresponde: la carta usa la de la etiqueta.</t>
        </is>
      </c>
    </row>
    <row r="36" ht="40" customHeight="1">
      <c r="A36" s="6" t="inlineStr">
        <is>
          <t>Cobertura de chocolate negro (1 kg)</t>
        </is>
      </c>
      <c r="B36" s="18" t="n">
        <v>6.5</v>
      </c>
      <c r="C36" s="5" t="inlineStr">
        <is>
          <t>No</t>
        </is>
      </c>
      <c r="D36" s="20">
        <f>'Parámetros'!$B$11</f>
        <v>0.1</v>
      </c>
      <c r="E36" s="16" t="n">
        <v>1</v>
      </c>
      <c r="F36" t="inlineStr">
        <is>
          <t>kg</t>
        </is>
      </c>
      <c r="G36" s="12">
        <f>IFERROR(IF(C36="Sí",B36/(1+D36),B36)/E36,"")</f>
        <v>6.5</v>
      </c>
      <c r="H36" s="21" t="inlineStr">
        <is>
          <t>CUS-24</t>
        </is>
      </c>
      <c r="I36" s="10" t="inlineStr">
        <is>
          <t>Base de la fuente: sin IVA, declarada en la ficha («Impuestos excluidos»). Para rellenar y bañar churros.</t>
        </is>
      </c>
    </row>
    <row r="37" ht="40" customHeight="1">
      <c r="A37" s="6" t="inlineStr">
        <is>
          <t>Cucurucho de cartón para churros (caja de 100)</t>
        </is>
      </c>
      <c r="B37" s="18" t="n">
        <v>15</v>
      </c>
      <c r="C37" s="5" t="inlineStr">
        <is>
          <t>No</t>
        </is>
      </c>
      <c r="D37" s="20">
        <f>'Parámetros'!$B$10</f>
        <v>0.21</v>
      </c>
      <c r="E37" s="16" t="n">
        <v>100</v>
      </c>
      <c r="F37" t="inlineStr">
        <is>
          <t>ud</t>
        </is>
      </c>
      <c r="G37" s="12">
        <f>IFERROR(IF(C37="Sí",B37/(1+D37),B37)/E37,"")</f>
        <v>0.15</v>
      </c>
      <c r="H37" s="21" t="inlineStr">
        <is>
          <t>CUS-25</t>
        </is>
      </c>
      <c r="I37" s="10" t="inlineStr">
        <is>
          <t>Base de la fuente: sin IVA, inferida (celda «¿lleva IVA?» en verde, «no» por defecto). Su composición está por confirmar: no se presenta como conforme a la ley de plásticos.</t>
        </is>
      </c>
    </row>
    <row r="38" ht="40" customHeight="1">
      <c r="A38" s="6" t="inlineStr">
        <is>
          <t>Harina especial para churros (mix propio)</t>
        </is>
      </c>
      <c r="B38" s="18" t="n">
        <v>0.8</v>
      </c>
      <c r="C38" s="5" t="inlineStr">
        <is>
          <t>No</t>
        </is>
      </c>
      <c r="D38" s="20">
        <f>'Parámetros'!$B$11</f>
        <v>0.1</v>
      </c>
      <c r="E38" s="16" t="n">
        <v>1</v>
      </c>
      <c r="F38" t="inlineStr">
        <is>
          <t>kg</t>
        </is>
      </c>
      <c r="G38" s="12">
        <f>IFERROR(IF(C38="Sí",B38/(1+D38),B38)/E38,"")</f>
        <v>0.8</v>
      </c>
      <c r="H38" s="21" t="inlineStr">
        <is>
          <t>supuesto declarado</t>
        </is>
      </c>
      <c r="I38" s="10" t="inlineStr">
        <is>
          <t>Base de la fuente: supuesto, sin IVA. Sólo para la decisión 5: el proveedor verificado no publica precio.</t>
        </is>
      </c>
    </row>
    <row r="39" ht="40" customHeight="1">
      <c r="A39" s="6" t="inlineStr">
        <is>
          <t>Sal</t>
        </is>
      </c>
      <c r="B39" s="18" t="n">
        <v>0.4</v>
      </c>
      <c r="C39" s="5" t="inlineStr">
        <is>
          <t>No</t>
        </is>
      </c>
      <c r="D39" s="20">
        <f>'Parámetros'!$B$11</f>
        <v>0.1</v>
      </c>
      <c r="E39" s="16" t="n">
        <v>1</v>
      </c>
      <c r="F39" t="inlineStr">
        <is>
          <t>kg</t>
        </is>
      </c>
      <c r="G39" s="12">
        <f>IFERROR(IF(C39="Sí",B39/(1+D39),B39)/E39,"")</f>
        <v>0.4</v>
      </c>
      <c r="H39" s="21" t="inlineStr">
        <is>
          <t>supuesto declarado</t>
        </is>
      </c>
      <c r="I39" s="10" t="inlineStr">
        <is>
          <t>Base de la fuente: supuesto, sin IVA. Mix propio.</t>
        </is>
      </c>
    </row>
    <row r="40" ht="40" customHeight="1">
      <c r="A40" s="6" t="inlineStr">
        <is>
          <t>Azúcar para espolvorear y sobres</t>
        </is>
      </c>
      <c r="B40" s="18" t="n">
        <v>1</v>
      </c>
      <c r="C40" s="5" t="inlineStr">
        <is>
          <t>No</t>
        </is>
      </c>
      <c r="D40" s="20">
        <f>'Parámetros'!$B$11</f>
        <v>0.1</v>
      </c>
      <c r="E40" s="16" t="n">
        <v>1</v>
      </c>
      <c r="F40" t="inlineStr">
        <is>
          <t>kg</t>
        </is>
      </c>
      <c r="G40" s="12">
        <f>IFERROR(IF(C40="Sí",B40/(1+D40),B40)/E40,"")</f>
        <v>1.0</v>
      </c>
      <c r="H40" s="21" t="inlineStr">
        <is>
          <t>supuesto declarado</t>
        </is>
      </c>
      <c r="I40" s="10" t="inlineStr">
        <is>
          <t>Base de la fuente: supuesto, sin IVA. El azúcar glas que publica CUS-25 es otro producto.</t>
        </is>
      </c>
    </row>
    <row r="41" ht="24" customHeight="1">
      <c r="A41" s="6" t="inlineStr">
        <is>
          <t>Leche</t>
        </is>
      </c>
      <c r="B41" s="18" t="n">
        <v>0.85</v>
      </c>
      <c r="C41" s="5" t="inlineStr">
        <is>
          <t>No</t>
        </is>
      </c>
      <c r="D41" s="20">
        <f>'Parámetros'!$B$11</f>
        <v>0.1</v>
      </c>
      <c r="E41" s="16" t="n">
        <v>1</v>
      </c>
      <c r="F41" t="inlineStr">
        <is>
          <t>L</t>
        </is>
      </c>
      <c r="G41" s="12">
        <f>IFERROR(IF(C41="Sí",B41/(1+D41),B41)/E41,"")</f>
        <v>0.85</v>
      </c>
      <c r="H41" s="21" t="inlineStr">
        <is>
          <t>supuesto declarado</t>
        </is>
      </c>
      <c r="I41" s="10" t="inlineStr">
        <is>
          <t xml:space="preserve">Base de la fuente: supuesto, sin IVA. </t>
        </is>
      </c>
    </row>
    <row r="42" ht="40" customHeight="1">
      <c r="A42" s="6" t="inlineStr">
        <is>
          <t>Café en grano</t>
        </is>
      </c>
      <c r="B42" s="18" t="n">
        <v>18</v>
      </c>
      <c r="C42" s="5" t="inlineStr">
        <is>
          <t>No</t>
        </is>
      </c>
      <c r="D42" s="20">
        <f>'Parámetros'!$B$11</f>
        <v>0.1</v>
      </c>
      <c r="E42" s="16" t="n">
        <v>1</v>
      </c>
      <c r="F42" t="inlineStr">
        <is>
          <t>kg</t>
        </is>
      </c>
      <c r="G42" s="12">
        <f>IFERROR(IF(C42="Sí",B42/(1+D42),B42)/E42,"")</f>
        <v>18.0</v>
      </c>
      <c r="H42" s="21" t="inlineStr">
        <is>
          <t>supuesto declarado</t>
        </is>
      </c>
      <c r="I42" s="10" t="inlineStr">
        <is>
          <t>Base de la fuente: supuesto, sin IVA. Sin fuente de precio de café en el research.</t>
        </is>
      </c>
    </row>
    <row r="43" ht="24" customHeight="1">
      <c r="A43" s="6" t="inlineStr">
        <is>
          <t>Infusión (sobre)</t>
        </is>
      </c>
      <c r="B43" s="18" t="n">
        <v>0.06</v>
      </c>
      <c r="C43" s="5" t="inlineStr">
        <is>
          <t>No</t>
        </is>
      </c>
      <c r="D43" s="20">
        <f>'Parámetros'!$B$11</f>
        <v>0.1</v>
      </c>
      <c r="E43" s="16" t="n">
        <v>1</v>
      </c>
      <c r="F43" t="inlineStr">
        <is>
          <t>ud</t>
        </is>
      </c>
      <c r="G43" s="12">
        <f>IFERROR(IF(C43="Sí",B43/(1+D43),B43)/E43,"")</f>
        <v>0.06</v>
      </c>
      <c r="H43" s="21" t="inlineStr">
        <is>
          <t>supuesto declarado</t>
        </is>
      </c>
      <c r="I43" s="10" t="inlineStr">
        <is>
          <t xml:space="preserve">Base de la fuente: supuesto, sin IVA. </t>
        </is>
      </c>
    </row>
    <row r="44" ht="24" customHeight="1">
      <c r="A44" s="6" t="inlineStr">
        <is>
          <t>Cacao soluble</t>
        </is>
      </c>
      <c r="B44" s="18" t="n">
        <v>6</v>
      </c>
      <c r="C44" s="5" t="inlineStr">
        <is>
          <t>No</t>
        </is>
      </c>
      <c r="D44" s="20">
        <f>'Parámetros'!$B$11</f>
        <v>0.1</v>
      </c>
      <c r="E44" s="16" t="n">
        <v>1</v>
      </c>
      <c r="F44" t="inlineStr">
        <is>
          <t>kg</t>
        </is>
      </c>
      <c r="G44" s="12">
        <f>IFERROR(IF(C44="Sí",B44/(1+D44),B44)/E44,"")</f>
        <v>6.0</v>
      </c>
      <c r="H44" s="21" t="inlineStr">
        <is>
          <t>supuesto declarado</t>
        </is>
      </c>
      <c r="I44" s="10" t="inlineStr">
        <is>
          <t xml:space="preserve">Base de la fuente: supuesto, sin IVA. </t>
        </is>
      </c>
    </row>
    <row r="45" ht="24" customHeight="1">
      <c r="A45" s="6" t="inlineStr">
        <is>
          <t>Naranja para zumo</t>
        </is>
      </c>
      <c r="B45" s="18" t="n">
        <v>1.1</v>
      </c>
      <c r="C45" s="5" t="inlineStr">
        <is>
          <t>No</t>
        </is>
      </c>
      <c r="D45" s="20">
        <f>'Parámetros'!$B$11</f>
        <v>0.1</v>
      </c>
      <c r="E45" s="16" t="n">
        <v>1</v>
      </c>
      <c r="F45" t="inlineStr">
        <is>
          <t>kg</t>
        </is>
      </c>
      <c r="G45" s="12">
        <f>IFERROR(IF(C45="Sí",B45/(1+D45),B45)/E45,"")</f>
        <v>1.1</v>
      </c>
      <c r="H45" s="21" t="inlineStr">
        <is>
          <t>supuesto declarado</t>
        </is>
      </c>
      <c r="I45" s="10" t="inlineStr">
        <is>
          <t xml:space="preserve">Base de la fuente: supuesto, sin IVA. </t>
        </is>
      </c>
    </row>
    <row r="46" ht="24" customHeight="1">
      <c r="A46" s="6" t="inlineStr">
        <is>
          <t>Agua (botella de 50 cl)</t>
        </is>
      </c>
      <c r="B46" s="18" t="n">
        <v>0.22</v>
      </c>
      <c r="C46" s="5" t="inlineStr">
        <is>
          <t>No</t>
        </is>
      </c>
      <c r="D46" s="20">
        <f>'Parámetros'!$B$11</f>
        <v>0.1</v>
      </c>
      <c r="E46" s="16" t="n">
        <v>1</v>
      </c>
      <c r="F46" t="inlineStr">
        <is>
          <t>ud</t>
        </is>
      </c>
      <c r="G46" s="12">
        <f>IFERROR(IF(C46="Sí",B46/(1+D46),B46)/E46,"")</f>
        <v>0.22</v>
      </c>
      <c r="H46" s="21" t="inlineStr">
        <is>
          <t>supuesto declarado</t>
        </is>
      </c>
      <c r="I46" s="10" t="inlineStr">
        <is>
          <t xml:space="preserve">Base de la fuente: supuesto, sin IVA. </t>
        </is>
      </c>
    </row>
    <row r="47" ht="40" customHeight="1">
      <c r="A47" s="6" t="inlineStr">
        <is>
          <t>Base de granizado (por vaso)</t>
        </is>
      </c>
      <c r="B47" s="18" t="n">
        <v>0.45</v>
      </c>
      <c r="C47" s="5" t="inlineStr">
        <is>
          <t>No</t>
        </is>
      </c>
      <c r="D47" s="20">
        <f>'Parámetros'!$B$11</f>
        <v>0.1</v>
      </c>
      <c r="E47" s="16" t="n">
        <v>1</v>
      </c>
      <c r="F47" t="inlineStr">
        <is>
          <t>ud</t>
        </is>
      </c>
      <c r="G47" s="12">
        <f>IFERROR(IF(C47="Sí",B47/(1+D47),B47)/E47,"")</f>
        <v>0.45</v>
      </c>
      <c r="H47" s="21" t="inlineStr">
        <is>
          <t>supuesto declarado</t>
        </is>
      </c>
      <c r="I47" s="10" t="inlineStr">
        <is>
          <t>Base de la fuente: supuesto, sin IVA. Comprada ya preparada.</t>
        </is>
      </c>
    </row>
    <row r="48" ht="24" customHeight="1">
      <c r="A48" s="6" t="inlineStr">
        <is>
          <t>Horchata a granel</t>
        </is>
      </c>
      <c r="B48" s="18" t="n">
        <v>2.2</v>
      </c>
      <c r="C48" s="5" t="inlineStr">
        <is>
          <t>No</t>
        </is>
      </c>
      <c r="D48" s="20">
        <f>'Parámetros'!$B$11</f>
        <v>0.1</v>
      </c>
      <c r="E48" s="16" t="n">
        <v>1</v>
      </c>
      <c r="F48" t="inlineStr">
        <is>
          <t>L</t>
        </is>
      </c>
      <c r="G48" s="12">
        <f>IFERROR(IF(C48="Sí",B48/(1+D48),B48)/E48,"")</f>
        <v>2.2</v>
      </c>
      <c r="H48" s="21" t="inlineStr">
        <is>
          <t>supuesto declarado</t>
        </is>
      </c>
      <c r="I48" s="10" t="inlineStr">
        <is>
          <t xml:space="preserve">Base de la fuente: supuesto, sin IVA. </t>
        </is>
      </c>
    </row>
    <row r="49" ht="40" customHeight="1">
      <c r="A49" s="6" t="inlineStr">
        <is>
          <t>Helado (por bola)</t>
        </is>
      </c>
      <c r="B49" s="18" t="n">
        <v>0.45</v>
      </c>
      <c r="C49" s="5" t="inlineStr">
        <is>
          <t>No</t>
        </is>
      </c>
      <c r="D49" s="20">
        <f>'Parámetros'!$B$11</f>
        <v>0.1</v>
      </c>
      <c r="E49" s="16" t="n">
        <v>1</v>
      </c>
      <c r="F49" t="inlineStr">
        <is>
          <t>ud</t>
        </is>
      </c>
      <c r="G49" s="12">
        <f>IFERROR(IF(C49="Sí",B49/(1+D49),B49)/E49,"")</f>
        <v>0.45</v>
      </c>
      <c r="H49" s="21" t="inlineStr">
        <is>
          <t>supuesto declarado</t>
        </is>
      </c>
      <c r="I49" s="10" t="inlineStr">
        <is>
          <t>Base de la fuente: supuesto, sin IVA. Comprado a un obrador: El Molinete no fabrica helado.</t>
        </is>
      </c>
    </row>
    <row r="50" ht="24" customHeight="1">
      <c r="A50" s="6" t="inlineStr">
        <is>
          <t>Sirope (por batido)</t>
        </is>
      </c>
      <c r="B50" s="18" t="n">
        <v>0.05</v>
      </c>
      <c r="C50" s="5" t="inlineStr">
        <is>
          <t>No</t>
        </is>
      </c>
      <c r="D50" s="20">
        <f>'Parámetros'!$B$11</f>
        <v>0.1</v>
      </c>
      <c r="E50" s="16" t="n">
        <v>1</v>
      </c>
      <c r="F50" t="inlineStr">
        <is>
          <t>ud</t>
        </is>
      </c>
      <c r="G50" s="12">
        <f>IFERROR(IF(C50="Sí",B50/(1+D50),B50)/E50,"")</f>
        <v>0.05</v>
      </c>
      <c r="H50" s="21" t="inlineStr">
        <is>
          <t>supuesto declarado</t>
        </is>
      </c>
      <c r="I50" s="10" t="inlineStr">
        <is>
          <t xml:space="preserve">Base de la fuente: supuesto, sin IVA. </t>
        </is>
      </c>
    </row>
    <row r="51" ht="40" customHeight="1">
      <c r="A51" s="6" t="inlineStr">
        <is>
          <t>Vaso de papel plastificado con tapa</t>
        </is>
      </c>
      <c r="B51" s="18" t="n">
        <v>0.08</v>
      </c>
      <c r="C51" s="5" t="inlineStr">
        <is>
          <t>No</t>
        </is>
      </c>
      <c r="D51" s="20">
        <f>'Parámetros'!$B$10</f>
        <v>0.21</v>
      </c>
      <c r="E51" s="16" t="n">
        <v>1</v>
      </c>
      <c r="F51" t="inlineStr">
        <is>
          <t>ud</t>
        </is>
      </c>
      <c r="G51" s="12">
        <f>IFERROR(IF(C51="Sí",B51/(1+D51),B51)/E51,"")</f>
        <v>0.08</v>
      </c>
      <c r="H51" s="21" t="inlineStr">
        <is>
          <t>supuesto declarado</t>
        </is>
      </c>
      <c r="I51" s="10" t="inlineStr">
        <is>
          <t>Base de la fuente: supuesto, sin IVA. Lleva plástico: se cobra aparte (CUN-41).</t>
        </is>
      </c>
    </row>
    <row r="52" ht="24" customHeight="1">
      <c r="A52" s="6" t="inlineStr">
        <is>
          <t>Papel antigrasa para sueltos</t>
        </is>
      </c>
      <c r="B52" s="18" t="n">
        <v>0.02</v>
      </c>
      <c r="C52" s="5" t="inlineStr">
        <is>
          <t>No</t>
        </is>
      </c>
      <c r="D52" s="20">
        <f>'Parámetros'!$B$10</f>
        <v>0.21</v>
      </c>
      <c r="E52" s="16" t="n">
        <v>1</v>
      </c>
      <c r="F52" t="inlineStr">
        <is>
          <t>ud</t>
        </is>
      </c>
      <c r="G52" s="12">
        <f>IFERROR(IF(C52="Sí",B52/(1+D52),B52)/E52,"")</f>
        <v>0.02</v>
      </c>
      <c r="H52" s="21" t="inlineStr">
        <is>
          <t>supuesto declarado</t>
        </is>
      </c>
      <c r="I52" s="10" t="inlineStr">
        <is>
          <t xml:space="preserve">Base de la fuente: supuesto, sin IVA. </t>
        </is>
      </c>
    </row>
    <row r="53" ht="24" customHeight="1">
      <c r="A53" s="6" t="inlineStr">
        <is>
          <t>Caja de cartón para el kilo</t>
        </is>
      </c>
      <c r="B53" s="18" t="n">
        <v>0.25</v>
      </c>
      <c r="C53" s="5" t="inlineStr">
        <is>
          <t>No</t>
        </is>
      </c>
      <c r="D53" s="20">
        <f>'Parámetros'!$B$10</f>
        <v>0.21</v>
      </c>
      <c r="E53" s="16" t="n">
        <v>1</v>
      </c>
      <c r="F53" t="inlineStr">
        <is>
          <t>ud</t>
        </is>
      </c>
      <c r="G53" s="12">
        <f>IFERROR(IF(C53="Sí",B53/(1+D53),B53)/E53,"")</f>
        <v>0.25</v>
      </c>
      <c r="H53" s="21" t="inlineStr">
        <is>
          <t>supuesto declarado</t>
        </is>
      </c>
      <c r="I53" s="10" t="inlineStr">
        <is>
          <t xml:space="preserve">Base de la fuente: supuesto, sin IVA. </t>
        </is>
      </c>
    </row>
    <row r="54"/>
    <row r="55"/>
    <row r="56">
      <c r="A56" s="22" t="inlineStr">
        <is>
          <t>Listas de validación (no las borres: las usan los desplegables)</t>
        </is>
      </c>
    </row>
    <row r="57">
      <c r="A57" s="23" t="inlineStr">
        <is>
          <t>Sí o no</t>
        </is>
      </c>
      <c r="B57" s="23" t="inlineStr">
        <is>
          <t>Masa</t>
        </is>
      </c>
    </row>
    <row r="58">
      <c r="A58" t="inlineStr">
        <is>
          <t>Sí</t>
        </is>
      </c>
      <c r="B58" t="inlineStr">
        <is>
          <t>Preparado comercial</t>
        </is>
      </c>
    </row>
    <row r="59">
      <c r="A59" t="inlineStr">
        <is>
          <t>No</t>
        </is>
      </c>
      <c r="B59" t="inlineStr">
        <is>
          <t>Mix propio</t>
        </is>
      </c>
    </row>
    <row r="60"/>
    <row r="61"/>
    <row r="62">
      <c r="A62"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dataValidations count="62">
    <dataValidation sqref="B5"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6"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7"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9"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0"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1"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4" showDropDown="0" showInputMessage="0" showErrorMessage="1" allowBlank="1" errorTitle="Importe no válido" error="Escribe un número mayor o igual que 0." type="decimal" operator="greaterThanOrEqual">
      <formula1>0</formula1>
    </dataValidation>
    <dataValidation sqref="B15" showDropDown="0" showInputMessage="0" showErrorMessage="1" allowBlank="1" errorTitle="Importe no válido" error="Escribe un número mayor o igual que 0." type="decimal" operator="greaterThanOrEqual">
      <formula1>0</formula1>
    </dataValidation>
    <dataValidation sqref="B16"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7" showDropDown="0" showInputMessage="0" showErrorMessage="1" allowBlank="1" errorTitle="Importe no válido" error="Escribe un número mayor o igual que 0." type="decimal" operator="greaterThanOrEqual">
      <formula1>0</formula1>
    </dataValidation>
    <dataValidation sqref="B1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9" showDropDown="0" showInputMessage="0" showErrorMessage="1" allowBlank="1" errorTitle="Importe no válido" error="Escribe un número mayor o igual que 0." type="decimal" operator="greaterThanOrEqual">
      <formula1>0</formula1>
    </dataValidation>
    <dataValidation sqref="B20" showDropDown="0" showInputMessage="0" showErrorMessage="1" allowBlank="1" errorTitle="Importe no válido" error="Escribe un número mayor o igual que 0." type="decimal" operator="greaterThanOrEqual">
      <formula1>0</formula1>
    </dataValidation>
    <dataValidation sqref="B21" showDropDown="0" showInputMessage="0" showErrorMessage="1" allowBlank="1" errorTitle="Importe no válido" error="Escribe un número mayor o igual que 0." type="decimal" operator="greaterThanOrEqual">
      <formula1>0</formula1>
    </dataValidation>
    <dataValidation sqref="B25" showDropDown="0" showInputMessage="0" showErrorMessage="1" allowBlank="1" errorTitle="Importe no válido" error="Escribe un número mayor o igual que 0." type="decimal" operator="greaterThanOrEqual">
      <formula1>0</formula1>
    </dataValidation>
    <dataValidation sqref="B28" showDropDown="0" showInputMessage="0" showErrorMessage="1" allowBlank="1" errorTitle="Importe no válido" error="Escribe un número mayor o igual que 0." type="decimal" operator="greaterThanOrEqual">
      <formula1>0</formula1>
    </dataValidation>
    <dataValidation sqref="B29" showDropDown="0" showInputMessage="0" showErrorMessage="1" allowBlank="1" errorTitle="Importe no válido" error="Escribe un número mayor o igual que 0." type="decimal" operator="greaterThanOrEqual">
      <formula1>0</formula1>
    </dataValidation>
    <dataValidation sqref="B33" showDropDown="0" showInputMessage="0" showErrorMessage="1" allowBlank="1" errorTitle="Importe no válido" error="Escribe un número mayor o igual que 0." type="decimal" operator="greaterThanOrEqual">
      <formula1>0</formula1>
    </dataValidation>
    <dataValidation sqref="E33" showDropDown="0" showInputMessage="0" showErrorMessage="1" allowBlank="1" errorTitle="Importe no válido" error="Escribe un número mayor o igual que 0." type="decimal" operator="greaterThanOrEqual">
      <formula1>0</formula1>
    </dataValidation>
    <dataValidation sqref="B34" showDropDown="0" showInputMessage="0" showErrorMessage="1" allowBlank="1" errorTitle="Importe no válido" error="Escribe un número mayor o igual que 0." type="decimal" operator="greaterThanOrEqual">
      <formula1>0</formula1>
    </dataValidation>
    <dataValidation sqref="E34" showDropDown="0" showInputMessage="0" showErrorMessage="1" allowBlank="1" errorTitle="Importe no válido" error="Escribe un número mayor o igual que 0." type="decimal" operator="greaterThanOrEqual">
      <formula1>0</formula1>
    </dataValidation>
    <dataValidation sqref="B35" showDropDown="0" showInputMessage="0" showErrorMessage="1" allowBlank="1" errorTitle="Importe no válido" error="Escribe un número mayor o igual que 0." type="decimal" operator="greaterThanOrEqual">
      <formula1>0</formula1>
    </dataValidation>
    <dataValidation sqref="E35" showDropDown="0" showInputMessage="0" showErrorMessage="1" allowBlank="1" errorTitle="Importe no válido" error="Escribe un número mayor o igual que 0." type="decimal" operator="greaterThanOrEqual">
      <formula1>0</formula1>
    </dataValidation>
    <dataValidation sqref="B36" showDropDown="0" showInputMessage="0" showErrorMessage="1" allowBlank="1" errorTitle="Importe no válido" error="Escribe un número mayor o igual que 0." type="decimal" operator="greaterThanOrEqual">
      <formula1>0</formula1>
    </dataValidation>
    <dataValidation sqref="E36" showDropDown="0" showInputMessage="0" showErrorMessage="1" allowBlank="1" errorTitle="Importe no válido" error="Escribe un número mayor o igual que 0." type="decimal" operator="greaterThanOrEqual">
      <formula1>0</formula1>
    </dataValidation>
    <dataValidation sqref="B37" showDropDown="0" showInputMessage="0" showErrorMessage="1" allowBlank="1" errorTitle="Importe no válido" error="Escribe un número mayor o igual que 0." type="decimal" operator="greaterThanOrEqual">
      <formula1>0</formula1>
    </dataValidation>
    <dataValidation sqref="E37" showDropDown="0" showInputMessage="0" showErrorMessage="1" allowBlank="1" errorTitle="Importe no válido" error="Escribe un número mayor o igual que 0." type="decimal" operator="greaterThanOrEqual">
      <formula1>0</formula1>
    </dataValidation>
    <dataValidation sqref="B38" showDropDown="0" showInputMessage="0" showErrorMessage="1" allowBlank="1" errorTitle="Importe no válido" error="Escribe un número mayor o igual que 0." type="decimal" operator="greaterThanOrEqual">
      <formula1>0</formula1>
    </dataValidation>
    <dataValidation sqref="E38" showDropDown="0" showInputMessage="0" showErrorMessage="1" allowBlank="1" errorTitle="Importe no válido" error="Escribe un número mayor o igual que 0." type="decimal" operator="greaterThanOrEqual">
      <formula1>0</formula1>
    </dataValidation>
    <dataValidation sqref="B39" showDropDown="0" showInputMessage="0" showErrorMessage="1" allowBlank="1" errorTitle="Importe no válido" error="Escribe un número mayor o igual que 0." type="decimal" operator="greaterThanOrEqual">
      <formula1>0</formula1>
    </dataValidation>
    <dataValidation sqref="E39" showDropDown="0" showInputMessage="0" showErrorMessage="1" allowBlank="1" errorTitle="Importe no válido" error="Escribe un número mayor o igual que 0." type="decimal" operator="greaterThanOrEqual">
      <formula1>0</formula1>
    </dataValidation>
    <dataValidation sqref="B40" showDropDown="0" showInputMessage="0" showErrorMessage="1" allowBlank="1" errorTitle="Importe no válido" error="Escribe un número mayor o igual que 0." type="decimal" operator="greaterThanOrEqual">
      <formula1>0</formula1>
    </dataValidation>
    <dataValidation sqref="E40" showDropDown="0" showInputMessage="0" showErrorMessage="1" allowBlank="1" errorTitle="Importe no válido" error="Escribe un número mayor o igual que 0." type="decimal" operator="greaterThanOrEqual">
      <formula1>0</formula1>
    </dataValidation>
    <dataValidation sqref="B41" showDropDown="0" showInputMessage="0" showErrorMessage="1" allowBlank="1" errorTitle="Importe no válido" error="Escribe un número mayor o igual que 0." type="decimal" operator="greaterThanOrEqual">
      <formula1>0</formula1>
    </dataValidation>
    <dataValidation sqref="E41" showDropDown="0" showInputMessage="0" showErrorMessage="1" allowBlank="1" errorTitle="Importe no válido" error="Escribe un número mayor o igual que 0." type="decimal" operator="greaterThanOrEqual">
      <formula1>0</formula1>
    </dataValidation>
    <dataValidation sqref="B42" showDropDown="0" showInputMessage="0" showErrorMessage="1" allowBlank="1" errorTitle="Importe no válido" error="Escribe un número mayor o igual que 0." type="decimal" operator="greaterThanOrEqual">
      <formula1>0</formula1>
    </dataValidation>
    <dataValidation sqref="E42" showDropDown="0" showInputMessage="0" showErrorMessage="1" allowBlank="1" errorTitle="Importe no válido" error="Escribe un número mayor o igual que 0." type="decimal" operator="greaterThanOrEqual">
      <formula1>0</formula1>
    </dataValidation>
    <dataValidation sqref="B43" showDropDown="0" showInputMessage="0" showErrorMessage="1" allowBlank="1" errorTitle="Importe no válido" error="Escribe un número mayor o igual que 0." type="decimal" operator="greaterThanOrEqual">
      <formula1>0</formula1>
    </dataValidation>
    <dataValidation sqref="E43" showDropDown="0" showInputMessage="0" showErrorMessage="1" allowBlank="1" errorTitle="Importe no válido" error="Escribe un número mayor o igual que 0." type="decimal" operator="greaterThanOrEqual">
      <formula1>0</formula1>
    </dataValidation>
    <dataValidation sqref="B44" showDropDown="0" showInputMessage="0" showErrorMessage="1" allowBlank="1" errorTitle="Importe no válido" error="Escribe un número mayor o igual que 0." type="decimal" operator="greaterThanOrEqual">
      <formula1>0</formula1>
    </dataValidation>
    <dataValidation sqref="E44" showDropDown="0" showInputMessage="0" showErrorMessage="1" allowBlank="1" errorTitle="Importe no válido" error="Escribe un número mayor o igual que 0." type="decimal" operator="greaterThanOrEqual">
      <formula1>0</formula1>
    </dataValidation>
    <dataValidation sqref="B45" showDropDown="0" showInputMessage="0" showErrorMessage="1" allowBlank="1" errorTitle="Importe no válido" error="Escribe un número mayor o igual que 0." type="decimal" operator="greaterThanOrEqual">
      <formula1>0</formula1>
    </dataValidation>
    <dataValidation sqref="E45" showDropDown="0" showInputMessage="0" showErrorMessage="1" allowBlank="1" errorTitle="Importe no válido" error="Escribe un número mayor o igual que 0." type="decimal" operator="greaterThanOrEqual">
      <formula1>0</formula1>
    </dataValidation>
    <dataValidation sqref="B46" showDropDown="0" showInputMessage="0" showErrorMessage="1" allowBlank="1" errorTitle="Importe no válido" error="Escribe un número mayor o igual que 0." type="decimal" operator="greaterThanOrEqual">
      <formula1>0</formula1>
    </dataValidation>
    <dataValidation sqref="E46" showDropDown="0" showInputMessage="0" showErrorMessage="1" allowBlank="1" errorTitle="Importe no válido" error="Escribe un número mayor o igual que 0." type="decimal" operator="greaterThanOrEqual">
      <formula1>0</formula1>
    </dataValidation>
    <dataValidation sqref="B47" showDropDown="0" showInputMessage="0" showErrorMessage="1" allowBlank="1" errorTitle="Importe no válido" error="Escribe un número mayor o igual que 0." type="decimal" operator="greaterThanOrEqual">
      <formula1>0</formula1>
    </dataValidation>
    <dataValidation sqref="E47" showDropDown="0" showInputMessage="0" showErrorMessage="1" allowBlank="1" errorTitle="Importe no válido" error="Escribe un número mayor o igual que 0." type="decimal" operator="greaterThanOrEqual">
      <formula1>0</formula1>
    </dataValidation>
    <dataValidation sqref="B48" showDropDown="0" showInputMessage="0" showErrorMessage="1" allowBlank="1" errorTitle="Importe no válido" error="Escribe un número mayor o igual que 0." type="decimal" operator="greaterThanOrEqual">
      <formula1>0</formula1>
    </dataValidation>
    <dataValidation sqref="E48" showDropDown="0" showInputMessage="0" showErrorMessage="1" allowBlank="1" errorTitle="Importe no válido" error="Escribe un número mayor o igual que 0." type="decimal" operator="greaterThanOrEqual">
      <formula1>0</formula1>
    </dataValidation>
    <dataValidation sqref="B49" showDropDown="0" showInputMessage="0" showErrorMessage="1" allowBlank="1" errorTitle="Importe no válido" error="Escribe un número mayor o igual que 0." type="decimal" operator="greaterThanOrEqual">
      <formula1>0</formula1>
    </dataValidation>
    <dataValidation sqref="E49" showDropDown="0" showInputMessage="0" showErrorMessage="1" allowBlank="1" errorTitle="Importe no válido" error="Escribe un número mayor o igual que 0." type="decimal" operator="greaterThanOrEqual">
      <formula1>0</formula1>
    </dataValidation>
    <dataValidation sqref="B50" showDropDown="0" showInputMessage="0" showErrorMessage="1" allowBlank="1" errorTitle="Importe no válido" error="Escribe un número mayor o igual que 0." type="decimal" operator="greaterThanOrEqual">
      <formula1>0</formula1>
    </dataValidation>
    <dataValidation sqref="E50" showDropDown="0" showInputMessage="0" showErrorMessage="1" allowBlank="1" errorTitle="Importe no válido" error="Escribe un número mayor o igual que 0." type="decimal" operator="greaterThanOrEqual">
      <formula1>0</formula1>
    </dataValidation>
    <dataValidation sqref="B51" showDropDown="0" showInputMessage="0" showErrorMessage="1" allowBlank="1" errorTitle="Importe no válido" error="Escribe un número mayor o igual que 0." type="decimal" operator="greaterThanOrEqual">
      <formula1>0</formula1>
    </dataValidation>
    <dataValidation sqref="E51" showDropDown="0" showInputMessage="0" showErrorMessage="1" allowBlank="1" errorTitle="Importe no válido" error="Escribe un número mayor o igual que 0." type="decimal" operator="greaterThanOrEqual">
      <formula1>0</formula1>
    </dataValidation>
    <dataValidation sqref="B52" showDropDown="0" showInputMessage="0" showErrorMessage="1" allowBlank="1" errorTitle="Importe no válido" error="Escribe un número mayor o igual que 0." type="decimal" operator="greaterThanOrEqual">
      <formula1>0</formula1>
    </dataValidation>
    <dataValidation sqref="E52" showDropDown="0" showInputMessage="0" showErrorMessage="1" allowBlank="1" errorTitle="Importe no válido" error="Escribe un número mayor o igual que 0." type="decimal" operator="greaterThanOrEqual">
      <formula1>0</formula1>
    </dataValidation>
    <dataValidation sqref="B53" showDropDown="0" showInputMessage="0" showErrorMessage="1" allowBlank="1" errorTitle="Importe no válido" error="Escribe un número mayor o igual que 0." type="decimal" operator="greaterThanOrEqual">
      <formula1>0</formula1>
    </dataValidation>
    <dataValidation sqref="E53" showDropDown="0" showInputMessage="0" showErrorMessage="1" allowBlank="1" errorTitle="Importe no válido" error="Escribe un número mayor o igual que 0." type="decimal" operator="greaterThanOrEqual">
      <formula1>0</formula1>
    </dataValidation>
    <dataValidation sqref="C33 C34 C35 C36 C37 C38 C39 C40 C41 C42 C43 C44 C45 C46 C47 C48 C49 C50 C51 C52 C53" showDropDown="0" showInputMessage="0" showErrorMessage="1" allowBlank="0" errorTitle="¿Lleva IVA?" error="Elige «Sí» si el precio que has escrito lleva el IVA dentro, o «No»." type="list">
      <formula1>=$A$58:$A$59</formula1>
    </dataValidation>
    <dataValidation sqref="B22" showDropDown="0" showInputMessage="0" showErrorMessage="1" allowBlank="0" errorTitle="Masa" error="Elige «Preparado comercial» o «Mix propio»." type="list">
      <formula1>=$B$58:$B$59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N130"/>
  <sheetViews>
    <sheetView workbookViewId="0">
      <pane ySplit="34" topLeftCell="A35" activePane="bottomLeft" state="frozen"/>
      <selection pane="bottomLeft" activeCell="A1" sqref="A1"/>
    </sheetView>
  </sheetViews>
  <sheetFormatPr baseColWidth="8" defaultRowHeight="15"/>
  <cols>
    <col width="44" customWidth="1" min="1" max="1"/>
    <col width="16" customWidth="1" min="2" max="2"/>
    <col width="14" customWidth="1" min="3" max="3"/>
    <col width="15" customWidth="1" min="4" max="4"/>
    <col width="14" customWidth="1" min="5" max="5"/>
    <col width="15"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14" customWidth="1" min="15" max="15"/>
  </cols>
  <sheetData>
    <row r="1">
      <c r="A1" s="1" t="inlineStr">
        <is>
          <t>Escandallo por kg de Masa</t>
        </is>
      </c>
    </row>
    <row r="2">
      <c r="A2" s="2" t="inlineStr">
        <is>
          <t>AI Chef Pro · aichef.pro — Cómo Montar una Churrería-Chocolatería</t>
        </is>
      </c>
    </row>
    <row r="3">
      <c r="A3" s="3" t="inlineStr">
        <is>
          <t>Datos de ejemplo para que las fórmulas calculen: las cantidades no son una receta. Todos los precios, SIN IVA, de la tabla de insumos de «Parámetros».</t>
        </is>
      </c>
    </row>
    <row r="4"/>
    <row r="5">
      <c r="A5" s="4" t="inlineStr">
        <is>
          <t>1. Un Kilo de Masa con el Preparado Comercial</t>
        </is>
      </c>
    </row>
    <row r="6" ht="36" customHeight="1">
      <c r="A6" s="19" t="inlineStr">
        <is>
          <t>Concepto</t>
        </is>
      </c>
      <c r="B6" s="19" t="inlineStr">
        <is>
          <t>Cantidad por kg de masa</t>
        </is>
      </c>
      <c r="C6" s="19" t="inlineStr">
        <is>
          <t>Unidad</t>
        </is>
      </c>
      <c r="D6" s="19" t="inlineStr">
        <is>
          <t>Precio SIN IVA por unidad (EUR)</t>
        </is>
      </c>
      <c r="E6" s="19" t="inlineStr">
        <is>
          <t>Importe (EUR)</t>
        </is>
      </c>
      <c r="F6" s="19" t="inlineStr">
        <is>
          <t>Fuente</t>
        </is>
      </c>
    </row>
    <row r="7">
      <c r="A7" s="6" t="inlineStr">
        <is>
          <t>Preparado para masa de churro (caja de 6 sacos de 4 kg)</t>
        </is>
      </c>
      <c r="B7" s="24">
        <f>'Parámetros'!$B$21</f>
        <v>0.3478260869565217</v>
      </c>
      <c r="C7" t="inlineStr">
        <is>
          <t>kg</t>
        </is>
      </c>
      <c r="D7" s="25">
        <f>'Parámetros'!$G$33</f>
        <v>1.45</v>
      </c>
      <c r="E7" s="25">
        <f>IFERROR(B7*D7,"")</f>
        <v>0.5043478260869564</v>
      </c>
      <c r="F7" t="inlineStr">
        <is>
          <t>CUS-21</t>
        </is>
      </c>
    </row>
    <row r="8">
      <c r="A8" t="inlineStr">
        <is>
          <t>Agua (sin coste)</t>
        </is>
      </c>
      <c r="B8" s="24">
        <f>1-B7</f>
        <v>0.6521739130434783</v>
      </c>
      <c r="C8" t="inlineStr">
        <is>
          <t>L</t>
        </is>
      </c>
      <c r="D8" t="inlineStr">
        <is>
          <t>sin coste</t>
        </is>
      </c>
      <c r="F8" t="inlineStr">
        <is>
          <t>calculado</t>
        </is>
      </c>
    </row>
    <row r="9">
      <c r="A9" s="23" t="inlineStr">
        <is>
          <t>COSTE DE 1 KG DE MASA CON EL PREPARADO (EUR)</t>
        </is>
      </c>
      <c r="E9" s="12">
        <f>SUM(E7:E8)</f>
        <v>0.5043478260869564</v>
      </c>
    </row>
    <row r="10"/>
    <row r="11">
      <c r="A11" s="4" t="inlineStr">
        <is>
          <t>2. Un Kilo de Masa con Mix Propio (Decisión 5)</t>
        </is>
      </c>
    </row>
    <row r="12" ht="36" customHeight="1">
      <c r="A12" s="19" t="inlineStr">
        <is>
          <t>Concepto</t>
        </is>
      </c>
      <c r="B12" s="19" t="inlineStr">
        <is>
          <t>Cantidad por kg de masa</t>
        </is>
      </c>
      <c r="C12" s="19" t="inlineStr">
        <is>
          <t>Unidad</t>
        </is>
      </c>
      <c r="D12" s="19" t="inlineStr">
        <is>
          <t>Precio SIN IVA por unidad (EUR)</t>
        </is>
      </c>
      <c r="E12" s="19" t="inlineStr">
        <is>
          <t>Importe (EUR)</t>
        </is>
      </c>
      <c r="F12" s="19" t="inlineStr">
        <is>
          <t>Fuente</t>
        </is>
      </c>
    </row>
    <row r="13">
      <c r="A13" s="6" t="inlineStr">
        <is>
          <t>Harina especial para churros (mix propio)</t>
        </is>
      </c>
      <c r="B13" s="17" t="n">
        <v>0.45</v>
      </c>
      <c r="C13" t="inlineStr">
        <is>
          <t>kg</t>
        </is>
      </c>
      <c r="D13" s="25">
        <f>'Parámetros'!$G$38</f>
        <v>0.8</v>
      </c>
      <c r="E13" s="25">
        <f>IFERROR(B13*D13,"")</f>
        <v>0.36000000000000004</v>
      </c>
      <c r="F13" t="inlineStr">
        <is>
          <t>supuesto declarado</t>
        </is>
      </c>
      <c r="G13" s="10" t="inlineStr">
        <is>
          <t>Proporciones de EJEMPLO para que la comparación calcule, no una receta. El ahorro del mix propio se paga con pesar, tamizar y con la regularidad de la masa.</t>
        </is>
      </c>
    </row>
    <row r="14">
      <c r="A14" s="6" t="inlineStr">
        <is>
          <t>Sal</t>
        </is>
      </c>
      <c r="B14" s="17" t="n">
        <v>0.008</v>
      </c>
      <c r="C14" t="inlineStr">
        <is>
          <t>kg</t>
        </is>
      </c>
      <c r="D14" s="25">
        <f>'Parámetros'!$G$39</f>
        <v>0.4</v>
      </c>
      <c r="E14" s="25">
        <f>IFERROR(B14*D14,"")</f>
        <v>0.0032</v>
      </c>
      <c r="F14" t="inlineStr">
        <is>
          <t>supuesto declarado</t>
        </is>
      </c>
    </row>
    <row r="15">
      <c r="A15" t="inlineStr">
        <is>
          <t>Agua (sin coste)</t>
        </is>
      </c>
      <c r="B15" s="24">
        <f>1-SUM(B13:B14)</f>
        <v>0.542</v>
      </c>
      <c r="C15" t="inlineStr">
        <is>
          <t>L</t>
        </is>
      </c>
      <c r="D15" t="inlineStr">
        <is>
          <t>sin coste</t>
        </is>
      </c>
      <c r="F15" t="inlineStr">
        <is>
          <t>calculado</t>
        </is>
      </c>
    </row>
    <row r="16">
      <c r="A16" s="23" t="inlineStr">
        <is>
          <t>COSTE DE 1 KG DE MASA CON MIX PROPIO (EUR)</t>
        </is>
      </c>
      <c r="E16" s="12">
        <f>SUM(E13:E15)</f>
        <v>0.3632</v>
      </c>
    </row>
    <row r="17"/>
    <row r="18">
      <c r="A18" t="inlineStr">
        <is>
          <t>Ahorro del mix propio por kg de masa (EUR)</t>
        </is>
      </c>
      <c r="B18" s="26">
        <f>E9-E16</f>
        <v>0.14114782608695636</v>
      </c>
    </row>
    <row r="19">
      <c r="A19" s="23" t="inlineStr">
        <is>
          <t>COSTE DEL KG DE MASA CON EL QUE COSTEAS (EUR)</t>
        </is>
      </c>
      <c r="B19" s="12">
        <f>IF('Parámetros'!$B$22="Mix propio",E16,E9)</f>
        <v>0.5043478260869564</v>
      </c>
    </row>
    <row r="20">
      <c r="A20" t="inlineStr">
        <is>
          <t>Masa elegida en «Parámetros»</t>
        </is>
      </c>
      <c r="B20" t="str">
        <f>'Parámetros'!$B$22</f>
        <v>Preparado comercial</v>
      </c>
    </row>
    <row r="21"/>
    <row r="22">
      <c r="A22" s="4" t="inlineStr">
        <is>
          <t>3. La Pieza: Churro y Porra</t>
        </is>
      </c>
    </row>
    <row r="23" ht="24" customHeight="1">
      <c r="A23" s="19" t="inlineStr">
        <is>
          <t>Concepto</t>
        </is>
      </c>
      <c r="B23" s="19" t="inlineStr">
        <is>
          <t>Churro</t>
        </is>
      </c>
      <c r="C23" s="19" t="inlineStr">
        <is>
          <t>Porra</t>
        </is>
      </c>
    </row>
    <row r="24">
      <c r="A24" s="27" t="inlineStr">
        <is>
          <t>Gramos de masa por pieza (lo que se vende)</t>
        </is>
      </c>
      <c r="B24" s="28">
        <f>'Parámetros'!$B$14</f>
        <v>20.0</v>
      </c>
      <c r="C24" s="28">
        <f>'Parámetros'!$B$15</f>
        <v>60.0</v>
      </c>
    </row>
    <row r="25">
      <c r="A25" s="27" t="inlineStr">
        <is>
          <t>Gramos de masa que hay que freír por pieza (con la merma)</t>
        </is>
      </c>
      <c r="B25" s="28">
        <f>IFERROR(B24/(1-'Parámetros'!$B$16),"")</f>
        <v>21.05263157894737</v>
      </c>
      <c r="C25" s="28">
        <f>IFERROR(C24/(1-'Parámetros'!$B$16),"")</f>
        <v>63.15789473684211</v>
      </c>
    </row>
    <row r="26">
      <c r="A26" s="27" t="inlineStr">
        <is>
          <t>Piezas por kilo de masa vendida</t>
        </is>
      </c>
      <c r="B26" s="28">
        <f>IFERROR(1000/B24,"")</f>
        <v>50.0</v>
      </c>
      <c r="C26" s="28">
        <f>IFERROR(1000/C24,"")</f>
        <v>16.666666666666668</v>
      </c>
    </row>
    <row r="27">
      <c r="A27" s="27" t="inlineStr">
        <is>
          <t>Coste de la masa por pieza (EUR)</t>
        </is>
      </c>
      <c r="B27" s="29">
        <f>IFERROR(B25/1000*$B$19,"")</f>
        <v>0.010617848970251715</v>
      </c>
      <c r="C27" s="29">
        <f>IFERROR(C25/1000*$B$19,"")</f>
        <v>0.03185354691075514</v>
      </c>
    </row>
    <row r="28">
      <c r="A28" s="27" t="inlineStr">
        <is>
          <t>Aceite absorbido por pieza (EUR)</t>
        </is>
      </c>
      <c r="B28" s="29">
        <f>IFERROR(B25/1000*'Absorción de Aceite y Merma'!$B$11,"")</f>
        <v>0.00411075514874142</v>
      </c>
      <c r="C28" s="29">
        <f>IFERROR(C25/1000*'Absorción de Aceite y Merma'!$B$11,"")</f>
        <v>0.012332265446224257</v>
      </c>
    </row>
    <row r="29">
      <c r="A29" s="27" t="inlineStr">
        <is>
          <t>Azúcar de espolvorear por pieza (EUR)</t>
        </is>
      </c>
      <c r="B29" s="29">
        <f>IFERROR(B24/1000*'Parámetros'!$B$20/100*'Parámetros'!$G$40,"")</f>
        <v>0.001</v>
      </c>
      <c r="C29" s="29">
        <f>IFERROR(C24/1000*'Parámetros'!$B$20/100*'Parámetros'!$G$40,"")</f>
        <v>0.003</v>
      </c>
    </row>
    <row r="30">
      <c r="A30" s="23" t="inlineStr">
        <is>
          <t>COSTE DE MATERIA DE LA PIEZA (EUR)</t>
        </is>
      </c>
      <c r="B30" s="12">
        <f>SUM(B27:B29)</f>
        <v>0.015728604118993135</v>
      </c>
      <c r="C30" s="12">
        <f>SUM(C27:C29)</f>
        <v>0.0471858123569794</v>
      </c>
    </row>
    <row r="31">
      <c r="A31" s="27" t="inlineStr">
        <is>
          <t>Coste de materia de una docena (EUR)</t>
        </is>
      </c>
      <c r="B31" s="30">
        <f>IFERROR(B30*12,"")</f>
        <v>0.18874324942791762</v>
      </c>
      <c r="C31" s="30">
        <f>IFERROR(C30*12,"")</f>
        <v>0.5662297482837528</v>
      </c>
    </row>
    <row r="32"/>
    <row r="33">
      <c r="A33" s="4" t="inlineStr">
        <is>
          <t>4. De la Masa a Cada Referencia de la Carta</t>
        </is>
      </c>
    </row>
    <row r="34" ht="58" customHeight="1">
      <c r="A34" s="19" t="inlineStr">
        <is>
          <t>Id y referencia</t>
        </is>
      </c>
      <c r="B34" s="19" t="inlineStr">
        <is>
          <t>Familia</t>
        </is>
      </c>
      <c r="C34" s="19" t="inlineStr">
        <is>
          <t>Piezas de la unidad</t>
        </is>
      </c>
      <c r="D34" s="19" t="inlineStr">
        <is>
          <t>Tipo de pieza</t>
        </is>
      </c>
      <c r="E34" s="19" t="inlineStr">
        <is>
          <t>Kilos fritos (sólo si se vende al peso)</t>
        </is>
      </c>
      <c r="F34" s="19" t="inlineStr">
        <is>
          <t>Masa vendida (kg)</t>
        </is>
      </c>
      <c r="G34" s="19" t="inlineStr">
        <is>
          <t>Masa que se fríe, con merma (kg)</t>
        </is>
      </c>
      <c r="H34" s="19" t="inlineStr">
        <is>
          <t>Coste de la masa (EUR)</t>
        </is>
      </c>
      <c r="I34" s="19" t="inlineStr">
        <is>
          <t>Azúcar (EUR)</t>
        </is>
      </c>
      <c r="J34" s="19" t="inlineStr">
        <is>
          <t>Receta, sin envase (EUR)</t>
        </is>
      </c>
      <c r="K34" s="19" t="inlineStr">
        <is>
          <t>Envase para llevar (EUR)</t>
        </is>
      </c>
      <c r="L34" s="19" t="inlineStr">
        <is>
          <t>Aceite absorbido (EUR)</t>
        </is>
      </c>
      <c r="M34" s="19" t="inlineStr">
        <is>
          <t>MATERIA EN SALA, aceite incluido (EUR)</t>
        </is>
      </c>
      <c r="N34" s="19" t="inlineStr">
        <is>
          <t>MATERIA PARA LLEVAR, aceite y envase incluidos (EUR)</t>
        </is>
      </c>
    </row>
    <row r="35" ht="26" customHeight="1">
      <c r="A35" s="6" t="inlineStr">
        <is>
          <t>CH1 · Ración de churros (6 uds)</t>
        </is>
      </c>
      <c r="B35" t="inlineStr">
        <is>
          <t>Churros y porras</t>
        </is>
      </c>
      <c r="C35" s="31" t="n">
        <v>6</v>
      </c>
      <c r="D35" s="5" t="inlineStr">
        <is>
          <t>churro</t>
        </is>
      </c>
      <c r="E35" s="32" t="n">
        <v>0</v>
      </c>
      <c r="F35" s="24">
        <f>IF(E35&gt;0,IFERROR(E35/'Parámetros'!$B$17,""),IFERROR(C35*IF(D35="porra",'Parámetros'!$B$15,IF(D35="churro",'Parámetros'!$B$14,0))/1000,""))</f>
        <v>0.12</v>
      </c>
      <c r="G35" s="24">
        <f>IFERROR(F35/(1-'Parámetros'!$B$16),"")</f>
        <v>0.12631578947368421</v>
      </c>
      <c r="H35" s="25">
        <f>IFERROR(G35*$B$19,"")</f>
        <v>0.06370709382151028</v>
      </c>
      <c r="I35" s="25">
        <f>IFERROR(F35*'Parámetros'!$B$20/100*'Parámetros'!$G$40,"")</f>
        <v>0.006</v>
      </c>
      <c r="J35" s="25">
        <f>SUMIF($A$63:$A$100,"CH1",$I$63:$I$100)</f>
        <v>0.0</v>
      </c>
      <c r="K35" s="25">
        <f>SUMIF($A$63:$A$100,"CH1",$J$63:$J$100)</f>
        <v>0.15</v>
      </c>
      <c r="L35" s="25">
        <f>IFERROR(G35*'Absorción de Aceite y Merma'!$B$11,"")</f>
        <v>0.024664530892448515</v>
      </c>
      <c r="M35" s="12">
        <f>IFERROR(H35+I35+J35+L35,"")</f>
        <v>0.0943716247139588</v>
      </c>
      <c r="N35" s="12">
        <f>IFERROR(M35+K35,"")</f>
        <v>0.2443716247139588</v>
      </c>
    </row>
    <row r="36" ht="26" customHeight="1">
      <c r="A36" s="6" t="inlineStr">
        <is>
          <t>CH2 · Media ración de churros (3 uds)</t>
        </is>
      </c>
      <c r="B36" t="inlineStr">
        <is>
          <t>Churros y porras</t>
        </is>
      </c>
      <c r="C36" s="31" t="n">
        <v>3</v>
      </c>
      <c r="D36" s="5" t="inlineStr">
        <is>
          <t>churro</t>
        </is>
      </c>
      <c r="E36" s="32" t="n">
        <v>0</v>
      </c>
      <c r="F36" s="24">
        <f>IF(E36&gt;0,IFERROR(E36/'Parámetros'!$B$17,""),IFERROR(C36*IF(D36="porra",'Parámetros'!$B$15,IF(D36="churro",'Parámetros'!$B$14,0))/1000,""))</f>
        <v>0.06</v>
      </c>
      <c r="G36" s="24">
        <f>IFERROR(F36/(1-'Parámetros'!$B$16),"")</f>
        <v>0.06315789473684211</v>
      </c>
      <c r="H36" s="25">
        <f>IFERROR(G36*$B$19,"")</f>
        <v>0.03185354691075514</v>
      </c>
      <c r="I36" s="25">
        <f>IFERROR(F36*'Parámetros'!$B$20/100*'Parámetros'!$G$40,"")</f>
        <v>0.003</v>
      </c>
      <c r="J36" s="25">
        <f>SUMIF($A$63:$A$100,"CH2",$I$63:$I$100)</f>
        <v>0.0</v>
      </c>
      <c r="K36" s="25">
        <f>SUMIF($A$63:$A$100,"CH2",$J$63:$J$100)</f>
        <v>0.0</v>
      </c>
      <c r="L36" s="25">
        <f>IFERROR(G36*'Absorción de Aceite y Merma'!$B$11,"")</f>
        <v>0.012332265446224257</v>
      </c>
      <c r="M36" s="12">
        <f>IFERROR(H36+I36+J36+L36,"")</f>
        <v>0.0471858123569794</v>
      </c>
      <c r="N36" s="12">
        <f>IFERROR(M36+K36,"")</f>
        <v>0.0471858123569794</v>
      </c>
    </row>
    <row r="37" ht="26" customHeight="1">
      <c r="A37" s="6" t="inlineStr">
        <is>
          <t>CH3 · Ración de porras (3 uds)</t>
        </is>
      </c>
      <c r="B37" t="inlineStr">
        <is>
          <t>Churros y porras</t>
        </is>
      </c>
      <c r="C37" s="31" t="n">
        <v>3</v>
      </c>
      <c r="D37" s="5" t="inlineStr">
        <is>
          <t>porra</t>
        </is>
      </c>
      <c r="E37" s="32" t="n">
        <v>0</v>
      </c>
      <c r="F37" s="24">
        <f>IF(E37&gt;0,IFERROR(E37/'Parámetros'!$B$17,""),IFERROR(C37*IF(D37="porra",'Parámetros'!$B$15,IF(D37="churro",'Parámetros'!$B$14,0))/1000,""))</f>
        <v>0.18</v>
      </c>
      <c r="G37" s="24">
        <f>IFERROR(F37/(1-'Parámetros'!$B$16),"")</f>
        <v>0.18947368421052632</v>
      </c>
      <c r="H37" s="25">
        <f>IFERROR(G37*$B$19,"")</f>
        <v>0.09556064073226542</v>
      </c>
      <c r="I37" s="25">
        <f>IFERROR(F37*'Parámetros'!$B$20/100*'Parámetros'!$G$40,"")</f>
        <v>0.009</v>
      </c>
      <c r="J37" s="25">
        <f>SUMIF($A$63:$A$100,"CH3",$I$63:$I$100)</f>
        <v>0.0</v>
      </c>
      <c r="K37" s="25">
        <f>SUMIF($A$63:$A$100,"CH3",$J$63:$J$100)</f>
        <v>0.15</v>
      </c>
      <c r="L37" s="25">
        <f>IFERROR(G37*'Absorción de Aceite y Merma'!$B$11,"")</f>
        <v>0.036996796338672776</v>
      </c>
      <c r="M37" s="12">
        <f>IFERROR(H37+I37+J37+L37,"")</f>
        <v>0.14155743707093818</v>
      </c>
      <c r="N37" s="12">
        <f>IFERROR(M37+K37,"")</f>
        <v>0.2915574370709382</v>
      </c>
    </row>
    <row r="38" ht="26" customHeight="1">
      <c r="A38" s="6" t="inlineStr">
        <is>
          <t>CH4 · Churro suelto</t>
        </is>
      </c>
      <c r="B38" t="inlineStr">
        <is>
          <t>Churros y porras</t>
        </is>
      </c>
      <c r="C38" s="31" t="n">
        <v>1</v>
      </c>
      <c r="D38" s="5" t="inlineStr">
        <is>
          <t>churro</t>
        </is>
      </c>
      <c r="E38" s="32" t="n">
        <v>0</v>
      </c>
      <c r="F38" s="24">
        <f>IF(E38&gt;0,IFERROR(E38/'Parámetros'!$B$17,""),IFERROR(C38*IF(D38="porra",'Parámetros'!$B$15,IF(D38="churro",'Parámetros'!$B$14,0))/1000,""))</f>
        <v>0.02</v>
      </c>
      <c r="G38" s="24">
        <f>IFERROR(F38/(1-'Parámetros'!$B$16),"")</f>
        <v>0.02105263157894737</v>
      </c>
      <c r="H38" s="25">
        <f>IFERROR(G38*$B$19,"")</f>
        <v>0.010617848970251715</v>
      </c>
      <c r="I38" s="25">
        <f>IFERROR(F38*'Parámetros'!$B$20/100*'Parámetros'!$G$40,"")</f>
        <v>0.001</v>
      </c>
      <c r="J38" s="25">
        <f>SUMIF($A$63:$A$100,"CH4",$I$63:$I$100)</f>
        <v>0.0</v>
      </c>
      <c r="K38" s="25">
        <f>SUMIF($A$63:$A$100,"CH4",$J$63:$J$100)</f>
        <v>0.02</v>
      </c>
      <c r="L38" s="25">
        <f>IFERROR(G38*'Absorción de Aceite y Merma'!$B$11,"")</f>
        <v>0.00411075514874142</v>
      </c>
      <c r="M38" s="12">
        <f>IFERROR(H38+I38+J38+L38,"")</f>
        <v>0.015728604118993135</v>
      </c>
      <c r="N38" s="12">
        <f>IFERROR(M38+K38,"")</f>
        <v>0.03572860411899313</v>
      </c>
    </row>
    <row r="39" ht="26" customHeight="1">
      <c r="A39" s="6" t="inlineStr">
        <is>
          <t>CH5 · Porra suelta</t>
        </is>
      </c>
      <c r="B39" t="inlineStr">
        <is>
          <t>Churros y porras</t>
        </is>
      </c>
      <c r="C39" s="31" t="n">
        <v>1</v>
      </c>
      <c r="D39" s="5" t="inlineStr">
        <is>
          <t>porra</t>
        </is>
      </c>
      <c r="E39" s="32" t="n">
        <v>0</v>
      </c>
      <c r="F39" s="24">
        <f>IF(E39&gt;0,IFERROR(E39/'Parámetros'!$B$17,""),IFERROR(C39*IF(D39="porra",'Parámetros'!$B$15,IF(D39="churro",'Parámetros'!$B$14,0))/1000,""))</f>
        <v>0.06</v>
      </c>
      <c r="G39" s="24">
        <f>IFERROR(F39/(1-'Parámetros'!$B$16),"")</f>
        <v>0.06315789473684211</v>
      </c>
      <c r="H39" s="25">
        <f>IFERROR(G39*$B$19,"")</f>
        <v>0.03185354691075514</v>
      </c>
      <c r="I39" s="25">
        <f>IFERROR(F39*'Parámetros'!$B$20/100*'Parámetros'!$G$40,"")</f>
        <v>0.003</v>
      </c>
      <c r="J39" s="25">
        <f>SUMIF($A$63:$A$100,"CH5",$I$63:$I$100)</f>
        <v>0.0</v>
      </c>
      <c r="K39" s="25">
        <f>SUMIF($A$63:$A$100,"CH5",$J$63:$J$100)</f>
        <v>0.02</v>
      </c>
      <c r="L39" s="25">
        <f>IFERROR(G39*'Absorción de Aceite y Merma'!$B$11,"")</f>
        <v>0.012332265446224257</v>
      </c>
      <c r="M39" s="12">
        <f>IFERROR(H39+I39+J39+L39,"")</f>
        <v>0.0471858123569794</v>
      </c>
      <c r="N39" s="12">
        <f>IFERROR(M39+K39,"")</f>
        <v>0.0671858123569794</v>
      </c>
    </row>
    <row r="40" ht="26" customHeight="1">
      <c r="A40" s="6" t="inlineStr">
        <is>
          <t>CH6 · Docena de churros para llevar</t>
        </is>
      </c>
      <c r="B40" t="inlineStr">
        <is>
          <t>Churros y porras</t>
        </is>
      </c>
      <c r="C40" s="31" t="n">
        <v>12</v>
      </c>
      <c r="D40" s="5" t="inlineStr">
        <is>
          <t>churro</t>
        </is>
      </c>
      <c r="E40" s="32" t="n">
        <v>0</v>
      </c>
      <c r="F40" s="24">
        <f>IF(E40&gt;0,IFERROR(E40/'Parámetros'!$B$17,""),IFERROR(C40*IF(D40="porra",'Parámetros'!$B$15,IF(D40="churro",'Parámetros'!$B$14,0))/1000,""))</f>
        <v>0.24</v>
      </c>
      <c r="G40" s="24">
        <f>IFERROR(F40/(1-'Parámetros'!$B$16),"")</f>
        <v>0.25263157894736843</v>
      </c>
      <c r="H40" s="25">
        <f>IFERROR(G40*$B$19,"")</f>
        <v>0.12741418764302057</v>
      </c>
      <c r="I40" s="25">
        <f>IFERROR(F40*'Parámetros'!$B$20/100*'Parámetros'!$G$40,"")</f>
        <v>0.012</v>
      </c>
      <c r="J40" s="25">
        <f>SUMIF($A$63:$A$100,"CH6",$I$63:$I$100)</f>
        <v>0.0</v>
      </c>
      <c r="K40" s="25">
        <f>SUMIF($A$63:$A$100,"CH6",$J$63:$J$100)</f>
        <v>0.15</v>
      </c>
      <c r="L40" s="25">
        <f>IFERROR(G40*'Absorción de Aceite y Merma'!$B$11,"")</f>
        <v>0.04932906178489703</v>
      </c>
      <c r="M40" s="12">
        <f>IFERROR(H40+I40+J40+L40,"")</f>
        <v>0.1887432494279176</v>
      </c>
      <c r="N40" s="12">
        <f>IFERROR(M40+K40,"")</f>
        <v>0.33874324942791756</v>
      </c>
    </row>
    <row r="41" ht="26" customHeight="1">
      <c r="A41" s="6" t="inlineStr">
        <is>
          <t>CH7 · Kilo de churros para llevar</t>
        </is>
      </c>
      <c r="B41" t="inlineStr">
        <is>
          <t>Churros y porras</t>
        </is>
      </c>
      <c r="C41" s="31" t="n">
        <v>0</v>
      </c>
      <c r="D41" s="5" t="inlineStr">
        <is>
          <t>churro</t>
        </is>
      </c>
      <c r="E41" s="32" t="n">
        <v>1</v>
      </c>
      <c r="F41" s="24">
        <f>IF(E41&gt;0,IFERROR(E41/'Parámetros'!$B$17,""),IFERROR(C41*IF(D41="porra",'Parámetros'!$B$15,IF(D41="churro",'Parámetros'!$B$14,0))/1000,""))</f>
        <v>1.1111111111111112</v>
      </c>
      <c r="G41" s="24">
        <f>IFERROR(F41/(1-'Parámetros'!$B$16),"")</f>
        <v>1.169590643274854</v>
      </c>
      <c r="H41" s="25">
        <f>IFERROR(G41*$B$19,"")</f>
        <v>0.5898804983473175</v>
      </c>
      <c r="I41" s="25">
        <f>IFERROR(F41*'Parámetros'!$B$20/100*'Parámetros'!$G$40,"")</f>
        <v>0.05555555555555555</v>
      </c>
      <c r="J41" s="25">
        <f>SUMIF($A$63:$A$100,"CH7",$I$63:$I$100)</f>
        <v>0.0</v>
      </c>
      <c r="K41" s="25">
        <f>SUMIF($A$63:$A$100,"CH7",$J$63:$J$100)</f>
        <v>0.25</v>
      </c>
      <c r="L41" s="25">
        <f>IFERROR(G41*'Absorción de Aceite y Merma'!$B$11,"")</f>
        <v>0.22837528604118998</v>
      </c>
      <c r="M41" s="12">
        <f>IFERROR(H41+I41+J41+L41,"")</f>
        <v>0.873811339944063</v>
      </c>
      <c r="N41" s="12">
        <f>IFERROR(M41+K41,"")</f>
        <v>1.123811339944063</v>
      </c>
    </row>
    <row r="42" ht="26" customHeight="1">
      <c r="A42" s="6" t="inlineStr">
        <is>
          <t>RE1 · Churro relleno de chocolate (ud)</t>
        </is>
      </c>
      <c r="B42" t="inlineStr">
        <is>
          <t>Rellenos y especiales</t>
        </is>
      </c>
      <c r="C42" s="31" t="n">
        <v>1</v>
      </c>
      <c r="D42" s="5" t="inlineStr">
        <is>
          <t>porra</t>
        </is>
      </c>
      <c r="E42" s="32" t="n">
        <v>0</v>
      </c>
      <c r="F42" s="24">
        <f>IF(E42&gt;0,IFERROR(E42/'Parámetros'!$B$17,""),IFERROR(C42*IF(D42="porra",'Parámetros'!$B$15,IF(D42="churro",'Parámetros'!$B$14,0))/1000,""))</f>
        <v>0.06</v>
      </c>
      <c r="G42" s="24">
        <f>IFERROR(F42/(1-'Parámetros'!$B$16),"")</f>
        <v>0.06315789473684211</v>
      </c>
      <c r="H42" s="25">
        <f>IFERROR(G42*$B$19,"")</f>
        <v>0.03185354691075514</v>
      </c>
      <c r="I42" s="25">
        <f>IFERROR(F42*'Parámetros'!$B$20/100*'Parámetros'!$G$40,"")</f>
        <v>0.003</v>
      </c>
      <c r="J42" s="25">
        <f>SUMIF($A$63:$A$100,"RE1",$I$63:$I$100)</f>
        <v>0.13</v>
      </c>
      <c r="K42" s="25">
        <f>SUMIF($A$63:$A$100,"RE1",$J$63:$J$100)</f>
        <v>0.0</v>
      </c>
      <c r="L42" s="25">
        <f>IFERROR(G42*'Absorción de Aceite y Merma'!$B$11,"")</f>
        <v>0.012332265446224257</v>
      </c>
      <c r="M42" s="12">
        <f>IFERROR(H42+I42+J42+L42,"")</f>
        <v>0.17718581235697942</v>
      </c>
      <c r="N42" s="12">
        <f>IFERROR(M42+K42,"")</f>
        <v>0.17718581235697942</v>
      </c>
    </row>
    <row r="43" ht="26" customHeight="1">
      <c r="A43" s="6" t="inlineStr">
        <is>
          <t>RE2 · Ración de churros con cobertura de chocolate (6 uds)</t>
        </is>
      </c>
      <c r="B43" t="inlineStr">
        <is>
          <t>Rellenos y especiales</t>
        </is>
      </c>
      <c r="C43" s="31" t="n">
        <v>6</v>
      </c>
      <c r="D43" s="5" t="inlineStr">
        <is>
          <t>churro</t>
        </is>
      </c>
      <c r="E43" s="32" t="n">
        <v>0</v>
      </c>
      <c r="F43" s="24">
        <f>IF(E43&gt;0,IFERROR(E43/'Parámetros'!$B$17,""),IFERROR(C43*IF(D43="porra",'Parámetros'!$B$15,IF(D43="churro",'Parámetros'!$B$14,0))/1000,""))</f>
        <v>0.12</v>
      </c>
      <c r="G43" s="24">
        <f>IFERROR(F43/(1-'Parámetros'!$B$16),"")</f>
        <v>0.12631578947368421</v>
      </c>
      <c r="H43" s="25">
        <f>IFERROR(G43*$B$19,"")</f>
        <v>0.06370709382151028</v>
      </c>
      <c r="I43" s="25">
        <f>IFERROR(F43*'Parámetros'!$B$20/100*'Parámetros'!$G$40,"")</f>
        <v>0.006</v>
      </c>
      <c r="J43" s="25">
        <f>SUMIF($A$63:$A$100,"RE2",$I$63:$I$100)</f>
        <v>0.195</v>
      </c>
      <c r="K43" s="25">
        <f>SUMIF($A$63:$A$100,"RE2",$J$63:$J$100)</f>
        <v>0.0</v>
      </c>
      <c r="L43" s="25">
        <f>IFERROR(G43*'Absorción de Aceite y Merma'!$B$11,"")</f>
        <v>0.024664530892448515</v>
      </c>
      <c r="M43" s="12">
        <f>IFERROR(H43+I43+J43+L43,"")</f>
        <v>0.28937162471395883</v>
      </c>
      <c r="N43" s="12">
        <f>IFERROR(M43+K43,"")</f>
        <v>0.28937162471395883</v>
      </c>
    </row>
    <row r="44" ht="26" customHeight="1">
      <c r="A44" s="6" t="inlineStr">
        <is>
          <t>CT1 · Chocolate a la taza en barra</t>
        </is>
      </c>
      <c r="B44" t="inlineStr">
        <is>
          <t>Chocolate a la taza</t>
        </is>
      </c>
      <c r="C44" s="31" t="n">
        <v>0</v>
      </c>
      <c r="D44" s="5" t="inlineStr">
        <is>
          <t>sin masa</t>
        </is>
      </c>
      <c r="E44" s="32" t="n">
        <v>0</v>
      </c>
      <c r="F44" s="24">
        <f>IF(E44&gt;0,IFERROR(E44/'Parámetros'!$B$17,""),IFERROR(C44*IF(D44="porra",'Parámetros'!$B$15,IF(D44="churro",'Parámetros'!$B$14,0))/1000,""))</f>
        <v>0.0</v>
      </c>
      <c r="G44" s="24">
        <f>IFERROR(F44/(1-'Parámetros'!$B$16),"")</f>
        <v>0.0</v>
      </c>
      <c r="H44" s="25">
        <f>IFERROR(G44*$B$19,"")</f>
        <v>0.0</v>
      </c>
      <c r="I44" s="25">
        <f>IFERROR(F44*'Parámetros'!$B$20/100*'Parámetros'!$G$40,"")</f>
        <v>0.0</v>
      </c>
      <c r="J44" s="25">
        <f>SUMIF($A$63:$A$100,"CT1",$I$63:$I$100)</f>
        <v>0.43744186046511635</v>
      </c>
      <c r="K44" s="25">
        <f>SUMIF($A$63:$A$100,"CT1",$J$63:$J$100)</f>
        <v>0.0</v>
      </c>
      <c r="L44" s="25">
        <f>IFERROR(G44*'Absorción de Aceite y Merma'!$B$11,"")</f>
        <v>0.0</v>
      </c>
      <c r="M44" s="12">
        <f>IFERROR(H44+I44+J44+L44,"")</f>
        <v>0.43744186046511635</v>
      </c>
      <c r="N44" s="12">
        <f>IFERROR(M44+K44,"")</f>
        <v>0.43744186046511635</v>
      </c>
    </row>
    <row r="45" ht="26" customHeight="1">
      <c r="A45" s="6" t="inlineStr">
        <is>
          <t>CT2 · Chocolate a la taza en terraza</t>
        </is>
      </c>
      <c r="B45" t="inlineStr">
        <is>
          <t>Chocolate a la taza</t>
        </is>
      </c>
      <c r="C45" s="31" t="n">
        <v>0</v>
      </c>
      <c r="D45" s="5" t="inlineStr">
        <is>
          <t>sin masa</t>
        </is>
      </c>
      <c r="E45" s="32" t="n">
        <v>0</v>
      </c>
      <c r="F45" s="24">
        <f>IF(E45&gt;0,IFERROR(E45/'Parámetros'!$B$17,""),IFERROR(C45*IF(D45="porra",'Parámetros'!$B$15,IF(D45="churro",'Parámetros'!$B$14,0))/1000,""))</f>
        <v>0.0</v>
      </c>
      <c r="G45" s="24">
        <f>IFERROR(F45/(1-'Parámetros'!$B$16),"")</f>
        <v>0.0</v>
      </c>
      <c r="H45" s="25">
        <f>IFERROR(G45*$B$19,"")</f>
        <v>0.0</v>
      </c>
      <c r="I45" s="25">
        <f>IFERROR(F45*'Parámetros'!$B$20/100*'Parámetros'!$G$40,"")</f>
        <v>0.0</v>
      </c>
      <c r="J45" s="25">
        <f>SUMIF($A$63:$A$100,"CT2",$I$63:$I$100)</f>
        <v>0.43744186046511635</v>
      </c>
      <c r="K45" s="25">
        <f>SUMIF($A$63:$A$100,"CT2",$J$63:$J$100)</f>
        <v>0.0</v>
      </c>
      <c r="L45" s="25">
        <f>IFERROR(G45*'Absorción de Aceite y Merma'!$B$11,"")</f>
        <v>0.0</v>
      </c>
      <c r="M45" s="12">
        <f>IFERROR(H45+I45+J45+L45,"")</f>
        <v>0.43744186046511635</v>
      </c>
      <c r="N45" s="12">
        <f>IFERROR(M45+K45,"")</f>
        <v>0.43744186046511635</v>
      </c>
    </row>
    <row r="46" ht="26" customHeight="1">
      <c r="A46" s="6" t="inlineStr">
        <is>
          <t>CT3 · Chocolate con churros (taza y ración de 6)</t>
        </is>
      </c>
      <c r="B46" t="inlineStr">
        <is>
          <t>Chocolate a la taza</t>
        </is>
      </c>
      <c r="C46" s="31" t="n">
        <v>6</v>
      </c>
      <c r="D46" s="5" t="inlineStr">
        <is>
          <t>churro</t>
        </is>
      </c>
      <c r="E46" s="32" t="n">
        <v>0</v>
      </c>
      <c r="F46" s="24">
        <f>IF(E46&gt;0,IFERROR(E46/'Parámetros'!$B$17,""),IFERROR(C46*IF(D46="porra",'Parámetros'!$B$15,IF(D46="churro",'Parámetros'!$B$14,0))/1000,""))</f>
        <v>0.12</v>
      </c>
      <c r="G46" s="24">
        <f>IFERROR(F46/(1-'Parámetros'!$B$16),"")</f>
        <v>0.12631578947368421</v>
      </c>
      <c r="H46" s="25">
        <f>IFERROR(G46*$B$19,"")</f>
        <v>0.06370709382151028</v>
      </c>
      <c r="I46" s="25">
        <f>IFERROR(F46*'Parámetros'!$B$20/100*'Parámetros'!$G$40,"")</f>
        <v>0.006</v>
      </c>
      <c r="J46" s="25">
        <f>SUMIF($A$63:$A$100,"CT3",$I$63:$I$100)</f>
        <v>0.43744186046511635</v>
      </c>
      <c r="K46" s="25">
        <f>SUMIF($A$63:$A$100,"CT3",$J$63:$J$100)</f>
        <v>0.0</v>
      </c>
      <c r="L46" s="25">
        <f>IFERROR(G46*'Absorción de Aceite y Merma'!$B$11,"")</f>
        <v>0.024664530892448515</v>
      </c>
      <c r="M46" s="12">
        <f>IFERROR(H46+I46+J46+L46,"")</f>
        <v>0.5318134851790751</v>
      </c>
      <c r="N46" s="12">
        <f>IFERROR(M46+K46,"")</f>
        <v>0.5318134851790751</v>
      </c>
    </row>
    <row r="47" ht="26" customHeight="1">
      <c r="A47" s="6" t="inlineStr">
        <is>
          <t>CT4 · Chocolate a la taza para llevar</t>
        </is>
      </c>
      <c r="B47" t="inlineStr">
        <is>
          <t>Chocolate a la taza</t>
        </is>
      </c>
      <c r="C47" s="31" t="n">
        <v>0</v>
      </c>
      <c r="D47" s="5" t="inlineStr">
        <is>
          <t>sin masa</t>
        </is>
      </c>
      <c r="E47" s="32" t="n">
        <v>0</v>
      </c>
      <c r="F47" s="24">
        <f>IF(E47&gt;0,IFERROR(E47/'Parámetros'!$B$17,""),IFERROR(C47*IF(D47="porra",'Parámetros'!$B$15,IF(D47="churro",'Parámetros'!$B$14,0))/1000,""))</f>
        <v>0.0</v>
      </c>
      <c r="G47" s="24">
        <f>IFERROR(F47/(1-'Parámetros'!$B$16),"")</f>
        <v>0.0</v>
      </c>
      <c r="H47" s="25">
        <f>IFERROR(G47*$B$19,"")</f>
        <v>0.0</v>
      </c>
      <c r="I47" s="25">
        <f>IFERROR(F47*'Parámetros'!$B$20/100*'Parámetros'!$G$40,"")</f>
        <v>0.0</v>
      </c>
      <c r="J47" s="25">
        <f>SUMIF($A$63:$A$100,"CT4",$I$63:$I$100)</f>
        <v>0.43744186046511635</v>
      </c>
      <c r="K47" s="25">
        <f>SUMIF($A$63:$A$100,"CT4",$J$63:$J$100)</f>
        <v>0.08</v>
      </c>
      <c r="L47" s="25">
        <f>IFERROR(G47*'Absorción de Aceite y Merma'!$B$11,"")</f>
        <v>0.0</v>
      </c>
      <c r="M47" s="12">
        <f>IFERROR(H47+I47+J47+L47,"")</f>
        <v>0.43744186046511635</v>
      </c>
      <c r="N47" s="12">
        <f>IFERROR(M47+K47,"")</f>
        <v>0.5174418604651163</v>
      </c>
    </row>
    <row r="48" ht="26" customHeight="1">
      <c r="A48" s="6" t="inlineStr">
        <is>
          <t>CT5 · Media taza de chocolate</t>
        </is>
      </c>
      <c r="B48" t="inlineStr">
        <is>
          <t>Chocolate a la taza</t>
        </is>
      </c>
      <c r="C48" s="31" t="n">
        <v>0</v>
      </c>
      <c r="D48" s="5" t="inlineStr">
        <is>
          <t>sin masa</t>
        </is>
      </c>
      <c r="E48" s="32" t="n">
        <v>0</v>
      </c>
      <c r="F48" s="24">
        <f>IF(E48&gt;0,IFERROR(E48/'Parámetros'!$B$17,""),IFERROR(C48*IF(D48="porra",'Parámetros'!$B$15,IF(D48="churro",'Parámetros'!$B$14,0))/1000,""))</f>
        <v>0.0</v>
      </c>
      <c r="G48" s="24">
        <f>IFERROR(F48/(1-'Parámetros'!$B$16),"")</f>
        <v>0.0</v>
      </c>
      <c r="H48" s="25">
        <f>IFERROR(G48*$B$19,"")</f>
        <v>0.0</v>
      </c>
      <c r="I48" s="25">
        <f>IFERROR(F48*'Parámetros'!$B$20/100*'Parámetros'!$G$40,"")</f>
        <v>0.0</v>
      </c>
      <c r="J48" s="25">
        <f>SUMIF($A$63:$A$100,"CT5",$I$63:$I$100)</f>
        <v>0.26246511627906977</v>
      </c>
      <c r="K48" s="25">
        <f>SUMIF($A$63:$A$100,"CT5",$J$63:$J$100)</f>
        <v>0.0</v>
      </c>
      <c r="L48" s="25">
        <f>IFERROR(G48*'Absorción de Aceite y Merma'!$B$11,"")</f>
        <v>0.0</v>
      </c>
      <c r="M48" s="12">
        <f>IFERROR(H48+I48+J48+L48,"")</f>
        <v>0.26246511627906977</v>
      </c>
      <c r="N48" s="12">
        <f>IFERROR(M48+K48,"")</f>
        <v>0.26246511627906977</v>
      </c>
    </row>
    <row r="49" ht="26" customHeight="1">
      <c r="A49" s="6" t="inlineStr">
        <is>
          <t>CB1 · Café solo</t>
        </is>
      </c>
      <c r="B49" t="inlineStr">
        <is>
          <t>Cafés y bebidas</t>
        </is>
      </c>
      <c r="C49" s="31" t="n">
        <v>0</v>
      </c>
      <c r="D49" s="5" t="inlineStr">
        <is>
          <t>sin masa</t>
        </is>
      </c>
      <c r="E49" s="32" t="n">
        <v>0</v>
      </c>
      <c r="F49" s="24">
        <f>IF(E49&gt;0,IFERROR(E49/'Parámetros'!$B$17,""),IFERROR(C49*IF(D49="porra",'Parámetros'!$B$15,IF(D49="churro",'Parámetros'!$B$14,0))/1000,""))</f>
        <v>0.0</v>
      </c>
      <c r="G49" s="24">
        <f>IFERROR(F49/(1-'Parámetros'!$B$16),"")</f>
        <v>0.0</v>
      </c>
      <c r="H49" s="25">
        <f>IFERROR(G49*$B$19,"")</f>
        <v>0.0</v>
      </c>
      <c r="I49" s="25">
        <f>IFERROR(F49*'Parámetros'!$B$20/100*'Parámetros'!$G$40,"")</f>
        <v>0.0</v>
      </c>
      <c r="J49" s="25">
        <f>SUMIF($A$63:$A$100,"CB1",$I$63:$I$100)</f>
        <v>0.134</v>
      </c>
      <c r="K49" s="25">
        <f>SUMIF($A$63:$A$100,"CB1",$J$63:$J$100)</f>
        <v>0.08</v>
      </c>
      <c r="L49" s="25">
        <f>IFERROR(G49*'Absorción de Aceite y Merma'!$B$11,"")</f>
        <v>0.0</v>
      </c>
      <c r="M49" s="12">
        <f>IFERROR(H49+I49+J49+L49,"")</f>
        <v>0.134</v>
      </c>
      <c r="N49" s="12">
        <f>IFERROR(M49+K49,"")</f>
        <v>0.21400000000000002</v>
      </c>
    </row>
    <row r="50" ht="26" customHeight="1">
      <c r="A50" s="6" t="inlineStr">
        <is>
          <t>CB2 · Café con leche</t>
        </is>
      </c>
      <c r="B50" t="inlineStr">
        <is>
          <t>Cafés y bebidas</t>
        </is>
      </c>
      <c r="C50" s="31" t="n">
        <v>0</v>
      </c>
      <c r="D50" s="5" t="inlineStr">
        <is>
          <t>sin masa</t>
        </is>
      </c>
      <c r="E50" s="32" t="n">
        <v>0</v>
      </c>
      <c r="F50" s="24">
        <f>IF(E50&gt;0,IFERROR(E50/'Parámetros'!$B$17,""),IFERROR(C50*IF(D50="porra",'Parámetros'!$B$15,IF(D50="churro",'Parámetros'!$B$14,0))/1000,""))</f>
        <v>0.0</v>
      </c>
      <c r="G50" s="24">
        <f>IFERROR(F50/(1-'Parámetros'!$B$16),"")</f>
        <v>0.0</v>
      </c>
      <c r="H50" s="25">
        <f>IFERROR(G50*$B$19,"")</f>
        <v>0.0</v>
      </c>
      <c r="I50" s="25">
        <f>IFERROR(F50*'Parámetros'!$B$20/100*'Parámetros'!$G$40,"")</f>
        <v>0.0</v>
      </c>
      <c r="J50" s="25">
        <f>SUMIF($A$63:$A$100,"CB2",$I$63:$I$100)</f>
        <v>0.2615</v>
      </c>
      <c r="K50" s="25">
        <f>SUMIF($A$63:$A$100,"CB2",$J$63:$J$100)</f>
        <v>0.08</v>
      </c>
      <c r="L50" s="25">
        <f>IFERROR(G50*'Absorción de Aceite y Merma'!$B$11,"")</f>
        <v>0.0</v>
      </c>
      <c r="M50" s="12">
        <f>IFERROR(H50+I50+J50+L50,"")</f>
        <v>0.2615</v>
      </c>
      <c r="N50" s="12">
        <f>IFERROR(M50+K50,"")</f>
        <v>0.3415</v>
      </c>
    </row>
    <row r="51" ht="26" customHeight="1">
      <c r="A51" s="6" t="inlineStr">
        <is>
          <t>CB3 · Infusión</t>
        </is>
      </c>
      <c r="B51" t="inlineStr">
        <is>
          <t>Cafés y bebidas</t>
        </is>
      </c>
      <c r="C51" s="31" t="n">
        <v>0</v>
      </c>
      <c r="D51" s="5" t="inlineStr">
        <is>
          <t>sin masa</t>
        </is>
      </c>
      <c r="E51" s="32" t="n">
        <v>0</v>
      </c>
      <c r="F51" s="24">
        <f>IF(E51&gt;0,IFERROR(E51/'Parámetros'!$B$17,""),IFERROR(C51*IF(D51="porra",'Parámetros'!$B$15,IF(D51="churro",'Parámetros'!$B$14,0))/1000,""))</f>
        <v>0.0</v>
      </c>
      <c r="G51" s="24">
        <f>IFERROR(F51/(1-'Parámetros'!$B$16),"")</f>
        <v>0.0</v>
      </c>
      <c r="H51" s="25">
        <f>IFERROR(G51*$B$19,"")</f>
        <v>0.0</v>
      </c>
      <c r="I51" s="25">
        <f>IFERROR(F51*'Parámetros'!$B$20/100*'Parámetros'!$G$40,"")</f>
        <v>0.0</v>
      </c>
      <c r="J51" s="25">
        <f>SUMIF($A$63:$A$100,"CB3",$I$63:$I$100)</f>
        <v>0.068</v>
      </c>
      <c r="K51" s="25">
        <f>SUMIF($A$63:$A$100,"CB3",$J$63:$J$100)</f>
        <v>0.0</v>
      </c>
      <c r="L51" s="25">
        <f>IFERROR(G51*'Absorción de Aceite y Merma'!$B$11,"")</f>
        <v>0.0</v>
      </c>
      <c r="M51" s="12">
        <f>IFERROR(H51+I51+J51+L51,"")</f>
        <v>0.068</v>
      </c>
      <c r="N51" s="12">
        <f>IFERROR(M51+K51,"")</f>
        <v>0.068</v>
      </c>
    </row>
    <row r="52" ht="26" customHeight="1">
      <c r="A52" s="6" t="inlineStr">
        <is>
          <t>CB4 · Leche con cacao</t>
        </is>
      </c>
      <c r="B52" t="inlineStr">
        <is>
          <t>Cafés y bebidas</t>
        </is>
      </c>
      <c r="C52" s="31" t="n">
        <v>0</v>
      </c>
      <c r="D52" s="5" t="inlineStr">
        <is>
          <t>sin masa</t>
        </is>
      </c>
      <c r="E52" s="32" t="n">
        <v>0</v>
      </c>
      <c r="F52" s="24">
        <f>IF(E52&gt;0,IFERROR(E52/'Parámetros'!$B$17,""),IFERROR(C52*IF(D52="porra",'Parámetros'!$B$15,IF(D52="churro",'Parámetros'!$B$14,0))/1000,""))</f>
        <v>0.0</v>
      </c>
      <c r="G52" s="24">
        <f>IFERROR(F52/(1-'Parámetros'!$B$16),"")</f>
        <v>0.0</v>
      </c>
      <c r="H52" s="25">
        <f>IFERROR(G52*$B$19,"")</f>
        <v>0.0</v>
      </c>
      <c r="I52" s="25">
        <f>IFERROR(F52*'Parámetros'!$B$20/100*'Parámetros'!$G$40,"")</f>
        <v>0.0</v>
      </c>
      <c r="J52" s="25">
        <f>SUMIF($A$63:$A$100,"CB4",$I$63:$I$100)</f>
        <v>0.26</v>
      </c>
      <c r="K52" s="25">
        <f>SUMIF($A$63:$A$100,"CB4",$J$63:$J$100)</f>
        <v>0.08</v>
      </c>
      <c r="L52" s="25">
        <f>IFERROR(G52*'Absorción de Aceite y Merma'!$B$11,"")</f>
        <v>0.0</v>
      </c>
      <c r="M52" s="12">
        <f>IFERROR(H52+I52+J52+L52,"")</f>
        <v>0.26</v>
      </c>
      <c r="N52" s="12">
        <f>IFERROR(M52+K52,"")</f>
        <v>0.34</v>
      </c>
    </row>
    <row r="53" ht="26" customHeight="1">
      <c r="A53" s="6" t="inlineStr">
        <is>
          <t>CB5 · Zumo de naranja natural</t>
        </is>
      </c>
      <c r="B53" t="inlineStr">
        <is>
          <t>Cafés y bebidas</t>
        </is>
      </c>
      <c r="C53" s="31" t="n">
        <v>0</v>
      </c>
      <c r="D53" s="5" t="inlineStr">
        <is>
          <t>sin masa</t>
        </is>
      </c>
      <c r="E53" s="32" t="n">
        <v>0</v>
      </c>
      <c r="F53" s="24">
        <f>IF(E53&gt;0,IFERROR(E53/'Parámetros'!$B$17,""),IFERROR(C53*IF(D53="porra",'Parámetros'!$B$15,IF(D53="churro",'Parámetros'!$B$14,0))/1000,""))</f>
        <v>0.0</v>
      </c>
      <c r="G53" s="24">
        <f>IFERROR(F53/(1-'Parámetros'!$B$16),"")</f>
        <v>0.0</v>
      </c>
      <c r="H53" s="25">
        <f>IFERROR(G53*$B$19,"")</f>
        <v>0.0</v>
      </c>
      <c r="I53" s="25">
        <f>IFERROR(F53*'Parámetros'!$B$20/100*'Parámetros'!$G$40,"")</f>
        <v>0.0</v>
      </c>
      <c r="J53" s="25">
        <f>SUMIF($A$63:$A$100,"CB5",$I$63:$I$100)</f>
        <v>0.49500000000000005</v>
      </c>
      <c r="K53" s="25">
        <f>SUMIF($A$63:$A$100,"CB5",$J$63:$J$100)</f>
        <v>0.08</v>
      </c>
      <c r="L53" s="25">
        <f>IFERROR(G53*'Absorción de Aceite y Merma'!$B$11,"")</f>
        <v>0.0</v>
      </c>
      <c r="M53" s="12">
        <f>IFERROR(H53+I53+J53+L53,"")</f>
        <v>0.49500000000000005</v>
      </c>
      <c r="N53" s="12">
        <f>IFERROR(M53+K53,"")</f>
        <v>0.5750000000000001</v>
      </c>
    </row>
    <row r="54" ht="26" customHeight="1">
      <c r="A54" s="6" t="inlineStr">
        <is>
          <t>CB6 · Agua (botella de 50 cl)</t>
        </is>
      </c>
      <c r="B54" t="inlineStr">
        <is>
          <t>Cafés y bebidas</t>
        </is>
      </c>
      <c r="C54" s="31" t="n">
        <v>0</v>
      </c>
      <c r="D54" s="5" t="inlineStr">
        <is>
          <t>sin masa</t>
        </is>
      </c>
      <c r="E54" s="32" t="n">
        <v>0</v>
      </c>
      <c r="F54" s="24">
        <f>IF(E54&gt;0,IFERROR(E54/'Parámetros'!$B$17,""),IFERROR(C54*IF(D54="porra",'Parámetros'!$B$15,IF(D54="churro",'Parámetros'!$B$14,0))/1000,""))</f>
        <v>0.0</v>
      </c>
      <c r="G54" s="24">
        <f>IFERROR(F54/(1-'Parámetros'!$B$16),"")</f>
        <v>0.0</v>
      </c>
      <c r="H54" s="25">
        <f>IFERROR(G54*$B$19,"")</f>
        <v>0.0</v>
      </c>
      <c r="I54" s="25">
        <f>IFERROR(F54*'Parámetros'!$B$20/100*'Parámetros'!$G$40,"")</f>
        <v>0.0</v>
      </c>
      <c r="J54" s="25">
        <f>SUMIF($A$63:$A$100,"CB6",$I$63:$I$100)</f>
        <v>0.22</v>
      </c>
      <c r="K54" s="25">
        <f>SUMIF($A$63:$A$100,"CB6",$J$63:$J$100)</f>
        <v>0.0</v>
      </c>
      <c r="L54" s="25">
        <f>IFERROR(G54*'Absorción de Aceite y Merma'!$B$11,"")</f>
        <v>0.0</v>
      </c>
      <c r="M54" s="12">
        <f>IFERROR(H54+I54+J54+L54,"")</f>
        <v>0.22</v>
      </c>
      <c r="N54" s="12">
        <f>IFERROR(M54+K54,"")</f>
        <v>0.22</v>
      </c>
    </row>
    <row r="55" ht="26" customHeight="1">
      <c r="A55" s="6" t="inlineStr">
        <is>
          <t>CV1 · Granizado</t>
        </is>
      </c>
      <c r="B55" t="inlineStr">
        <is>
          <t>Carta de verano</t>
        </is>
      </c>
      <c r="C55" s="31" t="n">
        <v>0</v>
      </c>
      <c r="D55" s="5" t="inlineStr">
        <is>
          <t>sin masa</t>
        </is>
      </c>
      <c r="E55" s="32" t="n">
        <v>0</v>
      </c>
      <c r="F55" s="24">
        <f>IF(E55&gt;0,IFERROR(E55/'Parámetros'!$B$17,""),IFERROR(C55*IF(D55="porra",'Parámetros'!$B$15,IF(D55="churro",'Parámetros'!$B$14,0))/1000,""))</f>
        <v>0.0</v>
      </c>
      <c r="G55" s="24">
        <f>IFERROR(F55/(1-'Parámetros'!$B$16),"")</f>
        <v>0.0</v>
      </c>
      <c r="H55" s="25">
        <f>IFERROR(G55*$B$19,"")</f>
        <v>0.0</v>
      </c>
      <c r="I55" s="25">
        <f>IFERROR(F55*'Parámetros'!$B$20/100*'Parámetros'!$G$40,"")</f>
        <v>0.0</v>
      </c>
      <c r="J55" s="25">
        <f>SUMIF($A$63:$A$100,"CV1",$I$63:$I$100)</f>
        <v>0.45</v>
      </c>
      <c r="K55" s="25">
        <f>SUMIF($A$63:$A$100,"CV1",$J$63:$J$100)</f>
        <v>0.08</v>
      </c>
      <c r="L55" s="25">
        <f>IFERROR(G55*'Absorción de Aceite y Merma'!$B$11,"")</f>
        <v>0.0</v>
      </c>
      <c r="M55" s="12">
        <f>IFERROR(H55+I55+J55+L55,"")</f>
        <v>0.45</v>
      </c>
      <c r="N55" s="12">
        <f>IFERROR(M55+K55,"")</f>
        <v>0.53</v>
      </c>
    </row>
    <row r="56" ht="26" customHeight="1">
      <c r="A56" s="6" t="inlineStr">
        <is>
          <t>CV2 · Horchata</t>
        </is>
      </c>
      <c r="B56" t="inlineStr">
        <is>
          <t>Carta de verano</t>
        </is>
      </c>
      <c r="C56" s="31" t="n">
        <v>0</v>
      </c>
      <c r="D56" s="5" t="inlineStr">
        <is>
          <t>sin masa</t>
        </is>
      </c>
      <c r="E56" s="32" t="n">
        <v>0</v>
      </c>
      <c r="F56" s="24">
        <f>IF(E56&gt;0,IFERROR(E56/'Parámetros'!$B$17,""),IFERROR(C56*IF(D56="porra",'Parámetros'!$B$15,IF(D56="churro",'Parámetros'!$B$14,0))/1000,""))</f>
        <v>0.0</v>
      </c>
      <c r="G56" s="24">
        <f>IFERROR(F56/(1-'Parámetros'!$B$16),"")</f>
        <v>0.0</v>
      </c>
      <c r="H56" s="25">
        <f>IFERROR(G56*$B$19,"")</f>
        <v>0.0</v>
      </c>
      <c r="I56" s="25">
        <f>IFERROR(F56*'Parámetros'!$B$20/100*'Parámetros'!$G$40,"")</f>
        <v>0.0</v>
      </c>
      <c r="J56" s="25">
        <f>SUMIF($A$63:$A$100,"CV2",$I$63:$I$100)</f>
        <v>0.55</v>
      </c>
      <c r="K56" s="25">
        <f>SUMIF($A$63:$A$100,"CV2",$J$63:$J$100)</f>
        <v>0.08</v>
      </c>
      <c r="L56" s="25">
        <f>IFERROR(G56*'Absorción de Aceite y Merma'!$B$11,"")</f>
        <v>0.0</v>
      </c>
      <c r="M56" s="12">
        <f>IFERROR(H56+I56+J56+L56,"")</f>
        <v>0.55</v>
      </c>
      <c r="N56" s="12">
        <f>IFERROR(M56+K56,"")</f>
        <v>0.63</v>
      </c>
    </row>
    <row r="57" ht="26" customHeight="1">
      <c r="A57" s="6" t="inlineStr">
        <is>
          <t>CV3 · Helado (bola)</t>
        </is>
      </c>
      <c r="B57" t="inlineStr">
        <is>
          <t>Carta de verano</t>
        </is>
      </c>
      <c r="C57" s="31" t="n">
        <v>0</v>
      </c>
      <c r="D57" s="5" t="inlineStr">
        <is>
          <t>sin masa</t>
        </is>
      </c>
      <c r="E57" s="32" t="n">
        <v>0</v>
      </c>
      <c r="F57" s="24">
        <f>IF(E57&gt;0,IFERROR(E57/'Parámetros'!$B$17,""),IFERROR(C57*IF(D57="porra",'Parámetros'!$B$15,IF(D57="churro",'Parámetros'!$B$14,0))/1000,""))</f>
        <v>0.0</v>
      </c>
      <c r="G57" s="24">
        <f>IFERROR(F57/(1-'Parámetros'!$B$16),"")</f>
        <v>0.0</v>
      </c>
      <c r="H57" s="25">
        <f>IFERROR(G57*$B$19,"")</f>
        <v>0.0</v>
      </c>
      <c r="I57" s="25">
        <f>IFERROR(F57*'Parámetros'!$B$20/100*'Parámetros'!$G$40,"")</f>
        <v>0.0</v>
      </c>
      <c r="J57" s="25">
        <f>SUMIF($A$63:$A$100,"CV3",$I$63:$I$100)</f>
        <v>0.45</v>
      </c>
      <c r="K57" s="25">
        <f>SUMIF($A$63:$A$100,"CV3",$J$63:$J$100)</f>
        <v>0.0</v>
      </c>
      <c r="L57" s="25">
        <f>IFERROR(G57*'Absorción de Aceite y Merma'!$B$11,"")</f>
        <v>0.0</v>
      </c>
      <c r="M57" s="12">
        <f>IFERROR(H57+I57+J57+L57,"")</f>
        <v>0.45</v>
      </c>
      <c r="N57" s="12">
        <f>IFERROR(M57+K57,"")</f>
        <v>0.45</v>
      </c>
    </row>
    <row r="58" ht="26" customHeight="1">
      <c r="A58" s="6" t="inlineStr">
        <is>
          <t>CV4 · Batido</t>
        </is>
      </c>
      <c r="B58" t="inlineStr">
        <is>
          <t>Carta de verano</t>
        </is>
      </c>
      <c r="C58" s="31" t="n">
        <v>0</v>
      </c>
      <c r="D58" s="5" t="inlineStr">
        <is>
          <t>sin masa</t>
        </is>
      </c>
      <c r="E58" s="32" t="n">
        <v>0</v>
      </c>
      <c r="F58" s="24">
        <f>IF(E58&gt;0,IFERROR(E58/'Parámetros'!$B$17,""),IFERROR(C58*IF(D58="porra",'Parámetros'!$B$15,IF(D58="churro",'Parámetros'!$B$14,0))/1000,""))</f>
        <v>0.0</v>
      </c>
      <c r="G58" s="24">
        <f>IFERROR(F58/(1-'Parámetros'!$B$16),"")</f>
        <v>0.0</v>
      </c>
      <c r="H58" s="25">
        <f>IFERROR(G58*$B$19,"")</f>
        <v>0.0</v>
      </c>
      <c r="I58" s="25">
        <f>IFERROR(F58*'Parámetros'!$B$20/100*'Parámetros'!$G$40,"")</f>
        <v>0.0</v>
      </c>
      <c r="J58" s="25">
        <f>SUMIF($A$63:$A$100,"CV4",$I$63:$I$100)</f>
        <v>0.7125</v>
      </c>
      <c r="K58" s="25">
        <f>SUMIF($A$63:$A$100,"CV4",$J$63:$J$100)</f>
        <v>0.08</v>
      </c>
      <c r="L58" s="25">
        <f>IFERROR(G58*'Absorción de Aceite y Merma'!$B$11,"")</f>
        <v>0.0</v>
      </c>
      <c r="M58" s="12">
        <f>IFERROR(H58+I58+J58+L58,"")</f>
        <v>0.7125</v>
      </c>
      <c r="N58" s="12">
        <f>IFERROR(M58+K58,"")</f>
        <v>0.7925</v>
      </c>
    </row>
    <row r="59"/>
    <row r="60"/>
    <row r="61">
      <c r="A61" s="4" t="inlineStr">
        <is>
          <t>5. Receta y Envase de Cada Referencia</t>
        </is>
      </c>
      <c r="F61" s="10" t="inlineStr">
        <is>
          <t>Una línea por insumo. El envase sólo cuenta cuando la referencia se vende para llevar. El chocolate entra por taza o media taza, con el coste de la hoja «Chocolate a la Taza».</t>
        </is>
      </c>
    </row>
    <row r="62" ht="44" customHeight="1">
      <c r="A62" s="19" t="inlineStr">
        <is>
          <t>Id</t>
        </is>
      </c>
      <c r="B62" s="19" t="inlineStr">
        <is>
          <t>Referencia</t>
        </is>
      </c>
      <c r="C62" s="19" t="inlineStr">
        <is>
          <t>Insumo</t>
        </is>
      </c>
      <c r="D62" s="19" t="inlineStr">
        <is>
          <t>Cantidad por unidad vendida</t>
        </is>
      </c>
      <c r="E62" s="19" t="inlineStr">
        <is>
          <t>Unidad</t>
        </is>
      </c>
      <c r="F62" s="19" t="inlineStr">
        <is>
          <t>Cuándo cuenta</t>
        </is>
      </c>
      <c r="G62" s="19" t="inlineStr">
        <is>
          <t>Precio SIN IVA por unidad (EUR)</t>
        </is>
      </c>
      <c r="H62" s="19" t="inlineStr">
        <is>
          <t>Importe (EUR)</t>
        </is>
      </c>
      <c r="I62" s="19" t="inlineStr">
        <is>
          <t>Cuenta siempre (EUR)</t>
        </is>
      </c>
      <c r="J62" s="19" t="inlineStr">
        <is>
          <t>Cuenta sólo para llevar (EUR)</t>
        </is>
      </c>
    </row>
    <row r="63">
      <c r="A63" t="inlineStr">
        <is>
          <t>CH1</t>
        </is>
      </c>
      <c r="B63" s="6" t="inlineStr">
        <is>
          <t>Ración de churros (6 uds)</t>
        </is>
      </c>
      <c r="C63" s="5" t="inlineStr">
        <is>
          <t>Cucurucho de cartón para churros (caja de 100)</t>
        </is>
      </c>
      <c r="D63" s="32" t="n">
        <v>1</v>
      </c>
      <c r="E63" t="str">
        <f>IF(OR(C63="Taza de chocolate",C63="Media taza de chocolate"),"ud",IFERROR(INDEX('Parámetros'!$F$33:$F$53,MATCH(C63,'Parámetros'!$A$33:$A$53,0)),""))</f>
        <v>ud</v>
      </c>
      <c r="F63" s="5" t="inlineStr">
        <is>
          <t>Sólo para llevar</t>
        </is>
      </c>
      <c r="G63" s="25">
        <f>IF(C63="Taza de chocolate",'Chocolate a la Taza'!$B$15,IF(C63="Media taza de chocolate",'Chocolate a la Taza'!$B$16,IFERROR(INDEX('Parámetros'!$G$33:$G$53,MATCH(C63,'Parámetros'!$A$33:$A$53,0)),"")))</f>
        <v>0.15</v>
      </c>
      <c r="H63" s="25">
        <f>IFERROR(D63*G63,"")</f>
        <v>0.15</v>
      </c>
      <c r="I63" s="25">
        <f>IF(F63="Siempre",H63,0)</f>
        <v>0.0</v>
      </c>
      <c r="J63" s="25">
        <f>IF(F63="Sólo para llevar",H63,0)</f>
        <v>0.15</v>
      </c>
    </row>
    <row r="64">
      <c r="A64" t="inlineStr">
        <is>
          <t>CH3</t>
        </is>
      </c>
      <c r="B64" s="6" t="inlineStr">
        <is>
          <t>Ración de porras (3 uds)</t>
        </is>
      </c>
      <c r="C64" s="5" t="inlineStr">
        <is>
          <t>Cucurucho de cartón para churros (caja de 100)</t>
        </is>
      </c>
      <c r="D64" s="32" t="n">
        <v>1</v>
      </c>
      <c r="E64" t="str">
        <f>IF(OR(C64="Taza de chocolate",C64="Media taza de chocolate"),"ud",IFERROR(INDEX('Parámetros'!$F$33:$F$53,MATCH(C64,'Parámetros'!$A$33:$A$53,0)),""))</f>
        <v>ud</v>
      </c>
      <c r="F64" s="5" t="inlineStr">
        <is>
          <t>Sólo para llevar</t>
        </is>
      </c>
      <c r="G64" s="25">
        <f>IF(C64="Taza de chocolate",'Chocolate a la Taza'!$B$15,IF(C64="Media taza de chocolate",'Chocolate a la Taza'!$B$16,IFERROR(INDEX('Parámetros'!$G$33:$G$53,MATCH(C64,'Parámetros'!$A$33:$A$53,0)),"")))</f>
        <v>0.15</v>
      </c>
      <c r="H64" s="25">
        <f>IFERROR(D64*G64,"")</f>
        <v>0.15</v>
      </c>
      <c r="I64" s="25">
        <f>IF(F64="Siempre",H64,0)</f>
        <v>0.0</v>
      </c>
      <c r="J64" s="25">
        <f>IF(F64="Sólo para llevar",H64,0)</f>
        <v>0.15</v>
      </c>
    </row>
    <row r="65">
      <c r="A65" t="inlineStr">
        <is>
          <t>CH4</t>
        </is>
      </c>
      <c r="B65" s="6" t="inlineStr">
        <is>
          <t>Churro suelto</t>
        </is>
      </c>
      <c r="C65" s="5" t="inlineStr">
        <is>
          <t>Papel antigrasa para sueltos</t>
        </is>
      </c>
      <c r="D65" s="32" t="n">
        <v>1</v>
      </c>
      <c r="E65" t="str">
        <f>IF(OR(C65="Taza de chocolate",C65="Media taza de chocolate"),"ud",IFERROR(INDEX('Parámetros'!$F$33:$F$53,MATCH(C65,'Parámetros'!$A$33:$A$53,0)),""))</f>
        <v>ud</v>
      </c>
      <c r="F65" s="5" t="inlineStr">
        <is>
          <t>Sólo para llevar</t>
        </is>
      </c>
      <c r="G65" s="25">
        <f>IF(C65="Taza de chocolate",'Chocolate a la Taza'!$B$15,IF(C65="Media taza de chocolate",'Chocolate a la Taza'!$B$16,IFERROR(INDEX('Parámetros'!$G$33:$G$53,MATCH(C65,'Parámetros'!$A$33:$A$53,0)),"")))</f>
        <v>0.02</v>
      </c>
      <c r="H65" s="25">
        <f>IFERROR(D65*G65,"")</f>
        <v>0.02</v>
      </c>
      <c r="I65" s="25">
        <f>IF(F65="Siempre",H65,0)</f>
        <v>0.0</v>
      </c>
      <c r="J65" s="25">
        <f>IF(F65="Sólo para llevar",H65,0)</f>
        <v>0.02</v>
      </c>
    </row>
    <row r="66">
      <c r="A66" t="inlineStr">
        <is>
          <t>CH5</t>
        </is>
      </c>
      <c r="B66" s="6" t="inlineStr">
        <is>
          <t>Porra suelta</t>
        </is>
      </c>
      <c r="C66" s="5" t="inlineStr">
        <is>
          <t>Papel antigrasa para sueltos</t>
        </is>
      </c>
      <c r="D66" s="32" t="n">
        <v>1</v>
      </c>
      <c r="E66" t="str">
        <f>IF(OR(C66="Taza de chocolate",C66="Media taza de chocolate"),"ud",IFERROR(INDEX('Parámetros'!$F$33:$F$53,MATCH(C66,'Parámetros'!$A$33:$A$53,0)),""))</f>
        <v>ud</v>
      </c>
      <c r="F66" s="5" t="inlineStr">
        <is>
          <t>Sólo para llevar</t>
        </is>
      </c>
      <c r="G66" s="25">
        <f>IF(C66="Taza de chocolate",'Chocolate a la Taza'!$B$15,IF(C66="Media taza de chocolate",'Chocolate a la Taza'!$B$16,IFERROR(INDEX('Parámetros'!$G$33:$G$53,MATCH(C66,'Parámetros'!$A$33:$A$53,0)),"")))</f>
        <v>0.02</v>
      </c>
      <c r="H66" s="25">
        <f>IFERROR(D66*G66,"")</f>
        <v>0.02</v>
      </c>
      <c r="I66" s="25">
        <f>IF(F66="Siempre",H66,0)</f>
        <v>0.0</v>
      </c>
      <c r="J66" s="25">
        <f>IF(F66="Sólo para llevar",H66,0)</f>
        <v>0.02</v>
      </c>
    </row>
    <row r="67">
      <c r="A67" t="inlineStr">
        <is>
          <t>CH6</t>
        </is>
      </c>
      <c r="B67" s="6" t="inlineStr">
        <is>
          <t>Docena de churros para llevar</t>
        </is>
      </c>
      <c r="C67" s="5" t="inlineStr">
        <is>
          <t>Cucurucho de cartón para churros (caja de 100)</t>
        </is>
      </c>
      <c r="D67" s="32" t="n">
        <v>1</v>
      </c>
      <c r="E67" t="str">
        <f>IF(OR(C67="Taza de chocolate",C67="Media taza de chocolate"),"ud",IFERROR(INDEX('Parámetros'!$F$33:$F$53,MATCH(C67,'Parámetros'!$A$33:$A$53,0)),""))</f>
        <v>ud</v>
      </c>
      <c r="F67" s="5" t="inlineStr">
        <is>
          <t>Sólo para llevar</t>
        </is>
      </c>
      <c r="G67" s="25">
        <f>IF(C67="Taza de chocolate",'Chocolate a la Taza'!$B$15,IF(C67="Media taza de chocolate",'Chocolate a la Taza'!$B$16,IFERROR(INDEX('Parámetros'!$G$33:$G$53,MATCH(C67,'Parámetros'!$A$33:$A$53,0)),"")))</f>
        <v>0.15</v>
      </c>
      <c r="H67" s="25">
        <f>IFERROR(D67*G67,"")</f>
        <v>0.15</v>
      </c>
      <c r="I67" s="25">
        <f>IF(F67="Siempre",H67,0)</f>
        <v>0.0</v>
      </c>
      <c r="J67" s="25">
        <f>IF(F67="Sólo para llevar",H67,0)</f>
        <v>0.15</v>
      </c>
    </row>
    <row r="68">
      <c r="A68" t="inlineStr">
        <is>
          <t>CH7</t>
        </is>
      </c>
      <c r="B68" s="6" t="inlineStr">
        <is>
          <t>Kilo de churros para llevar</t>
        </is>
      </c>
      <c r="C68" s="5" t="inlineStr">
        <is>
          <t>Caja de cartón para el kilo</t>
        </is>
      </c>
      <c r="D68" s="32" t="n">
        <v>1</v>
      </c>
      <c r="E68" t="str">
        <f>IF(OR(C68="Taza de chocolate",C68="Media taza de chocolate"),"ud",IFERROR(INDEX('Parámetros'!$F$33:$F$53,MATCH(C68,'Parámetros'!$A$33:$A$53,0)),""))</f>
        <v>ud</v>
      </c>
      <c r="F68" s="5" t="inlineStr">
        <is>
          <t>Sólo para llevar</t>
        </is>
      </c>
      <c r="G68" s="25">
        <f>IF(C68="Taza de chocolate",'Chocolate a la Taza'!$B$15,IF(C68="Media taza de chocolate",'Chocolate a la Taza'!$B$16,IFERROR(INDEX('Parámetros'!$G$33:$G$53,MATCH(C68,'Parámetros'!$A$33:$A$53,0)),"")))</f>
        <v>0.25</v>
      </c>
      <c r="H68" s="25">
        <f>IFERROR(D68*G68,"")</f>
        <v>0.25</v>
      </c>
      <c r="I68" s="25">
        <f>IF(F68="Siempre",H68,0)</f>
        <v>0.0</v>
      </c>
      <c r="J68" s="25">
        <f>IF(F68="Sólo para llevar",H68,0)</f>
        <v>0.25</v>
      </c>
    </row>
    <row r="69">
      <c r="A69" t="inlineStr">
        <is>
          <t>RE1</t>
        </is>
      </c>
      <c r="B69" s="6" t="inlineStr">
        <is>
          <t>Churro relleno de chocolate (ud)</t>
        </is>
      </c>
      <c r="C69" s="5" t="inlineStr">
        <is>
          <t>Cobertura de chocolate negro (1 kg)</t>
        </is>
      </c>
      <c r="D69" s="32" t="n">
        <v>0.02</v>
      </c>
      <c r="E69" t="str">
        <f>IF(OR(C69="Taza de chocolate",C69="Media taza de chocolate"),"ud",IFERROR(INDEX('Parámetros'!$F$33:$F$53,MATCH(C69,'Parámetros'!$A$33:$A$53,0)),""))</f>
        <v>kg</v>
      </c>
      <c r="F69" s="5" t="inlineStr">
        <is>
          <t>Siempre</t>
        </is>
      </c>
      <c r="G69" s="25">
        <f>IF(C69="Taza de chocolate",'Chocolate a la Taza'!$B$15,IF(C69="Media taza de chocolate",'Chocolate a la Taza'!$B$16,IFERROR(INDEX('Parámetros'!$G$33:$G$53,MATCH(C69,'Parámetros'!$A$33:$A$53,0)),"")))</f>
        <v>6.5</v>
      </c>
      <c r="H69" s="25">
        <f>IFERROR(D69*G69,"")</f>
        <v>0.13</v>
      </c>
      <c r="I69" s="25">
        <f>IF(F69="Siempre",H69,0)</f>
        <v>0.13</v>
      </c>
      <c r="J69" s="25">
        <f>IF(F69="Sólo para llevar",H69,0)</f>
        <v>0.0</v>
      </c>
    </row>
    <row r="70">
      <c r="A70" t="inlineStr">
        <is>
          <t>RE2</t>
        </is>
      </c>
      <c r="B70" s="6" t="inlineStr">
        <is>
          <t>Ración de churros con cobertura de chocolate (6 uds)</t>
        </is>
      </c>
      <c r="C70" s="5" t="inlineStr">
        <is>
          <t>Cobertura de chocolate negro (1 kg)</t>
        </is>
      </c>
      <c r="D70" s="32" t="n">
        <v>0.03</v>
      </c>
      <c r="E70" t="str">
        <f>IF(OR(C70="Taza de chocolate",C70="Media taza de chocolate"),"ud",IFERROR(INDEX('Parámetros'!$F$33:$F$53,MATCH(C70,'Parámetros'!$A$33:$A$53,0)),""))</f>
        <v>kg</v>
      </c>
      <c r="F70" s="5" t="inlineStr">
        <is>
          <t>Siempre</t>
        </is>
      </c>
      <c r="G70" s="25">
        <f>IF(C70="Taza de chocolate",'Chocolate a la Taza'!$B$15,IF(C70="Media taza de chocolate",'Chocolate a la Taza'!$B$16,IFERROR(INDEX('Parámetros'!$G$33:$G$53,MATCH(C70,'Parámetros'!$A$33:$A$53,0)),"")))</f>
        <v>6.5</v>
      </c>
      <c r="H70" s="25">
        <f>IFERROR(D70*G70,"")</f>
        <v>0.195</v>
      </c>
      <c r="I70" s="25">
        <f>IF(F70="Siempre",H70,0)</f>
        <v>0.195</v>
      </c>
      <c r="J70" s="25">
        <f>IF(F70="Sólo para llevar",H70,0)</f>
        <v>0.0</v>
      </c>
    </row>
    <row r="71">
      <c r="A71" t="inlineStr">
        <is>
          <t>CT1</t>
        </is>
      </c>
      <c r="B71" s="6" t="inlineStr">
        <is>
          <t>Chocolate a la taza en barra</t>
        </is>
      </c>
      <c r="C71" s="5" t="inlineStr">
        <is>
          <t>Taza de chocolate</t>
        </is>
      </c>
      <c r="D71" s="32" t="n">
        <v>1</v>
      </c>
      <c r="E71" t="str">
        <f>IF(OR(C71="Taza de chocolate",C71="Media taza de chocolate"),"ud",IFERROR(INDEX('Parámetros'!$F$33:$F$53,MATCH(C71,'Parámetros'!$A$33:$A$53,0)),""))</f>
        <v>ud</v>
      </c>
      <c r="F71" s="5" t="inlineStr">
        <is>
          <t>Siempre</t>
        </is>
      </c>
      <c r="G71" s="25">
        <f>IF(C71="Taza de chocolate",'Chocolate a la Taza'!$B$15,IF(C71="Media taza de chocolate",'Chocolate a la Taza'!$B$16,IFERROR(INDEX('Parámetros'!$G$33:$G$53,MATCH(C71,'Parámetros'!$A$33:$A$53,0)),"")))</f>
        <v>0.43744186046511635</v>
      </c>
      <c r="H71" s="25">
        <f>IFERROR(D71*G71,"")</f>
        <v>0.43744186046511635</v>
      </c>
      <c r="I71" s="25">
        <f>IF(F71="Siempre",H71,0)</f>
        <v>0.43744186046511635</v>
      </c>
      <c r="J71" s="25">
        <f>IF(F71="Sólo para llevar",H71,0)</f>
        <v>0.0</v>
      </c>
    </row>
    <row r="72">
      <c r="A72" t="inlineStr">
        <is>
          <t>CT2</t>
        </is>
      </c>
      <c r="B72" s="6" t="inlineStr">
        <is>
          <t>Chocolate a la taza en terraza</t>
        </is>
      </c>
      <c r="C72" s="5" t="inlineStr">
        <is>
          <t>Taza de chocolate</t>
        </is>
      </c>
      <c r="D72" s="32" t="n">
        <v>1</v>
      </c>
      <c r="E72" t="str">
        <f>IF(OR(C72="Taza de chocolate",C72="Media taza de chocolate"),"ud",IFERROR(INDEX('Parámetros'!$F$33:$F$53,MATCH(C72,'Parámetros'!$A$33:$A$53,0)),""))</f>
        <v>ud</v>
      </c>
      <c r="F72" s="5" t="inlineStr">
        <is>
          <t>Siempre</t>
        </is>
      </c>
      <c r="G72" s="25">
        <f>IF(C72="Taza de chocolate",'Chocolate a la Taza'!$B$15,IF(C72="Media taza de chocolate",'Chocolate a la Taza'!$B$16,IFERROR(INDEX('Parámetros'!$G$33:$G$53,MATCH(C72,'Parámetros'!$A$33:$A$53,0)),"")))</f>
        <v>0.43744186046511635</v>
      </c>
      <c r="H72" s="25">
        <f>IFERROR(D72*G72,"")</f>
        <v>0.43744186046511635</v>
      </c>
      <c r="I72" s="25">
        <f>IF(F72="Siempre",H72,0)</f>
        <v>0.43744186046511635</v>
      </c>
      <c r="J72" s="25">
        <f>IF(F72="Sólo para llevar",H72,0)</f>
        <v>0.0</v>
      </c>
    </row>
    <row r="73">
      <c r="A73" t="inlineStr">
        <is>
          <t>CT3</t>
        </is>
      </c>
      <c r="B73" s="6" t="inlineStr">
        <is>
          <t>Chocolate con churros (taza y ración de 6)</t>
        </is>
      </c>
      <c r="C73" s="5" t="inlineStr">
        <is>
          <t>Taza de chocolate</t>
        </is>
      </c>
      <c r="D73" s="32" t="n">
        <v>1</v>
      </c>
      <c r="E73" t="str">
        <f>IF(OR(C73="Taza de chocolate",C73="Media taza de chocolate"),"ud",IFERROR(INDEX('Parámetros'!$F$33:$F$53,MATCH(C73,'Parámetros'!$A$33:$A$53,0)),""))</f>
        <v>ud</v>
      </c>
      <c r="F73" s="5" t="inlineStr">
        <is>
          <t>Siempre</t>
        </is>
      </c>
      <c r="G73" s="25">
        <f>IF(C73="Taza de chocolate",'Chocolate a la Taza'!$B$15,IF(C73="Media taza de chocolate",'Chocolate a la Taza'!$B$16,IFERROR(INDEX('Parámetros'!$G$33:$G$53,MATCH(C73,'Parámetros'!$A$33:$A$53,0)),"")))</f>
        <v>0.43744186046511635</v>
      </c>
      <c r="H73" s="25">
        <f>IFERROR(D73*G73,"")</f>
        <v>0.43744186046511635</v>
      </c>
      <c r="I73" s="25">
        <f>IF(F73="Siempre",H73,0)</f>
        <v>0.43744186046511635</v>
      </c>
      <c r="J73" s="25">
        <f>IF(F73="Sólo para llevar",H73,0)</f>
        <v>0.0</v>
      </c>
    </row>
    <row r="74">
      <c r="A74" t="inlineStr">
        <is>
          <t>CT4</t>
        </is>
      </c>
      <c r="B74" s="6" t="inlineStr">
        <is>
          <t>Chocolate a la taza para llevar</t>
        </is>
      </c>
      <c r="C74" s="5" t="inlineStr">
        <is>
          <t>Taza de chocolate</t>
        </is>
      </c>
      <c r="D74" s="32" t="n">
        <v>1</v>
      </c>
      <c r="E74" t="str">
        <f>IF(OR(C74="Taza de chocolate",C74="Media taza de chocolate"),"ud",IFERROR(INDEX('Parámetros'!$F$33:$F$53,MATCH(C74,'Parámetros'!$A$33:$A$53,0)),""))</f>
        <v>ud</v>
      </c>
      <c r="F74" s="5" t="inlineStr">
        <is>
          <t>Siempre</t>
        </is>
      </c>
      <c r="G74" s="25">
        <f>IF(C74="Taza de chocolate",'Chocolate a la Taza'!$B$15,IF(C74="Media taza de chocolate",'Chocolate a la Taza'!$B$16,IFERROR(INDEX('Parámetros'!$G$33:$G$53,MATCH(C74,'Parámetros'!$A$33:$A$53,0)),"")))</f>
        <v>0.43744186046511635</v>
      </c>
      <c r="H74" s="25">
        <f>IFERROR(D74*G74,"")</f>
        <v>0.43744186046511635</v>
      </c>
      <c r="I74" s="25">
        <f>IF(F74="Siempre",H74,0)</f>
        <v>0.43744186046511635</v>
      </c>
      <c r="J74" s="25">
        <f>IF(F74="Sólo para llevar",H74,0)</f>
        <v>0.0</v>
      </c>
    </row>
    <row r="75">
      <c r="A75" t="inlineStr">
        <is>
          <t>CT4</t>
        </is>
      </c>
      <c r="B75" s="6" t="inlineStr">
        <is>
          <t>Chocolate a la taza para llevar</t>
        </is>
      </c>
      <c r="C75" s="5" t="inlineStr">
        <is>
          <t>Vaso de papel plastificado con tapa</t>
        </is>
      </c>
      <c r="D75" s="32" t="n">
        <v>1</v>
      </c>
      <c r="E75" t="str">
        <f>IF(OR(C75="Taza de chocolate",C75="Media taza de chocolate"),"ud",IFERROR(INDEX('Parámetros'!$F$33:$F$53,MATCH(C75,'Parámetros'!$A$33:$A$53,0)),""))</f>
        <v>ud</v>
      </c>
      <c r="F75" s="5" t="inlineStr">
        <is>
          <t>Sólo para llevar</t>
        </is>
      </c>
      <c r="G75" s="25">
        <f>IF(C75="Taza de chocolate",'Chocolate a la Taza'!$B$15,IF(C75="Media taza de chocolate",'Chocolate a la Taza'!$B$16,IFERROR(INDEX('Parámetros'!$G$33:$G$53,MATCH(C75,'Parámetros'!$A$33:$A$53,0)),"")))</f>
        <v>0.08</v>
      </c>
      <c r="H75" s="25">
        <f>IFERROR(D75*G75,"")</f>
        <v>0.08</v>
      </c>
      <c r="I75" s="25">
        <f>IF(F75="Siempre",H75,0)</f>
        <v>0.0</v>
      </c>
      <c r="J75" s="25">
        <f>IF(F75="Sólo para llevar",H75,0)</f>
        <v>0.08</v>
      </c>
    </row>
    <row r="76">
      <c r="A76" t="inlineStr">
        <is>
          <t>CT5</t>
        </is>
      </c>
      <c r="B76" s="6" t="inlineStr">
        <is>
          <t>Media taza de chocolate</t>
        </is>
      </c>
      <c r="C76" s="5" t="inlineStr">
        <is>
          <t>Media taza de chocolate</t>
        </is>
      </c>
      <c r="D76" s="32" t="n">
        <v>1</v>
      </c>
      <c r="E76" t="str">
        <f>IF(OR(C76="Taza de chocolate",C76="Media taza de chocolate"),"ud",IFERROR(INDEX('Parámetros'!$F$33:$F$53,MATCH(C76,'Parámetros'!$A$33:$A$53,0)),""))</f>
        <v>ud</v>
      </c>
      <c r="F76" s="5" t="inlineStr">
        <is>
          <t>Siempre</t>
        </is>
      </c>
      <c r="G76" s="25">
        <f>IF(C76="Taza de chocolate",'Chocolate a la Taza'!$B$15,IF(C76="Media taza de chocolate",'Chocolate a la Taza'!$B$16,IFERROR(INDEX('Parámetros'!$G$33:$G$53,MATCH(C76,'Parámetros'!$A$33:$A$53,0)),"")))</f>
        <v>0.26246511627906977</v>
      </c>
      <c r="H76" s="25">
        <f>IFERROR(D76*G76,"")</f>
        <v>0.26246511627906977</v>
      </c>
      <c r="I76" s="25">
        <f>IF(F76="Siempre",H76,0)</f>
        <v>0.26246511627906977</v>
      </c>
      <c r="J76" s="25">
        <f>IF(F76="Sólo para llevar",H76,0)</f>
        <v>0.0</v>
      </c>
    </row>
    <row r="77">
      <c r="A77" t="inlineStr">
        <is>
          <t>CB1</t>
        </is>
      </c>
      <c r="B77" s="6" t="inlineStr">
        <is>
          <t>Café solo</t>
        </is>
      </c>
      <c r="C77" s="5" t="inlineStr">
        <is>
          <t>Café en grano</t>
        </is>
      </c>
      <c r="D77" s="32" t="n">
        <v>0.007</v>
      </c>
      <c r="E77" t="str">
        <f>IF(OR(C77="Taza de chocolate",C77="Media taza de chocolate"),"ud",IFERROR(INDEX('Parámetros'!$F$33:$F$53,MATCH(C77,'Parámetros'!$A$33:$A$53,0)),""))</f>
        <v>kg</v>
      </c>
      <c r="F77" s="5" t="inlineStr">
        <is>
          <t>Siempre</t>
        </is>
      </c>
      <c r="G77" s="25">
        <f>IF(C77="Taza de chocolate",'Chocolate a la Taza'!$B$15,IF(C77="Media taza de chocolate",'Chocolate a la Taza'!$B$16,IFERROR(INDEX('Parámetros'!$G$33:$G$53,MATCH(C77,'Parámetros'!$A$33:$A$53,0)),"")))</f>
        <v>18.0</v>
      </c>
      <c r="H77" s="25">
        <f>IFERROR(D77*G77,"")</f>
        <v>0.126</v>
      </c>
      <c r="I77" s="25">
        <f>IF(F77="Siempre",H77,0)</f>
        <v>0.126</v>
      </c>
      <c r="J77" s="25">
        <f>IF(F77="Sólo para llevar",H77,0)</f>
        <v>0.0</v>
      </c>
    </row>
    <row r="78">
      <c r="A78" t="inlineStr">
        <is>
          <t>CB1</t>
        </is>
      </c>
      <c r="B78" s="6" t="inlineStr">
        <is>
          <t>Café solo</t>
        </is>
      </c>
      <c r="C78" s="5" t="inlineStr">
        <is>
          <t>Azúcar para espolvorear y sobres</t>
        </is>
      </c>
      <c r="D78" s="32" t="n">
        <v>0.008</v>
      </c>
      <c r="E78" t="str">
        <f>IF(OR(C78="Taza de chocolate",C78="Media taza de chocolate"),"ud",IFERROR(INDEX('Parámetros'!$F$33:$F$53,MATCH(C78,'Parámetros'!$A$33:$A$53,0)),""))</f>
        <v>kg</v>
      </c>
      <c r="F78" s="5" t="inlineStr">
        <is>
          <t>Siempre</t>
        </is>
      </c>
      <c r="G78" s="25">
        <f>IF(C78="Taza de chocolate",'Chocolate a la Taza'!$B$15,IF(C78="Media taza de chocolate",'Chocolate a la Taza'!$B$16,IFERROR(INDEX('Parámetros'!$G$33:$G$53,MATCH(C78,'Parámetros'!$A$33:$A$53,0)),"")))</f>
        <v>1.0</v>
      </c>
      <c r="H78" s="25">
        <f>IFERROR(D78*G78,"")</f>
        <v>0.008</v>
      </c>
      <c r="I78" s="25">
        <f>IF(F78="Siempre",H78,0)</f>
        <v>0.008</v>
      </c>
      <c r="J78" s="25">
        <f>IF(F78="Sólo para llevar",H78,0)</f>
        <v>0.0</v>
      </c>
    </row>
    <row r="79">
      <c r="A79" t="inlineStr">
        <is>
          <t>CB1</t>
        </is>
      </c>
      <c r="B79" s="6" t="inlineStr">
        <is>
          <t>Café solo</t>
        </is>
      </c>
      <c r="C79" s="5" t="inlineStr">
        <is>
          <t>Vaso de papel plastificado con tapa</t>
        </is>
      </c>
      <c r="D79" s="32" t="n">
        <v>1</v>
      </c>
      <c r="E79" t="str">
        <f>IF(OR(C79="Taza de chocolate",C79="Media taza de chocolate"),"ud",IFERROR(INDEX('Parámetros'!$F$33:$F$53,MATCH(C79,'Parámetros'!$A$33:$A$53,0)),""))</f>
        <v>ud</v>
      </c>
      <c r="F79" s="5" t="inlineStr">
        <is>
          <t>Sólo para llevar</t>
        </is>
      </c>
      <c r="G79" s="25">
        <f>IF(C79="Taza de chocolate",'Chocolate a la Taza'!$B$15,IF(C79="Media taza de chocolate",'Chocolate a la Taza'!$B$16,IFERROR(INDEX('Parámetros'!$G$33:$G$53,MATCH(C79,'Parámetros'!$A$33:$A$53,0)),"")))</f>
        <v>0.08</v>
      </c>
      <c r="H79" s="25">
        <f>IFERROR(D79*G79,"")</f>
        <v>0.08</v>
      </c>
      <c r="I79" s="25">
        <f>IF(F79="Siempre",H79,0)</f>
        <v>0.0</v>
      </c>
      <c r="J79" s="25">
        <f>IF(F79="Sólo para llevar",H79,0)</f>
        <v>0.08</v>
      </c>
    </row>
    <row r="80">
      <c r="A80" t="inlineStr">
        <is>
          <t>CB2</t>
        </is>
      </c>
      <c r="B80" s="6" t="inlineStr">
        <is>
          <t>Café con leche</t>
        </is>
      </c>
      <c r="C80" s="5" t="inlineStr">
        <is>
          <t>Café en grano</t>
        </is>
      </c>
      <c r="D80" s="32" t="n">
        <v>0.007</v>
      </c>
      <c r="E80" t="str">
        <f>IF(OR(C80="Taza de chocolate",C80="Media taza de chocolate"),"ud",IFERROR(INDEX('Parámetros'!$F$33:$F$53,MATCH(C80,'Parámetros'!$A$33:$A$53,0)),""))</f>
        <v>kg</v>
      </c>
      <c r="F80" s="5" t="inlineStr">
        <is>
          <t>Siempre</t>
        </is>
      </c>
      <c r="G80" s="25">
        <f>IF(C80="Taza de chocolate",'Chocolate a la Taza'!$B$15,IF(C80="Media taza de chocolate",'Chocolate a la Taza'!$B$16,IFERROR(INDEX('Parámetros'!$G$33:$G$53,MATCH(C80,'Parámetros'!$A$33:$A$53,0)),"")))</f>
        <v>18.0</v>
      </c>
      <c r="H80" s="25">
        <f>IFERROR(D80*G80,"")</f>
        <v>0.126</v>
      </c>
      <c r="I80" s="25">
        <f>IF(F80="Siempre",H80,0)</f>
        <v>0.126</v>
      </c>
      <c r="J80" s="25">
        <f>IF(F80="Sólo para llevar",H80,0)</f>
        <v>0.0</v>
      </c>
    </row>
    <row r="81">
      <c r="A81" t="inlineStr">
        <is>
          <t>CB2</t>
        </is>
      </c>
      <c r="B81" s="6" t="inlineStr">
        <is>
          <t>Café con leche</t>
        </is>
      </c>
      <c r="C81" s="5" t="inlineStr">
        <is>
          <t>Leche</t>
        </is>
      </c>
      <c r="D81" s="32" t="n">
        <v>0.15</v>
      </c>
      <c r="E81" t="str">
        <f>IF(OR(C81="Taza de chocolate",C81="Media taza de chocolate"),"ud",IFERROR(INDEX('Parámetros'!$F$33:$F$53,MATCH(C81,'Parámetros'!$A$33:$A$53,0)),""))</f>
        <v>L</v>
      </c>
      <c r="F81" s="5" t="inlineStr">
        <is>
          <t>Siempre</t>
        </is>
      </c>
      <c r="G81" s="25">
        <f>IF(C81="Taza de chocolate",'Chocolate a la Taza'!$B$15,IF(C81="Media taza de chocolate",'Chocolate a la Taza'!$B$16,IFERROR(INDEX('Parámetros'!$G$33:$G$53,MATCH(C81,'Parámetros'!$A$33:$A$53,0)),"")))</f>
        <v>0.85</v>
      </c>
      <c r="H81" s="25">
        <f>IFERROR(D81*G81,"")</f>
        <v>0.1275</v>
      </c>
      <c r="I81" s="25">
        <f>IF(F81="Siempre",H81,0)</f>
        <v>0.1275</v>
      </c>
      <c r="J81" s="25">
        <f>IF(F81="Sólo para llevar",H81,0)</f>
        <v>0.0</v>
      </c>
    </row>
    <row r="82">
      <c r="A82" t="inlineStr">
        <is>
          <t>CB2</t>
        </is>
      </c>
      <c r="B82" s="6" t="inlineStr">
        <is>
          <t>Café con leche</t>
        </is>
      </c>
      <c r="C82" s="5" t="inlineStr">
        <is>
          <t>Azúcar para espolvorear y sobres</t>
        </is>
      </c>
      <c r="D82" s="32" t="n">
        <v>0.008</v>
      </c>
      <c r="E82" t="str">
        <f>IF(OR(C82="Taza de chocolate",C82="Media taza de chocolate"),"ud",IFERROR(INDEX('Parámetros'!$F$33:$F$53,MATCH(C82,'Parámetros'!$A$33:$A$53,0)),""))</f>
        <v>kg</v>
      </c>
      <c r="F82" s="5" t="inlineStr">
        <is>
          <t>Siempre</t>
        </is>
      </c>
      <c r="G82" s="25">
        <f>IF(C82="Taza de chocolate",'Chocolate a la Taza'!$B$15,IF(C82="Media taza de chocolate",'Chocolate a la Taza'!$B$16,IFERROR(INDEX('Parámetros'!$G$33:$G$53,MATCH(C82,'Parámetros'!$A$33:$A$53,0)),"")))</f>
        <v>1.0</v>
      </c>
      <c r="H82" s="25">
        <f>IFERROR(D82*G82,"")</f>
        <v>0.008</v>
      </c>
      <c r="I82" s="25">
        <f>IF(F82="Siempre",H82,0)</f>
        <v>0.008</v>
      </c>
      <c r="J82" s="25">
        <f>IF(F82="Sólo para llevar",H82,0)</f>
        <v>0.0</v>
      </c>
    </row>
    <row r="83">
      <c r="A83" t="inlineStr">
        <is>
          <t>CB2</t>
        </is>
      </c>
      <c r="B83" s="6" t="inlineStr">
        <is>
          <t>Café con leche</t>
        </is>
      </c>
      <c r="C83" s="5" t="inlineStr">
        <is>
          <t>Vaso de papel plastificado con tapa</t>
        </is>
      </c>
      <c r="D83" s="32" t="n">
        <v>1</v>
      </c>
      <c r="E83" t="str">
        <f>IF(OR(C83="Taza de chocolate",C83="Media taza de chocolate"),"ud",IFERROR(INDEX('Parámetros'!$F$33:$F$53,MATCH(C83,'Parámetros'!$A$33:$A$53,0)),""))</f>
        <v>ud</v>
      </c>
      <c r="F83" s="5" t="inlineStr">
        <is>
          <t>Sólo para llevar</t>
        </is>
      </c>
      <c r="G83" s="25">
        <f>IF(C83="Taza de chocolate",'Chocolate a la Taza'!$B$15,IF(C83="Media taza de chocolate",'Chocolate a la Taza'!$B$16,IFERROR(INDEX('Parámetros'!$G$33:$G$53,MATCH(C83,'Parámetros'!$A$33:$A$53,0)),"")))</f>
        <v>0.08</v>
      </c>
      <c r="H83" s="25">
        <f>IFERROR(D83*G83,"")</f>
        <v>0.08</v>
      </c>
      <c r="I83" s="25">
        <f>IF(F83="Siempre",H83,0)</f>
        <v>0.0</v>
      </c>
      <c r="J83" s="25">
        <f>IF(F83="Sólo para llevar",H83,0)</f>
        <v>0.08</v>
      </c>
    </row>
    <row r="84">
      <c r="A84" t="inlineStr">
        <is>
          <t>CB3</t>
        </is>
      </c>
      <c r="B84" s="6" t="inlineStr">
        <is>
          <t>Infusión</t>
        </is>
      </c>
      <c r="C84" s="5" t="inlineStr">
        <is>
          <t>Infusión (sobre)</t>
        </is>
      </c>
      <c r="D84" s="32" t="n">
        <v>1</v>
      </c>
      <c r="E84" t="str">
        <f>IF(OR(C84="Taza de chocolate",C84="Media taza de chocolate"),"ud",IFERROR(INDEX('Parámetros'!$F$33:$F$53,MATCH(C84,'Parámetros'!$A$33:$A$53,0)),""))</f>
        <v>ud</v>
      </c>
      <c r="F84" s="5" t="inlineStr">
        <is>
          <t>Siempre</t>
        </is>
      </c>
      <c r="G84" s="25">
        <f>IF(C84="Taza de chocolate",'Chocolate a la Taza'!$B$15,IF(C84="Media taza de chocolate",'Chocolate a la Taza'!$B$16,IFERROR(INDEX('Parámetros'!$G$33:$G$53,MATCH(C84,'Parámetros'!$A$33:$A$53,0)),"")))</f>
        <v>0.06</v>
      </c>
      <c r="H84" s="25">
        <f>IFERROR(D84*G84,"")</f>
        <v>0.06</v>
      </c>
      <c r="I84" s="25">
        <f>IF(F84="Siempre",H84,0)</f>
        <v>0.06</v>
      </c>
      <c r="J84" s="25">
        <f>IF(F84="Sólo para llevar",H84,0)</f>
        <v>0.0</v>
      </c>
    </row>
    <row r="85">
      <c r="A85" t="inlineStr">
        <is>
          <t>CB3</t>
        </is>
      </c>
      <c r="B85" s="6" t="inlineStr">
        <is>
          <t>Infusión</t>
        </is>
      </c>
      <c r="C85" s="5" t="inlineStr">
        <is>
          <t>Azúcar para espolvorear y sobres</t>
        </is>
      </c>
      <c r="D85" s="32" t="n">
        <v>0.008</v>
      </c>
      <c r="E85" t="str">
        <f>IF(OR(C85="Taza de chocolate",C85="Media taza de chocolate"),"ud",IFERROR(INDEX('Parámetros'!$F$33:$F$53,MATCH(C85,'Parámetros'!$A$33:$A$53,0)),""))</f>
        <v>kg</v>
      </c>
      <c r="F85" s="5" t="inlineStr">
        <is>
          <t>Siempre</t>
        </is>
      </c>
      <c r="G85" s="25">
        <f>IF(C85="Taza de chocolate",'Chocolate a la Taza'!$B$15,IF(C85="Media taza de chocolate",'Chocolate a la Taza'!$B$16,IFERROR(INDEX('Parámetros'!$G$33:$G$53,MATCH(C85,'Parámetros'!$A$33:$A$53,0)),"")))</f>
        <v>1.0</v>
      </c>
      <c r="H85" s="25">
        <f>IFERROR(D85*G85,"")</f>
        <v>0.008</v>
      </c>
      <c r="I85" s="25">
        <f>IF(F85="Siempre",H85,0)</f>
        <v>0.008</v>
      </c>
      <c r="J85" s="25">
        <f>IF(F85="Sólo para llevar",H85,0)</f>
        <v>0.0</v>
      </c>
    </row>
    <row r="86">
      <c r="A86" t="inlineStr">
        <is>
          <t>CB4</t>
        </is>
      </c>
      <c r="B86" s="6" t="inlineStr">
        <is>
          <t>Leche con cacao</t>
        </is>
      </c>
      <c r="C86" s="5" t="inlineStr">
        <is>
          <t>Leche</t>
        </is>
      </c>
      <c r="D86" s="32" t="n">
        <v>0.2</v>
      </c>
      <c r="E86" t="str">
        <f>IF(OR(C86="Taza de chocolate",C86="Media taza de chocolate"),"ud",IFERROR(INDEX('Parámetros'!$F$33:$F$53,MATCH(C86,'Parámetros'!$A$33:$A$53,0)),""))</f>
        <v>L</v>
      </c>
      <c r="F86" s="5" t="inlineStr">
        <is>
          <t>Siempre</t>
        </is>
      </c>
      <c r="G86" s="25">
        <f>IF(C86="Taza de chocolate",'Chocolate a la Taza'!$B$15,IF(C86="Media taza de chocolate",'Chocolate a la Taza'!$B$16,IFERROR(INDEX('Parámetros'!$G$33:$G$53,MATCH(C86,'Parámetros'!$A$33:$A$53,0)),"")))</f>
        <v>0.85</v>
      </c>
      <c r="H86" s="25">
        <f>IFERROR(D86*G86,"")</f>
        <v>0.17</v>
      </c>
      <c r="I86" s="25">
        <f>IF(F86="Siempre",H86,0)</f>
        <v>0.17</v>
      </c>
      <c r="J86" s="25">
        <f>IF(F86="Sólo para llevar",H86,0)</f>
        <v>0.0</v>
      </c>
    </row>
    <row r="87">
      <c r="A87" t="inlineStr">
        <is>
          <t>CB4</t>
        </is>
      </c>
      <c r="B87" s="6" t="inlineStr">
        <is>
          <t>Leche con cacao</t>
        </is>
      </c>
      <c r="C87" s="5" t="inlineStr">
        <is>
          <t>Cacao soluble</t>
        </is>
      </c>
      <c r="D87" s="32" t="n">
        <v>0.015</v>
      </c>
      <c r="E87" t="str">
        <f>IF(OR(C87="Taza de chocolate",C87="Media taza de chocolate"),"ud",IFERROR(INDEX('Parámetros'!$F$33:$F$53,MATCH(C87,'Parámetros'!$A$33:$A$53,0)),""))</f>
        <v>kg</v>
      </c>
      <c r="F87" s="5" t="inlineStr">
        <is>
          <t>Siempre</t>
        </is>
      </c>
      <c r="G87" s="25">
        <f>IF(C87="Taza de chocolate",'Chocolate a la Taza'!$B$15,IF(C87="Media taza de chocolate",'Chocolate a la Taza'!$B$16,IFERROR(INDEX('Parámetros'!$G$33:$G$53,MATCH(C87,'Parámetros'!$A$33:$A$53,0)),"")))</f>
        <v>6.0</v>
      </c>
      <c r="H87" s="25">
        <f>IFERROR(D87*G87,"")</f>
        <v>0.09</v>
      </c>
      <c r="I87" s="25">
        <f>IF(F87="Siempre",H87,0)</f>
        <v>0.09</v>
      </c>
      <c r="J87" s="25">
        <f>IF(F87="Sólo para llevar",H87,0)</f>
        <v>0.0</v>
      </c>
    </row>
    <row r="88">
      <c r="A88" t="inlineStr">
        <is>
          <t>CB4</t>
        </is>
      </c>
      <c r="B88" s="6" t="inlineStr">
        <is>
          <t>Leche con cacao</t>
        </is>
      </c>
      <c r="C88" s="5" t="inlineStr">
        <is>
          <t>Vaso de papel plastificado con tapa</t>
        </is>
      </c>
      <c r="D88" s="32" t="n">
        <v>1</v>
      </c>
      <c r="E88" t="str">
        <f>IF(OR(C88="Taza de chocolate",C88="Media taza de chocolate"),"ud",IFERROR(INDEX('Parámetros'!$F$33:$F$53,MATCH(C88,'Parámetros'!$A$33:$A$53,0)),""))</f>
        <v>ud</v>
      </c>
      <c r="F88" s="5" t="inlineStr">
        <is>
          <t>Sólo para llevar</t>
        </is>
      </c>
      <c r="G88" s="25">
        <f>IF(C88="Taza de chocolate",'Chocolate a la Taza'!$B$15,IF(C88="Media taza de chocolate",'Chocolate a la Taza'!$B$16,IFERROR(INDEX('Parámetros'!$G$33:$G$53,MATCH(C88,'Parámetros'!$A$33:$A$53,0)),"")))</f>
        <v>0.08</v>
      </c>
      <c r="H88" s="25">
        <f>IFERROR(D88*G88,"")</f>
        <v>0.08</v>
      </c>
      <c r="I88" s="25">
        <f>IF(F88="Siempre",H88,0)</f>
        <v>0.0</v>
      </c>
      <c r="J88" s="25">
        <f>IF(F88="Sólo para llevar",H88,0)</f>
        <v>0.08</v>
      </c>
    </row>
    <row r="89">
      <c r="A89" t="inlineStr">
        <is>
          <t>CB5</t>
        </is>
      </c>
      <c r="B89" s="6" t="inlineStr">
        <is>
          <t>Zumo de naranja natural</t>
        </is>
      </c>
      <c r="C89" s="5" t="inlineStr">
        <is>
          <t>Naranja para zumo</t>
        </is>
      </c>
      <c r="D89" s="32" t="n">
        <v>0.45</v>
      </c>
      <c r="E89" t="str">
        <f>IF(OR(C89="Taza de chocolate",C89="Media taza de chocolate"),"ud",IFERROR(INDEX('Parámetros'!$F$33:$F$53,MATCH(C89,'Parámetros'!$A$33:$A$53,0)),""))</f>
        <v>kg</v>
      </c>
      <c r="F89" s="5" t="inlineStr">
        <is>
          <t>Siempre</t>
        </is>
      </c>
      <c r="G89" s="25">
        <f>IF(C89="Taza de chocolate",'Chocolate a la Taza'!$B$15,IF(C89="Media taza de chocolate",'Chocolate a la Taza'!$B$16,IFERROR(INDEX('Parámetros'!$G$33:$G$53,MATCH(C89,'Parámetros'!$A$33:$A$53,0)),"")))</f>
        <v>1.1</v>
      </c>
      <c r="H89" s="25">
        <f>IFERROR(D89*G89,"")</f>
        <v>0.49500000000000005</v>
      </c>
      <c r="I89" s="25">
        <f>IF(F89="Siempre",H89,0)</f>
        <v>0.49500000000000005</v>
      </c>
      <c r="J89" s="25">
        <f>IF(F89="Sólo para llevar",H89,0)</f>
        <v>0.0</v>
      </c>
    </row>
    <row r="90">
      <c r="A90" t="inlineStr">
        <is>
          <t>CB5</t>
        </is>
      </c>
      <c r="B90" s="6" t="inlineStr">
        <is>
          <t>Zumo de naranja natural</t>
        </is>
      </c>
      <c r="C90" s="5" t="inlineStr">
        <is>
          <t>Vaso de papel plastificado con tapa</t>
        </is>
      </c>
      <c r="D90" s="32" t="n">
        <v>1</v>
      </c>
      <c r="E90" t="str">
        <f>IF(OR(C90="Taza de chocolate",C90="Media taza de chocolate"),"ud",IFERROR(INDEX('Parámetros'!$F$33:$F$53,MATCH(C90,'Parámetros'!$A$33:$A$53,0)),""))</f>
        <v>ud</v>
      </c>
      <c r="F90" s="5" t="inlineStr">
        <is>
          <t>Sólo para llevar</t>
        </is>
      </c>
      <c r="G90" s="25">
        <f>IF(C90="Taza de chocolate",'Chocolate a la Taza'!$B$15,IF(C90="Media taza de chocolate",'Chocolate a la Taza'!$B$16,IFERROR(INDEX('Parámetros'!$G$33:$G$53,MATCH(C90,'Parámetros'!$A$33:$A$53,0)),"")))</f>
        <v>0.08</v>
      </c>
      <c r="H90" s="25">
        <f>IFERROR(D90*G90,"")</f>
        <v>0.08</v>
      </c>
      <c r="I90" s="25">
        <f>IF(F90="Siempre",H90,0)</f>
        <v>0.0</v>
      </c>
      <c r="J90" s="25">
        <f>IF(F90="Sólo para llevar",H90,0)</f>
        <v>0.08</v>
      </c>
    </row>
    <row r="91">
      <c r="A91" t="inlineStr">
        <is>
          <t>CB6</t>
        </is>
      </c>
      <c r="B91" s="6" t="inlineStr">
        <is>
          <t>Agua (botella de 50 cl)</t>
        </is>
      </c>
      <c r="C91" s="5" t="inlineStr">
        <is>
          <t>Agua (botella de 50 cl)</t>
        </is>
      </c>
      <c r="D91" s="32" t="n">
        <v>1</v>
      </c>
      <c r="E91" t="str">
        <f>IF(OR(C91="Taza de chocolate",C91="Media taza de chocolate"),"ud",IFERROR(INDEX('Parámetros'!$F$33:$F$53,MATCH(C91,'Parámetros'!$A$33:$A$53,0)),""))</f>
        <v>ud</v>
      </c>
      <c r="F91" s="5" t="inlineStr">
        <is>
          <t>Siempre</t>
        </is>
      </c>
      <c r="G91" s="25">
        <f>IF(C91="Taza de chocolate",'Chocolate a la Taza'!$B$15,IF(C91="Media taza de chocolate",'Chocolate a la Taza'!$B$16,IFERROR(INDEX('Parámetros'!$G$33:$G$53,MATCH(C91,'Parámetros'!$A$33:$A$53,0)),"")))</f>
        <v>0.22</v>
      </c>
      <c r="H91" s="25">
        <f>IFERROR(D91*G91,"")</f>
        <v>0.22</v>
      </c>
      <c r="I91" s="25">
        <f>IF(F91="Siempre",H91,0)</f>
        <v>0.22</v>
      </c>
      <c r="J91" s="25">
        <f>IF(F91="Sólo para llevar",H91,0)</f>
        <v>0.0</v>
      </c>
    </row>
    <row r="92">
      <c r="A92" t="inlineStr">
        <is>
          <t>CV1</t>
        </is>
      </c>
      <c r="B92" s="6" t="inlineStr">
        <is>
          <t>Granizado</t>
        </is>
      </c>
      <c r="C92" s="5" t="inlineStr">
        <is>
          <t>Base de granizado (por vaso)</t>
        </is>
      </c>
      <c r="D92" s="32" t="n">
        <v>1</v>
      </c>
      <c r="E92" t="str">
        <f>IF(OR(C92="Taza de chocolate",C92="Media taza de chocolate"),"ud",IFERROR(INDEX('Parámetros'!$F$33:$F$53,MATCH(C92,'Parámetros'!$A$33:$A$53,0)),""))</f>
        <v>ud</v>
      </c>
      <c r="F92" s="5" t="inlineStr">
        <is>
          <t>Siempre</t>
        </is>
      </c>
      <c r="G92" s="25">
        <f>IF(C92="Taza de chocolate",'Chocolate a la Taza'!$B$15,IF(C92="Media taza de chocolate",'Chocolate a la Taza'!$B$16,IFERROR(INDEX('Parámetros'!$G$33:$G$53,MATCH(C92,'Parámetros'!$A$33:$A$53,0)),"")))</f>
        <v>0.45</v>
      </c>
      <c r="H92" s="25">
        <f>IFERROR(D92*G92,"")</f>
        <v>0.45</v>
      </c>
      <c r="I92" s="25">
        <f>IF(F92="Siempre",H92,0)</f>
        <v>0.45</v>
      </c>
      <c r="J92" s="25">
        <f>IF(F92="Sólo para llevar",H92,0)</f>
        <v>0.0</v>
      </c>
    </row>
    <row r="93">
      <c r="A93" t="inlineStr">
        <is>
          <t>CV1</t>
        </is>
      </c>
      <c r="B93" s="6" t="inlineStr">
        <is>
          <t>Granizado</t>
        </is>
      </c>
      <c r="C93" s="5" t="inlineStr">
        <is>
          <t>Vaso de papel plastificado con tapa</t>
        </is>
      </c>
      <c r="D93" s="32" t="n">
        <v>1</v>
      </c>
      <c r="E93" t="str">
        <f>IF(OR(C93="Taza de chocolate",C93="Media taza de chocolate"),"ud",IFERROR(INDEX('Parámetros'!$F$33:$F$53,MATCH(C93,'Parámetros'!$A$33:$A$53,0)),""))</f>
        <v>ud</v>
      </c>
      <c r="F93" s="5" t="inlineStr">
        <is>
          <t>Sólo para llevar</t>
        </is>
      </c>
      <c r="G93" s="25">
        <f>IF(C93="Taza de chocolate",'Chocolate a la Taza'!$B$15,IF(C93="Media taza de chocolate",'Chocolate a la Taza'!$B$16,IFERROR(INDEX('Parámetros'!$G$33:$G$53,MATCH(C93,'Parámetros'!$A$33:$A$53,0)),"")))</f>
        <v>0.08</v>
      </c>
      <c r="H93" s="25">
        <f>IFERROR(D93*G93,"")</f>
        <v>0.08</v>
      </c>
      <c r="I93" s="25">
        <f>IF(F93="Siempre",H93,0)</f>
        <v>0.0</v>
      </c>
      <c r="J93" s="25">
        <f>IF(F93="Sólo para llevar",H93,0)</f>
        <v>0.08</v>
      </c>
    </row>
    <row r="94">
      <c r="A94" t="inlineStr">
        <is>
          <t>CV2</t>
        </is>
      </c>
      <c r="B94" s="6" t="inlineStr">
        <is>
          <t>Horchata</t>
        </is>
      </c>
      <c r="C94" s="5" t="inlineStr">
        <is>
          <t>Horchata a granel</t>
        </is>
      </c>
      <c r="D94" s="32" t="n">
        <v>0.25</v>
      </c>
      <c r="E94" t="str">
        <f>IF(OR(C94="Taza de chocolate",C94="Media taza de chocolate"),"ud",IFERROR(INDEX('Parámetros'!$F$33:$F$53,MATCH(C94,'Parámetros'!$A$33:$A$53,0)),""))</f>
        <v>L</v>
      </c>
      <c r="F94" s="5" t="inlineStr">
        <is>
          <t>Siempre</t>
        </is>
      </c>
      <c r="G94" s="25">
        <f>IF(C94="Taza de chocolate",'Chocolate a la Taza'!$B$15,IF(C94="Media taza de chocolate",'Chocolate a la Taza'!$B$16,IFERROR(INDEX('Parámetros'!$G$33:$G$53,MATCH(C94,'Parámetros'!$A$33:$A$53,0)),"")))</f>
        <v>2.2</v>
      </c>
      <c r="H94" s="25">
        <f>IFERROR(D94*G94,"")</f>
        <v>0.55</v>
      </c>
      <c r="I94" s="25">
        <f>IF(F94="Siempre",H94,0)</f>
        <v>0.55</v>
      </c>
      <c r="J94" s="25">
        <f>IF(F94="Sólo para llevar",H94,0)</f>
        <v>0.0</v>
      </c>
    </row>
    <row r="95">
      <c r="A95" t="inlineStr">
        <is>
          <t>CV2</t>
        </is>
      </c>
      <c r="B95" s="6" t="inlineStr">
        <is>
          <t>Horchata</t>
        </is>
      </c>
      <c r="C95" s="5" t="inlineStr">
        <is>
          <t>Vaso de papel plastificado con tapa</t>
        </is>
      </c>
      <c r="D95" s="32" t="n">
        <v>1</v>
      </c>
      <c r="E95" t="str">
        <f>IF(OR(C95="Taza de chocolate",C95="Media taza de chocolate"),"ud",IFERROR(INDEX('Parámetros'!$F$33:$F$53,MATCH(C95,'Parámetros'!$A$33:$A$53,0)),""))</f>
        <v>ud</v>
      </c>
      <c r="F95" s="5" t="inlineStr">
        <is>
          <t>Sólo para llevar</t>
        </is>
      </c>
      <c r="G95" s="25">
        <f>IF(C95="Taza de chocolate",'Chocolate a la Taza'!$B$15,IF(C95="Media taza de chocolate",'Chocolate a la Taza'!$B$16,IFERROR(INDEX('Parámetros'!$G$33:$G$53,MATCH(C95,'Parámetros'!$A$33:$A$53,0)),"")))</f>
        <v>0.08</v>
      </c>
      <c r="H95" s="25">
        <f>IFERROR(D95*G95,"")</f>
        <v>0.08</v>
      </c>
      <c r="I95" s="25">
        <f>IF(F95="Siempre",H95,0)</f>
        <v>0.0</v>
      </c>
      <c r="J95" s="25">
        <f>IF(F95="Sólo para llevar",H95,0)</f>
        <v>0.08</v>
      </c>
    </row>
    <row r="96">
      <c r="A96" t="inlineStr">
        <is>
          <t>CV3</t>
        </is>
      </c>
      <c r="B96" s="6" t="inlineStr">
        <is>
          <t>Helado (bola)</t>
        </is>
      </c>
      <c r="C96" s="5" t="inlineStr">
        <is>
          <t>Helado (por bola)</t>
        </is>
      </c>
      <c r="D96" s="32" t="n">
        <v>1</v>
      </c>
      <c r="E96" t="str">
        <f>IF(OR(C96="Taza de chocolate",C96="Media taza de chocolate"),"ud",IFERROR(INDEX('Parámetros'!$F$33:$F$53,MATCH(C96,'Parámetros'!$A$33:$A$53,0)),""))</f>
        <v>ud</v>
      </c>
      <c r="F96" s="5" t="inlineStr">
        <is>
          <t>Siempre</t>
        </is>
      </c>
      <c r="G96" s="25">
        <f>IF(C96="Taza de chocolate",'Chocolate a la Taza'!$B$15,IF(C96="Media taza de chocolate",'Chocolate a la Taza'!$B$16,IFERROR(INDEX('Parámetros'!$G$33:$G$53,MATCH(C96,'Parámetros'!$A$33:$A$53,0)),"")))</f>
        <v>0.45</v>
      </c>
      <c r="H96" s="25">
        <f>IFERROR(D96*G96,"")</f>
        <v>0.45</v>
      </c>
      <c r="I96" s="25">
        <f>IF(F96="Siempre",H96,0)</f>
        <v>0.45</v>
      </c>
      <c r="J96" s="25">
        <f>IF(F96="Sólo para llevar",H96,0)</f>
        <v>0.0</v>
      </c>
    </row>
    <row r="97">
      <c r="A97" t="inlineStr">
        <is>
          <t>CV4</t>
        </is>
      </c>
      <c r="B97" s="6" t="inlineStr">
        <is>
          <t>Batido</t>
        </is>
      </c>
      <c r="C97" s="5" t="inlineStr">
        <is>
          <t>Leche</t>
        </is>
      </c>
      <c r="D97" s="32" t="n">
        <v>0.25</v>
      </c>
      <c r="E97" t="str">
        <f>IF(OR(C97="Taza de chocolate",C97="Media taza de chocolate"),"ud",IFERROR(INDEX('Parámetros'!$F$33:$F$53,MATCH(C97,'Parámetros'!$A$33:$A$53,0)),""))</f>
        <v>L</v>
      </c>
      <c r="F97" s="5" t="inlineStr">
        <is>
          <t>Siempre</t>
        </is>
      </c>
      <c r="G97" s="25">
        <f>IF(C97="Taza de chocolate",'Chocolate a la Taza'!$B$15,IF(C97="Media taza de chocolate",'Chocolate a la Taza'!$B$16,IFERROR(INDEX('Parámetros'!$G$33:$G$53,MATCH(C97,'Parámetros'!$A$33:$A$53,0)),"")))</f>
        <v>0.85</v>
      </c>
      <c r="H97" s="25">
        <f>IFERROR(D97*G97,"")</f>
        <v>0.2125</v>
      </c>
      <c r="I97" s="25">
        <f>IF(F97="Siempre",H97,0)</f>
        <v>0.2125</v>
      </c>
      <c r="J97" s="25">
        <f>IF(F97="Sólo para llevar",H97,0)</f>
        <v>0.0</v>
      </c>
    </row>
    <row r="98">
      <c r="A98" t="inlineStr">
        <is>
          <t>CV4</t>
        </is>
      </c>
      <c r="B98" s="6" t="inlineStr">
        <is>
          <t>Batido</t>
        </is>
      </c>
      <c r="C98" s="5" t="inlineStr">
        <is>
          <t>Helado (por bola)</t>
        </is>
      </c>
      <c r="D98" s="32" t="n">
        <v>1</v>
      </c>
      <c r="E98" t="str">
        <f>IF(OR(C98="Taza de chocolate",C98="Media taza de chocolate"),"ud",IFERROR(INDEX('Parámetros'!$F$33:$F$53,MATCH(C98,'Parámetros'!$A$33:$A$53,0)),""))</f>
        <v>ud</v>
      </c>
      <c r="F98" s="5" t="inlineStr">
        <is>
          <t>Siempre</t>
        </is>
      </c>
      <c r="G98" s="25">
        <f>IF(C98="Taza de chocolate",'Chocolate a la Taza'!$B$15,IF(C98="Media taza de chocolate",'Chocolate a la Taza'!$B$16,IFERROR(INDEX('Parámetros'!$G$33:$G$53,MATCH(C98,'Parámetros'!$A$33:$A$53,0)),"")))</f>
        <v>0.45</v>
      </c>
      <c r="H98" s="25">
        <f>IFERROR(D98*G98,"")</f>
        <v>0.45</v>
      </c>
      <c r="I98" s="25">
        <f>IF(F98="Siempre",H98,0)</f>
        <v>0.45</v>
      </c>
      <c r="J98" s="25">
        <f>IF(F98="Sólo para llevar",H98,0)</f>
        <v>0.0</v>
      </c>
    </row>
    <row r="99">
      <c r="A99" t="inlineStr">
        <is>
          <t>CV4</t>
        </is>
      </c>
      <c r="B99" s="6" t="inlineStr">
        <is>
          <t>Batido</t>
        </is>
      </c>
      <c r="C99" s="5" t="inlineStr">
        <is>
          <t>Sirope (por batido)</t>
        </is>
      </c>
      <c r="D99" s="32" t="n">
        <v>1</v>
      </c>
      <c r="E99" t="str">
        <f>IF(OR(C99="Taza de chocolate",C99="Media taza de chocolate"),"ud",IFERROR(INDEX('Parámetros'!$F$33:$F$53,MATCH(C99,'Parámetros'!$A$33:$A$53,0)),""))</f>
        <v>ud</v>
      </c>
      <c r="F99" s="5" t="inlineStr">
        <is>
          <t>Siempre</t>
        </is>
      </c>
      <c r="G99" s="25">
        <f>IF(C99="Taza de chocolate",'Chocolate a la Taza'!$B$15,IF(C99="Media taza de chocolate",'Chocolate a la Taza'!$B$16,IFERROR(INDEX('Parámetros'!$G$33:$G$53,MATCH(C99,'Parámetros'!$A$33:$A$53,0)),"")))</f>
        <v>0.05</v>
      </c>
      <c r="H99" s="25">
        <f>IFERROR(D99*G99,"")</f>
        <v>0.05</v>
      </c>
      <c r="I99" s="25">
        <f>IF(F99="Siempre",H99,0)</f>
        <v>0.05</v>
      </c>
      <c r="J99" s="25">
        <f>IF(F99="Sólo para llevar",H99,0)</f>
        <v>0.0</v>
      </c>
    </row>
    <row r="100">
      <c r="A100" t="inlineStr">
        <is>
          <t>CV4</t>
        </is>
      </c>
      <c r="B100" s="6" t="inlineStr">
        <is>
          <t>Batido</t>
        </is>
      </c>
      <c r="C100" s="5" t="inlineStr">
        <is>
          <t>Vaso de papel plastificado con tapa</t>
        </is>
      </c>
      <c r="D100" s="32" t="n">
        <v>1</v>
      </c>
      <c r="E100" t="str">
        <f>IF(OR(C100="Taza de chocolate",C100="Media taza de chocolate"),"ud",IFERROR(INDEX('Parámetros'!$F$33:$F$53,MATCH(C100,'Parámetros'!$A$33:$A$53,0)),""))</f>
        <v>ud</v>
      </c>
      <c r="F100" s="5" t="inlineStr">
        <is>
          <t>Sólo para llevar</t>
        </is>
      </c>
      <c r="G100" s="25">
        <f>IF(C100="Taza de chocolate",'Chocolate a la Taza'!$B$15,IF(C100="Media taza de chocolate",'Chocolate a la Taza'!$B$16,IFERROR(INDEX('Parámetros'!$G$33:$G$53,MATCH(C100,'Parámetros'!$A$33:$A$53,0)),"")))</f>
        <v>0.08</v>
      </c>
      <c r="H100" s="25">
        <f>IFERROR(D100*G100,"")</f>
        <v>0.08</v>
      </c>
      <c r="I100" s="25">
        <f>IF(F100="Siempre",H100,0)</f>
        <v>0.0</v>
      </c>
      <c r="J100" s="25">
        <f>IF(F100="Sólo para llevar",H100,0)</f>
        <v>0.08</v>
      </c>
    </row>
    <row r="101"/>
    <row r="102"/>
    <row r="103">
      <c r="A103" s="22" t="inlineStr">
        <is>
          <t>Listas de validación (no las borres: las usan los desplegables)</t>
        </is>
      </c>
    </row>
    <row r="104">
      <c r="A104" s="23" t="inlineStr">
        <is>
          <t>Tipo de pieza</t>
        </is>
      </c>
      <c r="B104" s="23" t="inlineStr">
        <is>
          <t>Cuándo cuenta</t>
        </is>
      </c>
      <c r="C104" s="23" t="inlineStr">
        <is>
          <t>Insumo</t>
        </is>
      </c>
    </row>
    <row r="105">
      <c r="A105" t="inlineStr">
        <is>
          <t>churro</t>
        </is>
      </c>
      <c r="B105" t="inlineStr">
        <is>
          <t>Siempre</t>
        </is>
      </c>
      <c r="C105" t="inlineStr">
        <is>
          <t>Preparado para masa de churro (caja de 6 sacos de 4 kg)</t>
        </is>
      </c>
    </row>
    <row r="106">
      <c r="A106" t="inlineStr">
        <is>
          <t>porra</t>
        </is>
      </c>
      <c r="B106" t="inlineStr">
        <is>
          <t>Sólo para llevar</t>
        </is>
      </c>
      <c r="C106" t="inlineStr">
        <is>
          <t>Aceite especial de fritura (garrafa de 25 L)</t>
        </is>
      </c>
    </row>
    <row r="107">
      <c r="A107" t="inlineStr">
        <is>
          <t>sin masa</t>
        </is>
      </c>
      <c r="C107" t="inlineStr">
        <is>
          <t>Chocolate a la taza en polvo (bolsa de 800 g, rinde 4,3 L)</t>
        </is>
      </c>
    </row>
    <row r="108">
      <c r="C108" t="inlineStr">
        <is>
          <t>Cobertura de chocolate negro (1 kg)</t>
        </is>
      </c>
    </row>
    <row r="109">
      <c r="C109" t="inlineStr">
        <is>
          <t>Cucurucho de cartón para churros (caja de 100)</t>
        </is>
      </c>
    </row>
    <row r="110">
      <c r="C110" t="inlineStr">
        <is>
          <t>Harina especial para churros (mix propio)</t>
        </is>
      </c>
    </row>
    <row r="111">
      <c r="C111" t="inlineStr">
        <is>
          <t>Sal</t>
        </is>
      </c>
    </row>
    <row r="112">
      <c r="C112" t="inlineStr">
        <is>
          <t>Azúcar para espolvorear y sobres</t>
        </is>
      </c>
    </row>
    <row r="113">
      <c r="C113" t="inlineStr">
        <is>
          <t>Leche</t>
        </is>
      </c>
    </row>
    <row r="114">
      <c r="C114" t="inlineStr">
        <is>
          <t>Café en grano</t>
        </is>
      </c>
    </row>
    <row r="115">
      <c r="C115" t="inlineStr">
        <is>
          <t>Infusión (sobre)</t>
        </is>
      </c>
    </row>
    <row r="116">
      <c r="C116" t="inlineStr">
        <is>
          <t>Cacao soluble</t>
        </is>
      </c>
    </row>
    <row r="117">
      <c r="C117" t="inlineStr">
        <is>
          <t>Naranja para zumo</t>
        </is>
      </c>
    </row>
    <row r="118">
      <c r="C118" t="inlineStr">
        <is>
          <t>Agua (botella de 50 cl)</t>
        </is>
      </c>
    </row>
    <row r="119">
      <c r="C119" t="inlineStr">
        <is>
          <t>Base de granizado (por vaso)</t>
        </is>
      </c>
    </row>
    <row r="120">
      <c r="C120" t="inlineStr">
        <is>
          <t>Horchata a granel</t>
        </is>
      </c>
    </row>
    <row r="121">
      <c r="C121" t="inlineStr">
        <is>
          <t>Helado (por bola)</t>
        </is>
      </c>
    </row>
    <row r="122">
      <c r="C122" t="inlineStr">
        <is>
          <t>Sirope (por batido)</t>
        </is>
      </c>
    </row>
    <row r="123">
      <c r="C123" t="inlineStr">
        <is>
          <t>Vaso de papel plastificado con tapa</t>
        </is>
      </c>
    </row>
    <row r="124">
      <c r="C124" t="inlineStr">
        <is>
          <t>Papel antigrasa para sueltos</t>
        </is>
      </c>
    </row>
    <row r="125">
      <c r="C125" t="inlineStr">
        <is>
          <t>Caja de cartón para el kilo</t>
        </is>
      </c>
    </row>
    <row r="126">
      <c r="C126" t="inlineStr">
        <is>
          <t>Taza de chocolate</t>
        </is>
      </c>
    </row>
    <row r="127">
      <c r="C127" t="inlineStr">
        <is>
          <t>Media taza de chocolate</t>
        </is>
      </c>
    </row>
    <row r="128"/>
    <row r="129"/>
    <row r="130">
      <c r="A130"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F61:N61"/>
    <mergeCell ref="G13:L14"/>
  </mergeCells>
  <dataValidations count="91">
    <dataValidation sqref="B13" showDropDown="0" showInputMessage="0" showErrorMessage="1" allowBlank="1" errorTitle="Valor fuera de rango" error="Escribe un valor entre 0 y 1." type="decimal" operator="between">
      <formula1>0</formula1>
      <formula2>1</formula2>
    </dataValidation>
    <dataValidation sqref="B14" showDropDown="0" showInputMessage="0" showErrorMessage="1" allowBlank="1" errorTitle="Valor fuera de rango" error="Escribe un valor entre 0 y 1." type="decimal" operator="between">
      <formula1>0</formula1>
      <formula2>1</formula2>
    </dataValidation>
    <dataValidation sqref="C35" showDropDown="0" showInputMessage="0" showErrorMessage="1" allowBlank="1" errorTitle="Importe no válido" error="Escribe un número mayor o igual que 0." type="decimal" operator="greaterThanOrEqual">
      <formula1>0</formula1>
    </dataValidation>
    <dataValidation sqref="E35" showDropDown="0" showInputMessage="0" showErrorMessage="1" allowBlank="1" errorTitle="Importe no válido" error="Escribe un número mayor o igual que 0." type="decimal" operator="greaterThanOrEqual">
      <formula1>0</formula1>
    </dataValidation>
    <dataValidation sqref="C36" showDropDown="0" showInputMessage="0" showErrorMessage="1" allowBlank="1" errorTitle="Importe no válido" error="Escribe un número mayor o igual que 0." type="decimal" operator="greaterThanOrEqual">
      <formula1>0</formula1>
    </dataValidation>
    <dataValidation sqref="E36" showDropDown="0" showInputMessage="0" showErrorMessage="1" allowBlank="1" errorTitle="Importe no válido" error="Escribe un número mayor o igual que 0." type="decimal" operator="greaterThanOrEqual">
      <formula1>0</formula1>
    </dataValidation>
    <dataValidation sqref="C37" showDropDown="0" showInputMessage="0" showErrorMessage="1" allowBlank="1" errorTitle="Importe no válido" error="Escribe un número mayor o igual que 0." type="decimal" operator="greaterThanOrEqual">
      <formula1>0</formula1>
    </dataValidation>
    <dataValidation sqref="E37" showDropDown="0" showInputMessage="0" showErrorMessage="1" allowBlank="1" errorTitle="Importe no válido" error="Escribe un número mayor o igual que 0." type="decimal" operator="greaterThanOrEqual">
      <formula1>0</formula1>
    </dataValidation>
    <dataValidation sqref="C38" showDropDown="0" showInputMessage="0" showErrorMessage="1" allowBlank="1" errorTitle="Importe no válido" error="Escribe un número mayor o igual que 0." type="decimal" operator="greaterThanOrEqual">
      <formula1>0</formula1>
    </dataValidation>
    <dataValidation sqref="E38" showDropDown="0" showInputMessage="0" showErrorMessage="1" allowBlank="1" errorTitle="Importe no válido" error="Escribe un número mayor o igual que 0." type="decimal" operator="greaterThanOrEqual">
      <formula1>0</formula1>
    </dataValidation>
    <dataValidation sqref="C39" showDropDown="0" showInputMessage="0" showErrorMessage="1" allowBlank="1" errorTitle="Importe no válido" error="Escribe un número mayor o igual que 0." type="decimal" operator="greaterThanOrEqual">
      <formula1>0</formula1>
    </dataValidation>
    <dataValidation sqref="E39" showDropDown="0" showInputMessage="0" showErrorMessage="1" allowBlank="1" errorTitle="Importe no válido" error="Escribe un número mayor o igual que 0." type="decimal" operator="greaterThanOrEqual">
      <formula1>0</formula1>
    </dataValidation>
    <dataValidation sqref="C40" showDropDown="0" showInputMessage="0" showErrorMessage="1" allowBlank="1" errorTitle="Importe no válido" error="Escribe un número mayor o igual que 0." type="decimal" operator="greaterThanOrEqual">
      <formula1>0</formula1>
    </dataValidation>
    <dataValidation sqref="E40" showDropDown="0" showInputMessage="0" showErrorMessage="1" allowBlank="1" errorTitle="Importe no válido" error="Escribe un número mayor o igual que 0." type="decimal" operator="greaterThanOrEqual">
      <formula1>0</formula1>
    </dataValidation>
    <dataValidation sqref="C41" showDropDown="0" showInputMessage="0" showErrorMessage="1" allowBlank="1" errorTitle="Importe no válido" error="Escribe un número mayor o igual que 0." type="decimal" operator="greaterThanOrEqual">
      <formula1>0</formula1>
    </dataValidation>
    <dataValidation sqref="E41" showDropDown="0" showInputMessage="0" showErrorMessage="1" allowBlank="1" errorTitle="Importe no válido" error="Escribe un número mayor o igual que 0." type="decimal" operator="greaterThanOrEqual">
      <formula1>0</formula1>
    </dataValidation>
    <dataValidation sqref="C42" showDropDown="0" showInputMessage="0" showErrorMessage="1" allowBlank="1" errorTitle="Importe no válido" error="Escribe un número mayor o igual que 0." type="decimal" operator="greaterThanOrEqual">
      <formula1>0</formula1>
    </dataValidation>
    <dataValidation sqref="E42" showDropDown="0" showInputMessage="0" showErrorMessage="1" allowBlank="1" errorTitle="Importe no válido" error="Escribe un número mayor o igual que 0." type="decimal" operator="greaterThanOrEqual">
      <formula1>0</formula1>
    </dataValidation>
    <dataValidation sqref="C43" showDropDown="0" showInputMessage="0" showErrorMessage="1" allowBlank="1" errorTitle="Importe no válido" error="Escribe un número mayor o igual que 0." type="decimal" operator="greaterThanOrEqual">
      <formula1>0</formula1>
    </dataValidation>
    <dataValidation sqref="E43" showDropDown="0" showInputMessage="0" showErrorMessage="1" allowBlank="1" errorTitle="Importe no válido" error="Escribe un número mayor o igual que 0." type="decimal" operator="greaterThanOrEqual">
      <formula1>0</formula1>
    </dataValidation>
    <dataValidation sqref="C44" showDropDown="0" showInputMessage="0" showErrorMessage="1" allowBlank="1" errorTitle="Importe no válido" error="Escribe un número mayor o igual que 0." type="decimal" operator="greaterThanOrEqual">
      <formula1>0</formula1>
    </dataValidation>
    <dataValidation sqref="E44" showDropDown="0" showInputMessage="0" showErrorMessage="1" allowBlank="1" errorTitle="Importe no válido" error="Escribe un número mayor o igual que 0." type="decimal" operator="greaterThanOrEqual">
      <formula1>0</formula1>
    </dataValidation>
    <dataValidation sqref="C45" showDropDown="0" showInputMessage="0" showErrorMessage="1" allowBlank="1" errorTitle="Importe no válido" error="Escribe un número mayor o igual que 0." type="decimal" operator="greaterThanOrEqual">
      <formula1>0</formula1>
    </dataValidation>
    <dataValidation sqref="E45" showDropDown="0" showInputMessage="0" showErrorMessage="1" allowBlank="1" errorTitle="Importe no válido" error="Escribe un número mayor o igual que 0." type="decimal" operator="greaterThanOrEqual">
      <formula1>0</formula1>
    </dataValidation>
    <dataValidation sqref="C46" showDropDown="0" showInputMessage="0" showErrorMessage="1" allowBlank="1" errorTitle="Importe no válido" error="Escribe un número mayor o igual que 0." type="decimal" operator="greaterThanOrEqual">
      <formula1>0</formula1>
    </dataValidation>
    <dataValidation sqref="E46" showDropDown="0" showInputMessage="0" showErrorMessage="1" allowBlank="1" errorTitle="Importe no válido" error="Escribe un número mayor o igual que 0." type="decimal" operator="greaterThanOrEqual">
      <formula1>0</formula1>
    </dataValidation>
    <dataValidation sqref="C47" showDropDown="0" showInputMessage="0" showErrorMessage="1" allowBlank="1" errorTitle="Importe no válido" error="Escribe un número mayor o igual que 0." type="decimal" operator="greaterThanOrEqual">
      <formula1>0</formula1>
    </dataValidation>
    <dataValidation sqref="E47" showDropDown="0" showInputMessage="0" showErrorMessage="1" allowBlank="1" errorTitle="Importe no válido" error="Escribe un número mayor o igual que 0." type="decimal" operator="greaterThanOrEqual">
      <formula1>0</formula1>
    </dataValidation>
    <dataValidation sqref="C48" showDropDown="0" showInputMessage="0" showErrorMessage="1" allowBlank="1" errorTitle="Importe no válido" error="Escribe un número mayor o igual que 0." type="decimal" operator="greaterThanOrEqual">
      <formula1>0</formula1>
    </dataValidation>
    <dataValidation sqref="E48" showDropDown="0" showInputMessage="0" showErrorMessage="1" allowBlank="1" errorTitle="Importe no válido" error="Escribe un número mayor o igual que 0." type="decimal" operator="greaterThanOrEqual">
      <formula1>0</formula1>
    </dataValidation>
    <dataValidation sqref="C49" showDropDown="0" showInputMessage="0" showErrorMessage="1" allowBlank="1" errorTitle="Importe no válido" error="Escribe un número mayor o igual que 0." type="decimal" operator="greaterThanOrEqual">
      <formula1>0</formula1>
    </dataValidation>
    <dataValidation sqref="E49" showDropDown="0" showInputMessage="0" showErrorMessage="1" allowBlank="1" errorTitle="Importe no válido" error="Escribe un número mayor o igual que 0." type="decimal" operator="greaterThanOrEqual">
      <formula1>0</formula1>
    </dataValidation>
    <dataValidation sqref="C50" showDropDown="0" showInputMessage="0" showErrorMessage="1" allowBlank="1" errorTitle="Importe no válido" error="Escribe un número mayor o igual que 0." type="decimal" operator="greaterThanOrEqual">
      <formula1>0</formula1>
    </dataValidation>
    <dataValidation sqref="E50" showDropDown="0" showInputMessage="0" showErrorMessage="1" allowBlank="1" errorTitle="Importe no válido" error="Escribe un número mayor o igual que 0." type="decimal" operator="greaterThanOrEqual">
      <formula1>0</formula1>
    </dataValidation>
    <dataValidation sqref="C51" showDropDown="0" showInputMessage="0" showErrorMessage="1" allowBlank="1" errorTitle="Importe no válido" error="Escribe un número mayor o igual que 0." type="decimal" operator="greaterThanOrEqual">
      <formula1>0</formula1>
    </dataValidation>
    <dataValidation sqref="E51" showDropDown="0" showInputMessage="0" showErrorMessage="1" allowBlank="1" errorTitle="Importe no válido" error="Escribe un número mayor o igual que 0." type="decimal" operator="greaterThanOrEqual">
      <formula1>0</formula1>
    </dataValidation>
    <dataValidation sqref="C52" showDropDown="0" showInputMessage="0" showErrorMessage="1" allowBlank="1" errorTitle="Importe no válido" error="Escribe un número mayor o igual que 0." type="decimal" operator="greaterThanOrEqual">
      <formula1>0</formula1>
    </dataValidation>
    <dataValidation sqref="E52" showDropDown="0" showInputMessage="0" showErrorMessage="1" allowBlank="1" errorTitle="Importe no válido" error="Escribe un número mayor o igual que 0." type="decimal" operator="greaterThanOrEqual">
      <formula1>0</formula1>
    </dataValidation>
    <dataValidation sqref="C53" showDropDown="0" showInputMessage="0" showErrorMessage="1" allowBlank="1" errorTitle="Importe no válido" error="Escribe un número mayor o igual que 0." type="decimal" operator="greaterThanOrEqual">
      <formula1>0</formula1>
    </dataValidation>
    <dataValidation sqref="E53" showDropDown="0" showInputMessage="0" showErrorMessage="1" allowBlank="1" errorTitle="Importe no válido" error="Escribe un número mayor o igual que 0." type="decimal" operator="greaterThanOrEqual">
      <formula1>0</formula1>
    </dataValidation>
    <dataValidation sqref="C54" showDropDown="0" showInputMessage="0" showErrorMessage="1" allowBlank="1" errorTitle="Importe no válido" error="Escribe un número mayor o igual que 0." type="decimal" operator="greaterThanOrEqual">
      <formula1>0</formula1>
    </dataValidation>
    <dataValidation sqref="E54" showDropDown="0" showInputMessage="0" showErrorMessage="1" allowBlank="1" errorTitle="Importe no válido" error="Escribe un número mayor o igual que 0." type="decimal" operator="greaterThanOrEqual">
      <formula1>0</formula1>
    </dataValidation>
    <dataValidation sqref="C55" showDropDown="0" showInputMessage="0" showErrorMessage="1" allowBlank="1" errorTitle="Importe no válido" error="Escribe un número mayor o igual que 0." type="decimal" operator="greaterThanOrEqual">
      <formula1>0</formula1>
    </dataValidation>
    <dataValidation sqref="E55" showDropDown="0" showInputMessage="0" showErrorMessage="1" allowBlank="1" errorTitle="Importe no válido" error="Escribe un número mayor o igual que 0." type="decimal" operator="greaterThanOrEqual">
      <formula1>0</formula1>
    </dataValidation>
    <dataValidation sqref="C56" showDropDown="0" showInputMessage="0" showErrorMessage="1" allowBlank="1" errorTitle="Importe no válido" error="Escribe un número mayor o igual que 0." type="decimal" operator="greaterThanOrEqual">
      <formula1>0</formula1>
    </dataValidation>
    <dataValidation sqref="E56" showDropDown="0" showInputMessage="0" showErrorMessage="1" allowBlank="1" errorTitle="Importe no válido" error="Escribe un número mayor o igual que 0." type="decimal" operator="greaterThanOrEqual">
      <formula1>0</formula1>
    </dataValidation>
    <dataValidation sqref="C57" showDropDown="0" showInputMessage="0" showErrorMessage="1" allowBlank="1" errorTitle="Importe no válido" error="Escribe un número mayor o igual que 0." type="decimal" operator="greaterThanOrEqual">
      <formula1>0</formula1>
    </dataValidation>
    <dataValidation sqref="E57" showDropDown="0" showInputMessage="0" showErrorMessage="1" allowBlank="1" errorTitle="Importe no válido" error="Escribe un número mayor o igual que 0." type="decimal" operator="greaterThanOrEqual">
      <formula1>0</formula1>
    </dataValidation>
    <dataValidation sqref="C58" showDropDown="0" showInputMessage="0" showErrorMessage="1" allowBlank="1" errorTitle="Importe no válido" error="Escribe un número mayor o igual que 0." type="decimal" operator="greaterThanOrEqual">
      <formula1>0</formula1>
    </dataValidation>
    <dataValidation sqref="E58" showDropDown="0" showInputMessage="0" showErrorMessage="1" allowBlank="1" errorTitle="Importe no válido" error="Escribe un número mayor o igual que 0." type="decimal" operator="greaterThanOrEqual">
      <formula1>0</formula1>
    </dataValidation>
    <dataValidation sqref="D63" showDropDown="0" showInputMessage="0" showErrorMessage="1" allowBlank="1" errorTitle="Importe no válido" error="Escribe un número mayor o igual que 0." type="decimal" operator="greaterThanOrEqual">
      <formula1>0</formula1>
    </dataValidation>
    <dataValidation sqref="D64" showDropDown="0" showInputMessage="0" showErrorMessage="1" allowBlank="1" errorTitle="Importe no válido" error="Escribe un número mayor o igual que 0." type="decimal" operator="greaterThanOrEqual">
      <formula1>0</formula1>
    </dataValidation>
    <dataValidation sqref="D65" showDropDown="0" showInputMessage="0" showErrorMessage="1" allowBlank="1" errorTitle="Importe no válido" error="Escribe un número mayor o igual que 0." type="decimal" operator="greaterThanOrEqual">
      <formula1>0</formula1>
    </dataValidation>
    <dataValidation sqref="D66" showDropDown="0" showInputMessage="0" showErrorMessage="1" allowBlank="1" errorTitle="Importe no válido" error="Escribe un número mayor o igual que 0." type="decimal" operator="greaterThanOrEqual">
      <formula1>0</formula1>
    </dataValidation>
    <dataValidation sqref="D67" showDropDown="0" showInputMessage="0" showErrorMessage="1" allowBlank="1" errorTitle="Importe no válido" error="Escribe un número mayor o igual que 0." type="decimal" operator="greaterThanOrEqual">
      <formula1>0</formula1>
    </dataValidation>
    <dataValidation sqref="D68" showDropDown="0" showInputMessage="0" showErrorMessage="1" allowBlank="1" errorTitle="Importe no válido" error="Escribe un número mayor o igual que 0." type="decimal" operator="greaterThanOrEqual">
      <formula1>0</formula1>
    </dataValidation>
    <dataValidation sqref="D69" showDropDown="0" showInputMessage="0" showErrorMessage="1" allowBlank="1" errorTitle="Importe no válido" error="Escribe un número mayor o igual que 0." type="decimal" operator="greaterThanOrEqual">
      <formula1>0</formula1>
    </dataValidation>
    <dataValidation sqref="D70" showDropDown="0" showInputMessage="0" showErrorMessage="1" allowBlank="1" errorTitle="Importe no válido" error="Escribe un número mayor o igual que 0." type="decimal" operator="greaterThanOrEqual">
      <formula1>0</formula1>
    </dataValidation>
    <dataValidation sqref="D71" showDropDown="0" showInputMessage="0" showErrorMessage="1" allowBlank="1" errorTitle="Importe no válido" error="Escribe un número mayor o igual que 0." type="decimal" operator="greaterThanOrEqual">
      <formula1>0</formula1>
    </dataValidation>
    <dataValidation sqref="D72" showDropDown="0" showInputMessage="0" showErrorMessage="1" allowBlank="1" errorTitle="Importe no válido" error="Escribe un número mayor o igual que 0." type="decimal" operator="greaterThanOrEqual">
      <formula1>0</formula1>
    </dataValidation>
    <dataValidation sqref="D73" showDropDown="0" showInputMessage="0" showErrorMessage="1" allowBlank="1" errorTitle="Importe no válido" error="Escribe un número mayor o igual que 0." type="decimal" operator="greaterThanOrEqual">
      <formula1>0</formula1>
    </dataValidation>
    <dataValidation sqref="D74" showDropDown="0" showInputMessage="0" showErrorMessage="1" allowBlank="1" errorTitle="Importe no válido" error="Escribe un número mayor o igual que 0." type="decimal" operator="greaterThanOrEqual">
      <formula1>0</formula1>
    </dataValidation>
    <dataValidation sqref="D75" showDropDown="0" showInputMessage="0" showErrorMessage="1" allowBlank="1" errorTitle="Importe no válido" error="Escribe un número mayor o igual que 0." type="decimal" operator="greaterThanOrEqual">
      <formula1>0</formula1>
    </dataValidation>
    <dataValidation sqref="D76" showDropDown="0" showInputMessage="0" showErrorMessage="1" allowBlank="1" errorTitle="Importe no válido" error="Escribe un número mayor o igual que 0." type="decimal" operator="greaterThanOrEqual">
      <formula1>0</formula1>
    </dataValidation>
    <dataValidation sqref="D77" showDropDown="0" showInputMessage="0" showErrorMessage="1" allowBlank="1" errorTitle="Importe no válido" error="Escribe un número mayor o igual que 0." type="decimal" operator="greaterThanOrEqual">
      <formula1>0</formula1>
    </dataValidation>
    <dataValidation sqref="D78" showDropDown="0" showInputMessage="0" showErrorMessage="1" allowBlank="1" errorTitle="Importe no válido" error="Escribe un número mayor o igual que 0." type="decimal" operator="greaterThanOrEqual">
      <formula1>0</formula1>
    </dataValidation>
    <dataValidation sqref="D79" showDropDown="0" showInputMessage="0" showErrorMessage="1" allowBlank="1" errorTitle="Importe no válido" error="Escribe un número mayor o igual que 0." type="decimal" operator="greaterThanOrEqual">
      <formula1>0</formula1>
    </dataValidation>
    <dataValidation sqref="D80" showDropDown="0" showInputMessage="0" showErrorMessage="1" allowBlank="1" errorTitle="Importe no válido" error="Escribe un número mayor o igual que 0." type="decimal" operator="greaterThanOrEqual">
      <formula1>0</formula1>
    </dataValidation>
    <dataValidation sqref="D81" showDropDown="0" showInputMessage="0" showErrorMessage="1" allowBlank="1" errorTitle="Importe no válido" error="Escribe un número mayor o igual que 0." type="decimal" operator="greaterThanOrEqual">
      <formula1>0</formula1>
    </dataValidation>
    <dataValidation sqref="D82" showDropDown="0" showInputMessage="0" showErrorMessage="1" allowBlank="1" errorTitle="Importe no válido" error="Escribe un número mayor o igual que 0." type="decimal" operator="greaterThanOrEqual">
      <formula1>0</formula1>
    </dataValidation>
    <dataValidation sqref="D83" showDropDown="0" showInputMessage="0" showErrorMessage="1" allowBlank="1" errorTitle="Importe no válido" error="Escribe un número mayor o igual que 0." type="decimal" operator="greaterThanOrEqual">
      <formula1>0</formula1>
    </dataValidation>
    <dataValidation sqref="D84" showDropDown="0" showInputMessage="0" showErrorMessage="1" allowBlank="1" errorTitle="Importe no válido" error="Escribe un número mayor o igual que 0." type="decimal" operator="greaterThanOrEqual">
      <formula1>0</formula1>
    </dataValidation>
    <dataValidation sqref="D85" showDropDown="0" showInputMessage="0" showErrorMessage="1" allowBlank="1" errorTitle="Importe no válido" error="Escribe un número mayor o igual que 0." type="decimal" operator="greaterThanOrEqual">
      <formula1>0</formula1>
    </dataValidation>
    <dataValidation sqref="D86" showDropDown="0" showInputMessage="0" showErrorMessage="1" allowBlank="1" errorTitle="Importe no válido" error="Escribe un número mayor o igual que 0." type="decimal" operator="greaterThanOrEqual">
      <formula1>0</formula1>
    </dataValidation>
    <dataValidation sqref="D87" showDropDown="0" showInputMessage="0" showErrorMessage="1" allowBlank="1" errorTitle="Importe no válido" error="Escribe un número mayor o igual que 0." type="decimal" operator="greaterThanOrEqual">
      <formula1>0</formula1>
    </dataValidation>
    <dataValidation sqref="D88" showDropDown="0" showInputMessage="0" showErrorMessage="1" allowBlank="1" errorTitle="Importe no válido" error="Escribe un número mayor o igual que 0." type="decimal" operator="greaterThanOrEqual">
      <formula1>0</formula1>
    </dataValidation>
    <dataValidation sqref="D89" showDropDown="0" showInputMessage="0" showErrorMessage="1" allowBlank="1" errorTitle="Importe no válido" error="Escribe un número mayor o igual que 0." type="decimal" operator="greaterThanOrEqual">
      <formula1>0</formula1>
    </dataValidation>
    <dataValidation sqref="D90" showDropDown="0" showInputMessage="0" showErrorMessage="1" allowBlank="1" errorTitle="Importe no válido" error="Escribe un número mayor o igual que 0." type="decimal" operator="greaterThanOrEqual">
      <formula1>0</formula1>
    </dataValidation>
    <dataValidation sqref="D91" showDropDown="0" showInputMessage="0" showErrorMessage="1" allowBlank="1" errorTitle="Importe no válido" error="Escribe un número mayor o igual que 0." type="decimal" operator="greaterThanOrEqual">
      <formula1>0</formula1>
    </dataValidation>
    <dataValidation sqref="D92" showDropDown="0" showInputMessage="0" showErrorMessage="1" allowBlank="1" errorTitle="Importe no válido" error="Escribe un número mayor o igual que 0." type="decimal" operator="greaterThanOrEqual">
      <formula1>0</formula1>
    </dataValidation>
    <dataValidation sqref="D93" showDropDown="0" showInputMessage="0" showErrorMessage="1" allowBlank="1" errorTitle="Importe no válido" error="Escribe un número mayor o igual que 0." type="decimal" operator="greaterThanOrEqual">
      <formula1>0</formula1>
    </dataValidation>
    <dataValidation sqref="D94" showDropDown="0" showInputMessage="0" showErrorMessage="1" allowBlank="1" errorTitle="Importe no válido" error="Escribe un número mayor o igual que 0." type="decimal" operator="greaterThanOrEqual">
      <formula1>0</formula1>
    </dataValidation>
    <dataValidation sqref="D95" showDropDown="0" showInputMessage="0" showErrorMessage="1" allowBlank="1" errorTitle="Importe no válido" error="Escribe un número mayor o igual que 0." type="decimal" operator="greaterThanOrEqual">
      <formula1>0</formula1>
    </dataValidation>
    <dataValidation sqref="D96" showDropDown="0" showInputMessage="0" showErrorMessage="1" allowBlank="1" errorTitle="Importe no válido" error="Escribe un número mayor o igual que 0." type="decimal" operator="greaterThanOrEqual">
      <formula1>0</formula1>
    </dataValidation>
    <dataValidation sqref="D97" showDropDown="0" showInputMessage="0" showErrorMessage="1" allowBlank="1" errorTitle="Importe no válido" error="Escribe un número mayor o igual que 0." type="decimal" operator="greaterThanOrEqual">
      <formula1>0</formula1>
    </dataValidation>
    <dataValidation sqref="D98" showDropDown="0" showInputMessage="0" showErrorMessage="1" allowBlank="1" errorTitle="Importe no válido" error="Escribe un número mayor o igual que 0." type="decimal" operator="greaterThanOrEqual">
      <formula1>0</formula1>
    </dataValidation>
    <dataValidation sqref="D99" showDropDown="0" showInputMessage="0" showErrorMessage="1" allowBlank="1" errorTitle="Importe no válido" error="Escribe un número mayor o igual que 0." type="decimal" operator="greaterThanOrEqual">
      <formula1>0</formula1>
    </dataValidation>
    <dataValidation sqref="D100" showDropDown="0" showInputMessage="0" showErrorMessage="1" allowBlank="1" errorTitle="Importe no válido" error="Escribe un número mayor o igual que 0." type="decimal" operator="greaterThanOrEqual">
      <formula1>0</formula1>
    </dataValidation>
    <dataValidation sqref="D35 D36 D37 D38 D39 D40 D41 D42 D43 D44 D45 D46 D47 D48 D49 D50 D51 D52 D53 D54 D55 D56 D57 D58" showDropDown="0" showInputMessage="0" showErrorMessage="1" allowBlank="0" errorTitle="Tipo de pieza" error="Elige churro, porra o «sin masa»." type="list">
      <formula1>=$A$105:$A$107</formula1>
    </dataValidation>
    <dataValidation sqref="F63 F64 F65 F66 F67 F68 F69 F70 F71 F72 F73 F74 F75 F76 F77 F78 F79 F80 F81 F82 F83 F84 F85 F86 F87 F88 F89 F90 F91 F92 F93 F94 F95 F96 F97 F98 F99 F100" showDropDown="0" showInputMessage="0" showErrorMessage="1" allowBlank="0" errorTitle="Cuándo cuenta" error="Elige «Siempre» o «Sólo para llevar»." type="list">
      <formula1>=$B$105:$B$106</formula1>
    </dataValidation>
    <dataValidation sqref="C63 C64 C65 C66 C67 C68 C69 C70 C71 C72 C73 C74 C75 C76 C77 C78 C79 C80 C81 C82 C83 C84 C85 C86 C87 C88 C89 C90 C91 C92 C93 C94 C95 C96 C97 C98 C99 C100" showDropDown="0" showInputMessage="0" showErrorMessage="1" allowBlank="0" errorTitle="Insumo" error="Elige un insumo de la tabla de «Parámetros» o una taza de chocolate." type="list">
      <formula1>=$C$105:$C$127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35"/>
  <sheetViews>
    <sheetView workbookViewId="0">
      <selection activeCell="A1" sqref="A1"/>
    </sheetView>
  </sheetViews>
  <sheetFormatPr baseColWidth="8" defaultRowHeight="15"/>
  <cols>
    <col width="56" customWidth="1" min="1" max="1"/>
    <col width="15" customWidth="1" min="2" max="2"/>
    <col width="13" customWidth="1" min="3" max="3"/>
    <col width="15" customWidth="1" min="4" max="4"/>
    <col width="15" customWidth="1" min="5" max="5"/>
    <col width="15" customWidth="1" min="6" max="6"/>
    <col width="40" customWidth="1" min="7" max="7"/>
    <col width="40" customWidth="1" min="11" max="11"/>
    <col width="14" customWidth="1" min="12" max="12"/>
    <col width="48" customWidth="1" min="13" max="13"/>
  </cols>
  <sheetData>
    <row r="1">
      <c r="A1" s="1" t="inlineStr">
        <is>
          <t>Absorción de Aceite y Merma</t>
        </is>
      </c>
    </row>
    <row r="2">
      <c r="A2" s="2" t="inlineStr">
        <is>
          <t>AI Chef Pro · aichef.pro — Cómo Montar una Churrería-Chocolatería</t>
        </is>
      </c>
    </row>
    <row r="3">
      <c r="A3" s="3" t="inlineStr">
        <is>
          <t>El aceite que se lleva la masa frita, en euros. La renovación del aceite de la cuba (el descarte) la calcula el libro 4.</t>
        </is>
      </c>
    </row>
    <row r="4">
      <c r="A4" s="4" t="inlineStr">
        <is>
          <t>Del Aceite al Euro por Kilo de Masa</t>
        </is>
      </c>
      <c r="K4" s="4" t="inlineStr">
        <is>
          <t>Lo que Copian Otros Libros (No Muevas Estas Celdas)</t>
        </is>
      </c>
    </row>
    <row r="5" ht="30" customHeight="1">
      <c r="A5" s="27" t="inlineStr">
        <is>
          <t>Kilos fritos que salen de un kilo de masa</t>
        </is>
      </c>
      <c r="B5" s="33">
        <f>'Parámetros'!$B$17</f>
        <v>0.9</v>
      </c>
      <c r="C5" t="inlineStr">
        <is>
          <t>kg/kg</t>
        </is>
      </c>
      <c r="K5" s="11" t="inlineStr">
        <is>
          <t>Aceite absorbido por ración media (mix de invierno), EUR</t>
        </is>
      </c>
      <c r="L5" s="12">
        <f>B20</f>
        <v>0.01911957894736842</v>
      </c>
      <c r="M5" s="10" t="inlineStr">
        <is>
          <t>Lo copia: libro 4 (aceite-de-fritura-coste-y-cambio.xlsx, hoja Parámetros, X2 bis)</t>
        </is>
      </c>
    </row>
    <row r="6">
      <c r="A6" s="27" t="inlineStr">
        <is>
          <t>Absorción de aceite, en % del peso frito</t>
        </is>
      </c>
      <c r="B6" s="34">
        <f>'Parámetros'!$B$18</f>
        <v>0.1</v>
      </c>
      <c r="C6" t="inlineStr"/>
    </row>
    <row r="7">
      <c r="A7" s="27" t="inlineStr">
        <is>
          <t>Kilos de aceite que se lleva un kilo de masa</t>
        </is>
      </c>
      <c r="B7" s="35">
        <f>IFERROR(B5*B6,"")</f>
        <v>0.09000000000000001</v>
      </c>
      <c r="C7" t="inlineStr">
        <is>
          <t>kg</t>
        </is>
      </c>
    </row>
    <row r="8">
      <c r="A8" s="27" t="inlineStr">
        <is>
          <t>Densidad del aceite</t>
        </is>
      </c>
      <c r="B8" s="33">
        <f>'Parámetros'!$B$19</f>
        <v>0.92</v>
      </c>
      <c r="C8" t="inlineStr">
        <is>
          <t>kg/L</t>
        </is>
      </c>
    </row>
    <row r="9">
      <c r="A9" s="27" t="inlineStr">
        <is>
          <t>Litros de aceite que se lleva un kilo de masa</t>
        </is>
      </c>
      <c r="B9" s="35">
        <f>IFERROR(B7/B8,"")</f>
        <v>0.09782608695652174</v>
      </c>
      <c r="C9" t="inlineStr">
        <is>
          <t>L</t>
        </is>
      </c>
    </row>
    <row r="10">
      <c r="A10" s="27" t="inlineStr">
        <is>
          <t>Precio del aceite (base imponible)</t>
        </is>
      </c>
      <c r="B10" s="29">
        <f>'Parámetros'!$L$5</f>
        <v>1.996</v>
      </c>
      <c r="C10" t="inlineStr">
        <is>
          <t>EUR/L</t>
        </is>
      </c>
    </row>
    <row r="11">
      <c r="A11" s="23" t="inlineStr">
        <is>
          <t>EUROS DE ACEITE ABSORBIDO POR KILO DE MASA</t>
        </is>
      </c>
      <c r="B11" s="12">
        <f>IFERROR(B9*B10,"")</f>
        <v>0.1952608695652174</v>
      </c>
      <c r="C11" t="inlineStr">
        <is>
          <t>EUR/kg</t>
        </is>
      </c>
    </row>
    <row r="12"/>
    <row r="13">
      <c r="A13" s="4" t="inlineStr">
        <is>
          <t>La Merma</t>
        </is>
      </c>
    </row>
    <row r="14">
      <c r="A14" s="27" t="inlineStr">
        <is>
          <t>Merma: masa que se fríe y no se vende</t>
        </is>
      </c>
      <c r="B14" s="34">
        <f>'Parámetros'!$B$16</f>
        <v>0.05</v>
      </c>
      <c r="C14" t="inlineStr"/>
    </row>
    <row r="15">
      <c r="A15" s="27" t="inlineStr">
        <is>
          <t>Kilos de masa que hay que freír por kilo vendido</t>
        </is>
      </c>
      <c r="B15" s="35">
        <f>IFERROR(1/(1-B14),"")</f>
        <v>1.0526315789473684</v>
      </c>
      <c r="C15" t="inlineStr">
        <is>
          <t>kg/kg</t>
        </is>
      </c>
    </row>
    <row r="16">
      <c r="A16" s="27" t="inlineStr">
        <is>
          <t>Coste de la merma por kilo vendido (masa y aceite)</t>
        </is>
      </c>
      <c r="B16" s="36">
        <f>IFERROR((B15-1)*('Escandallo por kg de Masa'!$B$19+B11),"")</f>
        <v>0.03682151029748279</v>
      </c>
      <c r="C16" t="inlineStr">
        <is>
          <t>EUR/kg</t>
        </is>
      </c>
    </row>
    <row r="17"/>
    <row r="18">
      <c r="A18" s="4" t="inlineStr">
        <is>
          <t>Por Ración Media</t>
        </is>
      </c>
    </row>
    <row r="19" ht="40" customHeight="1">
      <c r="A19" s="27" t="inlineStr">
        <is>
          <t>Kilos de masa que se fríen por ración media (mix de invierno)</t>
        </is>
      </c>
      <c r="B19" s="35">
        <f>'Mix y Ticket Canal y Temporada'!$L$5</f>
        <v>0.09791812865497075</v>
      </c>
      <c r="C19" t="inlineStr">
        <is>
          <t>kg/ración</t>
        </is>
      </c>
      <c r="D19" s="10" t="inlineStr">
        <is>
          <t>La ración media es la unidad de venta media de la carta, ponderada por el mix de invierno (hoja «Mix y Ticket Canal y Temporada»).</t>
        </is>
      </c>
    </row>
    <row r="20" ht="40" customHeight="1">
      <c r="A20" s="23" t="inlineStr">
        <is>
          <t>ACEITE ABSORBIDO POR RACIÓN MEDIA</t>
        </is>
      </c>
      <c r="B20" s="12">
        <f>IFERROR(B19*B11,"")</f>
        <v>0.01911957894736842</v>
      </c>
      <c r="C20" t="inlineStr">
        <is>
          <t>EUR/ración</t>
        </is>
      </c>
      <c r="D20" s="10" t="inlineStr">
        <is>
          <t>El libro 4 recibe esta cifra para la fila de contraste «aceite absorbido (3) más renovación (4) = aceite total por ración». El 6 suma las dos, cada una con su fuente.</t>
        </is>
      </c>
    </row>
    <row r="21">
      <c r="A21" s="27" t="inlineStr">
        <is>
          <t>Litros de aceite absorbido cada 100 raciones</t>
        </is>
      </c>
      <c r="B21" s="33">
        <f>IFERROR(B19*B9*100,"")</f>
        <v>0.9578947368421051</v>
      </c>
      <c r="C21" t="inlineStr">
        <is>
          <t>L</t>
        </is>
      </c>
    </row>
    <row r="22">
      <c r="A22" s="27" t="inlineStr">
        <is>
          <t>Peso del aceite absorbido en la materia de la ración media</t>
        </is>
      </c>
      <c r="B22" s="34">
        <f>IFERROR(B20/'Mix y Ticket Canal y Temporada'!$D$7,"")</f>
        <v>0.06759786830768297</v>
      </c>
      <c r="C22" t="inlineStr"/>
    </row>
    <row r="23"/>
    <row r="24"/>
    <row r="25">
      <c r="A25" s="4" t="inlineStr">
        <is>
          <t>Si la Absorción Fuera Otra (Pon las Tuyas)</t>
        </is>
      </c>
    </row>
    <row r="26" ht="44" customHeight="1">
      <c r="A26" s="19" t="inlineStr">
        <is>
          <t>Absorción de aceite, en % del peso frito</t>
        </is>
      </c>
      <c r="B26" s="19" t="inlineStr">
        <is>
          <t>EUR de aceite por kilo de masa</t>
        </is>
      </c>
      <c r="C26" s="19" t="inlineStr">
        <is>
          <t>EUR de aceite por ración media</t>
        </is>
      </c>
      <c r="D26" s="19" t="inlineStr">
        <is>
          <t>Diferencia por ración frente a tu absorción (EUR)</t>
        </is>
      </c>
      <c r="E26" s="19" t="inlineStr">
        <is>
          <t>Diferencia cada 1.000 raciones (EUR)</t>
        </is>
      </c>
    </row>
    <row r="27">
      <c r="A27" s="9" t="n">
        <v>0.06</v>
      </c>
      <c r="B27" s="25">
        <f>IFERROR($B$5*A27/$B$8*$B$10,"")</f>
        <v>0.11715652173913042</v>
      </c>
      <c r="C27" s="25">
        <f>IFERROR(B27*$B$19,"")</f>
        <v>0.01147174736842105</v>
      </c>
      <c r="D27" s="25">
        <f>IFERROR(C27-$B$20,"")</f>
        <v>-0.007647831578947372</v>
      </c>
      <c r="E27" s="37">
        <f>IFERROR(D27*1000,"")</f>
        <v>-7.647831578947372</v>
      </c>
    </row>
    <row r="28">
      <c r="A28" s="9" t="n">
        <v>0.08</v>
      </c>
      <c r="B28" s="25">
        <f>IFERROR($B$5*A28/$B$8*$B$10,"")</f>
        <v>0.15620869565217393</v>
      </c>
      <c r="C28" s="25">
        <f>IFERROR(B28*$B$19,"")</f>
        <v>0.015295663157894738</v>
      </c>
      <c r="D28" s="25">
        <f>IFERROR(C28-$B$20,"")</f>
        <v>-0.0038239157894736833</v>
      </c>
      <c r="E28" s="37">
        <f>IFERROR(D28*1000,"")</f>
        <v>-3.8239157894736833</v>
      </c>
    </row>
    <row r="29">
      <c r="A29" s="9" t="n">
        <v>0.1</v>
      </c>
      <c r="B29" s="25">
        <f>IFERROR($B$5*A29/$B$8*$B$10,"")</f>
        <v>0.1952608695652174</v>
      </c>
      <c r="C29" s="25">
        <f>IFERROR(B29*$B$19,"")</f>
        <v>0.01911957894736842</v>
      </c>
      <c r="D29" s="25">
        <f>IFERROR(C29-$B$20,"")</f>
        <v>0.0</v>
      </c>
      <c r="E29" s="37">
        <f>IFERROR(D29*1000,"")</f>
        <v>0.0</v>
      </c>
    </row>
    <row r="30">
      <c r="A30" s="9" t="n">
        <v>0.12</v>
      </c>
      <c r="B30" s="25">
        <f>IFERROR($B$5*A30/$B$8*$B$10,"")</f>
        <v>0.23431304347826085</v>
      </c>
      <c r="C30" s="25">
        <f>IFERROR(B30*$B$19,"")</f>
        <v>0.0229434947368421</v>
      </c>
      <c r="D30" s="25">
        <f>IFERROR(C30-$B$20,"")</f>
        <v>0.003823915789473678</v>
      </c>
      <c r="E30" s="37">
        <f>IFERROR(D30*1000,"")</f>
        <v>3.823915789473678</v>
      </c>
    </row>
    <row r="31">
      <c r="A31" s="9" t="n">
        <v>0.14</v>
      </c>
      <c r="B31" s="25">
        <f>IFERROR($B$5*A31/$B$8*$B$10,"")</f>
        <v>0.27336521739130437</v>
      </c>
      <c r="C31" s="25">
        <f>IFERROR(B31*$B$19,"")</f>
        <v>0.026767410526315788</v>
      </c>
      <c r="D31" s="25">
        <f>IFERROR(C31-$B$20,"")</f>
        <v>0.0076478315789473665</v>
      </c>
      <c r="E31" s="37">
        <f>IFERROR(D31*1000,"")</f>
        <v>7.6478315789473665</v>
      </c>
    </row>
    <row r="32"/>
    <row r="33" ht="36" customHeight="1">
      <c r="A33" s="10" t="inlineStr">
        <is>
          <t>La absorción es un supuesto declarado, sin fuente pública: mídela pesando una tanda de masa antes y después de freír. Cambiar de aceite o de freidora la mueve.</t>
        </is>
      </c>
    </row>
    <row r="34"/>
    <row r="35">
      <c r="A35"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D20:G20"/>
    <mergeCell ref="D19:G19"/>
    <mergeCell ref="A33:E33"/>
  </mergeCells>
  <conditionalFormatting sqref="E27">
    <cfRule type="expression" priority="1" dxfId="0" stopIfTrue="1">
      <formula>=AND(ISNUMBER($E$27),$E$27&gt;0)</formula>
    </cfRule>
  </conditionalFormatting>
  <conditionalFormatting sqref="E28">
    <cfRule type="expression" priority="2" dxfId="0" stopIfTrue="1">
      <formula>=AND(ISNUMBER($E$28),$E$28&gt;0)</formula>
    </cfRule>
  </conditionalFormatting>
  <conditionalFormatting sqref="E29">
    <cfRule type="expression" priority="3" dxfId="0" stopIfTrue="1">
      <formula>=AND(ISNUMBER($E$29),$E$29&gt;0)</formula>
    </cfRule>
  </conditionalFormatting>
  <conditionalFormatting sqref="E30">
    <cfRule type="expression" priority="4" dxfId="0" stopIfTrue="1">
      <formula>=AND(ISNUMBER($E$30),$E$30&gt;0)</formula>
    </cfRule>
  </conditionalFormatting>
  <conditionalFormatting sqref="E31">
    <cfRule type="expression" priority="5" dxfId="0" stopIfTrue="1">
      <formula>=AND(ISNUMBER($E$31),$E$31&gt;0)</formula>
    </cfRule>
  </conditionalFormatting>
  <dataValidations count="5">
    <dataValidation sqref="A27"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A2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A29"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A30"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A31"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46"/>
  <sheetViews>
    <sheetView workbookViewId="0">
      <selection activeCell="A1" sqref="A1"/>
    </sheetView>
  </sheetViews>
  <sheetFormatPr baseColWidth="8" defaultRowHeight="15"/>
  <cols>
    <col width="56" customWidth="1" min="1" max="1"/>
    <col width="18" customWidth="1" min="2" max="2"/>
    <col width="14" customWidth="1" min="3" max="3"/>
    <col width="14" customWidth="1" min="4" max="4"/>
    <col width="14" customWidth="1" min="5" max="5"/>
    <col width="14" customWidth="1" min="6" max="6"/>
    <col width="50" customWidth="1" min="7" max="7"/>
  </cols>
  <sheetData>
    <row r="1">
      <c r="A1" s="1" t="inlineStr">
        <is>
          <t>Chocolate a la Taza</t>
        </is>
      </c>
    </row>
    <row r="2">
      <c r="A2" s="2" t="inlineStr">
        <is>
          <t>AI Chef Pro · aichef.pro — Cómo Montar una Churrería-Chocolatería</t>
        </is>
      </c>
    </row>
    <row r="3">
      <c r="A3" s="3" t="inlineStr">
        <is>
          <t>Lo que cuesta una taza y qué dice la etiqueta de tu preparado. La carta usa la denominación que figura en esa etiqueta.</t>
        </is>
      </c>
    </row>
    <row r="4"/>
    <row r="5">
      <c r="A5" s="4" t="inlineStr">
        <is>
          <t>1. Lo que Cuesta el Chocolate</t>
        </is>
      </c>
    </row>
    <row r="6">
      <c r="A6" t="inlineStr">
        <is>
          <t>Precio del preparado SIN IVA (EUR/kg)</t>
        </is>
      </c>
      <c r="B6" s="25">
        <f>'Parámetros'!$G$35</f>
        <v>7.1875</v>
      </c>
    </row>
    <row r="7">
      <c r="A7" t="inlineStr">
        <is>
          <t>Kilos de preparado del formato que compras</t>
        </is>
      </c>
      <c r="B7" s="38">
        <f>'Parámetros'!$E$35</f>
        <v>0.8</v>
      </c>
    </row>
    <row r="8">
      <c r="A8" t="inlineStr">
        <is>
          <t>Litros de chocolate que rinde ese formato (lo dice el envase)</t>
        </is>
      </c>
      <c r="B8" s="15" t="n">
        <v>4.3</v>
      </c>
    </row>
    <row r="9">
      <c r="A9" t="inlineStr">
        <is>
          <t>Kilos de preparado por litro de chocolate</t>
        </is>
      </c>
      <c r="B9" s="24">
        <f>IFERROR(B7/B8,"")</f>
        <v>0.186046511627907</v>
      </c>
    </row>
    <row r="10">
      <c r="A10" t="inlineStr">
        <is>
          <t>Coste del preparado por litro de chocolate (EUR)</t>
        </is>
      </c>
      <c r="B10" s="25">
        <f>IFERROR(B9*B6,"")</f>
        <v>1.3372093023255816</v>
      </c>
    </row>
    <row r="11">
      <c r="A11" t="inlineStr">
        <is>
          <t>Leche, litro por litro de chocolate (EUR/L)</t>
        </is>
      </c>
      <c r="B11" s="25">
        <f>'Parámetros'!$G$41</f>
        <v>0.85</v>
      </c>
    </row>
    <row r="12">
      <c r="A12" s="23" t="inlineStr">
        <is>
          <t>COSTE DEL CHOCOLATE POR LITRO (EUR)</t>
        </is>
      </c>
      <c r="B12" s="12">
        <f>B10+B11</f>
        <v>2.1872093023255816</v>
      </c>
    </row>
    <row r="13">
      <c r="A13" t="inlineStr">
        <is>
          <t>Mililitros de una taza</t>
        </is>
      </c>
      <c r="B13" s="31" t="n">
        <v>200</v>
      </c>
      <c r="C13" s="10" t="inlineStr">
        <is>
          <t>supuesto declarado</t>
        </is>
      </c>
    </row>
    <row r="14">
      <c r="A14" t="inlineStr">
        <is>
          <t>Mililitros de media taza</t>
        </is>
      </c>
      <c r="B14" s="31" t="n">
        <v>120</v>
      </c>
      <c r="C14" s="10" t="inlineStr">
        <is>
          <t>supuesto declarado</t>
        </is>
      </c>
    </row>
    <row r="15">
      <c r="A15" s="23" t="inlineStr">
        <is>
          <t>COSTE DE UNA TAZA (EUR)</t>
        </is>
      </c>
      <c r="B15" s="12">
        <f>IFERROR(B13/1000*B12,"")</f>
        <v>0.43744186046511635</v>
      </c>
    </row>
    <row r="16">
      <c r="A16" t="inlineStr">
        <is>
          <t>Coste de media taza (EUR)</t>
        </is>
      </c>
      <c r="B16" s="26">
        <f>IFERROR(B14/1000*B12,"")</f>
        <v>0.26246511627906977</v>
      </c>
    </row>
    <row r="17"/>
    <row r="18"/>
    <row r="19">
      <c r="A19" s="4" t="inlineStr">
        <is>
          <t>2. Qué Dice la Etiqueta de Tu Preparado</t>
        </is>
      </c>
    </row>
    <row r="20" ht="36" customHeight="1">
      <c r="A20" t="inlineStr">
        <is>
          <t>Denominación que figura en la etiqueta del preparado (cópiala tal cual)</t>
        </is>
      </c>
      <c r="B20" s="5" t="inlineStr">
        <is>
          <t>Chocolate a la taza</t>
        </is>
      </c>
      <c r="C20" s="10" t="inlineStr">
        <is>
          <t>Supuesto del ejemplo: un preparado comercial cuya etiqueta dice «chocolate a la taza». Pon la de TU preparado.</t>
        </is>
      </c>
    </row>
    <row r="21">
      <c r="A21" t="inlineStr">
        <is>
          <t>Cacao seco total que declara la etiqueta</t>
        </is>
      </c>
      <c r="B21" s="9" t="n">
        <v>0.35</v>
      </c>
      <c r="C21" s="10" t="inlineStr">
        <is>
          <t>Lo que dice la etiqueta del preparado del ejemplo. Copia el de la etiqueta de TU preparado.</t>
        </is>
      </c>
    </row>
    <row r="22">
      <c r="A22" t="inlineStr">
        <is>
          <t>¿La etiqueta declara grasa vegetal distinta de la manteca de cacao?</t>
        </is>
      </c>
      <c r="B22" s="5" t="inlineStr">
        <is>
          <t>No</t>
        </is>
      </c>
    </row>
    <row r="23">
      <c r="A23" t="inlineStr">
        <is>
          <t>Cacao seco total mínimo del producto «chocolate a la taza»</t>
        </is>
      </c>
      <c r="B23" s="9" t="n">
        <v>0.35</v>
      </c>
    </row>
    <row r="24">
      <c r="A24" s="23" t="inlineStr">
        <is>
          <t>AVISO ANTES DE IMPRIMIR LA CARTA</t>
        </is>
      </c>
      <c r="B24" s="39" t="str">
        <f>IF(NOT(ISNUMBER(B21)),"",IF(OR(B21&lt;B23,B22="Sí"),"Consulta a tu servicio de consumo antes de imprimir la carta","Sin aviso: la carta usa la denominación de la etiqueta"))</f>
        <v>Sin aviso: la carta usa la denominación de la etiqueta</v>
      </c>
    </row>
    <row r="25" ht="54" customHeight="1">
      <c r="A25" t="inlineStr">
        <is>
          <t>Nombre con el que la taza va en tu carta</t>
        </is>
      </c>
      <c r="B25" s="40" t="str">
        <f>B20</f>
        <v>Chocolate a la taza</v>
      </c>
      <c r="C25" s="10" t="inlineStr">
        <is>
          <t>Es una interpretación, no una regla del Real Decreto: la carta repite la denominación de la etiqueta y, si hay aviso, lo consultas antes de imprimir. La decisión 6 es qué preparado compras y qué dice su etiqueta.</t>
        </is>
      </c>
    </row>
    <row r="26"/>
    <row r="27">
      <c r="A27" s="4" t="inlineStr">
        <is>
          <t>3. El IVA de la Taza para Llevar</t>
        </is>
      </c>
    </row>
    <row r="28">
      <c r="A28" t="inlineStr">
        <is>
          <t>IVA que aplicas a la taza para llevar (de «Parámetros»)</t>
        </is>
      </c>
      <c r="B28" s="41">
        <f>'Parámetros'!$B$7</f>
        <v>0.1</v>
      </c>
    </row>
    <row r="29" ht="36" customHeight="1">
      <c r="A29" s="10" t="inlineStr">
        <is>
          <t>Zona gris: El Molinete aplica el 10 % en celda verde. Consulta a tu asesor: con agua y un preparado azucarado podría ser el 21 %. Se cambia en «Parámetros», en una sola celda.</t>
        </is>
      </c>
    </row>
    <row r="30"/>
    <row r="31">
      <c r="A31" s="4" t="inlineStr">
        <is>
          <t>4. Las Tazas de la Carta</t>
        </is>
      </c>
    </row>
    <row r="32" ht="44" customHeight="1">
      <c r="A32" s="19" t="inlineStr">
        <is>
          <t>Referencia</t>
        </is>
      </c>
      <c r="B32" s="19" t="inlineStr">
        <is>
          <t>PVP con IVA (EUR)</t>
        </is>
      </c>
      <c r="C32" s="19" t="inlineStr">
        <is>
          <t>Ingreso medio SIN IVA (EUR)</t>
        </is>
      </c>
      <c r="D32" s="19" t="inlineStr">
        <is>
          <t>Materia media (EUR)</t>
        </is>
      </c>
      <c r="E32" s="19" t="inlineStr">
        <is>
          <t>Margen por unidad (EUR)</t>
        </is>
      </c>
      <c r="F32" s="19" t="inlineStr">
        <is>
          <t>Margen sobre materia</t>
        </is>
      </c>
      <c r="G32" s="19" t="inlineStr">
        <is>
          <t>Nota</t>
        </is>
      </c>
    </row>
    <row r="33" ht="30" customHeight="1">
      <c r="A33" s="6" t="inlineStr">
        <is>
          <t>CT1 · Chocolate a la taza en barra</t>
        </is>
      </c>
      <c r="B33" s="37">
        <f>'Mix y Ticket Canal y Temporada'!$D$26</f>
        <v>2.0</v>
      </c>
      <c r="C33" s="25">
        <f>'Mix y Ticket Canal y Temporada'!$O$26</f>
        <v>1.8181818181818181</v>
      </c>
      <c r="D33" s="25">
        <f>'Mix y Ticket Canal y Temporada'!$R$26</f>
        <v>0.43744186046511635</v>
      </c>
      <c r="E33" s="26">
        <f>IFERROR(C33-D33,"")</f>
        <v>1.3807399577167017</v>
      </c>
      <c r="F33" s="20">
        <f>IFERROR(1-D33/C33,"")</f>
        <v>0.759406976744186</v>
      </c>
      <c r="G33" s="10" t="inlineStr">
        <is>
          <t>Precio de La Churrería de Granada (2026). La denominación de la carta es la de la etiqueta del preparado.</t>
        </is>
      </c>
    </row>
    <row r="34" ht="30" customHeight="1">
      <c r="A34" s="6" t="inlineStr">
        <is>
          <t>CT2 · Chocolate a la taza en terraza</t>
        </is>
      </c>
      <c r="B34" s="37">
        <f>'Mix y Ticket Canal y Temporada'!$D$27</f>
        <v>2.5</v>
      </c>
      <c r="C34" s="25">
        <f>'Mix y Ticket Canal y Temporada'!$O$27</f>
        <v>2.2727272727272725</v>
      </c>
      <c r="D34" s="25">
        <f>'Mix y Ticket Canal y Temporada'!$R$27</f>
        <v>0.43744186046511635</v>
      </c>
      <c r="E34" s="26">
        <f>IFERROR(C34-D34,"")</f>
        <v>1.8352854122621562</v>
      </c>
      <c r="F34" s="20">
        <f>IFERROR(1-D34/C34,"")</f>
        <v>0.8075255813953488</v>
      </c>
      <c r="G34" s="10" t="inlineStr">
        <is>
          <t>Precio de La Churrería de Granada (2026).</t>
        </is>
      </c>
    </row>
    <row r="35" ht="30" customHeight="1">
      <c r="A35" s="6" t="inlineStr">
        <is>
          <t>CT3 · Chocolate con churros (taza y ración de 6)</t>
        </is>
      </c>
      <c r="B35" s="37">
        <f>'Mix y Ticket Canal y Temporada'!$D$28</f>
        <v>3.8</v>
      </c>
      <c r="C35" s="25">
        <f>'Mix y Ticket Canal y Temporada'!$O$28</f>
        <v>3.454545454545454</v>
      </c>
      <c r="D35" s="25">
        <f>'Mix y Ticket Canal y Temporada'!$R$28</f>
        <v>0.5318134851790751</v>
      </c>
      <c r="E35" s="26">
        <f>IFERROR(C35-D35,"")</f>
        <v>2.922731969366379</v>
      </c>
      <c r="F35" s="20">
        <f>IFERROR(1-D35/C35,"")</f>
        <v>0.846053991132373</v>
      </c>
      <c r="G35" s="10" t="inlineStr">
        <is>
          <t>Supuesto dentro del rango de 3,50-4 € con chocolate que publica CHS-32 (genérico de un proveedor de TPV).</t>
        </is>
      </c>
    </row>
    <row r="36" ht="30" customHeight="1">
      <c r="A36" s="6" t="inlineStr">
        <is>
          <t>CT4 · Chocolate a la taza para llevar</t>
        </is>
      </c>
      <c r="B36" s="37">
        <f>'Mix y Ticket Canal y Temporada'!$D$29</f>
        <v>2.2</v>
      </c>
      <c r="C36" s="25">
        <f>'Mix y Ticket Canal y Temporada'!$O$29</f>
        <v>2.090909090909091</v>
      </c>
      <c r="D36" s="25">
        <f>'Mix y Ticket Canal y Temporada'!$R$29</f>
        <v>0.5174418604651163</v>
      </c>
      <c r="E36" s="26">
        <f>IFERROR(C36-D36,"")</f>
        <v>1.5734672304439745</v>
      </c>
      <c r="F36" s="20">
        <f>IFERROR(1-D36/C36,"")</f>
        <v>0.7525278058645095</v>
      </c>
      <c r="G36" s="10" t="inlineStr">
        <is>
          <t>Su IVA es la celda verde del 10 % con aviso; el vaso se cobra aparte.</t>
        </is>
      </c>
    </row>
    <row r="37" ht="30" customHeight="1">
      <c r="A37" s="6" t="inlineStr">
        <is>
          <t>CT5 · Media taza de chocolate</t>
        </is>
      </c>
      <c r="B37" s="37">
        <f>'Mix y Ticket Canal y Temporada'!$D$30</f>
        <v>1.3</v>
      </c>
      <c r="C37" s="25">
        <f>'Mix y Ticket Canal y Temporada'!$O$30</f>
        <v>1.1818181818181817</v>
      </c>
      <c r="D37" s="25">
        <f>'Mix y Ticket Canal y Temporada'!$R$30</f>
        <v>0.26246511627906977</v>
      </c>
      <c r="E37" s="26">
        <f>IFERROR(C37-D37,"")</f>
        <v>0.9193530655391119</v>
      </c>
      <c r="F37" s="20">
        <f>IFERROR(1-D37/C37,"")</f>
        <v>0.7779141323792487</v>
      </c>
      <c r="G37" s="10" t="inlineStr"/>
    </row>
    <row r="38"/>
    <row r="39"/>
    <row r="40"/>
    <row r="41">
      <c r="A41" s="22" t="inlineStr">
        <is>
          <t>Listas de validación (no las borres: las usan los desplegables)</t>
        </is>
      </c>
    </row>
    <row r="42">
      <c r="A42" s="23" t="inlineStr">
        <is>
          <t>Sí o no</t>
        </is>
      </c>
    </row>
    <row r="43">
      <c r="A43" t="inlineStr">
        <is>
          <t>Sí</t>
        </is>
      </c>
    </row>
    <row r="44">
      <c r="A44" t="inlineStr">
        <is>
          <t>No</t>
        </is>
      </c>
    </row>
    <row r="45"/>
    <row r="46">
      <c r="A46"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5">
    <mergeCell ref="B24:G24"/>
    <mergeCell ref="C21:G21"/>
    <mergeCell ref="C20:G20"/>
    <mergeCell ref="C25:G25"/>
    <mergeCell ref="A29:G29"/>
  </mergeCells>
  <conditionalFormatting sqref="B24">
    <cfRule type="expression" priority="1" dxfId="0" stopIfTrue="1">
      <formula>=LEFT($B$24,8)="Consulta"</formula>
    </cfRule>
  </conditionalFormatting>
  <dataValidations count="6">
    <dataValidation sqref="B8" showDropDown="0" showInputMessage="0" showErrorMessage="1" allowBlank="1" errorTitle="Importe no válido" error="Escribe un número mayor o igual que 0." type="decimal" operator="greaterThanOrEqual">
      <formula1>0</formula1>
    </dataValidation>
    <dataValidation sqref="B13" showDropDown="0" showInputMessage="0" showErrorMessage="1" allowBlank="1" errorTitle="Importe no válido" error="Escribe un número mayor o igual que 0." type="decimal" operator="greaterThanOrEqual">
      <formula1>0</formula1>
    </dataValidation>
    <dataValidation sqref="B14" showDropDown="0" showInputMessage="0" showErrorMessage="1" allowBlank="1" errorTitle="Importe no válido" error="Escribe un número mayor o igual que 0." type="decimal" operator="greaterThanOrEqual">
      <formula1>0</formula1>
    </dataValidation>
    <dataValidation sqref="B21"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23"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22" showDropDown="0" showInputMessage="0" showErrorMessage="1" allowBlank="0" errorTitle="Grasa vegetal" error="Elige «Sí» o «No», según la etiqueta." type="list">
      <formula1>=$A$43:$A$44</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M17"/>
  <sheetViews>
    <sheetView workbookViewId="0">
      <selection activeCell="A1" sqref="A1"/>
    </sheetView>
  </sheetViews>
  <sheetFormatPr baseColWidth="8" defaultRowHeight="15"/>
  <cols>
    <col width="56" customWidth="1" min="1" max="1"/>
    <col width="15" customWidth="1" min="2" max="2"/>
    <col width="13" customWidth="1" min="3" max="3"/>
    <col width="70" customWidth="1" min="4" max="4"/>
    <col width="40" customWidth="1" min="11" max="11"/>
    <col width="14" customWidth="1" min="12" max="12"/>
    <col width="48" customWidth="1" min="13" max="13"/>
  </cols>
  <sheetData>
    <row r="1">
      <c r="A1" s="1" t="inlineStr">
        <is>
          <t>Coste Hora</t>
        </is>
      </c>
    </row>
    <row r="2">
      <c r="A2" s="2" t="inlineStr">
        <is>
          <t>AI Chef Pro · aichef.pro — Cómo Montar una Churrería-Chocolatería</t>
        </is>
      </c>
    </row>
    <row r="3">
      <c r="A3" s="3" t="inlineStr">
        <is>
          <t>El coste de empresa de una hora de tu plantilla y la mano de obra que lleva cada ración. La plantilla y el convenio viven en el libro 8.</t>
        </is>
      </c>
    </row>
    <row r="4">
      <c r="A4" s="4" t="inlineStr">
        <is>
          <t>La Hora y la Ración</t>
        </is>
      </c>
      <c r="K4" s="4" t="inlineStr">
        <is>
          <t>Lo que Copian Otros Libros (No Muevas Estas Celdas)</t>
        </is>
      </c>
    </row>
    <row r="5" ht="66" customHeight="1">
      <c r="A5" s="42" t="inlineStr">
        <is>
          <t>COSTE HORA DE MANO DE OBRA (coste de empresa por hora contratada)</t>
        </is>
      </c>
      <c r="B5" s="18" t="n">
        <v>13.24384288441323</v>
      </c>
      <c r="C5" t="inlineStr">
        <is>
          <t>EUR/h</t>
        </is>
      </c>
      <c r="D5" s="10" t="inlineStr">
        <is>
          <t>Supuesto calculado con la plantilla de El Molinete (titular, dos churreros, un camarero y el medio refuerzo; convenio de ejemplo con tablas de 2025, suelo del SMI 2026 y Seguridad Social de empresa). Este libro va antes que el 8 y lo SUPONE: cuando rellenes el 8, su fila de CUADRE compara este número con el de tu plantilla.</t>
        </is>
      </c>
      <c r="K5" s="11" t="inlineStr">
        <is>
          <t>Coste hora de mano de obra, EUR/h</t>
        </is>
      </c>
      <c r="L5" s="43">
        <f>B5</f>
        <v>13.24384288441323</v>
      </c>
      <c r="M5" s="10" t="inlineStr">
        <is>
          <t>Lo copia: libro 5 (temporada-franjas-y-ferias.xlsx, hoja Parámetros, X5); libro 8 (turnos-plantilla-y-madrugada.xlsx, hoja Parámetros, X8)</t>
        </is>
      </c>
    </row>
    <row r="6" ht="44" customHeight="1">
      <c r="A6" s="6" t="inlineStr">
        <is>
          <t>Minutos de mano de obra por ración</t>
        </is>
      </c>
      <c r="B6" s="16" t="n">
        <v>4.474860335195531</v>
      </c>
      <c r="C6" t="inlineStr">
        <is>
          <t>min/ración</t>
        </is>
      </c>
      <c r="D6" s="10" t="inlineStr">
        <is>
          <t>Supuesto calculado: las horas contratadas de la plantilla al año, por 60, entre las raciones del año de El Molinete. Con tus números: horas de tu plantilla (libro 8) por 60 entre tus raciones del año (libro 5).</t>
        </is>
      </c>
    </row>
    <row r="7">
      <c r="A7" s="27" t="inlineStr">
        <is>
          <t>Raciones por hora de mano de obra</t>
        </is>
      </c>
      <c r="B7" s="28">
        <f>IFERROR(60/B6,"")</f>
        <v>13.40823970037453</v>
      </c>
      <c r="C7" t="inlineStr">
        <is>
          <t>raciones/h</t>
        </is>
      </c>
    </row>
    <row r="8">
      <c r="A8" s="23" t="inlineStr">
        <is>
          <t>COSTE DE MANO DE OBRA POR RACIÓN</t>
        </is>
      </c>
      <c r="B8" s="12">
        <f>IFERROR(B5*B6/60,"")</f>
        <v>0.9877391201503724</v>
      </c>
      <c r="C8" t="inlineStr">
        <is>
          <t>EUR/ración</t>
        </is>
      </c>
    </row>
    <row r="9">
      <c r="A9" s="27" t="inlineStr">
        <is>
          <t>Ticket SIN IVA por ración (mix de invierno)</t>
        </is>
      </c>
      <c r="B9" s="29">
        <f>'Mix y Ticket Canal y Temporada'!$D$6</f>
        <v>2.1613636363636357</v>
      </c>
      <c r="C9" t="inlineStr">
        <is>
          <t>EUR/ración</t>
        </is>
      </c>
    </row>
    <row r="10">
      <c r="A10" s="27" t="inlineStr">
        <is>
          <t>Peso de la mano de obra sobre el ticket</t>
        </is>
      </c>
      <c r="B10" s="44">
        <f>IFERROR(B8/B9,"")</f>
        <v>0.45699812078460983</v>
      </c>
      <c r="C10" t="inlineStr"/>
    </row>
    <row r="11">
      <c r="A11" s="4" t="inlineStr">
        <is>
          <t>Lo que Vale un Minuto</t>
        </is>
      </c>
    </row>
    <row r="12">
      <c r="A12" t="inlineStr">
        <is>
          <t>Coste de un minuto de mano de obra (EUR)</t>
        </is>
      </c>
      <c r="B12" s="25">
        <f>IFERROR(B5/60,"")</f>
        <v>0.2207307147402205</v>
      </c>
    </row>
    <row r="13">
      <c r="A13" t="inlineStr">
        <is>
          <t>Mano de obra cada 100 raciones (EUR)</t>
        </is>
      </c>
      <c r="B13" s="45">
        <f>IFERROR(B8*100,"")</f>
        <v>98.77391201503724</v>
      </c>
    </row>
    <row r="14"/>
    <row r="15" ht="44" customHeight="1">
      <c r="A15" s="10" t="inlineStr">
        <is>
          <t>Por qué está aquí: el margen de la carta no paga sólo la materia. «Los Dos Márgenes» resta este coste para que veas el margen que te queda tras aceite y mano de obra. El libro 5 lo usa para valorar las horas de refuerzo, y el 8 lo cuadra con tu plantilla.</t>
        </is>
      </c>
    </row>
    <row r="16"/>
    <row r="17">
      <c r="A17"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15:D15"/>
  </mergeCells>
  <dataValidations count="2">
    <dataValidation sqref="B5" showDropDown="0" showInputMessage="0" showErrorMessage="1" allowBlank="1" errorTitle="Importe no válido" error="Escribe un número mayor o igual que 0." type="decimal" operator="greaterThanOrEqual">
      <formula1>0</formula1>
    </dataValidation>
    <dataValidation sqref="B6"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24"/>
  <sheetViews>
    <sheetView workbookViewId="0">
      <pane ySplit="6" topLeftCell="A7" activePane="bottomLeft" state="frozen"/>
      <selection pane="bottomLeft" activeCell="A1" sqref="A1"/>
    </sheetView>
  </sheetViews>
  <sheetFormatPr baseColWidth="8" defaultRowHeight="15"/>
  <cols>
    <col width="40" customWidth="1" min="1" max="1"/>
    <col width="9" customWidth="1" min="2" max="2"/>
    <col width="12" customWidth="1" min="3" max="3"/>
    <col width="13" customWidth="1" min="4" max="4"/>
    <col width="13" customWidth="1" min="5" max="5"/>
    <col width="13" customWidth="1" min="6" max="6"/>
    <col width="13" customWidth="1" min="7" max="7"/>
    <col width="13" customWidth="1" min="8" max="8"/>
    <col width="12" customWidth="1" min="9" max="9"/>
    <col width="15" customWidth="1" min="10" max="10"/>
    <col width="26" customWidth="1" min="11" max="11"/>
  </cols>
  <sheetData>
    <row r="1">
      <c r="A1" s="1" t="inlineStr">
        <is>
          <t>Ración, Docena o Kilo</t>
        </is>
      </c>
    </row>
    <row r="2">
      <c r="A2" s="2" t="inlineStr">
        <is>
          <t>AI Chef Pro · aichef.pro — Cómo Montar una Churrería-Chocolatería</t>
        </is>
      </c>
    </row>
    <row r="3">
      <c r="A3" s="3" t="inlineStr">
        <is>
          <t>Los formatos de churro y porra, comparados por los euros SIN IVA que deja cada kilo de masa que fríes (decisión 7).</t>
        </is>
      </c>
    </row>
    <row r="4"/>
    <row r="5"/>
    <row r="6" ht="52" customHeight="1">
      <c r="A6" s="19" t="inlineStr">
        <is>
          <t>Formato</t>
        </is>
      </c>
      <c r="B6" s="19" t="inlineStr">
        <is>
          <t>Piezas</t>
        </is>
      </c>
      <c r="C6" s="19" t="inlineStr">
        <is>
          <t>PVP con IVA (EUR)</t>
        </is>
      </c>
      <c r="D6" s="19" t="inlineStr">
        <is>
          <t>Precio por pieza con IVA (EUR)</t>
        </is>
      </c>
      <c r="E6" s="19" t="inlineStr">
        <is>
          <t>Canal que manda</t>
        </is>
      </c>
      <c r="F6" s="19" t="inlineStr">
        <is>
          <t>Ingreso SIN IVA (EUR)</t>
        </is>
      </c>
      <c r="G6" s="19" t="inlineStr">
        <is>
          <t>Materia, aceite incluido (EUR)</t>
        </is>
      </c>
      <c r="H6" s="19" t="inlineStr">
        <is>
          <t>Margen por unidad (EUR)</t>
        </is>
      </c>
      <c r="I6" s="19" t="inlineStr">
        <is>
          <t>Masa que se fríe (kg)</t>
        </is>
      </c>
      <c r="J6" s="19" t="inlineStr">
        <is>
          <t>EUR QUE DEJA CADA KG DE MASA</t>
        </is>
      </c>
      <c r="K6" s="19" t="inlineStr">
        <is>
          <t>Año y fuente del precio</t>
        </is>
      </c>
    </row>
    <row r="7" ht="28" customHeight="1">
      <c r="A7" s="6" t="inlineStr">
        <is>
          <t>CH1 · Ración de churros (6 uds)</t>
        </is>
      </c>
      <c r="B7" s="46">
        <f>'Escandallo por kg de Masa'!$C$35</f>
        <v>6.0</v>
      </c>
      <c r="C7" s="37">
        <f>'Mix y Ticket Canal y Temporada'!$D$17</f>
        <v>2.6</v>
      </c>
      <c r="D7" s="25">
        <f>IF(B7&gt;0,IFERROR(C7/B7,""),"")</f>
        <v>0.43333333333333335</v>
      </c>
      <c r="E7" t="str">
        <f>IF('Mix y Ticket Canal y Temporada'!$F$17&gt;=1-'Mix y Ticket Canal y Temporada'!$F$17,"Para llevar","Sala")</f>
        <v>Sala</v>
      </c>
      <c r="F7" s="25">
        <f>IF(E7="Para llevar",'Mix y Ticket Canal y Temporada'!$N$17,'Mix y Ticket Canal y Temporada'!$K$17)</f>
        <v>2.3636363636363633</v>
      </c>
      <c r="G7" s="25">
        <f>IF(E7="Para llevar",'Escandallo por kg de Masa'!$N$35,'Escandallo por kg de Masa'!$M$35)</f>
        <v>0.0943716247139588</v>
      </c>
      <c r="H7" s="25">
        <f>IFERROR(F7-G7,"")</f>
        <v>2.2692647389224043</v>
      </c>
      <c r="I7" s="24">
        <f>'Escandallo por kg de Masa'!$G$35</f>
        <v>0.12631578947368421</v>
      </c>
      <c r="J7" s="43">
        <f>IFERROR(H7/I7,"")</f>
        <v>17.965012516469034</v>
      </c>
      <c r="K7" t="str">
        <f>'Mix y Ticket Canal y Temporada'!$C$17&amp;" · "&amp;'Mix y Ticket Canal y Temporada'!$E$17</f>
        <v>2025 · CUS-17</v>
      </c>
    </row>
    <row r="8" ht="28" customHeight="1">
      <c r="A8" s="6" t="inlineStr">
        <is>
          <t>CH2 · Media ración de churros (3 uds)</t>
        </is>
      </c>
      <c r="B8" s="46">
        <f>'Escandallo por kg de Masa'!$C$36</f>
        <v>3.0</v>
      </c>
      <c r="C8" s="37">
        <f>'Mix y Ticket Canal y Temporada'!$D$18</f>
        <v>1.4</v>
      </c>
      <c r="D8" s="25">
        <f>IF(B8&gt;0,IFERROR(C8/B8,""),"")</f>
        <v>0.4666666666666666</v>
      </c>
      <c r="E8" t="str">
        <f>IF('Mix y Ticket Canal y Temporada'!$F$18&gt;=1-'Mix y Ticket Canal y Temporada'!$F$18,"Para llevar","Sala")</f>
        <v>Sala</v>
      </c>
      <c r="F8" s="25">
        <f>IF(E8="Para llevar",'Mix y Ticket Canal y Temporada'!$N$18,'Mix y Ticket Canal y Temporada'!$K$18)</f>
        <v>1.2727272727272725</v>
      </c>
      <c r="G8" s="25">
        <f>IF(E8="Para llevar",'Escandallo por kg de Masa'!$N$36,'Escandallo por kg de Masa'!$M$36)</f>
        <v>0.0471858123569794</v>
      </c>
      <c r="H8" s="25">
        <f>IFERROR(F8-G8,"")</f>
        <v>1.225541460370293</v>
      </c>
      <c r="I8" s="24">
        <f>'Escandallo por kg de Masa'!$G$36</f>
        <v>0.06315789473684211</v>
      </c>
      <c r="J8" s="43">
        <f>IFERROR(H8/I8,"")</f>
        <v>19.404406455862972</v>
      </c>
      <c r="K8" t="str">
        <f>'Mix y Ticket Canal y Temporada'!$C$18&amp;" · "&amp;'Mix y Ticket Canal y Temporada'!$E$18</f>
        <v>2025 · CUS-17</v>
      </c>
    </row>
    <row r="9" ht="28" customHeight="1">
      <c r="A9" s="6" t="inlineStr">
        <is>
          <t>CH3 · Ración de porras (3 uds)</t>
        </is>
      </c>
      <c r="B9" s="46">
        <f>'Escandallo por kg de Masa'!$C$37</f>
        <v>3.0</v>
      </c>
      <c r="C9" s="37">
        <f>'Mix y Ticket Canal y Temporada'!$D$19</f>
        <v>2.7</v>
      </c>
      <c r="D9" s="25">
        <f>IF(B9&gt;0,IFERROR(C9/B9,""),"")</f>
        <v>0.9</v>
      </c>
      <c r="E9" t="str">
        <f>IF('Mix y Ticket Canal y Temporada'!$F$19&gt;=1-'Mix y Ticket Canal y Temporada'!$F$19,"Para llevar","Sala")</f>
        <v>Sala</v>
      </c>
      <c r="F9" s="25">
        <f>IF(E9="Para llevar",'Mix y Ticket Canal y Temporada'!$N$19,'Mix y Ticket Canal y Temporada'!$K$19)</f>
        <v>2.4545454545454546</v>
      </c>
      <c r="G9" s="25">
        <f>IF(E9="Para llevar",'Escandallo por kg de Masa'!$N$37,'Escandallo por kg de Masa'!$M$37)</f>
        <v>0.14155743707093818</v>
      </c>
      <c r="H9" s="25">
        <f>IFERROR(F9-G9,"")</f>
        <v>2.3129880174745163</v>
      </c>
      <c r="I9" s="24">
        <f>'Escandallo por kg de Masa'!$G$37</f>
        <v>0.18947368421052632</v>
      </c>
      <c r="J9" s="43">
        <f>IFERROR(H9/I9,"")</f>
        <v>12.20743675889328</v>
      </c>
      <c r="K9" t="str">
        <f>'Mix y Ticket Canal y Temporada'!$C$19&amp;" · "&amp;'Mix y Ticket Canal y Temporada'!$E$19</f>
        <v>2026 · supuesto declarado</v>
      </c>
    </row>
    <row r="10" ht="28" customHeight="1">
      <c r="A10" s="6" t="inlineStr">
        <is>
          <t>CH4 · Churro suelto</t>
        </is>
      </c>
      <c r="B10" s="46">
        <f>'Escandallo por kg de Masa'!$C$38</f>
        <v>1.0</v>
      </c>
      <c r="C10" s="37">
        <f>'Mix y Ticket Canal y Temporada'!$D$20</f>
        <v>0.3</v>
      </c>
      <c r="D10" s="25">
        <f>IF(B10&gt;0,IFERROR(C10/B10,""),"")</f>
        <v>0.3</v>
      </c>
      <c r="E10" t="str">
        <f>IF('Mix y Ticket Canal y Temporada'!$F$20&gt;=1-'Mix y Ticket Canal y Temporada'!$F$20,"Para llevar","Sala")</f>
        <v>Para llevar</v>
      </c>
      <c r="F10" s="25">
        <f>IF(E10="Para llevar",'Mix y Ticket Canal y Temporada'!$N$20,'Mix y Ticket Canal y Temporada'!$K$20)</f>
        <v>0.2727272727272727</v>
      </c>
      <c r="G10" s="25">
        <f>IF(E10="Para llevar",'Escandallo por kg de Masa'!$N$38,'Escandallo por kg de Masa'!$M$38)</f>
        <v>0.03572860411899313</v>
      </c>
      <c r="H10" s="25">
        <f>IFERROR(F10-G10,"")</f>
        <v>0.23699866860827956</v>
      </c>
      <c r="I10" s="24">
        <f>'Escandallo por kg de Masa'!$G$38</f>
        <v>0.02105263157894737</v>
      </c>
      <c r="J10" s="43">
        <f>IFERROR(H10/I10,"")</f>
        <v>11.257436758893277</v>
      </c>
      <c r="K10" t="str">
        <f>'Mix y Ticket Canal y Temporada'!$C$20&amp;" · "&amp;'Mix y Ticket Canal y Temporada'!$E$20</f>
        <v>2026 · CUS-16</v>
      </c>
    </row>
    <row r="11" ht="28" customHeight="1">
      <c r="A11" s="6" t="inlineStr">
        <is>
          <t>CH5 · Porra suelta</t>
        </is>
      </c>
      <c r="B11" s="46">
        <f>'Escandallo por kg de Masa'!$C$39</f>
        <v>1.0</v>
      </c>
      <c r="C11" s="37">
        <f>'Mix y Ticket Canal y Temporada'!$D$21</f>
        <v>0.6</v>
      </c>
      <c r="D11" s="25">
        <f>IF(B11&gt;0,IFERROR(C11/B11,""),"")</f>
        <v>0.6</v>
      </c>
      <c r="E11" t="str">
        <f>IF('Mix y Ticket Canal y Temporada'!$F$21&gt;=1-'Mix y Ticket Canal y Temporada'!$F$21,"Para llevar","Sala")</f>
        <v>Para llevar</v>
      </c>
      <c r="F11" s="25">
        <f>IF(E11="Para llevar",'Mix y Ticket Canal y Temporada'!$N$21,'Mix y Ticket Canal y Temporada'!$K$21)</f>
        <v>0.5454545454545454</v>
      </c>
      <c r="G11" s="25">
        <f>IF(E11="Para llevar",'Escandallo por kg de Masa'!$N$39,'Escandallo por kg de Masa'!$M$39)</f>
        <v>0.0671858123569794</v>
      </c>
      <c r="H11" s="25">
        <f>IFERROR(F11-G11,"")</f>
        <v>0.478268733097566</v>
      </c>
      <c r="I11" s="24">
        <f>'Escandallo por kg de Masa'!$G$39</f>
        <v>0.06315789473684211</v>
      </c>
      <c r="J11" s="43">
        <f>IFERROR(H11/I11,"")</f>
        <v>7.5725882740447945</v>
      </c>
      <c r="K11" t="str">
        <f>'Mix y Ticket Canal y Temporada'!$C$21&amp;" · "&amp;'Mix y Ticket Canal y Temporada'!$E$21</f>
        <v>2026 · CUS-16</v>
      </c>
    </row>
    <row r="12" ht="28" customHeight="1">
      <c r="A12" s="6" t="inlineStr">
        <is>
          <t>CH6 · Docena de churros para llevar</t>
        </is>
      </c>
      <c r="B12" s="46">
        <f>'Escandallo por kg de Masa'!$C$40</f>
        <v>12.0</v>
      </c>
      <c r="C12" s="37">
        <f>'Mix y Ticket Canal y Temporada'!$D$22</f>
        <v>3.5</v>
      </c>
      <c r="D12" s="25">
        <f>IF(B12&gt;0,IFERROR(C12/B12,""),"")</f>
        <v>0.2916666666666667</v>
      </c>
      <c r="E12" t="str">
        <f>IF('Mix y Ticket Canal y Temporada'!$F$22&gt;=1-'Mix y Ticket Canal y Temporada'!$F$22,"Para llevar","Sala")</f>
        <v>Para llevar</v>
      </c>
      <c r="F12" s="25">
        <f>IF(E12="Para llevar",'Mix y Ticket Canal y Temporada'!$N$22,'Mix y Ticket Canal y Temporada'!$K$22)</f>
        <v>3.1818181818181817</v>
      </c>
      <c r="G12" s="25">
        <f>IF(E12="Para llevar",'Escandallo por kg de Masa'!$N$40,'Escandallo por kg de Masa'!$M$40)</f>
        <v>0.33874324942791756</v>
      </c>
      <c r="H12" s="25">
        <f>IFERROR(F12-G12,"")</f>
        <v>2.843074932390264</v>
      </c>
      <c r="I12" s="24">
        <f>'Escandallo por kg de Masa'!$G$40</f>
        <v>0.25263157894736843</v>
      </c>
      <c r="J12" s="43">
        <f>IFERROR(H12/I12,"")</f>
        <v>11.253838274044796</v>
      </c>
      <c r="K12" t="str">
        <f>'Mix y Ticket Canal y Temporada'!$C$22&amp;" · "&amp;'Mix y Ticket Canal y Temporada'!$E$22</f>
        <v>2026 · supuesto declarado</v>
      </c>
    </row>
    <row r="13" ht="28" customHeight="1">
      <c r="A13" s="6" t="inlineStr">
        <is>
          <t>CH7 · Kilo de churros para llevar</t>
        </is>
      </c>
      <c r="B13" s="46">
        <f>'Escandallo por kg de Masa'!$C$41</f>
        <v>0.0</v>
      </c>
      <c r="C13" s="37">
        <f>'Mix y Ticket Canal y Temporada'!$D$23</f>
        <v>10.0</v>
      </c>
      <c r="D13" s="25">
        <f>IF(B13&gt;0,IFERROR(C13/B13,""),"")</f>
        <v/>
      </c>
      <c r="E13" t="str">
        <f>IF('Mix y Ticket Canal y Temporada'!$F$23&gt;=1-'Mix y Ticket Canal y Temporada'!$F$23,"Para llevar","Sala")</f>
        <v>Para llevar</v>
      </c>
      <c r="F13" s="25">
        <f>IF(E13="Para llevar",'Mix y Ticket Canal y Temporada'!$N$23,'Mix y Ticket Canal y Temporada'!$K$23)</f>
        <v>9.09090909090909</v>
      </c>
      <c r="G13" s="25">
        <f>IF(E13="Para llevar",'Escandallo por kg de Masa'!$N$41,'Escandallo por kg de Masa'!$M$41)</f>
        <v>1.123811339944063</v>
      </c>
      <c r="H13" s="25">
        <f>IFERROR(F13-G13,"")</f>
        <v>7.967097750965027</v>
      </c>
      <c r="I13" s="24">
        <f>'Escandallo por kg de Masa'!$G$41</f>
        <v>1.169590643274854</v>
      </c>
      <c r="J13" s="43">
        <f>IFERROR(H13/I13,"")</f>
        <v>6.8118685770750975</v>
      </c>
      <c r="K13" t="str">
        <f>'Mix y Ticket Canal y Temporada'!$C$23&amp;" · "&amp;'Mix y Ticket Canal y Temporada'!$E$23</f>
        <v>2026 · supuesto declarado</v>
      </c>
    </row>
    <row r="14"/>
    <row r="15">
      <c r="A15" s="4" t="inlineStr">
        <is>
          <t>Lo que Dice la Comparación</t>
        </is>
      </c>
    </row>
    <row r="16">
      <c r="A16" s="6" t="inlineStr">
        <is>
          <t>El formato que más deja por kilo de masa</t>
        </is>
      </c>
      <c r="B16" s="39" t="str">
        <f>IFERROR(INDEX(A7:A13,MATCH(MAX(J7:J13),J7:J13,0)),"")</f>
        <v>CH2 · Media ración de churros (3 uds)</v>
      </c>
    </row>
    <row r="17">
      <c r="A17" s="6" t="inlineStr">
        <is>
          <t>Lo que deja ese formato por kilo de masa (EUR)</t>
        </is>
      </c>
      <c r="B17" s="43">
        <f>MAX(J7:J13)</f>
        <v>19.404406455862972</v>
      </c>
    </row>
    <row r="18">
      <c r="A18" s="6" t="inlineStr">
        <is>
          <t>El formato que menos deja por kilo de masa</t>
        </is>
      </c>
      <c r="B18" s="39" t="str">
        <f>IFERROR(INDEX(A7:A13,MATCH(MIN(J7:J13),J7:J13,0)),"")</f>
        <v>CH7 · Kilo de churros para llevar</v>
      </c>
    </row>
    <row r="19">
      <c r="A19" s="6" t="inlineStr">
        <is>
          <t>Lo que deja ese formato por kilo de masa (EUR)</t>
        </is>
      </c>
      <c r="B19" s="43">
        <f>MIN(J7:J13)</f>
        <v>6.8118685770750975</v>
      </c>
    </row>
    <row r="20">
      <c r="A20" s="6" t="inlineStr">
        <is>
          <t>Ración de churros frente al kilo: EUR más por kilo de masa</t>
        </is>
      </c>
      <c r="B20" s="43">
        <f>IFERROR(J7-J13,"")</f>
        <v>11.153143939393937</v>
      </c>
    </row>
    <row r="21"/>
    <row r="22" ht="66" customHeight="1">
      <c r="A22" s="10" t="inlineStr">
        <is>
          <t>El kilo es el formato con menos euros por kilo de masa porque se vende por peso frito, al precio más bajo por pieza. No es un error que lo tengas: es el que trae el pedido grande del domingo. Lo que esta hoja te dice es cuánto cuesta cada formato en masa, en aceite y en freidora, para que el precio de cada uno sea una decisión. El canal que manda es el de la mayor parte de sus ventas (hoja «Mix y Ticket Canal y Temporada»).</t>
        </is>
      </c>
    </row>
    <row r="23"/>
    <row r="24">
      <c r="A24"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6">
    <mergeCell ref="B17:E17"/>
    <mergeCell ref="B18:E18"/>
    <mergeCell ref="A22:K22"/>
    <mergeCell ref="B16:E16"/>
    <mergeCell ref="B19:E19"/>
    <mergeCell ref="B20:E20"/>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50"/>
  <sheetViews>
    <sheetView workbookViewId="0">
      <pane xSplit="1" ySplit="16" topLeftCell="B17"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22" customWidth="1" min="8" max="8"/>
    <col width="10" customWidth="1" min="9" max="9"/>
    <col width="10" customWidth="1" min="10" max="10"/>
    <col width="40" customWidth="1" min="11" max="11"/>
    <col width="14" customWidth="1" min="12" max="12"/>
    <col width="48" customWidth="1" min="13" max="13"/>
    <col width="13" customWidth="1" min="14" max="14"/>
    <col width="13" customWidth="1" min="15" max="15"/>
    <col width="13" customWidth="1" min="16" max="16"/>
    <col width="13" customWidth="1" min="17" max="17"/>
    <col width="13" customWidth="1" min="18" max="18"/>
    <col width="11" customWidth="1" min="19" max="19"/>
    <col width="11" customWidth="1" min="20" max="20"/>
    <col width="11" customWidth="1" min="21" max="21"/>
    <col width="11" customWidth="1" min="22" max="22"/>
    <col width="11" customWidth="1" min="23" max="23"/>
    <col width="11" customWidth="1" min="24" max="24"/>
    <col width="12" customWidth="1" min="25" max="25"/>
    <col width="22" customWidth="1" min="26" max="26"/>
  </cols>
  <sheetData>
    <row r="1">
      <c r="A1" s="1" t="inlineStr">
        <is>
          <t>Mix y Ticket Canal y Temporada</t>
        </is>
      </c>
    </row>
    <row r="2">
      <c r="A2" s="2" t="inlineStr">
        <is>
          <t>AI Chef Pro · aichef.pro — Cómo Montar una Churrería-Chocolatería</t>
        </is>
      </c>
    </row>
    <row r="3">
      <c r="A3" s="3" t="inlineStr">
        <is>
          <t>El PVP con IVA de cada referencia, la parte que se vende para llevar y dos mixes: invierno (septiembre a junio) y verano (julio y agosto). Cada mix suma 100.</t>
        </is>
      </c>
    </row>
    <row r="4">
      <c r="A4" s="4" t="inlineStr">
        <is>
          <t>Ticket y Materia por Canal y Temporada</t>
        </is>
      </c>
      <c r="K4" s="4" t="inlineStr">
        <is>
          <t>Lo que Copian Otros Libros (No Muevas Estas Celdas)</t>
        </is>
      </c>
    </row>
    <row r="5" ht="36" customHeight="1">
      <c r="A5" s="19" t="inlineStr">
        <is>
          <t>Por ración</t>
        </is>
      </c>
      <c r="B5" s="19" t="inlineStr">
        <is>
          <t>Invierno · sala</t>
        </is>
      </c>
      <c r="C5" s="19" t="inlineStr">
        <is>
          <t>Invierno · para llevar</t>
        </is>
      </c>
      <c r="D5" s="19" t="inlineStr">
        <is>
          <t>Invierno · total</t>
        </is>
      </c>
      <c r="E5" s="19" t="inlineStr">
        <is>
          <t>Verano · sala</t>
        </is>
      </c>
      <c r="F5" s="19" t="inlineStr">
        <is>
          <t>Verano · para llevar</t>
        </is>
      </c>
      <c r="G5" s="19" t="inlineStr">
        <is>
          <t>Verano · total</t>
        </is>
      </c>
      <c r="K5" s="11" t="inlineStr">
        <is>
          <t>Kilos de masa por ración media (mix de invierno, merma incluida)</t>
        </is>
      </c>
      <c r="L5" s="47">
        <f>D11</f>
        <v>0.09791812865497075</v>
      </c>
      <c r="M5" s="10" t="inlineStr">
        <is>
          <t>Lo copia: libro 1 (produccion-hora-punta-y-local.xlsx, hoja Parámetros, X1); libro 4 (aceite-de-fritura-coste-y-cambio.xlsx, hoja Parámetros, X2 bis)</t>
        </is>
      </c>
    </row>
    <row r="6" ht="30" customHeight="1">
      <c r="A6" s="6" t="inlineStr">
        <is>
          <t>Ticket SIN IVA por ración (EUR)</t>
        </is>
      </c>
      <c r="B6" s="12">
        <f>IFERROR(SUMPRODUCT(U17:U40,K17:K40)/U$41,"")</f>
        <v>2.1480519480519478</v>
      </c>
      <c r="C6" s="12">
        <f>IFERROR(SUMPRODUCT(V17:V40,N17:N40)/V$41,"")</f>
        <v>2.1924242424242424</v>
      </c>
      <c r="D6" s="12">
        <f>IFERROR(SUMPRODUCT(S17:S40,O17:O40)/S$41,"")</f>
        <v>2.1613636363636357</v>
      </c>
      <c r="E6" s="12">
        <f>IFERROR(SUMPRODUCT(W17:W40,K17:K40)/W$41,"")</f>
        <v>2.2277628913142933</v>
      </c>
      <c r="F6" s="12">
        <f>IFERROR(SUMPRODUCT(X17:X40,N17:N40)/X$41,"")</f>
        <v>2.1586804000597097</v>
      </c>
      <c r="G6" s="12">
        <f>IFERROR(SUMPRODUCT(T17:T40,O17:O40)/T$41,"")</f>
        <v>2.2067272727272726</v>
      </c>
      <c r="K6" s="11" t="inlineStr">
        <is>
          <t>Ticket SIN IVA por ración en verano (carta de verano), EUR</t>
        </is>
      </c>
      <c r="L6" s="12">
        <f>G6</f>
        <v>2.2067272727272726</v>
      </c>
      <c r="M6" s="10" t="inlineStr">
        <is>
          <t>Lo copia: libro 5 (temporada-franjas-y-ferias.xlsx, hoja Parámetros, X5)</t>
        </is>
      </c>
    </row>
    <row r="7" ht="30" customHeight="1">
      <c r="A7" s="6" t="inlineStr">
        <is>
          <t>Coste de materia por ración, aceite absorbido incluido (EUR)</t>
        </is>
      </c>
      <c r="B7" s="12">
        <f>IFERROR(SUMPRODUCT(U17:U40,P17:P40)/U$41,"")</f>
        <v>0.2731486410667721</v>
      </c>
      <c r="C7" s="12">
        <f>IFERROR(SUMPRODUCT(V17:V40,Q17:Q40)/V$41,"")</f>
        <v>0.30546292831280536</v>
      </c>
      <c r="D7" s="12">
        <f>IFERROR(SUMPRODUCT(S17:S40,R17:R40)/S$41,"")</f>
        <v>0.2828429272405821</v>
      </c>
      <c r="E7" s="12">
        <f>IFERROR(SUMPRODUCT(W17:W40,P17:P40)/W$41,"")</f>
        <v>0.34758110297306855</v>
      </c>
      <c r="F7" s="12">
        <f>IFERROR(SUMPRODUCT(X17:X40,Q17:Q40)/X$41,"")</f>
        <v>0.3834419045048011</v>
      </c>
      <c r="G7" s="12">
        <f>IFERROR(SUMPRODUCT(T17:T40,R17:R40)/T$41,"")</f>
        <v>0.3585007170394811</v>
      </c>
      <c r="K7" s="11" t="inlineStr">
        <is>
          <t>Coste de materia por ración en verano, aceite absorbido incluido, EUR</t>
        </is>
      </c>
      <c r="L7" s="12">
        <f>G7</f>
        <v>0.3585007170394811</v>
      </c>
      <c r="M7" s="10" t="inlineStr">
        <is>
          <t>Lo copia: libro 5 (temporada-franjas-y-ferias.xlsx, hoja Parámetros, X5)</t>
        </is>
      </c>
    </row>
    <row r="8" ht="30" customHeight="1">
      <c r="A8" s="6" t="inlineStr">
        <is>
          <t>Margen sobre materia por ración (EUR)</t>
        </is>
      </c>
      <c r="B8" s="25">
        <f>IFERROR(B6-B7,"")</f>
        <v>1.8749033069851757</v>
      </c>
      <c r="C8" s="25">
        <f>IFERROR(C6-C7,"")</f>
        <v>1.886961314111437</v>
      </c>
      <c r="D8" s="25">
        <f>IFERROR(D6-D7,"")</f>
        <v>1.8785207091230536</v>
      </c>
      <c r="E8" s="25">
        <f>IFERROR(E6-E7,"")</f>
        <v>1.8801817883412246</v>
      </c>
      <c r="F8" s="25">
        <f>IFERROR(F6-F7,"")</f>
        <v>1.7752384955549085</v>
      </c>
      <c r="G8" s="25">
        <f>IFERROR(G6-G7,"")</f>
        <v>1.8482265556877915</v>
      </c>
      <c r="K8" s="11" t="inlineStr">
        <is>
          <t>Coste de materia por ración para llevar (invierno), aceite absorbido incluido, EUR</t>
        </is>
      </c>
      <c r="L8" s="12">
        <f>C7</f>
        <v>0.30546292831280536</v>
      </c>
      <c r="M8" s="10" t="inlineStr">
        <is>
          <t>Lo copia: libro 5 (temporada-franjas-y-ferias.xlsx, hoja Parámetros, X5); libro 6 (plan-financiero-3-anos-churreria.xlsx, hoja 0. Supuestos, X11)</t>
        </is>
      </c>
    </row>
    <row r="9" ht="30" customHeight="1">
      <c r="A9" s="6" t="inlineStr">
        <is>
          <t>Margen sobre materia (%)</t>
        </is>
      </c>
      <c r="B9" s="20">
        <f>IFERROR(1-B7/B6,"")</f>
        <v>0.8728389034937034</v>
      </c>
      <c r="C9" s="20">
        <f>IFERROR(1-C7/C6,"")</f>
        <v>0.8606734397467508</v>
      </c>
      <c r="D9" s="20">
        <f>IFERROR(1-D7/D6,"")</f>
        <v>0.8691368159980482</v>
      </c>
      <c r="E9" s="20">
        <f>IFERROR(1-E7/E6,"")</f>
        <v>0.843977514695018</v>
      </c>
      <c r="F9" s="20">
        <f>IFERROR(1-F7/F6,"")</f>
        <v>0.8223720822710971</v>
      </c>
      <c r="G9" s="20">
        <f>IFERROR(1-G7/G6,"")</f>
        <v>0.8375419013168702</v>
      </c>
      <c r="K9" s="11" t="inlineStr">
        <is>
          <t>Coste de materia por ración en sala (invierno), aceite absorbido incluido, EUR</t>
        </is>
      </c>
      <c r="L9" s="12">
        <f>B7</f>
        <v>0.2731486410667721</v>
      </c>
      <c r="M9" s="10" t="inlineStr">
        <is>
          <t>Lo copia: libro 6 (plan-financiero-3-anos-churreria.xlsx, hoja 0. Supuestos, X11)</t>
        </is>
      </c>
    </row>
    <row r="10" ht="30" customHeight="1">
      <c r="A10" s="6" t="inlineStr">
        <is>
          <t>Parte de las raciones del canal</t>
        </is>
      </c>
      <c r="B10" s="20">
        <f>IFERROR(U$41/S$41,"")</f>
        <v>0.7</v>
      </c>
      <c r="C10" s="20">
        <f>IFERROR(V$41/S$41,"")</f>
        <v>0.3</v>
      </c>
      <c r="D10" s="20">
        <f>IFERROR(S$41/S$41,"")</f>
        <v>1.0</v>
      </c>
      <c r="E10" s="20">
        <f>IFERROR(W$41/T$41,"")</f>
        <v>0.6955</v>
      </c>
      <c r="F10" s="20">
        <f>IFERROR(X$41/T$41,"")</f>
        <v>0.30450000000000005</v>
      </c>
      <c r="G10" s="20">
        <f>IFERROR(T$41/T$41,"")</f>
        <v>1.0</v>
      </c>
      <c r="K10" s="11" t="inlineStr">
        <is>
          <t>Ticket SIN IVA por ración en sala (invierno), EUR</t>
        </is>
      </c>
      <c r="L10" s="12">
        <f>B6</f>
        <v>2.1480519480519478</v>
      </c>
      <c r="M10" s="10" t="inlineStr">
        <is>
          <t>Lo copia: libro 6 (plan-financiero-3-anos-churreria.xlsx, hoja 0. Supuestos, X11)</t>
        </is>
      </c>
    </row>
    <row r="11" ht="30" customHeight="1">
      <c r="A11" s="6" t="inlineStr">
        <is>
          <t>Kilos de masa que se fríen por ración media</t>
        </is>
      </c>
      <c r="B11" s="24">
        <f>IFERROR(SUMPRODUCT(U17:U40,Y17:Y40)/U$41,"")</f>
        <v>0.07082706766917293</v>
      </c>
      <c r="C11" s="24">
        <f>IFERROR(SUMPRODUCT(V17:V40,Y17:Y40)/V$41,"")</f>
        <v>0.16113060428849904</v>
      </c>
      <c r="D11" s="24">
        <f>IFERROR(SUMPRODUCT(S17:S40,Y17:Y40)/S$41,"")</f>
        <v>0.09791812865497075</v>
      </c>
      <c r="E11" s="24">
        <f>IFERROR(SUMPRODUCT(W17:W40,Y17:Y40)/W$41,"")</f>
        <v>0.03827613606265844</v>
      </c>
      <c r="F11" s="24">
        <f>IFERROR(SUMPRODUCT(X17:X40,Y17:Y40)/X$41,"")</f>
        <v>0.08234763153093463</v>
      </c>
      <c r="G11" s="24">
        <f>IFERROR(SUMPRODUCT(T17:T40,Y17:Y40)/T$41,"")</f>
        <v>0.05169590643274853</v>
      </c>
      <c r="K11" s="11" t="inlineStr">
        <is>
          <t>Ticket SIN IVA por ración para llevar (invierno), EUR</t>
        </is>
      </c>
      <c r="L11" s="12">
        <f>C6</f>
        <v>2.1924242424242424</v>
      </c>
      <c r="M11" s="10" t="inlineStr">
        <is>
          <t>Lo copia: libro 6 (plan-financiero-3-anos-churreria.xlsx, hoja 0. Supuestos, X11)</t>
        </is>
      </c>
    </row>
    <row r="12" ht="30" customHeight="1">
      <c r="A12" s="23" t="inlineStr">
        <is>
          <t>Comprobación: cada mix suma 100</t>
        </is>
      </c>
      <c r="B12" s="23" t="str">
        <f>IF(OR(NOT(ISNUMBER(S41)),NOT(ISNUMBER(T41))),"",IF(AND(ROUND(S41,6)=100,ROUND(T41,6)=100),"CUADRAN los dos mixes","REVISA: algún mix no suma 100"))</f>
        <v>CUADRAN los dos mixes</v>
      </c>
      <c r="K12" s="11" t="inlineStr">
        <is>
          <t>Raciones en sala, en fracción (0,70 = 70 %; el resto, para llevar)</t>
        </is>
      </c>
      <c r="L12" s="13">
        <f>B10</f>
        <v>0.7</v>
      </c>
      <c r="M12" s="10" t="inlineStr">
        <is>
          <t>Lo copia: libro 6 (plan-financiero-3-anos-churreria.xlsx, hoja 0. Supuestos, X11)</t>
        </is>
      </c>
    </row>
    <row r="13" ht="30" customHeight="1">
      <c r="A13" s="10" t="inlineStr">
        <is>
          <t>El ticket incluye, al llevar, el vaso cobrado aparte. La materia incluye el aceite absorbido y, al llevar, el envase. Las franjas del día no están aquí: viven en el libro 5.</t>
        </is>
      </c>
    </row>
    <row r="14"/>
    <row r="15"/>
    <row r="16" ht="62" customHeight="1">
      <c r="A16" s="19" t="inlineStr">
        <is>
          <t>Id y referencia</t>
        </is>
      </c>
      <c r="B16" s="19" t="inlineStr">
        <is>
          <t>Familia</t>
        </is>
      </c>
      <c r="C16" s="19" t="inlineStr">
        <is>
          <t>Año del precio</t>
        </is>
      </c>
      <c r="D16" s="19" t="inlineStr">
        <is>
          <t>PVP con IVA (EUR)</t>
        </is>
      </c>
      <c r="E16" s="19" t="inlineStr">
        <is>
          <t>Fuente del precio</t>
        </is>
      </c>
      <c r="F16" s="19" t="inlineStr">
        <is>
          <t>Parte que se vende para llevar</t>
        </is>
      </c>
      <c r="G16" s="19" t="inlineStr">
        <is>
          <t>¿Vaso cobrado aparte al llevar?</t>
        </is>
      </c>
      <c r="H16" s="19" t="inlineStr">
        <is>
          <t>IVA para llevar: categoría</t>
        </is>
      </c>
      <c r="I16" s="19" t="inlineStr">
        <is>
          <t>IVA en sala</t>
        </is>
      </c>
      <c r="J16" s="19" t="inlineStr">
        <is>
          <t>IVA para llevar</t>
        </is>
      </c>
      <c r="K16" s="19" t="inlineStr">
        <is>
          <t>PVP SIN IVA en sala (EUR)</t>
        </is>
      </c>
      <c r="L16" s="19" t="inlineStr">
        <is>
          <t>PVP SIN IVA para llevar (EUR)</t>
        </is>
      </c>
      <c r="M16" s="19" t="inlineStr">
        <is>
          <t>Vaso SIN IVA (EUR)</t>
        </is>
      </c>
      <c r="N16" s="19" t="inlineStr">
        <is>
          <t>Ingreso SIN IVA para llevar (EUR)</t>
        </is>
      </c>
      <c r="O16" s="19" t="inlineStr">
        <is>
          <t>Ingreso medio SIN IVA (EUR)</t>
        </is>
      </c>
      <c r="P16" s="19" t="inlineStr">
        <is>
          <t>Materia en sala (EUR)</t>
        </is>
      </c>
      <c r="Q16" s="19" t="inlineStr">
        <is>
          <t>Materia para llevar (EUR)</t>
        </is>
      </c>
      <c r="R16" s="19" t="inlineStr">
        <is>
          <t>Materia media (EUR)</t>
        </is>
      </c>
      <c r="S16" s="19" t="inlineStr">
        <is>
          <t>Mix de invierno (%)</t>
        </is>
      </c>
      <c r="T16" s="19" t="inlineStr">
        <is>
          <t>Mix de julio y agosto (%)</t>
        </is>
      </c>
      <c r="U16" s="19" t="inlineStr">
        <is>
          <t>Peso sala invierno</t>
        </is>
      </c>
      <c r="V16" s="19" t="inlineStr">
        <is>
          <t>Peso llevar invierno</t>
        </is>
      </c>
      <c r="W16" s="19" t="inlineStr">
        <is>
          <t>Peso sala verano</t>
        </is>
      </c>
      <c r="X16" s="19" t="inlineStr">
        <is>
          <t>Peso llevar verano</t>
        </is>
      </c>
      <c r="Y16" s="19" t="inlineStr">
        <is>
          <t>Masa que se fríe (kg)</t>
        </is>
      </c>
      <c r="Z16" s="19" t="inlineStr">
        <is>
          <t>Alérgenos de la receta del ejemplo</t>
        </is>
      </c>
    </row>
    <row r="17" ht="28" customHeight="1">
      <c r="A17" s="6" t="inlineStr">
        <is>
          <t>CH1 · Ración de churros (6 uds)</t>
        </is>
      </c>
      <c r="B17" s="6" t="inlineStr">
        <is>
          <t>Churros y porras</t>
        </is>
      </c>
      <c r="C17" s="48" t="n">
        <v>2025</v>
      </c>
      <c r="D17" s="18" t="n">
        <v>2.6</v>
      </c>
      <c r="E17" s="5" t="inlineStr">
        <is>
          <t>CUS-17</t>
        </is>
      </c>
      <c r="F17" s="9" t="n">
        <v>0.15</v>
      </c>
      <c r="G17" s="5" t="inlineStr">
        <is>
          <t>No</t>
        </is>
      </c>
      <c r="H17" s="6" t="inlineStr">
        <is>
          <t>Comida para llevar</t>
        </is>
      </c>
      <c r="I17" s="20">
        <f>'Parámetros'!$B$5</f>
        <v>0.1</v>
      </c>
      <c r="J17" s="20">
        <f>'Parámetros'!$B$6</f>
        <v>0.1</v>
      </c>
      <c r="K17" s="25">
        <f>IFERROR(D17/(1+I17),"")</f>
        <v>2.3636363636363633</v>
      </c>
      <c r="L17" s="25">
        <f>IFERROR(D17/(1+J17),"")</f>
        <v>2.3636363636363633</v>
      </c>
      <c r="M17" s="25">
        <f>IF(G17="Sí",IFERROR('Parámetros'!$B$25/(1+'Parámetros'!$B$8),""),0)</f>
        <v>0.0</v>
      </c>
      <c r="N17" s="25">
        <f>IFERROR(L17+M17,"")</f>
        <v>2.3636363636363633</v>
      </c>
      <c r="O17" s="26">
        <f>IFERROR((1-F17)*K17+F17*N17,"")</f>
        <v>2.3636363636363633</v>
      </c>
      <c r="P17" s="25">
        <f>'Escandallo por kg de Masa'!$M$35</f>
        <v>0.0943716247139588</v>
      </c>
      <c r="Q17" s="25">
        <f>'Escandallo por kg de Masa'!$N$35</f>
        <v>0.2443716247139588</v>
      </c>
      <c r="R17" s="26">
        <f>IFERROR((1-F17)*P17+F17*Q17,"")</f>
        <v>0.11687162471395879</v>
      </c>
      <c r="S17" s="15" t="n">
        <v>20</v>
      </c>
      <c r="T17" s="15" t="n">
        <v>12</v>
      </c>
      <c r="U17" s="38">
        <f>IFERROR(S17*(1-F17),"")</f>
        <v>17.0</v>
      </c>
      <c r="V17" s="38">
        <f>IFERROR(S17*F17,"")</f>
        <v>3.0</v>
      </c>
      <c r="W17" s="38">
        <f>IFERROR(T17*(1-F17),"")</f>
        <v>10.2</v>
      </c>
      <c r="X17" s="38">
        <f>IFERROR(T17*F17,"")</f>
        <v>1.7999999999999998</v>
      </c>
      <c r="Y17" s="24">
        <f>'Escandallo por kg de Masa'!$G$35</f>
        <v>0.12631578947368421</v>
      </c>
      <c r="Z17" s="6" t="inlineStr">
        <is>
          <t>gluten</t>
        </is>
      </c>
    </row>
    <row r="18" ht="28" customHeight="1">
      <c r="A18" s="6" t="inlineStr">
        <is>
          <t>CH2 · Media ración de churros (3 uds)</t>
        </is>
      </c>
      <c r="B18" s="6" t="inlineStr">
        <is>
          <t>Churros y porras</t>
        </is>
      </c>
      <c r="C18" s="48" t="n">
        <v>2025</v>
      </c>
      <c r="D18" s="18" t="n">
        <v>1.4</v>
      </c>
      <c r="E18" s="5" t="inlineStr">
        <is>
          <t>CUS-17</t>
        </is>
      </c>
      <c r="F18" s="9" t="n">
        <v>0</v>
      </c>
      <c r="G18" s="5" t="inlineStr">
        <is>
          <t>No</t>
        </is>
      </c>
      <c r="H18" s="6" t="inlineStr">
        <is>
          <t>Comida para llevar</t>
        </is>
      </c>
      <c r="I18" s="20">
        <f>'Parámetros'!$B$5</f>
        <v>0.1</v>
      </c>
      <c r="J18" s="20">
        <f>'Parámetros'!$B$6</f>
        <v>0.1</v>
      </c>
      <c r="K18" s="25">
        <f>IFERROR(D18/(1+I18),"")</f>
        <v>1.2727272727272725</v>
      </c>
      <c r="L18" s="25">
        <f>IFERROR(D18/(1+J18),"")</f>
        <v>1.2727272727272725</v>
      </c>
      <c r="M18" s="25">
        <f>IF(G18="Sí",IFERROR('Parámetros'!$B$25/(1+'Parámetros'!$B$8),""),0)</f>
        <v>0.0</v>
      </c>
      <c r="N18" s="25">
        <f>IFERROR(L18+M18,"")</f>
        <v>1.2727272727272725</v>
      </c>
      <c r="O18" s="26">
        <f>IFERROR((1-F18)*K18+F18*N18,"")</f>
        <v>1.2727272727272725</v>
      </c>
      <c r="P18" s="25">
        <f>'Escandallo por kg de Masa'!$M$36</f>
        <v>0.0471858123569794</v>
      </c>
      <c r="Q18" s="25">
        <f>'Escandallo por kg de Masa'!$N$36</f>
        <v>0.0471858123569794</v>
      </c>
      <c r="R18" s="26">
        <f>IFERROR((1-F18)*P18+F18*Q18,"")</f>
        <v>0.0471858123569794</v>
      </c>
      <c r="S18" s="15" t="n">
        <v>4</v>
      </c>
      <c r="T18" s="15" t="n">
        <v>3</v>
      </c>
      <c r="U18" s="38">
        <f>IFERROR(S18*(1-F18),"")</f>
        <v>4.0</v>
      </c>
      <c r="V18" s="38">
        <f>IFERROR(S18*F18,"")</f>
        <v>0.0</v>
      </c>
      <c r="W18" s="38">
        <f>IFERROR(T18*(1-F18),"")</f>
        <v>3.0</v>
      </c>
      <c r="X18" s="38">
        <f>IFERROR(T18*F18,"")</f>
        <v>0.0</v>
      </c>
      <c r="Y18" s="24">
        <f>'Escandallo por kg de Masa'!$G$36</f>
        <v>0.06315789473684211</v>
      </c>
      <c r="Z18" s="6" t="inlineStr">
        <is>
          <t>gluten</t>
        </is>
      </c>
    </row>
    <row r="19" ht="28" customHeight="1">
      <c r="A19" s="6" t="inlineStr">
        <is>
          <t>CH3 · Ración de porras (3 uds)</t>
        </is>
      </c>
      <c r="B19" s="6" t="inlineStr">
        <is>
          <t>Churros y porras</t>
        </is>
      </c>
      <c r="C19" s="48" t="n">
        <v>2026</v>
      </c>
      <c r="D19" s="18" t="n">
        <v>2.7</v>
      </c>
      <c r="E19" s="5" t="inlineStr">
        <is>
          <t>supuesto declarado</t>
        </is>
      </c>
      <c r="F19" s="9" t="n">
        <v>0.25</v>
      </c>
      <c r="G19" s="5" t="inlineStr">
        <is>
          <t>No</t>
        </is>
      </c>
      <c r="H19" s="6" t="inlineStr">
        <is>
          <t>Comida para llevar</t>
        </is>
      </c>
      <c r="I19" s="20">
        <f>'Parámetros'!$B$5</f>
        <v>0.1</v>
      </c>
      <c r="J19" s="20">
        <f>'Parámetros'!$B$6</f>
        <v>0.1</v>
      </c>
      <c r="K19" s="25">
        <f>IFERROR(D19/(1+I19),"")</f>
        <v>2.4545454545454546</v>
      </c>
      <c r="L19" s="25">
        <f>IFERROR(D19/(1+J19),"")</f>
        <v>2.4545454545454546</v>
      </c>
      <c r="M19" s="25">
        <f>IF(G19="Sí",IFERROR('Parámetros'!$B$25/(1+'Parámetros'!$B$8),""),0)</f>
        <v>0.0</v>
      </c>
      <c r="N19" s="25">
        <f>IFERROR(L19+M19,"")</f>
        <v>2.4545454545454546</v>
      </c>
      <c r="O19" s="26">
        <f>IFERROR((1-F19)*K19+F19*N19,"")</f>
        <v>2.4545454545454546</v>
      </c>
      <c r="P19" s="25">
        <f>'Escandallo por kg de Masa'!$M$37</f>
        <v>0.14155743707093818</v>
      </c>
      <c r="Q19" s="25">
        <f>'Escandallo por kg de Masa'!$N$37</f>
        <v>0.2915574370709382</v>
      </c>
      <c r="R19" s="26">
        <f>IFERROR((1-F19)*P19+F19*Q19,"")</f>
        <v>0.17905743707093819</v>
      </c>
      <c r="S19" s="15" t="n">
        <v>6</v>
      </c>
      <c r="T19" s="15" t="n">
        <v>3</v>
      </c>
      <c r="U19" s="38">
        <f>IFERROR(S19*(1-F19),"")</f>
        <v>4.5</v>
      </c>
      <c r="V19" s="38">
        <f>IFERROR(S19*F19,"")</f>
        <v>1.5</v>
      </c>
      <c r="W19" s="38">
        <f>IFERROR(T19*(1-F19),"")</f>
        <v>2.25</v>
      </c>
      <c r="X19" s="38">
        <f>IFERROR(T19*F19,"")</f>
        <v>0.75</v>
      </c>
      <c r="Y19" s="24">
        <f>'Escandallo por kg de Masa'!$G$37</f>
        <v>0.18947368421052632</v>
      </c>
      <c r="Z19" s="6" t="inlineStr">
        <is>
          <t>gluten</t>
        </is>
      </c>
    </row>
    <row r="20" ht="28" customHeight="1">
      <c r="A20" s="6" t="inlineStr">
        <is>
          <t>CH4 · Churro suelto</t>
        </is>
      </c>
      <c r="B20" s="6" t="inlineStr">
        <is>
          <t>Churros y porras</t>
        </is>
      </c>
      <c r="C20" s="48" t="n">
        <v>2026</v>
      </c>
      <c r="D20" s="18" t="n">
        <v>0.3</v>
      </c>
      <c r="E20" s="5" t="inlineStr">
        <is>
          <t>CUS-16</t>
        </is>
      </c>
      <c r="F20" s="9" t="n">
        <v>1</v>
      </c>
      <c r="G20" s="5" t="inlineStr">
        <is>
          <t>No</t>
        </is>
      </c>
      <c r="H20" s="6" t="inlineStr">
        <is>
          <t>Comida para llevar</t>
        </is>
      </c>
      <c r="I20" s="20">
        <f>'Parámetros'!$B$5</f>
        <v>0.1</v>
      </c>
      <c r="J20" s="20">
        <f>'Parámetros'!$B$6</f>
        <v>0.1</v>
      </c>
      <c r="K20" s="25">
        <f>IFERROR(D20/(1+I20),"")</f>
        <v>0.2727272727272727</v>
      </c>
      <c r="L20" s="25">
        <f>IFERROR(D20/(1+J20),"")</f>
        <v>0.2727272727272727</v>
      </c>
      <c r="M20" s="25">
        <f>IF(G20="Sí",IFERROR('Parámetros'!$B$25/(1+'Parámetros'!$B$8),""),0)</f>
        <v>0.0</v>
      </c>
      <c r="N20" s="25">
        <f>IFERROR(L20+M20,"")</f>
        <v>0.2727272727272727</v>
      </c>
      <c r="O20" s="26">
        <f>IFERROR((1-F20)*K20+F20*N20,"")</f>
        <v>0.2727272727272727</v>
      </c>
      <c r="P20" s="25">
        <f>'Escandallo por kg de Masa'!$M$38</f>
        <v>0.015728604118993135</v>
      </c>
      <c r="Q20" s="25">
        <f>'Escandallo por kg de Masa'!$N$38</f>
        <v>0.03572860411899313</v>
      </c>
      <c r="R20" s="26">
        <f>IFERROR((1-F20)*P20+F20*Q20,"")</f>
        <v>0.03572860411899313</v>
      </c>
      <c r="S20" s="15" t="n">
        <v>6</v>
      </c>
      <c r="T20" s="15" t="n">
        <v>4</v>
      </c>
      <c r="U20" s="38">
        <f>IFERROR(S20*(1-F20),"")</f>
        <v>0.0</v>
      </c>
      <c r="V20" s="38">
        <f>IFERROR(S20*F20,"")</f>
        <v>6.0</v>
      </c>
      <c r="W20" s="38">
        <f>IFERROR(T20*(1-F20),"")</f>
        <v>0.0</v>
      </c>
      <c r="X20" s="38">
        <f>IFERROR(T20*F20,"")</f>
        <v>4.0</v>
      </c>
      <c r="Y20" s="24">
        <f>'Escandallo por kg de Masa'!$G$38</f>
        <v>0.02105263157894737</v>
      </c>
      <c r="Z20" s="6" t="inlineStr">
        <is>
          <t>gluten</t>
        </is>
      </c>
    </row>
    <row r="21" ht="28" customHeight="1">
      <c r="A21" s="6" t="inlineStr">
        <is>
          <t>CH5 · Porra suelta</t>
        </is>
      </c>
      <c r="B21" s="6" t="inlineStr">
        <is>
          <t>Churros y porras</t>
        </is>
      </c>
      <c r="C21" s="48" t="n">
        <v>2026</v>
      </c>
      <c r="D21" s="18" t="n">
        <v>0.6</v>
      </c>
      <c r="E21" s="5" t="inlineStr">
        <is>
          <t>CUS-16</t>
        </is>
      </c>
      <c r="F21" s="9" t="n">
        <v>1</v>
      </c>
      <c r="G21" s="5" t="inlineStr">
        <is>
          <t>No</t>
        </is>
      </c>
      <c r="H21" s="6" t="inlineStr">
        <is>
          <t>Comida para llevar</t>
        </is>
      </c>
      <c r="I21" s="20">
        <f>'Parámetros'!$B$5</f>
        <v>0.1</v>
      </c>
      <c r="J21" s="20">
        <f>'Parámetros'!$B$6</f>
        <v>0.1</v>
      </c>
      <c r="K21" s="25">
        <f>IFERROR(D21/(1+I21),"")</f>
        <v>0.5454545454545454</v>
      </c>
      <c r="L21" s="25">
        <f>IFERROR(D21/(1+J21),"")</f>
        <v>0.5454545454545454</v>
      </c>
      <c r="M21" s="25">
        <f>IF(G21="Sí",IFERROR('Parámetros'!$B$25/(1+'Parámetros'!$B$8),""),0)</f>
        <v>0.0</v>
      </c>
      <c r="N21" s="25">
        <f>IFERROR(L21+M21,"")</f>
        <v>0.5454545454545454</v>
      </c>
      <c r="O21" s="26">
        <f>IFERROR((1-F21)*K21+F21*N21,"")</f>
        <v>0.5454545454545454</v>
      </c>
      <c r="P21" s="25">
        <f>'Escandallo por kg de Masa'!$M$39</f>
        <v>0.0471858123569794</v>
      </c>
      <c r="Q21" s="25">
        <f>'Escandallo por kg de Masa'!$N$39</f>
        <v>0.0671858123569794</v>
      </c>
      <c r="R21" s="26">
        <f>IFERROR((1-F21)*P21+F21*Q21,"")</f>
        <v>0.0671858123569794</v>
      </c>
      <c r="S21" s="15" t="n">
        <v>3</v>
      </c>
      <c r="T21" s="15" t="n">
        <v>2</v>
      </c>
      <c r="U21" s="38">
        <f>IFERROR(S21*(1-F21),"")</f>
        <v>0.0</v>
      </c>
      <c r="V21" s="38">
        <f>IFERROR(S21*F21,"")</f>
        <v>3.0</v>
      </c>
      <c r="W21" s="38">
        <f>IFERROR(T21*(1-F21),"")</f>
        <v>0.0</v>
      </c>
      <c r="X21" s="38">
        <f>IFERROR(T21*F21,"")</f>
        <v>2.0</v>
      </c>
      <c r="Y21" s="24">
        <f>'Escandallo por kg de Masa'!$G$39</f>
        <v>0.06315789473684211</v>
      </c>
      <c r="Z21" s="6" t="inlineStr">
        <is>
          <t>gluten</t>
        </is>
      </c>
    </row>
    <row r="22" ht="28" customHeight="1">
      <c r="A22" s="6" t="inlineStr">
        <is>
          <t>CH6 · Docena de churros para llevar</t>
        </is>
      </c>
      <c r="B22" s="6" t="inlineStr">
        <is>
          <t>Churros y porras</t>
        </is>
      </c>
      <c r="C22" s="48" t="n">
        <v>2026</v>
      </c>
      <c r="D22" s="18" t="n">
        <v>3.5</v>
      </c>
      <c r="E22" s="5" t="inlineStr">
        <is>
          <t>supuesto declarado</t>
        </is>
      </c>
      <c r="F22" s="9" t="n">
        <v>1</v>
      </c>
      <c r="G22" s="5" t="inlineStr">
        <is>
          <t>No</t>
        </is>
      </c>
      <c r="H22" s="6" t="inlineStr">
        <is>
          <t>Comida para llevar</t>
        </is>
      </c>
      <c r="I22" s="20">
        <f>'Parámetros'!$B$5</f>
        <v>0.1</v>
      </c>
      <c r="J22" s="20">
        <f>'Parámetros'!$B$6</f>
        <v>0.1</v>
      </c>
      <c r="K22" s="25">
        <f>IFERROR(D22/(1+I22),"")</f>
        <v>3.1818181818181817</v>
      </c>
      <c r="L22" s="25">
        <f>IFERROR(D22/(1+J22),"")</f>
        <v>3.1818181818181817</v>
      </c>
      <c r="M22" s="25">
        <f>IF(G22="Sí",IFERROR('Parámetros'!$B$25/(1+'Parámetros'!$B$8),""),0)</f>
        <v>0.0</v>
      </c>
      <c r="N22" s="25">
        <f>IFERROR(L22+M22,"")</f>
        <v>3.1818181818181817</v>
      </c>
      <c r="O22" s="26">
        <f>IFERROR((1-F22)*K22+F22*N22,"")</f>
        <v>3.1818181818181817</v>
      </c>
      <c r="P22" s="25">
        <f>'Escandallo por kg de Masa'!$M$40</f>
        <v>0.1887432494279176</v>
      </c>
      <c r="Q22" s="25">
        <f>'Escandallo por kg de Masa'!$N$40</f>
        <v>0.33874324942791756</v>
      </c>
      <c r="R22" s="26">
        <f>IFERROR((1-F22)*P22+F22*Q22,"")</f>
        <v>0.33874324942791756</v>
      </c>
      <c r="S22" s="15" t="n">
        <v>6</v>
      </c>
      <c r="T22" s="15" t="n">
        <v>3</v>
      </c>
      <c r="U22" s="38">
        <f>IFERROR(S22*(1-F22),"")</f>
        <v>0.0</v>
      </c>
      <c r="V22" s="38">
        <f>IFERROR(S22*F22,"")</f>
        <v>6.0</v>
      </c>
      <c r="W22" s="38">
        <f>IFERROR(T22*(1-F22),"")</f>
        <v>0.0</v>
      </c>
      <c r="X22" s="38">
        <f>IFERROR(T22*F22,"")</f>
        <v>3.0</v>
      </c>
      <c r="Y22" s="24">
        <f>'Escandallo por kg de Masa'!$G$40</f>
        <v>0.25263157894736843</v>
      </c>
      <c r="Z22" s="6" t="inlineStr">
        <is>
          <t>gluten</t>
        </is>
      </c>
    </row>
    <row r="23" ht="28" customHeight="1">
      <c r="A23" s="6" t="inlineStr">
        <is>
          <t>CH7 · Kilo de churros para llevar</t>
        </is>
      </c>
      <c r="B23" s="6" t="inlineStr">
        <is>
          <t>Churros y porras</t>
        </is>
      </c>
      <c r="C23" s="48" t="n">
        <v>2026</v>
      </c>
      <c r="D23" s="18" t="n">
        <v>10</v>
      </c>
      <c r="E23" s="5" t="inlineStr">
        <is>
          <t>supuesto declarado</t>
        </is>
      </c>
      <c r="F23" s="9" t="n">
        <v>1</v>
      </c>
      <c r="G23" s="5" t="inlineStr">
        <is>
          <t>No</t>
        </is>
      </c>
      <c r="H23" s="6" t="inlineStr">
        <is>
          <t>Comida para llevar</t>
        </is>
      </c>
      <c r="I23" s="20">
        <f>'Parámetros'!$B$5</f>
        <v>0.1</v>
      </c>
      <c r="J23" s="20">
        <f>'Parámetros'!$B$6</f>
        <v>0.1</v>
      </c>
      <c r="K23" s="25">
        <f>IFERROR(D23/(1+I23),"")</f>
        <v>9.09090909090909</v>
      </c>
      <c r="L23" s="25">
        <f>IFERROR(D23/(1+J23),"")</f>
        <v>9.09090909090909</v>
      </c>
      <c r="M23" s="25">
        <f>IF(G23="Sí",IFERROR('Parámetros'!$B$25/(1+'Parámetros'!$B$8),""),0)</f>
        <v>0.0</v>
      </c>
      <c r="N23" s="25">
        <f>IFERROR(L23+M23,"")</f>
        <v>9.09090909090909</v>
      </c>
      <c r="O23" s="26">
        <f>IFERROR((1-F23)*K23+F23*N23,"")</f>
        <v>9.09090909090909</v>
      </c>
      <c r="P23" s="25">
        <f>'Escandallo por kg de Masa'!$M$41</f>
        <v>0.873811339944063</v>
      </c>
      <c r="Q23" s="25">
        <f>'Escandallo por kg de Masa'!$N$41</f>
        <v>1.123811339944063</v>
      </c>
      <c r="R23" s="26">
        <f>IFERROR((1-F23)*P23+F23*Q23,"")</f>
        <v>1.123811339944063</v>
      </c>
      <c r="S23" s="15" t="n">
        <v>2</v>
      </c>
      <c r="T23" s="15" t="n">
        <v>1</v>
      </c>
      <c r="U23" s="38">
        <f>IFERROR(S23*(1-F23),"")</f>
        <v>0.0</v>
      </c>
      <c r="V23" s="38">
        <f>IFERROR(S23*F23,"")</f>
        <v>2.0</v>
      </c>
      <c r="W23" s="38">
        <f>IFERROR(T23*(1-F23),"")</f>
        <v>0.0</v>
      </c>
      <c r="X23" s="38">
        <f>IFERROR(T23*F23,"")</f>
        <v>1.0</v>
      </c>
      <c r="Y23" s="24">
        <f>'Escandallo por kg de Masa'!$G$41</f>
        <v>1.169590643274854</v>
      </c>
      <c r="Z23" s="6" t="inlineStr">
        <is>
          <t>gluten</t>
        </is>
      </c>
    </row>
    <row r="24" ht="28" customHeight="1">
      <c r="A24" s="6" t="inlineStr">
        <is>
          <t>RE1 · Churro relleno de chocolate (ud)</t>
        </is>
      </c>
      <c r="B24" s="6" t="inlineStr">
        <is>
          <t>Rellenos y especiales</t>
        </is>
      </c>
      <c r="C24" s="48" t="n">
        <v>2026</v>
      </c>
      <c r="D24" s="18" t="n">
        <v>1.2</v>
      </c>
      <c r="E24" s="5" t="inlineStr">
        <is>
          <t>supuesto declarado</t>
        </is>
      </c>
      <c r="F24" s="9" t="n">
        <v>0</v>
      </c>
      <c r="G24" s="5" t="inlineStr">
        <is>
          <t>No</t>
        </is>
      </c>
      <c r="H24" s="6" t="inlineStr">
        <is>
          <t>Comida para llevar</t>
        </is>
      </c>
      <c r="I24" s="20">
        <f>'Parámetros'!$B$5</f>
        <v>0.1</v>
      </c>
      <c r="J24" s="20">
        <f>'Parámetros'!$B$6</f>
        <v>0.1</v>
      </c>
      <c r="K24" s="25">
        <f>IFERROR(D24/(1+I24),"")</f>
        <v>1.0909090909090908</v>
      </c>
      <c r="L24" s="25">
        <f>IFERROR(D24/(1+J24),"")</f>
        <v>1.0909090909090908</v>
      </c>
      <c r="M24" s="25">
        <f>IF(G24="Sí",IFERROR('Parámetros'!$B$25/(1+'Parámetros'!$B$8),""),0)</f>
        <v>0.0</v>
      </c>
      <c r="N24" s="25">
        <f>IFERROR(L24+M24,"")</f>
        <v>1.0909090909090908</v>
      </c>
      <c r="O24" s="26">
        <f>IFERROR((1-F24)*K24+F24*N24,"")</f>
        <v>1.0909090909090908</v>
      </c>
      <c r="P24" s="25">
        <f>'Escandallo por kg de Masa'!$M$42</f>
        <v>0.17718581235697942</v>
      </c>
      <c r="Q24" s="25">
        <f>'Escandallo por kg de Masa'!$N$42</f>
        <v>0.17718581235697942</v>
      </c>
      <c r="R24" s="26">
        <f>IFERROR((1-F24)*P24+F24*Q24,"")</f>
        <v>0.17718581235697942</v>
      </c>
      <c r="S24" s="15" t="n">
        <v>3</v>
      </c>
      <c r="T24" s="15" t="n">
        <v>2</v>
      </c>
      <c r="U24" s="38">
        <f>IFERROR(S24*(1-F24),"")</f>
        <v>3.0</v>
      </c>
      <c r="V24" s="38">
        <f>IFERROR(S24*F24,"")</f>
        <v>0.0</v>
      </c>
      <c r="W24" s="38">
        <f>IFERROR(T24*(1-F24),"")</f>
        <v>2.0</v>
      </c>
      <c r="X24" s="38">
        <f>IFERROR(T24*F24,"")</f>
        <v>0.0</v>
      </c>
      <c r="Y24" s="24">
        <f>'Escandallo por kg de Masa'!$G$42</f>
        <v>0.06315789473684211</v>
      </c>
      <c r="Z24" s="6" t="inlineStr">
        <is>
          <t>gluten, leche, soja</t>
        </is>
      </c>
    </row>
    <row r="25" ht="28" customHeight="1">
      <c r="A25" s="6" t="inlineStr">
        <is>
          <t>RE2 · Ración de churros con cobertura de chocolate (6 uds)</t>
        </is>
      </c>
      <c r="B25" s="6" t="inlineStr">
        <is>
          <t>Rellenos y especiales</t>
        </is>
      </c>
      <c r="C25" s="48" t="n">
        <v>2026</v>
      </c>
      <c r="D25" s="18" t="n">
        <v>3.5</v>
      </c>
      <c r="E25" s="5" t="inlineStr">
        <is>
          <t>supuesto declarado</t>
        </is>
      </c>
      <c r="F25" s="9" t="n">
        <v>0</v>
      </c>
      <c r="G25" s="5" t="inlineStr">
        <is>
          <t>No</t>
        </is>
      </c>
      <c r="H25" s="6" t="inlineStr">
        <is>
          <t>Comida para llevar</t>
        </is>
      </c>
      <c r="I25" s="20">
        <f>'Parámetros'!$B$5</f>
        <v>0.1</v>
      </c>
      <c r="J25" s="20">
        <f>'Parámetros'!$B$6</f>
        <v>0.1</v>
      </c>
      <c r="K25" s="25">
        <f>IFERROR(D25/(1+I25),"")</f>
        <v>3.1818181818181817</v>
      </c>
      <c r="L25" s="25">
        <f>IFERROR(D25/(1+J25),"")</f>
        <v>3.1818181818181817</v>
      </c>
      <c r="M25" s="25">
        <f>IF(G25="Sí",IFERROR('Parámetros'!$B$25/(1+'Parámetros'!$B$8),""),0)</f>
        <v>0.0</v>
      </c>
      <c r="N25" s="25">
        <f>IFERROR(L25+M25,"")</f>
        <v>3.1818181818181817</v>
      </c>
      <c r="O25" s="26">
        <f>IFERROR((1-F25)*K25+F25*N25,"")</f>
        <v>3.1818181818181817</v>
      </c>
      <c r="P25" s="25">
        <f>'Escandallo por kg de Masa'!$M$43</f>
        <v>0.28937162471395883</v>
      </c>
      <c r="Q25" s="25">
        <f>'Escandallo por kg de Masa'!$N$43</f>
        <v>0.28937162471395883</v>
      </c>
      <c r="R25" s="26">
        <f>IFERROR((1-F25)*P25+F25*Q25,"")</f>
        <v>0.28937162471395883</v>
      </c>
      <c r="S25" s="15" t="n">
        <v>2</v>
      </c>
      <c r="T25" s="15" t="n">
        <v>1</v>
      </c>
      <c r="U25" s="38">
        <f>IFERROR(S25*(1-F25),"")</f>
        <v>2.0</v>
      </c>
      <c r="V25" s="38">
        <f>IFERROR(S25*F25,"")</f>
        <v>0.0</v>
      </c>
      <c r="W25" s="38">
        <f>IFERROR(T25*(1-F25),"")</f>
        <v>1.0</v>
      </c>
      <c r="X25" s="38">
        <f>IFERROR(T25*F25,"")</f>
        <v>0.0</v>
      </c>
      <c r="Y25" s="24">
        <f>'Escandallo por kg de Masa'!$G$43</f>
        <v>0.12631578947368421</v>
      </c>
      <c r="Z25" s="6" t="inlineStr">
        <is>
          <t>gluten, leche, soja</t>
        </is>
      </c>
    </row>
    <row r="26" ht="28" customHeight="1">
      <c r="A26" s="6" t="inlineStr">
        <is>
          <t>CT1 · Chocolate a la taza en barra</t>
        </is>
      </c>
      <c r="B26" s="6" t="inlineStr">
        <is>
          <t>Chocolate a la taza</t>
        </is>
      </c>
      <c r="C26" s="48" t="n">
        <v>2026</v>
      </c>
      <c r="D26" s="18" t="n">
        <v>2</v>
      </c>
      <c r="E26" s="5" t="inlineStr">
        <is>
          <t>CUS-15</t>
        </is>
      </c>
      <c r="F26" s="9" t="n">
        <v>0</v>
      </c>
      <c r="G26" s="5" t="inlineStr">
        <is>
          <t>No</t>
        </is>
      </c>
      <c r="H26" s="6" t="inlineStr">
        <is>
          <t>Chocolate para llevar (zona gris)</t>
        </is>
      </c>
      <c r="I26" s="20">
        <f>'Parámetros'!$B$5</f>
        <v>0.1</v>
      </c>
      <c r="J26" s="20">
        <f>'Parámetros'!$B$7</f>
        <v>0.1</v>
      </c>
      <c r="K26" s="25">
        <f>IFERROR(D26/(1+I26),"")</f>
        <v>1.8181818181818181</v>
      </c>
      <c r="L26" s="25">
        <f>IFERROR(D26/(1+J26),"")</f>
        <v>1.8181818181818181</v>
      </c>
      <c r="M26" s="25">
        <f>IF(G26="Sí",IFERROR('Parámetros'!$B$25/(1+'Parámetros'!$B$8),""),0)</f>
        <v>0.0</v>
      </c>
      <c r="N26" s="25">
        <f>IFERROR(L26+M26,"")</f>
        <v>1.8181818181818181</v>
      </c>
      <c r="O26" s="26">
        <f>IFERROR((1-F26)*K26+F26*N26,"")</f>
        <v>1.8181818181818181</v>
      </c>
      <c r="P26" s="25">
        <f>'Escandallo por kg de Masa'!$M$44</f>
        <v>0.43744186046511635</v>
      </c>
      <c r="Q26" s="25">
        <f>'Escandallo por kg de Masa'!$N$44</f>
        <v>0.43744186046511635</v>
      </c>
      <c r="R26" s="26">
        <f>IFERROR((1-F26)*P26+F26*Q26,"")</f>
        <v>0.43744186046511635</v>
      </c>
      <c r="S26" s="15" t="n">
        <v>12</v>
      </c>
      <c r="T26" s="15" t="n">
        <v>4</v>
      </c>
      <c r="U26" s="38">
        <f>IFERROR(S26*(1-F26),"")</f>
        <v>12.0</v>
      </c>
      <c r="V26" s="38">
        <f>IFERROR(S26*F26,"")</f>
        <v>0.0</v>
      </c>
      <c r="W26" s="38">
        <f>IFERROR(T26*(1-F26),"")</f>
        <v>4.0</v>
      </c>
      <c r="X26" s="38">
        <f>IFERROR(T26*F26,"")</f>
        <v>0.0</v>
      </c>
      <c r="Y26" s="24">
        <f>'Escandallo por kg de Masa'!$G$44</f>
        <v>0.0</v>
      </c>
      <c r="Z26" s="6" t="inlineStr">
        <is>
          <t>leche</t>
        </is>
      </c>
    </row>
    <row r="27" ht="28" customHeight="1">
      <c r="A27" s="6" t="inlineStr">
        <is>
          <t>CT2 · Chocolate a la taza en terraza</t>
        </is>
      </c>
      <c r="B27" s="6" t="inlineStr">
        <is>
          <t>Chocolate a la taza</t>
        </is>
      </c>
      <c r="C27" s="48" t="n">
        <v>2026</v>
      </c>
      <c r="D27" s="18" t="n">
        <v>2.5</v>
      </c>
      <c r="E27" s="5" t="inlineStr">
        <is>
          <t>CUS-15</t>
        </is>
      </c>
      <c r="F27" s="9" t="n">
        <v>0</v>
      </c>
      <c r="G27" s="5" t="inlineStr">
        <is>
          <t>No</t>
        </is>
      </c>
      <c r="H27" s="6" t="inlineStr">
        <is>
          <t>Chocolate para llevar (zona gris)</t>
        </is>
      </c>
      <c r="I27" s="20">
        <f>'Parámetros'!$B$5</f>
        <v>0.1</v>
      </c>
      <c r="J27" s="20">
        <f>'Parámetros'!$B$7</f>
        <v>0.1</v>
      </c>
      <c r="K27" s="25">
        <f>IFERROR(D27/(1+I27),"")</f>
        <v>2.2727272727272725</v>
      </c>
      <c r="L27" s="25">
        <f>IFERROR(D27/(1+J27),"")</f>
        <v>2.2727272727272725</v>
      </c>
      <c r="M27" s="25">
        <f>IF(G27="Sí",IFERROR('Parámetros'!$B$25/(1+'Parámetros'!$B$8),""),0)</f>
        <v>0.0</v>
      </c>
      <c r="N27" s="25">
        <f>IFERROR(L27+M27,"")</f>
        <v>2.2727272727272725</v>
      </c>
      <c r="O27" s="26">
        <f>IFERROR((1-F27)*K27+F27*N27,"")</f>
        <v>2.2727272727272725</v>
      </c>
      <c r="P27" s="25">
        <f>'Escandallo por kg de Masa'!$M$45</f>
        <v>0.43744186046511635</v>
      </c>
      <c r="Q27" s="25">
        <f>'Escandallo por kg de Masa'!$N$45</f>
        <v>0.43744186046511635</v>
      </c>
      <c r="R27" s="26">
        <f>IFERROR((1-F27)*P27+F27*Q27,"")</f>
        <v>0.43744186046511635</v>
      </c>
      <c r="S27" s="15" t="n">
        <v>4</v>
      </c>
      <c r="T27" s="15" t="n">
        <v>2</v>
      </c>
      <c r="U27" s="38">
        <f>IFERROR(S27*(1-F27),"")</f>
        <v>4.0</v>
      </c>
      <c r="V27" s="38">
        <f>IFERROR(S27*F27,"")</f>
        <v>0.0</v>
      </c>
      <c r="W27" s="38">
        <f>IFERROR(T27*(1-F27),"")</f>
        <v>2.0</v>
      </c>
      <c r="X27" s="38">
        <f>IFERROR(T27*F27,"")</f>
        <v>0.0</v>
      </c>
      <c r="Y27" s="24">
        <f>'Escandallo por kg de Masa'!$G$45</f>
        <v>0.0</v>
      </c>
      <c r="Z27" s="6" t="inlineStr">
        <is>
          <t>leche</t>
        </is>
      </c>
    </row>
    <row r="28" ht="28" customHeight="1">
      <c r="A28" s="6" t="inlineStr">
        <is>
          <t>CT3 · Chocolate con churros (taza y ración de 6)</t>
        </is>
      </c>
      <c r="B28" s="6" t="inlineStr">
        <is>
          <t>Chocolate a la taza</t>
        </is>
      </c>
      <c r="C28" s="48" t="n">
        <v>2026</v>
      </c>
      <c r="D28" s="18" t="n">
        <v>3.8</v>
      </c>
      <c r="E28" s="5" t="inlineStr">
        <is>
          <t>supuesto declarado</t>
        </is>
      </c>
      <c r="F28" s="9" t="n">
        <v>0</v>
      </c>
      <c r="G28" s="5" t="inlineStr">
        <is>
          <t>No</t>
        </is>
      </c>
      <c r="H28" s="6" t="inlineStr">
        <is>
          <t>Chocolate para llevar (zona gris)</t>
        </is>
      </c>
      <c r="I28" s="20">
        <f>'Parámetros'!$B$5</f>
        <v>0.1</v>
      </c>
      <c r="J28" s="20">
        <f>'Parámetros'!$B$7</f>
        <v>0.1</v>
      </c>
      <c r="K28" s="25">
        <f>IFERROR(D28/(1+I28),"")</f>
        <v>3.454545454545454</v>
      </c>
      <c r="L28" s="25">
        <f>IFERROR(D28/(1+J28),"")</f>
        <v>3.454545454545454</v>
      </c>
      <c r="M28" s="25">
        <f>IF(G28="Sí",IFERROR('Parámetros'!$B$25/(1+'Parámetros'!$B$8),""),0)</f>
        <v>0.0</v>
      </c>
      <c r="N28" s="25">
        <f>IFERROR(L28+M28,"")</f>
        <v>3.454545454545454</v>
      </c>
      <c r="O28" s="26">
        <f>IFERROR((1-F28)*K28+F28*N28,"")</f>
        <v>3.454545454545454</v>
      </c>
      <c r="P28" s="25">
        <f>'Escandallo por kg de Masa'!$M$46</f>
        <v>0.5318134851790751</v>
      </c>
      <c r="Q28" s="25">
        <f>'Escandallo por kg de Masa'!$N$46</f>
        <v>0.5318134851790751</v>
      </c>
      <c r="R28" s="26">
        <f>IFERROR((1-F28)*P28+F28*Q28,"")</f>
        <v>0.5318134851790751</v>
      </c>
      <c r="S28" s="15" t="n">
        <v>10</v>
      </c>
      <c r="T28" s="15" t="n">
        <v>4</v>
      </c>
      <c r="U28" s="38">
        <f>IFERROR(S28*(1-F28),"")</f>
        <v>10.0</v>
      </c>
      <c r="V28" s="38">
        <f>IFERROR(S28*F28,"")</f>
        <v>0.0</v>
      </c>
      <c r="W28" s="38">
        <f>IFERROR(T28*(1-F28),"")</f>
        <v>4.0</v>
      </c>
      <c r="X28" s="38">
        <f>IFERROR(T28*F28,"")</f>
        <v>0.0</v>
      </c>
      <c r="Y28" s="24">
        <f>'Escandallo por kg de Masa'!$G$46</f>
        <v>0.12631578947368421</v>
      </c>
      <c r="Z28" s="6" t="inlineStr">
        <is>
          <t>gluten, leche</t>
        </is>
      </c>
    </row>
    <row r="29" ht="28" customHeight="1">
      <c r="A29" s="6" t="inlineStr">
        <is>
          <t>CT4 · Chocolate a la taza para llevar</t>
        </is>
      </c>
      <c r="B29" s="6" t="inlineStr">
        <is>
          <t>Chocolate a la taza</t>
        </is>
      </c>
      <c r="C29" s="48" t="n">
        <v>2026</v>
      </c>
      <c r="D29" s="18" t="n">
        <v>2.2</v>
      </c>
      <c r="E29" s="5" t="inlineStr">
        <is>
          <t>supuesto declarado</t>
        </is>
      </c>
      <c r="F29" s="9" t="n">
        <v>1</v>
      </c>
      <c r="G29" s="5" t="inlineStr">
        <is>
          <t>Sí</t>
        </is>
      </c>
      <c r="H29" s="6" t="inlineStr">
        <is>
          <t>Chocolate para llevar (zona gris)</t>
        </is>
      </c>
      <c r="I29" s="20">
        <f>'Parámetros'!$B$5</f>
        <v>0.1</v>
      </c>
      <c r="J29" s="20">
        <f>'Parámetros'!$B$7</f>
        <v>0.1</v>
      </c>
      <c r="K29" s="25">
        <f>IFERROR(D29/(1+I29),"")</f>
        <v>2.0</v>
      </c>
      <c r="L29" s="25">
        <f>IFERROR(D29/(1+J29),"")</f>
        <v>2.0</v>
      </c>
      <c r="M29" s="25">
        <f>IF(G29="Sí",IFERROR('Parámetros'!$B$25/(1+'Parámetros'!$B$8),""),0)</f>
        <v>0.09090909090909091</v>
      </c>
      <c r="N29" s="25">
        <f>IFERROR(L29+M29,"")</f>
        <v>2.090909090909091</v>
      </c>
      <c r="O29" s="26">
        <f>IFERROR((1-F29)*K29+F29*N29,"")</f>
        <v>2.090909090909091</v>
      </c>
      <c r="P29" s="25">
        <f>'Escandallo por kg de Masa'!$M$47</f>
        <v>0.43744186046511635</v>
      </c>
      <c r="Q29" s="25">
        <f>'Escandallo por kg de Masa'!$N$47</f>
        <v>0.5174418604651163</v>
      </c>
      <c r="R29" s="26">
        <f>IFERROR((1-F29)*P29+F29*Q29,"")</f>
        <v>0.5174418604651163</v>
      </c>
      <c r="S29" s="15" t="n">
        <v>3</v>
      </c>
      <c r="T29" s="15" t="n">
        <v>1</v>
      </c>
      <c r="U29" s="38">
        <f>IFERROR(S29*(1-F29),"")</f>
        <v>0.0</v>
      </c>
      <c r="V29" s="38">
        <f>IFERROR(S29*F29,"")</f>
        <v>3.0</v>
      </c>
      <c r="W29" s="38">
        <f>IFERROR(T29*(1-F29),"")</f>
        <v>0.0</v>
      </c>
      <c r="X29" s="38">
        <f>IFERROR(T29*F29,"")</f>
        <v>1.0</v>
      </c>
      <c r="Y29" s="24">
        <f>'Escandallo por kg de Masa'!$G$47</f>
        <v>0.0</v>
      </c>
      <c r="Z29" s="6" t="inlineStr">
        <is>
          <t>leche</t>
        </is>
      </c>
    </row>
    <row r="30" ht="28" customHeight="1">
      <c r="A30" s="6" t="inlineStr">
        <is>
          <t>CT5 · Media taza de chocolate</t>
        </is>
      </c>
      <c r="B30" s="6" t="inlineStr">
        <is>
          <t>Chocolate a la taza</t>
        </is>
      </c>
      <c r="C30" s="48" t="n">
        <v>2026</v>
      </c>
      <c r="D30" s="18" t="n">
        <v>1.3</v>
      </c>
      <c r="E30" s="5" t="inlineStr">
        <is>
          <t>supuesto declarado</t>
        </is>
      </c>
      <c r="F30" s="9" t="n">
        <v>0</v>
      </c>
      <c r="G30" s="5" t="inlineStr">
        <is>
          <t>No</t>
        </is>
      </c>
      <c r="H30" s="6" t="inlineStr">
        <is>
          <t>Chocolate para llevar (zona gris)</t>
        </is>
      </c>
      <c r="I30" s="20">
        <f>'Parámetros'!$B$5</f>
        <v>0.1</v>
      </c>
      <c r="J30" s="20">
        <f>'Parámetros'!$B$7</f>
        <v>0.1</v>
      </c>
      <c r="K30" s="25">
        <f>IFERROR(D30/(1+I30),"")</f>
        <v>1.1818181818181817</v>
      </c>
      <c r="L30" s="25">
        <f>IFERROR(D30/(1+J30),"")</f>
        <v>1.1818181818181817</v>
      </c>
      <c r="M30" s="25">
        <f>IF(G30="Sí",IFERROR('Parámetros'!$B$25/(1+'Parámetros'!$B$8),""),0)</f>
        <v>0.0</v>
      </c>
      <c r="N30" s="25">
        <f>IFERROR(L30+M30,"")</f>
        <v>1.1818181818181817</v>
      </c>
      <c r="O30" s="26">
        <f>IFERROR((1-F30)*K30+F30*N30,"")</f>
        <v>1.1818181818181817</v>
      </c>
      <c r="P30" s="25">
        <f>'Escandallo por kg de Masa'!$M$48</f>
        <v>0.26246511627906977</v>
      </c>
      <c r="Q30" s="25">
        <f>'Escandallo por kg de Masa'!$N$48</f>
        <v>0.26246511627906977</v>
      </c>
      <c r="R30" s="26">
        <f>IFERROR((1-F30)*P30+F30*Q30,"")</f>
        <v>0.26246511627906977</v>
      </c>
      <c r="S30" s="15" t="n">
        <v>2</v>
      </c>
      <c r="T30" s="15" t="n">
        <v>1</v>
      </c>
      <c r="U30" s="38">
        <f>IFERROR(S30*(1-F30),"")</f>
        <v>2.0</v>
      </c>
      <c r="V30" s="38">
        <f>IFERROR(S30*F30,"")</f>
        <v>0.0</v>
      </c>
      <c r="W30" s="38">
        <f>IFERROR(T30*(1-F30),"")</f>
        <v>1.0</v>
      </c>
      <c r="X30" s="38">
        <f>IFERROR(T30*F30,"")</f>
        <v>0.0</v>
      </c>
      <c r="Y30" s="24">
        <f>'Escandallo por kg de Masa'!$G$48</f>
        <v>0.0</v>
      </c>
      <c r="Z30" s="6" t="inlineStr">
        <is>
          <t>leche</t>
        </is>
      </c>
    </row>
    <row r="31" ht="28" customHeight="1">
      <c r="A31" s="6" t="inlineStr">
        <is>
          <t>CB1 · Café solo</t>
        </is>
      </c>
      <c r="B31" s="6" t="inlineStr">
        <is>
          <t>Cafés y bebidas</t>
        </is>
      </c>
      <c r="C31" s="48" t="n">
        <v>2026</v>
      </c>
      <c r="D31" s="18" t="n">
        <v>1.3</v>
      </c>
      <c r="E31" s="5" t="inlineStr">
        <is>
          <t>supuesto declarado</t>
        </is>
      </c>
      <c r="F31" s="9" t="n">
        <v>0.25</v>
      </c>
      <c r="G31" s="5" t="inlineStr">
        <is>
          <t>Sí</t>
        </is>
      </c>
      <c r="H31" s="6" t="inlineStr">
        <is>
          <t>Bebida para llevar (zona gris)</t>
        </is>
      </c>
      <c r="I31" s="20">
        <f>'Parámetros'!$B$5</f>
        <v>0.1</v>
      </c>
      <c r="J31" s="20">
        <f>'Parámetros'!$B$8</f>
        <v>0.1</v>
      </c>
      <c r="K31" s="25">
        <f>IFERROR(D31/(1+I31),"")</f>
        <v>1.1818181818181817</v>
      </c>
      <c r="L31" s="25">
        <f>IFERROR(D31/(1+J31),"")</f>
        <v>1.1818181818181817</v>
      </c>
      <c r="M31" s="25">
        <f>IF(G31="Sí",IFERROR('Parámetros'!$B$25/(1+'Parámetros'!$B$8),""),0)</f>
        <v>0.09090909090909091</v>
      </c>
      <c r="N31" s="25">
        <f>IFERROR(L31+M31,"")</f>
        <v>1.2727272727272725</v>
      </c>
      <c r="O31" s="26">
        <f>IFERROR((1-F31)*K31+F31*N31,"")</f>
        <v>1.2045454545454544</v>
      </c>
      <c r="P31" s="25">
        <f>'Escandallo por kg de Masa'!$M$49</f>
        <v>0.134</v>
      </c>
      <c r="Q31" s="25">
        <f>'Escandallo por kg de Masa'!$N$49</f>
        <v>0.21400000000000002</v>
      </c>
      <c r="R31" s="26">
        <f>IFERROR((1-F31)*P31+F31*Q31,"")</f>
        <v>0.15400000000000003</v>
      </c>
      <c r="S31" s="15" t="n">
        <v>4</v>
      </c>
      <c r="T31" s="15" t="n">
        <v>4</v>
      </c>
      <c r="U31" s="38">
        <f>IFERROR(S31*(1-F31),"")</f>
        <v>3.0</v>
      </c>
      <c r="V31" s="38">
        <f>IFERROR(S31*F31,"")</f>
        <v>1.0</v>
      </c>
      <c r="W31" s="38">
        <f>IFERROR(T31*(1-F31),"")</f>
        <v>3.0</v>
      </c>
      <c r="X31" s="38">
        <f>IFERROR(T31*F31,"")</f>
        <v>1.0</v>
      </c>
      <c r="Y31" s="24">
        <f>'Escandallo por kg de Masa'!$G$49</f>
        <v>0.0</v>
      </c>
      <c r="Z31" s="6" t="inlineStr">
        <is>
          <t>ninguno en la receta del ejemplo</t>
        </is>
      </c>
    </row>
    <row r="32" ht="28" customHeight="1">
      <c r="A32" s="6" t="inlineStr">
        <is>
          <t>CB2 · Café con leche</t>
        </is>
      </c>
      <c r="B32" s="6" t="inlineStr">
        <is>
          <t>Cafés y bebidas</t>
        </is>
      </c>
      <c r="C32" s="48" t="n">
        <v>2026</v>
      </c>
      <c r="D32" s="18" t="n">
        <v>1.6</v>
      </c>
      <c r="E32" s="5" t="inlineStr">
        <is>
          <t>supuesto declarado</t>
        </is>
      </c>
      <c r="F32" s="9" t="n">
        <v>0.4</v>
      </c>
      <c r="G32" s="5" t="inlineStr">
        <is>
          <t>Sí</t>
        </is>
      </c>
      <c r="H32" s="6" t="inlineStr">
        <is>
          <t>Bebida para llevar (zona gris)</t>
        </is>
      </c>
      <c r="I32" s="20">
        <f>'Parámetros'!$B$5</f>
        <v>0.1</v>
      </c>
      <c r="J32" s="20">
        <f>'Parámetros'!$B$8</f>
        <v>0.1</v>
      </c>
      <c r="K32" s="25">
        <f>IFERROR(D32/(1+I32),"")</f>
        <v>1.4545454545454546</v>
      </c>
      <c r="L32" s="25">
        <f>IFERROR(D32/(1+J32),"")</f>
        <v>1.4545454545454546</v>
      </c>
      <c r="M32" s="25">
        <f>IF(G32="Sí",IFERROR('Parámetros'!$B$25/(1+'Parámetros'!$B$8),""),0)</f>
        <v>0.09090909090909091</v>
      </c>
      <c r="N32" s="25">
        <f>IFERROR(L32+M32,"")</f>
        <v>1.5454545454545454</v>
      </c>
      <c r="O32" s="26">
        <f>IFERROR((1-F32)*K32+F32*N32,"")</f>
        <v>1.4909090909090907</v>
      </c>
      <c r="P32" s="25">
        <f>'Escandallo por kg de Masa'!$M$50</f>
        <v>0.2615</v>
      </c>
      <c r="Q32" s="25">
        <f>'Escandallo por kg de Masa'!$N$50</f>
        <v>0.3415</v>
      </c>
      <c r="R32" s="26">
        <f>IFERROR((1-F32)*P32+F32*Q32,"")</f>
        <v>0.29350000000000004</v>
      </c>
      <c r="S32" s="15" t="n">
        <v>6</v>
      </c>
      <c r="T32" s="15" t="n">
        <v>5</v>
      </c>
      <c r="U32" s="38">
        <f>IFERROR(S32*(1-F32),"")</f>
        <v>3.5999999999999996</v>
      </c>
      <c r="V32" s="38">
        <f>IFERROR(S32*F32,"")</f>
        <v>2.4000000000000004</v>
      </c>
      <c r="W32" s="38">
        <f>IFERROR(T32*(1-F32),"")</f>
        <v>3.0</v>
      </c>
      <c r="X32" s="38">
        <f>IFERROR(T32*F32,"")</f>
        <v>2.0</v>
      </c>
      <c r="Y32" s="24">
        <f>'Escandallo por kg de Masa'!$G$50</f>
        <v>0.0</v>
      </c>
      <c r="Z32" s="6" t="inlineStr">
        <is>
          <t>leche</t>
        </is>
      </c>
    </row>
    <row r="33" ht="28" customHeight="1">
      <c r="A33" s="6" t="inlineStr">
        <is>
          <t>CB3 · Infusión</t>
        </is>
      </c>
      <c r="B33" s="6" t="inlineStr">
        <is>
          <t>Cafés y bebidas</t>
        </is>
      </c>
      <c r="C33" s="48" t="n">
        <v>2026</v>
      </c>
      <c r="D33" s="18" t="n">
        <v>1.4</v>
      </c>
      <c r="E33" s="5" t="inlineStr">
        <is>
          <t>supuesto declarado</t>
        </is>
      </c>
      <c r="F33" s="9" t="n">
        <v>0</v>
      </c>
      <c r="G33" s="5" t="inlineStr">
        <is>
          <t>No</t>
        </is>
      </c>
      <c r="H33" s="6" t="inlineStr">
        <is>
          <t>Bebida para llevar (zona gris)</t>
        </is>
      </c>
      <c r="I33" s="20">
        <f>'Parámetros'!$B$5</f>
        <v>0.1</v>
      </c>
      <c r="J33" s="20">
        <f>'Parámetros'!$B$8</f>
        <v>0.1</v>
      </c>
      <c r="K33" s="25">
        <f>IFERROR(D33/(1+I33),"")</f>
        <v>1.2727272727272725</v>
      </c>
      <c r="L33" s="25">
        <f>IFERROR(D33/(1+J33),"")</f>
        <v>1.2727272727272725</v>
      </c>
      <c r="M33" s="25">
        <f>IF(G33="Sí",IFERROR('Parámetros'!$B$25/(1+'Parámetros'!$B$8),""),0)</f>
        <v>0.0</v>
      </c>
      <c r="N33" s="25">
        <f>IFERROR(L33+M33,"")</f>
        <v>1.2727272727272725</v>
      </c>
      <c r="O33" s="26">
        <f>IFERROR((1-F33)*K33+F33*N33,"")</f>
        <v>1.2727272727272725</v>
      </c>
      <c r="P33" s="25">
        <f>'Escandallo por kg de Masa'!$M$51</f>
        <v>0.068</v>
      </c>
      <c r="Q33" s="25">
        <f>'Escandallo por kg de Masa'!$N$51</f>
        <v>0.068</v>
      </c>
      <c r="R33" s="26">
        <f>IFERROR((1-F33)*P33+F33*Q33,"")</f>
        <v>0.068</v>
      </c>
      <c r="S33" s="15" t="n">
        <v>1</v>
      </c>
      <c r="T33" s="15" t="n">
        <v>1</v>
      </c>
      <c r="U33" s="38">
        <f>IFERROR(S33*(1-F33),"")</f>
        <v>1.0</v>
      </c>
      <c r="V33" s="38">
        <f>IFERROR(S33*F33,"")</f>
        <v>0.0</v>
      </c>
      <c r="W33" s="38">
        <f>IFERROR(T33*(1-F33),"")</f>
        <v>1.0</v>
      </c>
      <c r="X33" s="38">
        <f>IFERROR(T33*F33,"")</f>
        <v>0.0</v>
      </c>
      <c r="Y33" s="24">
        <f>'Escandallo por kg de Masa'!$G$51</f>
        <v>0.0</v>
      </c>
      <c r="Z33" s="6" t="inlineStr">
        <is>
          <t>ninguno en la receta del ejemplo</t>
        </is>
      </c>
    </row>
    <row r="34" ht="28" customHeight="1">
      <c r="A34" s="6" t="inlineStr">
        <is>
          <t>CB4 · Leche con cacao</t>
        </is>
      </c>
      <c r="B34" s="6" t="inlineStr">
        <is>
          <t>Cafés y bebidas</t>
        </is>
      </c>
      <c r="C34" s="48" t="n">
        <v>2026</v>
      </c>
      <c r="D34" s="18" t="n">
        <v>1.6</v>
      </c>
      <c r="E34" s="5" t="inlineStr">
        <is>
          <t>supuesto declarado</t>
        </is>
      </c>
      <c r="F34" s="9" t="n">
        <v>0.3</v>
      </c>
      <c r="G34" s="5" t="inlineStr">
        <is>
          <t>Sí</t>
        </is>
      </c>
      <c r="H34" s="6" t="inlineStr">
        <is>
          <t>Bebida para llevar (zona gris)</t>
        </is>
      </c>
      <c r="I34" s="20">
        <f>'Parámetros'!$B$5</f>
        <v>0.1</v>
      </c>
      <c r="J34" s="20">
        <f>'Parámetros'!$B$8</f>
        <v>0.1</v>
      </c>
      <c r="K34" s="25">
        <f>IFERROR(D34/(1+I34),"")</f>
        <v>1.4545454545454546</v>
      </c>
      <c r="L34" s="25">
        <f>IFERROR(D34/(1+J34),"")</f>
        <v>1.4545454545454546</v>
      </c>
      <c r="M34" s="25">
        <f>IF(G34="Sí",IFERROR('Parámetros'!$B$25/(1+'Parámetros'!$B$8),""),0)</f>
        <v>0.09090909090909091</v>
      </c>
      <c r="N34" s="25">
        <f>IFERROR(L34+M34,"")</f>
        <v>1.5454545454545454</v>
      </c>
      <c r="O34" s="26">
        <f>IFERROR((1-F34)*K34+F34*N34,"")</f>
        <v>1.4818181818181817</v>
      </c>
      <c r="P34" s="25">
        <f>'Escandallo por kg de Masa'!$M$52</f>
        <v>0.26</v>
      </c>
      <c r="Q34" s="25">
        <f>'Escandallo por kg de Masa'!$N$52</f>
        <v>0.34</v>
      </c>
      <c r="R34" s="26">
        <f>IFERROR((1-F34)*P34+F34*Q34,"")</f>
        <v>0.28400000000000003</v>
      </c>
      <c r="S34" s="15" t="n">
        <v>2</v>
      </c>
      <c r="T34" s="15" t="n">
        <v>2</v>
      </c>
      <c r="U34" s="38">
        <f>IFERROR(S34*(1-F34),"")</f>
        <v>1.4</v>
      </c>
      <c r="V34" s="38">
        <f>IFERROR(S34*F34,"")</f>
        <v>0.6</v>
      </c>
      <c r="W34" s="38">
        <f>IFERROR(T34*(1-F34),"")</f>
        <v>1.4</v>
      </c>
      <c r="X34" s="38">
        <f>IFERROR(T34*F34,"")</f>
        <v>0.6</v>
      </c>
      <c r="Y34" s="24">
        <f>'Escandallo por kg de Masa'!$G$52</f>
        <v>0.0</v>
      </c>
      <c r="Z34" s="6" t="inlineStr">
        <is>
          <t>leche</t>
        </is>
      </c>
    </row>
    <row r="35" ht="28" customHeight="1">
      <c r="A35" s="6" t="inlineStr">
        <is>
          <t>CB5 · Zumo de naranja natural</t>
        </is>
      </c>
      <c r="B35" s="6" t="inlineStr">
        <is>
          <t>Cafés y bebidas</t>
        </is>
      </c>
      <c r="C35" s="48" t="n">
        <v>2026</v>
      </c>
      <c r="D35" s="18" t="n">
        <v>2.5</v>
      </c>
      <c r="E35" s="5" t="inlineStr">
        <is>
          <t>supuesto declarado</t>
        </is>
      </c>
      <c r="F35" s="9" t="n">
        <v>0.25</v>
      </c>
      <c r="G35" s="5" t="inlineStr">
        <is>
          <t>Sí</t>
        </is>
      </c>
      <c r="H35" s="6" t="inlineStr">
        <is>
          <t>Bebida para llevar (zona gris)</t>
        </is>
      </c>
      <c r="I35" s="20">
        <f>'Parámetros'!$B$5</f>
        <v>0.1</v>
      </c>
      <c r="J35" s="20">
        <f>'Parámetros'!$B$8</f>
        <v>0.1</v>
      </c>
      <c r="K35" s="25">
        <f>IFERROR(D35/(1+I35),"")</f>
        <v>2.2727272727272725</v>
      </c>
      <c r="L35" s="25">
        <f>IFERROR(D35/(1+J35),"")</f>
        <v>2.2727272727272725</v>
      </c>
      <c r="M35" s="25">
        <f>IF(G35="Sí",IFERROR('Parámetros'!$B$25/(1+'Parámetros'!$B$8),""),0)</f>
        <v>0.09090909090909091</v>
      </c>
      <c r="N35" s="25">
        <f>IFERROR(L35+M35,"")</f>
        <v>2.3636363636363633</v>
      </c>
      <c r="O35" s="26">
        <f>IFERROR((1-F35)*K35+F35*N35,"")</f>
        <v>2.295454545454545</v>
      </c>
      <c r="P35" s="25">
        <f>'Escandallo por kg de Masa'!$M$53</f>
        <v>0.49500000000000005</v>
      </c>
      <c r="Q35" s="25">
        <f>'Escandallo por kg de Masa'!$N$53</f>
        <v>0.5750000000000001</v>
      </c>
      <c r="R35" s="26">
        <f>IFERROR((1-F35)*P35+F35*Q35,"")</f>
        <v>0.515</v>
      </c>
      <c r="S35" s="15" t="n">
        <v>2</v>
      </c>
      <c r="T35" s="15" t="n">
        <v>4</v>
      </c>
      <c r="U35" s="38">
        <f>IFERROR(S35*(1-F35),"")</f>
        <v>1.5</v>
      </c>
      <c r="V35" s="38">
        <f>IFERROR(S35*F35,"")</f>
        <v>0.5</v>
      </c>
      <c r="W35" s="38">
        <f>IFERROR(T35*(1-F35),"")</f>
        <v>3.0</v>
      </c>
      <c r="X35" s="38">
        <f>IFERROR(T35*F35,"")</f>
        <v>1.0</v>
      </c>
      <c r="Y35" s="24">
        <f>'Escandallo por kg de Masa'!$G$53</f>
        <v>0.0</v>
      </c>
      <c r="Z35" s="6" t="inlineStr">
        <is>
          <t>ninguno en la receta del ejemplo</t>
        </is>
      </c>
    </row>
    <row r="36" ht="28" customHeight="1">
      <c r="A36" s="6" t="inlineStr">
        <is>
          <t>CB6 · Agua (botella de 50 cl)</t>
        </is>
      </c>
      <c r="B36" s="6" t="inlineStr">
        <is>
          <t>Cafés y bebidas</t>
        </is>
      </c>
      <c r="C36" s="48" t="n">
        <v>2026</v>
      </c>
      <c r="D36" s="18" t="n">
        <v>1.2</v>
      </c>
      <c r="E36" s="5" t="inlineStr">
        <is>
          <t>supuesto declarado</t>
        </is>
      </c>
      <c r="F36" s="9" t="n">
        <v>0.5</v>
      </c>
      <c r="G36" s="5" t="inlineStr">
        <is>
          <t>No</t>
        </is>
      </c>
      <c r="H36" s="6" t="inlineStr">
        <is>
          <t>Bebida para llevar (zona gris)</t>
        </is>
      </c>
      <c r="I36" s="20">
        <f>'Parámetros'!$B$5</f>
        <v>0.1</v>
      </c>
      <c r="J36" s="20">
        <f>'Parámetros'!$B$8</f>
        <v>0.1</v>
      </c>
      <c r="K36" s="25">
        <f>IFERROR(D36/(1+I36),"")</f>
        <v>1.0909090909090908</v>
      </c>
      <c r="L36" s="25">
        <f>IFERROR(D36/(1+J36),"")</f>
        <v>1.0909090909090908</v>
      </c>
      <c r="M36" s="25">
        <f>IF(G36="Sí",IFERROR('Parámetros'!$B$25/(1+'Parámetros'!$B$8),""),0)</f>
        <v>0.0</v>
      </c>
      <c r="N36" s="25">
        <f>IFERROR(L36+M36,"")</f>
        <v>1.0909090909090908</v>
      </c>
      <c r="O36" s="26">
        <f>IFERROR((1-F36)*K36+F36*N36,"")</f>
        <v>1.0909090909090908</v>
      </c>
      <c r="P36" s="25">
        <f>'Escandallo por kg de Masa'!$M$54</f>
        <v>0.22</v>
      </c>
      <c r="Q36" s="25">
        <f>'Escandallo por kg de Masa'!$N$54</f>
        <v>0.22</v>
      </c>
      <c r="R36" s="26">
        <f>IFERROR((1-F36)*P36+F36*Q36,"")</f>
        <v>0.22</v>
      </c>
      <c r="S36" s="15" t="n">
        <v>2</v>
      </c>
      <c r="T36" s="15" t="n">
        <v>5</v>
      </c>
      <c r="U36" s="38">
        <f>IFERROR(S36*(1-F36),"")</f>
        <v>1.0</v>
      </c>
      <c r="V36" s="38">
        <f>IFERROR(S36*F36,"")</f>
        <v>1.0</v>
      </c>
      <c r="W36" s="38">
        <f>IFERROR(T36*(1-F36),"")</f>
        <v>2.5</v>
      </c>
      <c r="X36" s="38">
        <f>IFERROR(T36*F36,"")</f>
        <v>2.5</v>
      </c>
      <c r="Y36" s="24">
        <f>'Escandallo por kg de Masa'!$G$54</f>
        <v>0.0</v>
      </c>
      <c r="Z36" s="6" t="inlineStr">
        <is>
          <t>ninguno en la receta del ejemplo</t>
        </is>
      </c>
    </row>
    <row r="37" ht="28" customHeight="1">
      <c r="A37" s="6" t="inlineStr">
        <is>
          <t>CV1 · Granizado</t>
        </is>
      </c>
      <c r="B37" s="6" t="inlineStr">
        <is>
          <t>Carta de verano</t>
        </is>
      </c>
      <c r="C37" s="48" t="n">
        <v>2026</v>
      </c>
      <c r="D37" s="18" t="n">
        <v>3</v>
      </c>
      <c r="E37" s="5" t="inlineStr">
        <is>
          <t>CUS-11</t>
        </is>
      </c>
      <c r="F37" s="9" t="n">
        <v>0.4</v>
      </c>
      <c r="G37" s="5" t="inlineStr">
        <is>
          <t>Sí</t>
        </is>
      </c>
      <c r="H37" s="6" t="inlineStr">
        <is>
          <t>Refresco azucarado para llevar</t>
        </is>
      </c>
      <c r="I37" s="20">
        <f>'Parámetros'!$B$5</f>
        <v>0.1</v>
      </c>
      <c r="J37" s="20">
        <f>'Parámetros'!$B$9</f>
        <v>0.21</v>
      </c>
      <c r="K37" s="25">
        <f>IFERROR(D37/(1+I37),"")</f>
        <v>2.727272727272727</v>
      </c>
      <c r="L37" s="25">
        <f>IFERROR(D37/(1+J37),"")</f>
        <v>2.479338842975207</v>
      </c>
      <c r="M37" s="25">
        <f>IF(G37="Sí",IFERROR('Parámetros'!$B$25/(1+'Parámetros'!$B$8),""),0)</f>
        <v>0.09090909090909091</v>
      </c>
      <c r="N37" s="25">
        <f>IFERROR(L37+M37,"")</f>
        <v>2.5702479338842976</v>
      </c>
      <c r="O37" s="26">
        <f>IFERROR((1-F37)*K37+F37*N37,"")</f>
        <v>2.6644628099173553</v>
      </c>
      <c r="P37" s="25">
        <f>'Escandallo por kg de Masa'!$M$55</f>
        <v>0.45</v>
      </c>
      <c r="Q37" s="25">
        <f>'Escandallo por kg de Masa'!$N$55</f>
        <v>0.53</v>
      </c>
      <c r="R37" s="26">
        <f>IFERROR((1-F37)*P37+F37*Q37,"")</f>
        <v>0.48200000000000004</v>
      </c>
      <c r="S37" s="15" t="n">
        <v>0</v>
      </c>
      <c r="T37" s="15" t="n">
        <v>12</v>
      </c>
      <c r="U37" s="38">
        <f>IFERROR(S37*(1-F37),"")</f>
        <v>0.0</v>
      </c>
      <c r="V37" s="38">
        <f>IFERROR(S37*F37,"")</f>
        <v>0.0</v>
      </c>
      <c r="W37" s="38">
        <f>IFERROR(T37*(1-F37),"")</f>
        <v>7.199999999999999</v>
      </c>
      <c r="X37" s="38">
        <f>IFERROR(T37*F37,"")</f>
        <v>4.800000000000001</v>
      </c>
      <c r="Y37" s="24">
        <f>'Escandallo por kg de Masa'!$G$55</f>
        <v>0.0</v>
      </c>
      <c r="Z37" s="6" t="inlineStr">
        <is>
          <t>ninguno en la receta del ejemplo</t>
        </is>
      </c>
    </row>
    <row r="38" ht="28" customHeight="1">
      <c r="A38" s="6" t="inlineStr">
        <is>
          <t>CV2 · Horchata</t>
        </is>
      </c>
      <c r="B38" s="6" t="inlineStr">
        <is>
          <t>Carta de verano</t>
        </is>
      </c>
      <c r="C38" s="48" t="n">
        <v>2026</v>
      </c>
      <c r="D38" s="18" t="n">
        <v>3</v>
      </c>
      <c r="E38" s="5" t="inlineStr">
        <is>
          <t>CUS-11</t>
        </is>
      </c>
      <c r="F38" s="9" t="n">
        <v>0.4</v>
      </c>
      <c r="G38" s="5" t="inlineStr">
        <is>
          <t>Sí</t>
        </is>
      </c>
      <c r="H38" s="6" t="inlineStr">
        <is>
          <t>Refresco azucarado para llevar</t>
        </is>
      </c>
      <c r="I38" s="20">
        <f>'Parámetros'!$B$5</f>
        <v>0.1</v>
      </c>
      <c r="J38" s="20">
        <f>'Parámetros'!$B$9</f>
        <v>0.21</v>
      </c>
      <c r="K38" s="25">
        <f>IFERROR(D38/(1+I38),"")</f>
        <v>2.727272727272727</v>
      </c>
      <c r="L38" s="25">
        <f>IFERROR(D38/(1+J38),"")</f>
        <v>2.479338842975207</v>
      </c>
      <c r="M38" s="25">
        <f>IF(G38="Sí",IFERROR('Parámetros'!$B$25/(1+'Parámetros'!$B$8),""),0)</f>
        <v>0.09090909090909091</v>
      </c>
      <c r="N38" s="25">
        <f>IFERROR(L38+M38,"")</f>
        <v>2.5702479338842976</v>
      </c>
      <c r="O38" s="26">
        <f>IFERROR((1-F38)*K38+F38*N38,"")</f>
        <v>2.6644628099173553</v>
      </c>
      <c r="P38" s="25">
        <f>'Escandallo por kg de Masa'!$M$56</f>
        <v>0.55</v>
      </c>
      <c r="Q38" s="25">
        <f>'Escandallo por kg de Masa'!$N$56</f>
        <v>0.63</v>
      </c>
      <c r="R38" s="26">
        <f>IFERROR((1-F38)*P38+F38*Q38,"")</f>
        <v>0.5820000000000001</v>
      </c>
      <c r="S38" s="15" t="n">
        <v>0</v>
      </c>
      <c r="T38" s="15" t="n">
        <v>10</v>
      </c>
      <c r="U38" s="38">
        <f>IFERROR(S38*(1-F38),"")</f>
        <v>0.0</v>
      </c>
      <c r="V38" s="38">
        <f>IFERROR(S38*F38,"")</f>
        <v>0.0</v>
      </c>
      <c r="W38" s="38">
        <f>IFERROR(T38*(1-F38),"")</f>
        <v>6.0</v>
      </c>
      <c r="X38" s="38">
        <f>IFERROR(T38*F38,"")</f>
        <v>4.0</v>
      </c>
      <c r="Y38" s="24">
        <f>'Escandallo por kg de Masa'!$G$56</f>
        <v>0.0</v>
      </c>
      <c r="Z38" s="6" t="inlineStr">
        <is>
          <t>ninguno en la receta del ejemplo</t>
        </is>
      </c>
    </row>
    <row r="39" ht="28" customHeight="1">
      <c r="A39" s="6" t="inlineStr">
        <is>
          <t>CV3 · Helado (bola)</t>
        </is>
      </c>
      <c r="B39" s="6" t="inlineStr">
        <is>
          <t>Carta de verano</t>
        </is>
      </c>
      <c r="C39" s="48" t="n">
        <v>2026</v>
      </c>
      <c r="D39" s="18" t="n">
        <v>2.2</v>
      </c>
      <c r="E39" s="5" t="inlineStr">
        <is>
          <t>supuesto declarado</t>
        </is>
      </c>
      <c r="F39" s="9" t="n">
        <v>0</v>
      </c>
      <c r="G39" s="5" t="inlineStr">
        <is>
          <t>No</t>
        </is>
      </c>
      <c r="H39" s="6" t="inlineStr">
        <is>
          <t>Comida para llevar</t>
        </is>
      </c>
      <c r="I39" s="20">
        <f>'Parámetros'!$B$5</f>
        <v>0.1</v>
      </c>
      <c r="J39" s="20">
        <f>'Parámetros'!$B$6</f>
        <v>0.1</v>
      </c>
      <c r="K39" s="25">
        <f>IFERROR(D39/(1+I39),"")</f>
        <v>2.0</v>
      </c>
      <c r="L39" s="25">
        <f>IFERROR(D39/(1+J39),"")</f>
        <v>2.0</v>
      </c>
      <c r="M39" s="25">
        <f>IF(G39="Sí",IFERROR('Parámetros'!$B$25/(1+'Parámetros'!$B$8),""),0)</f>
        <v>0.0</v>
      </c>
      <c r="N39" s="25">
        <f>IFERROR(L39+M39,"")</f>
        <v>2.0</v>
      </c>
      <c r="O39" s="26">
        <f>IFERROR((1-F39)*K39+F39*N39,"")</f>
        <v>2.0</v>
      </c>
      <c r="P39" s="25">
        <f>'Escandallo por kg de Masa'!$M$57</f>
        <v>0.45</v>
      </c>
      <c r="Q39" s="25">
        <f>'Escandallo por kg de Masa'!$N$57</f>
        <v>0.45</v>
      </c>
      <c r="R39" s="26">
        <f>IFERROR((1-F39)*P39+F39*Q39,"")</f>
        <v>0.45</v>
      </c>
      <c r="S39" s="15" t="n">
        <v>0</v>
      </c>
      <c r="T39" s="15" t="n">
        <v>9</v>
      </c>
      <c r="U39" s="38">
        <f>IFERROR(S39*(1-F39),"")</f>
        <v>0.0</v>
      </c>
      <c r="V39" s="38">
        <f>IFERROR(S39*F39,"")</f>
        <v>0.0</v>
      </c>
      <c r="W39" s="38">
        <f>IFERROR(T39*(1-F39),"")</f>
        <v>9.0</v>
      </c>
      <c r="X39" s="38">
        <f>IFERROR(T39*F39,"")</f>
        <v>0.0</v>
      </c>
      <c r="Y39" s="24">
        <f>'Escandallo por kg de Masa'!$G$57</f>
        <v>0.0</v>
      </c>
      <c r="Z39" s="6" t="inlineStr">
        <is>
          <t>leche</t>
        </is>
      </c>
    </row>
    <row r="40" ht="28" customHeight="1">
      <c r="A40" s="6" t="inlineStr">
        <is>
          <t>CV4 · Batido</t>
        </is>
      </c>
      <c r="B40" s="6" t="inlineStr">
        <is>
          <t>Carta de verano</t>
        </is>
      </c>
      <c r="C40" s="48" t="n">
        <v>2026</v>
      </c>
      <c r="D40" s="18" t="n">
        <v>4</v>
      </c>
      <c r="E40" s="5" t="inlineStr">
        <is>
          <t>CUS-11</t>
        </is>
      </c>
      <c r="F40" s="9" t="n">
        <v>0.2</v>
      </c>
      <c r="G40" s="5" t="inlineStr">
        <is>
          <t>Sí</t>
        </is>
      </c>
      <c r="H40" s="6" t="inlineStr">
        <is>
          <t>Bebida para llevar (zona gris)</t>
        </is>
      </c>
      <c r="I40" s="20">
        <f>'Parámetros'!$B$5</f>
        <v>0.1</v>
      </c>
      <c r="J40" s="20">
        <f>'Parámetros'!$B$8</f>
        <v>0.1</v>
      </c>
      <c r="K40" s="25">
        <f>IFERROR(D40/(1+I40),"")</f>
        <v>3.6363636363636362</v>
      </c>
      <c r="L40" s="25">
        <f>IFERROR(D40/(1+J40),"")</f>
        <v>3.6363636363636362</v>
      </c>
      <c r="M40" s="25">
        <f>IF(G40="Sí",IFERROR('Parámetros'!$B$25/(1+'Parámetros'!$B$8),""),0)</f>
        <v>0.09090909090909091</v>
      </c>
      <c r="N40" s="25">
        <f>IFERROR(L40+M40,"")</f>
        <v>3.727272727272727</v>
      </c>
      <c r="O40" s="26">
        <f>IFERROR((1-F40)*K40+F40*N40,"")</f>
        <v>3.6545454545454548</v>
      </c>
      <c r="P40" s="25">
        <f>'Escandallo por kg de Masa'!$M$58</f>
        <v>0.7125</v>
      </c>
      <c r="Q40" s="25">
        <f>'Escandallo por kg de Masa'!$N$58</f>
        <v>0.7925</v>
      </c>
      <c r="R40" s="26">
        <f>IFERROR((1-F40)*P40+F40*Q40,"")</f>
        <v>0.7285</v>
      </c>
      <c r="S40" s="15" t="n">
        <v>0</v>
      </c>
      <c r="T40" s="15" t="n">
        <v>5</v>
      </c>
      <c r="U40" s="38">
        <f>IFERROR(S40*(1-F40),"")</f>
        <v>0.0</v>
      </c>
      <c r="V40" s="38">
        <f>IFERROR(S40*F40,"")</f>
        <v>0.0</v>
      </c>
      <c r="W40" s="38">
        <f>IFERROR(T40*(1-F40),"")</f>
        <v>4.0</v>
      </c>
      <c r="X40" s="38">
        <f>IFERROR(T40*F40,"")</f>
        <v>1.0</v>
      </c>
      <c r="Y40" s="24">
        <f>'Escandallo por kg de Masa'!$G$58</f>
        <v>0.0</v>
      </c>
      <c r="Z40" s="6" t="inlineStr">
        <is>
          <t>leche</t>
        </is>
      </c>
    </row>
    <row r="41">
      <c r="A41" s="23" t="inlineStr">
        <is>
          <t>TOTAL</t>
        </is>
      </c>
      <c r="S41" s="49">
        <f>SUM(S17:S40)</f>
        <v>100.0</v>
      </c>
      <c r="T41" s="49">
        <f>SUM(T17:T40)</f>
        <v>100.0</v>
      </c>
      <c r="U41" s="49">
        <f>SUM(U17:U40)</f>
        <v>70.0</v>
      </c>
      <c r="V41" s="49">
        <f>SUM(V17:V40)</f>
        <v>30.0</v>
      </c>
      <c r="W41" s="49">
        <f>SUM(W17:W40)</f>
        <v>69.55</v>
      </c>
      <c r="X41" s="49">
        <f>SUM(X17:X40)</f>
        <v>30.450000000000003</v>
      </c>
    </row>
    <row r="42" ht="26" customHeight="1">
      <c r="A42" s="10" t="inlineStr">
        <is>
          <t>Vaso para llevar cobrado aparte (fila propia del ticket): el importe está en «Parámetros» y se suma al ingreso de cada bebida que lo lleva.</t>
        </is>
      </c>
    </row>
    <row r="43"/>
    <row r="44"/>
    <row r="45">
      <c r="A45" s="22" t="inlineStr">
        <is>
          <t>Listas de validación (no las borres: las usan los desplegables)</t>
        </is>
      </c>
    </row>
    <row r="46">
      <c r="A46" s="23" t="inlineStr">
        <is>
          <t>Sí o no</t>
        </is>
      </c>
    </row>
    <row r="47">
      <c r="A47" t="inlineStr">
        <is>
          <t>Sí</t>
        </is>
      </c>
    </row>
    <row r="48">
      <c r="A48" t="inlineStr">
        <is>
          <t>No</t>
        </is>
      </c>
    </row>
    <row r="49"/>
    <row r="50">
      <c r="A50"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42:N42"/>
    <mergeCell ref="A13:G13"/>
    <mergeCell ref="B12:G12"/>
  </mergeCells>
  <conditionalFormatting sqref="B12">
    <cfRule type="expression" priority="1" dxfId="0" stopIfTrue="1">
      <formula>=LEFT($B$12,6)="REVISA"</formula>
    </cfRule>
  </conditionalFormatting>
  <dataValidations count="73">
    <dataValidation sqref="D17" showDropDown="0" showInputMessage="0" showErrorMessage="1" allowBlank="1" errorTitle="Importe no válido" error="Escribe un número mayor o igual que 0." type="decimal" operator="greaterThanOrEqual">
      <formula1>0</formula1>
    </dataValidation>
    <dataValidation sqref="F17"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17 T17" showDropDown="0" showInputMessage="0" showErrorMessage="1" allowBlank="1" errorTitle="Valor fuera de rango" error="Escribe un valor entre 0 y 100." type="decimal" operator="between">
      <formula1>0</formula1>
      <formula2>100</formula2>
    </dataValidation>
    <dataValidation sqref="D18" showDropDown="0" showInputMessage="0" showErrorMessage="1" allowBlank="1" errorTitle="Importe no válido" error="Escribe un número mayor o igual que 0." type="decimal" operator="greaterThanOrEqual">
      <formula1>0</formula1>
    </dataValidation>
    <dataValidation sqref="F1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18 T18" showDropDown="0" showInputMessage="0" showErrorMessage="1" allowBlank="1" errorTitle="Valor fuera de rango" error="Escribe un valor entre 0 y 100." type="decimal" operator="between">
      <formula1>0</formula1>
      <formula2>100</formula2>
    </dataValidation>
    <dataValidation sqref="D19" showDropDown="0" showInputMessage="0" showErrorMessage="1" allowBlank="1" errorTitle="Importe no válido" error="Escribe un número mayor o igual que 0." type="decimal" operator="greaterThanOrEqual">
      <formula1>0</formula1>
    </dataValidation>
    <dataValidation sqref="F19"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19 T19" showDropDown="0" showInputMessage="0" showErrorMessage="1" allowBlank="1" errorTitle="Valor fuera de rango" error="Escribe un valor entre 0 y 100." type="decimal" operator="between">
      <formula1>0</formula1>
      <formula2>100</formula2>
    </dataValidation>
    <dataValidation sqref="D20" showDropDown="0" showInputMessage="0" showErrorMessage="1" allowBlank="1" errorTitle="Importe no válido" error="Escribe un número mayor o igual que 0." type="decimal" operator="greaterThanOrEqual">
      <formula1>0</formula1>
    </dataValidation>
    <dataValidation sqref="F20"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20 T20" showDropDown="0" showInputMessage="0" showErrorMessage="1" allowBlank="1" errorTitle="Valor fuera de rango" error="Escribe un valor entre 0 y 100." type="decimal" operator="between">
      <formula1>0</formula1>
      <formula2>100</formula2>
    </dataValidation>
    <dataValidation sqref="D21" showDropDown="0" showInputMessage="0" showErrorMessage="1" allowBlank="1" errorTitle="Importe no válido" error="Escribe un número mayor o igual que 0." type="decimal" operator="greaterThanOrEqual">
      <formula1>0</formula1>
    </dataValidation>
    <dataValidation sqref="F21"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21 T21" showDropDown="0" showInputMessage="0" showErrorMessage="1" allowBlank="1" errorTitle="Valor fuera de rango" error="Escribe un valor entre 0 y 100." type="decimal" operator="between">
      <formula1>0</formula1>
      <formula2>100</formula2>
    </dataValidation>
    <dataValidation sqref="D22" showDropDown="0" showInputMessage="0" showErrorMessage="1" allowBlank="1" errorTitle="Importe no válido" error="Escribe un número mayor o igual que 0." type="decimal" operator="greaterThanOrEqual">
      <formula1>0</formula1>
    </dataValidation>
    <dataValidation sqref="F22"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22 T22" showDropDown="0" showInputMessage="0" showErrorMessage="1" allowBlank="1" errorTitle="Valor fuera de rango" error="Escribe un valor entre 0 y 100." type="decimal" operator="between">
      <formula1>0</formula1>
      <formula2>100</formula2>
    </dataValidation>
    <dataValidation sqref="D23" showDropDown="0" showInputMessage="0" showErrorMessage="1" allowBlank="1" errorTitle="Importe no válido" error="Escribe un número mayor o igual que 0." type="decimal" operator="greaterThanOrEqual">
      <formula1>0</formula1>
    </dataValidation>
    <dataValidation sqref="F23"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23 T23" showDropDown="0" showInputMessage="0" showErrorMessage="1" allowBlank="1" errorTitle="Valor fuera de rango" error="Escribe un valor entre 0 y 100." type="decimal" operator="between">
      <formula1>0</formula1>
      <formula2>100</formula2>
    </dataValidation>
    <dataValidation sqref="D24" showDropDown="0" showInputMessage="0" showErrorMessage="1" allowBlank="1" errorTitle="Importe no válido" error="Escribe un número mayor o igual que 0." type="decimal" operator="greaterThanOrEqual">
      <formula1>0</formula1>
    </dataValidation>
    <dataValidation sqref="F24"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24 T24" showDropDown="0" showInputMessage="0" showErrorMessage="1" allowBlank="1" errorTitle="Valor fuera de rango" error="Escribe un valor entre 0 y 100." type="decimal" operator="between">
      <formula1>0</formula1>
      <formula2>100</formula2>
    </dataValidation>
    <dataValidation sqref="D25" showDropDown="0" showInputMessage="0" showErrorMessage="1" allowBlank="1" errorTitle="Importe no válido" error="Escribe un número mayor o igual que 0." type="decimal" operator="greaterThanOrEqual">
      <formula1>0</formula1>
    </dataValidation>
    <dataValidation sqref="F25"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25 T25" showDropDown="0" showInputMessage="0" showErrorMessage="1" allowBlank="1" errorTitle="Valor fuera de rango" error="Escribe un valor entre 0 y 100." type="decimal" operator="between">
      <formula1>0</formula1>
      <formula2>100</formula2>
    </dataValidation>
    <dataValidation sqref="D26" showDropDown="0" showInputMessage="0" showErrorMessage="1" allowBlank="1" errorTitle="Importe no válido" error="Escribe un número mayor o igual que 0." type="decimal" operator="greaterThanOrEqual">
      <formula1>0</formula1>
    </dataValidation>
    <dataValidation sqref="F26"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26 T26" showDropDown="0" showInputMessage="0" showErrorMessage="1" allowBlank="1" errorTitle="Valor fuera de rango" error="Escribe un valor entre 0 y 100." type="decimal" operator="between">
      <formula1>0</formula1>
      <formula2>100</formula2>
    </dataValidation>
    <dataValidation sqref="D27" showDropDown="0" showInputMessage="0" showErrorMessage="1" allowBlank="1" errorTitle="Importe no válido" error="Escribe un número mayor o igual que 0." type="decimal" operator="greaterThanOrEqual">
      <formula1>0</formula1>
    </dataValidation>
    <dataValidation sqref="F27"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27 T27" showDropDown="0" showInputMessage="0" showErrorMessage="1" allowBlank="1" errorTitle="Valor fuera de rango" error="Escribe un valor entre 0 y 100." type="decimal" operator="between">
      <formula1>0</formula1>
      <formula2>100</formula2>
    </dataValidation>
    <dataValidation sqref="D28" showDropDown="0" showInputMessage="0" showErrorMessage="1" allowBlank="1" errorTitle="Importe no válido" error="Escribe un número mayor o igual que 0." type="decimal" operator="greaterThanOrEqual">
      <formula1>0</formula1>
    </dataValidation>
    <dataValidation sqref="F2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28 T28" showDropDown="0" showInputMessage="0" showErrorMessage="1" allowBlank="1" errorTitle="Valor fuera de rango" error="Escribe un valor entre 0 y 100." type="decimal" operator="between">
      <formula1>0</formula1>
      <formula2>100</formula2>
    </dataValidation>
    <dataValidation sqref="D29" showDropDown="0" showInputMessage="0" showErrorMessage="1" allowBlank="1" errorTitle="Importe no válido" error="Escribe un número mayor o igual que 0." type="decimal" operator="greaterThanOrEqual">
      <formula1>0</formula1>
    </dataValidation>
    <dataValidation sqref="F29"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29 T29" showDropDown="0" showInputMessage="0" showErrorMessage="1" allowBlank="1" errorTitle="Valor fuera de rango" error="Escribe un valor entre 0 y 100." type="decimal" operator="between">
      <formula1>0</formula1>
      <formula2>100</formula2>
    </dataValidation>
    <dataValidation sqref="D30" showDropDown="0" showInputMessage="0" showErrorMessage="1" allowBlank="1" errorTitle="Importe no válido" error="Escribe un número mayor o igual que 0." type="decimal" operator="greaterThanOrEqual">
      <formula1>0</formula1>
    </dataValidation>
    <dataValidation sqref="F30"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30 T30" showDropDown="0" showInputMessage="0" showErrorMessage="1" allowBlank="1" errorTitle="Valor fuera de rango" error="Escribe un valor entre 0 y 100." type="decimal" operator="between">
      <formula1>0</formula1>
      <formula2>100</formula2>
    </dataValidation>
    <dataValidation sqref="D31" showDropDown="0" showInputMessage="0" showErrorMessage="1" allowBlank="1" errorTitle="Importe no válido" error="Escribe un número mayor o igual que 0." type="decimal" operator="greaterThanOrEqual">
      <formula1>0</formula1>
    </dataValidation>
    <dataValidation sqref="F31"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31 T31" showDropDown="0" showInputMessage="0" showErrorMessage="1" allowBlank="1" errorTitle="Valor fuera de rango" error="Escribe un valor entre 0 y 100." type="decimal" operator="between">
      <formula1>0</formula1>
      <formula2>100</formula2>
    </dataValidation>
    <dataValidation sqref="D32" showDropDown="0" showInputMessage="0" showErrorMessage="1" allowBlank="1" errorTitle="Importe no válido" error="Escribe un número mayor o igual que 0." type="decimal" operator="greaterThanOrEqual">
      <formula1>0</formula1>
    </dataValidation>
    <dataValidation sqref="F32"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32 T32" showDropDown="0" showInputMessage="0" showErrorMessage="1" allowBlank="1" errorTitle="Valor fuera de rango" error="Escribe un valor entre 0 y 100." type="decimal" operator="between">
      <formula1>0</formula1>
      <formula2>100</formula2>
    </dataValidation>
    <dataValidation sqref="D33" showDropDown="0" showInputMessage="0" showErrorMessage="1" allowBlank="1" errorTitle="Importe no válido" error="Escribe un número mayor o igual que 0." type="decimal" operator="greaterThanOrEqual">
      <formula1>0</formula1>
    </dataValidation>
    <dataValidation sqref="F33"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33 T33" showDropDown="0" showInputMessage="0" showErrorMessage="1" allowBlank="1" errorTitle="Valor fuera de rango" error="Escribe un valor entre 0 y 100." type="decimal" operator="between">
      <formula1>0</formula1>
      <formula2>100</formula2>
    </dataValidation>
    <dataValidation sqref="D34" showDropDown="0" showInputMessage="0" showErrorMessage="1" allowBlank="1" errorTitle="Importe no válido" error="Escribe un número mayor o igual que 0." type="decimal" operator="greaterThanOrEqual">
      <formula1>0</formula1>
    </dataValidation>
    <dataValidation sqref="F34"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34 T34" showDropDown="0" showInputMessage="0" showErrorMessage="1" allowBlank="1" errorTitle="Valor fuera de rango" error="Escribe un valor entre 0 y 100." type="decimal" operator="between">
      <formula1>0</formula1>
      <formula2>100</formula2>
    </dataValidation>
    <dataValidation sqref="D35" showDropDown="0" showInputMessage="0" showErrorMessage="1" allowBlank="1" errorTitle="Importe no válido" error="Escribe un número mayor o igual que 0." type="decimal" operator="greaterThanOrEqual">
      <formula1>0</formula1>
    </dataValidation>
    <dataValidation sqref="F35"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35 T35" showDropDown="0" showInputMessage="0" showErrorMessage="1" allowBlank="1" errorTitle="Valor fuera de rango" error="Escribe un valor entre 0 y 100." type="decimal" operator="between">
      <formula1>0</formula1>
      <formula2>100</formula2>
    </dataValidation>
    <dataValidation sqref="D36" showDropDown="0" showInputMessage="0" showErrorMessage="1" allowBlank="1" errorTitle="Importe no válido" error="Escribe un número mayor o igual que 0." type="decimal" operator="greaterThanOrEqual">
      <formula1>0</formula1>
    </dataValidation>
    <dataValidation sqref="F36"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36 T36" showDropDown="0" showInputMessage="0" showErrorMessage="1" allowBlank="1" errorTitle="Valor fuera de rango" error="Escribe un valor entre 0 y 100." type="decimal" operator="between">
      <formula1>0</formula1>
      <formula2>100</formula2>
    </dataValidation>
    <dataValidation sqref="D37" showDropDown="0" showInputMessage="0" showErrorMessage="1" allowBlank="1" errorTitle="Importe no válido" error="Escribe un número mayor o igual que 0." type="decimal" operator="greaterThanOrEqual">
      <formula1>0</formula1>
    </dataValidation>
    <dataValidation sqref="F37"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37 T37" showDropDown="0" showInputMessage="0" showErrorMessage="1" allowBlank="1" errorTitle="Valor fuera de rango" error="Escribe un valor entre 0 y 100." type="decimal" operator="between">
      <formula1>0</formula1>
      <formula2>100</formula2>
    </dataValidation>
    <dataValidation sqref="D38" showDropDown="0" showInputMessage="0" showErrorMessage="1" allowBlank="1" errorTitle="Importe no válido" error="Escribe un número mayor o igual que 0." type="decimal" operator="greaterThanOrEqual">
      <formula1>0</formula1>
    </dataValidation>
    <dataValidation sqref="F3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38 T38" showDropDown="0" showInputMessage="0" showErrorMessage="1" allowBlank="1" errorTitle="Valor fuera de rango" error="Escribe un valor entre 0 y 100." type="decimal" operator="between">
      <formula1>0</formula1>
      <formula2>100</formula2>
    </dataValidation>
    <dataValidation sqref="D39" showDropDown="0" showInputMessage="0" showErrorMessage="1" allowBlank="1" errorTitle="Importe no válido" error="Escribe un número mayor o igual que 0." type="decimal" operator="greaterThanOrEqual">
      <formula1>0</formula1>
    </dataValidation>
    <dataValidation sqref="F39"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39 T39" showDropDown="0" showInputMessage="0" showErrorMessage="1" allowBlank="1" errorTitle="Valor fuera de rango" error="Escribe un valor entre 0 y 100." type="decimal" operator="between">
      <formula1>0</formula1>
      <formula2>100</formula2>
    </dataValidation>
    <dataValidation sqref="D40" showDropDown="0" showInputMessage="0" showErrorMessage="1" allowBlank="1" errorTitle="Importe no válido" error="Escribe un número mayor o igual que 0." type="decimal" operator="greaterThanOrEqual">
      <formula1>0</formula1>
    </dataValidation>
    <dataValidation sqref="F40"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S40 T40" showDropDown="0" showInputMessage="0" showErrorMessage="1" allowBlank="1" errorTitle="Valor fuera de rango" error="Escribe un valor entre 0 y 100." type="decimal" operator="between">
      <formula1>0</formula1>
      <formula2>100</formula2>
    </dataValidation>
    <dataValidation sqref="G17 G18 G19 G20 G21 G22 G23 G24 G25 G26 G27 G28 G29 G30 G31 G32 G33 G34 G35 G36 G37 G38 G39 G40" showDropDown="0" showInputMessage="0" showErrorMessage="1" allowBlank="0" errorTitle="Vaso aparte" error="Elige «Sí» si al llevar el vaso de plástico se cobra aparte, o «No»." type="list">
      <formula1>=$A$47:$A$48</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25"/>
  <sheetViews>
    <sheetView workbookViewId="0">
      <selection activeCell="A1" sqref="A1"/>
    </sheetView>
  </sheetViews>
  <sheetFormatPr baseColWidth="8" defaultRowHeight="15"/>
  <cols>
    <col width="52" customWidth="1" min="1" max="1"/>
    <col width="15" customWidth="1" min="2" max="2"/>
    <col width="15" customWidth="1" min="3" max="3"/>
    <col width="80" customWidth="1" min="4" max="4"/>
  </cols>
  <sheetData>
    <row r="1">
      <c r="A1" s="1" t="inlineStr">
        <is>
          <t>Los Dos Márgenes</t>
        </is>
      </c>
    </row>
    <row r="2">
      <c r="A2" s="2" t="inlineStr">
        <is>
          <t>AI Chef Pro · aichef.pro — Cómo Montar una Churrería-Chocolatería</t>
        </is>
      </c>
    </row>
    <row r="3">
      <c r="A3" s="3" t="inlineStr">
        <is>
          <t>Dos márgenes que no son la misma cosa, al lado de las dos cifras publicadas con las que se suelen comparar. Cada cifra, con su definición pegada.</t>
        </is>
      </c>
    </row>
    <row r="4">
      <c r="A4" s="4" t="inlineStr">
        <is>
          <t>Tus Dos Márgenes (Salen de Tu Escandallo)</t>
        </is>
      </c>
    </row>
    <row r="5" ht="24" customHeight="1">
      <c r="A5" s="19" t="inlineStr">
        <is>
          <t>Margen</t>
        </is>
      </c>
      <c r="B5" s="19" t="inlineStr">
        <is>
          <t>Invierno</t>
        </is>
      </c>
      <c r="C5" s="19" t="inlineStr">
        <is>
          <t>Julio y agosto</t>
        </is>
      </c>
      <c r="D5" s="19" t="inlineStr">
        <is>
          <t>Definición</t>
        </is>
      </c>
    </row>
    <row r="6" ht="40" customHeight="1">
      <c r="A6" s="23" t="inlineStr">
        <is>
          <t>1. Margen sobre materia prima</t>
        </is>
      </c>
      <c r="B6" s="13">
        <f>'Mix y Ticket Canal y Temporada'!$D$9</f>
        <v>0.8691368159980482</v>
      </c>
      <c r="C6" s="13">
        <f>'Mix y Ticket Canal y Temporada'!$G$9</f>
        <v>0.8375419013168702</v>
      </c>
      <c r="D6" s="10" t="inlineStr">
        <is>
          <t>1 menos (materia prima más aceite absorbido) entre el ticket SIN IVA, con el mix de la temporada. Es el comparable al «más del 60 % en producto». Es el que usa el plan financiero (libro 6).</t>
        </is>
      </c>
    </row>
    <row r="7" ht="40" customHeight="1">
      <c r="A7" s="23" t="inlineStr">
        <is>
          <t>2. Margen tras aceite y mano de obra</t>
        </is>
      </c>
      <c r="B7" s="13">
        <f>IFERROR(1-('Mix y Ticket Canal y Temporada'!$D$7+'Coste Hora'!$B$8)/'Mix y Ticket Canal y Temporada'!$D$6,"")</f>
        <v>0.4121386952134384</v>
      </c>
      <c r="C7" s="13">
        <f>IFERROR(1-('Mix y Ticket Canal y Temporada'!$G$7+'Coste Hora'!$B$8)/'Mix y Ticket Canal y Temporada'!$G$6,"")</f>
        <v>0.3899382792663596</v>
      </c>
      <c r="D7" s="10" t="inlineStr">
        <is>
          <t>1 menos (materia, aceite absorbido y mano de obra por ración, de la hoja «Coste Hora») entre el ticket SIN IVA. Sin renta, suministros ni amortización: no es la rentabilidad del negocio, que sale del libro 6.</t>
        </is>
      </c>
    </row>
    <row r="8">
      <c r="A8" t="inlineStr">
        <is>
          <t>Margen 1 en euros por ración</t>
        </is>
      </c>
      <c r="B8" s="25">
        <f>'Mix y Ticket Canal y Temporada'!$D$8</f>
        <v>1.8785207091230536</v>
      </c>
      <c r="C8" s="25">
        <f>'Mix y Ticket Canal y Temporada'!$G$8</f>
        <v>1.8482265556877915</v>
      </c>
    </row>
    <row r="9">
      <c r="A9" t="inlineStr">
        <is>
          <t>Margen 2 en euros por ración</t>
        </is>
      </c>
      <c r="B9" s="25">
        <f>IFERROR('Mix y Ticket Canal y Temporada'!$D$6-'Mix y Ticket Canal y Temporada'!$D$7-'Coste Hora'!$B$8,"")</f>
        <v>0.8907815889726812</v>
      </c>
      <c r="C9" s="25">
        <f>IFERROR('Mix y Ticket Canal y Temporada'!$G$6-'Mix y Ticket Canal y Temporada'!$G$7-'Coste Hora'!$B$8,"")</f>
        <v>0.8604874355374191</v>
      </c>
    </row>
    <row r="10"/>
    <row r="11">
      <c r="A11" s="4" t="inlineStr">
        <is>
          <t>Con Qué se Suelen Comparar (Cada Una con Su Definición)</t>
        </is>
      </c>
    </row>
    <row r="12" ht="24" customHeight="1">
      <c r="A12" s="19" t="inlineStr">
        <is>
          <t>Quién lo publica</t>
        </is>
      </c>
      <c r="B12" s="19" t="inlineStr">
        <is>
          <t>Cifra (como número)</t>
        </is>
      </c>
      <c r="C12" s="19" t="inlineStr">
        <is>
          <t>Fuente</t>
        </is>
      </c>
      <c r="D12" s="19" t="inlineStr">
        <is>
          <t>Qué mide de verdad</t>
        </is>
      </c>
    </row>
    <row r="13" ht="34" customHeight="1">
      <c r="A13" s="6" t="inlineStr">
        <is>
          <t>Loomis Pay (proveedor de TPV)</t>
        </is>
      </c>
      <c r="B13" s="9" t="n">
        <v>0.6</v>
      </c>
      <c r="C13" t="inlineStr">
        <is>
          <t>CUS-01</t>
        </is>
      </c>
      <c r="D13" s="10" t="inlineStr">
        <is>
          <t>Dice: márgenes superiores al 60 % en producto. Qué mide: margen sobre materia prima, sin método publicado.</t>
        </is>
      </c>
    </row>
    <row r="14" ht="34" customHeight="1">
      <c r="A14" s="6" t="inlineStr">
        <is>
          <t>Javier, gestor de La Artesana (Palma)</t>
        </is>
      </c>
      <c r="B14" s="9" t="n">
        <v>0.5</v>
      </c>
      <c r="C14" t="inlineStr">
        <is>
          <t>CUS-30</t>
        </is>
      </c>
      <c r="D14" s="10" t="inlineStr">
        <is>
          <t>Dice: «un poquito más del 50 %». Qué mide: rentabilidad declarada de palabra, no un margen sobre materia prima.</t>
        </is>
      </c>
    </row>
    <row r="15" ht="30" customHeight="1">
      <c r="A15" s="10" t="inlineStr">
        <is>
          <t>Fiabilidad baja la del «un poquito más del 50 %»: lo dice de palabra el gestor de La Artesana en una entrevista, sin método. Ninguna de las dos cifras entra en el plan financiero.</t>
        </is>
      </c>
    </row>
    <row r="16">
      <c r="A16" s="4" t="inlineStr">
        <is>
          <t>La Comparación, en Invierno</t>
        </is>
      </c>
    </row>
    <row r="17"/>
    <row r="18" ht="28" customHeight="1">
      <c r="A18" s="6" t="inlineStr">
        <is>
          <t>Tu margen 1 frente a «más del 60 % en producto»</t>
        </is>
      </c>
      <c r="B18" s="39" t="str">
        <f>IF(NOT(ISNUMBER(B6)),"",IF(B6&gt;B13,"Por encima: tu carta deja más sobre materia que esa referencia","Por debajo: revisa precios o mermas antes de abrir"))</f>
        <v>Por encima: tu carta deja más sobre materia que esa referencia</v>
      </c>
    </row>
    <row r="19" ht="28" customHeight="1">
      <c r="A19" s="6" t="inlineStr">
        <is>
          <t>Tu margen 2 frente al «un poquito más del 50 %»</t>
        </is>
      </c>
      <c r="B19" s="39" t="str">
        <f>IF(NOT(ISNUMBER(B7)),"",IF(B7&gt;B14,"Por encima, con cautela: aquella cifra es rentabilidad declarada, no este margen","Por debajo, con cautela: aquella cifra es rentabilidad declarada, no este margen"))</f>
        <v>Por debajo, con cautela: aquella cifra es rentabilidad declarada, no este margen</v>
      </c>
    </row>
    <row r="20" ht="28" customHeight="1">
      <c r="A20" s="6" t="inlineStr">
        <is>
          <t>Puntos de diferencia del margen 1</t>
        </is>
      </c>
      <c r="B20" s="13">
        <f>IFERROR(B6-B13,"")</f>
        <v>0.2691368159980482</v>
      </c>
    </row>
    <row r="21" ht="28" customHeight="1">
      <c r="A21" s="6" t="inlineStr">
        <is>
          <t>Puntos de diferencia del margen 2</t>
        </is>
      </c>
      <c r="B21" s="13">
        <f>IFERROR(B7-B14,"")</f>
        <v>-0.08786130478656162</v>
      </c>
    </row>
    <row r="22"/>
    <row r="23" ht="54" customHeight="1">
      <c r="A23" s="10" t="inlineStr">
        <is>
          <t>Por qué dos márgenes: el primero dice si el PRECIO cubre la materia; el segundo, si además cubre las manos que la fríen. Un margen sobre materia muy alto es normal en una churrería, porque la masa es barata: lo caro es la madrugada. Por eso el plan financiero toma el margen 1 de tu escandallo y resta la nómina aparte.</t>
        </is>
      </c>
    </row>
    <row r="24"/>
    <row r="25">
      <c r="A25"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4">
    <mergeCell ref="A15:D15"/>
    <mergeCell ref="A23:D23"/>
    <mergeCell ref="B19:D19"/>
    <mergeCell ref="B18:D18"/>
  </mergeCells>
  <conditionalFormatting sqref="B20">
    <cfRule type="expression" priority="1" dxfId="0" stopIfTrue="1">
      <formula>=AND(ISNUMBER($B$20),$B$20&lt;0)</formula>
    </cfRule>
  </conditionalFormatting>
  <conditionalFormatting sqref="B21">
    <cfRule type="expression" priority="2" dxfId="0" stopIfTrue="1">
      <formula>=AND(ISNUMBER($B$21),$B$21&lt;0)</formula>
    </cfRule>
  </conditionalFormatting>
  <dataValidations count="2">
    <dataValidation sqref="B13"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4"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M41"/>
  <sheetViews>
    <sheetView workbookViewId="0">
      <pane ySplit="6" topLeftCell="A7" activePane="bottomLeft" state="frozen"/>
      <selection pane="bottomLeft" activeCell="A1" sqref="A1"/>
    </sheetView>
  </sheetViews>
  <sheetFormatPr baseColWidth="8" defaultRowHeight="15"/>
  <cols>
    <col width="38" customWidth="1" min="1" max="1"/>
    <col width="18" customWidth="1" min="2" max="2"/>
    <col width="12" customWidth="1" min="3" max="3"/>
    <col width="12" customWidth="1" min="4" max="4"/>
    <col width="12" customWidth="1" min="5" max="5"/>
    <col width="11" customWidth="1" min="6" max="6"/>
    <col width="10" customWidth="1" min="7" max="7"/>
    <col width="10" customWidth="1" min="8" max="8"/>
    <col width="13" customWidth="1" min="9" max="9"/>
    <col width="11" customWidth="1" min="10" max="10"/>
    <col width="11" customWidth="1" min="11" max="11"/>
    <col width="16" customWidth="1" min="12" max="12"/>
    <col width="56" customWidth="1" min="13" max="13"/>
  </cols>
  <sheetData>
    <row r="1">
      <c r="A1" s="1" t="inlineStr">
        <is>
          <t>Decisión de Surtido</t>
        </is>
      </c>
    </row>
    <row r="2">
      <c r="A2" s="2" t="inlineStr">
        <is>
          <t>AI Chef Pro · aichef.pro — Cómo Montar una Churrería-Chocolatería</t>
        </is>
      </c>
    </row>
    <row r="3">
      <c r="A3" s="3" t="inlineStr">
        <is>
          <t>Margen en EUROS por unidad contra rotación. Los dos umbrales están en «Parámetros» y son criterio de la casa.</t>
        </is>
      </c>
    </row>
    <row r="4"/>
    <row r="5"/>
    <row r="6" ht="60" customHeight="1">
      <c r="A6" s="19" t="inlineStr">
        <is>
          <t>Id y referencia</t>
        </is>
      </c>
      <c r="B6" s="19" t="inlineStr">
        <is>
          <t>Familia</t>
        </is>
      </c>
      <c r="C6" s="19" t="inlineStr">
        <is>
          <t>Ingreso medio SIN IVA (EUR)</t>
        </is>
      </c>
      <c r="D6" s="19" t="inlineStr">
        <is>
          <t>Materia media (EUR)</t>
        </is>
      </c>
      <c r="E6" s="19" t="inlineStr">
        <is>
          <t>Margen por unidad (EUR)</t>
        </is>
      </c>
      <c r="F6" s="19" t="inlineStr">
        <is>
          <t>Margen sobre ingreso</t>
        </is>
      </c>
      <c r="G6" s="19" t="inlineStr">
        <is>
          <t>Mix de invierno (%)</t>
        </is>
      </c>
      <c r="H6" s="19" t="inlineStr">
        <is>
          <t>Mix de julio y agosto (%)</t>
        </is>
      </c>
      <c r="I6" s="19" t="inlineStr">
        <is>
          <t>Margen cada 100 raciones de invierno (EUR)</t>
        </is>
      </c>
      <c r="J6" s="19" t="inlineStr">
        <is>
          <t>¿Margen por encima del umbral?</t>
        </is>
      </c>
      <c r="K6" s="19" t="inlineStr">
        <is>
          <t>¿Rotación por encima del umbral?</t>
        </is>
      </c>
      <c r="L6" s="19" t="inlineStr">
        <is>
          <t>Veredicto</t>
        </is>
      </c>
      <c r="M6" s="19" t="inlineStr">
        <is>
          <t>Qué hacer</t>
        </is>
      </c>
    </row>
    <row r="7" ht="30" customHeight="1">
      <c r="A7" s="6" t="inlineStr">
        <is>
          <t>CH1 · Ración de churros (6 uds)</t>
        </is>
      </c>
      <c r="B7" s="6" t="inlineStr">
        <is>
          <t>Churros y porras</t>
        </is>
      </c>
      <c r="C7" s="25">
        <f>'Mix y Ticket Canal y Temporada'!$O$17</f>
        <v>2.3636363636363633</v>
      </c>
      <c r="D7" s="25">
        <f>'Mix y Ticket Canal y Temporada'!$R$17</f>
        <v>0.11687162471395879</v>
      </c>
      <c r="E7" s="26">
        <f>IFERROR(C7-D7,"")</f>
        <v>2.2467647389224044</v>
      </c>
      <c r="F7" s="20">
        <f>IFERROR(E7/C7,"")</f>
        <v>0.9505543126210173</v>
      </c>
      <c r="G7" s="50">
        <f>'Mix y Ticket Canal y Temporada'!$S$17</f>
        <v>20.0</v>
      </c>
      <c r="H7" s="50">
        <f>'Mix y Ticket Canal y Temporada'!$T$17</f>
        <v>12.0</v>
      </c>
      <c r="I7" s="37">
        <f>IFERROR(E7*G7,"")</f>
        <v>44.93529477844809</v>
      </c>
      <c r="J7" t="str">
        <f>IF(NOT(ISNUMBER(E7)),"",IF(E7&gt;='Parámetros'!$B$28,"Sí","No"))</f>
        <v>Sí</v>
      </c>
      <c r="K7" t="str">
        <f>IF(MAX(G7,H7)&gt;='Parámetros'!$B$29,"Sí","No")</f>
        <v>Sí</v>
      </c>
      <c r="L7" s="23" t="str">
        <f>IF(OR(J7="",K7=""),"",IF(AND(J7="Sí",K7="Sí"),"Mantener",IF(AND(J7="No",K7="Sí"),"Revisar precio",IF(J7="Sí","Vigilar rotación","Retirar"))))</f>
        <v>Mantener</v>
      </c>
      <c r="M7" s="10" t="inlineStr">
        <is>
          <t>Si sale «Revisar precio», mira primero el PVP y el canal en «Mix y Ticket Canal y Temporada»; si sale «Vigilar rotación», cuánto stock y cuánta carta ocupa.</t>
        </is>
      </c>
    </row>
    <row r="8" ht="30" customHeight="1">
      <c r="A8" s="6" t="inlineStr">
        <is>
          <t>CH2 · Media ración de churros (3 uds)</t>
        </is>
      </c>
      <c r="B8" s="6" t="inlineStr">
        <is>
          <t>Churros y porras</t>
        </is>
      </c>
      <c r="C8" s="25">
        <f>'Mix y Ticket Canal y Temporada'!$O$18</f>
        <v>1.2727272727272725</v>
      </c>
      <c r="D8" s="25">
        <f>'Mix y Ticket Canal y Temporada'!$R$18</f>
        <v>0.0471858123569794</v>
      </c>
      <c r="E8" s="26">
        <f>IFERROR(C8-D8,"")</f>
        <v>1.225541460370293</v>
      </c>
      <c r="F8" s="20">
        <f>IFERROR(E8/C8,"")</f>
        <v>0.9629254331480875</v>
      </c>
      <c r="G8" s="50">
        <f>'Mix y Ticket Canal y Temporada'!$S$18</f>
        <v>4.0</v>
      </c>
      <c r="H8" s="50">
        <f>'Mix y Ticket Canal y Temporada'!$T$18</f>
        <v>3.0</v>
      </c>
      <c r="I8" s="37">
        <f>IFERROR(E8*G8,"")</f>
        <v>4.902165841481172</v>
      </c>
      <c r="J8" t="str">
        <f>IF(NOT(ISNUMBER(E8)),"",IF(E8&gt;='Parámetros'!$B$28,"Sí","No"))</f>
        <v>Sí</v>
      </c>
      <c r="K8" t="str">
        <f>IF(MAX(G8,H8)&gt;='Parámetros'!$B$29,"Sí","No")</f>
        <v>Sí</v>
      </c>
      <c r="L8" s="23" t="str">
        <f>IF(OR(J8="",K8=""),"",IF(AND(J8="Sí",K8="Sí"),"Mantener",IF(AND(J8="No",K8="Sí"),"Revisar precio",IF(J8="Sí","Vigilar rotación","Retirar"))))</f>
        <v>Mantener</v>
      </c>
      <c r="M8" s="10" t="inlineStr">
        <is>
          <t>Si sale «Revisar precio», mira primero el PVP y el canal en «Mix y Ticket Canal y Temporada»; si sale «Vigilar rotación», cuánto stock y cuánta carta ocupa.</t>
        </is>
      </c>
    </row>
    <row r="9" ht="30" customHeight="1">
      <c r="A9" s="6" t="inlineStr">
        <is>
          <t>CH3 · Ración de porras (3 uds)</t>
        </is>
      </c>
      <c r="B9" s="6" t="inlineStr">
        <is>
          <t>Churros y porras</t>
        </is>
      </c>
      <c r="C9" s="25">
        <f>'Mix y Ticket Canal y Temporada'!$O$19</f>
        <v>2.4545454545454546</v>
      </c>
      <c r="D9" s="25">
        <f>'Mix y Ticket Canal y Temporada'!$R$19</f>
        <v>0.17905743707093819</v>
      </c>
      <c r="E9" s="26">
        <f>IFERROR(C9-D9,"")</f>
        <v>2.2754880174745162</v>
      </c>
      <c r="F9" s="20">
        <f>IFERROR(E9/C9,"")</f>
        <v>0.927050673785914</v>
      </c>
      <c r="G9" s="50">
        <f>'Mix y Ticket Canal y Temporada'!$S$19</f>
        <v>6.0</v>
      </c>
      <c r="H9" s="50">
        <f>'Mix y Ticket Canal y Temporada'!$T$19</f>
        <v>3.0</v>
      </c>
      <c r="I9" s="37">
        <f>IFERROR(E9*G9,"")</f>
        <v>13.652928104847097</v>
      </c>
      <c r="J9" t="str">
        <f>IF(NOT(ISNUMBER(E9)),"",IF(E9&gt;='Parámetros'!$B$28,"Sí","No"))</f>
        <v>Sí</v>
      </c>
      <c r="K9" t="str">
        <f>IF(MAX(G9,H9)&gt;='Parámetros'!$B$29,"Sí","No")</f>
        <v>Sí</v>
      </c>
      <c r="L9" s="23" t="str">
        <f>IF(OR(J9="",K9=""),"",IF(AND(J9="Sí",K9="Sí"),"Mantener",IF(AND(J9="No",K9="Sí"),"Revisar precio",IF(J9="Sí","Vigilar rotación","Retirar"))))</f>
        <v>Mantener</v>
      </c>
      <c r="M9" s="10" t="inlineStr">
        <is>
          <t>Si sale «Revisar precio», mira primero el PVP y el canal en «Mix y Ticket Canal y Temporada»; si sale «Vigilar rotación», cuánto stock y cuánta carta ocupa.</t>
        </is>
      </c>
    </row>
    <row r="10" ht="30" customHeight="1">
      <c r="A10" s="6" t="inlineStr">
        <is>
          <t>CH4 · Churro suelto</t>
        </is>
      </c>
      <c r="B10" s="6" t="inlineStr">
        <is>
          <t>Churros y porras</t>
        </is>
      </c>
      <c r="C10" s="25">
        <f>'Mix y Ticket Canal y Temporada'!$O$20</f>
        <v>0.2727272727272727</v>
      </c>
      <c r="D10" s="25">
        <f>'Mix y Ticket Canal y Temporada'!$R$20</f>
        <v>0.03572860411899313</v>
      </c>
      <c r="E10" s="26">
        <f>IFERROR(C10-D10,"")</f>
        <v>0.23699866860827956</v>
      </c>
      <c r="F10" s="20">
        <f>IFERROR(E10/C10,"")</f>
        <v>0.8689951182303585</v>
      </c>
      <c r="G10" s="50">
        <f>'Mix y Ticket Canal y Temporada'!$S$20</f>
        <v>6.0</v>
      </c>
      <c r="H10" s="50">
        <f>'Mix y Ticket Canal y Temporada'!$T$20</f>
        <v>4.0</v>
      </c>
      <c r="I10" s="37">
        <f>IFERROR(E10*G10,"")</f>
        <v>1.4219920116496774</v>
      </c>
      <c r="J10" t="str">
        <f>IF(NOT(ISNUMBER(E10)),"",IF(E10&gt;='Parámetros'!$B$28,"Sí","No"))</f>
        <v>No</v>
      </c>
      <c r="K10" t="str">
        <f>IF(MAX(G10,H10)&gt;='Parámetros'!$B$29,"Sí","No")</f>
        <v>Sí</v>
      </c>
      <c r="L10" s="23" t="str">
        <f>IF(OR(J10="",K10=""),"",IF(AND(J10="Sí",K10="Sí"),"Mantener",IF(AND(J10="No",K10="Sí"),"Revisar precio",IF(J10="Sí","Vigilar rotación","Retirar"))))</f>
        <v>Revisar precio</v>
      </c>
      <c r="M10" s="10" t="inlineStr">
        <is>
          <t>La pieza suelta deja poco por unidad y mucho por kilo de masa: mira la hoja «Ración, Docena o Kilo» antes de tocarle el precio.</t>
        </is>
      </c>
    </row>
    <row r="11" ht="30" customHeight="1">
      <c r="A11" s="6" t="inlineStr">
        <is>
          <t>CH5 · Porra suelta</t>
        </is>
      </c>
      <c r="B11" s="6" t="inlineStr">
        <is>
          <t>Churros y porras</t>
        </is>
      </c>
      <c r="C11" s="25">
        <f>'Mix y Ticket Canal y Temporada'!$O$21</f>
        <v>0.5454545454545454</v>
      </c>
      <c r="D11" s="25">
        <f>'Mix y Ticket Canal y Temporada'!$R$21</f>
        <v>0.0671858123569794</v>
      </c>
      <c r="E11" s="26">
        <f>IFERROR(C11-D11,"")</f>
        <v>0.478268733097566</v>
      </c>
      <c r="F11" s="20">
        <f>IFERROR(E11/C11,"")</f>
        <v>0.8768260106788711</v>
      </c>
      <c r="G11" s="50">
        <f>'Mix y Ticket Canal y Temporada'!$S$21</f>
        <v>3.0</v>
      </c>
      <c r="H11" s="50">
        <f>'Mix y Ticket Canal y Temporada'!$T$21</f>
        <v>2.0</v>
      </c>
      <c r="I11" s="37">
        <f>IFERROR(E11*G11,"")</f>
        <v>1.434806199292698</v>
      </c>
      <c r="J11" t="str">
        <f>IF(NOT(ISNUMBER(E11)),"",IF(E11&gt;='Parámetros'!$B$28,"Sí","No"))</f>
        <v>No</v>
      </c>
      <c r="K11" t="str">
        <f>IF(MAX(G11,H11)&gt;='Parámetros'!$B$29,"Sí","No")</f>
        <v>Sí</v>
      </c>
      <c r="L11" s="23" t="str">
        <f>IF(OR(J11="",K11=""),"",IF(AND(J11="Sí",K11="Sí"),"Mantener",IF(AND(J11="No",K11="Sí"),"Revisar precio",IF(J11="Sí","Vigilar rotación","Retirar"))))</f>
        <v>Revisar precio</v>
      </c>
      <c r="M11" s="10" t="inlineStr">
        <is>
          <t>La pieza suelta deja poco por unidad y mucho por kilo de masa: mira la hoja «Ración, Docena o Kilo» antes de tocarle el precio.</t>
        </is>
      </c>
    </row>
    <row r="12" ht="30" customHeight="1">
      <c r="A12" s="6" t="inlineStr">
        <is>
          <t>CH6 · Docena de churros para llevar</t>
        </is>
      </c>
      <c r="B12" s="6" t="inlineStr">
        <is>
          <t>Churros y porras</t>
        </is>
      </c>
      <c r="C12" s="25">
        <f>'Mix y Ticket Canal y Temporada'!$O$22</f>
        <v>3.1818181818181817</v>
      </c>
      <c r="D12" s="25">
        <f>'Mix y Ticket Canal y Temporada'!$R$22</f>
        <v>0.33874324942791756</v>
      </c>
      <c r="E12" s="26">
        <f>IFERROR(C12-D12,"")</f>
        <v>2.843074932390264</v>
      </c>
      <c r="F12" s="20">
        <f>IFERROR(E12/C12,"")</f>
        <v>0.8935378358940831</v>
      </c>
      <c r="G12" s="50">
        <f>'Mix y Ticket Canal y Temporada'!$S$22</f>
        <v>6.0</v>
      </c>
      <c r="H12" s="50">
        <f>'Mix y Ticket Canal y Temporada'!$T$22</f>
        <v>3.0</v>
      </c>
      <c r="I12" s="37">
        <f>IFERROR(E12*G12,"")</f>
        <v>17.058449594341585</v>
      </c>
      <c r="J12" t="str">
        <f>IF(NOT(ISNUMBER(E12)),"",IF(E12&gt;='Parámetros'!$B$28,"Sí","No"))</f>
        <v>Sí</v>
      </c>
      <c r="K12" t="str">
        <f>IF(MAX(G12,H12)&gt;='Parámetros'!$B$29,"Sí","No")</f>
        <v>Sí</v>
      </c>
      <c r="L12" s="23" t="str">
        <f>IF(OR(J12="",K12=""),"",IF(AND(J12="Sí",K12="Sí"),"Mantener",IF(AND(J12="No",K12="Sí"),"Revisar precio",IF(J12="Sí","Vigilar rotación","Retirar"))))</f>
        <v>Mantener</v>
      </c>
      <c r="M12" s="10" t="inlineStr">
        <is>
          <t>Si sale «Revisar precio», mira primero el PVP y el canal en «Mix y Ticket Canal y Temporada»; si sale «Vigilar rotación», cuánto stock y cuánta carta ocupa.</t>
        </is>
      </c>
    </row>
    <row r="13" ht="30" customHeight="1">
      <c r="A13" s="6" t="inlineStr">
        <is>
          <t>CH7 · Kilo de churros para llevar</t>
        </is>
      </c>
      <c r="B13" s="6" t="inlineStr">
        <is>
          <t>Churros y porras</t>
        </is>
      </c>
      <c r="C13" s="25">
        <f>'Mix y Ticket Canal y Temporada'!$O$23</f>
        <v>9.09090909090909</v>
      </c>
      <c r="D13" s="25">
        <f>'Mix y Ticket Canal y Temporada'!$R$23</f>
        <v>1.123811339944063</v>
      </c>
      <c r="E13" s="26">
        <f>IFERROR(C13-D13,"")</f>
        <v>7.967097750965027</v>
      </c>
      <c r="F13" s="20">
        <f>IFERROR(E13/C13,"")</f>
        <v>0.876380752606153</v>
      </c>
      <c r="G13" s="50">
        <f>'Mix y Ticket Canal y Temporada'!$S$23</f>
        <v>2.0</v>
      </c>
      <c r="H13" s="50">
        <f>'Mix y Ticket Canal y Temporada'!$T$23</f>
        <v>1.0</v>
      </c>
      <c r="I13" s="37">
        <f>IFERROR(E13*G13,"")</f>
        <v>15.934195501930054</v>
      </c>
      <c r="J13" t="str">
        <f>IF(NOT(ISNUMBER(E13)),"",IF(E13&gt;='Parámetros'!$B$28,"Sí","No"))</f>
        <v>Sí</v>
      </c>
      <c r="K13" t="str">
        <f>IF(MAX(G13,H13)&gt;='Parámetros'!$B$29,"Sí","No")</f>
        <v>Sí</v>
      </c>
      <c r="L13" s="23" t="str">
        <f>IF(OR(J13="",K13=""),"",IF(AND(J13="Sí",K13="Sí"),"Mantener",IF(AND(J13="No",K13="Sí"),"Revisar precio",IF(J13="Sí","Vigilar rotación","Retirar"))))</f>
        <v>Mantener</v>
      </c>
      <c r="M13" s="10" t="inlineStr">
        <is>
          <t>Si sale «Revisar precio», mira primero el PVP y el canal en «Mix y Ticket Canal y Temporada»; si sale «Vigilar rotación», cuánto stock y cuánta carta ocupa.</t>
        </is>
      </c>
    </row>
    <row r="14" ht="30" customHeight="1">
      <c r="A14" s="6" t="inlineStr">
        <is>
          <t>RE1 · Churro relleno de chocolate (ud)</t>
        </is>
      </c>
      <c r="B14" s="6" t="inlineStr">
        <is>
          <t>Rellenos y especiales</t>
        </is>
      </c>
      <c r="C14" s="25">
        <f>'Mix y Ticket Canal y Temporada'!$O$24</f>
        <v>1.0909090909090908</v>
      </c>
      <c r="D14" s="25">
        <f>'Mix y Ticket Canal y Temporada'!$R$24</f>
        <v>0.17718581235697942</v>
      </c>
      <c r="E14" s="26">
        <f>IFERROR(C14-D14,"")</f>
        <v>0.9137232785521114</v>
      </c>
      <c r="F14" s="20">
        <f>IFERROR(E14/C14,"")</f>
        <v>0.8375796720061022</v>
      </c>
      <c r="G14" s="50">
        <f>'Mix y Ticket Canal y Temporada'!$S$24</f>
        <v>3.0</v>
      </c>
      <c r="H14" s="50">
        <f>'Mix y Ticket Canal y Temporada'!$T$24</f>
        <v>2.0</v>
      </c>
      <c r="I14" s="37">
        <f>IFERROR(E14*G14,"")</f>
        <v>2.7411698356563345</v>
      </c>
      <c r="J14" t="str">
        <f>IF(NOT(ISNUMBER(E14)),"",IF(E14&gt;='Parámetros'!$B$28,"Sí","No"))</f>
        <v>Sí</v>
      </c>
      <c r="K14" t="str">
        <f>IF(MAX(G14,H14)&gt;='Parámetros'!$B$29,"Sí","No")</f>
        <v>Sí</v>
      </c>
      <c r="L14" s="23" t="str">
        <f>IF(OR(J14="",K14=""),"",IF(AND(J14="Sí",K14="Sí"),"Mantener",IF(AND(J14="No",K14="Sí"),"Revisar precio",IF(J14="Sí","Vigilar rotación","Retirar"))))</f>
        <v>Mantener</v>
      </c>
      <c r="M14" s="10" t="inlineStr">
        <is>
          <t>Si sale «Revisar precio», mira primero el PVP y el canal en «Mix y Ticket Canal y Temporada»; si sale «Vigilar rotación», cuánto stock y cuánta carta ocupa.</t>
        </is>
      </c>
    </row>
    <row r="15" ht="30" customHeight="1">
      <c r="A15" s="6" t="inlineStr">
        <is>
          <t>RE2 · Ración de churros con cobertura de chocolate (6 uds)</t>
        </is>
      </c>
      <c r="B15" s="6" t="inlineStr">
        <is>
          <t>Rellenos y especiales</t>
        </is>
      </c>
      <c r="C15" s="25">
        <f>'Mix y Ticket Canal y Temporada'!$O$25</f>
        <v>3.1818181818181817</v>
      </c>
      <c r="D15" s="25">
        <f>'Mix y Ticket Canal y Temporada'!$R$25</f>
        <v>0.28937162471395883</v>
      </c>
      <c r="E15" s="26">
        <f>IFERROR(C15-D15,"")</f>
        <v>2.892446557104223</v>
      </c>
      <c r="F15" s="20">
        <f>IFERROR(E15/C15,"")</f>
        <v>0.9090546322327558</v>
      </c>
      <c r="G15" s="50">
        <f>'Mix y Ticket Canal y Temporada'!$S$25</f>
        <v>2.0</v>
      </c>
      <c r="H15" s="50">
        <f>'Mix y Ticket Canal y Temporada'!$T$25</f>
        <v>1.0</v>
      </c>
      <c r="I15" s="37">
        <f>IFERROR(E15*G15,"")</f>
        <v>5.784893114208446</v>
      </c>
      <c r="J15" t="str">
        <f>IF(NOT(ISNUMBER(E15)),"",IF(E15&gt;='Parámetros'!$B$28,"Sí","No"))</f>
        <v>Sí</v>
      </c>
      <c r="K15" t="str">
        <f>IF(MAX(G15,H15)&gt;='Parámetros'!$B$29,"Sí","No")</f>
        <v>Sí</v>
      </c>
      <c r="L15" s="23" t="str">
        <f>IF(OR(J15="",K15=""),"",IF(AND(J15="Sí",K15="Sí"),"Mantener",IF(AND(J15="No",K15="Sí"),"Revisar precio",IF(J15="Sí","Vigilar rotación","Retirar"))))</f>
        <v>Mantener</v>
      </c>
      <c r="M15" s="10" t="inlineStr">
        <is>
          <t>Si sale «Revisar precio», mira primero el PVP y el canal en «Mix y Ticket Canal y Temporada»; si sale «Vigilar rotación», cuánto stock y cuánta carta ocupa.</t>
        </is>
      </c>
    </row>
    <row r="16" ht="30" customHeight="1">
      <c r="A16" s="6" t="inlineStr">
        <is>
          <t>CT1 · Chocolate a la taza en barra</t>
        </is>
      </c>
      <c r="B16" s="6" t="inlineStr">
        <is>
          <t>Chocolate a la taza</t>
        </is>
      </c>
      <c r="C16" s="25">
        <f>'Mix y Ticket Canal y Temporada'!$O$26</f>
        <v>1.8181818181818181</v>
      </c>
      <c r="D16" s="25">
        <f>'Mix y Ticket Canal y Temporada'!$R$26</f>
        <v>0.43744186046511635</v>
      </c>
      <c r="E16" s="26">
        <f>IFERROR(C16-D16,"")</f>
        <v>1.3807399577167017</v>
      </c>
      <c r="F16" s="20">
        <f>IFERROR(E16/C16,"")</f>
        <v>0.7594069767441859</v>
      </c>
      <c r="G16" s="50">
        <f>'Mix y Ticket Canal y Temporada'!$S$26</f>
        <v>12.0</v>
      </c>
      <c r="H16" s="50">
        <f>'Mix y Ticket Canal y Temporada'!$T$26</f>
        <v>4.0</v>
      </c>
      <c r="I16" s="37">
        <f>IFERROR(E16*G16,"")</f>
        <v>16.56887949260042</v>
      </c>
      <c r="J16" t="str">
        <f>IF(NOT(ISNUMBER(E16)),"",IF(E16&gt;='Parámetros'!$B$28,"Sí","No"))</f>
        <v>Sí</v>
      </c>
      <c r="K16" t="str">
        <f>IF(MAX(G16,H16)&gt;='Parámetros'!$B$29,"Sí","No")</f>
        <v>Sí</v>
      </c>
      <c r="L16" s="23" t="str">
        <f>IF(OR(J16="",K16=""),"",IF(AND(J16="Sí",K16="Sí"),"Mantener",IF(AND(J16="No",K16="Sí"),"Revisar precio",IF(J16="Sí","Vigilar rotación","Retirar"))))</f>
        <v>Mantener</v>
      </c>
      <c r="M16" s="10" t="inlineStr">
        <is>
          <t>Si sale «Revisar precio», mira primero el PVP y el canal en «Mix y Ticket Canal y Temporada»; si sale «Vigilar rotación», cuánto stock y cuánta carta ocupa.</t>
        </is>
      </c>
    </row>
    <row r="17" ht="30" customHeight="1">
      <c r="A17" s="6" t="inlineStr">
        <is>
          <t>CT2 · Chocolate a la taza en terraza</t>
        </is>
      </c>
      <c r="B17" s="6" t="inlineStr">
        <is>
          <t>Chocolate a la taza</t>
        </is>
      </c>
      <c r="C17" s="25">
        <f>'Mix y Ticket Canal y Temporada'!$O$27</f>
        <v>2.2727272727272725</v>
      </c>
      <c r="D17" s="25">
        <f>'Mix y Ticket Canal y Temporada'!$R$27</f>
        <v>0.43744186046511635</v>
      </c>
      <c r="E17" s="26">
        <f>IFERROR(C17-D17,"")</f>
        <v>1.8352854122621562</v>
      </c>
      <c r="F17" s="20">
        <f>IFERROR(E17/C17,"")</f>
        <v>0.8075255813953488</v>
      </c>
      <c r="G17" s="50">
        <f>'Mix y Ticket Canal y Temporada'!$S$27</f>
        <v>4.0</v>
      </c>
      <c r="H17" s="50">
        <f>'Mix y Ticket Canal y Temporada'!$T$27</f>
        <v>2.0</v>
      </c>
      <c r="I17" s="37">
        <f>IFERROR(E17*G17,"")</f>
        <v>7.341141649048625</v>
      </c>
      <c r="J17" t="str">
        <f>IF(NOT(ISNUMBER(E17)),"",IF(E17&gt;='Parámetros'!$B$28,"Sí","No"))</f>
        <v>Sí</v>
      </c>
      <c r="K17" t="str">
        <f>IF(MAX(G17,H17)&gt;='Parámetros'!$B$29,"Sí","No")</f>
        <v>Sí</v>
      </c>
      <c r="L17" s="23" t="str">
        <f>IF(OR(J17="",K17=""),"",IF(AND(J17="Sí",K17="Sí"),"Mantener",IF(AND(J17="No",K17="Sí"),"Revisar precio",IF(J17="Sí","Vigilar rotación","Retirar"))))</f>
        <v>Mantener</v>
      </c>
      <c r="M17" s="10" t="inlineStr">
        <is>
          <t>Si sale «Revisar precio», mira primero el PVP y el canal en «Mix y Ticket Canal y Temporada»; si sale «Vigilar rotación», cuánto stock y cuánta carta ocupa.</t>
        </is>
      </c>
    </row>
    <row r="18" ht="30" customHeight="1">
      <c r="A18" s="6" t="inlineStr">
        <is>
          <t>CT3 · Chocolate con churros (taza y ración de 6)</t>
        </is>
      </c>
      <c r="B18" s="6" t="inlineStr">
        <is>
          <t>Chocolate a la taza</t>
        </is>
      </c>
      <c r="C18" s="25">
        <f>'Mix y Ticket Canal y Temporada'!$O$28</f>
        <v>3.454545454545454</v>
      </c>
      <c r="D18" s="25">
        <f>'Mix y Ticket Canal y Temporada'!$R$28</f>
        <v>0.5318134851790751</v>
      </c>
      <c r="E18" s="26">
        <f>IFERROR(C18-D18,"")</f>
        <v>2.922731969366379</v>
      </c>
      <c r="F18" s="20">
        <f>IFERROR(E18/C18,"")</f>
        <v>0.8460539911323729</v>
      </c>
      <c r="G18" s="50">
        <f>'Mix y Ticket Canal y Temporada'!$S$28</f>
        <v>10.0</v>
      </c>
      <c r="H18" s="50">
        <f>'Mix y Ticket Canal y Temporada'!$T$28</f>
        <v>4.0</v>
      </c>
      <c r="I18" s="37">
        <f>IFERROR(E18*G18,"")</f>
        <v>29.227319693663787</v>
      </c>
      <c r="J18" t="str">
        <f>IF(NOT(ISNUMBER(E18)),"",IF(E18&gt;='Parámetros'!$B$28,"Sí","No"))</f>
        <v>Sí</v>
      </c>
      <c r="K18" t="str">
        <f>IF(MAX(G18,H18)&gt;='Parámetros'!$B$29,"Sí","No")</f>
        <v>Sí</v>
      </c>
      <c r="L18" s="23" t="str">
        <f>IF(OR(J18="",K18=""),"",IF(AND(J18="Sí",K18="Sí"),"Mantener",IF(AND(J18="No",K18="Sí"),"Revisar precio",IF(J18="Sí","Vigilar rotación","Retirar"))))</f>
        <v>Mantener</v>
      </c>
      <c r="M18" s="10" t="inlineStr">
        <is>
          <t>Si sale «Revisar precio», mira primero el PVP y el canal en «Mix y Ticket Canal y Temporada»; si sale «Vigilar rotación», cuánto stock y cuánta carta ocupa.</t>
        </is>
      </c>
    </row>
    <row r="19" ht="30" customHeight="1">
      <c r="A19" s="6" t="inlineStr">
        <is>
          <t>CT4 · Chocolate a la taza para llevar</t>
        </is>
      </c>
      <c r="B19" s="6" t="inlineStr">
        <is>
          <t>Chocolate a la taza</t>
        </is>
      </c>
      <c r="C19" s="25">
        <f>'Mix y Ticket Canal y Temporada'!$O$29</f>
        <v>2.090909090909091</v>
      </c>
      <c r="D19" s="25">
        <f>'Mix y Ticket Canal y Temporada'!$R$29</f>
        <v>0.5174418604651163</v>
      </c>
      <c r="E19" s="26">
        <f>IFERROR(C19-D19,"")</f>
        <v>1.5734672304439745</v>
      </c>
      <c r="F19" s="20">
        <f>IFERROR(E19/C19,"")</f>
        <v>0.7525278058645096</v>
      </c>
      <c r="G19" s="50">
        <f>'Mix y Ticket Canal y Temporada'!$S$29</f>
        <v>3.0</v>
      </c>
      <c r="H19" s="50">
        <f>'Mix y Ticket Canal y Temporada'!$T$29</f>
        <v>1.0</v>
      </c>
      <c r="I19" s="37">
        <f>IFERROR(E19*G19,"")</f>
        <v>4.720401691331924</v>
      </c>
      <c r="J19" t="str">
        <f>IF(NOT(ISNUMBER(E19)),"",IF(E19&gt;='Parámetros'!$B$28,"Sí","No"))</f>
        <v>Sí</v>
      </c>
      <c r="K19" t="str">
        <f>IF(MAX(G19,H19)&gt;='Parámetros'!$B$29,"Sí","No")</f>
        <v>Sí</v>
      </c>
      <c r="L19" s="23" t="str">
        <f>IF(OR(J19="",K19=""),"",IF(AND(J19="Sí",K19="Sí"),"Mantener",IF(AND(J19="No",K19="Sí"),"Revisar precio",IF(J19="Sí","Vigilar rotación","Retirar"))))</f>
        <v>Mantener</v>
      </c>
      <c r="M19" s="10" t="inlineStr">
        <is>
          <t>Si sale «Revisar precio», mira primero el PVP y el canal en «Mix y Ticket Canal y Temporada»; si sale «Vigilar rotación», cuánto stock y cuánta carta ocupa.</t>
        </is>
      </c>
    </row>
    <row r="20" ht="30" customHeight="1">
      <c r="A20" s="6" t="inlineStr">
        <is>
          <t>CT5 · Media taza de chocolate</t>
        </is>
      </c>
      <c r="B20" s="6" t="inlineStr">
        <is>
          <t>Chocolate a la taza</t>
        </is>
      </c>
      <c r="C20" s="25">
        <f>'Mix y Ticket Canal y Temporada'!$O$30</f>
        <v>1.1818181818181817</v>
      </c>
      <c r="D20" s="25">
        <f>'Mix y Ticket Canal y Temporada'!$R$30</f>
        <v>0.26246511627906977</v>
      </c>
      <c r="E20" s="26">
        <f>IFERROR(C20-D20,"")</f>
        <v>0.9193530655391119</v>
      </c>
      <c r="F20" s="20">
        <f>IFERROR(E20/C20,"")</f>
        <v>0.7779141323792487</v>
      </c>
      <c r="G20" s="50">
        <f>'Mix y Ticket Canal y Temporada'!$S$30</f>
        <v>2.0</v>
      </c>
      <c r="H20" s="50">
        <f>'Mix y Ticket Canal y Temporada'!$T$30</f>
        <v>1.0</v>
      </c>
      <c r="I20" s="37">
        <f>IFERROR(E20*G20,"")</f>
        <v>1.8387061310782238</v>
      </c>
      <c r="J20" t="str">
        <f>IF(NOT(ISNUMBER(E20)),"",IF(E20&gt;='Parámetros'!$B$28,"Sí","No"))</f>
        <v>Sí</v>
      </c>
      <c r="K20" t="str">
        <f>IF(MAX(G20,H20)&gt;='Parámetros'!$B$29,"Sí","No")</f>
        <v>Sí</v>
      </c>
      <c r="L20" s="23" t="str">
        <f>IF(OR(J20="",K20=""),"",IF(AND(J20="Sí",K20="Sí"),"Mantener",IF(AND(J20="No",K20="Sí"),"Revisar precio",IF(J20="Sí","Vigilar rotación","Retirar"))))</f>
        <v>Mantener</v>
      </c>
      <c r="M20" s="10" t="inlineStr">
        <is>
          <t>Si sale «Revisar precio», mira primero el PVP y el canal en «Mix y Ticket Canal y Temporada»; si sale «Vigilar rotación», cuánto stock y cuánta carta ocupa.</t>
        </is>
      </c>
    </row>
    <row r="21" ht="30" customHeight="1">
      <c r="A21" s="6" t="inlineStr">
        <is>
          <t>CB1 · Café solo</t>
        </is>
      </c>
      <c r="B21" s="6" t="inlineStr">
        <is>
          <t>Cafés y bebidas</t>
        </is>
      </c>
      <c r="C21" s="25">
        <f>'Mix y Ticket Canal y Temporada'!$O$31</f>
        <v>1.2045454545454544</v>
      </c>
      <c r="D21" s="25">
        <f>'Mix y Ticket Canal y Temporada'!$R$31</f>
        <v>0.15400000000000003</v>
      </c>
      <c r="E21" s="26">
        <f>IFERROR(C21-D21,"")</f>
        <v>1.0505454545454542</v>
      </c>
      <c r="F21" s="20">
        <f>IFERROR(E21/C21,"")</f>
        <v>0.8721509433962262</v>
      </c>
      <c r="G21" s="50">
        <f>'Mix y Ticket Canal y Temporada'!$S$31</f>
        <v>4.0</v>
      </c>
      <c r="H21" s="50">
        <f>'Mix y Ticket Canal y Temporada'!$T$31</f>
        <v>4.0</v>
      </c>
      <c r="I21" s="37">
        <f>IFERROR(E21*G21,"")</f>
        <v>4.202181818181817</v>
      </c>
      <c r="J21" t="str">
        <f>IF(NOT(ISNUMBER(E21)),"",IF(E21&gt;='Parámetros'!$B$28,"Sí","No"))</f>
        <v>Sí</v>
      </c>
      <c r="K21" t="str">
        <f>IF(MAX(G21,H21)&gt;='Parámetros'!$B$29,"Sí","No")</f>
        <v>Sí</v>
      </c>
      <c r="L21" s="23" t="str">
        <f>IF(OR(J21="",K21=""),"",IF(AND(J21="Sí",K21="Sí"),"Mantener",IF(AND(J21="No",K21="Sí"),"Revisar precio",IF(J21="Sí","Vigilar rotación","Retirar"))))</f>
        <v>Mantener</v>
      </c>
      <c r="M21" s="10" t="inlineStr">
        <is>
          <t>Si sale «Revisar precio», mira primero el PVP y el canal en «Mix y Ticket Canal y Temporada»; si sale «Vigilar rotación», cuánto stock y cuánta carta ocupa.</t>
        </is>
      </c>
    </row>
    <row r="22" ht="30" customHeight="1">
      <c r="A22" s="6" t="inlineStr">
        <is>
          <t>CB2 · Café con leche</t>
        </is>
      </c>
      <c r="B22" s="6" t="inlineStr">
        <is>
          <t>Cafés y bebidas</t>
        </is>
      </c>
      <c r="C22" s="25">
        <f>'Mix y Ticket Canal y Temporada'!$O$32</f>
        <v>1.4909090909090907</v>
      </c>
      <c r="D22" s="25">
        <f>'Mix y Ticket Canal y Temporada'!$R$32</f>
        <v>0.29350000000000004</v>
      </c>
      <c r="E22" s="26">
        <f>IFERROR(C22-D22,"")</f>
        <v>1.1974090909090906</v>
      </c>
      <c r="F22" s="20">
        <f>IFERROR(E22/C22,"")</f>
        <v>0.803140243902439</v>
      </c>
      <c r="G22" s="50">
        <f>'Mix y Ticket Canal y Temporada'!$S$32</f>
        <v>6.0</v>
      </c>
      <c r="H22" s="50">
        <f>'Mix y Ticket Canal y Temporada'!$T$32</f>
        <v>5.0</v>
      </c>
      <c r="I22" s="37">
        <f>IFERROR(E22*G22,"")</f>
        <v>7.184454545454544</v>
      </c>
      <c r="J22" t="str">
        <f>IF(NOT(ISNUMBER(E22)),"",IF(E22&gt;='Parámetros'!$B$28,"Sí","No"))</f>
        <v>Sí</v>
      </c>
      <c r="K22" t="str">
        <f>IF(MAX(G22,H22)&gt;='Parámetros'!$B$29,"Sí","No")</f>
        <v>Sí</v>
      </c>
      <c r="L22" s="23" t="str">
        <f>IF(OR(J22="",K22=""),"",IF(AND(J22="Sí",K22="Sí"),"Mantener",IF(AND(J22="No",K22="Sí"),"Revisar precio",IF(J22="Sí","Vigilar rotación","Retirar"))))</f>
        <v>Mantener</v>
      </c>
      <c r="M22" s="10" t="inlineStr">
        <is>
          <t>Si sale «Revisar precio», mira primero el PVP y el canal en «Mix y Ticket Canal y Temporada»; si sale «Vigilar rotación», cuánto stock y cuánta carta ocupa.</t>
        </is>
      </c>
    </row>
    <row r="23" ht="30" customHeight="1">
      <c r="A23" s="6" t="inlineStr">
        <is>
          <t>CB3 · Infusión</t>
        </is>
      </c>
      <c r="B23" s="6" t="inlineStr">
        <is>
          <t>Cafés y bebidas</t>
        </is>
      </c>
      <c r="C23" s="25">
        <f>'Mix y Ticket Canal y Temporada'!$O$33</f>
        <v>1.2727272727272725</v>
      </c>
      <c r="D23" s="25">
        <f>'Mix y Ticket Canal y Temporada'!$R$33</f>
        <v>0.068</v>
      </c>
      <c r="E23" s="26">
        <f>IFERROR(C23-D23,"")</f>
        <v>1.2047272727272724</v>
      </c>
      <c r="F23" s="20">
        <f>IFERROR(E23/C23,"")</f>
        <v>0.9465714285714285</v>
      </c>
      <c r="G23" s="50">
        <f>'Mix y Ticket Canal y Temporada'!$S$33</f>
        <v>1.0</v>
      </c>
      <c r="H23" s="50">
        <f>'Mix y Ticket Canal y Temporada'!$T$33</f>
        <v>1.0</v>
      </c>
      <c r="I23" s="37">
        <f>IFERROR(E23*G23,"")</f>
        <v>1.2047272727272724</v>
      </c>
      <c r="J23" t="str">
        <f>IF(NOT(ISNUMBER(E23)),"",IF(E23&gt;='Parámetros'!$B$28,"Sí","No"))</f>
        <v>Sí</v>
      </c>
      <c r="K23" t="str">
        <f>IF(MAX(G23,H23)&gt;='Parámetros'!$B$29,"Sí","No")</f>
        <v>No</v>
      </c>
      <c r="L23" s="23" t="str">
        <f>IF(OR(J23="",K23=""),"",IF(AND(J23="Sí",K23="Sí"),"Mantener",IF(AND(J23="No",K23="Sí"),"Revisar precio",IF(J23="Sí","Vigilar rotación","Retirar"))))</f>
        <v>Vigilar rotación</v>
      </c>
      <c r="M23" s="10" t="inlineStr">
        <is>
          <t>Si sale «Revisar precio», mira primero el PVP y el canal en «Mix y Ticket Canal y Temporada»; si sale «Vigilar rotación», cuánto stock y cuánta carta ocupa.</t>
        </is>
      </c>
    </row>
    <row r="24" ht="30" customHeight="1">
      <c r="A24" s="6" t="inlineStr">
        <is>
          <t>CB4 · Leche con cacao</t>
        </is>
      </c>
      <c r="B24" s="6" t="inlineStr">
        <is>
          <t>Cafés y bebidas</t>
        </is>
      </c>
      <c r="C24" s="25">
        <f>'Mix y Ticket Canal y Temporada'!$O$34</f>
        <v>1.4818181818181817</v>
      </c>
      <c r="D24" s="25">
        <f>'Mix y Ticket Canal y Temporada'!$R$34</f>
        <v>0.28400000000000003</v>
      </c>
      <c r="E24" s="26">
        <f>IFERROR(C24-D24,"")</f>
        <v>1.1978181818181817</v>
      </c>
      <c r="F24" s="20">
        <f>IFERROR(E24/C24,"")</f>
        <v>0.8083435582822086</v>
      </c>
      <c r="G24" s="50">
        <f>'Mix y Ticket Canal y Temporada'!$S$34</f>
        <v>2.0</v>
      </c>
      <c r="H24" s="50">
        <f>'Mix y Ticket Canal y Temporada'!$T$34</f>
        <v>2.0</v>
      </c>
      <c r="I24" s="37">
        <f>IFERROR(E24*G24,"")</f>
        <v>2.3956363636363633</v>
      </c>
      <c r="J24" t="str">
        <f>IF(NOT(ISNUMBER(E24)),"",IF(E24&gt;='Parámetros'!$B$28,"Sí","No"))</f>
        <v>Sí</v>
      </c>
      <c r="K24" t="str">
        <f>IF(MAX(G24,H24)&gt;='Parámetros'!$B$29,"Sí","No")</f>
        <v>Sí</v>
      </c>
      <c r="L24" s="23" t="str">
        <f>IF(OR(J24="",K24=""),"",IF(AND(J24="Sí",K24="Sí"),"Mantener",IF(AND(J24="No",K24="Sí"),"Revisar precio",IF(J24="Sí","Vigilar rotación","Retirar"))))</f>
        <v>Mantener</v>
      </c>
      <c r="M24" s="10" t="inlineStr">
        <is>
          <t>Si sale «Revisar precio», mira primero el PVP y el canal en «Mix y Ticket Canal y Temporada»; si sale «Vigilar rotación», cuánto stock y cuánta carta ocupa.</t>
        </is>
      </c>
    </row>
    <row r="25" ht="30" customHeight="1">
      <c r="A25" s="6" t="inlineStr">
        <is>
          <t>CB5 · Zumo de naranja natural</t>
        </is>
      </c>
      <c r="B25" s="6" t="inlineStr">
        <is>
          <t>Cafés y bebidas</t>
        </is>
      </c>
      <c r="C25" s="25">
        <f>'Mix y Ticket Canal y Temporada'!$O$35</f>
        <v>2.295454545454545</v>
      </c>
      <c r="D25" s="25">
        <f>'Mix y Ticket Canal y Temporada'!$R$35</f>
        <v>0.515</v>
      </c>
      <c r="E25" s="26">
        <f>IFERROR(C25-D25,"")</f>
        <v>1.7804545454545448</v>
      </c>
      <c r="F25" s="20">
        <f>IFERROR(E25/C25,"")</f>
        <v>0.7756435643564356</v>
      </c>
      <c r="G25" s="50">
        <f>'Mix y Ticket Canal y Temporada'!$S$35</f>
        <v>2.0</v>
      </c>
      <c r="H25" s="50">
        <f>'Mix y Ticket Canal y Temporada'!$T$35</f>
        <v>4.0</v>
      </c>
      <c r="I25" s="37">
        <f>IFERROR(E25*G25,"")</f>
        <v>3.5609090909090897</v>
      </c>
      <c r="J25" t="str">
        <f>IF(NOT(ISNUMBER(E25)),"",IF(E25&gt;='Parámetros'!$B$28,"Sí","No"))</f>
        <v>Sí</v>
      </c>
      <c r="K25" t="str">
        <f>IF(MAX(G25,H25)&gt;='Parámetros'!$B$29,"Sí","No")</f>
        <v>Sí</v>
      </c>
      <c r="L25" s="23" t="str">
        <f>IF(OR(J25="",K25=""),"",IF(AND(J25="Sí",K25="Sí"),"Mantener",IF(AND(J25="No",K25="Sí"),"Revisar precio",IF(J25="Sí","Vigilar rotación","Retirar"))))</f>
        <v>Mantener</v>
      </c>
      <c r="M25" s="10" t="inlineStr">
        <is>
          <t>Si sale «Revisar precio», mira primero el PVP y el canal en «Mix y Ticket Canal y Temporada»; si sale «Vigilar rotación», cuánto stock y cuánta carta ocupa.</t>
        </is>
      </c>
    </row>
    <row r="26" ht="30" customHeight="1">
      <c r="A26" s="6" t="inlineStr">
        <is>
          <t>CB6 · Agua (botella de 50 cl)</t>
        </is>
      </c>
      <c r="B26" s="6" t="inlineStr">
        <is>
          <t>Cafés y bebidas</t>
        </is>
      </c>
      <c r="C26" s="25">
        <f>'Mix y Ticket Canal y Temporada'!$O$36</f>
        <v>1.0909090909090908</v>
      </c>
      <c r="D26" s="25">
        <f>'Mix y Ticket Canal y Temporada'!$R$36</f>
        <v>0.22</v>
      </c>
      <c r="E26" s="26">
        <f>IFERROR(C26-D26,"")</f>
        <v>0.8709090909090909</v>
      </c>
      <c r="F26" s="20">
        <f>IFERROR(E26/C26,"")</f>
        <v>0.7983333333333333</v>
      </c>
      <c r="G26" s="50">
        <f>'Mix y Ticket Canal y Temporada'!$S$36</f>
        <v>2.0</v>
      </c>
      <c r="H26" s="50">
        <f>'Mix y Ticket Canal y Temporada'!$T$36</f>
        <v>5.0</v>
      </c>
      <c r="I26" s="37">
        <f>IFERROR(E26*G26,"")</f>
        <v>1.7418181818181817</v>
      </c>
      <c r="J26" t="str">
        <f>IF(NOT(ISNUMBER(E26)),"",IF(E26&gt;='Parámetros'!$B$28,"Sí","No"))</f>
        <v>Sí</v>
      </c>
      <c r="K26" t="str">
        <f>IF(MAX(G26,H26)&gt;='Parámetros'!$B$29,"Sí","No")</f>
        <v>Sí</v>
      </c>
      <c r="L26" s="23" t="str">
        <f>IF(OR(J26="",K26=""),"",IF(AND(J26="Sí",K26="Sí"),"Mantener",IF(AND(J26="No",K26="Sí"),"Revisar precio",IF(J26="Sí","Vigilar rotación","Retirar"))))</f>
        <v>Mantener</v>
      </c>
      <c r="M26" s="10" t="inlineStr">
        <is>
          <t>Si sale «Revisar precio», mira primero el PVP y el canal en «Mix y Ticket Canal y Temporada»; si sale «Vigilar rotación», cuánto stock y cuánta carta ocupa.</t>
        </is>
      </c>
    </row>
    <row r="27" ht="30" customHeight="1">
      <c r="A27" s="6" t="inlineStr">
        <is>
          <t>CV1 · Granizado</t>
        </is>
      </c>
      <c r="B27" s="6" t="inlineStr">
        <is>
          <t>Carta de verano</t>
        </is>
      </c>
      <c r="C27" s="25">
        <f>'Mix y Ticket Canal y Temporada'!$O$37</f>
        <v>2.6644628099173553</v>
      </c>
      <c r="D27" s="25">
        <f>'Mix y Ticket Canal y Temporada'!$R$37</f>
        <v>0.48200000000000004</v>
      </c>
      <c r="E27" s="26">
        <f>IFERROR(C27-D27,"")</f>
        <v>2.182462809917355</v>
      </c>
      <c r="F27" s="20">
        <f>IFERROR(E27/C27,"")</f>
        <v>0.8191004962779156</v>
      </c>
      <c r="G27" s="50">
        <f>'Mix y Ticket Canal y Temporada'!$S$37</f>
        <v>0.0</v>
      </c>
      <c r="H27" s="50">
        <f>'Mix y Ticket Canal y Temporada'!$T$37</f>
        <v>12.0</v>
      </c>
      <c r="I27" s="37">
        <f>IFERROR(E27*G27,"")</f>
        <v>0.0</v>
      </c>
      <c r="J27" t="str">
        <f>IF(NOT(ISNUMBER(E27)),"",IF(E27&gt;='Parámetros'!$B$28,"Sí","No"))</f>
        <v>Sí</v>
      </c>
      <c r="K27" t="str">
        <f>IF(MAX(G27,H27)&gt;='Parámetros'!$B$29,"Sí","No")</f>
        <v>Sí</v>
      </c>
      <c r="L27" s="23" t="str">
        <f>IF(OR(J27="",K27=""),"",IF(AND(J27="Sí",K27="Sí"),"Mantener",IF(AND(J27="No",K27="Sí"),"Revisar precio",IF(J27="Sí","Vigilar rotación","Retirar"))))</f>
        <v>Mantener</v>
      </c>
      <c r="M27" s="10" t="inlineStr">
        <is>
          <t>Sólo se vende en julio y agosto: léela con el mix de verano, no con el de invierno. Es la decisión 9 (libro 5).</t>
        </is>
      </c>
    </row>
    <row r="28" ht="30" customHeight="1">
      <c r="A28" s="6" t="inlineStr">
        <is>
          <t>CV2 · Horchata</t>
        </is>
      </c>
      <c r="B28" s="6" t="inlineStr">
        <is>
          <t>Carta de verano</t>
        </is>
      </c>
      <c r="C28" s="25">
        <f>'Mix y Ticket Canal y Temporada'!$O$38</f>
        <v>2.6644628099173553</v>
      </c>
      <c r="D28" s="25">
        <f>'Mix y Ticket Canal y Temporada'!$R$38</f>
        <v>0.5820000000000001</v>
      </c>
      <c r="E28" s="26">
        <f>IFERROR(C28-D28,"")</f>
        <v>2.082462809917355</v>
      </c>
      <c r="F28" s="20">
        <f>IFERROR(E28/C28,"")</f>
        <v>0.7815694789081885</v>
      </c>
      <c r="G28" s="50">
        <f>'Mix y Ticket Canal y Temporada'!$S$38</f>
        <v>0.0</v>
      </c>
      <c r="H28" s="50">
        <f>'Mix y Ticket Canal y Temporada'!$T$38</f>
        <v>10.0</v>
      </c>
      <c r="I28" s="37">
        <f>IFERROR(E28*G28,"")</f>
        <v>0.0</v>
      </c>
      <c r="J28" t="str">
        <f>IF(NOT(ISNUMBER(E28)),"",IF(E28&gt;='Parámetros'!$B$28,"Sí","No"))</f>
        <v>Sí</v>
      </c>
      <c r="K28" t="str">
        <f>IF(MAX(G28,H28)&gt;='Parámetros'!$B$29,"Sí","No")</f>
        <v>Sí</v>
      </c>
      <c r="L28" s="23" t="str">
        <f>IF(OR(J28="",K28=""),"",IF(AND(J28="Sí",K28="Sí"),"Mantener",IF(AND(J28="No",K28="Sí"),"Revisar precio",IF(J28="Sí","Vigilar rotación","Retirar"))))</f>
        <v>Mantener</v>
      </c>
      <c r="M28" s="10" t="inlineStr">
        <is>
          <t>Sólo se vende en julio y agosto: léela con el mix de verano, no con el de invierno. Es la decisión 9 (libro 5).</t>
        </is>
      </c>
    </row>
    <row r="29" ht="30" customHeight="1">
      <c r="A29" s="6" t="inlineStr">
        <is>
          <t>CV3 · Helado (bola)</t>
        </is>
      </c>
      <c r="B29" s="6" t="inlineStr">
        <is>
          <t>Carta de verano</t>
        </is>
      </c>
      <c r="C29" s="25">
        <f>'Mix y Ticket Canal y Temporada'!$O$39</f>
        <v>2.0</v>
      </c>
      <c r="D29" s="25">
        <f>'Mix y Ticket Canal y Temporada'!$R$39</f>
        <v>0.45</v>
      </c>
      <c r="E29" s="26">
        <f>IFERROR(C29-D29,"")</f>
        <v>1.55</v>
      </c>
      <c r="F29" s="20">
        <f>IFERROR(E29/C29,"")</f>
        <v>0.775</v>
      </c>
      <c r="G29" s="50">
        <f>'Mix y Ticket Canal y Temporada'!$S$39</f>
        <v>0.0</v>
      </c>
      <c r="H29" s="50">
        <f>'Mix y Ticket Canal y Temporada'!$T$39</f>
        <v>9.0</v>
      </c>
      <c r="I29" s="37">
        <f>IFERROR(E29*G29,"")</f>
        <v>0.0</v>
      </c>
      <c r="J29" t="str">
        <f>IF(NOT(ISNUMBER(E29)),"",IF(E29&gt;='Parámetros'!$B$28,"Sí","No"))</f>
        <v>Sí</v>
      </c>
      <c r="K29" t="str">
        <f>IF(MAX(G29,H29)&gt;='Parámetros'!$B$29,"Sí","No")</f>
        <v>Sí</v>
      </c>
      <c r="L29" s="23" t="str">
        <f>IF(OR(J29="",K29=""),"",IF(AND(J29="Sí",K29="Sí"),"Mantener",IF(AND(J29="No",K29="Sí"),"Revisar precio",IF(J29="Sí","Vigilar rotación","Retirar"))))</f>
        <v>Mantener</v>
      </c>
      <c r="M29" s="10" t="inlineStr">
        <is>
          <t>Sólo se vende en julio y agosto: léela con el mix de verano, no con el de invierno. Es la decisión 9 (libro 5).</t>
        </is>
      </c>
    </row>
    <row r="30" ht="30" customHeight="1">
      <c r="A30" s="6" t="inlineStr">
        <is>
          <t>CV4 · Batido</t>
        </is>
      </c>
      <c r="B30" s="6" t="inlineStr">
        <is>
          <t>Carta de verano</t>
        </is>
      </c>
      <c r="C30" s="25">
        <f>'Mix y Ticket Canal y Temporada'!$O$40</f>
        <v>3.6545454545454548</v>
      </c>
      <c r="D30" s="25">
        <f>'Mix y Ticket Canal y Temporada'!$R$40</f>
        <v>0.7285</v>
      </c>
      <c r="E30" s="26">
        <f>IFERROR(C30-D30,"")</f>
        <v>2.926045454545455</v>
      </c>
      <c r="F30" s="20">
        <f>IFERROR(E30/C30,"")</f>
        <v>0.8006592039800995</v>
      </c>
      <c r="G30" s="50">
        <f>'Mix y Ticket Canal y Temporada'!$S$40</f>
        <v>0.0</v>
      </c>
      <c r="H30" s="50">
        <f>'Mix y Ticket Canal y Temporada'!$T$40</f>
        <v>5.0</v>
      </c>
      <c r="I30" s="37">
        <f>IFERROR(E30*G30,"")</f>
        <v>0.0</v>
      </c>
      <c r="J30" t="str">
        <f>IF(NOT(ISNUMBER(E30)),"",IF(E30&gt;='Parámetros'!$B$28,"Sí","No"))</f>
        <v>Sí</v>
      </c>
      <c r="K30" t="str">
        <f>IF(MAX(G30,H30)&gt;='Parámetros'!$B$29,"Sí","No")</f>
        <v>Sí</v>
      </c>
      <c r="L30" s="23" t="str">
        <f>IF(OR(J30="",K30=""),"",IF(AND(J30="Sí",K30="Sí"),"Mantener",IF(AND(J30="No",K30="Sí"),"Revisar precio",IF(J30="Sí","Vigilar rotación","Retirar"))))</f>
        <v>Mantener</v>
      </c>
      <c r="M30" s="10" t="inlineStr">
        <is>
          <t>Sólo se vende en julio y agosto: léela con el mix de verano, no con el de invierno. Es la decisión 9 (libro 5).</t>
        </is>
      </c>
    </row>
    <row r="31">
      <c r="A31" s="23" t="inlineStr">
        <is>
          <t>TOTAL</t>
        </is>
      </c>
      <c r="I31" s="43">
        <f>SUM(I7:I30)</f>
        <v>187.8520709123054</v>
      </c>
    </row>
    <row r="32"/>
    <row r="33">
      <c r="A33" s="4" t="inlineStr">
        <is>
          <t>Recuento</t>
        </is>
      </c>
    </row>
    <row r="34">
      <c r="A34" t="inlineStr">
        <is>
          <t>Referencias con veredicto «Mantener»</t>
        </is>
      </c>
      <c r="B34" s="51">
        <f>COUNTIF(L7:L30,"Mantener")</f>
        <v>21.0</v>
      </c>
    </row>
    <row r="35">
      <c r="A35" t="inlineStr">
        <is>
          <t>Referencias con veredicto «Revisar precio»</t>
        </is>
      </c>
      <c r="B35" s="51">
        <f>COUNTIF(L7:L30,"Revisar precio")</f>
        <v>2.0</v>
      </c>
    </row>
    <row r="36">
      <c r="A36" t="inlineStr">
        <is>
          <t>Referencias con veredicto «Vigilar rotación»</t>
        </is>
      </c>
      <c r="B36" s="51">
        <f>COUNTIF(L7:L30,"Vigilar rotación")</f>
        <v>1.0</v>
      </c>
    </row>
    <row r="37">
      <c r="A37" t="inlineStr">
        <is>
          <t>Referencias con veredicto «Retirar»</t>
        </is>
      </c>
      <c r="B37" s="51">
        <f>COUNTIF(L7:L30,"Retirar")</f>
        <v>0.0</v>
      </c>
    </row>
    <row r="38"/>
    <row r="39" ht="40" customHeight="1">
      <c r="A39" s="10" t="inlineStr">
        <is>
          <t>El total de la columna I es el margen sobre materia de 100 raciones con el mix de invierno. No decidas el surtido con el margen en porcentaje: es lo que hace parecer rentable lo que sólo es barato.</t>
        </is>
      </c>
    </row>
    <row r="40"/>
    <row r="41">
      <c r="A41"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39:M39"/>
  </mergeCells>
  <conditionalFormatting sqref="L7:L30">
    <cfRule type="cellIs" priority="1" operator="equal" dxfId="0" stopIfTrue="1">
      <formula>"Retirar"</formula>
    </cfRule>
    <cfRule type="cellIs" priority="2" operator="equal" dxfId="1" stopIfTrue="1">
      <formula>"Revisar precio"</formula>
    </cfRule>
    <cfRule type="cellIs" priority="3" operator="equal" dxfId="1" stopIfTrue="1">
      <formula>"Vigilar rotación"</formula>
    </cfRule>
    <cfRule type="cellIs" priority="4" operator="equal" dxfId="2" stopIfTrue="1">
      <formula>"Mantener"</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Carta de Apertura y Escandallo del Churro</dc:title>
  <dc:subject xmlns:dc="http://purl.org/dc/elements/1.1/">Cómo Montar una Churrería-Chocolatería · Versión 1.0 · octubre 2026</dc:subject>
  <dcterms:created xmlns:dcterms="http://purl.org/dc/terms/" xmlns:xsi="http://www.w3.org/2001/XMLSchema-instance" xsi:type="dcterms:W3CDTF">2026-10-03T09:56:45Z</dcterms:created>
  <dcterms:modified xmlns:dcterms="http://purl.org/dc/terms/" xmlns:xsi="http://www.w3.org/2001/XMLSchema-instance" xsi:type="dcterms:W3CDTF">2026-10-03T09:56:45Z</dcterms:modified>
  <cp:lastModifiedBy>AI Chef Pro</cp:lastModifiedBy>
</cp:coreProperties>
</file>