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uadrante por Franja" sheetId="3" state="visible" r:id="rId3"/>
    <sheet xmlns:r="http://schemas.openxmlformats.org/officeDocument/2006/relationships" name="Nocturnidad ET y Convenio" sheetId="4" state="visible" r:id="rId4"/>
    <sheet xmlns:r="http://schemas.openxmlformats.org/officeDocument/2006/relationships" name="Coste de Plantilla" sheetId="5" state="visible" r:id="rId5"/>
    <sheet xmlns:r="http://schemas.openxmlformats.org/officeDocument/2006/relationships" name="Identifica tu Convenio" sheetId="6" state="visible" r:id="rId6"/>
    <sheet xmlns:r="http://schemas.openxmlformats.org/officeDocument/2006/relationships" name="Horas del Titular"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4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3" fontId="0" fillId="2" borderId="0" applyProtection="1" pivotButton="0" quotePrefix="0" xfId="0">
      <protection locked="0" hidden="0"/>
    </xf>
    <xf numFmtId="0" fontId="9"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49" fontId="0" fillId="2" borderId="0" applyProtection="1" pivotButton="0" quotePrefix="0" xfId="0">
      <protection locked="0" hidden="0"/>
    </xf>
    <xf numFmtId="166" fontId="0" fillId="2" borderId="0" applyProtection="1" pivotButton="0" quotePrefix="0" xfId="0">
      <protection locked="0" hidden="0"/>
    </xf>
    <xf numFmtId="0" fontId="1" fillId="0" borderId="0" pivotButton="0" quotePrefix="0" xfId="0"/>
    <xf numFmtId="4" fontId="1" fillId="4" borderId="0" pivotButton="0" quotePrefix="0" xfId="0"/>
    <xf numFmtId="4" fontId="0" fillId="2" borderId="0" applyProtection="1" pivotButton="0" quotePrefix="0" xfId="0">
      <protection locked="0" hidden="0"/>
    </xf>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0" fillId="0" borderId="0" applyAlignment="1" pivotButton="0" quotePrefix="0" xfId="0">
      <alignment horizontal="general" vertical="top" wrapText="1"/>
    </xf>
    <xf numFmtId="0" fontId="1" fillId="0" borderId="0" applyAlignment="1" pivotButton="0" quotePrefix="0" xfId="0">
      <alignment vertical="top" wrapText="1"/>
    </xf>
    <xf numFmtId="0" fontId="11" fillId="0" borderId="0" pivotButton="0" quotePrefix="0" xfId="0"/>
    <xf numFmtId="164" fontId="1" fillId="4" borderId="0" pivotButton="0" quotePrefix="0" xfId="0"/>
    <xf numFmtId="3" fontId="1" fillId="4" borderId="0" pivotButton="0" quotePrefix="0" xfId="0"/>
    <xf numFmtId="0" fontId="1" fillId="4" borderId="0" pivotButton="0" quotePrefix="0" xfId="0"/>
    <xf numFmtId="1" fontId="0" fillId="2" borderId="0" applyProtection="1" pivotButton="0" quotePrefix="0" xfId="0">
      <protection locked="0" hidden="0"/>
    </xf>
    <xf numFmtId="3" fontId="1" fillId="0" borderId="0" pivotButton="0" quotePrefix="0" xfId="0"/>
    <xf numFmtId="0" fontId="1" fillId="0" borderId="0" applyAlignment="1" pivotButton="0" quotePrefix="0" xfId="0">
      <alignment horizontal="center"/>
    </xf>
    <xf numFmtId="20" fontId="0" fillId="0" borderId="0" pivotButton="0" quotePrefix="0" xfId="0"/>
    <xf numFmtId="1" fontId="0" fillId="0" borderId="0" pivotButton="0" quotePrefix="0" xfId="0"/>
    <xf numFmtId="1" fontId="1" fillId="0" borderId="0" pivotButton="0" quotePrefix="0" xfId="0"/>
    <xf numFmtId="0" fontId="1" fillId="0" borderId="0" applyAlignment="1" pivotButton="0" quotePrefix="0" xfId="0">
      <alignment horizontal="general" vertical="top" wrapText="1"/>
    </xf>
    <xf numFmtId="165" fontId="1" fillId="4" borderId="0" pivotButton="0" quotePrefix="0" xfId="0"/>
    <xf numFmtId="0" fontId="0" fillId="0" borderId="0" applyAlignment="1" pivotButton="0" quotePrefix="0" xfId="0">
      <alignment vertical="top" wrapText="1"/>
    </xf>
    <xf numFmtId="0" fontId="4" fillId="0" borderId="0" applyAlignment="1" pivotButton="0" quotePrefix="0" xfId="0">
      <alignment horizontal="general" vertical="top" wrapText="1"/>
    </xf>
    <xf numFmtId="4" fontId="1" fillId="0" borderId="0" pivotButton="0" quotePrefix="0" xfId="0"/>
    <xf numFmtId="164" fontId="1" fillId="0" borderId="0" pivotButton="0" quotePrefix="0" xfId="0"/>
    <xf numFmtId="165" fontId="1" fillId="0" borderId="0" pivotButton="0" quotePrefix="0" xfId="0"/>
    <xf numFmtId="0" fontId="0" fillId="2" borderId="0" applyAlignment="1" applyProtection="1" pivotButton="0" quotePrefix="0" xfId="0">
      <alignment vertical="top" wrapText="1"/>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25" authorId="0" shapeId="0">
      <text>
        <t>Verificado el 03-10-2026 · Estatuto de los Trabajadores, texto refundido (RDLeg 2/2015, BOE-A-2015-11430), texto consolidado · «Última actualización publicada el 04/12/2025», art. 36.1-2 · https://www.boe.es/buscar/act.php?id=BOE-A-2015-11430</t>
      </text>
    </comment>
    <comment ref="A26"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A27" authorId="0" shapeId="0">
      <text>
        <t>Verificado el 12-09-2026 · Real Decreto 126/2026, de 18 de febrero (BOE-A-2026-3815), arts. 1, 3.1 y 4.1 · https://www.boe.es/buscar/act.php?id=BOE-A-2026-3815</t>
      </text>
    </comment>
    <comment ref="A29" authorId="0" shapeId="0">
      <text>
        <t>Verificado el 12-09-2026 · Real Decreto Legislativo 2/2015 (Estatuto de los Trabajadores) (BOE-A-2015-11430), art. 34.9 · «Última modificación: 04-12-2025» · https://www.boe.es/buscar/act.php?id=BOE-A-2015-11430</t>
      </text>
    </comment>
  </commentList>
</comments>
</file>

<file path=xl/comments/comment2.xml><?xml version="1.0" encoding="utf-8"?>
<comments xmlns="http://schemas.openxmlformats.org/spreadsheetml/2006/main">
  <authors>
    <author>AI Chef Pro</author>
  </authors>
  <commentList>
    <comment ref="B13"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16"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B1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20" authorId="0" shapeId="0">
      <text>
        <t>Verificado el 12-09-2026 · Real Decreto 126/2026, de 18 de febrero (BOE-A-2026-3815), arts. 1, 3.1 y 4.1 · https://www.boe.es/buscar/act.php?id=BOE-A-2026-3815</t>
      </text>
    </comment>
    <comment ref="B21" authorId="0" shapeId="0">
      <text>
        <t>Verificado el 12-09-2026 · Real Decreto 126/2026, de 18 de febrero (BOE-A-2026-3815), arts. 1, 3.1 y 4.1 · https://www.boe.es/buscar/act.php?id=BOE-A-2026-3815</t>
      </text>
    </comment>
    <comment ref="B2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29"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30"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B33" authorId="0" shapeId="0">
      <text>
        <t>Verificado el 03-10-2026 · Estatuto de los Trabajadores, texto refundido (RDLeg 2/2015, BOE-A-2015-11430), texto consolidado · «Última actualización publicada el 04/12/2025», art. 36.1-2 · https://www.boe.es/buscar/act.php?id=BOE-A-2015-11430</t>
      </text>
    </comment>
    <comment ref="B34" authorId="0" shapeId="0">
      <text>
        <t>Verificado el 03-10-2026 · Estatuto de los Trabajadores, texto refundido (RDLeg 2/2015, BOE-A-2015-11430), texto consolidado · «Última actualización publicada el 04/12/2025», art. 36.1-2 · https://www.boe.es/buscar/act.php?id=BOE-A-2015-11430</t>
      </text>
    </comment>
    <comment ref="B35" authorId="0" shapeId="0">
      <text>
        <t>Verificado el 03-10-2026 · Estatuto de los Trabajadores, texto refundido (RDLeg 2/2015, BOE-A-2015-11430), texto consolidado · «Última actualización publicada el 04/12/2025», art. 36.1-2 · https://www.boe.es/buscar/act.php?id=BOE-A-2015-11430</t>
      </text>
    </comment>
    <comment ref="B36" authorId="0" shapeId="0">
      <text>
        <t>Verificado el 03-10-2026 · Estatuto de los Trabajadores, texto refundido (RDLeg 2/2015, BOE-A-2015-11430), texto consolidado · «Última actualización publicada el 04/12/2025», art. 36.1-2 · https://www.boe.es/buscar/act.php?id=BOE-A-2015-11430</t>
      </text>
    </comment>
    <comment ref="B39" authorId="0" shapeId="0">
      <text>
        <t>Verificado el 03-10-2026 · Convenio colectivo de Hostelería y Actividades Turísticas de la Comunidad de Madrid, código 28002085011981 (BOCM n.º 82, 06-04-2024), art. 27 · https://www.bocm.es/boletin/CM_Orden_BOCM/2024/04/06/BOCM-20240406-2.PDF</t>
      </text>
    </comment>
    <comment ref="B40" authorId="0" shapeId="0">
      <text>
        <t>Verificado el 03-10-2026 · Convenio colectivo de Hostelería y Actividades Turísticas de la Comunidad de Madrid, código 28002085011981 (BOCM n.º 82, 06-04-2024), art. 27 · https://www.bocm.es/boletin/CM_Orden_BOCM/2024/04/06/BOCM-20240406-2.PDF</t>
      </text>
    </comment>
    <comment ref="B41" authorId="0" shapeId="0">
      <text>
        <t>Verificado el 03-10-2026 · Convenio colectivo de Hostelería y Actividades Turísticas de la Comunidad de Madrid, código 28002085011981 (BOCM n.º 82, 06-04-2024), art. 27 · https://www.bocm.es/boletin/CM_Orden_BOCM/2024/04/06/BOCM-20240406-2.PDF</t>
      </text>
    </comment>
    <comment ref="B42" authorId="0" shapeId="0">
      <text>
        <t>Verificado el 03-10-2026 · Convenio colectivo de Hostelería y Actividades Turísticas de la Comunidad de Madrid, código 28002085011981 (BOCM n.º 82, 06-04-2024), art. 27 · https://www.bocm.es/boletin/CM_Orden_BOCM/2024/04/06/BOCM-20240406-2.PDF</t>
      </text>
    </comment>
    <comment ref="B43" authorId="0" shapeId="0">
      <text>
        <t>Verificado el 03-10-2026 · Convenio colectivo de Hostelería y Actividades Turísticas de la Comunidad de Madrid, código 28002085011981 (BOCM n.º 82, 06-04-2024), art. 27 · https://www.bocm.es/boletin/CM_Orden_BOCM/2024/04/06/BOCM-20240406-2.PDF</t>
      </text>
    </comment>
    <comment ref="B44" authorId="0" shapeId="0">
      <text>
        <t>Verificado el 03-10-2026 · Convenio colectivo de Hostelería y Actividades Turísticas de la Comunidad de Madrid, código 28002085011981 (BOCM n.º 82, 06-04-2024), art. 27 · https://www.bocm.es/boletin/CM_Orden_BOCM/2024/04/06/BOCM-20240406-2.PDF</t>
      </text>
    </comment>
    <comment ref="B45" authorId="0" shapeId="0">
      <text>
        <t>Verificado el 03-10-2026 · Convenio colectivo de Hostelería y Actividades Turísticas de la Comunidad de Madrid, código 28002085011981 (BOCM n.º 82, 06-04-2024), art. 27 · https://www.bocm.es/boletin/CM_Orden_BOCM/2024/04/06/BOCM-20240406-2.PDF</t>
      </text>
    </comment>
  </commentList>
</comments>
</file>

<file path=xl/comments/comment3.xml><?xml version="1.0" encoding="utf-8"?>
<comments xmlns="http://schemas.openxmlformats.org/spreadsheetml/2006/main">
  <authors>
    <author>AI Chef Pro</author>
  </authors>
  <commentList>
    <comment ref="A14" authorId="0" shapeId="0">
      <text>
        <t>Fuente: Supuestos declarados de El Molinete. Cada media hora de apertura tiene que caer en un tramo: si abres más horas, añade su tramo.</t>
      </text>
    </comment>
    <comment ref="F22" authorId="0" shapeId="0">
      <text>
        <t>Verificado el 12-09-2026 · Real Decreto Legislativo 2/2015 (Estatuto de los Trabajadores) (BOE-A-2015-11430), art. 34.9 · «Última modificación: 04-12-2025» · https://www.boe.es/buscar/act.php?id=BOE-A-2015-11430</t>
      </text>
    </comment>
    <comment ref="G22" authorId="0" shapeId="0">
      <text>
        <t>Verificado el 03-10-2026 · Estatuto de los Trabajadores, texto refundido (RDLeg 2/2015, BOE-A-2015-11430), texto consolidado · «Última actualización publicada el 04/12/2025», art. 36.1-2 · https://www.boe.es/buscar/act.php?id=BOE-A-2015-11430</t>
      </text>
    </comment>
    <comment ref="H22" authorId="0" shapeId="0">
      <text>
        <t>Verificado el 03-10-2026 · Convenio colectivo de Hostelería y Actividades Turísticas de la Comunidad de Madrid, código 28002085011981 (BOCM n.º 82, 06-04-2024), art. 27 · https://www.bocm.es/boletin/CM_Orden_BOCM/2024/04/06/BOCM-20240406-2.PDF</t>
      </text>
    </comment>
    <comment ref="A23" authorId="0" shapeId="0">
      <text>
        <t>Fuente: Supuestos declarados de El Molinete. Los tres casos tipo: el churrero/a 1 de 6:00 a 14:00 entre semana, el churrero/a 2 de 4:30 a 12:30 el fin de semana y quien cierra el viernes y el sábado de 17:00 a 1:00.</t>
      </text>
    </comment>
  </commentList>
</comments>
</file>

<file path=xl/comments/comment4.xml><?xml version="1.0" encoding="utf-8"?>
<comments xmlns="http://schemas.openxmlformats.org/spreadsheetml/2006/main">
  <authors>
    <author>AI Chef Pro</author>
  </authors>
  <commentList>
    <comment ref="C6" authorId="0" shapeId="0">
      <text>
        <t>Verificado el 03-10-2026 · Estatuto de los Trabajadores, texto refundido (RDLeg 2/2015, BOE-A-2015-11430), texto consolidado · «Última actualización publicada el 04/12/2025», art. 36.1-2 · https://www.boe.es/buscar/act.php?id=BOE-A-2015-11430</t>
      </text>
    </comment>
    <comment ref="H6" authorId="0" shapeId="0">
      <text>
        <t>Verificado el 03-10-2026 · Convenio colectivo de Hostelería y Actividades Turísticas de la Comunidad de Madrid, código 28002085011981 (BOCM n.º 82, 06-04-2024), art. 27 · https://www.bocm.es/boletin/CM_Orden_BOCM/2024/04/06/BOCM-20240406-2.PDF</t>
      </text>
    </comment>
  </commentList>
</comments>
</file>

<file path=xl/comments/comment5.xml><?xml version="1.0" encoding="utf-8"?>
<comments xmlns="http://schemas.openxmlformats.org/spreadsheetml/2006/main">
  <authors>
    <author>AI Chef Pro</author>
  </authors>
  <commentList>
    <comment ref="J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M8" authorId="0" shapeId="0">
      <text>
        <t>Verificado el 03-10-2026 · Convenio colectivo de Hostelería y Actividades Turísticas de la Comunidad de Madrid, código 28002085011981 (BOCM n.º 82, 06-04-2024), art. 27 · https://www.bocm.es/boletin/CM_Orden_BOCM/2024/04/06/BOCM-20240406-2.PDF</t>
      </text>
    </comment>
    <comment ref="O8" authorId="0" shapeId="0">
      <text>
        <t>Verificado el 12-09-2026 · Real Decreto 126/2026, de 18 de febrero (BOE-A-2026-3815), arts. 1, 3.1 y 4.1 · https://www.boe.es/buscar/act.php?id=BOE-A-2026-3815</t>
      </text>
    </comment>
    <comment ref="B9" authorId="0" shapeId="0">
      <text>
        <t>Fuente: Su retribución va en el coste de plantilla como un puesto más (heredado de la hermana), al nivel III de la tabla de ejemplo: un plan que sólo cuadra si el titular trabaja gratis no sirve. Es autónomo: cotiza por su cuota, que va en los gastos fijos, y por eso su retribución no lleva la Seguridad Social de empresa. Las horas que hace de más no se pagan: son las «Horas del Titular».</t>
      </text>
    </comment>
    <comment ref="B10" authorId="0" shapeId="0">
      <text>
        <t>Fuente: Amasa y fríe. Nivel III por asimilación propuesta: compruébala con tu asesor.</t>
      </text>
    </comment>
    <comment ref="B11" authorId="0" shapeId="0">
      <text>
        <t>Fuente: Abre la freidora el fin de semana y, entre semana, atiende la barra y el despacho por la mañana. Nivel III por asimilación propuesta: compruébala con tu asesor.</t>
      </text>
    </comment>
    <comment ref="B12" authorId="0" shapeId="0">
      <text>
        <t>Fuente: Barra y sala por la tarde; cierra el viernes y el sábado y, de 21:00 a 1:00, atiende solo. Nivel IV por asimilación propuesta: compruébala con tu asesor.</t>
      </text>
    </comment>
    <comment ref="B13" authorId="0" shapeId="0">
      <text>
        <t>Fuente: Polivalente: segunda persona en la línea del pico del fin de semana y barra el lunes por la tarde. Nivel V por asimilación propuesta: compruébala con tu asesor.</t>
      </text>
    </comment>
    <comment ref="B31" authorId="0" shapeId="0">
      <text>
        <t>Fuente: CUS-54 · fiabilidad media · https://jobtoday.com/es/trabajos-churrero-en | Jornada completa; la oferta no dice ni las pagas ni si es bruto.</t>
      </text>
    </comment>
    <comment ref="B32" authorId="0" shapeId="0">
      <text>
        <t>Fuente: CUS-55 · fiabilidad media · https://jobtoday.com/es/trabajos-churrero-en | Pide tres años de experiencia y empezar a las 5:30. Media hora en el periodo nocturno legal no hace trabajador nocturno (CUN-29).</t>
      </text>
    </comment>
  </commentList>
</comments>
</file>

<file path=xl/comments/comment6.xml><?xml version="1.0" encoding="utf-8"?>
<comments xmlns="http://schemas.openxmlformats.org/spreadsheetml/2006/main">
  <authors>
    <author>AI Chef Pro</author>
  </authors>
  <commentList>
    <comment ref="C7"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 ref="C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C9"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C10" authorId="0" shapeId="0">
      <text>
        <t>Verificado el 03-10-2026 · VI Acuerdo Laboral de ámbito estatal para el sector de hostelería (BOE-A-2023-6344, BOE 10-03-2023), art. 4 · https://www.boe.es/boe/dias/2023/03/10/pdfs/BOE-A-2023-6344.pdf</t>
      </text>
    </comment>
    <comment ref="C11" authorId="0" shapeId="0">
      <text>
        <t>Verificado el 03-10-2026 · Resolución de 25 de agosto de 2026 por la que se registra y publica la modificación del VI ALEH (BOE-A-2026-18630, BOE 04-09-2026), art. 6 · https://www.boe.es/boe/dias/2026/09/04/pdfs/BOE-A-2026-18630.pdf</t>
      </text>
    </comment>
    <comment ref="C12" authorId="0" shapeId="0">
      <text>
        <t>Verificado el 03-10-2026 · Convenio Colectivo provincial de Mazapán, Masas Fritas, Confitería y Chocolate de Toledo 2025-2026 (código 45000145011981; publicación en BOP de Toledo n.º 132, 15-07-2025), cláusula 1 «Ámbito funcional» · https://noticias.juridicas.com/base_datos/Laboral/971647-convenio-colectivo-provincial-de-mazapan-masas-fritas-confiteria-y-chocolate.html</t>
      </text>
    </comment>
    <comment ref="C13" authorId="0" shapeId="0">
      <text>
        <t>Verificado el 03-10-2026 · Convenio colectivo de Hostelería y Actividades Turísticas de la Comunidad de Madrid, código 28002085011981 (BOCM n.º 82, 06-04-2024), art. 27 · https://www.bocm.es/boletin/CM_Orden_BOCM/2024/04/06/BOCM-20240406-2.PDF</t>
      </text>
    </comment>
    <comment ref="C14" authorId="0" shapeId="0">
      <text>
        <t>Verificado el 12-09-2026 · Real Decreto Legislativo 2/2015 (Estatuto de los Trabajadores) (BOE-A-2015-11430), art. 34.9 · «Última modificación: 04-12-2025» · https://www.boe.es/buscar/act.php?id=BOE-A-2015-11430</t>
      </text>
    </comment>
    <comment ref="C22" authorId="0" shapeId="0">
      <text>
        <t>Verificado el 03-10-2026 · Convenio Colectivo provincial de Mazapán, Masas Fritas, Confitería y Chocolate de Toledo 2025-2026 (código 45000145011981; publicación en BOP de Toledo n.º 132, 15-07-2025), cláusula 1 «Ámbito funcional» · https://noticias.juridicas.com/base_datos/Laboral/971647-convenio-colectivo-provincial-de-mazapan-masas-fritas-confiteria-y-chocolate.html</t>
      </text>
    </comment>
    <comment ref="A24"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A37"/>
  <sheetViews>
    <sheetView workbookViewId="0">
      <selection activeCell="A1" sqref="A1"/>
    </sheetView>
  </sheetViews>
  <sheetFormatPr baseColWidth="8" defaultRowHeight="15"/>
  <cols>
    <col width="100" customWidth="1" min="1" max="1"/>
  </cols>
  <sheetData>
    <row r="1">
      <c r="A1" s="1" t="inlineStr">
        <is>
          <t>Turnos, Plantilla y Madrugada</t>
        </is>
      </c>
    </row>
    <row r="2">
      <c r="A2" s="2" t="inlineStr">
        <is>
          <t>AI Chef Pro · aichef.pro — Cómo Montar una Churrería-Chocolatería</t>
        </is>
      </c>
    </row>
    <row r="3">
      <c r="A3" s="3" t="inlineStr">
        <is>
          <t>Para qué sirve: saber cuánta gente necesitas, si alguien es trabajador nocturno, cuánto cuesta el plus de la madrugada, cuánto cuesta tu plantilla al año y cuántas horas haces tú.</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«Parámetros». Arriba, tres celdas verdes que copias a mano de los libros 1, 5 y 3 (cada una dice de qué celda exacta). Debajo, tu convenio (provincia, tablas, pagas, plus de convenio y salario base por nivel), las dos figuras de nocturnidad con sus franjas, el SMI y la Seguridad Social. Al pie, primero el CONTRASTE de tus copias con tu plantilla y después el CUADRE: anota lo que publica hoy la celda de origen de cada cifra y, si lo que usas se separa, su fila se pone en rojo.</t>
        </is>
      </c>
    </row>
    <row r="10" ht="58" customHeight="1">
      <c r="A10" s="6" t="inlineStr">
        <is>
          <t>2. Hoja «Cuadrante por Franja». Los mínimos de cobertura (cuántas personas hacen falta en cada tramo y cuántas en la línea de fritura) y los turnos de la SEMANA TIPO, persona a persona. La rejilla de medias horas cuenta quién está y marca cada hueco: tiene que dar cero.</t>
        </is>
      </c>
    </row>
    <row r="11" ht="58" customHeight="1">
      <c r="A11" s="6" t="inlineStr">
        <is>
          <t>3. Hoja «Nocturnidad ET y Convenio». Para cada persona, las dos figuras por separado: si es trabajador nocturno según el Estatuto (sí, no o revísalo con tu asesor) y cuántas horas cobra con el plus del convenio y cuánto cuesta ese plus al año.</t>
        </is>
      </c>
    </row>
    <row r="12" ht="58" customHeight="1">
      <c r="A12" s="6" t="inlineStr">
        <is>
          <t>4. Hoja «Coste de Plantilla». Jornada, nivel y si cotiza la Seguridad Social de empresa de cada puesto; su salario, el plus, el suelo del SMI y el coste anual. Abajo, el coste hora, las sustituciones de vacaciones, el refuerzo de Navidad y el COSTE ANUAL DE PLANTILLA que copia el libro 6.</t>
        </is>
      </c>
    </row>
    <row r="13" ht="58" customHeight="1">
      <c r="A13" s="6" t="inlineStr">
        <is>
          <t>5. Hoja «Identifica tu Convenio». El método para encontrar el tuyo, con Madrid como ejemplo. Rellena tu respuesta en cada paso.</t>
        </is>
      </c>
    </row>
    <row r="14" ht="58" customHeight="1">
      <c r="A14" s="6" t="inlineStr">
        <is>
          <t>6. Hoja «Horas del Titular». Las horas que haces tú, las que van por encima de una jornada completa, la madrugada que asumes y lo que valen al coste hora.</t>
        </is>
      </c>
    </row>
    <row r="15"/>
    <row r="16">
      <c r="A16" s="4" t="inlineStr">
        <is>
          <t>Orden de Relleno y Cifras que Viajan</t>
        </is>
      </c>
    </row>
    <row r="17" ht="58" customHeight="1">
      <c r="A17"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8: rellénalo DESPUÉS del 3, el 1 y el 5, que le pasan sus cifras, y ANTES del 6, que copia el coste anual de plantilla.</t>
        </is>
      </c>
    </row>
    <row r="18" ht="58" customHeight="1">
      <c r="A18" s="6" t="inlineStr">
        <is>
          <t>Ningún libro se vincula con otro por fórmula. Lo que viene de otro libro tiene en «Parámetros» una celda verde para copiarlo a mano, con la celda exacta de origen, y una fila de CUADRE que avisa si se ha quedado vieja frente a tu plantilla. Lo que este libro pasa a otro está en el bloque «Lo que Copian Otros Libros» (rótulo en la columna K, valor en la L).</t>
        </is>
      </c>
    </row>
    <row r="19" ht="28" customHeight="1">
      <c r="A19" s="7" t="inlineStr">
        <is>
          <t>Parámetros!B7 - Personas en la línea en el pico. Viene del libro 1: produccion-hora-punta-y-local.xlsx!Equipos y Capacidad!L5.</t>
        </is>
      </c>
    </row>
    <row r="20" ht="28" customHeight="1">
      <c r="A20" s="7" t="inlineStr">
        <is>
          <t>Parámetros!B8 - Horas de refuerzo de Navidad y Reyes al año. Viene del libro 5: temporada-franjas-y-ferias.xlsx!Refuerzo por Pico!L5.</t>
        </is>
      </c>
    </row>
    <row r="21" ht="28" customHeight="1">
      <c r="A21" s="7" t="inlineStr">
        <is>
          <t>Parámetros!B9 - Coste hora de mano de obra usado en el escandallo. Viene del libro 3: carta-de-apertura-y-escandallo-churro.xlsx!Coste Hora!L5.</t>
        </is>
      </c>
    </row>
    <row r="22" ht="28" customHeight="1">
      <c r="A22" s="7" t="inlineStr">
        <is>
          <t>Coste de Plantilla!L5 - Coste anual de plantilla. Lo copia: libro 6 (plan-financiero-3-anos-churreria.xlsx, X15).</t>
        </is>
      </c>
    </row>
    <row r="23"/>
    <row r="24">
      <c r="A24" s="4" t="inlineStr">
        <is>
          <t>Lo que Conviene Saber Antes de Empezar</t>
        </is>
      </c>
    </row>
    <row r="25" ht="72" customHeight="1">
      <c r="A25" s="6" t="inlineStr">
        <is>
          <t>DOS FIGURAS DISTINTAS QUE NO SE MEZCLAN. El Estatuto de los Trabajadores define al TRABAJADOR NOCTURNO por las horas entre las 22:00 y las 6:00 (al menos tres de su jornada diaria, o un tercio de la anual): sólo a él le alcanzan la prohibición de horas extra y el tope de ocho horas de media. El PLUS DE NOCTURNIDAD lo paga el convenio por las horas de sus franjas (en el de Madrid, de 22:00 a 0:00 y de 0:00 a 8:00). Quien hace el turno de las 4:30 cobra plus y, con hora y media en el periodo del Estatuto, no es trabajador nocturno.</t>
        </is>
      </c>
    </row>
    <row r="26" ht="72" customHeight="1">
      <c r="A26" s="6" t="inlineStr">
        <is>
          <t>CONVENIO DE EJEMPLO, NO EL TUYO. Las cuantías son las del convenio de hostelería de la Comunidad de Madrid, clase C, tablas de 2025: el convenio venció el 31-12-2025 y está en negociación; se aplican sus tablas mientras no se publique el nuevo. Los niveles de cada puesto son una asimilación de funciones propuesta: compruébala con tu asesor. La hoja «Identifica tu Convenio» te enseña a buscar el tuyo.</t>
        </is>
      </c>
    </row>
    <row r="27" ht="72" customHeight="1">
      <c r="A27" s="6" t="inlineStr">
        <is>
          <t>EL SUELO ES EL SMI. El coste de cada puesto se calcula sobre el mayor de dos importes: su salario (base, pagas, plus de convenio y plus de nocturnidad, a su jornada) o el SMI anual a esa misma jornada. Si el salario queda por debajo, el semáforo lo dice y el coste usa el SMI.</t>
        </is>
      </c>
    </row>
    <row r="28" ht="72" customHeight="1">
      <c r="A28" s="6" t="inlineStr">
        <is>
          <t>SEMANA TIPO, NO EL CUADRANTE DE CADA SEMANA. Este libro calcula la semana modelo que usa el plan: horas por franja, las dos figuras de nocturnidad, el plus y el coste anual por puesto. No reproduce el cuadrante semana a semana por empleado, con cambios, vacaciones y fichajes, ni las nóminas: para eso está el Kit Gestión de Personal y Turnos (aichef.pro/kit-gestion-personal).</t>
        </is>
      </c>
    </row>
    <row r="29" ht="72" customHeight="1">
      <c r="A29" s="6" t="inlineStr">
        <is>
          <t>EL REGISTRO DE JORNADA ES DIARIO. Cada día, hora de inicio y de fin de cada persona, y se guarda cuatro años. Los turnos de este libro son el plan; el registro es lo que pasó.</t>
        </is>
      </c>
    </row>
    <row r="30" ht="72" customHeight="1">
      <c r="A30" s="6" t="inlineStr">
        <is>
          <t>LOS SUPUESTOS NO SON DATOS DEL SECTOR. La plantilla, los turnos, los mínimos de cobertura, las 14 pagas y la tolerancia de los cuadres son supuestos declarados de El Molinete. Los salarios de mercado de la hoja de coste son ofertas reales con las pagas sin declarar: sirven para saber si estás en mercado; lo que te obliga es tu convenio.</t>
        </is>
      </c>
    </row>
    <row r="31"/>
    <row r="32" ht="58" customHeight="1">
      <c r="A32" s="6" t="inlineStr">
        <is>
          <t>Cada cuánto se usa este libro: al montar la plantilla, cada vez que cambies un turno o contrates, y cuando se publiquen las tablas nuevas de tu convenio o el SMI del año. Si cambia el coste anual de plantilla del bloque «Lo que Copian Otros Libros» de «Coste de Plantilla», cópialo de nuevo en el libro 6.</t>
        </is>
      </c>
    </row>
    <row r="33"/>
    <row r="34">
      <c r="A34" s="6" t="inlineStr">
        <is>
          <t>Para editar la estructura o una celda que no esté en verde: Revisar &gt; Desproteger hoja (no tiene contraseña).</t>
        </is>
      </c>
    </row>
    <row r="35"/>
    <row r="36">
      <c r="A36" s="6" t="inlineStr">
        <is>
          <t>Diseñado por John Guerrero — chef y consultor gastronómico desde 2010, en cocina desde los 17 años.</t>
        </is>
      </c>
    </row>
    <row r="37">
      <c r="A3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86"/>
  <sheetViews>
    <sheetView workbookViewId="0">
      <pane ySplit="5" topLeftCell="A6" activePane="bottomLeft" state="frozen"/>
      <selection pane="bottomLeft" activeCell="A1" sqref="A1"/>
    </sheetView>
  </sheetViews>
  <sheetFormatPr baseColWidth="8" defaultRowHeight="15"/>
  <cols>
    <col width="54" customWidth="1" min="1" max="1"/>
    <col width="18" customWidth="1" min="2" max="2"/>
    <col width="13" customWidth="1" min="3" max="3"/>
    <col width="46" customWidth="1" min="4" max="4"/>
    <col width="66" customWidth="1" min="5" max="5"/>
  </cols>
  <sheetData>
    <row r="1">
      <c r="A1" s="1" t="inlineStr">
        <is>
          <t>Parámetros</t>
        </is>
      </c>
    </row>
    <row r="2">
      <c r="A2" s="2" t="inlineStr">
        <is>
          <t>AI Chef Pro · aichef.pro — Cómo Montar una Churrería-Chocolatería</t>
        </is>
      </c>
    </row>
    <row r="3">
      <c r="A3" s="3" t="inlineStr">
        <is>
          <t>Todo lo que el resto de hojas da por sabido vive aquí. Ninguna fórmula de este libro lleva dentro un salario, un porcentaje, una hora ni un umbral.</t>
        </is>
      </c>
    </row>
    <row r="4"/>
    <row r="5" ht="24" customHeight="1">
      <c r="A5" s="9" t="inlineStr">
        <is>
          <t>Parámetro</t>
        </is>
      </c>
      <c r="B5" s="9" t="inlineStr">
        <is>
          <t>Valor</t>
        </is>
      </c>
      <c r="C5" s="9" t="inlineStr">
        <is>
          <t>Unidad</t>
        </is>
      </c>
      <c r="D5" s="9" t="inlineStr">
        <is>
          <t>De dónde sale</t>
        </is>
      </c>
      <c r="E5" s="9" t="inlineStr">
        <is>
          <t>Nota</t>
        </is>
      </c>
    </row>
    <row r="6">
      <c r="A6" s="4" t="inlineStr">
        <is>
          <t>Lo que Copias de los Libros 1, 5 y 3</t>
        </is>
      </c>
    </row>
    <row r="7" ht="44" customHeight="1">
      <c r="A7" s="6" t="inlineStr">
        <is>
          <t>Personas en la línea en el pico del fin de semana</t>
        </is>
      </c>
      <c r="B7" s="10" t="n">
        <v>2</v>
      </c>
      <c r="C7" t="inlineStr">
        <is>
          <t>personas</t>
        </is>
      </c>
      <c r="D7" s="11" t="inlineStr">
        <is>
          <t>cópialo del libro 1: produccion-hora-punta-y-local.xlsx!Equipos y Capacidad!L5</t>
        </is>
      </c>
      <c r="E7" s="11" t="inlineStr">
        <is>
          <t>Sale de la capacidad de la línea del libro 1. Aquí manda el mínimo de personas en la línea del pico en «Cuadrante por Franja»: si tu cuadrante no las pone, aparecen huecos.</t>
        </is>
      </c>
    </row>
    <row r="8" ht="44" customHeight="1">
      <c r="A8" s="6" t="inlineStr">
        <is>
          <t>Horas de refuerzo de Navidad y Reyes al año</t>
        </is>
      </c>
      <c r="B8" s="12" t="n">
        <v>56</v>
      </c>
      <c r="C8" t="inlineStr">
        <is>
          <t>h/año</t>
        </is>
      </c>
      <c r="D8" s="11" t="inlineStr">
        <is>
          <t>cópialo del libro 5: temporada-franjas-y-ferias.xlsx!Refuerzo por Pico!L5</t>
        </is>
      </c>
      <c r="E8" s="11" t="inlineStr">
        <is>
          <t>Días punta de Navidad y Reyes con una persona más por la mañana. Se pagan al coste hora de la plantilla en «Coste de Plantilla».</t>
        </is>
      </c>
    </row>
    <row r="9" ht="44" customHeight="1">
      <c r="A9" s="6" t="inlineStr">
        <is>
          <t>Coste hora de mano de obra que usaste en el escandallo</t>
        </is>
      </c>
      <c r="B9" s="13" t="n">
        <v>13.24384288441323</v>
      </c>
      <c r="C9" t="inlineStr">
        <is>
          <t>EUR/h</t>
        </is>
      </c>
      <c r="D9" s="11" t="inlineStr">
        <is>
          <t>cópialo del libro 3: carta-de-apertura-y-escandallo-churro.xlsx!Coste Hora!L5</t>
        </is>
      </c>
      <c r="E9" s="11" t="inlineStr">
        <is>
          <t>El libro 3 va antes y lo supone para valorar la mano de obra de cada ración. Aquí se cuadra con el que sale de tu plantilla.</t>
        </is>
      </c>
    </row>
    <row r="10"/>
    <row r="11">
      <c r="A11" s="4" t="inlineStr">
        <is>
          <t>Tu Convenio (Ejemplo: Madrid, Clase C, Tablas 2025)</t>
        </is>
      </c>
    </row>
    <row r="12" ht="44" customHeight="1">
      <c r="A12" s="6" t="inlineStr">
        <is>
          <t>Provincia de tu local</t>
        </is>
      </c>
      <c r="B12" s="5" t="inlineStr">
        <is>
          <t>Madrid</t>
        </is>
      </c>
      <c r="C12" t="inlineStr"/>
      <c r="D12" s="11" t="inlineStr">
        <is>
          <t>supuesto declarado de El Molinete</t>
        </is>
      </c>
      <c r="E12" s="11" t="inlineStr">
        <is>
          <t>Pon la tuya: de ella depende el convenio que te toca.</t>
        </is>
      </c>
    </row>
    <row r="13" ht="44" customHeight="1">
      <c r="A13" s="6" t="inlineStr">
        <is>
          <t>Código REGCON de tu convenio</t>
        </is>
      </c>
      <c r="B13" s="14" t="inlineStr">
        <is>
          <t>28002085011981</t>
        </is>
      </c>
      <c r="C13" t="inlineStr"/>
      <c r="D13" s="11" t="inlineStr">
        <is>
          <t>CUN-39</t>
        </is>
      </c>
      <c r="E13" s="11" t="inlineStr">
        <is>
          <t>El del ejemplo es el de hostelería de la Comunidad de Madrid. Busca el tuyo con la hoja «Identifica tu Convenio».</t>
        </is>
      </c>
    </row>
    <row r="14" ht="44" customHeight="1">
      <c r="A14" s="6" t="inlineStr">
        <is>
          <t>Nombre de tu convenio</t>
        </is>
      </c>
      <c r="B14" s="5" t="inlineStr">
        <is>
          <t>Hostelería y Actividades Turísticas de la Comunidad de Madrid</t>
        </is>
      </c>
      <c r="C14" t="inlineStr"/>
      <c r="D14" s="11" t="inlineStr">
        <is>
          <t>CUN-39</t>
        </is>
      </c>
      <c r="E14" s="11" t="inlineStr"/>
    </row>
    <row r="15" ht="44" customHeight="1">
      <c r="A15" s="6" t="inlineStr">
        <is>
          <t>Clase o grupo en el que entra tu local</t>
        </is>
      </c>
      <c r="B15" s="5" t="inlineStr">
        <is>
          <t>C</t>
        </is>
      </c>
      <c r="C15" t="inlineStr"/>
      <c r="D15" s="11" t="inlineStr">
        <is>
          <t>CUN-39</t>
        </is>
      </c>
      <c r="E15" s="11" t="inlineStr">
        <is>
          <t>La clase C agrupa cafeterías de una taza, chocolaterías, cafés-bares y bares; el convenio nombra freidurías, quioscos y chocolaterías.</t>
        </is>
      </c>
    </row>
    <row r="16" ht="44" customHeight="1">
      <c r="A16" s="6" t="inlineStr">
        <is>
          <t>Tablas salariales que usas</t>
        </is>
      </c>
      <c r="B16" s="5" t="inlineStr">
        <is>
          <t>2025 · convenio vencido el 31-12-2025, en negociación; se aplican sus tablas mientras no se publique el nuevo</t>
        </is>
      </c>
      <c r="C16" t="inlineStr"/>
      <c r="D16" s="11" t="inlineStr">
        <is>
          <t>CUN-39 + CUN-V01</t>
        </is>
      </c>
      <c r="E16" s="11" t="inlineStr">
        <is>
          <t>Etiqueta obligatoria de toda celda que use estas cuantías. Antes de cada versión 2.x, mirar el BOCM.</t>
        </is>
      </c>
    </row>
    <row r="17" ht="44" customHeight="1">
      <c r="A17" s="6" t="inlineStr">
        <is>
          <t>Pagas al año</t>
        </is>
      </c>
      <c r="B17" s="10" t="n">
        <v>14</v>
      </c>
      <c r="C17" t="inlineStr">
        <is>
          <t>pagas</t>
        </is>
      </c>
      <c r="D17" s="11" t="inlineStr">
        <is>
          <t>supuesto declarado de El Molinete</t>
        </is>
      </c>
      <c r="E17" s="11" t="inlineStr">
        <is>
          <t>Dos gratificaciones del art. 26 de una mensualidad cada una: compruébalo en tu convenio. Es aritmética del ejemplo, no una cifra de la ficha.</t>
        </is>
      </c>
    </row>
    <row r="18" ht="44" customHeight="1">
      <c r="A18" s="6" t="inlineStr">
        <is>
          <t>Plus de convenio</t>
        </is>
      </c>
      <c r="B18" s="13" t="n">
        <v>191.22</v>
      </c>
      <c r="C18" t="inlineStr">
        <is>
          <t>EUR/mes</t>
        </is>
      </c>
      <c r="D18" s="11" t="inlineStr">
        <is>
          <t>CUN-39</t>
        </is>
      </c>
      <c r="E18" s="11" t="inlineStr">
        <is>
          <t>Plus de convenio de la clase C en 2025.</t>
        </is>
      </c>
    </row>
    <row r="19" ht="44" customHeight="1">
      <c r="A19" s="6" t="inlineStr">
        <is>
          <t>Meses que se cobra el plus de convenio</t>
        </is>
      </c>
      <c r="B19" s="10" t="n">
        <v>11</v>
      </c>
      <c r="C19" t="inlineStr">
        <is>
          <t>meses</t>
        </is>
      </c>
      <c r="D19" s="11" t="inlineStr">
        <is>
          <t>CUN-39</t>
        </is>
      </c>
      <c r="E19" s="11" t="inlineStr">
        <is>
          <t>El plus se cobra durante once meses.</t>
        </is>
      </c>
    </row>
    <row r="20" ht="44" customHeight="1">
      <c r="A20" s="6" t="inlineStr">
        <is>
          <t>SMI anual (suelo de cada puesto a jornada completa)</t>
        </is>
      </c>
      <c r="B20" s="13" t="n">
        <v>17094</v>
      </c>
      <c r="C20" t="inlineStr">
        <is>
          <t>EUR/año</t>
        </is>
      </c>
      <c r="D20" s="11" t="inlineStr">
        <is>
          <t>CHN-67</t>
        </is>
      </c>
      <c r="E20" s="11" t="inlineStr">
        <is>
          <t>Cuantía anual de referencia, en celda verde. El real decreto no dice «14 pagas». Coste por puesto = MAX(salario; SMI anual a su jornada).</t>
        </is>
      </c>
    </row>
    <row r="21" ht="44" customHeight="1">
      <c r="A21" s="6" t="inlineStr">
        <is>
          <t>SMI mensual</t>
        </is>
      </c>
      <c r="B21" s="13" t="n">
        <v>1221</v>
      </c>
      <c r="C21" t="inlineStr">
        <is>
          <t>EUR/mes</t>
        </is>
      </c>
      <c r="D21" s="11" t="inlineStr">
        <is>
          <t>CHN-67</t>
        </is>
      </c>
      <c r="E21" s="11" t="inlineStr">
        <is>
          <t>Caduca el 31-12-2026. Sirve para leer una oferta de mercado mes a mes.</t>
        </is>
      </c>
    </row>
    <row r="22" ht="44" customHeight="1">
      <c r="A22" s="6" t="inlineStr">
        <is>
          <t>Seguridad Social a cargo de la empresa</t>
        </is>
      </c>
      <c r="B22" s="15" t="n">
        <v>0.33</v>
      </c>
      <c r="C22" t="inlineStr">
        <is>
          <t>del bruto</t>
        </is>
      </c>
      <c r="D22" s="11" t="inlineStr">
        <is>
          <t>heredado de la hermana o del motor (motor.PARAMETROS[ss_empresa])</t>
        </is>
      </c>
      <c r="E22" s="11" t="inlineStr">
        <is>
          <t>Cotización empresarial aproximada sobre el bruto, la misma de toda la familia. Ajústala a tus contratos.</t>
        </is>
      </c>
    </row>
    <row r="23" ht="44" customHeight="1">
      <c r="A23" s="6" t="inlineStr">
        <is>
          <t>Jornada anual de un contrato a jornada completa</t>
        </is>
      </c>
      <c r="B23" s="10" t="n">
        <v>1780</v>
      </c>
      <c r="C23" t="inlineStr">
        <is>
          <t>h/año</t>
        </is>
      </c>
      <c r="D23" s="11" t="inlineStr">
        <is>
          <t>heredado de la Guía de la Chocolatería (supuesto declarado)</t>
        </is>
      </c>
      <c r="E23" s="11" t="inlineStr">
        <is>
          <t>Horas efectivas de un contrato a jornada completa en el ejemplo. La del convenio de Madrid no está verificada: celda verde.</t>
        </is>
      </c>
    </row>
    <row r="24" ht="44" customHeight="1">
      <c r="A24" s="6" t="inlineStr">
        <is>
          <t>Horas a la semana de una jornada completa (1,0)</t>
        </is>
      </c>
      <c r="B24" s="12" t="n">
        <v>40</v>
      </c>
      <c r="C24" t="inlineStr">
        <is>
          <t>h/semana</t>
        </is>
      </c>
      <c r="D24" s="11" t="inlineStr">
        <is>
          <t>heredado de la Guía de la Chocolatería (supuesto declarado)</t>
        </is>
      </c>
      <c r="E24" s="11" t="inlineStr">
        <is>
          <t>Jornada completa de 40 horas a la semana (1,0).</t>
        </is>
      </c>
    </row>
    <row r="25"/>
    <row r="26">
      <c r="A26" s="4" t="inlineStr">
        <is>
          <t>Salario Base Mensual por Nivel (Tabla de Ejemplo)</t>
        </is>
      </c>
    </row>
    <row r="27" ht="30" customHeight="1">
      <c r="A27" s="11" t="inlineStr">
        <is>
          <t>En la columna A, el nombre del nivel tal como lo eliges en «Coste de Plantilla»; en la B, su salario base de 2025. Si tu convenio tiene otros niveles, cambia el nombre y el importe.</t>
        </is>
      </c>
    </row>
    <row r="28" ht="32" customHeight="1">
      <c r="A28" s="16" t="inlineStr">
        <is>
          <t>III</t>
        </is>
      </c>
      <c r="B28" s="13" t="n">
        <v>1160.37</v>
      </c>
      <c r="C28" t="inlineStr">
        <is>
          <t>EUR/mes</t>
        </is>
      </c>
      <c r="D28" s="11" t="inlineStr">
        <is>
          <t>CUN-39 · 2025 · convenio vencido el 31-12-2025, en negociación; se aplican sus tablas mientras no se publique el nuevo</t>
        </is>
      </c>
      <c r="E28" s="11" t="inlineStr">
        <is>
          <t>Nivel III de la clase C del ejemplo. El puesto que encajas aquí es una asimilación propuesta: compruébala con tu asesor.</t>
        </is>
      </c>
    </row>
    <row r="29" ht="32" customHeight="1">
      <c r="A29" s="16" t="inlineStr">
        <is>
          <t>IV</t>
        </is>
      </c>
      <c r="B29" s="13" t="n">
        <v>1127.42</v>
      </c>
      <c r="C29" t="inlineStr">
        <is>
          <t>EUR/mes</t>
        </is>
      </c>
      <c r="D29" s="11" t="inlineStr">
        <is>
          <t>CUN-39 · 2025 · convenio vencido el 31-12-2025, en negociación; se aplican sus tablas mientras no se publique el nuevo</t>
        </is>
      </c>
      <c r="E29" s="11" t="inlineStr">
        <is>
          <t>Nivel IV de la clase C del ejemplo. El puesto que encajas aquí es una asimilación propuesta: compruébala con tu asesor.</t>
        </is>
      </c>
    </row>
    <row r="30" ht="32" customHeight="1">
      <c r="A30" s="16" t="inlineStr">
        <is>
          <t>V</t>
        </is>
      </c>
      <c r="B30" s="13" t="n">
        <v>1086.31</v>
      </c>
      <c r="C30" t="inlineStr">
        <is>
          <t>EUR/mes</t>
        </is>
      </c>
      <c r="D30" s="11" t="inlineStr">
        <is>
          <t>CUN-39 · 2025 · convenio vencido el 31-12-2025, en negociación; se aplican sus tablas mientras no se publique el nuevo</t>
        </is>
      </c>
      <c r="E30" s="11" t="inlineStr">
        <is>
          <t>Nivel V de la clase C del ejemplo. El puesto que encajas aquí es una asimilación propuesta: compruébala con tu asesor.</t>
        </is>
      </c>
    </row>
    <row r="31"/>
    <row r="32">
      <c r="A32" s="4" t="inlineStr">
        <is>
          <t>Figura 1: Trabajador Nocturno del Estatuto (Art. 36.1)</t>
        </is>
      </c>
    </row>
    <row r="33" ht="44" customHeight="1">
      <c r="A33" s="6" t="inlineStr">
        <is>
          <t>Empieza el periodo nocturno del Estatuto a las</t>
        </is>
      </c>
      <c r="B33" s="12" t="n">
        <v>22</v>
      </c>
      <c r="C33" t="inlineStr">
        <is>
          <t>h</t>
        </is>
      </c>
      <c r="D33" s="11" t="inlineStr">
        <is>
          <t>CUN-29</t>
        </is>
      </c>
      <c r="E33" s="11" t="inlineStr">
        <is>
          <t>Trabajo nocturno: el realizado entre las 22:00 y las 6:00.</t>
        </is>
      </c>
    </row>
    <row r="34" ht="44" customHeight="1">
      <c r="A34" s="6" t="inlineStr">
        <is>
          <t>Termina el periodo nocturno del Estatuto a las (hora del día siguiente)</t>
        </is>
      </c>
      <c r="B34" s="12" t="n">
        <v>6</v>
      </c>
      <c r="C34" t="inlineStr">
        <is>
          <t>h</t>
        </is>
      </c>
      <c r="D34" s="11" t="inlineStr">
        <is>
          <t>CUN-29</t>
        </is>
      </c>
      <c r="E34" s="11" t="inlineStr">
        <is>
          <t>Las 6:00 de la mañana siguiente. Escribe la hora del reloj: 6.</t>
        </is>
      </c>
    </row>
    <row r="35" ht="44" customHeight="1">
      <c r="A35" s="6" t="inlineStr">
        <is>
          <t>Horas diarias en ese periodo para ser trabajador nocturno</t>
        </is>
      </c>
      <c r="B35" s="12" t="n">
        <v>3</v>
      </c>
      <c r="C35" t="inlineStr">
        <is>
          <t>h/día</t>
        </is>
      </c>
      <c r="D35" s="11" t="inlineStr">
        <is>
          <t>CUN-29</t>
        </is>
      </c>
      <c r="E35" s="11" t="inlineStr">
        <is>
          <t>Trabajador nocturno: quien realiza NORMALMENTE en ese periodo al menos tres horas de su jornada diaria.</t>
        </is>
      </c>
    </row>
    <row r="36" ht="44" customHeight="1">
      <c r="A36" s="6" t="inlineStr">
        <is>
          <t>O parte de la jornada anual en ese periodo</t>
        </is>
      </c>
      <c r="B36" s="15" t="n">
        <v>0.3333333333333333</v>
      </c>
      <c r="C36" t="inlineStr">
        <is>
          <t>de la jornada</t>
        </is>
      </c>
      <c r="D36" s="11" t="inlineStr">
        <is>
          <t>CUN-29</t>
        </is>
      </c>
      <c r="E36" s="11" t="inlineStr">
        <is>
          <t>O quien se prevé que realice en él un tercio de su jornada anual.</t>
        </is>
      </c>
    </row>
    <row r="37"/>
    <row r="38">
      <c r="A38" s="4" t="inlineStr">
        <is>
          <t>Figura 2: Plus de Nocturnidad del Convenio (Franjas en Verde)</t>
        </is>
      </c>
    </row>
    <row r="39" ht="44" customHeight="1">
      <c r="A39" s="6" t="inlineStr">
        <is>
          <t>Franja 1 del plus: desde las</t>
        </is>
      </c>
      <c r="B39" s="12" t="n">
        <v>22</v>
      </c>
      <c r="C39" t="inlineStr">
        <is>
          <t>h</t>
        </is>
      </c>
      <c r="D39" s="11" t="inlineStr">
        <is>
          <t>CUN-40</t>
        </is>
      </c>
      <c r="E39" s="11" t="inlineStr">
        <is>
          <t>Primera franja del convenio de ejemplo: de 22:00 a 0:00.</t>
        </is>
      </c>
    </row>
    <row r="40" ht="44" customHeight="1">
      <c r="A40" s="6" t="inlineStr">
        <is>
          <t>Franja 1 del plus: hasta las (24 = medianoche)</t>
        </is>
      </c>
      <c r="B40" s="12" t="n">
        <v>24</v>
      </c>
      <c r="C40" t="inlineStr">
        <is>
          <t>h</t>
        </is>
      </c>
      <c r="D40" s="11" t="inlineStr">
        <is>
          <t>CUN-40</t>
        </is>
      </c>
      <c r="E40" s="11" t="inlineStr">
        <is>
          <t>Medianoche se escribe 24.</t>
        </is>
      </c>
    </row>
    <row r="41" ht="44" customHeight="1">
      <c r="A41" s="6" t="inlineStr">
        <is>
          <t>Franja 1 del plus: recargo sobre el salario base por hora</t>
        </is>
      </c>
      <c r="B41" s="15" t="n">
        <v>0.01</v>
      </c>
      <c r="C41" t="inlineStr">
        <is>
          <t>por hora</t>
        </is>
      </c>
      <c r="D41" s="11" t="inlineStr">
        <is>
          <t>CUN-40</t>
        </is>
      </c>
      <c r="E41" s="11" t="inlineStr">
        <is>
          <t>De 22:00 a 0:00, cada hora lleva un 1 % más sobre el salario base.</t>
        </is>
      </c>
    </row>
    <row r="42" ht="44" customHeight="1">
      <c r="A42" s="6" t="inlineStr">
        <is>
          <t>Franja 2 del plus: desde las (0 = medianoche)</t>
        </is>
      </c>
      <c r="B42" s="12" t="n">
        <v>0</v>
      </c>
      <c r="C42" t="inlineStr">
        <is>
          <t>h</t>
        </is>
      </c>
      <c r="D42" s="11" t="inlineStr">
        <is>
          <t>CUN-40</t>
        </is>
      </c>
      <c r="E42" s="11" t="inlineStr">
        <is>
          <t>Segunda franja: de 0:00 a 8:00.</t>
        </is>
      </c>
    </row>
    <row r="43" ht="44" customHeight="1">
      <c r="A43" s="6" t="inlineStr">
        <is>
          <t>Franja 2 del plus: hasta las</t>
        </is>
      </c>
      <c r="B43" s="12" t="n">
        <v>8</v>
      </c>
      <c r="C43" t="inlineStr">
        <is>
          <t>h</t>
        </is>
      </c>
      <c r="D43" s="11" t="inlineStr">
        <is>
          <t>CUN-40</t>
        </is>
      </c>
      <c r="E43" s="11" t="inlineStr">
        <is>
          <t>Las horas de esta franja son también las de la madrugada del titular.</t>
        </is>
      </c>
    </row>
    <row r="44" ht="44" customHeight="1">
      <c r="A44" s="6" t="inlineStr">
        <is>
          <t>Franja 2 del plus: recargo sobre el salario base por hora</t>
        </is>
      </c>
      <c r="B44" s="15" t="n">
        <v>0.25</v>
      </c>
      <c r="C44" t="inlineStr">
        <is>
          <t>por hora</t>
        </is>
      </c>
      <c r="D44" s="11" t="inlineStr">
        <is>
          <t>CUN-40</t>
        </is>
      </c>
      <c r="E44" s="11" t="inlineStr">
        <is>
          <t>De 0:00 a 8:00, cada hora lleva un 25 % más sobre el salario base.</t>
        </is>
      </c>
    </row>
    <row r="45" ht="44" customHeight="1">
      <c r="A45" s="6" t="inlineStr">
        <is>
          <t>Horas entre el inicio de la franja 1 y el final de la 2 para que la jornada cuente entera como nocturna</t>
        </is>
      </c>
      <c r="B45" s="12" t="n">
        <v>5</v>
      </c>
      <c r="C45" t="inlineStr">
        <is>
          <t>h/día</t>
        </is>
      </c>
      <c r="D45" s="11" t="inlineStr">
        <is>
          <t>CUN-40</t>
        </is>
      </c>
      <c r="E45" s="11" t="inlineStr">
        <is>
          <t>Con cinco o más horas entre las 22:00 y las 8:00, toda la jornada cuenta como nocturna a efectos del plus.</t>
        </is>
      </c>
    </row>
    <row r="46"/>
    <row r="47">
      <c r="A47" s="4" t="inlineStr">
        <is>
          <t>Calendario, Sustituciones y Cuadrante</t>
        </is>
      </c>
    </row>
    <row r="48" ht="44" customHeight="1">
      <c r="A48" s="6" t="inlineStr">
        <is>
          <t>Horas de un día</t>
        </is>
      </c>
      <c r="B48" s="12" t="n">
        <v>24</v>
      </c>
      <c r="C48" t="inlineStr">
        <is>
          <t>h</t>
        </is>
      </c>
      <c r="D48" s="11" t="inlineStr">
        <is>
          <t>calendario</t>
        </is>
      </c>
      <c r="E48" s="11" t="inlineStr">
        <is>
          <t>Los turnos que pasan de medianoche se escriben sumando un día: la 1:00 es 25.</t>
        </is>
      </c>
    </row>
    <row r="49" ht="44" customHeight="1">
      <c r="A49" s="6" t="inlineStr">
        <is>
          <t>Días naturales del año</t>
        </is>
      </c>
      <c r="B49" s="10" t="n">
        <v>365</v>
      </c>
      <c r="C49" t="inlineStr">
        <is>
          <t>días</t>
        </is>
      </c>
      <c r="D49" s="11" t="inlineStr">
        <is>
          <t>calendario</t>
        </is>
      </c>
      <c r="E49" s="11" t="inlineStr"/>
    </row>
    <row r="50" ht="44" customHeight="1">
      <c r="A50" s="6" t="inlineStr">
        <is>
          <t>Días de la semana</t>
        </is>
      </c>
      <c r="B50" s="10" t="n">
        <v>7</v>
      </c>
      <c r="C50" t="inlineStr">
        <is>
          <t>días</t>
        </is>
      </c>
      <c r="D50" s="11" t="inlineStr">
        <is>
          <t>calendario</t>
        </is>
      </c>
      <c r="E50" s="11" t="inlineStr"/>
    </row>
    <row r="51" ht="44" customHeight="1">
      <c r="A51" s="6" t="inlineStr">
        <is>
          <t>Días al año con el local cerrado</t>
        </is>
      </c>
      <c r="B51" s="10" t="n">
        <v>5</v>
      </c>
      <c r="C51" t="inlineStr">
        <is>
          <t>días</t>
        </is>
      </c>
      <c r="D51" s="11" t="inlineStr">
        <is>
          <t>supuesto declarado de El Molinete</t>
        </is>
      </c>
      <c r="E51" s="11" t="inlineStr">
        <is>
          <t>Cinco días al año con la persiana bajada, todos a la vez, para la limpieza a fondo y la puesta a punto de la línea.</t>
        </is>
      </c>
    </row>
    <row r="52" ht="44" customHeight="1">
      <c r="A52" s="6" t="inlineStr">
        <is>
          <t>Semanas que el local abre al año</t>
        </is>
      </c>
      <c r="B52" s="17">
        <f>IFERROR(('Parámetros'!$B$49-'Parámetros'!$B$51)/'Parámetros'!$B$50,"")</f>
        <v>51.42857142857143</v>
      </c>
      <c r="C52" t="inlineStr">
        <is>
          <t>semanas</t>
        </is>
      </c>
      <c r="D52" s="11" t="inlineStr">
        <is>
          <t>calculado</t>
        </is>
      </c>
      <c r="E52" s="11" t="inlineStr">
        <is>
          <t>Días abiertos entre los días de la semana.</t>
        </is>
      </c>
    </row>
    <row r="53" ht="44" customHeight="1">
      <c r="A53" s="6" t="inlineStr">
        <is>
          <t>Semanas que trabaja un contrato al año</t>
        </is>
      </c>
      <c r="B53" s="17">
        <f>IFERROR('Parámetros'!$B$23/'Parámetros'!$B$24,"")</f>
        <v>44.5</v>
      </c>
      <c r="C53" t="inlineStr">
        <is>
          <t>semanas</t>
        </is>
      </c>
      <c r="D53" s="11" t="inlineStr">
        <is>
          <t>calculado</t>
        </is>
      </c>
      <c r="E53" s="11" t="inlineStr">
        <is>
          <t>Jornada anual entre las horas de una semana completa: el resto son vacaciones y descansos por festivo.</t>
        </is>
      </c>
    </row>
    <row r="54" ht="44" customHeight="1">
      <c r="A54" s="6" t="inlineStr">
        <is>
          <t>¿Cubres vacaciones y festivos de la plantilla con sustitutos?</t>
        </is>
      </c>
      <c r="B54" s="5" t="inlineStr">
        <is>
          <t>sí</t>
        </is>
      </c>
      <c r="C54" t="inlineStr">
        <is>
          <t>sí / no</t>
        </is>
      </c>
      <c r="D54" s="11" t="inlineStr">
        <is>
          <t>supuesto declarado de El Molinete</t>
        </is>
      </c>
      <c r="E54" s="11" t="inlineStr">
        <is>
          <t>Cada contrato trabaja sus horas anuales, no las 52 semanas: las semanas de vacaciones y de descanso por festivo se cubren con sustitutos al coste hora del escandallo. Sin esta línea, el cuadrante sólo tiene cero huecos en la semana tipo.</t>
        </is>
      </c>
    </row>
    <row r="55" ht="44" customHeight="1">
      <c r="A55" s="6" t="inlineStr">
        <is>
          <t>Pagas con las que lees una oferta de mercado que no las dice</t>
        </is>
      </c>
      <c r="B55" s="10" t="n">
        <v>12</v>
      </c>
      <c r="C55" t="inlineStr">
        <is>
          <t>pagas</t>
        </is>
      </c>
      <c r="D55" s="11" t="inlineStr">
        <is>
          <t>supuesto declarado de este libro</t>
        </is>
      </c>
      <c r="E55" s="11" t="inlineStr">
        <is>
          <t>La lectura prudente de una oferta sin pagas: doce. Con doce, 1.300 euros al mes quedan por debajo del SMI anual.</t>
        </is>
      </c>
    </row>
    <row r="56" ht="44" customHeight="1">
      <c r="A56" s="6" t="inlineStr">
        <is>
          <t>Primera media hora de la rejilla del cuadrante</t>
        </is>
      </c>
      <c r="B56" s="12" t="n">
        <v>4</v>
      </c>
      <c r="C56" t="inlineStr">
        <is>
          <t>h</t>
        </is>
      </c>
      <c r="D56" s="11" t="inlineStr">
        <is>
          <t>supuesto declarado de este libro</t>
        </is>
      </c>
      <c r="E56" s="11" t="inlineStr">
        <is>
          <t>La rejilla de «Cuadrante por Franja» cubre 42 tramos desde aquí. Ponla antes del primer turno de la mañana.</t>
        </is>
      </c>
    </row>
    <row r="57" ht="44" customHeight="1">
      <c r="A57" s="6" t="inlineStr">
        <is>
          <t>Duración de cada tramo de la rejilla</t>
        </is>
      </c>
      <c r="B57" s="18" t="n">
        <v>0.5</v>
      </c>
      <c r="C57" t="inlineStr">
        <is>
          <t>h</t>
        </is>
      </c>
      <c r="D57" s="11" t="inlineStr">
        <is>
          <t>supuesto declarado de este libro</t>
        </is>
      </c>
      <c r="E57" s="11" t="inlineStr">
        <is>
          <t>Media hora: con turnos que empiezan a y media.</t>
        </is>
      </c>
    </row>
    <row r="58" ht="44" customHeight="1">
      <c r="A58" s="6" t="inlineStr">
        <is>
          <t>Tolerancia de los contrastes</t>
        </is>
      </c>
      <c r="B58" s="15" t="n">
        <v>0.05</v>
      </c>
      <c r="C58" t="inlineStr"/>
      <c r="D58" s="11" t="inlineStr">
        <is>
          <t>supuesto declarado de este libro</t>
        </is>
      </c>
      <c r="E58" s="11" t="inlineStr">
        <is>
          <t>Cuánto pueden separarse dos cifras que deberían coincidir (el coste hora de tu plantilla frente al del escandallo) antes de que la hoja avise.</t>
        </is>
      </c>
    </row>
    <row r="59" ht="44" customHeight="1">
      <c r="A59" s="6" t="inlineStr">
        <is>
          <t>Tolerancia de las filas de CUADRE</t>
        </is>
      </c>
      <c r="B59" s="15" t="n">
        <v>0.02</v>
      </c>
      <c r="C59" t="inlineStr"/>
      <c r="D59" s="11" t="inlineStr">
        <is>
          <t>heredado de la Guía de la Chocolatería (tolerancia de las filas de CUADRE)</t>
        </is>
      </c>
      <c r="E59" s="11" t="inlineStr">
        <is>
          <t>Por encima de esta desviación, la fila de CUADRE avisa de que lo que has copiado no es lo que publica el libro de origen.</t>
        </is>
      </c>
    </row>
    <row r="60"/>
    <row r="61">
      <c r="A61" s="4" t="inlineStr">
        <is>
          <t>Contraste entre tus Copias y tu Plantilla</t>
        </is>
      </c>
    </row>
    <row r="62" ht="30" customHeight="1">
      <c r="A62" s="7" t="inlineStr">
        <is>
          <t>Máximo de personas en la línea a la vez en tu cuadrante</t>
        </is>
      </c>
      <c r="B62" s="19">
        <f>'Cuadrante por Franja'!$B$10</f>
        <v>2.0</v>
      </c>
      <c r="C62" t="inlineStr">
        <is>
          <t>personas</t>
        </is>
      </c>
    </row>
    <row r="63" ht="30" customHeight="1">
      <c r="A63" s="7" t="inlineStr">
        <is>
          <t>Horas de apertura con mínimo de cobertura en tu cuadrante</t>
        </is>
      </c>
      <c r="B63" s="20">
        <f>'Cuadrante por Franja'!$B$5</f>
        <v>83.5</v>
      </c>
      <c r="C63" t="inlineStr">
        <is>
          <t>h/semana</t>
        </is>
      </c>
    </row>
    <row r="64" ht="30" customHeight="1">
      <c r="A64" s="7" t="inlineStr">
        <is>
          <t>Horas de apertura al año (las de la semana por las semanas abiertas)</t>
        </is>
      </c>
      <c r="B64" s="20">
        <f>IFERROR(B63*'Parámetros'!$B$52,"")</f>
        <v>4294.285714285715</v>
      </c>
      <c r="C64" t="inlineStr">
        <is>
          <t>h/año</t>
        </is>
      </c>
    </row>
    <row r="65" ht="30" customHeight="1">
      <c r="A65" s="7" t="inlineStr">
        <is>
          <t>Coste hora que sale de tu plantilla («Coste de Plantilla»)</t>
        </is>
      </c>
      <c r="B65" s="21">
        <f>'Coste de Plantilla'!$B$19</f>
        <v>13.243842884413233</v>
      </c>
      <c r="C65" t="inlineStr">
        <is>
          <t>EUR/h</t>
        </is>
      </c>
      <c r="D65" s="11" t="inlineStr">
        <is>
          <t>El libro 3 lo supone antes de que exista la plantilla; aquí se comprueba.</t>
        </is>
      </c>
    </row>
    <row r="66" ht="30" customHeight="1">
      <c r="A66" s="7" t="inlineStr">
        <is>
          <t>Separación entre el coste hora del libro 3 y el de tu plantilla</t>
        </is>
      </c>
      <c r="B66" s="22">
        <f>IFERROR(ABS('Parámetros'!$B$9/B65-1),"")</f>
        <v>2.220446049250313e-16</v>
      </c>
      <c r="C66" t="inlineStr"/>
    </row>
    <row r="67"/>
    <row r="68" ht="24" customHeight="1">
      <c r="A68" s="9" t="inlineStr">
        <is>
          <t>Contraste</t>
        </is>
      </c>
      <c r="B68" s="9" t="inlineStr">
        <is>
          <t>Veredicto</t>
        </is>
      </c>
      <c r="C68" s="9" t="inlineStr">
        <is>
          <t>Celda que compara</t>
        </is>
      </c>
      <c r="D68" s="9" t="inlineStr">
        <is>
          <t>Qué compara</t>
        </is>
      </c>
      <c r="E68" s="9" t="inlineStr">
        <is>
          <t>Si no es coherente</t>
        </is>
      </c>
    </row>
    <row r="69" ht="48" customHeight="1">
      <c r="A69" s="23" t="inlineStr">
        <is>
          <t>Contraste E · personas en la línea del pico</t>
        </is>
      </c>
      <c r="B69" s="24" t="str">
        <f>IF(AND(ISNUMBER(B62),ISNUMBER('Parámetros'!$B$7)),IF(B62&lt;'Parámetros'!$B$7,"INCOHERENTE: tu cuadrante no pone nunca en la línea las personas que el libro 1 dice que hacen falta en el pico; revisa los turnos o vuelve a copiar el libro 1","COHERENTE"),"")</f>
        <v>COHERENTE</v>
      </c>
      <c r="C69" t="inlineStr">
        <is>
          <t>B7</t>
        </is>
      </c>
      <c r="D69" s="11" t="inlineStr">
        <is>
          <t>Personas en la línea del libro 1 frente al máximo que pone tu cuadrante (fila 62)</t>
        </is>
      </c>
      <c r="E69" s="11" t="inlineStr">
        <is>
          <t>Revisa tu cuadrante, tus horas de refuerzo o vuelve a copiar la cifra de su libro de origen.</t>
        </is>
      </c>
    </row>
    <row r="70" ht="48" customHeight="1">
      <c r="A70" s="23" t="inlineStr">
        <is>
          <t>Contraste G · horas de refuerzo</t>
        </is>
      </c>
      <c r="B70" s="24" t="str">
        <f>IF(AND(ISNUMBER('Parámetros'!$B$8),ISNUMBER(B64)),IF(OR('Parámetros'!$B$8&lt;0,'Parámetros'!$B$8&gt;B64),"INCOHERENTE: las horas de refuerzo no caben en las horas de apertura del año; vuelve a copiar el libro 5","COHERENTE"),"")</f>
        <v>COHERENTE</v>
      </c>
      <c r="C70" t="inlineStr">
        <is>
          <t>B8</t>
        </is>
      </c>
      <c r="D70" s="11" t="inlineStr">
        <is>
          <t>Horas de refuerzo frente a las horas de apertura del año (fila 64)</t>
        </is>
      </c>
      <c r="E70" s="11" t="inlineStr">
        <is>
          <t>Revisa tu cuadrante, tus horas de refuerzo o vuelve a copiar la cifra de su libro de origen.</t>
        </is>
      </c>
    </row>
    <row r="71" ht="48" customHeight="1">
      <c r="A71" s="23" t="inlineStr">
        <is>
          <t>Contraste H · coste hora del escandallo</t>
        </is>
      </c>
      <c r="B71" s="24" t="str">
        <f>IF(AND(ISNUMBER(B66)),IF(B66&gt;'Parámetros'!$B$58,"INCOHERENTE: el coste hora que usaste en el escandallo del libro 3 se separa del que sale de tu plantilla; copia este en el libro 3 y vuelve a copiarlo aquí","COHERENTE"),"")</f>
        <v>COHERENTE</v>
      </c>
      <c r="C71" t="inlineStr">
        <is>
          <t>B9</t>
        </is>
      </c>
      <c r="D71" s="11" t="inlineStr">
        <is>
          <t>Coste hora del libro 3 frente al de tu plantilla (filas 65 y 66)</t>
        </is>
      </c>
      <c r="E71" s="11" t="inlineStr">
        <is>
          <t>Revisa tu cuadrante, tus horas de refuerzo o vuelve a copiar la cifra de su libro de origen.</t>
        </is>
      </c>
    </row>
    <row r="72"/>
    <row r="73">
      <c r="A73" s="4" t="inlineStr">
        <is>
          <t>Cuadre de lo que Has Copiado</t>
        </is>
      </c>
    </row>
    <row r="74" ht="36" customHeight="1">
      <c r="A74" s="9" t="inlineStr">
        <is>
          <t>Cuadre</t>
        </is>
      </c>
      <c r="B74" s="9" t="inlineStr">
        <is>
          <t>Lo que publica hoy la celda de origen (anótalo)</t>
        </is>
      </c>
      <c r="C74" s="9" t="inlineStr">
        <is>
          <t>Desviación</t>
        </is>
      </c>
      <c r="D74" s="9" t="inlineStr">
        <is>
          <t>Veredicto</t>
        </is>
      </c>
      <c r="E74" s="9" t="inlineStr">
        <is>
          <t>Si no cuadra</t>
        </is>
      </c>
    </row>
    <row r="75" ht="40" customHeight="1">
      <c r="A75" s="23" t="inlineStr">
        <is>
          <t>CUADRE · Personas en la línea en el pico del fin de semana (X6)</t>
        </is>
      </c>
      <c r="B75" s="10" t="n">
        <v>2</v>
      </c>
      <c r="C75" s="22">
        <f>IFERROR(ABS('Parámetros'!$B$7-B75)/B75,"")</f>
        <v>0.0</v>
      </c>
      <c r="D75" s="24" t="str">
        <f>IF(NOT(ISNUMBER(C75)),"",IF(C75&lt;='Parámetros'!$B$59,"CUADRA","REVISA: no es lo que publica el libro 1"))</f>
        <v>CUADRA</v>
      </c>
      <c r="E75" s="11" t="inlineStr">
        <is>
          <t>Vuelve a copiar la cifra de su celda de origen (libro 1, produccion-hora-punta-y-local.xlsx!Equipos y Capacidad!L5) en la fila 7, o anota aquí lo que publica hoy.</t>
        </is>
      </c>
    </row>
    <row r="76" ht="40" customHeight="1">
      <c r="A76" s="23" t="inlineStr">
        <is>
          <t>CUADRE · Horas de refuerzo de Navidad y Reyes al año (X7)</t>
        </is>
      </c>
      <c r="B76" s="12" t="n">
        <v>56</v>
      </c>
      <c r="C76" s="22">
        <f>IFERROR(ABS('Parámetros'!$B$8-B76)/B76,"")</f>
        <v>0.0</v>
      </c>
      <c r="D76" s="24" t="str">
        <f>IF(NOT(ISNUMBER(C76)),"",IF(C76&lt;='Parámetros'!$B$59,"CUADRA","REVISA: no es lo que publica el libro 5"))</f>
        <v>CUADRA</v>
      </c>
      <c r="E76" s="11" t="inlineStr">
        <is>
          <t>Vuelve a copiar la cifra de su celda de origen (libro 5, temporada-franjas-y-ferias.xlsx!Refuerzo por Pico!L5) en la fila 8, o anota aquí lo que publica hoy.</t>
        </is>
      </c>
    </row>
    <row r="77" ht="40" customHeight="1">
      <c r="A77" s="23" t="inlineStr">
        <is>
          <t>CUADRE · Coste hora de mano de obra que usaste en el escandallo (X8)</t>
        </is>
      </c>
      <c r="B77" s="13" t="n">
        <v>13.24384288441323</v>
      </c>
      <c r="C77" s="22">
        <f>IFERROR(ABS('Parámetros'!$B$9-B77)/B77,"")</f>
        <v>0.0</v>
      </c>
      <c r="D77" s="24" t="str">
        <f>IF(NOT(ISNUMBER(C77)),"",IF(C77&lt;='Parámetros'!$B$59,"CUADRA","REVISA: no es lo que publica el libro 3"))</f>
        <v>CUADRA</v>
      </c>
      <c r="E77" s="11" t="inlineStr">
        <is>
          <t>Vuelve a copiar la cifra de su celda de origen (libro 3, carta-de-apertura-y-escandallo-churro.xlsx!Coste Hora!L5) en la fila 9, o anota aquí lo que publica hoy.</t>
        </is>
      </c>
    </row>
    <row r="78"/>
    <row r="79"/>
    <row r="80">
      <c r="A80" s="25" t="inlineStr">
        <is>
          <t>Listas de validación (no las borres: las usan los desplegables)</t>
        </is>
      </c>
    </row>
    <row r="81">
      <c r="A81" s="16" t="inlineStr">
        <is>
          <t>Sí o no</t>
        </is>
      </c>
    </row>
    <row r="82">
      <c r="A82" t="inlineStr">
        <is>
          <t>sí</t>
        </is>
      </c>
    </row>
    <row r="83">
      <c r="A83" t="inlineStr">
        <is>
          <t>no</t>
        </is>
      </c>
    </row>
    <row r="84"/>
    <row r="85"/>
    <row r="86">
      <c r="A8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69">
    <cfRule type="cellIs" priority="1" operator="equal" dxfId="0" stopIfTrue="1">
      <formula>"COHERENTE"</formula>
    </cfRule>
    <cfRule type="cellIs" priority="2" operator="equal" dxfId="1" stopIfTrue="1">
      <formula>"INCOHERENTE: tu cuadrante no pone nunca en la línea las personas que el libro 1 dice que hacen falta en el pico; revisa los turnos o vuelve a copiar el libro 1"</formula>
    </cfRule>
  </conditionalFormatting>
  <conditionalFormatting sqref="B70">
    <cfRule type="cellIs" priority="3" operator="equal" dxfId="0" stopIfTrue="1">
      <formula>"COHERENTE"</formula>
    </cfRule>
    <cfRule type="cellIs" priority="4" operator="equal" dxfId="1" stopIfTrue="1">
      <formula>"INCOHERENTE: las horas de refuerzo no caben en las horas de apertura del año; vuelve a copiar el libro 5"</formula>
    </cfRule>
  </conditionalFormatting>
  <conditionalFormatting sqref="B71">
    <cfRule type="cellIs" priority="5" operator="equal" dxfId="0" stopIfTrue="1">
      <formula>"COHERENTE"</formula>
    </cfRule>
    <cfRule type="cellIs" priority="6" operator="equal" dxfId="1" stopIfTrue="1">
      <formula>"INCOHERENTE: el coste hora que usaste en el escandallo del libro 3 se separa del que sale de tu plantilla; copia este en el libro 3 y vuelve a copiarlo aquí"</formula>
    </cfRule>
  </conditionalFormatting>
  <conditionalFormatting sqref="D75">
    <cfRule type="cellIs" priority="7" operator="equal" dxfId="0" stopIfTrue="1">
      <formula>"CUADRA"</formula>
    </cfRule>
    <cfRule type="cellIs" priority="8" operator="equal" dxfId="1" stopIfTrue="1">
      <formula>"REVISA: no es lo que publica el libro 1"</formula>
    </cfRule>
  </conditionalFormatting>
  <conditionalFormatting sqref="D76">
    <cfRule type="cellIs" priority="9" operator="equal" dxfId="0" stopIfTrue="1">
      <formula>"CUADRA"</formula>
    </cfRule>
    <cfRule type="cellIs" priority="10" operator="equal" dxfId="1" stopIfTrue="1">
      <formula>"REVISA: no es lo que publica el libro 5"</formula>
    </cfRule>
  </conditionalFormatting>
  <conditionalFormatting sqref="D77">
    <cfRule type="cellIs" priority="11" operator="equal" dxfId="0" stopIfTrue="1">
      <formula>"CUADRA"</formula>
    </cfRule>
    <cfRule type="cellIs" priority="12" operator="equal" dxfId="1" stopIfTrue="1">
      <formula>"REVISA: no es lo que publica el libro 3"</formula>
    </cfRule>
  </conditionalFormatting>
  <dataValidations count="38">
    <dataValidation sqref="B7" showDropDown="0" showInputMessage="0" showErrorMessage="1" allowBlank="1" errorTitle="Importe no válido" error="Escribe un número mayor o igual que 0." type="decimal" operator="greaterThanOrEqual">
      <formula1>0</formula1>
    </dataValidation>
    <dataValidation sqref="B8"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Valor fuera de rango" error="Escribe un valor entre 1 y 16." type="decimal" operator="between">
      <formula1>1</formula1>
      <formula2>16</formula2>
    </dataValidation>
    <dataValidation sqref="B1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fuera de rango" error="Escribe un valor entre 0 y 14." type="decimal" operator="between">
      <formula1>0</formula1>
      <formula2>14</formula2>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Importe no válido" error="Escribe un número mayor o igual que 0." type="decimal" operator="greaterThanOrEqual">
      <formula1>0</formula1>
    </dataValidation>
    <dataValidation sqref="B22"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3" showDropDown="0" showInputMessage="0" showErrorMessage="1" allowBlank="1" errorTitle="Importe no válido" error="Escribe un número mayor o igual que 1." type="decimal" operator="greaterThanOrEqual">
      <formula1>1</formula1>
    </dataValidation>
    <dataValidation sqref="B24" showDropDown="0" showInputMessage="0" showErrorMessage="1" allowBlank="1" errorTitle="Importe no válido" error="Escribe un número mayor o igual que 1." type="decimal" operator="greaterThanOrEqual">
      <formula1>1</formula1>
    </dataValidation>
    <dataValidation sqref="B28" showDropDown="0" showInputMessage="0" showErrorMessage="1" allowBlank="1" errorTitle="Importe no válido" error="Escribe un número mayor o igual que 0." type="decimal" operator="greaterThanOrEqual">
      <formula1>0</formula1>
    </dataValidation>
    <dataValidation sqref="B29" showDropDown="0" showInputMessage="0" showErrorMessage="1" allowBlank="1" errorTitle="Importe no válido" error="Escribe un número mayor o igual que 0." type="decimal" operator="greaterThanOrEqual">
      <formula1>0</formula1>
    </dataValidation>
    <dataValidation sqref="B30"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Valor fuera de rango" error="Escribe un valor entre 0 y 24." type="decimal" operator="between">
      <formula1>0</formula1>
      <formula2>24</formula2>
    </dataValidation>
    <dataValidation sqref="B34" showDropDown="0" showInputMessage="0" showErrorMessage="1" allowBlank="1" errorTitle="Valor fuera de rango" error="Escribe un valor entre 0 y 24." type="decimal" operator="between">
      <formula1>0</formula1>
      <formula2>24</formula2>
    </dataValidation>
    <dataValidation sqref="B35" showDropDown="0" showInputMessage="0" showErrorMessage="1" allowBlank="1" errorTitle="Importe no válido" error="Escribe un número mayor o igual que 0." type="decimal" operator="greaterThanOrEqual">
      <formula1>0</formula1>
    </dataValidation>
    <dataValidation sqref="B3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9" showDropDown="0" showInputMessage="0" showErrorMessage="1" allowBlank="1" errorTitle="Valor fuera de rango" error="Escribe un valor entre 0 y 24." type="decimal" operator="between">
      <formula1>0</formula1>
      <formula2>24</formula2>
    </dataValidation>
    <dataValidation sqref="B40" showDropDown="0" showInputMessage="0" showErrorMessage="1" allowBlank="1" errorTitle="Valor fuera de rango" error="Escribe un valor entre 0 y 24." type="decimal" operator="between">
      <formula1>0</formula1>
      <formula2>24</formula2>
    </dataValidation>
    <dataValidation sqref="B4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42" showDropDown="0" showInputMessage="0" showErrorMessage="1" allowBlank="1" errorTitle="Valor fuera de rango" error="Escribe un valor entre 0 y 24." type="decimal" operator="between">
      <formula1>0</formula1>
      <formula2>24</formula2>
    </dataValidation>
    <dataValidation sqref="B43" showDropDown="0" showInputMessage="0" showErrorMessage="1" allowBlank="1" errorTitle="Valor fuera de rango" error="Escribe un valor entre 0 y 24." type="decimal" operator="between">
      <formula1>0</formula1>
      <formula2>24</formula2>
    </dataValidation>
    <dataValidation sqref="B4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45" showDropDown="0" showInputMessage="0" showErrorMessage="1" allowBlank="1" errorTitle="Importe no válido" error="Escribe un número mayor o igual que 0." type="decimal" operator="greaterThanOrEqual">
      <formula1>0</formula1>
    </dataValidation>
    <dataValidation sqref="B48" showDropDown="0" showInputMessage="0" showErrorMessage="1" allowBlank="1" errorTitle="Importe no válido" error="Escribe un número mayor o igual que 1." type="decimal" operator="greaterThanOrEqual">
      <formula1>1</formula1>
    </dataValidation>
    <dataValidation sqref="B49" showDropDown="0" showInputMessage="0" showErrorMessage="1" allowBlank="1" errorTitle="Importe no válido" error="Escribe un número mayor o igual que 1." type="decimal" operator="greaterThanOrEqual">
      <formula1>1</formula1>
    </dataValidation>
    <dataValidation sqref="B50" showDropDown="0" showInputMessage="0" showErrorMessage="1" allowBlank="1" errorTitle="Importe no válido" error="Escribe un número mayor o igual que 1." type="decimal" operator="greaterThanOrEqual">
      <formula1>1</formula1>
    </dataValidation>
    <dataValidation sqref="B51" showDropDown="0" showInputMessage="0" showErrorMessage="1" allowBlank="1" errorTitle="Importe no válido" error="Escribe un número mayor o igual que 0." type="decimal" operator="greaterThanOrEqual">
      <formula1>0</formula1>
    </dataValidation>
    <dataValidation sqref="B55" showDropDown="0" showInputMessage="0" showErrorMessage="1" allowBlank="1" errorTitle="Valor fuera de rango" error="Escribe un valor entre 1 y 16." type="decimal" operator="between">
      <formula1>1</formula1>
      <formula2>16</formula2>
    </dataValidation>
    <dataValidation sqref="B56" showDropDown="0" showInputMessage="0" showErrorMessage="1" allowBlank="1" errorTitle="Valor fuera de rango" error="Escribe un valor entre 0 y 24." type="decimal" operator="between">
      <formula1>0</formula1>
      <formula2>24</formula2>
    </dataValidation>
    <dataValidation sqref="B57" showDropDown="0" showInputMessage="0" showErrorMessage="1" allowBlank="1" errorTitle="Valor fuera de rango" error="Escribe un valor entre 0.25 y 1." type="decimal" operator="between">
      <formula1>0.25</formula1>
      <formula2>1</formula2>
    </dataValidation>
    <dataValidation sqref="B5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5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5" showDropDown="0" showInputMessage="0" showErrorMessage="1" allowBlank="1" errorTitle="Importe no válido" error="Escribe un número mayor o igual que 0." type="decimal" operator="greaterThanOrEqual">
      <formula1>0</formula1>
    </dataValidation>
    <dataValidation sqref="B76" showDropDown="0" showInputMessage="0" showErrorMessage="1" allowBlank="1" errorTitle="Importe no válido" error="Escribe un número mayor o igual que 0." type="decimal" operator="greaterThanOrEqual">
      <formula1>0</formula1>
    </dataValidation>
    <dataValidation sqref="B77" showDropDown="0" showInputMessage="0" showErrorMessage="1" allowBlank="1" errorTitle="Importe no válido" error="Escribe un número mayor o igual que 0." type="decimal" operator="greaterThanOrEqual">
      <formula1>0</formula1>
    </dataValidation>
    <dataValidation sqref="B54" showDropDown="0" showInputMessage="0" showErrorMessage="1" allowBlank="0" errorTitle="Sustitutos" error="Elige sí o no." type="list">
      <formula1>=$A$82:$A$83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G120"/>
  <sheetViews>
    <sheetView workbookViewId="0">
      <selection activeCell="A1" sqref="A1"/>
    </sheetView>
  </sheetViews>
  <sheetFormatPr baseColWidth="8" defaultRowHeight="15"/>
  <cols>
    <col width="34" customWidth="1" min="1" max="1"/>
    <col width="13" customWidth="1" min="2" max="2"/>
    <col width="6.5" customWidth="1" min="3" max="3"/>
    <col width="6.5" customWidth="1" min="4" max="4"/>
    <col width="6.5" customWidth="1" min="5" max="5"/>
    <col width="6.5" customWidth="1" min="6" max="6"/>
    <col width="6.5" customWidth="1" min="7" max="7"/>
    <col width="6.5" customWidth="1" min="8" max="8"/>
    <col width="6.5" customWidth="1" min="9" max="9"/>
    <col width="11"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9" max="19"/>
    <col width="6.5" customWidth="1" min="20" max="20"/>
    <col width="6.5" customWidth="1" min="21" max="21"/>
    <col width="6.5" customWidth="1" min="22" max="22"/>
    <col width="6.5" customWidth="1" min="23" max="23"/>
    <col width="6.5" customWidth="1" min="24" max="24"/>
    <col width="6.5" customWidth="1" min="25" max="25"/>
    <col width="6.5" customWidth="1" min="27" max="27"/>
    <col width="6.5" customWidth="1" min="28" max="28"/>
    <col width="6.5" customWidth="1" min="29" max="29"/>
    <col width="6.5" customWidth="1" min="30" max="30"/>
    <col width="6.5" customWidth="1" min="31" max="31"/>
    <col width="6.5" customWidth="1" min="32" max="32"/>
    <col width="6.5" customWidth="1" min="33" max="33"/>
  </cols>
  <sheetData>
    <row r="1">
      <c r="A1" s="1" t="inlineStr">
        <is>
          <t>Cuadrante por Franja</t>
        </is>
      </c>
    </row>
    <row r="2">
      <c r="A2" s="2" t="inlineStr">
        <is>
          <t>AI Chef Pro · aichef.pro — Cómo Montar una Churrería-Chocolatería</t>
        </is>
      </c>
    </row>
    <row r="3">
      <c r="A3" s="3" t="inlineStr">
        <is>
          <t>La semana tipo del plan: mínimos de cobertura, turnos persona a persona y una rejilla de medias horas que cuenta quién está y marca los huecos. No es el cuadrante de cada semana.</t>
        </is>
      </c>
    </row>
    <row r="4">
      <c r="A4" s="4" t="inlineStr">
        <is>
          <t>Resumen del Cuadrante</t>
        </is>
      </c>
    </row>
    <row r="5" ht="28" customHeight="1">
      <c r="A5" s="6" t="inlineStr">
        <is>
          <t>Horas de apertura con mínimo de cobertura (a la semana)</t>
        </is>
      </c>
      <c r="B5" s="26">
        <f>COUNTIF(S64:Y105,"&gt;0")*'Parámetros'!$B$57</f>
        <v>83.5</v>
      </c>
    </row>
    <row r="6" ht="28" customHeight="1">
      <c r="A6" s="6" t="inlineStr">
        <is>
          <t>Horas de trabajo que piden los mínimos (personas por horas)</t>
        </is>
      </c>
      <c r="B6" s="26">
        <f>SUM(S64:Y105)*'Parámetros'!$B$57</f>
        <v>163.5</v>
      </c>
    </row>
    <row r="7" ht="28" customHeight="1">
      <c r="A7" s="6" t="inlineStr">
        <is>
          <t>Horas de trabajo que pone tu cuadrante</t>
        </is>
      </c>
      <c r="B7" s="26">
        <f>SUM(F23:F58)</f>
        <v>189.0</v>
      </c>
      <c r="C7" s="11" t="inlineStr">
        <is>
          <t>Más que lo que piden los mínimos: preparación de la masa antes de abrir, solapes de relevo y el cierre.</t>
        </is>
      </c>
    </row>
    <row r="8" ht="28" customHeight="1">
      <c r="A8" s="6" t="inlineStr">
        <is>
          <t>Medias horas sin cubrir (huecos de cobertura)</t>
        </is>
      </c>
      <c r="B8" s="27">
        <f>SUM(AA64:AG105)</f>
        <v>0.0</v>
      </c>
    </row>
    <row r="9" ht="28" customHeight="1">
      <c r="A9" s="6" t="inlineStr">
        <is>
          <t>Veredicto de cobertura</t>
        </is>
      </c>
      <c r="B9" s="28" t="str">
        <f>IF(ISNUMBER(B8),IF(B8&gt;0,"HAY HUECOS: mira la rejilla de huecos, abajo","Sin huecos: el cuadrante cubre todos los mínimos"),"")</f>
        <v>Sin huecos: el cuadrante cubre todos los mínimos</v>
      </c>
    </row>
    <row r="10" ht="28" customHeight="1">
      <c r="A10" s="6" t="inlineStr">
        <is>
          <t>Máximo de personas en la línea a la vez</t>
        </is>
      </c>
      <c r="B10" s="27">
        <f>MAX(K64:Q105)</f>
        <v>2.0</v>
      </c>
    </row>
    <row r="11"/>
    <row r="12">
      <c r="A12" s="4" t="inlineStr">
        <is>
          <t>Mínimos de Cobertura (1 = Ese Día se Exige)</t>
        </is>
      </c>
    </row>
    <row r="13" ht="30" customHeight="1">
      <c r="A13" s="9" t="inlineStr">
        <is>
          <t>Tramo</t>
        </is>
      </c>
      <c r="B13" s="9" t="inlineStr">
        <is>
          <t>Desde (h)</t>
        </is>
      </c>
      <c r="C13" s="9" t="inlineStr">
        <is>
          <t>Hasta (h)</t>
        </is>
      </c>
      <c r="D13" s="9" t="inlineStr">
        <is>
          <t>Personas</t>
        </is>
      </c>
      <c r="E13" s="9" t="inlineStr">
        <is>
          <t>De ellas en la línea</t>
        </is>
      </c>
      <c r="F13" s="9" t="inlineStr">
        <is>
          <t>L</t>
        </is>
      </c>
      <c r="G13" s="9" t="inlineStr">
        <is>
          <t>M</t>
        </is>
      </c>
      <c r="H13" s="9" t="inlineStr">
        <is>
          <t>X</t>
        </is>
      </c>
      <c r="I13" s="9" t="inlineStr">
        <is>
          <t>J</t>
        </is>
      </c>
      <c r="J13" s="9" t="inlineStr">
        <is>
          <t>V</t>
        </is>
      </c>
      <c r="K13" s="9" t="inlineStr">
        <is>
          <t>S</t>
        </is>
      </c>
      <c r="L13" s="9" t="inlineStr">
        <is>
          <t>D</t>
        </is>
      </c>
    </row>
    <row r="14" ht="30" customHeight="1">
      <c r="A14" s="7" t="inlineStr">
        <is>
          <t>Mañana entre semana: una persona fríe y otra atiende.</t>
        </is>
      </c>
      <c r="B14" s="12" t="n">
        <v>7</v>
      </c>
      <c r="C14" s="12" t="n">
        <v>13</v>
      </c>
      <c r="D14" s="10" t="n">
        <v>2</v>
      </c>
      <c r="E14" s="10" t="n">
        <v>1</v>
      </c>
      <c r="F14" s="29" t="n">
        <v>1</v>
      </c>
      <c r="G14" s="29" t="n">
        <v>1</v>
      </c>
      <c r="H14" s="29" t="n">
        <v>1</v>
      </c>
      <c r="I14" s="29" t="n">
        <v>1</v>
      </c>
      <c r="J14" s="29" t="n">
        <v>1</v>
      </c>
      <c r="K14" s="29" t="n">
        <v>0</v>
      </c>
      <c r="L14" s="29" t="n">
        <v>0</v>
      </c>
    </row>
    <row r="15" ht="30" customHeight="1">
      <c r="A15" s="7" t="inlineStr">
        <is>
          <t>Pico del fin de semana: dos en la línea y una en la barra.</t>
        </is>
      </c>
      <c r="B15" s="12" t="n">
        <v>6</v>
      </c>
      <c r="C15" s="12" t="n">
        <v>10</v>
      </c>
      <c r="D15" s="10" t="n">
        <v>3</v>
      </c>
      <c r="E15" s="30">
        <f>'Parámetros'!$B$7</f>
        <v>2.0</v>
      </c>
      <c r="F15" s="29" t="n">
        <v>0</v>
      </c>
      <c r="G15" s="29" t="n">
        <v>0</v>
      </c>
      <c r="H15" s="29" t="n">
        <v>0</v>
      </c>
      <c r="I15" s="29" t="n">
        <v>0</v>
      </c>
      <c r="J15" s="29" t="n">
        <v>0</v>
      </c>
      <c r="K15" s="29" t="n">
        <v>1</v>
      </c>
      <c r="L15" s="29" t="n">
        <v>1</v>
      </c>
      <c r="M15" s="11" t="inlineStr">
        <is>
          <t>Personas en la línea del pico: las copia «Parámetros» del libro 1 (X6).</t>
        </is>
      </c>
    </row>
    <row r="16" ht="30" customHeight="1">
      <c r="A16" s="7" t="inlineStr">
        <is>
          <t>Media mañana del fin de semana.</t>
        </is>
      </c>
      <c r="B16" s="12" t="n">
        <v>10</v>
      </c>
      <c r="C16" s="12" t="n">
        <v>13</v>
      </c>
      <c r="D16" s="10" t="n">
        <v>2</v>
      </c>
      <c r="E16" s="10" t="n">
        <v>1</v>
      </c>
      <c r="F16" s="29" t="n">
        <v>0</v>
      </c>
      <c r="G16" s="29" t="n">
        <v>0</v>
      </c>
      <c r="H16" s="29" t="n">
        <v>0</v>
      </c>
      <c r="I16" s="29" t="n">
        <v>0</v>
      </c>
      <c r="J16" s="29" t="n">
        <v>0</v>
      </c>
      <c r="K16" s="29" t="n">
        <v>1</v>
      </c>
      <c r="L16" s="29" t="n">
        <v>1</v>
      </c>
    </row>
    <row r="17" ht="30" customHeight="1">
      <c r="A17" s="7" t="inlineStr">
        <is>
          <t>Apertura de tarde: pone la freidora a punto y atiende.</t>
        </is>
      </c>
      <c r="B17" s="12" t="n">
        <v>16.5</v>
      </c>
      <c r="C17" s="12" t="n">
        <v>17</v>
      </c>
      <c r="D17" s="10" t="n">
        <v>1</v>
      </c>
      <c r="E17" s="10" t="n">
        <v>1</v>
      </c>
      <c r="F17" s="29" t="n">
        <v>1</v>
      </c>
      <c r="G17" s="29" t="n">
        <v>1</v>
      </c>
      <c r="H17" s="29" t="n">
        <v>1</v>
      </c>
      <c r="I17" s="29" t="n">
        <v>1</v>
      </c>
      <c r="J17" s="29" t="n">
        <v>1</v>
      </c>
      <c r="K17" s="29" t="n">
        <v>1</v>
      </c>
      <c r="L17" s="29" t="n">
        <v>1</v>
      </c>
    </row>
    <row r="18" ht="30" customHeight="1">
      <c r="A18" s="7" t="inlineStr">
        <is>
          <t>Merienda: una persona fríe y otra atiende.</t>
        </is>
      </c>
      <c r="B18" s="12" t="n">
        <v>17</v>
      </c>
      <c r="C18" s="12" t="n">
        <v>21</v>
      </c>
      <c r="D18" s="10" t="n">
        <v>2</v>
      </c>
      <c r="E18" s="10" t="n">
        <v>1</v>
      </c>
      <c r="F18" s="29" t="n">
        <v>1</v>
      </c>
      <c r="G18" s="29" t="n">
        <v>1</v>
      </c>
      <c r="H18" s="29" t="n">
        <v>1</v>
      </c>
      <c r="I18" s="29" t="n">
        <v>1</v>
      </c>
      <c r="J18" s="29" t="n">
        <v>1</v>
      </c>
      <c r="K18" s="29" t="n">
        <v>1</v>
      </c>
      <c r="L18" s="29" t="n">
        <v>1</v>
      </c>
    </row>
    <row r="19" ht="30" customHeight="1">
      <c r="A19" s="7" t="inlineStr">
        <is>
          <t>Noche: quien cierra fríe y cobra.</t>
        </is>
      </c>
      <c r="B19" s="12" t="n">
        <v>21</v>
      </c>
      <c r="C19" s="12" t="n">
        <v>25</v>
      </c>
      <c r="D19" s="10" t="n">
        <v>1</v>
      </c>
      <c r="E19" s="10" t="n">
        <v>1</v>
      </c>
      <c r="F19" s="29" t="n">
        <v>0</v>
      </c>
      <c r="G19" s="29" t="n">
        <v>0</v>
      </c>
      <c r="H19" s="29" t="n">
        <v>0</v>
      </c>
      <c r="I19" s="29" t="n">
        <v>0</v>
      </c>
      <c r="J19" s="29" t="n">
        <v>1</v>
      </c>
      <c r="K19" s="29" t="n">
        <v>1</v>
      </c>
      <c r="L19" s="29" t="n">
        <v>0</v>
      </c>
    </row>
    <row r="20"/>
    <row r="21">
      <c r="A21" s="4" t="inlineStr">
        <is>
          <t>Turnos de la Semana Tipo (Persona, Día, Desde, Hasta, Puesto)</t>
        </is>
      </c>
    </row>
    <row r="22" ht="48" customHeight="1">
      <c r="A22" s="9" t="inlineStr">
        <is>
          <t>Persona</t>
        </is>
      </c>
      <c r="B22" s="9" t="inlineStr">
        <is>
          <t>Día</t>
        </is>
      </c>
      <c r="C22" s="9" t="inlineStr">
        <is>
          <t>Desde (h)</t>
        </is>
      </c>
      <c r="D22" s="9" t="inlineStr">
        <is>
          <t>Hasta (h; la 1:00 es 25)</t>
        </is>
      </c>
      <c r="E22" s="9" t="inlineStr">
        <is>
          <t>Puesto (L línea, B barra)</t>
        </is>
      </c>
      <c r="F22" s="9" t="inlineStr">
        <is>
          <t>Horas</t>
        </is>
      </c>
      <c r="G22" s="9" t="inlineStr">
        <is>
          <t>Horas de 22:00 a 6:00 (ET)</t>
        </is>
      </c>
      <c r="H22" s="9" t="inlineStr">
        <is>
          <t>Horas en la franja 1 del plus</t>
        </is>
      </c>
      <c r="I22" s="9" t="inlineStr">
        <is>
          <t>Horas en la franja 2 del plus</t>
        </is>
      </c>
      <c r="J22" s="9" t="inlineStr">
        <is>
          <t>Horas en la ventana nocturna del convenio</t>
        </is>
      </c>
    </row>
    <row r="23">
      <c r="A23" s="5" t="inlineStr">
        <is>
          <t>P2</t>
        </is>
      </c>
      <c r="B23" s="5" t="inlineStr">
        <is>
          <t>L</t>
        </is>
      </c>
      <c r="C23" s="12" t="n">
        <v>6</v>
      </c>
      <c r="D23" s="12" t="n">
        <v>14</v>
      </c>
      <c r="E23" s="5" t="inlineStr">
        <is>
          <t>L</t>
        </is>
      </c>
      <c r="F23" s="20">
        <f>MAX(0,D23-C23)</f>
        <v>8.0</v>
      </c>
      <c r="G23" s="20">
        <f>MAX(0,MIN(D23,'Parámetros'!$B$34+'Parámetros'!$B$48)-MAX(C23,'Parámetros'!$B$33))+MAX(0,MIN(D23,'Parámetros'!$B$34)-MAX(C23,0))</f>
        <v>0.0</v>
      </c>
      <c r="H23" s="20">
        <f>MAX(0,MIN(D23,'Parámetros'!$B$40)-MAX(C23,'Parámetros'!$B$39))</f>
        <v>0.0</v>
      </c>
      <c r="I23" s="20">
        <f>MAX(0,MIN(D23,'Parámetros'!$B$43)-MAX(C23,'Parámetros'!$B$42))+MAX(0,MIN(D23,'Parámetros'!$B$43+'Parámetros'!$B$48)-MAX(C23,'Parámetros'!$B$42+'Parámetros'!$B$48))</f>
        <v>2.0</v>
      </c>
      <c r="J23" s="20">
        <f>MAX(0,MIN(D23,'Parámetros'!$B$43+'Parámetros'!$B$48)-MAX(C23,'Parámetros'!$B$39))+MAX(0,MIN(D23,'Parámetros'!$B$43)-MAX(C23,'Parámetros'!$B$42))</f>
        <v>2.0</v>
      </c>
    </row>
    <row r="24">
      <c r="A24" s="5" t="inlineStr">
        <is>
          <t>P2</t>
        </is>
      </c>
      <c r="B24" s="5" t="inlineStr">
        <is>
          <t>M</t>
        </is>
      </c>
      <c r="C24" s="12" t="n">
        <v>6</v>
      </c>
      <c r="D24" s="12" t="n">
        <v>14</v>
      </c>
      <c r="E24" s="5" t="inlineStr">
        <is>
          <t>L</t>
        </is>
      </c>
      <c r="F24" s="20">
        <f>MAX(0,D24-C24)</f>
        <v>8.0</v>
      </c>
      <c r="G24" s="20">
        <f>MAX(0,MIN(D24,'Parámetros'!$B$34+'Parámetros'!$B$48)-MAX(C24,'Parámetros'!$B$33))+MAX(0,MIN(D24,'Parámetros'!$B$34)-MAX(C24,0))</f>
        <v>0.0</v>
      </c>
      <c r="H24" s="20">
        <f>MAX(0,MIN(D24,'Parámetros'!$B$40)-MAX(C24,'Parámetros'!$B$39))</f>
        <v>0.0</v>
      </c>
      <c r="I24" s="20">
        <f>MAX(0,MIN(D24,'Parámetros'!$B$43)-MAX(C24,'Parámetros'!$B$42))+MAX(0,MIN(D24,'Parámetros'!$B$43+'Parámetros'!$B$48)-MAX(C24,'Parámetros'!$B$42+'Parámetros'!$B$48))</f>
        <v>2.0</v>
      </c>
      <c r="J24" s="20">
        <f>MAX(0,MIN(D24,'Parámetros'!$B$43+'Parámetros'!$B$48)-MAX(C24,'Parámetros'!$B$39))+MAX(0,MIN(D24,'Parámetros'!$B$43)-MAX(C24,'Parámetros'!$B$42))</f>
        <v>2.0</v>
      </c>
    </row>
    <row r="25">
      <c r="A25" s="5" t="inlineStr">
        <is>
          <t>P2</t>
        </is>
      </c>
      <c r="B25" s="5" t="inlineStr">
        <is>
          <t>X</t>
        </is>
      </c>
      <c r="C25" s="12" t="n">
        <v>6</v>
      </c>
      <c r="D25" s="12" t="n">
        <v>14</v>
      </c>
      <c r="E25" s="5" t="inlineStr">
        <is>
          <t>L</t>
        </is>
      </c>
      <c r="F25" s="20">
        <f>MAX(0,D25-C25)</f>
        <v>8.0</v>
      </c>
      <c r="G25" s="20">
        <f>MAX(0,MIN(D25,'Parámetros'!$B$34+'Parámetros'!$B$48)-MAX(C25,'Parámetros'!$B$33))+MAX(0,MIN(D25,'Parámetros'!$B$34)-MAX(C25,0))</f>
        <v>0.0</v>
      </c>
      <c r="H25" s="20">
        <f>MAX(0,MIN(D25,'Parámetros'!$B$40)-MAX(C25,'Parámetros'!$B$39))</f>
        <v>0.0</v>
      </c>
      <c r="I25" s="20">
        <f>MAX(0,MIN(D25,'Parámetros'!$B$43)-MAX(C25,'Parámetros'!$B$42))+MAX(0,MIN(D25,'Parámetros'!$B$43+'Parámetros'!$B$48)-MAX(C25,'Parámetros'!$B$42+'Parámetros'!$B$48))</f>
        <v>2.0</v>
      </c>
      <c r="J25" s="20">
        <f>MAX(0,MIN(D25,'Parámetros'!$B$43+'Parámetros'!$B$48)-MAX(C25,'Parámetros'!$B$39))+MAX(0,MIN(D25,'Parámetros'!$B$43)-MAX(C25,'Parámetros'!$B$42))</f>
        <v>2.0</v>
      </c>
    </row>
    <row r="26">
      <c r="A26" s="5" t="inlineStr">
        <is>
          <t>P2</t>
        </is>
      </c>
      <c r="B26" s="5" t="inlineStr">
        <is>
          <t>J</t>
        </is>
      </c>
      <c r="C26" s="12" t="n">
        <v>6</v>
      </c>
      <c r="D26" s="12" t="n">
        <v>14</v>
      </c>
      <c r="E26" s="5" t="inlineStr">
        <is>
          <t>L</t>
        </is>
      </c>
      <c r="F26" s="20">
        <f>MAX(0,D26-C26)</f>
        <v>8.0</v>
      </c>
      <c r="G26" s="20">
        <f>MAX(0,MIN(D26,'Parámetros'!$B$34+'Parámetros'!$B$48)-MAX(C26,'Parámetros'!$B$33))+MAX(0,MIN(D26,'Parámetros'!$B$34)-MAX(C26,0))</f>
        <v>0.0</v>
      </c>
      <c r="H26" s="20">
        <f>MAX(0,MIN(D26,'Parámetros'!$B$40)-MAX(C26,'Parámetros'!$B$39))</f>
        <v>0.0</v>
      </c>
      <c r="I26" s="20">
        <f>MAX(0,MIN(D26,'Parámetros'!$B$43)-MAX(C26,'Parámetros'!$B$42))+MAX(0,MIN(D26,'Parámetros'!$B$43+'Parámetros'!$B$48)-MAX(C26,'Parámetros'!$B$42+'Parámetros'!$B$48))</f>
        <v>2.0</v>
      </c>
      <c r="J26" s="20">
        <f>MAX(0,MIN(D26,'Parámetros'!$B$43+'Parámetros'!$B$48)-MAX(C26,'Parámetros'!$B$39))+MAX(0,MIN(D26,'Parámetros'!$B$43)-MAX(C26,'Parámetros'!$B$42))</f>
        <v>2.0</v>
      </c>
    </row>
    <row r="27">
      <c r="A27" s="5" t="inlineStr">
        <is>
          <t>P2</t>
        </is>
      </c>
      <c r="B27" s="5" t="inlineStr">
        <is>
          <t>V</t>
        </is>
      </c>
      <c r="C27" s="12" t="n">
        <v>6</v>
      </c>
      <c r="D27" s="12" t="n">
        <v>14</v>
      </c>
      <c r="E27" s="5" t="inlineStr">
        <is>
          <t>L</t>
        </is>
      </c>
      <c r="F27" s="20">
        <f>MAX(0,D27-C27)</f>
        <v>8.0</v>
      </c>
      <c r="G27" s="20">
        <f>MAX(0,MIN(D27,'Parámetros'!$B$34+'Parámetros'!$B$48)-MAX(C27,'Parámetros'!$B$33))+MAX(0,MIN(D27,'Parámetros'!$B$34)-MAX(C27,0))</f>
        <v>0.0</v>
      </c>
      <c r="H27" s="20">
        <f>MAX(0,MIN(D27,'Parámetros'!$B$40)-MAX(C27,'Parámetros'!$B$39))</f>
        <v>0.0</v>
      </c>
      <c r="I27" s="20">
        <f>MAX(0,MIN(D27,'Parámetros'!$B$43)-MAX(C27,'Parámetros'!$B$42))+MAX(0,MIN(D27,'Parámetros'!$B$43+'Parámetros'!$B$48)-MAX(C27,'Parámetros'!$B$42+'Parámetros'!$B$48))</f>
        <v>2.0</v>
      </c>
      <c r="J27" s="20">
        <f>MAX(0,MIN(D27,'Parámetros'!$B$43+'Parámetros'!$B$48)-MAX(C27,'Parámetros'!$B$39))+MAX(0,MIN(D27,'Parámetros'!$B$43)-MAX(C27,'Parámetros'!$B$42))</f>
        <v>2.0</v>
      </c>
    </row>
    <row r="28">
      <c r="A28" s="5" t="inlineStr">
        <is>
          <t>P3</t>
        </is>
      </c>
      <c r="B28" s="5" t="inlineStr">
        <is>
          <t>S</t>
        </is>
      </c>
      <c r="C28" s="12" t="n">
        <v>4.5</v>
      </c>
      <c r="D28" s="12" t="n">
        <v>12.5</v>
      </c>
      <c r="E28" s="5" t="inlineStr">
        <is>
          <t>L</t>
        </is>
      </c>
      <c r="F28" s="20">
        <f>MAX(0,D28-C28)</f>
        <v>8.0</v>
      </c>
      <c r="G28" s="20">
        <f>MAX(0,MIN(D28,'Parámetros'!$B$34+'Parámetros'!$B$48)-MAX(C28,'Parámetros'!$B$33))+MAX(0,MIN(D28,'Parámetros'!$B$34)-MAX(C28,0))</f>
        <v>1.5</v>
      </c>
      <c r="H28" s="20">
        <f>MAX(0,MIN(D28,'Parámetros'!$B$40)-MAX(C28,'Parámetros'!$B$39))</f>
        <v>0.0</v>
      </c>
      <c r="I28" s="20">
        <f>MAX(0,MIN(D28,'Parámetros'!$B$43)-MAX(C28,'Parámetros'!$B$42))+MAX(0,MIN(D28,'Parámetros'!$B$43+'Parámetros'!$B$48)-MAX(C28,'Parámetros'!$B$42+'Parámetros'!$B$48))</f>
        <v>3.5</v>
      </c>
      <c r="J28" s="20">
        <f>MAX(0,MIN(D28,'Parámetros'!$B$43+'Parámetros'!$B$48)-MAX(C28,'Parámetros'!$B$39))+MAX(0,MIN(D28,'Parámetros'!$B$43)-MAX(C28,'Parámetros'!$B$42))</f>
        <v>3.5</v>
      </c>
    </row>
    <row r="29">
      <c r="A29" s="5" t="inlineStr">
        <is>
          <t>P3</t>
        </is>
      </c>
      <c r="B29" s="5" t="inlineStr">
        <is>
          <t>D</t>
        </is>
      </c>
      <c r="C29" s="12" t="n">
        <v>4.5</v>
      </c>
      <c r="D29" s="12" t="n">
        <v>12.5</v>
      </c>
      <c r="E29" s="5" t="inlineStr">
        <is>
          <t>L</t>
        </is>
      </c>
      <c r="F29" s="20">
        <f>MAX(0,D29-C29)</f>
        <v>8.0</v>
      </c>
      <c r="G29" s="20">
        <f>MAX(0,MIN(D29,'Parámetros'!$B$34+'Parámetros'!$B$48)-MAX(C29,'Parámetros'!$B$33))+MAX(0,MIN(D29,'Parámetros'!$B$34)-MAX(C29,0))</f>
        <v>1.5</v>
      </c>
      <c r="H29" s="20">
        <f>MAX(0,MIN(D29,'Parámetros'!$B$40)-MAX(C29,'Parámetros'!$B$39))</f>
        <v>0.0</v>
      </c>
      <c r="I29" s="20">
        <f>MAX(0,MIN(D29,'Parámetros'!$B$43)-MAX(C29,'Parámetros'!$B$42))+MAX(0,MIN(D29,'Parámetros'!$B$43+'Parámetros'!$B$48)-MAX(C29,'Parámetros'!$B$42+'Parámetros'!$B$48))</f>
        <v>3.5</v>
      </c>
      <c r="J29" s="20">
        <f>MAX(0,MIN(D29,'Parámetros'!$B$43+'Parámetros'!$B$48)-MAX(C29,'Parámetros'!$B$39))+MAX(0,MIN(D29,'Parámetros'!$B$43)-MAX(C29,'Parámetros'!$B$42))</f>
        <v>3.5</v>
      </c>
    </row>
    <row r="30">
      <c r="A30" s="5" t="inlineStr">
        <is>
          <t>P4</t>
        </is>
      </c>
      <c r="B30" s="5" t="inlineStr">
        <is>
          <t>V</t>
        </is>
      </c>
      <c r="C30" s="12" t="n">
        <v>17</v>
      </c>
      <c r="D30" s="12" t="n">
        <v>21</v>
      </c>
      <c r="E30" s="5" t="inlineStr">
        <is>
          <t>B</t>
        </is>
      </c>
      <c r="F30" s="20">
        <f>MAX(0,D30-C30)</f>
        <v>4.0</v>
      </c>
      <c r="G30" s="20">
        <f>MAX(0,MIN(D30,'Parámetros'!$B$34+'Parámetros'!$B$48)-MAX(C30,'Parámetros'!$B$33))+MAX(0,MIN(D30,'Parámetros'!$B$34)-MAX(C30,0))</f>
        <v>0.0</v>
      </c>
      <c r="H30" s="20">
        <f>MAX(0,MIN(D30,'Parámetros'!$B$40)-MAX(C30,'Parámetros'!$B$39))</f>
        <v>0.0</v>
      </c>
      <c r="I30" s="20">
        <f>MAX(0,MIN(D30,'Parámetros'!$B$43)-MAX(C30,'Parámetros'!$B$42))+MAX(0,MIN(D30,'Parámetros'!$B$43+'Parámetros'!$B$48)-MAX(C30,'Parámetros'!$B$42+'Parámetros'!$B$48))</f>
        <v>0.0</v>
      </c>
      <c r="J30" s="20">
        <f>MAX(0,MIN(D30,'Parámetros'!$B$43+'Parámetros'!$B$48)-MAX(C30,'Parámetros'!$B$39))+MAX(0,MIN(D30,'Parámetros'!$B$43)-MAX(C30,'Parámetros'!$B$42))</f>
        <v>0.0</v>
      </c>
    </row>
    <row r="31">
      <c r="A31" s="5" t="inlineStr">
        <is>
          <t>P4</t>
        </is>
      </c>
      <c r="B31" s="5" t="inlineStr">
        <is>
          <t>V</t>
        </is>
      </c>
      <c r="C31" s="12" t="n">
        <v>21</v>
      </c>
      <c r="D31" s="12" t="n">
        <v>25</v>
      </c>
      <c r="E31" s="5" t="inlineStr">
        <is>
          <t>L</t>
        </is>
      </c>
      <c r="F31" s="20">
        <f>MAX(0,D31-C31)</f>
        <v>4.0</v>
      </c>
      <c r="G31" s="20">
        <f>MAX(0,MIN(D31,'Parámetros'!$B$34+'Parámetros'!$B$48)-MAX(C31,'Parámetros'!$B$33))+MAX(0,MIN(D31,'Parámetros'!$B$34)-MAX(C31,0))</f>
        <v>3.0</v>
      </c>
      <c r="H31" s="20">
        <f>MAX(0,MIN(D31,'Parámetros'!$B$40)-MAX(C31,'Parámetros'!$B$39))</f>
        <v>2.0</v>
      </c>
      <c r="I31" s="20">
        <f>MAX(0,MIN(D31,'Parámetros'!$B$43)-MAX(C31,'Parámetros'!$B$42))+MAX(0,MIN(D31,'Parámetros'!$B$43+'Parámetros'!$B$48)-MAX(C31,'Parámetros'!$B$42+'Parámetros'!$B$48))</f>
        <v>1.0</v>
      </c>
      <c r="J31" s="20">
        <f>MAX(0,MIN(D31,'Parámetros'!$B$43+'Parámetros'!$B$48)-MAX(C31,'Parámetros'!$B$39))+MAX(0,MIN(D31,'Parámetros'!$B$43)-MAX(C31,'Parámetros'!$B$42))</f>
        <v>3.0</v>
      </c>
    </row>
    <row r="32">
      <c r="A32" s="5" t="inlineStr">
        <is>
          <t>P4</t>
        </is>
      </c>
      <c r="B32" s="5" t="inlineStr">
        <is>
          <t>S</t>
        </is>
      </c>
      <c r="C32" s="12" t="n">
        <v>17</v>
      </c>
      <c r="D32" s="12" t="n">
        <v>21</v>
      </c>
      <c r="E32" s="5" t="inlineStr">
        <is>
          <t>B</t>
        </is>
      </c>
      <c r="F32" s="20">
        <f>MAX(0,D32-C32)</f>
        <v>4.0</v>
      </c>
      <c r="G32" s="20">
        <f>MAX(0,MIN(D32,'Parámetros'!$B$34+'Parámetros'!$B$48)-MAX(C32,'Parámetros'!$B$33))+MAX(0,MIN(D32,'Parámetros'!$B$34)-MAX(C32,0))</f>
        <v>0.0</v>
      </c>
      <c r="H32" s="20">
        <f>MAX(0,MIN(D32,'Parámetros'!$B$40)-MAX(C32,'Parámetros'!$B$39))</f>
        <v>0.0</v>
      </c>
      <c r="I32" s="20">
        <f>MAX(0,MIN(D32,'Parámetros'!$B$43)-MAX(C32,'Parámetros'!$B$42))+MAX(0,MIN(D32,'Parámetros'!$B$43+'Parámetros'!$B$48)-MAX(C32,'Parámetros'!$B$42+'Parámetros'!$B$48))</f>
        <v>0.0</v>
      </c>
      <c r="J32" s="20">
        <f>MAX(0,MIN(D32,'Parámetros'!$B$43+'Parámetros'!$B$48)-MAX(C32,'Parámetros'!$B$39))+MAX(0,MIN(D32,'Parámetros'!$B$43)-MAX(C32,'Parámetros'!$B$42))</f>
        <v>0.0</v>
      </c>
    </row>
    <row r="33">
      <c r="A33" s="5" t="inlineStr">
        <is>
          <t>P4</t>
        </is>
      </c>
      <c r="B33" s="5" t="inlineStr">
        <is>
          <t>S</t>
        </is>
      </c>
      <c r="C33" s="12" t="n">
        <v>21</v>
      </c>
      <c r="D33" s="12" t="n">
        <v>25</v>
      </c>
      <c r="E33" s="5" t="inlineStr">
        <is>
          <t>L</t>
        </is>
      </c>
      <c r="F33" s="20">
        <f>MAX(0,D33-C33)</f>
        <v>4.0</v>
      </c>
      <c r="G33" s="20">
        <f>MAX(0,MIN(D33,'Parámetros'!$B$34+'Parámetros'!$B$48)-MAX(C33,'Parámetros'!$B$33))+MAX(0,MIN(D33,'Parámetros'!$B$34)-MAX(C33,0))</f>
        <v>3.0</v>
      </c>
      <c r="H33" s="20">
        <f>MAX(0,MIN(D33,'Parámetros'!$B$40)-MAX(C33,'Parámetros'!$B$39))</f>
        <v>2.0</v>
      </c>
      <c r="I33" s="20">
        <f>MAX(0,MIN(D33,'Parámetros'!$B$43)-MAX(C33,'Parámetros'!$B$42))+MAX(0,MIN(D33,'Parámetros'!$B$43+'Parámetros'!$B$48)-MAX(C33,'Parámetros'!$B$42+'Parámetros'!$B$48))</f>
        <v>1.0</v>
      </c>
      <c r="J33" s="20">
        <f>MAX(0,MIN(D33,'Parámetros'!$B$43+'Parámetros'!$B$48)-MAX(C33,'Parámetros'!$B$39))+MAX(0,MIN(D33,'Parámetros'!$B$43)-MAX(C33,'Parámetros'!$B$42))</f>
        <v>3.0</v>
      </c>
    </row>
    <row r="34">
      <c r="A34" s="5" t="inlineStr">
        <is>
          <t>P3</t>
        </is>
      </c>
      <c r="B34" s="5" t="inlineStr">
        <is>
          <t>M</t>
        </is>
      </c>
      <c r="C34" s="12" t="n">
        <v>7</v>
      </c>
      <c r="D34" s="12" t="n">
        <v>13</v>
      </c>
      <c r="E34" s="5" t="inlineStr">
        <is>
          <t>B</t>
        </is>
      </c>
      <c r="F34" s="20">
        <f>MAX(0,D34-C34)</f>
        <v>6.0</v>
      </c>
      <c r="G34" s="20">
        <f>MAX(0,MIN(D34,'Parámetros'!$B$34+'Parámetros'!$B$48)-MAX(C34,'Parámetros'!$B$33))+MAX(0,MIN(D34,'Parámetros'!$B$34)-MAX(C34,0))</f>
        <v>0.0</v>
      </c>
      <c r="H34" s="20">
        <f>MAX(0,MIN(D34,'Parámetros'!$B$40)-MAX(C34,'Parámetros'!$B$39))</f>
        <v>0.0</v>
      </c>
      <c r="I34" s="20">
        <f>MAX(0,MIN(D34,'Parámetros'!$B$43)-MAX(C34,'Parámetros'!$B$42))+MAX(0,MIN(D34,'Parámetros'!$B$43+'Parámetros'!$B$48)-MAX(C34,'Parámetros'!$B$42+'Parámetros'!$B$48))</f>
        <v>1.0</v>
      </c>
      <c r="J34" s="20">
        <f>MAX(0,MIN(D34,'Parámetros'!$B$43+'Parámetros'!$B$48)-MAX(C34,'Parámetros'!$B$39))+MAX(0,MIN(D34,'Parámetros'!$B$43)-MAX(C34,'Parámetros'!$B$42))</f>
        <v>1.0</v>
      </c>
    </row>
    <row r="35">
      <c r="A35" s="5" t="inlineStr">
        <is>
          <t>P3</t>
        </is>
      </c>
      <c r="B35" s="5" t="inlineStr">
        <is>
          <t>X</t>
        </is>
      </c>
      <c r="C35" s="12" t="n">
        <v>7</v>
      </c>
      <c r="D35" s="12" t="n">
        <v>13</v>
      </c>
      <c r="E35" s="5" t="inlineStr">
        <is>
          <t>B</t>
        </is>
      </c>
      <c r="F35" s="20">
        <f>MAX(0,D35-C35)</f>
        <v>6.0</v>
      </c>
      <c r="G35" s="20">
        <f>MAX(0,MIN(D35,'Parámetros'!$B$34+'Parámetros'!$B$48)-MAX(C35,'Parámetros'!$B$33))+MAX(0,MIN(D35,'Parámetros'!$B$34)-MAX(C35,0))</f>
        <v>0.0</v>
      </c>
      <c r="H35" s="20">
        <f>MAX(0,MIN(D35,'Parámetros'!$B$40)-MAX(C35,'Parámetros'!$B$39))</f>
        <v>0.0</v>
      </c>
      <c r="I35" s="20">
        <f>MAX(0,MIN(D35,'Parámetros'!$B$43)-MAX(C35,'Parámetros'!$B$42))+MAX(0,MIN(D35,'Parámetros'!$B$43+'Parámetros'!$B$48)-MAX(C35,'Parámetros'!$B$42+'Parámetros'!$B$48))</f>
        <v>1.0</v>
      </c>
      <c r="J35" s="20">
        <f>MAX(0,MIN(D35,'Parámetros'!$B$43+'Parámetros'!$B$48)-MAX(C35,'Parámetros'!$B$39))+MAX(0,MIN(D35,'Parámetros'!$B$43)-MAX(C35,'Parámetros'!$B$42))</f>
        <v>1.0</v>
      </c>
    </row>
    <row r="36">
      <c r="A36" s="5" t="inlineStr">
        <is>
          <t>P3</t>
        </is>
      </c>
      <c r="B36" s="5" t="inlineStr">
        <is>
          <t>J</t>
        </is>
      </c>
      <c r="C36" s="12" t="n">
        <v>7</v>
      </c>
      <c r="D36" s="12" t="n">
        <v>13</v>
      </c>
      <c r="E36" s="5" t="inlineStr">
        <is>
          <t>B</t>
        </is>
      </c>
      <c r="F36" s="20">
        <f>MAX(0,D36-C36)</f>
        <v>6.0</v>
      </c>
      <c r="G36" s="20">
        <f>MAX(0,MIN(D36,'Parámetros'!$B$34+'Parámetros'!$B$48)-MAX(C36,'Parámetros'!$B$33))+MAX(0,MIN(D36,'Parámetros'!$B$34)-MAX(C36,0))</f>
        <v>0.0</v>
      </c>
      <c r="H36" s="20">
        <f>MAX(0,MIN(D36,'Parámetros'!$B$40)-MAX(C36,'Parámetros'!$B$39))</f>
        <v>0.0</v>
      </c>
      <c r="I36" s="20">
        <f>MAX(0,MIN(D36,'Parámetros'!$B$43)-MAX(C36,'Parámetros'!$B$42))+MAX(0,MIN(D36,'Parámetros'!$B$43+'Parámetros'!$B$48)-MAX(C36,'Parámetros'!$B$42+'Parámetros'!$B$48))</f>
        <v>1.0</v>
      </c>
      <c r="J36" s="20">
        <f>MAX(0,MIN(D36,'Parámetros'!$B$43+'Parámetros'!$B$48)-MAX(C36,'Parámetros'!$B$39))+MAX(0,MIN(D36,'Parámetros'!$B$43)-MAX(C36,'Parámetros'!$B$42))</f>
        <v>1.0</v>
      </c>
    </row>
    <row r="37">
      <c r="A37" s="5" t="inlineStr">
        <is>
          <t>P3</t>
        </is>
      </c>
      <c r="B37" s="5" t="inlineStr">
        <is>
          <t>V</t>
        </is>
      </c>
      <c r="C37" s="12" t="n">
        <v>7</v>
      </c>
      <c r="D37" s="12" t="n">
        <v>13</v>
      </c>
      <c r="E37" s="5" t="inlineStr">
        <is>
          <t>B</t>
        </is>
      </c>
      <c r="F37" s="20">
        <f>MAX(0,D37-C37)</f>
        <v>6.0</v>
      </c>
      <c r="G37" s="20">
        <f>MAX(0,MIN(D37,'Parámetros'!$B$34+'Parámetros'!$B$48)-MAX(C37,'Parámetros'!$B$33))+MAX(0,MIN(D37,'Parámetros'!$B$34)-MAX(C37,0))</f>
        <v>0.0</v>
      </c>
      <c r="H37" s="20">
        <f>MAX(0,MIN(D37,'Parámetros'!$B$40)-MAX(C37,'Parámetros'!$B$39))</f>
        <v>0.0</v>
      </c>
      <c r="I37" s="20">
        <f>MAX(0,MIN(D37,'Parámetros'!$B$43)-MAX(C37,'Parámetros'!$B$42))+MAX(0,MIN(D37,'Parámetros'!$B$43+'Parámetros'!$B$48)-MAX(C37,'Parámetros'!$B$42+'Parámetros'!$B$48))</f>
        <v>1.0</v>
      </c>
      <c r="J37" s="20">
        <f>MAX(0,MIN(D37,'Parámetros'!$B$43+'Parámetros'!$B$48)-MAX(C37,'Parámetros'!$B$39))+MAX(0,MIN(D37,'Parámetros'!$B$43)-MAX(C37,'Parámetros'!$B$42))</f>
        <v>1.0</v>
      </c>
    </row>
    <row r="38">
      <c r="A38" s="5" t="inlineStr">
        <is>
          <t>P4</t>
        </is>
      </c>
      <c r="B38" s="5" t="inlineStr">
        <is>
          <t>M</t>
        </is>
      </c>
      <c r="C38" s="12" t="n">
        <v>16</v>
      </c>
      <c r="D38" s="12" t="n">
        <v>21.5</v>
      </c>
      <c r="E38" s="5" t="inlineStr">
        <is>
          <t>B</t>
        </is>
      </c>
      <c r="F38" s="20">
        <f>MAX(0,D38-C38)</f>
        <v>5.5</v>
      </c>
      <c r="G38" s="20">
        <f>MAX(0,MIN(D38,'Parámetros'!$B$34+'Parámetros'!$B$48)-MAX(C38,'Parámetros'!$B$33))+MAX(0,MIN(D38,'Parámetros'!$B$34)-MAX(C38,0))</f>
        <v>0.0</v>
      </c>
      <c r="H38" s="20">
        <f>MAX(0,MIN(D38,'Parámetros'!$B$40)-MAX(C38,'Parámetros'!$B$39))</f>
        <v>0.0</v>
      </c>
      <c r="I38" s="20">
        <f>MAX(0,MIN(D38,'Parámetros'!$B$43)-MAX(C38,'Parámetros'!$B$42))+MAX(0,MIN(D38,'Parámetros'!$B$43+'Parámetros'!$B$48)-MAX(C38,'Parámetros'!$B$42+'Parámetros'!$B$48))</f>
        <v>0.0</v>
      </c>
      <c r="J38" s="20">
        <f>MAX(0,MIN(D38,'Parámetros'!$B$43+'Parámetros'!$B$48)-MAX(C38,'Parámetros'!$B$39))+MAX(0,MIN(D38,'Parámetros'!$B$43)-MAX(C38,'Parámetros'!$B$42))</f>
        <v>0.0</v>
      </c>
    </row>
    <row r="39">
      <c r="A39" s="5" t="inlineStr">
        <is>
          <t>P4</t>
        </is>
      </c>
      <c r="B39" s="5" t="inlineStr">
        <is>
          <t>X</t>
        </is>
      </c>
      <c r="C39" s="12" t="n">
        <v>16</v>
      </c>
      <c r="D39" s="12" t="n">
        <v>21.5</v>
      </c>
      <c r="E39" s="5" t="inlineStr">
        <is>
          <t>B</t>
        </is>
      </c>
      <c r="F39" s="20">
        <f>MAX(0,D39-C39)</f>
        <v>5.5</v>
      </c>
      <c r="G39" s="20">
        <f>MAX(0,MIN(D39,'Parámetros'!$B$34+'Parámetros'!$B$48)-MAX(C39,'Parámetros'!$B$33))+MAX(0,MIN(D39,'Parámetros'!$B$34)-MAX(C39,0))</f>
        <v>0.0</v>
      </c>
      <c r="H39" s="20">
        <f>MAX(0,MIN(D39,'Parámetros'!$B$40)-MAX(C39,'Parámetros'!$B$39))</f>
        <v>0.0</v>
      </c>
      <c r="I39" s="20">
        <f>MAX(0,MIN(D39,'Parámetros'!$B$43)-MAX(C39,'Parámetros'!$B$42))+MAX(0,MIN(D39,'Parámetros'!$B$43+'Parámetros'!$B$48)-MAX(C39,'Parámetros'!$B$42+'Parámetros'!$B$48))</f>
        <v>0.0</v>
      </c>
      <c r="J39" s="20">
        <f>MAX(0,MIN(D39,'Parámetros'!$B$43+'Parámetros'!$B$48)-MAX(C39,'Parámetros'!$B$39))+MAX(0,MIN(D39,'Parámetros'!$B$43)-MAX(C39,'Parámetros'!$B$42))</f>
        <v>0.0</v>
      </c>
    </row>
    <row r="40">
      <c r="A40" s="5" t="inlineStr">
        <is>
          <t>P4</t>
        </is>
      </c>
      <c r="B40" s="5" t="inlineStr">
        <is>
          <t>J</t>
        </is>
      </c>
      <c r="C40" s="12" t="n">
        <v>16</v>
      </c>
      <c r="D40" s="12" t="n">
        <v>21.5</v>
      </c>
      <c r="E40" s="5" t="inlineStr">
        <is>
          <t>B</t>
        </is>
      </c>
      <c r="F40" s="20">
        <f>MAX(0,D40-C40)</f>
        <v>5.5</v>
      </c>
      <c r="G40" s="20">
        <f>MAX(0,MIN(D40,'Parámetros'!$B$34+'Parámetros'!$B$48)-MAX(C40,'Parámetros'!$B$33))+MAX(0,MIN(D40,'Parámetros'!$B$34)-MAX(C40,0))</f>
        <v>0.0</v>
      </c>
      <c r="H40" s="20">
        <f>MAX(0,MIN(D40,'Parámetros'!$B$40)-MAX(C40,'Parámetros'!$B$39))</f>
        <v>0.0</v>
      </c>
      <c r="I40" s="20">
        <f>MAX(0,MIN(D40,'Parámetros'!$B$43)-MAX(C40,'Parámetros'!$B$42))+MAX(0,MIN(D40,'Parámetros'!$B$43+'Parámetros'!$B$48)-MAX(C40,'Parámetros'!$B$42+'Parámetros'!$B$48))</f>
        <v>0.0</v>
      </c>
      <c r="J40" s="20">
        <f>MAX(0,MIN(D40,'Parámetros'!$B$43+'Parámetros'!$B$48)-MAX(C40,'Parámetros'!$B$39))+MAX(0,MIN(D40,'Parámetros'!$B$43)-MAX(C40,'Parámetros'!$B$42))</f>
        <v>0.0</v>
      </c>
    </row>
    <row r="41">
      <c r="A41" s="5" t="inlineStr">
        <is>
          <t>P4</t>
        </is>
      </c>
      <c r="B41" s="5" t="inlineStr">
        <is>
          <t>D</t>
        </is>
      </c>
      <c r="C41" s="12" t="n">
        <v>16.5</v>
      </c>
      <c r="D41" s="12" t="n">
        <v>21</v>
      </c>
      <c r="E41" s="5" t="inlineStr">
        <is>
          <t>B</t>
        </is>
      </c>
      <c r="F41" s="20">
        <f>MAX(0,D41-C41)</f>
        <v>4.5</v>
      </c>
      <c r="G41" s="20">
        <f>MAX(0,MIN(D41,'Parámetros'!$B$34+'Parámetros'!$B$48)-MAX(C41,'Parámetros'!$B$33))+MAX(0,MIN(D41,'Parámetros'!$B$34)-MAX(C41,0))</f>
        <v>0.0</v>
      </c>
      <c r="H41" s="20">
        <f>MAX(0,MIN(D41,'Parámetros'!$B$40)-MAX(C41,'Parámetros'!$B$39))</f>
        <v>0.0</v>
      </c>
      <c r="I41" s="20">
        <f>MAX(0,MIN(D41,'Parámetros'!$B$43)-MAX(C41,'Parámetros'!$B$42))+MAX(0,MIN(D41,'Parámetros'!$B$43+'Parámetros'!$B$48)-MAX(C41,'Parámetros'!$B$42+'Parámetros'!$B$48))</f>
        <v>0.0</v>
      </c>
      <c r="J41" s="20">
        <f>MAX(0,MIN(D41,'Parámetros'!$B$43+'Parámetros'!$B$48)-MAX(C41,'Parámetros'!$B$39))+MAX(0,MIN(D41,'Parámetros'!$B$43)-MAX(C41,'Parámetros'!$B$42))</f>
        <v>0.0</v>
      </c>
    </row>
    <row r="42">
      <c r="A42" s="5" t="inlineStr">
        <is>
          <t>P5</t>
        </is>
      </c>
      <c r="B42" s="5" t="inlineStr">
        <is>
          <t>S</t>
        </is>
      </c>
      <c r="C42" s="12" t="n">
        <v>6</v>
      </c>
      <c r="D42" s="12" t="n">
        <v>10</v>
      </c>
      <c r="E42" s="5" t="inlineStr">
        <is>
          <t>L</t>
        </is>
      </c>
      <c r="F42" s="20">
        <f>MAX(0,D42-C42)</f>
        <v>4.0</v>
      </c>
      <c r="G42" s="20">
        <f>MAX(0,MIN(D42,'Parámetros'!$B$34+'Parámetros'!$B$48)-MAX(C42,'Parámetros'!$B$33))+MAX(0,MIN(D42,'Parámetros'!$B$34)-MAX(C42,0))</f>
        <v>0.0</v>
      </c>
      <c r="H42" s="20">
        <f>MAX(0,MIN(D42,'Parámetros'!$B$40)-MAX(C42,'Parámetros'!$B$39))</f>
        <v>0.0</v>
      </c>
      <c r="I42" s="20">
        <f>MAX(0,MIN(D42,'Parámetros'!$B$43)-MAX(C42,'Parámetros'!$B$42))+MAX(0,MIN(D42,'Parámetros'!$B$43+'Parámetros'!$B$48)-MAX(C42,'Parámetros'!$B$42+'Parámetros'!$B$48))</f>
        <v>2.0</v>
      </c>
      <c r="J42" s="20">
        <f>MAX(0,MIN(D42,'Parámetros'!$B$43+'Parámetros'!$B$48)-MAX(C42,'Parámetros'!$B$39))+MAX(0,MIN(D42,'Parámetros'!$B$43)-MAX(C42,'Parámetros'!$B$42))</f>
        <v>2.0</v>
      </c>
    </row>
    <row r="43">
      <c r="A43" s="5" t="inlineStr">
        <is>
          <t>P5</t>
        </is>
      </c>
      <c r="B43" s="5" t="inlineStr">
        <is>
          <t>S</t>
        </is>
      </c>
      <c r="C43" s="12" t="n">
        <v>10</v>
      </c>
      <c r="D43" s="12" t="n">
        <v>13</v>
      </c>
      <c r="E43" s="5" t="inlineStr">
        <is>
          <t>B</t>
        </is>
      </c>
      <c r="F43" s="20">
        <f>MAX(0,D43-C43)</f>
        <v>3.0</v>
      </c>
      <c r="G43" s="20">
        <f>MAX(0,MIN(D43,'Parámetros'!$B$34+'Parámetros'!$B$48)-MAX(C43,'Parámetros'!$B$33))+MAX(0,MIN(D43,'Parámetros'!$B$34)-MAX(C43,0))</f>
        <v>0.0</v>
      </c>
      <c r="H43" s="20">
        <f>MAX(0,MIN(D43,'Parámetros'!$B$40)-MAX(C43,'Parámetros'!$B$39))</f>
        <v>0.0</v>
      </c>
      <c r="I43" s="20">
        <f>MAX(0,MIN(D43,'Parámetros'!$B$43)-MAX(C43,'Parámetros'!$B$42))+MAX(0,MIN(D43,'Parámetros'!$B$43+'Parámetros'!$B$48)-MAX(C43,'Parámetros'!$B$42+'Parámetros'!$B$48))</f>
        <v>0.0</v>
      </c>
      <c r="J43" s="20">
        <f>MAX(0,MIN(D43,'Parámetros'!$B$43+'Parámetros'!$B$48)-MAX(C43,'Parámetros'!$B$39))+MAX(0,MIN(D43,'Parámetros'!$B$43)-MAX(C43,'Parámetros'!$B$42))</f>
        <v>0.0</v>
      </c>
    </row>
    <row r="44">
      <c r="A44" s="5" t="inlineStr">
        <is>
          <t>P5</t>
        </is>
      </c>
      <c r="B44" s="5" t="inlineStr">
        <is>
          <t>D</t>
        </is>
      </c>
      <c r="C44" s="12" t="n">
        <v>6</v>
      </c>
      <c r="D44" s="12" t="n">
        <v>10</v>
      </c>
      <c r="E44" s="5" t="inlineStr">
        <is>
          <t>L</t>
        </is>
      </c>
      <c r="F44" s="20">
        <f>MAX(0,D44-C44)</f>
        <v>4.0</v>
      </c>
      <c r="G44" s="20">
        <f>MAX(0,MIN(D44,'Parámetros'!$B$34+'Parámetros'!$B$48)-MAX(C44,'Parámetros'!$B$33))+MAX(0,MIN(D44,'Parámetros'!$B$34)-MAX(C44,0))</f>
        <v>0.0</v>
      </c>
      <c r="H44" s="20">
        <f>MAX(0,MIN(D44,'Parámetros'!$B$40)-MAX(C44,'Parámetros'!$B$39))</f>
        <v>0.0</v>
      </c>
      <c r="I44" s="20">
        <f>MAX(0,MIN(D44,'Parámetros'!$B$43)-MAX(C44,'Parámetros'!$B$42))+MAX(0,MIN(D44,'Parámetros'!$B$43+'Parámetros'!$B$48)-MAX(C44,'Parámetros'!$B$42+'Parámetros'!$B$48))</f>
        <v>2.0</v>
      </c>
      <c r="J44" s="20">
        <f>MAX(0,MIN(D44,'Parámetros'!$B$43+'Parámetros'!$B$48)-MAX(C44,'Parámetros'!$B$39))+MAX(0,MIN(D44,'Parámetros'!$B$43)-MAX(C44,'Parámetros'!$B$42))</f>
        <v>2.0</v>
      </c>
    </row>
    <row r="45">
      <c r="A45" s="5" t="inlineStr">
        <is>
          <t>P5</t>
        </is>
      </c>
      <c r="B45" s="5" t="inlineStr">
        <is>
          <t>D</t>
        </is>
      </c>
      <c r="C45" s="12" t="n">
        <v>10</v>
      </c>
      <c r="D45" s="12" t="n">
        <v>13</v>
      </c>
      <c r="E45" s="5" t="inlineStr">
        <is>
          <t>B</t>
        </is>
      </c>
      <c r="F45" s="20">
        <f>MAX(0,D45-C45)</f>
        <v>3.0</v>
      </c>
      <c r="G45" s="20">
        <f>MAX(0,MIN(D45,'Parámetros'!$B$34+'Parámetros'!$B$48)-MAX(C45,'Parámetros'!$B$33))+MAX(0,MIN(D45,'Parámetros'!$B$34)-MAX(C45,0))</f>
        <v>0.0</v>
      </c>
      <c r="H45" s="20">
        <f>MAX(0,MIN(D45,'Parámetros'!$B$40)-MAX(C45,'Parámetros'!$B$39))</f>
        <v>0.0</v>
      </c>
      <c r="I45" s="20">
        <f>MAX(0,MIN(D45,'Parámetros'!$B$43)-MAX(C45,'Parámetros'!$B$42))+MAX(0,MIN(D45,'Parámetros'!$B$43+'Parámetros'!$B$48)-MAX(C45,'Parámetros'!$B$42+'Parámetros'!$B$48))</f>
        <v>0.0</v>
      </c>
      <c r="J45" s="20">
        <f>MAX(0,MIN(D45,'Parámetros'!$B$43+'Parámetros'!$B$48)-MAX(C45,'Parámetros'!$B$39))+MAX(0,MIN(D45,'Parámetros'!$B$43)-MAX(C45,'Parámetros'!$B$42))</f>
        <v>0.0</v>
      </c>
    </row>
    <row r="46">
      <c r="A46" s="5" t="inlineStr">
        <is>
          <t>P5</t>
        </is>
      </c>
      <c r="B46" s="5" t="inlineStr">
        <is>
          <t>L</t>
        </is>
      </c>
      <c r="C46" s="12" t="n">
        <v>16</v>
      </c>
      <c r="D46" s="12" t="n">
        <v>21.5</v>
      </c>
      <c r="E46" s="5" t="inlineStr">
        <is>
          <t>B</t>
        </is>
      </c>
      <c r="F46" s="20">
        <f>MAX(0,D46-C46)</f>
        <v>5.5</v>
      </c>
      <c r="G46" s="20">
        <f>MAX(0,MIN(D46,'Parámetros'!$B$34+'Parámetros'!$B$48)-MAX(C46,'Parámetros'!$B$33))+MAX(0,MIN(D46,'Parámetros'!$B$34)-MAX(C46,0))</f>
        <v>0.0</v>
      </c>
      <c r="H46" s="20">
        <f>MAX(0,MIN(D46,'Parámetros'!$B$40)-MAX(C46,'Parámetros'!$B$39))</f>
        <v>0.0</v>
      </c>
      <c r="I46" s="20">
        <f>MAX(0,MIN(D46,'Parámetros'!$B$43)-MAX(C46,'Parámetros'!$B$42))+MAX(0,MIN(D46,'Parámetros'!$B$43+'Parámetros'!$B$48)-MAX(C46,'Parámetros'!$B$42+'Parámetros'!$B$48))</f>
        <v>0.0</v>
      </c>
      <c r="J46" s="20">
        <f>MAX(0,MIN(D46,'Parámetros'!$B$43+'Parámetros'!$B$48)-MAX(C46,'Parámetros'!$B$39))+MAX(0,MIN(D46,'Parámetros'!$B$43)-MAX(C46,'Parámetros'!$B$42))</f>
        <v>0.0</v>
      </c>
    </row>
    <row r="47">
      <c r="A47" s="5" t="inlineStr">
        <is>
          <t>P1</t>
        </is>
      </c>
      <c r="B47" s="5" t="inlineStr">
        <is>
          <t>L</t>
        </is>
      </c>
      <c r="C47" s="12" t="n">
        <v>7</v>
      </c>
      <c r="D47" s="12" t="n">
        <v>13</v>
      </c>
      <c r="E47" s="5" t="inlineStr">
        <is>
          <t>B</t>
        </is>
      </c>
      <c r="F47" s="20">
        <f>MAX(0,D47-C47)</f>
        <v>6.0</v>
      </c>
      <c r="G47" s="20">
        <f>MAX(0,MIN(D47,'Parámetros'!$B$34+'Parámetros'!$B$48)-MAX(C47,'Parámetros'!$B$33))+MAX(0,MIN(D47,'Parámetros'!$B$34)-MAX(C47,0))</f>
        <v>0.0</v>
      </c>
      <c r="H47" s="20">
        <f>MAX(0,MIN(D47,'Parámetros'!$B$40)-MAX(C47,'Parámetros'!$B$39))</f>
        <v>0.0</v>
      </c>
      <c r="I47" s="20">
        <f>MAX(0,MIN(D47,'Parámetros'!$B$43)-MAX(C47,'Parámetros'!$B$42))+MAX(0,MIN(D47,'Parámetros'!$B$43+'Parámetros'!$B$48)-MAX(C47,'Parámetros'!$B$42+'Parámetros'!$B$48))</f>
        <v>1.0</v>
      </c>
      <c r="J47" s="20">
        <f>MAX(0,MIN(D47,'Parámetros'!$B$43+'Parámetros'!$B$48)-MAX(C47,'Parámetros'!$B$39))+MAX(0,MIN(D47,'Parámetros'!$B$43)-MAX(C47,'Parámetros'!$B$42))</f>
        <v>1.0</v>
      </c>
    </row>
    <row r="48">
      <c r="A48" s="5" t="inlineStr">
        <is>
          <t>P1</t>
        </is>
      </c>
      <c r="B48" s="5" t="inlineStr">
        <is>
          <t>L</t>
        </is>
      </c>
      <c r="C48" s="12" t="n">
        <v>16</v>
      </c>
      <c r="D48" s="12" t="n">
        <v>21.5</v>
      </c>
      <c r="E48" s="5" t="inlineStr">
        <is>
          <t>L</t>
        </is>
      </c>
      <c r="F48" s="20">
        <f>MAX(0,D48-C48)</f>
        <v>5.5</v>
      </c>
      <c r="G48" s="20">
        <f>MAX(0,MIN(D48,'Parámetros'!$B$34+'Parámetros'!$B$48)-MAX(C48,'Parámetros'!$B$33))+MAX(0,MIN(D48,'Parámetros'!$B$34)-MAX(C48,0))</f>
        <v>0.0</v>
      </c>
      <c r="H48" s="20">
        <f>MAX(0,MIN(D48,'Parámetros'!$B$40)-MAX(C48,'Parámetros'!$B$39))</f>
        <v>0.0</v>
      </c>
      <c r="I48" s="20">
        <f>MAX(0,MIN(D48,'Parámetros'!$B$43)-MAX(C48,'Parámetros'!$B$42))+MAX(0,MIN(D48,'Parámetros'!$B$43+'Parámetros'!$B$48)-MAX(C48,'Parámetros'!$B$42+'Parámetros'!$B$48))</f>
        <v>0.0</v>
      </c>
      <c r="J48" s="20">
        <f>MAX(0,MIN(D48,'Parámetros'!$B$43+'Parámetros'!$B$48)-MAX(C48,'Parámetros'!$B$39))+MAX(0,MIN(D48,'Parámetros'!$B$43)-MAX(C48,'Parámetros'!$B$42))</f>
        <v>0.0</v>
      </c>
    </row>
    <row r="49">
      <c r="A49" s="5" t="inlineStr">
        <is>
          <t>P1</t>
        </is>
      </c>
      <c r="B49" s="5" t="inlineStr">
        <is>
          <t>M</t>
        </is>
      </c>
      <c r="C49" s="12" t="n">
        <v>16</v>
      </c>
      <c r="D49" s="12" t="n">
        <v>21.5</v>
      </c>
      <c r="E49" s="5" t="inlineStr">
        <is>
          <t>L</t>
        </is>
      </c>
      <c r="F49" s="20">
        <f>MAX(0,D49-C49)</f>
        <v>5.5</v>
      </c>
      <c r="G49" s="20">
        <f>MAX(0,MIN(D49,'Parámetros'!$B$34+'Parámetros'!$B$48)-MAX(C49,'Parámetros'!$B$33))+MAX(0,MIN(D49,'Parámetros'!$B$34)-MAX(C49,0))</f>
        <v>0.0</v>
      </c>
      <c r="H49" s="20">
        <f>MAX(0,MIN(D49,'Parámetros'!$B$40)-MAX(C49,'Parámetros'!$B$39))</f>
        <v>0.0</v>
      </c>
      <c r="I49" s="20">
        <f>MAX(0,MIN(D49,'Parámetros'!$B$43)-MAX(C49,'Parámetros'!$B$42))+MAX(0,MIN(D49,'Parámetros'!$B$43+'Parámetros'!$B$48)-MAX(C49,'Parámetros'!$B$42+'Parámetros'!$B$48))</f>
        <v>0.0</v>
      </c>
      <c r="J49" s="20">
        <f>MAX(0,MIN(D49,'Parámetros'!$B$43+'Parámetros'!$B$48)-MAX(C49,'Parámetros'!$B$39))+MAX(0,MIN(D49,'Parámetros'!$B$43)-MAX(C49,'Parámetros'!$B$42))</f>
        <v>0.0</v>
      </c>
    </row>
    <row r="50">
      <c r="A50" s="5" t="inlineStr">
        <is>
          <t>P1</t>
        </is>
      </c>
      <c r="B50" s="5" t="inlineStr">
        <is>
          <t>X</t>
        </is>
      </c>
      <c r="C50" s="12" t="n">
        <v>16</v>
      </c>
      <c r="D50" s="12" t="n">
        <v>21.5</v>
      </c>
      <c r="E50" s="5" t="inlineStr">
        <is>
          <t>L</t>
        </is>
      </c>
      <c r="F50" s="20">
        <f>MAX(0,D50-C50)</f>
        <v>5.5</v>
      </c>
      <c r="G50" s="20">
        <f>MAX(0,MIN(D50,'Parámetros'!$B$34+'Parámetros'!$B$48)-MAX(C50,'Parámetros'!$B$33))+MAX(0,MIN(D50,'Parámetros'!$B$34)-MAX(C50,0))</f>
        <v>0.0</v>
      </c>
      <c r="H50" s="20">
        <f>MAX(0,MIN(D50,'Parámetros'!$B$40)-MAX(C50,'Parámetros'!$B$39))</f>
        <v>0.0</v>
      </c>
      <c r="I50" s="20">
        <f>MAX(0,MIN(D50,'Parámetros'!$B$43)-MAX(C50,'Parámetros'!$B$42))+MAX(0,MIN(D50,'Parámetros'!$B$43+'Parámetros'!$B$48)-MAX(C50,'Parámetros'!$B$42+'Parámetros'!$B$48))</f>
        <v>0.0</v>
      </c>
      <c r="J50" s="20">
        <f>MAX(0,MIN(D50,'Parámetros'!$B$43+'Parámetros'!$B$48)-MAX(C50,'Parámetros'!$B$39))+MAX(0,MIN(D50,'Parámetros'!$B$43)-MAX(C50,'Parámetros'!$B$42))</f>
        <v>0.0</v>
      </c>
    </row>
    <row r="51">
      <c r="A51" s="5" t="inlineStr">
        <is>
          <t>P1</t>
        </is>
      </c>
      <c r="B51" s="5" t="inlineStr">
        <is>
          <t>J</t>
        </is>
      </c>
      <c r="C51" s="12" t="n">
        <v>16</v>
      </c>
      <c r="D51" s="12" t="n">
        <v>21.5</v>
      </c>
      <c r="E51" s="5" t="inlineStr">
        <is>
          <t>L</t>
        </is>
      </c>
      <c r="F51" s="20">
        <f>MAX(0,D51-C51)</f>
        <v>5.5</v>
      </c>
      <c r="G51" s="20">
        <f>MAX(0,MIN(D51,'Parámetros'!$B$34+'Parámetros'!$B$48)-MAX(C51,'Parámetros'!$B$33))+MAX(0,MIN(D51,'Parámetros'!$B$34)-MAX(C51,0))</f>
        <v>0.0</v>
      </c>
      <c r="H51" s="20">
        <f>MAX(0,MIN(D51,'Parámetros'!$B$40)-MAX(C51,'Parámetros'!$B$39))</f>
        <v>0.0</v>
      </c>
      <c r="I51" s="20">
        <f>MAX(0,MIN(D51,'Parámetros'!$B$43)-MAX(C51,'Parámetros'!$B$42))+MAX(0,MIN(D51,'Parámetros'!$B$43+'Parámetros'!$B$48)-MAX(C51,'Parámetros'!$B$42+'Parámetros'!$B$48))</f>
        <v>0.0</v>
      </c>
      <c r="J51" s="20">
        <f>MAX(0,MIN(D51,'Parámetros'!$B$43+'Parámetros'!$B$48)-MAX(C51,'Parámetros'!$B$39))+MAX(0,MIN(D51,'Parámetros'!$B$43)-MAX(C51,'Parámetros'!$B$42))</f>
        <v>0.0</v>
      </c>
    </row>
    <row r="52">
      <c r="A52" s="5" t="inlineStr">
        <is>
          <t>P1</t>
        </is>
      </c>
      <c r="B52" s="5" t="inlineStr">
        <is>
          <t>V</t>
        </is>
      </c>
      <c r="C52" s="12" t="n">
        <v>16</v>
      </c>
      <c r="D52" s="12" t="n">
        <v>21</v>
      </c>
      <c r="E52" s="5" t="inlineStr">
        <is>
          <t>L</t>
        </is>
      </c>
      <c r="F52" s="20">
        <f>MAX(0,D52-C52)</f>
        <v>5.0</v>
      </c>
      <c r="G52" s="20">
        <f>MAX(0,MIN(D52,'Parámetros'!$B$34+'Parámetros'!$B$48)-MAX(C52,'Parámetros'!$B$33))+MAX(0,MIN(D52,'Parámetros'!$B$34)-MAX(C52,0))</f>
        <v>0.0</v>
      </c>
      <c r="H52" s="20">
        <f>MAX(0,MIN(D52,'Parámetros'!$B$40)-MAX(C52,'Parámetros'!$B$39))</f>
        <v>0.0</v>
      </c>
      <c r="I52" s="20">
        <f>MAX(0,MIN(D52,'Parámetros'!$B$43)-MAX(C52,'Parámetros'!$B$42))+MAX(0,MIN(D52,'Parámetros'!$B$43+'Parámetros'!$B$48)-MAX(C52,'Parámetros'!$B$42+'Parámetros'!$B$48))</f>
        <v>0.0</v>
      </c>
      <c r="J52" s="20">
        <f>MAX(0,MIN(D52,'Parámetros'!$B$43+'Parámetros'!$B$48)-MAX(C52,'Parámetros'!$B$39))+MAX(0,MIN(D52,'Parámetros'!$B$43)-MAX(C52,'Parámetros'!$B$42))</f>
        <v>0.0</v>
      </c>
    </row>
    <row r="53">
      <c r="A53" s="5" t="inlineStr">
        <is>
          <t>P1</t>
        </is>
      </c>
      <c r="B53" s="5" t="inlineStr">
        <is>
          <t>S</t>
        </is>
      </c>
      <c r="C53" s="12" t="n">
        <v>6</v>
      </c>
      <c r="D53" s="12" t="n">
        <v>10</v>
      </c>
      <c r="E53" s="5" t="inlineStr">
        <is>
          <t>B</t>
        </is>
      </c>
      <c r="F53" s="20">
        <f>MAX(0,D53-C53)</f>
        <v>4.0</v>
      </c>
      <c r="G53" s="20">
        <f>MAX(0,MIN(D53,'Parámetros'!$B$34+'Parámetros'!$B$48)-MAX(C53,'Parámetros'!$B$33))+MAX(0,MIN(D53,'Parámetros'!$B$34)-MAX(C53,0))</f>
        <v>0.0</v>
      </c>
      <c r="H53" s="20">
        <f>MAX(0,MIN(D53,'Parámetros'!$B$40)-MAX(C53,'Parámetros'!$B$39))</f>
        <v>0.0</v>
      </c>
      <c r="I53" s="20">
        <f>MAX(0,MIN(D53,'Parámetros'!$B$43)-MAX(C53,'Parámetros'!$B$42))+MAX(0,MIN(D53,'Parámetros'!$B$43+'Parámetros'!$B$48)-MAX(C53,'Parámetros'!$B$42+'Parámetros'!$B$48))</f>
        <v>2.0</v>
      </c>
      <c r="J53" s="20">
        <f>MAX(0,MIN(D53,'Parámetros'!$B$43+'Parámetros'!$B$48)-MAX(C53,'Parámetros'!$B$39))+MAX(0,MIN(D53,'Parámetros'!$B$43)-MAX(C53,'Parámetros'!$B$42))</f>
        <v>2.0</v>
      </c>
    </row>
    <row r="54">
      <c r="A54" s="5" t="inlineStr">
        <is>
          <t>P1</t>
        </is>
      </c>
      <c r="B54" s="5" t="inlineStr">
        <is>
          <t>S</t>
        </is>
      </c>
      <c r="C54" s="12" t="n">
        <v>12.5</v>
      </c>
      <c r="D54" s="12" t="n">
        <v>13</v>
      </c>
      <c r="E54" s="5" t="inlineStr">
        <is>
          <t>L</t>
        </is>
      </c>
      <c r="F54" s="20">
        <f>MAX(0,D54-C54)</f>
        <v>0.5</v>
      </c>
      <c r="G54" s="20">
        <f>MAX(0,MIN(D54,'Parámetros'!$B$34+'Parámetros'!$B$48)-MAX(C54,'Parámetros'!$B$33))+MAX(0,MIN(D54,'Parámetros'!$B$34)-MAX(C54,0))</f>
        <v>0.0</v>
      </c>
      <c r="H54" s="20">
        <f>MAX(0,MIN(D54,'Parámetros'!$B$40)-MAX(C54,'Parámetros'!$B$39))</f>
        <v>0.0</v>
      </c>
      <c r="I54" s="20">
        <f>MAX(0,MIN(D54,'Parámetros'!$B$43)-MAX(C54,'Parámetros'!$B$42))+MAX(0,MIN(D54,'Parámetros'!$B$43+'Parámetros'!$B$48)-MAX(C54,'Parámetros'!$B$42+'Parámetros'!$B$48))</f>
        <v>0.0</v>
      </c>
      <c r="J54" s="20">
        <f>MAX(0,MIN(D54,'Parámetros'!$B$43+'Parámetros'!$B$48)-MAX(C54,'Parámetros'!$B$39))+MAX(0,MIN(D54,'Parámetros'!$B$43)-MAX(C54,'Parámetros'!$B$42))</f>
        <v>0.0</v>
      </c>
    </row>
    <row r="55">
      <c r="A55" s="5" t="inlineStr">
        <is>
          <t>P1</t>
        </is>
      </c>
      <c r="B55" s="5" t="inlineStr">
        <is>
          <t>S</t>
        </is>
      </c>
      <c r="C55" s="12" t="n">
        <v>16</v>
      </c>
      <c r="D55" s="12" t="n">
        <v>21</v>
      </c>
      <c r="E55" s="5" t="inlineStr">
        <is>
          <t>L</t>
        </is>
      </c>
      <c r="F55" s="20">
        <f>MAX(0,D55-C55)</f>
        <v>5.0</v>
      </c>
      <c r="G55" s="20">
        <f>MAX(0,MIN(D55,'Parámetros'!$B$34+'Parámetros'!$B$48)-MAX(C55,'Parámetros'!$B$33))+MAX(0,MIN(D55,'Parámetros'!$B$34)-MAX(C55,0))</f>
        <v>0.0</v>
      </c>
      <c r="H55" s="20">
        <f>MAX(0,MIN(D55,'Parámetros'!$B$40)-MAX(C55,'Parámetros'!$B$39))</f>
        <v>0.0</v>
      </c>
      <c r="I55" s="20">
        <f>MAX(0,MIN(D55,'Parámetros'!$B$43)-MAX(C55,'Parámetros'!$B$42))+MAX(0,MIN(D55,'Parámetros'!$B$43+'Parámetros'!$B$48)-MAX(C55,'Parámetros'!$B$42+'Parámetros'!$B$48))</f>
        <v>0.0</v>
      </c>
      <c r="J55" s="20">
        <f>MAX(0,MIN(D55,'Parámetros'!$B$43+'Parámetros'!$B$48)-MAX(C55,'Parámetros'!$B$39))+MAX(0,MIN(D55,'Parámetros'!$B$43)-MAX(C55,'Parámetros'!$B$42))</f>
        <v>0.0</v>
      </c>
    </row>
    <row r="56">
      <c r="A56" s="5" t="inlineStr">
        <is>
          <t>P1</t>
        </is>
      </c>
      <c r="B56" s="5" t="inlineStr">
        <is>
          <t>D</t>
        </is>
      </c>
      <c r="C56" s="12" t="n">
        <v>6</v>
      </c>
      <c r="D56" s="12" t="n">
        <v>10</v>
      </c>
      <c r="E56" s="5" t="inlineStr">
        <is>
          <t>B</t>
        </is>
      </c>
      <c r="F56" s="20">
        <f>MAX(0,D56-C56)</f>
        <v>4.0</v>
      </c>
      <c r="G56" s="20">
        <f>MAX(0,MIN(D56,'Parámetros'!$B$34+'Parámetros'!$B$48)-MAX(C56,'Parámetros'!$B$33))+MAX(0,MIN(D56,'Parámetros'!$B$34)-MAX(C56,0))</f>
        <v>0.0</v>
      </c>
      <c r="H56" s="20">
        <f>MAX(0,MIN(D56,'Parámetros'!$B$40)-MAX(C56,'Parámetros'!$B$39))</f>
        <v>0.0</v>
      </c>
      <c r="I56" s="20">
        <f>MAX(0,MIN(D56,'Parámetros'!$B$43)-MAX(C56,'Parámetros'!$B$42))+MAX(0,MIN(D56,'Parámetros'!$B$43+'Parámetros'!$B$48)-MAX(C56,'Parámetros'!$B$42+'Parámetros'!$B$48))</f>
        <v>2.0</v>
      </c>
      <c r="J56" s="20">
        <f>MAX(0,MIN(D56,'Parámetros'!$B$43+'Parámetros'!$B$48)-MAX(C56,'Parámetros'!$B$39))+MAX(0,MIN(D56,'Parámetros'!$B$43)-MAX(C56,'Parámetros'!$B$42))</f>
        <v>2.0</v>
      </c>
    </row>
    <row r="57">
      <c r="A57" s="5" t="inlineStr">
        <is>
          <t>P1</t>
        </is>
      </c>
      <c r="B57" s="5" t="inlineStr">
        <is>
          <t>D</t>
        </is>
      </c>
      <c r="C57" s="12" t="n">
        <v>12.5</v>
      </c>
      <c r="D57" s="12" t="n">
        <v>13</v>
      </c>
      <c r="E57" s="5" t="inlineStr">
        <is>
          <t>L</t>
        </is>
      </c>
      <c r="F57" s="20">
        <f>MAX(0,D57-C57)</f>
        <v>0.5</v>
      </c>
      <c r="G57" s="20">
        <f>MAX(0,MIN(D57,'Parámetros'!$B$34+'Parámetros'!$B$48)-MAX(C57,'Parámetros'!$B$33))+MAX(0,MIN(D57,'Parámetros'!$B$34)-MAX(C57,0))</f>
        <v>0.0</v>
      </c>
      <c r="H57" s="20">
        <f>MAX(0,MIN(D57,'Parámetros'!$B$40)-MAX(C57,'Parámetros'!$B$39))</f>
        <v>0.0</v>
      </c>
      <c r="I57" s="20">
        <f>MAX(0,MIN(D57,'Parámetros'!$B$43)-MAX(C57,'Parámetros'!$B$42))+MAX(0,MIN(D57,'Parámetros'!$B$43+'Parámetros'!$B$48)-MAX(C57,'Parámetros'!$B$42+'Parámetros'!$B$48))</f>
        <v>0.0</v>
      </c>
      <c r="J57" s="20">
        <f>MAX(0,MIN(D57,'Parámetros'!$B$43+'Parámetros'!$B$48)-MAX(C57,'Parámetros'!$B$39))+MAX(0,MIN(D57,'Parámetros'!$B$43)-MAX(C57,'Parámetros'!$B$42))</f>
        <v>0.0</v>
      </c>
    </row>
    <row r="58">
      <c r="A58" s="5" t="inlineStr">
        <is>
          <t>P1</t>
        </is>
      </c>
      <c r="B58" s="5" t="inlineStr">
        <is>
          <t>D</t>
        </is>
      </c>
      <c r="C58" s="12" t="n">
        <v>16</v>
      </c>
      <c r="D58" s="12" t="n">
        <v>21.5</v>
      </c>
      <c r="E58" s="5" t="inlineStr">
        <is>
          <t>L</t>
        </is>
      </c>
      <c r="F58" s="20">
        <f>MAX(0,D58-C58)</f>
        <v>5.5</v>
      </c>
      <c r="G58" s="20">
        <f>MAX(0,MIN(D58,'Parámetros'!$B$34+'Parámetros'!$B$48)-MAX(C58,'Parámetros'!$B$33))+MAX(0,MIN(D58,'Parámetros'!$B$34)-MAX(C58,0))</f>
        <v>0.0</v>
      </c>
      <c r="H58" s="20">
        <f>MAX(0,MIN(D58,'Parámetros'!$B$40)-MAX(C58,'Parámetros'!$B$39))</f>
        <v>0.0</v>
      </c>
      <c r="I58" s="20">
        <f>MAX(0,MIN(D58,'Parámetros'!$B$43)-MAX(C58,'Parámetros'!$B$42))+MAX(0,MIN(D58,'Parámetros'!$B$43+'Parámetros'!$B$48)-MAX(C58,'Parámetros'!$B$42+'Parámetros'!$B$48))</f>
        <v>0.0</v>
      </c>
      <c r="J58" s="20">
        <f>MAX(0,MIN(D58,'Parámetros'!$B$43+'Parámetros'!$B$48)-MAX(C58,'Parámetros'!$B$39))+MAX(0,MIN(D58,'Parámetros'!$B$43)-MAX(C58,'Parámetros'!$B$42))</f>
        <v>0.0</v>
      </c>
    </row>
    <row r="59"/>
    <row r="60"/>
    <row r="61">
      <c r="A61" s="4" t="inlineStr">
        <is>
          <t>Quién Está en Cada Media Hora (y Dónde Falta Gente)</t>
        </is>
      </c>
    </row>
    <row r="62">
      <c r="C62" s="31" t="inlineStr">
        <is>
          <t>Personas presentes</t>
        </is>
      </c>
      <c r="K62" s="31" t="inlineStr">
        <is>
          <t>De ellas en la línea</t>
        </is>
      </c>
      <c r="S62" s="31" t="inlineStr">
        <is>
          <t>Mínimo exigido (personas)</t>
        </is>
      </c>
      <c r="AA62" s="31" t="inlineStr">
        <is>
          <t>Hueco (1 = falta gente)</t>
        </is>
      </c>
    </row>
    <row r="63" ht="22" customHeight="1">
      <c r="A63" s="9" t="inlineStr">
        <is>
          <t>Desde (h)</t>
        </is>
      </c>
      <c r="B63" s="9" t="inlineStr">
        <is>
          <t>Hora</t>
        </is>
      </c>
      <c r="C63" s="9" t="inlineStr">
        <is>
          <t>L</t>
        </is>
      </c>
      <c r="D63" s="9" t="inlineStr">
        <is>
          <t>M</t>
        </is>
      </c>
      <c r="E63" s="9" t="inlineStr">
        <is>
          <t>X</t>
        </is>
      </c>
      <c r="F63" s="9" t="inlineStr">
        <is>
          <t>J</t>
        </is>
      </c>
      <c r="G63" s="9" t="inlineStr">
        <is>
          <t>V</t>
        </is>
      </c>
      <c r="H63" s="9" t="inlineStr">
        <is>
          <t>S</t>
        </is>
      </c>
      <c r="I63" s="9" t="inlineStr">
        <is>
          <t>D</t>
        </is>
      </c>
      <c r="K63" s="9" t="inlineStr">
        <is>
          <t>L</t>
        </is>
      </c>
      <c r="L63" s="9" t="inlineStr">
        <is>
          <t>M</t>
        </is>
      </c>
      <c r="M63" s="9" t="inlineStr">
        <is>
          <t>X</t>
        </is>
      </c>
      <c r="N63" s="9" t="inlineStr">
        <is>
          <t>J</t>
        </is>
      </c>
      <c r="O63" s="9" t="inlineStr">
        <is>
          <t>V</t>
        </is>
      </c>
      <c r="P63" s="9" t="inlineStr">
        <is>
          <t>S</t>
        </is>
      </c>
      <c r="Q63" s="9" t="inlineStr">
        <is>
          <t>D</t>
        </is>
      </c>
      <c r="S63" s="9" t="inlineStr">
        <is>
          <t>L</t>
        </is>
      </c>
      <c r="T63" s="9" t="inlineStr">
        <is>
          <t>M</t>
        </is>
      </c>
      <c r="U63" s="9" t="inlineStr">
        <is>
          <t>X</t>
        </is>
      </c>
      <c r="V63" s="9" t="inlineStr">
        <is>
          <t>J</t>
        </is>
      </c>
      <c r="W63" s="9" t="inlineStr">
        <is>
          <t>V</t>
        </is>
      </c>
      <c r="X63" s="9" t="inlineStr">
        <is>
          <t>S</t>
        </is>
      </c>
      <c r="Y63" s="9" t="inlineStr">
        <is>
          <t>D</t>
        </is>
      </c>
      <c r="AA63" s="9" t="inlineStr">
        <is>
          <t>L</t>
        </is>
      </c>
      <c r="AB63" s="9" t="inlineStr">
        <is>
          <t>M</t>
        </is>
      </c>
      <c r="AC63" s="9" t="inlineStr">
        <is>
          <t>X</t>
        </is>
      </c>
      <c r="AD63" s="9" t="inlineStr">
        <is>
          <t>J</t>
        </is>
      </c>
      <c r="AE63" s="9" t="inlineStr">
        <is>
          <t>V</t>
        </is>
      </c>
      <c r="AF63" s="9" t="inlineStr">
        <is>
          <t>S</t>
        </is>
      </c>
      <c r="AG63" s="9" t="inlineStr">
        <is>
          <t>D</t>
        </is>
      </c>
    </row>
    <row r="64">
      <c r="A64" s="20">
        <f>'Parámetros'!$B$56</f>
        <v>4.0</v>
      </c>
      <c r="B64" s="32">
        <f>IFERROR(A64/'Parámetros'!$B$48,"")</f>
        <v>0.16666666666666666</v>
      </c>
      <c r="C64" s="33">
        <f>SUMPRODUCT(--($B$23:$B$58=C$63),--($C$23:$C$58&lt;=$A64),--($D$23:$D$58&gt;$A64))+0</f>
        <v>0.0</v>
      </c>
      <c r="D64" s="33">
        <f>SUMPRODUCT(--($B$23:$B$58=D$63),--($C$23:$C$58&lt;=$A64),--($D$23:$D$58&gt;$A64))+0</f>
        <v>0.0</v>
      </c>
      <c r="E64" s="33">
        <f>SUMPRODUCT(--($B$23:$B$58=E$63),--($C$23:$C$58&lt;=$A64),--($D$23:$D$58&gt;$A64))+0</f>
        <v>0.0</v>
      </c>
      <c r="F64" s="33">
        <f>SUMPRODUCT(--($B$23:$B$58=F$63),--($C$23:$C$58&lt;=$A64),--($D$23:$D$58&gt;$A64))+0</f>
        <v>0.0</v>
      </c>
      <c r="G64" s="33">
        <f>SUMPRODUCT(--($B$23:$B$58=G$63),--($C$23:$C$58&lt;=$A64),--($D$23:$D$58&gt;$A64))+0</f>
        <v>0.0</v>
      </c>
      <c r="H64" s="33">
        <f>SUMPRODUCT(--($B$23:$B$58=H$63),--($C$23:$C$58&lt;=$A64),--($D$23:$D$58&gt;$A64))+0</f>
        <v>0.0</v>
      </c>
      <c r="I64" s="33">
        <f>SUMPRODUCT(--($B$23:$B$58=I$63),--($C$23:$C$58&lt;=$A64),--($D$23:$D$58&gt;$A64))+0</f>
        <v>0.0</v>
      </c>
      <c r="K64" s="33">
        <f>SUMPRODUCT(--($B$23:$B$58=C$63),--($C$23:$C$58&lt;=$A64),--($D$23:$D$58&gt;$A64),--($E$23:$E$58="L"))+0</f>
        <v>0.0</v>
      </c>
      <c r="L64" s="33">
        <f>SUMPRODUCT(--($B$23:$B$58=D$63),--($C$23:$C$58&lt;=$A64),--($D$23:$D$58&gt;$A64),--($E$23:$E$58="L"))+0</f>
        <v>0.0</v>
      </c>
      <c r="M64" s="33">
        <f>SUMPRODUCT(--($B$23:$B$58=E$63),--($C$23:$C$58&lt;=$A64),--($D$23:$D$58&gt;$A64),--($E$23:$E$58="L"))+0</f>
        <v>0.0</v>
      </c>
      <c r="N64" s="33">
        <f>SUMPRODUCT(--($B$23:$B$58=F$63),--($C$23:$C$58&lt;=$A64),--($D$23:$D$58&gt;$A64),--($E$23:$E$58="L"))+0</f>
        <v>0.0</v>
      </c>
      <c r="O64" s="33">
        <f>SUMPRODUCT(--($B$23:$B$58=G$63),--($C$23:$C$58&lt;=$A64),--($D$23:$D$58&gt;$A64),--($E$23:$E$58="L"))+0</f>
        <v>0.0</v>
      </c>
      <c r="P64" s="33">
        <f>SUMPRODUCT(--($B$23:$B$58=H$63),--($C$23:$C$58&lt;=$A64),--($D$23:$D$58&gt;$A64),--($E$23:$E$58="L"))+0</f>
        <v>0.0</v>
      </c>
      <c r="Q64" s="33">
        <f>SUMPRODUCT(--($B$23:$B$58=I$63),--($C$23:$C$58&lt;=$A64),--($D$23:$D$58&gt;$A64),--($E$23:$E$58="L"))+0</f>
        <v>0.0</v>
      </c>
      <c r="S64" s="33">
        <f>SUMPRODUCT($F$14:$F$19,--($B$14:$B$19&lt;=$A64),--($C$14:$C$19&gt;$A64),$D$14:$D$19)+0</f>
        <v>0.0</v>
      </c>
      <c r="T64" s="33">
        <f>SUMPRODUCT($G$14:$G$19,--($B$14:$B$19&lt;=$A64),--($C$14:$C$19&gt;$A64),$D$14:$D$19)+0</f>
        <v>0.0</v>
      </c>
      <c r="U64" s="33">
        <f>SUMPRODUCT($H$14:$H$19,--($B$14:$B$19&lt;=$A64),--($C$14:$C$19&gt;$A64),$D$14:$D$19)+0</f>
        <v>0.0</v>
      </c>
      <c r="V64" s="33">
        <f>SUMPRODUCT($I$14:$I$19,--($B$14:$B$19&lt;=$A64),--($C$14:$C$19&gt;$A64),$D$14:$D$19)+0</f>
        <v>0.0</v>
      </c>
      <c r="W64" s="33">
        <f>SUMPRODUCT($J$14:$J$19,--($B$14:$B$19&lt;=$A64),--($C$14:$C$19&gt;$A64),$D$14:$D$19)+0</f>
        <v>0.0</v>
      </c>
      <c r="X64" s="33">
        <f>SUMPRODUCT($K$14:$K$19,--($B$14:$B$19&lt;=$A64),--($C$14:$C$19&gt;$A64),$D$14:$D$19)+0</f>
        <v>0.0</v>
      </c>
      <c r="Y64" s="33">
        <f>SUMPRODUCT($L$14:$L$19,--($B$14:$B$19&lt;=$A64),--($C$14:$C$19&gt;$A64),$D$14:$D$19)+0</f>
        <v>0.0</v>
      </c>
      <c r="AA64" s="33">
        <f>IF(OR(K64&lt;SUMPRODUCT($F$14:$F$19,--($B$14:$B$19&lt;=$A64),--($C$14:$C$19&gt;$A64),$E$14:$E$19),C64&lt;S64),1,0)</f>
        <v>0.0</v>
      </c>
      <c r="AB64" s="33">
        <f>IF(OR(L64&lt;SUMPRODUCT($G$14:$G$19,--($B$14:$B$19&lt;=$A64),--($C$14:$C$19&gt;$A64),$E$14:$E$19),D64&lt;T64),1,0)</f>
        <v>0.0</v>
      </c>
      <c r="AC64" s="33">
        <f>IF(OR(M64&lt;SUMPRODUCT($H$14:$H$19,--($B$14:$B$19&lt;=$A64),--($C$14:$C$19&gt;$A64),$E$14:$E$19),E64&lt;U64),1,0)</f>
        <v>0.0</v>
      </c>
      <c r="AD64" s="33">
        <f>IF(OR(N64&lt;SUMPRODUCT($I$14:$I$19,--($B$14:$B$19&lt;=$A64),--($C$14:$C$19&gt;$A64),$E$14:$E$19),F64&lt;V64),1,0)</f>
        <v>0.0</v>
      </c>
      <c r="AE64" s="33">
        <f>IF(OR(O64&lt;SUMPRODUCT($J$14:$J$19,--($B$14:$B$19&lt;=$A64),--($C$14:$C$19&gt;$A64),$E$14:$E$19),G64&lt;W64),1,0)</f>
        <v>0.0</v>
      </c>
      <c r="AF64" s="33">
        <f>IF(OR(P64&lt;SUMPRODUCT($K$14:$K$19,--($B$14:$B$19&lt;=$A64),--($C$14:$C$19&gt;$A64),$E$14:$E$19),H64&lt;X64),1,0)</f>
        <v>0.0</v>
      </c>
      <c r="AG64" s="33">
        <f>IF(OR(Q64&lt;SUMPRODUCT($L$14:$L$19,--($B$14:$B$19&lt;=$A64),--($C$14:$C$19&gt;$A64),$E$14:$E$19),I64&lt;Y64),1,0)</f>
        <v>0.0</v>
      </c>
    </row>
    <row r="65">
      <c r="A65" s="20">
        <f>A64+'Parámetros'!$B$57</f>
        <v>4.5</v>
      </c>
      <c r="B65" s="32">
        <f>IFERROR(A65/'Parámetros'!$B$48,"")</f>
        <v>0.1875</v>
      </c>
      <c r="C65" s="33">
        <f>SUMPRODUCT(--($B$23:$B$58=C$63),--($C$23:$C$58&lt;=$A65),--($D$23:$D$58&gt;$A65))+0</f>
        <v>0.0</v>
      </c>
      <c r="D65" s="33">
        <f>SUMPRODUCT(--($B$23:$B$58=D$63),--($C$23:$C$58&lt;=$A65),--($D$23:$D$58&gt;$A65))+0</f>
        <v>0.0</v>
      </c>
      <c r="E65" s="33">
        <f>SUMPRODUCT(--($B$23:$B$58=E$63),--($C$23:$C$58&lt;=$A65),--($D$23:$D$58&gt;$A65))+0</f>
        <v>0.0</v>
      </c>
      <c r="F65" s="33">
        <f>SUMPRODUCT(--($B$23:$B$58=F$63),--($C$23:$C$58&lt;=$A65),--($D$23:$D$58&gt;$A65))+0</f>
        <v>0.0</v>
      </c>
      <c r="G65" s="33">
        <f>SUMPRODUCT(--($B$23:$B$58=G$63),--($C$23:$C$58&lt;=$A65),--($D$23:$D$58&gt;$A65))+0</f>
        <v>0.0</v>
      </c>
      <c r="H65" s="33">
        <f>SUMPRODUCT(--($B$23:$B$58=H$63),--($C$23:$C$58&lt;=$A65),--($D$23:$D$58&gt;$A65))+0</f>
        <v>1.0</v>
      </c>
      <c r="I65" s="33">
        <f>SUMPRODUCT(--($B$23:$B$58=I$63),--($C$23:$C$58&lt;=$A65),--($D$23:$D$58&gt;$A65))+0</f>
        <v>1.0</v>
      </c>
      <c r="K65" s="33">
        <f>SUMPRODUCT(--($B$23:$B$58=C$63),--($C$23:$C$58&lt;=$A65),--($D$23:$D$58&gt;$A65),--($E$23:$E$58="L"))+0</f>
        <v>0.0</v>
      </c>
      <c r="L65" s="33">
        <f>SUMPRODUCT(--($B$23:$B$58=D$63),--($C$23:$C$58&lt;=$A65),--($D$23:$D$58&gt;$A65),--($E$23:$E$58="L"))+0</f>
        <v>0.0</v>
      </c>
      <c r="M65" s="33">
        <f>SUMPRODUCT(--($B$23:$B$58=E$63),--($C$23:$C$58&lt;=$A65),--($D$23:$D$58&gt;$A65),--($E$23:$E$58="L"))+0</f>
        <v>0.0</v>
      </c>
      <c r="N65" s="33">
        <f>SUMPRODUCT(--($B$23:$B$58=F$63),--($C$23:$C$58&lt;=$A65),--($D$23:$D$58&gt;$A65),--($E$23:$E$58="L"))+0</f>
        <v>0.0</v>
      </c>
      <c r="O65" s="33">
        <f>SUMPRODUCT(--($B$23:$B$58=G$63),--($C$23:$C$58&lt;=$A65),--($D$23:$D$58&gt;$A65),--($E$23:$E$58="L"))+0</f>
        <v>0.0</v>
      </c>
      <c r="P65" s="33">
        <f>SUMPRODUCT(--($B$23:$B$58=H$63),--($C$23:$C$58&lt;=$A65),--($D$23:$D$58&gt;$A65),--($E$23:$E$58="L"))+0</f>
        <v>1.0</v>
      </c>
      <c r="Q65" s="33">
        <f>SUMPRODUCT(--($B$23:$B$58=I$63),--($C$23:$C$58&lt;=$A65),--($D$23:$D$58&gt;$A65),--($E$23:$E$58="L"))+0</f>
        <v>1.0</v>
      </c>
      <c r="S65" s="33">
        <f>SUMPRODUCT($F$14:$F$19,--($B$14:$B$19&lt;=$A65),--($C$14:$C$19&gt;$A65),$D$14:$D$19)+0</f>
        <v>0.0</v>
      </c>
      <c r="T65" s="33">
        <f>SUMPRODUCT($G$14:$G$19,--($B$14:$B$19&lt;=$A65),--($C$14:$C$19&gt;$A65),$D$14:$D$19)+0</f>
        <v>0.0</v>
      </c>
      <c r="U65" s="33">
        <f>SUMPRODUCT($H$14:$H$19,--($B$14:$B$19&lt;=$A65),--($C$14:$C$19&gt;$A65),$D$14:$D$19)+0</f>
        <v>0.0</v>
      </c>
      <c r="V65" s="33">
        <f>SUMPRODUCT($I$14:$I$19,--($B$14:$B$19&lt;=$A65),--($C$14:$C$19&gt;$A65),$D$14:$D$19)+0</f>
        <v>0.0</v>
      </c>
      <c r="W65" s="33">
        <f>SUMPRODUCT($J$14:$J$19,--($B$14:$B$19&lt;=$A65),--($C$14:$C$19&gt;$A65),$D$14:$D$19)+0</f>
        <v>0.0</v>
      </c>
      <c r="X65" s="33">
        <f>SUMPRODUCT($K$14:$K$19,--($B$14:$B$19&lt;=$A65),--($C$14:$C$19&gt;$A65),$D$14:$D$19)+0</f>
        <v>0.0</v>
      </c>
      <c r="Y65" s="33">
        <f>SUMPRODUCT($L$14:$L$19,--($B$14:$B$19&lt;=$A65),--($C$14:$C$19&gt;$A65),$D$14:$D$19)+0</f>
        <v>0.0</v>
      </c>
      <c r="AA65" s="33">
        <f>IF(OR(K65&lt;SUMPRODUCT($F$14:$F$19,--($B$14:$B$19&lt;=$A65),--($C$14:$C$19&gt;$A65),$E$14:$E$19),C65&lt;S65),1,0)</f>
        <v>0.0</v>
      </c>
      <c r="AB65" s="33">
        <f>IF(OR(L65&lt;SUMPRODUCT($G$14:$G$19,--($B$14:$B$19&lt;=$A65),--($C$14:$C$19&gt;$A65),$E$14:$E$19),D65&lt;T65),1,0)</f>
        <v>0.0</v>
      </c>
      <c r="AC65" s="33">
        <f>IF(OR(M65&lt;SUMPRODUCT($H$14:$H$19,--($B$14:$B$19&lt;=$A65),--($C$14:$C$19&gt;$A65),$E$14:$E$19),E65&lt;U65),1,0)</f>
        <v>0.0</v>
      </c>
      <c r="AD65" s="33">
        <f>IF(OR(N65&lt;SUMPRODUCT($I$14:$I$19,--($B$14:$B$19&lt;=$A65),--($C$14:$C$19&gt;$A65),$E$14:$E$19),F65&lt;V65),1,0)</f>
        <v>0.0</v>
      </c>
      <c r="AE65" s="33">
        <f>IF(OR(O65&lt;SUMPRODUCT($J$14:$J$19,--($B$14:$B$19&lt;=$A65),--($C$14:$C$19&gt;$A65),$E$14:$E$19),G65&lt;W65),1,0)</f>
        <v>0.0</v>
      </c>
      <c r="AF65" s="33">
        <f>IF(OR(P65&lt;SUMPRODUCT($K$14:$K$19,--($B$14:$B$19&lt;=$A65),--($C$14:$C$19&gt;$A65),$E$14:$E$19),H65&lt;X65),1,0)</f>
        <v>0.0</v>
      </c>
      <c r="AG65" s="33">
        <f>IF(OR(Q65&lt;SUMPRODUCT($L$14:$L$19,--($B$14:$B$19&lt;=$A65),--($C$14:$C$19&gt;$A65),$E$14:$E$19),I65&lt;Y65),1,0)</f>
        <v>0.0</v>
      </c>
    </row>
    <row r="66">
      <c r="A66" s="20">
        <f>A65+'Parámetros'!$B$57</f>
        <v>5.0</v>
      </c>
      <c r="B66" s="32">
        <f>IFERROR(A66/'Parámetros'!$B$48,"")</f>
        <v>0.20833333333333334</v>
      </c>
      <c r="C66" s="33">
        <f>SUMPRODUCT(--($B$23:$B$58=C$63),--($C$23:$C$58&lt;=$A66),--($D$23:$D$58&gt;$A66))+0</f>
        <v>0.0</v>
      </c>
      <c r="D66" s="33">
        <f>SUMPRODUCT(--($B$23:$B$58=D$63),--($C$23:$C$58&lt;=$A66),--($D$23:$D$58&gt;$A66))+0</f>
        <v>0.0</v>
      </c>
      <c r="E66" s="33">
        <f>SUMPRODUCT(--($B$23:$B$58=E$63),--($C$23:$C$58&lt;=$A66),--($D$23:$D$58&gt;$A66))+0</f>
        <v>0.0</v>
      </c>
      <c r="F66" s="33">
        <f>SUMPRODUCT(--($B$23:$B$58=F$63),--($C$23:$C$58&lt;=$A66),--($D$23:$D$58&gt;$A66))+0</f>
        <v>0.0</v>
      </c>
      <c r="G66" s="33">
        <f>SUMPRODUCT(--($B$23:$B$58=G$63),--($C$23:$C$58&lt;=$A66),--($D$23:$D$58&gt;$A66))+0</f>
        <v>0.0</v>
      </c>
      <c r="H66" s="33">
        <f>SUMPRODUCT(--($B$23:$B$58=H$63),--($C$23:$C$58&lt;=$A66),--($D$23:$D$58&gt;$A66))+0</f>
        <v>1.0</v>
      </c>
      <c r="I66" s="33">
        <f>SUMPRODUCT(--($B$23:$B$58=I$63),--($C$23:$C$58&lt;=$A66),--($D$23:$D$58&gt;$A66))+0</f>
        <v>1.0</v>
      </c>
      <c r="K66" s="33">
        <f>SUMPRODUCT(--($B$23:$B$58=C$63),--($C$23:$C$58&lt;=$A66),--($D$23:$D$58&gt;$A66),--($E$23:$E$58="L"))+0</f>
        <v>0.0</v>
      </c>
      <c r="L66" s="33">
        <f>SUMPRODUCT(--($B$23:$B$58=D$63),--($C$23:$C$58&lt;=$A66),--($D$23:$D$58&gt;$A66),--($E$23:$E$58="L"))+0</f>
        <v>0.0</v>
      </c>
      <c r="M66" s="33">
        <f>SUMPRODUCT(--($B$23:$B$58=E$63),--($C$23:$C$58&lt;=$A66),--($D$23:$D$58&gt;$A66),--($E$23:$E$58="L"))+0</f>
        <v>0.0</v>
      </c>
      <c r="N66" s="33">
        <f>SUMPRODUCT(--($B$23:$B$58=F$63),--($C$23:$C$58&lt;=$A66),--($D$23:$D$58&gt;$A66),--($E$23:$E$58="L"))+0</f>
        <v>0.0</v>
      </c>
      <c r="O66" s="33">
        <f>SUMPRODUCT(--($B$23:$B$58=G$63),--($C$23:$C$58&lt;=$A66),--($D$23:$D$58&gt;$A66),--($E$23:$E$58="L"))+0</f>
        <v>0.0</v>
      </c>
      <c r="P66" s="33">
        <f>SUMPRODUCT(--($B$23:$B$58=H$63),--($C$23:$C$58&lt;=$A66),--($D$23:$D$58&gt;$A66),--($E$23:$E$58="L"))+0</f>
        <v>1.0</v>
      </c>
      <c r="Q66" s="33">
        <f>SUMPRODUCT(--($B$23:$B$58=I$63),--($C$23:$C$58&lt;=$A66),--($D$23:$D$58&gt;$A66),--($E$23:$E$58="L"))+0</f>
        <v>1.0</v>
      </c>
      <c r="S66" s="33">
        <f>SUMPRODUCT($F$14:$F$19,--($B$14:$B$19&lt;=$A66),--($C$14:$C$19&gt;$A66),$D$14:$D$19)+0</f>
        <v>0.0</v>
      </c>
      <c r="T66" s="33">
        <f>SUMPRODUCT($G$14:$G$19,--($B$14:$B$19&lt;=$A66),--($C$14:$C$19&gt;$A66),$D$14:$D$19)+0</f>
        <v>0.0</v>
      </c>
      <c r="U66" s="33">
        <f>SUMPRODUCT($H$14:$H$19,--($B$14:$B$19&lt;=$A66),--($C$14:$C$19&gt;$A66),$D$14:$D$19)+0</f>
        <v>0.0</v>
      </c>
      <c r="V66" s="33">
        <f>SUMPRODUCT($I$14:$I$19,--($B$14:$B$19&lt;=$A66),--($C$14:$C$19&gt;$A66),$D$14:$D$19)+0</f>
        <v>0.0</v>
      </c>
      <c r="W66" s="33">
        <f>SUMPRODUCT($J$14:$J$19,--($B$14:$B$19&lt;=$A66),--($C$14:$C$19&gt;$A66),$D$14:$D$19)+0</f>
        <v>0.0</v>
      </c>
      <c r="X66" s="33">
        <f>SUMPRODUCT($K$14:$K$19,--($B$14:$B$19&lt;=$A66),--($C$14:$C$19&gt;$A66),$D$14:$D$19)+0</f>
        <v>0.0</v>
      </c>
      <c r="Y66" s="33">
        <f>SUMPRODUCT($L$14:$L$19,--($B$14:$B$19&lt;=$A66),--($C$14:$C$19&gt;$A66),$D$14:$D$19)+0</f>
        <v>0.0</v>
      </c>
      <c r="AA66" s="33">
        <f>IF(OR(K66&lt;SUMPRODUCT($F$14:$F$19,--($B$14:$B$19&lt;=$A66),--($C$14:$C$19&gt;$A66),$E$14:$E$19),C66&lt;S66),1,0)</f>
        <v>0.0</v>
      </c>
      <c r="AB66" s="33">
        <f>IF(OR(L66&lt;SUMPRODUCT($G$14:$G$19,--($B$14:$B$19&lt;=$A66),--($C$14:$C$19&gt;$A66),$E$14:$E$19),D66&lt;T66),1,0)</f>
        <v>0.0</v>
      </c>
      <c r="AC66" s="33">
        <f>IF(OR(M66&lt;SUMPRODUCT($H$14:$H$19,--($B$14:$B$19&lt;=$A66),--($C$14:$C$19&gt;$A66),$E$14:$E$19),E66&lt;U66),1,0)</f>
        <v>0.0</v>
      </c>
      <c r="AD66" s="33">
        <f>IF(OR(N66&lt;SUMPRODUCT($I$14:$I$19,--($B$14:$B$19&lt;=$A66),--($C$14:$C$19&gt;$A66),$E$14:$E$19),F66&lt;V66),1,0)</f>
        <v>0.0</v>
      </c>
      <c r="AE66" s="33">
        <f>IF(OR(O66&lt;SUMPRODUCT($J$14:$J$19,--($B$14:$B$19&lt;=$A66),--($C$14:$C$19&gt;$A66),$E$14:$E$19),G66&lt;W66),1,0)</f>
        <v>0.0</v>
      </c>
      <c r="AF66" s="33">
        <f>IF(OR(P66&lt;SUMPRODUCT($K$14:$K$19,--($B$14:$B$19&lt;=$A66),--($C$14:$C$19&gt;$A66),$E$14:$E$19),H66&lt;X66),1,0)</f>
        <v>0.0</v>
      </c>
      <c r="AG66" s="33">
        <f>IF(OR(Q66&lt;SUMPRODUCT($L$14:$L$19,--($B$14:$B$19&lt;=$A66),--($C$14:$C$19&gt;$A66),$E$14:$E$19),I66&lt;Y66),1,0)</f>
        <v>0.0</v>
      </c>
    </row>
    <row r="67">
      <c r="A67" s="20">
        <f>A66+'Parámetros'!$B$57</f>
        <v>5.5</v>
      </c>
      <c r="B67" s="32">
        <f>IFERROR(A67/'Parámetros'!$B$48,"")</f>
        <v>0.22916666666666666</v>
      </c>
      <c r="C67" s="33">
        <f>SUMPRODUCT(--($B$23:$B$58=C$63),--($C$23:$C$58&lt;=$A67),--($D$23:$D$58&gt;$A67))+0</f>
        <v>0.0</v>
      </c>
      <c r="D67" s="33">
        <f>SUMPRODUCT(--($B$23:$B$58=D$63),--($C$23:$C$58&lt;=$A67),--($D$23:$D$58&gt;$A67))+0</f>
        <v>0.0</v>
      </c>
      <c r="E67" s="33">
        <f>SUMPRODUCT(--($B$23:$B$58=E$63),--($C$23:$C$58&lt;=$A67),--($D$23:$D$58&gt;$A67))+0</f>
        <v>0.0</v>
      </c>
      <c r="F67" s="33">
        <f>SUMPRODUCT(--($B$23:$B$58=F$63),--($C$23:$C$58&lt;=$A67),--($D$23:$D$58&gt;$A67))+0</f>
        <v>0.0</v>
      </c>
      <c r="G67" s="33">
        <f>SUMPRODUCT(--($B$23:$B$58=G$63),--($C$23:$C$58&lt;=$A67),--($D$23:$D$58&gt;$A67))+0</f>
        <v>0.0</v>
      </c>
      <c r="H67" s="33">
        <f>SUMPRODUCT(--($B$23:$B$58=H$63),--($C$23:$C$58&lt;=$A67),--($D$23:$D$58&gt;$A67))+0</f>
        <v>1.0</v>
      </c>
      <c r="I67" s="33">
        <f>SUMPRODUCT(--($B$23:$B$58=I$63),--($C$23:$C$58&lt;=$A67),--($D$23:$D$58&gt;$A67))+0</f>
        <v>1.0</v>
      </c>
      <c r="K67" s="33">
        <f>SUMPRODUCT(--($B$23:$B$58=C$63),--($C$23:$C$58&lt;=$A67),--($D$23:$D$58&gt;$A67),--($E$23:$E$58="L"))+0</f>
        <v>0.0</v>
      </c>
      <c r="L67" s="33">
        <f>SUMPRODUCT(--($B$23:$B$58=D$63),--($C$23:$C$58&lt;=$A67),--($D$23:$D$58&gt;$A67),--($E$23:$E$58="L"))+0</f>
        <v>0.0</v>
      </c>
      <c r="M67" s="33">
        <f>SUMPRODUCT(--($B$23:$B$58=E$63),--($C$23:$C$58&lt;=$A67),--($D$23:$D$58&gt;$A67),--($E$23:$E$58="L"))+0</f>
        <v>0.0</v>
      </c>
      <c r="N67" s="33">
        <f>SUMPRODUCT(--($B$23:$B$58=F$63),--($C$23:$C$58&lt;=$A67),--($D$23:$D$58&gt;$A67),--($E$23:$E$58="L"))+0</f>
        <v>0.0</v>
      </c>
      <c r="O67" s="33">
        <f>SUMPRODUCT(--($B$23:$B$58=G$63),--($C$23:$C$58&lt;=$A67),--($D$23:$D$58&gt;$A67),--($E$23:$E$58="L"))+0</f>
        <v>0.0</v>
      </c>
      <c r="P67" s="33">
        <f>SUMPRODUCT(--($B$23:$B$58=H$63),--($C$23:$C$58&lt;=$A67),--($D$23:$D$58&gt;$A67),--($E$23:$E$58="L"))+0</f>
        <v>1.0</v>
      </c>
      <c r="Q67" s="33">
        <f>SUMPRODUCT(--($B$23:$B$58=I$63),--($C$23:$C$58&lt;=$A67),--($D$23:$D$58&gt;$A67),--($E$23:$E$58="L"))+0</f>
        <v>1.0</v>
      </c>
      <c r="S67" s="33">
        <f>SUMPRODUCT($F$14:$F$19,--($B$14:$B$19&lt;=$A67),--($C$14:$C$19&gt;$A67),$D$14:$D$19)+0</f>
        <v>0.0</v>
      </c>
      <c r="T67" s="33">
        <f>SUMPRODUCT($G$14:$G$19,--($B$14:$B$19&lt;=$A67),--($C$14:$C$19&gt;$A67),$D$14:$D$19)+0</f>
        <v>0.0</v>
      </c>
      <c r="U67" s="33">
        <f>SUMPRODUCT($H$14:$H$19,--($B$14:$B$19&lt;=$A67),--($C$14:$C$19&gt;$A67),$D$14:$D$19)+0</f>
        <v>0.0</v>
      </c>
      <c r="V67" s="33">
        <f>SUMPRODUCT($I$14:$I$19,--($B$14:$B$19&lt;=$A67),--($C$14:$C$19&gt;$A67),$D$14:$D$19)+0</f>
        <v>0.0</v>
      </c>
      <c r="W67" s="33">
        <f>SUMPRODUCT($J$14:$J$19,--($B$14:$B$19&lt;=$A67),--($C$14:$C$19&gt;$A67),$D$14:$D$19)+0</f>
        <v>0.0</v>
      </c>
      <c r="X67" s="33">
        <f>SUMPRODUCT($K$14:$K$19,--($B$14:$B$19&lt;=$A67),--($C$14:$C$19&gt;$A67),$D$14:$D$19)+0</f>
        <v>0.0</v>
      </c>
      <c r="Y67" s="33">
        <f>SUMPRODUCT($L$14:$L$19,--($B$14:$B$19&lt;=$A67),--($C$14:$C$19&gt;$A67),$D$14:$D$19)+0</f>
        <v>0.0</v>
      </c>
      <c r="AA67" s="33">
        <f>IF(OR(K67&lt;SUMPRODUCT($F$14:$F$19,--($B$14:$B$19&lt;=$A67),--($C$14:$C$19&gt;$A67),$E$14:$E$19),C67&lt;S67),1,0)</f>
        <v>0.0</v>
      </c>
      <c r="AB67" s="33">
        <f>IF(OR(L67&lt;SUMPRODUCT($G$14:$G$19,--($B$14:$B$19&lt;=$A67),--($C$14:$C$19&gt;$A67),$E$14:$E$19),D67&lt;T67),1,0)</f>
        <v>0.0</v>
      </c>
      <c r="AC67" s="33">
        <f>IF(OR(M67&lt;SUMPRODUCT($H$14:$H$19,--($B$14:$B$19&lt;=$A67),--($C$14:$C$19&gt;$A67),$E$14:$E$19),E67&lt;U67),1,0)</f>
        <v>0.0</v>
      </c>
      <c r="AD67" s="33">
        <f>IF(OR(N67&lt;SUMPRODUCT($I$14:$I$19,--($B$14:$B$19&lt;=$A67),--($C$14:$C$19&gt;$A67),$E$14:$E$19),F67&lt;V67),1,0)</f>
        <v>0.0</v>
      </c>
      <c r="AE67" s="33">
        <f>IF(OR(O67&lt;SUMPRODUCT($J$14:$J$19,--($B$14:$B$19&lt;=$A67),--($C$14:$C$19&gt;$A67),$E$14:$E$19),G67&lt;W67),1,0)</f>
        <v>0.0</v>
      </c>
      <c r="AF67" s="33">
        <f>IF(OR(P67&lt;SUMPRODUCT($K$14:$K$19,--($B$14:$B$19&lt;=$A67),--($C$14:$C$19&gt;$A67),$E$14:$E$19),H67&lt;X67),1,0)</f>
        <v>0.0</v>
      </c>
      <c r="AG67" s="33">
        <f>IF(OR(Q67&lt;SUMPRODUCT($L$14:$L$19,--($B$14:$B$19&lt;=$A67),--($C$14:$C$19&gt;$A67),$E$14:$E$19),I67&lt;Y67),1,0)</f>
        <v>0.0</v>
      </c>
    </row>
    <row r="68">
      <c r="A68" s="20">
        <f>A67+'Parámetros'!$B$57</f>
        <v>6.0</v>
      </c>
      <c r="B68" s="32">
        <f>IFERROR(A68/'Parámetros'!$B$48,"")</f>
        <v>0.25</v>
      </c>
      <c r="C68" s="33">
        <f>SUMPRODUCT(--($B$23:$B$58=C$63),--($C$23:$C$58&lt;=$A68),--($D$23:$D$58&gt;$A68))+0</f>
        <v>1.0</v>
      </c>
      <c r="D68" s="33">
        <f>SUMPRODUCT(--($B$23:$B$58=D$63),--($C$23:$C$58&lt;=$A68),--($D$23:$D$58&gt;$A68))+0</f>
        <v>1.0</v>
      </c>
      <c r="E68" s="33">
        <f>SUMPRODUCT(--($B$23:$B$58=E$63),--($C$23:$C$58&lt;=$A68),--($D$23:$D$58&gt;$A68))+0</f>
        <v>1.0</v>
      </c>
      <c r="F68" s="33">
        <f>SUMPRODUCT(--($B$23:$B$58=F$63),--($C$23:$C$58&lt;=$A68),--($D$23:$D$58&gt;$A68))+0</f>
        <v>1.0</v>
      </c>
      <c r="G68" s="33">
        <f>SUMPRODUCT(--($B$23:$B$58=G$63),--($C$23:$C$58&lt;=$A68),--($D$23:$D$58&gt;$A68))+0</f>
        <v>1.0</v>
      </c>
      <c r="H68" s="33">
        <f>SUMPRODUCT(--($B$23:$B$58=H$63),--($C$23:$C$58&lt;=$A68),--($D$23:$D$58&gt;$A68))+0</f>
        <v>3.0</v>
      </c>
      <c r="I68" s="33">
        <f>SUMPRODUCT(--($B$23:$B$58=I$63),--($C$23:$C$58&lt;=$A68),--($D$23:$D$58&gt;$A68))+0</f>
        <v>3.0</v>
      </c>
      <c r="K68" s="33">
        <f>SUMPRODUCT(--($B$23:$B$58=C$63),--($C$23:$C$58&lt;=$A68),--($D$23:$D$58&gt;$A68),--($E$23:$E$58="L"))+0</f>
        <v>1.0</v>
      </c>
      <c r="L68" s="33">
        <f>SUMPRODUCT(--($B$23:$B$58=D$63),--($C$23:$C$58&lt;=$A68),--($D$23:$D$58&gt;$A68),--($E$23:$E$58="L"))+0</f>
        <v>1.0</v>
      </c>
      <c r="M68" s="33">
        <f>SUMPRODUCT(--($B$23:$B$58=E$63),--($C$23:$C$58&lt;=$A68),--($D$23:$D$58&gt;$A68),--($E$23:$E$58="L"))+0</f>
        <v>1.0</v>
      </c>
      <c r="N68" s="33">
        <f>SUMPRODUCT(--($B$23:$B$58=F$63),--($C$23:$C$58&lt;=$A68),--($D$23:$D$58&gt;$A68),--($E$23:$E$58="L"))+0</f>
        <v>1.0</v>
      </c>
      <c r="O68" s="33">
        <f>SUMPRODUCT(--($B$23:$B$58=G$63),--($C$23:$C$58&lt;=$A68),--($D$23:$D$58&gt;$A68),--($E$23:$E$58="L"))+0</f>
        <v>1.0</v>
      </c>
      <c r="P68" s="33">
        <f>SUMPRODUCT(--($B$23:$B$58=H$63),--($C$23:$C$58&lt;=$A68),--($D$23:$D$58&gt;$A68),--($E$23:$E$58="L"))+0</f>
        <v>2.0</v>
      </c>
      <c r="Q68" s="33">
        <f>SUMPRODUCT(--($B$23:$B$58=I$63),--($C$23:$C$58&lt;=$A68),--($D$23:$D$58&gt;$A68),--($E$23:$E$58="L"))+0</f>
        <v>2.0</v>
      </c>
      <c r="S68" s="33">
        <f>SUMPRODUCT($F$14:$F$19,--($B$14:$B$19&lt;=$A68),--($C$14:$C$19&gt;$A68),$D$14:$D$19)+0</f>
        <v>0.0</v>
      </c>
      <c r="T68" s="33">
        <f>SUMPRODUCT($G$14:$G$19,--($B$14:$B$19&lt;=$A68),--($C$14:$C$19&gt;$A68),$D$14:$D$19)+0</f>
        <v>0.0</v>
      </c>
      <c r="U68" s="33">
        <f>SUMPRODUCT($H$14:$H$19,--($B$14:$B$19&lt;=$A68),--($C$14:$C$19&gt;$A68),$D$14:$D$19)+0</f>
        <v>0.0</v>
      </c>
      <c r="V68" s="33">
        <f>SUMPRODUCT($I$14:$I$19,--($B$14:$B$19&lt;=$A68),--($C$14:$C$19&gt;$A68),$D$14:$D$19)+0</f>
        <v>0.0</v>
      </c>
      <c r="W68" s="33">
        <f>SUMPRODUCT($J$14:$J$19,--($B$14:$B$19&lt;=$A68),--($C$14:$C$19&gt;$A68),$D$14:$D$19)+0</f>
        <v>0.0</v>
      </c>
      <c r="X68" s="33">
        <f>SUMPRODUCT($K$14:$K$19,--($B$14:$B$19&lt;=$A68),--($C$14:$C$19&gt;$A68),$D$14:$D$19)+0</f>
        <v>3.0</v>
      </c>
      <c r="Y68" s="33">
        <f>SUMPRODUCT($L$14:$L$19,--($B$14:$B$19&lt;=$A68),--($C$14:$C$19&gt;$A68),$D$14:$D$19)+0</f>
        <v>3.0</v>
      </c>
      <c r="AA68" s="33">
        <f>IF(OR(K68&lt;SUMPRODUCT($F$14:$F$19,--($B$14:$B$19&lt;=$A68),--($C$14:$C$19&gt;$A68),$E$14:$E$19),C68&lt;S68),1,0)</f>
        <v>0.0</v>
      </c>
      <c r="AB68" s="33">
        <f>IF(OR(L68&lt;SUMPRODUCT($G$14:$G$19,--($B$14:$B$19&lt;=$A68),--($C$14:$C$19&gt;$A68),$E$14:$E$19),D68&lt;T68),1,0)</f>
        <v>0.0</v>
      </c>
      <c r="AC68" s="33">
        <f>IF(OR(M68&lt;SUMPRODUCT($H$14:$H$19,--($B$14:$B$19&lt;=$A68),--($C$14:$C$19&gt;$A68),$E$14:$E$19),E68&lt;U68),1,0)</f>
        <v>0.0</v>
      </c>
      <c r="AD68" s="33">
        <f>IF(OR(N68&lt;SUMPRODUCT($I$14:$I$19,--($B$14:$B$19&lt;=$A68),--($C$14:$C$19&gt;$A68),$E$14:$E$19),F68&lt;V68),1,0)</f>
        <v>0.0</v>
      </c>
      <c r="AE68" s="33">
        <f>IF(OR(O68&lt;SUMPRODUCT($J$14:$J$19,--($B$14:$B$19&lt;=$A68),--($C$14:$C$19&gt;$A68),$E$14:$E$19),G68&lt;W68),1,0)</f>
        <v>0.0</v>
      </c>
      <c r="AF68" s="33">
        <f>IF(OR(P68&lt;SUMPRODUCT($K$14:$K$19,--($B$14:$B$19&lt;=$A68),--($C$14:$C$19&gt;$A68),$E$14:$E$19),H68&lt;X68),1,0)</f>
        <v>0.0</v>
      </c>
      <c r="AG68" s="33">
        <f>IF(OR(Q68&lt;SUMPRODUCT($L$14:$L$19,--($B$14:$B$19&lt;=$A68),--($C$14:$C$19&gt;$A68),$E$14:$E$19),I68&lt;Y68),1,0)</f>
        <v>0.0</v>
      </c>
    </row>
    <row r="69">
      <c r="A69" s="20">
        <f>A68+'Parámetros'!$B$57</f>
        <v>6.5</v>
      </c>
      <c r="B69" s="32">
        <f>IFERROR(A69/'Parámetros'!$B$48,"")</f>
        <v>0.2708333333333333</v>
      </c>
      <c r="C69" s="33">
        <f>SUMPRODUCT(--($B$23:$B$58=C$63),--($C$23:$C$58&lt;=$A69),--($D$23:$D$58&gt;$A69))+0</f>
        <v>1.0</v>
      </c>
      <c r="D69" s="33">
        <f>SUMPRODUCT(--($B$23:$B$58=D$63),--($C$23:$C$58&lt;=$A69),--($D$23:$D$58&gt;$A69))+0</f>
        <v>1.0</v>
      </c>
      <c r="E69" s="33">
        <f>SUMPRODUCT(--($B$23:$B$58=E$63),--($C$23:$C$58&lt;=$A69),--($D$23:$D$58&gt;$A69))+0</f>
        <v>1.0</v>
      </c>
      <c r="F69" s="33">
        <f>SUMPRODUCT(--($B$23:$B$58=F$63),--($C$23:$C$58&lt;=$A69),--($D$23:$D$58&gt;$A69))+0</f>
        <v>1.0</v>
      </c>
      <c r="G69" s="33">
        <f>SUMPRODUCT(--($B$23:$B$58=G$63),--($C$23:$C$58&lt;=$A69),--($D$23:$D$58&gt;$A69))+0</f>
        <v>1.0</v>
      </c>
      <c r="H69" s="33">
        <f>SUMPRODUCT(--($B$23:$B$58=H$63),--($C$23:$C$58&lt;=$A69),--($D$23:$D$58&gt;$A69))+0</f>
        <v>3.0</v>
      </c>
      <c r="I69" s="33">
        <f>SUMPRODUCT(--($B$23:$B$58=I$63),--($C$23:$C$58&lt;=$A69),--($D$23:$D$58&gt;$A69))+0</f>
        <v>3.0</v>
      </c>
      <c r="K69" s="33">
        <f>SUMPRODUCT(--($B$23:$B$58=C$63),--($C$23:$C$58&lt;=$A69),--($D$23:$D$58&gt;$A69),--($E$23:$E$58="L"))+0</f>
        <v>1.0</v>
      </c>
      <c r="L69" s="33">
        <f>SUMPRODUCT(--($B$23:$B$58=D$63),--($C$23:$C$58&lt;=$A69),--($D$23:$D$58&gt;$A69),--($E$23:$E$58="L"))+0</f>
        <v>1.0</v>
      </c>
      <c r="M69" s="33">
        <f>SUMPRODUCT(--($B$23:$B$58=E$63),--($C$23:$C$58&lt;=$A69),--($D$23:$D$58&gt;$A69),--($E$23:$E$58="L"))+0</f>
        <v>1.0</v>
      </c>
      <c r="N69" s="33">
        <f>SUMPRODUCT(--($B$23:$B$58=F$63),--($C$23:$C$58&lt;=$A69),--($D$23:$D$58&gt;$A69),--($E$23:$E$58="L"))+0</f>
        <v>1.0</v>
      </c>
      <c r="O69" s="33">
        <f>SUMPRODUCT(--($B$23:$B$58=G$63),--($C$23:$C$58&lt;=$A69),--($D$23:$D$58&gt;$A69),--($E$23:$E$58="L"))+0</f>
        <v>1.0</v>
      </c>
      <c r="P69" s="33">
        <f>SUMPRODUCT(--($B$23:$B$58=H$63),--($C$23:$C$58&lt;=$A69),--($D$23:$D$58&gt;$A69),--($E$23:$E$58="L"))+0</f>
        <v>2.0</v>
      </c>
      <c r="Q69" s="33">
        <f>SUMPRODUCT(--($B$23:$B$58=I$63),--($C$23:$C$58&lt;=$A69),--($D$23:$D$58&gt;$A69),--($E$23:$E$58="L"))+0</f>
        <v>2.0</v>
      </c>
      <c r="S69" s="33">
        <f>SUMPRODUCT($F$14:$F$19,--($B$14:$B$19&lt;=$A69),--($C$14:$C$19&gt;$A69),$D$14:$D$19)+0</f>
        <v>0.0</v>
      </c>
      <c r="T69" s="33">
        <f>SUMPRODUCT($G$14:$G$19,--($B$14:$B$19&lt;=$A69),--($C$14:$C$19&gt;$A69),$D$14:$D$19)+0</f>
        <v>0.0</v>
      </c>
      <c r="U69" s="33">
        <f>SUMPRODUCT($H$14:$H$19,--($B$14:$B$19&lt;=$A69),--($C$14:$C$19&gt;$A69),$D$14:$D$19)+0</f>
        <v>0.0</v>
      </c>
      <c r="V69" s="33">
        <f>SUMPRODUCT($I$14:$I$19,--($B$14:$B$19&lt;=$A69),--($C$14:$C$19&gt;$A69),$D$14:$D$19)+0</f>
        <v>0.0</v>
      </c>
      <c r="W69" s="33">
        <f>SUMPRODUCT($J$14:$J$19,--($B$14:$B$19&lt;=$A69),--($C$14:$C$19&gt;$A69),$D$14:$D$19)+0</f>
        <v>0.0</v>
      </c>
      <c r="X69" s="33">
        <f>SUMPRODUCT($K$14:$K$19,--($B$14:$B$19&lt;=$A69),--($C$14:$C$19&gt;$A69),$D$14:$D$19)+0</f>
        <v>3.0</v>
      </c>
      <c r="Y69" s="33">
        <f>SUMPRODUCT($L$14:$L$19,--($B$14:$B$19&lt;=$A69),--($C$14:$C$19&gt;$A69),$D$14:$D$19)+0</f>
        <v>3.0</v>
      </c>
      <c r="AA69" s="33">
        <f>IF(OR(K69&lt;SUMPRODUCT($F$14:$F$19,--($B$14:$B$19&lt;=$A69),--($C$14:$C$19&gt;$A69),$E$14:$E$19),C69&lt;S69),1,0)</f>
        <v>0.0</v>
      </c>
      <c r="AB69" s="33">
        <f>IF(OR(L69&lt;SUMPRODUCT($G$14:$G$19,--($B$14:$B$19&lt;=$A69),--($C$14:$C$19&gt;$A69),$E$14:$E$19),D69&lt;T69),1,0)</f>
        <v>0.0</v>
      </c>
      <c r="AC69" s="33">
        <f>IF(OR(M69&lt;SUMPRODUCT($H$14:$H$19,--($B$14:$B$19&lt;=$A69),--($C$14:$C$19&gt;$A69),$E$14:$E$19),E69&lt;U69),1,0)</f>
        <v>0.0</v>
      </c>
      <c r="AD69" s="33">
        <f>IF(OR(N69&lt;SUMPRODUCT($I$14:$I$19,--($B$14:$B$19&lt;=$A69),--($C$14:$C$19&gt;$A69),$E$14:$E$19),F69&lt;V69),1,0)</f>
        <v>0.0</v>
      </c>
      <c r="AE69" s="33">
        <f>IF(OR(O69&lt;SUMPRODUCT($J$14:$J$19,--($B$14:$B$19&lt;=$A69),--($C$14:$C$19&gt;$A69),$E$14:$E$19),G69&lt;W69),1,0)</f>
        <v>0.0</v>
      </c>
      <c r="AF69" s="33">
        <f>IF(OR(P69&lt;SUMPRODUCT($K$14:$K$19,--($B$14:$B$19&lt;=$A69),--($C$14:$C$19&gt;$A69),$E$14:$E$19),H69&lt;X69),1,0)</f>
        <v>0.0</v>
      </c>
      <c r="AG69" s="33">
        <f>IF(OR(Q69&lt;SUMPRODUCT($L$14:$L$19,--($B$14:$B$19&lt;=$A69),--($C$14:$C$19&gt;$A69),$E$14:$E$19),I69&lt;Y69),1,0)</f>
        <v>0.0</v>
      </c>
    </row>
    <row r="70">
      <c r="A70" s="20">
        <f>A69+'Parámetros'!$B$57</f>
        <v>7.0</v>
      </c>
      <c r="B70" s="32">
        <f>IFERROR(A70/'Parámetros'!$B$48,"")</f>
        <v>0.2916666666666667</v>
      </c>
      <c r="C70" s="33">
        <f>SUMPRODUCT(--($B$23:$B$58=C$63),--($C$23:$C$58&lt;=$A70),--($D$23:$D$58&gt;$A70))+0</f>
        <v>2.0</v>
      </c>
      <c r="D70" s="33">
        <f>SUMPRODUCT(--($B$23:$B$58=D$63),--($C$23:$C$58&lt;=$A70),--($D$23:$D$58&gt;$A70))+0</f>
        <v>2.0</v>
      </c>
      <c r="E70" s="33">
        <f>SUMPRODUCT(--($B$23:$B$58=E$63),--($C$23:$C$58&lt;=$A70),--($D$23:$D$58&gt;$A70))+0</f>
        <v>2.0</v>
      </c>
      <c r="F70" s="33">
        <f>SUMPRODUCT(--($B$23:$B$58=F$63),--($C$23:$C$58&lt;=$A70),--($D$23:$D$58&gt;$A70))+0</f>
        <v>2.0</v>
      </c>
      <c r="G70" s="33">
        <f>SUMPRODUCT(--($B$23:$B$58=G$63),--($C$23:$C$58&lt;=$A70),--($D$23:$D$58&gt;$A70))+0</f>
        <v>2.0</v>
      </c>
      <c r="H70" s="33">
        <f>SUMPRODUCT(--($B$23:$B$58=H$63),--($C$23:$C$58&lt;=$A70),--($D$23:$D$58&gt;$A70))+0</f>
        <v>3.0</v>
      </c>
      <c r="I70" s="33">
        <f>SUMPRODUCT(--($B$23:$B$58=I$63),--($C$23:$C$58&lt;=$A70),--($D$23:$D$58&gt;$A70))+0</f>
        <v>3.0</v>
      </c>
      <c r="K70" s="33">
        <f>SUMPRODUCT(--($B$23:$B$58=C$63),--($C$23:$C$58&lt;=$A70),--($D$23:$D$58&gt;$A70),--($E$23:$E$58="L"))+0</f>
        <v>1.0</v>
      </c>
      <c r="L70" s="33">
        <f>SUMPRODUCT(--($B$23:$B$58=D$63),--($C$23:$C$58&lt;=$A70),--($D$23:$D$58&gt;$A70),--($E$23:$E$58="L"))+0</f>
        <v>1.0</v>
      </c>
      <c r="M70" s="33">
        <f>SUMPRODUCT(--($B$23:$B$58=E$63),--($C$23:$C$58&lt;=$A70),--($D$23:$D$58&gt;$A70),--($E$23:$E$58="L"))+0</f>
        <v>1.0</v>
      </c>
      <c r="N70" s="33">
        <f>SUMPRODUCT(--($B$23:$B$58=F$63),--($C$23:$C$58&lt;=$A70),--($D$23:$D$58&gt;$A70),--($E$23:$E$58="L"))+0</f>
        <v>1.0</v>
      </c>
      <c r="O70" s="33">
        <f>SUMPRODUCT(--($B$23:$B$58=G$63),--($C$23:$C$58&lt;=$A70),--($D$23:$D$58&gt;$A70),--($E$23:$E$58="L"))+0</f>
        <v>1.0</v>
      </c>
      <c r="P70" s="33">
        <f>SUMPRODUCT(--($B$23:$B$58=H$63),--($C$23:$C$58&lt;=$A70),--($D$23:$D$58&gt;$A70),--($E$23:$E$58="L"))+0</f>
        <v>2.0</v>
      </c>
      <c r="Q70" s="33">
        <f>SUMPRODUCT(--($B$23:$B$58=I$63),--($C$23:$C$58&lt;=$A70),--($D$23:$D$58&gt;$A70),--($E$23:$E$58="L"))+0</f>
        <v>2.0</v>
      </c>
      <c r="S70" s="33">
        <f>SUMPRODUCT($F$14:$F$19,--($B$14:$B$19&lt;=$A70),--($C$14:$C$19&gt;$A70),$D$14:$D$19)+0</f>
        <v>2.0</v>
      </c>
      <c r="T70" s="33">
        <f>SUMPRODUCT($G$14:$G$19,--($B$14:$B$19&lt;=$A70),--($C$14:$C$19&gt;$A70),$D$14:$D$19)+0</f>
        <v>2.0</v>
      </c>
      <c r="U70" s="33">
        <f>SUMPRODUCT($H$14:$H$19,--($B$14:$B$19&lt;=$A70),--($C$14:$C$19&gt;$A70),$D$14:$D$19)+0</f>
        <v>2.0</v>
      </c>
      <c r="V70" s="33">
        <f>SUMPRODUCT($I$14:$I$19,--($B$14:$B$19&lt;=$A70),--($C$14:$C$19&gt;$A70),$D$14:$D$19)+0</f>
        <v>2.0</v>
      </c>
      <c r="W70" s="33">
        <f>SUMPRODUCT($J$14:$J$19,--($B$14:$B$19&lt;=$A70),--($C$14:$C$19&gt;$A70),$D$14:$D$19)+0</f>
        <v>2.0</v>
      </c>
      <c r="X70" s="33">
        <f>SUMPRODUCT($K$14:$K$19,--($B$14:$B$19&lt;=$A70),--($C$14:$C$19&gt;$A70),$D$14:$D$19)+0</f>
        <v>3.0</v>
      </c>
      <c r="Y70" s="33">
        <f>SUMPRODUCT($L$14:$L$19,--($B$14:$B$19&lt;=$A70),--($C$14:$C$19&gt;$A70),$D$14:$D$19)+0</f>
        <v>3.0</v>
      </c>
      <c r="AA70" s="33">
        <f>IF(OR(K70&lt;SUMPRODUCT($F$14:$F$19,--($B$14:$B$19&lt;=$A70),--($C$14:$C$19&gt;$A70),$E$14:$E$19),C70&lt;S70),1,0)</f>
        <v>0.0</v>
      </c>
      <c r="AB70" s="33">
        <f>IF(OR(L70&lt;SUMPRODUCT($G$14:$G$19,--($B$14:$B$19&lt;=$A70),--($C$14:$C$19&gt;$A70),$E$14:$E$19),D70&lt;T70),1,0)</f>
        <v>0.0</v>
      </c>
      <c r="AC70" s="33">
        <f>IF(OR(M70&lt;SUMPRODUCT($H$14:$H$19,--($B$14:$B$19&lt;=$A70),--($C$14:$C$19&gt;$A70),$E$14:$E$19),E70&lt;U70),1,0)</f>
        <v>0.0</v>
      </c>
      <c r="AD70" s="33">
        <f>IF(OR(N70&lt;SUMPRODUCT($I$14:$I$19,--($B$14:$B$19&lt;=$A70),--($C$14:$C$19&gt;$A70),$E$14:$E$19),F70&lt;V70),1,0)</f>
        <v>0.0</v>
      </c>
      <c r="AE70" s="33">
        <f>IF(OR(O70&lt;SUMPRODUCT($J$14:$J$19,--($B$14:$B$19&lt;=$A70),--($C$14:$C$19&gt;$A70),$E$14:$E$19),G70&lt;W70),1,0)</f>
        <v>0.0</v>
      </c>
      <c r="AF70" s="33">
        <f>IF(OR(P70&lt;SUMPRODUCT($K$14:$K$19,--($B$14:$B$19&lt;=$A70),--($C$14:$C$19&gt;$A70),$E$14:$E$19),H70&lt;X70),1,0)</f>
        <v>0.0</v>
      </c>
      <c r="AG70" s="33">
        <f>IF(OR(Q70&lt;SUMPRODUCT($L$14:$L$19,--($B$14:$B$19&lt;=$A70),--($C$14:$C$19&gt;$A70),$E$14:$E$19),I70&lt;Y70),1,0)</f>
        <v>0.0</v>
      </c>
    </row>
    <row r="71">
      <c r="A71" s="20">
        <f>A70+'Parámetros'!$B$57</f>
        <v>7.5</v>
      </c>
      <c r="B71" s="32">
        <f>IFERROR(A71/'Parámetros'!$B$48,"")</f>
        <v>0.3125</v>
      </c>
      <c r="C71" s="33">
        <f>SUMPRODUCT(--($B$23:$B$58=C$63),--($C$23:$C$58&lt;=$A71),--($D$23:$D$58&gt;$A71))+0</f>
        <v>2.0</v>
      </c>
      <c r="D71" s="33">
        <f>SUMPRODUCT(--($B$23:$B$58=D$63),--($C$23:$C$58&lt;=$A71),--($D$23:$D$58&gt;$A71))+0</f>
        <v>2.0</v>
      </c>
      <c r="E71" s="33">
        <f>SUMPRODUCT(--($B$23:$B$58=E$63),--($C$23:$C$58&lt;=$A71),--($D$23:$D$58&gt;$A71))+0</f>
        <v>2.0</v>
      </c>
      <c r="F71" s="33">
        <f>SUMPRODUCT(--($B$23:$B$58=F$63),--($C$23:$C$58&lt;=$A71),--($D$23:$D$58&gt;$A71))+0</f>
        <v>2.0</v>
      </c>
      <c r="G71" s="33">
        <f>SUMPRODUCT(--($B$23:$B$58=G$63),--($C$23:$C$58&lt;=$A71),--($D$23:$D$58&gt;$A71))+0</f>
        <v>2.0</v>
      </c>
      <c r="H71" s="33">
        <f>SUMPRODUCT(--($B$23:$B$58=H$63),--($C$23:$C$58&lt;=$A71),--($D$23:$D$58&gt;$A71))+0</f>
        <v>3.0</v>
      </c>
      <c r="I71" s="33">
        <f>SUMPRODUCT(--($B$23:$B$58=I$63),--($C$23:$C$58&lt;=$A71),--($D$23:$D$58&gt;$A71))+0</f>
        <v>3.0</v>
      </c>
      <c r="K71" s="33">
        <f>SUMPRODUCT(--($B$23:$B$58=C$63),--($C$23:$C$58&lt;=$A71),--($D$23:$D$58&gt;$A71),--($E$23:$E$58="L"))+0</f>
        <v>1.0</v>
      </c>
      <c r="L71" s="33">
        <f>SUMPRODUCT(--($B$23:$B$58=D$63),--($C$23:$C$58&lt;=$A71),--($D$23:$D$58&gt;$A71),--($E$23:$E$58="L"))+0</f>
        <v>1.0</v>
      </c>
      <c r="M71" s="33">
        <f>SUMPRODUCT(--($B$23:$B$58=E$63),--($C$23:$C$58&lt;=$A71),--($D$23:$D$58&gt;$A71),--($E$23:$E$58="L"))+0</f>
        <v>1.0</v>
      </c>
      <c r="N71" s="33">
        <f>SUMPRODUCT(--($B$23:$B$58=F$63),--($C$23:$C$58&lt;=$A71),--($D$23:$D$58&gt;$A71),--($E$23:$E$58="L"))+0</f>
        <v>1.0</v>
      </c>
      <c r="O71" s="33">
        <f>SUMPRODUCT(--($B$23:$B$58=G$63),--($C$23:$C$58&lt;=$A71),--($D$23:$D$58&gt;$A71),--($E$23:$E$58="L"))+0</f>
        <v>1.0</v>
      </c>
      <c r="P71" s="33">
        <f>SUMPRODUCT(--($B$23:$B$58=H$63),--($C$23:$C$58&lt;=$A71),--($D$23:$D$58&gt;$A71),--($E$23:$E$58="L"))+0</f>
        <v>2.0</v>
      </c>
      <c r="Q71" s="33">
        <f>SUMPRODUCT(--($B$23:$B$58=I$63),--($C$23:$C$58&lt;=$A71),--($D$23:$D$58&gt;$A71),--($E$23:$E$58="L"))+0</f>
        <v>2.0</v>
      </c>
      <c r="S71" s="33">
        <f>SUMPRODUCT($F$14:$F$19,--($B$14:$B$19&lt;=$A71),--($C$14:$C$19&gt;$A71),$D$14:$D$19)+0</f>
        <v>2.0</v>
      </c>
      <c r="T71" s="33">
        <f>SUMPRODUCT($G$14:$G$19,--($B$14:$B$19&lt;=$A71),--($C$14:$C$19&gt;$A71),$D$14:$D$19)+0</f>
        <v>2.0</v>
      </c>
      <c r="U71" s="33">
        <f>SUMPRODUCT($H$14:$H$19,--($B$14:$B$19&lt;=$A71),--($C$14:$C$19&gt;$A71),$D$14:$D$19)+0</f>
        <v>2.0</v>
      </c>
      <c r="V71" s="33">
        <f>SUMPRODUCT($I$14:$I$19,--($B$14:$B$19&lt;=$A71),--($C$14:$C$19&gt;$A71),$D$14:$D$19)+0</f>
        <v>2.0</v>
      </c>
      <c r="W71" s="33">
        <f>SUMPRODUCT($J$14:$J$19,--($B$14:$B$19&lt;=$A71),--($C$14:$C$19&gt;$A71),$D$14:$D$19)+0</f>
        <v>2.0</v>
      </c>
      <c r="X71" s="33">
        <f>SUMPRODUCT($K$14:$K$19,--($B$14:$B$19&lt;=$A71),--($C$14:$C$19&gt;$A71),$D$14:$D$19)+0</f>
        <v>3.0</v>
      </c>
      <c r="Y71" s="33">
        <f>SUMPRODUCT($L$14:$L$19,--($B$14:$B$19&lt;=$A71),--($C$14:$C$19&gt;$A71),$D$14:$D$19)+0</f>
        <v>3.0</v>
      </c>
      <c r="AA71" s="33">
        <f>IF(OR(K71&lt;SUMPRODUCT($F$14:$F$19,--($B$14:$B$19&lt;=$A71),--($C$14:$C$19&gt;$A71),$E$14:$E$19),C71&lt;S71),1,0)</f>
        <v>0.0</v>
      </c>
      <c r="AB71" s="33">
        <f>IF(OR(L71&lt;SUMPRODUCT($G$14:$G$19,--($B$14:$B$19&lt;=$A71),--($C$14:$C$19&gt;$A71),$E$14:$E$19),D71&lt;T71),1,0)</f>
        <v>0.0</v>
      </c>
      <c r="AC71" s="33">
        <f>IF(OR(M71&lt;SUMPRODUCT($H$14:$H$19,--($B$14:$B$19&lt;=$A71),--($C$14:$C$19&gt;$A71),$E$14:$E$19),E71&lt;U71),1,0)</f>
        <v>0.0</v>
      </c>
      <c r="AD71" s="33">
        <f>IF(OR(N71&lt;SUMPRODUCT($I$14:$I$19,--($B$14:$B$19&lt;=$A71),--($C$14:$C$19&gt;$A71),$E$14:$E$19),F71&lt;V71),1,0)</f>
        <v>0.0</v>
      </c>
      <c r="AE71" s="33">
        <f>IF(OR(O71&lt;SUMPRODUCT($J$14:$J$19,--($B$14:$B$19&lt;=$A71),--($C$14:$C$19&gt;$A71),$E$14:$E$19),G71&lt;W71),1,0)</f>
        <v>0.0</v>
      </c>
      <c r="AF71" s="33">
        <f>IF(OR(P71&lt;SUMPRODUCT($K$14:$K$19,--($B$14:$B$19&lt;=$A71),--($C$14:$C$19&gt;$A71),$E$14:$E$19),H71&lt;X71),1,0)</f>
        <v>0.0</v>
      </c>
      <c r="AG71" s="33">
        <f>IF(OR(Q71&lt;SUMPRODUCT($L$14:$L$19,--($B$14:$B$19&lt;=$A71),--($C$14:$C$19&gt;$A71),$E$14:$E$19),I71&lt;Y71),1,0)</f>
        <v>0.0</v>
      </c>
    </row>
    <row r="72">
      <c r="A72" s="20">
        <f>A71+'Parámetros'!$B$57</f>
        <v>8.0</v>
      </c>
      <c r="B72" s="32">
        <f>IFERROR(A72/'Parámetros'!$B$48,"")</f>
        <v>0.3333333333333333</v>
      </c>
      <c r="C72" s="33">
        <f>SUMPRODUCT(--($B$23:$B$58=C$63),--($C$23:$C$58&lt;=$A72),--($D$23:$D$58&gt;$A72))+0</f>
        <v>2.0</v>
      </c>
      <c r="D72" s="33">
        <f>SUMPRODUCT(--($B$23:$B$58=D$63),--($C$23:$C$58&lt;=$A72),--($D$23:$D$58&gt;$A72))+0</f>
        <v>2.0</v>
      </c>
      <c r="E72" s="33">
        <f>SUMPRODUCT(--($B$23:$B$58=E$63),--($C$23:$C$58&lt;=$A72),--($D$23:$D$58&gt;$A72))+0</f>
        <v>2.0</v>
      </c>
      <c r="F72" s="33">
        <f>SUMPRODUCT(--($B$23:$B$58=F$63),--($C$23:$C$58&lt;=$A72),--($D$23:$D$58&gt;$A72))+0</f>
        <v>2.0</v>
      </c>
      <c r="G72" s="33">
        <f>SUMPRODUCT(--($B$23:$B$58=G$63),--($C$23:$C$58&lt;=$A72),--($D$23:$D$58&gt;$A72))+0</f>
        <v>2.0</v>
      </c>
      <c r="H72" s="33">
        <f>SUMPRODUCT(--($B$23:$B$58=H$63),--($C$23:$C$58&lt;=$A72),--($D$23:$D$58&gt;$A72))+0</f>
        <v>3.0</v>
      </c>
      <c r="I72" s="33">
        <f>SUMPRODUCT(--($B$23:$B$58=I$63),--($C$23:$C$58&lt;=$A72),--($D$23:$D$58&gt;$A72))+0</f>
        <v>3.0</v>
      </c>
      <c r="K72" s="33">
        <f>SUMPRODUCT(--($B$23:$B$58=C$63),--($C$23:$C$58&lt;=$A72),--($D$23:$D$58&gt;$A72),--($E$23:$E$58="L"))+0</f>
        <v>1.0</v>
      </c>
      <c r="L72" s="33">
        <f>SUMPRODUCT(--($B$23:$B$58=D$63),--($C$23:$C$58&lt;=$A72),--($D$23:$D$58&gt;$A72),--($E$23:$E$58="L"))+0</f>
        <v>1.0</v>
      </c>
      <c r="M72" s="33">
        <f>SUMPRODUCT(--($B$23:$B$58=E$63),--($C$23:$C$58&lt;=$A72),--($D$23:$D$58&gt;$A72),--($E$23:$E$58="L"))+0</f>
        <v>1.0</v>
      </c>
      <c r="N72" s="33">
        <f>SUMPRODUCT(--($B$23:$B$58=F$63),--($C$23:$C$58&lt;=$A72),--($D$23:$D$58&gt;$A72),--($E$23:$E$58="L"))+0</f>
        <v>1.0</v>
      </c>
      <c r="O72" s="33">
        <f>SUMPRODUCT(--($B$23:$B$58=G$63),--($C$23:$C$58&lt;=$A72),--($D$23:$D$58&gt;$A72),--($E$23:$E$58="L"))+0</f>
        <v>1.0</v>
      </c>
      <c r="P72" s="33">
        <f>SUMPRODUCT(--($B$23:$B$58=H$63),--($C$23:$C$58&lt;=$A72),--($D$23:$D$58&gt;$A72),--($E$23:$E$58="L"))+0</f>
        <v>2.0</v>
      </c>
      <c r="Q72" s="33">
        <f>SUMPRODUCT(--($B$23:$B$58=I$63),--($C$23:$C$58&lt;=$A72),--($D$23:$D$58&gt;$A72),--($E$23:$E$58="L"))+0</f>
        <v>2.0</v>
      </c>
      <c r="S72" s="33">
        <f>SUMPRODUCT($F$14:$F$19,--($B$14:$B$19&lt;=$A72),--($C$14:$C$19&gt;$A72),$D$14:$D$19)+0</f>
        <v>2.0</v>
      </c>
      <c r="T72" s="33">
        <f>SUMPRODUCT($G$14:$G$19,--($B$14:$B$19&lt;=$A72),--($C$14:$C$19&gt;$A72),$D$14:$D$19)+0</f>
        <v>2.0</v>
      </c>
      <c r="U72" s="33">
        <f>SUMPRODUCT($H$14:$H$19,--($B$14:$B$19&lt;=$A72),--($C$14:$C$19&gt;$A72),$D$14:$D$19)+0</f>
        <v>2.0</v>
      </c>
      <c r="V72" s="33">
        <f>SUMPRODUCT($I$14:$I$19,--($B$14:$B$19&lt;=$A72),--($C$14:$C$19&gt;$A72),$D$14:$D$19)+0</f>
        <v>2.0</v>
      </c>
      <c r="W72" s="33">
        <f>SUMPRODUCT($J$14:$J$19,--($B$14:$B$19&lt;=$A72),--($C$14:$C$19&gt;$A72),$D$14:$D$19)+0</f>
        <v>2.0</v>
      </c>
      <c r="X72" s="33">
        <f>SUMPRODUCT($K$14:$K$19,--($B$14:$B$19&lt;=$A72),--($C$14:$C$19&gt;$A72),$D$14:$D$19)+0</f>
        <v>3.0</v>
      </c>
      <c r="Y72" s="33">
        <f>SUMPRODUCT($L$14:$L$19,--($B$14:$B$19&lt;=$A72),--($C$14:$C$19&gt;$A72),$D$14:$D$19)+0</f>
        <v>3.0</v>
      </c>
      <c r="AA72" s="33">
        <f>IF(OR(K72&lt;SUMPRODUCT($F$14:$F$19,--($B$14:$B$19&lt;=$A72),--($C$14:$C$19&gt;$A72),$E$14:$E$19),C72&lt;S72),1,0)</f>
        <v>0.0</v>
      </c>
      <c r="AB72" s="33">
        <f>IF(OR(L72&lt;SUMPRODUCT($G$14:$G$19,--($B$14:$B$19&lt;=$A72),--($C$14:$C$19&gt;$A72),$E$14:$E$19),D72&lt;T72),1,0)</f>
        <v>0.0</v>
      </c>
      <c r="AC72" s="33">
        <f>IF(OR(M72&lt;SUMPRODUCT($H$14:$H$19,--($B$14:$B$19&lt;=$A72),--($C$14:$C$19&gt;$A72),$E$14:$E$19),E72&lt;U72),1,0)</f>
        <v>0.0</v>
      </c>
      <c r="AD72" s="33">
        <f>IF(OR(N72&lt;SUMPRODUCT($I$14:$I$19,--($B$14:$B$19&lt;=$A72),--($C$14:$C$19&gt;$A72),$E$14:$E$19),F72&lt;V72),1,0)</f>
        <v>0.0</v>
      </c>
      <c r="AE72" s="33">
        <f>IF(OR(O72&lt;SUMPRODUCT($J$14:$J$19,--($B$14:$B$19&lt;=$A72),--($C$14:$C$19&gt;$A72),$E$14:$E$19),G72&lt;W72),1,0)</f>
        <v>0.0</v>
      </c>
      <c r="AF72" s="33">
        <f>IF(OR(P72&lt;SUMPRODUCT($K$14:$K$19,--($B$14:$B$19&lt;=$A72),--($C$14:$C$19&gt;$A72),$E$14:$E$19),H72&lt;X72),1,0)</f>
        <v>0.0</v>
      </c>
      <c r="AG72" s="33">
        <f>IF(OR(Q72&lt;SUMPRODUCT($L$14:$L$19,--($B$14:$B$19&lt;=$A72),--($C$14:$C$19&gt;$A72),$E$14:$E$19),I72&lt;Y72),1,0)</f>
        <v>0.0</v>
      </c>
    </row>
    <row r="73">
      <c r="A73" s="20">
        <f>A72+'Parámetros'!$B$57</f>
        <v>8.5</v>
      </c>
      <c r="B73" s="32">
        <f>IFERROR(A73/'Parámetros'!$B$48,"")</f>
        <v>0.3541666666666667</v>
      </c>
      <c r="C73" s="33">
        <f>SUMPRODUCT(--($B$23:$B$58=C$63),--($C$23:$C$58&lt;=$A73),--($D$23:$D$58&gt;$A73))+0</f>
        <v>2.0</v>
      </c>
      <c r="D73" s="33">
        <f>SUMPRODUCT(--($B$23:$B$58=D$63),--($C$23:$C$58&lt;=$A73),--($D$23:$D$58&gt;$A73))+0</f>
        <v>2.0</v>
      </c>
      <c r="E73" s="33">
        <f>SUMPRODUCT(--($B$23:$B$58=E$63),--($C$23:$C$58&lt;=$A73),--($D$23:$D$58&gt;$A73))+0</f>
        <v>2.0</v>
      </c>
      <c r="F73" s="33">
        <f>SUMPRODUCT(--($B$23:$B$58=F$63),--($C$23:$C$58&lt;=$A73),--($D$23:$D$58&gt;$A73))+0</f>
        <v>2.0</v>
      </c>
      <c r="G73" s="33">
        <f>SUMPRODUCT(--($B$23:$B$58=G$63),--($C$23:$C$58&lt;=$A73),--($D$23:$D$58&gt;$A73))+0</f>
        <v>2.0</v>
      </c>
      <c r="H73" s="33">
        <f>SUMPRODUCT(--($B$23:$B$58=H$63),--($C$23:$C$58&lt;=$A73),--($D$23:$D$58&gt;$A73))+0</f>
        <v>3.0</v>
      </c>
      <c r="I73" s="33">
        <f>SUMPRODUCT(--($B$23:$B$58=I$63),--($C$23:$C$58&lt;=$A73),--($D$23:$D$58&gt;$A73))+0</f>
        <v>3.0</v>
      </c>
      <c r="K73" s="33">
        <f>SUMPRODUCT(--($B$23:$B$58=C$63),--($C$23:$C$58&lt;=$A73),--($D$23:$D$58&gt;$A73),--($E$23:$E$58="L"))+0</f>
        <v>1.0</v>
      </c>
      <c r="L73" s="33">
        <f>SUMPRODUCT(--($B$23:$B$58=D$63),--($C$23:$C$58&lt;=$A73),--($D$23:$D$58&gt;$A73),--($E$23:$E$58="L"))+0</f>
        <v>1.0</v>
      </c>
      <c r="M73" s="33">
        <f>SUMPRODUCT(--($B$23:$B$58=E$63),--($C$23:$C$58&lt;=$A73),--($D$23:$D$58&gt;$A73),--($E$23:$E$58="L"))+0</f>
        <v>1.0</v>
      </c>
      <c r="N73" s="33">
        <f>SUMPRODUCT(--($B$23:$B$58=F$63),--($C$23:$C$58&lt;=$A73),--($D$23:$D$58&gt;$A73),--($E$23:$E$58="L"))+0</f>
        <v>1.0</v>
      </c>
      <c r="O73" s="33">
        <f>SUMPRODUCT(--($B$23:$B$58=G$63),--($C$23:$C$58&lt;=$A73),--($D$23:$D$58&gt;$A73),--($E$23:$E$58="L"))+0</f>
        <v>1.0</v>
      </c>
      <c r="P73" s="33">
        <f>SUMPRODUCT(--($B$23:$B$58=H$63),--($C$23:$C$58&lt;=$A73),--($D$23:$D$58&gt;$A73),--($E$23:$E$58="L"))+0</f>
        <v>2.0</v>
      </c>
      <c r="Q73" s="33">
        <f>SUMPRODUCT(--($B$23:$B$58=I$63),--($C$23:$C$58&lt;=$A73),--($D$23:$D$58&gt;$A73),--($E$23:$E$58="L"))+0</f>
        <v>2.0</v>
      </c>
      <c r="S73" s="33">
        <f>SUMPRODUCT($F$14:$F$19,--($B$14:$B$19&lt;=$A73),--($C$14:$C$19&gt;$A73),$D$14:$D$19)+0</f>
        <v>2.0</v>
      </c>
      <c r="T73" s="33">
        <f>SUMPRODUCT($G$14:$G$19,--($B$14:$B$19&lt;=$A73),--($C$14:$C$19&gt;$A73),$D$14:$D$19)+0</f>
        <v>2.0</v>
      </c>
      <c r="U73" s="33">
        <f>SUMPRODUCT($H$14:$H$19,--($B$14:$B$19&lt;=$A73),--($C$14:$C$19&gt;$A73),$D$14:$D$19)+0</f>
        <v>2.0</v>
      </c>
      <c r="V73" s="33">
        <f>SUMPRODUCT($I$14:$I$19,--($B$14:$B$19&lt;=$A73),--($C$14:$C$19&gt;$A73),$D$14:$D$19)+0</f>
        <v>2.0</v>
      </c>
      <c r="W73" s="33">
        <f>SUMPRODUCT($J$14:$J$19,--($B$14:$B$19&lt;=$A73),--($C$14:$C$19&gt;$A73),$D$14:$D$19)+0</f>
        <v>2.0</v>
      </c>
      <c r="X73" s="33">
        <f>SUMPRODUCT($K$14:$K$19,--($B$14:$B$19&lt;=$A73),--($C$14:$C$19&gt;$A73),$D$14:$D$19)+0</f>
        <v>3.0</v>
      </c>
      <c r="Y73" s="33">
        <f>SUMPRODUCT($L$14:$L$19,--($B$14:$B$19&lt;=$A73),--($C$14:$C$19&gt;$A73),$D$14:$D$19)+0</f>
        <v>3.0</v>
      </c>
      <c r="AA73" s="33">
        <f>IF(OR(K73&lt;SUMPRODUCT($F$14:$F$19,--($B$14:$B$19&lt;=$A73),--($C$14:$C$19&gt;$A73),$E$14:$E$19),C73&lt;S73),1,0)</f>
        <v>0.0</v>
      </c>
      <c r="AB73" s="33">
        <f>IF(OR(L73&lt;SUMPRODUCT($G$14:$G$19,--($B$14:$B$19&lt;=$A73),--($C$14:$C$19&gt;$A73),$E$14:$E$19),D73&lt;T73),1,0)</f>
        <v>0.0</v>
      </c>
      <c r="AC73" s="33">
        <f>IF(OR(M73&lt;SUMPRODUCT($H$14:$H$19,--($B$14:$B$19&lt;=$A73),--($C$14:$C$19&gt;$A73),$E$14:$E$19),E73&lt;U73),1,0)</f>
        <v>0.0</v>
      </c>
      <c r="AD73" s="33">
        <f>IF(OR(N73&lt;SUMPRODUCT($I$14:$I$19,--($B$14:$B$19&lt;=$A73),--($C$14:$C$19&gt;$A73),$E$14:$E$19),F73&lt;V73),1,0)</f>
        <v>0.0</v>
      </c>
      <c r="AE73" s="33">
        <f>IF(OR(O73&lt;SUMPRODUCT($J$14:$J$19,--($B$14:$B$19&lt;=$A73),--($C$14:$C$19&gt;$A73),$E$14:$E$19),G73&lt;W73),1,0)</f>
        <v>0.0</v>
      </c>
      <c r="AF73" s="33">
        <f>IF(OR(P73&lt;SUMPRODUCT($K$14:$K$19,--($B$14:$B$19&lt;=$A73),--($C$14:$C$19&gt;$A73),$E$14:$E$19),H73&lt;X73),1,0)</f>
        <v>0.0</v>
      </c>
      <c r="AG73" s="33">
        <f>IF(OR(Q73&lt;SUMPRODUCT($L$14:$L$19,--($B$14:$B$19&lt;=$A73),--($C$14:$C$19&gt;$A73),$E$14:$E$19),I73&lt;Y73),1,0)</f>
        <v>0.0</v>
      </c>
    </row>
    <row r="74">
      <c r="A74" s="20">
        <f>A73+'Parámetros'!$B$57</f>
        <v>9.0</v>
      </c>
      <c r="B74" s="32">
        <f>IFERROR(A74/'Parámetros'!$B$48,"")</f>
        <v>0.375</v>
      </c>
      <c r="C74" s="33">
        <f>SUMPRODUCT(--($B$23:$B$58=C$63),--($C$23:$C$58&lt;=$A74),--($D$23:$D$58&gt;$A74))+0</f>
        <v>2.0</v>
      </c>
      <c r="D74" s="33">
        <f>SUMPRODUCT(--($B$23:$B$58=D$63),--($C$23:$C$58&lt;=$A74),--($D$23:$D$58&gt;$A74))+0</f>
        <v>2.0</v>
      </c>
      <c r="E74" s="33">
        <f>SUMPRODUCT(--($B$23:$B$58=E$63),--($C$23:$C$58&lt;=$A74),--($D$23:$D$58&gt;$A74))+0</f>
        <v>2.0</v>
      </c>
      <c r="F74" s="33">
        <f>SUMPRODUCT(--($B$23:$B$58=F$63),--($C$23:$C$58&lt;=$A74),--($D$23:$D$58&gt;$A74))+0</f>
        <v>2.0</v>
      </c>
      <c r="G74" s="33">
        <f>SUMPRODUCT(--($B$23:$B$58=G$63),--($C$23:$C$58&lt;=$A74),--($D$23:$D$58&gt;$A74))+0</f>
        <v>2.0</v>
      </c>
      <c r="H74" s="33">
        <f>SUMPRODUCT(--($B$23:$B$58=H$63),--($C$23:$C$58&lt;=$A74),--($D$23:$D$58&gt;$A74))+0</f>
        <v>3.0</v>
      </c>
      <c r="I74" s="33">
        <f>SUMPRODUCT(--($B$23:$B$58=I$63),--($C$23:$C$58&lt;=$A74),--($D$23:$D$58&gt;$A74))+0</f>
        <v>3.0</v>
      </c>
      <c r="K74" s="33">
        <f>SUMPRODUCT(--($B$23:$B$58=C$63),--($C$23:$C$58&lt;=$A74),--($D$23:$D$58&gt;$A74),--($E$23:$E$58="L"))+0</f>
        <v>1.0</v>
      </c>
      <c r="L74" s="33">
        <f>SUMPRODUCT(--($B$23:$B$58=D$63),--($C$23:$C$58&lt;=$A74),--($D$23:$D$58&gt;$A74),--($E$23:$E$58="L"))+0</f>
        <v>1.0</v>
      </c>
      <c r="M74" s="33">
        <f>SUMPRODUCT(--($B$23:$B$58=E$63),--($C$23:$C$58&lt;=$A74),--($D$23:$D$58&gt;$A74),--($E$23:$E$58="L"))+0</f>
        <v>1.0</v>
      </c>
      <c r="N74" s="33">
        <f>SUMPRODUCT(--($B$23:$B$58=F$63),--($C$23:$C$58&lt;=$A74),--($D$23:$D$58&gt;$A74),--($E$23:$E$58="L"))+0</f>
        <v>1.0</v>
      </c>
      <c r="O74" s="33">
        <f>SUMPRODUCT(--($B$23:$B$58=G$63),--($C$23:$C$58&lt;=$A74),--($D$23:$D$58&gt;$A74),--($E$23:$E$58="L"))+0</f>
        <v>1.0</v>
      </c>
      <c r="P74" s="33">
        <f>SUMPRODUCT(--($B$23:$B$58=H$63),--($C$23:$C$58&lt;=$A74),--($D$23:$D$58&gt;$A74),--($E$23:$E$58="L"))+0</f>
        <v>2.0</v>
      </c>
      <c r="Q74" s="33">
        <f>SUMPRODUCT(--($B$23:$B$58=I$63),--($C$23:$C$58&lt;=$A74),--($D$23:$D$58&gt;$A74),--($E$23:$E$58="L"))+0</f>
        <v>2.0</v>
      </c>
      <c r="S74" s="33">
        <f>SUMPRODUCT($F$14:$F$19,--($B$14:$B$19&lt;=$A74),--($C$14:$C$19&gt;$A74),$D$14:$D$19)+0</f>
        <v>2.0</v>
      </c>
      <c r="T74" s="33">
        <f>SUMPRODUCT($G$14:$G$19,--($B$14:$B$19&lt;=$A74),--($C$14:$C$19&gt;$A74),$D$14:$D$19)+0</f>
        <v>2.0</v>
      </c>
      <c r="U74" s="33">
        <f>SUMPRODUCT($H$14:$H$19,--($B$14:$B$19&lt;=$A74),--($C$14:$C$19&gt;$A74),$D$14:$D$19)+0</f>
        <v>2.0</v>
      </c>
      <c r="V74" s="33">
        <f>SUMPRODUCT($I$14:$I$19,--($B$14:$B$19&lt;=$A74),--($C$14:$C$19&gt;$A74),$D$14:$D$19)+0</f>
        <v>2.0</v>
      </c>
      <c r="W74" s="33">
        <f>SUMPRODUCT($J$14:$J$19,--($B$14:$B$19&lt;=$A74),--($C$14:$C$19&gt;$A74),$D$14:$D$19)+0</f>
        <v>2.0</v>
      </c>
      <c r="X74" s="33">
        <f>SUMPRODUCT($K$14:$K$19,--($B$14:$B$19&lt;=$A74),--($C$14:$C$19&gt;$A74),$D$14:$D$19)+0</f>
        <v>3.0</v>
      </c>
      <c r="Y74" s="33">
        <f>SUMPRODUCT($L$14:$L$19,--($B$14:$B$19&lt;=$A74),--($C$14:$C$19&gt;$A74),$D$14:$D$19)+0</f>
        <v>3.0</v>
      </c>
      <c r="AA74" s="33">
        <f>IF(OR(K74&lt;SUMPRODUCT($F$14:$F$19,--($B$14:$B$19&lt;=$A74),--($C$14:$C$19&gt;$A74),$E$14:$E$19),C74&lt;S74),1,0)</f>
        <v>0.0</v>
      </c>
      <c r="AB74" s="33">
        <f>IF(OR(L74&lt;SUMPRODUCT($G$14:$G$19,--($B$14:$B$19&lt;=$A74),--($C$14:$C$19&gt;$A74),$E$14:$E$19),D74&lt;T74),1,0)</f>
        <v>0.0</v>
      </c>
      <c r="AC74" s="33">
        <f>IF(OR(M74&lt;SUMPRODUCT($H$14:$H$19,--($B$14:$B$19&lt;=$A74),--($C$14:$C$19&gt;$A74),$E$14:$E$19),E74&lt;U74),1,0)</f>
        <v>0.0</v>
      </c>
      <c r="AD74" s="33">
        <f>IF(OR(N74&lt;SUMPRODUCT($I$14:$I$19,--($B$14:$B$19&lt;=$A74),--($C$14:$C$19&gt;$A74),$E$14:$E$19),F74&lt;V74),1,0)</f>
        <v>0.0</v>
      </c>
      <c r="AE74" s="33">
        <f>IF(OR(O74&lt;SUMPRODUCT($J$14:$J$19,--($B$14:$B$19&lt;=$A74),--($C$14:$C$19&gt;$A74),$E$14:$E$19),G74&lt;W74),1,0)</f>
        <v>0.0</v>
      </c>
      <c r="AF74" s="33">
        <f>IF(OR(P74&lt;SUMPRODUCT($K$14:$K$19,--($B$14:$B$19&lt;=$A74),--($C$14:$C$19&gt;$A74),$E$14:$E$19),H74&lt;X74),1,0)</f>
        <v>0.0</v>
      </c>
      <c r="AG74" s="33">
        <f>IF(OR(Q74&lt;SUMPRODUCT($L$14:$L$19,--($B$14:$B$19&lt;=$A74),--($C$14:$C$19&gt;$A74),$E$14:$E$19),I74&lt;Y74),1,0)</f>
        <v>0.0</v>
      </c>
    </row>
    <row r="75">
      <c r="A75" s="20">
        <f>A74+'Parámetros'!$B$57</f>
        <v>9.5</v>
      </c>
      <c r="B75" s="32">
        <f>IFERROR(A75/'Parámetros'!$B$48,"")</f>
        <v>0.3958333333333333</v>
      </c>
      <c r="C75" s="33">
        <f>SUMPRODUCT(--($B$23:$B$58=C$63),--($C$23:$C$58&lt;=$A75),--($D$23:$D$58&gt;$A75))+0</f>
        <v>2.0</v>
      </c>
      <c r="D75" s="33">
        <f>SUMPRODUCT(--($B$23:$B$58=D$63),--($C$23:$C$58&lt;=$A75),--($D$23:$D$58&gt;$A75))+0</f>
        <v>2.0</v>
      </c>
      <c r="E75" s="33">
        <f>SUMPRODUCT(--($B$23:$B$58=E$63),--($C$23:$C$58&lt;=$A75),--($D$23:$D$58&gt;$A75))+0</f>
        <v>2.0</v>
      </c>
      <c r="F75" s="33">
        <f>SUMPRODUCT(--($B$23:$B$58=F$63),--($C$23:$C$58&lt;=$A75),--($D$23:$D$58&gt;$A75))+0</f>
        <v>2.0</v>
      </c>
      <c r="G75" s="33">
        <f>SUMPRODUCT(--($B$23:$B$58=G$63),--($C$23:$C$58&lt;=$A75),--($D$23:$D$58&gt;$A75))+0</f>
        <v>2.0</v>
      </c>
      <c r="H75" s="33">
        <f>SUMPRODUCT(--($B$23:$B$58=H$63),--($C$23:$C$58&lt;=$A75),--($D$23:$D$58&gt;$A75))+0</f>
        <v>3.0</v>
      </c>
      <c r="I75" s="33">
        <f>SUMPRODUCT(--($B$23:$B$58=I$63),--($C$23:$C$58&lt;=$A75),--($D$23:$D$58&gt;$A75))+0</f>
        <v>3.0</v>
      </c>
      <c r="K75" s="33">
        <f>SUMPRODUCT(--($B$23:$B$58=C$63),--($C$23:$C$58&lt;=$A75),--($D$23:$D$58&gt;$A75),--($E$23:$E$58="L"))+0</f>
        <v>1.0</v>
      </c>
      <c r="L75" s="33">
        <f>SUMPRODUCT(--($B$23:$B$58=D$63),--($C$23:$C$58&lt;=$A75),--($D$23:$D$58&gt;$A75),--($E$23:$E$58="L"))+0</f>
        <v>1.0</v>
      </c>
      <c r="M75" s="33">
        <f>SUMPRODUCT(--($B$23:$B$58=E$63),--($C$23:$C$58&lt;=$A75),--($D$23:$D$58&gt;$A75),--($E$23:$E$58="L"))+0</f>
        <v>1.0</v>
      </c>
      <c r="N75" s="33">
        <f>SUMPRODUCT(--($B$23:$B$58=F$63),--($C$23:$C$58&lt;=$A75),--($D$23:$D$58&gt;$A75),--($E$23:$E$58="L"))+0</f>
        <v>1.0</v>
      </c>
      <c r="O75" s="33">
        <f>SUMPRODUCT(--($B$23:$B$58=G$63),--($C$23:$C$58&lt;=$A75),--($D$23:$D$58&gt;$A75),--($E$23:$E$58="L"))+0</f>
        <v>1.0</v>
      </c>
      <c r="P75" s="33">
        <f>SUMPRODUCT(--($B$23:$B$58=H$63),--($C$23:$C$58&lt;=$A75),--($D$23:$D$58&gt;$A75),--($E$23:$E$58="L"))+0</f>
        <v>2.0</v>
      </c>
      <c r="Q75" s="33">
        <f>SUMPRODUCT(--($B$23:$B$58=I$63),--($C$23:$C$58&lt;=$A75),--($D$23:$D$58&gt;$A75),--($E$23:$E$58="L"))+0</f>
        <v>2.0</v>
      </c>
      <c r="S75" s="33">
        <f>SUMPRODUCT($F$14:$F$19,--($B$14:$B$19&lt;=$A75),--($C$14:$C$19&gt;$A75),$D$14:$D$19)+0</f>
        <v>2.0</v>
      </c>
      <c r="T75" s="33">
        <f>SUMPRODUCT($G$14:$G$19,--($B$14:$B$19&lt;=$A75),--($C$14:$C$19&gt;$A75),$D$14:$D$19)+0</f>
        <v>2.0</v>
      </c>
      <c r="U75" s="33">
        <f>SUMPRODUCT($H$14:$H$19,--($B$14:$B$19&lt;=$A75),--($C$14:$C$19&gt;$A75),$D$14:$D$19)+0</f>
        <v>2.0</v>
      </c>
      <c r="V75" s="33">
        <f>SUMPRODUCT($I$14:$I$19,--($B$14:$B$19&lt;=$A75),--($C$14:$C$19&gt;$A75),$D$14:$D$19)+0</f>
        <v>2.0</v>
      </c>
      <c r="W75" s="33">
        <f>SUMPRODUCT($J$14:$J$19,--($B$14:$B$19&lt;=$A75),--($C$14:$C$19&gt;$A75),$D$14:$D$19)+0</f>
        <v>2.0</v>
      </c>
      <c r="X75" s="33">
        <f>SUMPRODUCT($K$14:$K$19,--($B$14:$B$19&lt;=$A75),--($C$14:$C$19&gt;$A75),$D$14:$D$19)+0</f>
        <v>3.0</v>
      </c>
      <c r="Y75" s="33">
        <f>SUMPRODUCT($L$14:$L$19,--($B$14:$B$19&lt;=$A75),--($C$14:$C$19&gt;$A75),$D$14:$D$19)+0</f>
        <v>3.0</v>
      </c>
      <c r="AA75" s="33">
        <f>IF(OR(K75&lt;SUMPRODUCT($F$14:$F$19,--($B$14:$B$19&lt;=$A75),--($C$14:$C$19&gt;$A75),$E$14:$E$19),C75&lt;S75),1,0)</f>
        <v>0.0</v>
      </c>
      <c r="AB75" s="33">
        <f>IF(OR(L75&lt;SUMPRODUCT($G$14:$G$19,--($B$14:$B$19&lt;=$A75),--($C$14:$C$19&gt;$A75),$E$14:$E$19),D75&lt;T75),1,0)</f>
        <v>0.0</v>
      </c>
      <c r="AC75" s="33">
        <f>IF(OR(M75&lt;SUMPRODUCT($H$14:$H$19,--($B$14:$B$19&lt;=$A75),--($C$14:$C$19&gt;$A75),$E$14:$E$19),E75&lt;U75),1,0)</f>
        <v>0.0</v>
      </c>
      <c r="AD75" s="33">
        <f>IF(OR(N75&lt;SUMPRODUCT($I$14:$I$19,--($B$14:$B$19&lt;=$A75),--($C$14:$C$19&gt;$A75),$E$14:$E$19),F75&lt;V75),1,0)</f>
        <v>0.0</v>
      </c>
      <c r="AE75" s="33">
        <f>IF(OR(O75&lt;SUMPRODUCT($J$14:$J$19,--($B$14:$B$19&lt;=$A75),--($C$14:$C$19&gt;$A75),$E$14:$E$19),G75&lt;W75),1,0)</f>
        <v>0.0</v>
      </c>
      <c r="AF75" s="33">
        <f>IF(OR(P75&lt;SUMPRODUCT($K$14:$K$19,--($B$14:$B$19&lt;=$A75),--($C$14:$C$19&gt;$A75),$E$14:$E$19),H75&lt;X75),1,0)</f>
        <v>0.0</v>
      </c>
      <c r="AG75" s="33">
        <f>IF(OR(Q75&lt;SUMPRODUCT($L$14:$L$19,--($B$14:$B$19&lt;=$A75),--($C$14:$C$19&gt;$A75),$E$14:$E$19),I75&lt;Y75),1,0)</f>
        <v>0.0</v>
      </c>
    </row>
    <row r="76">
      <c r="A76" s="20">
        <f>A75+'Parámetros'!$B$57</f>
        <v>10.0</v>
      </c>
      <c r="B76" s="32">
        <f>IFERROR(A76/'Parámetros'!$B$48,"")</f>
        <v>0.4166666666666667</v>
      </c>
      <c r="C76" s="33">
        <f>SUMPRODUCT(--($B$23:$B$58=C$63),--($C$23:$C$58&lt;=$A76),--($D$23:$D$58&gt;$A76))+0</f>
        <v>2.0</v>
      </c>
      <c r="D76" s="33">
        <f>SUMPRODUCT(--($B$23:$B$58=D$63),--($C$23:$C$58&lt;=$A76),--($D$23:$D$58&gt;$A76))+0</f>
        <v>2.0</v>
      </c>
      <c r="E76" s="33">
        <f>SUMPRODUCT(--($B$23:$B$58=E$63),--($C$23:$C$58&lt;=$A76),--($D$23:$D$58&gt;$A76))+0</f>
        <v>2.0</v>
      </c>
      <c r="F76" s="33">
        <f>SUMPRODUCT(--($B$23:$B$58=F$63),--($C$23:$C$58&lt;=$A76),--($D$23:$D$58&gt;$A76))+0</f>
        <v>2.0</v>
      </c>
      <c r="G76" s="33">
        <f>SUMPRODUCT(--($B$23:$B$58=G$63),--($C$23:$C$58&lt;=$A76),--($D$23:$D$58&gt;$A76))+0</f>
        <v>2.0</v>
      </c>
      <c r="H76" s="33">
        <f>SUMPRODUCT(--($B$23:$B$58=H$63),--($C$23:$C$58&lt;=$A76),--($D$23:$D$58&gt;$A76))+0</f>
        <v>2.0</v>
      </c>
      <c r="I76" s="33">
        <f>SUMPRODUCT(--($B$23:$B$58=I$63),--($C$23:$C$58&lt;=$A76),--($D$23:$D$58&gt;$A76))+0</f>
        <v>2.0</v>
      </c>
      <c r="K76" s="33">
        <f>SUMPRODUCT(--($B$23:$B$58=C$63),--($C$23:$C$58&lt;=$A76),--($D$23:$D$58&gt;$A76),--($E$23:$E$58="L"))+0</f>
        <v>1.0</v>
      </c>
      <c r="L76" s="33">
        <f>SUMPRODUCT(--($B$23:$B$58=D$63),--($C$23:$C$58&lt;=$A76),--($D$23:$D$58&gt;$A76),--($E$23:$E$58="L"))+0</f>
        <v>1.0</v>
      </c>
      <c r="M76" s="33">
        <f>SUMPRODUCT(--($B$23:$B$58=E$63),--($C$23:$C$58&lt;=$A76),--($D$23:$D$58&gt;$A76),--($E$23:$E$58="L"))+0</f>
        <v>1.0</v>
      </c>
      <c r="N76" s="33">
        <f>SUMPRODUCT(--($B$23:$B$58=F$63),--($C$23:$C$58&lt;=$A76),--($D$23:$D$58&gt;$A76),--($E$23:$E$58="L"))+0</f>
        <v>1.0</v>
      </c>
      <c r="O76" s="33">
        <f>SUMPRODUCT(--($B$23:$B$58=G$63),--($C$23:$C$58&lt;=$A76),--($D$23:$D$58&gt;$A76),--($E$23:$E$58="L"))+0</f>
        <v>1.0</v>
      </c>
      <c r="P76" s="33">
        <f>SUMPRODUCT(--($B$23:$B$58=H$63),--($C$23:$C$58&lt;=$A76),--($D$23:$D$58&gt;$A76),--($E$23:$E$58="L"))+0</f>
        <v>1.0</v>
      </c>
      <c r="Q76" s="33">
        <f>SUMPRODUCT(--($B$23:$B$58=I$63),--($C$23:$C$58&lt;=$A76),--($D$23:$D$58&gt;$A76),--($E$23:$E$58="L"))+0</f>
        <v>1.0</v>
      </c>
      <c r="S76" s="33">
        <f>SUMPRODUCT($F$14:$F$19,--($B$14:$B$19&lt;=$A76),--($C$14:$C$19&gt;$A76),$D$14:$D$19)+0</f>
        <v>2.0</v>
      </c>
      <c r="T76" s="33">
        <f>SUMPRODUCT($G$14:$G$19,--($B$14:$B$19&lt;=$A76),--($C$14:$C$19&gt;$A76),$D$14:$D$19)+0</f>
        <v>2.0</v>
      </c>
      <c r="U76" s="33">
        <f>SUMPRODUCT($H$14:$H$19,--($B$14:$B$19&lt;=$A76),--($C$14:$C$19&gt;$A76),$D$14:$D$19)+0</f>
        <v>2.0</v>
      </c>
      <c r="V76" s="33">
        <f>SUMPRODUCT($I$14:$I$19,--($B$14:$B$19&lt;=$A76),--($C$14:$C$19&gt;$A76),$D$14:$D$19)+0</f>
        <v>2.0</v>
      </c>
      <c r="W76" s="33">
        <f>SUMPRODUCT($J$14:$J$19,--($B$14:$B$19&lt;=$A76),--($C$14:$C$19&gt;$A76),$D$14:$D$19)+0</f>
        <v>2.0</v>
      </c>
      <c r="X76" s="33">
        <f>SUMPRODUCT($K$14:$K$19,--($B$14:$B$19&lt;=$A76),--($C$14:$C$19&gt;$A76),$D$14:$D$19)+0</f>
        <v>2.0</v>
      </c>
      <c r="Y76" s="33">
        <f>SUMPRODUCT($L$14:$L$19,--($B$14:$B$19&lt;=$A76),--($C$14:$C$19&gt;$A76),$D$14:$D$19)+0</f>
        <v>2.0</v>
      </c>
      <c r="AA76" s="33">
        <f>IF(OR(K76&lt;SUMPRODUCT($F$14:$F$19,--($B$14:$B$19&lt;=$A76),--($C$14:$C$19&gt;$A76),$E$14:$E$19),C76&lt;S76),1,0)</f>
        <v>0.0</v>
      </c>
      <c r="AB76" s="33">
        <f>IF(OR(L76&lt;SUMPRODUCT($G$14:$G$19,--($B$14:$B$19&lt;=$A76),--($C$14:$C$19&gt;$A76),$E$14:$E$19),D76&lt;T76),1,0)</f>
        <v>0.0</v>
      </c>
      <c r="AC76" s="33">
        <f>IF(OR(M76&lt;SUMPRODUCT($H$14:$H$19,--($B$14:$B$19&lt;=$A76),--($C$14:$C$19&gt;$A76),$E$14:$E$19),E76&lt;U76),1,0)</f>
        <v>0.0</v>
      </c>
      <c r="AD76" s="33">
        <f>IF(OR(N76&lt;SUMPRODUCT($I$14:$I$19,--($B$14:$B$19&lt;=$A76),--($C$14:$C$19&gt;$A76),$E$14:$E$19),F76&lt;V76),1,0)</f>
        <v>0.0</v>
      </c>
      <c r="AE76" s="33">
        <f>IF(OR(O76&lt;SUMPRODUCT($J$14:$J$19,--($B$14:$B$19&lt;=$A76),--($C$14:$C$19&gt;$A76),$E$14:$E$19),G76&lt;W76),1,0)</f>
        <v>0.0</v>
      </c>
      <c r="AF76" s="33">
        <f>IF(OR(P76&lt;SUMPRODUCT($K$14:$K$19,--($B$14:$B$19&lt;=$A76),--($C$14:$C$19&gt;$A76),$E$14:$E$19),H76&lt;X76),1,0)</f>
        <v>0.0</v>
      </c>
      <c r="AG76" s="33">
        <f>IF(OR(Q76&lt;SUMPRODUCT($L$14:$L$19,--($B$14:$B$19&lt;=$A76),--($C$14:$C$19&gt;$A76),$E$14:$E$19),I76&lt;Y76),1,0)</f>
        <v>0.0</v>
      </c>
    </row>
    <row r="77">
      <c r="A77" s="20">
        <f>A76+'Parámetros'!$B$57</f>
        <v>10.5</v>
      </c>
      <c r="B77" s="32">
        <f>IFERROR(A77/'Parámetros'!$B$48,"")</f>
        <v>0.4375</v>
      </c>
      <c r="C77" s="33">
        <f>SUMPRODUCT(--($B$23:$B$58=C$63),--($C$23:$C$58&lt;=$A77),--($D$23:$D$58&gt;$A77))+0</f>
        <v>2.0</v>
      </c>
      <c r="D77" s="33">
        <f>SUMPRODUCT(--($B$23:$B$58=D$63),--($C$23:$C$58&lt;=$A77),--($D$23:$D$58&gt;$A77))+0</f>
        <v>2.0</v>
      </c>
      <c r="E77" s="33">
        <f>SUMPRODUCT(--($B$23:$B$58=E$63),--($C$23:$C$58&lt;=$A77),--($D$23:$D$58&gt;$A77))+0</f>
        <v>2.0</v>
      </c>
      <c r="F77" s="33">
        <f>SUMPRODUCT(--($B$23:$B$58=F$63),--($C$23:$C$58&lt;=$A77),--($D$23:$D$58&gt;$A77))+0</f>
        <v>2.0</v>
      </c>
      <c r="G77" s="33">
        <f>SUMPRODUCT(--($B$23:$B$58=G$63),--($C$23:$C$58&lt;=$A77),--($D$23:$D$58&gt;$A77))+0</f>
        <v>2.0</v>
      </c>
      <c r="H77" s="33">
        <f>SUMPRODUCT(--($B$23:$B$58=H$63),--($C$23:$C$58&lt;=$A77),--($D$23:$D$58&gt;$A77))+0</f>
        <v>2.0</v>
      </c>
      <c r="I77" s="33">
        <f>SUMPRODUCT(--($B$23:$B$58=I$63),--($C$23:$C$58&lt;=$A77),--($D$23:$D$58&gt;$A77))+0</f>
        <v>2.0</v>
      </c>
      <c r="K77" s="33">
        <f>SUMPRODUCT(--($B$23:$B$58=C$63),--($C$23:$C$58&lt;=$A77),--($D$23:$D$58&gt;$A77),--($E$23:$E$58="L"))+0</f>
        <v>1.0</v>
      </c>
      <c r="L77" s="33">
        <f>SUMPRODUCT(--($B$23:$B$58=D$63),--($C$23:$C$58&lt;=$A77),--($D$23:$D$58&gt;$A77),--($E$23:$E$58="L"))+0</f>
        <v>1.0</v>
      </c>
      <c r="M77" s="33">
        <f>SUMPRODUCT(--($B$23:$B$58=E$63),--($C$23:$C$58&lt;=$A77),--($D$23:$D$58&gt;$A77),--($E$23:$E$58="L"))+0</f>
        <v>1.0</v>
      </c>
      <c r="N77" s="33">
        <f>SUMPRODUCT(--($B$23:$B$58=F$63),--($C$23:$C$58&lt;=$A77),--($D$23:$D$58&gt;$A77),--($E$23:$E$58="L"))+0</f>
        <v>1.0</v>
      </c>
      <c r="O77" s="33">
        <f>SUMPRODUCT(--($B$23:$B$58=G$63),--($C$23:$C$58&lt;=$A77),--($D$23:$D$58&gt;$A77),--($E$23:$E$58="L"))+0</f>
        <v>1.0</v>
      </c>
      <c r="P77" s="33">
        <f>SUMPRODUCT(--($B$23:$B$58=H$63),--($C$23:$C$58&lt;=$A77),--($D$23:$D$58&gt;$A77),--($E$23:$E$58="L"))+0</f>
        <v>1.0</v>
      </c>
      <c r="Q77" s="33">
        <f>SUMPRODUCT(--($B$23:$B$58=I$63),--($C$23:$C$58&lt;=$A77),--($D$23:$D$58&gt;$A77),--($E$23:$E$58="L"))+0</f>
        <v>1.0</v>
      </c>
      <c r="S77" s="33">
        <f>SUMPRODUCT($F$14:$F$19,--($B$14:$B$19&lt;=$A77),--($C$14:$C$19&gt;$A77),$D$14:$D$19)+0</f>
        <v>2.0</v>
      </c>
      <c r="T77" s="33">
        <f>SUMPRODUCT($G$14:$G$19,--($B$14:$B$19&lt;=$A77),--($C$14:$C$19&gt;$A77),$D$14:$D$19)+0</f>
        <v>2.0</v>
      </c>
      <c r="U77" s="33">
        <f>SUMPRODUCT($H$14:$H$19,--($B$14:$B$19&lt;=$A77),--($C$14:$C$19&gt;$A77),$D$14:$D$19)+0</f>
        <v>2.0</v>
      </c>
      <c r="V77" s="33">
        <f>SUMPRODUCT($I$14:$I$19,--($B$14:$B$19&lt;=$A77),--($C$14:$C$19&gt;$A77),$D$14:$D$19)+0</f>
        <v>2.0</v>
      </c>
      <c r="W77" s="33">
        <f>SUMPRODUCT($J$14:$J$19,--($B$14:$B$19&lt;=$A77),--($C$14:$C$19&gt;$A77),$D$14:$D$19)+0</f>
        <v>2.0</v>
      </c>
      <c r="X77" s="33">
        <f>SUMPRODUCT($K$14:$K$19,--($B$14:$B$19&lt;=$A77),--($C$14:$C$19&gt;$A77),$D$14:$D$19)+0</f>
        <v>2.0</v>
      </c>
      <c r="Y77" s="33">
        <f>SUMPRODUCT($L$14:$L$19,--($B$14:$B$19&lt;=$A77),--($C$14:$C$19&gt;$A77),$D$14:$D$19)+0</f>
        <v>2.0</v>
      </c>
      <c r="AA77" s="33">
        <f>IF(OR(K77&lt;SUMPRODUCT($F$14:$F$19,--($B$14:$B$19&lt;=$A77),--($C$14:$C$19&gt;$A77),$E$14:$E$19),C77&lt;S77),1,0)</f>
        <v>0.0</v>
      </c>
      <c r="AB77" s="33">
        <f>IF(OR(L77&lt;SUMPRODUCT($G$14:$G$19,--($B$14:$B$19&lt;=$A77),--($C$14:$C$19&gt;$A77),$E$14:$E$19),D77&lt;T77),1,0)</f>
        <v>0.0</v>
      </c>
      <c r="AC77" s="33">
        <f>IF(OR(M77&lt;SUMPRODUCT($H$14:$H$19,--($B$14:$B$19&lt;=$A77),--($C$14:$C$19&gt;$A77),$E$14:$E$19),E77&lt;U77),1,0)</f>
        <v>0.0</v>
      </c>
      <c r="AD77" s="33">
        <f>IF(OR(N77&lt;SUMPRODUCT($I$14:$I$19,--($B$14:$B$19&lt;=$A77),--($C$14:$C$19&gt;$A77),$E$14:$E$19),F77&lt;V77),1,0)</f>
        <v>0.0</v>
      </c>
      <c r="AE77" s="33">
        <f>IF(OR(O77&lt;SUMPRODUCT($J$14:$J$19,--($B$14:$B$19&lt;=$A77),--($C$14:$C$19&gt;$A77),$E$14:$E$19),G77&lt;W77),1,0)</f>
        <v>0.0</v>
      </c>
      <c r="AF77" s="33">
        <f>IF(OR(P77&lt;SUMPRODUCT($K$14:$K$19,--($B$14:$B$19&lt;=$A77),--($C$14:$C$19&gt;$A77),$E$14:$E$19),H77&lt;X77),1,0)</f>
        <v>0.0</v>
      </c>
      <c r="AG77" s="33">
        <f>IF(OR(Q77&lt;SUMPRODUCT($L$14:$L$19,--($B$14:$B$19&lt;=$A77),--($C$14:$C$19&gt;$A77),$E$14:$E$19),I77&lt;Y77),1,0)</f>
        <v>0.0</v>
      </c>
    </row>
    <row r="78">
      <c r="A78" s="20">
        <f>A77+'Parámetros'!$B$57</f>
        <v>11.0</v>
      </c>
      <c r="B78" s="32">
        <f>IFERROR(A78/'Parámetros'!$B$48,"")</f>
        <v>0.4583333333333333</v>
      </c>
      <c r="C78" s="33">
        <f>SUMPRODUCT(--($B$23:$B$58=C$63),--($C$23:$C$58&lt;=$A78),--($D$23:$D$58&gt;$A78))+0</f>
        <v>2.0</v>
      </c>
      <c r="D78" s="33">
        <f>SUMPRODUCT(--($B$23:$B$58=D$63),--($C$23:$C$58&lt;=$A78),--($D$23:$D$58&gt;$A78))+0</f>
        <v>2.0</v>
      </c>
      <c r="E78" s="33">
        <f>SUMPRODUCT(--($B$23:$B$58=E$63),--($C$23:$C$58&lt;=$A78),--($D$23:$D$58&gt;$A78))+0</f>
        <v>2.0</v>
      </c>
      <c r="F78" s="33">
        <f>SUMPRODUCT(--($B$23:$B$58=F$63),--($C$23:$C$58&lt;=$A78),--($D$23:$D$58&gt;$A78))+0</f>
        <v>2.0</v>
      </c>
      <c r="G78" s="33">
        <f>SUMPRODUCT(--($B$23:$B$58=G$63),--($C$23:$C$58&lt;=$A78),--($D$23:$D$58&gt;$A78))+0</f>
        <v>2.0</v>
      </c>
      <c r="H78" s="33">
        <f>SUMPRODUCT(--($B$23:$B$58=H$63),--($C$23:$C$58&lt;=$A78),--($D$23:$D$58&gt;$A78))+0</f>
        <v>2.0</v>
      </c>
      <c r="I78" s="33">
        <f>SUMPRODUCT(--($B$23:$B$58=I$63),--($C$23:$C$58&lt;=$A78),--($D$23:$D$58&gt;$A78))+0</f>
        <v>2.0</v>
      </c>
      <c r="K78" s="33">
        <f>SUMPRODUCT(--($B$23:$B$58=C$63),--($C$23:$C$58&lt;=$A78),--($D$23:$D$58&gt;$A78),--($E$23:$E$58="L"))+0</f>
        <v>1.0</v>
      </c>
      <c r="L78" s="33">
        <f>SUMPRODUCT(--($B$23:$B$58=D$63),--($C$23:$C$58&lt;=$A78),--($D$23:$D$58&gt;$A78),--($E$23:$E$58="L"))+0</f>
        <v>1.0</v>
      </c>
      <c r="M78" s="33">
        <f>SUMPRODUCT(--($B$23:$B$58=E$63),--($C$23:$C$58&lt;=$A78),--($D$23:$D$58&gt;$A78),--($E$23:$E$58="L"))+0</f>
        <v>1.0</v>
      </c>
      <c r="N78" s="33">
        <f>SUMPRODUCT(--($B$23:$B$58=F$63),--($C$23:$C$58&lt;=$A78),--($D$23:$D$58&gt;$A78),--($E$23:$E$58="L"))+0</f>
        <v>1.0</v>
      </c>
      <c r="O78" s="33">
        <f>SUMPRODUCT(--($B$23:$B$58=G$63),--($C$23:$C$58&lt;=$A78),--($D$23:$D$58&gt;$A78),--($E$23:$E$58="L"))+0</f>
        <v>1.0</v>
      </c>
      <c r="P78" s="33">
        <f>SUMPRODUCT(--($B$23:$B$58=H$63),--($C$23:$C$58&lt;=$A78),--($D$23:$D$58&gt;$A78),--($E$23:$E$58="L"))+0</f>
        <v>1.0</v>
      </c>
      <c r="Q78" s="33">
        <f>SUMPRODUCT(--($B$23:$B$58=I$63),--($C$23:$C$58&lt;=$A78),--($D$23:$D$58&gt;$A78),--($E$23:$E$58="L"))+0</f>
        <v>1.0</v>
      </c>
      <c r="S78" s="33">
        <f>SUMPRODUCT($F$14:$F$19,--($B$14:$B$19&lt;=$A78),--($C$14:$C$19&gt;$A78),$D$14:$D$19)+0</f>
        <v>2.0</v>
      </c>
      <c r="T78" s="33">
        <f>SUMPRODUCT($G$14:$G$19,--($B$14:$B$19&lt;=$A78),--($C$14:$C$19&gt;$A78),$D$14:$D$19)+0</f>
        <v>2.0</v>
      </c>
      <c r="U78" s="33">
        <f>SUMPRODUCT($H$14:$H$19,--($B$14:$B$19&lt;=$A78),--($C$14:$C$19&gt;$A78),$D$14:$D$19)+0</f>
        <v>2.0</v>
      </c>
      <c r="V78" s="33">
        <f>SUMPRODUCT($I$14:$I$19,--($B$14:$B$19&lt;=$A78),--($C$14:$C$19&gt;$A78),$D$14:$D$19)+0</f>
        <v>2.0</v>
      </c>
      <c r="W78" s="33">
        <f>SUMPRODUCT($J$14:$J$19,--($B$14:$B$19&lt;=$A78),--($C$14:$C$19&gt;$A78),$D$14:$D$19)+0</f>
        <v>2.0</v>
      </c>
      <c r="X78" s="33">
        <f>SUMPRODUCT($K$14:$K$19,--($B$14:$B$19&lt;=$A78),--($C$14:$C$19&gt;$A78),$D$14:$D$19)+0</f>
        <v>2.0</v>
      </c>
      <c r="Y78" s="33">
        <f>SUMPRODUCT($L$14:$L$19,--($B$14:$B$19&lt;=$A78),--($C$14:$C$19&gt;$A78),$D$14:$D$19)+0</f>
        <v>2.0</v>
      </c>
      <c r="AA78" s="33">
        <f>IF(OR(K78&lt;SUMPRODUCT($F$14:$F$19,--($B$14:$B$19&lt;=$A78),--($C$14:$C$19&gt;$A78),$E$14:$E$19),C78&lt;S78),1,0)</f>
        <v>0.0</v>
      </c>
      <c r="AB78" s="33">
        <f>IF(OR(L78&lt;SUMPRODUCT($G$14:$G$19,--($B$14:$B$19&lt;=$A78),--($C$14:$C$19&gt;$A78),$E$14:$E$19),D78&lt;T78),1,0)</f>
        <v>0.0</v>
      </c>
      <c r="AC78" s="33">
        <f>IF(OR(M78&lt;SUMPRODUCT($H$14:$H$19,--($B$14:$B$19&lt;=$A78),--($C$14:$C$19&gt;$A78),$E$14:$E$19),E78&lt;U78),1,0)</f>
        <v>0.0</v>
      </c>
      <c r="AD78" s="33">
        <f>IF(OR(N78&lt;SUMPRODUCT($I$14:$I$19,--($B$14:$B$19&lt;=$A78),--($C$14:$C$19&gt;$A78),$E$14:$E$19),F78&lt;V78),1,0)</f>
        <v>0.0</v>
      </c>
      <c r="AE78" s="33">
        <f>IF(OR(O78&lt;SUMPRODUCT($J$14:$J$19,--($B$14:$B$19&lt;=$A78),--($C$14:$C$19&gt;$A78),$E$14:$E$19),G78&lt;W78),1,0)</f>
        <v>0.0</v>
      </c>
      <c r="AF78" s="33">
        <f>IF(OR(P78&lt;SUMPRODUCT($K$14:$K$19,--($B$14:$B$19&lt;=$A78),--($C$14:$C$19&gt;$A78),$E$14:$E$19),H78&lt;X78),1,0)</f>
        <v>0.0</v>
      </c>
      <c r="AG78" s="33">
        <f>IF(OR(Q78&lt;SUMPRODUCT($L$14:$L$19,--($B$14:$B$19&lt;=$A78),--($C$14:$C$19&gt;$A78),$E$14:$E$19),I78&lt;Y78),1,0)</f>
        <v>0.0</v>
      </c>
    </row>
    <row r="79">
      <c r="A79" s="20">
        <f>A78+'Parámetros'!$B$57</f>
        <v>11.5</v>
      </c>
      <c r="B79" s="32">
        <f>IFERROR(A79/'Parámetros'!$B$48,"")</f>
        <v>0.4791666666666667</v>
      </c>
      <c r="C79" s="33">
        <f>SUMPRODUCT(--($B$23:$B$58=C$63),--($C$23:$C$58&lt;=$A79),--($D$23:$D$58&gt;$A79))+0</f>
        <v>2.0</v>
      </c>
      <c r="D79" s="33">
        <f>SUMPRODUCT(--($B$23:$B$58=D$63),--($C$23:$C$58&lt;=$A79),--($D$23:$D$58&gt;$A79))+0</f>
        <v>2.0</v>
      </c>
      <c r="E79" s="33">
        <f>SUMPRODUCT(--($B$23:$B$58=E$63),--($C$23:$C$58&lt;=$A79),--($D$23:$D$58&gt;$A79))+0</f>
        <v>2.0</v>
      </c>
      <c r="F79" s="33">
        <f>SUMPRODUCT(--($B$23:$B$58=F$63),--($C$23:$C$58&lt;=$A79),--($D$23:$D$58&gt;$A79))+0</f>
        <v>2.0</v>
      </c>
      <c r="G79" s="33">
        <f>SUMPRODUCT(--($B$23:$B$58=G$63),--($C$23:$C$58&lt;=$A79),--($D$23:$D$58&gt;$A79))+0</f>
        <v>2.0</v>
      </c>
      <c r="H79" s="33">
        <f>SUMPRODUCT(--($B$23:$B$58=H$63),--($C$23:$C$58&lt;=$A79),--($D$23:$D$58&gt;$A79))+0</f>
        <v>2.0</v>
      </c>
      <c r="I79" s="33">
        <f>SUMPRODUCT(--($B$23:$B$58=I$63),--($C$23:$C$58&lt;=$A79),--($D$23:$D$58&gt;$A79))+0</f>
        <v>2.0</v>
      </c>
      <c r="K79" s="33">
        <f>SUMPRODUCT(--($B$23:$B$58=C$63),--($C$23:$C$58&lt;=$A79),--($D$23:$D$58&gt;$A79),--($E$23:$E$58="L"))+0</f>
        <v>1.0</v>
      </c>
      <c r="L79" s="33">
        <f>SUMPRODUCT(--($B$23:$B$58=D$63),--($C$23:$C$58&lt;=$A79),--($D$23:$D$58&gt;$A79),--($E$23:$E$58="L"))+0</f>
        <v>1.0</v>
      </c>
      <c r="M79" s="33">
        <f>SUMPRODUCT(--($B$23:$B$58=E$63),--($C$23:$C$58&lt;=$A79),--($D$23:$D$58&gt;$A79),--($E$23:$E$58="L"))+0</f>
        <v>1.0</v>
      </c>
      <c r="N79" s="33">
        <f>SUMPRODUCT(--($B$23:$B$58=F$63),--($C$23:$C$58&lt;=$A79),--($D$23:$D$58&gt;$A79),--($E$23:$E$58="L"))+0</f>
        <v>1.0</v>
      </c>
      <c r="O79" s="33">
        <f>SUMPRODUCT(--($B$23:$B$58=G$63),--($C$23:$C$58&lt;=$A79),--($D$23:$D$58&gt;$A79),--($E$23:$E$58="L"))+0</f>
        <v>1.0</v>
      </c>
      <c r="P79" s="33">
        <f>SUMPRODUCT(--($B$23:$B$58=H$63),--($C$23:$C$58&lt;=$A79),--($D$23:$D$58&gt;$A79),--($E$23:$E$58="L"))+0</f>
        <v>1.0</v>
      </c>
      <c r="Q79" s="33">
        <f>SUMPRODUCT(--($B$23:$B$58=I$63),--($C$23:$C$58&lt;=$A79),--($D$23:$D$58&gt;$A79),--($E$23:$E$58="L"))+0</f>
        <v>1.0</v>
      </c>
      <c r="S79" s="33">
        <f>SUMPRODUCT($F$14:$F$19,--($B$14:$B$19&lt;=$A79),--($C$14:$C$19&gt;$A79),$D$14:$D$19)+0</f>
        <v>2.0</v>
      </c>
      <c r="T79" s="33">
        <f>SUMPRODUCT($G$14:$G$19,--($B$14:$B$19&lt;=$A79),--($C$14:$C$19&gt;$A79),$D$14:$D$19)+0</f>
        <v>2.0</v>
      </c>
      <c r="U79" s="33">
        <f>SUMPRODUCT($H$14:$H$19,--($B$14:$B$19&lt;=$A79),--($C$14:$C$19&gt;$A79),$D$14:$D$19)+0</f>
        <v>2.0</v>
      </c>
      <c r="V79" s="33">
        <f>SUMPRODUCT($I$14:$I$19,--($B$14:$B$19&lt;=$A79),--($C$14:$C$19&gt;$A79),$D$14:$D$19)+0</f>
        <v>2.0</v>
      </c>
      <c r="W79" s="33">
        <f>SUMPRODUCT($J$14:$J$19,--($B$14:$B$19&lt;=$A79),--($C$14:$C$19&gt;$A79),$D$14:$D$19)+0</f>
        <v>2.0</v>
      </c>
      <c r="X79" s="33">
        <f>SUMPRODUCT($K$14:$K$19,--($B$14:$B$19&lt;=$A79),--($C$14:$C$19&gt;$A79),$D$14:$D$19)+0</f>
        <v>2.0</v>
      </c>
      <c r="Y79" s="33">
        <f>SUMPRODUCT($L$14:$L$19,--($B$14:$B$19&lt;=$A79),--($C$14:$C$19&gt;$A79),$D$14:$D$19)+0</f>
        <v>2.0</v>
      </c>
      <c r="AA79" s="33">
        <f>IF(OR(K79&lt;SUMPRODUCT($F$14:$F$19,--($B$14:$B$19&lt;=$A79),--($C$14:$C$19&gt;$A79),$E$14:$E$19),C79&lt;S79),1,0)</f>
        <v>0.0</v>
      </c>
      <c r="AB79" s="33">
        <f>IF(OR(L79&lt;SUMPRODUCT($G$14:$G$19,--($B$14:$B$19&lt;=$A79),--($C$14:$C$19&gt;$A79),$E$14:$E$19),D79&lt;T79),1,0)</f>
        <v>0.0</v>
      </c>
      <c r="AC79" s="33">
        <f>IF(OR(M79&lt;SUMPRODUCT($H$14:$H$19,--($B$14:$B$19&lt;=$A79),--($C$14:$C$19&gt;$A79),$E$14:$E$19),E79&lt;U79),1,0)</f>
        <v>0.0</v>
      </c>
      <c r="AD79" s="33">
        <f>IF(OR(N79&lt;SUMPRODUCT($I$14:$I$19,--($B$14:$B$19&lt;=$A79),--($C$14:$C$19&gt;$A79),$E$14:$E$19),F79&lt;V79),1,0)</f>
        <v>0.0</v>
      </c>
      <c r="AE79" s="33">
        <f>IF(OR(O79&lt;SUMPRODUCT($J$14:$J$19,--($B$14:$B$19&lt;=$A79),--($C$14:$C$19&gt;$A79),$E$14:$E$19),G79&lt;W79),1,0)</f>
        <v>0.0</v>
      </c>
      <c r="AF79" s="33">
        <f>IF(OR(P79&lt;SUMPRODUCT($K$14:$K$19,--($B$14:$B$19&lt;=$A79),--($C$14:$C$19&gt;$A79),$E$14:$E$19),H79&lt;X79),1,0)</f>
        <v>0.0</v>
      </c>
      <c r="AG79" s="33">
        <f>IF(OR(Q79&lt;SUMPRODUCT($L$14:$L$19,--($B$14:$B$19&lt;=$A79),--($C$14:$C$19&gt;$A79),$E$14:$E$19),I79&lt;Y79),1,0)</f>
        <v>0.0</v>
      </c>
    </row>
    <row r="80">
      <c r="A80" s="20">
        <f>A79+'Parámetros'!$B$57</f>
        <v>12.0</v>
      </c>
      <c r="B80" s="32">
        <f>IFERROR(A80/'Parámetros'!$B$48,"")</f>
        <v>0.5</v>
      </c>
      <c r="C80" s="33">
        <f>SUMPRODUCT(--($B$23:$B$58=C$63),--($C$23:$C$58&lt;=$A80),--($D$23:$D$58&gt;$A80))+0</f>
        <v>2.0</v>
      </c>
      <c r="D80" s="33">
        <f>SUMPRODUCT(--($B$23:$B$58=D$63),--($C$23:$C$58&lt;=$A80),--($D$23:$D$58&gt;$A80))+0</f>
        <v>2.0</v>
      </c>
      <c r="E80" s="33">
        <f>SUMPRODUCT(--($B$23:$B$58=E$63),--($C$23:$C$58&lt;=$A80),--($D$23:$D$58&gt;$A80))+0</f>
        <v>2.0</v>
      </c>
      <c r="F80" s="33">
        <f>SUMPRODUCT(--($B$23:$B$58=F$63),--($C$23:$C$58&lt;=$A80),--($D$23:$D$58&gt;$A80))+0</f>
        <v>2.0</v>
      </c>
      <c r="G80" s="33">
        <f>SUMPRODUCT(--($B$23:$B$58=G$63),--($C$23:$C$58&lt;=$A80),--($D$23:$D$58&gt;$A80))+0</f>
        <v>2.0</v>
      </c>
      <c r="H80" s="33">
        <f>SUMPRODUCT(--($B$23:$B$58=H$63),--($C$23:$C$58&lt;=$A80),--($D$23:$D$58&gt;$A80))+0</f>
        <v>2.0</v>
      </c>
      <c r="I80" s="33">
        <f>SUMPRODUCT(--($B$23:$B$58=I$63),--($C$23:$C$58&lt;=$A80),--($D$23:$D$58&gt;$A80))+0</f>
        <v>2.0</v>
      </c>
      <c r="K80" s="33">
        <f>SUMPRODUCT(--($B$23:$B$58=C$63),--($C$23:$C$58&lt;=$A80),--($D$23:$D$58&gt;$A80),--($E$23:$E$58="L"))+0</f>
        <v>1.0</v>
      </c>
      <c r="L80" s="33">
        <f>SUMPRODUCT(--($B$23:$B$58=D$63),--($C$23:$C$58&lt;=$A80),--($D$23:$D$58&gt;$A80),--($E$23:$E$58="L"))+0</f>
        <v>1.0</v>
      </c>
      <c r="M80" s="33">
        <f>SUMPRODUCT(--($B$23:$B$58=E$63),--($C$23:$C$58&lt;=$A80),--($D$23:$D$58&gt;$A80),--($E$23:$E$58="L"))+0</f>
        <v>1.0</v>
      </c>
      <c r="N80" s="33">
        <f>SUMPRODUCT(--($B$23:$B$58=F$63),--($C$23:$C$58&lt;=$A80),--($D$23:$D$58&gt;$A80),--($E$23:$E$58="L"))+0</f>
        <v>1.0</v>
      </c>
      <c r="O80" s="33">
        <f>SUMPRODUCT(--($B$23:$B$58=G$63),--($C$23:$C$58&lt;=$A80),--($D$23:$D$58&gt;$A80),--($E$23:$E$58="L"))+0</f>
        <v>1.0</v>
      </c>
      <c r="P80" s="33">
        <f>SUMPRODUCT(--($B$23:$B$58=H$63),--($C$23:$C$58&lt;=$A80),--($D$23:$D$58&gt;$A80),--($E$23:$E$58="L"))+0</f>
        <v>1.0</v>
      </c>
      <c r="Q80" s="33">
        <f>SUMPRODUCT(--($B$23:$B$58=I$63),--($C$23:$C$58&lt;=$A80),--($D$23:$D$58&gt;$A80),--($E$23:$E$58="L"))+0</f>
        <v>1.0</v>
      </c>
      <c r="S80" s="33">
        <f>SUMPRODUCT($F$14:$F$19,--($B$14:$B$19&lt;=$A80),--($C$14:$C$19&gt;$A80),$D$14:$D$19)+0</f>
        <v>2.0</v>
      </c>
      <c r="T80" s="33">
        <f>SUMPRODUCT($G$14:$G$19,--($B$14:$B$19&lt;=$A80),--($C$14:$C$19&gt;$A80),$D$14:$D$19)+0</f>
        <v>2.0</v>
      </c>
      <c r="U80" s="33">
        <f>SUMPRODUCT($H$14:$H$19,--($B$14:$B$19&lt;=$A80),--($C$14:$C$19&gt;$A80),$D$14:$D$19)+0</f>
        <v>2.0</v>
      </c>
      <c r="V80" s="33">
        <f>SUMPRODUCT($I$14:$I$19,--($B$14:$B$19&lt;=$A80),--($C$14:$C$19&gt;$A80),$D$14:$D$19)+0</f>
        <v>2.0</v>
      </c>
      <c r="W80" s="33">
        <f>SUMPRODUCT($J$14:$J$19,--($B$14:$B$19&lt;=$A80),--($C$14:$C$19&gt;$A80),$D$14:$D$19)+0</f>
        <v>2.0</v>
      </c>
      <c r="X80" s="33">
        <f>SUMPRODUCT($K$14:$K$19,--($B$14:$B$19&lt;=$A80),--($C$14:$C$19&gt;$A80),$D$14:$D$19)+0</f>
        <v>2.0</v>
      </c>
      <c r="Y80" s="33">
        <f>SUMPRODUCT($L$14:$L$19,--($B$14:$B$19&lt;=$A80),--($C$14:$C$19&gt;$A80),$D$14:$D$19)+0</f>
        <v>2.0</v>
      </c>
      <c r="AA80" s="33">
        <f>IF(OR(K80&lt;SUMPRODUCT($F$14:$F$19,--($B$14:$B$19&lt;=$A80),--($C$14:$C$19&gt;$A80),$E$14:$E$19),C80&lt;S80),1,0)</f>
        <v>0.0</v>
      </c>
      <c r="AB80" s="33">
        <f>IF(OR(L80&lt;SUMPRODUCT($G$14:$G$19,--($B$14:$B$19&lt;=$A80),--($C$14:$C$19&gt;$A80),$E$14:$E$19),D80&lt;T80),1,0)</f>
        <v>0.0</v>
      </c>
      <c r="AC80" s="33">
        <f>IF(OR(M80&lt;SUMPRODUCT($H$14:$H$19,--($B$14:$B$19&lt;=$A80),--($C$14:$C$19&gt;$A80),$E$14:$E$19),E80&lt;U80),1,0)</f>
        <v>0.0</v>
      </c>
      <c r="AD80" s="33">
        <f>IF(OR(N80&lt;SUMPRODUCT($I$14:$I$19,--($B$14:$B$19&lt;=$A80),--($C$14:$C$19&gt;$A80),$E$14:$E$19),F80&lt;V80),1,0)</f>
        <v>0.0</v>
      </c>
      <c r="AE80" s="33">
        <f>IF(OR(O80&lt;SUMPRODUCT($J$14:$J$19,--($B$14:$B$19&lt;=$A80),--($C$14:$C$19&gt;$A80),$E$14:$E$19),G80&lt;W80),1,0)</f>
        <v>0.0</v>
      </c>
      <c r="AF80" s="33">
        <f>IF(OR(P80&lt;SUMPRODUCT($K$14:$K$19,--($B$14:$B$19&lt;=$A80),--($C$14:$C$19&gt;$A80),$E$14:$E$19),H80&lt;X80),1,0)</f>
        <v>0.0</v>
      </c>
      <c r="AG80" s="33">
        <f>IF(OR(Q80&lt;SUMPRODUCT($L$14:$L$19,--($B$14:$B$19&lt;=$A80),--($C$14:$C$19&gt;$A80),$E$14:$E$19),I80&lt;Y80),1,0)</f>
        <v>0.0</v>
      </c>
    </row>
    <row r="81">
      <c r="A81" s="20">
        <f>A80+'Parámetros'!$B$57</f>
        <v>12.5</v>
      </c>
      <c r="B81" s="32">
        <f>IFERROR(A81/'Parámetros'!$B$48,"")</f>
        <v>0.5208333333333334</v>
      </c>
      <c r="C81" s="33">
        <f>SUMPRODUCT(--($B$23:$B$58=C$63),--($C$23:$C$58&lt;=$A81),--($D$23:$D$58&gt;$A81))+0</f>
        <v>2.0</v>
      </c>
      <c r="D81" s="33">
        <f>SUMPRODUCT(--($B$23:$B$58=D$63),--($C$23:$C$58&lt;=$A81),--($D$23:$D$58&gt;$A81))+0</f>
        <v>2.0</v>
      </c>
      <c r="E81" s="33">
        <f>SUMPRODUCT(--($B$23:$B$58=E$63),--($C$23:$C$58&lt;=$A81),--($D$23:$D$58&gt;$A81))+0</f>
        <v>2.0</v>
      </c>
      <c r="F81" s="33">
        <f>SUMPRODUCT(--($B$23:$B$58=F$63),--($C$23:$C$58&lt;=$A81),--($D$23:$D$58&gt;$A81))+0</f>
        <v>2.0</v>
      </c>
      <c r="G81" s="33">
        <f>SUMPRODUCT(--($B$23:$B$58=G$63),--($C$23:$C$58&lt;=$A81),--($D$23:$D$58&gt;$A81))+0</f>
        <v>2.0</v>
      </c>
      <c r="H81" s="33">
        <f>SUMPRODUCT(--($B$23:$B$58=H$63),--($C$23:$C$58&lt;=$A81),--($D$23:$D$58&gt;$A81))+0</f>
        <v>2.0</v>
      </c>
      <c r="I81" s="33">
        <f>SUMPRODUCT(--($B$23:$B$58=I$63),--($C$23:$C$58&lt;=$A81),--($D$23:$D$58&gt;$A81))+0</f>
        <v>2.0</v>
      </c>
      <c r="K81" s="33">
        <f>SUMPRODUCT(--($B$23:$B$58=C$63),--($C$23:$C$58&lt;=$A81),--($D$23:$D$58&gt;$A81),--($E$23:$E$58="L"))+0</f>
        <v>1.0</v>
      </c>
      <c r="L81" s="33">
        <f>SUMPRODUCT(--($B$23:$B$58=D$63),--($C$23:$C$58&lt;=$A81),--($D$23:$D$58&gt;$A81),--($E$23:$E$58="L"))+0</f>
        <v>1.0</v>
      </c>
      <c r="M81" s="33">
        <f>SUMPRODUCT(--($B$23:$B$58=E$63),--($C$23:$C$58&lt;=$A81),--($D$23:$D$58&gt;$A81),--($E$23:$E$58="L"))+0</f>
        <v>1.0</v>
      </c>
      <c r="N81" s="33">
        <f>SUMPRODUCT(--($B$23:$B$58=F$63),--($C$23:$C$58&lt;=$A81),--($D$23:$D$58&gt;$A81),--($E$23:$E$58="L"))+0</f>
        <v>1.0</v>
      </c>
      <c r="O81" s="33">
        <f>SUMPRODUCT(--($B$23:$B$58=G$63),--($C$23:$C$58&lt;=$A81),--($D$23:$D$58&gt;$A81),--($E$23:$E$58="L"))+0</f>
        <v>1.0</v>
      </c>
      <c r="P81" s="33">
        <f>SUMPRODUCT(--($B$23:$B$58=H$63),--($C$23:$C$58&lt;=$A81),--($D$23:$D$58&gt;$A81),--($E$23:$E$58="L"))+0</f>
        <v>1.0</v>
      </c>
      <c r="Q81" s="33">
        <f>SUMPRODUCT(--($B$23:$B$58=I$63),--($C$23:$C$58&lt;=$A81),--($D$23:$D$58&gt;$A81),--($E$23:$E$58="L"))+0</f>
        <v>1.0</v>
      </c>
      <c r="S81" s="33">
        <f>SUMPRODUCT($F$14:$F$19,--($B$14:$B$19&lt;=$A81),--($C$14:$C$19&gt;$A81),$D$14:$D$19)+0</f>
        <v>2.0</v>
      </c>
      <c r="T81" s="33">
        <f>SUMPRODUCT($G$14:$G$19,--($B$14:$B$19&lt;=$A81),--($C$14:$C$19&gt;$A81),$D$14:$D$19)+0</f>
        <v>2.0</v>
      </c>
      <c r="U81" s="33">
        <f>SUMPRODUCT($H$14:$H$19,--($B$14:$B$19&lt;=$A81),--($C$14:$C$19&gt;$A81),$D$14:$D$19)+0</f>
        <v>2.0</v>
      </c>
      <c r="V81" s="33">
        <f>SUMPRODUCT($I$14:$I$19,--($B$14:$B$19&lt;=$A81),--($C$14:$C$19&gt;$A81),$D$14:$D$19)+0</f>
        <v>2.0</v>
      </c>
      <c r="W81" s="33">
        <f>SUMPRODUCT($J$14:$J$19,--($B$14:$B$19&lt;=$A81),--($C$14:$C$19&gt;$A81),$D$14:$D$19)+0</f>
        <v>2.0</v>
      </c>
      <c r="X81" s="33">
        <f>SUMPRODUCT($K$14:$K$19,--($B$14:$B$19&lt;=$A81),--($C$14:$C$19&gt;$A81),$D$14:$D$19)+0</f>
        <v>2.0</v>
      </c>
      <c r="Y81" s="33">
        <f>SUMPRODUCT($L$14:$L$19,--($B$14:$B$19&lt;=$A81),--($C$14:$C$19&gt;$A81),$D$14:$D$19)+0</f>
        <v>2.0</v>
      </c>
      <c r="AA81" s="33">
        <f>IF(OR(K81&lt;SUMPRODUCT($F$14:$F$19,--($B$14:$B$19&lt;=$A81),--($C$14:$C$19&gt;$A81),$E$14:$E$19),C81&lt;S81),1,0)</f>
        <v>0.0</v>
      </c>
      <c r="AB81" s="33">
        <f>IF(OR(L81&lt;SUMPRODUCT($G$14:$G$19,--($B$14:$B$19&lt;=$A81),--($C$14:$C$19&gt;$A81),$E$14:$E$19),D81&lt;T81),1,0)</f>
        <v>0.0</v>
      </c>
      <c r="AC81" s="33">
        <f>IF(OR(M81&lt;SUMPRODUCT($H$14:$H$19,--($B$14:$B$19&lt;=$A81),--($C$14:$C$19&gt;$A81),$E$14:$E$19),E81&lt;U81),1,0)</f>
        <v>0.0</v>
      </c>
      <c r="AD81" s="33">
        <f>IF(OR(N81&lt;SUMPRODUCT($I$14:$I$19,--($B$14:$B$19&lt;=$A81),--($C$14:$C$19&gt;$A81),$E$14:$E$19),F81&lt;V81),1,0)</f>
        <v>0.0</v>
      </c>
      <c r="AE81" s="33">
        <f>IF(OR(O81&lt;SUMPRODUCT($J$14:$J$19,--($B$14:$B$19&lt;=$A81),--($C$14:$C$19&gt;$A81),$E$14:$E$19),G81&lt;W81),1,0)</f>
        <v>0.0</v>
      </c>
      <c r="AF81" s="33">
        <f>IF(OR(P81&lt;SUMPRODUCT($K$14:$K$19,--($B$14:$B$19&lt;=$A81),--($C$14:$C$19&gt;$A81),$E$14:$E$19),H81&lt;X81),1,0)</f>
        <v>0.0</v>
      </c>
      <c r="AG81" s="33">
        <f>IF(OR(Q81&lt;SUMPRODUCT($L$14:$L$19,--($B$14:$B$19&lt;=$A81),--($C$14:$C$19&gt;$A81),$E$14:$E$19),I81&lt;Y81),1,0)</f>
        <v>0.0</v>
      </c>
    </row>
    <row r="82">
      <c r="A82" s="20">
        <f>A81+'Parámetros'!$B$57</f>
        <v>13.0</v>
      </c>
      <c r="B82" s="32">
        <f>IFERROR(A82/'Parámetros'!$B$48,"")</f>
        <v>0.5416666666666666</v>
      </c>
      <c r="C82" s="33">
        <f>SUMPRODUCT(--($B$23:$B$58=C$63),--($C$23:$C$58&lt;=$A82),--($D$23:$D$58&gt;$A82))+0</f>
        <v>1.0</v>
      </c>
      <c r="D82" s="33">
        <f>SUMPRODUCT(--($B$23:$B$58=D$63),--($C$23:$C$58&lt;=$A82),--($D$23:$D$58&gt;$A82))+0</f>
        <v>1.0</v>
      </c>
      <c r="E82" s="33">
        <f>SUMPRODUCT(--($B$23:$B$58=E$63),--($C$23:$C$58&lt;=$A82),--($D$23:$D$58&gt;$A82))+0</f>
        <v>1.0</v>
      </c>
      <c r="F82" s="33">
        <f>SUMPRODUCT(--($B$23:$B$58=F$63),--($C$23:$C$58&lt;=$A82),--($D$23:$D$58&gt;$A82))+0</f>
        <v>1.0</v>
      </c>
      <c r="G82" s="33">
        <f>SUMPRODUCT(--($B$23:$B$58=G$63),--($C$23:$C$58&lt;=$A82),--($D$23:$D$58&gt;$A82))+0</f>
        <v>1.0</v>
      </c>
      <c r="H82" s="33">
        <f>SUMPRODUCT(--($B$23:$B$58=H$63),--($C$23:$C$58&lt;=$A82),--($D$23:$D$58&gt;$A82))+0</f>
        <v>0.0</v>
      </c>
      <c r="I82" s="33">
        <f>SUMPRODUCT(--($B$23:$B$58=I$63),--($C$23:$C$58&lt;=$A82),--($D$23:$D$58&gt;$A82))+0</f>
        <v>0.0</v>
      </c>
      <c r="K82" s="33">
        <f>SUMPRODUCT(--($B$23:$B$58=C$63),--($C$23:$C$58&lt;=$A82),--($D$23:$D$58&gt;$A82),--($E$23:$E$58="L"))+0</f>
        <v>1.0</v>
      </c>
      <c r="L82" s="33">
        <f>SUMPRODUCT(--($B$23:$B$58=D$63),--($C$23:$C$58&lt;=$A82),--($D$23:$D$58&gt;$A82),--($E$23:$E$58="L"))+0</f>
        <v>1.0</v>
      </c>
      <c r="M82" s="33">
        <f>SUMPRODUCT(--($B$23:$B$58=E$63),--($C$23:$C$58&lt;=$A82),--($D$23:$D$58&gt;$A82),--($E$23:$E$58="L"))+0</f>
        <v>1.0</v>
      </c>
      <c r="N82" s="33">
        <f>SUMPRODUCT(--($B$23:$B$58=F$63),--($C$23:$C$58&lt;=$A82),--($D$23:$D$58&gt;$A82),--($E$23:$E$58="L"))+0</f>
        <v>1.0</v>
      </c>
      <c r="O82" s="33">
        <f>SUMPRODUCT(--($B$23:$B$58=G$63),--($C$23:$C$58&lt;=$A82),--($D$23:$D$58&gt;$A82),--($E$23:$E$58="L"))+0</f>
        <v>1.0</v>
      </c>
      <c r="P82" s="33">
        <f>SUMPRODUCT(--($B$23:$B$58=H$63),--($C$23:$C$58&lt;=$A82),--($D$23:$D$58&gt;$A82),--($E$23:$E$58="L"))+0</f>
        <v>0.0</v>
      </c>
      <c r="Q82" s="33">
        <f>SUMPRODUCT(--($B$23:$B$58=I$63),--($C$23:$C$58&lt;=$A82),--($D$23:$D$58&gt;$A82),--($E$23:$E$58="L"))+0</f>
        <v>0.0</v>
      </c>
      <c r="S82" s="33">
        <f>SUMPRODUCT($F$14:$F$19,--($B$14:$B$19&lt;=$A82),--($C$14:$C$19&gt;$A82),$D$14:$D$19)+0</f>
        <v>0.0</v>
      </c>
      <c r="T82" s="33">
        <f>SUMPRODUCT($G$14:$G$19,--($B$14:$B$19&lt;=$A82),--($C$14:$C$19&gt;$A82),$D$14:$D$19)+0</f>
        <v>0.0</v>
      </c>
      <c r="U82" s="33">
        <f>SUMPRODUCT($H$14:$H$19,--($B$14:$B$19&lt;=$A82),--($C$14:$C$19&gt;$A82),$D$14:$D$19)+0</f>
        <v>0.0</v>
      </c>
      <c r="V82" s="33">
        <f>SUMPRODUCT($I$14:$I$19,--($B$14:$B$19&lt;=$A82),--($C$14:$C$19&gt;$A82),$D$14:$D$19)+0</f>
        <v>0.0</v>
      </c>
      <c r="W82" s="33">
        <f>SUMPRODUCT($J$14:$J$19,--($B$14:$B$19&lt;=$A82),--($C$14:$C$19&gt;$A82),$D$14:$D$19)+0</f>
        <v>0.0</v>
      </c>
      <c r="X82" s="33">
        <f>SUMPRODUCT($K$14:$K$19,--($B$14:$B$19&lt;=$A82),--($C$14:$C$19&gt;$A82),$D$14:$D$19)+0</f>
        <v>0.0</v>
      </c>
      <c r="Y82" s="33">
        <f>SUMPRODUCT($L$14:$L$19,--($B$14:$B$19&lt;=$A82),--($C$14:$C$19&gt;$A82),$D$14:$D$19)+0</f>
        <v>0.0</v>
      </c>
      <c r="AA82" s="33">
        <f>IF(OR(K82&lt;SUMPRODUCT($F$14:$F$19,--($B$14:$B$19&lt;=$A82),--($C$14:$C$19&gt;$A82),$E$14:$E$19),C82&lt;S82),1,0)</f>
        <v>0.0</v>
      </c>
      <c r="AB82" s="33">
        <f>IF(OR(L82&lt;SUMPRODUCT($G$14:$G$19,--($B$14:$B$19&lt;=$A82),--($C$14:$C$19&gt;$A82),$E$14:$E$19),D82&lt;T82),1,0)</f>
        <v>0.0</v>
      </c>
      <c r="AC82" s="33">
        <f>IF(OR(M82&lt;SUMPRODUCT($H$14:$H$19,--($B$14:$B$19&lt;=$A82),--($C$14:$C$19&gt;$A82),$E$14:$E$19),E82&lt;U82),1,0)</f>
        <v>0.0</v>
      </c>
      <c r="AD82" s="33">
        <f>IF(OR(N82&lt;SUMPRODUCT($I$14:$I$19,--($B$14:$B$19&lt;=$A82),--($C$14:$C$19&gt;$A82),$E$14:$E$19),F82&lt;V82),1,0)</f>
        <v>0.0</v>
      </c>
      <c r="AE82" s="33">
        <f>IF(OR(O82&lt;SUMPRODUCT($J$14:$J$19,--($B$14:$B$19&lt;=$A82),--($C$14:$C$19&gt;$A82),$E$14:$E$19),G82&lt;W82),1,0)</f>
        <v>0.0</v>
      </c>
      <c r="AF82" s="33">
        <f>IF(OR(P82&lt;SUMPRODUCT($K$14:$K$19,--($B$14:$B$19&lt;=$A82),--($C$14:$C$19&gt;$A82),$E$14:$E$19),H82&lt;X82),1,0)</f>
        <v>0.0</v>
      </c>
      <c r="AG82" s="33">
        <f>IF(OR(Q82&lt;SUMPRODUCT($L$14:$L$19,--($B$14:$B$19&lt;=$A82),--($C$14:$C$19&gt;$A82),$E$14:$E$19),I82&lt;Y82),1,0)</f>
        <v>0.0</v>
      </c>
    </row>
    <row r="83">
      <c r="A83" s="20">
        <f>A82+'Parámetros'!$B$57</f>
        <v>13.5</v>
      </c>
      <c r="B83" s="32">
        <f>IFERROR(A83/'Parámetros'!$B$48,"")</f>
        <v>0.5625</v>
      </c>
      <c r="C83" s="33">
        <f>SUMPRODUCT(--($B$23:$B$58=C$63),--($C$23:$C$58&lt;=$A83),--($D$23:$D$58&gt;$A83))+0</f>
        <v>1.0</v>
      </c>
      <c r="D83" s="33">
        <f>SUMPRODUCT(--($B$23:$B$58=D$63),--($C$23:$C$58&lt;=$A83),--($D$23:$D$58&gt;$A83))+0</f>
        <v>1.0</v>
      </c>
      <c r="E83" s="33">
        <f>SUMPRODUCT(--($B$23:$B$58=E$63),--($C$23:$C$58&lt;=$A83),--($D$23:$D$58&gt;$A83))+0</f>
        <v>1.0</v>
      </c>
      <c r="F83" s="33">
        <f>SUMPRODUCT(--($B$23:$B$58=F$63),--($C$23:$C$58&lt;=$A83),--($D$23:$D$58&gt;$A83))+0</f>
        <v>1.0</v>
      </c>
      <c r="G83" s="33">
        <f>SUMPRODUCT(--($B$23:$B$58=G$63),--($C$23:$C$58&lt;=$A83),--($D$23:$D$58&gt;$A83))+0</f>
        <v>1.0</v>
      </c>
      <c r="H83" s="33">
        <f>SUMPRODUCT(--($B$23:$B$58=H$63),--($C$23:$C$58&lt;=$A83),--($D$23:$D$58&gt;$A83))+0</f>
        <v>0.0</v>
      </c>
      <c r="I83" s="33">
        <f>SUMPRODUCT(--($B$23:$B$58=I$63),--($C$23:$C$58&lt;=$A83),--($D$23:$D$58&gt;$A83))+0</f>
        <v>0.0</v>
      </c>
      <c r="K83" s="33">
        <f>SUMPRODUCT(--($B$23:$B$58=C$63),--($C$23:$C$58&lt;=$A83),--($D$23:$D$58&gt;$A83),--($E$23:$E$58="L"))+0</f>
        <v>1.0</v>
      </c>
      <c r="L83" s="33">
        <f>SUMPRODUCT(--($B$23:$B$58=D$63),--($C$23:$C$58&lt;=$A83),--($D$23:$D$58&gt;$A83),--($E$23:$E$58="L"))+0</f>
        <v>1.0</v>
      </c>
      <c r="M83" s="33">
        <f>SUMPRODUCT(--($B$23:$B$58=E$63),--($C$23:$C$58&lt;=$A83),--($D$23:$D$58&gt;$A83),--($E$23:$E$58="L"))+0</f>
        <v>1.0</v>
      </c>
      <c r="N83" s="33">
        <f>SUMPRODUCT(--($B$23:$B$58=F$63),--($C$23:$C$58&lt;=$A83),--($D$23:$D$58&gt;$A83),--($E$23:$E$58="L"))+0</f>
        <v>1.0</v>
      </c>
      <c r="O83" s="33">
        <f>SUMPRODUCT(--($B$23:$B$58=G$63),--($C$23:$C$58&lt;=$A83),--($D$23:$D$58&gt;$A83),--($E$23:$E$58="L"))+0</f>
        <v>1.0</v>
      </c>
      <c r="P83" s="33">
        <f>SUMPRODUCT(--($B$23:$B$58=H$63),--($C$23:$C$58&lt;=$A83),--($D$23:$D$58&gt;$A83),--($E$23:$E$58="L"))+0</f>
        <v>0.0</v>
      </c>
      <c r="Q83" s="33">
        <f>SUMPRODUCT(--($B$23:$B$58=I$63),--($C$23:$C$58&lt;=$A83),--($D$23:$D$58&gt;$A83),--($E$23:$E$58="L"))+0</f>
        <v>0.0</v>
      </c>
      <c r="S83" s="33">
        <f>SUMPRODUCT($F$14:$F$19,--($B$14:$B$19&lt;=$A83),--($C$14:$C$19&gt;$A83),$D$14:$D$19)+0</f>
        <v>0.0</v>
      </c>
      <c r="T83" s="33">
        <f>SUMPRODUCT($G$14:$G$19,--($B$14:$B$19&lt;=$A83),--($C$14:$C$19&gt;$A83),$D$14:$D$19)+0</f>
        <v>0.0</v>
      </c>
      <c r="U83" s="33">
        <f>SUMPRODUCT($H$14:$H$19,--($B$14:$B$19&lt;=$A83),--($C$14:$C$19&gt;$A83),$D$14:$D$19)+0</f>
        <v>0.0</v>
      </c>
      <c r="V83" s="33">
        <f>SUMPRODUCT($I$14:$I$19,--($B$14:$B$19&lt;=$A83),--($C$14:$C$19&gt;$A83),$D$14:$D$19)+0</f>
        <v>0.0</v>
      </c>
      <c r="W83" s="33">
        <f>SUMPRODUCT($J$14:$J$19,--($B$14:$B$19&lt;=$A83),--($C$14:$C$19&gt;$A83),$D$14:$D$19)+0</f>
        <v>0.0</v>
      </c>
      <c r="X83" s="33">
        <f>SUMPRODUCT($K$14:$K$19,--($B$14:$B$19&lt;=$A83),--($C$14:$C$19&gt;$A83),$D$14:$D$19)+0</f>
        <v>0.0</v>
      </c>
      <c r="Y83" s="33">
        <f>SUMPRODUCT($L$14:$L$19,--($B$14:$B$19&lt;=$A83),--($C$14:$C$19&gt;$A83),$D$14:$D$19)+0</f>
        <v>0.0</v>
      </c>
      <c r="AA83" s="33">
        <f>IF(OR(K83&lt;SUMPRODUCT($F$14:$F$19,--($B$14:$B$19&lt;=$A83),--($C$14:$C$19&gt;$A83),$E$14:$E$19),C83&lt;S83),1,0)</f>
        <v>0.0</v>
      </c>
      <c r="AB83" s="33">
        <f>IF(OR(L83&lt;SUMPRODUCT($G$14:$G$19,--($B$14:$B$19&lt;=$A83),--($C$14:$C$19&gt;$A83),$E$14:$E$19),D83&lt;T83),1,0)</f>
        <v>0.0</v>
      </c>
      <c r="AC83" s="33">
        <f>IF(OR(M83&lt;SUMPRODUCT($H$14:$H$19,--($B$14:$B$19&lt;=$A83),--($C$14:$C$19&gt;$A83),$E$14:$E$19),E83&lt;U83),1,0)</f>
        <v>0.0</v>
      </c>
      <c r="AD83" s="33">
        <f>IF(OR(N83&lt;SUMPRODUCT($I$14:$I$19,--($B$14:$B$19&lt;=$A83),--($C$14:$C$19&gt;$A83),$E$14:$E$19),F83&lt;V83),1,0)</f>
        <v>0.0</v>
      </c>
      <c r="AE83" s="33">
        <f>IF(OR(O83&lt;SUMPRODUCT($J$14:$J$19,--($B$14:$B$19&lt;=$A83),--($C$14:$C$19&gt;$A83),$E$14:$E$19),G83&lt;W83),1,0)</f>
        <v>0.0</v>
      </c>
      <c r="AF83" s="33">
        <f>IF(OR(P83&lt;SUMPRODUCT($K$14:$K$19,--($B$14:$B$19&lt;=$A83),--($C$14:$C$19&gt;$A83),$E$14:$E$19),H83&lt;X83),1,0)</f>
        <v>0.0</v>
      </c>
      <c r="AG83" s="33">
        <f>IF(OR(Q83&lt;SUMPRODUCT($L$14:$L$19,--($B$14:$B$19&lt;=$A83),--($C$14:$C$19&gt;$A83),$E$14:$E$19),I83&lt;Y83),1,0)</f>
        <v>0.0</v>
      </c>
    </row>
    <row r="84">
      <c r="A84" s="20">
        <f>A83+'Parámetros'!$B$57</f>
        <v>14.0</v>
      </c>
      <c r="B84" s="32">
        <f>IFERROR(A84/'Parámetros'!$B$48,"")</f>
        <v>0.5833333333333334</v>
      </c>
      <c r="C84" s="33">
        <f>SUMPRODUCT(--($B$23:$B$58=C$63),--($C$23:$C$58&lt;=$A84),--($D$23:$D$58&gt;$A84))+0</f>
        <v>0.0</v>
      </c>
      <c r="D84" s="33">
        <f>SUMPRODUCT(--($B$23:$B$58=D$63),--($C$23:$C$58&lt;=$A84),--($D$23:$D$58&gt;$A84))+0</f>
        <v>0.0</v>
      </c>
      <c r="E84" s="33">
        <f>SUMPRODUCT(--($B$23:$B$58=E$63),--($C$23:$C$58&lt;=$A84),--($D$23:$D$58&gt;$A84))+0</f>
        <v>0.0</v>
      </c>
      <c r="F84" s="33">
        <f>SUMPRODUCT(--($B$23:$B$58=F$63),--($C$23:$C$58&lt;=$A84),--($D$23:$D$58&gt;$A84))+0</f>
        <v>0.0</v>
      </c>
      <c r="G84" s="33">
        <f>SUMPRODUCT(--($B$23:$B$58=G$63),--($C$23:$C$58&lt;=$A84),--($D$23:$D$58&gt;$A84))+0</f>
        <v>0.0</v>
      </c>
      <c r="H84" s="33">
        <f>SUMPRODUCT(--($B$23:$B$58=H$63),--($C$23:$C$58&lt;=$A84),--($D$23:$D$58&gt;$A84))+0</f>
        <v>0.0</v>
      </c>
      <c r="I84" s="33">
        <f>SUMPRODUCT(--($B$23:$B$58=I$63),--($C$23:$C$58&lt;=$A84),--($D$23:$D$58&gt;$A84))+0</f>
        <v>0.0</v>
      </c>
      <c r="K84" s="33">
        <f>SUMPRODUCT(--($B$23:$B$58=C$63),--($C$23:$C$58&lt;=$A84),--($D$23:$D$58&gt;$A84),--($E$23:$E$58="L"))+0</f>
        <v>0.0</v>
      </c>
      <c r="L84" s="33">
        <f>SUMPRODUCT(--($B$23:$B$58=D$63),--($C$23:$C$58&lt;=$A84),--($D$23:$D$58&gt;$A84),--($E$23:$E$58="L"))+0</f>
        <v>0.0</v>
      </c>
      <c r="M84" s="33">
        <f>SUMPRODUCT(--($B$23:$B$58=E$63),--($C$23:$C$58&lt;=$A84),--($D$23:$D$58&gt;$A84),--($E$23:$E$58="L"))+0</f>
        <v>0.0</v>
      </c>
      <c r="N84" s="33">
        <f>SUMPRODUCT(--($B$23:$B$58=F$63),--($C$23:$C$58&lt;=$A84),--($D$23:$D$58&gt;$A84),--($E$23:$E$58="L"))+0</f>
        <v>0.0</v>
      </c>
      <c r="O84" s="33">
        <f>SUMPRODUCT(--($B$23:$B$58=G$63),--($C$23:$C$58&lt;=$A84),--($D$23:$D$58&gt;$A84),--($E$23:$E$58="L"))+0</f>
        <v>0.0</v>
      </c>
      <c r="P84" s="33">
        <f>SUMPRODUCT(--($B$23:$B$58=H$63),--($C$23:$C$58&lt;=$A84),--($D$23:$D$58&gt;$A84),--($E$23:$E$58="L"))+0</f>
        <v>0.0</v>
      </c>
      <c r="Q84" s="33">
        <f>SUMPRODUCT(--($B$23:$B$58=I$63),--($C$23:$C$58&lt;=$A84),--($D$23:$D$58&gt;$A84),--($E$23:$E$58="L"))+0</f>
        <v>0.0</v>
      </c>
      <c r="S84" s="33">
        <f>SUMPRODUCT($F$14:$F$19,--($B$14:$B$19&lt;=$A84),--($C$14:$C$19&gt;$A84),$D$14:$D$19)+0</f>
        <v>0.0</v>
      </c>
      <c r="T84" s="33">
        <f>SUMPRODUCT($G$14:$G$19,--($B$14:$B$19&lt;=$A84),--($C$14:$C$19&gt;$A84),$D$14:$D$19)+0</f>
        <v>0.0</v>
      </c>
      <c r="U84" s="33">
        <f>SUMPRODUCT($H$14:$H$19,--($B$14:$B$19&lt;=$A84),--($C$14:$C$19&gt;$A84),$D$14:$D$19)+0</f>
        <v>0.0</v>
      </c>
      <c r="V84" s="33">
        <f>SUMPRODUCT($I$14:$I$19,--($B$14:$B$19&lt;=$A84),--($C$14:$C$19&gt;$A84),$D$14:$D$19)+0</f>
        <v>0.0</v>
      </c>
      <c r="W84" s="33">
        <f>SUMPRODUCT($J$14:$J$19,--($B$14:$B$19&lt;=$A84),--($C$14:$C$19&gt;$A84),$D$14:$D$19)+0</f>
        <v>0.0</v>
      </c>
      <c r="X84" s="33">
        <f>SUMPRODUCT($K$14:$K$19,--($B$14:$B$19&lt;=$A84),--($C$14:$C$19&gt;$A84),$D$14:$D$19)+0</f>
        <v>0.0</v>
      </c>
      <c r="Y84" s="33">
        <f>SUMPRODUCT($L$14:$L$19,--($B$14:$B$19&lt;=$A84),--($C$14:$C$19&gt;$A84),$D$14:$D$19)+0</f>
        <v>0.0</v>
      </c>
      <c r="AA84" s="33">
        <f>IF(OR(K84&lt;SUMPRODUCT($F$14:$F$19,--($B$14:$B$19&lt;=$A84),--($C$14:$C$19&gt;$A84),$E$14:$E$19),C84&lt;S84),1,0)</f>
        <v>0.0</v>
      </c>
      <c r="AB84" s="33">
        <f>IF(OR(L84&lt;SUMPRODUCT($G$14:$G$19,--($B$14:$B$19&lt;=$A84),--($C$14:$C$19&gt;$A84),$E$14:$E$19),D84&lt;T84),1,0)</f>
        <v>0.0</v>
      </c>
      <c r="AC84" s="33">
        <f>IF(OR(M84&lt;SUMPRODUCT($H$14:$H$19,--($B$14:$B$19&lt;=$A84),--($C$14:$C$19&gt;$A84),$E$14:$E$19),E84&lt;U84),1,0)</f>
        <v>0.0</v>
      </c>
      <c r="AD84" s="33">
        <f>IF(OR(N84&lt;SUMPRODUCT($I$14:$I$19,--($B$14:$B$19&lt;=$A84),--($C$14:$C$19&gt;$A84),$E$14:$E$19),F84&lt;V84),1,0)</f>
        <v>0.0</v>
      </c>
      <c r="AE84" s="33">
        <f>IF(OR(O84&lt;SUMPRODUCT($J$14:$J$19,--($B$14:$B$19&lt;=$A84),--($C$14:$C$19&gt;$A84),$E$14:$E$19),G84&lt;W84),1,0)</f>
        <v>0.0</v>
      </c>
      <c r="AF84" s="33">
        <f>IF(OR(P84&lt;SUMPRODUCT($K$14:$K$19,--($B$14:$B$19&lt;=$A84),--($C$14:$C$19&gt;$A84),$E$14:$E$19),H84&lt;X84),1,0)</f>
        <v>0.0</v>
      </c>
      <c r="AG84" s="33">
        <f>IF(OR(Q84&lt;SUMPRODUCT($L$14:$L$19,--($B$14:$B$19&lt;=$A84),--($C$14:$C$19&gt;$A84),$E$14:$E$19),I84&lt;Y84),1,0)</f>
        <v>0.0</v>
      </c>
    </row>
    <row r="85">
      <c r="A85" s="20">
        <f>A84+'Parámetros'!$B$57</f>
        <v>14.5</v>
      </c>
      <c r="B85" s="32">
        <f>IFERROR(A85/'Parámetros'!$B$48,"")</f>
        <v>0.6041666666666666</v>
      </c>
      <c r="C85" s="33">
        <f>SUMPRODUCT(--($B$23:$B$58=C$63),--($C$23:$C$58&lt;=$A85),--($D$23:$D$58&gt;$A85))+0</f>
        <v>0.0</v>
      </c>
      <c r="D85" s="33">
        <f>SUMPRODUCT(--($B$23:$B$58=D$63),--($C$23:$C$58&lt;=$A85),--($D$23:$D$58&gt;$A85))+0</f>
        <v>0.0</v>
      </c>
      <c r="E85" s="33">
        <f>SUMPRODUCT(--($B$23:$B$58=E$63),--($C$23:$C$58&lt;=$A85),--($D$23:$D$58&gt;$A85))+0</f>
        <v>0.0</v>
      </c>
      <c r="F85" s="33">
        <f>SUMPRODUCT(--($B$23:$B$58=F$63),--($C$23:$C$58&lt;=$A85),--($D$23:$D$58&gt;$A85))+0</f>
        <v>0.0</v>
      </c>
      <c r="G85" s="33">
        <f>SUMPRODUCT(--($B$23:$B$58=G$63),--($C$23:$C$58&lt;=$A85),--($D$23:$D$58&gt;$A85))+0</f>
        <v>0.0</v>
      </c>
      <c r="H85" s="33">
        <f>SUMPRODUCT(--($B$23:$B$58=H$63),--($C$23:$C$58&lt;=$A85),--($D$23:$D$58&gt;$A85))+0</f>
        <v>0.0</v>
      </c>
      <c r="I85" s="33">
        <f>SUMPRODUCT(--($B$23:$B$58=I$63),--($C$23:$C$58&lt;=$A85),--($D$23:$D$58&gt;$A85))+0</f>
        <v>0.0</v>
      </c>
      <c r="K85" s="33">
        <f>SUMPRODUCT(--($B$23:$B$58=C$63),--($C$23:$C$58&lt;=$A85),--($D$23:$D$58&gt;$A85),--($E$23:$E$58="L"))+0</f>
        <v>0.0</v>
      </c>
      <c r="L85" s="33">
        <f>SUMPRODUCT(--($B$23:$B$58=D$63),--($C$23:$C$58&lt;=$A85),--($D$23:$D$58&gt;$A85),--($E$23:$E$58="L"))+0</f>
        <v>0.0</v>
      </c>
      <c r="M85" s="33">
        <f>SUMPRODUCT(--($B$23:$B$58=E$63),--($C$23:$C$58&lt;=$A85),--($D$23:$D$58&gt;$A85),--($E$23:$E$58="L"))+0</f>
        <v>0.0</v>
      </c>
      <c r="N85" s="33">
        <f>SUMPRODUCT(--($B$23:$B$58=F$63),--($C$23:$C$58&lt;=$A85),--($D$23:$D$58&gt;$A85),--($E$23:$E$58="L"))+0</f>
        <v>0.0</v>
      </c>
      <c r="O85" s="33">
        <f>SUMPRODUCT(--($B$23:$B$58=G$63),--($C$23:$C$58&lt;=$A85),--($D$23:$D$58&gt;$A85),--($E$23:$E$58="L"))+0</f>
        <v>0.0</v>
      </c>
      <c r="P85" s="33">
        <f>SUMPRODUCT(--($B$23:$B$58=H$63),--($C$23:$C$58&lt;=$A85),--($D$23:$D$58&gt;$A85),--($E$23:$E$58="L"))+0</f>
        <v>0.0</v>
      </c>
      <c r="Q85" s="33">
        <f>SUMPRODUCT(--($B$23:$B$58=I$63),--($C$23:$C$58&lt;=$A85),--($D$23:$D$58&gt;$A85),--($E$23:$E$58="L"))+0</f>
        <v>0.0</v>
      </c>
      <c r="S85" s="33">
        <f>SUMPRODUCT($F$14:$F$19,--($B$14:$B$19&lt;=$A85),--($C$14:$C$19&gt;$A85),$D$14:$D$19)+0</f>
        <v>0.0</v>
      </c>
      <c r="T85" s="33">
        <f>SUMPRODUCT($G$14:$G$19,--($B$14:$B$19&lt;=$A85),--($C$14:$C$19&gt;$A85),$D$14:$D$19)+0</f>
        <v>0.0</v>
      </c>
      <c r="U85" s="33">
        <f>SUMPRODUCT($H$14:$H$19,--($B$14:$B$19&lt;=$A85),--($C$14:$C$19&gt;$A85),$D$14:$D$19)+0</f>
        <v>0.0</v>
      </c>
      <c r="V85" s="33">
        <f>SUMPRODUCT($I$14:$I$19,--($B$14:$B$19&lt;=$A85),--($C$14:$C$19&gt;$A85),$D$14:$D$19)+0</f>
        <v>0.0</v>
      </c>
      <c r="W85" s="33">
        <f>SUMPRODUCT($J$14:$J$19,--($B$14:$B$19&lt;=$A85),--($C$14:$C$19&gt;$A85),$D$14:$D$19)+0</f>
        <v>0.0</v>
      </c>
      <c r="X85" s="33">
        <f>SUMPRODUCT($K$14:$K$19,--($B$14:$B$19&lt;=$A85),--($C$14:$C$19&gt;$A85),$D$14:$D$19)+0</f>
        <v>0.0</v>
      </c>
      <c r="Y85" s="33">
        <f>SUMPRODUCT($L$14:$L$19,--($B$14:$B$19&lt;=$A85),--($C$14:$C$19&gt;$A85),$D$14:$D$19)+0</f>
        <v>0.0</v>
      </c>
      <c r="AA85" s="33">
        <f>IF(OR(K85&lt;SUMPRODUCT($F$14:$F$19,--($B$14:$B$19&lt;=$A85),--($C$14:$C$19&gt;$A85),$E$14:$E$19),C85&lt;S85),1,0)</f>
        <v>0.0</v>
      </c>
      <c r="AB85" s="33">
        <f>IF(OR(L85&lt;SUMPRODUCT($G$14:$G$19,--($B$14:$B$19&lt;=$A85),--($C$14:$C$19&gt;$A85),$E$14:$E$19),D85&lt;T85),1,0)</f>
        <v>0.0</v>
      </c>
      <c r="AC85" s="33">
        <f>IF(OR(M85&lt;SUMPRODUCT($H$14:$H$19,--($B$14:$B$19&lt;=$A85),--($C$14:$C$19&gt;$A85),$E$14:$E$19),E85&lt;U85),1,0)</f>
        <v>0.0</v>
      </c>
      <c r="AD85" s="33">
        <f>IF(OR(N85&lt;SUMPRODUCT($I$14:$I$19,--($B$14:$B$19&lt;=$A85),--($C$14:$C$19&gt;$A85),$E$14:$E$19),F85&lt;V85),1,0)</f>
        <v>0.0</v>
      </c>
      <c r="AE85" s="33">
        <f>IF(OR(O85&lt;SUMPRODUCT($J$14:$J$19,--($B$14:$B$19&lt;=$A85),--($C$14:$C$19&gt;$A85),$E$14:$E$19),G85&lt;W85),1,0)</f>
        <v>0.0</v>
      </c>
      <c r="AF85" s="33">
        <f>IF(OR(P85&lt;SUMPRODUCT($K$14:$K$19,--($B$14:$B$19&lt;=$A85),--($C$14:$C$19&gt;$A85),$E$14:$E$19),H85&lt;X85),1,0)</f>
        <v>0.0</v>
      </c>
      <c r="AG85" s="33">
        <f>IF(OR(Q85&lt;SUMPRODUCT($L$14:$L$19,--($B$14:$B$19&lt;=$A85),--($C$14:$C$19&gt;$A85),$E$14:$E$19),I85&lt;Y85),1,0)</f>
        <v>0.0</v>
      </c>
    </row>
    <row r="86">
      <c r="A86" s="20">
        <f>A85+'Parámetros'!$B$57</f>
        <v>15.0</v>
      </c>
      <c r="B86" s="32">
        <f>IFERROR(A86/'Parámetros'!$B$48,"")</f>
        <v>0.625</v>
      </c>
      <c r="C86" s="33">
        <f>SUMPRODUCT(--($B$23:$B$58=C$63),--($C$23:$C$58&lt;=$A86),--($D$23:$D$58&gt;$A86))+0</f>
        <v>0.0</v>
      </c>
      <c r="D86" s="33">
        <f>SUMPRODUCT(--($B$23:$B$58=D$63),--($C$23:$C$58&lt;=$A86),--($D$23:$D$58&gt;$A86))+0</f>
        <v>0.0</v>
      </c>
      <c r="E86" s="33">
        <f>SUMPRODUCT(--($B$23:$B$58=E$63),--($C$23:$C$58&lt;=$A86),--($D$23:$D$58&gt;$A86))+0</f>
        <v>0.0</v>
      </c>
      <c r="F86" s="33">
        <f>SUMPRODUCT(--($B$23:$B$58=F$63),--($C$23:$C$58&lt;=$A86),--($D$23:$D$58&gt;$A86))+0</f>
        <v>0.0</v>
      </c>
      <c r="G86" s="33">
        <f>SUMPRODUCT(--($B$23:$B$58=G$63),--($C$23:$C$58&lt;=$A86),--($D$23:$D$58&gt;$A86))+0</f>
        <v>0.0</v>
      </c>
      <c r="H86" s="33">
        <f>SUMPRODUCT(--($B$23:$B$58=H$63),--($C$23:$C$58&lt;=$A86),--($D$23:$D$58&gt;$A86))+0</f>
        <v>0.0</v>
      </c>
      <c r="I86" s="33">
        <f>SUMPRODUCT(--($B$23:$B$58=I$63),--($C$23:$C$58&lt;=$A86),--($D$23:$D$58&gt;$A86))+0</f>
        <v>0.0</v>
      </c>
      <c r="K86" s="33">
        <f>SUMPRODUCT(--($B$23:$B$58=C$63),--($C$23:$C$58&lt;=$A86),--($D$23:$D$58&gt;$A86),--($E$23:$E$58="L"))+0</f>
        <v>0.0</v>
      </c>
      <c r="L86" s="33">
        <f>SUMPRODUCT(--($B$23:$B$58=D$63),--($C$23:$C$58&lt;=$A86),--($D$23:$D$58&gt;$A86),--($E$23:$E$58="L"))+0</f>
        <v>0.0</v>
      </c>
      <c r="M86" s="33">
        <f>SUMPRODUCT(--($B$23:$B$58=E$63),--($C$23:$C$58&lt;=$A86),--($D$23:$D$58&gt;$A86),--($E$23:$E$58="L"))+0</f>
        <v>0.0</v>
      </c>
      <c r="N86" s="33">
        <f>SUMPRODUCT(--($B$23:$B$58=F$63),--($C$23:$C$58&lt;=$A86),--($D$23:$D$58&gt;$A86),--($E$23:$E$58="L"))+0</f>
        <v>0.0</v>
      </c>
      <c r="O86" s="33">
        <f>SUMPRODUCT(--($B$23:$B$58=G$63),--($C$23:$C$58&lt;=$A86),--($D$23:$D$58&gt;$A86),--($E$23:$E$58="L"))+0</f>
        <v>0.0</v>
      </c>
      <c r="P86" s="33">
        <f>SUMPRODUCT(--($B$23:$B$58=H$63),--($C$23:$C$58&lt;=$A86),--($D$23:$D$58&gt;$A86),--($E$23:$E$58="L"))+0</f>
        <v>0.0</v>
      </c>
      <c r="Q86" s="33">
        <f>SUMPRODUCT(--($B$23:$B$58=I$63),--($C$23:$C$58&lt;=$A86),--($D$23:$D$58&gt;$A86),--($E$23:$E$58="L"))+0</f>
        <v>0.0</v>
      </c>
      <c r="S86" s="33">
        <f>SUMPRODUCT($F$14:$F$19,--($B$14:$B$19&lt;=$A86),--($C$14:$C$19&gt;$A86),$D$14:$D$19)+0</f>
        <v>0.0</v>
      </c>
      <c r="T86" s="33">
        <f>SUMPRODUCT($G$14:$G$19,--($B$14:$B$19&lt;=$A86),--($C$14:$C$19&gt;$A86),$D$14:$D$19)+0</f>
        <v>0.0</v>
      </c>
      <c r="U86" s="33">
        <f>SUMPRODUCT($H$14:$H$19,--($B$14:$B$19&lt;=$A86),--($C$14:$C$19&gt;$A86),$D$14:$D$19)+0</f>
        <v>0.0</v>
      </c>
      <c r="V86" s="33">
        <f>SUMPRODUCT($I$14:$I$19,--($B$14:$B$19&lt;=$A86),--($C$14:$C$19&gt;$A86),$D$14:$D$19)+0</f>
        <v>0.0</v>
      </c>
      <c r="W86" s="33">
        <f>SUMPRODUCT($J$14:$J$19,--($B$14:$B$19&lt;=$A86),--($C$14:$C$19&gt;$A86),$D$14:$D$19)+0</f>
        <v>0.0</v>
      </c>
      <c r="X86" s="33">
        <f>SUMPRODUCT($K$14:$K$19,--($B$14:$B$19&lt;=$A86),--($C$14:$C$19&gt;$A86),$D$14:$D$19)+0</f>
        <v>0.0</v>
      </c>
      <c r="Y86" s="33">
        <f>SUMPRODUCT($L$14:$L$19,--($B$14:$B$19&lt;=$A86),--($C$14:$C$19&gt;$A86),$D$14:$D$19)+0</f>
        <v>0.0</v>
      </c>
      <c r="AA86" s="33">
        <f>IF(OR(K86&lt;SUMPRODUCT($F$14:$F$19,--($B$14:$B$19&lt;=$A86),--($C$14:$C$19&gt;$A86),$E$14:$E$19),C86&lt;S86),1,0)</f>
        <v>0.0</v>
      </c>
      <c r="AB86" s="33">
        <f>IF(OR(L86&lt;SUMPRODUCT($G$14:$G$19,--($B$14:$B$19&lt;=$A86),--($C$14:$C$19&gt;$A86),$E$14:$E$19),D86&lt;T86),1,0)</f>
        <v>0.0</v>
      </c>
      <c r="AC86" s="33">
        <f>IF(OR(M86&lt;SUMPRODUCT($H$14:$H$19,--($B$14:$B$19&lt;=$A86),--($C$14:$C$19&gt;$A86),$E$14:$E$19),E86&lt;U86),1,0)</f>
        <v>0.0</v>
      </c>
      <c r="AD86" s="33">
        <f>IF(OR(N86&lt;SUMPRODUCT($I$14:$I$19,--($B$14:$B$19&lt;=$A86),--($C$14:$C$19&gt;$A86),$E$14:$E$19),F86&lt;V86),1,0)</f>
        <v>0.0</v>
      </c>
      <c r="AE86" s="33">
        <f>IF(OR(O86&lt;SUMPRODUCT($J$14:$J$19,--($B$14:$B$19&lt;=$A86),--($C$14:$C$19&gt;$A86),$E$14:$E$19),G86&lt;W86),1,0)</f>
        <v>0.0</v>
      </c>
      <c r="AF86" s="33">
        <f>IF(OR(P86&lt;SUMPRODUCT($K$14:$K$19,--($B$14:$B$19&lt;=$A86),--($C$14:$C$19&gt;$A86),$E$14:$E$19),H86&lt;X86),1,0)</f>
        <v>0.0</v>
      </c>
      <c r="AG86" s="33">
        <f>IF(OR(Q86&lt;SUMPRODUCT($L$14:$L$19,--($B$14:$B$19&lt;=$A86),--($C$14:$C$19&gt;$A86),$E$14:$E$19),I86&lt;Y86),1,0)</f>
        <v>0.0</v>
      </c>
    </row>
    <row r="87">
      <c r="A87" s="20">
        <f>A86+'Parámetros'!$B$57</f>
        <v>15.5</v>
      </c>
      <c r="B87" s="32">
        <f>IFERROR(A87/'Parámetros'!$B$48,"")</f>
        <v>0.6458333333333334</v>
      </c>
      <c r="C87" s="33">
        <f>SUMPRODUCT(--($B$23:$B$58=C$63),--($C$23:$C$58&lt;=$A87),--($D$23:$D$58&gt;$A87))+0</f>
        <v>0.0</v>
      </c>
      <c r="D87" s="33">
        <f>SUMPRODUCT(--($B$23:$B$58=D$63),--($C$23:$C$58&lt;=$A87),--($D$23:$D$58&gt;$A87))+0</f>
        <v>0.0</v>
      </c>
      <c r="E87" s="33">
        <f>SUMPRODUCT(--($B$23:$B$58=E$63),--($C$23:$C$58&lt;=$A87),--($D$23:$D$58&gt;$A87))+0</f>
        <v>0.0</v>
      </c>
      <c r="F87" s="33">
        <f>SUMPRODUCT(--($B$23:$B$58=F$63),--($C$23:$C$58&lt;=$A87),--($D$23:$D$58&gt;$A87))+0</f>
        <v>0.0</v>
      </c>
      <c r="G87" s="33">
        <f>SUMPRODUCT(--($B$23:$B$58=G$63),--($C$23:$C$58&lt;=$A87),--($D$23:$D$58&gt;$A87))+0</f>
        <v>0.0</v>
      </c>
      <c r="H87" s="33">
        <f>SUMPRODUCT(--($B$23:$B$58=H$63),--($C$23:$C$58&lt;=$A87),--($D$23:$D$58&gt;$A87))+0</f>
        <v>0.0</v>
      </c>
      <c r="I87" s="33">
        <f>SUMPRODUCT(--($B$23:$B$58=I$63),--($C$23:$C$58&lt;=$A87),--($D$23:$D$58&gt;$A87))+0</f>
        <v>0.0</v>
      </c>
      <c r="K87" s="33">
        <f>SUMPRODUCT(--($B$23:$B$58=C$63),--($C$23:$C$58&lt;=$A87),--($D$23:$D$58&gt;$A87),--($E$23:$E$58="L"))+0</f>
        <v>0.0</v>
      </c>
      <c r="L87" s="33">
        <f>SUMPRODUCT(--($B$23:$B$58=D$63),--($C$23:$C$58&lt;=$A87),--($D$23:$D$58&gt;$A87),--($E$23:$E$58="L"))+0</f>
        <v>0.0</v>
      </c>
      <c r="M87" s="33">
        <f>SUMPRODUCT(--($B$23:$B$58=E$63),--($C$23:$C$58&lt;=$A87),--($D$23:$D$58&gt;$A87),--($E$23:$E$58="L"))+0</f>
        <v>0.0</v>
      </c>
      <c r="N87" s="33">
        <f>SUMPRODUCT(--($B$23:$B$58=F$63),--($C$23:$C$58&lt;=$A87),--($D$23:$D$58&gt;$A87),--($E$23:$E$58="L"))+0</f>
        <v>0.0</v>
      </c>
      <c r="O87" s="33">
        <f>SUMPRODUCT(--($B$23:$B$58=G$63),--($C$23:$C$58&lt;=$A87),--($D$23:$D$58&gt;$A87),--($E$23:$E$58="L"))+0</f>
        <v>0.0</v>
      </c>
      <c r="P87" s="33">
        <f>SUMPRODUCT(--($B$23:$B$58=H$63),--($C$23:$C$58&lt;=$A87),--($D$23:$D$58&gt;$A87),--($E$23:$E$58="L"))+0</f>
        <v>0.0</v>
      </c>
      <c r="Q87" s="33">
        <f>SUMPRODUCT(--($B$23:$B$58=I$63),--($C$23:$C$58&lt;=$A87),--($D$23:$D$58&gt;$A87),--($E$23:$E$58="L"))+0</f>
        <v>0.0</v>
      </c>
      <c r="S87" s="33">
        <f>SUMPRODUCT($F$14:$F$19,--($B$14:$B$19&lt;=$A87),--($C$14:$C$19&gt;$A87),$D$14:$D$19)+0</f>
        <v>0.0</v>
      </c>
      <c r="T87" s="33">
        <f>SUMPRODUCT($G$14:$G$19,--($B$14:$B$19&lt;=$A87),--($C$14:$C$19&gt;$A87),$D$14:$D$19)+0</f>
        <v>0.0</v>
      </c>
      <c r="U87" s="33">
        <f>SUMPRODUCT($H$14:$H$19,--($B$14:$B$19&lt;=$A87),--($C$14:$C$19&gt;$A87),$D$14:$D$19)+0</f>
        <v>0.0</v>
      </c>
      <c r="V87" s="33">
        <f>SUMPRODUCT($I$14:$I$19,--($B$14:$B$19&lt;=$A87),--($C$14:$C$19&gt;$A87),$D$14:$D$19)+0</f>
        <v>0.0</v>
      </c>
      <c r="W87" s="33">
        <f>SUMPRODUCT($J$14:$J$19,--($B$14:$B$19&lt;=$A87),--($C$14:$C$19&gt;$A87),$D$14:$D$19)+0</f>
        <v>0.0</v>
      </c>
      <c r="X87" s="33">
        <f>SUMPRODUCT($K$14:$K$19,--($B$14:$B$19&lt;=$A87),--($C$14:$C$19&gt;$A87),$D$14:$D$19)+0</f>
        <v>0.0</v>
      </c>
      <c r="Y87" s="33">
        <f>SUMPRODUCT($L$14:$L$19,--($B$14:$B$19&lt;=$A87),--($C$14:$C$19&gt;$A87),$D$14:$D$19)+0</f>
        <v>0.0</v>
      </c>
      <c r="AA87" s="33">
        <f>IF(OR(K87&lt;SUMPRODUCT($F$14:$F$19,--($B$14:$B$19&lt;=$A87),--($C$14:$C$19&gt;$A87),$E$14:$E$19),C87&lt;S87),1,0)</f>
        <v>0.0</v>
      </c>
      <c r="AB87" s="33">
        <f>IF(OR(L87&lt;SUMPRODUCT($G$14:$G$19,--($B$14:$B$19&lt;=$A87),--($C$14:$C$19&gt;$A87),$E$14:$E$19),D87&lt;T87),1,0)</f>
        <v>0.0</v>
      </c>
      <c r="AC87" s="33">
        <f>IF(OR(M87&lt;SUMPRODUCT($H$14:$H$19,--($B$14:$B$19&lt;=$A87),--($C$14:$C$19&gt;$A87),$E$14:$E$19),E87&lt;U87),1,0)</f>
        <v>0.0</v>
      </c>
      <c r="AD87" s="33">
        <f>IF(OR(N87&lt;SUMPRODUCT($I$14:$I$19,--($B$14:$B$19&lt;=$A87),--($C$14:$C$19&gt;$A87),$E$14:$E$19),F87&lt;V87),1,0)</f>
        <v>0.0</v>
      </c>
      <c r="AE87" s="33">
        <f>IF(OR(O87&lt;SUMPRODUCT($J$14:$J$19,--($B$14:$B$19&lt;=$A87),--($C$14:$C$19&gt;$A87),$E$14:$E$19),G87&lt;W87),1,0)</f>
        <v>0.0</v>
      </c>
      <c r="AF87" s="33">
        <f>IF(OR(P87&lt;SUMPRODUCT($K$14:$K$19,--($B$14:$B$19&lt;=$A87),--($C$14:$C$19&gt;$A87),$E$14:$E$19),H87&lt;X87),1,0)</f>
        <v>0.0</v>
      </c>
      <c r="AG87" s="33">
        <f>IF(OR(Q87&lt;SUMPRODUCT($L$14:$L$19,--($B$14:$B$19&lt;=$A87),--($C$14:$C$19&gt;$A87),$E$14:$E$19),I87&lt;Y87),1,0)</f>
        <v>0.0</v>
      </c>
    </row>
    <row r="88">
      <c r="A88" s="20">
        <f>A87+'Parámetros'!$B$57</f>
        <v>16.0</v>
      </c>
      <c r="B88" s="32">
        <f>IFERROR(A88/'Parámetros'!$B$48,"")</f>
        <v>0.6666666666666666</v>
      </c>
      <c r="C88" s="33">
        <f>SUMPRODUCT(--($B$23:$B$58=C$63),--($C$23:$C$58&lt;=$A88),--($D$23:$D$58&gt;$A88))+0</f>
        <v>2.0</v>
      </c>
      <c r="D88" s="33">
        <f>SUMPRODUCT(--($B$23:$B$58=D$63),--($C$23:$C$58&lt;=$A88),--($D$23:$D$58&gt;$A88))+0</f>
        <v>2.0</v>
      </c>
      <c r="E88" s="33">
        <f>SUMPRODUCT(--($B$23:$B$58=E$63),--($C$23:$C$58&lt;=$A88),--($D$23:$D$58&gt;$A88))+0</f>
        <v>2.0</v>
      </c>
      <c r="F88" s="33">
        <f>SUMPRODUCT(--($B$23:$B$58=F$63),--($C$23:$C$58&lt;=$A88),--($D$23:$D$58&gt;$A88))+0</f>
        <v>2.0</v>
      </c>
      <c r="G88" s="33">
        <f>SUMPRODUCT(--($B$23:$B$58=G$63),--($C$23:$C$58&lt;=$A88),--($D$23:$D$58&gt;$A88))+0</f>
        <v>1.0</v>
      </c>
      <c r="H88" s="33">
        <f>SUMPRODUCT(--($B$23:$B$58=H$63),--($C$23:$C$58&lt;=$A88),--($D$23:$D$58&gt;$A88))+0</f>
        <v>1.0</v>
      </c>
      <c r="I88" s="33">
        <f>SUMPRODUCT(--($B$23:$B$58=I$63),--($C$23:$C$58&lt;=$A88),--($D$23:$D$58&gt;$A88))+0</f>
        <v>1.0</v>
      </c>
      <c r="K88" s="33">
        <f>SUMPRODUCT(--($B$23:$B$58=C$63),--($C$23:$C$58&lt;=$A88),--($D$23:$D$58&gt;$A88),--($E$23:$E$58="L"))+0</f>
        <v>1.0</v>
      </c>
      <c r="L88" s="33">
        <f>SUMPRODUCT(--($B$23:$B$58=D$63),--($C$23:$C$58&lt;=$A88),--($D$23:$D$58&gt;$A88),--($E$23:$E$58="L"))+0</f>
        <v>1.0</v>
      </c>
      <c r="M88" s="33">
        <f>SUMPRODUCT(--($B$23:$B$58=E$63),--($C$23:$C$58&lt;=$A88),--($D$23:$D$58&gt;$A88),--($E$23:$E$58="L"))+0</f>
        <v>1.0</v>
      </c>
      <c r="N88" s="33">
        <f>SUMPRODUCT(--($B$23:$B$58=F$63),--($C$23:$C$58&lt;=$A88),--($D$23:$D$58&gt;$A88),--($E$23:$E$58="L"))+0</f>
        <v>1.0</v>
      </c>
      <c r="O88" s="33">
        <f>SUMPRODUCT(--($B$23:$B$58=G$63),--($C$23:$C$58&lt;=$A88),--($D$23:$D$58&gt;$A88),--($E$23:$E$58="L"))+0</f>
        <v>1.0</v>
      </c>
      <c r="P88" s="33">
        <f>SUMPRODUCT(--($B$23:$B$58=H$63),--($C$23:$C$58&lt;=$A88),--($D$23:$D$58&gt;$A88),--($E$23:$E$58="L"))+0</f>
        <v>1.0</v>
      </c>
      <c r="Q88" s="33">
        <f>SUMPRODUCT(--($B$23:$B$58=I$63),--($C$23:$C$58&lt;=$A88),--($D$23:$D$58&gt;$A88),--($E$23:$E$58="L"))+0</f>
        <v>1.0</v>
      </c>
      <c r="S88" s="33">
        <f>SUMPRODUCT($F$14:$F$19,--($B$14:$B$19&lt;=$A88),--($C$14:$C$19&gt;$A88),$D$14:$D$19)+0</f>
        <v>0.0</v>
      </c>
      <c r="T88" s="33">
        <f>SUMPRODUCT($G$14:$G$19,--($B$14:$B$19&lt;=$A88),--($C$14:$C$19&gt;$A88),$D$14:$D$19)+0</f>
        <v>0.0</v>
      </c>
      <c r="U88" s="33">
        <f>SUMPRODUCT($H$14:$H$19,--($B$14:$B$19&lt;=$A88),--($C$14:$C$19&gt;$A88),$D$14:$D$19)+0</f>
        <v>0.0</v>
      </c>
      <c r="V88" s="33">
        <f>SUMPRODUCT($I$14:$I$19,--($B$14:$B$19&lt;=$A88),--($C$14:$C$19&gt;$A88),$D$14:$D$19)+0</f>
        <v>0.0</v>
      </c>
      <c r="W88" s="33">
        <f>SUMPRODUCT($J$14:$J$19,--($B$14:$B$19&lt;=$A88),--($C$14:$C$19&gt;$A88),$D$14:$D$19)+0</f>
        <v>0.0</v>
      </c>
      <c r="X88" s="33">
        <f>SUMPRODUCT($K$14:$K$19,--($B$14:$B$19&lt;=$A88),--($C$14:$C$19&gt;$A88),$D$14:$D$19)+0</f>
        <v>0.0</v>
      </c>
      <c r="Y88" s="33">
        <f>SUMPRODUCT($L$14:$L$19,--($B$14:$B$19&lt;=$A88),--($C$14:$C$19&gt;$A88),$D$14:$D$19)+0</f>
        <v>0.0</v>
      </c>
      <c r="AA88" s="33">
        <f>IF(OR(K88&lt;SUMPRODUCT($F$14:$F$19,--($B$14:$B$19&lt;=$A88),--($C$14:$C$19&gt;$A88),$E$14:$E$19),C88&lt;S88),1,0)</f>
        <v>0.0</v>
      </c>
      <c r="AB88" s="33">
        <f>IF(OR(L88&lt;SUMPRODUCT($G$14:$G$19,--($B$14:$B$19&lt;=$A88),--($C$14:$C$19&gt;$A88),$E$14:$E$19),D88&lt;T88),1,0)</f>
        <v>0.0</v>
      </c>
      <c r="AC88" s="33">
        <f>IF(OR(M88&lt;SUMPRODUCT($H$14:$H$19,--($B$14:$B$19&lt;=$A88),--($C$14:$C$19&gt;$A88),$E$14:$E$19),E88&lt;U88),1,0)</f>
        <v>0.0</v>
      </c>
      <c r="AD88" s="33">
        <f>IF(OR(N88&lt;SUMPRODUCT($I$14:$I$19,--($B$14:$B$19&lt;=$A88),--($C$14:$C$19&gt;$A88),$E$14:$E$19),F88&lt;V88),1,0)</f>
        <v>0.0</v>
      </c>
      <c r="AE88" s="33">
        <f>IF(OR(O88&lt;SUMPRODUCT($J$14:$J$19,--($B$14:$B$19&lt;=$A88),--($C$14:$C$19&gt;$A88),$E$14:$E$19),G88&lt;W88),1,0)</f>
        <v>0.0</v>
      </c>
      <c r="AF88" s="33">
        <f>IF(OR(P88&lt;SUMPRODUCT($K$14:$K$19,--($B$14:$B$19&lt;=$A88),--($C$14:$C$19&gt;$A88),$E$14:$E$19),H88&lt;X88),1,0)</f>
        <v>0.0</v>
      </c>
      <c r="AG88" s="33">
        <f>IF(OR(Q88&lt;SUMPRODUCT($L$14:$L$19,--($B$14:$B$19&lt;=$A88),--($C$14:$C$19&gt;$A88),$E$14:$E$19),I88&lt;Y88),1,0)</f>
        <v>0.0</v>
      </c>
    </row>
    <row r="89">
      <c r="A89" s="20">
        <f>A88+'Parámetros'!$B$57</f>
        <v>16.5</v>
      </c>
      <c r="B89" s="32">
        <f>IFERROR(A89/'Parámetros'!$B$48,"")</f>
        <v>0.6875</v>
      </c>
      <c r="C89" s="33">
        <f>SUMPRODUCT(--($B$23:$B$58=C$63),--($C$23:$C$58&lt;=$A89),--($D$23:$D$58&gt;$A89))+0</f>
        <v>2.0</v>
      </c>
      <c r="D89" s="33">
        <f>SUMPRODUCT(--($B$23:$B$58=D$63),--($C$23:$C$58&lt;=$A89),--($D$23:$D$58&gt;$A89))+0</f>
        <v>2.0</v>
      </c>
      <c r="E89" s="33">
        <f>SUMPRODUCT(--($B$23:$B$58=E$63),--($C$23:$C$58&lt;=$A89),--($D$23:$D$58&gt;$A89))+0</f>
        <v>2.0</v>
      </c>
      <c r="F89" s="33">
        <f>SUMPRODUCT(--($B$23:$B$58=F$63),--($C$23:$C$58&lt;=$A89),--($D$23:$D$58&gt;$A89))+0</f>
        <v>2.0</v>
      </c>
      <c r="G89" s="33">
        <f>SUMPRODUCT(--($B$23:$B$58=G$63),--($C$23:$C$58&lt;=$A89),--($D$23:$D$58&gt;$A89))+0</f>
        <v>1.0</v>
      </c>
      <c r="H89" s="33">
        <f>SUMPRODUCT(--($B$23:$B$58=H$63),--($C$23:$C$58&lt;=$A89),--($D$23:$D$58&gt;$A89))+0</f>
        <v>1.0</v>
      </c>
      <c r="I89" s="33">
        <f>SUMPRODUCT(--($B$23:$B$58=I$63),--($C$23:$C$58&lt;=$A89),--($D$23:$D$58&gt;$A89))+0</f>
        <v>2.0</v>
      </c>
      <c r="K89" s="33">
        <f>SUMPRODUCT(--($B$23:$B$58=C$63),--($C$23:$C$58&lt;=$A89),--($D$23:$D$58&gt;$A89),--($E$23:$E$58="L"))+0</f>
        <v>1.0</v>
      </c>
      <c r="L89" s="33">
        <f>SUMPRODUCT(--($B$23:$B$58=D$63),--($C$23:$C$58&lt;=$A89),--($D$23:$D$58&gt;$A89),--($E$23:$E$58="L"))+0</f>
        <v>1.0</v>
      </c>
      <c r="M89" s="33">
        <f>SUMPRODUCT(--($B$23:$B$58=E$63),--($C$23:$C$58&lt;=$A89),--($D$23:$D$58&gt;$A89),--($E$23:$E$58="L"))+0</f>
        <v>1.0</v>
      </c>
      <c r="N89" s="33">
        <f>SUMPRODUCT(--($B$23:$B$58=F$63),--($C$23:$C$58&lt;=$A89),--($D$23:$D$58&gt;$A89),--($E$23:$E$58="L"))+0</f>
        <v>1.0</v>
      </c>
      <c r="O89" s="33">
        <f>SUMPRODUCT(--($B$23:$B$58=G$63),--($C$23:$C$58&lt;=$A89),--($D$23:$D$58&gt;$A89),--($E$23:$E$58="L"))+0</f>
        <v>1.0</v>
      </c>
      <c r="P89" s="33">
        <f>SUMPRODUCT(--($B$23:$B$58=H$63),--($C$23:$C$58&lt;=$A89),--($D$23:$D$58&gt;$A89),--($E$23:$E$58="L"))+0</f>
        <v>1.0</v>
      </c>
      <c r="Q89" s="33">
        <f>SUMPRODUCT(--($B$23:$B$58=I$63),--($C$23:$C$58&lt;=$A89),--($D$23:$D$58&gt;$A89),--($E$23:$E$58="L"))+0</f>
        <v>1.0</v>
      </c>
      <c r="S89" s="33">
        <f>SUMPRODUCT($F$14:$F$19,--($B$14:$B$19&lt;=$A89),--($C$14:$C$19&gt;$A89),$D$14:$D$19)+0</f>
        <v>1.0</v>
      </c>
      <c r="T89" s="33">
        <f>SUMPRODUCT($G$14:$G$19,--($B$14:$B$19&lt;=$A89),--($C$14:$C$19&gt;$A89),$D$14:$D$19)+0</f>
        <v>1.0</v>
      </c>
      <c r="U89" s="33">
        <f>SUMPRODUCT($H$14:$H$19,--($B$14:$B$19&lt;=$A89),--($C$14:$C$19&gt;$A89),$D$14:$D$19)+0</f>
        <v>1.0</v>
      </c>
      <c r="V89" s="33">
        <f>SUMPRODUCT($I$14:$I$19,--($B$14:$B$19&lt;=$A89),--($C$14:$C$19&gt;$A89),$D$14:$D$19)+0</f>
        <v>1.0</v>
      </c>
      <c r="W89" s="33">
        <f>SUMPRODUCT($J$14:$J$19,--($B$14:$B$19&lt;=$A89),--($C$14:$C$19&gt;$A89),$D$14:$D$19)+0</f>
        <v>1.0</v>
      </c>
      <c r="X89" s="33">
        <f>SUMPRODUCT($K$14:$K$19,--($B$14:$B$19&lt;=$A89),--($C$14:$C$19&gt;$A89),$D$14:$D$19)+0</f>
        <v>1.0</v>
      </c>
      <c r="Y89" s="33">
        <f>SUMPRODUCT($L$14:$L$19,--($B$14:$B$19&lt;=$A89),--($C$14:$C$19&gt;$A89),$D$14:$D$19)+0</f>
        <v>1.0</v>
      </c>
      <c r="AA89" s="33">
        <f>IF(OR(K89&lt;SUMPRODUCT($F$14:$F$19,--($B$14:$B$19&lt;=$A89),--($C$14:$C$19&gt;$A89),$E$14:$E$19),C89&lt;S89),1,0)</f>
        <v>0.0</v>
      </c>
      <c r="AB89" s="33">
        <f>IF(OR(L89&lt;SUMPRODUCT($G$14:$G$19,--($B$14:$B$19&lt;=$A89),--($C$14:$C$19&gt;$A89),$E$14:$E$19),D89&lt;T89),1,0)</f>
        <v>0.0</v>
      </c>
      <c r="AC89" s="33">
        <f>IF(OR(M89&lt;SUMPRODUCT($H$14:$H$19,--($B$14:$B$19&lt;=$A89),--($C$14:$C$19&gt;$A89),$E$14:$E$19),E89&lt;U89),1,0)</f>
        <v>0.0</v>
      </c>
      <c r="AD89" s="33">
        <f>IF(OR(N89&lt;SUMPRODUCT($I$14:$I$19,--($B$14:$B$19&lt;=$A89),--($C$14:$C$19&gt;$A89),$E$14:$E$19),F89&lt;V89),1,0)</f>
        <v>0.0</v>
      </c>
      <c r="AE89" s="33">
        <f>IF(OR(O89&lt;SUMPRODUCT($J$14:$J$19,--($B$14:$B$19&lt;=$A89),--($C$14:$C$19&gt;$A89),$E$14:$E$19),G89&lt;W89),1,0)</f>
        <v>0.0</v>
      </c>
      <c r="AF89" s="33">
        <f>IF(OR(P89&lt;SUMPRODUCT($K$14:$K$19,--($B$14:$B$19&lt;=$A89),--($C$14:$C$19&gt;$A89),$E$14:$E$19),H89&lt;X89),1,0)</f>
        <v>0.0</v>
      </c>
      <c r="AG89" s="33">
        <f>IF(OR(Q89&lt;SUMPRODUCT($L$14:$L$19,--($B$14:$B$19&lt;=$A89),--($C$14:$C$19&gt;$A89),$E$14:$E$19),I89&lt;Y89),1,0)</f>
        <v>0.0</v>
      </c>
    </row>
    <row r="90">
      <c r="A90" s="20">
        <f>A89+'Parámetros'!$B$57</f>
        <v>17.0</v>
      </c>
      <c r="B90" s="32">
        <f>IFERROR(A90/'Parámetros'!$B$48,"")</f>
        <v>0.7083333333333334</v>
      </c>
      <c r="C90" s="33">
        <f>SUMPRODUCT(--($B$23:$B$58=C$63),--($C$23:$C$58&lt;=$A90),--($D$23:$D$58&gt;$A90))+0</f>
        <v>2.0</v>
      </c>
      <c r="D90" s="33">
        <f>SUMPRODUCT(--($B$23:$B$58=D$63),--($C$23:$C$58&lt;=$A90),--($D$23:$D$58&gt;$A90))+0</f>
        <v>2.0</v>
      </c>
      <c r="E90" s="33">
        <f>SUMPRODUCT(--($B$23:$B$58=E$63),--($C$23:$C$58&lt;=$A90),--($D$23:$D$58&gt;$A90))+0</f>
        <v>2.0</v>
      </c>
      <c r="F90" s="33">
        <f>SUMPRODUCT(--($B$23:$B$58=F$63),--($C$23:$C$58&lt;=$A90),--($D$23:$D$58&gt;$A90))+0</f>
        <v>2.0</v>
      </c>
      <c r="G90" s="33">
        <f>SUMPRODUCT(--($B$23:$B$58=G$63),--($C$23:$C$58&lt;=$A90),--($D$23:$D$58&gt;$A90))+0</f>
        <v>2.0</v>
      </c>
      <c r="H90" s="33">
        <f>SUMPRODUCT(--($B$23:$B$58=H$63),--($C$23:$C$58&lt;=$A90),--($D$23:$D$58&gt;$A90))+0</f>
        <v>2.0</v>
      </c>
      <c r="I90" s="33">
        <f>SUMPRODUCT(--($B$23:$B$58=I$63),--($C$23:$C$58&lt;=$A90),--($D$23:$D$58&gt;$A90))+0</f>
        <v>2.0</v>
      </c>
      <c r="K90" s="33">
        <f>SUMPRODUCT(--($B$23:$B$58=C$63),--($C$23:$C$58&lt;=$A90),--($D$23:$D$58&gt;$A90),--($E$23:$E$58="L"))+0</f>
        <v>1.0</v>
      </c>
      <c r="L90" s="33">
        <f>SUMPRODUCT(--($B$23:$B$58=D$63),--($C$23:$C$58&lt;=$A90),--($D$23:$D$58&gt;$A90),--($E$23:$E$58="L"))+0</f>
        <v>1.0</v>
      </c>
      <c r="M90" s="33">
        <f>SUMPRODUCT(--($B$23:$B$58=E$63),--($C$23:$C$58&lt;=$A90),--($D$23:$D$58&gt;$A90),--($E$23:$E$58="L"))+0</f>
        <v>1.0</v>
      </c>
      <c r="N90" s="33">
        <f>SUMPRODUCT(--($B$23:$B$58=F$63),--($C$23:$C$58&lt;=$A90),--($D$23:$D$58&gt;$A90),--($E$23:$E$58="L"))+0</f>
        <v>1.0</v>
      </c>
      <c r="O90" s="33">
        <f>SUMPRODUCT(--($B$23:$B$58=G$63),--($C$23:$C$58&lt;=$A90),--($D$23:$D$58&gt;$A90),--($E$23:$E$58="L"))+0</f>
        <v>1.0</v>
      </c>
      <c r="P90" s="33">
        <f>SUMPRODUCT(--($B$23:$B$58=H$63),--($C$23:$C$58&lt;=$A90),--($D$23:$D$58&gt;$A90),--($E$23:$E$58="L"))+0</f>
        <v>1.0</v>
      </c>
      <c r="Q90" s="33">
        <f>SUMPRODUCT(--($B$23:$B$58=I$63),--($C$23:$C$58&lt;=$A90),--($D$23:$D$58&gt;$A90),--($E$23:$E$58="L"))+0</f>
        <v>1.0</v>
      </c>
      <c r="S90" s="33">
        <f>SUMPRODUCT($F$14:$F$19,--($B$14:$B$19&lt;=$A90),--($C$14:$C$19&gt;$A90),$D$14:$D$19)+0</f>
        <v>2.0</v>
      </c>
      <c r="T90" s="33">
        <f>SUMPRODUCT($G$14:$G$19,--($B$14:$B$19&lt;=$A90),--($C$14:$C$19&gt;$A90),$D$14:$D$19)+0</f>
        <v>2.0</v>
      </c>
      <c r="U90" s="33">
        <f>SUMPRODUCT($H$14:$H$19,--($B$14:$B$19&lt;=$A90),--($C$14:$C$19&gt;$A90),$D$14:$D$19)+0</f>
        <v>2.0</v>
      </c>
      <c r="V90" s="33">
        <f>SUMPRODUCT($I$14:$I$19,--($B$14:$B$19&lt;=$A90),--($C$14:$C$19&gt;$A90),$D$14:$D$19)+0</f>
        <v>2.0</v>
      </c>
      <c r="W90" s="33">
        <f>SUMPRODUCT($J$14:$J$19,--($B$14:$B$19&lt;=$A90),--($C$14:$C$19&gt;$A90),$D$14:$D$19)+0</f>
        <v>2.0</v>
      </c>
      <c r="X90" s="33">
        <f>SUMPRODUCT($K$14:$K$19,--($B$14:$B$19&lt;=$A90),--($C$14:$C$19&gt;$A90),$D$14:$D$19)+0</f>
        <v>2.0</v>
      </c>
      <c r="Y90" s="33">
        <f>SUMPRODUCT($L$14:$L$19,--($B$14:$B$19&lt;=$A90),--($C$14:$C$19&gt;$A90),$D$14:$D$19)+0</f>
        <v>2.0</v>
      </c>
      <c r="AA90" s="33">
        <f>IF(OR(K90&lt;SUMPRODUCT($F$14:$F$19,--($B$14:$B$19&lt;=$A90),--($C$14:$C$19&gt;$A90),$E$14:$E$19),C90&lt;S90),1,0)</f>
        <v>0.0</v>
      </c>
      <c r="AB90" s="33">
        <f>IF(OR(L90&lt;SUMPRODUCT($G$14:$G$19,--($B$14:$B$19&lt;=$A90),--($C$14:$C$19&gt;$A90),$E$14:$E$19),D90&lt;T90),1,0)</f>
        <v>0.0</v>
      </c>
      <c r="AC90" s="33">
        <f>IF(OR(M90&lt;SUMPRODUCT($H$14:$H$19,--($B$14:$B$19&lt;=$A90),--($C$14:$C$19&gt;$A90),$E$14:$E$19),E90&lt;U90),1,0)</f>
        <v>0.0</v>
      </c>
      <c r="AD90" s="33">
        <f>IF(OR(N90&lt;SUMPRODUCT($I$14:$I$19,--($B$14:$B$19&lt;=$A90),--($C$14:$C$19&gt;$A90),$E$14:$E$19),F90&lt;V90),1,0)</f>
        <v>0.0</v>
      </c>
      <c r="AE90" s="33">
        <f>IF(OR(O90&lt;SUMPRODUCT($J$14:$J$19,--($B$14:$B$19&lt;=$A90),--($C$14:$C$19&gt;$A90),$E$14:$E$19),G90&lt;W90),1,0)</f>
        <v>0.0</v>
      </c>
      <c r="AF90" s="33">
        <f>IF(OR(P90&lt;SUMPRODUCT($K$14:$K$19,--($B$14:$B$19&lt;=$A90),--($C$14:$C$19&gt;$A90),$E$14:$E$19),H90&lt;X90),1,0)</f>
        <v>0.0</v>
      </c>
      <c r="AG90" s="33">
        <f>IF(OR(Q90&lt;SUMPRODUCT($L$14:$L$19,--($B$14:$B$19&lt;=$A90),--($C$14:$C$19&gt;$A90),$E$14:$E$19),I90&lt;Y90),1,0)</f>
        <v>0.0</v>
      </c>
    </row>
    <row r="91">
      <c r="A91" s="20">
        <f>A90+'Parámetros'!$B$57</f>
        <v>17.5</v>
      </c>
      <c r="B91" s="32">
        <f>IFERROR(A91/'Parámetros'!$B$48,"")</f>
        <v>0.7291666666666666</v>
      </c>
      <c r="C91" s="33">
        <f>SUMPRODUCT(--($B$23:$B$58=C$63),--($C$23:$C$58&lt;=$A91),--($D$23:$D$58&gt;$A91))+0</f>
        <v>2.0</v>
      </c>
      <c r="D91" s="33">
        <f>SUMPRODUCT(--($B$23:$B$58=D$63),--($C$23:$C$58&lt;=$A91),--($D$23:$D$58&gt;$A91))+0</f>
        <v>2.0</v>
      </c>
      <c r="E91" s="33">
        <f>SUMPRODUCT(--($B$23:$B$58=E$63),--($C$23:$C$58&lt;=$A91),--($D$23:$D$58&gt;$A91))+0</f>
        <v>2.0</v>
      </c>
      <c r="F91" s="33">
        <f>SUMPRODUCT(--($B$23:$B$58=F$63),--($C$23:$C$58&lt;=$A91),--($D$23:$D$58&gt;$A91))+0</f>
        <v>2.0</v>
      </c>
      <c r="G91" s="33">
        <f>SUMPRODUCT(--($B$23:$B$58=G$63),--($C$23:$C$58&lt;=$A91),--($D$23:$D$58&gt;$A91))+0</f>
        <v>2.0</v>
      </c>
      <c r="H91" s="33">
        <f>SUMPRODUCT(--($B$23:$B$58=H$63),--($C$23:$C$58&lt;=$A91),--($D$23:$D$58&gt;$A91))+0</f>
        <v>2.0</v>
      </c>
      <c r="I91" s="33">
        <f>SUMPRODUCT(--($B$23:$B$58=I$63),--($C$23:$C$58&lt;=$A91),--($D$23:$D$58&gt;$A91))+0</f>
        <v>2.0</v>
      </c>
      <c r="K91" s="33">
        <f>SUMPRODUCT(--($B$23:$B$58=C$63),--($C$23:$C$58&lt;=$A91),--($D$23:$D$58&gt;$A91),--($E$23:$E$58="L"))+0</f>
        <v>1.0</v>
      </c>
      <c r="L91" s="33">
        <f>SUMPRODUCT(--($B$23:$B$58=D$63),--($C$23:$C$58&lt;=$A91),--($D$23:$D$58&gt;$A91),--($E$23:$E$58="L"))+0</f>
        <v>1.0</v>
      </c>
      <c r="M91" s="33">
        <f>SUMPRODUCT(--($B$23:$B$58=E$63),--($C$23:$C$58&lt;=$A91),--($D$23:$D$58&gt;$A91),--($E$23:$E$58="L"))+0</f>
        <v>1.0</v>
      </c>
      <c r="N91" s="33">
        <f>SUMPRODUCT(--($B$23:$B$58=F$63),--($C$23:$C$58&lt;=$A91),--($D$23:$D$58&gt;$A91),--($E$23:$E$58="L"))+0</f>
        <v>1.0</v>
      </c>
      <c r="O91" s="33">
        <f>SUMPRODUCT(--($B$23:$B$58=G$63),--($C$23:$C$58&lt;=$A91),--($D$23:$D$58&gt;$A91),--($E$23:$E$58="L"))+0</f>
        <v>1.0</v>
      </c>
      <c r="P91" s="33">
        <f>SUMPRODUCT(--($B$23:$B$58=H$63),--($C$23:$C$58&lt;=$A91),--($D$23:$D$58&gt;$A91),--($E$23:$E$58="L"))+0</f>
        <v>1.0</v>
      </c>
      <c r="Q91" s="33">
        <f>SUMPRODUCT(--($B$23:$B$58=I$63),--($C$23:$C$58&lt;=$A91),--($D$23:$D$58&gt;$A91),--($E$23:$E$58="L"))+0</f>
        <v>1.0</v>
      </c>
      <c r="S91" s="33">
        <f>SUMPRODUCT($F$14:$F$19,--($B$14:$B$19&lt;=$A91),--($C$14:$C$19&gt;$A91),$D$14:$D$19)+0</f>
        <v>2.0</v>
      </c>
      <c r="T91" s="33">
        <f>SUMPRODUCT($G$14:$G$19,--($B$14:$B$19&lt;=$A91),--($C$14:$C$19&gt;$A91),$D$14:$D$19)+0</f>
        <v>2.0</v>
      </c>
      <c r="U91" s="33">
        <f>SUMPRODUCT($H$14:$H$19,--($B$14:$B$19&lt;=$A91),--($C$14:$C$19&gt;$A91),$D$14:$D$19)+0</f>
        <v>2.0</v>
      </c>
      <c r="V91" s="33">
        <f>SUMPRODUCT($I$14:$I$19,--($B$14:$B$19&lt;=$A91),--($C$14:$C$19&gt;$A91),$D$14:$D$19)+0</f>
        <v>2.0</v>
      </c>
      <c r="W91" s="33">
        <f>SUMPRODUCT($J$14:$J$19,--($B$14:$B$19&lt;=$A91),--($C$14:$C$19&gt;$A91),$D$14:$D$19)+0</f>
        <v>2.0</v>
      </c>
      <c r="X91" s="33">
        <f>SUMPRODUCT($K$14:$K$19,--($B$14:$B$19&lt;=$A91),--($C$14:$C$19&gt;$A91),$D$14:$D$19)+0</f>
        <v>2.0</v>
      </c>
      <c r="Y91" s="33">
        <f>SUMPRODUCT($L$14:$L$19,--($B$14:$B$19&lt;=$A91),--($C$14:$C$19&gt;$A91),$D$14:$D$19)+0</f>
        <v>2.0</v>
      </c>
      <c r="AA91" s="33">
        <f>IF(OR(K91&lt;SUMPRODUCT($F$14:$F$19,--($B$14:$B$19&lt;=$A91),--($C$14:$C$19&gt;$A91),$E$14:$E$19),C91&lt;S91),1,0)</f>
        <v>0.0</v>
      </c>
      <c r="AB91" s="33">
        <f>IF(OR(L91&lt;SUMPRODUCT($G$14:$G$19,--($B$14:$B$19&lt;=$A91),--($C$14:$C$19&gt;$A91),$E$14:$E$19),D91&lt;T91),1,0)</f>
        <v>0.0</v>
      </c>
      <c r="AC91" s="33">
        <f>IF(OR(M91&lt;SUMPRODUCT($H$14:$H$19,--($B$14:$B$19&lt;=$A91),--($C$14:$C$19&gt;$A91),$E$14:$E$19),E91&lt;U91),1,0)</f>
        <v>0.0</v>
      </c>
      <c r="AD91" s="33">
        <f>IF(OR(N91&lt;SUMPRODUCT($I$14:$I$19,--($B$14:$B$19&lt;=$A91),--($C$14:$C$19&gt;$A91),$E$14:$E$19),F91&lt;V91),1,0)</f>
        <v>0.0</v>
      </c>
      <c r="AE91" s="33">
        <f>IF(OR(O91&lt;SUMPRODUCT($J$14:$J$19,--($B$14:$B$19&lt;=$A91),--($C$14:$C$19&gt;$A91),$E$14:$E$19),G91&lt;W91),1,0)</f>
        <v>0.0</v>
      </c>
      <c r="AF91" s="33">
        <f>IF(OR(P91&lt;SUMPRODUCT($K$14:$K$19,--($B$14:$B$19&lt;=$A91),--($C$14:$C$19&gt;$A91),$E$14:$E$19),H91&lt;X91),1,0)</f>
        <v>0.0</v>
      </c>
      <c r="AG91" s="33">
        <f>IF(OR(Q91&lt;SUMPRODUCT($L$14:$L$19,--($B$14:$B$19&lt;=$A91),--($C$14:$C$19&gt;$A91),$E$14:$E$19),I91&lt;Y91),1,0)</f>
        <v>0.0</v>
      </c>
    </row>
    <row r="92">
      <c r="A92" s="20">
        <f>A91+'Parámetros'!$B$57</f>
        <v>18.0</v>
      </c>
      <c r="B92" s="32">
        <f>IFERROR(A92/'Parámetros'!$B$48,"")</f>
        <v>0.75</v>
      </c>
      <c r="C92" s="33">
        <f>SUMPRODUCT(--($B$23:$B$58=C$63),--($C$23:$C$58&lt;=$A92),--($D$23:$D$58&gt;$A92))+0</f>
        <v>2.0</v>
      </c>
      <c r="D92" s="33">
        <f>SUMPRODUCT(--($B$23:$B$58=D$63),--($C$23:$C$58&lt;=$A92),--($D$23:$D$58&gt;$A92))+0</f>
        <v>2.0</v>
      </c>
      <c r="E92" s="33">
        <f>SUMPRODUCT(--($B$23:$B$58=E$63),--($C$23:$C$58&lt;=$A92),--($D$23:$D$58&gt;$A92))+0</f>
        <v>2.0</v>
      </c>
      <c r="F92" s="33">
        <f>SUMPRODUCT(--($B$23:$B$58=F$63),--($C$23:$C$58&lt;=$A92),--($D$23:$D$58&gt;$A92))+0</f>
        <v>2.0</v>
      </c>
      <c r="G92" s="33">
        <f>SUMPRODUCT(--($B$23:$B$58=G$63),--($C$23:$C$58&lt;=$A92),--($D$23:$D$58&gt;$A92))+0</f>
        <v>2.0</v>
      </c>
      <c r="H92" s="33">
        <f>SUMPRODUCT(--($B$23:$B$58=H$63),--($C$23:$C$58&lt;=$A92),--($D$23:$D$58&gt;$A92))+0</f>
        <v>2.0</v>
      </c>
      <c r="I92" s="33">
        <f>SUMPRODUCT(--($B$23:$B$58=I$63),--($C$23:$C$58&lt;=$A92),--($D$23:$D$58&gt;$A92))+0</f>
        <v>2.0</v>
      </c>
      <c r="K92" s="33">
        <f>SUMPRODUCT(--($B$23:$B$58=C$63),--($C$23:$C$58&lt;=$A92),--($D$23:$D$58&gt;$A92),--($E$23:$E$58="L"))+0</f>
        <v>1.0</v>
      </c>
      <c r="L92" s="33">
        <f>SUMPRODUCT(--($B$23:$B$58=D$63),--($C$23:$C$58&lt;=$A92),--($D$23:$D$58&gt;$A92),--($E$23:$E$58="L"))+0</f>
        <v>1.0</v>
      </c>
      <c r="M92" s="33">
        <f>SUMPRODUCT(--($B$23:$B$58=E$63),--($C$23:$C$58&lt;=$A92),--($D$23:$D$58&gt;$A92),--($E$23:$E$58="L"))+0</f>
        <v>1.0</v>
      </c>
      <c r="N92" s="33">
        <f>SUMPRODUCT(--($B$23:$B$58=F$63),--($C$23:$C$58&lt;=$A92),--($D$23:$D$58&gt;$A92),--($E$23:$E$58="L"))+0</f>
        <v>1.0</v>
      </c>
      <c r="O92" s="33">
        <f>SUMPRODUCT(--($B$23:$B$58=G$63),--($C$23:$C$58&lt;=$A92),--($D$23:$D$58&gt;$A92),--($E$23:$E$58="L"))+0</f>
        <v>1.0</v>
      </c>
      <c r="P92" s="33">
        <f>SUMPRODUCT(--($B$23:$B$58=H$63),--($C$23:$C$58&lt;=$A92),--($D$23:$D$58&gt;$A92),--($E$23:$E$58="L"))+0</f>
        <v>1.0</v>
      </c>
      <c r="Q92" s="33">
        <f>SUMPRODUCT(--($B$23:$B$58=I$63),--($C$23:$C$58&lt;=$A92),--($D$23:$D$58&gt;$A92),--($E$23:$E$58="L"))+0</f>
        <v>1.0</v>
      </c>
      <c r="S92" s="33">
        <f>SUMPRODUCT($F$14:$F$19,--($B$14:$B$19&lt;=$A92),--($C$14:$C$19&gt;$A92),$D$14:$D$19)+0</f>
        <v>2.0</v>
      </c>
      <c r="T92" s="33">
        <f>SUMPRODUCT($G$14:$G$19,--($B$14:$B$19&lt;=$A92),--($C$14:$C$19&gt;$A92),$D$14:$D$19)+0</f>
        <v>2.0</v>
      </c>
      <c r="U92" s="33">
        <f>SUMPRODUCT($H$14:$H$19,--($B$14:$B$19&lt;=$A92),--($C$14:$C$19&gt;$A92),$D$14:$D$19)+0</f>
        <v>2.0</v>
      </c>
      <c r="V92" s="33">
        <f>SUMPRODUCT($I$14:$I$19,--($B$14:$B$19&lt;=$A92),--($C$14:$C$19&gt;$A92),$D$14:$D$19)+0</f>
        <v>2.0</v>
      </c>
      <c r="W92" s="33">
        <f>SUMPRODUCT($J$14:$J$19,--($B$14:$B$19&lt;=$A92),--($C$14:$C$19&gt;$A92),$D$14:$D$19)+0</f>
        <v>2.0</v>
      </c>
      <c r="X92" s="33">
        <f>SUMPRODUCT($K$14:$K$19,--($B$14:$B$19&lt;=$A92),--($C$14:$C$19&gt;$A92),$D$14:$D$19)+0</f>
        <v>2.0</v>
      </c>
      <c r="Y92" s="33">
        <f>SUMPRODUCT($L$14:$L$19,--($B$14:$B$19&lt;=$A92),--($C$14:$C$19&gt;$A92),$D$14:$D$19)+0</f>
        <v>2.0</v>
      </c>
      <c r="AA92" s="33">
        <f>IF(OR(K92&lt;SUMPRODUCT($F$14:$F$19,--($B$14:$B$19&lt;=$A92),--($C$14:$C$19&gt;$A92),$E$14:$E$19),C92&lt;S92),1,0)</f>
        <v>0.0</v>
      </c>
      <c r="AB92" s="33">
        <f>IF(OR(L92&lt;SUMPRODUCT($G$14:$G$19,--($B$14:$B$19&lt;=$A92),--($C$14:$C$19&gt;$A92),$E$14:$E$19),D92&lt;T92),1,0)</f>
        <v>0.0</v>
      </c>
      <c r="AC92" s="33">
        <f>IF(OR(M92&lt;SUMPRODUCT($H$14:$H$19,--($B$14:$B$19&lt;=$A92),--($C$14:$C$19&gt;$A92),$E$14:$E$19),E92&lt;U92),1,0)</f>
        <v>0.0</v>
      </c>
      <c r="AD92" s="33">
        <f>IF(OR(N92&lt;SUMPRODUCT($I$14:$I$19,--($B$14:$B$19&lt;=$A92),--($C$14:$C$19&gt;$A92),$E$14:$E$19),F92&lt;V92),1,0)</f>
        <v>0.0</v>
      </c>
      <c r="AE92" s="33">
        <f>IF(OR(O92&lt;SUMPRODUCT($J$14:$J$19,--($B$14:$B$19&lt;=$A92),--($C$14:$C$19&gt;$A92),$E$14:$E$19),G92&lt;W92),1,0)</f>
        <v>0.0</v>
      </c>
      <c r="AF92" s="33">
        <f>IF(OR(P92&lt;SUMPRODUCT($K$14:$K$19,--($B$14:$B$19&lt;=$A92),--($C$14:$C$19&gt;$A92),$E$14:$E$19),H92&lt;X92),1,0)</f>
        <v>0.0</v>
      </c>
      <c r="AG92" s="33">
        <f>IF(OR(Q92&lt;SUMPRODUCT($L$14:$L$19,--($B$14:$B$19&lt;=$A92),--($C$14:$C$19&gt;$A92),$E$14:$E$19),I92&lt;Y92),1,0)</f>
        <v>0.0</v>
      </c>
    </row>
    <row r="93">
      <c r="A93" s="20">
        <f>A92+'Parámetros'!$B$57</f>
        <v>18.5</v>
      </c>
      <c r="B93" s="32">
        <f>IFERROR(A93/'Parámetros'!$B$48,"")</f>
        <v>0.7708333333333334</v>
      </c>
      <c r="C93" s="33">
        <f>SUMPRODUCT(--($B$23:$B$58=C$63),--($C$23:$C$58&lt;=$A93),--($D$23:$D$58&gt;$A93))+0</f>
        <v>2.0</v>
      </c>
      <c r="D93" s="33">
        <f>SUMPRODUCT(--($B$23:$B$58=D$63),--($C$23:$C$58&lt;=$A93),--($D$23:$D$58&gt;$A93))+0</f>
        <v>2.0</v>
      </c>
      <c r="E93" s="33">
        <f>SUMPRODUCT(--($B$23:$B$58=E$63),--($C$23:$C$58&lt;=$A93),--($D$23:$D$58&gt;$A93))+0</f>
        <v>2.0</v>
      </c>
      <c r="F93" s="33">
        <f>SUMPRODUCT(--($B$23:$B$58=F$63),--($C$23:$C$58&lt;=$A93),--($D$23:$D$58&gt;$A93))+0</f>
        <v>2.0</v>
      </c>
      <c r="G93" s="33">
        <f>SUMPRODUCT(--($B$23:$B$58=G$63),--($C$23:$C$58&lt;=$A93),--($D$23:$D$58&gt;$A93))+0</f>
        <v>2.0</v>
      </c>
      <c r="H93" s="33">
        <f>SUMPRODUCT(--($B$23:$B$58=H$63),--($C$23:$C$58&lt;=$A93),--($D$23:$D$58&gt;$A93))+0</f>
        <v>2.0</v>
      </c>
      <c r="I93" s="33">
        <f>SUMPRODUCT(--($B$23:$B$58=I$63),--($C$23:$C$58&lt;=$A93),--($D$23:$D$58&gt;$A93))+0</f>
        <v>2.0</v>
      </c>
      <c r="K93" s="33">
        <f>SUMPRODUCT(--($B$23:$B$58=C$63),--($C$23:$C$58&lt;=$A93),--($D$23:$D$58&gt;$A93),--($E$23:$E$58="L"))+0</f>
        <v>1.0</v>
      </c>
      <c r="L93" s="33">
        <f>SUMPRODUCT(--($B$23:$B$58=D$63),--($C$23:$C$58&lt;=$A93),--($D$23:$D$58&gt;$A93),--($E$23:$E$58="L"))+0</f>
        <v>1.0</v>
      </c>
      <c r="M93" s="33">
        <f>SUMPRODUCT(--($B$23:$B$58=E$63),--($C$23:$C$58&lt;=$A93),--($D$23:$D$58&gt;$A93),--($E$23:$E$58="L"))+0</f>
        <v>1.0</v>
      </c>
      <c r="N93" s="33">
        <f>SUMPRODUCT(--($B$23:$B$58=F$63),--($C$23:$C$58&lt;=$A93),--($D$23:$D$58&gt;$A93),--($E$23:$E$58="L"))+0</f>
        <v>1.0</v>
      </c>
      <c r="O93" s="33">
        <f>SUMPRODUCT(--($B$23:$B$58=G$63),--($C$23:$C$58&lt;=$A93),--($D$23:$D$58&gt;$A93),--($E$23:$E$58="L"))+0</f>
        <v>1.0</v>
      </c>
      <c r="P93" s="33">
        <f>SUMPRODUCT(--($B$23:$B$58=H$63),--($C$23:$C$58&lt;=$A93),--($D$23:$D$58&gt;$A93),--($E$23:$E$58="L"))+0</f>
        <v>1.0</v>
      </c>
      <c r="Q93" s="33">
        <f>SUMPRODUCT(--($B$23:$B$58=I$63),--($C$23:$C$58&lt;=$A93),--($D$23:$D$58&gt;$A93),--($E$23:$E$58="L"))+0</f>
        <v>1.0</v>
      </c>
      <c r="S93" s="33">
        <f>SUMPRODUCT($F$14:$F$19,--($B$14:$B$19&lt;=$A93),--($C$14:$C$19&gt;$A93),$D$14:$D$19)+0</f>
        <v>2.0</v>
      </c>
      <c r="T93" s="33">
        <f>SUMPRODUCT($G$14:$G$19,--($B$14:$B$19&lt;=$A93),--($C$14:$C$19&gt;$A93),$D$14:$D$19)+0</f>
        <v>2.0</v>
      </c>
      <c r="U93" s="33">
        <f>SUMPRODUCT($H$14:$H$19,--($B$14:$B$19&lt;=$A93),--($C$14:$C$19&gt;$A93),$D$14:$D$19)+0</f>
        <v>2.0</v>
      </c>
      <c r="V93" s="33">
        <f>SUMPRODUCT($I$14:$I$19,--($B$14:$B$19&lt;=$A93),--($C$14:$C$19&gt;$A93),$D$14:$D$19)+0</f>
        <v>2.0</v>
      </c>
      <c r="W93" s="33">
        <f>SUMPRODUCT($J$14:$J$19,--($B$14:$B$19&lt;=$A93),--($C$14:$C$19&gt;$A93),$D$14:$D$19)+0</f>
        <v>2.0</v>
      </c>
      <c r="X93" s="33">
        <f>SUMPRODUCT($K$14:$K$19,--($B$14:$B$19&lt;=$A93),--($C$14:$C$19&gt;$A93),$D$14:$D$19)+0</f>
        <v>2.0</v>
      </c>
      <c r="Y93" s="33">
        <f>SUMPRODUCT($L$14:$L$19,--($B$14:$B$19&lt;=$A93),--($C$14:$C$19&gt;$A93),$D$14:$D$19)+0</f>
        <v>2.0</v>
      </c>
      <c r="AA93" s="33">
        <f>IF(OR(K93&lt;SUMPRODUCT($F$14:$F$19,--($B$14:$B$19&lt;=$A93),--($C$14:$C$19&gt;$A93),$E$14:$E$19),C93&lt;S93),1,0)</f>
        <v>0.0</v>
      </c>
      <c r="AB93" s="33">
        <f>IF(OR(L93&lt;SUMPRODUCT($G$14:$G$19,--($B$14:$B$19&lt;=$A93),--($C$14:$C$19&gt;$A93),$E$14:$E$19),D93&lt;T93),1,0)</f>
        <v>0.0</v>
      </c>
      <c r="AC93" s="33">
        <f>IF(OR(M93&lt;SUMPRODUCT($H$14:$H$19,--($B$14:$B$19&lt;=$A93),--($C$14:$C$19&gt;$A93),$E$14:$E$19),E93&lt;U93),1,0)</f>
        <v>0.0</v>
      </c>
      <c r="AD93" s="33">
        <f>IF(OR(N93&lt;SUMPRODUCT($I$14:$I$19,--($B$14:$B$19&lt;=$A93),--($C$14:$C$19&gt;$A93),$E$14:$E$19),F93&lt;V93),1,0)</f>
        <v>0.0</v>
      </c>
      <c r="AE93" s="33">
        <f>IF(OR(O93&lt;SUMPRODUCT($J$14:$J$19,--($B$14:$B$19&lt;=$A93),--($C$14:$C$19&gt;$A93),$E$14:$E$19),G93&lt;W93),1,0)</f>
        <v>0.0</v>
      </c>
      <c r="AF93" s="33">
        <f>IF(OR(P93&lt;SUMPRODUCT($K$14:$K$19,--($B$14:$B$19&lt;=$A93),--($C$14:$C$19&gt;$A93),$E$14:$E$19),H93&lt;X93),1,0)</f>
        <v>0.0</v>
      </c>
      <c r="AG93" s="33">
        <f>IF(OR(Q93&lt;SUMPRODUCT($L$14:$L$19,--($B$14:$B$19&lt;=$A93),--($C$14:$C$19&gt;$A93),$E$14:$E$19),I93&lt;Y93),1,0)</f>
        <v>0.0</v>
      </c>
    </row>
    <row r="94">
      <c r="A94" s="20">
        <f>A93+'Parámetros'!$B$57</f>
        <v>19.0</v>
      </c>
      <c r="B94" s="32">
        <f>IFERROR(A94/'Parámetros'!$B$48,"")</f>
        <v>0.7916666666666666</v>
      </c>
      <c r="C94" s="33">
        <f>SUMPRODUCT(--($B$23:$B$58=C$63),--($C$23:$C$58&lt;=$A94),--($D$23:$D$58&gt;$A94))+0</f>
        <v>2.0</v>
      </c>
      <c r="D94" s="33">
        <f>SUMPRODUCT(--($B$23:$B$58=D$63),--($C$23:$C$58&lt;=$A94),--($D$23:$D$58&gt;$A94))+0</f>
        <v>2.0</v>
      </c>
      <c r="E94" s="33">
        <f>SUMPRODUCT(--($B$23:$B$58=E$63),--($C$23:$C$58&lt;=$A94),--($D$23:$D$58&gt;$A94))+0</f>
        <v>2.0</v>
      </c>
      <c r="F94" s="33">
        <f>SUMPRODUCT(--($B$23:$B$58=F$63),--($C$23:$C$58&lt;=$A94),--($D$23:$D$58&gt;$A94))+0</f>
        <v>2.0</v>
      </c>
      <c r="G94" s="33">
        <f>SUMPRODUCT(--($B$23:$B$58=G$63),--($C$23:$C$58&lt;=$A94),--($D$23:$D$58&gt;$A94))+0</f>
        <v>2.0</v>
      </c>
      <c r="H94" s="33">
        <f>SUMPRODUCT(--($B$23:$B$58=H$63),--($C$23:$C$58&lt;=$A94),--($D$23:$D$58&gt;$A94))+0</f>
        <v>2.0</v>
      </c>
      <c r="I94" s="33">
        <f>SUMPRODUCT(--($B$23:$B$58=I$63),--($C$23:$C$58&lt;=$A94),--($D$23:$D$58&gt;$A94))+0</f>
        <v>2.0</v>
      </c>
      <c r="K94" s="33">
        <f>SUMPRODUCT(--($B$23:$B$58=C$63),--($C$23:$C$58&lt;=$A94),--($D$23:$D$58&gt;$A94),--($E$23:$E$58="L"))+0</f>
        <v>1.0</v>
      </c>
      <c r="L94" s="33">
        <f>SUMPRODUCT(--($B$23:$B$58=D$63),--($C$23:$C$58&lt;=$A94),--($D$23:$D$58&gt;$A94),--($E$23:$E$58="L"))+0</f>
        <v>1.0</v>
      </c>
      <c r="M94" s="33">
        <f>SUMPRODUCT(--($B$23:$B$58=E$63),--($C$23:$C$58&lt;=$A94),--($D$23:$D$58&gt;$A94),--($E$23:$E$58="L"))+0</f>
        <v>1.0</v>
      </c>
      <c r="N94" s="33">
        <f>SUMPRODUCT(--($B$23:$B$58=F$63),--($C$23:$C$58&lt;=$A94),--($D$23:$D$58&gt;$A94),--($E$23:$E$58="L"))+0</f>
        <v>1.0</v>
      </c>
      <c r="O94" s="33">
        <f>SUMPRODUCT(--($B$23:$B$58=G$63),--($C$23:$C$58&lt;=$A94),--($D$23:$D$58&gt;$A94),--($E$23:$E$58="L"))+0</f>
        <v>1.0</v>
      </c>
      <c r="P94" s="33">
        <f>SUMPRODUCT(--($B$23:$B$58=H$63),--($C$23:$C$58&lt;=$A94),--($D$23:$D$58&gt;$A94),--($E$23:$E$58="L"))+0</f>
        <v>1.0</v>
      </c>
      <c r="Q94" s="33">
        <f>SUMPRODUCT(--($B$23:$B$58=I$63),--($C$23:$C$58&lt;=$A94),--($D$23:$D$58&gt;$A94),--($E$23:$E$58="L"))+0</f>
        <v>1.0</v>
      </c>
      <c r="S94" s="33">
        <f>SUMPRODUCT($F$14:$F$19,--($B$14:$B$19&lt;=$A94),--($C$14:$C$19&gt;$A94),$D$14:$D$19)+0</f>
        <v>2.0</v>
      </c>
      <c r="T94" s="33">
        <f>SUMPRODUCT($G$14:$G$19,--($B$14:$B$19&lt;=$A94),--($C$14:$C$19&gt;$A94),$D$14:$D$19)+0</f>
        <v>2.0</v>
      </c>
      <c r="U94" s="33">
        <f>SUMPRODUCT($H$14:$H$19,--($B$14:$B$19&lt;=$A94),--($C$14:$C$19&gt;$A94),$D$14:$D$19)+0</f>
        <v>2.0</v>
      </c>
      <c r="V94" s="33">
        <f>SUMPRODUCT($I$14:$I$19,--($B$14:$B$19&lt;=$A94),--($C$14:$C$19&gt;$A94),$D$14:$D$19)+0</f>
        <v>2.0</v>
      </c>
      <c r="W94" s="33">
        <f>SUMPRODUCT($J$14:$J$19,--($B$14:$B$19&lt;=$A94),--($C$14:$C$19&gt;$A94),$D$14:$D$19)+0</f>
        <v>2.0</v>
      </c>
      <c r="X94" s="33">
        <f>SUMPRODUCT($K$14:$K$19,--($B$14:$B$19&lt;=$A94),--($C$14:$C$19&gt;$A94),$D$14:$D$19)+0</f>
        <v>2.0</v>
      </c>
      <c r="Y94" s="33">
        <f>SUMPRODUCT($L$14:$L$19,--($B$14:$B$19&lt;=$A94),--($C$14:$C$19&gt;$A94),$D$14:$D$19)+0</f>
        <v>2.0</v>
      </c>
      <c r="AA94" s="33">
        <f>IF(OR(K94&lt;SUMPRODUCT($F$14:$F$19,--($B$14:$B$19&lt;=$A94),--($C$14:$C$19&gt;$A94),$E$14:$E$19),C94&lt;S94),1,0)</f>
        <v>0.0</v>
      </c>
      <c r="AB94" s="33">
        <f>IF(OR(L94&lt;SUMPRODUCT($G$14:$G$19,--($B$14:$B$19&lt;=$A94),--($C$14:$C$19&gt;$A94),$E$14:$E$19),D94&lt;T94),1,0)</f>
        <v>0.0</v>
      </c>
      <c r="AC94" s="33">
        <f>IF(OR(M94&lt;SUMPRODUCT($H$14:$H$19,--($B$14:$B$19&lt;=$A94),--($C$14:$C$19&gt;$A94),$E$14:$E$19),E94&lt;U94),1,0)</f>
        <v>0.0</v>
      </c>
      <c r="AD94" s="33">
        <f>IF(OR(N94&lt;SUMPRODUCT($I$14:$I$19,--($B$14:$B$19&lt;=$A94),--($C$14:$C$19&gt;$A94),$E$14:$E$19),F94&lt;V94),1,0)</f>
        <v>0.0</v>
      </c>
      <c r="AE94" s="33">
        <f>IF(OR(O94&lt;SUMPRODUCT($J$14:$J$19,--($B$14:$B$19&lt;=$A94),--($C$14:$C$19&gt;$A94),$E$14:$E$19),G94&lt;W94),1,0)</f>
        <v>0.0</v>
      </c>
      <c r="AF94" s="33">
        <f>IF(OR(P94&lt;SUMPRODUCT($K$14:$K$19,--($B$14:$B$19&lt;=$A94),--($C$14:$C$19&gt;$A94),$E$14:$E$19),H94&lt;X94),1,0)</f>
        <v>0.0</v>
      </c>
      <c r="AG94" s="33">
        <f>IF(OR(Q94&lt;SUMPRODUCT($L$14:$L$19,--($B$14:$B$19&lt;=$A94),--($C$14:$C$19&gt;$A94),$E$14:$E$19),I94&lt;Y94),1,0)</f>
        <v>0.0</v>
      </c>
    </row>
    <row r="95">
      <c r="A95" s="20">
        <f>A94+'Parámetros'!$B$57</f>
        <v>19.5</v>
      </c>
      <c r="B95" s="32">
        <f>IFERROR(A95/'Parámetros'!$B$48,"")</f>
        <v>0.8125</v>
      </c>
      <c r="C95" s="33">
        <f>SUMPRODUCT(--($B$23:$B$58=C$63),--($C$23:$C$58&lt;=$A95),--($D$23:$D$58&gt;$A95))+0</f>
        <v>2.0</v>
      </c>
      <c r="D95" s="33">
        <f>SUMPRODUCT(--($B$23:$B$58=D$63),--($C$23:$C$58&lt;=$A95),--($D$23:$D$58&gt;$A95))+0</f>
        <v>2.0</v>
      </c>
      <c r="E95" s="33">
        <f>SUMPRODUCT(--($B$23:$B$58=E$63),--($C$23:$C$58&lt;=$A95),--($D$23:$D$58&gt;$A95))+0</f>
        <v>2.0</v>
      </c>
      <c r="F95" s="33">
        <f>SUMPRODUCT(--($B$23:$B$58=F$63),--($C$23:$C$58&lt;=$A95),--($D$23:$D$58&gt;$A95))+0</f>
        <v>2.0</v>
      </c>
      <c r="G95" s="33">
        <f>SUMPRODUCT(--($B$23:$B$58=G$63),--($C$23:$C$58&lt;=$A95),--($D$23:$D$58&gt;$A95))+0</f>
        <v>2.0</v>
      </c>
      <c r="H95" s="33">
        <f>SUMPRODUCT(--($B$23:$B$58=H$63),--($C$23:$C$58&lt;=$A95),--($D$23:$D$58&gt;$A95))+0</f>
        <v>2.0</v>
      </c>
      <c r="I95" s="33">
        <f>SUMPRODUCT(--($B$23:$B$58=I$63),--($C$23:$C$58&lt;=$A95),--($D$23:$D$58&gt;$A95))+0</f>
        <v>2.0</v>
      </c>
      <c r="K95" s="33">
        <f>SUMPRODUCT(--($B$23:$B$58=C$63),--($C$23:$C$58&lt;=$A95),--($D$23:$D$58&gt;$A95),--($E$23:$E$58="L"))+0</f>
        <v>1.0</v>
      </c>
      <c r="L95" s="33">
        <f>SUMPRODUCT(--($B$23:$B$58=D$63),--($C$23:$C$58&lt;=$A95),--($D$23:$D$58&gt;$A95),--($E$23:$E$58="L"))+0</f>
        <v>1.0</v>
      </c>
      <c r="M95" s="33">
        <f>SUMPRODUCT(--($B$23:$B$58=E$63),--($C$23:$C$58&lt;=$A95),--($D$23:$D$58&gt;$A95),--($E$23:$E$58="L"))+0</f>
        <v>1.0</v>
      </c>
      <c r="N95" s="33">
        <f>SUMPRODUCT(--($B$23:$B$58=F$63),--($C$23:$C$58&lt;=$A95),--($D$23:$D$58&gt;$A95),--($E$23:$E$58="L"))+0</f>
        <v>1.0</v>
      </c>
      <c r="O95" s="33">
        <f>SUMPRODUCT(--($B$23:$B$58=G$63),--($C$23:$C$58&lt;=$A95),--($D$23:$D$58&gt;$A95),--($E$23:$E$58="L"))+0</f>
        <v>1.0</v>
      </c>
      <c r="P95" s="33">
        <f>SUMPRODUCT(--($B$23:$B$58=H$63),--($C$23:$C$58&lt;=$A95),--($D$23:$D$58&gt;$A95),--($E$23:$E$58="L"))+0</f>
        <v>1.0</v>
      </c>
      <c r="Q95" s="33">
        <f>SUMPRODUCT(--($B$23:$B$58=I$63),--($C$23:$C$58&lt;=$A95),--($D$23:$D$58&gt;$A95),--($E$23:$E$58="L"))+0</f>
        <v>1.0</v>
      </c>
      <c r="S95" s="33">
        <f>SUMPRODUCT($F$14:$F$19,--($B$14:$B$19&lt;=$A95),--($C$14:$C$19&gt;$A95),$D$14:$D$19)+0</f>
        <v>2.0</v>
      </c>
      <c r="T95" s="33">
        <f>SUMPRODUCT($G$14:$G$19,--($B$14:$B$19&lt;=$A95),--($C$14:$C$19&gt;$A95),$D$14:$D$19)+0</f>
        <v>2.0</v>
      </c>
      <c r="U95" s="33">
        <f>SUMPRODUCT($H$14:$H$19,--($B$14:$B$19&lt;=$A95),--($C$14:$C$19&gt;$A95),$D$14:$D$19)+0</f>
        <v>2.0</v>
      </c>
      <c r="V95" s="33">
        <f>SUMPRODUCT($I$14:$I$19,--($B$14:$B$19&lt;=$A95),--($C$14:$C$19&gt;$A95),$D$14:$D$19)+0</f>
        <v>2.0</v>
      </c>
      <c r="W95" s="33">
        <f>SUMPRODUCT($J$14:$J$19,--($B$14:$B$19&lt;=$A95),--($C$14:$C$19&gt;$A95),$D$14:$D$19)+0</f>
        <v>2.0</v>
      </c>
      <c r="X95" s="33">
        <f>SUMPRODUCT($K$14:$K$19,--($B$14:$B$19&lt;=$A95),--($C$14:$C$19&gt;$A95),$D$14:$D$19)+0</f>
        <v>2.0</v>
      </c>
      <c r="Y95" s="33">
        <f>SUMPRODUCT($L$14:$L$19,--($B$14:$B$19&lt;=$A95),--($C$14:$C$19&gt;$A95),$D$14:$D$19)+0</f>
        <v>2.0</v>
      </c>
      <c r="AA95" s="33">
        <f>IF(OR(K95&lt;SUMPRODUCT($F$14:$F$19,--($B$14:$B$19&lt;=$A95),--($C$14:$C$19&gt;$A95),$E$14:$E$19),C95&lt;S95),1,0)</f>
        <v>0.0</v>
      </c>
      <c r="AB95" s="33">
        <f>IF(OR(L95&lt;SUMPRODUCT($G$14:$G$19,--($B$14:$B$19&lt;=$A95),--($C$14:$C$19&gt;$A95),$E$14:$E$19),D95&lt;T95),1,0)</f>
        <v>0.0</v>
      </c>
      <c r="AC95" s="33">
        <f>IF(OR(M95&lt;SUMPRODUCT($H$14:$H$19,--($B$14:$B$19&lt;=$A95),--($C$14:$C$19&gt;$A95),$E$14:$E$19),E95&lt;U95),1,0)</f>
        <v>0.0</v>
      </c>
      <c r="AD95" s="33">
        <f>IF(OR(N95&lt;SUMPRODUCT($I$14:$I$19,--($B$14:$B$19&lt;=$A95),--($C$14:$C$19&gt;$A95),$E$14:$E$19),F95&lt;V95),1,0)</f>
        <v>0.0</v>
      </c>
      <c r="AE95" s="33">
        <f>IF(OR(O95&lt;SUMPRODUCT($J$14:$J$19,--($B$14:$B$19&lt;=$A95),--($C$14:$C$19&gt;$A95),$E$14:$E$19),G95&lt;W95),1,0)</f>
        <v>0.0</v>
      </c>
      <c r="AF95" s="33">
        <f>IF(OR(P95&lt;SUMPRODUCT($K$14:$K$19,--($B$14:$B$19&lt;=$A95),--($C$14:$C$19&gt;$A95),$E$14:$E$19),H95&lt;X95),1,0)</f>
        <v>0.0</v>
      </c>
      <c r="AG95" s="33">
        <f>IF(OR(Q95&lt;SUMPRODUCT($L$14:$L$19,--($B$14:$B$19&lt;=$A95),--($C$14:$C$19&gt;$A95),$E$14:$E$19),I95&lt;Y95),1,0)</f>
        <v>0.0</v>
      </c>
    </row>
    <row r="96">
      <c r="A96" s="20">
        <f>A95+'Parámetros'!$B$57</f>
        <v>20.0</v>
      </c>
      <c r="B96" s="32">
        <f>IFERROR(A96/'Parámetros'!$B$48,"")</f>
        <v>0.8333333333333334</v>
      </c>
      <c r="C96" s="33">
        <f>SUMPRODUCT(--($B$23:$B$58=C$63),--($C$23:$C$58&lt;=$A96),--($D$23:$D$58&gt;$A96))+0</f>
        <v>2.0</v>
      </c>
      <c r="D96" s="33">
        <f>SUMPRODUCT(--($B$23:$B$58=D$63),--($C$23:$C$58&lt;=$A96),--($D$23:$D$58&gt;$A96))+0</f>
        <v>2.0</v>
      </c>
      <c r="E96" s="33">
        <f>SUMPRODUCT(--($B$23:$B$58=E$63),--($C$23:$C$58&lt;=$A96),--($D$23:$D$58&gt;$A96))+0</f>
        <v>2.0</v>
      </c>
      <c r="F96" s="33">
        <f>SUMPRODUCT(--($B$23:$B$58=F$63),--($C$23:$C$58&lt;=$A96),--($D$23:$D$58&gt;$A96))+0</f>
        <v>2.0</v>
      </c>
      <c r="G96" s="33">
        <f>SUMPRODUCT(--($B$23:$B$58=G$63),--($C$23:$C$58&lt;=$A96),--($D$23:$D$58&gt;$A96))+0</f>
        <v>2.0</v>
      </c>
      <c r="H96" s="33">
        <f>SUMPRODUCT(--($B$23:$B$58=H$63),--($C$23:$C$58&lt;=$A96),--($D$23:$D$58&gt;$A96))+0</f>
        <v>2.0</v>
      </c>
      <c r="I96" s="33">
        <f>SUMPRODUCT(--($B$23:$B$58=I$63),--($C$23:$C$58&lt;=$A96),--($D$23:$D$58&gt;$A96))+0</f>
        <v>2.0</v>
      </c>
      <c r="K96" s="33">
        <f>SUMPRODUCT(--($B$23:$B$58=C$63),--($C$23:$C$58&lt;=$A96),--($D$23:$D$58&gt;$A96),--($E$23:$E$58="L"))+0</f>
        <v>1.0</v>
      </c>
      <c r="L96" s="33">
        <f>SUMPRODUCT(--($B$23:$B$58=D$63),--($C$23:$C$58&lt;=$A96),--($D$23:$D$58&gt;$A96),--($E$23:$E$58="L"))+0</f>
        <v>1.0</v>
      </c>
      <c r="M96" s="33">
        <f>SUMPRODUCT(--($B$23:$B$58=E$63),--($C$23:$C$58&lt;=$A96),--($D$23:$D$58&gt;$A96),--($E$23:$E$58="L"))+0</f>
        <v>1.0</v>
      </c>
      <c r="N96" s="33">
        <f>SUMPRODUCT(--($B$23:$B$58=F$63),--($C$23:$C$58&lt;=$A96),--($D$23:$D$58&gt;$A96),--($E$23:$E$58="L"))+0</f>
        <v>1.0</v>
      </c>
      <c r="O96" s="33">
        <f>SUMPRODUCT(--($B$23:$B$58=G$63),--($C$23:$C$58&lt;=$A96),--($D$23:$D$58&gt;$A96),--($E$23:$E$58="L"))+0</f>
        <v>1.0</v>
      </c>
      <c r="P96" s="33">
        <f>SUMPRODUCT(--($B$23:$B$58=H$63),--($C$23:$C$58&lt;=$A96),--($D$23:$D$58&gt;$A96),--($E$23:$E$58="L"))+0</f>
        <v>1.0</v>
      </c>
      <c r="Q96" s="33">
        <f>SUMPRODUCT(--($B$23:$B$58=I$63),--($C$23:$C$58&lt;=$A96),--($D$23:$D$58&gt;$A96),--($E$23:$E$58="L"))+0</f>
        <v>1.0</v>
      </c>
      <c r="S96" s="33">
        <f>SUMPRODUCT($F$14:$F$19,--($B$14:$B$19&lt;=$A96),--($C$14:$C$19&gt;$A96),$D$14:$D$19)+0</f>
        <v>2.0</v>
      </c>
      <c r="T96" s="33">
        <f>SUMPRODUCT($G$14:$G$19,--($B$14:$B$19&lt;=$A96),--($C$14:$C$19&gt;$A96),$D$14:$D$19)+0</f>
        <v>2.0</v>
      </c>
      <c r="U96" s="33">
        <f>SUMPRODUCT($H$14:$H$19,--($B$14:$B$19&lt;=$A96),--($C$14:$C$19&gt;$A96),$D$14:$D$19)+0</f>
        <v>2.0</v>
      </c>
      <c r="V96" s="33">
        <f>SUMPRODUCT($I$14:$I$19,--($B$14:$B$19&lt;=$A96),--($C$14:$C$19&gt;$A96),$D$14:$D$19)+0</f>
        <v>2.0</v>
      </c>
      <c r="W96" s="33">
        <f>SUMPRODUCT($J$14:$J$19,--($B$14:$B$19&lt;=$A96),--($C$14:$C$19&gt;$A96),$D$14:$D$19)+0</f>
        <v>2.0</v>
      </c>
      <c r="X96" s="33">
        <f>SUMPRODUCT($K$14:$K$19,--($B$14:$B$19&lt;=$A96),--($C$14:$C$19&gt;$A96),$D$14:$D$19)+0</f>
        <v>2.0</v>
      </c>
      <c r="Y96" s="33">
        <f>SUMPRODUCT($L$14:$L$19,--($B$14:$B$19&lt;=$A96),--($C$14:$C$19&gt;$A96),$D$14:$D$19)+0</f>
        <v>2.0</v>
      </c>
      <c r="AA96" s="33">
        <f>IF(OR(K96&lt;SUMPRODUCT($F$14:$F$19,--($B$14:$B$19&lt;=$A96),--($C$14:$C$19&gt;$A96),$E$14:$E$19),C96&lt;S96),1,0)</f>
        <v>0.0</v>
      </c>
      <c r="AB96" s="33">
        <f>IF(OR(L96&lt;SUMPRODUCT($G$14:$G$19,--($B$14:$B$19&lt;=$A96),--($C$14:$C$19&gt;$A96),$E$14:$E$19),D96&lt;T96),1,0)</f>
        <v>0.0</v>
      </c>
      <c r="AC96" s="33">
        <f>IF(OR(M96&lt;SUMPRODUCT($H$14:$H$19,--($B$14:$B$19&lt;=$A96),--($C$14:$C$19&gt;$A96),$E$14:$E$19),E96&lt;U96),1,0)</f>
        <v>0.0</v>
      </c>
      <c r="AD96" s="33">
        <f>IF(OR(N96&lt;SUMPRODUCT($I$14:$I$19,--($B$14:$B$19&lt;=$A96),--($C$14:$C$19&gt;$A96),$E$14:$E$19),F96&lt;V96),1,0)</f>
        <v>0.0</v>
      </c>
      <c r="AE96" s="33">
        <f>IF(OR(O96&lt;SUMPRODUCT($J$14:$J$19,--($B$14:$B$19&lt;=$A96),--($C$14:$C$19&gt;$A96),$E$14:$E$19),G96&lt;W96),1,0)</f>
        <v>0.0</v>
      </c>
      <c r="AF96" s="33">
        <f>IF(OR(P96&lt;SUMPRODUCT($K$14:$K$19,--($B$14:$B$19&lt;=$A96),--($C$14:$C$19&gt;$A96),$E$14:$E$19),H96&lt;X96),1,0)</f>
        <v>0.0</v>
      </c>
      <c r="AG96" s="33">
        <f>IF(OR(Q96&lt;SUMPRODUCT($L$14:$L$19,--($B$14:$B$19&lt;=$A96),--($C$14:$C$19&gt;$A96),$E$14:$E$19),I96&lt;Y96),1,0)</f>
        <v>0.0</v>
      </c>
    </row>
    <row r="97">
      <c r="A97" s="20">
        <f>A96+'Parámetros'!$B$57</f>
        <v>20.5</v>
      </c>
      <c r="B97" s="32">
        <f>IFERROR(A97/'Parámetros'!$B$48,"")</f>
        <v>0.8541666666666666</v>
      </c>
      <c r="C97" s="33">
        <f>SUMPRODUCT(--($B$23:$B$58=C$63),--($C$23:$C$58&lt;=$A97),--($D$23:$D$58&gt;$A97))+0</f>
        <v>2.0</v>
      </c>
      <c r="D97" s="33">
        <f>SUMPRODUCT(--($B$23:$B$58=D$63),--($C$23:$C$58&lt;=$A97),--($D$23:$D$58&gt;$A97))+0</f>
        <v>2.0</v>
      </c>
      <c r="E97" s="33">
        <f>SUMPRODUCT(--($B$23:$B$58=E$63),--($C$23:$C$58&lt;=$A97),--($D$23:$D$58&gt;$A97))+0</f>
        <v>2.0</v>
      </c>
      <c r="F97" s="33">
        <f>SUMPRODUCT(--($B$23:$B$58=F$63),--($C$23:$C$58&lt;=$A97),--($D$23:$D$58&gt;$A97))+0</f>
        <v>2.0</v>
      </c>
      <c r="G97" s="33">
        <f>SUMPRODUCT(--($B$23:$B$58=G$63),--($C$23:$C$58&lt;=$A97),--($D$23:$D$58&gt;$A97))+0</f>
        <v>2.0</v>
      </c>
      <c r="H97" s="33">
        <f>SUMPRODUCT(--($B$23:$B$58=H$63),--($C$23:$C$58&lt;=$A97),--($D$23:$D$58&gt;$A97))+0</f>
        <v>2.0</v>
      </c>
      <c r="I97" s="33">
        <f>SUMPRODUCT(--($B$23:$B$58=I$63),--($C$23:$C$58&lt;=$A97),--($D$23:$D$58&gt;$A97))+0</f>
        <v>2.0</v>
      </c>
      <c r="K97" s="33">
        <f>SUMPRODUCT(--($B$23:$B$58=C$63),--($C$23:$C$58&lt;=$A97),--($D$23:$D$58&gt;$A97),--($E$23:$E$58="L"))+0</f>
        <v>1.0</v>
      </c>
      <c r="L97" s="33">
        <f>SUMPRODUCT(--($B$23:$B$58=D$63),--($C$23:$C$58&lt;=$A97),--($D$23:$D$58&gt;$A97),--($E$23:$E$58="L"))+0</f>
        <v>1.0</v>
      </c>
      <c r="M97" s="33">
        <f>SUMPRODUCT(--($B$23:$B$58=E$63),--($C$23:$C$58&lt;=$A97),--($D$23:$D$58&gt;$A97),--($E$23:$E$58="L"))+0</f>
        <v>1.0</v>
      </c>
      <c r="N97" s="33">
        <f>SUMPRODUCT(--($B$23:$B$58=F$63),--($C$23:$C$58&lt;=$A97),--($D$23:$D$58&gt;$A97),--($E$23:$E$58="L"))+0</f>
        <v>1.0</v>
      </c>
      <c r="O97" s="33">
        <f>SUMPRODUCT(--($B$23:$B$58=G$63),--($C$23:$C$58&lt;=$A97),--($D$23:$D$58&gt;$A97),--($E$23:$E$58="L"))+0</f>
        <v>1.0</v>
      </c>
      <c r="P97" s="33">
        <f>SUMPRODUCT(--($B$23:$B$58=H$63),--($C$23:$C$58&lt;=$A97),--($D$23:$D$58&gt;$A97),--($E$23:$E$58="L"))+0</f>
        <v>1.0</v>
      </c>
      <c r="Q97" s="33">
        <f>SUMPRODUCT(--($B$23:$B$58=I$63),--($C$23:$C$58&lt;=$A97),--($D$23:$D$58&gt;$A97),--($E$23:$E$58="L"))+0</f>
        <v>1.0</v>
      </c>
      <c r="S97" s="33">
        <f>SUMPRODUCT($F$14:$F$19,--($B$14:$B$19&lt;=$A97),--($C$14:$C$19&gt;$A97),$D$14:$D$19)+0</f>
        <v>2.0</v>
      </c>
      <c r="T97" s="33">
        <f>SUMPRODUCT($G$14:$G$19,--($B$14:$B$19&lt;=$A97),--($C$14:$C$19&gt;$A97),$D$14:$D$19)+0</f>
        <v>2.0</v>
      </c>
      <c r="U97" s="33">
        <f>SUMPRODUCT($H$14:$H$19,--($B$14:$B$19&lt;=$A97),--($C$14:$C$19&gt;$A97),$D$14:$D$19)+0</f>
        <v>2.0</v>
      </c>
      <c r="V97" s="33">
        <f>SUMPRODUCT($I$14:$I$19,--($B$14:$B$19&lt;=$A97),--($C$14:$C$19&gt;$A97),$D$14:$D$19)+0</f>
        <v>2.0</v>
      </c>
      <c r="W97" s="33">
        <f>SUMPRODUCT($J$14:$J$19,--($B$14:$B$19&lt;=$A97),--($C$14:$C$19&gt;$A97),$D$14:$D$19)+0</f>
        <v>2.0</v>
      </c>
      <c r="X97" s="33">
        <f>SUMPRODUCT($K$14:$K$19,--($B$14:$B$19&lt;=$A97),--($C$14:$C$19&gt;$A97),$D$14:$D$19)+0</f>
        <v>2.0</v>
      </c>
      <c r="Y97" s="33">
        <f>SUMPRODUCT($L$14:$L$19,--($B$14:$B$19&lt;=$A97),--($C$14:$C$19&gt;$A97),$D$14:$D$19)+0</f>
        <v>2.0</v>
      </c>
      <c r="AA97" s="33">
        <f>IF(OR(K97&lt;SUMPRODUCT($F$14:$F$19,--($B$14:$B$19&lt;=$A97),--($C$14:$C$19&gt;$A97),$E$14:$E$19),C97&lt;S97),1,0)</f>
        <v>0.0</v>
      </c>
      <c r="AB97" s="33">
        <f>IF(OR(L97&lt;SUMPRODUCT($G$14:$G$19,--($B$14:$B$19&lt;=$A97),--($C$14:$C$19&gt;$A97),$E$14:$E$19),D97&lt;T97),1,0)</f>
        <v>0.0</v>
      </c>
      <c r="AC97" s="33">
        <f>IF(OR(M97&lt;SUMPRODUCT($H$14:$H$19,--($B$14:$B$19&lt;=$A97),--($C$14:$C$19&gt;$A97),$E$14:$E$19),E97&lt;U97),1,0)</f>
        <v>0.0</v>
      </c>
      <c r="AD97" s="33">
        <f>IF(OR(N97&lt;SUMPRODUCT($I$14:$I$19,--($B$14:$B$19&lt;=$A97),--($C$14:$C$19&gt;$A97),$E$14:$E$19),F97&lt;V97),1,0)</f>
        <v>0.0</v>
      </c>
      <c r="AE97" s="33">
        <f>IF(OR(O97&lt;SUMPRODUCT($J$14:$J$19,--($B$14:$B$19&lt;=$A97),--($C$14:$C$19&gt;$A97),$E$14:$E$19),G97&lt;W97),1,0)</f>
        <v>0.0</v>
      </c>
      <c r="AF97" s="33">
        <f>IF(OR(P97&lt;SUMPRODUCT($K$14:$K$19,--($B$14:$B$19&lt;=$A97),--($C$14:$C$19&gt;$A97),$E$14:$E$19),H97&lt;X97),1,0)</f>
        <v>0.0</v>
      </c>
      <c r="AG97" s="33">
        <f>IF(OR(Q97&lt;SUMPRODUCT($L$14:$L$19,--($B$14:$B$19&lt;=$A97),--($C$14:$C$19&gt;$A97),$E$14:$E$19),I97&lt;Y97),1,0)</f>
        <v>0.0</v>
      </c>
    </row>
    <row r="98">
      <c r="A98" s="20">
        <f>A97+'Parámetros'!$B$57</f>
        <v>21.0</v>
      </c>
      <c r="B98" s="32">
        <f>IFERROR(A98/'Parámetros'!$B$48,"")</f>
        <v>0.875</v>
      </c>
      <c r="C98" s="33">
        <f>SUMPRODUCT(--($B$23:$B$58=C$63),--($C$23:$C$58&lt;=$A98),--($D$23:$D$58&gt;$A98))+0</f>
        <v>2.0</v>
      </c>
      <c r="D98" s="33">
        <f>SUMPRODUCT(--($B$23:$B$58=D$63),--($C$23:$C$58&lt;=$A98),--($D$23:$D$58&gt;$A98))+0</f>
        <v>2.0</v>
      </c>
      <c r="E98" s="33">
        <f>SUMPRODUCT(--($B$23:$B$58=E$63),--($C$23:$C$58&lt;=$A98),--($D$23:$D$58&gt;$A98))+0</f>
        <v>2.0</v>
      </c>
      <c r="F98" s="33">
        <f>SUMPRODUCT(--($B$23:$B$58=F$63),--($C$23:$C$58&lt;=$A98),--($D$23:$D$58&gt;$A98))+0</f>
        <v>2.0</v>
      </c>
      <c r="G98" s="33">
        <f>SUMPRODUCT(--($B$23:$B$58=G$63),--($C$23:$C$58&lt;=$A98),--($D$23:$D$58&gt;$A98))+0</f>
        <v>1.0</v>
      </c>
      <c r="H98" s="33">
        <f>SUMPRODUCT(--($B$23:$B$58=H$63),--($C$23:$C$58&lt;=$A98),--($D$23:$D$58&gt;$A98))+0</f>
        <v>1.0</v>
      </c>
      <c r="I98" s="33">
        <f>SUMPRODUCT(--($B$23:$B$58=I$63),--($C$23:$C$58&lt;=$A98),--($D$23:$D$58&gt;$A98))+0</f>
        <v>1.0</v>
      </c>
      <c r="K98" s="33">
        <f>SUMPRODUCT(--($B$23:$B$58=C$63),--($C$23:$C$58&lt;=$A98),--($D$23:$D$58&gt;$A98),--($E$23:$E$58="L"))+0</f>
        <v>1.0</v>
      </c>
      <c r="L98" s="33">
        <f>SUMPRODUCT(--($B$23:$B$58=D$63),--($C$23:$C$58&lt;=$A98),--($D$23:$D$58&gt;$A98),--($E$23:$E$58="L"))+0</f>
        <v>1.0</v>
      </c>
      <c r="M98" s="33">
        <f>SUMPRODUCT(--($B$23:$B$58=E$63),--($C$23:$C$58&lt;=$A98),--($D$23:$D$58&gt;$A98),--($E$23:$E$58="L"))+0</f>
        <v>1.0</v>
      </c>
      <c r="N98" s="33">
        <f>SUMPRODUCT(--($B$23:$B$58=F$63),--($C$23:$C$58&lt;=$A98),--($D$23:$D$58&gt;$A98),--($E$23:$E$58="L"))+0</f>
        <v>1.0</v>
      </c>
      <c r="O98" s="33">
        <f>SUMPRODUCT(--($B$23:$B$58=G$63),--($C$23:$C$58&lt;=$A98),--($D$23:$D$58&gt;$A98),--($E$23:$E$58="L"))+0</f>
        <v>1.0</v>
      </c>
      <c r="P98" s="33">
        <f>SUMPRODUCT(--($B$23:$B$58=H$63),--($C$23:$C$58&lt;=$A98),--($D$23:$D$58&gt;$A98),--($E$23:$E$58="L"))+0</f>
        <v>1.0</v>
      </c>
      <c r="Q98" s="33">
        <f>SUMPRODUCT(--($B$23:$B$58=I$63),--($C$23:$C$58&lt;=$A98),--($D$23:$D$58&gt;$A98),--($E$23:$E$58="L"))+0</f>
        <v>1.0</v>
      </c>
      <c r="S98" s="33">
        <f>SUMPRODUCT($F$14:$F$19,--($B$14:$B$19&lt;=$A98),--($C$14:$C$19&gt;$A98),$D$14:$D$19)+0</f>
        <v>0.0</v>
      </c>
      <c r="T98" s="33">
        <f>SUMPRODUCT($G$14:$G$19,--($B$14:$B$19&lt;=$A98),--($C$14:$C$19&gt;$A98),$D$14:$D$19)+0</f>
        <v>0.0</v>
      </c>
      <c r="U98" s="33">
        <f>SUMPRODUCT($H$14:$H$19,--($B$14:$B$19&lt;=$A98),--($C$14:$C$19&gt;$A98),$D$14:$D$19)+0</f>
        <v>0.0</v>
      </c>
      <c r="V98" s="33">
        <f>SUMPRODUCT($I$14:$I$19,--($B$14:$B$19&lt;=$A98),--($C$14:$C$19&gt;$A98),$D$14:$D$19)+0</f>
        <v>0.0</v>
      </c>
      <c r="W98" s="33">
        <f>SUMPRODUCT($J$14:$J$19,--($B$14:$B$19&lt;=$A98),--($C$14:$C$19&gt;$A98),$D$14:$D$19)+0</f>
        <v>1.0</v>
      </c>
      <c r="X98" s="33">
        <f>SUMPRODUCT($K$14:$K$19,--($B$14:$B$19&lt;=$A98),--($C$14:$C$19&gt;$A98),$D$14:$D$19)+0</f>
        <v>1.0</v>
      </c>
      <c r="Y98" s="33">
        <f>SUMPRODUCT($L$14:$L$19,--($B$14:$B$19&lt;=$A98),--($C$14:$C$19&gt;$A98),$D$14:$D$19)+0</f>
        <v>0.0</v>
      </c>
      <c r="AA98" s="33">
        <f>IF(OR(K98&lt;SUMPRODUCT($F$14:$F$19,--($B$14:$B$19&lt;=$A98),--($C$14:$C$19&gt;$A98),$E$14:$E$19),C98&lt;S98),1,0)</f>
        <v>0.0</v>
      </c>
      <c r="AB98" s="33">
        <f>IF(OR(L98&lt;SUMPRODUCT($G$14:$G$19,--($B$14:$B$19&lt;=$A98),--($C$14:$C$19&gt;$A98),$E$14:$E$19),D98&lt;T98),1,0)</f>
        <v>0.0</v>
      </c>
      <c r="AC98" s="33">
        <f>IF(OR(M98&lt;SUMPRODUCT($H$14:$H$19,--($B$14:$B$19&lt;=$A98),--($C$14:$C$19&gt;$A98),$E$14:$E$19),E98&lt;U98),1,0)</f>
        <v>0.0</v>
      </c>
      <c r="AD98" s="33">
        <f>IF(OR(N98&lt;SUMPRODUCT($I$14:$I$19,--($B$14:$B$19&lt;=$A98),--($C$14:$C$19&gt;$A98),$E$14:$E$19),F98&lt;V98),1,0)</f>
        <v>0.0</v>
      </c>
      <c r="AE98" s="33">
        <f>IF(OR(O98&lt;SUMPRODUCT($J$14:$J$19,--($B$14:$B$19&lt;=$A98),--($C$14:$C$19&gt;$A98),$E$14:$E$19),G98&lt;W98),1,0)</f>
        <v>0.0</v>
      </c>
      <c r="AF98" s="33">
        <f>IF(OR(P98&lt;SUMPRODUCT($K$14:$K$19,--($B$14:$B$19&lt;=$A98),--($C$14:$C$19&gt;$A98),$E$14:$E$19),H98&lt;X98),1,0)</f>
        <v>0.0</v>
      </c>
      <c r="AG98" s="33">
        <f>IF(OR(Q98&lt;SUMPRODUCT($L$14:$L$19,--($B$14:$B$19&lt;=$A98),--($C$14:$C$19&gt;$A98),$E$14:$E$19),I98&lt;Y98),1,0)</f>
        <v>0.0</v>
      </c>
    </row>
    <row r="99">
      <c r="A99" s="20">
        <f>A98+'Parámetros'!$B$57</f>
        <v>21.5</v>
      </c>
      <c r="B99" s="32">
        <f>IFERROR(A99/'Parámetros'!$B$48,"")</f>
        <v>0.8958333333333334</v>
      </c>
      <c r="C99" s="33">
        <f>SUMPRODUCT(--($B$23:$B$58=C$63),--($C$23:$C$58&lt;=$A99),--($D$23:$D$58&gt;$A99))+0</f>
        <v>0.0</v>
      </c>
      <c r="D99" s="33">
        <f>SUMPRODUCT(--($B$23:$B$58=D$63),--($C$23:$C$58&lt;=$A99),--($D$23:$D$58&gt;$A99))+0</f>
        <v>0.0</v>
      </c>
      <c r="E99" s="33">
        <f>SUMPRODUCT(--($B$23:$B$58=E$63),--($C$23:$C$58&lt;=$A99),--($D$23:$D$58&gt;$A99))+0</f>
        <v>0.0</v>
      </c>
      <c r="F99" s="33">
        <f>SUMPRODUCT(--($B$23:$B$58=F$63),--($C$23:$C$58&lt;=$A99),--($D$23:$D$58&gt;$A99))+0</f>
        <v>0.0</v>
      </c>
      <c r="G99" s="33">
        <f>SUMPRODUCT(--($B$23:$B$58=G$63),--($C$23:$C$58&lt;=$A99),--($D$23:$D$58&gt;$A99))+0</f>
        <v>1.0</v>
      </c>
      <c r="H99" s="33">
        <f>SUMPRODUCT(--($B$23:$B$58=H$63),--($C$23:$C$58&lt;=$A99),--($D$23:$D$58&gt;$A99))+0</f>
        <v>1.0</v>
      </c>
      <c r="I99" s="33">
        <f>SUMPRODUCT(--($B$23:$B$58=I$63),--($C$23:$C$58&lt;=$A99),--($D$23:$D$58&gt;$A99))+0</f>
        <v>0.0</v>
      </c>
      <c r="K99" s="33">
        <f>SUMPRODUCT(--($B$23:$B$58=C$63),--($C$23:$C$58&lt;=$A99),--($D$23:$D$58&gt;$A99),--($E$23:$E$58="L"))+0</f>
        <v>0.0</v>
      </c>
      <c r="L99" s="33">
        <f>SUMPRODUCT(--($B$23:$B$58=D$63),--($C$23:$C$58&lt;=$A99),--($D$23:$D$58&gt;$A99),--($E$23:$E$58="L"))+0</f>
        <v>0.0</v>
      </c>
      <c r="M99" s="33">
        <f>SUMPRODUCT(--($B$23:$B$58=E$63),--($C$23:$C$58&lt;=$A99),--($D$23:$D$58&gt;$A99),--($E$23:$E$58="L"))+0</f>
        <v>0.0</v>
      </c>
      <c r="N99" s="33">
        <f>SUMPRODUCT(--($B$23:$B$58=F$63),--($C$23:$C$58&lt;=$A99),--($D$23:$D$58&gt;$A99),--($E$23:$E$58="L"))+0</f>
        <v>0.0</v>
      </c>
      <c r="O99" s="33">
        <f>SUMPRODUCT(--($B$23:$B$58=G$63),--($C$23:$C$58&lt;=$A99),--($D$23:$D$58&gt;$A99),--($E$23:$E$58="L"))+0</f>
        <v>1.0</v>
      </c>
      <c r="P99" s="33">
        <f>SUMPRODUCT(--($B$23:$B$58=H$63),--($C$23:$C$58&lt;=$A99),--($D$23:$D$58&gt;$A99),--($E$23:$E$58="L"))+0</f>
        <v>1.0</v>
      </c>
      <c r="Q99" s="33">
        <f>SUMPRODUCT(--($B$23:$B$58=I$63),--($C$23:$C$58&lt;=$A99),--($D$23:$D$58&gt;$A99),--($E$23:$E$58="L"))+0</f>
        <v>0.0</v>
      </c>
      <c r="S99" s="33">
        <f>SUMPRODUCT($F$14:$F$19,--($B$14:$B$19&lt;=$A99),--($C$14:$C$19&gt;$A99),$D$14:$D$19)+0</f>
        <v>0.0</v>
      </c>
      <c r="T99" s="33">
        <f>SUMPRODUCT($G$14:$G$19,--($B$14:$B$19&lt;=$A99),--($C$14:$C$19&gt;$A99),$D$14:$D$19)+0</f>
        <v>0.0</v>
      </c>
      <c r="U99" s="33">
        <f>SUMPRODUCT($H$14:$H$19,--($B$14:$B$19&lt;=$A99),--($C$14:$C$19&gt;$A99),$D$14:$D$19)+0</f>
        <v>0.0</v>
      </c>
      <c r="V99" s="33">
        <f>SUMPRODUCT($I$14:$I$19,--($B$14:$B$19&lt;=$A99),--($C$14:$C$19&gt;$A99),$D$14:$D$19)+0</f>
        <v>0.0</v>
      </c>
      <c r="W99" s="33">
        <f>SUMPRODUCT($J$14:$J$19,--($B$14:$B$19&lt;=$A99),--($C$14:$C$19&gt;$A99),$D$14:$D$19)+0</f>
        <v>1.0</v>
      </c>
      <c r="X99" s="33">
        <f>SUMPRODUCT($K$14:$K$19,--($B$14:$B$19&lt;=$A99),--($C$14:$C$19&gt;$A99),$D$14:$D$19)+0</f>
        <v>1.0</v>
      </c>
      <c r="Y99" s="33">
        <f>SUMPRODUCT($L$14:$L$19,--($B$14:$B$19&lt;=$A99),--($C$14:$C$19&gt;$A99),$D$14:$D$19)+0</f>
        <v>0.0</v>
      </c>
      <c r="AA99" s="33">
        <f>IF(OR(K99&lt;SUMPRODUCT($F$14:$F$19,--($B$14:$B$19&lt;=$A99),--($C$14:$C$19&gt;$A99),$E$14:$E$19),C99&lt;S99),1,0)</f>
        <v>0.0</v>
      </c>
      <c r="AB99" s="33">
        <f>IF(OR(L99&lt;SUMPRODUCT($G$14:$G$19,--($B$14:$B$19&lt;=$A99),--($C$14:$C$19&gt;$A99),$E$14:$E$19),D99&lt;T99),1,0)</f>
        <v>0.0</v>
      </c>
      <c r="AC99" s="33">
        <f>IF(OR(M99&lt;SUMPRODUCT($H$14:$H$19,--($B$14:$B$19&lt;=$A99),--($C$14:$C$19&gt;$A99),$E$14:$E$19),E99&lt;U99),1,0)</f>
        <v>0.0</v>
      </c>
      <c r="AD99" s="33">
        <f>IF(OR(N99&lt;SUMPRODUCT($I$14:$I$19,--($B$14:$B$19&lt;=$A99),--($C$14:$C$19&gt;$A99),$E$14:$E$19),F99&lt;V99),1,0)</f>
        <v>0.0</v>
      </c>
      <c r="AE99" s="33">
        <f>IF(OR(O99&lt;SUMPRODUCT($J$14:$J$19,--($B$14:$B$19&lt;=$A99),--($C$14:$C$19&gt;$A99),$E$14:$E$19),G99&lt;W99),1,0)</f>
        <v>0.0</v>
      </c>
      <c r="AF99" s="33">
        <f>IF(OR(P99&lt;SUMPRODUCT($K$14:$K$19,--($B$14:$B$19&lt;=$A99),--($C$14:$C$19&gt;$A99),$E$14:$E$19),H99&lt;X99),1,0)</f>
        <v>0.0</v>
      </c>
      <c r="AG99" s="33">
        <f>IF(OR(Q99&lt;SUMPRODUCT($L$14:$L$19,--($B$14:$B$19&lt;=$A99),--($C$14:$C$19&gt;$A99),$E$14:$E$19),I99&lt;Y99),1,0)</f>
        <v>0.0</v>
      </c>
    </row>
    <row r="100">
      <c r="A100" s="20">
        <f>A99+'Parámetros'!$B$57</f>
        <v>22.0</v>
      </c>
      <c r="B100" s="32">
        <f>IFERROR(A100/'Parámetros'!$B$48,"")</f>
        <v>0.9166666666666666</v>
      </c>
      <c r="C100" s="33">
        <f>SUMPRODUCT(--($B$23:$B$58=C$63),--($C$23:$C$58&lt;=$A100),--($D$23:$D$58&gt;$A100))+0</f>
        <v>0.0</v>
      </c>
      <c r="D100" s="33">
        <f>SUMPRODUCT(--($B$23:$B$58=D$63),--($C$23:$C$58&lt;=$A100),--($D$23:$D$58&gt;$A100))+0</f>
        <v>0.0</v>
      </c>
      <c r="E100" s="33">
        <f>SUMPRODUCT(--($B$23:$B$58=E$63),--($C$23:$C$58&lt;=$A100),--($D$23:$D$58&gt;$A100))+0</f>
        <v>0.0</v>
      </c>
      <c r="F100" s="33">
        <f>SUMPRODUCT(--($B$23:$B$58=F$63),--($C$23:$C$58&lt;=$A100),--($D$23:$D$58&gt;$A100))+0</f>
        <v>0.0</v>
      </c>
      <c r="G100" s="33">
        <f>SUMPRODUCT(--($B$23:$B$58=G$63),--($C$23:$C$58&lt;=$A100),--($D$23:$D$58&gt;$A100))+0</f>
        <v>1.0</v>
      </c>
      <c r="H100" s="33">
        <f>SUMPRODUCT(--($B$23:$B$58=H$63),--($C$23:$C$58&lt;=$A100),--($D$23:$D$58&gt;$A100))+0</f>
        <v>1.0</v>
      </c>
      <c r="I100" s="33">
        <f>SUMPRODUCT(--($B$23:$B$58=I$63),--($C$23:$C$58&lt;=$A100),--($D$23:$D$58&gt;$A100))+0</f>
        <v>0.0</v>
      </c>
      <c r="K100" s="33">
        <f>SUMPRODUCT(--($B$23:$B$58=C$63),--($C$23:$C$58&lt;=$A100),--($D$23:$D$58&gt;$A100),--($E$23:$E$58="L"))+0</f>
        <v>0.0</v>
      </c>
      <c r="L100" s="33">
        <f>SUMPRODUCT(--($B$23:$B$58=D$63),--($C$23:$C$58&lt;=$A100),--($D$23:$D$58&gt;$A100),--($E$23:$E$58="L"))+0</f>
        <v>0.0</v>
      </c>
      <c r="M100" s="33">
        <f>SUMPRODUCT(--($B$23:$B$58=E$63),--($C$23:$C$58&lt;=$A100),--($D$23:$D$58&gt;$A100),--($E$23:$E$58="L"))+0</f>
        <v>0.0</v>
      </c>
      <c r="N100" s="33">
        <f>SUMPRODUCT(--($B$23:$B$58=F$63),--($C$23:$C$58&lt;=$A100),--($D$23:$D$58&gt;$A100),--($E$23:$E$58="L"))+0</f>
        <v>0.0</v>
      </c>
      <c r="O100" s="33">
        <f>SUMPRODUCT(--($B$23:$B$58=G$63),--($C$23:$C$58&lt;=$A100),--($D$23:$D$58&gt;$A100),--($E$23:$E$58="L"))+0</f>
        <v>1.0</v>
      </c>
      <c r="P100" s="33">
        <f>SUMPRODUCT(--($B$23:$B$58=H$63),--($C$23:$C$58&lt;=$A100),--($D$23:$D$58&gt;$A100),--($E$23:$E$58="L"))+0</f>
        <v>1.0</v>
      </c>
      <c r="Q100" s="33">
        <f>SUMPRODUCT(--($B$23:$B$58=I$63),--($C$23:$C$58&lt;=$A100),--($D$23:$D$58&gt;$A100),--($E$23:$E$58="L"))+0</f>
        <v>0.0</v>
      </c>
      <c r="S100" s="33">
        <f>SUMPRODUCT($F$14:$F$19,--($B$14:$B$19&lt;=$A100),--($C$14:$C$19&gt;$A100),$D$14:$D$19)+0</f>
        <v>0.0</v>
      </c>
      <c r="T100" s="33">
        <f>SUMPRODUCT($G$14:$G$19,--($B$14:$B$19&lt;=$A100),--($C$14:$C$19&gt;$A100),$D$14:$D$19)+0</f>
        <v>0.0</v>
      </c>
      <c r="U100" s="33">
        <f>SUMPRODUCT($H$14:$H$19,--($B$14:$B$19&lt;=$A100),--($C$14:$C$19&gt;$A100),$D$14:$D$19)+0</f>
        <v>0.0</v>
      </c>
      <c r="V100" s="33">
        <f>SUMPRODUCT($I$14:$I$19,--($B$14:$B$19&lt;=$A100),--($C$14:$C$19&gt;$A100),$D$14:$D$19)+0</f>
        <v>0.0</v>
      </c>
      <c r="W100" s="33">
        <f>SUMPRODUCT($J$14:$J$19,--($B$14:$B$19&lt;=$A100),--($C$14:$C$19&gt;$A100),$D$14:$D$19)+0</f>
        <v>1.0</v>
      </c>
      <c r="X100" s="33">
        <f>SUMPRODUCT($K$14:$K$19,--($B$14:$B$19&lt;=$A100),--($C$14:$C$19&gt;$A100),$D$14:$D$19)+0</f>
        <v>1.0</v>
      </c>
      <c r="Y100" s="33">
        <f>SUMPRODUCT($L$14:$L$19,--($B$14:$B$19&lt;=$A100),--($C$14:$C$19&gt;$A100),$D$14:$D$19)+0</f>
        <v>0.0</v>
      </c>
      <c r="AA100" s="33">
        <f>IF(OR(K100&lt;SUMPRODUCT($F$14:$F$19,--($B$14:$B$19&lt;=$A100),--($C$14:$C$19&gt;$A100),$E$14:$E$19),C100&lt;S100),1,0)</f>
        <v>0.0</v>
      </c>
      <c r="AB100" s="33">
        <f>IF(OR(L100&lt;SUMPRODUCT($G$14:$G$19,--($B$14:$B$19&lt;=$A100),--($C$14:$C$19&gt;$A100),$E$14:$E$19),D100&lt;T100),1,0)</f>
        <v>0.0</v>
      </c>
      <c r="AC100" s="33">
        <f>IF(OR(M100&lt;SUMPRODUCT($H$14:$H$19,--($B$14:$B$19&lt;=$A100),--($C$14:$C$19&gt;$A100),$E$14:$E$19),E100&lt;U100),1,0)</f>
        <v>0.0</v>
      </c>
      <c r="AD100" s="33">
        <f>IF(OR(N100&lt;SUMPRODUCT($I$14:$I$19,--($B$14:$B$19&lt;=$A100),--($C$14:$C$19&gt;$A100),$E$14:$E$19),F100&lt;V100),1,0)</f>
        <v>0.0</v>
      </c>
      <c r="AE100" s="33">
        <f>IF(OR(O100&lt;SUMPRODUCT($J$14:$J$19,--($B$14:$B$19&lt;=$A100),--($C$14:$C$19&gt;$A100),$E$14:$E$19),G100&lt;W100),1,0)</f>
        <v>0.0</v>
      </c>
      <c r="AF100" s="33">
        <f>IF(OR(P100&lt;SUMPRODUCT($K$14:$K$19,--($B$14:$B$19&lt;=$A100),--($C$14:$C$19&gt;$A100),$E$14:$E$19),H100&lt;X100),1,0)</f>
        <v>0.0</v>
      </c>
      <c r="AG100" s="33">
        <f>IF(OR(Q100&lt;SUMPRODUCT($L$14:$L$19,--($B$14:$B$19&lt;=$A100),--($C$14:$C$19&gt;$A100),$E$14:$E$19),I100&lt;Y100),1,0)</f>
        <v>0.0</v>
      </c>
    </row>
    <row r="101">
      <c r="A101" s="20">
        <f>A100+'Parámetros'!$B$57</f>
        <v>22.5</v>
      </c>
      <c r="B101" s="32">
        <f>IFERROR(A101/'Parámetros'!$B$48,"")</f>
        <v>0.9375</v>
      </c>
      <c r="C101" s="33">
        <f>SUMPRODUCT(--($B$23:$B$58=C$63),--($C$23:$C$58&lt;=$A101),--($D$23:$D$58&gt;$A101))+0</f>
        <v>0.0</v>
      </c>
      <c r="D101" s="33">
        <f>SUMPRODUCT(--($B$23:$B$58=D$63),--($C$23:$C$58&lt;=$A101),--($D$23:$D$58&gt;$A101))+0</f>
        <v>0.0</v>
      </c>
      <c r="E101" s="33">
        <f>SUMPRODUCT(--($B$23:$B$58=E$63),--($C$23:$C$58&lt;=$A101),--($D$23:$D$58&gt;$A101))+0</f>
        <v>0.0</v>
      </c>
      <c r="F101" s="33">
        <f>SUMPRODUCT(--($B$23:$B$58=F$63),--($C$23:$C$58&lt;=$A101),--($D$23:$D$58&gt;$A101))+0</f>
        <v>0.0</v>
      </c>
      <c r="G101" s="33">
        <f>SUMPRODUCT(--($B$23:$B$58=G$63),--($C$23:$C$58&lt;=$A101),--($D$23:$D$58&gt;$A101))+0</f>
        <v>1.0</v>
      </c>
      <c r="H101" s="33">
        <f>SUMPRODUCT(--($B$23:$B$58=H$63),--($C$23:$C$58&lt;=$A101),--($D$23:$D$58&gt;$A101))+0</f>
        <v>1.0</v>
      </c>
      <c r="I101" s="33">
        <f>SUMPRODUCT(--($B$23:$B$58=I$63),--($C$23:$C$58&lt;=$A101),--($D$23:$D$58&gt;$A101))+0</f>
        <v>0.0</v>
      </c>
      <c r="K101" s="33">
        <f>SUMPRODUCT(--($B$23:$B$58=C$63),--($C$23:$C$58&lt;=$A101),--($D$23:$D$58&gt;$A101),--($E$23:$E$58="L"))+0</f>
        <v>0.0</v>
      </c>
      <c r="L101" s="33">
        <f>SUMPRODUCT(--($B$23:$B$58=D$63),--($C$23:$C$58&lt;=$A101),--($D$23:$D$58&gt;$A101),--($E$23:$E$58="L"))+0</f>
        <v>0.0</v>
      </c>
      <c r="M101" s="33">
        <f>SUMPRODUCT(--($B$23:$B$58=E$63),--($C$23:$C$58&lt;=$A101),--($D$23:$D$58&gt;$A101),--($E$23:$E$58="L"))+0</f>
        <v>0.0</v>
      </c>
      <c r="N101" s="33">
        <f>SUMPRODUCT(--($B$23:$B$58=F$63),--($C$23:$C$58&lt;=$A101),--($D$23:$D$58&gt;$A101),--($E$23:$E$58="L"))+0</f>
        <v>0.0</v>
      </c>
      <c r="O101" s="33">
        <f>SUMPRODUCT(--($B$23:$B$58=G$63),--($C$23:$C$58&lt;=$A101),--($D$23:$D$58&gt;$A101),--($E$23:$E$58="L"))+0</f>
        <v>1.0</v>
      </c>
      <c r="P101" s="33">
        <f>SUMPRODUCT(--($B$23:$B$58=H$63),--($C$23:$C$58&lt;=$A101),--($D$23:$D$58&gt;$A101),--($E$23:$E$58="L"))+0</f>
        <v>1.0</v>
      </c>
      <c r="Q101" s="33">
        <f>SUMPRODUCT(--($B$23:$B$58=I$63),--($C$23:$C$58&lt;=$A101),--($D$23:$D$58&gt;$A101),--($E$23:$E$58="L"))+0</f>
        <v>0.0</v>
      </c>
      <c r="S101" s="33">
        <f>SUMPRODUCT($F$14:$F$19,--($B$14:$B$19&lt;=$A101),--($C$14:$C$19&gt;$A101),$D$14:$D$19)+0</f>
        <v>0.0</v>
      </c>
      <c r="T101" s="33">
        <f>SUMPRODUCT($G$14:$G$19,--($B$14:$B$19&lt;=$A101),--($C$14:$C$19&gt;$A101),$D$14:$D$19)+0</f>
        <v>0.0</v>
      </c>
      <c r="U101" s="33">
        <f>SUMPRODUCT($H$14:$H$19,--($B$14:$B$19&lt;=$A101),--($C$14:$C$19&gt;$A101),$D$14:$D$19)+0</f>
        <v>0.0</v>
      </c>
      <c r="V101" s="33">
        <f>SUMPRODUCT($I$14:$I$19,--($B$14:$B$19&lt;=$A101),--($C$14:$C$19&gt;$A101),$D$14:$D$19)+0</f>
        <v>0.0</v>
      </c>
      <c r="W101" s="33">
        <f>SUMPRODUCT($J$14:$J$19,--($B$14:$B$19&lt;=$A101),--($C$14:$C$19&gt;$A101),$D$14:$D$19)+0</f>
        <v>1.0</v>
      </c>
      <c r="X101" s="33">
        <f>SUMPRODUCT($K$14:$K$19,--($B$14:$B$19&lt;=$A101),--($C$14:$C$19&gt;$A101),$D$14:$D$19)+0</f>
        <v>1.0</v>
      </c>
      <c r="Y101" s="33">
        <f>SUMPRODUCT($L$14:$L$19,--($B$14:$B$19&lt;=$A101),--($C$14:$C$19&gt;$A101),$D$14:$D$19)+0</f>
        <v>0.0</v>
      </c>
      <c r="AA101" s="33">
        <f>IF(OR(K101&lt;SUMPRODUCT($F$14:$F$19,--($B$14:$B$19&lt;=$A101),--($C$14:$C$19&gt;$A101),$E$14:$E$19),C101&lt;S101),1,0)</f>
        <v>0.0</v>
      </c>
      <c r="AB101" s="33">
        <f>IF(OR(L101&lt;SUMPRODUCT($G$14:$G$19,--($B$14:$B$19&lt;=$A101),--($C$14:$C$19&gt;$A101),$E$14:$E$19),D101&lt;T101),1,0)</f>
        <v>0.0</v>
      </c>
      <c r="AC101" s="33">
        <f>IF(OR(M101&lt;SUMPRODUCT($H$14:$H$19,--($B$14:$B$19&lt;=$A101),--($C$14:$C$19&gt;$A101),$E$14:$E$19),E101&lt;U101),1,0)</f>
        <v>0.0</v>
      </c>
      <c r="AD101" s="33">
        <f>IF(OR(N101&lt;SUMPRODUCT($I$14:$I$19,--($B$14:$B$19&lt;=$A101),--($C$14:$C$19&gt;$A101),$E$14:$E$19),F101&lt;V101),1,0)</f>
        <v>0.0</v>
      </c>
      <c r="AE101" s="33">
        <f>IF(OR(O101&lt;SUMPRODUCT($J$14:$J$19,--($B$14:$B$19&lt;=$A101),--($C$14:$C$19&gt;$A101),$E$14:$E$19),G101&lt;W101),1,0)</f>
        <v>0.0</v>
      </c>
      <c r="AF101" s="33">
        <f>IF(OR(P101&lt;SUMPRODUCT($K$14:$K$19,--($B$14:$B$19&lt;=$A101),--($C$14:$C$19&gt;$A101),$E$14:$E$19),H101&lt;X101),1,0)</f>
        <v>0.0</v>
      </c>
      <c r="AG101" s="33">
        <f>IF(OR(Q101&lt;SUMPRODUCT($L$14:$L$19,--($B$14:$B$19&lt;=$A101),--($C$14:$C$19&gt;$A101),$E$14:$E$19),I101&lt;Y101),1,0)</f>
        <v>0.0</v>
      </c>
    </row>
    <row r="102">
      <c r="A102" s="20">
        <f>A101+'Parámetros'!$B$57</f>
        <v>23.0</v>
      </c>
      <c r="B102" s="32">
        <f>IFERROR(A102/'Parámetros'!$B$48,"")</f>
        <v>0.9583333333333334</v>
      </c>
      <c r="C102" s="33">
        <f>SUMPRODUCT(--($B$23:$B$58=C$63),--($C$23:$C$58&lt;=$A102),--($D$23:$D$58&gt;$A102))+0</f>
        <v>0.0</v>
      </c>
      <c r="D102" s="33">
        <f>SUMPRODUCT(--($B$23:$B$58=D$63),--($C$23:$C$58&lt;=$A102),--($D$23:$D$58&gt;$A102))+0</f>
        <v>0.0</v>
      </c>
      <c r="E102" s="33">
        <f>SUMPRODUCT(--($B$23:$B$58=E$63),--($C$23:$C$58&lt;=$A102),--($D$23:$D$58&gt;$A102))+0</f>
        <v>0.0</v>
      </c>
      <c r="F102" s="33">
        <f>SUMPRODUCT(--($B$23:$B$58=F$63),--($C$23:$C$58&lt;=$A102),--($D$23:$D$58&gt;$A102))+0</f>
        <v>0.0</v>
      </c>
      <c r="G102" s="33">
        <f>SUMPRODUCT(--($B$23:$B$58=G$63),--($C$23:$C$58&lt;=$A102),--($D$23:$D$58&gt;$A102))+0</f>
        <v>1.0</v>
      </c>
      <c r="H102" s="33">
        <f>SUMPRODUCT(--($B$23:$B$58=H$63),--($C$23:$C$58&lt;=$A102),--($D$23:$D$58&gt;$A102))+0</f>
        <v>1.0</v>
      </c>
      <c r="I102" s="33">
        <f>SUMPRODUCT(--($B$23:$B$58=I$63),--($C$23:$C$58&lt;=$A102),--($D$23:$D$58&gt;$A102))+0</f>
        <v>0.0</v>
      </c>
      <c r="K102" s="33">
        <f>SUMPRODUCT(--($B$23:$B$58=C$63),--($C$23:$C$58&lt;=$A102),--($D$23:$D$58&gt;$A102),--($E$23:$E$58="L"))+0</f>
        <v>0.0</v>
      </c>
      <c r="L102" s="33">
        <f>SUMPRODUCT(--($B$23:$B$58=D$63),--($C$23:$C$58&lt;=$A102),--($D$23:$D$58&gt;$A102),--($E$23:$E$58="L"))+0</f>
        <v>0.0</v>
      </c>
      <c r="M102" s="33">
        <f>SUMPRODUCT(--($B$23:$B$58=E$63),--($C$23:$C$58&lt;=$A102),--($D$23:$D$58&gt;$A102),--($E$23:$E$58="L"))+0</f>
        <v>0.0</v>
      </c>
      <c r="N102" s="33">
        <f>SUMPRODUCT(--($B$23:$B$58=F$63),--($C$23:$C$58&lt;=$A102),--($D$23:$D$58&gt;$A102),--($E$23:$E$58="L"))+0</f>
        <v>0.0</v>
      </c>
      <c r="O102" s="33">
        <f>SUMPRODUCT(--($B$23:$B$58=G$63),--($C$23:$C$58&lt;=$A102),--($D$23:$D$58&gt;$A102),--($E$23:$E$58="L"))+0</f>
        <v>1.0</v>
      </c>
      <c r="P102" s="33">
        <f>SUMPRODUCT(--($B$23:$B$58=H$63),--($C$23:$C$58&lt;=$A102),--($D$23:$D$58&gt;$A102),--($E$23:$E$58="L"))+0</f>
        <v>1.0</v>
      </c>
      <c r="Q102" s="33">
        <f>SUMPRODUCT(--($B$23:$B$58=I$63),--($C$23:$C$58&lt;=$A102),--($D$23:$D$58&gt;$A102),--($E$23:$E$58="L"))+0</f>
        <v>0.0</v>
      </c>
      <c r="S102" s="33">
        <f>SUMPRODUCT($F$14:$F$19,--($B$14:$B$19&lt;=$A102),--($C$14:$C$19&gt;$A102),$D$14:$D$19)+0</f>
        <v>0.0</v>
      </c>
      <c r="T102" s="33">
        <f>SUMPRODUCT($G$14:$G$19,--($B$14:$B$19&lt;=$A102),--($C$14:$C$19&gt;$A102),$D$14:$D$19)+0</f>
        <v>0.0</v>
      </c>
      <c r="U102" s="33">
        <f>SUMPRODUCT($H$14:$H$19,--($B$14:$B$19&lt;=$A102),--($C$14:$C$19&gt;$A102),$D$14:$D$19)+0</f>
        <v>0.0</v>
      </c>
      <c r="V102" s="33">
        <f>SUMPRODUCT($I$14:$I$19,--($B$14:$B$19&lt;=$A102),--($C$14:$C$19&gt;$A102),$D$14:$D$19)+0</f>
        <v>0.0</v>
      </c>
      <c r="W102" s="33">
        <f>SUMPRODUCT($J$14:$J$19,--($B$14:$B$19&lt;=$A102),--($C$14:$C$19&gt;$A102),$D$14:$D$19)+0</f>
        <v>1.0</v>
      </c>
      <c r="X102" s="33">
        <f>SUMPRODUCT($K$14:$K$19,--($B$14:$B$19&lt;=$A102),--($C$14:$C$19&gt;$A102),$D$14:$D$19)+0</f>
        <v>1.0</v>
      </c>
      <c r="Y102" s="33">
        <f>SUMPRODUCT($L$14:$L$19,--($B$14:$B$19&lt;=$A102),--($C$14:$C$19&gt;$A102),$D$14:$D$19)+0</f>
        <v>0.0</v>
      </c>
      <c r="AA102" s="33">
        <f>IF(OR(K102&lt;SUMPRODUCT($F$14:$F$19,--($B$14:$B$19&lt;=$A102),--($C$14:$C$19&gt;$A102),$E$14:$E$19),C102&lt;S102),1,0)</f>
        <v>0.0</v>
      </c>
      <c r="AB102" s="33">
        <f>IF(OR(L102&lt;SUMPRODUCT($G$14:$G$19,--($B$14:$B$19&lt;=$A102),--($C$14:$C$19&gt;$A102),$E$14:$E$19),D102&lt;T102),1,0)</f>
        <v>0.0</v>
      </c>
      <c r="AC102" s="33">
        <f>IF(OR(M102&lt;SUMPRODUCT($H$14:$H$19,--($B$14:$B$19&lt;=$A102),--($C$14:$C$19&gt;$A102),$E$14:$E$19),E102&lt;U102),1,0)</f>
        <v>0.0</v>
      </c>
      <c r="AD102" s="33">
        <f>IF(OR(N102&lt;SUMPRODUCT($I$14:$I$19,--($B$14:$B$19&lt;=$A102),--($C$14:$C$19&gt;$A102),$E$14:$E$19),F102&lt;V102),1,0)</f>
        <v>0.0</v>
      </c>
      <c r="AE102" s="33">
        <f>IF(OR(O102&lt;SUMPRODUCT($J$14:$J$19,--($B$14:$B$19&lt;=$A102),--($C$14:$C$19&gt;$A102),$E$14:$E$19),G102&lt;W102),1,0)</f>
        <v>0.0</v>
      </c>
      <c r="AF102" s="33">
        <f>IF(OR(P102&lt;SUMPRODUCT($K$14:$K$19,--($B$14:$B$19&lt;=$A102),--($C$14:$C$19&gt;$A102),$E$14:$E$19),H102&lt;X102),1,0)</f>
        <v>0.0</v>
      </c>
      <c r="AG102" s="33">
        <f>IF(OR(Q102&lt;SUMPRODUCT($L$14:$L$19,--($B$14:$B$19&lt;=$A102),--($C$14:$C$19&gt;$A102),$E$14:$E$19),I102&lt;Y102),1,0)</f>
        <v>0.0</v>
      </c>
    </row>
    <row r="103">
      <c r="A103" s="20">
        <f>A102+'Parámetros'!$B$57</f>
        <v>23.5</v>
      </c>
      <c r="B103" s="32">
        <f>IFERROR(A103/'Parámetros'!$B$48,"")</f>
        <v>0.9791666666666666</v>
      </c>
      <c r="C103" s="33">
        <f>SUMPRODUCT(--($B$23:$B$58=C$63),--($C$23:$C$58&lt;=$A103),--($D$23:$D$58&gt;$A103))+0</f>
        <v>0.0</v>
      </c>
      <c r="D103" s="33">
        <f>SUMPRODUCT(--($B$23:$B$58=D$63),--($C$23:$C$58&lt;=$A103),--($D$23:$D$58&gt;$A103))+0</f>
        <v>0.0</v>
      </c>
      <c r="E103" s="33">
        <f>SUMPRODUCT(--($B$23:$B$58=E$63),--($C$23:$C$58&lt;=$A103),--($D$23:$D$58&gt;$A103))+0</f>
        <v>0.0</v>
      </c>
      <c r="F103" s="33">
        <f>SUMPRODUCT(--($B$23:$B$58=F$63),--($C$23:$C$58&lt;=$A103),--($D$23:$D$58&gt;$A103))+0</f>
        <v>0.0</v>
      </c>
      <c r="G103" s="33">
        <f>SUMPRODUCT(--($B$23:$B$58=G$63),--($C$23:$C$58&lt;=$A103),--($D$23:$D$58&gt;$A103))+0</f>
        <v>1.0</v>
      </c>
      <c r="H103" s="33">
        <f>SUMPRODUCT(--($B$23:$B$58=H$63),--($C$23:$C$58&lt;=$A103),--($D$23:$D$58&gt;$A103))+0</f>
        <v>1.0</v>
      </c>
      <c r="I103" s="33">
        <f>SUMPRODUCT(--($B$23:$B$58=I$63),--($C$23:$C$58&lt;=$A103),--($D$23:$D$58&gt;$A103))+0</f>
        <v>0.0</v>
      </c>
      <c r="K103" s="33">
        <f>SUMPRODUCT(--($B$23:$B$58=C$63),--($C$23:$C$58&lt;=$A103),--($D$23:$D$58&gt;$A103),--($E$23:$E$58="L"))+0</f>
        <v>0.0</v>
      </c>
      <c r="L103" s="33">
        <f>SUMPRODUCT(--($B$23:$B$58=D$63),--($C$23:$C$58&lt;=$A103),--($D$23:$D$58&gt;$A103),--($E$23:$E$58="L"))+0</f>
        <v>0.0</v>
      </c>
      <c r="M103" s="33">
        <f>SUMPRODUCT(--($B$23:$B$58=E$63),--($C$23:$C$58&lt;=$A103),--($D$23:$D$58&gt;$A103),--($E$23:$E$58="L"))+0</f>
        <v>0.0</v>
      </c>
      <c r="N103" s="33">
        <f>SUMPRODUCT(--($B$23:$B$58=F$63),--($C$23:$C$58&lt;=$A103),--($D$23:$D$58&gt;$A103),--($E$23:$E$58="L"))+0</f>
        <v>0.0</v>
      </c>
      <c r="O103" s="33">
        <f>SUMPRODUCT(--($B$23:$B$58=G$63),--($C$23:$C$58&lt;=$A103),--($D$23:$D$58&gt;$A103),--($E$23:$E$58="L"))+0</f>
        <v>1.0</v>
      </c>
      <c r="P103" s="33">
        <f>SUMPRODUCT(--($B$23:$B$58=H$63),--($C$23:$C$58&lt;=$A103),--($D$23:$D$58&gt;$A103),--($E$23:$E$58="L"))+0</f>
        <v>1.0</v>
      </c>
      <c r="Q103" s="33">
        <f>SUMPRODUCT(--($B$23:$B$58=I$63),--($C$23:$C$58&lt;=$A103),--($D$23:$D$58&gt;$A103),--($E$23:$E$58="L"))+0</f>
        <v>0.0</v>
      </c>
      <c r="S103" s="33">
        <f>SUMPRODUCT($F$14:$F$19,--($B$14:$B$19&lt;=$A103),--($C$14:$C$19&gt;$A103),$D$14:$D$19)+0</f>
        <v>0.0</v>
      </c>
      <c r="T103" s="33">
        <f>SUMPRODUCT($G$14:$G$19,--($B$14:$B$19&lt;=$A103),--($C$14:$C$19&gt;$A103),$D$14:$D$19)+0</f>
        <v>0.0</v>
      </c>
      <c r="U103" s="33">
        <f>SUMPRODUCT($H$14:$H$19,--($B$14:$B$19&lt;=$A103),--($C$14:$C$19&gt;$A103),$D$14:$D$19)+0</f>
        <v>0.0</v>
      </c>
      <c r="V103" s="33">
        <f>SUMPRODUCT($I$14:$I$19,--($B$14:$B$19&lt;=$A103),--($C$14:$C$19&gt;$A103),$D$14:$D$19)+0</f>
        <v>0.0</v>
      </c>
      <c r="W103" s="33">
        <f>SUMPRODUCT($J$14:$J$19,--($B$14:$B$19&lt;=$A103),--($C$14:$C$19&gt;$A103),$D$14:$D$19)+0</f>
        <v>1.0</v>
      </c>
      <c r="X103" s="33">
        <f>SUMPRODUCT($K$14:$K$19,--($B$14:$B$19&lt;=$A103),--($C$14:$C$19&gt;$A103),$D$14:$D$19)+0</f>
        <v>1.0</v>
      </c>
      <c r="Y103" s="33">
        <f>SUMPRODUCT($L$14:$L$19,--($B$14:$B$19&lt;=$A103),--($C$14:$C$19&gt;$A103),$D$14:$D$19)+0</f>
        <v>0.0</v>
      </c>
      <c r="AA103" s="33">
        <f>IF(OR(K103&lt;SUMPRODUCT($F$14:$F$19,--($B$14:$B$19&lt;=$A103),--($C$14:$C$19&gt;$A103),$E$14:$E$19),C103&lt;S103),1,0)</f>
        <v>0.0</v>
      </c>
      <c r="AB103" s="33">
        <f>IF(OR(L103&lt;SUMPRODUCT($G$14:$G$19,--($B$14:$B$19&lt;=$A103),--($C$14:$C$19&gt;$A103),$E$14:$E$19),D103&lt;T103),1,0)</f>
        <v>0.0</v>
      </c>
      <c r="AC103" s="33">
        <f>IF(OR(M103&lt;SUMPRODUCT($H$14:$H$19,--($B$14:$B$19&lt;=$A103),--($C$14:$C$19&gt;$A103),$E$14:$E$19),E103&lt;U103),1,0)</f>
        <v>0.0</v>
      </c>
      <c r="AD103" s="33">
        <f>IF(OR(N103&lt;SUMPRODUCT($I$14:$I$19,--($B$14:$B$19&lt;=$A103),--($C$14:$C$19&gt;$A103),$E$14:$E$19),F103&lt;V103),1,0)</f>
        <v>0.0</v>
      </c>
      <c r="AE103" s="33">
        <f>IF(OR(O103&lt;SUMPRODUCT($J$14:$J$19,--($B$14:$B$19&lt;=$A103),--($C$14:$C$19&gt;$A103),$E$14:$E$19),G103&lt;W103),1,0)</f>
        <v>0.0</v>
      </c>
      <c r="AF103" s="33">
        <f>IF(OR(P103&lt;SUMPRODUCT($K$14:$K$19,--($B$14:$B$19&lt;=$A103),--($C$14:$C$19&gt;$A103),$E$14:$E$19),H103&lt;X103),1,0)</f>
        <v>0.0</v>
      </c>
      <c r="AG103" s="33">
        <f>IF(OR(Q103&lt;SUMPRODUCT($L$14:$L$19,--($B$14:$B$19&lt;=$A103),--($C$14:$C$19&gt;$A103),$E$14:$E$19),I103&lt;Y103),1,0)</f>
        <v>0.0</v>
      </c>
    </row>
    <row r="104">
      <c r="A104" s="20">
        <f>A103+'Parámetros'!$B$57</f>
        <v>24.0</v>
      </c>
      <c r="B104" s="32">
        <f>IFERROR(A104/'Parámetros'!$B$48,"")</f>
        <v>1.0</v>
      </c>
      <c r="C104" s="33">
        <f>SUMPRODUCT(--($B$23:$B$58=C$63),--($C$23:$C$58&lt;=$A104),--($D$23:$D$58&gt;$A104))+0</f>
        <v>0.0</v>
      </c>
      <c r="D104" s="33">
        <f>SUMPRODUCT(--($B$23:$B$58=D$63),--($C$23:$C$58&lt;=$A104),--($D$23:$D$58&gt;$A104))+0</f>
        <v>0.0</v>
      </c>
      <c r="E104" s="33">
        <f>SUMPRODUCT(--($B$23:$B$58=E$63),--($C$23:$C$58&lt;=$A104),--($D$23:$D$58&gt;$A104))+0</f>
        <v>0.0</v>
      </c>
      <c r="F104" s="33">
        <f>SUMPRODUCT(--($B$23:$B$58=F$63),--($C$23:$C$58&lt;=$A104),--($D$23:$D$58&gt;$A104))+0</f>
        <v>0.0</v>
      </c>
      <c r="G104" s="33">
        <f>SUMPRODUCT(--($B$23:$B$58=G$63),--($C$23:$C$58&lt;=$A104),--($D$23:$D$58&gt;$A104))+0</f>
        <v>1.0</v>
      </c>
      <c r="H104" s="33">
        <f>SUMPRODUCT(--($B$23:$B$58=H$63),--($C$23:$C$58&lt;=$A104),--($D$23:$D$58&gt;$A104))+0</f>
        <v>1.0</v>
      </c>
      <c r="I104" s="33">
        <f>SUMPRODUCT(--($B$23:$B$58=I$63),--($C$23:$C$58&lt;=$A104),--($D$23:$D$58&gt;$A104))+0</f>
        <v>0.0</v>
      </c>
      <c r="K104" s="33">
        <f>SUMPRODUCT(--($B$23:$B$58=C$63),--($C$23:$C$58&lt;=$A104),--($D$23:$D$58&gt;$A104),--($E$23:$E$58="L"))+0</f>
        <v>0.0</v>
      </c>
      <c r="L104" s="33">
        <f>SUMPRODUCT(--($B$23:$B$58=D$63),--($C$23:$C$58&lt;=$A104),--($D$23:$D$58&gt;$A104),--($E$23:$E$58="L"))+0</f>
        <v>0.0</v>
      </c>
      <c r="M104" s="33">
        <f>SUMPRODUCT(--($B$23:$B$58=E$63),--($C$23:$C$58&lt;=$A104),--($D$23:$D$58&gt;$A104),--($E$23:$E$58="L"))+0</f>
        <v>0.0</v>
      </c>
      <c r="N104" s="33">
        <f>SUMPRODUCT(--($B$23:$B$58=F$63),--($C$23:$C$58&lt;=$A104),--($D$23:$D$58&gt;$A104),--($E$23:$E$58="L"))+0</f>
        <v>0.0</v>
      </c>
      <c r="O104" s="33">
        <f>SUMPRODUCT(--($B$23:$B$58=G$63),--($C$23:$C$58&lt;=$A104),--($D$23:$D$58&gt;$A104),--($E$23:$E$58="L"))+0</f>
        <v>1.0</v>
      </c>
      <c r="P104" s="33">
        <f>SUMPRODUCT(--($B$23:$B$58=H$63),--($C$23:$C$58&lt;=$A104),--($D$23:$D$58&gt;$A104),--($E$23:$E$58="L"))+0</f>
        <v>1.0</v>
      </c>
      <c r="Q104" s="33">
        <f>SUMPRODUCT(--($B$23:$B$58=I$63),--($C$23:$C$58&lt;=$A104),--($D$23:$D$58&gt;$A104),--($E$23:$E$58="L"))+0</f>
        <v>0.0</v>
      </c>
      <c r="S104" s="33">
        <f>SUMPRODUCT($F$14:$F$19,--($B$14:$B$19&lt;=$A104),--($C$14:$C$19&gt;$A104),$D$14:$D$19)+0</f>
        <v>0.0</v>
      </c>
      <c r="T104" s="33">
        <f>SUMPRODUCT($G$14:$G$19,--($B$14:$B$19&lt;=$A104),--($C$14:$C$19&gt;$A104),$D$14:$D$19)+0</f>
        <v>0.0</v>
      </c>
      <c r="U104" s="33">
        <f>SUMPRODUCT($H$14:$H$19,--($B$14:$B$19&lt;=$A104),--($C$14:$C$19&gt;$A104),$D$14:$D$19)+0</f>
        <v>0.0</v>
      </c>
      <c r="V104" s="33">
        <f>SUMPRODUCT($I$14:$I$19,--($B$14:$B$19&lt;=$A104),--($C$14:$C$19&gt;$A104),$D$14:$D$19)+0</f>
        <v>0.0</v>
      </c>
      <c r="W104" s="33">
        <f>SUMPRODUCT($J$14:$J$19,--($B$14:$B$19&lt;=$A104),--($C$14:$C$19&gt;$A104),$D$14:$D$19)+0</f>
        <v>1.0</v>
      </c>
      <c r="X104" s="33">
        <f>SUMPRODUCT($K$14:$K$19,--($B$14:$B$19&lt;=$A104),--($C$14:$C$19&gt;$A104),$D$14:$D$19)+0</f>
        <v>1.0</v>
      </c>
      <c r="Y104" s="33">
        <f>SUMPRODUCT($L$14:$L$19,--($B$14:$B$19&lt;=$A104),--($C$14:$C$19&gt;$A104),$D$14:$D$19)+0</f>
        <v>0.0</v>
      </c>
      <c r="AA104" s="33">
        <f>IF(OR(K104&lt;SUMPRODUCT($F$14:$F$19,--($B$14:$B$19&lt;=$A104),--($C$14:$C$19&gt;$A104),$E$14:$E$19),C104&lt;S104),1,0)</f>
        <v>0.0</v>
      </c>
      <c r="AB104" s="33">
        <f>IF(OR(L104&lt;SUMPRODUCT($G$14:$G$19,--($B$14:$B$19&lt;=$A104),--($C$14:$C$19&gt;$A104),$E$14:$E$19),D104&lt;T104),1,0)</f>
        <v>0.0</v>
      </c>
      <c r="AC104" s="33">
        <f>IF(OR(M104&lt;SUMPRODUCT($H$14:$H$19,--($B$14:$B$19&lt;=$A104),--($C$14:$C$19&gt;$A104),$E$14:$E$19),E104&lt;U104),1,0)</f>
        <v>0.0</v>
      </c>
      <c r="AD104" s="33">
        <f>IF(OR(N104&lt;SUMPRODUCT($I$14:$I$19,--($B$14:$B$19&lt;=$A104),--($C$14:$C$19&gt;$A104),$E$14:$E$19),F104&lt;V104),1,0)</f>
        <v>0.0</v>
      </c>
      <c r="AE104" s="33">
        <f>IF(OR(O104&lt;SUMPRODUCT($J$14:$J$19,--($B$14:$B$19&lt;=$A104),--($C$14:$C$19&gt;$A104),$E$14:$E$19),G104&lt;W104),1,0)</f>
        <v>0.0</v>
      </c>
      <c r="AF104" s="33">
        <f>IF(OR(P104&lt;SUMPRODUCT($K$14:$K$19,--($B$14:$B$19&lt;=$A104),--($C$14:$C$19&gt;$A104),$E$14:$E$19),H104&lt;X104),1,0)</f>
        <v>0.0</v>
      </c>
      <c r="AG104" s="33">
        <f>IF(OR(Q104&lt;SUMPRODUCT($L$14:$L$19,--($B$14:$B$19&lt;=$A104),--($C$14:$C$19&gt;$A104),$E$14:$E$19),I104&lt;Y104),1,0)</f>
        <v>0.0</v>
      </c>
    </row>
    <row r="105">
      <c r="A105" s="20">
        <f>A104+'Parámetros'!$B$57</f>
        <v>24.5</v>
      </c>
      <c r="B105" s="32">
        <f>IFERROR(A105/'Parámetros'!$B$48,"")</f>
        <v>1.0208333333333333</v>
      </c>
      <c r="C105" s="33">
        <f>SUMPRODUCT(--($B$23:$B$58=C$63),--($C$23:$C$58&lt;=$A105),--($D$23:$D$58&gt;$A105))+0</f>
        <v>0.0</v>
      </c>
      <c r="D105" s="33">
        <f>SUMPRODUCT(--($B$23:$B$58=D$63),--($C$23:$C$58&lt;=$A105),--($D$23:$D$58&gt;$A105))+0</f>
        <v>0.0</v>
      </c>
      <c r="E105" s="33">
        <f>SUMPRODUCT(--($B$23:$B$58=E$63),--($C$23:$C$58&lt;=$A105),--($D$23:$D$58&gt;$A105))+0</f>
        <v>0.0</v>
      </c>
      <c r="F105" s="33">
        <f>SUMPRODUCT(--($B$23:$B$58=F$63),--($C$23:$C$58&lt;=$A105),--($D$23:$D$58&gt;$A105))+0</f>
        <v>0.0</v>
      </c>
      <c r="G105" s="33">
        <f>SUMPRODUCT(--($B$23:$B$58=G$63),--($C$23:$C$58&lt;=$A105),--($D$23:$D$58&gt;$A105))+0</f>
        <v>1.0</v>
      </c>
      <c r="H105" s="33">
        <f>SUMPRODUCT(--($B$23:$B$58=H$63),--($C$23:$C$58&lt;=$A105),--($D$23:$D$58&gt;$A105))+0</f>
        <v>1.0</v>
      </c>
      <c r="I105" s="33">
        <f>SUMPRODUCT(--($B$23:$B$58=I$63),--($C$23:$C$58&lt;=$A105),--($D$23:$D$58&gt;$A105))+0</f>
        <v>0.0</v>
      </c>
      <c r="K105" s="33">
        <f>SUMPRODUCT(--($B$23:$B$58=C$63),--($C$23:$C$58&lt;=$A105),--($D$23:$D$58&gt;$A105),--($E$23:$E$58="L"))+0</f>
        <v>0.0</v>
      </c>
      <c r="L105" s="33">
        <f>SUMPRODUCT(--($B$23:$B$58=D$63),--($C$23:$C$58&lt;=$A105),--($D$23:$D$58&gt;$A105),--($E$23:$E$58="L"))+0</f>
        <v>0.0</v>
      </c>
      <c r="M105" s="33">
        <f>SUMPRODUCT(--($B$23:$B$58=E$63),--($C$23:$C$58&lt;=$A105),--($D$23:$D$58&gt;$A105),--($E$23:$E$58="L"))+0</f>
        <v>0.0</v>
      </c>
      <c r="N105" s="33">
        <f>SUMPRODUCT(--($B$23:$B$58=F$63),--($C$23:$C$58&lt;=$A105),--($D$23:$D$58&gt;$A105),--($E$23:$E$58="L"))+0</f>
        <v>0.0</v>
      </c>
      <c r="O105" s="33">
        <f>SUMPRODUCT(--($B$23:$B$58=G$63),--($C$23:$C$58&lt;=$A105),--($D$23:$D$58&gt;$A105),--($E$23:$E$58="L"))+0</f>
        <v>1.0</v>
      </c>
      <c r="P105" s="33">
        <f>SUMPRODUCT(--($B$23:$B$58=H$63),--($C$23:$C$58&lt;=$A105),--($D$23:$D$58&gt;$A105),--($E$23:$E$58="L"))+0</f>
        <v>1.0</v>
      </c>
      <c r="Q105" s="33">
        <f>SUMPRODUCT(--($B$23:$B$58=I$63),--($C$23:$C$58&lt;=$A105),--($D$23:$D$58&gt;$A105),--($E$23:$E$58="L"))+0</f>
        <v>0.0</v>
      </c>
      <c r="S105" s="33">
        <f>SUMPRODUCT($F$14:$F$19,--($B$14:$B$19&lt;=$A105),--($C$14:$C$19&gt;$A105),$D$14:$D$19)+0</f>
        <v>0.0</v>
      </c>
      <c r="T105" s="33">
        <f>SUMPRODUCT($G$14:$G$19,--($B$14:$B$19&lt;=$A105),--($C$14:$C$19&gt;$A105),$D$14:$D$19)+0</f>
        <v>0.0</v>
      </c>
      <c r="U105" s="33">
        <f>SUMPRODUCT($H$14:$H$19,--($B$14:$B$19&lt;=$A105),--($C$14:$C$19&gt;$A105),$D$14:$D$19)+0</f>
        <v>0.0</v>
      </c>
      <c r="V105" s="33">
        <f>SUMPRODUCT($I$14:$I$19,--($B$14:$B$19&lt;=$A105),--($C$14:$C$19&gt;$A105),$D$14:$D$19)+0</f>
        <v>0.0</v>
      </c>
      <c r="W105" s="33">
        <f>SUMPRODUCT($J$14:$J$19,--($B$14:$B$19&lt;=$A105),--($C$14:$C$19&gt;$A105),$D$14:$D$19)+0</f>
        <v>1.0</v>
      </c>
      <c r="X105" s="33">
        <f>SUMPRODUCT($K$14:$K$19,--($B$14:$B$19&lt;=$A105),--($C$14:$C$19&gt;$A105),$D$14:$D$19)+0</f>
        <v>1.0</v>
      </c>
      <c r="Y105" s="33">
        <f>SUMPRODUCT($L$14:$L$19,--($B$14:$B$19&lt;=$A105),--($C$14:$C$19&gt;$A105),$D$14:$D$19)+0</f>
        <v>0.0</v>
      </c>
      <c r="AA105" s="33">
        <f>IF(OR(K105&lt;SUMPRODUCT($F$14:$F$19,--($B$14:$B$19&lt;=$A105),--($C$14:$C$19&gt;$A105),$E$14:$E$19),C105&lt;S105),1,0)</f>
        <v>0.0</v>
      </c>
      <c r="AB105" s="33">
        <f>IF(OR(L105&lt;SUMPRODUCT($G$14:$G$19,--($B$14:$B$19&lt;=$A105),--($C$14:$C$19&gt;$A105),$E$14:$E$19),D105&lt;T105),1,0)</f>
        <v>0.0</v>
      </c>
      <c r="AC105" s="33">
        <f>IF(OR(M105&lt;SUMPRODUCT($H$14:$H$19,--($B$14:$B$19&lt;=$A105),--($C$14:$C$19&gt;$A105),$E$14:$E$19),E105&lt;U105),1,0)</f>
        <v>0.0</v>
      </c>
      <c r="AD105" s="33">
        <f>IF(OR(N105&lt;SUMPRODUCT($I$14:$I$19,--($B$14:$B$19&lt;=$A105),--($C$14:$C$19&gt;$A105),$E$14:$E$19),F105&lt;V105),1,0)</f>
        <v>0.0</v>
      </c>
      <c r="AE105" s="33">
        <f>IF(OR(O105&lt;SUMPRODUCT($J$14:$J$19,--($B$14:$B$19&lt;=$A105),--($C$14:$C$19&gt;$A105),$E$14:$E$19),G105&lt;W105),1,0)</f>
        <v>0.0</v>
      </c>
      <c r="AF105" s="33">
        <f>IF(OR(P105&lt;SUMPRODUCT($K$14:$K$19,--($B$14:$B$19&lt;=$A105),--($C$14:$C$19&gt;$A105),$E$14:$E$19),H105&lt;X105),1,0)</f>
        <v>0.0</v>
      </c>
      <c r="AG105" s="33">
        <f>IF(OR(Q105&lt;SUMPRODUCT($L$14:$L$19,--($B$14:$B$19&lt;=$A105),--($C$14:$C$19&gt;$A105),$E$14:$E$19),I105&lt;Y105),1,0)</f>
        <v>0.0</v>
      </c>
    </row>
    <row r="106">
      <c r="A106" s="16" t="inlineStr">
        <is>
          <t>Huecos por día (medias horas)</t>
        </is>
      </c>
      <c r="AA106" s="34">
        <f>SUM(AA64:AA105)</f>
        <v>0.0</v>
      </c>
      <c r="AB106" s="34">
        <f>SUM(AB64:AB105)</f>
        <v>0.0</v>
      </c>
      <c r="AC106" s="34">
        <f>SUM(AC64:AC105)</f>
        <v>0.0</v>
      </c>
      <c r="AD106" s="34">
        <f>SUM(AD64:AD105)</f>
        <v>0.0</v>
      </c>
      <c r="AE106" s="34">
        <f>SUM(AE64:AE105)</f>
        <v>0.0</v>
      </c>
      <c r="AF106" s="34">
        <f>SUM(AF64:AF105)</f>
        <v>0.0</v>
      </c>
      <c r="AG106" s="34">
        <f>SUM(AG64:AG105)</f>
        <v>0.0</v>
      </c>
    </row>
    <row r="107"/>
    <row r="108"/>
    <row r="109">
      <c r="A109" s="25" t="inlineStr">
        <is>
          <t>Listas de validación (no las borres: las usan los desplegables)</t>
        </is>
      </c>
    </row>
    <row r="110">
      <c r="A110" s="16" t="inlineStr">
        <is>
          <t>Día</t>
        </is>
      </c>
      <c r="B110" s="16" t="inlineStr">
        <is>
          <t>Puesto</t>
        </is>
      </c>
    </row>
    <row r="111">
      <c r="A111" t="inlineStr">
        <is>
          <t>L</t>
        </is>
      </c>
      <c r="B111" t="inlineStr">
        <is>
          <t>L</t>
        </is>
      </c>
    </row>
    <row r="112">
      <c r="A112" t="inlineStr">
        <is>
          <t>M</t>
        </is>
      </c>
      <c r="B112" t="inlineStr">
        <is>
          <t>B</t>
        </is>
      </c>
    </row>
    <row r="113">
      <c r="A113" t="inlineStr">
        <is>
          <t>X</t>
        </is>
      </c>
    </row>
    <row r="114">
      <c r="A114" t="inlineStr">
        <is>
          <t>J</t>
        </is>
      </c>
    </row>
    <row r="115">
      <c r="A115" t="inlineStr">
        <is>
          <t>V</t>
        </is>
      </c>
    </row>
    <row r="116">
      <c r="A116" t="inlineStr">
        <is>
          <t>S</t>
        </is>
      </c>
    </row>
    <row r="117">
      <c r="A117" t="inlineStr">
        <is>
          <t>D</t>
        </is>
      </c>
    </row>
    <row r="118"/>
    <row r="119"/>
    <row r="120">
      <c r="A120"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B9:F9"/>
    <mergeCell ref="C62:I62"/>
    <mergeCell ref="S62:Y62"/>
    <mergeCell ref="AA62:AG62"/>
    <mergeCell ref="K62:Q62"/>
  </mergeCells>
  <conditionalFormatting sqref="B9">
    <cfRule type="cellIs" priority="1" operator="equal" dxfId="0" stopIfTrue="1">
      <formula>"Sin huecos: el cuadrante cubre todos los mínimos"</formula>
    </cfRule>
    <cfRule type="cellIs" priority="2" operator="equal" dxfId="1" stopIfTrue="1">
      <formula>"HAY HUECOS: mira la rejilla de huecos, abajo"</formula>
    </cfRule>
  </conditionalFormatting>
  <conditionalFormatting sqref="AA64:AG106">
    <cfRule type="expression" priority="3" dxfId="1" stopIfTrue="1">
      <formula>=AND(ISNUMBER(AA64),AA64&gt;0)</formula>
    </cfRule>
  </conditionalFormatting>
  <dataValidations count="140">
    <dataValidation sqref="B14" showDropDown="0" showInputMessage="0" showErrorMessage="1" allowBlank="1" errorTitle="Valor fuera de rango" error="Escribe un valor entre 0 y 48." type="decimal" operator="between">
      <formula1>0</formula1>
      <formula2>48</formula2>
    </dataValidation>
    <dataValidation sqref="C14" showDropDown="0" showInputMessage="0" showErrorMessage="1" allowBlank="1" errorTitle="Valor fuera de rango" error="Escribe un valor entre 0 y 48." type="decimal" operator="between">
      <formula1>0</formula1>
      <formula2>48</formula2>
    </dataValidation>
    <dataValidation sqref="D14" showDropDown="0" showInputMessage="0" showErrorMessage="1" allowBlank="1" errorTitle="Valor fuera de rango" error="Escribe un valor entre 0 y 48." type="decimal" operator="between">
      <formula1>0</formula1>
      <formula2>48</formula2>
    </dataValidation>
    <dataValidation sqref="E14" showDropDown="0" showInputMessage="0" showErrorMessage="1" allowBlank="1" errorTitle="Valor fuera de rango" error="Escribe un valor entre 0 y 48." type="decimal" operator="between">
      <formula1>0</formula1>
      <formula2>48</formula2>
    </dataValidation>
    <dataValidation sqref="F14" showDropDown="0" showInputMessage="0" showErrorMessage="1" allowBlank="1" errorTitle="Valor fuera de rango" error="Escribe 1 si ese día se exige el mínimo y 0 si no." type="decimal" operator="between">
      <formula1>0</formula1>
      <formula2>1</formula2>
    </dataValidation>
    <dataValidation sqref="G14" showDropDown="0" showInputMessage="0" showErrorMessage="1" allowBlank="1" errorTitle="Valor fuera de rango" error="Escribe 1 si ese día se exige el mínimo y 0 si no." type="decimal" operator="between">
      <formula1>0</formula1>
      <formula2>1</formula2>
    </dataValidation>
    <dataValidation sqref="H14" showDropDown="0" showInputMessage="0" showErrorMessage="1" allowBlank="1" errorTitle="Valor fuera de rango" error="Escribe 1 si ese día se exige el mínimo y 0 si no." type="decimal" operator="between">
      <formula1>0</formula1>
      <formula2>1</formula2>
    </dataValidation>
    <dataValidation sqref="I14" showDropDown="0" showInputMessage="0" showErrorMessage="1" allowBlank="1" errorTitle="Valor fuera de rango" error="Escribe 1 si ese día se exige el mínimo y 0 si no." type="decimal" operator="between">
      <formula1>0</formula1>
      <formula2>1</formula2>
    </dataValidation>
    <dataValidation sqref="J14" showDropDown="0" showInputMessage="0" showErrorMessage="1" allowBlank="1" errorTitle="Valor fuera de rango" error="Escribe 1 si ese día se exige el mínimo y 0 si no." type="decimal" operator="between">
      <formula1>0</formula1>
      <formula2>1</formula2>
    </dataValidation>
    <dataValidation sqref="K14" showDropDown="0" showInputMessage="0" showErrorMessage="1" allowBlank="1" errorTitle="Valor fuera de rango" error="Escribe 1 si ese día se exige el mínimo y 0 si no." type="decimal" operator="between">
      <formula1>0</formula1>
      <formula2>1</formula2>
    </dataValidation>
    <dataValidation sqref="L14" showDropDown="0" showInputMessage="0" showErrorMessage="1" allowBlank="1" errorTitle="Valor fuera de rango" error="Escribe 1 si ese día se exige el mínimo y 0 si no." type="decimal" operator="between">
      <formula1>0</formula1>
      <formula2>1</formula2>
    </dataValidation>
    <dataValidation sqref="B15" showDropDown="0" showInputMessage="0" showErrorMessage="1" allowBlank="1" errorTitle="Valor fuera de rango" error="Escribe un valor entre 0 y 48." type="decimal" operator="between">
      <formula1>0</formula1>
      <formula2>48</formula2>
    </dataValidation>
    <dataValidation sqref="C15" showDropDown="0" showInputMessage="0" showErrorMessage="1" allowBlank="1" errorTitle="Valor fuera de rango" error="Escribe un valor entre 0 y 48." type="decimal" operator="between">
      <formula1>0</formula1>
      <formula2>48</formula2>
    </dataValidation>
    <dataValidation sqref="D15" showDropDown="0" showInputMessage="0" showErrorMessage="1" allowBlank="1" errorTitle="Valor fuera de rango" error="Escribe un valor entre 0 y 48." type="decimal" operator="between">
      <formula1>0</formula1>
      <formula2>48</formula2>
    </dataValidation>
    <dataValidation sqref="F15" showDropDown="0" showInputMessage="0" showErrorMessage="1" allowBlank="1" errorTitle="Valor fuera de rango" error="Escribe 1 si ese día se exige el mínimo y 0 si no." type="decimal" operator="between">
      <formula1>0</formula1>
      <formula2>1</formula2>
    </dataValidation>
    <dataValidation sqref="G15" showDropDown="0" showInputMessage="0" showErrorMessage="1" allowBlank="1" errorTitle="Valor fuera de rango" error="Escribe 1 si ese día se exige el mínimo y 0 si no." type="decimal" operator="between">
      <formula1>0</formula1>
      <formula2>1</formula2>
    </dataValidation>
    <dataValidation sqref="H15" showDropDown="0" showInputMessage="0" showErrorMessage="1" allowBlank="1" errorTitle="Valor fuera de rango" error="Escribe 1 si ese día se exige el mínimo y 0 si no." type="decimal" operator="between">
      <formula1>0</formula1>
      <formula2>1</formula2>
    </dataValidation>
    <dataValidation sqref="I15" showDropDown="0" showInputMessage="0" showErrorMessage="1" allowBlank="1" errorTitle="Valor fuera de rango" error="Escribe 1 si ese día se exige el mínimo y 0 si no." type="decimal" operator="between">
      <formula1>0</formula1>
      <formula2>1</formula2>
    </dataValidation>
    <dataValidation sqref="J15" showDropDown="0" showInputMessage="0" showErrorMessage="1" allowBlank="1" errorTitle="Valor fuera de rango" error="Escribe 1 si ese día se exige el mínimo y 0 si no." type="decimal" operator="between">
      <formula1>0</formula1>
      <formula2>1</formula2>
    </dataValidation>
    <dataValidation sqref="K15" showDropDown="0" showInputMessage="0" showErrorMessage="1" allowBlank="1" errorTitle="Valor fuera de rango" error="Escribe 1 si ese día se exige el mínimo y 0 si no." type="decimal" operator="between">
      <formula1>0</formula1>
      <formula2>1</formula2>
    </dataValidation>
    <dataValidation sqref="L15" showDropDown="0" showInputMessage="0" showErrorMessage="1" allowBlank="1" errorTitle="Valor fuera de rango" error="Escribe 1 si ese día se exige el mínimo y 0 si no." type="decimal" operator="between">
      <formula1>0</formula1>
      <formula2>1</formula2>
    </dataValidation>
    <dataValidation sqref="B16" showDropDown="0" showInputMessage="0" showErrorMessage="1" allowBlank="1" errorTitle="Valor fuera de rango" error="Escribe un valor entre 0 y 48." type="decimal" operator="between">
      <formula1>0</formula1>
      <formula2>48</formula2>
    </dataValidation>
    <dataValidation sqref="C16" showDropDown="0" showInputMessage="0" showErrorMessage="1" allowBlank="1" errorTitle="Valor fuera de rango" error="Escribe un valor entre 0 y 48." type="decimal" operator="between">
      <formula1>0</formula1>
      <formula2>48</formula2>
    </dataValidation>
    <dataValidation sqref="D16" showDropDown="0" showInputMessage="0" showErrorMessage="1" allowBlank="1" errorTitle="Valor fuera de rango" error="Escribe un valor entre 0 y 48." type="decimal" operator="between">
      <formula1>0</formula1>
      <formula2>48</formula2>
    </dataValidation>
    <dataValidation sqref="E16" showDropDown="0" showInputMessage="0" showErrorMessage="1" allowBlank="1" errorTitle="Valor fuera de rango" error="Escribe un valor entre 0 y 48." type="decimal" operator="between">
      <formula1>0</formula1>
      <formula2>48</formula2>
    </dataValidation>
    <dataValidation sqref="F16" showDropDown="0" showInputMessage="0" showErrorMessage="1" allowBlank="1" errorTitle="Valor fuera de rango" error="Escribe 1 si ese día se exige el mínimo y 0 si no." type="decimal" operator="between">
      <formula1>0</formula1>
      <formula2>1</formula2>
    </dataValidation>
    <dataValidation sqref="G16" showDropDown="0" showInputMessage="0" showErrorMessage="1" allowBlank="1" errorTitle="Valor fuera de rango" error="Escribe 1 si ese día se exige el mínimo y 0 si no." type="decimal" operator="between">
      <formula1>0</formula1>
      <formula2>1</formula2>
    </dataValidation>
    <dataValidation sqref="H16" showDropDown="0" showInputMessage="0" showErrorMessage="1" allowBlank="1" errorTitle="Valor fuera de rango" error="Escribe 1 si ese día se exige el mínimo y 0 si no." type="decimal" operator="between">
      <formula1>0</formula1>
      <formula2>1</formula2>
    </dataValidation>
    <dataValidation sqref="I16" showDropDown="0" showInputMessage="0" showErrorMessage="1" allowBlank="1" errorTitle="Valor fuera de rango" error="Escribe 1 si ese día se exige el mínimo y 0 si no." type="decimal" operator="between">
      <formula1>0</formula1>
      <formula2>1</formula2>
    </dataValidation>
    <dataValidation sqref="J16" showDropDown="0" showInputMessage="0" showErrorMessage="1" allowBlank="1" errorTitle="Valor fuera de rango" error="Escribe 1 si ese día se exige el mínimo y 0 si no." type="decimal" operator="between">
      <formula1>0</formula1>
      <formula2>1</formula2>
    </dataValidation>
    <dataValidation sqref="K16" showDropDown="0" showInputMessage="0" showErrorMessage="1" allowBlank="1" errorTitle="Valor fuera de rango" error="Escribe 1 si ese día se exige el mínimo y 0 si no." type="decimal" operator="between">
      <formula1>0</formula1>
      <formula2>1</formula2>
    </dataValidation>
    <dataValidation sqref="L16" showDropDown="0" showInputMessage="0" showErrorMessage="1" allowBlank="1" errorTitle="Valor fuera de rango" error="Escribe 1 si ese día se exige el mínimo y 0 si no." type="decimal" operator="between">
      <formula1>0</formula1>
      <formula2>1</formula2>
    </dataValidation>
    <dataValidation sqref="B17" showDropDown="0" showInputMessage="0" showErrorMessage="1" allowBlank="1" errorTitle="Valor fuera de rango" error="Escribe un valor entre 0 y 48." type="decimal" operator="between">
      <formula1>0</formula1>
      <formula2>48</formula2>
    </dataValidation>
    <dataValidation sqref="C17" showDropDown="0" showInputMessage="0" showErrorMessage="1" allowBlank="1" errorTitle="Valor fuera de rango" error="Escribe un valor entre 0 y 48." type="decimal" operator="between">
      <formula1>0</formula1>
      <formula2>48</formula2>
    </dataValidation>
    <dataValidation sqref="D17" showDropDown="0" showInputMessage="0" showErrorMessage="1" allowBlank="1" errorTitle="Valor fuera de rango" error="Escribe un valor entre 0 y 48." type="decimal" operator="between">
      <formula1>0</formula1>
      <formula2>48</formula2>
    </dataValidation>
    <dataValidation sqref="E17" showDropDown="0" showInputMessage="0" showErrorMessage="1" allowBlank="1" errorTitle="Valor fuera de rango" error="Escribe un valor entre 0 y 48." type="decimal" operator="between">
      <formula1>0</formula1>
      <formula2>48</formula2>
    </dataValidation>
    <dataValidation sqref="F17" showDropDown="0" showInputMessage="0" showErrorMessage="1" allowBlank="1" errorTitle="Valor fuera de rango" error="Escribe 1 si ese día se exige el mínimo y 0 si no." type="decimal" operator="between">
      <formula1>0</formula1>
      <formula2>1</formula2>
    </dataValidation>
    <dataValidation sqref="G17" showDropDown="0" showInputMessage="0" showErrorMessage="1" allowBlank="1" errorTitle="Valor fuera de rango" error="Escribe 1 si ese día se exige el mínimo y 0 si no." type="decimal" operator="between">
      <formula1>0</formula1>
      <formula2>1</formula2>
    </dataValidation>
    <dataValidation sqref="H17" showDropDown="0" showInputMessage="0" showErrorMessage="1" allowBlank="1" errorTitle="Valor fuera de rango" error="Escribe 1 si ese día se exige el mínimo y 0 si no." type="decimal" operator="between">
      <formula1>0</formula1>
      <formula2>1</formula2>
    </dataValidation>
    <dataValidation sqref="I17" showDropDown="0" showInputMessage="0" showErrorMessage="1" allowBlank="1" errorTitle="Valor fuera de rango" error="Escribe 1 si ese día se exige el mínimo y 0 si no." type="decimal" operator="between">
      <formula1>0</formula1>
      <formula2>1</formula2>
    </dataValidation>
    <dataValidation sqref="J17" showDropDown="0" showInputMessage="0" showErrorMessage="1" allowBlank="1" errorTitle="Valor fuera de rango" error="Escribe 1 si ese día se exige el mínimo y 0 si no." type="decimal" operator="between">
      <formula1>0</formula1>
      <formula2>1</formula2>
    </dataValidation>
    <dataValidation sqref="K17" showDropDown="0" showInputMessage="0" showErrorMessage="1" allowBlank="1" errorTitle="Valor fuera de rango" error="Escribe 1 si ese día se exige el mínimo y 0 si no." type="decimal" operator="between">
      <formula1>0</formula1>
      <formula2>1</formula2>
    </dataValidation>
    <dataValidation sqref="L17" showDropDown="0" showInputMessage="0" showErrorMessage="1" allowBlank="1" errorTitle="Valor fuera de rango" error="Escribe 1 si ese día se exige el mínimo y 0 si no." type="decimal" operator="between">
      <formula1>0</formula1>
      <formula2>1</formula2>
    </dataValidation>
    <dataValidation sqref="B18" showDropDown="0" showInputMessage="0" showErrorMessage="1" allowBlank="1" errorTitle="Valor fuera de rango" error="Escribe un valor entre 0 y 48." type="decimal" operator="between">
      <formula1>0</formula1>
      <formula2>48</formula2>
    </dataValidation>
    <dataValidation sqref="C18" showDropDown="0" showInputMessage="0" showErrorMessage="1" allowBlank="1" errorTitle="Valor fuera de rango" error="Escribe un valor entre 0 y 48." type="decimal" operator="between">
      <formula1>0</formula1>
      <formula2>48</formula2>
    </dataValidation>
    <dataValidation sqref="D18" showDropDown="0" showInputMessage="0" showErrorMessage="1" allowBlank="1" errorTitle="Valor fuera de rango" error="Escribe un valor entre 0 y 48." type="decimal" operator="between">
      <formula1>0</formula1>
      <formula2>48</formula2>
    </dataValidation>
    <dataValidation sqref="E18" showDropDown="0" showInputMessage="0" showErrorMessage="1" allowBlank="1" errorTitle="Valor fuera de rango" error="Escribe un valor entre 0 y 48." type="decimal" operator="between">
      <formula1>0</formula1>
      <formula2>48</formula2>
    </dataValidation>
    <dataValidation sqref="F18" showDropDown="0" showInputMessage="0" showErrorMessage="1" allowBlank="1" errorTitle="Valor fuera de rango" error="Escribe 1 si ese día se exige el mínimo y 0 si no." type="decimal" operator="between">
      <formula1>0</formula1>
      <formula2>1</formula2>
    </dataValidation>
    <dataValidation sqref="G18" showDropDown="0" showInputMessage="0" showErrorMessage="1" allowBlank="1" errorTitle="Valor fuera de rango" error="Escribe 1 si ese día se exige el mínimo y 0 si no." type="decimal" operator="between">
      <formula1>0</formula1>
      <formula2>1</formula2>
    </dataValidation>
    <dataValidation sqref="H18" showDropDown="0" showInputMessage="0" showErrorMessage="1" allowBlank="1" errorTitle="Valor fuera de rango" error="Escribe 1 si ese día se exige el mínimo y 0 si no." type="decimal" operator="between">
      <formula1>0</formula1>
      <formula2>1</formula2>
    </dataValidation>
    <dataValidation sqref="I18" showDropDown="0" showInputMessage="0" showErrorMessage="1" allowBlank="1" errorTitle="Valor fuera de rango" error="Escribe 1 si ese día se exige el mínimo y 0 si no." type="decimal" operator="between">
      <formula1>0</formula1>
      <formula2>1</formula2>
    </dataValidation>
    <dataValidation sqref="J18" showDropDown="0" showInputMessage="0" showErrorMessage="1" allowBlank="1" errorTitle="Valor fuera de rango" error="Escribe 1 si ese día se exige el mínimo y 0 si no." type="decimal" operator="between">
      <formula1>0</formula1>
      <formula2>1</formula2>
    </dataValidation>
    <dataValidation sqref="K18" showDropDown="0" showInputMessage="0" showErrorMessage="1" allowBlank="1" errorTitle="Valor fuera de rango" error="Escribe 1 si ese día se exige el mínimo y 0 si no." type="decimal" operator="between">
      <formula1>0</formula1>
      <formula2>1</formula2>
    </dataValidation>
    <dataValidation sqref="L18" showDropDown="0" showInputMessage="0" showErrorMessage="1" allowBlank="1" errorTitle="Valor fuera de rango" error="Escribe 1 si ese día se exige el mínimo y 0 si no." type="decimal" operator="between">
      <formula1>0</formula1>
      <formula2>1</formula2>
    </dataValidation>
    <dataValidation sqref="B19" showDropDown="0" showInputMessage="0" showErrorMessage="1" allowBlank="1" errorTitle="Valor fuera de rango" error="Escribe un valor entre 0 y 48." type="decimal" operator="between">
      <formula1>0</formula1>
      <formula2>48</formula2>
    </dataValidation>
    <dataValidation sqref="C19" showDropDown="0" showInputMessage="0" showErrorMessage="1" allowBlank="1" errorTitle="Valor fuera de rango" error="Escribe un valor entre 0 y 48." type="decimal" operator="between">
      <formula1>0</formula1>
      <formula2>48</formula2>
    </dataValidation>
    <dataValidation sqref="D19" showDropDown="0" showInputMessage="0" showErrorMessage="1" allowBlank="1" errorTitle="Valor fuera de rango" error="Escribe un valor entre 0 y 48." type="decimal" operator="between">
      <formula1>0</formula1>
      <formula2>48</formula2>
    </dataValidation>
    <dataValidation sqref="E19" showDropDown="0" showInputMessage="0" showErrorMessage="1" allowBlank="1" errorTitle="Valor fuera de rango" error="Escribe un valor entre 0 y 48." type="decimal" operator="between">
      <formula1>0</formula1>
      <formula2>48</formula2>
    </dataValidation>
    <dataValidation sqref="F19" showDropDown="0" showInputMessage="0" showErrorMessage="1" allowBlank="1" errorTitle="Valor fuera de rango" error="Escribe 1 si ese día se exige el mínimo y 0 si no." type="decimal" operator="between">
      <formula1>0</formula1>
      <formula2>1</formula2>
    </dataValidation>
    <dataValidation sqref="G19" showDropDown="0" showInputMessage="0" showErrorMessage="1" allowBlank="1" errorTitle="Valor fuera de rango" error="Escribe 1 si ese día se exige el mínimo y 0 si no." type="decimal" operator="between">
      <formula1>0</formula1>
      <formula2>1</formula2>
    </dataValidation>
    <dataValidation sqref="H19" showDropDown="0" showInputMessage="0" showErrorMessage="1" allowBlank="1" errorTitle="Valor fuera de rango" error="Escribe 1 si ese día se exige el mínimo y 0 si no." type="decimal" operator="between">
      <formula1>0</formula1>
      <formula2>1</formula2>
    </dataValidation>
    <dataValidation sqref="I19" showDropDown="0" showInputMessage="0" showErrorMessage="1" allowBlank="1" errorTitle="Valor fuera de rango" error="Escribe 1 si ese día se exige el mínimo y 0 si no." type="decimal" operator="between">
      <formula1>0</formula1>
      <formula2>1</formula2>
    </dataValidation>
    <dataValidation sqref="J19" showDropDown="0" showInputMessage="0" showErrorMessage="1" allowBlank="1" errorTitle="Valor fuera de rango" error="Escribe 1 si ese día se exige el mínimo y 0 si no." type="decimal" operator="between">
      <formula1>0</formula1>
      <formula2>1</formula2>
    </dataValidation>
    <dataValidation sqref="K19" showDropDown="0" showInputMessage="0" showErrorMessage="1" allowBlank="1" errorTitle="Valor fuera de rango" error="Escribe 1 si ese día se exige el mínimo y 0 si no." type="decimal" operator="between">
      <formula1>0</formula1>
      <formula2>1</formula2>
    </dataValidation>
    <dataValidation sqref="L19" showDropDown="0" showInputMessage="0" showErrorMessage="1" allowBlank="1" errorTitle="Valor fuera de rango" error="Escribe 1 si ese día se exige el mínimo y 0 si no." type="decimal" operator="between">
      <formula1>0</formula1>
      <formula2>1</formula2>
    </dataValidation>
    <dataValidation sqref="C23" showDropDown="0" showInputMessage="0" showErrorMessage="1" allowBlank="1" errorTitle="Valor fuera de rango" error="Hora en decimales: 4,5 son las 4:30 y 25 la 1:00 del día siguiente." type="decimal" operator="between">
      <formula1>0</formula1>
      <formula2>48</formula2>
    </dataValidation>
    <dataValidation sqref="D23" showDropDown="0" showInputMessage="0" showErrorMessage="1" allowBlank="1" errorTitle="Valor fuera de rango" error="Hora en decimales: 4,5 son las 4:30 y 25 la 1:00 del día siguiente." type="decimal" operator="between">
      <formula1>0</formula1>
      <formula2>48</formula2>
    </dataValidation>
    <dataValidation sqref="C24" showDropDown="0" showInputMessage="0" showErrorMessage="1" allowBlank="1" errorTitle="Valor fuera de rango" error="Hora en decimales: 4,5 son las 4:30 y 25 la 1:00 del día siguiente." type="decimal" operator="between">
      <formula1>0</formula1>
      <formula2>48</formula2>
    </dataValidation>
    <dataValidation sqref="D24" showDropDown="0" showInputMessage="0" showErrorMessage="1" allowBlank="1" errorTitle="Valor fuera de rango" error="Hora en decimales: 4,5 son las 4:30 y 25 la 1:00 del día siguiente." type="decimal" operator="between">
      <formula1>0</formula1>
      <formula2>48</formula2>
    </dataValidation>
    <dataValidation sqref="C25" showDropDown="0" showInputMessage="0" showErrorMessage="1" allowBlank="1" errorTitle="Valor fuera de rango" error="Hora en decimales: 4,5 son las 4:30 y 25 la 1:00 del día siguiente." type="decimal" operator="between">
      <formula1>0</formula1>
      <formula2>48</formula2>
    </dataValidation>
    <dataValidation sqref="D25" showDropDown="0" showInputMessage="0" showErrorMessage="1" allowBlank="1" errorTitle="Valor fuera de rango" error="Hora en decimales: 4,5 son las 4:30 y 25 la 1:00 del día siguiente." type="decimal" operator="between">
      <formula1>0</formula1>
      <formula2>48</formula2>
    </dataValidation>
    <dataValidation sqref="C26" showDropDown="0" showInputMessage="0" showErrorMessage="1" allowBlank="1" errorTitle="Valor fuera de rango" error="Hora en decimales: 4,5 son las 4:30 y 25 la 1:00 del día siguiente." type="decimal" operator="between">
      <formula1>0</formula1>
      <formula2>48</formula2>
    </dataValidation>
    <dataValidation sqref="D26" showDropDown="0" showInputMessage="0" showErrorMessage="1" allowBlank="1" errorTitle="Valor fuera de rango" error="Hora en decimales: 4,5 son las 4:30 y 25 la 1:00 del día siguiente." type="decimal" operator="between">
      <formula1>0</formula1>
      <formula2>48</formula2>
    </dataValidation>
    <dataValidation sqref="C27" showDropDown="0" showInputMessage="0" showErrorMessage="1" allowBlank="1" errorTitle="Valor fuera de rango" error="Hora en decimales: 4,5 son las 4:30 y 25 la 1:00 del día siguiente." type="decimal" operator="between">
      <formula1>0</formula1>
      <formula2>48</formula2>
    </dataValidation>
    <dataValidation sqref="D27" showDropDown="0" showInputMessage="0" showErrorMessage="1" allowBlank="1" errorTitle="Valor fuera de rango" error="Hora en decimales: 4,5 son las 4:30 y 25 la 1:00 del día siguiente." type="decimal" operator="between">
      <formula1>0</formula1>
      <formula2>48</formula2>
    </dataValidation>
    <dataValidation sqref="C28" showDropDown="0" showInputMessage="0" showErrorMessage="1" allowBlank="1" errorTitle="Valor fuera de rango" error="Hora en decimales: 4,5 son las 4:30 y 25 la 1:00 del día siguiente." type="decimal" operator="between">
      <formula1>0</formula1>
      <formula2>48</formula2>
    </dataValidation>
    <dataValidation sqref="D28" showDropDown="0" showInputMessage="0" showErrorMessage="1" allowBlank="1" errorTitle="Valor fuera de rango" error="Hora en decimales: 4,5 son las 4:30 y 25 la 1:00 del día siguiente." type="decimal" operator="between">
      <formula1>0</formula1>
      <formula2>48</formula2>
    </dataValidation>
    <dataValidation sqref="C29" showDropDown="0" showInputMessage="0" showErrorMessage="1" allowBlank="1" errorTitle="Valor fuera de rango" error="Hora en decimales: 4,5 son las 4:30 y 25 la 1:00 del día siguiente." type="decimal" operator="between">
      <formula1>0</formula1>
      <formula2>48</formula2>
    </dataValidation>
    <dataValidation sqref="D29" showDropDown="0" showInputMessage="0" showErrorMessage="1" allowBlank="1" errorTitle="Valor fuera de rango" error="Hora en decimales: 4,5 son las 4:30 y 25 la 1:00 del día siguiente." type="decimal" operator="between">
      <formula1>0</formula1>
      <formula2>48</formula2>
    </dataValidation>
    <dataValidation sqref="C30" showDropDown="0" showInputMessage="0" showErrorMessage="1" allowBlank="1" errorTitle="Valor fuera de rango" error="Hora en decimales: 4,5 son las 4:30 y 25 la 1:00 del día siguiente." type="decimal" operator="between">
      <formula1>0</formula1>
      <formula2>48</formula2>
    </dataValidation>
    <dataValidation sqref="D30" showDropDown="0" showInputMessage="0" showErrorMessage="1" allowBlank="1" errorTitle="Valor fuera de rango" error="Hora en decimales: 4,5 son las 4:30 y 25 la 1:00 del día siguiente." type="decimal" operator="between">
      <formula1>0</formula1>
      <formula2>48</formula2>
    </dataValidation>
    <dataValidation sqref="C31" showDropDown="0" showInputMessage="0" showErrorMessage="1" allowBlank="1" errorTitle="Valor fuera de rango" error="Hora en decimales: 4,5 son las 4:30 y 25 la 1:00 del día siguiente." type="decimal" operator="between">
      <formula1>0</formula1>
      <formula2>48</formula2>
    </dataValidation>
    <dataValidation sqref="D31" showDropDown="0" showInputMessage="0" showErrorMessage="1" allowBlank="1" errorTitle="Valor fuera de rango" error="Hora en decimales: 4,5 son las 4:30 y 25 la 1:00 del día siguiente." type="decimal" operator="between">
      <formula1>0</formula1>
      <formula2>48</formula2>
    </dataValidation>
    <dataValidation sqref="C32" showDropDown="0" showInputMessage="0" showErrorMessage="1" allowBlank="1" errorTitle="Valor fuera de rango" error="Hora en decimales: 4,5 son las 4:30 y 25 la 1:00 del día siguiente." type="decimal" operator="between">
      <formula1>0</formula1>
      <formula2>48</formula2>
    </dataValidation>
    <dataValidation sqref="D32" showDropDown="0" showInputMessage="0" showErrorMessage="1" allowBlank="1" errorTitle="Valor fuera de rango" error="Hora en decimales: 4,5 son las 4:30 y 25 la 1:00 del día siguiente." type="decimal" operator="between">
      <formula1>0</formula1>
      <formula2>48</formula2>
    </dataValidation>
    <dataValidation sqref="C33" showDropDown="0" showInputMessage="0" showErrorMessage="1" allowBlank="1" errorTitle="Valor fuera de rango" error="Hora en decimales: 4,5 son las 4:30 y 25 la 1:00 del día siguiente." type="decimal" operator="between">
      <formula1>0</formula1>
      <formula2>48</formula2>
    </dataValidation>
    <dataValidation sqref="D33" showDropDown="0" showInputMessage="0" showErrorMessage="1" allowBlank="1" errorTitle="Valor fuera de rango" error="Hora en decimales: 4,5 son las 4:30 y 25 la 1:00 del día siguiente." type="decimal" operator="between">
      <formula1>0</formula1>
      <formula2>48</formula2>
    </dataValidation>
    <dataValidation sqref="C34" showDropDown="0" showInputMessage="0" showErrorMessage="1" allowBlank="1" errorTitle="Valor fuera de rango" error="Hora en decimales: 4,5 son las 4:30 y 25 la 1:00 del día siguiente." type="decimal" operator="between">
      <formula1>0</formula1>
      <formula2>48</formula2>
    </dataValidation>
    <dataValidation sqref="D34" showDropDown="0" showInputMessage="0" showErrorMessage="1" allowBlank="1" errorTitle="Valor fuera de rango" error="Hora en decimales: 4,5 son las 4:30 y 25 la 1:00 del día siguiente." type="decimal" operator="between">
      <formula1>0</formula1>
      <formula2>48</formula2>
    </dataValidation>
    <dataValidation sqref="C35" showDropDown="0" showInputMessage="0" showErrorMessage="1" allowBlank="1" errorTitle="Valor fuera de rango" error="Hora en decimales: 4,5 son las 4:30 y 25 la 1:00 del día siguiente." type="decimal" operator="between">
      <formula1>0</formula1>
      <formula2>48</formula2>
    </dataValidation>
    <dataValidation sqref="D35" showDropDown="0" showInputMessage="0" showErrorMessage="1" allowBlank="1" errorTitle="Valor fuera de rango" error="Hora en decimales: 4,5 son las 4:30 y 25 la 1:00 del día siguiente." type="decimal" operator="between">
      <formula1>0</formula1>
      <formula2>48</formula2>
    </dataValidation>
    <dataValidation sqref="C36" showDropDown="0" showInputMessage="0" showErrorMessage="1" allowBlank="1" errorTitle="Valor fuera de rango" error="Hora en decimales: 4,5 son las 4:30 y 25 la 1:00 del día siguiente." type="decimal" operator="between">
      <formula1>0</formula1>
      <formula2>48</formula2>
    </dataValidation>
    <dataValidation sqref="D36" showDropDown="0" showInputMessage="0" showErrorMessage="1" allowBlank="1" errorTitle="Valor fuera de rango" error="Hora en decimales: 4,5 son las 4:30 y 25 la 1:00 del día siguiente." type="decimal" operator="between">
      <formula1>0</formula1>
      <formula2>48</formula2>
    </dataValidation>
    <dataValidation sqref="C37" showDropDown="0" showInputMessage="0" showErrorMessage="1" allowBlank="1" errorTitle="Valor fuera de rango" error="Hora en decimales: 4,5 son las 4:30 y 25 la 1:00 del día siguiente." type="decimal" operator="between">
      <formula1>0</formula1>
      <formula2>48</formula2>
    </dataValidation>
    <dataValidation sqref="D37" showDropDown="0" showInputMessage="0" showErrorMessage="1" allowBlank="1" errorTitle="Valor fuera de rango" error="Hora en decimales: 4,5 son las 4:30 y 25 la 1:00 del día siguiente." type="decimal" operator="between">
      <formula1>0</formula1>
      <formula2>48</formula2>
    </dataValidation>
    <dataValidation sqref="C38" showDropDown="0" showInputMessage="0" showErrorMessage="1" allowBlank="1" errorTitle="Valor fuera de rango" error="Hora en decimales: 4,5 son las 4:30 y 25 la 1:00 del día siguiente." type="decimal" operator="between">
      <formula1>0</formula1>
      <formula2>48</formula2>
    </dataValidation>
    <dataValidation sqref="D38" showDropDown="0" showInputMessage="0" showErrorMessage="1" allowBlank="1" errorTitle="Valor fuera de rango" error="Hora en decimales: 4,5 son las 4:30 y 25 la 1:00 del día siguiente." type="decimal" operator="between">
      <formula1>0</formula1>
      <formula2>48</formula2>
    </dataValidation>
    <dataValidation sqref="C39" showDropDown="0" showInputMessage="0" showErrorMessage="1" allowBlank="1" errorTitle="Valor fuera de rango" error="Hora en decimales: 4,5 son las 4:30 y 25 la 1:00 del día siguiente." type="decimal" operator="between">
      <formula1>0</formula1>
      <formula2>48</formula2>
    </dataValidation>
    <dataValidation sqref="D39" showDropDown="0" showInputMessage="0" showErrorMessage="1" allowBlank="1" errorTitle="Valor fuera de rango" error="Hora en decimales: 4,5 son las 4:30 y 25 la 1:00 del día siguiente." type="decimal" operator="between">
      <formula1>0</formula1>
      <formula2>48</formula2>
    </dataValidation>
    <dataValidation sqref="C40" showDropDown="0" showInputMessage="0" showErrorMessage="1" allowBlank="1" errorTitle="Valor fuera de rango" error="Hora en decimales: 4,5 son las 4:30 y 25 la 1:00 del día siguiente." type="decimal" operator="between">
      <formula1>0</formula1>
      <formula2>48</formula2>
    </dataValidation>
    <dataValidation sqref="D40" showDropDown="0" showInputMessage="0" showErrorMessage="1" allowBlank="1" errorTitle="Valor fuera de rango" error="Hora en decimales: 4,5 son las 4:30 y 25 la 1:00 del día siguiente." type="decimal" operator="between">
      <formula1>0</formula1>
      <formula2>48</formula2>
    </dataValidation>
    <dataValidation sqref="C41" showDropDown="0" showInputMessage="0" showErrorMessage="1" allowBlank="1" errorTitle="Valor fuera de rango" error="Hora en decimales: 4,5 son las 4:30 y 25 la 1:00 del día siguiente." type="decimal" operator="between">
      <formula1>0</formula1>
      <formula2>48</formula2>
    </dataValidation>
    <dataValidation sqref="D41" showDropDown="0" showInputMessage="0" showErrorMessage="1" allowBlank="1" errorTitle="Valor fuera de rango" error="Hora en decimales: 4,5 son las 4:30 y 25 la 1:00 del día siguiente." type="decimal" operator="between">
      <formula1>0</formula1>
      <formula2>48</formula2>
    </dataValidation>
    <dataValidation sqref="C42" showDropDown="0" showInputMessage="0" showErrorMessage="1" allowBlank="1" errorTitle="Valor fuera de rango" error="Hora en decimales: 4,5 son las 4:30 y 25 la 1:00 del día siguiente." type="decimal" operator="between">
      <formula1>0</formula1>
      <formula2>48</formula2>
    </dataValidation>
    <dataValidation sqref="D42" showDropDown="0" showInputMessage="0" showErrorMessage="1" allowBlank="1" errorTitle="Valor fuera de rango" error="Hora en decimales: 4,5 son las 4:30 y 25 la 1:00 del día siguiente." type="decimal" operator="between">
      <formula1>0</formula1>
      <formula2>48</formula2>
    </dataValidation>
    <dataValidation sqref="C43" showDropDown="0" showInputMessage="0" showErrorMessage="1" allowBlank="1" errorTitle="Valor fuera de rango" error="Hora en decimales: 4,5 son las 4:30 y 25 la 1:00 del día siguiente." type="decimal" operator="between">
      <formula1>0</formula1>
      <formula2>48</formula2>
    </dataValidation>
    <dataValidation sqref="D43" showDropDown="0" showInputMessage="0" showErrorMessage="1" allowBlank="1" errorTitle="Valor fuera de rango" error="Hora en decimales: 4,5 son las 4:30 y 25 la 1:00 del día siguiente." type="decimal" operator="between">
      <formula1>0</formula1>
      <formula2>48</formula2>
    </dataValidation>
    <dataValidation sqref="C44" showDropDown="0" showInputMessage="0" showErrorMessage="1" allowBlank="1" errorTitle="Valor fuera de rango" error="Hora en decimales: 4,5 son las 4:30 y 25 la 1:00 del día siguiente." type="decimal" operator="between">
      <formula1>0</formula1>
      <formula2>48</formula2>
    </dataValidation>
    <dataValidation sqref="D44" showDropDown="0" showInputMessage="0" showErrorMessage="1" allowBlank="1" errorTitle="Valor fuera de rango" error="Hora en decimales: 4,5 son las 4:30 y 25 la 1:00 del día siguiente." type="decimal" operator="between">
      <formula1>0</formula1>
      <formula2>48</formula2>
    </dataValidation>
    <dataValidation sqref="C45" showDropDown="0" showInputMessage="0" showErrorMessage="1" allowBlank="1" errorTitle="Valor fuera de rango" error="Hora en decimales: 4,5 son las 4:30 y 25 la 1:00 del día siguiente." type="decimal" operator="between">
      <formula1>0</formula1>
      <formula2>48</formula2>
    </dataValidation>
    <dataValidation sqref="D45" showDropDown="0" showInputMessage="0" showErrorMessage="1" allowBlank="1" errorTitle="Valor fuera de rango" error="Hora en decimales: 4,5 son las 4:30 y 25 la 1:00 del día siguiente." type="decimal" operator="between">
      <formula1>0</formula1>
      <formula2>48</formula2>
    </dataValidation>
    <dataValidation sqref="C46" showDropDown="0" showInputMessage="0" showErrorMessage="1" allowBlank="1" errorTitle="Valor fuera de rango" error="Hora en decimales: 4,5 son las 4:30 y 25 la 1:00 del día siguiente." type="decimal" operator="between">
      <formula1>0</formula1>
      <formula2>48</formula2>
    </dataValidation>
    <dataValidation sqref="D46" showDropDown="0" showInputMessage="0" showErrorMessage="1" allowBlank="1" errorTitle="Valor fuera de rango" error="Hora en decimales: 4,5 son las 4:30 y 25 la 1:00 del día siguiente." type="decimal" operator="between">
      <formula1>0</formula1>
      <formula2>48</formula2>
    </dataValidation>
    <dataValidation sqref="C47" showDropDown="0" showInputMessage="0" showErrorMessage="1" allowBlank="1" errorTitle="Valor fuera de rango" error="Hora en decimales: 4,5 son las 4:30 y 25 la 1:00 del día siguiente." type="decimal" operator="between">
      <formula1>0</formula1>
      <formula2>48</formula2>
    </dataValidation>
    <dataValidation sqref="D47" showDropDown="0" showInputMessage="0" showErrorMessage="1" allowBlank="1" errorTitle="Valor fuera de rango" error="Hora en decimales: 4,5 son las 4:30 y 25 la 1:00 del día siguiente." type="decimal" operator="between">
      <formula1>0</formula1>
      <formula2>48</formula2>
    </dataValidation>
    <dataValidation sqref="C48" showDropDown="0" showInputMessage="0" showErrorMessage="1" allowBlank="1" errorTitle="Valor fuera de rango" error="Hora en decimales: 4,5 son las 4:30 y 25 la 1:00 del día siguiente." type="decimal" operator="between">
      <formula1>0</formula1>
      <formula2>48</formula2>
    </dataValidation>
    <dataValidation sqref="D48" showDropDown="0" showInputMessage="0" showErrorMessage="1" allowBlank="1" errorTitle="Valor fuera de rango" error="Hora en decimales: 4,5 son las 4:30 y 25 la 1:00 del día siguiente." type="decimal" operator="between">
      <formula1>0</formula1>
      <formula2>48</formula2>
    </dataValidation>
    <dataValidation sqref="C49" showDropDown="0" showInputMessage="0" showErrorMessage="1" allowBlank="1" errorTitle="Valor fuera de rango" error="Hora en decimales: 4,5 son las 4:30 y 25 la 1:00 del día siguiente." type="decimal" operator="between">
      <formula1>0</formula1>
      <formula2>48</formula2>
    </dataValidation>
    <dataValidation sqref="D49" showDropDown="0" showInputMessage="0" showErrorMessage="1" allowBlank="1" errorTitle="Valor fuera de rango" error="Hora en decimales: 4,5 son las 4:30 y 25 la 1:00 del día siguiente." type="decimal" operator="between">
      <formula1>0</formula1>
      <formula2>48</formula2>
    </dataValidation>
    <dataValidation sqref="C50" showDropDown="0" showInputMessage="0" showErrorMessage="1" allowBlank="1" errorTitle="Valor fuera de rango" error="Hora en decimales: 4,5 son las 4:30 y 25 la 1:00 del día siguiente." type="decimal" operator="between">
      <formula1>0</formula1>
      <formula2>48</formula2>
    </dataValidation>
    <dataValidation sqref="D50" showDropDown="0" showInputMessage="0" showErrorMessage="1" allowBlank="1" errorTitle="Valor fuera de rango" error="Hora en decimales: 4,5 son las 4:30 y 25 la 1:00 del día siguiente." type="decimal" operator="between">
      <formula1>0</formula1>
      <formula2>48</formula2>
    </dataValidation>
    <dataValidation sqref="C51" showDropDown="0" showInputMessage="0" showErrorMessage="1" allowBlank="1" errorTitle="Valor fuera de rango" error="Hora en decimales: 4,5 son las 4:30 y 25 la 1:00 del día siguiente." type="decimal" operator="between">
      <formula1>0</formula1>
      <formula2>48</formula2>
    </dataValidation>
    <dataValidation sqref="D51" showDropDown="0" showInputMessage="0" showErrorMessage="1" allowBlank="1" errorTitle="Valor fuera de rango" error="Hora en decimales: 4,5 son las 4:30 y 25 la 1:00 del día siguiente." type="decimal" operator="between">
      <formula1>0</formula1>
      <formula2>48</formula2>
    </dataValidation>
    <dataValidation sqref="C52" showDropDown="0" showInputMessage="0" showErrorMessage="1" allowBlank="1" errorTitle="Valor fuera de rango" error="Hora en decimales: 4,5 son las 4:30 y 25 la 1:00 del día siguiente." type="decimal" operator="between">
      <formula1>0</formula1>
      <formula2>48</formula2>
    </dataValidation>
    <dataValidation sqref="D52" showDropDown="0" showInputMessage="0" showErrorMessage="1" allowBlank="1" errorTitle="Valor fuera de rango" error="Hora en decimales: 4,5 son las 4:30 y 25 la 1:00 del día siguiente." type="decimal" operator="between">
      <formula1>0</formula1>
      <formula2>48</formula2>
    </dataValidation>
    <dataValidation sqref="C53" showDropDown="0" showInputMessage="0" showErrorMessage="1" allowBlank="1" errorTitle="Valor fuera de rango" error="Hora en decimales: 4,5 son las 4:30 y 25 la 1:00 del día siguiente." type="decimal" operator="between">
      <formula1>0</formula1>
      <formula2>48</formula2>
    </dataValidation>
    <dataValidation sqref="D53" showDropDown="0" showInputMessage="0" showErrorMessage="1" allowBlank="1" errorTitle="Valor fuera de rango" error="Hora en decimales: 4,5 son las 4:30 y 25 la 1:00 del día siguiente." type="decimal" operator="between">
      <formula1>0</formula1>
      <formula2>48</formula2>
    </dataValidation>
    <dataValidation sqref="C54" showDropDown="0" showInputMessage="0" showErrorMessage="1" allowBlank="1" errorTitle="Valor fuera de rango" error="Hora en decimales: 4,5 son las 4:30 y 25 la 1:00 del día siguiente." type="decimal" operator="between">
      <formula1>0</formula1>
      <formula2>48</formula2>
    </dataValidation>
    <dataValidation sqref="D54" showDropDown="0" showInputMessage="0" showErrorMessage="1" allowBlank="1" errorTitle="Valor fuera de rango" error="Hora en decimales: 4,5 son las 4:30 y 25 la 1:00 del día siguiente." type="decimal" operator="between">
      <formula1>0</formula1>
      <formula2>48</formula2>
    </dataValidation>
    <dataValidation sqref="C55" showDropDown="0" showInputMessage="0" showErrorMessage="1" allowBlank="1" errorTitle="Valor fuera de rango" error="Hora en decimales: 4,5 son las 4:30 y 25 la 1:00 del día siguiente." type="decimal" operator="between">
      <formula1>0</formula1>
      <formula2>48</formula2>
    </dataValidation>
    <dataValidation sqref="D55" showDropDown="0" showInputMessage="0" showErrorMessage="1" allowBlank="1" errorTitle="Valor fuera de rango" error="Hora en decimales: 4,5 son las 4:30 y 25 la 1:00 del día siguiente." type="decimal" operator="between">
      <formula1>0</formula1>
      <formula2>48</formula2>
    </dataValidation>
    <dataValidation sqref="C56" showDropDown="0" showInputMessage="0" showErrorMessage="1" allowBlank="1" errorTitle="Valor fuera de rango" error="Hora en decimales: 4,5 son las 4:30 y 25 la 1:00 del día siguiente." type="decimal" operator="between">
      <formula1>0</formula1>
      <formula2>48</formula2>
    </dataValidation>
    <dataValidation sqref="D56" showDropDown="0" showInputMessage="0" showErrorMessage="1" allowBlank="1" errorTitle="Valor fuera de rango" error="Hora en decimales: 4,5 son las 4:30 y 25 la 1:00 del día siguiente." type="decimal" operator="between">
      <formula1>0</formula1>
      <formula2>48</formula2>
    </dataValidation>
    <dataValidation sqref="C57" showDropDown="0" showInputMessage="0" showErrorMessage="1" allowBlank="1" errorTitle="Valor fuera de rango" error="Hora en decimales: 4,5 son las 4:30 y 25 la 1:00 del día siguiente." type="decimal" operator="between">
      <formula1>0</formula1>
      <formula2>48</formula2>
    </dataValidation>
    <dataValidation sqref="D57" showDropDown="0" showInputMessage="0" showErrorMessage="1" allowBlank="1" errorTitle="Valor fuera de rango" error="Hora en decimales: 4,5 son las 4:30 y 25 la 1:00 del día siguiente." type="decimal" operator="between">
      <formula1>0</formula1>
      <formula2>48</formula2>
    </dataValidation>
    <dataValidation sqref="C58" showDropDown="0" showInputMessage="0" showErrorMessage="1" allowBlank="1" errorTitle="Valor fuera de rango" error="Hora en decimales: 4,5 son las 4:30 y 25 la 1:00 del día siguiente." type="decimal" operator="between">
      <formula1>0</formula1>
      <formula2>48</formula2>
    </dataValidation>
    <dataValidation sqref="D58" showDropDown="0" showInputMessage="0" showErrorMessage="1" allowBlank="1" errorTitle="Valor fuera de rango" error="Hora en decimales: 4,5 son las 4:30 y 25 la 1:00 del día siguiente." type="decimal" operator="between">
      <formula1>0</formula1>
      <formula2>48</formula2>
    </dataValidation>
    <dataValidation sqref="B23 B24 B25 B26 B27 B28 B29 B30 B31 B32 B33 B34 B35 B36 B37 B38 B39 B40 B41 B42 B43 B44 B45 B46 B47 B48 B49 B50 B51 B52 B53 B54 B55 B56 B57 B58" showDropDown="0" showInputMessage="0" showErrorMessage="1" allowBlank="0" errorTitle="Día" error="Elige L, M, X, J, V, S o D." type="list">
      <formula1>=$A$111:$A$117</formula1>
    </dataValidation>
    <dataValidation sqref="E23 E24 E25 E26 E27 E28 E29 E30 E31 E32 E33 E34 E35 E36 E37 E38 E39 E40 E41 E42 E43 E44 E45 E46 E47 E48 E49 E50 E51 E52 E53 E54 E55 E56 E57 E58" showDropDown="0" showInputMessage="0" showErrorMessage="1" allowBlank="0" errorTitle="Puesto" error="L = línea de fritura; B = barra, sala y despacho." type="list">
      <formula1>=$B$111:$B$112</formula1>
    </dataValidation>
    <dataValidation sqref="A23 A24 A25 A26 A27 A28 A29 A30 A31 A32 A33 A34 A35 A36 A37 A38 A39 A40 A41 A42 A43 A44 A45 A46 A47 A48 A49 A50 A51 A52 A53 A54 A55 A56 A57 A58" showDropDown="0" showInputMessage="0" showErrorMessage="1" allowBlank="0" errorTitle="Persona" error="Elige una persona de «Coste de Plantilla»." type="list">
      <formula1>='Coste de Plantilla'!$A$9:$A$13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N42"/>
  <sheetViews>
    <sheetView workbookViewId="0">
      <selection activeCell="A1" sqref="A1"/>
    </sheetView>
  </sheetViews>
  <sheetFormatPr baseColWidth="8" defaultRowHeight="15"/>
  <cols>
    <col width="9" customWidth="1" min="1" max="1"/>
    <col width="26" customWidth="1" min="2" max="2"/>
    <col width="11" customWidth="1" min="3" max="3"/>
    <col width="10" customWidth="1" min="4" max="4"/>
    <col width="11" customWidth="1" min="5" max="5"/>
    <col width="11" customWidth="1" min="6" max="6"/>
    <col width="22" customWidth="1" min="7" max="7"/>
    <col width="11" customWidth="1" min="8" max="8"/>
    <col width="11" customWidth="1" min="9" max="9"/>
    <col width="12" customWidth="1" min="10" max="10"/>
    <col width="12" customWidth="1" min="11" max="11"/>
    <col width="12" customWidth="1" min="12" max="12"/>
    <col width="40" customWidth="1" min="13" max="13"/>
    <col width="34" customWidth="1" min="14" max="14"/>
  </cols>
  <sheetData>
    <row r="1">
      <c r="A1" s="1" t="inlineStr">
        <is>
          <t>Nocturnidad ET y Convenio</t>
        </is>
      </c>
    </row>
    <row r="2">
      <c r="A2" s="2" t="inlineStr">
        <is>
          <t>AI Chef Pro · aichef.pro — Cómo Montar una Churrería-Chocolatería</t>
        </is>
      </c>
    </row>
    <row r="3">
      <c r="A3" s="3" t="inlineStr">
        <is>
          <t>Dos columnas por persona: la del Estatuto (¿es trabajador nocturno?) y la del convenio (¿cuánto plus cobra?). Son dos figuras distintas y aquí no se mezclan.</t>
        </is>
      </c>
    </row>
    <row r="4"/>
    <row r="5"/>
    <row r="6" ht="30" customHeight="1">
      <c r="C6" s="35" t="inlineStr">
        <is>
          <t>FIGURA 1 · Trabajador nocturno del Estatuto (art. 36.1): de 22:00 a 6:00</t>
        </is>
      </c>
      <c r="H6" s="35" t="inlineStr">
        <is>
          <t>FIGURA 2 · Plus de nocturnidad del convenio de ejemplo</t>
        </is>
      </c>
    </row>
    <row r="7" ht="54" customHeight="1">
      <c r="A7" s="9" t="inlineStr">
        <is>
          <t>Persona</t>
        </is>
      </c>
      <c r="B7" s="9" t="inlineStr">
        <is>
          <t>Puesto</t>
        </is>
      </c>
      <c r="C7" s="9" t="inlineStr">
        <is>
          <t>Horas de 22:00 a 6:00 a la semana</t>
        </is>
      </c>
      <c r="D7" s="9" t="inlineStr">
        <is>
          <t>Días que trabaja</t>
        </is>
      </c>
      <c r="E7" s="9" t="inlineStr">
        <is>
          <t>Días con 3 h o más en ese periodo</t>
        </is>
      </c>
      <c r="F7" s="9" t="inlineStr">
        <is>
          <t>Parte de su jornada en ese periodo</t>
        </is>
      </c>
      <c r="G7" s="9" t="inlineStr">
        <is>
          <t>¿Trabajador nocturno? (ET)</t>
        </is>
      </c>
      <c r="H7" s="9" t="inlineStr">
        <is>
          <t>Horas en la franja 1 a la semana</t>
        </is>
      </c>
      <c r="I7" s="9" t="inlineStr">
        <is>
          <t>Horas en la franja 2 a la semana</t>
        </is>
      </c>
      <c r="J7" s="9" t="inlineStr">
        <is>
          <t>Días con jornada entera nocturna</t>
        </is>
      </c>
      <c r="K7" s="9" t="inlineStr">
        <is>
          <t>Plus a la semana</t>
        </is>
      </c>
      <c r="L7" s="9" t="inlineStr">
        <is>
          <t>Plus al año</t>
        </is>
      </c>
      <c r="M7" s="9" t="inlineStr">
        <is>
          <t>Qué le toca por la figura 1</t>
        </is>
      </c>
      <c r="N7" s="9" t="inlineStr">
        <is>
          <t>Aviso de la figura 2</t>
        </is>
      </c>
    </row>
    <row r="8" ht="58" customHeight="1">
      <c r="A8" s="16" t="str">
        <f>'Coste de Plantilla'!$A$9</f>
        <v>P1</v>
      </c>
      <c r="B8" t="str">
        <f>'Coste de Plantilla'!$B$9</f>
        <v>Titular (encargado/a)</v>
      </c>
      <c r="C8" s="20">
        <f>SUM(C28:I28)</f>
        <v>0.0</v>
      </c>
      <c r="D8" s="19">
        <f>COUNTIF(C21:I21,"&gt;0")</f>
        <v>7.0</v>
      </c>
      <c r="E8" s="19">
        <f>COUNTIF(C28:I28,"&gt;="&amp;'Parámetros'!$B$35)</f>
        <v>0.0</v>
      </c>
      <c r="F8" s="22">
        <f>IFERROR(C8/'Coste de Plantilla'!$G$9,"")</f>
        <v>0.0</v>
      </c>
      <c r="G8" s="16" t="str">
        <f>IF('Coste de Plantilla'!$E$9="sí","No aplica (autónomo)",IF(AND(ISNUMBER(D8),ISNUMBER(E8),ISNUMBER(F8)),IF(AND(E8=0,F8&lt;'Parámetros'!$B$36),"no",IF(OR(AND(D8&gt;0,E8=D8),F8&gt;='Parámetros'!$B$36),"sí","revísalo con tu asesor")),""))</f>
        <v>No aplica (autónomo)</v>
      </c>
      <c r="H8" s="20">
        <f>SUMPRODUCT(--('Cuadrante por Franja'!$A$23:$A$58=$A8),'Cuadrante por Franja'!$H$23:$H$58)+0</f>
        <v>0.0</v>
      </c>
      <c r="I8" s="20">
        <f>SUMPRODUCT(--('Cuadrante por Franja'!$A$23:$A$58=$A8),'Cuadrante por Franja'!$I$23:$I$58)+0</f>
        <v>5.0</v>
      </c>
      <c r="J8" s="19">
        <f>COUNTIF(C35:I35,"&gt;="&amp;'Parámetros'!$B$45)</f>
        <v>0.0</v>
      </c>
      <c r="K8" s="21">
        <f>IF('Coste de Plantilla'!$E$9="sí",0,(H8*'Parámetros'!$B$41+I8*'Parámetros'!$B$44)*'Coste de Plantilla'!$L$9)</f>
        <v>0.0</v>
      </c>
      <c r="L8" s="36">
        <f>K8*'Parámetros'!$B$53</f>
        <v>0.0</v>
      </c>
      <c r="M8" s="37" t="str">
        <f>IF('Coste de Plantilla'!$E$9="sí","Titular autónomo: ni las dos figuras ni el plus le alcanzan; sus horas, en «Horas del Titular»",IF(G8="sí","Trabajador nocturno: no puede hacer horas extra y su jornada no pasa de ocho horas diarias de media",IF(G8="no","No es trabajador nocturno: el Estatuto no le pone esos límites; el plus del convenio se paga igual",IF(G8="revísalo con tu asesor","Revísalo con tu asesor: no llega a tres horas todos los días, pero hay días en que sí; el «normalmente» del artículo no está interpretado",""))))</f>
        <v>Titular autónomo: ni las dos figuras ni el plus le alcanzan; sus horas, en «Horas del Titular»</v>
      </c>
      <c r="N8" s="37">
        <f>IF(AND(ISNUMBER(J8),J8&gt;0),"Hay días con la jornada entera nocturna según el convenio: este libro paga el plus hora a hora; revísalo con tu asesor","")</f>
        <v/>
      </c>
    </row>
    <row r="9" ht="58" customHeight="1">
      <c r="A9" s="16" t="str">
        <f>'Coste de Plantilla'!$A$10</f>
        <v>P2</v>
      </c>
      <c r="B9" t="str">
        <f>'Coste de Plantilla'!$B$10</f>
        <v>Churrero/a 1</v>
      </c>
      <c r="C9" s="20">
        <f>SUM(C29:I29)</f>
        <v>0.0</v>
      </c>
      <c r="D9" s="19">
        <f>COUNTIF(C22:I22,"&gt;0")</f>
        <v>5.0</v>
      </c>
      <c r="E9" s="19">
        <f>COUNTIF(C29:I29,"&gt;="&amp;'Parámetros'!$B$35)</f>
        <v>0.0</v>
      </c>
      <c r="F9" s="22">
        <f>IFERROR(C9/'Coste de Plantilla'!$G$10,"")</f>
        <v>0.0</v>
      </c>
      <c r="G9" s="16" t="str">
        <f>IF('Coste de Plantilla'!$E$10="sí","No aplica (autónomo)",IF(AND(ISNUMBER(D9),ISNUMBER(E9),ISNUMBER(F9)),IF(AND(E9=0,F9&lt;'Parámetros'!$B$36),"no",IF(OR(AND(D9&gt;0,E9=D9),F9&gt;='Parámetros'!$B$36),"sí","revísalo con tu asesor")),""))</f>
        <v>no</v>
      </c>
      <c r="H9" s="20">
        <f>SUMPRODUCT(--('Cuadrante por Franja'!$A$23:$A$58=$A9),'Cuadrante por Franja'!$H$23:$H$58)+0</f>
        <v>0.0</v>
      </c>
      <c r="I9" s="20">
        <f>SUMPRODUCT(--('Cuadrante por Franja'!$A$23:$A$58=$A9),'Cuadrante por Franja'!$I$23:$I$58)+0</f>
        <v>10.0</v>
      </c>
      <c r="J9" s="19">
        <f>COUNTIF(C36:I36,"&gt;="&amp;'Parámetros'!$B$45)</f>
        <v>0.0</v>
      </c>
      <c r="K9" s="21">
        <f>IF('Coste de Plantilla'!$E$10="sí",0,(H9*'Parámetros'!$B$41+I9*'Parámetros'!$B$44)*'Coste de Plantilla'!$L$10)</f>
        <v>22.816264044943818</v>
      </c>
      <c r="L9" s="36">
        <f>K9*'Parámetros'!$B$53</f>
        <v>1015.3237499999999</v>
      </c>
      <c r="M9" s="37" t="str">
        <f>IF('Coste de Plantilla'!$E$10="sí","Titular autónomo: ni las dos figuras ni el plus le alcanzan; sus horas, en «Horas del Titular»",IF(G9="sí","Trabajador nocturno: no puede hacer horas extra y su jornada no pasa de ocho horas diarias de media",IF(G9="no","No es trabajador nocturno: el Estatuto no le pone esos límites; el plus del convenio se paga igual",IF(G9="revísalo con tu asesor","Revísalo con tu asesor: no llega a tres horas todos los días, pero hay días en que sí; el «normalmente» del artículo no está interpretado",""))))</f>
        <v>No es trabajador nocturno: el Estatuto no le pone esos límites; el plus del convenio se paga igual</v>
      </c>
      <c r="N9" s="37">
        <f>IF(AND(ISNUMBER(J9),J9&gt;0),"Hay días con la jornada entera nocturna según el convenio: este libro paga el plus hora a hora; revísalo con tu asesor","")</f>
        <v/>
      </c>
    </row>
    <row r="10" ht="58" customHeight="1">
      <c r="A10" s="16" t="str">
        <f>'Coste de Plantilla'!$A$11</f>
        <v>P3</v>
      </c>
      <c r="B10" t="str">
        <f>'Coste de Plantilla'!$B$11</f>
        <v>Churrero/a 2</v>
      </c>
      <c r="C10" s="20">
        <f>SUM(C30:I30)</f>
        <v>3.0</v>
      </c>
      <c r="D10" s="19">
        <f>COUNTIF(C23:I23,"&gt;0")</f>
        <v>6.0</v>
      </c>
      <c r="E10" s="19">
        <f>COUNTIF(C30:I30,"&gt;="&amp;'Parámetros'!$B$35)</f>
        <v>0.0</v>
      </c>
      <c r="F10" s="22">
        <f>IFERROR(C10/'Coste de Plantilla'!$G$11,"")</f>
        <v>0.075</v>
      </c>
      <c r="G10" s="16" t="str">
        <f>IF('Coste de Plantilla'!$E$11="sí","No aplica (autónomo)",IF(AND(ISNUMBER(D10),ISNUMBER(E10),ISNUMBER(F10)),IF(AND(E10=0,F10&lt;'Parámetros'!$B$36),"no",IF(OR(AND(D10&gt;0,E10=D10),F10&gt;='Parámetros'!$B$36),"sí","revísalo con tu asesor")),""))</f>
        <v>no</v>
      </c>
      <c r="H10" s="20">
        <f>SUMPRODUCT(--('Cuadrante por Franja'!$A$23:$A$58=$A10),'Cuadrante por Franja'!$H$23:$H$58)+0</f>
        <v>0.0</v>
      </c>
      <c r="I10" s="20">
        <f>SUMPRODUCT(--('Cuadrante por Franja'!$A$23:$A$58=$A10),'Cuadrante por Franja'!$I$23:$I$58)+0</f>
        <v>11.0</v>
      </c>
      <c r="J10" s="19">
        <f>COUNTIF(C37:I37,"&gt;="&amp;'Parámetros'!$B$45)</f>
        <v>0.0</v>
      </c>
      <c r="K10" s="21">
        <f>IF('Coste de Plantilla'!$E$11="sí",0,(H10*'Parámetros'!$B$41+I10*'Parámetros'!$B$44)*'Coste de Plantilla'!$L$11)</f>
        <v>25.0978904494382</v>
      </c>
      <c r="L10" s="36">
        <f>K10*'Parámetros'!$B$53</f>
        <v>1116.8561249999998</v>
      </c>
      <c r="M10" s="37" t="str">
        <f>IF('Coste de Plantilla'!$E$11="sí","Titular autónomo: ni las dos figuras ni el plus le alcanzan; sus horas, en «Horas del Titular»",IF(G10="sí","Trabajador nocturno: no puede hacer horas extra y su jornada no pasa de ocho horas diarias de media",IF(G10="no","No es trabajador nocturno: el Estatuto no le pone esos límites; el plus del convenio se paga igual",IF(G10="revísalo con tu asesor","Revísalo con tu asesor: no llega a tres horas todos los días, pero hay días en que sí; el «normalmente» del artículo no está interpretado",""))))</f>
        <v>No es trabajador nocturno: el Estatuto no le pone esos límites; el plus del convenio se paga igual</v>
      </c>
      <c r="N10" s="37">
        <f>IF(AND(ISNUMBER(J10),J10&gt;0),"Hay días con la jornada entera nocturna según el convenio: este libro paga el plus hora a hora; revísalo con tu asesor","")</f>
        <v/>
      </c>
    </row>
    <row r="11" ht="58" customHeight="1">
      <c r="A11" s="16" t="str">
        <f>'Coste de Plantilla'!$A$12</f>
        <v>P4</v>
      </c>
      <c r="B11" t="str">
        <f>'Coste de Plantilla'!$B$12</f>
        <v>Camarero/a de sala</v>
      </c>
      <c r="C11" s="20">
        <f>SUM(C31:I31)</f>
        <v>6.0</v>
      </c>
      <c r="D11" s="19">
        <f>COUNTIF(C24:I24,"&gt;0")</f>
        <v>6.0</v>
      </c>
      <c r="E11" s="19">
        <f>COUNTIF(C31:I31,"&gt;="&amp;'Parámetros'!$B$35)</f>
        <v>2.0</v>
      </c>
      <c r="F11" s="22">
        <f>IFERROR(C11/'Coste de Plantilla'!$G$12,"")</f>
        <v>0.16216216216216217</v>
      </c>
      <c r="G11" s="16" t="str">
        <f>IF('Coste de Plantilla'!$E$12="sí","No aplica (autónomo)",IF(AND(ISNUMBER(D11),ISNUMBER(E11),ISNUMBER(F11)),IF(AND(E11=0,F11&lt;'Parámetros'!$B$36),"no",IF(OR(AND(D11&gt;0,E11=D11),F11&gt;='Parámetros'!$B$36),"sí","revísalo con tu asesor")),""))</f>
        <v>revísalo con tu asesor</v>
      </c>
      <c r="H11" s="20">
        <f>SUMPRODUCT(--('Cuadrante por Franja'!$A$23:$A$58=$A11),'Cuadrante por Franja'!$H$23:$H$58)+0</f>
        <v>4.0</v>
      </c>
      <c r="I11" s="20">
        <f>SUMPRODUCT(--('Cuadrante por Franja'!$A$23:$A$58=$A11),'Cuadrante por Franja'!$I$23:$I$58)+0</f>
        <v>2.0</v>
      </c>
      <c r="J11" s="19">
        <f>COUNTIF(C38:I38,"&gt;="&amp;'Parámetros'!$B$45)</f>
        <v>0.0</v>
      </c>
      <c r="K11" s="21">
        <f>IF('Coste de Plantilla'!$E$12="sí",0,(H11*'Parámetros'!$B$41+I11*'Parámetros'!$B$44)*'Coste de Plantilla'!$L$12)</f>
        <v>4.7883680898876415</v>
      </c>
      <c r="L11" s="36">
        <f>K11*'Parámetros'!$B$53</f>
        <v>213.08238000000006</v>
      </c>
      <c r="M11" s="37" t="str">
        <f>IF('Coste de Plantilla'!$E$12="sí","Titular autónomo: ni las dos figuras ni el plus le alcanzan; sus horas, en «Horas del Titular»",IF(G11="sí","Trabajador nocturno: no puede hacer horas extra y su jornada no pasa de ocho horas diarias de media",IF(G11="no","No es trabajador nocturno: el Estatuto no le pone esos límites; el plus del convenio se paga igual",IF(G11="revísalo con tu asesor","Revísalo con tu asesor: no llega a tres horas todos los días, pero hay días en que sí; el «normalmente» del artículo no está interpretado",""))))</f>
        <v>Revísalo con tu asesor: no llega a tres horas todos los días, pero hay días en que sí; el «normalmente» del artículo no está interpretado</v>
      </c>
      <c r="N11" s="37">
        <f>IF(AND(ISNUMBER(J11),J11&gt;0),"Hay días con la jornada entera nocturna según el convenio: este libro paga el plus hora a hora; revísalo con tu asesor","")</f>
        <v/>
      </c>
    </row>
    <row r="12" ht="58" customHeight="1">
      <c r="A12" s="16" t="str">
        <f>'Coste de Plantilla'!$A$13</f>
        <v>P5</v>
      </c>
      <c r="B12" t="str">
        <f>'Coste de Plantilla'!$B$13</f>
        <v>Refuerzo de fin de semana</v>
      </c>
      <c r="C12" s="20">
        <f>SUM(C32:I32)</f>
        <v>0.0</v>
      </c>
      <c r="D12" s="19">
        <f>COUNTIF(C25:I25,"&gt;0")</f>
        <v>3.0</v>
      </c>
      <c r="E12" s="19">
        <f>COUNTIF(C32:I32,"&gt;="&amp;'Parámetros'!$B$35)</f>
        <v>0.0</v>
      </c>
      <c r="F12" s="22">
        <f>IFERROR(C12/'Coste de Plantilla'!$G$13,"")</f>
        <v>0.0</v>
      </c>
      <c r="G12" s="16" t="str">
        <f>IF('Coste de Plantilla'!$E$13="sí","No aplica (autónomo)",IF(AND(ISNUMBER(D12),ISNUMBER(E12),ISNUMBER(F12)),IF(AND(E12=0,F12&lt;'Parámetros'!$B$36),"no",IF(OR(AND(D12&gt;0,E12=D12),F12&gt;='Parámetros'!$B$36),"sí","revísalo con tu asesor")),""))</f>
        <v>no</v>
      </c>
      <c r="H12" s="20">
        <f>SUMPRODUCT(--('Cuadrante por Franja'!$A$23:$A$58=$A12),'Cuadrante por Franja'!$H$23:$H$58)+0</f>
        <v>0.0</v>
      </c>
      <c r="I12" s="20">
        <f>SUMPRODUCT(--('Cuadrante por Franja'!$A$23:$A$58=$A12),'Cuadrante por Franja'!$I$23:$I$58)+0</f>
        <v>4.0</v>
      </c>
      <c r="J12" s="19">
        <f>COUNTIF(C39:I39,"&gt;="&amp;'Parámetros'!$B$45)</f>
        <v>0.0</v>
      </c>
      <c r="K12" s="21">
        <f>IF('Coste de Plantilla'!$E$13="sí",0,(H12*'Parámetros'!$B$41+I12*'Parámetros'!$B$44)*'Coste de Plantilla'!$L$13)</f>
        <v>8.544011235955056</v>
      </c>
      <c r="L12" s="36">
        <f>K12*'Parámetros'!$B$53</f>
        <v>380.20849999999996</v>
      </c>
      <c r="M12" s="37" t="str">
        <f>IF('Coste de Plantilla'!$E$13="sí","Titular autónomo: ni las dos figuras ni el plus le alcanzan; sus horas, en «Horas del Titular»",IF(G12="sí","Trabajador nocturno: no puede hacer horas extra y su jornada no pasa de ocho horas diarias de media",IF(G12="no","No es trabajador nocturno: el Estatuto no le pone esos límites; el plus del convenio se paga igual",IF(G12="revísalo con tu asesor","Revísalo con tu asesor: no llega a tres horas todos los días, pero hay días en que sí; el «normalmente» del artículo no está interpretado",""))))</f>
        <v>No es trabajador nocturno: el Estatuto no le pone esos límites; el plus del convenio se paga igual</v>
      </c>
      <c r="N12" s="37">
        <f>IF(AND(ISNUMBER(J12),J12&gt;0),"Hay días con la jornada entera nocturna según el convenio: este libro paga el plus hora a hora; revísalo con tu asesor","")</f>
        <v/>
      </c>
    </row>
    <row r="13"/>
    <row r="14" ht="32" customHeight="1">
      <c r="A14" s="38" t="inlineStr">
        <is>
          <t>Figura 1. Las horas del periodo nocturno del Estatuto se cuentan día a día en la tabla de abajo. «Sí» si todos los días que trabaja hace tres horas o más en ese periodo, o si ese periodo es un tercio de su jornada o más; «no» si ningún día llega a tres y no llega al tercio; «revísalo con tu asesor» en medio.</t>
        </is>
      </c>
    </row>
    <row r="15" ht="32" customHeight="1">
      <c r="A15" s="38" t="inlineStr">
        <is>
          <t>Figura 2. El plus se paga por hora sobre el salario base por hora del puesto («Coste de Plantilla», columna L), con el recargo de cada franja. El titular no lo cobra: es autónomo. Si tu convenio paga la jornada entera cuando pasa de su umbral, el aviso de la columna N te lo dice.</t>
        </is>
      </c>
    </row>
    <row r="16" ht="32" customHeight="1">
      <c r="A16" s="38" t="inlineStr">
        <is>
          <t>Ejemplo de El Molinete: el turno de las 4:30 del fin de semana tiene hora y media en el periodo del Estatuto (no es trabajador nocturno) y tres horas y media con plus. Quien cierra el viernes y el sábado hasta la 1:00 tiene tres horas dos días por semana: «revísalo con tu asesor».</t>
        </is>
      </c>
    </row>
    <row r="17"/>
    <row r="18"/>
    <row r="19">
      <c r="A19" s="4" t="inlineStr">
        <is>
          <t>Horas por Día (Lo que Usan las Columnas de Arriba)</t>
        </is>
      </c>
    </row>
    <row r="20" ht="30" customHeight="1">
      <c r="A20" s="9" t="inlineStr">
        <is>
          <t>Persona</t>
        </is>
      </c>
      <c r="B20" s="9" t="inlineStr">
        <is>
          <t>Horas trabajadas por día</t>
        </is>
      </c>
      <c r="C20" s="9" t="inlineStr">
        <is>
          <t>L</t>
        </is>
      </c>
      <c r="D20" s="9" t="inlineStr">
        <is>
          <t>M</t>
        </is>
      </c>
      <c r="E20" s="9" t="inlineStr">
        <is>
          <t>X</t>
        </is>
      </c>
      <c r="F20" s="9" t="inlineStr">
        <is>
          <t>J</t>
        </is>
      </c>
      <c r="G20" s="9" t="inlineStr">
        <is>
          <t>V</t>
        </is>
      </c>
      <c r="H20" s="9" t="inlineStr">
        <is>
          <t>S</t>
        </is>
      </c>
      <c r="I20" s="9" t="inlineStr">
        <is>
          <t>D</t>
        </is>
      </c>
    </row>
    <row r="21">
      <c r="A21" t="str">
        <f>'Coste de Plantilla'!$A$9</f>
        <v>P1</v>
      </c>
      <c r="C21" s="20">
        <f>SUMPRODUCT(--('Cuadrante por Franja'!$A$23:$A$58=$A21),--('Cuadrante por Franja'!$B$23:$B$58=C$20),'Cuadrante por Franja'!$F$23:$F$58)+0</f>
        <v>11.5</v>
      </c>
      <c r="D21" s="20">
        <f>SUMPRODUCT(--('Cuadrante por Franja'!$A$23:$A$58=$A21),--('Cuadrante por Franja'!$B$23:$B$58=D$20),'Cuadrante por Franja'!$F$23:$F$58)+0</f>
        <v>5.5</v>
      </c>
      <c r="E21" s="20">
        <f>SUMPRODUCT(--('Cuadrante por Franja'!$A$23:$A$58=$A21),--('Cuadrante por Franja'!$B$23:$B$58=E$20),'Cuadrante por Franja'!$F$23:$F$58)+0</f>
        <v>5.5</v>
      </c>
      <c r="F21" s="20">
        <f>SUMPRODUCT(--('Cuadrante por Franja'!$A$23:$A$58=$A21),--('Cuadrante por Franja'!$B$23:$B$58=F$20),'Cuadrante por Franja'!$F$23:$F$58)+0</f>
        <v>5.5</v>
      </c>
      <c r="G21" s="20">
        <f>SUMPRODUCT(--('Cuadrante por Franja'!$A$23:$A$58=$A21),--('Cuadrante por Franja'!$B$23:$B$58=G$20),'Cuadrante por Franja'!$F$23:$F$58)+0</f>
        <v>5.0</v>
      </c>
      <c r="H21" s="20">
        <f>SUMPRODUCT(--('Cuadrante por Franja'!$A$23:$A$58=$A21),--('Cuadrante por Franja'!$B$23:$B$58=H$20),'Cuadrante por Franja'!$F$23:$F$58)+0</f>
        <v>9.5</v>
      </c>
      <c r="I21" s="20">
        <f>SUMPRODUCT(--('Cuadrante por Franja'!$A$23:$A$58=$A21),--('Cuadrante por Franja'!$B$23:$B$58=I$20),'Cuadrante por Franja'!$F$23:$F$58)+0</f>
        <v>10.0</v>
      </c>
    </row>
    <row r="22">
      <c r="A22" t="str">
        <f>'Coste de Plantilla'!$A$10</f>
        <v>P2</v>
      </c>
      <c r="C22" s="20">
        <f>SUMPRODUCT(--('Cuadrante por Franja'!$A$23:$A$58=$A22),--('Cuadrante por Franja'!$B$23:$B$58=C$20),'Cuadrante por Franja'!$F$23:$F$58)+0</f>
        <v>8.0</v>
      </c>
      <c r="D22" s="20">
        <f>SUMPRODUCT(--('Cuadrante por Franja'!$A$23:$A$58=$A22),--('Cuadrante por Franja'!$B$23:$B$58=D$20),'Cuadrante por Franja'!$F$23:$F$58)+0</f>
        <v>8.0</v>
      </c>
      <c r="E22" s="20">
        <f>SUMPRODUCT(--('Cuadrante por Franja'!$A$23:$A$58=$A22),--('Cuadrante por Franja'!$B$23:$B$58=E$20),'Cuadrante por Franja'!$F$23:$F$58)+0</f>
        <v>8.0</v>
      </c>
      <c r="F22" s="20">
        <f>SUMPRODUCT(--('Cuadrante por Franja'!$A$23:$A$58=$A22),--('Cuadrante por Franja'!$B$23:$B$58=F$20),'Cuadrante por Franja'!$F$23:$F$58)+0</f>
        <v>8.0</v>
      </c>
      <c r="G22" s="20">
        <f>SUMPRODUCT(--('Cuadrante por Franja'!$A$23:$A$58=$A22),--('Cuadrante por Franja'!$B$23:$B$58=G$20),'Cuadrante por Franja'!$F$23:$F$58)+0</f>
        <v>8.0</v>
      </c>
      <c r="H22" s="20">
        <f>SUMPRODUCT(--('Cuadrante por Franja'!$A$23:$A$58=$A22),--('Cuadrante por Franja'!$B$23:$B$58=H$20),'Cuadrante por Franja'!$F$23:$F$58)+0</f>
        <v>0.0</v>
      </c>
      <c r="I22" s="20">
        <f>SUMPRODUCT(--('Cuadrante por Franja'!$A$23:$A$58=$A22),--('Cuadrante por Franja'!$B$23:$B$58=I$20),'Cuadrante por Franja'!$F$23:$F$58)+0</f>
        <v>0.0</v>
      </c>
    </row>
    <row r="23">
      <c r="A23" t="str">
        <f>'Coste de Plantilla'!$A$11</f>
        <v>P3</v>
      </c>
      <c r="C23" s="20">
        <f>SUMPRODUCT(--('Cuadrante por Franja'!$A$23:$A$58=$A23),--('Cuadrante por Franja'!$B$23:$B$58=C$20),'Cuadrante por Franja'!$F$23:$F$58)+0</f>
        <v>0.0</v>
      </c>
      <c r="D23" s="20">
        <f>SUMPRODUCT(--('Cuadrante por Franja'!$A$23:$A$58=$A23),--('Cuadrante por Franja'!$B$23:$B$58=D$20),'Cuadrante por Franja'!$F$23:$F$58)+0</f>
        <v>6.0</v>
      </c>
      <c r="E23" s="20">
        <f>SUMPRODUCT(--('Cuadrante por Franja'!$A$23:$A$58=$A23),--('Cuadrante por Franja'!$B$23:$B$58=E$20),'Cuadrante por Franja'!$F$23:$F$58)+0</f>
        <v>6.0</v>
      </c>
      <c r="F23" s="20">
        <f>SUMPRODUCT(--('Cuadrante por Franja'!$A$23:$A$58=$A23),--('Cuadrante por Franja'!$B$23:$B$58=F$20),'Cuadrante por Franja'!$F$23:$F$58)+0</f>
        <v>6.0</v>
      </c>
      <c r="G23" s="20">
        <f>SUMPRODUCT(--('Cuadrante por Franja'!$A$23:$A$58=$A23),--('Cuadrante por Franja'!$B$23:$B$58=G$20),'Cuadrante por Franja'!$F$23:$F$58)+0</f>
        <v>6.0</v>
      </c>
      <c r="H23" s="20">
        <f>SUMPRODUCT(--('Cuadrante por Franja'!$A$23:$A$58=$A23),--('Cuadrante por Franja'!$B$23:$B$58=H$20),'Cuadrante por Franja'!$F$23:$F$58)+0</f>
        <v>8.0</v>
      </c>
      <c r="I23" s="20">
        <f>SUMPRODUCT(--('Cuadrante por Franja'!$A$23:$A$58=$A23),--('Cuadrante por Franja'!$B$23:$B$58=I$20),'Cuadrante por Franja'!$F$23:$F$58)+0</f>
        <v>8.0</v>
      </c>
    </row>
    <row r="24">
      <c r="A24" t="str">
        <f>'Coste de Plantilla'!$A$12</f>
        <v>P4</v>
      </c>
      <c r="C24" s="20">
        <f>SUMPRODUCT(--('Cuadrante por Franja'!$A$23:$A$58=$A24),--('Cuadrante por Franja'!$B$23:$B$58=C$20),'Cuadrante por Franja'!$F$23:$F$58)+0</f>
        <v>0.0</v>
      </c>
      <c r="D24" s="20">
        <f>SUMPRODUCT(--('Cuadrante por Franja'!$A$23:$A$58=$A24),--('Cuadrante por Franja'!$B$23:$B$58=D$20),'Cuadrante por Franja'!$F$23:$F$58)+0</f>
        <v>5.5</v>
      </c>
      <c r="E24" s="20">
        <f>SUMPRODUCT(--('Cuadrante por Franja'!$A$23:$A$58=$A24),--('Cuadrante por Franja'!$B$23:$B$58=E$20),'Cuadrante por Franja'!$F$23:$F$58)+0</f>
        <v>5.5</v>
      </c>
      <c r="F24" s="20">
        <f>SUMPRODUCT(--('Cuadrante por Franja'!$A$23:$A$58=$A24),--('Cuadrante por Franja'!$B$23:$B$58=F$20),'Cuadrante por Franja'!$F$23:$F$58)+0</f>
        <v>5.5</v>
      </c>
      <c r="G24" s="20">
        <f>SUMPRODUCT(--('Cuadrante por Franja'!$A$23:$A$58=$A24),--('Cuadrante por Franja'!$B$23:$B$58=G$20),'Cuadrante por Franja'!$F$23:$F$58)+0</f>
        <v>8.0</v>
      </c>
      <c r="H24" s="20">
        <f>SUMPRODUCT(--('Cuadrante por Franja'!$A$23:$A$58=$A24),--('Cuadrante por Franja'!$B$23:$B$58=H$20),'Cuadrante por Franja'!$F$23:$F$58)+0</f>
        <v>8.0</v>
      </c>
      <c r="I24" s="20">
        <f>SUMPRODUCT(--('Cuadrante por Franja'!$A$23:$A$58=$A24),--('Cuadrante por Franja'!$B$23:$B$58=I$20),'Cuadrante por Franja'!$F$23:$F$58)+0</f>
        <v>4.5</v>
      </c>
    </row>
    <row r="25">
      <c r="A25" t="str">
        <f>'Coste de Plantilla'!$A$13</f>
        <v>P5</v>
      </c>
      <c r="C25" s="20">
        <f>SUMPRODUCT(--('Cuadrante por Franja'!$A$23:$A$58=$A25),--('Cuadrante por Franja'!$B$23:$B$58=C$20),'Cuadrante por Franja'!$F$23:$F$58)+0</f>
        <v>5.5</v>
      </c>
      <c r="D25" s="20">
        <f>SUMPRODUCT(--('Cuadrante por Franja'!$A$23:$A$58=$A25),--('Cuadrante por Franja'!$B$23:$B$58=D$20),'Cuadrante por Franja'!$F$23:$F$58)+0</f>
        <v>0.0</v>
      </c>
      <c r="E25" s="20">
        <f>SUMPRODUCT(--('Cuadrante por Franja'!$A$23:$A$58=$A25),--('Cuadrante por Franja'!$B$23:$B$58=E$20),'Cuadrante por Franja'!$F$23:$F$58)+0</f>
        <v>0.0</v>
      </c>
      <c r="F25" s="20">
        <f>SUMPRODUCT(--('Cuadrante por Franja'!$A$23:$A$58=$A25),--('Cuadrante por Franja'!$B$23:$B$58=F$20),'Cuadrante por Franja'!$F$23:$F$58)+0</f>
        <v>0.0</v>
      </c>
      <c r="G25" s="20">
        <f>SUMPRODUCT(--('Cuadrante por Franja'!$A$23:$A$58=$A25),--('Cuadrante por Franja'!$B$23:$B$58=G$20),'Cuadrante por Franja'!$F$23:$F$58)+0</f>
        <v>0.0</v>
      </c>
      <c r="H25" s="20">
        <f>SUMPRODUCT(--('Cuadrante por Franja'!$A$23:$A$58=$A25),--('Cuadrante por Franja'!$B$23:$B$58=H$20),'Cuadrante por Franja'!$F$23:$F$58)+0</f>
        <v>7.0</v>
      </c>
      <c r="I25" s="20">
        <f>SUMPRODUCT(--('Cuadrante por Franja'!$A$23:$A$58=$A25),--('Cuadrante por Franja'!$B$23:$B$58=I$20),'Cuadrante por Franja'!$F$23:$F$58)+0</f>
        <v>7.0</v>
      </c>
    </row>
    <row r="26"/>
    <row r="27" ht="30" customHeight="1">
      <c r="A27" s="9" t="inlineStr">
        <is>
          <t>Persona</t>
        </is>
      </c>
      <c r="B27" s="9" t="inlineStr">
        <is>
          <t>Horas de 22:00 a 6:00 por día (Estatuto)</t>
        </is>
      </c>
      <c r="C27" s="9" t="inlineStr">
        <is>
          <t>L</t>
        </is>
      </c>
      <c r="D27" s="9" t="inlineStr">
        <is>
          <t>M</t>
        </is>
      </c>
      <c r="E27" s="9" t="inlineStr">
        <is>
          <t>X</t>
        </is>
      </c>
      <c r="F27" s="9" t="inlineStr">
        <is>
          <t>J</t>
        </is>
      </c>
      <c r="G27" s="9" t="inlineStr">
        <is>
          <t>V</t>
        </is>
      </c>
      <c r="H27" s="9" t="inlineStr">
        <is>
          <t>S</t>
        </is>
      </c>
      <c r="I27" s="9" t="inlineStr">
        <is>
          <t>D</t>
        </is>
      </c>
    </row>
    <row r="28">
      <c r="A28" t="str">
        <f>'Coste de Plantilla'!$A$9</f>
        <v>P1</v>
      </c>
      <c r="C28" s="20">
        <f>SUMPRODUCT(--('Cuadrante por Franja'!$A$23:$A$58=$A28),--('Cuadrante por Franja'!$B$23:$B$58=C$27),'Cuadrante por Franja'!$G$23:$G$58)+0</f>
        <v>0.0</v>
      </c>
      <c r="D28" s="20">
        <f>SUMPRODUCT(--('Cuadrante por Franja'!$A$23:$A$58=$A28),--('Cuadrante por Franja'!$B$23:$B$58=D$27),'Cuadrante por Franja'!$G$23:$G$58)+0</f>
        <v>0.0</v>
      </c>
      <c r="E28" s="20">
        <f>SUMPRODUCT(--('Cuadrante por Franja'!$A$23:$A$58=$A28),--('Cuadrante por Franja'!$B$23:$B$58=E$27),'Cuadrante por Franja'!$G$23:$G$58)+0</f>
        <v>0.0</v>
      </c>
      <c r="F28" s="20">
        <f>SUMPRODUCT(--('Cuadrante por Franja'!$A$23:$A$58=$A28),--('Cuadrante por Franja'!$B$23:$B$58=F$27),'Cuadrante por Franja'!$G$23:$G$58)+0</f>
        <v>0.0</v>
      </c>
      <c r="G28" s="20">
        <f>SUMPRODUCT(--('Cuadrante por Franja'!$A$23:$A$58=$A28),--('Cuadrante por Franja'!$B$23:$B$58=G$27),'Cuadrante por Franja'!$G$23:$G$58)+0</f>
        <v>0.0</v>
      </c>
      <c r="H28" s="20">
        <f>SUMPRODUCT(--('Cuadrante por Franja'!$A$23:$A$58=$A28),--('Cuadrante por Franja'!$B$23:$B$58=H$27),'Cuadrante por Franja'!$G$23:$G$58)+0</f>
        <v>0.0</v>
      </c>
      <c r="I28" s="20">
        <f>SUMPRODUCT(--('Cuadrante por Franja'!$A$23:$A$58=$A28),--('Cuadrante por Franja'!$B$23:$B$58=I$27),'Cuadrante por Franja'!$G$23:$G$58)+0</f>
        <v>0.0</v>
      </c>
    </row>
    <row r="29">
      <c r="A29" t="str">
        <f>'Coste de Plantilla'!$A$10</f>
        <v>P2</v>
      </c>
      <c r="C29" s="20">
        <f>SUMPRODUCT(--('Cuadrante por Franja'!$A$23:$A$58=$A29),--('Cuadrante por Franja'!$B$23:$B$58=C$27),'Cuadrante por Franja'!$G$23:$G$58)+0</f>
        <v>0.0</v>
      </c>
      <c r="D29" s="20">
        <f>SUMPRODUCT(--('Cuadrante por Franja'!$A$23:$A$58=$A29),--('Cuadrante por Franja'!$B$23:$B$58=D$27),'Cuadrante por Franja'!$G$23:$G$58)+0</f>
        <v>0.0</v>
      </c>
      <c r="E29" s="20">
        <f>SUMPRODUCT(--('Cuadrante por Franja'!$A$23:$A$58=$A29),--('Cuadrante por Franja'!$B$23:$B$58=E$27),'Cuadrante por Franja'!$G$23:$G$58)+0</f>
        <v>0.0</v>
      </c>
      <c r="F29" s="20">
        <f>SUMPRODUCT(--('Cuadrante por Franja'!$A$23:$A$58=$A29),--('Cuadrante por Franja'!$B$23:$B$58=F$27),'Cuadrante por Franja'!$G$23:$G$58)+0</f>
        <v>0.0</v>
      </c>
      <c r="G29" s="20">
        <f>SUMPRODUCT(--('Cuadrante por Franja'!$A$23:$A$58=$A29),--('Cuadrante por Franja'!$B$23:$B$58=G$27),'Cuadrante por Franja'!$G$23:$G$58)+0</f>
        <v>0.0</v>
      </c>
      <c r="H29" s="20">
        <f>SUMPRODUCT(--('Cuadrante por Franja'!$A$23:$A$58=$A29),--('Cuadrante por Franja'!$B$23:$B$58=H$27),'Cuadrante por Franja'!$G$23:$G$58)+0</f>
        <v>0.0</v>
      </c>
      <c r="I29" s="20">
        <f>SUMPRODUCT(--('Cuadrante por Franja'!$A$23:$A$58=$A29),--('Cuadrante por Franja'!$B$23:$B$58=I$27),'Cuadrante por Franja'!$G$23:$G$58)+0</f>
        <v>0.0</v>
      </c>
    </row>
    <row r="30">
      <c r="A30" t="str">
        <f>'Coste de Plantilla'!$A$11</f>
        <v>P3</v>
      </c>
      <c r="C30" s="20">
        <f>SUMPRODUCT(--('Cuadrante por Franja'!$A$23:$A$58=$A30),--('Cuadrante por Franja'!$B$23:$B$58=C$27),'Cuadrante por Franja'!$G$23:$G$58)+0</f>
        <v>0.0</v>
      </c>
      <c r="D30" s="20">
        <f>SUMPRODUCT(--('Cuadrante por Franja'!$A$23:$A$58=$A30),--('Cuadrante por Franja'!$B$23:$B$58=D$27),'Cuadrante por Franja'!$G$23:$G$58)+0</f>
        <v>0.0</v>
      </c>
      <c r="E30" s="20">
        <f>SUMPRODUCT(--('Cuadrante por Franja'!$A$23:$A$58=$A30),--('Cuadrante por Franja'!$B$23:$B$58=E$27),'Cuadrante por Franja'!$G$23:$G$58)+0</f>
        <v>0.0</v>
      </c>
      <c r="F30" s="20">
        <f>SUMPRODUCT(--('Cuadrante por Franja'!$A$23:$A$58=$A30),--('Cuadrante por Franja'!$B$23:$B$58=F$27),'Cuadrante por Franja'!$G$23:$G$58)+0</f>
        <v>0.0</v>
      </c>
      <c r="G30" s="20">
        <f>SUMPRODUCT(--('Cuadrante por Franja'!$A$23:$A$58=$A30),--('Cuadrante por Franja'!$B$23:$B$58=G$27),'Cuadrante por Franja'!$G$23:$G$58)+0</f>
        <v>0.0</v>
      </c>
      <c r="H30" s="20">
        <f>SUMPRODUCT(--('Cuadrante por Franja'!$A$23:$A$58=$A30),--('Cuadrante por Franja'!$B$23:$B$58=H$27),'Cuadrante por Franja'!$G$23:$G$58)+0</f>
        <v>1.5</v>
      </c>
      <c r="I30" s="20">
        <f>SUMPRODUCT(--('Cuadrante por Franja'!$A$23:$A$58=$A30),--('Cuadrante por Franja'!$B$23:$B$58=I$27),'Cuadrante por Franja'!$G$23:$G$58)+0</f>
        <v>1.5</v>
      </c>
    </row>
    <row r="31">
      <c r="A31" t="str">
        <f>'Coste de Plantilla'!$A$12</f>
        <v>P4</v>
      </c>
      <c r="C31" s="20">
        <f>SUMPRODUCT(--('Cuadrante por Franja'!$A$23:$A$58=$A31),--('Cuadrante por Franja'!$B$23:$B$58=C$27),'Cuadrante por Franja'!$G$23:$G$58)+0</f>
        <v>0.0</v>
      </c>
      <c r="D31" s="20">
        <f>SUMPRODUCT(--('Cuadrante por Franja'!$A$23:$A$58=$A31),--('Cuadrante por Franja'!$B$23:$B$58=D$27),'Cuadrante por Franja'!$G$23:$G$58)+0</f>
        <v>0.0</v>
      </c>
      <c r="E31" s="20">
        <f>SUMPRODUCT(--('Cuadrante por Franja'!$A$23:$A$58=$A31),--('Cuadrante por Franja'!$B$23:$B$58=E$27),'Cuadrante por Franja'!$G$23:$G$58)+0</f>
        <v>0.0</v>
      </c>
      <c r="F31" s="20">
        <f>SUMPRODUCT(--('Cuadrante por Franja'!$A$23:$A$58=$A31),--('Cuadrante por Franja'!$B$23:$B$58=F$27),'Cuadrante por Franja'!$G$23:$G$58)+0</f>
        <v>0.0</v>
      </c>
      <c r="G31" s="20">
        <f>SUMPRODUCT(--('Cuadrante por Franja'!$A$23:$A$58=$A31),--('Cuadrante por Franja'!$B$23:$B$58=G$27),'Cuadrante por Franja'!$G$23:$G$58)+0</f>
        <v>3.0</v>
      </c>
      <c r="H31" s="20">
        <f>SUMPRODUCT(--('Cuadrante por Franja'!$A$23:$A$58=$A31),--('Cuadrante por Franja'!$B$23:$B$58=H$27),'Cuadrante por Franja'!$G$23:$G$58)+0</f>
        <v>3.0</v>
      </c>
      <c r="I31" s="20">
        <f>SUMPRODUCT(--('Cuadrante por Franja'!$A$23:$A$58=$A31),--('Cuadrante por Franja'!$B$23:$B$58=I$27),'Cuadrante por Franja'!$G$23:$G$58)+0</f>
        <v>0.0</v>
      </c>
    </row>
    <row r="32">
      <c r="A32" t="str">
        <f>'Coste de Plantilla'!$A$13</f>
        <v>P5</v>
      </c>
      <c r="C32" s="20">
        <f>SUMPRODUCT(--('Cuadrante por Franja'!$A$23:$A$58=$A32),--('Cuadrante por Franja'!$B$23:$B$58=C$27),'Cuadrante por Franja'!$G$23:$G$58)+0</f>
        <v>0.0</v>
      </c>
      <c r="D32" s="20">
        <f>SUMPRODUCT(--('Cuadrante por Franja'!$A$23:$A$58=$A32),--('Cuadrante por Franja'!$B$23:$B$58=D$27),'Cuadrante por Franja'!$G$23:$G$58)+0</f>
        <v>0.0</v>
      </c>
      <c r="E32" s="20">
        <f>SUMPRODUCT(--('Cuadrante por Franja'!$A$23:$A$58=$A32),--('Cuadrante por Franja'!$B$23:$B$58=E$27),'Cuadrante por Franja'!$G$23:$G$58)+0</f>
        <v>0.0</v>
      </c>
      <c r="F32" s="20">
        <f>SUMPRODUCT(--('Cuadrante por Franja'!$A$23:$A$58=$A32),--('Cuadrante por Franja'!$B$23:$B$58=F$27),'Cuadrante por Franja'!$G$23:$G$58)+0</f>
        <v>0.0</v>
      </c>
      <c r="G32" s="20">
        <f>SUMPRODUCT(--('Cuadrante por Franja'!$A$23:$A$58=$A32),--('Cuadrante por Franja'!$B$23:$B$58=G$27),'Cuadrante por Franja'!$G$23:$G$58)+0</f>
        <v>0.0</v>
      </c>
      <c r="H32" s="20">
        <f>SUMPRODUCT(--('Cuadrante por Franja'!$A$23:$A$58=$A32),--('Cuadrante por Franja'!$B$23:$B$58=H$27),'Cuadrante por Franja'!$G$23:$G$58)+0</f>
        <v>0.0</v>
      </c>
      <c r="I32" s="20">
        <f>SUMPRODUCT(--('Cuadrante por Franja'!$A$23:$A$58=$A32),--('Cuadrante por Franja'!$B$23:$B$58=I$27),'Cuadrante por Franja'!$G$23:$G$58)+0</f>
        <v>0.0</v>
      </c>
    </row>
    <row r="33"/>
    <row r="34" ht="30" customHeight="1">
      <c r="A34" s="9" t="inlineStr">
        <is>
          <t>Persona</t>
        </is>
      </c>
      <c r="B34" s="9" t="inlineStr">
        <is>
          <t>Horas en la ventana nocturna del convenio por día</t>
        </is>
      </c>
      <c r="C34" s="9" t="inlineStr">
        <is>
          <t>L</t>
        </is>
      </c>
      <c r="D34" s="9" t="inlineStr">
        <is>
          <t>M</t>
        </is>
      </c>
      <c r="E34" s="9" t="inlineStr">
        <is>
          <t>X</t>
        </is>
      </c>
      <c r="F34" s="9" t="inlineStr">
        <is>
          <t>J</t>
        </is>
      </c>
      <c r="G34" s="9" t="inlineStr">
        <is>
          <t>V</t>
        </is>
      </c>
      <c r="H34" s="9" t="inlineStr">
        <is>
          <t>S</t>
        </is>
      </c>
      <c r="I34" s="9" t="inlineStr">
        <is>
          <t>D</t>
        </is>
      </c>
    </row>
    <row r="35">
      <c r="A35" t="str">
        <f>'Coste de Plantilla'!$A$9</f>
        <v>P1</v>
      </c>
      <c r="C35" s="20">
        <f>SUMPRODUCT(--('Cuadrante por Franja'!$A$23:$A$58=$A35),--('Cuadrante por Franja'!$B$23:$B$58=C$34),'Cuadrante por Franja'!$J$23:$J$58)+0</f>
        <v>1.0</v>
      </c>
      <c r="D35" s="20">
        <f>SUMPRODUCT(--('Cuadrante por Franja'!$A$23:$A$58=$A35),--('Cuadrante por Franja'!$B$23:$B$58=D$34),'Cuadrante por Franja'!$J$23:$J$58)+0</f>
        <v>0.0</v>
      </c>
      <c r="E35" s="20">
        <f>SUMPRODUCT(--('Cuadrante por Franja'!$A$23:$A$58=$A35),--('Cuadrante por Franja'!$B$23:$B$58=E$34),'Cuadrante por Franja'!$J$23:$J$58)+0</f>
        <v>0.0</v>
      </c>
      <c r="F35" s="20">
        <f>SUMPRODUCT(--('Cuadrante por Franja'!$A$23:$A$58=$A35),--('Cuadrante por Franja'!$B$23:$B$58=F$34),'Cuadrante por Franja'!$J$23:$J$58)+0</f>
        <v>0.0</v>
      </c>
      <c r="G35" s="20">
        <f>SUMPRODUCT(--('Cuadrante por Franja'!$A$23:$A$58=$A35),--('Cuadrante por Franja'!$B$23:$B$58=G$34),'Cuadrante por Franja'!$J$23:$J$58)+0</f>
        <v>0.0</v>
      </c>
      <c r="H35" s="20">
        <f>SUMPRODUCT(--('Cuadrante por Franja'!$A$23:$A$58=$A35),--('Cuadrante por Franja'!$B$23:$B$58=H$34),'Cuadrante por Franja'!$J$23:$J$58)+0</f>
        <v>2.0</v>
      </c>
      <c r="I35" s="20">
        <f>SUMPRODUCT(--('Cuadrante por Franja'!$A$23:$A$58=$A35),--('Cuadrante por Franja'!$B$23:$B$58=I$34),'Cuadrante por Franja'!$J$23:$J$58)+0</f>
        <v>2.0</v>
      </c>
    </row>
    <row r="36">
      <c r="A36" t="str">
        <f>'Coste de Plantilla'!$A$10</f>
        <v>P2</v>
      </c>
      <c r="C36" s="20">
        <f>SUMPRODUCT(--('Cuadrante por Franja'!$A$23:$A$58=$A36),--('Cuadrante por Franja'!$B$23:$B$58=C$34),'Cuadrante por Franja'!$J$23:$J$58)+0</f>
        <v>2.0</v>
      </c>
      <c r="D36" s="20">
        <f>SUMPRODUCT(--('Cuadrante por Franja'!$A$23:$A$58=$A36),--('Cuadrante por Franja'!$B$23:$B$58=D$34),'Cuadrante por Franja'!$J$23:$J$58)+0</f>
        <v>2.0</v>
      </c>
      <c r="E36" s="20">
        <f>SUMPRODUCT(--('Cuadrante por Franja'!$A$23:$A$58=$A36),--('Cuadrante por Franja'!$B$23:$B$58=E$34),'Cuadrante por Franja'!$J$23:$J$58)+0</f>
        <v>2.0</v>
      </c>
      <c r="F36" s="20">
        <f>SUMPRODUCT(--('Cuadrante por Franja'!$A$23:$A$58=$A36),--('Cuadrante por Franja'!$B$23:$B$58=F$34),'Cuadrante por Franja'!$J$23:$J$58)+0</f>
        <v>2.0</v>
      </c>
      <c r="G36" s="20">
        <f>SUMPRODUCT(--('Cuadrante por Franja'!$A$23:$A$58=$A36),--('Cuadrante por Franja'!$B$23:$B$58=G$34),'Cuadrante por Franja'!$J$23:$J$58)+0</f>
        <v>2.0</v>
      </c>
      <c r="H36" s="20">
        <f>SUMPRODUCT(--('Cuadrante por Franja'!$A$23:$A$58=$A36),--('Cuadrante por Franja'!$B$23:$B$58=H$34),'Cuadrante por Franja'!$J$23:$J$58)+0</f>
        <v>0.0</v>
      </c>
      <c r="I36" s="20">
        <f>SUMPRODUCT(--('Cuadrante por Franja'!$A$23:$A$58=$A36),--('Cuadrante por Franja'!$B$23:$B$58=I$34),'Cuadrante por Franja'!$J$23:$J$58)+0</f>
        <v>0.0</v>
      </c>
    </row>
    <row r="37">
      <c r="A37" t="str">
        <f>'Coste de Plantilla'!$A$11</f>
        <v>P3</v>
      </c>
      <c r="C37" s="20">
        <f>SUMPRODUCT(--('Cuadrante por Franja'!$A$23:$A$58=$A37),--('Cuadrante por Franja'!$B$23:$B$58=C$34),'Cuadrante por Franja'!$J$23:$J$58)+0</f>
        <v>0.0</v>
      </c>
      <c r="D37" s="20">
        <f>SUMPRODUCT(--('Cuadrante por Franja'!$A$23:$A$58=$A37),--('Cuadrante por Franja'!$B$23:$B$58=D$34),'Cuadrante por Franja'!$J$23:$J$58)+0</f>
        <v>1.0</v>
      </c>
      <c r="E37" s="20">
        <f>SUMPRODUCT(--('Cuadrante por Franja'!$A$23:$A$58=$A37),--('Cuadrante por Franja'!$B$23:$B$58=E$34),'Cuadrante por Franja'!$J$23:$J$58)+0</f>
        <v>1.0</v>
      </c>
      <c r="F37" s="20">
        <f>SUMPRODUCT(--('Cuadrante por Franja'!$A$23:$A$58=$A37),--('Cuadrante por Franja'!$B$23:$B$58=F$34),'Cuadrante por Franja'!$J$23:$J$58)+0</f>
        <v>1.0</v>
      </c>
      <c r="G37" s="20">
        <f>SUMPRODUCT(--('Cuadrante por Franja'!$A$23:$A$58=$A37),--('Cuadrante por Franja'!$B$23:$B$58=G$34),'Cuadrante por Franja'!$J$23:$J$58)+0</f>
        <v>1.0</v>
      </c>
      <c r="H37" s="20">
        <f>SUMPRODUCT(--('Cuadrante por Franja'!$A$23:$A$58=$A37),--('Cuadrante por Franja'!$B$23:$B$58=H$34),'Cuadrante por Franja'!$J$23:$J$58)+0</f>
        <v>3.5</v>
      </c>
      <c r="I37" s="20">
        <f>SUMPRODUCT(--('Cuadrante por Franja'!$A$23:$A$58=$A37),--('Cuadrante por Franja'!$B$23:$B$58=I$34),'Cuadrante por Franja'!$J$23:$J$58)+0</f>
        <v>3.5</v>
      </c>
    </row>
    <row r="38">
      <c r="A38" t="str">
        <f>'Coste de Plantilla'!$A$12</f>
        <v>P4</v>
      </c>
      <c r="C38" s="20">
        <f>SUMPRODUCT(--('Cuadrante por Franja'!$A$23:$A$58=$A38),--('Cuadrante por Franja'!$B$23:$B$58=C$34),'Cuadrante por Franja'!$J$23:$J$58)+0</f>
        <v>0.0</v>
      </c>
      <c r="D38" s="20">
        <f>SUMPRODUCT(--('Cuadrante por Franja'!$A$23:$A$58=$A38),--('Cuadrante por Franja'!$B$23:$B$58=D$34),'Cuadrante por Franja'!$J$23:$J$58)+0</f>
        <v>0.0</v>
      </c>
      <c r="E38" s="20">
        <f>SUMPRODUCT(--('Cuadrante por Franja'!$A$23:$A$58=$A38),--('Cuadrante por Franja'!$B$23:$B$58=E$34),'Cuadrante por Franja'!$J$23:$J$58)+0</f>
        <v>0.0</v>
      </c>
      <c r="F38" s="20">
        <f>SUMPRODUCT(--('Cuadrante por Franja'!$A$23:$A$58=$A38),--('Cuadrante por Franja'!$B$23:$B$58=F$34),'Cuadrante por Franja'!$J$23:$J$58)+0</f>
        <v>0.0</v>
      </c>
      <c r="G38" s="20">
        <f>SUMPRODUCT(--('Cuadrante por Franja'!$A$23:$A$58=$A38),--('Cuadrante por Franja'!$B$23:$B$58=G$34),'Cuadrante por Franja'!$J$23:$J$58)+0</f>
        <v>3.0</v>
      </c>
      <c r="H38" s="20">
        <f>SUMPRODUCT(--('Cuadrante por Franja'!$A$23:$A$58=$A38),--('Cuadrante por Franja'!$B$23:$B$58=H$34),'Cuadrante por Franja'!$J$23:$J$58)+0</f>
        <v>3.0</v>
      </c>
      <c r="I38" s="20">
        <f>SUMPRODUCT(--('Cuadrante por Franja'!$A$23:$A$58=$A38),--('Cuadrante por Franja'!$B$23:$B$58=I$34),'Cuadrante por Franja'!$J$23:$J$58)+0</f>
        <v>0.0</v>
      </c>
    </row>
    <row r="39">
      <c r="A39" t="str">
        <f>'Coste de Plantilla'!$A$13</f>
        <v>P5</v>
      </c>
      <c r="C39" s="20">
        <f>SUMPRODUCT(--('Cuadrante por Franja'!$A$23:$A$58=$A39),--('Cuadrante por Franja'!$B$23:$B$58=C$34),'Cuadrante por Franja'!$J$23:$J$58)+0</f>
        <v>0.0</v>
      </c>
      <c r="D39" s="20">
        <f>SUMPRODUCT(--('Cuadrante por Franja'!$A$23:$A$58=$A39),--('Cuadrante por Franja'!$B$23:$B$58=D$34),'Cuadrante por Franja'!$J$23:$J$58)+0</f>
        <v>0.0</v>
      </c>
      <c r="E39" s="20">
        <f>SUMPRODUCT(--('Cuadrante por Franja'!$A$23:$A$58=$A39),--('Cuadrante por Franja'!$B$23:$B$58=E$34),'Cuadrante por Franja'!$J$23:$J$58)+0</f>
        <v>0.0</v>
      </c>
      <c r="F39" s="20">
        <f>SUMPRODUCT(--('Cuadrante por Franja'!$A$23:$A$58=$A39),--('Cuadrante por Franja'!$B$23:$B$58=F$34),'Cuadrante por Franja'!$J$23:$J$58)+0</f>
        <v>0.0</v>
      </c>
      <c r="G39" s="20">
        <f>SUMPRODUCT(--('Cuadrante por Franja'!$A$23:$A$58=$A39),--('Cuadrante por Franja'!$B$23:$B$58=G$34),'Cuadrante por Franja'!$J$23:$J$58)+0</f>
        <v>0.0</v>
      </c>
      <c r="H39" s="20">
        <f>SUMPRODUCT(--('Cuadrante por Franja'!$A$23:$A$58=$A39),--('Cuadrante por Franja'!$B$23:$B$58=H$34),'Cuadrante por Franja'!$J$23:$J$58)+0</f>
        <v>2.0</v>
      </c>
      <c r="I39" s="20">
        <f>SUMPRODUCT(--('Cuadrante por Franja'!$A$23:$A$58=$A39),--('Cuadrante por Franja'!$B$23:$B$58=I$34),'Cuadrante por Franja'!$J$23:$J$58)+0</f>
        <v>2.0</v>
      </c>
    </row>
    <row r="40"/>
    <row r="41"/>
    <row r="42">
      <c r="A4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A15:N15"/>
    <mergeCell ref="A14:N14"/>
    <mergeCell ref="H6:L6"/>
    <mergeCell ref="C6:G6"/>
    <mergeCell ref="A16:N16"/>
  </mergeCells>
  <conditionalFormatting sqref="G8">
    <cfRule type="cellIs" priority="1" operator="equal" dxfId="0" stopIfTrue="1">
      <formula>"no"</formula>
    </cfRule>
    <cfRule type="cellIs" priority="2" operator="equal" dxfId="2" stopIfTrue="1">
      <formula>"revísalo con tu asesor"</formula>
    </cfRule>
    <cfRule type="cellIs" priority="3" operator="equal" dxfId="1" stopIfTrue="1">
      <formula>"sí"</formula>
    </cfRule>
  </conditionalFormatting>
  <conditionalFormatting sqref="G9">
    <cfRule type="cellIs" priority="4" operator="equal" dxfId="0" stopIfTrue="1">
      <formula>"no"</formula>
    </cfRule>
    <cfRule type="cellIs" priority="5" operator="equal" dxfId="2" stopIfTrue="1">
      <formula>"revísalo con tu asesor"</formula>
    </cfRule>
    <cfRule type="cellIs" priority="6" operator="equal" dxfId="1" stopIfTrue="1">
      <formula>"sí"</formula>
    </cfRule>
  </conditionalFormatting>
  <conditionalFormatting sqref="G10">
    <cfRule type="cellIs" priority="7" operator="equal" dxfId="0" stopIfTrue="1">
      <formula>"no"</formula>
    </cfRule>
    <cfRule type="cellIs" priority="8" operator="equal" dxfId="2" stopIfTrue="1">
      <formula>"revísalo con tu asesor"</formula>
    </cfRule>
    <cfRule type="cellIs" priority="9" operator="equal" dxfId="1" stopIfTrue="1">
      <formula>"sí"</formula>
    </cfRule>
  </conditionalFormatting>
  <conditionalFormatting sqref="G11">
    <cfRule type="cellIs" priority="10" operator="equal" dxfId="0" stopIfTrue="1">
      <formula>"no"</formula>
    </cfRule>
    <cfRule type="cellIs" priority="11" operator="equal" dxfId="2" stopIfTrue="1">
      <formula>"revísalo con tu asesor"</formula>
    </cfRule>
    <cfRule type="cellIs" priority="12" operator="equal" dxfId="1" stopIfTrue="1">
      <formula>"sí"</formula>
    </cfRule>
  </conditionalFormatting>
  <conditionalFormatting sqref="G12">
    <cfRule type="cellIs" priority="13" operator="equal" dxfId="0" stopIfTrue="1">
      <formula>"no"</formula>
    </cfRule>
    <cfRule type="cellIs" priority="14" operator="equal" dxfId="2" stopIfTrue="1">
      <formula>"revísalo con tu asesor"</formula>
    </cfRule>
    <cfRule type="cellIs" priority="15" operator="equal" dxfId="1" stopIfTrue="1">
      <formula>"sí"</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Q41"/>
  <sheetViews>
    <sheetView workbookViewId="0">
      <selection activeCell="A1" sqref="A1"/>
    </sheetView>
  </sheetViews>
  <sheetFormatPr baseColWidth="8" defaultRowHeight="15"/>
  <cols>
    <col width="9" customWidth="1" min="1" max="1"/>
    <col width="28" customWidth="1" min="2" max="2"/>
    <col width="11" customWidth="1" min="3" max="3"/>
    <col width="9" customWidth="1" min="4" max="4"/>
    <col width="9" customWidth="1" min="5" max="5"/>
    <col width="11" customWidth="1" min="6" max="6"/>
    <col width="11" customWidth="1" min="7" max="7"/>
    <col width="10" customWidth="1" min="8" max="8"/>
    <col width="20" customWidth="1" min="9" max="9"/>
    <col width="12" customWidth="1" min="10" max="10"/>
    <col width="46" customWidth="1" min="11" max="11"/>
    <col width="14" customWidth="1" min="12" max="12"/>
    <col width="46" customWidth="1" min="13" max="13"/>
    <col width="13" customWidth="1" min="14" max="14"/>
    <col width="13" customWidth="1" min="15" max="15"/>
    <col width="22" customWidth="1" min="16" max="16"/>
    <col width="14" customWidth="1" min="17" max="17"/>
  </cols>
  <sheetData>
    <row r="1">
      <c r="A1" s="1" t="inlineStr">
        <is>
          <t>Coste de Plantilla</t>
        </is>
      </c>
    </row>
    <row r="2">
      <c r="A2" s="2" t="inlineStr">
        <is>
          <t>AI Chef Pro · aichef.pro — Cómo Montar una Churrería-Chocolatería</t>
        </is>
      </c>
    </row>
    <row r="3">
      <c r="A3" s="3" t="inlineStr">
        <is>
          <t>Coste anual por puesto = MAX(salario; SMI anual a su jornada) más la Seguridad Social de empresa. Convenio de ejemplo: Madrid, clase C, tablas de 2025 (vencido, en negociación).</t>
        </is>
      </c>
    </row>
    <row r="4">
      <c r="K4" s="4" t="inlineStr">
        <is>
          <t>Lo que Copian Otros Libros (No Muevas Estas Celdas)</t>
        </is>
      </c>
    </row>
    <row r="5" ht="30" customHeight="1">
      <c r="K5" s="23" t="inlineStr">
        <is>
          <t>Coste anual de plantilla (puestos, refuerzo y sustituciones)</t>
        </is>
      </c>
      <c r="L5" s="36">
        <f>B25</f>
        <v>119350.20111361095</v>
      </c>
      <c r="M5" s="11" t="inlineStr">
        <is>
          <t>Lo copia: libro 6 (plan-financiero-3-anos-churreria.xlsx, hoja 0. Supuestos, X15)</t>
        </is>
      </c>
    </row>
    <row r="6"/>
    <row r="7"/>
    <row r="8" ht="54" customHeight="1">
      <c r="A8" s="9" t="inlineStr">
        <is>
          <t>Persona</t>
        </is>
      </c>
      <c r="B8" s="9" t="inlineStr">
        <is>
          <t>Puesto</t>
        </is>
      </c>
      <c r="C8" s="9" t="inlineStr">
        <is>
          <t>Jornada (1,0 = completa)</t>
        </is>
      </c>
      <c r="D8" s="9" t="inlineStr">
        <is>
          <t>Nivel del convenio</t>
        </is>
      </c>
      <c r="E8" s="9" t="inlineStr">
        <is>
          <t>¿Es el titular?</t>
        </is>
      </c>
      <c r="F8" s="9" t="inlineStr">
        <is>
          <t>¿Cotiza Seguridad Social de empresa?</t>
        </is>
      </c>
      <c r="G8" s="9" t="inlineStr">
        <is>
          <t>Horas a la semana en el cuadrante</t>
        </is>
      </c>
      <c r="H8" s="9" t="inlineStr">
        <is>
          <t>Horas de su jornada</t>
        </is>
      </c>
      <c r="I8" s="9" t="inlineStr">
        <is>
          <t>¿Cabe en su jornada?</t>
        </is>
      </c>
      <c r="J8" s="9" t="inlineStr">
        <is>
          <t>Salario base mensual</t>
        </is>
      </c>
      <c r="K8" s="9" t="inlineStr">
        <is>
          <t>Bruto anual a su jornada</t>
        </is>
      </c>
      <c r="L8" s="9" t="inlineStr">
        <is>
          <t>Salario base por hora</t>
        </is>
      </c>
      <c r="M8" s="9" t="inlineStr">
        <is>
          <t>Plus de nocturnidad al año</t>
        </is>
      </c>
      <c r="N8" s="9" t="inlineStr">
        <is>
          <t>Salario anual</t>
        </is>
      </c>
      <c r="O8" s="9" t="inlineStr">
        <is>
          <t>Suelo: SMI anual a su jornada</t>
        </is>
      </c>
      <c r="P8" s="9" t="inlineStr">
        <is>
          <t>Semáforo del SMI</t>
        </is>
      </c>
      <c r="Q8" s="9" t="inlineStr">
        <is>
          <t>Coste anual del puesto</t>
        </is>
      </c>
    </row>
    <row r="9" ht="30" customHeight="1">
      <c r="A9" s="16" t="inlineStr">
        <is>
          <t>P1</t>
        </is>
      </c>
      <c r="B9" s="5" t="inlineStr">
        <is>
          <t>Titular (encargado/a)</t>
        </is>
      </c>
      <c r="C9" s="18" t="n">
        <v>1</v>
      </c>
      <c r="D9" s="5" t="inlineStr">
        <is>
          <t>III</t>
        </is>
      </c>
      <c r="E9" s="5" t="inlineStr">
        <is>
          <t>sí</t>
        </is>
      </c>
      <c r="F9" s="5" t="inlineStr">
        <is>
          <t>no</t>
        </is>
      </c>
      <c r="G9" s="20">
        <f>SUMPRODUCT(--('Cuadrante por Franja'!$A$23:$A$58=A9),'Cuadrante por Franja'!$F$23:$F$58)+0</f>
        <v>52.5</v>
      </c>
      <c r="H9" s="20">
        <f>C9*'Parámetros'!$B$24</f>
        <v>40.0</v>
      </c>
      <c r="I9" t="str">
        <f>IF(E9="sí","Titular: sus horas de más, en «Horas del Titular»",IF(AND(ISNUMBER(G9),ISNUMBER(H9)),IF(G9&gt;H9,"Pasa de su jornada","Dentro de su jornada"),""))</f>
        <v>Titular: sus horas de más, en «Horas del Titular»</v>
      </c>
      <c r="J9" s="21">
        <f>SUMIF('Parámetros'!$A$28:$A$30,D9,'Parámetros'!$B$28:$B$30)</f>
        <v>1160.37</v>
      </c>
      <c r="K9" s="21">
        <f>(J9*'Parámetros'!$B$17+'Parámetros'!$B$18*'Parámetros'!$B$19)*C9</f>
        <v>18348.6</v>
      </c>
      <c r="L9" s="21">
        <f>IFERROR(J9*'Parámetros'!$B$17/'Parámetros'!$B$23,"")</f>
        <v>9.126505617977527</v>
      </c>
      <c r="M9" s="21">
        <f>'Nocturnidad ET y Convenio'!$L$8</f>
        <v>0.0</v>
      </c>
      <c r="N9" s="21">
        <f>K9+M9</f>
        <v>18348.6</v>
      </c>
      <c r="O9" s="21">
        <f>'Parámetros'!$B$20*C9</f>
        <v>17094.0</v>
      </c>
      <c r="P9" t="str">
        <f>IF(AND(ISNUMBER(N9),ISNUMBER(O9)),IF(N9&lt;O9,"Por debajo del SMI 2026: cuenta el SMI","Por encima del SMI 2026"),"")</f>
        <v>Por encima del SMI 2026</v>
      </c>
      <c r="Q9" s="36">
        <f>IF(F9="sí",MAX(N9,O9)*(1+'Parámetros'!$B$22),MAX(N9,O9))</f>
        <v>18348.6</v>
      </c>
    </row>
    <row r="10" ht="30" customHeight="1">
      <c r="A10" s="16" t="inlineStr">
        <is>
          <t>P2</t>
        </is>
      </c>
      <c r="B10" s="5" t="inlineStr">
        <is>
          <t>Churrero/a 1</t>
        </is>
      </c>
      <c r="C10" s="18" t="n">
        <v>1</v>
      </c>
      <c r="D10" s="5" t="inlineStr">
        <is>
          <t>III</t>
        </is>
      </c>
      <c r="E10" s="5" t="inlineStr">
        <is>
          <t>no</t>
        </is>
      </c>
      <c r="F10" s="5" t="inlineStr">
        <is>
          <t>sí</t>
        </is>
      </c>
      <c r="G10" s="20">
        <f>SUMPRODUCT(--('Cuadrante por Franja'!$A$23:$A$58=A10),'Cuadrante por Franja'!$F$23:$F$58)+0</f>
        <v>40.0</v>
      </c>
      <c r="H10" s="20">
        <f>C10*'Parámetros'!$B$24</f>
        <v>40.0</v>
      </c>
      <c r="I10" t="str">
        <f>IF(E10="sí","Titular: sus horas de más, en «Horas del Titular»",IF(AND(ISNUMBER(G10),ISNUMBER(H10)),IF(G10&gt;H10,"Pasa de su jornada","Dentro de su jornada"),""))</f>
        <v>Dentro de su jornada</v>
      </c>
      <c r="J10" s="21">
        <f>SUMIF('Parámetros'!$A$28:$A$30,D10,'Parámetros'!$B$28:$B$30)</f>
        <v>1160.37</v>
      </c>
      <c r="K10" s="21">
        <f>(J10*'Parámetros'!$B$17+'Parámetros'!$B$18*'Parámetros'!$B$19)*C10</f>
        <v>18348.6</v>
      </c>
      <c r="L10" s="21">
        <f>IFERROR(J10*'Parámetros'!$B$17/'Parámetros'!$B$23,"")</f>
        <v>9.126505617977527</v>
      </c>
      <c r="M10" s="21">
        <f>'Nocturnidad ET y Convenio'!$L$9</f>
        <v>1015.3237499999999</v>
      </c>
      <c r="N10" s="21">
        <f>K10+M10</f>
        <v>19363.923749999998</v>
      </c>
      <c r="O10" s="21">
        <f>'Parámetros'!$B$20*C10</f>
        <v>17094.0</v>
      </c>
      <c r="P10" t="str">
        <f>IF(AND(ISNUMBER(N10),ISNUMBER(O10)),IF(N10&lt;O10,"Por debajo del SMI 2026: cuenta el SMI","Por encima del SMI 2026"),"")</f>
        <v>Por encima del SMI 2026</v>
      </c>
      <c r="Q10" s="36">
        <f>IF(F10="sí",MAX(N10,O10)*(1+'Parámetros'!$B$22),MAX(N10,O10))</f>
        <v>25754.0185875</v>
      </c>
    </row>
    <row r="11" ht="30" customHeight="1">
      <c r="A11" s="16" t="inlineStr">
        <is>
          <t>P3</t>
        </is>
      </c>
      <c r="B11" s="5" t="inlineStr">
        <is>
          <t>Churrero/a 2</t>
        </is>
      </c>
      <c r="C11" s="18" t="n">
        <v>1</v>
      </c>
      <c r="D11" s="5" t="inlineStr">
        <is>
          <t>III</t>
        </is>
      </c>
      <c r="E11" s="5" t="inlineStr">
        <is>
          <t>no</t>
        </is>
      </c>
      <c r="F11" s="5" t="inlineStr">
        <is>
          <t>sí</t>
        </is>
      </c>
      <c r="G11" s="20">
        <f>SUMPRODUCT(--('Cuadrante por Franja'!$A$23:$A$58=A11),'Cuadrante por Franja'!$F$23:$F$58)+0</f>
        <v>40.0</v>
      </c>
      <c r="H11" s="20">
        <f>C11*'Parámetros'!$B$24</f>
        <v>40.0</v>
      </c>
      <c r="I11" t="str">
        <f>IF(E11="sí","Titular: sus horas de más, en «Horas del Titular»",IF(AND(ISNUMBER(G11),ISNUMBER(H11)),IF(G11&gt;H11,"Pasa de su jornada","Dentro de su jornada"),""))</f>
        <v>Dentro de su jornada</v>
      </c>
      <c r="J11" s="21">
        <f>SUMIF('Parámetros'!$A$28:$A$30,D11,'Parámetros'!$B$28:$B$30)</f>
        <v>1160.37</v>
      </c>
      <c r="K11" s="21">
        <f>(J11*'Parámetros'!$B$17+'Parámetros'!$B$18*'Parámetros'!$B$19)*C11</f>
        <v>18348.6</v>
      </c>
      <c r="L11" s="21">
        <f>IFERROR(J11*'Parámetros'!$B$17/'Parámetros'!$B$23,"")</f>
        <v>9.126505617977527</v>
      </c>
      <c r="M11" s="21">
        <f>'Nocturnidad ET y Convenio'!$L$10</f>
        <v>1116.8561249999998</v>
      </c>
      <c r="N11" s="21">
        <f>K11+M11</f>
        <v>19465.456124999997</v>
      </c>
      <c r="O11" s="21">
        <f>'Parámetros'!$B$20*C11</f>
        <v>17094.0</v>
      </c>
      <c r="P11" t="str">
        <f>IF(AND(ISNUMBER(N11),ISNUMBER(O11)),IF(N11&lt;O11,"Por debajo del SMI 2026: cuenta el SMI","Por encima del SMI 2026"),"")</f>
        <v>Por encima del SMI 2026</v>
      </c>
      <c r="Q11" s="36">
        <f>IF(F11="sí",MAX(N11,O11)*(1+'Parámetros'!$B$22),MAX(N11,O11))</f>
        <v>25889.05664625</v>
      </c>
    </row>
    <row r="12" ht="30" customHeight="1">
      <c r="A12" s="16" t="inlineStr">
        <is>
          <t>P4</t>
        </is>
      </c>
      <c r="B12" s="5" t="inlineStr">
        <is>
          <t>Camarero/a de sala</t>
        </is>
      </c>
      <c r="C12" s="18" t="n">
        <v>1</v>
      </c>
      <c r="D12" s="5" t="inlineStr">
        <is>
          <t>IV</t>
        </is>
      </c>
      <c r="E12" s="5" t="inlineStr">
        <is>
          <t>no</t>
        </is>
      </c>
      <c r="F12" s="5" t="inlineStr">
        <is>
          <t>sí</t>
        </is>
      </c>
      <c r="G12" s="20">
        <f>SUMPRODUCT(--('Cuadrante por Franja'!$A$23:$A$58=A12),'Cuadrante por Franja'!$F$23:$F$58)+0</f>
        <v>37.0</v>
      </c>
      <c r="H12" s="20">
        <f>C12*'Parámetros'!$B$24</f>
        <v>40.0</v>
      </c>
      <c r="I12" t="str">
        <f>IF(E12="sí","Titular: sus horas de más, en «Horas del Titular»",IF(AND(ISNUMBER(G12),ISNUMBER(H12)),IF(G12&gt;H12,"Pasa de su jornada","Dentro de su jornada"),""))</f>
        <v>Dentro de su jornada</v>
      </c>
      <c r="J12" s="21">
        <f>SUMIF('Parámetros'!$A$28:$A$30,D12,'Parámetros'!$B$28:$B$30)</f>
        <v>1127.42</v>
      </c>
      <c r="K12" s="21">
        <f>(J12*'Parámetros'!$B$17+'Parámetros'!$B$18*'Parámetros'!$B$19)*C12</f>
        <v>17887.300000000003</v>
      </c>
      <c r="L12" s="21">
        <f>IFERROR(J12*'Parámetros'!$B$17/'Parámetros'!$B$23,"")</f>
        <v>8.867348314606742</v>
      </c>
      <c r="M12" s="21">
        <f>'Nocturnidad ET y Convenio'!$L$11</f>
        <v>213.08238000000006</v>
      </c>
      <c r="N12" s="21">
        <f>K12+M12</f>
        <v>18100.382380000003</v>
      </c>
      <c r="O12" s="21">
        <f>'Parámetros'!$B$20*C12</f>
        <v>17094.0</v>
      </c>
      <c r="P12" t="str">
        <f>IF(AND(ISNUMBER(N12),ISNUMBER(O12)),IF(N12&lt;O12,"Por debajo del SMI 2026: cuenta el SMI","Por encima del SMI 2026"),"")</f>
        <v>Por encima del SMI 2026</v>
      </c>
      <c r="Q12" s="36">
        <f>IF(F12="sí",MAX(N12,O12)*(1+'Parámetros'!$B$22),MAX(N12,O12))</f>
        <v>24073.508565400003</v>
      </c>
    </row>
    <row r="13" ht="30" customHeight="1">
      <c r="A13" s="16" t="inlineStr">
        <is>
          <t>P5</t>
        </is>
      </c>
      <c r="B13" s="5" t="inlineStr">
        <is>
          <t>Refuerzo de fin de semana</t>
        </is>
      </c>
      <c r="C13" s="18" t="n">
        <v>0.5</v>
      </c>
      <c r="D13" s="5" t="inlineStr">
        <is>
          <t>V</t>
        </is>
      </c>
      <c r="E13" s="5" t="inlineStr">
        <is>
          <t>no</t>
        </is>
      </c>
      <c r="F13" s="5" t="inlineStr">
        <is>
          <t>sí</t>
        </is>
      </c>
      <c r="G13" s="20">
        <f>SUMPRODUCT(--('Cuadrante por Franja'!$A$23:$A$58=A13),'Cuadrante por Franja'!$F$23:$F$58)+0</f>
        <v>19.5</v>
      </c>
      <c r="H13" s="20">
        <f>C13*'Parámetros'!$B$24</f>
        <v>20.0</v>
      </c>
      <c r="I13" t="str">
        <f>IF(E13="sí","Titular: sus horas de más, en «Horas del Titular»",IF(AND(ISNUMBER(G13),ISNUMBER(H13)),IF(G13&gt;H13,"Pasa de su jornada","Dentro de su jornada"),""))</f>
        <v>Dentro de su jornada</v>
      </c>
      <c r="J13" s="21">
        <f>SUMIF('Parámetros'!$A$28:$A$30,D13,'Parámetros'!$B$28:$B$30)</f>
        <v>1086.31</v>
      </c>
      <c r="K13" s="21">
        <f>(J13*'Parámetros'!$B$17+'Parámetros'!$B$18*'Parámetros'!$B$19)*C13</f>
        <v>8655.880000000001</v>
      </c>
      <c r="L13" s="21">
        <f>IFERROR(J13*'Parámetros'!$B$17/'Parámetros'!$B$23,"")</f>
        <v>8.544011235955056</v>
      </c>
      <c r="M13" s="21">
        <f>'Nocturnidad ET y Convenio'!$L$12</f>
        <v>380.20849999999996</v>
      </c>
      <c r="N13" s="21">
        <f>K13+M13</f>
        <v>9036.088500000002</v>
      </c>
      <c r="O13" s="21">
        <f>'Parámetros'!$B$20*C13</f>
        <v>8547.0</v>
      </c>
      <c r="P13" t="str">
        <f>IF(AND(ISNUMBER(N13),ISNUMBER(O13)),IF(N13&lt;O13,"Por debajo del SMI 2026: cuenta el SMI","Por encima del SMI 2026"),"")</f>
        <v>Por encima del SMI 2026</v>
      </c>
      <c r="Q13" s="36">
        <f>IF(F13="sí",MAX(N13,O13)*(1+'Parámetros'!$B$22),MAX(N13,O13))</f>
        <v>12017.997705000003</v>
      </c>
    </row>
    <row r="14">
      <c r="A14" s="16" t="inlineStr">
        <is>
          <t>Total</t>
        </is>
      </c>
      <c r="C14" s="39">
        <f>SUM(C9:C13)</f>
        <v>4.5</v>
      </c>
      <c r="G14" s="40">
        <f>SUM(G9:G13)</f>
        <v>189.0</v>
      </c>
      <c r="M14" s="41">
        <f>SUM(M9:M13)</f>
        <v>2725.4707549999994</v>
      </c>
      <c r="Q14" s="36">
        <f>SUM(Q9:Q13)</f>
        <v>106083.18150415</v>
      </c>
    </row>
    <row r="15"/>
    <row r="16">
      <c r="A16" s="4" t="inlineStr">
        <is>
          <t>Del Coste de los Puestos al Coste Anual de Plantilla</t>
        </is>
      </c>
    </row>
    <row r="17" ht="28" customHeight="1">
      <c r="A17" s="6" t="inlineStr">
        <is>
          <t>Coste de los puestos al año</t>
        </is>
      </c>
      <c r="B17" s="41">
        <f>Q14</f>
        <v>106083.18150415</v>
      </c>
    </row>
    <row r="18" ht="28" customHeight="1">
      <c r="A18" s="6" t="inlineStr">
        <is>
          <t>Horas contratadas al año (jornadas por la jornada anual)</t>
        </is>
      </c>
      <c r="B18" s="40">
        <f>C14*'Parámetros'!$B$23</f>
        <v>8010.0</v>
      </c>
    </row>
    <row r="19" ht="28" customHeight="1">
      <c r="A19" s="6" t="inlineStr">
        <is>
          <t>Coste hora de la plantilla (el que tiene que usar el libro 3)</t>
        </is>
      </c>
      <c r="B19" s="36">
        <f>IFERROR(B17/B18,"")</f>
        <v>13.243842884413233</v>
      </c>
      <c r="C19" s="11" t="inlineStr">
        <is>
          <t>Cuadra con el coste hora que usaste en el escandallo del libro 3 (fila de CUADRE de «Parámetros»).</t>
        </is>
      </c>
    </row>
    <row r="20" ht="28" customHeight="1">
      <c r="A20" s="6" t="inlineStr">
        <is>
          <t>Horas a la semana de los empleados (sin el titular)</t>
        </is>
      </c>
      <c r="B20" s="40">
        <f>SUMIF(E9:E13,"no",G9:G13)</f>
        <v>136.5</v>
      </c>
    </row>
    <row r="21" ht="28" customHeight="1">
      <c r="A21" s="6" t="inlineStr">
        <is>
          <t>Semanas que el local abre y un contrato no trabaja</t>
        </is>
      </c>
      <c r="B21" s="39">
        <f>MAX(0,'Parámetros'!$B$52-'Parámetros'!$B$53)</f>
        <v>6.928571428571431</v>
      </c>
    </row>
    <row r="22" ht="28" customHeight="1">
      <c r="A22" s="6" t="inlineStr">
        <is>
          <t>Horas de sustitución al año (vacaciones y festivos)</t>
        </is>
      </c>
      <c r="B22" s="40">
        <f>IF('Parámetros'!$B$54="sí",B20*B21,0)</f>
        <v>945.7500000000002</v>
      </c>
      <c r="C22" s="11" t="inlineStr">
        <is>
          <t>Cada contrato trabaja sus horas anuales, no las semanas que abre el local: las semanas que faltan las cubre un sustituto.</t>
        </is>
      </c>
    </row>
    <row r="23" ht="28" customHeight="1">
      <c r="A23" s="6" t="inlineStr">
        <is>
          <t>Horas de refuerzo de Navidad y Reyes al año (copiadas del libro 5)</t>
        </is>
      </c>
      <c r="B23" s="40">
        <f>'Parámetros'!$B$8</f>
        <v>56.0</v>
      </c>
    </row>
    <row r="24" ht="28" customHeight="1">
      <c r="A24" s="6" t="inlineStr">
        <is>
          <t>Coste de sustituciones y refuerzo al coste hora</t>
        </is>
      </c>
      <c r="B24" s="41">
        <f>(B22+B23)*B19</f>
        <v>13267.01960946096</v>
      </c>
    </row>
    <row r="25" ht="28" customHeight="1">
      <c r="A25" s="6" t="inlineStr">
        <is>
          <t>COSTE ANUAL DE PLANTILLA (lo copia el libro 6)</t>
        </is>
      </c>
      <c r="B25" s="36">
        <f>B17+B24</f>
        <v>119350.20111361095</v>
      </c>
    </row>
    <row r="26"/>
    <row r="27"/>
    <row r="28">
      <c r="A28" s="4" t="inlineStr">
        <is>
          <t>Salarios de Mercado (Sólo Como Referencia)</t>
        </is>
      </c>
    </row>
    <row r="29" ht="28" customHeight="1">
      <c r="A29" s="11" t="inlineStr">
        <is>
          <t>Rango de mercado, pagas sin declarar. Sirve para saber si lo que vas a ofrecer está dentro de mercado; lo que te OBLIGA es tu convenio, y por debajo de todo, el SMI.</t>
        </is>
      </c>
    </row>
    <row r="30" ht="42" customHeight="1">
      <c r="A30" s="9" t="inlineStr">
        <is>
          <t>Fuente</t>
        </is>
      </c>
      <c r="B30" s="9" t="inlineStr">
        <is>
          <t>Oferta publicada</t>
        </is>
      </c>
      <c r="C30" s="9" t="inlineStr">
        <is>
          <t>Mínimo EUR/mes</t>
        </is>
      </c>
      <c r="D30" s="9" t="inlineStr">
        <is>
          <t>Máximo EUR/mes</t>
        </is>
      </c>
      <c r="E30" s="9" t="inlineStr">
        <is>
          <t>Mínimo al año con tus pagas de lectura</t>
        </is>
      </c>
      <c r="F30" s="9" t="inlineStr">
        <is>
          <t>Frente al SMI anual</t>
        </is>
      </c>
    </row>
    <row r="31" ht="30" customHeight="1">
      <c r="A31" t="inlineStr">
        <is>
          <t>CUS-54</t>
        </is>
      </c>
      <c r="B31" s="6" t="inlineStr">
        <is>
          <t>Aprendiz de churrero (Valdemoro)</t>
        </is>
      </c>
      <c r="C31" s="21" t="n">
        <v>1300</v>
      </c>
      <c r="D31" s="21" t="n">
        <v>1500</v>
      </c>
      <c r="E31" s="21">
        <f>C31*'Parámetros'!$B$55</f>
        <v>15600.0</v>
      </c>
      <c r="F31" t="str">
        <f>IF(ISNUMBER(E31),IF(E31&lt;'Parámetros'!$B$20,"Por debajo del SMI 2026: cuenta el SMI","Por encima del SMI 2026"),"")</f>
        <v>Por debajo del SMI 2026: cuenta el SMI</v>
      </c>
    </row>
    <row r="32" ht="30" customHeight="1">
      <c r="A32" t="inlineStr">
        <is>
          <t>CUS-55</t>
        </is>
      </c>
      <c r="B32" s="6" t="inlineStr">
        <is>
          <t>Ayudante de cocina de una churrería (San Blas-Canillejas)</t>
        </is>
      </c>
      <c r="C32" s="21" t="n">
        <v>1500</v>
      </c>
      <c r="D32" s="21" t="n">
        <v>1600</v>
      </c>
      <c r="E32" s="21">
        <f>C32*'Parámetros'!$B$55</f>
        <v>18000.0</v>
      </c>
      <c r="F32" t="str">
        <f>IF(ISNUMBER(E32),IF(E32&lt;'Parámetros'!$B$20,"Por debajo del SMI 2026: cuenta el SMI","Por encima del SMI 2026"),"")</f>
        <v>Por encima del SMI 2026</v>
      </c>
    </row>
    <row r="33"/>
    <row r="34"/>
    <row r="35">
      <c r="A35" s="25" t="inlineStr">
        <is>
          <t>Listas de validación (no las borres: las usan los desplegables)</t>
        </is>
      </c>
    </row>
    <row r="36">
      <c r="A36" s="16" t="inlineStr">
        <is>
          <t>Sí o no</t>
        </is>
      </c>
    </row>
    <row r="37">
      <c r="A37" t="inlineStr">
        <is>
          <t>sí</t>
        </is>
      </c>
    </row>
    <row r="38">
      <c r="A38" t="inlineStr">
        <is>
          <t>no</t>
        </is>
      </c>
    </row>
    <row r="39"/>
    <row r="40"/>
    <row r="41">
      <c r="A41"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29:I29"/>
  </mergeCells>
  <conditionalFormatting sqref="I9">
    <cfRule type="cellIs" priority="1" operator="equal" dxfId="0" stopIfTrue="1">
      <formula>"Dentro de su jornada"</formula>
    </cfRule>
    <cfRule type="cellIs" priority="2" operator="equal" dxfId="2" stopIfTrue="1">
      <formula>"Titular: sus horas de más, en «Horas del Titular»"</formula>
    </cfRule>
    <cfRule type="cellIs" priority="3" operator="equal" dxfId="1" stopIfTrue="1">
      <formula>"Pasa de su jornada"</formula>
    </cfRule>
  </conditionalFormatting>
  <conditionalFormatting sqref="P9">
    <cfRule type="cellIs" priority="4" operator="equal" dxfId="0" stopIfTrue="1">
      <formula>"Por encima del SMI 2026"</formula>
    </cfRule>
    <cfRule type="cellIs" priority="5" operator="equal" dxfId="1" stopIfTrue="1">
      <formula>"Por debajo del SMI 2026: cuenta el SMI"</formula>
    </cfRule>
  </conditionalFormatting>
  <conditionalFormatting sqref="I10">
    <cfRule type="cellIs" priority="6" operator="equal" dxfId="0" stopIfTrue="1">
      <formula>"Dentro de su jornada"</formula>
    </cfRule>
    <cfRule type="cellIs" priority="7" operator="equal" dxfId="2" stopIfTrue="1">
      <formula>"Titular: sus horas de más, en «Horas del Titular»"</formula>
    </cfRule>
    <cfRule type="cellIs" priority="8" operator="equal" dxfId="1" stopIfTrue="1">
      <formula>"Pasa de su jornada"</formula>
    </cfRule>
  </conditionalFormatting>
  <conditionalFormatting sqref="P10">
    <cfRule type="cellIs" priority="9" operator="equal" dxfId="0" stopIfTrue="1">
      <formula>"Por encima del SMI 2026"</formula>
    </cfRule>
    <cfRule type="cellIs" priority="10" operator="equal" dxfId="1" stopIfTrue="1">
      <formula>"Por debajo del SMI 2026: cuenta el SMI"</formula>
    </cfRule>
  </conditionalFormatting>
  <conditionalFormatting sqref="I11">
    <cfRule type="cellIs" priority="11" operator="equal" dxfId="0" stopIfTrue="1">
      <formula>"Dentro de su jornada"</formula>
    </cfRule>
    <cfRule type="cellIs" priority="12" operator="equal" dxfId="2" stopIfTrue="1">
      <formula>"Titular: sus horas de más, en «Horas del Titular»"</formula>
    </cfRule>
    <cfRule type="cellIs" priority="13" operator="equal" dxfId="1" stopIfTrue="1">
      <formula>"Pasa de su jornada"</formula>
    </cfRule>
  </conditionalFormatting>
  <conditionalFormatting sqref="P11">
    <cfRule type="cellIs" priority="14" operator="equal" dxfId="0" stopIfTrue="1">
      <formula>"Por encima del SMI 2026"</formula>
    </cfRule>
    <cfRule type="cellIs" priority="15" operator="equal" dxfId="1" stopIfTrue="1">
      <formula>"Por debajo del SMI 2026: cuenta el SMI"</formula>
    </cfRule>
  </conditionalFormatting>
  <conditionalFormatting sqref="I12">
    <cfRule type="cellIs" priority="16" operator="equal" dxfId="0" stopIfTrue="1">
      <formula>"Dentro de su jornada"</formula>
    </cfRule>
    <cfRule type="cellIs" priority="17" operator="equal" dxfId="2" stopIfTrue="1">
      <formula>"Titular: sus horas de más, en «Horas del Titular»"</formula>
    </cfRule>
    <cfRule type="cellIs" priority="18" operator="equal" dxfId="1" stopIfTrue="1">
      <formula>"Pasa de su jornada"</formula>
    </cfRule>
  </conditionalFormatting>
  <conditionalFormatting sqref="P12">
    <cfRule type="cellIs" priority="19" operator="equal" dxfId="0" stopIfTrue="1">
      <formula>"Por encima del SMI 2026"</formula>
    </cfRule>
    <cfRule type="cellIs" priority="20" operator="equal" dxfId="1" stopIfTrue="1">
      <formula>"Por debajo del SMI 2026: cuenta el SMI"</formula>
    </cfRule>
  </conditionalFormatting>
  <conditionalFormatting sqref="I13">
    <cfRule type="cellIs" priority="21" operator="equal" dxfId="0" stopIfTrue="1">
      <formula>"Dentro de su jornada"</formula>
    </cfRule>
    <cfRule type="cellIs" priority="22" operator="equal" dxfId="2" stopIfTrue="1">
      <formula>"Titular: sus horas de más, en «Horas del Titular»"</formula>
    </cfRule>
    <cfRule type="cellIs" priority="23" operator="equal" dxfId="1" stopIfTrue="1">
      <formula>"Pasa de su jornada"</formula>
    </cfRule>
  </conditionalFormatting>
  <conditionalFormatting sqref="P13">
    <cfRule type="cellIs" priority="24" operator="equal" dxfId="0" stopIfTrue="1">
      <formula>"Por encima del SMI 2026"</formula>
    </cfRule>
    <cfRule type="cellIs" priority="25" operator="equal" dxfId="1" stopIfTrue="1">
      <formula>"Por debajo del SMI 2026: cuenta el SMI"</formula>
    </cfRule>
  </conditionalFormatting>
  <conditionalFormatting sqref="F31">
    <cfRule type="cellIs" priority="26" operator="equal" dxfId="0" stopIfTrue="1">
      <formula>"Por encima del SMI 2026"</formula>
    </cfRule>
    <cfRule type="cellIs" priority="27" operator="equal" dxfId="1" stopIfTrue="1">
      <formula>"Por debajo del SMI 2026: cuenta el SMI"</formula>
    </cfRule>
  </conditionalFormatting>
  <conditionalFormatting sqref="F32">
    <cfRule type="cellIs" priority="28" operator="equal" dxfId="0" stopIfTrue="1">
      <formula>"Por encima del SMI 2026"</formula>
    </cfRule>
    <cfRule type="cellIs" priority="29" operator="equal" dxfId="1" stopIfTrue="1">
      <formula>"Por debajo del SMI 2026: cuenta el SMI"</formula>
    </cfRule>
  </conditionalFormatting>
  <dataValidations count="7">
    <dataValidation sqref="C9" showDropDown="0" showInputMessage="0" showErrorMessage="1" allowBlank="1" errorTitle="Valor fuera de rango" error="Jornada en tanto por uno: 1 = completa, 0,5 = media." type="decimal" operator="between">
      <formula1>0</formula1>
      <formula2>1</formula2>
    </dataValidation>
    <dataValidation sqref="C10" showDropDown="0" showInputMessage="0" showErrorMessage="1" allowBlank="1" errorTitle="Valor fuera de rango" error="Jornada en tanto por uno: 1 = completa, 0,5 = media." type="decimal" operator="between">
      <formula1>0</formula1>
      <formula2>1</formula2>
    </dataValidation>
    <dataValidation sqref="C11" showDropDown="0" showInputMessage="0" showErrorMessage="1" allowBlank="1" errorTitle="Valor fuera de rango" error="Jornada en tanto por uno: 1 = completa, 0,5 = media." type="decimal" operator="between">
      <formula1>0</formula1>
      <formula2>1</formula2>
    </dataValidation>
    <dataValidation sqref="C12" showDropDown="0" showInputMessage="0" showErrorMessage="1" allowBlank="1" errorTitle="Valor fuera de rango" error="Jornada en tanto por uno: 1 = completa, 0,5 = media." type="decimal" operator="between">
      <formula1>0</formula1>
      <formula2>1</formula2>
    </dataValidation>
    <dataValidation sqref="C13" showDropDown="0" showInputMessage="0" showErrorMessage="1" allowBlank="1" errorTitle="Valor fuera de rango" error="Jornada en tanto por uno: 1 = completa, 0,5 = media." type="decimal" operator="between">
      <formula1>0</formula1>
      <formula2>1</formula2>
    </dataValidation>
    <dataValidation sqref="E9 E10 E11 E12 E13 F9 F10 F11 F12 F13" showDropDown="0" showInputMessage="0" showErrorMessage="1" allowBlank="0" errorTitle="Sí o no" error="Elige sí o no." type="list">
      <formula1>=$A$37:$A$38</formula1>
    </dataValidation>
    <dataValidation sqref="D9 D10 D11 D12 D13" showDropDown="0" showInputMessage="0" showErrorMessage="1" allowBlank="0" errorTitle="Nivel" error="Elige un nivel de la tabla de «Parámetros»." type="list">
      <formula1>='Parámetros'!$A$28:$A$30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E26"/>
  <sheetViews>
    <sheetView workbookViewId="0">
      <selection activeCell="A1" sqref="A1"/>
    </sheetView>
  </sheetViews>
  <sheetFormatPr baseColWidth="8" defaultRowHeight="15"/>
  <cols>
    <col width="6" customWidth="1" min="1" max="1"/>
    <col width="34" customWidth="1" min="2" max="2"/>
    <col width="60" customWidth="1" min="3" max="3"/>
    <col width="46" customWidth="1" min="4" max="4"/>
    <col width="30" customWidth="1" min="5" max="5"/>
  </cols>
  <sheetData>
    <row r="1">
      <c r="A1" s="1" t="inlineStr">
        <is>
          <t>Identifica Tu Convenio</t>
        </is>
      </c>
    </row>
    <row r="2">
      <c r="A2" s="2" t="inlineStr">
        <is>
          <t>AI Chef Pro · aichef.pro — Cómo Montar una Churrería-Chocolatería</t>
        </is>
      </c>
    </row>
    <row r="3">
      <c r="A3" s="3" t="inlineStr">
        <is>
          <t>El método para encontrar TU convenio, con el de Madrid como ejemplo. Nada de esta hoja sustituye a tu asesor laboral.</t>
        </is>
      </c>
    </row>
    <row r="4"/>
    <row r="5" ht="24" customHeight="1">
      <c r="A5" s="9" t="inlineStr">
        <is>
          <t>Paso</t>
        </is>
      </c>
      <c r="B5" s="9" t="inlineStr">
        <is>
          <t>Qué haces</t>
        </is>
      </c>
      <c r="C5" s="9" t="inlineStr">
        <is>
          <t>Cómo</t>
        </is>
      </c>
      <c r="D5" s="9" t="inlineStr">
        <is>
          <t>Tu respuesta</t>
        </is>
      </c>
    </row>
    <row r="6" ht="48" customHeight="1">
      <c r="A6" s="16" t="inlineStr">
        <is>
          <t>1</t>
        </is>
      </c>
      <c r="B6" s="35" t="inlineStr">
        <is>
          <t>Tu provincia</t>
        </is>
      </c>
      <c r="C6" s="7" t="inlineStr">
        <is>
          <t>Escríbela en «Parámetros». El convenio de hostelería es provincial o autonómico.</t>
        </is>
      </c>
      <c r="D6" s="37" t="str">
        <f>'Parámetros'!$B$12</f>
        <v>Madrid</v>
      </c>
      <c r="E6" s="11" t="inlineStr">
        <is>
          <t>Se escribe en «Parámetros»!B12.</t>
        </is>
      </c>
    </row>
    <row r="7" ht="48" customHeight="1">
      <c r="A7" s="16" t="inlineStr">
        <is>
          <t>2</t>
        </is>
      </c>
      <c r="B7" s="35" t="inlineStr">
        <is>
          <t>Busca el convenio de hostelería de tu provincia</t>
        </is>
      </c>
      <c r="C7" s="7" t="inlineStr">
        <is>
          <t>En REGCON, por denominación y ámbito; anota su código.</t>
        </is>
      </c>
      <c r="D7" s="37" t="str">
        <f>'Parámetros'!$B$13</f>
        <v>28002085011981</v>
      </c>
      <c r="E7" s="11" t="inlineStr">
        <is>
          <t>Se escribe en «Parámetros»!B13.</t>
        </is>
      </c>
    </row>
    <row r="8" ht="48" customHeight="1">
      <c r="A8" s="16" t="inlineStr">
        <is>
          <t>3</t>
        </is>
      </c>
      <c r="B8" s="35" t="inlineStr">
        <is>
          <t>Comprueba en qué clase o grupo entra tu local</t>
        </is>
      </c>
      <c r="C8" s="7" t="inlineStr">
        <is>
          <t>Lee su ámbito y su clasificación de establecimientos. En Madrid, la clase C agrupa cafeterías, chocolaterías y bares, y el convenio nombra freidurías, quioscos y chocolaterías.</t>
        </is>
      </c>
      <c r="D8" s="37" t="str">
        <f>'Parámetros'!$B$15</f>
        <v>C</v>
      </c>
      <c r="E8" s="11" t="inlineStr">
        <is>
          <t>Se escribe en «Parámetros»!B15.</t>
        </is>
      </c>
    </row>
    <row r="9" ht="48" customHeight="1">
      <c r="A9" s="16" t="inlineStr">
        <is>
          <t>4</t>
        </is>
      </c>
      <c r="B9" s="35" t="inlineStr">
        <is>
          <t>Comprueba si está vigente</t>
        </is>
      </c>
      <c r="C9" s="7" t="inlineStr">
        <is>
          <t>Si venció y está en negociación, se aplican sus tablas mientras no se publique el nuevo. Mira el boletín antes de cada versión de tus números.</t>
        </is>
      </c>
      <c r="D9" s="37" t="str">
        <f>'Parámetros'!$B$16</f>
        <v>2025 · convenio vencido el 31-12-2025, en negociación; se aplican sus tablas mientras no se publique el nuevo</v>
      </c>
      <c r="E9" s="11" t="inlineStr">
        <is>
          <t>Se escribe en «Parámetros»!B16.</t>
        </is>
      </c>
    </row>
    <row r="10" ht="48" customHeight="1">
      <c r="A10" s="16" t="inlineStr">
        <is>
          <t>5</t>
        </is>
      </c>
      <c r="B10" s="35" t="inlineStr">
        <is>
          <t>Encaja cada puesto en un nivel por sus funciones</t>
        </is>
      </c>
      <c r="C10" s="7" t="inlineStr">
        <is>
          <t>Es una asimilación de funciones: compruébala con tu asesor. El acuerdo laboral estatal de hostelería nombra freidurías, quioscos y chocolaterías.</t>
        </is>
      </c>
      <c r="D10" s="42" t="inlineStr">
        <is>
          <t>Línea de fritura al nivel III, sala al IV y refuerzo al V (asimilación propuesta)</t>
        </is>
      </c>
    </row>
    <row r="11" ht="48" customHeight="1">
      <c r="A11" s="16" t="inlineStr">
        <is>
          <t>6</t>
        </is>
      </c>
      <c r="B11" s="35" t="inlineStr">
        <is>
          <t>Comprueba hasta cuándo rige el acuerdo estatal</t>
        </is>
      </c>
      <c r="C11" s="7" t="inlineStr">
        <is>
          <t>El VI Acuerdo Laboral estatal de hostelería sigue vigente hasta el 31-12-2030.</t>
        </is>
      </c>
      <c r="D11" s="42" t="inlineStr">
        <is>
          <t>Vigente hasta el 31-12-2030</t>
        </is>
      </c>
    </row>
    <row r="12" ht="48" customHeight="1">
      <c r="A12" s="16" t="inlineStr">
        <is>
          <t>7</t>
        </is>
      </c>
      <c r="B12" s="35" t="inlineStr">
        <is>
          <t>Si tienes obrador, mira si otro convenio lo alcanza</t>
        </is>
      </c>
      <c r="C12" s="7" t="inlineStr">
        <is>
          <t>Ejemplo del método: el convenio de Toledo nombra los obradores de masas fritas. Alcanza a un obrador; si lo tuyo es un despacho con sala, te lo confirma un laboralista.</t>
        </is>
      </c>
      <c r="D12" s="42" t="inlineStr">
        <is>
          <t>No aplica: despacho con sala</t>
        </is>
      </c>
    </row>
    <row r="13" ht="48" customHeight="1">
      <c r="A13" s="16" t="inlineStr">
        <is>
          <t>8</t>
        </is>
      </c>
      <c r="B13" s="35" t="inlineStr">
        <is>
          <t>Anota el plus de nocturnidad y sus franjas</t>
        </is>
      </c>
      <c r="C13" s="7" t="inlineStr">
        <is>
          <t>Cópialo a «Parámetros», figura 2.</t>
        </is>
      </c>
      <c r="D13" s="42" t="inlineStr">
        <is>
          <t>De 22:00 a 0:00 +1 %; de 0:00 a 8:00 +25 %</t>
        </is>
      </c>
    </row>
    <row r="14" ht="48" customHeight="1">
      <c r="A14" s="16" t="inlineStr">
        <is>
          <t>9</t>
        </is>
      </c>
      <c r="B14" s="35" t="inlineStr">
        <is>
          <t>Organiza el registro de jornada</t>
        </is>
      </c>
      <c r="C14" s="7" t="inlineStr">
        <is>
          <t>Diario, con hora de inicio y de fin, guardado cuatro años.</t>
        </is>
      </c>
      <c r="D14" s="42" t="inlineStr">
        <is>
          <t>Registro diario en papel firmado</t>
        </is>
      </c>
    </row>
    <row r="15"/>
    <row r="16">
      <c r="A16" s="4" t="inlineStr">
        <is>
          <t>El Ejemplo de Madrid, de un Vistazo</t>
        </is>
      </c>
    </row>
    <row r="17" ht="30" customHeight="1">
      <c r="B17" s="16" t="inlineStr">
        <is>
          <t>Convenio</t>
        </is>
      </c>
      <c r="C17" s="37" t="str">
        <f>'Parámetros'!$B$14</f>
        <v>Hostelería y Actividades Turísticas de la Comunidad de Madrid</v>
      </c>
    </row>
    <row r="18" ht="30" customHeight="1">
      <c r="B18" s="16" t="inlineStr">
        <is>
          <t>Código REGCON</t>
        </is>
      </c>
      <c r="C18" s="37" t="str">
        <f>'Parámetros'!$B$13</f>
        <v>28002085011981</v>
      </c>
    </row>
    <row r="19" ht="30" customHeight="1">
      <c r="B19" s="16" t="inlineStr">
        <is>
          <t>Clase</t>
        </is>
      </c>
      <c r="C19" s="37" t="str">
        <f>'Parámetros'!$B$15</f>
        <v>C</v>
      </c>
    </row>
    <row r="20" ht="30" customHeight="1">
      <c r="B20" s="16" t="inlineStr">
        <is>
          <t>Tablas</t>
        </is>
      </c>
      <c r="C20" s="37" t="str">
        <f>'Parámetros'!$B$16</f>
        <v>2025 · convenio vencido el 31-12-2025, en negociación; se aplican sus tablas mientras no se publique el nuevo</v>
      </c>
    </row>
    <row r="21" ht="30" customHeight="1">
      <c r="B21" s="16" t="inlineStr">
        <is>
          <t>Pagas (supuesto)</t>
        </is>
      </c>
      <c r="C21" s="37">
        <f>'Parámetros'!$B$17</f>
        <v>14.0</v>
      </c>
    </row>
    <row r="22" ht="30" customHeight="1">
      <c r="B22" s="16" t="inlineStr">
        <is>
          <t>Método con otro convenio (ejemplo)</t>
        </is>
      </c>
      <c r="C22" s="37" t="inlineStr">
        <is>
          <t>Toledo, 45000145011981: obradores de Confitería, Pastelería, fábricas de Mazapán y/o Turrones Masas Fritas y Fábricas de Chocolates (01-01-2025 a 31-12-2026)</t>
        </is>
      </c>
    </row>
    <row r="23"/>
    <row r="24">
      <c r="A24" s="38" t="inlineStr">
        <is>
          <t>Busca el tuyo en REGCON por denominación y ámbito; este es sólo un ejemplo del método.</t>
        </is>
      </c>
    </row>
    <row r="25"/>
    <row r="26">
      <c r="A2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24:D24"/>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C20"/>
  <sheetViews>
    <sheetView workbookViewId="0">
      <selection activeCell="A1" sqref="A1"/>
    </sheetView>
  </sheetViews>
  <sheetFormatPr baseColWidth="8" defaultRowHeight="15"/>
  <cols>
    <col width="60" customWidth="1" min="1" max="1"/>
    <col width="18" customWidth="1" min="2" max="2"/>
    <col width="60" customWidth="1" min="3" max="3"/>
  </cols>
  <sheetData>
    <row r="1">
      <c r="A1" s="1" t="inlineStr">
        <is>
          <t>Horas del Titular</t>
        </is>
      </c>
    </row>
    <row r="2">
      <c r="A2" s="2" t="inlineStr">
        <is>
          <t>AI Chef Pro · aichef.pro — Cómo Montar una Churrería-Chocolatería</t>
        </is>
      </c>
    </row>
    <row r="3">
      <c r="A3" s="3" t="inlineStr">
        <is>
          <t>Las horas que haces tú. No se pagan aparte (tu retribución ya va en el coste de plantilla), pero existen, y son la decisión 10: cuánta madrugada asumes tú.</t>
        </is>
      </c>
    </row>
    <row r="4"/>
    <row r="5" ht="24" customHeight="1">
      <c r="A5" s="9" t="inlineStr">
        <is>
          <t>Concepto</t>
        </is>
      </c>
      <c r="B5" s="9" t="inlineStr">
        <is>
          <t>Valor</t>
        </is>
      </c>
      <c r="C5" s="9" t="inlineStr">
        <is>
          <t>Nota</t>
        </is>
      </c>
    </row>
    <row r="6" ht="28" customHeight="1">
      <c r="A6" s="6" t="inlineStr">
        <is>
          <t>Horas a la semana en el cuadrante</t>
        </is>
      </c>
      <c r="B6" s="40">
        <f>SUMIF('Coste de Plantilla'!$E$9:$E$13,"sí",'Coste de Plantilla'!$G$9:$G$13)</f>
        <v>52.5</v>
      </c>
    </row>
    <row r="7" ht="28" customHeight="1">
      <c r="A7" s="6" t="inlineStr">
        <is>
          <t>Horas de una jornada completa</t>
        </is>
      </c>
      <c r="B7" s="40">
        <f>'Parámetros'!$B$24</f>
        <v>40.0</v>
      </c>
    </row>
    <row r="8" ht="28" customHeight="1">
      <c r="A8" s="6" t="inlineStr">
        <is>
          <t>Horas de más a la semana</t>
        </is>
      </c>
      <c r="B8" s="40">
        <f>MAX(0,B6-B7)</f>
        <v>12.5</v>
      </c>
    </row>
    <row r="9" ht="28" customHeight="1">
      <c r="A9" s="6" t="inlineStr">
        <is>
          <t>Días que trabajas a la semana</t>
        </is>
      </c>
      <c r="B9" s="30">
        <f>SUMIF('Coste de Plantilla'!$E$9:$E$13,"sí",'Nocturnidad ET y Convenio'!$D$8:$D$12)</f>
        <v>7.0</v>
      </c>
    </row>
    <row r="10" ht="28" customHeight="1">
      <c r="A10" s="6" t="inlineStr">
        <is>
          <t>Horas de madrugada a la semana (franja 2 del plus: de 0:00 a 8:00)</t>
        </is>
      </c>
      <c r="B10" s="40">
        <f>SUMIF('Coste de Plantilla'!$E$9:$E$13,"sí",'Nocturnidad ET y Convenio'!$I$8:$I$12)</f>
        <v>5.0</v>
      </c>
      <c r="C10" s="11" t="inlineStr">
        <is>
          <t>En El Molinete, las aperturas de las 6:00 del sábado y el domingo y la primera hora del lunes.</t>
        </is>
      </c>
    </row>
    <row r="11" ht="28" customHeight="1">
      <c r="A11" s="6" t="inlineStr">
        <is>
          <t>Semanas que el local abre al año</t>
        </is>
      </c>
      <c r="B11" s="39">
        <f>'Parámetros'!$B$52</f>
        <v>51.42857142857143</v>
      </c>
    </row>
    <row r="12" ht="28" customHeight="1">
      <c r="A12" s="6" t="inlineStr">
        <is>
          <t>Horas al año</t>
        </is>
      </c>
      <c r="B12" s="40">
        <f>B6*B11</f>
        <v>2700.0</v>
      </c>
    </row>
    <row r="13" ht="28" customHeight="1">
      <c r="A13" s="6" t="inlineStr">
        <is>
          <t>Horas de más al año</t>
        </is>
      </c>
      <c r="B13" s="26">
        <f>B8*B11</f>
        <v>642.8571428571429</v>
      </c>
    </row>
    <row r="14" ht="28" customHeight="1">
      <c r="A14" s="6" t="inlineStr">
        <is>
          <t>Lo que valen tus horas de más al coste hora de la plantilla</t>
        </is>
      </c>
      <c r="B14" s="36">
        <f>B13*'Coste de Plantilla'!$B$19</f>
        <v>8513.898997122793</v>
      </c>
      <c r="C14" s="11" t="inlineStr">
        <is>
          <t>Lo que costaría pagárselas a otra persona. No está en el coste de plantilla.</t>
        </is>
      </c>
    </row>
    <row r="15" ht="40" customHeight="1">
      <c r="A15" s="6" t="inlineStr">
        <is>
          <t>Veredicto</t>
        </is>
      </c>
      <c r="B15" s="24" t="str">
        <f>IF(AND(ISNUMBER(B9),ISNUMBER(B8)),IF(B9&gt;='Parámetros'!$B$50,"Trabajas los siete días: un plan que sólo cuadra con el titular sin descanso no aguanta un año; busca un relevo para un día",IF(B8&gt;0,"Haces más de una jornada completa: esas horas no se pagan, pero existen","Tus horas caben en una jornada completa con descanso semanal")),"")</f>
        <v>Trabajas los siete días: un plan que sólo cuadra con el titular sin descanso no aguanta un año; busca un relevo para un día</v>
      </c>
    </row>
    <row r="16" ht="30" customHeight="1">
      <c r="A16" s="16" t="inlineStr">
        <is>
          <t>Decisión 10: Cuánta madrugada asumes tú</t>
        </is>
      </c>
      <c r="B16" s="6" t="inlineStr">
        <is>
          <t>El Molinete: la del fin de semana desde las 6:00.</t>
        </is>
      </c>
    </row>
    <row r="17"/>
    <row r="18" ht="42" customHeight="1">
      <c r="A18" s="38" t="inlineStr">
        <is>
          <t>El titular de El Molinete es autónomo y está en nómina en el plan como un puesto más (al nivel III de la tabla de ejemplo): un plan que sólo cuadra si el titular trabaja gratis no sirve. Su cuota de autónomos va en los gastos fijos del libro 6.</t>
        </is>
      </c>
    </row>
    <row r="19"/>
    <row r="20">
      <c r="A20"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B15:C15"/>
    <mergeCell ref="A18:C18"/>
    <mergeCell ref="B16:C16"/>
  </mergeCells>
  <conditionalFormatting sqref="B15">
    <cfRule type="cellIs" priority="1" operator="equal" dxfId="0" stopIfTrue="1">
      <formula>"Tus horas caben en una jornada completa con descanso semanal"</formula>
    </cfRule>
    <cfRule type="cellIs" priority="2" operator="equal" dxfId="2" stopIfTrue="1">
      <formula>"Haces más de una jornada completa: esas horas no se pagan, pero existen"</formula>
    </cfRule>
    <cfRule type="cellIs" priority="3" operator="equal" dxfId="1" stopIfTrue="1">
      <formula>"Trabajas los siete días: un plan que sólo cuadra con el titular sin descanso no aguanta un año; busca un relevo para un día"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Turnos, Plantilla y Madrugada</dc:title>
  <dc:subject xmlns:dc="http://purl.org/dc/elements/1.1/">Cómo Montar una Churrería-Chocolatería · Versión 1.0 · octubre 2026</dc:subject>
  <dcterms:created xmlns:dcterms="http://purl.org/dc/terms/" xmlns:xsi="http://www.w3.org/2001/XMLSchema-instance" xsi:type="dcterms:W3CDTF">2026-10-03T08:37:28Z</dcterms:created>
  <dcterms:modified xmlns:dcterms="http://purl.org/dc/terms/" xmlns:xsi="http://www.w3.org/2001/XMLSchema-instance" xsi:type="dcterms:W3CDTF">2026-10-03T08:37:29Z</dcterms:modified>
  <cp:lastModifiedBy>AI Chef Pro</cp:lastModifiedBy>
</cp:coreProperties>
</file>