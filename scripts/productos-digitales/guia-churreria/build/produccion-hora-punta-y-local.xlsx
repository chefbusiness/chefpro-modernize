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Parámetros" sheetId="2" state="visible" r:id="rId2"/>
    <sheet xmlns:r="http://schemas.openxmlformats.org/officeDocument/2006/relationships" name="Zonas y m²" sheetId="3" state="visible" r:id="rId3"/>
    <sheet xmlns:r="http://schemas.openxmlformats.org/officeDocument/2006/relationships" name="Equipos y Capacidad" sheetId="4" state="visible" r:id="rId4"/>
    <sheet xmlns:r="http://schemas.openxmlformats.org/officeDocument/2006/relationships" name="Freidoras, Potencia y Riesgo" sheetId="5" state="visible" r:id="rId5"/>
    <sheet xmlns:r="http://schemas.openxmlformats.org/officeDocument/2006/relationships" name="Cuello de Botella" sheetId="6" state="visible" r:id="rId6"/>
    <sheet xmlns:r="http://schemas.openxmlformats.org/officeDocument/2006/relationships" name="Día Tipo y Día Punta" sheetId="7" state="visible" r:id="rId7"/>
    <sheet xmlns:r="http://schemas.openxmlformats.org/officeDocument/2006/relationships" name="Ficha de Visita a Local" sheetId="8" state="visible" r:id="rId8"/>
  </sheets>
  <definedNames>
    <definedName name="_xlnm.Print_Titles" localSheetId="1">'Parámetros'!$4:$4</definedName>
    <definedName name="_xlnm.Print_Titles" localSheetId="2">'Zonas y m²'!$5:$5</definedName>
    <definedName name="_xlnm.Print_Titles" localSheetId="3">'Equipos y Capacidad'!$8:$8</definedName>
    <definedName name="_xlnm.Print_Titles" localSheetId="4">'Freidoras, Potencia y Riesgo'!$5:$5</definedName>
    <definedName name="_xlnm.Print_Titles" localSheetId="6">'Día Tipo y Día Punta'!$5:$5</definedName>
    <definedName name="_xlnm.Print_Titles" localSheetId="7">'Ficha de Visita a Local'!$5:$5</definedName>
  </definedNames>
  <calcPr calcId="124519" fullCalcOnLoad="1"/>
</workbook>
</file>

<file path=xl/styles.xml><?xml version="1.0" encoding="utf-8"?>
<styleSheet xmlns="http://schemas.openxmlformats.org/spreadsheetml/2006/main">
  <numFmts count="5">
    <numFmt numFmtId="164" formatCode="#,##0.0"/>
    <numFmt numFmtId="165" formatCode="0.00 &quot;m&quot;"/>
    <numFmt numFmtId="166" formatCode="0.0%"/>
    <numFmt numFmtId="167" formatCode="#,##0.0000"/>
    <numFmt numFmtId="168" formatCode="#,##0.0 &quot;m²&quot;"/>
  </numFmts>
  <fonts count="14">
    <font>
      <name val="Calibri"/>
      <family val="2"/>
      <color theme="1"/>
      <sz val="11"/>
      <scheme val="minor"/>
    </font>
    <font>
      <b val="1"/>
      <color theme="1"/>
      <sz val="11"/>
    </font>
    <font>
      <b val="1"/>
      <color rgb="00FFD700"/>
      <sz val="16"/>
    </font>
    <font>
      <color rgb="00888888"/>
      <sz val="10"/>
    </font>
    <font>
      <i val="1"/>
      <sz val="9"/>
    </font>
    <font>
      <b val="1"/>
      <color rgb="00FFD700"/>
      <sz val="12"/>
    </font>
    <font>
      <sz val="9"/>
    </font>
    <font>
      <i val="1"/>
      <sz val="8"/>
    </font>
    <font>
      <b val="1"/>
      <color rgb="00FFFFFF"/>
      <sz val="9"/>
    </font>
    <font>
      <color rgb="00888888"/>
      <sz val="8"/>
    </font>
    <font>
      <b val="1"/>
      <sz val="9"/>
    </font>
    <font>
      <b val="1"/>
    </font>
    <font>
      <b val="1"/>
      <sz val="12"/>
    </font>
    <font>
      <color theme="1"/>
      <sz val="1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E1"/>
      </patternFill>
    </fill>
  </fills>
  <borders count="1">
    <border>
      <left/>
      <right/>
      <top/>
      <bottom/>
      <diagonal/>
    </border>
  </borders>
  <cellStyleXfs count="1">
    <xf numFmtId="0" fontId="0" fillId="0" borderId="0"/>
  </cellStyleXfs>
  <cellXfs count="39">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2" borderId="0" applyProtection="1" pivotButton="0" quotePrefix="0" xfId="0">
      <protection locked="0" hidden="0"/>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pivotButton="0" quotePrefix="0" xfId="0"/>
    <xf numFmtId="0" fontId="8" fillId="3" borderId="0" applyAlignment="1" pivotButton="0" quotePrefix="0" xfId="0">
      <alignment horizontal="center" vertical="center" wrapText="1"/>
    </xf>
    <xf numFmtId="164" fontId="0" fillId="2" borderId="0" applyProtection="1" pivotButton="0" quotePrefix="0" xfId="0">
      <protection locked="0" hidden="0"/>
    </xf>
    <xf numFmtId="0" fontId="9" fillId="0" borderId="0" applyAlignment="1" pivotButton="0" quotePrefix="0" xfId="0">
      <alignment horizontal="general" vertical="top" wrapText="1"/>
    </xf>
    <xf numFmtId="165" fontId="0" fillId="2" borderId="0" applyProtection="1" pivotButton="0" quotePrefix="0" xfId="0">
      <protection locked="0" hidden="0"/>
    </xf>
    <xf numFmtId="3" fontId="0" fillId="2" borderId="0" applyProtection="1" pivotButton="0" quotePrefix="0" xfId="0">
      <protection locked="0" hidden="0"/>
    </xf>
    <xf numFmtId="3" fontId="0" fillId="0" borderId="0" pivotButton="0" quotePrefix="0" xfId="0"/>
    <xf numFmtId="166" fontId="0" fillId="2" borderId="0" applyProtection="1" pivotButton="0" quotePrefix="0" xfId="0">
      <protection locked="0" hidden="0"/>
    </xf>
    <xf numFmtId="0" fontId="10" fillId="0" borderId="0" applyAlignment="1" pivotButton="0" quotePrefix="0" xfId="0">
      <alignment horizontal="general" vertical="top" wrapText="1"/>
    </xf>
    <xf numFmtId="167" fontId="0" fillId="2" borderId="0" applyProtection="1" pivotButton="0" quotePrefix="0" xfId="0">
      <protection locked="0" hidden="0"/>
    </xf>
    <xf numFmtId="0" fontId="9" fillId="0" borderId="0" pivotButton="0" quotePrefix="0" xfId="0"/>
    <xf numFmtId="166" fontId="0" fillId="0" borderId="0" pivotButton="0" quotePrefix="0" xfId="0"/>
    <xf numFmtId="0" fontId="11" fillId="0" borderId="0" applyAlignment="1" pivotButton="0" quotePrefix="0" xfId="0">
      <alignment horizontal="general" vertical="top" wrapText="1"/>
    </xf>
    <xf numFmtId="0" fontId="1" fillId="4" borderId="0" pivotButton="0" quotePrefix="0" xfId="0"/>
    <xf numFmtId="4" fontId="0" fillId="2" borderId="0" applyProtection="1" pivotButton="0" quotePrefix="0" xfId="0">
      <protection locked="0" hidden="0"/>
    </xf>
    <xf numFmtId="164" fontId="1" fillId="4" borderId="0" pivotButton="0" quotePrefix="0" xfId="0"/>
    <xf numFmtId="0" fontId="1" fillId="0" borderId="0" pivotButton="0" quotePrefix="0" xfId="0"/>
    <xf numFmtId="166" fontId="1" fillId="0" borderId="0" pivotButton="0" quotePrefix="0" xfId="0"/>
    <xf numFmtId="164" fontId="0" fillId="0" borderId="0" pivotButton="0" quotePrefix="0" xfId="0"/>
    <xf numFmtId="0" fontId="4" fillId="0" borderId="0" applyAlignment="1" pivotButton="0" quotePrefix="0" xfId="0">
      <alignment horizontal="general" vertical="top" wrapText="1"/>
    </xf>
    <xf numFmtId="3" fontId="1" fillId="4" borderId="0" pivotButton="0" quotePrefix="0" xfId="0"/>
    <xf numFmtId="0" fontId="12" fillId="0" borderId="0" pivotButton="0" quotePrefix="0" xfId="0"/>
    <xf numFmtId="165" fontId="0" fillId="0" borderId="0" pivotButton="0" quotePrefix="0" xfId="0"/>
    <xf numFmtId="165" fontId="1" fillId="4" borderId="0" pivotButton="0" quotePrefix="0" xfId="0"/>
    <xf numFmtId="164" fontId="13" fillId="0" borderId="0" pivotButton="0" quotePrefix="0" xfId="0"/>
    <xf numFmtId="0" fontId="13" fillId="0" borderId="0" pivotButton="0" quotePrefix="0" xfId="0"/>
    <xf numFmtId="167" fontId="13" fillId="0" borderId="0" pivotButton="0" quotePrefix="0" xfId="0"/>
    <xf numFmtId="164" fontId="1" fillId="0" borderId="0" pivotButton="0" quotePrefix="0" xfId="0"/>
    <xf numFmtId="4" fontId="13" fillId="0" borderId="0" pivotButton="0" quotePrefix="0" xfId="0"/>
    <xf numFmtId="3" fontId="13" fillId="0" borderId="0" pivotButton="0" quotePrefix="0" xfId="0"/>
    <xf numFmtId="168" fontId="0" fillId="0" borderId="0" pivotButton="0" quotePrefix="0" xfId="0"/>
  </cellXfs>
  <cellStyles count="1">
    <cellStyle name="Normal" xfId="0" builtinId="0" hidden="0"/>
  </cellStyles>
  <dxfs count="4">
    <dxf>
      <font>
        <b val="1"/>
        <color rgb="009C0006"/>
      </font>
      <fill>
        <patternFill patternType="solid">
          <fgColor rgb="00FFC7CE"/>
          <bgColor rgb="00FFC7CE"/>
        </patternFill>
      </fill>
    </dxf>
    <dxf>
      <font>
        <b val="1"/>
        <color rgb="00006100"/>
      </font>
      <fill>
        <patternFill patternType="solid">
          <fgColor rgb="00C6EFCE"/>
          <bgColor rgb="00C6EFCE"/>
        </patternFill>
      </fill>
    </dxf>
    <dxf>
      <font>
        <b val="1"/>
        <color rgb="009C6500"/>
      </font>
      <fill>
        <patternFill patternType="solid">
          <fgColor rgb="00FFEB9C"/>
          <bgColor rgb="00FFEB9C"/>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AI Chef Pro</author>
  </authors>
  <commentList>
    <comment ref="B6" authorId="0" shapeId="0">
      <text>
        <t>Fuente: CHS-37a · fiabilidad media · https://www.milanuncios.com/traspasos/chocolateria.htm | CUS-02 · fiabilidad media · https://www.milanuncios.com/otros-traspasos/vallecas-c-de-villacanas-604310907.htm</t>
      </text>
    </comment>
    <comment ref="B9" authorId="0" shapeId="0">
      <text>
        <t>Verificado el 03-10-2026 · Código Técnico de la Edificación, DB-SI Seguridad en caso de incendio, SI 1 tabla 2.1 notas (2) y (3) y SI 4 tabla 1.1 (última modificación del DB: RD 164/2025) · https://www.codigotecnico.org/pdf/Documentos/SI/DBSI.pdf | Nota (2) de la tabla 2.1 (DB-SI, SI 1): «Para determinar la potencia instalada sólo se considerarán los aparatos directamente destinados a la preparación de alimentos y susceptibles de provocar ignición. Las freidoras y las sartenes basculantes se computarán a razón de 1 kW por cada litro de capacidad, independientemente de la potencia que tengan. En usos distintos de Hospitalario y Residencial Público no se consideran locales de riesgo especial las cocinas cuyos aparatos estén protegidos con un sistema automático de extinción, aunque incluso en dicho caso les es de aplicación lo que se establece en la nota (3).» Leída el 03-10-2026.</t>
      </text>
    </comment>
    <comment ref="B10" authorId="0" shapeId="0">
      <text>
        <t>Verificado el 03-10-2026 · Código Técnico de la Edificación, DB-SI Seguridad en caso de incendio, SI 1 tabla 2.1 notas (2) y (3) y SI 4 tabla 1.1 (última modificación del DB: RD 164/2025) · https://www.codigotecnico.org/pdf/Documentos/SI/DBSI.pdf</t>
      </text>
    </comment>
    <comment ref="B11" authorId="0" shapeId="0">
      <text>
        <t>Verificado el 03-10-2026 · Código Técnico de la Edificación, DB-SI Seguridad en caso de incendio, SI 1 tabla 2.1 notas (2) y (3) y SI 4 tabla 1.1 (última modificación del DB: RD 164/2025) · https://www.codigotecnico.org/pdf/Documentos/SI/DBSI.pdf</t>
      </text>
    </comment>
    <comment ref="B12" authorId="0" shapeId="0">
      <text>
        <t>Verificado el 03-10-2026 · Código Técnico de la Edificación, DB-SI Seguridad en caso de incendio, SI 1 tabla 2.1 notas (2) y (3) y SI 4 tabla 1.1 (última modificación del DB: RD 164/2025) · https://www.codigotecnico.org/pdf/Documentos/SI/DBSI.pdf</t>
      </text>
    </comment>
    <comment ref="B13" authorId="0" shapeId="0">
      <text>
        <t>Verificado el 03-10-2026 · Código Técnico de la Edificación, DB-SI Seguridad en caso de incendio, SI 1 tabla 2.1 notas (2) y (3) y SI 4 tabla 1.1 (última modificación del DB: RD 164/2025) · https://www.codigotecnico.org/pdf/Documentos/SI/DBSI.pdf</t>
      </text>
    </comment>
    <comment ref="B14" authorId="0" shapeId="0">
      <text>
        <t>Verificado el 03-10-2026 · Código Técnico de la Edificación, DB-SI Seguridad en caso de incendio, SI 1 tabla 2.1 notas (2) y (3) y SI 4 tabla 1.1 (última modificación del DB: RD 164/2025) · https://www.codigotecnico.org/pdf/Documentos/SI/DBSI.pdf</t>
      </text>
    </comment>
    <comment ref="B15" authorId="0" shapeId="0">
      <text>
        <t>Verificado el 03-10-2026 · Código Técnico de la Edificación, DB-SI Seguridad en caso de incendio, SI 1 tabla 2.1 notas (2) y (3) y SI 4 tabla 1.1 (última modificación del DB: RD 164/2025) · https://www.codigotecnico.org/pdf/Documentos/SI/DBSI.pdf</t>
      </text>
    </comment>
  </commentList>
</comments>
</file>

<file path=xl/comments/comment2.xml><?xml version="1.0" encoding="utf-8"?>
<comments xmlns="http://schemas.openxmlformats.org/spreadsheetml/2006/main">
  <authors>
    <author>AI Chef Pro</author>
  </authors>
  <commentList>
    <comment ref="F7" authorId="0" shapeId="0">
      <text>
        <t>Verificado el 03-10-2026 · Ordenanza 4/2021 de Calidad del Aire y Sostenibilidad de Madrid (OCAS), art. 23.1 (BOCM n.º 90, 16-04-2021) · https://www.bocm.es/boletin/CM_Orden_BOCM/2021/04/16/BOCM-20210416-46.PDF</t>
      </text>
    </comment>
  </commentList>
</comments>
</file>

<file path=xl/comments/comment3.xml><?xml version="1.0" encoding="utf-8"?>
<comments xmlns="http://schemas.openxmlformats.org/spreadsheetml/2006/main">
  <authors>
    <author>AI Chef Pro</author>
  </authors>
  <commentList>
    <comment ref="D11" authorId="0" shapeId="0">
      <text>
        <t>Fuente: CUS-35a · fiabilidad alta · https://www.churrofacil.com/tienda/es/amasadoras/26-amasadora-automatica.html</t>
      </text>
    </comment>
  </commentList>
</comments>
</file>

<file path=xl/comments/comment4.xml><?xml version="1.0" encoding="utf-8"?>
<comments xmlns="http://schemas.openxmlformats.org/spreadsheetml/2006/main">
  <authors>
    <author>AI Chef Pro</author>
  </authors>
  <commentList>
    <comment ref="D6" authorId="0" shapeId="0">
      <text>
        <t>Fuente: CUS-33a · fiabilidad media · https://hosteleria10.com/cocina/churreras/</t>
      </text>
    </comment>
    <comment ref="F6" authorId="0" shapeId="0">
      <text>
        <t>Verificado el 03-10-2026 · Código Técnico de la Edificación, DB-SI Seguridad en caso de incendio, SI 1 tabla 2.1 notas (2) y (3) y SI 4 tabla 1.1 (última modificación del DB: RD 164/2025) · https://www.codigotecnico.org/pdf/Documentos/SI/DBSI.pdf | Nota (2) de la tabla 2.1 (DB-SI, SI 1): «Para determinar la potencia instalada sólo se considerarán los aparatos directamente destinados a la preparación de alimentos y susceptibles de provocar ignición. Las freidoras y las sartenes basculantes se computarán a razón de 1 kW por cada litro de capacidad, independientemente de la potencia que tengan. En usos distintos de Hospitalario y Residencial Público no se consideran locales de riesgo especial las cocinas cuyos aparatos estén protegidos con un sistema automático de extinción, aunque incluso en dicho caso les es de aplicación lo que se establece en la nota (3).» Leída el 03-10-2026.</t>
      </text>
    </comment>
    <comment ref="D11" authorId="0" shapeId="0">
      <text>
        <t>Verificado el 03-10-2026 · Código Técnico de la Edificación, DB-SI Seguridad en caso de incendio, SI 1 tabla 2.1 notas (2) y (3) y SI 4 tabla 1.1 (última modificación del DB: RD 164/2025) · https://www.codigotecnico.org/pdf/Documentos/SI/DBSI.pdf | Nota (2) de la tabla 2.1 (DB-SI, SI 1): «Para determinar la potencia instalada sólo se considerarán los aparatos directamente destinados a la preparación de alimentos y susceptibles de provocar ignición. Las freidoras y las sartenes basculantes se computarán a razón de 1 kW por cada litro de capacidad, independientemente de la potencia que tengan. En usos distintos de Hospitalario y Residencial Público no se consideran locales de riesgo especial las cocinas cuyos aparatos estén protegidos con un sistema automático de extinción, aunque incluso en dicho caso les es de aplicación lo que se establece en la nota (3).» Leída el 03-10-2026.</t>
      </text>
    </comment>
    <comment ref="D20" authorId="0" shapeId="0">
      <text>
        <t>Verificado el 03-10-2026 · Código Técnico de la Edificación, DB-SI Seguridad en caso de incendio, SI 1 tabla 2.1 notas (2) y (3) y SI 4 tabla 1.1 (última modificación del DB: RD 164/2025) · https://www.codigotecnico.org/pdf/Documentos/SI/DBSI.pdf | Nota (2) de la tabla 2.1 (DB-SI, SI 1): «Para determinar la potencia instalada sólo se considerarán los aparatos directamente destinados a la preparación de alimentos y susceptibles de provocar ignición. Las freidoras y las sartenes basculantes se computarán a razón de 1 kW por cada litro de capacidad, independientemente de la potencia que tengan. En usos distintos de Hospitalario y Residencial Público no se consideran locales de riesgo especial las cocinas cuyos aparatos estén protegidos con un sistema automático de extinción, aunque incluso en dicho caso les es de aplicación lo que se establece en la nota (3).» Leída el 03-10-2026.</t>
      </text>
    </comment>
  </commentList>
</comments>
</file>

<file path=xl/comments/comment5.xml><?xml version="1.0" encoding="utf-8"?>
<comments xmlns="http://schemas.openxmlformats.org/spreadsheetml/2006/main">
  <authors>
    <author>AI Chef Pro</author>
  </authors>
  <commentList>
    <comment ref="B6" authorId="0" shapeId="0">
      <text>
        <t>Fuente: CUS-27 · fiabilidad media · https://www.elespanol.com/sociedad/20251021/dueno-negocio-churros-anos-historia-vendemos-raciones-dia-rentabilidad/1003743974262_0.html | supuesto declarado de El Molinete, apoyado en lo que declara La Artesana entre semana</t>
      </text>
    </comment>
    <comment ref="C6" authorId="0" shapeId="0">
      <text>
        <t>Fuente: CUS-27 · fiabilidad media · https://www.elespanol.com/sociedad/20251021/dueno-negocio-churros-anos-historia-vendemos-raciones-dia-rentabilidad/1003743974262_0.html | supuesto declarado de El Molinete, apoyado en lo que declara La Artesana el fin de semana</t>
      </text>
    </comment>
  </commentList>
</comments>
</file>

<file path=xl/comments/comment6.xml><?xml version="1.0" encoding="utf-8"?>
<comments xmlns="http://schemas.openxmlformats.org/spreadsheetml/2006/main">
  <authors>
    <author>AI Chef Pro</author>
  </authors>
  <commentList>
    <comment ref="J6"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 ref="D7" authorId="0" shapeId="0">
      <text>
        <t>Verificado el 03-10-2026 · OCAS Madrid, art. 24.1 y anexo I (BOCM n.º 90, 16-04-2021) · https://www.bocm.es/boletin/CM_Orden_BOCM/2021/04/16/BOCM-20210416-46.PDF</t>
      </text>
    </comment>
    <comment ref="J7" authorId="0" shapeId="0">
      <text>
        <t>Verificado el 03-10-2026 · Ordenanza 4/2021 de Calidad del Aire y Sostenibilidad de Madrid (OCAS), art. 23.1 (BOCM n.º 90, 16-04-2021) · https://www.bocm.es/boletin/CM_Orden_BOCM/2021/04/16/BOCM-20210416-46.PDF</t>
      </text>
    </comment>
    <comment ref="J8" authorId="0" shapeId="0">
      <text>
        <t>Verificado el 12-09-2026 · Real Decreto 919/2006 (BOE-A-2006-15345), ITC-ICG 07, apartados 3.3 y 4.1 · «Última modificación: 03-09-2025» · https://www.boe.es/buscar/act.php?id=BOE-A-2006-15345</t>
      </text>
    </comment>
    <comment ref="J9" authorId="0" shapeId="0">
      <text>
        <t>Verificado el 03-10-2026 · Código Técnico de la Edificación, DB-SI Seguridad en caso de incendio, SI 1 tabla 2.1 notas (2) y (3) y SI 4 tabla 1.1 (última modificación del DB: RD 164/2025) · https://www.codigotecnico.org/pdf/Documentos/SI/DBSI.pdf</t>
      </text>
    </comment>
    <comment ref="J13" authorId="0" shapeId="0">
      <text>
        <t>Verificado el 03-10-2026 · Ley 12/2012, de 26 de diciembre, de medidas urgentes de liberalización del comercio y de determinados servicios (BOE-A-2012-15595), texto consolidado · «Última actualización publicada el 29/09/2022», arts. 2-3 y Anexo · https://www.boe.es/buscar/act.php?id=BOE-A-2012-15595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A42"/>
  <sheetViews>
    <sheetView workbookViewId="0">
      <selection activeCell="A1" sqref="A1"/>
    </sheetView>
  </sheetViews>
  <sheetFormatPr baseColWidth="8" defaultRowHeight="15"/>
  <cols>
    <col width="100" customWidth="1" min="1" max="1"/>
  </cols>
  <sheetData>
    <row r="1">
      <c r="A1" s="1" t="inlineStr">
        <is>
          <t>Producción, Hora Punta y Local</t>
        </is>
      </c>
    </row>
    <row r="2">
      <c r="A2" s="2" t="inlineStr">
        <is>
          <t>AI Chef Pro · aichef.pro — Cómo Montar una Churrería-Chocolatería</t>
        </is>
      </c>
    </row>
    <row r="3">
      <c r="A3" s="3" t="inlineStr">
        <is>
          <t>Para qué sirve: decidir si ese local admite una freidora y cuánto produce tu línea, con la demanda base de un día de diario y de un día punta. Responde a dos preguntas: ¿una churrera o dos? y ¿ese local sirve?</t>
        </is>
      </c>
    </row>
    <row r="4"/>
    <row r="5">
      <c r="A5" s="4" t="inlineStr">
        <is>
          <t>Instrucciones de Uso</t>
        </is>
      </c>
    </row>
    <row r="6">
      <c r="A6" s="5" t="inlineStr">
        <is>
          <t>Celdas verdes = campos editables</t>
        </is>
      </c>
    </row>
    <row r="7">
      <c r="A7" s="6" t="inlineStr">
        <is>
          <t>Las celdas en crema son resultados que el libro calcula; las blancas con fórmula, también. No escribas encima.</t>
        </is>
      </c>
    </row>
    <row r="8"/>
    <row r="9" ht="46" customHeight="1">
      <c r="A9" s="6" t="inlineStr">
        <is>
          <t>1. Hoja «Parámetros». La superficie del local, los umbrales del Código Técnico para las cocinas (1 kW por litro de freidora, riesgo bajo, medio y alto, distancia de los filtros) y las dos celdas verdes donde copias del libro 3 los kilos de masa por ración media y los kilos fritos por kilo de masa, cada una con su fila de CUADRE.</t>
        </is>
      </c>
    </row>
    <row r="10" ht="46" customHeight="1">
      <c r="A10" s="6" t="inlineStr">
        <is>
          <t>2. Hoja «Zonas y m²». Reparte los metros del local en sus seis zonas. La terraza va aparte y con su propia autorización.</t>
        </is>
      </c>
    </row>
    <row r="11" ht="46" customHeight="1">
      <c r="A11" s="6" t="inlineStr">
        <is>
          <t>3. Hoja «Equipos y Capacidad». Los kilos de masa por hora que saca de verdad cada eslabón: la línea con su churrero/a, la freidora por tandas y la amasadora. Y cuántas personas hay en la línea en el pico del fin de semana.</t>
        </is>
      </c>
    </row>
    <row r="12" ht="46" customHeight="1">
      <c r="A12" s="6" t="inlineStr">
        <is>
          <t>4. Hoja «Freidoras, Potencia y Riesgo». Los litros y el tipo de cada freidora, los kW de los demás aparatos de cocción y si proteges los aparatos con extinción automática. Sale el riesgo de la cocina, si la extinción automática es obligatoria y a qué distancia van los filtros.</t>
        </is>
      </c>
    </row>
    <row r="13" ht="46" customHeight="1">
      <c r="A13" s="6" t="inlineStr">
        <is>
          <t>5. Hoja «Cuello de Botella». El eslabón que manda y las raciones por hora que aguanta el conjunto, y cuántas horas de línea te pide el día tipo y el día punta.</t>
        </is>
      </c>
    </row>
    <row r="14" ht="46" customHeight="1">
      <c r="A14" s="6" t="inlineStr">
        <is>
          <t>6. Hoja «Día Tipo y Día Punta». Las raciones de un día de diario y de un sábado, domingo o festivo. Es la ÚNICA fuente de la demanda base de todo el paquete: de aquí salen los kilos de masa, los kilos fritos, las tandas y los amasados.</t>
        </is>
      </c>
    </row>
    <row r="15" ht="46" customHeight="1">
      <c r="A15" s="6" t="inlineStr">
        <is>
          <t>7. Hoja «Ficha de Visita a Local». Imprímela y llévala a cada visita. Los cuatro eliminatorios van primero y en este orden: la extracción, el conducto a cubierta, el gas y la potencia con el riesgo de incendio.</t>
        </is>
      </c>
    </row>
    <row r="16"/>
    <row r="17">
      <c r="A17" s="4" t="inlineStr">
        <is>
          <t>Orden de Relleno y Lo que Este Libro Pasa a los Demás</t>
        </is>
      </c>
    </row>
    <row r="18" ht="58" customHeight="1">
      <c r="A18" s="6" t="inlineStr">
        <is>
          <t>Orden de relleno del paquete: 3 (carta-de-apertura-y-escandallo-churro.xlsx), luego 1 (produccion-hora-punta-y-local.xlsx), luego 4 (aceite-de-fritura-coste-y-cambio.xlsx), luego 5 (temporada-franjas-y-ferias.xlsx), luego 8 (turnos-plantilla-y-madrugada.xlsx), luego 2 (calculadora-capex-churreria.xlsx), luego 6 (plan-financiero-3-anos-churreria.xlsx). El libro 7 (checklist-legal-fritura-y-licencias.xlsx) no depende de ninguno: rellénalo cuando quieras. Este es el libro 1 y va el SEGUNDO: antes, el libro 3, del que copias los kilos de masa por ración media.</t>
        </is>
      </c>
    </row>
    <row r="19" ht="44" customHeight="1">
      <c r="A19" s="6" t="inlineStr">
        <is>
          <t>Ningún libro se vincula con otro por fórmula. Lo que este libro necesita del 3 se copia a mano en la celda verde de «Parámetros», y una fila de CUADRE avisa si se ha quedado vieja. Lo que este libro pasa a los demás está en el bloque «Lo que Copian Otros Libros» de cada hoja (rótulo en la columna K, valor en la L):</t>
        </is>
      </c>
    </row>
    <row r="20" ht="28" customHeight="1">
      <c r="A20" s="7" t="inlineStr">
        <is>
          <t>Zonas y m²!L5 - Superficie útil del local. Lo copia: libro 2 (X9 bis).</t>
        </is>
      </c>
    </row>
    <row r="21" ht="28" customHeight="1">
      <c r="A21" s="7" t="inlineStr">
        <is>
          <t>Equipos y Capacidad!L5 - Personas en la línea en el pico. Lo copia: libro 8 (X6).</t>
        </is>
      </c>
    </row>
    <row r="22" ht="28" customHeight="1">
      <c r="A22" s="7" t="inlineStr">
        <is>
          <t>Freidoras, Potencia y Riesgo!L5 - Litros totales de cuba. Lo copia: libro 4 (X3).</t>
        </is>
      </c>
    </row>
    <row r="23" ht="28" customHeight="1">
      <c r="A23" s="7" t="inlineStr">
        <is>
          <t>Freidoras, Potencia y Riesgo!L6 - ¿Necesitas extinción automática? (1 sí, 0 no). Lo copia: libro 2 (X9).</t>
        </is>
      </c>
    </row>
    <row r="24" ht="28" customHeight="1">
      <c r="A24" s="7" t="inlineStr">
        <is>
          <t>Cuello de Botella!L5 - Capacidad del conjunto. Lo copia: libro 5 (X4).</t>
        </is>
      </c>
    </row>
    <row r="25" ht="28" customHeight="1">
      <c r="A25" s="7" t="inlineStr">
        <is>
          <t>Día Tipo y Día Punta!L5 - kg fritos en un día tipo. Lo copia: libro 4 (X3).</t>
        </is>
      </c>
    </row>
    <row r="26" ht="28" customHeight="1">
      <c r="A26" s="7" t="inlineStr">
        <is>
          <t>Día Tipo y Día Punta!L6 - kg fritos en un día punta. Lo copia: libro 4 (X3).</t>
        </is>
      </c>
    </row>
    <row r="27" ht="28" customHeight="1">
      <c r="A27" s="7" t="inlineStr">
        <is>
          <t>Día Tipo y Día Punta!L7 - Raciones del día tipo. Lo copia: libro 4 (X3 bis), libro 5 (X4).</t>
        </is>
      </c>
    </row>
    <row r="28" ht="28" customHeight="1">
      <c r="A28" s="7" t="inlineStr">
        <is>
          <t>Día Tipo y Día Punta!L8 - Raciones del día punta. Lo copia: libro 4 (X3 bis), libro 5 (X4).</t>
        </is>
      </c>
    </row>
    <row r="29"/>
    <row r="30">
      <c r="A30" s="4" t="inlineStr">
        <is>
          <t>Lo que Conviene Saber Antes de Empezar</t>
        </is>
      </c>
    </row>
    <row r="31" ht="62" customHeight="1">
      <c r="A31" s="6" t="inlineStr">
        <is>
          <t>UNA RACIÓN, EN ESTE PAQUETE, ES LA UNIDAD DE VENTA MEDIA DE LA CARTA (la define el libro 3): una ración de churros, una taza, un café o una docena cuentan como una cada una. Por eso los kilos de masa por ración media se copian del libro 3 y no se calculan aquí.</t>
        </is>
      </c>
    </row>
    <row r="32" ht="62" customHeight="1">
      <c r="A32" s="6" t="inlineStr">
        <is>
          <t>LA CAPACIDAD SE MIDE EN KILOS DE MASA, NO EN CHURROS. La línea, la freidora y la amasadora se comparan en la misma unidad, y sólo al final se pasan a raciones por hora. Los valores de El Molinete son supuestos declarados: el que vale es el que midas tú.</t>
        </is>
      </c>
    </row>
    <row r="33" ht="62" customHeight="1">
      <c r="A33" s="6" t="inlineStr">
        <is>
          <t>EL RIESGO DE INCENDIO NO DEPENDE DE LA POTENCIA DE LA FREIDORA, SINO DE SUS LITROS. El Código Técnico computa las freidoras a 1 kW por litro de capacidad, se pongan como se pongan, y suma los demás aparatos de cocción. Por encima de 20 kW la cocina es local de riesgo especial; por encima de 50 kW la extinción automática es obligatoria.</t>
        </is>
      </c>
    </row>
    <row r="34" ht="62" customHeight="1">
      <c r="A34" s="6" t="inlineStr">
        <is>
          <t>ESTE LIBRO NO SUSTITUYE AL PROYECTO TÉCNICO DE LA EXTRACCIÓN. Te dice qué preguntar y qué umbral te toca; el caudal, la sección y el trazado del conducto los fija el técnico. La actividad puede ir por declaración responsable, pero las obras que necesitan proyecto -el conducto a cubierta, casi siempre- siguen necesitando su licencia de obra.</t>
        </is>
      </c>
    </row>
    <row r="35" ht="62" customHeight="1">
      <c r="A35" s="6" t="inlineStr">
        <is>
          <t>DÓNDE NO ESTÁ LO QUE AQUÍ NO ESTÁ. El reparto de la demanda por franjas del día, la capacidad contra el pico y la cola del domingo viven en el libro 5; el coste de las máquinas y de la obra, en el 2; la plantilla y los turnos, en el 8; el papeleo de la licencia, los humos y el gas, en el 7. Este libro no calcula clima ni carga térmica.</t>
        </is>
      </c>
    </row>
    <row r="36"/>
    <row r="37" ht="58" customHeight="1">
      <c r="A37" s="6" t="inlineStr">
        <is>
          <t>Cada cuánto se usa este libro: la «Ficha de Visita a Local», una vez por cada local que visites, y guarda las de los que descartes. «Freidoras, Potencia y Riesgo», antes de firmar y cada vez que cambies de freidora. «Equipos y Capacidad» y «Día Tipo y Día Punta», al abrir con tus propias medidas y a los tres meses con las raciones reales del TPV. Cada vez que cambie una cifra del bloque «Lo que Copian Otros Libros», cópiala de nuevo en los libros que la usan.</t>
        </is>
      </c>
    </row>
    <row r="38"/>
    <row r="39">
      <c r="A39" s="6" t="inlineStr">
        <is>
          <t>Para editar la estructura o una celda que no esté en verde: Revisar &gt; Desproteger hoja (no tiene contraseña).</t>
        </is>
      </c>
    </row>
    <row r="40"/>
    <row r="41">
      <c r="A41" s="6" t="inlineStr">
        <is>
          <t>Diseñado por John Guerrero — chef y consultor gastronómico desde 2010, en cocina desde los 17 años.</t>
        </is>
      </c>
    </row>
    <row r="42">
      <c r="A42" s="8" t="inlineStr">
        <is>
          <t>Versión 1.0 · octubre 2026 · aichef.pro/guia-churreria-chocolateria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9"/>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4" customWidth="1" min="3" max="3"/>
    <col width="22" customWidth="1" min="4" max="4"/>
    <col width="80" customWidth="1" min="5" max="5"/>
  </cols>
  <sheetData>
    <row r="1">
      <c r="A1" s="1" t="inlineStr">
        <is>
          <t>Parámetros</t>
        </is>
      </c>
    </row>
    <row r="2">
      <c r="A2" s="2" t="inlineStr">
        <is>
          <t>AI Chef Pro · aichef.pro — Cómo Montar una Churrería-Chocolatería</t>
        </is>
      </c>
    </row>
    <row r="3">
      <c r="A3" s="3" t="inlineStr">
        <is>
          <t>Lo que vale para todo el libro. Ninguna fórmula lleva un número dentro: los umbrales, las distancias y las conversiones viven aquí.</t>
        </is>
      </c>
    </row>
    <row r="4" ht="42" customHeight="1">
      <c r="A4" s="9" t="inlineStr">
        <is>
          <t>Parámetro</t>
        </is>
      </c>
      <c r="B4" s="9" t="inlineStr">
        <is>
          <t>Valor</t>
        </is>
      </c>
      <c r="C4" s="9" t="inlineStr">
        <is>
          <t>Unidad</t>
        </is>
      </c>
      <c r="D4" s="9" t="inlineStr">
        <is>
          <t>Procedencia</t>
        </is>
      </c>
      <c r="E4" s="9" t="inlineStr">
        <is>
          <t>Nota</t>
        </is>
      </c>
    </row>
    <row r="5">
      <c r="A5" s="4" t="inlineStr">
        <is>
          <t>El Local</t>
        </is>
      </c>
    </row>
    <row r="6" ht="44" customHeight="1">
      <c r="A6" s="6" t="inlineStr">
        <is>
          <t>Superficie útil del local</t>
        </is>
      </c>
      <c r="B6" s="10" t="n">
        <v>75</v>
      </c>
      <c r="C6" t="inlineStr">
        <is>
          <t>m²</t>
        </is>
      </c>
      <c r="D6" s="11" t="inlineStr">
        <is>
          <t>CHS-37a + CUS-02</t>
        </is>
      </c>
      <c r="E6" s="11" t="inlineStr">
        <is>
          <t>El caso de El Molinete: 75 m² en seis zonas, la cifra en la que convergen dos traspasos reales del mismo formato. Pon la útil de tu local, no la del anuncio.</t>
        </is>
      </c>
    </row>
    <row r="7" ht="44" customHeight="1">
      <c r="A7" s="6" t="inlineStr">
        <is>
          <t>Terraza (aparte de la superficie útil)</t>
        </is>
      </c>
      <c r="B7" s="10" t="n">
        <v>20</v>
      </c>
      <c r="C7" t="inlineStr">
        <is>
          <t>m²</t>
        </is>
      </c>
      <c r="D7" s="11" t="inlineStr">
        <is>
          <t>supuesto declarado</t>
        </is>
      </c>
      <c r="E7" s="11" t="inlineStr">
        <is>
          <t>Supuesto de El Molinete. Va aparte de los metros del local y con su propia autorización de ocupación de la vía pública.</t>
        </is>
      </c>
    </row>
    <row r="8">
      <c r="A8" s="4" t="inlineStr">
        <is>
          <t>Cocina y Riesgo de Incendio (Código Técnico, DB-SI)</t>
        </is>
      </c>
    </row>
    <row r="9" ht="44" customHeight="1">
      <c r="A9" s="6" t="inlineStr">
        <is>
          <t>kW que computa cada litro de freidora</t>
        </is>
      </c>
      <c r="B9" s="10" t="n">
        <v>1</v>
      </c>
      <c r="C9" t="inlineStr">
        <is>
          <t>kW por litro</t>
        </is>
      </c>
      <c r="D9" s="11" t="inlineStr">
        <is>
          <t>CUN-26</t>
        </is>
      </c>
      <c r="E9" s="11" t="inlineStr">
        <is>
          <t>Las freidoras se computan a 1 kW por litro de capacidad, tengan la potencia que tengan. Es la nota (2) de la tabla 2.1 del DB-SI.</t>
        </is>
      </c>
    </row>
    <row r="10" ht="44" customHeight="1">
      <c r="A10" s="6" t="inlineStr">
        <is>
          <t>Riesgo especial BAJO con más de</t>
        </is>
      </c>
      <c r="B10" s="10" t="n">
        <v>20</v>
      </c>
      <c r="C10" t="inlineStr">
        <is>
          <t>kW</t>
        </is>
      </c>
      <c r="D10" s="11" t="inlineStr">
        <is>
          <t>CUN-26</t>
        </is>
      </c>
      <c r="E10" s="11" t="inlineStr">
        <is>
          <t>Umbral de la tabla 2.1 del DB-SI para las cocinas según su potencia instalada. Hasta aquí la cocina no es local de riesgo especial.</t>
        </is>
      </c>
    </row>
    <row r="11" ht="44" customHeight="1">
      <c r="A11" s="6" t="inlineStr">
        <is>
          <t>Riesgo especial MEDIO con más de</t>
        </is>
      </c>
      <c r="B11" s="10" t="n">
        <v>30</v>
      </c>
      <c r="C11" t="inlineStr">
        <is>
          <t>kW</t>
        </is>
      </c>
      <c r="D11" s="11" t="inlineStr">
        <is>
          <t>CUN-26</t>
        </is>
      </c>
      <c r="E11" s="11" t="inlineStr">
        <is>
          <t>Umbral de la tabla 2.1 del DB-SI para las cocinas según su potencia instalada.</t>
        </is>
      </c>
    </row>
    <row r="12" ht="44" customHeight="1">
      <c r="A12" s="6" t="inlineStr">
        <is>
          <t>Riesgo especial ALTO (y extinción automática obligatoria) con más de</t>
        </is>
      </c>
      <c r="B12" s="10" t="n">
        <v>50</v>
      </c>
      <c r="C12" t="inlineStr">
        <is>
          <t>kW</t>
        </is>
      </c>
      <c r="D12" s="11" t="inlineStr">
        <is>
          <t>CUN-26</t>
        </is>
      </c>
      <c r="E12" s="11" t="inlineStr">
        <is>
          <t>Umbral de la tabla 2.1 del DB-SI para las cocinas según su potencia instalada. Por encima, el sistema automático de extinción es obligatorio (SI 4).</t>
        </is>
      </c>
    </row>
    <row r="13" ht="44" customHeight="1">
      <c r="A13" s="6" t="inlineStr">
        <is>
          <t>Distancia mínima del filtro al foco: aparato de gas</t>
        </is>
      </c>
      <c r="B13" s="12" t="n">
        <v>1.2</v>
      </c>
      <c r="C13" t="inlineStr">
        <is>
          <t>m</t>
        </is>
      </c>
      <c r="D13" s="11" t="inlineStr">
        <is>
          <t>CUN-26</t>
        </is>
      </c>
      <c r="E13" s="11" t="inlineStr">
        <is>
          <t>Nota (3) de la tabla 2.1: más de 1,20 m si el aparato es de gas o de parrilla.</t>
        </is>
      </c>
    </row>
    <row r="14" ht="44" customHeight="1">
      <c r="A14" s="6" t="inlineStr">
        <is>
          <t>Distancia mínima del filtro al foco: aparato de parrilla</t>
        </is>
      </c>
      <c r="B14" s="12" t="n">
        <v>1.2</v>
      </c>
      <c r="C14" t="inlineStr">
        <is>
          <t>m</t>
        </is>
      </c>
      <c r="D14" s="11" t="inlineStr">
        <is>
          <t>CUN-26</t>
        </is>
      </c>
      <c r="E14" s="11" t="inlineStr">
        <is>
          <t>Nota (3) de la tabla 2.1: lo mismo que el gas, más de 1,20 m.</t>
        </is>
      </c>
    </row>
    <row r="15" ht="44" customHeight="1">
      <c r="A15" s="6" t="inlineStr">
        <is>
          <t>Distancia mínima del filtro al foco: otros aparatos</t>
        </is>
      </c>
      <c r="B15" s="12" t="n">
        <v>0.5</v>
      </c>
      <c r="C15" t="inlineStr">
        <is>
          <t>m</t>
        </is>
      </c>
      <c r="D15" s="11" t="inlineStr">
        <is>
          <t>CUN-26</t>
        </is>
      </c>
      <c r="E15" s="11" t="inlineStr">
        <is>
          <t>Nota (3) de la tabla 2.1: más de 0,50 m con los demás tipos (la freidora eléctrica, por ejemplo); con gas o parrilla son 1,20 m.</t>
        </is>
      </c>
    </row>
    <row r="16">
      <c r="A16" s="4" t="inlineStr">
        <is>
          <t>Producción y Calendario</t>
        </is>
      </c>
    </row>
    <row r="17" ht="44" customHeight="1">
      <c r="A17" s="6" t="inlineStr">
        <is>
          <t>Días tipo por semana (de lunes a viernes)</t>
        </is>
      </c>
      <c r="B17" s="13" t="n">
        <v>5</v>
      </c>
      <c r="C17" t="inlineStr">
        <is>
          <t>días</t>
        </is>
      </c>
      <c r="D17" s="11" t="inlineStr">
        <is>
          <t>calendario</t>
        </is>
      </c>
      <c r="E17" s="11" t="inlineStr">
        <is>
          <t>El festivo entre semana se trabaja como un domingo: cuéntalo como día punta.</t>
        </is>
      </c>
    </row>
    <row r="18" ht="44" customHeight="1">
      <c r="A18" s="6" t="inlineStr">
        <is>
          <t>Días punta por semana (sábado y domingo)</t>
        </is>
      </c>
      <c r="B18" s="13" t="n">
        <v>2</v>
      </c>
      <c r="C18" t="inlineStr">
        <is>
          <t>días</t>
        </is>
      </c>
      <c r="D18" s="11" t="inlineStr">
        <is>
          <t>calendario</t>
        </is>
      </c>
      <c r="E18" s="11" t="inlineStr">
        <is>
          <t>Sábados, domingos y festivos: la demanda del día punta.</t>
        </is>
      </c>
    </row>
    <row r="19" ht="44" customHeight="1">
      <c r="A19" s="6" t="inlineStr">
        <is>
          <t>Minutos que tiene una hora</t>
        </is>
      </c>
      <c r="B19" s="14" t="n">
        <v>60</v>
      </c>
      <c r="C19" t="inlineStr">
        <is>
          <t>min/h</t>
        </is>
      </c>
      <c r="D19" s="11" t="inlineStr">
        <is>
          <t>conversión</t>
        </is>
      </c>
      <c r="E19" s="11" t="inlineStr">
        <is>
          <t>Conversión de unidades. Vive aquí para que ninguna fórmula lleve un número dentro.</t>
        </is>
      </c>
    </row>
    <row r="20" ht="44" customHeight="1">
      <c r="A20" s="6" t="inlineStr">
        <is>
          <t>Tolerancia de la fila de CUADRE</t>
        </is>
      </c>
      <c r="B20" s="15" t="n">
        <v>0.02</v>
      </c>
      <c r="C20" t="inlineStr">
        <is>
          <t>desviación</t>
        </is>
      </c>
      <c r="D20" s="11" t="inlineStr">
        <is>
          <t>heredado de la hermana</t>
        </is>
      </c>
      <c r="E20" s="11" t="inlineStr">
        <is>
          <t>Por encima de esta desviación, la fila de CUADRE avisa de que lo que has copiado del libro 3 ya no es lo que aquel publica.</t>
        </is>
      </c>
    </row>
    <row r="21">
      <c r="A21" s="4" t="inlineStr">
        <is>
          <t>Lo que Copias de Otros Libros</t>
        </is>
      </c>
    </row>
    <row r="22" ht="52" customHeight="1">
      <c r="A22" s="16" t="inlineStr">
        <is>
          <t>cópialo del libro 3: carta-de-apertura-y-escandallo-churro.xlsx!Mix y Ticket Canal y Temporada!L5</t>
        </is>
      </c>
      <c r="B22" s="17" t="n">
        <v>0.09791812865497077</v>
      </c>
      <c r="C22" t="inlineStr">
        <is>
          <t>kg/ración</t>
        </is>
      </c>
      <c r="D22" s="18" t="inlineStr">
        <is>
          <t>cruce X1 (libro 3)</t>
        </is>
      </c>
      <c r="E22" s="11" t="inlineStr">
        <is>
          <t>Kilos de masa (merma incluida) por ración media de tu carta, mix de invierno. Con este número las raciones por hora salen de los kilos por hora de la línea. Nace con el de El Molinete.</t>
        </is>
      </c>
    </row>
    <row r="23" ht="40" customHeight="1">
      <c r="A23" s="6" t="inlineStr">
        <is>
          <t>Lo que publica hoy esa celda del libro 3 (anótalo cada vez que lo abras)</t>
        </is>
      </c>
      <c r="B23" s="17" t="n">
        <v>0.09791812865497077</v>
      </c>
      <c r="C23" t="inlineStr">
        <is>
          <t>kg/ración</t>
        </is>
      </c>
      <c r="E23" s="11" t="inlineStr">
        <is>
          <t>Si arriba usas otra cifra -porque has cambiado la carta o la masa-, la fila de CUADRE te avisa en vez de dejar las dos separadas en silencio.</t>
        </is>
      </c>
    </row>
    <row r="24">
      <c r="A24" t="inlineStr">
        <is>
          <t>Desviación entre las dos</t>
        </is>
      </c>
      <c r="B24" s="19">
        <f>IFERROR(ABS(B22-B23)/B23,"")</f>
        <v>0.0</v>
      </c>
    </row>
    <row r="25" ht="34" customHeight="1">
      <c r="A25" s="20" t="inlineStr">
        <is>
          <t>CUADRE: los kilos por ración que usas frente a los que publica el libro 3</t>
        </is>
      </c>
      <c r="B25" s="21" t="str">
        <f>IF(NOT(ISNUMBER(B24)),"",IF(B24&lt;=B20,"CUADRA","REVISA: no es lo que publica el libro 3"))</f>
        <v>CUADRA</v>
      </c>
    </row>
    <row r="26" ht="52" customHeight="1">
      <c r="A26" s="16" t="inlineStr">
        <is>
          <t>cópialo del libro 3: carta-de-apertura-y-escandallo-churro.xlsx!Parámetros!L9</t>
        </is>
      </c>
      <c r="B26" s="22" t="n">
        <v>0.9</v>
      </c>
      <c r="C26" t="inlineStr">
        <is>
          <t>kg/kg</t>
        </is>
      </c>
      <c r="D26" s="18" t="inlineStr">
        <is>
          <t>cruce X1 bis (libro 3)</t>
        </is>
      </c>
      <c r="E26" s="11" t="inlineStr">
        <is>
          <t>Supuesto de El Molinete, que nace en el libro 3 (hoja «Parámetros»): pesa una tanda de masa antes y después de freír. Se copia de allí para que la masa tenga una sola cifra en todo el paquete; con él se pasan los kilos de masa a kilos fritos.</t>
        </is>
      </c>
    </row>
    <row r="27" ht="40" customHeight="1">
      <c r="A27" s="6" t="inlineStr">
        <is>
          <t>Lo que publica hoy esa celda del libro 3 (anótalo cada vez que lo abras)</t>
        </is>
      </c>
      <c r="B27" s="22" t="n">
        <v>0.9</v>
      </c>
      <c r="C27" t="inlineStr">
        <is>
          <t>kg/kg</t>
        </is>
      </c>
      <c r="E27" s="11" t="inlineStr">
        <is>
          <t>Si arriba usas otra cifra -porque has cambiado la carta o la masa-, la fila de CUADRE te avisa en vez de dejar las dos separadas en silencio.</t>
        </is>
      </c>
    </row>
    <row r="28">
      <c r="A28" t="inlineStr">
        <is>
          <t>Desviación entre las dos</t>
        </is>
      </c>
      <c r="B28" s="19">
        <f>IFERROR(ABS(B26-B27)/B27,"")</f>
        <v>0.0</v>
      </c>
    </row>
    <row r="29" ht="34" customHeight="1">
      <c r="A29" s="20" t="inlineStr">
        <is>
          <t>CUADRE: los kilos fritos por kilo de masa que usas frente a los que publica el libro 3</t>
        </is>
      </c>
      <c r="B29" s="21" t="str">
        <f>IF(NOT(ISNUMBER(B28)),"",IF(B28&lt;=B20,"CUADRA","REVISA: no es lo que publica el libro 3"))</f>
        <v>CUADRA</v>
      </c>
    </row>
  </sheetData>
  <sheetProtection selectLockedCells="0" selectUnlockedCells="0" sheet="1" objects="0" insertRows="0" insertHyperlinks="1" autoFilter="1" scenarios="0" formatColumns="0" deleteColumns="1" insertColumns="1" pivotTables="1" deleteRows="1" formatCells="1" formatRows="0" sort="0"/>
  <conditionalFormatting sqref="B24">
    <cfRule type="expression" priority="1" dxfId="0" stopIfTrue="1">
      <formula>=AND(ISNUMBER($B$24),$B$24&gt;$B$20)</formula>
    </cfRule>
  </conditionalFormatting>
  <conditionalFormatting sqref="B25">
    <cfRule type="cellIs" priority="2" operator="equal" dxfId="1" stopIfTrue="1">
      <formula>"CUADRA"</formula>
    </cfRule>
    <cfRule type="cellIs" priority="3" operator="equal" dxfId="0" stopIfTrue="1">
      <formula>"REVISA: no es lo que publica el libro 3"</formula>
    </cfRule>
  </conditionalFormatting>
  <conditionalFormatting sqref="B28">
    <cfRule type="expression" priority="4" dxfId="0" stopIfTrue="1">
      <formula>=AND(ISNUMBER($B$28),$B$28&gt;$B$20)</formula>
    </cfRule>
  </conditionalFormatting>
  <conditionalFormatting sqref="B29">
    <cfRule type="cellIs" priority="5" operator="equal" dxfId="1" stopIfTrue="1">
      <formula>"CUADRA"</formula>
    </cfRule>
    <cfRule type="cellIs" priority="6" operator="equal" dxfId="0" stopIfTrue="1">
      <formula>"REVISA: no es lo que publica el libro 3"</formula>
    </cfRule>
  </conditionalFormatting>
  <dataValidations count="16">
    <dataValidation sqref="B6" showDropDown="0" showInputMessage="0" showErrorMessage="1" allowBlank="1" errorTitle="Importe no válido" error="Escribe un número mayor o igual que 0." type="decimal" operator="greaterThanOrEqual">
      <formula1>0</formula1>
    </dataValidation>
    <dataValidation sqref="B7" showDropDown="0" showInputMessage="0" showErrorMessage="1" allowBlank="1" errorTitle="Importe no válido" error="Escribe un número mayor o igual que 0." type="decimal" operator="greaterThanOrEqual">
      <formula1>0</formula1>
    </dataValidation>
    <dataValidation sqref="B9" showDropDown="0" showInputMessage="0" showErrorMessage="1" allowBlank="1" errorTitle="Importe no válido" error="Escribe un número mayor o igual que 0." type="decimal" operator="greaterThanOrEqual">
      <formula1>0</formula1>
    </dataValidation>
    <dataValidation sqref="B10" showDropDown="0" showInputMessage="0" showErrorMessage="1" allowBlank="1" errorTitle="Importe no válido" error="Escribe un número mayor o igual que 0." type="decimal" operator="greaterThanOrEqual">
      <formula1>0</formula1>
    </dataValidation>
    <dataValidation sqref="B11" showDropDown="0" showInputMessage="0" showErrorMessage="1" allowBlank="1" errorTitle="Importe no válido" error="Escribe un número mayor o igual que 0." type="decimal" operator="greaterThanOrEqual">
      <formula1>0</formula1>
    </dataValidation>
    <dataValidation sqref="B12" showDropDown="0" showInputMessage="0" showErrorMessage="1" allowBlank="1" errorTitle="Importe no válido" error="Escribe un número mayor o igual que 0." type="decimal" operator="greaterThanOrEqual">
      <formula1>0</formula1>
    </dataValidation>
    <dataValidation sqref="B13" showDropDown="0" showInputMessage="0" showErrorMessage="1" allowBlank="1" errorTitle="Importe no válido" error="Escribe un número mayor o igual que 0." type="decimal" operator="greaterThanOrEqual">
      <formula1>0</formula1>
    </dataValidation>
    <dataValidation sqref="B14" showDropDown="0" showInputMessage="0" showErrorMessage="1" allowBlank="1" errorTitle="Importe no válido" error="Escribe un número mayor o igual que 0." type="decimal" operator="greaterThanOrEqual">
      <formula1>0</formula1>
    </dataValidation>
    <dataValidation sqref="B15"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Importe no válido" error="Escribe un número mayor o igual que 0." type="decimal" operator="greaterThanOrEqual">
      <formula1>0</formula1>
    </dataValidation>
    <dataValidation sqref="B18" showDropDown="0" showInputMessage="0" showErrorMessage="1" allowBlank="1" errorTitle="Importe no válido" error="Escribe un número mayor o igual que 0." type="decimal" operator="greaterThanOrEqual">
      <formula1>0</formula1>
    </dataValidation>
    <dataValidation sqref="B20" showDropDown="0" showInputMessage="1" showErrorMessage="1" allowBlank="1" errorTitle="Porcentaje" error="Escribe un porcentaje entre 0 y 1 (0,20 = 20 %)." promptTitle="Porcentaje" prompt="Se escribe en tanto por uno: 0,20 = 20 %." type="decimal" operator="between">
      <formula1>0</formula1>
      <formula2>1.0</formula2>
    </dataValidation>
    <dataValidation sqref="B22" showDropDown="0" showInputMessage="0" showErrorMessage="1" allowBlank="1" errorTitle="Importe no válido" error="Escribe un número mayor o igual que 0." type="decimal" operator="greaterThanOrEqual">
      <formula1>0</formula1>
    </dataValidation>
    <dataValidation sqref="B23" showDropDown="0" showInputMessage="0" showErrorMessage="1" allowBlank="1" errorTitle="Importe no válido" error="Escribe un número mayor o igual que 0." type="decimal" operator="greaterThanOrEqual">
      <formula1>0</formula1>
    </dataValidation>
    <dataValidation sqref="B26" showDropDown="0" showInputMessage="0" showErrorMessage="1" allowBlank="1" errorTitle="Importe no válido" error="Escribe un número mayor o igual que 0." type="decimal" operator="greaterThanOrEqual">
      <formula1>0</formula1>
    </dataValidation>
    <dataValidation sqref="B27"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M24"/>
  <sheetViews>
    <sheetView workbookViewId="0">
      <pane ySplit="5" topLeftCell="A6" activePane="bottomLeft" state="frozen"/>
      <selection pane="bottomLeft" activeCell="A1" sqref="A1"/>
    </sheetView>
  </sheetViews>
  <sheetFormatPr baseColWidth="8" defaultRowHeight="15"/>
  <cols>
    <col width="5" customWidth="1" min="1" max="1"/>
    <col width="42" customWidth="1" min="2" max="2"/>
    <col width="18" customWidth="1" min="3" max="3"/>
    <col width="11" customWidth="1" min="4" max="4"/>
    <col width="11" customWidth="1" min="5" max="5"/>
    <col width="90" customWidth="1" min="6" max="6"/>
    <col width="40" customWidth="1" min="11" max="11"/>
    <col width="14" customWidth="1" min="12" max="12"/>
    <col width="48" customWidth="1" min="13" max="13"/>
  </cols>
  <sheetData>
    <row r="1">
      <c r="A1" s="1" t="inlineStr">
        <is>
          <t>Zonas y M²</t>
        </is>
      </c>
    </row>
    <row r="2">
      <c r="A2" s="2" t="inlineStr">
        <is>
          <t>AI Chef Pro · aichef.pro — Cómo Montar una Churrería-Chocolatería</t>
        </is>
      </c>
    </row>
    <row r="3">
      <c r="A3" s="3" t="inlineStr">
        <is>
          <t>Las seis zonas de una churrería-chocolatería con obrador de masa a la vista, freidora bajo campana, barra y sala. La terraza, aparte.</t>
        </is>
      </c>
    </row>
    <row r="4">
      <c r="K4" s="4" t="inlineStr">
        <is>
          <t>Lo que Copian Otros Libros (No Muevas Estas Celdas)</t>
        </is>
      </c>
    </row>
    <row r="5" ht="42" customHeight="1">
      <c r="A5" s="9" t="inlineStr">
        <is>
          <t>Nº</t>
        </is>
      </c>
      <c r="B5" s="9" t="inlineStr">
        <is>
          <t>Zona</t>
        </is>
      </c>
      <c r="C5" s="9" t="inlineStr">
        <is>
          <t>Bloque</t>
        </is>
      </c>
      <c r="D5" s="9" t="inlineStr">
        <is>
          <t>m²</t>
        </is>
      </c>
      <c r="E5" s="9" t="inlineStr">
        <is>
          <t>% del local</t>
        </is>
      </c>
      <c r="F5" s="9" t="inlineStr">
        <is>
          <t>Qué tiene que cumplir</t>
        </is>
      </c>
      <c r="K5" s="16" t="inlineStr">
        <is>
          <t>Superficie útil del local (m²)</t>
        </is>
      </c>
      <c r="L5" s="23">
        <f>'Parámetros'!$B$6</f>
        <v>75.0</v>
      </c>
      <c r="M5" s="11" t="inlineStr">
        <is>
          <t>Lo copia: libro 2 (calculadora-capex-churreria.xlsx, hoja Parámetros, X9 bis)</t>
        </is>
      </c>
    </row>
    <row r="6" ht="36" customHeight="1">
      <c r="A6" s="14" t="n">
        <v>1</v>
      </c>
      <c r="B6" s="6" t="inlineStr">
        <is>
          <t>Obrador de masa a la vista</t>
        </is>
      </c>
      <c r="C6" t="inlineStr">
        <is>
          <t>Producción</t>
        </is>
      </c>
      <c r="D6" s="10" t="n">
        <v>10</v>
      </c>
      <c r="E6" s="19">
        <f>IFERROR(D6/$D$13,"")</f>
        <v>0.13333333333333333</v>
      </c>
      <c r="F6" s="6" t="inlineStr">
        <is>
          <t>Amasadora, dosificadora y mesa de trabajo. A la vista del cliente: es parte del reclamo, y obliga a que esté siempre presentable.</t>
        </is>
      </c>
    </row>
    <row r="7" ht="36" customHeight="1">
      <c r="A7" s="14" t="n">
        <v>2</v>
      </c>
      <c r="B7" s="6" t="inlineStr">
        <is>
          <t>Fritura bajo campana</t>
        </is>
      </c>
      <c r="C7" t="inlineStr">
        <is>
          <t>Producción</t>
        </is>
      </c>
      <c r="D7" s="10" t="n">
        <v>6</v>
      </c>
      <c r="E7" s="19">
        <f>IFERROR(D7/$D$13,"")</f>
        <v>0.08</v>
      </c>
      <c r="F7" s="6" t="inlineStr">
        <is>
          <t>La freidora de gas de 25 L y el escurridor, bajo la campana de 1.200 mm. Es la zona que decide si el local sirve: conducto, potencia y gas.</t>
        </is>
      </c>
    </row>
    <row r="8" ht="36" customHeight="1">
      <c r="A8" s="14" t="n">
        <v>3</v>
      </c>
      <c r="B8" s="6" t="inlineStr">
        <is>
          <t>Barra y despacho a calle</t>
        </is>
      </c>
      <c r="C8" t="inlineStr">
        <is>
          <t>Atención al cliente</t>
        </is>
      </c>
      <c r="D8" s="10" t="n">
        <v>12</v>
      </c>
      <c r="E8" s="19">
        <f>IFERROR(D8/$D$13,"")</f>
        <v>0.16</v>
      </c>
      <c r="F8" s="6" t="inlineStr">
        <is>
          <t>Cafetera, chocolateras, caja y la ventanilla del despacho para llevar.</t>
        </is>
      </c>
    </row>
    <row r="9" ht="36" customHeight="1">
      <c r="A9" s="14" t="n">
        <v>4</v>
      </c>
      <c r="B9" s="6" t="inlineStr">
        <is>
          <t>Sala</t>
        </is>
      </c>
      <c r="C9" t="inlineStr">
        <is>
          <t>Atención al cliente</t>
        </is>
      </c>
      <c r="D9" s="10" t="n">
        <v>32</v>
      </c>
      <c r="E9" s="19">
        <f>IFERROR(D9/$D$13,"")</f>
        <v>0.4266666666666667</v>
      </c>
      <c r="F9" s="6" t="inlineStr">
        <is>
          <t>Mesas y sillas del consumo en el local.</t>
        </is>
      </c>
    </row>
    <row r="10" ht="36" customHeight="1">
      <c r="A10" s="14" t="n">
        <v>5</v>
      </c>
      <c r="B10" s="6" t="inlineStr">
        <is>
          <t>Aseos y vestuario</t>
        </is>
      </c>
      <c r="C10" t="inlineStr">
        <is>
          <t>Servicios</t>
        </is>
      </c>
      <c r="D10" s="10" t="n">
        <v>8</v>
      </c>
      <c r="E10" s="19">
        <f>IFERROR(D10/$D$13,"")</f>
        <v>0.10666666666666667</v>
      </c>
      <c r="F10" s="6" t="inlineStr">
        <is>
          <t>Aseo de público y vestuario de personal. Si no caben, el local no sirve.</t>
        </is>
      </c>
    </row>
    <row r="11" ht="36" customHeight="1">
      <c r="A11" s="14" t="n">
        <v>6</v>
      </c>
      <c r="B11" s="6" t="inlineStr">
        <is>
          <t>Almacén de harina, aceite, envase y bidón de aceite usado</t>
        </is>
      </c>
      <c r="C11" t="inlineStr">
        <is>
          <t>Servicios</t>
        </is>
      </c>
      <c r="D11" s="10" t="n">
        <v>7</v>
      </c>
      <c r="E11" s="19">
        <f>IFERROR(D11/$D$13,"")</f>
        <v>0.09333333333333334</v>
      </c>
      <c r="F11" s="6" t="inlineStr">
        <is>
          <t>El bidón del aceite usado espera aquí al gestor autorizado.</t>
        </is>
      </c>
    </row>
    <row r="12"/>
    <row r="13">
      <c r="B13" s="24" t="inlineStr">
        <is>
          <t>TOTAL repartido</t>
        </is>
      </c>
      <c r="D13" s="23">
        <f>SUM(D6:D11)</f>
        <v>75.0</v>
      </c>
      <c r="E13" s="25">
        <f>SUM(E6:E11)</f>
        <v>1.0</v>
      </c>
    </row>
    <row r="14">
      <c r="B14" t="inlineStr">
        <is>
          <t>Superficie útil declarada en «Parámetros»</t>
        </is>
      </c>
      <c r="D14" s="26">
        <f>'Parámetros'!$B$6</f>
        <v>75.0</v>
      </c>
    </row>
    <row r="15">
      <c r="B15" t="inlineStr">
        <is>
          <t>Descuadre (m²)</t>
        </is>
      </c>
      <c r="D15" s="26">
        <f>IFERROR(D13-D14,"")</f>
        <v>0.0</v>
      </c>
      <c r="F15" s="6" t="inlineStr">
        <is>
          <t>Si no es cero, o te sobran metros sin asignar o has repartido más de los que tiene el local.</t>
        </is>
      </c>
    </row>
    <row r="16"/>
    <row r="17">
      <c r="B17" t="inlineStr">
        <is>
          <t>Metros de producción (obrador de masa y fritura)</t>
        </is>
      </c>
      <c r="D17" s="26">
        <f>SUMIF(C6:C11,"Producción",D6:D11)</f>
        <v>16.0</v>
      </c>
    </row>
    <row r="18">
      <c r="B18" t="inlineStr">
        <is>
          <t>Parte del local dedicada a producción</t>
        </is>
      </c>
      <c r="D18" s="19">
        <f>IFERROR(D17/D13,"")</f>
        <v>0.21333333333333335</v>
      </c>
    </row>
    <row r="19">
      <c r="B19" t="inlineStr">
        <is>
          <t>Metros de atención al cliente (barra, despacho y sala)</t>
        </is>
      </c>
      <c r="D19" s="26">
        <f>SUMIF(C6:C11,"Atención al cliente",D6:D11)</f>
        <v>44.0</v>
      </c>
    </row>
    <row r="20">
      <c r="B20" t="inlineStr">
        <is>
          <t>Parte del local dedicada al cliente</t>
        </is>
      </c>
      <c r="D20" s="19">
        <f>IFERROR(D19/D13,"")</f>
        <v>0.5866666666666667</v>
      </c>
    </row>
    <row r="21">
      <c r="B21" t="inlineStr">
        <is>
          <t>Metros de servicios (aseos, vestuario y almacén)</t>
        </is>
      </c>
      <c r="D21" s="26">
        <f>SUMIF(C6:C11,"Servicios",D6:D11)</f>
        <v>15.0</v>
      </c>
    </row>
    <row r="22">
      <c r="B22" t="inlineStr">
        <is>
          <t>Terraza, aparte (de «Parámetros»)</t>
        </is>
      </c>
      <c r="D22" s="26">
        <f>'Parámetros'!$B$7</f>
        <v>20.0</v>
      </c>
      <c r="F22" s="6" t="inlineStr">
        <is>
          <t>No suma a la superficie útil y va con autorización propia de ocupación de la vía pública.</t>
        </is>
      </c>
    </row>
    <row r="23"/>
    <row r="24" ht="46" customHeight="1">
      <c r="B24" s="27" t="inlineStr">
        <is>
          <t>LA ZONA QUE DECIDE SI EL LOCAL SIRVE ES LA MÁS PEQUEÑA. Los seis metros de fritura bajo campana son los que piden conducto a cubierta, gas o potencia y el riesgo de incendio del Código Técnico. Antes de repartir el resto, comprueba en la «Ficha de Visita a Local» que esa zona tiene salida.</t>
        </is>
      </c>
    </row>
  </sheetData>
  <sheetProtection selectLockedCells="0" selectUnlockedCells="0" sheet="1" objects="0" insertRows="0" insertHyperlinks="1" autoFilter="1" scenarios="0" formatColumns="0" deleteColumns="1" insertColumns="1" pivotTables="1" deleteRows="1" formatCells="1" formatRows="0" sort="0"/>
  <mergeCells count="1">
    <mergeCell ref="B24:F24"/>
  </mergeCells>
  <conditionalFormatting sqref="D15">
    <cfRule type="expression" priority="1" dxfId="0" stopIfTrue="1">
      <formula>=AND(ISNUMBER($D$15),$D$15&lt;&gt;0)</formula>
    </cfRule>
  </conditionalFormatting>
  <dataValidations count="1">
    <dataValidation sqref="D6 D7 D8 D9 D10 D11"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M20"/>
  <sheetViews>
    <sheetView workbookViewId="0">
      <pane ySplit="8" topLeftCell="A9" activePane="bottomLeft" state="frozen"/>
      <selection pane="bottomLeft" activeCell="A1" sqref="A1"/>
    </sheetView>
  </sheetViews>
  <sheetFormatPr baseColWidth="8" defaultRowHeight="15"/>
  <cols>
    <col width="5" customWidth="1" min="1" max="1"/>
    <col width="40" customWidth="1" min="2" max="2"/>
    <col width="12" customWidth="1" min="3" max="3"/>
    <col width="12" customWidth="1" min="4" max="4"/>
    <col width="11" customWidth="1" min="5" max="5"/>
    <col width="12" customWidth="1" min="6" max="6"/>
    <col width="11" customWidth="1" min="7" max="7"/>
    <col width="16" customWidth="1" min="8" max="8"/>
    <col width="70" customWidth="1" min="9" max="9"/>
    <col width="40" customWidth="1" min="11" max="11"/>
    <col width="14" customWidth="1" min="12" max="12"/>
    <col width="48" customWidth="1" min="13" max="13"/>
  </cols>
  <sheetData>
    <row r="1">
      <c r="A1" s="1" t="inlineStr">
        <is>
          <t>Equipos y Capacidad</t>
        </is>
      </c>
    </row>
    <row r="2">
      <c r="A2" s="2" t="inlineStr">
        <is>
          <t>AI Chef Pro · aichef.pro — Cómo Montar una Churrería-Chocolatería</t>
        </is>
      </c>
    </row>
    <row r="3">
      <c r="A3" s="3" t="inlineStr">
        <is>
          <t>Todo en kilos de masa por hora: la línea con su churrero/a, la freidora por tandas y la amasadora. Mide el tuyo; el del folleto no vale.</t>
        </is>
      </c>
    </row>
    <row r="4">
      <c r="A4" s="4" t="inlineStr">
        <is>
          <t>Personas</t>
        </is>
      </c>
      <c r="K4" s="4" t="inlineStr">
        <is>
          <t>Lo que Copian Otros Libros (No Muevas Estas Celdas)</t>
        </is>
      </c>
    </row>
    <row r="5" ht="34" customHeight="1">
      <c r="A5" t="inlineStr">
        <is>
          <t>Personas en la línea en el pico del fin de semana</t>
        </is>
      </c>
      <c r="D5" s="13" t="n">
        <v>2</v>
      </c>
      <c r="F5" s="11" t="inlineStr">
        <is>
          <t>Supuesto de El Molinete: dos personas en la línea el sábado y el domingo por la mañana. Viaja al libro 8, que comprueba el cuadrante.</t>
        </is>
      </c>
      <c r="K5" s="16" t="inlineStr">
        <is>
          <t>Personas en la línea en el pico</t>
        </is>
      </c>
      <c r="L5" s="28">
        <f>D5</f>
        <v>2.0</v>
      </c>
      <c r="M5" s="11" t="inlineStr">
        <is>
          <t>Lo copia: libro 8 (turnos-plantilla-y-madrugada.xlsx, hoja Parámetros, X6)</t>
        </is>
      </c>
    </row>
    <row r="6"/>
    <row r="7"/>
    <row r="8" ht="42" customHeight="1">
      <c r="A8" s="9" t="inlineStr">
        <is>
          <t>Nº</t>
        </is>
      </c>
      <c r="B8" s="9" t="inlineStr">
        <is>
          <t>Eslabón</t>
        </is>
      </c>
      <c r="C8" s="9" t="inlineStr">
        <is>
          <t>¿Cuenta para el cuello?</t>
        </is>
      </c>
      <c r="D8" s="9" t="inlineStr">
        <is>
          <t>kg de masa por ciclo</t>
        </is>
      </c>
      <c r="E8" s="9" t="inlineStr">
        <is>
          <t>Minutos por ciclo</t>
        </is>
      </c>
      <c r="F8" s="9" t="inlineStr">
        <is>
          <t>kg de masa por hora</t>
        </is>
      </c>
      <c r="G8" s="9" t="inlineStr">
        <is>
          <t>Cuenta (kg/h)</t>
        </is>
      </c>
      <c r="H8" s="9" t="inlineStr">
        <is>
          <t>Procedencia</t>
        </is>
      </c>
      <c r="I8" s="9" t="inlineStr">
        <is>
          <t>Nota</t>
        </is>
      </c>
    </row>
    <row r="9" ht="58" customHeight="1">
      <c r="A9" s="14" t="n">
        <v>1</v>
      </c>
      <c r="B9" s="6" t="inlineStr">
        <is>
          <t>Línea de dosificado y fritura (con su churrero/a)</t>
        </is>
      </c>
      <c r="C9" s="5" t="inlineStr">
        <is>
          <t>Sí</t>
        </is>
      </c>
      <c r="D9" t="inlineStr">
        <is>
          <t>No aplica</t>
        </is>
      </c>
      <c r="E9" t="inlineStr">
        <is>
          <t>No aplica</t>
        </is>
      </c>
      <c r="F9" s="10" t="n">
        <v>12</v>
      </c>
      <c r="G9" s="26">
        <f>IF(C9="Sí",F9,"")</f>
        <v>12.0</v>
      </c>
      <c r="H9" s="11" t="inlineStr">
        <is>
          <t>supuesto declarado</t>
        </is>
      </c>
      <c r="I9" s="6" t="inlineStr">
        <is>
          <t>Los kilos de masa por hora que la línea saca DE VERDAD con la persona que la trabaja. Nunca el máximo del folleto del fabricante: mídelo un domingo, pesando la masa que entra en una hora.</t>
        </is>
      </c>
    </row>
    <row r="10" ht="58" customHeight="1">
      <c r="A10" s="14" t="n">
        <v>2</v>
      </c>
      <c r="B10" s="6" t="inlineStr">
        <is>
          <t>Freidora (por tandas)</t>
        </is>
      </c>
      <c r="C10" s="5" t="inlineStr">
        <is>
          <t>Sí</t>
        </is>
      </c>
      <c r="D10" s="10" t="n">
        <v>1</v>
      </c>
      <c r="E10" s="10" t="n">
        <v>4</v>
      </c>
      <c r="F10" s="26">
        <f>IFERROR(D10*'Parámetros'!$B$19/E10,"")</f>
        <v>15.0</v>
      </c>
      <c r="G10" s="26">
        <f>IF(C10="Sí",F10,"")</f>
        <v>15.0</v>
      </c>
      <c r="H10" s="11" t="inlineStr">
        <is>
          <t>supuesto declarado</t>
        </is>
      </c>
      <c r="I10" s="6" t="inlineStr">
        <is>
          <t>Kilos de masa que caben en una tanda y minutos de la carga al escurrido. Con dos cubas, la freidora deja de mandar; mira antes qué le pasa al riesgo de incendio en la hoja «Freidoras, Potencia y Riesgo».</t>
        </is>
      </c>
    </row>
    <row r="11" ht="58" customHeight="1">
      <c r="A11" s="14" t="n">
        <v>3</v>
      </c>
      <c r="B11" s="6" t="inlineStr">
        <is>
          <t>Amasadora</t>
        </is>
      </c>
      <c r="C11" s="5" t="inlineStr">
        <is>
          <t>Sí</t>
        </is>
      </c>
      <c r="D11" s="10" t="n">
        <v>30</v>
      </c>
      <c r="E11" s="10" t="n">
        <v>20</v>
      </c>
      <c r="F11" s="26">
        <f>IFERROR(D11*'Parámetros'!$B$19/E11,"")</f>
        <v>90.0</v>
      </c>
      <c r="G11" s="26">
        <f>IF(C11="Sí",F11,"")</f>
        <v>90.0</v>
      </c>
      <c r="H11" s="11" t="inlineStr">
        <is>
          <t>CUS-35a</t>
        </is>
      </c>
      <c r="I11" s="6" t="inlineStr">
        <is>
          <t>Capacidad declarada de la amasadora automática del ejemplo y minutos de un amasado completo (supuesto). Casi nunca manda: amasa mucho más deprisa de lo que se fríe.</t>
        </is>
      </c>
    </row>
    <row r="12"/>
    <row r="13"/>
    <row r="14" ht="34" customHeight="1">
      <c r="B14" t="inlineStr">
        <is>
          <t>kg de masa por hora y persona en la línea</t>
        </is>
      </c>
      <c r="F14" s="26">
        <f>IFERROR(F9/D5,"")</f>
        <v>6.0</v>
      </c>
      <c r="I14" s="6" t="inlineStr">
        <is>
          <t>Lo que rinde cada persona de la línea. Si la segunda persona no sube los kilos por hora, no está en la línea: está despachando.</t>
        </is>
      </c>
    </row>
    <row r="15"/>
    <row r="16"/>
    <row r="17">
      <c r="B17" s="29" t="inlineStr">
        <is>
          <t>Listas de validación (no las borres: las usan los desplegables)</t>
        </is>
      </c>
    </row>
    <row r="18">
      <c r="B18" s="24" t="inlineStr">
        <is>
          <t>Sí o No</t>
        </is>
      </c>
    </row>
    <row r="19">
      <c r="B19" t="inlineStr">
        <is>
          <t>Sí</t>
        </is>
      </c>
    </row>
    <row r="20">
      <c r="B20" t="inlineStr">
        <is>
          <t>No</t>
        </is>
      </c>
    </row>
  </sheetData>
  <sheetProtection selectLockedCells="0" selectUnlockedCells="0" sheet="1" objects="0" insertRows="0" insertHyperlinks="1" autoFilter="1" scenarios="0" formatColumns="0" deleteColumns="1" insertColumns="1" pivotTables="1" deleteRows="1" formatCells="1" formatRows="0" sort="0"/>
  <mergeCells count="1">
    <mergeCell ref="A5:C5"/>
  </mergeCells>
  <dataValidations count="5">
    <dataValidation sqref="D5" showDropDown="0" showInputMessage="0" showErrorMessage="1" allowBlank="1" errorTitle="Importe no válido" error="Escribe un número mayor o igual que 0." type="decimal" operator="greaterThanOrEqual">
      <formula1>0</formula1>
    </dataValidation>
    <dataValidation sqref="F9" showDropDown="0" showInputMessage="0" showErrorMessage="1" allowBlank="1" errorTitle="Importe no válido" error="Escribe un número mayor o igual que 0." type="decimal" operator="greaterThanOrEqual">
      <formula1>0</formula1>
    </dataValidation>
    <dataValidation sqref="D10 E10" showDropDown="0" showInputMessage="0" showErrorMessage="1" allowBlank="1" errorTitle="Importe no válido" error="Escribe un número mayor o igual que 0." type="decimal" operator="greaterThanOrEqual">
      <formula1>0</formula1>
    </dataValidation>
    <dataValidation sqref="D11 E11" showDropDown="0" showInputMessage="0" showErrorMessage="1" allowBlank="1" errorTitle="Importe no válido" error="Escribe un número mayor o igual que 0." type="decimal" operator="greaterThanOrEqual">
      <formula1>0</formula1>
    </dataValidation>
    <dataValidation sqref="C9 C10 C11" showDropDown="0" showInputMessage="0" showErrorMessage="1" allowBlank="0" errorTitle="¿Cuenta para el cuello?" error="Elige «Sí» o «No» de la lista." type="list">
      <formula1>=$B$19:$B$20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M30"/>
  <sheetViews>
    <sheetView workbookViewId="0">
      <pane ySplit="5" topLeftCell="A6" activePane="bottomLeft" state="frozen"/>
      <selection pane="bottomLeft" activeCell="A1" sqref="A1"/>
    </sheetView>
  </sheetViews>
  <sheetFormatPr baseColWidth="8" defaultRowHeight="15"/>
  <cols>
    <col width="5" customWidth="1" min="1" max="1"/>
    <col width="40" customWidth="1" min="2" max="2"/>
    <col width="10" customWidth="1" min="3" max="3"/>
    <col width="10" customWidth="1" min="4" max="4"/>
    <col width="11" customWidth="1" min="5" max="5"/>
    <col width="11" customWidth="1" min="6" max="6"/>
    <col width="12" customWidth="1" min="7" max="7"/>
    <col width="14" customWidth="1" min="8" max="8"/>
    <col width="60" customWidth="1" min="9" max="9"/>
    <col width="40" customWidth="1" min="11" max="11"/>
    <col width="14" customWidth="1" min="12" max="12"/>
    <col width="48" customWidth="1" min="13" max="13"/>
  </cols>
  <sheetData>
    <row r="1">
      <c r="A1" s="1" t="inlineStr">
        <is>
          <t>Freidoras, Potencia y Riesgo</t>
        </is>
      </c>
    </row>
    <row r="2">
      <c r="A2" s="2" t="inlineStr">
        <is>
          <t>AI Chef Pro · aichef.pro — Cómo Montar una Churrería-Chocolatería</t>
        </is>
      </c>
    </row>
    <row r="3">
      <c r="A3" s="3" t="inlineStr">
        <is>
          <t>Los kW que computa tu cocina según el Código Técnico, el riesgo de incendio que te toca y a qué distancia van los filtros.</t>
        </is>
      </c>
    </row>
    <row r="4">
      <c r="K4" s="4" t="inlineStr">
        <is>
          <t>Lo que Copian Otros Libros (No Muevas Estas Celdas)</t>
        </is>
      </c>
    </row>
    <row r="5" ht="42" customHeight="1">
      <c r="A5" s="9" t="inlineStr">
        <is>
          <t>Nº</t>
        </is>
      </c>
      <c r="B5" s="9" t="inlineStr">
        <is>
          <t>Freidora</t>
        </is>
      </c>
      <c r="C5" s="9" t="inlineStr">
        <is>
          <t>¿La tienes?</t>
        </is>
      </c>
      <c r="D5" s="9" t="inlineStr">
        <is>
          <t>Litros de cuba</t>
        </is>
      </c>
      <c r="E5" s="9" t="inlineStr">
        <is>
          <t>Tipo de aparato</t>
        </is>
      </c>
      <c r="F5" s="9" t="inlineStr">
        <is>
          <t>kW computables</t>
        </is>
      </c>
      <c r="G5" s="9" t="inlineStr">
        <is>
          <t>Distancia mínima del filtro</t>
        </is>
      </c>
      <c r="H5" s="9" t="inlineStr">
        <is>
          <t>Procedencia</t>
        </is>
      </c>
      <c r="I5" s="9" t="inlineStr">
        <is>
          <t>Nota</t>
        </is>
      </c>
      <c r="K5" s="16" t="inlineStr">
        <is>
          <t>Litros totales de cuba</t>
        </is>
      </c>
      <c r="L5" s="23">
        <f>D9</f>
        <v>25.0</v>
      </c>
      <c r="M5" s="11" t="inlineStr">
        <is>
          <t>Lo copia: libro 4 (aceite-de-fritura-coste-y-cambio.xlsx, hoja Parámetros, X3)</t>
        </is>
      </c>
    </row>
    <row r="6" ht="52" customHeight="1">
      <c r="A6" s="14" t="n">
        <v>1</v>
      </c>
      <c r="B6" s="6" t="inlineStr">
        <is>
          <t>Freidora de churros de una cuba</t>
        </is>
      </c>
      <c r="C6" s="5" t="inlineStr">
        <is>
          <t>Sí</t>
        </is>
      </c>
      <c r="D6" s="10" t="n">
        <v>25</v>
      </c>
      <c r="E6" s="5" t="inlineStr">
        <is>
          <t>Gas</t>
        </is>
      </c>
      <c r="F6" s="26">
        <f>IF(C6="Sí",D6*'Parámetros'!$B$9,"")</f>
        <v>25.0</v>
      </c>
      <c r="G6" s="30">
        <f>IF(C6="Sí",IF(E6="Gas",'Parámetros'!$B$13,IF(E6="Parrilla",'Parámetros'!$B$14,'Parámetros'!$B$15)),"")</f>
        <v>1.2</v>
      </c>
      <c r="H6" s="11" t="inlineStr">
        <is>
          <t>CUS-33a</t>
        </is>
      </c>
      <c r="I6" s="6" t="inlineStr">
        <is>
          <t>La freidora de gas de 25 L del ejemplo, bajo la campana. Si es eléctrica, cambia el tipo a «Otro»: la distancia del filtro baja y la potencia a contratar sube.</t>
        </is>
      </c>
      <c r="K6" s="16" t="inlineStr">
        <is>
          <t>¿Necesitas extinción automática? (1 sí, 0 no)</t>
        </is>
      </c>
      <c r="L6" s="28">
        <f>D14</f>
        <v>0.0</v>
      </c>
      <c r="M6" s="11" t="inlineStr">
        <is>
          <t>Lo copia: libro 2 (calculadora-capex-churreria.xlsx, hoja Parámetros, X9)</t>
        </is>
      </c>
    </row>
    <row r="7" ht="52" customHeight="1">
      <c r="A7" s="14" t="n">
        <v>2</v>
      </c>
      <c r="B7" s="6" t="inlineStr">
        <is>
          <t>Segunda freidora (la decisión «¿una churrera o dos?»)</t>
        </is>
      </c>
      <c r="C7" s="5" t="inlineStr">
        <is>
          <t>No</t>
        </is>
      </c>
      <c r="D7" s="10" t="n">
        <v>25</v>
      </c>
      <c r="E7" s="5" t="inlineStr">
        <is>
          <t>Gas</t>
        </is>
      </c>
      <c r="F7" s="26">
        <f>IF(C7="Sí",D7*'Parámetros'!$B$9,"")</f>
        <v/>
      </c>
      <c r="G7" s="30">
        <f>IF(C7="Sí",IF(E7="Gas",'Parámetros'!$B$13,IF(E7="Parrilla",'Parámetros'!$B$14,'Parámetros'!$B$15)),"")</f>
        <v/>
      </c>
      <c r="H7" s="11" t="inlineStr">
        <is>
          <t>supuesto declarado</t>
        </is>
      </c>
      <c r="I7" s="6" t="inlineStr">
        <is>
          <t>Marcada «No» a propósito. Cámbiala a «Sí» y mira cómo se mueven los kW computables, el riesgo de la cocina y la extinción automática ANTES de comprarla.</t>
        </is>
      </c>
    </row>
    <row r="8"/>
    <row r="9">
      <c r="B9" s="6" t="inlineStr">
        <is>
          <t>Litros totales de cuba (freidoras que tienes)</t>
        </is>
      </c>
      <c r="D9" s="26">
        <f>SUMIF(C6:C7,"Sí",D6:D7)</f>
        <v>25.0</v>
      </c>
    </row>
    <row r="10">
      <c r="B10" s="6" t="inlineStr">
        <is>
          <t>kW computables de las freidoras</t>
        </is>
      </c>
      <c r="D10" s="26">
        <f>SUM(F6:F7)</f>
        <v>25.0</v>
      </c>
    </row>
    <row r="11" ht="58" customHeight="1">
      <c r="B11" s="6" t="inlineStr">
        <is>
          <t>kW de los demás aparatos de cocción (míralo en su placa)</t>
        </is>
      </c>
      <c r="D11" s="10" t="n">
        <v>3</v>
      </c>
      <c r="I11" s="11" t="inlineStr">
        <is>
          <t>Sólo computan los aparatos directamente destinados a preparar alimentos y susceptibles de provocar ignición (nota 2 de la tabla 2.1 del DB-SI, leída el 03-10-2026). El Molinete cuenta sus dos chocolateras al baño maría: confirma con tu técnico si las tuyas computan; si no, pon 0.</t>
        </is>
      </c>
    </row>
    <row r="12">
      <c r="B12" s="6" t="inlineStr">
        <is>
          <t>kW COMPUTABLES DE TU COCINA</t>
        </is>
      </c>
      <c r="D12" s="23">
        <f>SUM(D10:D11)</f>
        <v>28.0</v>
      </c>
    </row>
    <row r="13">
      <c r="B13" s="6" t="inlineStr">
        <is>
          <t>Riesgo de la cocina</t>
        </is>
      </c>
      <c r="D13" s="21" t="str">
        <f>IF(NOT(ISNUMBER(D12)),"",IF(D12&gt;'Parámetros'!$B$12,"Riesgo alto",IF(D12&gt;'Parámetros'!$B$11,"Riesgo medio",IF(D12&gt;'Parámetros'!$B$10,"Riesgo bajo","No es local de riesgo especial"))))</f>
        <v>Riesgo bajo</v>
      </c>
      <c r="I13" s="11" t="inlineStr">
        <is>
          <t>De 20 a 30 kW, bajo; de 30 a 50, medio; por encima de 50, alto. Un local de riesgo especial pide conductos EI 30 y sectorización: es obra con proyecto y entra en el libro 2.</t>
        </is>
      </c>
    </row>
    <row r="14">
      <c r="B14" s="6" t="inlineStr">
        <is>
          <t>¿Extinción automática obligatoria? (1 sí, 0 no)</t>
        </is>
      </c>
      <c r="D14" s="14">
        <f>IF(ISNUMBER(D12),IF(D12&gt;'Parámetros'!$B$12,1,0),"")</f>
        <v>0.0</v>
      </c>
    </row>
    <row r="15">
      <c r="B15" s="6" t="inlineStr">
        <is>
          <t>¿Extinción automática obligatoria?</t>
        </is>
      </c>
      <c r="D15" s="24" t="str">
        <f>IF(NOT(ISNUMBER(D14)),"",IF(D14=1,"Sí, obligatoria","No obligatoria"))</f>
        <v>No obligatoria</v>
      </c>
      <c r="I15" s="11" t="inlineStr">
        <is>
          <t>Por encima de 50 kW, el sistema automático de extinción es obligatorio (DB-SI, SI 4). Esta cifra viaja al libro 2, que presupuesta el sistema sólo si sale 1.</t>
        </is>
      </c>
    </row>
    <row r="16"/>
    <row r="17">
      <c r="B17" s="4" t="inlineStr">
        <is>
          <t>Si Proteges los Aparatos con Extinción Automática</t>
        </is>
      </c>
    </row>
    <row r="18">
      <c r="B18" s="6" t="inlineStr">
        <is>
          <t>¿Proteges los aparatos con un sistema automático de extinción?</t>
        </is>
      </c>
      <c r="D18" s="5" t="inlineStr">
        <is>
          <t>No</t>
        </is>
      </c>
      <c r="I18" s="11" t="inlineStr">
        <is>
          <t>El Molinete no la instala: con su potencia no la necesita. Ponerla aunque no sea obligatoria es la otra salida de la decisión 4, con su coste en el libro 2.</t>
        </is>
      </c>
    </row>
    <row r="19">
      <c r="B19" s="6" t="inlineStr">
        <is>
          <t>¿El edificio es de uso hospitalario o residencial público?</t>
        </is>
      </c>
      <c r="D19" s="5" t="inlineStr">
        <is>
          <t>No</t>
        </is>
      </c>
      <c r="I19" s="11" t="inlineStr">
        <is>
          <t>Una churrería no lo es. Dentro de un hotel o un hospital, la nota (2) no te libra y los umbrales son otros.</t>
        </is>
      </c>
    </row>
    <row r="20" ht="34" customHeight="1">
      <c r="B20" s="6" t="inlineStr">
        <is>
          <t>VEREDICTO DEL CÓDIGO TÉCNICO PARA TU COCINA</t>
        </is>
      </c>
      <c r="D20" s="21" t="str">
        <f>IF(NOT(ISNUMBER(D12)),"",IF(D12&lt;='Parámetros'!$B$10,"No es local de riesgo especial (no pasa del umbral bajo)",IF(AND(D18="Sí",D19="No"),"No es local de riesgo especial (nota 2 del CTE), aunque te sigue aplicando la nota (3)",IF(D12&gt;'Parámetros'!$B$12,"Riesgo alto sin extinción automática: es obligatoria","Local de riesgo especial: "&amp;LOWER(D13)))))</f>
        <v>Local de riesgo especial: riesgo bajo</v>
      </c>
    </row>
    <row r="21">
      <c r="B21" s="6" t="inlineStr">
        <is>
          <t>¿Te aplica la nota (3) (campana, conductos EI 30 y filtros)?</t>
        </is>
      </c>
      <c r="D21" s="24" t="str">
        <f>IF(NOT(ISNUMBER(D12)),"",IF(D12&gt;'Parámetros'!$B$10,"Sí","No"))</f>
        <v>Sí</v>
      </c>
      <c r="I21" s="11" t="inlineStr">
        <is>
          <t>La nota (3) alcanza a la cocina que es local de riesgo especial, y la sigue alcanzando aunque la extinción automática la saque de esa categoría.</t>
        </is>
      </c>
    </row>
    <row r="22">
      <c r="B22" s="6" t="inlineStr">
        <is>
          <t>Distancia mínima del filtro al foco de calor</t>
        </is>
      </c>
      <c r="D22" s="31">
        <f>IFERROR(IF(COUNTIF(C6:C7,"Sí")=0,"",MAX(G6:G7)),"")</f>
        <v>1.2</v>
      </c>
      <c r="I22" s="11" t="inlineStr">
        <is>
          <t>Más de 1,20 m si el aparato es de gas o de parrilla; más de 0,50 m con los demás. Con varias freidoras manda la más exigente.</t>
        </is>
      </c>
    </row>
    <row r="23" ht="34" customHeight="1">
      <c r="B23" s="6" t="inlineStr">
        <is>
          <t>Qué te obliga a pedir en la visita</t>
        </is>
      </c>
      <c r="D23" t="str">
        <f>IF(D21="","",IF(D21="Sí","Campana separada de materiales no A1, conductos EI 30 y filtros a la distancia de arriba","Campana y conducto según la ordenanza de tu municipio"))</f>
        <v>Campana separada de materiales no A1, conductos EI 30 y filtros a la distancia de arriba</v>
      </c>
    </row>
    <row r="24"/>
    <row r="25"/>
    <row r="26">
      <c r="B26" s="29" t="inlineStr">
        <is>
          <t>Listas de validación (no las borres: las usan los desplegables)</t>
        </is>
      </c>
    </row>
    <row r="27">
      <c r="B27" s="24" t="inlineStr">
        <is>
          <t>Sí o No</t>
        </is>
      </c>
      <c r="C27" s="24" t="inlineStr">
        <is>
          <t>Tipo de aparato</t>
        </is>
      </c>
    </row>
    <row r="28">
      <c r="B28" t="inlineStr">
        <is>
          <t>Sí</t>
        </is>
      </c>
      <c r="C28" t="inlineStr">
        <is>
          <t>Gas</t>
        </is>
      </c>
    </row>
    <row r="29">
      <c r="B29" t="inlineStr">
        <is>
          <t>No</t>
        </is>
      </c>
      <c r="C29" t="inlineStr">
        <is>
          <t>Parrilla</t>
        </is>
      </c>
    </row>
    <row r="30">
      <c r="C30" t="inlineStr">
        <is>
          <t>Otro</t>
        </is>
      </c>
    </row>
  </sheetData>
  <sheetProtection selectLockedCells="0" selectUnlockedCells="0" sheet="1" objects="0" insertRows="0" insertHyperlinks="1" autoFilter="1" scenarios="0" formatColumns="0" deleteColumns="1" insertColumns="1" pivotTables="1" deleteRows="1" formatCells="1" formatRows="0" sort="0"/>
  <mergeCells count="2">
    <mergeCell ref="D23:H23"/>
    <mergeCell ref="D20:H20"/>
  </mergeCells>
  <conditionalFormatting sqref="D13">
    <cfRule type="cellIs" priority="1" operator="equal" dxfId="0" stopIfTrue="1">
      <formula>"Riesgo alto"</formula>
    </cfRule>
    <cfRule type="cellIs" priority="2" operator="equal" dxfId="2" stopIfTrue="1">
      <formula>"Riesgo medio"</formula>
    </cfRule>
    <cfRule type="cellIs" priority="3" operator="equal" dxfId="2" stopIfTrue="1">
      <formula>"Riesgo bajo"</formula>
    </cfRule>
    <cfRule type="cellIs" priority="4" operator="equal" dxfId="1" stopIfTrue="1">
      <formula>"No es local de riesgo especial"</formula>
    </cfRule>
  </conditionalFormatting>
  <conditionalFormatting sqref="D15">
    <cfRule type="cellIs" priority="5" operator="equal" dxfId="0" stopIfTrue="1">
      <formula>"Sí, obligatoria"</formula>
    </cfRule>
    <cfRule type="cellIs" priority="6" operator="equal" dxfId="1" stopIfTrue="1">
      <formula>"No obligatoria"</formula>
    </cfRule>
  </conditionalFormatting>
  <dataValidations count="4">
    <dataValidation sqref="D6 D7" showDropDown="0" showInputMessage="0" showErrorMessage="1" allowBlank="1" errorTitle="Importe no válido" error="Escribe un número mayor o igual que 0." type="decimal" operator="greaterThanOrEqual">
      <formula1>0</formula1>
    </dataValidation>
    <dataValidation sqref="D11" showDropDown="0" showInputMessage="0" showErrorMessage="1" allowBlank="1" errorTitle="Importe no válido" error="Escribe un número mayor o igual que 0." type="decimal" operator="greaterThanOrEqual">
      <formula1>0</formula1>
    </dataValidation>
    <dataValidation sqref="C6 C7 D18 D19" showDropDown="0" showInputMessage="0" showErrorMessage="1" allowBlank="0" errorTitle="Sí o No" error="Elige «Sí» o «No» de la lista." type="list">
      <formula1>=$B$28:$B$29</formula1>
    </dataValidation>
    <dataValidation sqref="E6 E7" showDropDown="0" showInputMessage="0" showErrorMessage="1" allowBlank="0" errorTitle="Tipo de aparato" error="Elige «Gas», «Parrilla» u «Otro» de la lista." type="list">
      <formula1>=$C$28:$C$30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M17"/>
  <sheetViews>
    <sheetView workbookViewId="0">
      <selection activeCell="A1" sqref="A1"/>
    </sheetView>
  </sheetViews>
  <sheetFormatPr baseColWidth="8" defaultRowHeight="15"/>
  <cols>
    <col width="52" customWidth="1" min="1" max="1"/>
    <col width="30" customWidth="1" min="2" max="2"/>
    <col width="70" customWidth="1" min="4" max="4"/>
    <col width="40" customWidth="1" min="11" max="11"/>
    <col width="14" customWidth="1" min="12" max="12"/>
    <col width="48" customWidth="1" min="13" max="13"/>
  </cols>
  <sheetData>
    <row r="1">
      <c r="A1" s="1" t="inlineStr">
        <is>
          <t>Cuello de Botella</t>
        </is>
      </c>
    </row>
    <row r="2">
      <c r="A2" s="2" t="inlineStr">
        <is>
          <t>AI Chef Pro · aichef.pro — Cómo Montar una Churrería-Chocolatería</t>
        </is>
      </c>
    </row>
    <row r="3">
      <c r="A3" s="3" t="inlineStr">
        <is>
          <t>El eslabón que manda y las raciones por hora que aguanta el conjunto. Cómo se reparte la demanda por franjas y si aguantas el pico del domingo lo calcula el libro 5 con esta capacidad.</t>
        </is>
      </c>
    </row>
    <row r="4">
      <c r="K4" s="4" t="inlineStr">
        <is>
          <t>Lo que Copian Otros Libros (No Muevas Estas Celdas)</t>
        </is>
      </c>
    </row>
    <row r="5" ht="30" customHeight="1">
      <c r="A5" s="4" t="inlineStr">
        <is>
          <t>Capacidad del Conjunto</t>
        </is>
      </c>
      <c r="K5" s="16" t="inlineStr">
        <is>
          <t>Capacidad del conjunto (raciones por hora)</t>
        </is>
      </c>
      <c r="L5" s="23">
        <f>B11</f>
        <v>122.55136168179646</v>
      </c>
      <c r="M5" s="11" t="inlineStr">
        <is>
          <t>Lo copia: libro 5 (temporada-franjas-y-ferias.xlsx, hoja Parámetros, X4)</t>
        </is>
      </c>
    </row>
    <row r="6" ht="30" customHeight="1">
      <c r="A6" s="6" t="inlineStr">
        <is>
          <t>Kilos de masa por hora que aguanta el conjunto</t>
        </is>
      </c>
      <c r="B6" s="32">
        <f>IFERROR(MIN('Equipos y Capacidad'!$G$9:$G$11),"")</f>
        <v>12.0</v>
      </c>
      <c r="D6" s="11" t="inlineStr">
        <is>
          <t>El eslabón más lento marca el ritmo de toda la línea.</t>
        </is>
      </c>
    </row>
    <row r="7" ht="30" customHeight="1">
      <c r="A7" s="6" t="inlineStr">
        <is>
          <t>El eslabón que manda</t>
        </is>
      </c>
      <c r="B7" s="21" t="str">
        <f>IFERROR(INDEX('Equipos y Capacidad'!$B$9:$B$11,MATCH(B6,'Equipos y Capacidad'!$G$9:$G$11,0)),"")</f>
        <v>Línea de dosificado y fritura (con su churrero/a)</v>
      </c>
      <c r="D7" s="11" t="inlineStr">
        <is>
          <t>Es el que hay que mejorar primero. Comprar otro equipo antes es dinero parado.</t>
        </is>
      </c>
    </row>
    <row r="8" ht="30" customHeight="1">
      <c r="A8" s="6" t="inlineStr">
        <is>
          <t>Kilos por hora del segundo eslabón más justo</t>
        </is>
      </c>
      <c r="B8" s="32">
        <f>IFERROR(SMALL('Equipos y Capacidad'!$G$9:$G$11,2),"")</f>
        <v>15.0</v>
      </c>
      <c r="D8" s="11" t="inlineStr">
        <is>
          <t>Si está muy cerca del primero, resolver sólo el cuello te sube poco la capacidad.</t>
        </is>
      </c>
    </row>
    <row r="9" ht="30" customHeight="1">
      <c r="A9" s="6" t="inlineStr">
        <is>
          <t>Y es</t>
        </is>
      </c>
      <c r="B9" s="33" t="str">
        <f>IFERROR(INDEX('Equipos y Capacidad'!$B$9:$B$11,MATCH(B8,'Equipos y Capacidad'!$G$9:$G$11,0)),"")</f>
        <v>Freidora (por tandas)</v>
      </c>
    </row>
    <row r="10" ht="30" customHeight="1">
      <c r="A10" s="6" t="inlineStr">
        <is>
          <t>Kilos de masa por ración media (copiados del libro 3)</t>
        </is>
      </c>
      <c r="B10" s="34">
        <f>'Parámetros'!$B$22</f>
        <v>0.09791812865497077</v>
      </c>
      <c r="D10" s="11" t="inlineStr">
        <is>
          <t>Viene de la celda verde de «Parámetros», con su fila de CUADRE.</t>
        </is>
      </c>
    </row>
    <row r="11" ht="30" customHeight="1">
      <c r="A11" s="6" t="inlineStr">
        <is>
          <t>RACIONES POR HORA QUE AGUANTA EL CONJUNTO</t>
        </is>
      </c>
      <c r="B11" s="23">
        <f>IFERROR(B6/B10,"")</f>
        <v>122.55136168179646</v>
      </c>
      <c r="D11" s="11" t="inlineStr">
        <is>
          <t>Es la cifra que viaja al libro 5, que la cruza con tus franjas y con la cola del domingo.</t>
        </is>
      </c>
    </row>
    <row r="12" ht="30" customHeight="1">
      <c r="A12" s="6" t="inlineStr">
        <is>
          <t>Raciones por hora y persona en la línea</t>
        </is>
      </c>
      <c r="B12" s="32">
        <f>IFERROR(B11/'Equipos y Capacidad'!$D$5,"")</f>
        <v>61.27568084089823</v>
      </c>
    </row>
    <row r="13"/>
    <row r="14">
      <c r="A14" s="4" t="inlineStr">
        <is>
          <t>Horas de Línea que Te Pide el Día</t>
        </is>
      </c>
    </row>
    <row r="15" ht="40" customHeight="1">
      <c r="A15" s="6" t="inlineStr">
        <is>
          <t>Horas de línea a pleno ritmo en el día tipo</t>
        </is>
      </c>
      <c r="B15" s="35">
        <f>IFERROR('Día Tipo y Día Punta'!$B$8/B6,"")</f>
        <v>2.0399610136452244</v>
      </c>
      <c r="D15" s="11" t="inlineStr">
        <is>
          <t>Son horas de fritura si la línea no parase nunca. La demanda no llega repartida: la mitad del día se concentra en el desayuno.</t>
        </is>
      </c>
    </row>
    <row r="16" ht="30" customHeight="1">
      <c r="A16" s="6" t="inlineStr">
        <is>
          <t>Horas de línea a pleno ritmo en el día punta</t>
        </is>
      </c>
      <c r="B16" s="35">
        <f>IFERROR('Día Tipo y Día Punta'!$C$8/B6,"")</f>
        <v>3.263937621832359</v>
      </c>
    </row>
    <row r="17" ht="64" customHeight="1">
      <c r="A17" s="24" t="inlineStr">
        <is>
          <t>¿Una churrera o dos?</t>
        </is>
      </c>
      <c r="B17" t="str">
        <f>IF(B11="","","El veredicto está en el libro 5, hoja «Capacidad contra el Pico», celda E23: allí esta capacidad se cruza con tus franjas")</f>
        <v>El veredicto está en el libro 5, hoja «Capacidad contra el Pico», celda E23: allí esta capacidad se cruza con tus franjas</v>
      </c>
      <c r="D17" s="11" t="inlineStr">
        <is>
          <t>La respuesta no está en el total del día sino en la hora punta del domingo, y esa hora sólo existe en el libro 5. Aquí ves el eslabón que manda y cuánto sube la capacidad si lo mejoras; allí, con esa capacidad copiada, sale el veredicto «una, con refuerzo, o dos». Si dice que hace falta más línea, activa la segunda freidora aquí y vuelve a copiar la capacidad.</t>
        </is>
      </c>
    </row>
  </sheetData>
  <sheetProtection selectLockedCells="0" selectUnlockedCells="0" sheet="1" objects="0" insertRows="0" insertHyperlinks="1" autoFilter="1" scenarios="0" formatColumns="0" deleteColumns="1" insertColumns="1" pivotTables="1" deleteRows="1" formatCells="1" formatRows="0" sort="0"/>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M18"/>
  <sheetViews>
    <sheetView workbookViewId="0">
      <pane ySplit="5" topLeftCell="A6" activePane="bottomLeft" state="frozen"/>
      <selection pane="bottomLeft" activeCell="A1" sqref="A1"/>
    </sheetView>
  </sheetViews>
  <sheetFormatPr baseColWidth="8" defaultRowHeight="15"/>
  <cols>
    <col width="46" customWidth="1" min="1" max="1"/>
    <col width="16" customWidth="1" min="2" max="2"/>
    <col width="16" customWidth="1" min="3" max="3"/>
    <col width="70" customWidth="1" min="4" max="4"/>
    <col width="40" customWidth="1" min="11" max="11"/>
    <col width="14" customWidth="1" min="12" max="12"/>
    <col width="48" customWidth="1" min="13" max="13"/>
  </cols>
  <sheetData>
    <row r="1">
      <c r="A1" s="1" t="inlineStr">
        <is>
          <t>Día Tipo y Día Punta</t>
        </is>
      </c>
    </row>
    <row r="2">
      <c r="A2" s="2" t="inlineStr">
        <is>
          <t>AI Chef Pro · aichef.pro — Cómo Montar una Churrería-Chocolatería</t>
        </is>
      </c>
    </row>
    <row r="3">
      <c r="A3" s="3" t="inlineStr">
        <is>
          <t>La ÚNICA fuente de la demanda base del paquete: las raciones de un día de diario y de un sábado, domingo o festivo. El reparto por mes y por franja lo hace el libro 5.</t>
        </is>
      </c>
    </row>
    <row r="4">
      <c r="K4" s="4" t="inlineStr">
        <is>
          <t>Lo que Copian Otros Libros (No Muevas Estas Celdas)</t>
        </is>
      </c>
    </row>
    <row r="5" ht="42" customHeight="1">
      <c r="A5" s="9" t="inlineStr">
        <is>
          <t>Concepto</t>
        </is>
      </c>
      <c r="B5" s="9" t="inlineStr">
        <is>
          <t>Día tipo (lunes a viernes)</t>
        </is>
      </c>
      <c r="C5" s="9" t="inlineStr">
        <is>
          <t>Día punta (sábado, domingo y festivo)</t>
        </is>
      </c>
      <c r="D5" s="9" t="inlineStr">
        <is>
          <t>Nota</t>
        </is>
      </c>
      <c r="K5" s="16" t="inlineStr">
        <is>
          <t>kg fritos en un día tipo</t>
        </is>
      </c>
      <c r="L5" s="23">
        <f>B10</f>
        <v>22.031578947368423</v>
      </c>
      <c r="M5" s="11" t="inlineStr">
        <is>
          <t>Lo copia: libro 4 (aceite-de-fritura-coste-y-cambio.xlsx, hoja Parámetros, X3)</t>
        </is>
      </c>
    </row>
    <row r="6" ht="34" customHeight="1">
      <c r="A6" s="24" t="inlineStr">
        <is>
          <t>Raciones al día</t>
        </is>
      </c>
      <c r="B6" s="13" t="n">
        <v>250</v>
      </c>
      <c r="C6" s="13" t="n">
        <v>400</v>
      </c>
      <c r="D6" s="11" t="inlineStr">
        <is>
          <t>Supuesto de El Molinete, no un dato del sector. Pon las tuyas: al principio, una estimación; a los tres meses, las del TPV.</t>
        </is>
      </c>
      <c r="K6" s="16" t="inlineStr">
        <is>
          <t>kg fritos en un día punta</t>
        </is>
      </c>
      <c r="L6" s="23">
        <f>C10</f>
        <v>35.25052631578948</v>
      </c>
      <c r="M6" s="11" t="inlineStr">
        <is>
          <t>Lo copia: libro 4 (aceite-de-fritura-coste-y-cambio.xlsx, hoja Parámetros, X3)</t>
        </is>
      </c>
    </row>
    <row r="7" ht="30" customHeight="1">
      <c r="A7" s="33" t="inlineStr">
        <is>
          <t>Kilos de masa por ración media (de «Parámetros»)</t>
        </is>
      </c>
      <c r="B7" s="34">
        <f>'Parámetros'!$B$22</f>
        <v>0.09791812865497077</v>
      </c>
      <c r="C7" s="34">
        <f>'Parámetros'!$B$22</f>
        <v>0.09791812865497077</v>
      </c>
      <c r="D7" s="11" t="inlineStr">
        <is>
          <t>Copiados del libro 3, merma incluida.</t>
        </is>
      </c>
      <c r="K7" s="16" t="inlineStr">
        <is>
          <t>Raciones del día tipo</t>
        </is>
      </c>
      <c r="L7" s="28">
        <f>B6</f>
        <v>250.0</v>
      </c>
      <c r="M7" s="11" t="inlineStr">
        <is>
          <t>Lo copia: libro 4 (aceite-de-fritura-coste-y-cambio.xlsx, hoja Parámetros, X3 bis); libro 5 (temporada-franjas-y-ferias.xlsx, hoja Parámetros, X4)</t>
        </is>
      </c>
    </row>
    <row r="8" ht="30" customHeight="1">
      <c r="A8" s="33" t="inlineStr">
        <is>
          <t>Kilos de masa al día</t>
        </is>
      </c>
      <c r="B8" s="32">
        <f>IFERROR(B6*B7,"")</f>
        <v>24.479532163742693</v>
      </c>
      <c r="C8" s="32">
        <f>IFERROR(C6*C7,"")</f>
        <v>39.16725146198831</v>
      </c>
      <c r="D8" s="11" t="inlineStr">
        <is>
          <t>Lo que hay que amasar, dosificar y freír.</t>
        </is>
      </c>
      <c r="K8" s="16" t="inlineStr">
        <is>
          <t>Raciones del día punta</t>
        </is>
      </c>
      <c r="L8" s="28">
        <f>C6</f>
        <v>400.0</v>
      </c>
      <c r="M8" s="11" t="inlineStr">
        <is>
          <t>Lo copia: libro 4 (aceite-de-fritura-coste-y-cambio.xlsx, hoja Parámetros, X3 bis); libro 5 (temporada-franjas-y-ferias.xlsx, hoja Parámetros, X4)</t>
        </is>
      </c>
    </row>
    <row r="9">
      <c r="A9" s="33" t="inlineStr">
        <is>
          <t>Kilos fritos por kilo de masa (de «Parámetros»)</t>
        </is>
      </c>
      <c r="B9" s="36">
        <f>'Parámetros'!$B$26</f>
        <v>0.9</v>
      </c>
      <c r="C9" s="36">
        <f>'Parámetros'!$B$26</f>
        <v>0.9</v>
      </c>
    </row>
    <row r="10">
      <c r="A10" s="24" t="inlineStr">
        <is>
          <t>KILOS FRITOS AL DÍA</t>
        </is>
      </c>
      <c r="B10" s="23">
        <f>IFERROR(B8*B9,"")</f>
        <v>22.031578947368423</v>
      </c>
      <c r="C10" s="23">
        <f>IFERROR(C8*C9,"")</f>
        <v>35.25052631578948</v>
      </c>
      <c r="D10" s="11" t="inlineStr">
        <is>
          <t>Es lo que viaja al libro 4 para calcular el aceite que se lleva el producto.</t>
        </is>
      </c>
    </row>
    <row r="11">
      <c r="A11" s="33" t="inlineStr">
        <is>
          <t>Tandas de freidora al día</t>
        </is>
      </c>
      <c r="B11" s="37">
        <f>IFERROR(ROUNDUP(B8/'Equipos y Capacidad'!$D$10,0),"")</f>
        <v>25.0</v>
      </c>
      <c r="C11" s="37">
        <f>IFERROR(ROUNDUP(C8/'Equipos y Capacidad'!$D$10,0),"")</f>
        <v>40.0</v>
      </c>
    </row>
    <row r="12">
      <c r="A12" s="33" t="inlineStr">
        <is>
          <t>Amasados al día</t>
        </is>
      </c>
      <c r="B12" s="37">
        <f>IFERROR(ROUNDUP(B8/'Equipos y Capacidad'!$D$11,0),"")</f>
        <v>1.0</v>
      </c>
      <c r="C12" s="37">
        <f>IFERROR(ROUNDUP(C8/'Equipos y Capacidad'!$D$11,0),"")</f>
        <v>2.0</v>
      </c>
      <c r="D12" s="11" t="inlineStr">
        <is>
          <t>Con una amasadora grande, uno o dos al día; el resto del tiempo está parada.</t>
        </is>
      </c>
    </row>
    <row r="13">
      <c r="A13" s="33" t="inlineStr">
        <is>
          <t>Horas de línea a pleno ritmo</t>
        </is>
      </c>
      <c r="B13" s="32">
        <f>IFERROR(B8/'Cuello de Botella'!$B$6,"")</f>
        <v>2.0399610136452244</v>
      </c>
      <c r="C13" s="32">
        <f>IFERROR(C8/'Cuello de Botella'!$B$6,"")</f>
        <v>3.263937621832359</v>
      </c>
      <c r="D13" s="11" t="inlineStr">
        <is>
          <t>Con el eslabón que manda en la hoja «Cuello de Botella».</t>
        </is>
      </c>
    </row>
    <row r="14"/>
    <row r="15">
      <c r="A15" s="4" t="inlineStr">
        <is>
          <t>La Semana Tipo</t>
        </is>
      </c>
    </row>
    <row r="16">
      <c r="A16" t="inlineStr">
        <is>
          <t>Raciones de la semana tipo</t>
        </is>
      </c>
      <c r="B16" s="14">
        <f>IFERROR(B6*'Parámetros'!$B$17+C6*'Parámetros'!$B$18,"")</f>
        <v>2050.0</v>
      </c>
      <c r="D16" s="11" t="inlineStr">
        <is>
          <t>Sin estacionalidad: las raciones del año, mes a mes, las reparte el libro 5 con sus doce coeficientes.</t>
        </is>
      </c>
    </row>
    <row r="17">
      <c r="A17" t="inlineStr">
        <is>
          <t>Kilos de masa de la semana tipo</t>
        </is>
      </c>
      <c r="B17" s="26">
        <f>IFERROR(B8*'Parámetros'!$B$17+C8*'Parámetros'!$B$18,"")</f>
        <v>200.7321637426901</v>
      </c>
    </row>
    <row r="18">
      <c r="A18" t="inlineStr">
        <is>
          <t>Raciones de un día medio de la semana</t>
        </is>
      </c>
      <c r="B18" s="26">
        <f>IFERROR(B16/('Parámetros'!$B$17+'Parámetros'!$B$18),"")</f>
        <v>292.85714285714283</v>
      </c>
    </row>
  </sheetData>
  <sheetProtection selectLockedCells="0" selectUnlockedCells="0" sheet="1" objects="0" insertRows="0" insertHyperlinks="1" autoFilter="1" scenarios="0" formatColumns="0" deleteColumns="1" insertColumns="1" pivotTables="1" deleteRows="1" formatCells="1" formatRows="0" sort="0"/>
  <dataValidations count="1">
    <dataValidation sqref="B6 C6"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J29"/>
  <sheetViews>
    <sheetView workbookViewId="0">
      <pane ySplit="5" topLeftCell="A6" activePane="bottomLeft" state="frozen"/>
      <selection pane="bottomLeft" activeCell="A1" sqref="A1"/>
    </sheetView>
  </sheetViews>
  <sheetFormatPr baseColWidth="8" defaultRowHeight="15"/>
  <cols>
    <col width="5" customWidth="1" min="1" max="1"/>
    <col width="40" customWidth="1" min="2" max="2"/>
    <col width="11" customWidth="1" min="3" max="3"/>
    <col width="40" customWidth="1" min="4" max="4"/>
    <col width="13" customWidth="1" min="5" max="5"/>
    <col width="12" customWidth="1" min="6" max="6"/>
    <col width="13" customWidth="1" min="7" max="7"/>
    <col width="18" customWidth="1" min="8" max="8"/>
    <col width="18" customWidth="1" min="9" max="9"/>
    <col width="70" customWidth="1" min="10" max="10"/>
  </cols>
  <sheetData>
    <row r="1">
      <c r="A1" s="1" t="inlineStr">
        <is>
          <t>Ficha de Visita a Local</t>
        </is>
      </c>
    </row>
    <row r="2">
      <c r="A2" s="2" t="inlineStr">
        <is>
          <t>AI Chef Pro · aichef.pro — Cómo Montar una Churrería-Chocolatería</t>
        </is>
      </c>
    </row>
    <row r="3">
      <c r="A3" s="3" t="inlineStr">
        <is>
          <t>Imprímela y llévala a cada visita. Los cuatro eliminatorios van primero y en este orden. Una respuesta que descarta en un eliminatorio y el veredicto es DESCARTAR.</t>
        </is>
      </c>
    </row>
    <row r="4"/>
    <row r="5" ht="58" customHeight="1">
      <c r="A5" s="9" t="inlineStr">
        <is>
          <t>Nº</t>
        </is>
      </c>
      <c r="B5" s="9" t="inlineStr">
        <is>
          <t>Qué se comprueba</t>
        </is>
      </c>
      <c r="C5" s="9" t="inlineStr">
        <is>
          <t>¿Eliminatorio?</t>
        </is>
      </c>
      <c r="D5" s="9" t="inlineStr">
        <is>
          <t>Cómo se comprueba</t>
        </is>
      </c>
      <c r="E5" s="9" t="inlineStr">
        <is>
          <t>Respuesta</t>
        </is>
      </c>
      <c r="F5" s="9" t="inlineStr">
        <is>
          <t>Respuesta que descarta</t>
        </is>
      </c>
      <c r="G5" s="9" t="inlineStr">
        <is>
          <t>Respuesta que obliga a obra con licencia</t>
        </is>
      </c>
      <c r="H5" s="9" t="inlineStr">
        <is>
          <t>Dato de tu proyecto</t>
        </is>
      </c>
      <c r="I5" s="9" t="inlineStr">
        <is>
          <t>Veredicto</t>
        </is>
      </c>
      <c r="J5" s="9" t="inlineStr">
        <is>
          <t>Nota y norma</t>
        </is>
      </c>
    </row>
    <row r="6" ht="64" customHeight="1">
      <c r="A6" s="14" t="n">
        <v>1</v>
      </c>
      <c r="B6" s="6" t="inlineStr">
        <is>
          <t>¿La extracción necesita proyecto?</t>
        </is>
      </c>
      <c r="C6" t="inlineStr">
        <is>
          <t>Sí</t>
        </is>
      </c>
      <c r="D6" s="6" t="inlineStr">
        <is>
          <t>Pregunta al técnico, con el plano delante, por dónde subiría el conducto. Si cruza fachada, patio o cubierta comunitaria, la obra lleva proyecto.</t>
        </is>
      </c>
      <c r="E6" s="5" t="inlineStr">
        <is>
          <t>Sí</t>
        </is>
      </c>
      <c r="F6" t="inlineStr">
        <is>
          <t>Ninguna</t>
        </is>
      </c>
      <c r="G6" t="inlineStr">
        <is>
          <t>Sí</t>
        </is>
      </c>
      <c r="I6" s="24" t="str">
        <f>IF(E6="","",IF(E6="Por comprobar",IF(C6="Sí","Pendiente","Por comprobar"),IF(E6=F6,IF(C6="Sí","DESCARTAR","Punto débil"),IF(E6=G6,"Con obra y licencia","OK"))))</f>
        <v>Con obra y licencia</v>
      </c>
      <c r="J6" s="6" t="inlineStr">
        <is>
          <t>Si el conducto tiene que subir a cubierta o cruzar fachada o patio, casi siempre: licencia de obra y técnico, aunque la actividad vaya por declaración responsable.</t>
        </is>
      </c>
    </row>
    <row r="7" ht="64" customHeight="1">
      <c r="A7" s="14" t="n">
        <v>2</v>
      </c>
      <c r="B7" s="6" t="inlineStr">
        <is>
          <t>¿Se puede llevar un conducto a cubierta?</t>
        </is>
      </c>
      <c r="C7" t="inlineStr">
        <is>
          <t>Sí</t>
        </is>
      </c>
      <c r="D7" s="6" t="inlineStr">
        <is>
          <t>Sube a la cubierta con el propietario y pide por escrito el permiso de la comunidad ANTES de firmar.</t>
        </is>
      </c>
      <c r="E7" s="5" t="inlineStr">
        <is>
          <t>Sí</t>
        </is>
      </c>
      <c r="F7" t="inlineStr">
        <is>
          <t>No</t>
        </is>
      </c>
      <c r="G7" t="inlineStr">
        <is>
          <t>Ninguna</t>
        </is>
      </c>
      <c r="I7" s="24" t="str">
        <f>IF(E7="","",IF(E7="Por comprobar",IF(C7="Sí","Pendiente","Por comprobar"),IF(E7=F7,IF(C7="Sí","DESCARTAR","Punto débil"),IF(E7=G7,"Con obra y licencia","OK"))))</f>
        <v>OK</v>
      </c>
      <c r="J7" s="6" t="inlineStr">
        <is>
          <t>En el ejemplo de Madrid, quien cocina evacua por conducto a cubierta; la excepción de los 4 kW eléctricos no ampara una freidora de baño abierto.</t>
        </is>
      </c>
    </row>
    <row r="8" ht="64" customHeight="1">
      <c r="A8" s="14" t="n">
        <v>3</v>
      </c>
      <c r="B8" s="6" t="inlineStr">
        <is>
          <t>¿Hay gas, o hay que llevarlo?</t>
        </is>
      </c>
      <c r="C8" t="inlineStr">
        <is>
          <t>Sí</t>
        </is>
      </c>
      <c r="D8" s="6" t="inlineStr">
        <is>
          <t>Pide el certificado de la última inspección de la instalación de gas del local o pregunta a la distribuidora si llega la acometida.</t>
        </is>
      </c>
      <c r="E8" s="5" t="inlineStr">
        <is>
          <t>Sí</t>
        </is>
      </c>
      <c r="F8" t="inlineStr">
        <is>
          <t>No</t>
        </is>
      </c>
      <c r="G8" t="inlineStr">
        <is>
          <t>Ninguna</t>
        </is>
      </c>
      <c r="I8" s="24" t="str">
        <f>IF(E8="","",IF(E8="Por comprobar",IF(C8="Sí","Pendiente","Por comprobar"),IF(E8=F8,IF(C8="Sí","DESCARTAR","Punto débil"),IF(E8=G8,"Con obra y licencia","OK"))))</f>
        <v>OK</v>
      </c>
      <c r="J8" s="6" t="inlineStr">
        <is>
          <t>Gas con instalación receptora (inspección cada cinco años) o freidora eléctrica con su potencia contratada. La bombona pequeña no vale para un local (CUN-28).</t>
        </is>
      </c>
    </row>
    <row r="9" ht="64" customHeight="1">
      <c r="A9" s="14" t="n">
        <v>4</v>
      </c>
      <c r="B9" s="6" t="inlineStr">
        <is>
          <t>¿Aguanta la potencia y el riesgo de incendio?</t>
        </is>
      </c>
      <c r="C9" t="inlineStr">
        <is>
          <t>Sí</t>
        </is>
      </c>
      <c r="D9" s="6" t="inlineStr">
        <is>
          <t>Lleva los kW de la hoja «Freidoras, Potencia y Riesgo» a la visita y pregunta al técnico si la cocina puede quedar sectorizada como local de riesgo especial.</t>
        </is>
      </c>
      <c r="E9" s="5" t="inlineStr">
        <is>
          <t>Sí</t>
        </is>
      </c>
      <c r="F9" t="inlineStr">
        <is>
          <t>No</t>
        </is>
      </c>
      <c r="G9" t="inlineStr">
        <is>
          <t>Ninguna</t>
        </is>
      </c>
      <c r="H9" t="str">
        <f>ROUND('Freidoras, Potencia y Riesgo'!$D$12,0)&amp;" kW · "&amp;'Freidoras, Potencia y Riesgo'!$D$13</f>
        <v>28 kW · Riesgo bajo</v>
      </c>
      <c r="I9" s="24" t="str">
        <f>IF(E9="","",IF(E9="Por comprobar",IF(C9="Sí","Pendiente","Por comprobar"),IF(E9=F9,IF(C9="Sí","DESCARTAR","Punto débil"),IF(E9=G9,"Con obra y licencia","OK"))))</f>
        <v>OK</v>
      </c>
      <c r="J9" s="6" t="inlineStr">
        <is>
          <t>Freidoras a 1 kW por litro: por encima de 20 kW la cocina es local de riesgo especial.</t>
        </is>
      </c>
    </row>
    <row r="10" ht="64" customHeight="1">
      <c r="A10" s="14" t="n">
        <v>5</v>
      </c>
      <c r="B10" s="6" t="inlineStr">
        <is>
          <t>¿La superficie útil llega a los m² que has repartido por zonas?</t>
        </is>
      </c>
      <c r="C10" t="inlineStr">
        <is>
          <t>No</t>
        </is>
      </c>
      <c r="D10" s="6" t="inlineStr">
        <is>
          <t>Superficie útil real, sin muros ni patinillos. El anuncio suele dar la construida.</t>
        </is>
      </c>
      <c r="E10" s="5" t="inlineStr">
        <is>
          <t>Sí</t>
        </is>
      </c>
      <c r="F10" t="inlineStr">
        <is>
          <t>No</t>
        </is>
      </c>
      <c r="G10" t="inlineStr">
        <is>
          <t>Ninguna</t>
        </is>
      </c>
      <c r="H10" s="38">
        <f>'Zonas y m²'!$D$13</f>
        <v>75.0</v>
      </c>
      <c r="I10" s="24" t="str">
        <f>IF(E10="","",IF(E10="Por comprobar",IF(C10="Sí","Pendiente","Por comprobar"),IF(E10=F10,IF(C10="Sí","DESCARTAR","Punto débil"),IF(E10=G10,"Con obra y licencia","OK"))))</f>
        <v>OK</v>
      </c>
      <c r="J10" s="6" t="inlineStr">
        <is>
          <t>Entre la superficie construida y la útil se van con facilidad diez metros. El dato de la derecha es lo que has repartido en «Zonas y m²».</t>
        </is>
      </c>
    </row>
    <row r="11" ht="64" customHeight="1">
      <c r="A11" s="14" t="n">
        <v>6</v>
      </c>
      <c r="B11" s="6" t="inlineStr">
        <is>
          <t>¿Caben el aseo de público y el vestuario del personal?</t>
        </is>
      </c>
      <c r="C11" t="inlineStr">
        <is>
          <t>No</t>
        </is>
      </c>
      <c r="D11" s="6" t="inlineStr">
        <is>
          <t>Dibújalos sobre el plano con sus puertas antes de firmar.</t>
        </is>
      </c>
      <c r="E11" s="5" t="inlineStr">
        <is>
          <t>Sí</t>
        </is>
      </c>
      <c r="F11" t="inlineStr">
        <is>
          <t>No</t>
        </is>
      </c>
      <c r="G11" t="inlineStr">
        <is>
          <t>Ninguna</t>
        </is>
      </c>
      <c r="I11" s="24" t="str">
        <f>IF(E11="","",IF(E11="Por comprobar",IF(C11="Sí","Pendiente","Por comprobar"),IF(E11=F11,IF(C11="Sí","DESCARTAR","Punto débil"),IF(E11=G11,"Con obra y licencia","OK"))))</f>
        <v>OK</v>
      </c>
      <c r="J11" s="6" t="inlineStr">
        <is>
          <t>Si no caben, el local no sirve aunque el resto encaje: es obra o es otro local.</t>
        </is>
      </c>
    </row>
    <row r="12" ht="64" customHeight="1">
      <c r="A12" s="14" t="n">
        <v>7</v>
      </c>
      <c r="B12" s="6" t="inlineStr">
        <is>
          <t>¿Hay sitio para el almacén y el bidón del aceite usado?</t>
        </is>
      </c>
      <c r="C12" t="inlineStr">
        <is>
          <t>No</t>
        </is>
      </c>
      <c r="D12" s="6" t="inlineStr">
        <is>
          <t>Mide el hueco del almacén: harina, aceite nuevo, envases y el bidón que espera al gestor.</t>
        </is>
      </c>
      <c r="E12" s="5" t="inlineStr">
        <is>
          <t>Sí</t>
        </is>
      </c>
      <c r="F12" t="inlineStr">
        <is>
          <t>No</t>
        </is>
      </c>
      <c r="G12" t="inlineStr">
        <is>
          <t>Ninguna</t>
        </is>
      </c>
      <c r="I12" s="24" t="str">
        <f>IF(E12="","",IF(E12="Por comprobar",IF(C12="Sí","Pendiente","Por comprobar"),IF(E12=F12,IF(C12="Sí","DESCARTAR","Punto débil"),IF(E12=G12,"Con obra y licencia","OK"))))</f>
        <v>OK</v>
      </c>
      <c r="J12" s="6" t="inlineStr">
        <is>
          <t>El bidón del aceite usado no puede quedarse en la zona de fritura ni en la sala.</t>
        </is>
      </c>
    </row>
    <row r="13" ht="64" customHeight="1">
      <c r="A13" s="14" t="n">
        <v>8</v>
      </c>
      <c r="B13" s="6" t="inlineStr">
        <is>
          <t>¿La acera admite terraza y el ayuntamiento la autoriza?</t>
        </is>
      </c>
      <c r="C13" t="inlineStr">
        <is>
          <t>No</t>
        </is>
      </c>
      <c r="D13" s="6" t="inlineStr">
        <is>
          <t>Pregunta en el ayuntamiento por la ocupación de la vía pública en esa calle.</t>
        </is>
      </c>
      <c r="E13" s="5" t="inlineStr">
        <is>
          <t>Por comprobar</t>
        </is>
      </c>
      <c r="F13" t="inlineStr">
        <is>
          <t>No</t>
        </is>
      </c>
      <c r="G13" t="inlineStr">
        <is>
          <t>Ninguna</t>
        </is>
      </c>
      <c r="I13" s="24" t="str">
        <f>IF(E13="","",IF(E13="Por comprobar",IF(C13="Sí","Pendiente","Por comprobar"),IF(E13=F13,IF(C13="Sí","DESCARTAR","Punto débil"),IF(E13=G13,"Con obra y licencia","OK"))))</f>
        <v>Por comprobar</v>
      </c>
      <c r="J13" s="6" t="inlineStr">
        <is>
          <t>La terraza va con autorización propia, aparte de la actividad: la ocupación de la vía pública queda fuera del régimen de declaración responsable.</t>
        </is>
      </c>
    </row>
    <row r="14"/>
    <row r="15">
      <c r="B15" t="inlineStr">
        <is>
          <t>Motivos de descarte</t>
        </is>
      </c>
      <c r="E15" s="14">
        <f>COUNTIF(I6:I13,"DESCARTAR")</f>
        <v>0.0</v>
      </c>
    </row>
    <row r="16">
      <c r="B16" t="inlineStr">
        <is>
          <t>Eliminatorios sin comprobar</t>
        </is>
      </c>
      <c r="E16" s="14">
        <f>COUNTIF(I6:I13,"Pendiente")</f>
        <v>0.0</v>
      </c>
    </row>
    <row r="17">
      <c r="B17" t="inlineStr">
        <is>
          <t>Obligan a obra con proyecto y licencia</t>
        </is>
      </c>
      <c r="E17" s="14">
        <f>COUNTIF(I6:I13,"Con obra y licencia")</f>
        <v>1.0</v>
      </c>
    </row>
    <row r="18">
      <c r="B18" t="inlineStr">
        <is>
          <t>Puntos débiles y cosas por comprobar</t>
        </is>
      </c>
      <c r="E18" s="14">
        <f>COUNTIF(I6:I13,"Punto débil")+COUNTIF(I6:I13,"Por comprobar")</f>
        <v>1.0</v>
      </c>
    </row>
    <row r="19">
      <c r="B19" t="inlineStr">
        <is>
          <t>Resueltos sin problema</t>
        </is>
      </c>
      <c r="E19" s="14">
        <f>COUNTIF(I6:I13,"OK")</f>
        <v>6.0</v>
      </c>
    </row>
    <row r="20">
      <c r="B20" t="inlineStr">
        <is>
          <t>El primer eliminatorio que tumba el local</t>
        </is>
      </c>
      <c r="E20" t="str">
        <f>IFERROR(INDEX(B6:B13,MATCH("DESCARTAR",I6:I13,0)),"Ninguno")</f>
        <v>Ninguno</v>
      </c>
    </row>
    <row r="21">
      <c r="B21" s="24" t="inlineStr">
        <is>
          <t>VEREDICTO DEL LOCAL</t>
        </is>
      </c>
      <c r="E21" s="21" t="str">
        <f>IF(E15&gt;0,"DESCARTAR ESTE LOCAL",IF(E16&gt;0,"NO DECIDAS TODAVÍA",IF(E17+E18&gt;0,"SIGUE ADELANTE CON RESERVAS","SIGUE ADELANTE")))</f>
        <v>SIGUE ADELANTE CON RESERVAS</v>
      </c>
    </row>
    <row r="22"/>
    <row r="23">
      <c r="B23" s="29" t="inlineStr">
        <is>
          <t>Listas de validación (no las borres: las usan los desplegables)</t>
        </is>
      </c>
    </row>
    <row r="24">
      <c r="B24" s="24" t="inlineStr">
        <is>
          <t>Respuesta</t>
        </is>
      </c>
    </row>
    <row r="25">
      <c r="B25" t="inlineStr">
        <is>
          <t>Sí</t>
        </is>
      </c>
    </row>
    <row r="26">
      <c r="B26" t="inlineStr">
        <is>
          <t>No</t>
        </is>
      </c>
    </row>
    <row r="27">
      <c r="B27" t="inlineStr">
        <is>
          <t>Por comprobar</t>
        </is>
      </c>
    </row>
    <row r="28"/>
    <row r="29" ht="72" customHeight="1">
      <c r="B29" s="27" t="inlineStr">
        <is>
          <t>POR QUÉ ESTE ORDEN. Primero, si la extracción necesita proyecto: la actividad puede ir por declaración responsable, pero la obra del conducto no, y eso cambia plazos y dinero. Después, si el conducto puede llegar a cubierta: si no puede, no hay freidora. Luego el gas o la potencia para una freidora eléctrica (la bombona pequeña no vale para un local fijo). Y al final, si la cocina puede ser local de riesgo especial con los kW que vas a instalar. Lo que no es eliminatorio encarece la obra: llévalo al libro 2 como partida.</t>
        </is>
      </c>
    </row>
  </sheetData>
  <sheetProtection selectLockedCells="0" selectUnlockedCells="0" sheet="1" objects="0" insertRows="0" insertHyperlinks="1" autoFilter="1" scenarios="0" formatColumns="0" deleteColumns="1" insertColumns="1" pivotTables="1" deleteRows="1" formatCells="1" formatRows="0" sort="0"/>
  <mergeCells count="3">
    <mergeCell ref="E21:H21"/>
    <mergeCell ref="E20:J20"/>
    <mergeCell ref="B29:J29"/>
  </mergeCells>
  <conditionalFormatting sqref="I6:I13">
    <cfRule type="cellIs" priority="1" operator="equal" dxfId="0" stopIfTrue="1">
      <formula>"DESCARTAR"</formula>
    </cfRule>
    <cfRule type="cellIs" priority="2" operator="equal" dxfId="2" stopIfTrue="1">
      <formula>"Punto débil"</formula>
    </cfRule>
    <cfRule type="cellIs" priority="3" operator="equal" dxfId="2" stopIfTrue="1">
      <formula>"Con obra y licencia"</formula>
    </cfRule>
    <cfRule type="cellIs" priority="4" operator="equal" dxfId="3" stopIfTrue="1">
      <formula>"Por comprobar"</formula>
    </cfRule>
    <cfRule type="cellIs" priority="5" operator="equal" dxfId="3" stopIfTrue="1">
      <formula>"Pendiente"</formula>
    </cfRule>
    <cfRule type="cellIs" priority="6" operator="equal" dxfId="1" stopIfTrue="1">
      <formula>"OK"</formula>
    </cfRule>
  </conditionalFormatting>
  <conditionalFormatting sqref="E21">
    <cfRule type="cellIs" priority="7" operator="equal" dxfId="0" stopIfTrue="1">
      <formula>"DESCARTAR ESTE LOCAL"</formula>
    </cfRule>
    <cfRule type="cellIs" priority="8" operator="equal" dxfId="3" stopIfTrue="1">
      <formula>"NO DECIDAS TODAVÍA"</formula>
    </cfRule>
    <cfRule type="cellIs" priority="9" operator="equal" dxfId="2" stopIfTrue="1">
      <formula>"SIGUE ADELANTE CON RESERVAS"</formula>
    </cfRule>
    <cfRule type="cellIs" priority="10" operator="equal" dxfId="1" stopIfTrue="1">
      <formula>"SIGUE ADELANTE"</formula>
    </cfRule>
  </conditionalFormatting>
  <dataValidations count="1">
    <dataValidation sqref="E6 E7 E8 E9 E10 E11 E12 E13" showDropDown="0" showInputMessage="0" showErrorMessage="1" allowBlank="0" errorTitle="Respuesta" error="Elige «Sí», «No» o «Por comprobar» de la lista." type="list">
      <formula1>=$B$25:$B$27</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Producción, Hora Punta y Local</dc:title>
  <dc:subject xmlns:dc="http://purl.org/dc/elements/1.1/">Cómo Montar una Churrería-Chocolatería · Versión 1.0 · octubre 2026</dc:subject>
  <dcterms:created xmlns:dcterms="http://purl.org/dc/terms/" xmlns:xsi="http://www.w3.org/2001/XMLSchema-instance" xsi:type="dcterms:W3CDTF">2026-10-03T09:56:38Z</dcterms:created>
  <dcterms:modified xmlns:dcterms="http://purl.org/dc/terms/" xmlns:xsi="http://www.w3.org/2001/XMLSchema-instance" xsi:type="dcterms:W3CDTF">2026-10-03T09:56:38Z</dcterms:modified>
  <cp:lastModifiedBy>AI Chef Pro</cp:lastModifiedBy>
</cp:coreProperties>
</file>