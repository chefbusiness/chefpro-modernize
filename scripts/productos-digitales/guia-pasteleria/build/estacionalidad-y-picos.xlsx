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Calendario de 6 Picos" sheetId="3" state="visible" r:id="rId3"/>
    <sheet xmlns:r="http://schemas.openxmlformats.org/officeDocument/2006/relationships" name="Peso sobre el Año" sheetId="4" state="visible" r:id="rId4"/>
    <sheet xmlns:r="http://schemas.openxmlformats.org/officeDocument/2006/relationships" name="Capacidad vs Demanda del Pico" sheetId="5" state="visible" r:id="rId5"/>
    <sheet xmlns:r="http://schemas.openxmlformats.org/officeDocument/2006/relationships" name="Refuerzo y Tesorería" sheetId="6" state="visible" r:id="rId6"/>
  </sheets>
  <definedNames/>
  <calcPr calcId="124519" fullCalcOnLoad="1"/>
</workbook>
</file>

<file path=xl/styles.xml><?xml version="1.0" encoding="utf-8"?>
<styleSheet xmlns="http://schemas.openxmlformats.org/spreadsheetml/2006/main">
  <numFmts count="3">
    <numFmt numFmtId="164" formatCode="#,##0.00 €"/>
    <numFmt numFmtId="165" formatCode="#,##0.0"/>
    <numFmt numFmtId="166" formatCode="0.0%"/>
  </numFmts>
  <fonts count="12">
    <font>
      <name val="Calibri"/>
      <family val="2"/>
      <color theme="1"/>
      <sz val="11"/>
      <scheme val="minor"/>
    </font>
    <font>
      <b val="1"/>
      <color theme="1"/>
      <sz val="11"/>
    </font>
    <font>
      <b val="1"/>
      <color rgb="00FFD700"/>
      <sz val="16"/>
    </font>
    <font>
      <color rgb="00888888"/>
      <sz val="10"/>
    </font>
    <font>
      <i val="1"/>
      <sz val="9"/>
    </font>
    <font>
      <b val="1"/>
      <color rgb="00FFD700"/>
      <sz val="12"/>
    </font>
    <font>
      <i val="1"/>
      <sz val="8"/>
    </font>
    <font>
      <b val="1"/>
      <color rgb="00FFFFFF"/>
      <sz val="9"/>
    </font>
    <font>
      <color rgb="00888888"/>
      <sz val="8"/>
    </font>
    <font>
      <sz val="8"/>
    </font>
    <font>
      <color rgb="00888888"/>
      <sz val="9"/>
    </font>
    <font>
      <sz val="9"/>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s>
  <borders count="1">
    <border>
      <left/>
      <right/>
      <top/>
      <bottom/>
      <diagonal/>
    </border>
  </borders>
  <cellStyleXfs count="1">
    <xf numFmtId="0" fontId="0" fillId="0" borderId="0"/>
  </cellStyleXfs>
  <cellXfs count="30">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6" fillId="0" borderId="0" pivotButton="0" quotePrefix="0" xfId="0"/>
    <xf numFmtId="0" fontId="7" fillId="3" borderId="0" applyAlignment="1" pivotButton="0" quotePrefix="0" xfId="0">
      <alignment horizontal="center" vertical="center" wrapText="1"/>
    </xf>
    <xf numFmtId="164" fontId="0" fillId="2" borderId="0" applyProtection="1" pivotButton="0" quotePrefix="0" xfId="0">
      <protection locked="0" hidden="0"/>
    </xf>
    <xf numFmtId="0" fontId="8" fillId="0" borderId="0" pivotButton="0" quotePrefix="0" xfId="0"/>
    <xf numFmtId="0" fontId="8" fillId="0" borderId="0" applyAlignment="1" pivotButton="0" quotePrefix="0" xfId="0">
      <alignment horizontal="general" vertical="top" wrapText="1"/>
    </xf>
    <xf numFmtId="3" fontId="0" fillId="2" borderId="0" applyProtection="1" pivotButton="0" quotePrefix="0" xfId="0">
      <protection locked="0" hidden="0"/>
    </xf>
    <xf numFmtId="165" fontId="0" fillId="2" borderId="0" applyProtection="1" pivotButton="0" quotePrefix="0" xfId="0">
      <protection locked="0" hidden="0"/>
    </xf>
    <xf numFmtId="165" fontId="1" fillId="4" borderId="0" pivotButton="0" quotePrefix="0" xfId="0"/>
    <xf numFmtId="3" fontId="1" fillId="4" borderId="0" pivotButton="0" quotePrefix="0" xfId="0"/>
    <xf numFmtId="166" fontId="0" fillId="2" borderId="0" applyProtection="1" pivotButton="0" quotePrefix="0" xfId="0">
      <protection locked="0" hidden="0"/>
    </xf>
    <xf numFmtId="164" fontId="1" fillId="4" borderId="0" pivotButton="0" quotePrefix="0" xfId="0"/>
    <xf numFmtId="0" fontId="1" fillId="0" borderId="0" pivotButton="0" quotePrefix="0" xfId="0"/>
    <xf numFmtId="164" fontId="0" fillId="0" borderId="0" pivotButton="0" quotePrefix="0" xfId="0"/>
    <xf numFmtId="3" fontId="0" fillId="0" borderId="0" pivotButton="0" quotePrefix="0" xfId="0"/>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4" fontId="0" fillId="2" borderId="0" applyProtection="1" pivotButton="0" quotePrefix="0" xfId="0">
      <protection locked="0" hidden="0"/>
    </xf>
    <xf numFmtId="166" fontId="0" fillId="0" borderId="0" pivotButton="0" quotePrefix="0" xfId="0"/>
    <xf numFmtId="4" fontId="1" fillId="4" borderId="0" pivotButton="0" quotePrefix="0" xfId="0"/>
    <xf numFmtId="166" fontId="1" fillId="4" borderId="0" pivotButton="0" quotePrefix="0" xfId="0"/>
    <xf numFmtId="165" fontId="0" fillId="0" borderId="0" pivotButton="0" quotePrefix="0" xfId="0"/>
    <xf numFmtId="0" fontId="0" fillId="0" borderId="0" applyAlignment="1" pivotButton="0" quotePrefix="0" xfId="0">
      <alignment vertical="top" wrapText="1"/>
    </xf>
    <xf numFmtId="0" fontId="11" fillId="0" borderId="0" applyAlignment="1" pivotButton="0" quotePrefix="0" xfId="0">
      <alignment horizontal="general" vertical="top" wrapText="1"/>
    </xf>
  </cellXfs>
  <cellStyles count="1">
    <cellStyle name="Normal" xfId="0" builtinId="0" hidden="0"/>
  </cellStyles>
  <dxfs count="4">
    <dxf>
      <font>
        <b val="1"/>
        <color rgb="007A5C00"/>
      </font>
      <fill>
        <patternFill patternType="solid">
          <fgColor rgb="00FFF3C4"/>
          <bgColor rgb="00FFF3C4"/>
        </patternFill>
      </fill>
    </dxf>
    <dxf>
      <font>
        <b val="1"/>
        <color rgb="001B5E20"/>
      </font>
      <fill>
        <patternFill patternType="solid">
          <fgColor rgb="00C8E6C9"/>
          <bgColor rgb="00C8E6C9"/>
        </patternFill>
      </fill>
    </dxf>
    <dxf>
      <font>
        <b val="1"/>
        <color rgb="00B71C1C"/>
      </font>
      <fill>
        <patternFill patternType="solid">
          <fgColor rgb="00FFCDD2"/>
          <bgColor rgb="00FFCDD2"/>
        </patternFill>
      </fill>
    </dxf>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AI Chef Pro</author>
  </authors>
  <commentList>
    <comment ref="B17" authorId="0" shapeId="0">
      <text>
        <t>Verificado el 10-09-2026 · Resolución de 7 de febrero de 2026 de la D.G. de Trabajo de la Comunidad de Madrid, revisión salarial 2026 del convenio código 28001025011981. BOCM núm. 50 · https://www.bocm.es/boletin/CM_Orden_BOCM/2026/02/28/BOCM-20260228-2.PDF</t>
      </text>
    </comment>
    <comment ref="B18" authorId="0" shapeId="0">
      <text>
        <t>Verificado el 10-09-2026 · Resolución de 7 de febrero de 2026 de la D.G. de Trabajo de la Comunidad de Madrid, revisión salarial 2026 del convenio código 28001025011981. BOCM núm. 50 · https://www.bocm.es/boletin/CM_Orden_BOCM/2026/02/28/BOCM-20260228-2.PDF</t>
      </text>
    </comment>
    <comment ref="B25" authorId="0" shapeId="0">
      <text>
        <t>Verificado el 10-09-2026 · Ley 37/1992 del IVA, arts. 91.Uno.1.1.º y 91.Dos.1.1.º (texto consolidado, última modificación 28-02-2026) · https://www.boe.es/buscar/act.php?id=BOE-A-1992-28740</t>
      </text>
    </comment>
    <comment ref="B26" authorId="0" shapeId="0">
      <text>
        <t>Verificado el 10-09-2026 · Resolución de 24 de febrero de 2025, de la Dirección General de Tributos, sobre el tipo del IVA aplicable al pan. BOE núm. 50, BOE-A-2025-3950 · https://www.boe.es/diario_boe/txt.php?id=BOE-A-2025-3950</t>
      </text>
    </comment>
  </commentList>
</comments>
</file>

<file path=xl/comments/comment2.xml><?xml version="1.0" encoding="utf-8"?>
<comments xmlns="http://schemas.openxmlformats.org/spreadsheetml/2006/main">
  <authors>
    <author>AI Chef Pro</author>
  </authors>
  <commentList>
    <comment ref="G6" authorId="0" shapeId="0">
      <text>
        <t>Verificado el 10-09-2026 · Ley 37/1992 del IVA, arts. 91.Uno.1.1.º y 91.Dos.1.1.º (texto consolidado, última modificación 28-02-2026) · https://www.boe.es/buscar/act.php?id=BOE-A-1992-28740</t>
      </text>
    </comment>
    <comment ref="G7" authorId="0" shapeId="0">
      <text>
        <t>Verificado el 10-09-2026 · Ley 37/1992 del IVA, arts. 91.Uno.1.1.º y 91.Dos.1.1.º (texto consolidado, última modificación 28-02-2026) · https://www.boe.es/buscar/act.php?id=BOE-A-1992-28740</t>
      </text>
    </comment>
    <comment ref="G8" authorId="0" shapeId="0">
      <text>
        <t>Verificado el 10-09-2026 · Ley 37/1992 del IVA, arts. 91.Uno.1.1.º y 91.Dos.1.1.º (texto consolidado, última modificación 28-02-2026) · https://www.boe.es/buscar/act.php?id=BOE-A-1992-28740</t>
      </text>
    </comment>
    <comment ref="G9" authorId="0" shapeId="0">
      <text>
        <t>Verificado el 10-09-2026 · Ley 37/1992 del IVA, arts. 91.Uno.1.1.º y 91.Dos.1.1.º (texto consolidado, última modificación 28-02-2026) · https://www.boe.es/buscar/act.php?id=BOE-A-1992-28740</t>
      </text>
    </comment>
    <comment ref="G10" authorId="0" shapeId="0">
      <text>
        <t>Verificado el 10-09-2026 · Ley 37/1992 del IVA, arts. 91.Uno.1.1.º y 91.Dos.1.1.º (texto consolidado, última modificación 28-02-2026) · https://www.boe.es/buscar/act.php?id=BOE-A-1992-28740</t>
      </text>
    </comment>
    <comment ref="G11" authorId="0" shapeId="0">
      <text>
        <t>Verificado el 10-09-2026 · Ley 37/1992 del IVA, arts. 91.Uno.1.1.º y 91.Dos.1.1.º (texto consolidado, última modificación 28-02-2026) · https://www.boe.es/buscar/act.php?id=BOE-A-1992-28740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fitToPage="1"/>
  </sheetPr>
  <dimension ref="A1:A28"/>
  <sheetViews>
    <sheetView workbookViewId="0">
      <selection activeCell="A1" sqref="A1"/>
    </sheetView>
  </sheetViews>
  <sheetFormatPr baseColWidth="8" defaultRowHeight="15"/>
  <cols>
    <col width="90" customWidth="1" min="1" max="1"/>
  </cols>
  <sheetData>
    <row r="1">
      <c r="A1" s="1" t="inlineStr">
        <is>
          <t>Estacionalidad y Picos de Campaña</t>
        </is>
      </c>
    </row>
    <row r="2">
      <c r="A2" s="2" t="inlineStr">
        <is>
          <t>AI Chef Pro · aichef.pro — Cómo Montar una Pastelería</t>
        </is>
      </c>
    </row>
    <row r="3">
      <c r="A3" s="3" t="inlineStr">
        <is>
          <t>Para qué sirve: saber si aguantas Reyes antes de que llegue, y cuánto dinero inmoviliza cada campaña.</t>
        </is>
      </c>
    </row>
    <row r="4"/>
    <row r="5">
      <c r="A5" s="4" t="inlineStr">
        <is>
          <t>Instrucciones de uso</t>
        </is>
      </c>
    </row>
    <row r="6" ht="58" customHeight="1">
      <c r="A6" s="5" t="inlineStr">
        <is>
          <t>1. Hoja «Parámetros»: lo primero es la capacidad de tu obrador en piezas por hora. Ese número sale de la hoja «Cuello de Botella» del libro «capacidad-obrador-y-local.xlsx» de este mismo pack: ábrelo, mira qué equipo te limita y copia aquí sus piezas por hora. Viene con un valor por defecto para que el libro funcione desde el primer minuto, pero es un SUPUESTO, no tu obrador.</t>
        </is>
      </c>
    </row>
    <row r="7" ht="58" customHeight="1">
      <c r="A7" s="5" t="inlineStr">
        <is>
          <t>2. Hoja «Calendario de 6 Picos»: seis campañas con su producto estrella, sus días, su precio y las unidades que esperas vender al día dentro y fuera de campaña. Es la única hoja donde tecleas expectativas de venta.</t>
        </is>
      </c>
    </row>
    <row r="8" ht="58" customHeight="1">
      <c r="A8" s="5" t="inlineStr">
        <is>
          <t>3. Hoja «Peso sobre el Año»: reparte tus ventas anuales entre los doce meses y verás qué porcentaje del año se juega en cada campaña. Es el número que decide si merece la pena montar la campaña o no.</t>
        </is>
      </c>
    </row>
    <row r="9" ht="58" customHeight="1">
      <c r="A9" s="5" t="inlineStr">
        <is>
          <t>4. Hoja «Capacidad vs Demanda del Pico»: aquí está la pregunta del libro. La demanda del pico se calcula multiplicando tus piezas de un día normal por el factor de la campaña; la capacidad, con las horas que puedas tener el obrador en marcha. Si sale déficit, tienes tres palancas y en este orden: más horas de máquina, producción adelantada y congelada, y refuerzo de personal.</t>
        </is>
      </c>
    </row>
    <row r="10" ht="58" customHeight="1">
      <c r="A10" s="5" t="inlineStr">
        <is>
          <t>5. Hoja «Refuerzo y Tesorería»: cuánto cuesta el refuerzo con el coste de empresa de verdad (bruto de convenio más Seguridad Social) y, sobre todo, cuánto dinero deja inmovilizado la compra de materia prima de la campaña y durante cuántos días. Ese dinero sale de tu caja semanas antes de que entre el primer euro de la campaña.</t>
        </is>
      </c>
    </row>
    <row r="11" ht="58" customHeight="1">
      <c r="A11" s="5" t="inlineStr">
        <is>
          <t>6. Repite el ciclo cada año en enero, con las cifras reales de la campaña que acabas de cerrar: el libro sólo vale si le metes lo que pasó de verdad, no lo que esperabas que pasara.</t>
        </is>
      </c>
    </row>
    <row r="12"/>
    <row r="13">
      <c r="A13" s="6" t="inlineStr">
        <is>
          <t>Celdas verdes = campos editables</t>
        </is>
      </c>
    </row>
    <row r="14"/>
    <row r="15">
      <c r="A15" s="4" t="inlineStr">
        <is>
          <t>Lo que conviene saber antes de empezar</t>
        </is>
      </c>
    </row>
    <row r="16" ht="62" customHeight="1">
      <c r="A16" s="5" t="inlineStr">
        <is>
          <t>QUÉ HACE ESTE LIBRO Y QUÉ HACE EL KIT DE TAREAS PASTELERÍA. El «BONUS-02-calendario-anual-tareas.xlsx» del Kit de Tareas Pastelería pone las FECHAS y el qué hay que hacer en cada campaña; el «06-eventos-festivos.xlsx» lleva el detalle de cada evento. Este libro no repite ese calendario: le pone EUROS y responde a «si aguanto». Son dos piezas distintas del mismo problema, y se usan juntas.</t>
        </is>
      </c>
    </row>
    <row r="17" ht="62" customHeight="1">
      <c r="A17" s="5" t="inlineStr">
        <is>
          <t>Aquí no hay ni una fórmula que apunte a otro fichero. Cuando un dato vive en otro libro del pack (la capacidad del obrador, por ejemplo) se COPIA a mano y la nota lo dice. Un enlace entre ficheros se rompe en cuanto alguien mueve una carpeta, y entonces el libro miente sin avisar.</t>
        </is>
      </c>
    </row>
    <row r="18" ht="62" customHeight="1">
      <c r="A18" s="5" t="inlineStr">
        <is>
          <t>El factor de campaña multiplica las piezas del OBRADOR ENTERO, no las del producto estrella. En un obrador medido, la pastelería individual pasó de 50-60 piezas al día a 500-600 en campaña con el mismo equipo. El 6,0 de Reyes que trae el ejemplo es el único que llega a esa zona; el resto se quedan entre 1,6 y 2,6 porque son campañas de dos, tres o cuatro días.</t>
        </is>
      </c>
    </row>
    <row r="19" ht="62" customHeight="1">
      <c r="A19" s="5" t="inlineStr">
        <is>
          <t>El roscón relleno de nata arrastra los 4 °C de la fila 9 del art. 4.1 y las 24 horas del art. 9.3 del RD 1021/2022 justo el día de más producción. Eso limita la campaña tanto como el horno: lo que no se puede adelantar y congelar hay que hacerlo el mismo día. La hoja de decisión de huevo y temperatura del libro «carta-de-apertura-y-escandallo.xlsx» te dice qué referencia entra en ese saco y cuál no.</t>
        </is>
      </c>
    </row>
    <row r="20" ht="62" customHeight="1">
      <c r="A20" s="5" t="inlineStr">
        <is>
          <t>La producción adelantada tiene un techo físico que no está en esta hoja: los metros cúbicos de tu congelador y la capacidad de tu abatidor. Antes de dar por buena una cifra de piezas adelantadas, comprueba que te caben. Un armario de congelación conserva, pero NO congela: no sustituye al abatidor (art. 5 del RD 1021/2022).</t>
        </is>
      </c>
    </row>
    <row r="21" ht="62" customHeight="1">
      <c r="A21" s="5" t="inlineStr">
        <is>
          <t>La tesorería de la campaña es el número que más sorprende. Pides la materia prima semanas antes, la pagas al contado o a 30 días, y cobras cuando vendes. Entre una cosa y otra hay un dinero parado que no está en ninguna cuenta de resultados y que sí está en tu banco.</t>
        </is>
      </c>
    </row>
    <row r="22"/>
    <row r="23" ht="46" customHeight="1">
      <c r="A23" s="5" t="inlineStr">
        <is>
          <t>Cada cuánto se usa este libro: los «Parámetros» y el «Calendario de 6 Picos», UNA VEZ AL AÑO, en enero, cuando cierras la campaña de Reyes y tienes los datos frescos. «Capacidad vs Demanda» y «Refuerzo y Tesorería», UNA VEZ POR CAMPAÑA, con la antelación de compra que diga la propia hoja: para Reyes, seis semanas antes, es decir a finales de noviembre.</t>
        </is>
      </c>
    </row>
    <row r="24"/>
    <row r="25" ht="30" customHeight="1">
      <c r="A25" s="5" t="inlineStr">
        <is>
          <t>Para editar la estructura o una celda que no esté en verde, desprotege la hoja: Revisar &gt; Desproteger hoja. La protección NO tiene contraseña; sólo evita pisar una fórmula sin querer.</t>
        </is>
      </c>
    </row>
    <row r="26"/>
    <row r="27">
      <c r="A27" s="5" t="inlineStr">
        <is>
          <t>Diseñado por John Guerrero — chef y consultor gastronómico desde 2010, en cocina desde los 17 años.</t>
        </is>
      </c>
    </row>
    <row r="28">
      <c r="A28" s="7"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pageMargins left="0.39" right="0.39" top="0.59" bottom="0.59" header="0.5" footer="0.5"/>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29"/>
  <sheetViews>
    <sheetView workbookViewId="0">
      <selection activeCell="A1" sqref="A1"/>
    </sheetView>
  </sheetViews>
  <sheetFormatPr baseColWidth="8" defaultRowHeight="15"/>
  <cols>
    <col width="50" customWidth="1" min="1" max="1"/>
    <col width="15" customWidth="1" min="2" max="2"/>
    <col width="13" customWidth="1" min="3" max="3"/>
    <col width="20" customWidth="1" min="4" max="4"/>
    <col width="82" customWidth="1" min="5" max="5"/>
  </cols>
  <sheetData>
    <row r="1">
      <c r="A1" s="1" t="inlineStr">
        <is>
          <t>Parámetros</t>
        </is>
      </c>
    </row>
    <row r="2">
      <c r="A2" s="2" t="inlineStr">
        <is>
          <t>AI Chef Pro · aichef.pro — Cómo Montar una Pastelería</t>
        </is>
      </c>
    </row>
    <row r="3"/>
    <row r="4"/>
    <row r="5" ht="24" customHeight="1">
      <c r="A5" s="8" t="inlineStr">
        <is>
          <t>Parámetro</t>
        </is>
      </c>
      <c r="B5" s="8" t="inlineStr">
        <is>
          <t>Valor</t>
        </is>
      </c>
      <c r="C5" s="8" t="inlineStr">
        <is>
          <t>Unidad</t>
        </is>
      </c>
      <c r="D5" s="8" t="inlineStr">
        <is>
          <t>De dónde sale</t>
        </is>
      </c>
      <c r="E5" s="8" t="inlineStr">
        <is>
          <t>Nota</t>
        </is>
      </c>
    </row>
    <row r="6" ht="40" customHeight="1">
      <c r="A6" s="5" t="inlineStr">
        <is>
          <t>Ventas anuales sin IVA en velocidad de crucero</t>
        </is>
      </c>
      <c r="B6" s="9" t="n">
        <v>322197.87</v>
      </c>
      <c r="C6" t="inlineStr">
        <is>
          <t>€/año</t>
        </is>
      </c>
      <c r="D6" s="10" t="inlineStr">
        <is>
          <t>supuesto</t>
        </is>
      </c>
      <c r="E6" s="11" t="inlineStr">
        <is>
          <t>Sale de la carta y del tráfico supuesto de La Clara: clientes al día por piezas por cliente por PVP medio ponderado. No es un dato del sector. Sustitúyelo por el de tu plan financiero.</t>
        </is>
      </c>
    </row>
    <row r="7" ht="40" customHeight="1">
      <c r="A7" s="5" t="inlineStr">
        <is>
          <t>Piezas al día en velocidad de crucero</t>
        </is>
      </c>
      <c r="B7" s="12" t="n">
        <v>476</v>
      </c>
      <c r="C7" t="inlineStr">
        <is>
          <t>piezas/día</t>
        </is>
      </c>
      <c r="D7" s="10" t="inlineStr">
        <is>
          <t>supuesto</t>
        </is>
      </c>
      <c r="E7" s="11" t="inlineStr">
        <is>
          <t>Clientes al día por piezas por cliente. Es la base sobre la que el factor de cada campaña multiplica.</t>
        </is>
      </c>
    </row>
    <row r="8" ht="40" customHeight="1">
      <c r="A8" s="5" t="inlineStr">
        <is>
          <t>Días de apertura al año</t>
        </is>
      </c>
      <c r="B8" s="12" t="n">
        <v>300</v>
      </c>
      <c r="C8" t="inlineStr">
        <is>
          <t>días</t>
        </is>
      </c>
      <c r="D8" s="10" t="inlineStr">
        <is>
          <t>supuesto</t>
        </is>
      </c>
      <c r="E8" s="11" t="inlineStr">
        <is>
          <t>6 días por semana × 52 semanas = 312, menos 12 días de cierre por vacaciones en agosto = 300. Los festivos NO se descuentan: la pastelería tiene libertad horaria por ley estatal cuando es la actividad principal (PA-39).</t>
        </is>
      </c>
    </row>
    <row r="9" ht="40" customHeight="1">
      <c r="A9" s="5" t="inlineStr">
        <is>
          <t>Capacidad del obrador en jornada normal</t>
        </is>
      </c>
      <c r="B9" s="12" t="n">
        <v>480</v>
      </c>
      <c r="C9" t="inlineStr">
        <is>
          <t>piezas/día</t>
        </is>
      </c>
      <c r="D9" s="10" t="inlineStr">
        <is>
          <t>libro 1</t>
        </is>
      </c>
      <c r="E9" s="11" t="inlineStr">
        <is>
          <t>COPIA a mano el resultado de la hoja «Cuello de Botella» del libro «capacidad-obrador-y-local.xlsx» de este pack: la casilla «Piezas al día que permite el conjunto». En el ejemplo son 480 y el equipo que limita es el abatidor de 4 bandejas, contra 476 piezas de velocidad de crucero: cuatro piezas de holgura. No hay fórmula entre libros: si cambias de equipo, vuelve a copiarlo.</t>
        </is>
      </c>
    </row>
    <row r="10" ht="40" customHeight="1">
      <c r="A10" s="5" t="inlineStr">
        <is>
          <t>Horas de obrador al día en jornada normal</t>
        </is>
      </c>
      <c r="B10" s="13" t="n">
        <v>8</v>
      </c>
      <c r="C10" t="inlineStr">
        <is>
          <t>horas</t>
        </is>
      </c>
      <c r="D10" s="10" t="inlineStr">
        <is>
          <t>supuesto</t>
        </is>
      </c>
      <c r="E10" s="11" t="inlineStr">
        <is>
          <t>Horas de reloj que el obrador está en marcha un día cualquiera, no horas de apertura de la tienda.</t>
        </is>
      </c>
    </row>
    <row r="11" ht="40" customHeight="1">
      <c r="A11" s="5" t="inlineStr">
        <is>
          <t>Piezas por hora de reloj del equipo que limita</t>
        </is>
      </c>
      <c r="B11" s="14">
        <f>IFERROR('Parámetros'!$B$9/'Parámetros'!$B$10,"")</f>
        <v>60.0</v>
      </c>
      <c r="C11" t="inlineStr">
        <is>
          <t>piezas/hora</t>
        </is>
      </c>
      <c r="D11" s="10" t="inlineStr">
        <is>
          <t>calculado</t>
        </is>
      </c>
      <c r="E11" s="11" t="inlineStr">
        <is>
          <t>Capacidad de la jornada normal dividida por sus horas. Va por hora de RELOJ, con las paradas ya dentro: el libro 1 ya descontó la parte de la jornada que no se pasa a pie de mesa.</t>
        </is>
      </c>
    </row>
    <row r="12" ht="40" customHeight="1">
      <c r="A12" s="5" t="inlineStr">
        <is>
          <t>Excedente diario sobre la velocidad de crucero</t>
        </is>
      </c>
      <c r="B12" s="15">
        <f>IFERROR('Parámetros'!$B$9-'Parámetros'!$B$7,"")</f>
        <v>4.0</v>
      </c>
      <c r="C12" t="inlineStr">
        <is>
          <t>piezas/día</t>
        </is>
      </c>
      <c r="D12" s="10" t="inlineStr">
        <is>
          <t>calculado</t>
        </is>
      </c>
      <c r="E12" s="11" t="inlineStr">
        <is>
          <t>Lo que te sobra un día normal. Es la munición para adelantar producción y congelarla antes de la campaña; si sale negativo, ya vas justo en crucero y el pico no lo arreglas adelantando.</t>
        </is>
      </c>
    </row>
    <row r="13" ht="40" customHeight="1">
      <c r="A13" s="5" t="inlineStr">
        <is>
          <t>Horas máximas de obrador al día que admites</t>
        </is>
      </c>
      <c r="B13" s="13" t="n">
        <v>24</v>
      </c>
      <c r="C13" t="inlineStr">
        <is>
          <t>horas</t>
        </is>
      </c>
      <c r="D13" s="10" t="inlineStr">
        <is>
          <t>supuesto</t>
        </is>
      </c>
      <c r="E13" s="11" t="inlineStr">
        <is>
          <t>Techo que te pones tú. Por encima de este número la hoja se pone en rojo: no es un límite legal, es el aviso de que ese día no existe.</t>
        </is>
      </c>
    </row>
    <row r="14" ht="40" customHeight="1">
      <c r="A14" s="5" t="inlineStr">
        <is>
          <t>Horas por persona y día del refuerzo</t>
        </is>
      </c>
      <c r="B14" s="13" t="n">
        <v>8</v>
      </c>
      <c r="C14" t="inlineStr">
        <is>
          <t>horas</t>
        </is>
      </c>
      <c r="D14" s="10" t="inlineStr">
        <is>
          <t>supuesto</t>
        </is>
      </c>
      <c r="E14" s="11" t="inlineStr">
        <is>
          <t>Jornada del personal de refuerzo durante la campaña. Con ella se calcula cuántas personas hacen falta para cubrir las horas de máquina que faltan.</t>
        </is>
      </c>
    </row>
    <row r="15"/>
    <row r="16">
      <c r="A16" s="4" t="inlineStr">
        <is>
          <t>Coste del refuerzo (convenio de pastelería)</t>
        </is>
      </c>
    </row>
    <row r="17" ht="40" customHeight="1">
      <c r="A17" s="5" t="inlineStr">
        <is>
          <t>Bruto mensual del grupo de convenio del refuerzo</t>
        </is>
      </c>
      <c r="B17" s="9" t="n">
        <v>1192.42</v>
      </c>
      <c r="C17" t="inlineStr">
        <is>
          <t>€/mes</t>
        </is>
      </c>
      <c r="D17" s="10" t="inlineStr">
        <is>
          <t>PA-33</t>
        </is>
      </c>
      <c r="E17" s="11" t="inlineStr">
        <is>
          <t>Grupo 5, «Personal de apoyo», del convenio de la Comunidad de Madrid (código 28001025011981, revisión 2026 en el BOCM núm. 50, de 28 de febrero de 2026). Sustitúyelo por el de TU convenio provincial.</t>
        </is>
      </c>
    </row>
    <row r="18" ht="40" customHeight="1">
      <c r="A18" s="5" t="inlineStr">
        <is>
          <t>Pagas del convenio al año</t>
        </is>
      </c>
      <c r="B18" s="12" t="n">
        <v>15</v>
      </c>
      <c r="C18" t="inlineStr">
        <is>
          <t>pagas</t>
        </is>
      </c>
      <c r="D18" s="10" t="inlineStr">
        <is>
          <t>PA-33</t>
        </is>
      </c>
      <c r="E18" s="11" t="inlineStr">
        <is>
          <t>El convenio de Madrid paga 15, no 14: cambia el coste mes a mes.</t>
        </is>
      </c>
    </row>
    <row r="19" ht="40" customHeight="1">
      <c r="A19" s="5" t="inlineStr">
        <is>
          <t>Seguridad Social a cargo de la empresa</t>
        </is>
      </c>
      <c r="B19" s="16" t="n">
        <v>0.33</v>
      </c>
      <c r="C19" t="inlineStr">
        <is>
          <t>sobre bruto</t>
        </is>
      </c>
      <c r="D19" s="10" t="inlineStr">
        <is>
          <t>motor.PARAMETROS</t>
        </is>
      </c>
      <c r="E19" s="11" t="inlineStr">
        <is>
          <t>Cotización empresarial aproximada sobre el bruto (contingencias comunes, desempleo, FOGASA y formación). Ajústala a tu convenio y a tus contratos.</t>
        </is>
      </c>
    </row>
    <row r="20" ht="40" customHeight="1">
      <c r="A20" s="5" t="inlineStr">
        <is>
          <t>Horas anuales de contrato</t>
        </is>
      </c>
      <c r="B20" s="12" t="n">
        <v>1780</v>
      </c>
      <c r="C20" t="inlineStr">
        <is>
          <t>horas/año</t>
        </is>
      </c>
      <c r="D20" s="10" t="inlineStr">
        <is>
          <t>supuesto</t>
        </is>
      </c>
      <c r="E20" s="11" t="inlineStr">
        <is>
          <t>40 horas por 52 semanas son 2.080, menos vacaciones y festivos del calendario laboral.</t>
        </is>
      </c>
    </row>
    <row r="21" ht="40" customHeight="1">
      <c r="A21" s="5" t="inlineStr">
        <is>
          <t>Coste por hora PAGADA del refuerzo (grupo 5)</t>
        </is>
      </c>
      <c r="B21" s="17">
        <f>IFERROR('Parámetros'!$B$17*'Parámetros'!$B$18*(1+'Parámetros'!$B$19)/'Parámetros'!$B$20,"")</f>
        <v>13.364482584269666</v>
      </c>
      <c r="C21" t="inlineStr">
        <is>
          <t>€/hora</t>
        </is>
      </c>
      <c r="D21" s="10" t="inlineStr">
        <is>
          <t>calculado</t>
        </is>
      </c>
      <c r="E21" s="11" t="inlineStr">
        <is>
          <t>Bruto mensual por pagas por (1 más Seguridad Social), dividido por las horas anuales de contrato. Es el coste de verdad, no el bruto. NO es el «coste hora productiva de obrador» del libro 4 (17,94 €) ni el «coste medio por hora pagada de la plantilla» del libro 8 (14,89 €): las tres son correctas y miden un denominador distinto.</t>
        </is>
      </c>
    </row>
    <row r="22"/>
    <row r="23">
      <c r="A23" s="4" t="inlineStr">
        <is>
          <t>Dinero, IVA y umbrales</t>
        </is>
      </c>
    </row>
    <row r="24" ht="40" customHeight="1">
      <c r="A24" s="5" t="inlineStr">
        <is>
          <t>Tipo de interés anual del circulante</t>
        </is>
      </c>
      <c r="B24" s="16" t="n">
        <v>0.062</v>
      </c>
      <c r="C24" t="inlineStr">
        <is>
          <t>anual</t>
        </is>
      </c>
      <c r="D24" s="10" t="inlineStr">
        <is>
          <t>supuesto</t>
        </is>
      </c>
      <c r="E24" s="11" t="inlineStr">
        <is>
          <t>Coste del dinero que tienes parado en materia prima de campaña. Si financias la compra con póliza, pon el tipo de tu póliza; si la pagas de tu caja, pon lo que te costaría pedirla.</t>
        </is>
      </c>
    </row>
    <row r="25" ht="40" customHeight="1">
      <c r="A25" s="5" t="inlineStr">
        <is>
          <t>IVA de pastelería, bollería y confitería</t>
        </is>
      </c>
      <c r="B25" s="16" t="n">
        <v>0.1</v>
      </c>
      <c r="C25" t="inlineStr">
        <is>
          <t>sobre base</t>
        </is>
      </c>
      <c r="D25" s="10" t="inlineStr">
        <is>
          <t>PA-36</t>
        </is>
      </c>
      <c r="E25" s="11" t="inlineStr">
        <is>
          <t>Regla general de alimentos del art. 91.Uno.1.1.º de la Ley 37/1992: no porque un precepto los nombre, sino porque no están en la lista cerrada del 4 % ni excluidos del 10 %.</t>
        </is>
      </c>
    </row>
    <row r="26" ht="40" customHeight="1">
      <c r="A26" s="5" t="inlineStr">
        <is>
          <t>IVA del pan del RD 308/2019</t>
        </is>
      </c>
      <c r="B26" s="16" t="n">
        <v>0.04</v>
      </c>
      <c r="C26" t="inlineStr">
        <is>
          <t>sobre base</t>
        </is>
      </c>
      <c r="D26" s="10" t="inlineStr">
        <is>
          <t>PA-36b</t>
        </is>
      </c>
      <c r="E26" s="11" t="inlineStr">
        <is>
          <t>Todos los productos del RD 308/2019 van al 4 % desde la Resolución vinculante de la DGT de 24-02-2025. El cruasán sigue al 10 %: el RD 308/2019 sólo regula el pan.</t>
        </is>
      </c>
    </row>
    <row r="27" ht="40" customHeight="1">
      <c r="A27" s="5" t="inlineStr">
        <is>
          <t>Umbral para marcar una campaña como grande</t>
        </is>
      </c>
      <c r="B27" s="16" t="n">
        <v>0.05</v>
      </c>
      <c r="C27" t="inlineStr">
        <is>
          <t>del año</t>
        </is>
      </c>
      <c r="D27" s="10" t="inlineStr">
        <is>
          <t>supuesto</t>
        </is>
      </c>
      <c r="E27" s="11" t="inlineStr">
        <is>
          <t>Porcentaje de las ventas del año por encima del cual la hoja «Peso sobre el Año» resalta la campaña. Criterio de la casa, no del sector.</t>
        </is>
      </c>
    </row>
    <row r="28"/>
    <row r="29">
      <c r="A29" s="7"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R17"/>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30" customWidth="1" min="3" max="3"/>
    <col width="6" customWidth="1" min="4" max="4"/>
    <col width="8" customWidth="1" min="5" max="5"/>
    <col width="24" customWidth="1" min="6" max="6"/>
    <col width="7" customWidth="1" min="7" max="7"/>
    <col width="10" customWidth="1" min="8" max="8"/>
    <col width="10" customWidth="1" min="9" max="9"/>
    <col width="10" customWidth="1" min="10" max="10"/>
    <col width="10" customWidth="1" min="11" max="11"/>
    <col width="10" customWidth="1" min="12" max="12"/>
    <col width="11" customWidth="1" min="13" max="13"/>
    <col width="13" customWidth="1" min="14" max="14"/>
    <col width="13" customWidth="1" min="15" max="15"/>
    <col width="9" customWidth="1" min="16" max="16"/>
    <col width="10" customWidth="1" min="17" max="17"/>
    <col width="92" customWidth="1" min="18" max="18"/>
  </cols>
  <sheetData>
    <row r="1">
      <c r="A1" s="1" t="inlineStr">
        <is>
          <t>Calendario de 6 Picos</t>
        </is>
      </c>
    </row>
    <row r="2">
      <c r="A2" s="2" t="inlineStr">
        <is>
          <t>AI Chef Pro · aichef.pro — Cómo Montar una Pastelería</t>
        </is>
      </c>
    </row>
    <row r="3">
      <c r="A3" s="3" t="inlineStr">
        <is>
          <t>Las FECHAS y el qué hacer están en el «BONUS-02-calendario-anual-tareas.xlsx» del Kit de Tareas Pastelería. Esta hoja pone los EUROS.</t>
        </is>
      </c>
    </row>
    <row r="4"/>
    <row r="5" ht="42" customHeight="1">
      <c r="A5" s="8" t="inlineStr">
        <is>
          <t>#</t>
        </is>
      </c>
      <c r="B5" s="8" t="inlineStr">
        <is>
          <t>Campaña</t>
        </is>
      </c>
      <c r="C5" s="8" t="inlineStr">
        <is>
          <t>Fechas de referencia</t>
        </is>
      </c>
      <c r="D5" s="8" t="inlineStr">
        <is>
          <t>Mes</t>
        </is>
      </c>
      <c r="E5" s="8" t="inlineStr">
        <is>
          <t>Días de campaña</t>
        </is>
      </c>
      <c r="F5" s="8" t="inlineStr">
        <is>
          <t>Producto estrella</t>
        </is>
      </c>
      <c r="G5" s="8" t="inlineStr">
        <is>
          <t>IVA</t>
        </is>
      </c>
      <c r="H5" s="8" t="inlineStr">
        <is>
          <t>PVP con IVA (€)</t>
        </is>
      </c>
      <c r="I5" s="8" t="inlineStr">
        <is>
          <t>PVP sin IVA (€)</t>
        </is>
      </c>
      <c r="J5" s="8" t="inlineStr">
        <is>
          <t>Uds/día fuera de campaña</t>
        </is>
      </c>
      <c r="K5" s="8" t="inlineStr">
        <is>
          <t>Uds/día en campaña</t>
        </is>
      </c>
      <c r="L5" s="8" t="inlineStr">
        <is>
          <t>Uds/día incrementales</t>
        </is>
      </c>
      <c r="M5" s="8" t="inlineStr">
        <is>
          <t>Uds de toda la campaña</t>
        </is>
      </c>
      <c r="N5" s="8" t="inlineStr">
        <is>
          <t>Facturación de la campaña sin IVA (€)</t>
        </is>
      </c>
      <c r="O5" s="8" t="inlineStr">
        <is>
          <t>Facturación incremental sin IVA (€)</t>
        </is>
      </c>
      <c r="P5" s="8" t="inlineStr">
        <is>
          <t>Factor sobre el obrador</t>
        </is>
      </c>
      <c r="Q5" s="8" t="inlineStr">
        <is>
          <t>Antelación de compra (semanas)</t>
        </is>
      </c>
      <c r="R5" s="8" t="inlineStr">
        <is>
          <t>Qué hay que saber de esta campaña</t>
        </is>
      </c>
    </row>
    <row r="6" ht="72" customHeight="1">
      <c r="A6" t="n">
        <v>1</v>
      </c>
      <c r="B6" s="18" t="inlineStr">
        <is>
          <t>Reyes</t>
        </is>
      </c>
      <c r="C6" s="5" t="inlineStr">
        <is>
          <t>2 a 6 de enero</t>
        </is>
      </c>
      <c r="D6" s="12" t="n">
        <v>1</v>
      </c>
      <c r="E6" s="12" t="n">
        <v>5</v>
      </c>
      <c r="F6" s="5" t="inlineStr">
        <is>
          <t>Roscón de Reyes</t>
        </is>
      </c>
      <c r="G6" s="16" t="n">
        <v>0.1</v>
      </c>
      <c r="H6" s="9" t="n">
        <v>16.5</v>
      </c>
      <c r="I6" s="19">
        <f>IFERROR(H6/(1+G6),"")</f>
        <v>14.999999999999998</v>
      </c>
      <c r="J6" s="12" t="n">
        <v>0</v>
      </c>
      <c r="K6" s="12" t="n">
        <v>420</v>
      </c>
      <c r="L6" s="20">
        <f>IFERROR(K6-J6,"")</f>
        <v>420.0</v>
      </c>
      <c r="M6" s="20">
        <f>IFERROR(K6*E6,"")</f>
        <v>2100.0</v>
      </c>
      <c r="N6" s="19">
        <f>IFERROR(M6*I6,"")</f>
        <v>31499.999999999996</v>
      </c>
      <c r="O6" s="19">
        <f>IFERROR(L6*E6*I6,"")</f>
        <v>31499.999999999996</v>
      </c>
      <c r="P6" s="13" t="n">
        <v>6</v>
      </c>
      <c r="Q6" s="12" t="n">
        <v>6</v>
      </c>
      <c r="R6" s="21" t="inlineStr">
        <is>
          <t>El pico que decide el año. Referencias de escala, nunca de precio ni de cuota: PS-35 (unos 30 millones de roscones en España en la campaña 2025/26), PS-36 (más de 2,9 millones en la Comunidad de Madrid) y PS-38 (El Corte Inglés 850.000, Viena Capellanes 72.000). PS-46: el supermercado entra con roscones premiados a 9 €. El roscón relleno de nata arrastra los 4 °C de la fila 9 y las 24 h del art. 9.3 justo el día de más producción: eso limita la producción tanto como el horno.</t>
        </is>
      </c>
    </row>
    <row r="7" ht="72" customHeight="1">
      <c r="A7" t="n">
        <v>2</v>
      </c>
      <c r="B7" s="18" t="inlineStr">
        <is>
          <t>San Valentín</t>
        </is>
      </c>
      <c r="C7" s="5" t="inlineStr">
        <is>
          <t>13 y 14 de febrero</t>
        </is>
      </c>
      <c r="D7" s="12" t="n">
        <v>2</v>
      </c>
      <c r="E7" s="12" t="n">
        <v>2</v>
      </c>
      <c r="F7" s="5" t="inlineStr">
        <is>
          <t>Macarons de frambuesa</t>
        </is>
      </c>
      <c r="G7" s="16" t="n">
        <v>0.1</v>
      </c>
      <c r="H7" s="9" t="n">
        <v>2.1</v>
      </c>
      <c r="I7" s="19">
        <f>IFERROR(H7/(1+G7),"")</f>
        <v>1.909090909090909</v>
      </c>
      <c r="J7" s="12" t="n">
        <v>95</v>
      </c>
      <c r="K7" s="12" t="n">
        <v>260</v>
      </c>
      <c r="L7" s="20">
        <f>IFERROR(K7-J7,"")</f>
        <v>165.0</v>
      </c>
      <c r="M7" s="20">
        <f>IFERROR(K7*E7,"")</f>
        <v>520.0</v>
      </c>
      <c r="N7" s="19">
        <f>IFERROR(M7*I7,"")</f>
        <v>992.7272727272726</v>
      </c>
      <c r="O7" s="19">
        <f>IFERROR(L7*E7*I7,"")</f>
        <v>630.0</v>
      </c>
      <c r="P7" s="13" t="n">
        <v>1.8</v>
      </c>
      <c r="Q7" s="12" t="n">
        <v>3</v>
      </c>
      <c r="R7" s="21" t="inlineStr">
        <is>
          <t>Campaña de dos días y de ticket alto, no de volumen: se gana con cajas y presentación, no con más horno. En el kit, la producción especial de esta fecha son tartas corazón, bombones y macarons.</t>
        </is>
      </c>
    </row>
    <row r="8" ht="72" customHeight="1">
      <c r="A8" t="n">
        <v>3</v>
      </c>
      <c r="B8" s="18" t="inlineStr">
        <is>
          <t>Día del Padre y de la Madre</t>
        </is>
      </c>
      <c r="C8" s="5" t="inlineStr">
        <is>
          <t>19 de marzo y primer domingo de mayo</t>
        </is>
      </c>
      <c r="D8" s="12" t="n">
        <v>3</v>
      </c>
      <c r="E8" s="12" t="n">
        <v>4</v>
      </c>
      <c r="F8" s="5" t="inlineStr">
        <is>
          <t>Tarta de chocolate 70 %</t>
        </is>
      </c>
      <c r="G8" s="16" t="n">
        <v>0.1</v>
      </c>
      <c r="H8" s="9" t="n">
        <v>3.6</v>
      </c>
      <c r="I8" s="19">
        <f>IFERROR(H8/(1+G8),"")</f>
        <v>3.2727272727272725</v>
      </c>
      <c r="J8" s="12" t="n">
        <v>16</v>
      </c>
      <c r="K8" s="12" t="n">
        <v>96</v>
      </c>
      <c r="L8" s="20">
        <f>IFERROR(K8-J8,"")</f>
        <v>80.0</v>
      </c>
      <c r="M8" s="20">
        <f>IFERROR(K8*E8,"")</f>
        <v>384.0</v>
      </c>
      <c r="N8" s="19">
        <f>IFERROR(M8*I8,"")</f>
        <v>1256.7272727272725</v>
      </c>
      <c r="O8" s="19">
        <f>IFERROR(L8*E8*I8,"")</f>
        <v>1047.2727272727273</v>
      </c>
      <c r="P8" s="13" t="n">
        <v>1.9</v>
      </c>
      <c r="Q8" s="12" t="n">
        <v>3</v>
      </c>
      <c r="R8" s="21" t="inlineStr">
        <is>
          <t>Dos fechas con el mismo patrón de trabajo -tarta con dedicatoria, por encargo- y por eso van juntas como una sola campaña operativa. El kit las separa en su calendario porque a él le importan las fechas; a la guía le importa la carga de obrador.</t>
        </is>
      </c>
    </row>
    <row r="9" ht="72" customHeight="1">
      <c r="A9" t="n">
        <v>4</v>
      </c>
      <c r="B9" s="18" t="inlineStr">
        <is>
          <t>Semana Santa</t>
        </is>
      </c>
      <c r="C9" s="5" t="inlineStr">
        <is>
          <t>del Domingo de Ramos al Domingo de Resurrección</t>
        </is>
      </c>
      <c r="D9" s="12" t="n">
        <v>4</v>
      </c>
      <c r="E9" s="12" t="n">
        <v>8</v>
      </c>
      <c r="F9" s="5" t="inlineStr">
        <is>
          <t>Torrijas</t>
        </is>
      </c>
      <c r="G9" s="16" t="n">
        <v>0.1</v>
      </c>
      <c r="H9" s="9" t="n">
        <v>2.4</v>
      </c>
      <c r="I9" s="19">
        <f>IFERROR(H9/(1+G9),"")</f>
        <v>2.1818181818181817</v>
      </c>
      <c r="J9" s="12" t="n">
        <v>0</v>
      </c>
      <c r="K9" s="12" t="n">
        <v>240</v>
      </c>
      <c r="L9" s="20">
        <f>IFERROR(K9-J9,"")</f>
        <v>240.0</v>
      </c>
      <c r="M9" s="20">
        <f>IFERROR(K9*E9,"")</f>
        <v>1920.0</v>
      </c>
      <c r="N9" s="19">
        <f>IFERROR(M9*I9,"")</f>
        <v>4189.090909090909</v>
      </c>
      <c r="O9" s="19">
        <f>IFERROR(L9*E9*I9,"")</f>
        <v>4189.090909090909</v>
      </c>
      <c r="P9" s="13" t="n">
        <v>2.4</v>
      </c>
      <c r="Q9" s="12" t="n">
        <v>4</v>
      </c>
      <c r="R9" s="21" t="inlineStr">
        <is>
          <t>Ocho días seguidos de producción extra, que es más agotador que los cinco de Reyes aunque el pico sea menor. Torrijas y monas a la vez: una necesita freidora y frío, la otra horno y chocolate.</t>
        </is>
      </c>
    </row>
    <row r="10" ht="72" customHeight="1">
      <c r="A10" t="n">
        <v>5</v>
      </c>
      <c r="B10" s="18" t="inlineStr">
        <is>
          <t>Comuniones</t>
        </is>
      </c>
      <c r="C10" s="5" t="inlineStr">
        <is>
          <t>de mediados de abril a mediados de junio</t>
        </is>
      </c>
      <c r="D10" s="12" t="n">
        <v>5</v>
      </c>
      <c r="E10" s="12" t="n">
        <v>20</v>
      </c>
      <c r="F10" s="5" t="inlineStr">
        <is>
          <t>Tarta de nata y fresas</t>
        </is>
      </c>
      <c r="G10" s="16" t="n">
        <v>0.1</v>
      </c>
      <c r="H10" s="9" t="n">
        <v>3.5</v>
      </c>
      <c r="I10" s="19">
        <f>IFERROR(H10/(1+G10),"")</f>
        <v>3.1818181818181817</v>
      </c>
      <c r="J10" s="12" t="n">
        <v>10</v>
      </c>
      <c r="K10" s="12" t="n">
        <v>34</v>
      </c>
      <c r="L10" s="20">
        <f>IFERROR(K10-J10,"")</f>
        <v>24.0</v>
      </c>
      <c r="M10" s="20">
        <f>IFERROR(K10*E10,"")</f>
        <v>680.0</v>
      </c>
      <c r="N10" s="19">
        <f>IFERROR(M10*I10,"")</f>
        <v>2163.6363636363635</v>
      </c>
      <c r="O10" s="19">
        <f>IFERROR(L10*E10*I10,"")</f>
        <v>1527.2727272727273</v>
      </c>
      <c r="P10" s="13" t="n">
        <v>1.6</v>
      </c>
      <c r="Q10" s="12" t="n">
        <v>5</v>
      </c>
      <c r="R10" s="21" t="inlineStr">
        <is>
          <t>No es un pico, es una MESETA de dos meses, y por eso se aguanta con plantilla y no con horas extra. Todo va por encargo: anticipo, calendario de entrega y riesgo de anulación (cap. 16). La herramienta de gestión del encargo es el 11-control-encargos.xlsx del kit, que la guía no rehace (R2).</t>
        </is>
      </c>
    </row>
    <row r="11" ht="72" customHeight="1">
      <c r="A11" t="n">
        <v>6</v>
      </c>
      <c r="B11" s="18" t="inlineStr">
        <is>
          <t>Todos los Santos</t>
        </is>
      </c>
      <c r="C11" s="5" t="inlineStr">
        <is>
          <t>30 y 31 de octubre y 1 de noviembre</t>
        </is>
      </c>
      <c r="D11" s="12" t="n">
        <v>11</v>
      </c>
      <c r="E11" s="12" t="n">
        <v>3</v>
      </c>
      <c r="F11" s="5" t="inlineStr">
        <is>
          <t>Buñuelos de viento</t>
        </is>
      </c>
      <c r="G11" s="16" t="n">
        <v>0.1</v>
      </c>
      <c r="H11" s="9" t="n">
        <v>1.6</v>
      </c>
      <c r="I11" s="19">
        <f>IFERROR(H11/(1+G11),"")</f>
        <v>1.4545454545454546</v>
      </c>
      <c r="J11" s="12" t="n">
        <v>0</v>
      </c>
      <c r="K11" s="12" t="n">
        <v>520</v>
      </c>
      <c r="L11" s="20">
        <f>IFERROR(K11-J11,"")</f>
        <v>520.0</v>
      </c>
      <c r="M11" s="20">
        <f>IFERROR(K11*E11,"")</f>
        <v>1560.0</v>
      </c>
      <c r="N11" s="19">
        <f>IFERROR(M11*I11,"")</f>
        <v>2269.090909090909</v>
      </c>
      <c r="O11" s="19">
        <f>IFERROR(L11*E11*I11,"")</f>
        <v>2269.090909090909</v>
      </c>
      <c r="P11" s="13" t="n">
        <v>2.6</v>
      </c>
      <c r="Q11" s="12" t="n">
        <v>4</v>
      </c>
      <c r="R11" s="21" t="inlineStr">
        <is>
          <t>Tres días con tres referencias que sólo se hacen ahora: buñuelos, huesos de santo y panellets. Los buñuelos van rellenos (4 °C y 24 h) y los otros dos son estables a temperatura ambiente: por eso los buñuelos se hacen el mismo día y los huesos de santo se pueden adelantar. Ese detalle legal ES la planificación de la campaña.</t>
        </is>
      </c>
    </row>
    <row r="12"/>
    <row r="13">
      <c r="B13" s="18" t="inlineStr">
        <is>
          <t>TOTAL DE LAS SEIS CAMPAÑAS</t>
        </is>
      </c>
      <c r="E13" s="15">
        <f>SUM(E6:E11)</f>
        <v>42.0</v>
      </c>
      <c r="M13" s="15">
        <f>SUM(M6:M11)</f>
        <v>7164.0</v>
      </c>
      <c r="N13" s="17">
        <f>SUM(N6:N11)</f>
        <v>42371.27272727273</v>
      </c>
      <c r="O13" s="17">
        <f>SUM(O6:O11)</f>
        <v>41162.72727272727</v>
      </c>
    </row>
    <row r="14"/>
    <row r="15" ht="32" customHeight="1">
      <c r="A15" s="22" t="inlineStr">
        <is>
          <t>El factor de campaña multiplica las piezas del OBRADOR ENTERO, no las del producto estrella: por eso Reyes lleva un 6,0 y San Valentín un 1,8 aunque las dos sean campañas. Las unidades del producto estrella son las de esta hoja; el obrador entero se trata en «Capacidad vs Demanda del Pico».</t>
        </is>
      </c>
    </row>
    <row r="16"/>
    <row r="17">
      <c r="A17" s="7"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
    <mergeCell ref="A15:R15"/>
  </mergeCells>
  <dataValidations count="2">
    <dataValidation sqref="D6 D7 D8 D9 D10 D11" showDropDown="0" showInputMessage="0" showErrorMessage="1" allowBlank="1" errorTitle="Mes" error="El mes va de 1 a 12." type="decimal" operator="between">
      <formula1>1</formula1>
      <formula2>12</formula2>
    </dataValidation>
    <dataValidation sqref="G6 G7 G8 G9 G10 G11" showDropDown="0" showInputMessage="1" showErrorMessage="1" allowBlank="1" errorTitle="Tipo de IVA" error="Escribe un porcentaje entre 0 y 1 (0,20 = 20 %)." promptTitle="Tipo de IVA" prompt="Se escribe en tanto por uno: 0,10 = 10 %." type="decimal" operator="between">
      <formula1>0</formula1>
      <formula2>1.0</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I34"/>
  <sheetViews>
    <sheetView workbookViewId="0">
      <pane ySplit="5" topLeftCell="A6" activePane="bottomLeft" state="frozen"/>
      <selection pane="bottomLeft" activeCell="A1" sqref="A1"/>
    </sheetView>
  </sheetViews>
  <sheetFormatPr baseColWidth="8" defaultRowHeight="15"/>
  <cols>
    <col width="16" customWidth="1" min="1" max="1"/>
    <col width="12" customWidth="1" min="2" max="2"/>
    <col width="14" customWidth="1" min="3" max="3"/>
    <col width="11" customWidth="1" min="4" max="4"/>
    <col width="34" customWidth="1" min="5" max="5"/>
    <col width="74" customWidth="1" min="6" max="6"/>
    <col width="13" customWidth="1" min="7" max="7"/>
    <col width="13" customWidth="1" min="8" max="8"/>
    <col width="13" customWidth="1" min="9" max="9"/>
  </cols>
  <sheetData>
    <row r="1">
      <c r="A1" s="1" t="inlineStr">
        <is>
          <t>Peso sobre el Año</t>
        </is>
      </c>
    </row>
    <row r="2">
      <c r="A2" s="2" t="inlineStr">
        <is>
          <t>AI Chef Pro · aichef.pro — Cómo Montar una Pastelería</t>
        </is>
      </c>
    </row>
    <row r="3">
      <c r="A3" s="3" t="inlineStr">
        <is>
          <t>Qué parte del año se juega en cada campaña. Es el número que decide si merece la pena montarla.</t>
        </is>
      </c>
    </row>
    <row r="4"/>
    <row r="5" ht="42" customHeight="1">
      <c r="A5" s="8" t="inlineStr">
        <is>
          <t>Mes</t>
        </is>
      </c>
      <c r="B5" s="8" t="inlineStr">
        <is>
          <t>Coeficiente sobre el mes medio</t>
        </is>
      </c>
      <c r="C5" s="8" t="inlineStr">
        <is>
          <t>Ventas del mes sin IVA (€)</t>
        </is>
      </c>
      <c r="D5" s="8" t="inlineStr">
        <is>
          <t>% sobre el año</t>
        </is>
      </c>
      <c r="E5" s="8" t="inlineStr">
        <is>
          <t>Campañas que caen en el mes</t>
        </is>
      </c>
      <c r="F5" s="8" t="inlineStr">
        <is>
          <t>Por qué ese coeficiente</t>
        </is>
      </c>
    </row>
    <row r="6" ht="30" customHeight="1">
      <c r="A6" t="inlineStr">
        <is>
          <t>Enero</t>
        </is>
      </c>
      <c r="B6" s="23" t="n">
        <v>1.18</v>
      </c>
      <c r="C6" s="19">
        <f>IFERROR('Parámetros'!$B$6*B6/$B$18,"")</f>
        <v>31682.79054999999</v>
      </c>
      <c r="D6" s="24">
        <f>IFERROR(C6/'Parámetros'!$B$6,"")</f>
        <v>0.0983333333333333</v>
      </c>
      <c r="E6" s="5" t="inlineStr">
        <is>
          <t>Reyes</t>
        </is>
      </c>
      <c r="F6" s="11" t="inlineStr">
        <is>
          <t>Reyes. Es el mes más alto del año y el que decide la campaña.</t>
        </is>
      </c>
    </row>
    <row r="7" ht="30" customHeight="1">
      <c r="A7" t="inlineStr">
        <is>
          <t>Febrero</t>
        </is>
      </c>
      <c r="B7" s="23" t="n">
        <v>0.9399999999999999</v>
      </c>
      <c r="C7" s="19">
        <f>IFERROR('Parámetros'!$B$6*B7/$B$18,"")</f>
        <v>25238.83314999999</v>
      </c>
      <c r="D7" s="24">
        <f>IFERROR(C7/'Parámetros'!$B$6,"")</f>
        <v>0.07833333333333331</v>
      </c>
      <c r="E7" s="5" t="inlineStr">
        <is>
          <t>San Valentín</t>
        </is>
      </c>
      <c r="F7" s="11" t="inlineStr">
        <is>
          <t>San Valentín son dos días y febrero tiene 28: una campaña de esa longitud no levanta un mes entero.</t>
        </is>
      </c>
    </row>
    <row r="8" ht="30" customHeight="1">
      <c r="A8" t="inlineStr">
        <is>
          <t>Marzo</t>
        </is>
      </c>
      <c r="B8" s="23" t="n">
        <v>0.98</v>
      </c>
      <c r="C8" s="19">
        <f>IFERROR('Parámetros'!$B$6*B8/$B$18,"")</f>
        <v>26312.826049999996</v>
      </c>
      <c r="D8" s="24">
        <f>IFERROR(C8/'Parámetros'!$B$6,"")</f>
        <v>0.08166666666666665</v>
      </c>
      <c r="E8" s="5" t="inlineStr">
        <is>
          <t>Día del Padre y de la Madre</t>
        </is>
      </c>
      <c r="F8" s="11" t="inlineStr">
        <is>
          <t>El Día del Padre es un día. Mismo razonamiento que febrero.</t>
        </is>
      </c>
    </row>
    <row r="9" ht="30" customHeight="1">
      <c r="A9" t="inlineStr">
        <is>
          <t>Abril</t>
        </is>
      </c>
      <c r="B9" s="23" t="n">
        <v>1.05</v>
      </c>
      <c r="C9" s="19">
        <f>IFERROR('Parámetros'!$B$6*B9/$B$18,"")</f>
        <v>28192.313624999995</v>
      </c>
      <c r="D9" s="24">
        <f>IFERROR(C9/'Parámetros'!$B$6,"")</f>
        <v>0.08749999999999998</v>
      </c>
      <c r="E9" s="5" t="inlineStr">
        <is>
          <t>Semana Santa</t>
        </is>
      </c>
      <c r="F9" s="11" t="inlineStr">
        <is>
          <t>Semana Santa y el arranque de las comuniones.</t>
        </is>
      </c>
    </row>
    <row r="10" ht="30" customHeight="1">
      <c r="A10" t="inlineStr">
        <is>
          <t>Mayo</t>
        </is>
      </c>
      <c r="B10" s="23" t="n">
        <v>1.08</v>
      </c>
      <c r="C10" s="19">
        <f>IFERROR('Parámetros'!$B$6*B10/$B$18,"")</f>
        <v>28997.808299999993</v>
      </c>
      <c r="D10" s="24">
        <f>IFERROR(C10/'Parámetros'!$B$6,"")</f>
        <v>0.08999999999999998</v>
      </c>
      <c r="E10" s="5" t="inlineStr">
        <is>
          <t>Comuniones</t>
        </is>
      </c>
      <c r="F10" s="11" t="inlineStr">
        <is>
          <t>Día de la Madre y meseta de comuniones: dos meses de encargos.</t>
        </is>
      </c>
    </row>
    <row r="11" ht="30" customHeight="1">
      <c r="A11" t="inlineStr">
        <is>
          <t>Junio</t>
        </is>
      </c>
      <c r="B11" s="23" t="n">
        <v>0.98</v>
      </c>
      <c r="C11" s="19">
        <f>IFERROR('Parámetros'!$B$6*B11/$B$18,"")</f>
        <v>26312.826049999996</v>
      </c>
      <c r="D11" s="24">
        <f>IFERROR(C11/'Parámetros'!$B$6,"")</f>
        <v>0.08166666666666665</v>
      </c>
      <c r="E11" s="5" t="inlineStr">
        <is>
          <t>-</t>
        </is>
      </c>
      <c r="F11" s="11" t="inlineStr">
        <is>
          <t>Final de comuniones y caída del consumo con el calor.</t>
        </is>
      </c>
    </row>
    <row r="12" ht="30" customHeight="1">
      <c r="A12" t="inlineStr">
        <is>
          <t>Julio</t>
        </is>
      </c>
      <c r="B12" s="23" t="n">
        <v>0.86</v>
      </c>
      <c r="C12" s="19">
        <f>IFERROR('Parámetros'!$B$6*B12/$B$18,"")</f>
        <v>23090.847349999996</v>
      </c>
      <c r="D12" s="24">
        <f>IFERROR(C12/'Parámetros'!$B$6,"")</f>
        <v>0.07166666666666666</v>
      </c>
      <c r="E12" s="5" t="inlineStr">
        <is>
          <t>-</t>
        </is>
      </c>
      <c r="F12" s="11" t="inlineStr">
        <is>
          <t>Verano: baja el consumo de pastelería y sube el de helado, que no está en la carta de La Clara.</t>
        </is>
      </c>
    </row>
    <row r="13" ht="30" customHeight="1">
      <c r="A13" t="inlineStr">
        <is>
          <t>Agosto</t>
        </is>
      </c>
      <c r="B13" s="23" t="n">
        <v>0.68</v>
      </c>
      <c r="C13" s="19">
        <f>IFERROR('Parámetros'!$B$6*B13/$B$18,"")</f>
        <v>18257.879299999997</v>
      </c>
      <c r="D13" s="24">
        <f>IFERROR(C13/'Parámetros'!$B$6,"")</f>
        <v>0.05666666666666666</v>
      </c>
      <c r="E13" s="5" t="inlineStr">
        <is>
          <t>-</t>
        </is>
      </c>
      <c r="F13" s="11" t="inlineStr">
        <is>
          <t>La Clara cierra dos semanas en agosto (los 300 días de apertura del año salen de ahí).</t>
        </is>
      </c>
    </row>
    <row r="14" ht="30" customHeight="1">
      <c r="A14" t="inlineStr">
        <is>
          <t>Septiembre</t>
        </is>
      </c>
      <c r="B14" s="23" t="n">
        <v>0.92</v>
      </c>
      <c r="C14" s="19">
        <f>IFERROR('Parámetros'!$B$6*B14/$B$18,"")</f>
        <v>24701.836699999996</v>
      </c>
      <c r="D14" s="24">
        <f>IFERROR(C14/'Parámetros'!$B$6,"")</f>
        <v>0.07666666666666666</v>
      </c>
      <c r="E14" s="5" t="inlineStr">
        <is>
          <t>-</t>
        </is>
      </c>
      <c r="F14" s="11" t="inlineStr">
        <is>
          <t>Vuelta al colegio y mes de apertura recomendado: fuera de pico y con tres meses y medio de rodaje antes de Reyes.</t>
        </is>
      </c>
    </row>
    <row r="15" ht="30" customHeight="1">
      <c r="A15" t="inlineStr">
        <is>
          <t>Octubre</t>
        </is>
      </c>
      <c r="B15" s="23" t="n">
        <v>0.96</v>
      </c>
      <c r="C15" s="19">
        <f>IFERROR('Parámetros'!$B$6*B15/$B$18,"")</f>
        <v>25775.829599999994</v>
      </c>
      <c r="D15" s="24">
        <f>IFERROR(C15/'Parámetros'!$B$6,"")</f>
        <v>0.07999999999999999</v>
      </c>
      <c r="E15" s="5" t="inlineStr">
        <is>
          <t>-</t>
        </is>
      </c>
      <c r="F15" s="11" t="inlineStr">
        <is>
          <t>Mes de transición; Todos los Santos empieza el día 30.</t>
        </is>
      </c>
    </row>
    <row r="16" ht="30" customHeight="1">
      <c r="A16" t="inlineStr">
        <is>
          <t>Noviembre</t>
        </is>
      </c>
      <c r="B16" s="23" t="n">
        <v>1.09</v>
      </c>
      <c r="C16" s="19">
        <f>IFERROR('Parámetros'!$B$6*B16/$B$18,"")</f>
        <v>29266.306524999996</v>
      </c>
      <c r="D16" s="24">
        <f>IFERROR(C16/'Parámetros'!$B$6,"")</f>
        <v>0.09083333333333332</v>
      </c>
      <c r="E16" s="5" t="inlineStr">
        <is>
          <t>Todos los Santos</t>
        </is>
      </c>
      <c r="F16" s="11" t="inlineStr">
        <is>
          <t>Todos los Santos y arranque de la producción de Navidad.</t>
        </is>
      </c>
    </row>
    <row r="17" ht="30" customHeight="1">
      <c r="A17" t="inlineStr">
        <is>
          <t>Diciembre</t>
        </is>
      </c>
      <c r="B17" s="23" t="n">
        <v>1.28</v>
      </c>
      <c r="C17" s="19">
        <f>IFERROR('Parámetros'!$B$6*B17/$B$18,"")</f>
        <v>34367.7728</v>
      </c>
      <c r="D17" s="24">
        <f>IFERROR(C17/'Parámetros'!$B$6,"")</f>
        <v>0.10666666666666666</v>
      </c>
      <c r="E17" s="5" t="inlineStr">
        <is>
          <t>-</t>
        </is>
      </c>
      <c r="F17" s="11" t="inlineStr">
        <is>
          <t>Navidad: turrones, polvorones y el prólogo de Reyes.</t>
        </is>
      </c>
    </row>
    <row r="18">
      <c r="A18" s="18" t="inlineStr">
        <is>
          <t>TOTAL AÑO</t>
        </is>
      </c>
      <c r="B18" s="25">
        <f>SUM(B6:B17)</f>
        <v>12.000000000000002</v>
      </c>
      <c r="C18" s="17">
        <f>SUM(C6:C17)</f>
        <v>322197.86999999994</v>
      </c>
      <c r="D18" s="26">
        <f>SUM(D6:D17)</f>
        <v>0.9999999999999998</v>
      </c>
      <c r="F18" s="22" t="inlineStr">
        <is>
          <t>Los doce coeficientes se reparten sobre el mes medio, así que su suma tiene que dar 12,00. Si cambias uno, el reparto se recalcula solo y las ventas del año no se mueven.</t>
        </is>
      </c>
    </row>
    <row r="19"/>
    <row r="20"/>
    <row r="21">
      <c r="A21" s="4" t="inlineStr">
        <is>
          <t>Lo que pesa cada campaña</t>
        </is>
      </c>
    </row>
    <row r="22"/>
    <row r="23" ht="42" customHeight="1">
      <c r="A23" s="8" t="inlineStr">
        <is>
          <t>Campaña</t>
        </is>
      </c>
      <c r="B23" s="8" t="inlineStr">
        <is>
          <t>Días de campaña</t>
        </is>
      </c>
      <c r="C23" s="8" t="inlineStr">
        <is>
          <t>Facturación de la campaña sin IVA (€)</t>
        </is>
      </c>
      <c r="D23" s="8" t="inlineStr">
        <is>
          <t>% sobre el año</t>
        </is>
      </c>
      <c r="E23" s="8" t="inlineStr">
        <is>
          <t>Facturación incremental sin IVA (€)</t>
        </is>
      </c>
      <c r="F23" s="8" t="inlineStr">
        <is>
          <t>% incremental sobre el año</t>
        </is>
      </c>
      <c r="G23" s="8" t="inlineStr">
        <is>
          <t>€ por día de campaña</t>
        </is>
      </c>
      <c r="H23" s="8" t="inlineStr">
        <is>
          <t>€ por día medio del año</t>
        </is>
      </c>
      <c r="I23" s="8" t="inlineStr">
        <is>
          <t>Cuántas veces un día normal</t>
        </is>
      </c>
    </row>
    <row r="24">
      <c r="A24" s="18" t="inlineStr">
        <is>
          <t>Reyes</t>
        </is>
      </c>
      <c r="B24" s="20">
        <f>'Calendario de 6 Picos'!E6</f>
        <v>5.0</v>
      </c>
      <c r="C24" s="19">
        <f>'Calendario de 6 Picos'!N6</f>
        <v>31499.999999999996</v>
      </c>
      <c r="D24" s="24">
        <f>IFERROR(C24/'Parámetros'!$B$6,"")</f>
        <v>0.09776600944009964</v>
      </c>
      <c r="E24" s="19">
        <f>'Calendario de 6 Picos'!O6</f>
        <v>31499.999999999996</v>
      </c>
      <c r="F24" s="24">
        <f>IFERROR(E24/'Parámetros'!$B$6,"")</f>
        <v>0.09776600944009964</v>
      </c>
      <c r="G24" s="19">
        <f>IFERROR(C24/B24,"")</f>
        <v>6299.999999999999</v>
      </c>
      <c r="H24" s="19">
        <f>IFERROR('Parámetros'!$B$6/'Parámetros'!$B$8,"")</f>
        <v>1073.9929</v>
      </c>
      <c r="I24" s="27">
        <f>IFERROR(G24/H24,"")</f>
        <v>5.865960566405978</v>
      </c>
    </row>
    <row r="25">
      <c r="A25" s="18" t="inlineStr">
        <is>
          <t>San Valentín</t>
        </is>
      </c>
      <c r="B25" s="20">
        <f>'Calendario de 6 Picos'!E7</f>
        <v>2.0</v>
      </c>
      <c r="C25" s="19">
        <f>'Calendario de 6 Picos'!N7</f>
        <v>992.7272727272726</v>
      </c>
      <c r="D25" s="24">
        <f>IFERROR(C25/'Parámetros'!$B$6,"")</f>
        <v>0.0030811106005364736</v>
      </c>
      <c r="E25" s="19">
        <f>'Calendario de 6 Picos'!O7</f>
        <v>630.0</v>
      </c>
      <c r="F25" s="24">
        <f>IFERROR(E25/'Parámetros'!$B$6,"")</f>
        <v>0.001955320188801993</v>
      </c>
      <c r="G25" s="19">
        <f>IFERROR(C25/B25,"")</f>
        <v>496.3636363636363</v>
      </c>
      <c r="H25" s="19">
        <f>IFERROR('Parámetros'!$B$6/'Parámetros'!$B$8,"")</f>
        <v>1073.9929</v>
      </c>
      <c r="I25" s="27">
        <f>IFERROR(G25/H25,"")</f>
        <v>0.46216659008047106</v>
      </c>
    </row>
    <row r="26">
      <c r="A26" s="18" t="inlineStr">
        <is>
          <t>Día del Padre y de la Madre</t>
        </is>
      </c>
      <c r="B26" s="20">
        <f>'Calendario de 6 Picos'!E8</f>
        <v>4.0</v>
      </c>
      <c r="C26" s="19">
        <f>'Calendario de 6 Picos'!N8</f>
        <v>1256.7272727272725</v>
      </c>
      <c r="D26" s="24">
        <f>IFERROR(C26/'Parámetros'!$B$6,"")</f>
        <v>0.0039004828701296895</v>
      </c>
      <c r="E26" s="19">
        <f>'Calendario de 6 Picos'!O8</f>
        <v>1047.2727272727273</v>
      </c>
      <c r="F26" s="24">
        <f>IFERROR(E26/'Parámetros'!$B$6,"")</f>
        <v>0.0032504023917747414</v>
      </c>
      <c r="G26" s="19">
        <f>IFERROR(C26/B26,"")</f>
        <v>314.18181818181813</v>
      </c>
      <c r="H26" s="19">
        <f>IFERROR('Parámetros'!$B$6/'Parámetros'!$B$8,"")</f>
        <v>1073.9929</v>
      </c>
      <c r="I26" s="27">
        <f>IFERROR(G26/H26,"")</f>
        <v>0.29253621525972673</v>
      </c>
    </row>
    <row r="27">
      <c r="A27" s="18" t="inlineStr">
        <is>
          <t>Semana Santa</t>
        </is>
      </c>
      <c r="B27" s="20">
        <f>'Calendario de 6 Picos'!E9</f>
        <v>8.0</v>
      </c>
      <c r="C27" s="19">
        <f>'Calendario de 6 Picos'!N9</f>
        <v>4189.090909090909</v>
      </c>
      <c r="D27" s="24">
        <f>IFERROR(C27/'Parámetros'!$B$6,"")</f>
        <v>0.013001609567098966</v>
      </c>
      <c r="E27" s="19">
        <f>'Calendario de 6 Picos'!O9</f>
        <v>4189.090909090909</v>
      </c>
      <c r="F27" s="24">
        <f>IFERROR(E27/'Parámetros'!$B$6,"")</f>
        <v>0.013001609567098966</v>
      </c>
      <c r="G27" s="19">
        <f>IFERROR(C27/B27,"")</f>
        <v>523.6363636363636</v>
      </c>
      <c r="H27" s="19">
        <f>IFERROR('Parámetros'!$B$6/'Parámetros'!$B$8,"")</f>
        <v>1073.9929</v>
      </c>
      <c r="I27" s="27">
        <f>IFERROR(G27/H27,"")</f>
        <v>0.48756035876621123</v>
      </c>
    </row>
    <row r="28">
      <c r="A28" s="18" t="inlineStr">
        <is>
          <t>Comuniones</t>
        </is>
      </c>
      <c r="B28" s="20">
        <f>'Calendario de 6 Picos'!E10</f>
        <v>20.0</v>
      </c>
      <c r="C28" s="19">
        <f>'Calendario de 6 Picos'!N10</f>
        <v>2163.6363636363635</v>
      </c>
      <c r="D28" s="24">
        <f>IFERROR(C28/'Parámetros'!$B$6,"")</f>
        <v>0.006715241052451289</v>
      </c>
      <c r="E28" s="19">
        <f>'Calendario de 6 Picos'!O10</f>
        <v>1527.2727272727273</v>
      </c>
      <c r="F28" s="24">
        <f>IFERROR(E28/'Parámetros'!$B$6,"")</f>
        <v>0.004740170154671498</v>
      </c>
      <c r="G28" s="19">
        <f>IFERROR(C28/B28,"")</f>
        <v>108.18181818181817</v>
      </c>
      <c r="H28" s="19">
        <f>IFERROR('Parámetros'!$B$6/'Parámetros'!$B$8,"")</f>
        <v>1073.9929</v>
      </c>
      <c r="I28" s="27">
        <f>IFERROR(G28/H28,"")</f>
        <v>0.10072861578676934</v>
      </c>
    </row>
    <row r="29">
      <c r="A29" s="18" t="inlineStr">
        <is>
          <t>Todos los Santos</t>
        </is>
      </c>
      <c r="B29" s="20">
        <f>'Calendario de 6 Picos'!E11</f>
        <v>3.0</v>
      </c>
      <c r="C29" s="19">
        <f>'Calendario de 6 Picos'!N11</f>
        <v>2269.090909090909</v>
      </c>
      <c r="D29" s="24">
        <f>IFERROR(C29/'Parámetros'!$B$6,"")</f>
        <v>0.00704253851551194</v>
      </c>
      <c r="E29" s="19">
        <f>'Calendario de 6 Picos'!O11</f>
        <v>2269.090909090909</v>
      </c>
      <c r="F29" s="24">
        <f>IFERROR(E29/'Parámetros'!$B$6,"")</f>
        <v>0.00704253851551194</v>
      </c>
      <c r="G29" s="19">
        <f>IFERROR(C29/B29,"")</f>
        <v>756.3636363636364</v>
      </c>
      <c r="H29" s="19">
        <f>IFERROR('Parámetros'!$B$6/'Parámetros'!$B$8,"")</f>
        <v>1073.9929</v>
      </c>
      <c r="I29" s="27">
        <f>IFERROR(G29/H29,"")</f>
        <v>0.704253851551194</v>
      </c>
    </row>
    <row r="30">
      <c r="A30" s="18" t="inlineStr">
        <is>
          <t>TOTAL DE LAS SEIS CAMPAÑAS</t>
        </is>
      </c>
      <c r="B30" s="15">
        <f>SUM(B24:B29)</f>
        <v>42.0</v>
      </c>
      <c r="C30" s="17">
        <f>SUM(C24:C29)</f>
        <v>42371.27272727273</v>
      </c>
      <c r="D30" s="26">
        <f>SUM(D24:D29)</f>
        <v>0.131506992045828</v>
      </c>
      <c r="E30" s="17">
        <f>SUM(E24:E29)</f>
        <v>41162.72727272727</v>
      </c>
      <c r="F30" s="26">
        <f>SUM(F24:F29)</f>
        <v>0.12775605025795878</v>
      </c>
    </row>
    <row r="31"/>
    <row r="32" ht="32" customHeight="1">
      <c r="A32" s="22" t="inlineStr">
        <is>
          <t>La «facturación de la campaña» cuenta TODAS las unidades del producto estrella que vendes esos días; la «incremental» sólo las que no habrías vendido de todas formas. Para decidir si montas la campaña manda la incremental. Para saber si aguantas, manda la total.</t>
        </is>
      </c>
    </row>
    <row r="33"/>
    <row r="34">
      <c r="A34" s="7"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
    <mergeCell ref="A32:I32"/>
  </mergeCells>
  <conditionalFormatting sqref="D24:D29">
    <cfRule type="expression" priority="1" dxfId="0" stopIfTrue="1">
      <formula>=AND(ISNUMBER($D24),$D24&gt;='Parámetros'!$B$27)</formula>
    </cfRule>
  </conditionalFormatting>
  <conditionalFormatting sqref="I24:I29">
    <cfRule type="expression" priority="2" dxfId="0" stopIfTrue="1">
      <formula>=AND(ISNUMBER($I24),$I24&gt;=2)</formula>
    </cfRule>
  </conditionalFormatting>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Q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4" customWidth="1" min="1" max="1"/>
    <col width="8" customWidth="1" min="2" max="2"/>
    <col width="9" customWidth="1" min="3" max="3"/>
    <col width="10" customWidth="1" min="4" max="4"/>
    <col width="11" customWidth="1" min="5" max="5"/>
    <col width="10" customWidth="1" min="6" max="6"/>
    <col width="10" customWidth="1" min="7" max="7"/>
    <col width="10" customWidth="1" min="8" max="8"/>
    <col width="11" customWidth="1" min="9" max="9"/>
    <col width="10" customWidth="1" min="10" max="10"/>
    <col width="11" customWidth="1" min="11" max="11"/>
    <col width="11" customWidth="1" min="12" max="12"/>
    <col width="11" customWidth="1" min="13" max="13"/>
    <col width="11" customWidth="1" min="14" max="14"/>
    <col width="11" customWidth="1" min="15" max="15"/>
    <col width="10" customWidth="1" min="16" max="16"/>
    <col width="62" customWidth="1" min="17" max="17"/>
  </cols>
  <sheetData>
    <row r="1">
      <c r="A1" s="1" t="inlineStr">
        <is>
          <t>Capacidad vs Demanda del Pico</t>
        </is>
      </c>
    </row>
    <row r="2">
      <c r="A2" s="2" t="inlineStr">
        <is>
          <t>AI Chef Pro · aichef.pro — Cómo Montar una Pastelería</t>
        </is>
      </c>
    </row>
    <row r="3">
      <c r="A3" s="3" t="inlineStr">
        <is>
          <t>La pregunta del libro: ¿aguantas Reyes con el equipo que estás comprando?</t>
        </is>
      </c>
    </row>
    <row r="4"/>
    <row r="5" ht="42" customHeight="1">
      <c r="A5" s="8" t="inlineStr">
        <is>
          <t>Campaña</t>
        </is>
      </c>
      <c r="B5" s="8" t="inlineStr">
        <is>
          <t>Días de campaña</t>
        </is>
      </c>
      <c r="C5" s="8" t="inlineStr">
        <is>
          <t>Factor sobre el crucero</t>
        </is>
      </c>
      <c r="D5" s="8" t="inlineStr">
        <is>
          <t>Demanda piezas/día</t>
        </is>
      </c>
      <c r="E5" s="8" t="inlineStr">
        <is>
          <t>Demanda de toda la campaña</t>
        </is>
      </c>
      <c r="F5" s="8" t="inlineStr">
        <is>
          <t>Horas de obrador al día en campaña</t>
        </is>
      </c>
      <c r="G5" s="8" t="inlineStr">
        <is>
          <t>Capacidad piezas/día en campaña</t>
        </is>
      </c>
      <c r="H5" s="8" t="inlineStr">
        <is>
          <t>Déficit diario</t>
        </is>
      </c>
      <c r="I5" s="8" t="inlineStr">
        <is>
          <t>Déficit de toda la campaña</t>
        </is>
      </c>
      <c r="J5" s="8" t="inlineStr">
        <is>
          <t>Días de producción adelantada</t>
        </is>
      </c>
      <c r="K5" s="8" t="inlineStr">
        <is>
          <t>Piezas que puedes adelantar</t>
        </is>
      </c>
      <c r="L5" s="8" t="inlineStr">
        <is>
          <t>Déficit tras adelantar</t>
        </is>
      </c>
      <c r="M5" s="8" t="inlineStr">
        <is>
          <t>Horas de obrador al día que harían falta</t>
        </is>
      </c>
      <c r="N5" s="8" t="inlineStr">
        <is>
          <t>¿Aguantas?</t>
        </is>
      </c>
      <c r="O5" s="8" t="inlineStr">
        <is>
          <t>Horas de obrador que faltan</t>
        </is>
      </c>
      <c r="P5" s="8" t="inlineStr">
        <is>
          <t>Personas de refuerzo necesarias</t>
        </is>
      </c>
      <c r="Q5" s="8" t="inlineStr">
        <is>
          <t>Qué palanca te falta</t>
        </is>
      </c>
    </row>
    <row r="6" ht="34" customHeight="1">
      <c r="A6" s="18" t="inlineStr">
        <is>
          <t>Reyes</t>
        </is>
      </c>
      <c r="B6" s="20">
        <f>'Calendario de 6 Picos'!E6</f>
        <v>5.0</v>
      </c>
      <c r="C6" s="27">
        <f>'Calendario de 6 Picos'!P6</f>
        <v>6.0</v>
      </c>
      <c r="D6" s="20">
        <f>IFERROR('Parámetros'!$B$7*C6,"")</f>
        <v>2856.0</v>
      </c>
      <c r="E6" s="20">
        <f>IFERROR(D6*B6,"")</f>
        <v>14280.0</v>
      </c>
      <c r="F6" s="13" t="n">
        <v>20</v>
      </c>
      <c r="G6" s="20">
        <f>IFERROR('Parámetros'!$B$11*F6,"")</f>
        <v>1200.0</v>
      </c>
      <c r="H6" s="20">
        <f>IFERROR(MAX(0,D6-G6),"")</f>
        <v>1656.0</v>
      </c>
      <c r="I6" s="20">
        <f>IFERROR(H6*B6,"")</f>
        <v>8280.0</v>
      </c>
      <c r="J6" s="12" t="n">
        <v>15</v>
      </c>
      <c r="K6" s="20">
        <f>IFERROR(MIN(I6,MAX(0,'Parámetros'!$B$12)*J6),"")</f>
        <v>60.0</v>
      </c>
      <c r="L6" s="20">
        <f>IFERROR(MAX(0,I6-K6),"")</f>
        <v>8220.0</v>
      </c>
      <c r="M6" s="27">
        <f>IFERROR((E6-K6)/B6/'Parámetros'!$B$11,"")</f>
        <v>47.4</v>
      </c>
      <c r="N6" t="str">
        <f>IF(L6="","",IF(L6&lt;=0,"Sí","No"))</f>
        <v>No</v>
      </c>
      <c r="O6" s="27">
        <f>IFERROR(L6/'Parámetros'!$B$11,"")</f>
        <v>137.0</v>
      </c>
      <c r="P6" s="20">
        <f>IFERROR(ROUNDUP(O6/(B6*'Parámetros'!$B$14),0),"")</f>
        <v>4.0</v>
      </c>
      <c r="Q6" s="28" t="str">
        <f>IF(L6="","",IF(L6&lt;=0,"Con estas horas y este adelanto, la campaña cabe.",IF(M6&gt;'Parámetros'!$B$13,"No cabe ni con el día entero: hay que adelantar y congelar más, o recortar el surtido de campaña.","Cabe alargando el turno con refuerzo: mira la hoja Refuerzo y Tesorería.")))</f>
        <v>No cabe ni con el día entero: hay que adelantar y congelar más, o recortar el surtido de campaña.</v>
      </c>
    </row>
    <row r="7" ht="34" customHeight="1">
      <c r="A7" s="18" t="inlineStr">
        <is>
          <t>San Valentín</t>
        </is>
      </c>
      <c r="B7" s="20">
        <f>'Calendario de 6 Picos'!E7</f>
        <v>2.0</v>
      </c>
      <c r="C7" s="27">
        <f>'Calendario de 6 Picos'!P7</f>
        <v>1.8</v>
      </c>
      <c r="D7" s="20">
        <f>IFERROR('Parámetros'!$B$7*C7,"")</f>
        <v>856.8000000000001</v>
      </c>
      <c r="E7" s="20">
        <f>IFERROR(D7*B7,"")</f>
        <v>1713.6000000000001</v>
      </c>
      <c r="F7" s="13" t="n">
        <v>10</v>
      </c>
      <c r="G7" s="20">
        <f>IFERROR('Parámetros'!$B$11*F7,"")</f>
        <v>600.0</v>
      </c>
      <c r="H7" s="20">
        <f>IFERROR(MAX(0,D7-G7),"")</f>
        <v>256.80000000000007</v>
      </c>
      <c r="I7" s="20">
        <f>IFERROR(H7*B7,"")</f>
        <v>513.6000000000001</v>
      </c>
      <c r="J7" s="12" t="n">
        <v>5</v>
      </c>
      <c r="K7" s="20">
        <f>IFERROR(MIN(I7,MAX(0,'Parámetros'!$B$12)*J7),"")</f>
        <v>20.0</v>
      </c>
      <c r="L7" s="20">
        <f>IFERROR(MAX(0,I7-K7),"")</f>
        <v>493.60000000000014</v>
      </c>
      <c r="M7" s="27">
        <f>IFERROR((E7-K7)/B7/'Parámetros'!$B$11,"")</f>
        <v>14.113333333333335</v>
      </c>
      <c r="N7" t="str">
        <f>IF(L7="","",IF(L7&lt;=0,"Sí","No"))</f>
        <v>No</v>
      </c>
      <c r="O7" s="27">
        <f>IFERROR(L7/'Parámetros'!$B$11,"")</f>
        <v>8.226666666666668</v>
      </c>
      <c r="P7" s="20">
        <f>IFERROR(ROUNDUP(O7/(B7*'Parámetros'!$B$14),0),"")</f>
        <v>1.0</v>
      </c>
      <c r="Q7" s="28" t="str">
        <f>IF(L7="","",IF(L7&lt;=0,"Con estas horas y este adelanto, la campaña cabe.",IF(M7&gt;'Parámetros'!$B$13,"No cabe ni con el día entero: hay que adelantar y congelar más, o recortar el surtido de campaña.","Cabe alargando el turno con refuerzo: mira la hoja Refuerzo y Tesorería.")))</f>
        <v>Cabe alargando el turno con refuerzo: mira la hoja Refuerzo y Tesorería.</v>
      </c>
    </row>
    <row r="8" ht="34" customHeight="1">
      <c r="A8" s="18" t="inlineStr">
        <is>
          <t>Día del Padre y de la Madre</t>
        </is>
      </c>
      <c r="B8" s="20">
        <f>'Calendario de 6 Picos'!E8</f>
        <v>4.0</v>
      </c>
      <c r="C8" s="27">
        <f>'Calendario de 6 Picos'!P8</f>
        <v>1.9</v>
      </c>
      <c r="D8" s="20">
        <f>IFERROR('Parámetros'!$B$7*C8,"")</f>
        <v>904.4</v>
      </c>
      <c r="E8" s="20">
        <f>IFERROR(D8*B8,"")</f>
        <v>3617.6</v>
      </c>
      <c r="F8" s="13" t="n">
        <v>10</v>
      </c>
      <c r="G8" s="20">
        <f>IFERROR('Parámetros'!$B$11*F8,"")</f>
        <v>600.0</v>
      </c>
      <c r="H8" s="20">
        <f>IFERROR(MAX(0,D8-G8),"")</f>
        <v>304.4</v>
      </c>
      <c r="I8" s="20">
        <f>IFERROR(H8*B8,"")</f>
        <v>1217.6</v>
      </c>
      <c r="J8" s="12" t="n">
        <v>5</v>
      </c>
      <c r="K8" s="20">
        <f>IFERROR(MIN(I8,MAX(0,'Parámetros'!$B$12)*J8),"")</f>
        <v>20.0</v>
      </c>
      <c r="L8" s="20">
        <f>IFERROR(MAX(0,I8-K8),"")</f>
        <v>1197.6</v>
      </c>
      <c r="M8" s="27">
        <f>IFERROR((E8-K8)/B8/'Parámetros'!$B$11,"")</f>
        <v>14.99</v>
      </c>
      <c r="N8" t="str">
        <f>IF(L8="","",IF(L8&lt;=0,"Sí","No"))</f>
        <v>No</v>
      </c>
      <c r="O8" s="27">
        <f>IFERROR(L8/'Parámetros'!$B$11,"")</f>
        <v>19.959999999999997</v>
      </c>
      <c r="P8" s="20">
        <f>IFERROR(ROUNDUP(O8/(B8*'Parámetros'!$B$14),0),"")</f>
        <v>1.0</v>
      </c>
      <c r="Q8" s="28" t="str">
        <f>IF(L8="","",IF(L8&lt;=0,"Con estas horas y este adelanto, la campaña cabe.",IF(M8&gt;'Parámetros'!$B$13,"No cabe ni con el día entero: hay que adelantar y congelar más, o recortar el surtido de campaña.","Cabe alargando el turno con refuerzo: mira la hoja Refuerzo y Tesorería.")))</f>
        <v>Cabe alargando el turno con refuerzo: mira la hoja Refuerzo y Tesorería.</v>
      </c>
    </row>
    <row r="9" ht="34" customHeight="1">
      <c r="A9" s="18" t="inlineStr">
        <is>
          <t>Semana Santa</t>
        </is>
      </c>
      <c r="B9" s="20">
        <f>'Calendario de 6 Picos'!E9</f>
        <v>8.0</v>
      </c>
      <c r="C9" s="27">
        <f>'Calendario de 6 Picos'!P9</f>
        <v>2.4</v>
      </c>
      <c r="D9" s="20">
        <f>IFERROR('Parámetros'!$B$7*C9,"")</f>
        <v>1142.3999999999999</v>
      </c>
      <c r="E9" s="20">
        <f>IFERROR(D9*B9,"")</f>
        <v>9139.199999999999</v>
      </c>
      <c r="F9" s="13" t="n">
        <v>14</v>
      </c>
      <c r="G9" s="20">
        <f>IFERROR('Parámetros'!$B$11*F9,"")</f>
        <v>840.0</v>
      </c>
      <c r="H9" s="20">
        <f>IFERROR(MAX(0,D9-G9),"")</f>
        <v>302.39999999999986</v>
      </c>
      <c r="I9" s="20">
        <f>IFERROR(H9*B9,"")</f>
        <v>2419.199999999999</v>
      </c>
      <c r="J9" s="12" t="n">
        <v>10</v>
      </c>
      <c r="K9" s="20">
        <f>IFERROR(MIN(I9,MAX(0,'Parámetros'!$B$12)*J9),"")</f>
        <v>40.0</v>
      </c>
      <c r="L9" s="20">
        <f>IFERROR(MAX(0,I9-K9),"")</f>
        <v>2379.199999999999</v>
      </c>
      <c r="M9" s="27">
        <f>IFERROR((E9-K9)/B9/'Parámetros'!$B$11,"")</f>
        <v>18.956666666666663</v>
      </c>
      <c r="N9" t="str">
        <f>IF(L9="","",IF(L9&lt;=0,"Sí","No"))</f>
        <v>No</v>
      </c>
      <c r="O9" s="27">
        <f>IFERROR(L9/'Parámetros'!$B$11,"")</f>
        <v>39.653333333333315</v>
      </c>
      <c r="P9" s="20">
        <f>IFERROR(ROUNDUP(O9/(B9*'Parámetros'!$B$14),0),"")</f>
        <v>1.0</v>
      </c>
      <c r="Q9" s="28" t="str">
        <f>IF(L9="","",IF(L9&lt;=0,"Con estas horas y este adelanto, la campaña cabe.",IF(M9&gt;'Parámetros'!$B$13,"No cabe ni con el día entero: hay que adelantar y congelar más, o recortar el surtido de campaña.","Cabe alargando el turno con refuerzo: mira la hoja Refuerzo y Tesorería.")))</f>
        <v>Cabe alargando el turno con refuerzo: mira la hoja Refuerzo y Tesorería.</v>
      </c>
    </row>
    <row r="10" ht="34" customHeight="1">
      <c r="A10" s="18" t="inlineStr">
        <is>
          <t>Comuniones</t>
        </is>
      </c>
      <c r="B10" s="20">
        <f>'Calendario de 6 Picos'!E10</f>
        <v>20.0</v>
      </c>
      <c r="C10" s="27">
        <f>'Calendario de 6 Picos'!P10</f>
        <v>1.6</v>
      </c>
      <c r="D10" s="20">
        <f>IFERROR('Parámetros'!$B$7*C10,"")</f>
        <v>761.6</v>
      </c>
      <c r="E10" s="20">
        <f>IFERROR(D10*B10,"")</f>
        <v>15232.0</v>
      </c>
      <c r="F10" s="13" t="n">
        <v>10</v>
      </c>
      <c r="G10" s="20">
        <f>IFERROR('Parámetros'!$B$11*F10,"")</f>
        <v>600.0</v>
      </c>
      <c r="H10" s="20">
        <f>IFERROR(MAX(0,D10-G10),"")</f>
        <v>161.60000000000002</v>
      </c>
      <c r="I10" s="20">
        <f>IFERROR(H10*B10,"")</f>
        <v>3232.0000000000005</v>
      </c>
      <c r="J10" s="12" t="n">
        <v>0</v>
      </c>
      <c r="K10" s="20">
        <f>IFERROR(MIN(I10,MAX(0,'Parámetros'!$B$12)*J10),"")</f>
        <v>0.0</v>
      </c>
      <c r="L10" s="20">
        <f>IFERROR(MAX(0,I10-K10),"")</f>
        <v>3232.0000000000005</v>
      </c>
      <c r="M10" s="27">
        <f>IFERROR((E10-K10)/B10/'Parámetros'!$B$11,"")</f>
        <v>12.693333333333333</v>
      </c>
      <c r="N10" t="str">
        <f>IF(L10="","",IF(L10&lt;=0,"Sí","No"))</f>
        <v>No</v>
      </c>
      <c r="O10" s="27">
        <f>IFERROR(L10/'Parámetros'!$B$11,"")</f>
        <v>53.866666666666674</v>
      </c>
      <c r="P10" s="20">
        <f>IFERROR(ROUNDUP(O10/(B10*'Parámetros'!$B$14),0),"")</f>
        <v>1.0</v>
      </c>
      <c r="Q10" s="28" t="str">
        <f>IF(L10="","",IF(L10&lt;=0,"Con estas horas y este adelanto, la campaña cabe.",IF(M10&gt;'Parámetros'!$B$13,"No cabe ni con el día entero: hay que adelantar y congelar más, o recortar el surtido de campaña.","Cabe alargando el turno con refuerzo: mira la hoja Refuerzo y Tesorería.")))</f>
        <v>Cabe alargando el turno con refuerzo: mira la hoja Refuerzo y Tesorería.</v>
      </c>
    </row>
    <row r="11" ht="34" customHeight="1">
      <c r="A11" s="18" t="inlineStr">
        <is>
          <t>Todos los Santos</t>
        </is>
      </c>
      <c r="B11" s="20">
        <f>'Calendario de 6 Picos'!E11</f>
        <v>3.0</v>
      </c>
      <c r="C11" s="27">
        <f>'Calendario de 6 Picos'!P11</f>
        <v>2.6</v>
      </c>
      <c r="D11" s="20">
        <f>IFERROR('Parámetros'!$B$7*C11,"")</f>
        <v>1237.6000000000001</v>
      </c>
      <c r="E11" s="20">
        <f>IFERROR(D11*B11,"")</f>
        <v>3712.8</v>
      </c>
      <c r="F11" s="13" t="n">
        <v>16</v>
      </c>
      <c r="G11" s="20">
        <f>IFERROR('Parámetros'!$B$11*F11,"")</f>
        <v>960.0</v>
      </c>
      <c r="H11" s="20">
        <f>IFERROR(MAX(0,D11-G11),"")</f>
        <v>277.60000000000014</v>
      </c>
      <c r="I11" s="20">
        <f>IFERROR(H11*B11,"")</f>
        <v>832.8000000000004</v>
      </c>
      <c r="J11" s="12" t="n">
        <v>10</v>
      </c>
      <c r="K11" s="20">
        <f>IFERROR(MIN(I11,MAX(0,'Parámetros'!$B$12)*J11),"")</f>
        <v>40.0</v>
      </c>
      <c r="L11" s="20">
        <f>IFERROR(MAX(0,I11-K11),"")</f>
        <v>792.8000000000004</v>
      </c>
      <c r="M11" s="27">
        <f>IFERROR((E11-K11)/B11/'Parámetros'!$B$11,"")</f>
        <v>20.404444444444444</v>
      </c>
      <c r="N11" t="str">
        <f>IF(L11="","",IF(L11&lt;=0,"Sí","No"))</f>
        <v>No</v>
      </c>
      <c r="O11" s="27">
        <f>IFERROR(L11/'Parámetros'!$B$11,"")</f>
        <v>13.21333333333334</v>
      </c>
      <c r="P11" s="20">
        <f>IFERROR(ROUNDUP(O11/(B11*'Parámetros'!$B$14),0),"")</f>
        <v>1.0</v>
      </c>
      <c r="Q11" s="28" t="str">
        <f>IF(L11="","",IF(L11&lt;=0,"Con estas horas y este adelanto, la campaña cabe.",IF(M11&gt;'Parámetros'!$B$13,"No cabe ni con el día entero: hay que adelantar y congelar más, o recortar el surtido de campaña.","Cabe alargando el turno con refuerzo: mira la hoja Refuerzo y Tesorería.")))</f>
        <v>Cabe alargando el turno con refuerzo: mira la hoja Refuerzo y Tesorería.</v>
      </c>
    </row>
    <row r="12"/>
    <row r="13">
      <c r="A13" s="18" t="inlineStr">
        <is>
          <t>TOTAL DE LAS SEIS CAMPAÑAS</t>
        </is>
      </c>
      <c r="E13" s="15">
        <f>SUM(E6:E11)</f>
        <v>47695.200000000004</v>
      </c>
      <c r="I13" s="15">
        <f>SUM(I6:I11)</f>
        <v>16495.2</v>
      </c>
      <c r="K13" s="15">
        <f>SUM(K6:K11)</f>
        <v>180.0</v>
      </c>
      <c r="L13" s="15">
        <f>SUM(L6:L11)</f>
        <v>16315.2</v>
      </c>
      <c r="N13" s="15">
        <f>COUNTIF(N6:N11,"No")</f>
        <v>6.0</v>
      </c>
      <c r="O13" s="10" t="inlineStr">
        <is>
          <t>campañas que NO aguantas</t>
        </is>
      </c>
    </row>
    <row r="14"/>
    <row r="15" ht="58" customHeight="1">
      <c r="A15" s="29" t="inlineStr">
        <is>
          <t>Cómo se lee: la demanda del pico sale de multiplicar tus piezas de un día normal por el factor de la campaña. La capacidad sale de las piezas por hora del equipo que te limita por las horas que tengas el obrador en marcha. La diferencia es el déficit, y se ataca en este orden: primero horas de máquina, después producción adelantada y congelada, y sólo al final refuerzo de personal, que es lo que cuesta dinero todos los días de la campaña.</t>
        </is>
      </c>
    </row>
    <row r="16" ht="58" customHeight="1">
      <c r="A16" s="29" t="inlineStr">
        <is>
          <t>Las piezas que puedes adelantar están limitadas por el excedente de un día normal: si en crucero ya vas al límite, no tienes de dónde sacarlas. Y por lo que te quepa en el congelador, que esta hoja no sabe. Comprueba los metros cúbicos antes de dar por buena la cifra.</t>
        </is>
      </c>
    </row>
    <row r="17" ht="58" customHeight="1">
      <c r="A17" s="29" t="inlineStr">
        <is>
          <t>Lo que NO se puede adelantar: todo lo que el art. 9.3 del RD 1021/2022 obliga a consumir en 24 horas desde su elaboración, y lo relleno no estable que va a 4 °C por la fila 9 del art. 4.1. El roscón relleno de nata es el caso de manual: se hace el mismo día. Los huesos de santo, que son estables a temperatura ambiente, sí se adelantan. Ese detalle legal ES la planificación de la campaña, y la hoja «Decisión de Huevo y Temperatura» del libro «carta-de-apertura-y-escandallo.xlsx» dice cuál es cuál.</t>
        </is>
      </c>
    </row>
    <row r="18"/>
    <row r="19">
      <c r="A19" s="7"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3">
    <mergeCell ref="A17:Q17"/>
    <mergeCell ref="A15:Q15"/>
    <mergeCell ref="A16:Q16"/>
  </mergeCells>
  <conditionalFormatting sqref="N6:N11">
    <cfRule type="cellIs" priority="1" operator="equal" dxfId="1" stopIfTrue="1">
      <formula>"Sí"</formula>
    </cfRule>
    <cfRule type="cellIs" priority="2" operator="equal" dxfId="2" stopIfTrue="1">
      <formula>"No"</formula>
    </cfRule>
  </conditionalFormatting>
  <conditionalFormatting sqref="M6:M11">
    <cfRule type="expression" priority="3" dxfId="3" stopIfTrue="1">
      <formula>=AND(ISNUMBER($M6),$M6&gt;'Parámetros'!$B$13)</formula>
    </cfRule>
  </conditionalFormatting>
  <conditionalFormatting sqref="L6:L11">
    <cfRule type="expression" priority="4" dxfId="3" stopIfTrue="1">
      <formula>=AND(ISNUMBER($L6),$L6&gt;0)</formula>
    </cfRule>
  </conditionalFormatting>
  <dataValidations count="2">
    <dataValidation sqref="F6 F7 F8 F9 F10 F11" showDropDown="0" showInputMessage="0" showErrorMessage="1" allowBlank="1" errorTitle="Horas al día" error="Las horas de obrador al día van de 0 a 24." type="decimal" operator="between">
      <formula1>0</formula1>
      <formula2>24</formula2>
    </dataValidation>
    <dataValidation sqref="J6 J7 J8 J9 J10 J11" showDropDown="0" showInputMessage="0" showErrorMessage="1" allowBlank="1" errorTitle="Días de adelanto" error="Escribe los días de producción adelantada (0 a 120)." type="decimal" operator="between">
      <formula1>0</formula1>
      <formula2>120</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4" customWidth="1" min="1" max="1"/>
    <col width="9" customWidth="1" min="2" max="2"/>
    <col width="10" customWidth="1" min="3" max="3"/>
    <col width="10" customWidth="1" min="4" max="4"/>
    <col width="10" customWidth="1" min="5" max="5"/>
    <col width="11" customWidth="1" min="6" max="6"/>
    <col width="10" customWidth="1" min="7" max="7"/>
    <col width="11" customWidth="1" min="8" max="8"/>
    <col width="11" customWidth="1" min="9" max="9"/>
    <col width="10" customWidth="1" min="10" max="10"/>
    <col width="12" customWidth="1" min="11" max="11"/>
    <col width="10" customWidth="1" min="12" max="12"/>
    <col width="10" customWidth="1" min="13" max="13"/>
    <col width="12" customWidth="1" min="14" max="14"/>
    <col width="12" customWidth="1" min="15" max="15"/>
    <col width="12" customWidth="1" min="16" max="16"/>
    <col width="12" customWidth="1" min="17" max="17"/>
    <col width="74" customWidth="1" min="18" max="18"/>
  </cols>
  <sheetData>
    <row r="1">
      <c r="A1" s="1" t="inlineStr">
        <is>
          <t>Refuerzo y Tesorería</t>
        </is>
      </c>
    </row>
    <row r="2">
      <c r="A2" s="2" t="inlineStr">
        <is>
          <t>AI Chef Pro · aichef.pro — Cómo Montar una Pastelería</t>
        </is>
      </c>
    </row>
    <row r="3">
      <c r="A3" s="3" t="inlineStr">
        <is>
          <t>Cuánto cuesta el refuerzo con la Seguridad Social dentro, y cuánto dinero deja parado cada campaña.</t>
        </is>
      </c>
    </row>
    <row r="4"/>
    <row r="5" ht="42" customHeight="1">
      <c r="A5" s="8" t="inlineStr">
        <is>
          <t>Campaña</t>
        </is>
      </c>
      <c r="B5" s="8" t="inlineStr">
        <is>
          <t>Personas de refuerzo</t>
        </is>
      </c>
      <c r="C5" s="8" t="inlineStr">
        <is>
          <t>Horas por persona en la campaña</t>
        </is>
      </c>
      <c r="D5" s="8" t="inlineStr">
        <is>
          <t>Horas totales de refuerzo</t>
        </is>
      </c>
      <c r="E5" s="8" t="inlineStr">
        <is>
          <t>Coste hora de empresa (€)</t>
        </is>
      </c>
      <c r="F5" s="8" t="inlineStr">
        <is>
          <t>Coste del refuerzo (€)</t>
        </is>
      </c>
      <c r="G5" s="8" t="inlineStr">
        <is>
          <t>Personas necesarias</t>
        </is>
      </c>
      <c r="H5" s="8" t="inlineStr">
        <is>
          <t>¿Cubre el refuerzo?</t>
        </is>
      </c>
      <c r="I5" s="8" t="inlineStr">
        <is>
          <t>Coste de materia por unidad (€)</t>
        </is>
      </c>
      <c r="J5" s="8" t="inlineStr">
        <is>
          <t>Uds de toda la campaña</t>
        </is>
      </c>
      <c r="K5" s="8" t="inlineStr">
        <is>
          <t>Compra de materia de la campaña (€)</t>
        </is>
      </c>
      <c r="L5" s="8" t="inlineStr">
        <is>
          <t>Antelación de compra (semanas)</t>
        </is>
      </c>
      <c r="M5" s="8" t="inlineStr">
        <is>
          <t>Días con el dinero parado</t>
        </is>
      </c>
      <c r="N5" s="8" t="inlineStr">
        <is>
          <t>Coste financiero del inmovilizado (€)</t>
        </is>
      </c>
      <c r="O5" s="8" t="inlineStr">
        <is>
          <t>Materia de las uds incrementales (€)</t>
        </is>
      </c>
      <c r="P5" s="8" t="inlineStr">
        <is>
          <t>Facturación incremental sin IVA (€)</t>
        </is>
      </c>
      <c r="Q5" s="8" t="inlineStr">
        <is>
          <t>Resultado incremental de la campaña (€)</t>
        </is>
      </c>
      <c r="R5" s="8" t="inlineStr">
        <is>
          <t>Qué mirar en esta campaña</t>
        </is>
      </c>
    </row>
    <row r="6" ht="62" customHeight="1">
      <c r="A6" s="18" t="inlineStr">
        <is>
          <t>Reyes</t>
        </is>
      </c>
      <c r="B6" s="12" t="n">
        <v>3</v>
      </c>
      <c r="C6" s="13" t="n">
        <v>40</v>
      </c>
      <c r="D6" s="27">
        <f>IFERROR(B6*C6,"")</f>
        <v>120.0</v>
      </c>
      <c r="E6" s="19">
        <f>'Parámetros'!$B$21</f>
        <v>13.364482584269666</v>
      </c>
      <c r="F6" s="19">
        <f>IFERROR(D6*E6,"")</f>
        <v>1603.73791011236</v>
      </c>
      <c r="G6" s="20">
        <f>'Capacidad vs Demanda del Pico'!P6</f>
        <v>4.0</v>
      </c>
      <c r="H6" t="str">
        <f>IF(G6="","",IF(B6&gt;=G6,"Sí","No"))</f>
        <v>No</v>
      </c>
      <c r="I6" s="9" t="n">
        <v>2.5988</v>
      </c>
      <c r="J6" s="20">
        <f>'Calendario de 6 Picos'!M6</f>
        <v>2100.0</v>
      </c>
      <c r="K6" s="19">
        <f>IFERROR(I6*J6,"")</f>
        <v>5457.4800000000005</v>
      </c>
      <c r="L6" s="20">
        <f>'Calendario de 6 Picos'!Q6</f>
        <v>6.0</v>
      </c>
      <c r="M6" s="20">
        <f>IFERROR(L6*7+'Calendario de 6 Picos'!E6,"")</f>
        <v>47.0</v>
      </c>
      <c r="N6" s="19">
        <f>IFERROR(K6*'Parámetros'!$B$24*M6/365,"")</f>
        <v>43.570128000000004</v>
      </c>
      <c r="O6" s="19">
        <f>IFERROR(I6*'Calendario de 6 Picos'!L6*'Calendario de 6 Picos'!E6,"")</f>
        <v>5457.4800000000005</v>
      </c>
      <c r="P6" s="19">
        <f>'Calendario de 6 Picos'!O6</f>
        <v>31499.999999999996</v>
      </c>
      <c r="Q6" s="19">
        <f>IFERROR(P6-O6-F6-N6,"")</f>
        <v>24395.21196188764</v>
      </c>
      <c r="R6" s="21" t="inlineStr">
        <is>
          <t>La campaña que decide el año. Seis semanas de antelación de compra: la almendra, la naranja confitada y el agua de azahar se piden en noviembre. El roscón relleno no se puede adelantar: 4 °C y 24 horas.</t>
        </is>
      </c>
    </row>
    <row r="7" ht="62" customHeight="1">
      <c r="A7" s="18" t="inlineStr">
        <is>
          <t>San Valentín</t>
        </is>
      </c>
      <c r="B7" s="12" t="n">
        <v>0</v>
      </c>
      <c r="C7" s="13" t="n">
        <v>0</v>
      </c>
      <c r="D7" s="27">
        <f>IFERROR(B7*C7,"")</f>
        <v>0.0</v>
      </c>
      <c r="E7" s="19">
        <f>'Parámetros'!$B$21</f>
        <v>13.364482584269666</v>
      </c>
      <c r="F7" s="19">
        <f>IFERROR(D7*E7,"")</f>
        <v>0.0</v>
      </c>
      <c r="G7" s="20">
        <f>'Capacidad vs Demanda del Pico'!P7</f>
        <v>1.0</v>
      </c>
      <c r="H7" t="str">
        <f>IF(G7="","",IF(B7&gt;=G7,"Sí","No"))</f>
        <v>No</v>
      </c>
      <c r="I7" s="9" t="n">
        <v>0.1965</v>
      </c>
      <c r="J7" s="20">
        <f>'Calendario de 6 Picos'!M7</f>
        <v>520.0</v>
      </c>
      <c r="K7" s="19">
        <f>IFERROR(I7*J7,"")</f>
        <v>102.18</v>
      </c>
      <c r="L7" s="20">
        <f>'Calendario de 6 Picos'!Q7</f>
        <v>3.0</v>
      </c>
      <c r="M7" s="20">
        <f>IFERROR(L7*7+'Calendario de 6 Picos'!E7,"")</f>
        <v>23.0</v>
      </c>
      <c r="N7" s="19">
        <f>IFERROR(K7*'Parámetros'!$B$24*M7/365,"")</f>
        <v>0.3992018630136987</v>
      </c>
      <c r="O7" s="19">
        <f>IFERROR(I7*'Calendario de 6 Picos'!L7*'Calendario de 6 Picos'!E7,"")</f>
        <v>64.845</v>
      </c>
      <c r="P7" s="19">
        <f>'Calendario de 6 Picos'!O7</f>
        <v>630.0</v>
      </c>
      <c r="Q7" s="19">
        <f>IFERROR(P7-O7-F7-N7,"")</f>
        <v>564.7557981369863</v>
      </c>
      <c r="R7" s="21" t="inlineStr">
        <is>
          <t>Dos días y ticket alto: se gana con cajas y presentación, no con más horno. El refuerzo sale a CERO personas y CERO euros a propósito -la persona que hace falta ya está en la plantilla base-, y por eso «¿Cubre el refuerzo?» dice «No»: no es un fallo, es que aquí no se contrata refuerzo, se cubre con plantilla.</t>
        </is>
      </c>
    </row>
    <row r="8" ht="62" customHeight="1">
      <c r="A8" s="18" t="inlineStr">
        <is>
          <t>Día del Padre y de la Madre</t>
        </is>
      </c>
      <c r="B8" s="12" t="n">
        <v>1</v>
      </c>
      <c r="C8" s="13" t="n">
        <v>16</v>
      </c>
      <c r="D8" s="27">
        <f>IFERROR(B8*C8,"")</f>
        <v>16.0</v>
      </c>
      <c r="E8" s="19">
        <f>'Parámetros'!$B$21</f>
        <v>13.364482584269666</v>
      </c>
      <c r="F8" s="19">
        <f>IFERROR(D8*E8,"")</f>
        <v>213.83172134831466</v>
      </c>
      <c r="G8" s="20">
        <f>'Capacidad vs Demanda del Pico'!P8</f>
        <v>1.0</v>
      </c>
      <c r="H8" t="str">
        <f>IF(G8="","",IF(B8&gt;=G8,"Sí","No"))</f>
        <v>Sí</v>
      </c>
      <c r="I8" s="9" t="n">
        <v>1.1523</v>
      </c>
      <c r="J8" s="20">
        <f>'Calendario de 6 Picos'!M8</f>
        <v>384.0</v>
      </c>
      <c r="K8" s="19">
        <f>IFERROR(I8*J8,"")</f>
        <v>442.4832</v>
      </c>
      <c r="L8" s="20">
        <f>'Calendario de 6 Picos'!Q8</f>
        <v>3.0</v>
      </c>
      <c r="M8" s="20">
        <f>IFERROR(L8*7+'Calendario de 6 Picos'!E8,"")</f>
        <v>25.0</v>
      </c>
      <c r="N8" s="19">
        <f>IFERROR(K8*'Parámetros'!$B$24*M8/365,"")</f>
        <v>1.8790382465753426</v>
      </c>
      <c r="O8" s="19">
        <f>IFERROR(I8*'Calendario de 6 Picos'!L8*'Calendario de 6 Picos'!E8,"")</f>
        <v>368.73600000000005</v>
      </c>
      <c r="P8" s="19">
        <f>'Calendario de 6 Picos'!O8</f>
        <v>1047.2727272727273</v>
      </c>
      <c r="Q8" s="19">
        <f>IFERROR(P8-O8-F8-N8,"")</f>
        <v>462.8259676778371</v>
      </c>
      <c r="R8" s="21" t="inlineStr">
        <is>
          <t>Dos fechas con el mismo patrón de trabajo -tarta con dedicatoria, por encargo- y por eso van juntas como una sola campaña operativa.</t>
        </is>
      </c>
    </row>
    <row r="9" ht="62" customHeight="1">
      <c r="A9" s="18" t="inlineStr">
        <is>
          <t>Semana Santa</t>
        </is>
      </c>
      <c r="B9" s="12" t="n">
        <v>1</v>
      </c>
      <c r="C9" s="13" t="n">
        <v>40</v>
      </c>
      <c r="D9" s="27">
        <f>IFERROR(B9*C9,"")</f>
        <v>40.0</v>
      </c>
      <c r="E9" s="19">
        <f>'Parámetros'!$B$21</f>
        <v>13.364482584269666</v>
      </c>
      <c r="F9" s="19">
        <f>IFERROR(D9*E9,"")</f>
        <v>534.5793033707866</v>
      </c>
      <c r="G9" s="20">
        <f>'Capacidad vs Demanda del Pico'!P9</f>
        <v>1.0</v>
      </c>
      <c r="H9" t="str">
        <f>IF(G9="","",IF(B9&gt;=G9,"Sí","No"))</f>
        <v>Sí</v>
      </c>
      <c r="I9" s="9" t="n">
        <v>0.2601</v>
      </c>
      <c r="J9" s="20">
        <f>'Calendario de 6 Picos'!M9</f>
        <v>1920.0</v>
      </c>
      <c r="K9" s="19">
        <f>IFERROR(I9*J9,"")</f>
        <v>499.392</v>
      </c>
      <c r="L9" s="20">
        <f>'Calendario de 6 Picos'!Q9</f>
        <v>4.0</v>
      </c>
      <c r="M9" s="20">
        <f>IFERROR(L9*7+'Calendario de 6 Picos'!E9,"")</f>
        <v>36.0</v>
      </c>
      <c r="N9" s="19">
        <f>IFERROR(K9*'Parámetros'!$B$24*M9/365,"")</f>
        <v>3.0538162849315067</v>
      </c>
      <c r="O9" s="19">
        <f>IFERROR(I9*'Calendario de 6 Picos'!L9*'Calendario de 6 Picos'!E9,"")</f>
        <v>499.392</v>
      </c>
      <c r="P9" s="19">
        <f>'Calendario de 6 Picos'!O9</f>
        <v>4189.090909090909</v>
      </c>
      <c r="Q9" s="19">
        <f>IFERROR(P9-O9-F9-N9,"")</f>
        <v>3152.0657894351907</v>
      </c>
      <c r="R9" s="21" t="inlineStr">
        <is>
          <t>Ocho días seguidos de producción extra, más agotador que los cinco de Reyes aunque el pico sea menor. Torrijas y monas a la vez: una pide freidora y frío, la otra horno y chocolate.</t>
        </is>
      </c>
    </row>
    <row r="10" ht="62" customHeight="1">
      <c r="A10" s="18" t="inlineStr">
        <is>
          <t>Comuniones</t>
        </is>
      </c>
      <c r="B10" s="12" t="n">
        <v>1</v>
      </c>
      <c r="C10" s="13" t="n">
        <v>60</v>
      </c>
      <c r="D10" s="27">
        <f>IFERROR(B10*C10,"")</f>
        <v>60.0</v>
      </c>
      <c r="E10" s="19">
        <f>'Parámetros'!$B$21</f>
        <v>13.364482584269666</v>
      </c>
      <c r="F10" s="19">
        <f>IFERROR(D10*E10,"")</f>
        <v>801.86895505618</v>
      </c>
      <c r="G10" s="20">
        <f>'Capacidad vs Demanda del Pico'!P10</f>
        <v>1.0</v>
      </c>
      <c r="H10" t="str">
        <f>IF(G10="","",IF(B10&gt;=G10,"Sí","No"))</f>
        <v>Sí</v>
      </c>
      <c r="I10" s="9" t="n">
        <v>0.7584</v>
      </c>
      <c r="J10" s="20">
        <f>'Calendario de 6 Picos'!M10</f>
        <v>680.0</v>
      </c>
      <c r="K10" s="19">
        <f>IFERROR(I10*J10,"")</f>
        <v>515.712</v>
      </c>
      <c r="L10" s="20">
        <f>'Calendario de 6 Picos'!Q10</f>
        <v>5.0</v>
      </c>
      <c r="M10" s="20">
        <f>IFERROR(L10*7+'Calendario de 6 Picos'!E10,"")</f>
        <v>55.0</v>
      </c>
      <c r="N10" s="19">
        <f>IFERROR(K10*'Parámetros'!$B$24*M10/365,"")</f>
        <v>4.818021698630137</v>
      </c>
      <c r="O10" s="19">
        <f>IFERROR(I10*'Calendario de 6 Picos'!L10*'Calendario de 6 Picos'!E10,"")</f>
        <v>364.032</v>
      </c>
      <c r="P10" s="19">
        <f>'Calendario de 6 Picos'!O10</f>
        <v>1527.2727272727273</v>
      </c>
      <c r="Q10" s="19">
        <f>IFERROR(P10-O10-F10-N10,"")</f>
        <v>356.5537505179172</v>
      </c>
      <c r="R10" s="21" t="inlineStr">
        <is>
          <t>No es un pico, es una meseta de dos meses: se aguanta con plantilla, no con horas extra, y por eso los días de adelanto van a cero. Todo por encargo, con anticipo y riesgo de anulación.</t>
        </is>
      </c>
    </row>
    <row r="11" ht="62" customHeight="1">
      <c r="A11" s="18" t="inlineStr">
        <is>
          <t>Todos los Santos</t>
        </is>
      </c>
      <c r="B11" s="12" t="n">
        <v>2</v>
      </c>
      <c r="C11" s="13" t="n">
        <v>24</v>
      </c>
      <c r="D11" s="27">
        <f>IFERROR(B11*C11,"")</f>
        <v>48.0</v>
      </c>
      <c r="E11" s="19">
        <f>'Parámetros'!$B$21</f>
        <v>13.364482584269666</v>
      </c>
      <c r="F11" s="19">
        <f>IFERROR(D11*E11,"")</f>
        <v>641.495164044944</v>
      </c>
      <c r="G11" s="20">
        <f>'Capacidad vs Demanda del Pico'!P11</f>
        <v>1.0</v>
      </c>
      <c r="H11" t="str">
        <f>IF(G11="","",IF(B11&gt;=G11,"Sí","No"))</f>
        <v>Sí</v>
      </c>
      <c r="I11" s="9" t="n">
        <v>0.1695</v>
      </c>
      <c r="J11" s="20">
        <f>'Calendario de 6 Picos'!M11</f>
        <v>1560.0</v>
      </c>
      <c r="K11" s="19">
        <f>IFERROR(I11*J11,"")</f>
        <v>264.42</v>
      </c>
      <c r="L11" s="20">
        <f>'Calendario de 6 Picos'!Q11</f>
        <v>4.0</v>
      </c>
      <c r="M11" s="20">
        <f>IFERROR(L11*7+'Calendario de 6 Picos'!E11,"")</f>
        <v>31.0</v>
      </c>
      <c r="N11" s="19">
        <f>IFERROR(K11*'Parámetros'!$B$24*M11/365,"")</f>
        <v>1.3923705205479453</v>
      </c>
      <c r="O11" s="19">
        <f>IFERROR(I11*'Calendario de 6 Picos'!L11*'Calendario de 6 Picos'!E11,"")</f>
        <v>264.42</v>
      </c>
      <c r="P11" s="19">
        <f>'Calendario de 6 Picos'!O11</f>
        <v>2269.090909090909</v>
      </c>
      <c r="Q11" s="19">
        <f>IFERROR(P11-O11-F11-N11,"")</f>
        <v>1361.783374525417</v>
      </c>
      <c r="R11" s="21" t="inlineStr">
        <is>
          <t>Tres días con tres referencias que sólo se hacen ahora. Los buñuelos van rellenos (4 °C y 24 horas) y los huesos de santo son estables a temperatura ambiente: por eso éstos sí se adelantan y aquéllos no.</t>
        </is>
      </c>
    </row>
    <row r="12"/>
    <row r="13">
      <c r="A13" s="18" t="inlineStr">
        <is>
          <t>TOTAL DEL AÑO</t>
        </is>
      </c>
      <c r="D13" s="14">
        <f>SUM(D6:D11)</f>
        <v>284.0</v>
      </c>
      <c r="F13" s="17">
        <f>SUM(F6:F11)</f>
        <v>3795.513053932585</v>
      </c>
      <c r="H13" s="15">
        <f>COUNTIF(H6:H11,"No")</f>
        <v>2.0</v>
      </c>
      <c r="I13" s="10" t="inlineStr">
        <is>
          <t>campañas con refuerzo corto</t>
        </is>
      </c>
      <c r="K13" s="17">
        <f>SUM(K6:K11)</f>
        <v>7281.6672</v>
      </c>
      <c r="N13" s="17">
        <f>SUM(N6:N11)</f>
        <v>55.112576613698636</v>
      </c>
      <c r="O13" s="17">
        <f>SUM(O6:O11)</f>
        <v>7018.905000000001</v>
      </c>
      <c r="P13" s="17">
        <f>SUM(P6:P11)</f>
        <v>41162.72727272727</v>
      </c>
      <c r="Q13" s="17">
        <f>SUM(Q6:Q11)</f>
        <v>30293.196642180985</v>
      </c>
    </row>
    <row r="14"/>
    <row r="15" ht="52" customHeight="1">
      <c r="A15" s="29" t="inlineStr">
        <is>
          <t>El coste hora de empresa no es el bruto: es el bruto por las pagas del convenio, más la Seguridad Social a cargo de la empresa, dividido por las horas anuales de contrato. Sale de la hoja «Parámetros» y en el ejemplo es casi un tercio más que el bruto. Contratar refuerzo por debajo de ese número es contratar a pérdida.</t>
        </is>
      </c>
    </row>
    <row r="16" ht="52" customHeight="1">
      <c r="A16" s="29" t="inlineStr">
        <is>
          <t>La «compra de materia de la campaña» es el dinero que sale de tu caja ANTES de que entre el primero de la campaña. Multiplicado por los días que está parado y por el coste del dinero, tienes el coste financiero de la campaña, que casi nadie cuenta y que en Reyes es real.</t>
        </is>
      </c>
    </row>
    <row r="17" ht="52" customHeight="1">
      <c r="A17" s="29" t="inlineStr">
        <is>
          <t>El «resultado incremental» descuenta sólo lo que la campaña añade: la materia de las unidades de más, el refuerzo y el coste financiero. No descuenta alquiler ni personal fijo, que los pagas igual. Si sale negativo, la campaña te está costando dinero.</t>
        </is>
      </c>
    </row>
    <row r="18" ht="52" customHeight="1">
      <c r="A18" s="29" t="inlineStr">
        <is>
          <t>Frontera con el Kit de Tareas Pastelería (12 €): el «BONUS-02-calendario-anual-tareas.xlsx» te dice QUÉ hacer y CUÁNDO en cada campaña, y el «06-eventos-festivos.xlsx» lleva el detalle de cada evento. Este libro te dice CUÁNTO cuesta y SI aguantas. Si ya tienes el kit, sustituye las estimaciones de unidades por tus datos reales de producción del «10-plan-produccion-semanal.xlsx».</t>
        </is>
      </c>
    </row>
    <row r="19"/>
    <row r="20">
      <c r="A20" s="7"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4">
    <mergeCell ref="A18:R18"/>
    <mergeCell ref="A17:R17"/>
    <mergeCell ref="A16:R16"/>
    <mergeCell ref="A15:R15"/>
  </mergeCells>
  <conditionalFormatting sqref="H6:H11">
    <cfRule type="cellIs" priority="1" operator="equal" dxfId="1" stopIfTrue="1">
      <formula>"Sí"</formula>
    </cfRule>
    <cfRule type="cellIs" priority="2" operator="equal" dxfId="2" stopIfTrue="1">
      <formula>"No"</formula>
    </cfRule>
  </conditionalFormatting>
  <conditionalFormatting sqref="Q6:Q11">
    <cfRule type="expression" priority="3" dxfId="3" stopIfTrue="1">
      <formula>=AND(ISNUMBER($Q6),$Q6&lt;0)</formula>
    </cfRule>
  </conditionalFormatting>
  <dataValidations count="2">
    <dataValidation sqref="B6 B7 B8 B9 B10 B11" showDropDown="0" showInputMessage="0" showErrorMessage="1" allowBlank="1" errorTitle="Personas de refuerzo" error="Escribe cuántas personas de refuerzo contratas (0 a 50)." type="decimal" operator="between">
      <formula1>0</formula1>
      <formula2>50</formula2>
    </dataValidation>
    <dataValidation sqref="C6 C7 C8 C9 C10 C11" showDropDown="0" showInputMessage="0" showErrorMessage="1" allowBlank="1" errorTitle="Horas por persona" error="Horas de toda la campaña por persona (0 a 400)." type="decimal" operator="between">
      <formula1>0</formula1>
      <formula2>400</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Estacionalidad y Picos de Campaña</dc:title>
  <dc:subject xmlns:dc="http://purl.org/dc/elements/1.1/">Cómo Montar una Pastelería · Versión 1.0 · septiembre 2026</dc:subject>
  <dcterms:created xmlns:dcterms="http://purl.org/dc/terms/" xmlns:xsi="http://www.w3.org/2001/XMLSchema-instance" xsi:type="dcterms:W3CDTF">2026-09-10T03:39:03Z</dcterms:created>
  <dcterms:modified xmlns:dcterms="http://purl.org/dc/terms/" xmlns:xsi="http://www.w3.org/2001/XMLSchema-instance" xsi:type="dcterms:W3CDTF">2026-09-10T03:39:03Z</dcterms:modified>
  <cp:lastModifiedBy>AI Chef Pro</cp:lastModifiedBy>
</cp:coreProperties>
</file>