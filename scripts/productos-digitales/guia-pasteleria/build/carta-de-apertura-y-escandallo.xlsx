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Escandallo por Tanda" sheetId="3" state="visible" r:id="rId3"/>
    <sheet xmlns:r="http://schemas.openxmlformats.org/officeDocument/2006/relationships" name="Coste Hora y Mano de Obra" sheetId="4" state="visible" r:id="rId4"/>
    <sheet xmlns:r="http://schemas.openxmlformats.org/officeDocument/2006/relationships" name="Decisión de Huevo y Temperatura" sheetId="5" state="visible" r:id="rId5"/>
    <sheet xmlns:r="http://schemas.openxmlformats.org/officeDocument/2006/relationships" name="Mix y Ticket Medio" sheetId="6" state="visible" r:id="rId6"/>
    <sheet xmlns:r="http://schemas.openxmlformats.org/officeDocument/2006/relationships" name="Decisión de Surtido" sheetId="7" state="visible" r:id="rId7"/>
  </sheets>
  <definedNames/>
  <calcPr calcId="124519" fullCalcOnLoad="1"/>
</workbook>
</file>

<file path=xl/styles.xml><?xml version="1.0" encoding="utf-8"?>
<styleSheet xmlns="http://schemas.openxmlformats.org/spreadsheetml/2006/main">
  <numFmts count="3">
    <numFmt numFmtId="164" formatCode="#,##0.00 €"/>
    <numFmt numFmtId="165" formatCode="0.0%"/>
    <numFmt numFmtId="166" formatCode="#,##0.000"/>
  </numFmts>
  <fonts count="12">
    <font>
      <name val="Calibri"/>
      <family val="2"/>
      <color theme="1"/>
      <sz val="11"/>
      <scheme val="minor"/>
    </font>
    <font>
      <b val="1"/>
      <color theme="1"/>
      <sz val="11"/>
    </font>
    <font>
      <b val="1"/>
      <color rgb="00FFD700"/>
      <sz val="16"/>
    </font>
    <font>
      <color rgb="00888888"/>
      <sz val="10"/>
    </font>
    <font>
      <i val="1"/>
      <sz val="9"/>
    </font>
    <font>
      <b val="1"/>
      <color rgb="00FFD700"/>
      <sz val="12"/>
    </font>
    <font>
      <i val="1"/>
      <sz val="8"/>
    </font>
    <font>
      <b val="1"/>
      <color rgb="00FFFFFF"/>
      <sz val="9"/>
    </font>
    <font>
      <color rgb="00888888"/>
      <sz val="8"/>
    </font>
    <font>
      <sz val="9"/>
    </font>
    <font>
      <color theme="1"/>
      <sz val="11"/>
    </font>
    <font>
      <b val="1"/>
      <color rgb="00888888"/>
      <sz val="9"/>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1">
    <border>
      <left/>
      <right/>
      <top/>
      <bottom/>
      <diagonal/>
    </border>
  </borders>
  <cellStyleXfs count="1">
    <xf numFmtId="0" fontId="0" fillId="0" borderId="0"/>
  </cellStyleXfs>
  <cellXfs count="30">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6" fillId="0" borderId="0" pivotButton="0" quotePrefix="0" xfId="0"/>
    <xf numFmtId="0" fontId="7" fillId="3" borderId="0" applyAlignment="1" pivotButton="0" quotePrefix="0" xfId="0">
      <alignment horizontal="center" vertical="center" wrapText="1"/>
    </xf>
    <xf numFmtId="4" fontId="0" fillId="2" borderId="0" applyProtection="1" pivotButton="0" quotePrefix="0" xfId="0">
      <protection locked="0" hidden="0"/>
    </xf>
    <xf numFmtId="164" fontId="0" fillId="2" borderId="0" applyProtection="1" pivotButton="0" quotePrefix="0" xfId="0">
      <protection locked="0" hidden="0"/>
    </xf>
    <xf numFmtId="164" fontId="0" fillId="0" borderId="0" pivotButton="0" quotePrefix="0" xfId="0"/>
    <xf numFmtId="0" fontId="8" fillId="0" borderId="0" applyAlignment="1" pivotButton="0" quotePrefix="0" xfId="0">
      <alignment horizontal="general" vertical="top" wrapText="1"/>
    </xf>
    <xf numFmtId="0" fontId="1" fillId="0" borderId="0" pivotButton="0" quotePrefix="0" xfId="0"/>
    <xf numFmtId="4" fontId="1" fillId="4" borderId="0" pivotButton="0" quotePrefix="0" xfId="0"/>
    <xf numFmtId="164" fontId="1" fillId="4" borderId="0" pivotButton="0" quotePrefix="0" xfId="0"/>
    <xf numFmtId="3" fontId="0" fillId="2" borderId="0" applyProtection="1" pivotButton="0" quotePrefix="0" xfId="0">
      <protection locked="0" hidden="0"/>
    </xf>
    <xf numFmtId="0" fontId="8" fillId="0" borderId="0" pivotButton="0" quotePrefix="0" xfId="0"/>
    <xf numFmtId="165" fontId="0" fillId="2" borderId="0" applyProtection="1" pivotButton="0" quotePrefix="0" xfId="0">
      <protection locked="0" hidden="0"/>
    </xf>
    <xf numFmtId="3" fontId="1" fillId="4" borderId="0" pivotButton="0" quotePrefix="0" xfId="0"/>
    <xf numFmtId="165" fontId="1" fillId="4" borderId="0" pivotButton="0" quotePrefix="0" xfId="0"/>
    <xf numFmtId="0" fontId="9" fillId="0" borderId="0" applyAlignment="1" pivotButton="0" quotePrefix="0" xfId="0">
      <alignment horizontal="general" vertical="top" wrapText="1"/>
    </xf>
    <xf numFmtId="166" fontId="0" fillId="2" borderId="0" applyProtection="1" pivotButton="0" quotePrefix="0" xfId="0">
      <protection locked="0" hidden="0"/>
    </xf>
    <xf numFmtId="166" fontId="0" fillId="0" borderId="0" pivotButton="0" quotePrefix="0" xfId="0"/>
    <xf numFmtId="3" fontId="0" fillId="0" borderId="0" pivotButton="0" quotePrefix="0" xfId="0"/>
    <xf numFmtId="0" fontId="10" fillId="0" borderId="0" pivotButton="0" quotePrefix="0" xfId="0"/>
    <xf numFmtId="4" fontId="0" fillId="0" borderId="0" pivotButton="0" quotePrefix="0" xfId="0"/>
    <xf numFmtId="165" fontId="0" fillId="0" borderId="0" pivotButton="0" quotePrefix="0" xfId="0"/>
    <xf numFmtId="0" fontId="0" fillId="0" borderId="0" applyAlignment="1" pivotButton="0" quotePrefix="0" xfId="0">
      <alignment vertical="top" wrapText="1"/>
    </xf>
    <xf numFmtId="0" fontId="11" fillId="0" borderId="0" pivotButton="0" quotePrefix="0" xfId="0"/>
  </cellXfs>
  <cellStyles count="1">
    <cellStyle name="Normal" xfId="0" builtinId="0" hidden="0"/>
  </cellStyles>
  <dxfs count="4">
    <dxf>
      <font>
        <b val="1"/>
        <color rgb="009C0006"/>
      </font>
      <fill>
        <patternFill patternType="solid">
          <fgColor rgb="00FFC7CE"/>
          <bgColor rgb="00FFC7CE"/>
        </patternFill>
      </fill>
    </dxf>
    <dxf>
      <font>
        <b val="1"/>
        <color rgb="001B5E20"/>
      </font>
      <fill>
        <patternFill patternType="solid">
          <fgColor rgb="00C8E6C9"/>
          <bgColor rgb="00C8E6C9"/>
        </patternFill>
      </fill>
    </dxf>
    <dxf>
      <font>
        <b val="1"/>
        <color rgb="007A5C00"/>
      </font>
      <fill>
        <patternFill patternType="solid">
          <fgColor rgb="00FFF3C4"/>
          <bgColor rgb="00FFF3C4"/>
        </patternFill>
      </fill>
    </dxf>
    <dxf>
      <font>
        <b val="1"/>
        <color rgb="00B71C1C"/>
      </font>
      <fill>
        <patternFill patternType="solid">
          <fgColor rgb="00FFCDD2"/>
          <bgColor rgb="00FFCDD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AI Chef Pro</author>
  </authors>
  <commentList>
    <comment ref="D6" authorId="0" shapeId="0">
      <text>
        <t>Verificado el 10-09-2026 · Resolución de 7 de febrero de 2026 de la D.G. de Trabajo de la Comunidad de Madrid, revisión salarial 2026 del convenio código 28001025011981. BOCM núm. 50 · https://www.bocm.es/boletin/CM_Orden_BOCM/2026/02/28/BOCM-20260228-2.PDF</t>
      </text>
    </comment>
    <comment ref="D7" authorId="0" shapeId="0">
      <text>
        <t>Verificado el 10-09-2026 · Resolución de 7 de febrero de 2026 de la D.G. de Trabajo de la Comunidad de Madrid, revisión salarial 2026 del convenio código 28001025011981. BOCM núm. 50 · https://www.bocm.es/boletin/CM_Orden_BOCM/2026/02/28/BOCM-20260228-2.PDF</t>
      </text>
    </comment>
    <comment ref="D8" authorId="0" shapeId="0">
      <text>
        <t>Verificado el 10-09-2026 · Resolución de 7 de febrero de 2026 de la D.G. de Trabajo de la Comunidad de Madrid, revisión salarial 2026 del convenio código 28001025011981. BOCM núm. 50 · https://www.bocm.es/boletin/CM_Orden_BOCM/2026/02/28/BOCM-20260228-2.PDF</t>
      </text>
    </comment>
    <comment ref="B11" authorId="0" shapeId="0">
      <text>
        <t>Verificado el 10-09-2026 · Resolución de 7 de febrero de 2026 de la D.G. de Trabajo de la Comunidad de Madrid, revisión salarial 2026 del convenio código 28001025011981. BOCM núm. 50 · https://www.bocm.es/boletin/CM_Orden_BOCM/2026/02/28/BOCM-20260228-2.PDF</t>
      </text>
    </comment>
    <comment ref="B19" authorId="0" shapeId="0">
      <text>
        <t>Verificado el 10-09-2026 · Ley 37/1992 del IVA, arts. 91.Uno.1.1.º y 91.Dos.1.1.º (texto consolidado, última modificación 28-02-2026) · https://www.boe.es/buscar/act.php?id=BOE-A-1992-28740</t>
      </text>
    </comment>
    <comment ref="B20" authorId="0" shapeId="0">
      <text>
        <t>Verificado el 10-09-2026 · Resolución de 24 de febrero de 2025, de la Dirección General de Tributos, sobre el tipo del IVA aplicable al pan. BOE núm. 50, BOE-A-2025-3950 · https://www.boe.es/diario_boe/txt.php?id=BOE-A-2025-3950</t>
      </text>
    </comment>
    <comment ref="B21" authorId="0" shapeId="0">
      <text>
        <t>Verificado el 10-09-2026 · Ley 37/1992 del IVA, art. 91.Uno.2.2.º (texto consolidado, última modificación 28-02-2026) · https://www.boe.es/buscar/act.php?id=BOE-A-1992-28740</t>
      </text>
    </comment>
    <comment ref="B28" authorId="0" shapeId="0">
      <text>
        <t>Verificado el 10-09-2026 · RD 1021/2022, art. 4.1 (tabla), 4.2 y 4.3 (texto consolidado) · https://www.boe.es/buscar/act.php?id=BOE-A-2022-21681</t>
      </text>
    </comment>
    <comment ref="B29" authorId="0" shapeId="0">
      <text>
        <t>Verificado el 10-09-2026 · RD 1021/2022, art. 9.3 en relación con el art. 4.1 fila 9 (texto consolidado) · https://www.boe.es/buscar/act.php?id=BOE-A-2022-21681</t>
      </text>
    </comment>
    <comment ref="B30" authorId="0" shapeId="0">
      <text>
        <t>Verificado el 10-09-2026 · RD 1021/2022, art. 9.3 en relación con el art. 4.1 fila 9 (texto consolidado) · https://www.boe.es/buscar/act.php?id=BOE-A-2022-21681</t>
      </text>
    </comment>
    <comment ref="B31" authorId="0" shapeId="0">
      <text>
        <t>Verificado el 10-09-2026 · Rgto. de Ejecución (UE) 828/2014, Anexo (A) y art. 5 · https://www.boe.es/buscar/doc.php?id=DOUE-L-2014-81720</t>
      </text>
    </comment>
  </commentList>
</comments>
</file>

<file path=xl/comments/comment2.xml><?xml version="1.0" encoding="utf-8"?>
<comments xmlns="http://schemas.openxmlformats.org/spreadsheetml/2006/main">
  <authors>
    <author>AI Chef Pro</author>
  </authors>
  <commentList>
    <comment ref="M6" authorId="0" shapeId="0">
      <text>
        <t>Verificado el 10-09-2026 · Ley 37/1992 del IVA, arts. 91.Uno.1.1.º y 91.Dos.1.1.º (texto consolidado, última modificación 28-02-2026) · https://www.boe.es/buscar/act.php?id=BOE-A-1992-28740</t>
      </text>
    </comment>
    <comment ref="M7" authorId="0" shapeId="0">
      <text>
        <t>Verificado el 10-09-2026 · Ley 37/1992 del IVA, arts. 91.Uno.1.1.º y 91.Dos.1.1.º (texto consolidado, última modificación 28-02-2026) · https://www.boe.es/buscar/act.php?id=BOE-A-1992-28740</t>
      </text>
    </comment>
    <comment ref="M8" authorId="0" shapeId="0">
      <text>
        <t>Verificado el 10-09-2026 · Ley 37/1992 del IVA, arts. 91.Uno.1.1.º y 91.Dos.1.1.º (texto consolidado, última modificación 28-02-2026) · https://www.boe.es/buscar/act.php?id=BOE-A-1992-28740</t>
      </text>
    </comment>
    <comment ref="M9" authorId="0" shapeId="0">
      <text>
        <t>Verificado el 10-09-2026 · Ley 37/1992 del IVA, arts. 91.Uno.1.1.º y 91.Dos.1.1.º (texto consolidado, última modificación 28-02-2026) · https://www.boe.es/buscar/act.php?id=BOE-A-1992-28740</t>
      </text>
    </comment>
    <comment ref="M10" authorId="0" shapeId="0">
      <text>
        <t>Verificado el 10-09-2026 · Ley 37/1992 del IVA, arts. 91.Uno.1.1.º y 91.Dos.1.1.º (texto consolidado, última modificación 28-02-2026) · https://www.boe.es/buscar/act.php?id=BOE-A-1992-28740</t>
      </text>
    </comment>
    <comment ref="M11" authorId="0" shapeId="0">
      <text>
        <t>Verificado el 10-09-2026 · Ley 37/1992 del IVA, arts. 91.Uno.1.1.º y 91.Dos.1.1.º (texto consolidado, última modificación 28-02-2026) · https://www.boe.es/buscar/act.php?id=BOE-A-1992-28740</t>
      </text>
    </comment>
    <comment ref="M12" authorId="0" shapeId="0">
      <text>
        <t>Verificado el 10-09-2026 · Ley 37/1992 del IVA, arts. 91.Uno.1.1.º y 91.Dos.1.1.º (texto consolidado, última modificación 28-02-2026) · https://www.boe.es/buscar/act.php?id=BOE-A-1992-28740</t>
      </text>
    </comment>
    <comment ref="M13" authorId="0" shapeId="0">
      <text>
        <t>Verificado el 10-09-2026 · Ley 37/1992 del IVA, arts. 91.Uno.1.1.º y 91.Dos.1.1.º (texto consolidado, última modificación 28-02-2026) · https://www.boe.es/buscar/act.php?id=BOE-A-1992-28740</t>
      </text>
    </comment>
    <comment ref="M14" authorId="0" shapeId="0">
      <text>
        <t>Verificado el 10-09-2026 · Ley 37/1992 del IVA, arts. 91.Uno.1.1.º y 91.Dos.1.1.º (texto consolidado, última modificación 28-02-2026) · https://www.boe.es/buscar/act.php?id=BOE-A-1992-28740</t>
      </text>
    </comment>
    <comment ref="M15" authorId="0" shapeId="0">
      <text>
        <t>Verificado el 10-09-2026 · Ley 37/1992 del IVA, arts. 91.Uno.1.1.º y 91.Dos.1.1.º (texto consolidado, última modificación 28-02-2026) · https://www.boe.es/buscar/act.php?id=BOE-A-1992-28740</t>
      </text>
    </comment>
    <comment ref="M16" authorId="0" shapeId="0">
      <text>
        <t>Verificado el 10-09-2026 · Ley 37/1992 del IVA, arts. 91.Uno.1.1.º y 91.Dos.1.1.º (texto consolidado, última modificación 28-02-2026) · https://www.boe.es/buscar/act.php?id=BOE-A-1992-28740</t>
      </text>
    </comment>
    <comment ref="M17" authorId="0" shapeId="0">
      <text>
        <t>Verificado el 10-09-2026 · Ley 37/1992 del IVA, arts. 91.Uno.1.1.º y 91.Dos.1.1.º (texto consolidado, última modificación 28-02-2026) · https://www.boe.es/buscar/act.php?id=BOE-A-1992-28740</t>
      </text>
    </comment>
    <comment ref="M18" authorId="0" shapeId="0">
      <text>
        <t>Verificado el 10-09-2026 · Ley 37/1992 del IVA, arts. 91.Uno.1.1.º y 91.Dos.1.1.º (texto consolidado, última modificación 28-02-2026) · https://www.boe.es/buscar/act.php?id=BOE-A-1992-28740</t>
      </text>
    </comment>
    <comment ref="M19" authorId="0" shapeId="0">
      <text>
        <t>Verificado el 10-09-2026 · Ley 37/1992 del IVA, arts. 91.Uno.1.1.º y 91.Dos.1.1.º (texto consolidado, última modificación 28-02-2026) · https://www.boe.es/buscar/act.php?id=BOE-A-1992-28740</t>
      </text>
    </comment>
    <comment ref="M20" authorId="0" shapeId="0">
      <text>
        <t>Verificado el 10-09-2026 · Ley 37/1992 del IVA, arts. 91.Uno.1.1.º y 91.Dos.1.1.º (texto consolidado, última modificación 28-02-2026) · https://www.boe.es/buscar/act.php?id=BOE-A-1992-28740</t>
      </text>
    </comment>
    <comment ref="M21" authorId="0" shapeId="0">
      <text>
        <t>Verificado el 10-09-2026 · Ley 37/1992 del IVA, arts. 91.Uno.1.1.º y 91.Dos.1.1.º (texto consolidado, última modificación 28-02-2026) · https://www.boe.es/buscar/act.php?id=BOE-A-1992-28740</t>
      </text>
    </comment>
    <comment ref="M22" authorId="0" shapeId="0">
      <text>
        <t>Verificado el 10-09-2026 · Ley 37/1992 del IVA, arts. 91.Uno.1.1.º y 91.Dos.1.1.º (texto consolidado, última modificación 28-02-2026) · https://www.boe.es/buscar/act.php?id=BOE-A-1992-28740</t>
      </text>
    </comment>
    <comment ref="M23" authorId="0" shapeId="0">
      <text>
        <t>Verificado el 10-09-2026 · Ley 37/1992 del IVA, arts. 91.Uno.1.1.º y 91.Dos.1.1.º (texto consolidado, última modificación 28-02-2026) · https://www.boe.es/buscar/act.php?id=BOE-A-1992-28740</t>
      </text>
    </comment>
    <comment ref="M24" authorId="0" shapeId="0">
      <text>
        <t>Verificado el 10-09-2026 · Resolución de 24 de febrero de 2025, de la Dirección General de Tributos, sobre el tipo del IVA aplicable al pan. BOE núm. 50, BOE-A-2025-3950 · https://www.boe.es/diario_boe/txt.php?id=BOE-A-2025-3950</t>
      </text>
    </comment>
    <comment ref="M25" authorId="0" shapeId="0">
      <text>
        <t>Verificado el 10-09-2026 · Resolución de 24 de febrero de 2025, de la Dirección General de Tributos, sobre el tipo del IVA aplicable al pan. BOE núm. 50, BOE-A-2025-3950 · https://www.boe.es/diario_boe/txt.php?id=BOE-A-2025-3950</t>
      </text>
    </comment>
    <comment ref="M26" authorId="0" shapeId="0">
      <text>
        <t>Verificado el 10-09-2026 · Resolución de 24 de febrero de 2025, de la Dirección General de Tributos, sobre el tipo del IVA aplicable al pan. BOE núm. 50, BOE-A-2025-3950 · https://www.boe.es/diario_boe/txt.php?id=BOE-A-2025-3950</t>
      </text>
    </comment>
    <comment ref="M27" authorId="0" shapeId="0">
      <text>
        <t>Verificado el 10-09-2026 · Resolución de 24 de febrero de 2025, de la Dirección General de Tributos, sobre el tipo del IVA aplicable al pan. BOE núm. 50, BOE-A-2025-3950 · https://www.boe.es/diario_boe/txt.php?id=BOE-A-2025-3950</t>
      </text>
    </comment>
    <comment ref="M28" authorId="0" shapeId="0">
      <text>
        <t>Verificado el 10-09-2026 · Ley 37/1992 del IVA, arts. 91.Uno.1.1.º y 91.Dos.1.1.º (texto consolidado, última modificación 28-02-2026) · https://www.boe.es/buscar/act.php?id=BOE-A-1992-28740</t>
      </text>
    </comment>
    <comment ref="M29" authorId="0" shapeId="0">
      <text>
        <t>Verificado el 10-09-2026 · Ley 37/1992 del IVA, arts. 91.Uno.1.1.º y 91.Dos.1.1.º (texto consolidado, última modificación 28-02-2026) · https://www.boe.es/buscar/act.php?id=BOE-A-1992-28740</t>
      </text>
    </comment>
    <comment ref="M30" authorId="0" shapeId="0">
      <text>
        <t>Verificado el 10-09-2026 · Ley 37/1992 del IVA, arts. 91.Uno.1.1.º y 91.Dos.1.1.º (texto consolidado, última modificación 28-02-2026) · https://www.boe.es/buscar/act.php?id=BOE-A-1992-28740</t>
      </text>
    </comment>
    <comment ref="M31" authorId="0" shapeId="0">
      <text>
        <t>Verificado el 10-09-2026 · Ley 37/1992 del IVA, arts. 91.Uno.1.1.º y 91.Dos.1.1.º (texto consolidado, última modificación 28-02-2026) · https://www.boe.es/buscar/act.php?id=BOE-A-1992-28740</t>
      </text>
    </comment>
    <comment ref="M32" authorId="0" shapeId="0">
      <text>
        <t>Verificado el 10-09-2026 · Ley 37/1992 del IVA, arts. 91.Uno.1.1.º y 91.Dos.1.1.º (texto consolidado, última modificación 28-02-2026) · https://www.boe.es/buscar/act.php?id=BOE-A-1992-28740</t>
      </text>
    </comment>
    <comment ref="M33" authorId="0" shapeId="0">
      <text>
        <t>Verificado el 10-09-2026 · Ley 37/1992 del IVA, arts. 91.Uno.1.1.º y 91.Dos.1.1.º (texto consolidado, última modificación 28-02-2026) · https://www.boe.es/buscar/act.php?id=BOE-A-1992-28740</t>
      </text>
    </comment>
    <comment ref="M34" authorId="0" shapeId="0">
      <text>
        <t>Verificado el 10-09-2026 · Ley 37/1992 del IVA, arts. 91.Uno.1.1.º y 91.Dos.1.1.º (texto consolidado, última modificación 28-02-2026) · https://www.boe.es/buscar/act.php?id=BOE-A-1992-28740</t>
      </text>
    </comment>
    <comment ref="M35" authorId="0" shapeId="0">
      <text>
        <t>Verificado el 10-09-2026 · Ley 37/1992 del IVA, arts. 91.Uno.1.1.º y 91.Dos.1.1.º (texto consolidado, última modificación 28-02-2026) · https://www.boe.es/buscar/act.php?id=BOE-A-1992-28740</t>
      </text>
    </comment>
  </commentList>
</comments>
</file>

<file path=xl/comments/comment3.xml><?xml version="1.0" encoding="utf-8"?>
<comments xmlns="http://schemas.openxmlformats.org/spreadsheetml/2006/main">
  <authors>
    <author>AI Chef Pro</author>
  </authors>
  <commentList>
    <comment ref="D5" authorId="0" shapeId="0">
      <text>
        <t>Verificado el 10-09-2026 · RD 1021/2022, art. 9.1 y 9.2 (texto consolidado) · https://www.boe.es/buscar/act.php?id=BOE-A-2022-21681</t>
      </text>
    </comment>
    <comment ref="G6" authorId="0" shapeId="0">
      <text>
        <t>Verificado el 10-09-2026 · RD 1021/2022, art. 4.1 (tabla), 4.2 y 4.3 (texto consolidado) · https://www.boe.es/buscar/act.php?id=BOE-A-2022-21681</t>
      </text>
    </comment>
    <comment ref="H6" authorId="0" shapeId="0">
      <text>
        <t>Verificado el 10-09-2026 · RD 1021/2022, art. 9.3 en relación con el art. 4.1 fila 9 (texto consolidado) · https://www.boe.es/buscar/act.php?id=BOE-A-2022-21681</t>
      </text>
    </comment>
    <comment ref="K6" authorId="0" shapeId="0">
      <text>
        <t>Verificado el 10-09-2026 · RD 1021/2022, art. 9.3 en relación con el art. 4.1 fila 9 (texto consolidado) · https://www.boe.es/buscar/act.php?id=BOE-A-2022-21681</t>
      </text>
    </comment>
    <comment ref="G7" authorId="0" shapeId="0">
      <text>
        <t>Verificado el 10-09-2026 · RD 1021/2022, art. 4.1 (tabla), 4.2 y 4.3 (texto consolidado) · https://www.boe.es/buscar/act.php?id=BOE-A-2022-21681</t>
      </text>
    </comment>
    <comment ref="H7" authorId="0" shapeId="0">
      <text>
        <t>Verificado el 10-09-2026 · RD 1021/2022, art. 9.3 en relación con el art. 4.1 fila 9 (texto consolidado) · https://www.boe.es/buscar/act.php?id=BOE-A-2022-21681</t>
      </text>
    </comment>
    <comment ref="K7" authorId="0" shapeId="0">
      <text>
        <t>Verificado el 10-09-2026 · RD 1021/2022, art. 9.3 en relación con el art. 4.1 fila 9 (texto consolidado) · https://www.boe.es/buscar/act.php?id=BOE-A-2022-21681</t>
      </text>
    </comment>
    <comment ref="G8" authorId="0" shapeId="0">
      <text>
        <t>Verificado el 10-09-2026 · RD 1021/2022, art. 4.1 (tabla), 4.2 y 4.3 (texto consolidado) · https://www.boe.es/buscar/act.php?id=BOE-A-2022-21681</t>
      </text>
    </comment>
    <comment ref="H8" authorId="0" shapeId="0">
      <text>
        <t>Verificado el 10-09-2026 · RD 1021/2022, art. 9.3 en relación con el art. 4.1 fila 9 (texto consolidado) · https://www.boe.es/buscar/act.php?id=BOE-A-2022-21681</t>
      </text>
    </comment>
    <comment ref="K8" authorId="0" shapeId="0">
      <text>
        <t>Verificado el 10-09-2026 · RD 1021/2022, art. 9.3 en relación con el art. 4.1 fila 9 (texto consolidado) · https://www.boe.es/buscar/act.php?id=BOE-A-2022-21681</t>
      </text>
    </comment>
    <comment ref="G9" authorId="0" shapeId="0">
      <text>
        <t>Verificado el 10-09-2026 · RD 1021/2022, art. 4.1 (tabla), 4.2 y 4.3 (texto consolidado) · https://www.boe.es/buscar/act.php?id=BOE-A-2022-21681</t>
      </text>
    </comment>
    <comment ref="H9" authorId="0" shapeId="0">
      <text>
        <t>Verificado el 10-09-2026 · RD 1021/2022, art. 9.3 en relación con el art. 4.1 fila 9 (texto consolidado) · https://www.boe.es/buscar/act.php?id=BOE-A-2022-21681</t>
      </text>
    </comment>
    <comment ref="K9" authorId="0" shapeId="0">
      <text>
        <t>Verificado el 10-09-2026 · RD 1021/2022, art. 9.3 en relación con el art. 4.1 fila 9 (texto consolidado) · https://www.boe.es/buscar/act.php?id=BOE-A-2022-21681</t>
      </text>
    </comment>
    <comment ref="G10" authorId="0" shapeId="0">
      <text>
        <t>Verificado el 10-09-2026 · RD 1021/2022, art. 4.1 (tabla), 4.2 y 4.3 (texto consolidado) · https://www.boe.es/buscar/act.php?id=BOE-A-2022-21681</t>
      </text>
    </comment>
    <comment ref="H10" authorId="0" shapeId="0">
      <text>
        <t>Verificado el 10-09-2026 · RD 1021/2022, art. 9.3 en relación con el art. 4.1 fila 9 (texto consolidado) · https://www.boe.es/buscar/act.php?id=BOE-A-2022-21681</t>
      </text>
    </comment>
    <comment ref="K10" authorId="0" shapeId="0">
      <text>
        <t>Verificado el 10-09-2026 · RD 1021/2022, art. 9.3 en relación con el art. 4.1 fila 9 (texto consolidado) · https://www.boe.es/buscar/act.php?id=BOE-A-2022-21681</t>
      </text>
    </comment>
    <comment ref="G11" authorId="0" shapeId="0">
      <text>
        <t>Verificado el 10-09-2026 · RD 1021/2022, art. 4.1 (tabla), 4.2 y 4.3 (texto consolidado) · https://www.boe.es/buscar/act.php?id=BOE-A-2022-21681</t>
      </text>
    </comment>
    <comment ref="H11" authorId="0" shapeId="0">
      <text>
        <t>Verificado el 10-09-2026 · RD 1021/2022, art. 9.3 en relación con el art. 4.1 fila 9 (texto consolidado) · https://www.boe.es/buscar/act.php?id=BOE-A-2022-21681</t>
      </text>
    </comment>
    <comment ref="K11" authorId="0" shapeId="0">
      <text>
        <t>Verificado el 10-09-2026 · RD 1021/2022, art. 9.3 en relación con el art. 4.1 fila 9 (texto consolidado) · https://www.boe.es/buscar/act.php?id=BOE-A-2022-21681</t>
      </text>
    </comment>
    <comment ref="G12" authorId="0" shapeId="0">
      <text>
        <t>Verificado el 10-09-2026 · RD 1021/2022, art. 4.1 (tabla), 4.2 y 4.3 (texto consolidado) · https://www.boe.es/buscar/act.php?id=BOE-A-2022-21681</t>
      </text>
    </comment>
    <comment ref="H12" authorId="0" shapeId="0">
      <text>
        <t>Verificado el 10-09-2026 · RD 1021/2022, art. 9.3 en relación con el art. 4.1 fila 9 (texto consolidado) · https://www.boe.es/buscar/act.php?id=BOE-A-2022-21681</t>
      </text>
    </comment>
    <comment ref="K12" authorId="0" shapeId="0">
      <text>
        <t>Verificado el 10-09-2026 · RD 1021/2022, art. 9.3 en relación con el art. 4.1 fila 9 (texto consolidado) · https://www.boe.es/buscar/act.php?id=BOE-A-2022-21681</t>
      </text>
    </comment>
    <comment ref="G13" authorId="0" shapeId="0">
      <text>
        <t>Verificado el 10-09-2026 · RD 1021/2022, art. 4.1 (tabla), 4.2 y 4.3 (texto consolidado) · https://www.boe.es/buscar/act.php?id=BOE-A-2022-21681</t>
      </text>
    </comment>
    <comment ref="H13" authorId="0" shapeId="0">
      <text>
        <t>Verificado el 10-09-2026 · RD 1021/2022, art. 9.3 en relación con el art. 4.1 fila 9 (texto consolidado) · https://www.boe.es/buscar/act.php?id=BOE-A-2022-21681</t>
      </text>
    </comment>
    <comment ref="K13" authorId="0" shapeId="0">
      <text>
        <t>Verificado el 10-09-2026 · RD 1021/2022, art. 9.3 en relación con el art. 4.1 fila 9 (texto consolidado) · https://www.boe.es/buscar/act.php?id=BOE-A-2022-21681</t>
      </text>
    </comment>
    <comment ref="G14" authorId="0" shapeId="0">
      <text>
        <t>Verificado el 10-09-2026 · RD 1021/2022, art. 4.1 (tabla), 4.2 y 4.3 (texto consolidado) · https://www.boe.es/buscar/act.php?id=BOE-A-2022-21681</t>
      </text>
    </comment>
    <comment ref="H14" authorId="0" shapeId="0">
      <text>
        <t>Verificado el 10-09-2026 · RD 1021/2022, art. 9.3 en relación con el art. 4.1 fila 9 (texto consolidado) · https://www.boe.es/buscar/act.php?id=BOE-A-2022-21681</t>
      </text>
    </comment>
    <comment ref="K14" authorId="0" shapeId="0">
      <text>
        <t>Verificado el 10-09-2026 · RD 1021/2022, art. 9.3 en relación con el art. 4.1 fila 9 (texto consolidado) · https://www.boe.es/buscar/act.php?id=BOE-A-2022-21681</t>
      </text>
    </comment>
    <comment ref="G15" authorId="0" shapeId="0">
      <text>
        <t>Verificado el 10-09-2026 · RD 1021/2022, art. 4.1 (tabla), 4.2 y 4.3 (texto consolidado) · https://www.boe.es/buscar/act.php?id=BOE-A-2022-21681</t>
      </text>
    </comment>
    <comment ref="H15" authorId="0" shapeId="0">
      <text>
        <t>Verificado el 10-09-2026 · RD 1021/2022, art. 9.3 en relación con el art. 4.1 fila 9 (texto consolidado) · https://www.boe.es/buscar/act.php?id=BOE-A-2022-21681</t>
      </text>
    </comment>
    <comment ref="K15" authorId="0" shapeId="0">
      <text>
        <t>Verificado el 10-09-2026 · RD 1021/2022, art. 9.3 en relación con el art. 4.1 fila 9 (texto consolidado) · https://www.boe.es/buscar/act.php?id=BOE-A-2022-21681</t>
      </text>
    </comment>
    <comment ref="G16" authorId="0" shapeId="0">
      <text>
        <t>Verificado el 10-09-2026 · RD 1021/2022, art. 4.1 (tabla), 4.2 y 4.3 (texto consolidado) · https://www.boe.es/buscar/act.php?id=BOE-A-2022-21681</t>
      </text>
    </comment>
    <comment ref="H16" authorId="0" shapeId="0">
      <text>
        <t>Verificado el 10-09-2026 · RD 1021/2022, art. 9.3 en relación con el art. 4.1 fila 9 (texto consolidado) · https://www.boe.es/buscar/act.php?id=BOE-A-2022-21681</t>
      </text>
    </comment>
    <comment ref="K16" authorId="0" shapeId="0">
      <text>
        <t>Verificado el 10-09-2026 · RD 1021/2022, art. 9.3 en relación con el art. 4.1 fila 9 (texto consolidado) · https://www.boe.es/buscar/act.php?id=BOE-A-2022-21681</t>
      </text>
    </comment>
    <comment ref="G17" authorId="0" shapeId="0">
      <text>
        <t>Verificado el 10-09-2026 · RD 1021/2022, art. 4.1 (tabla), 4.2 y 4.3 (texto consolidado) · https://www.boe.es/buscar/act.php?id=BOE-A-2022-21681</t>
      </text>
    </comment>
    <comment ref="H17" authorId="0" shapeId="0">
      <text>
        <t>Verificado el 10-09-2026 · RD 1021/2022, art. 9.3 en relación con el art. 4.1 fila 9 (texto consolidado) · https://www.boe.es/buscar/act.php?id=BOE-A-2022-21681</t>
      </text>
    </comment>
    <comment ref="K17" authorId="0" shapeId="0">
      <text>
        <t>Verificado el 10-09-2026 · RD 1021/2022, art. 9.3 en relación con el art. 4.1 fila 9 (texto consolidado) · https://www.boe.es/buscar/act.php?id=BOE-A-2022-21681</t>
      </text>
    </comment>
    <comment ref="G18" authorId="0" shapeId="0">
      <text>
        <t>Verificado el 10-09-2026 · RD 1021/2022, art. 4.1 (tabla), 4.2 y 4.3 (texto consolidado) · https://www.boe.es/buscar/act.php?id=BOE-A-2022-21681</t>
      </text>
    </comment>
    <comment ref="H18" authorId="0" shapeId="0">
      <text>
        <t>Verificado el 10-09-2026 · RD 1021/2022, art. 9.3 en relación con el art. 4.1 fila 9 (texto consolidado) · https://www.boe.es/buscar/act.php?id=BOE-A-2022-21681</t>
      </text>
    </comment>
    <comment ref="K18" authorId="0" shapeId="0">
      <text>
        <t>Verificado el 10-09-2026 · RD 1021/2022, art. 9.3 en relación con el art. 4.1 fila 9 (texto consolidado) · https://www.boe.es/buscar/act.php?id=BOE-A-2022-21681</t>
      </text>
    </comment>
    <comment ref="G19" authorId="0" shapeId="0">
      <text>
        <t>Verificado el 10-09-2026 · RD 1021/2022, art. 4.1 (tabla), 4.2 y 4.3 (texto consolidado) · https://www.boe.es/buscar/act.php?id=BOE-A-2022-21681</t>
      </text>
    </comment>
    <comment ref="H19" authorId="0" shapeId="0">
      <text>
        <t>Verificado el 10-09-2026 · RD 1021/2022, art. 9.3 en relación con el art. 4.1 fila 9 (texto consolidado) · https://www.boe.es/buscar/act.php?id=BOE-A-2022-21681</t>
      </text>
    </comment>
    <comment ref="K19" authorId="0" shapeId="0">
      <text>
        <t>Verificado el 10-09-2026 · RD 1021/2022, art. 9.3 en relación con el art. 4.1 fila 9 (texto consolidado) · https://www.boe.es/buscar/act.php?id=BOE-A-2022-21681</t>
      </text>
    </comment>
    <comment ref="G20" authorId="0" shapeId="0">
      <text>
        <t>Verificado el 10-09-2026 · RD 1021/2022, art. 4.1 (tabla), 4.2 y 4.3 (texto consolidado) · https://www.boe.es/buscar/act.php?id=BOE-A-2022-21681</t>
      </text>
    </comment>
    <comment ref="H20" authorId="0" shapeId="0">
      <text>
        <t>Verificado el 10-09-2026 · RD 1021/2022, art. 9.3 en relación con el art. 4.1 fila 9 (texto consolidado) · https://www.boe.es/buscar/act.php?id=BOE-A-2022-21681</t>
      </text>
    </comment>
    <comment ref="K20" authorId="0" shapeId="0">
      <text>
        <t>Verificado el 10-09-2026 · RD 1021/2022, art. 9.3 en relación con el art. 4.1 fila 9 (texto consolidado) · https://www.boe.es/buscar/act.php?id=BOE-A-2022-21681</t>
      </text>
    </comment>
    <comment ref="G21" authorId="0" shapeId="0">
      <text>
        <t>Verificado el 10-09-2026 · RD 1021/2022, art. 4.1 (tabla), 4.2 y 4.3 (texto consolidado) · https://www.boe.es/buscar/act.php?id=BOE-A-2022-21681</t>
      </text>
    </comment>
    <comment ref="H21" authorId="0" shapeId="0">
      <text>
        <t>Verificado el 10-09-2026 · RD 1021/2022, art. 9.3 en relación con el art. 4.1 fila 9 (texto consolidado) · https://www.boe.es/buscar/act.php?id=BOE-A-2022-21681</t>
      </text>
    </comment>
    <comment ref="K21" authorId="0" shapeId="0">
      <text>
        <t>Verificado el 10-09-2026 · RD 1021/2022, art. 9.3 en relación con el art. 4.1 fila 9 (texto consolidado) · https://www.boe.es/buscar/act.php?id=BOE-A-2022-21681</t>
      </text>
    </comment>
    <comment ref="G22" authorId="0" shapeId="0">
      <text>
        <t>Verificado el 10-09-2026 · RD 1021/2022, art. 4.1 (tabla), 4.2 y 4.3 (texto consolidado) · https://www.boe.es/buscar/act.php?id=BOE-A-2022-21681</t>
      </text>
    </comment>
    <comment ref="H22" authorId="0" shapeId="0">
      <text>
        <t>Verificado el 10-09-2026 · RD 1021/2022, art. 9.3 en relación con el art. 4.1 fila 9 (texto consolidado) · https://www.boe.es/buscar/act.php?id=BOE-A-2022-21681</t>
      </text>
    </comment>
    <comment ref="K22" authorId="0" shapeId="0">
      <text>
        <t>Verificado el 10-09-2026 · RD 1021/2022, art. 9.3 en relación con el art. 4.1 fila 9 (texto consolidado) · https://www.boe.es/buscar/act.php?id=BOE-A-2022-21681</t>
      </text>
    </comment>
    <comment ref="G23" authorId="0" shapeId="0">
      <text>
        <t>Verificado el 10-09-2026 · RD 1021/2022, art. 4.1 (tabla), 4.2 y 4.3 (texto consolidado) · https://www.boe.es/buscar/act.php?id=BOE-A-2022-21681</t>
      </text>
    </comment>
    <comment ref="H23" authorId="0" shapeId="0">
      <text>
        <t>Verificado el 10-09-2026 · RD 1021/2022, art. 9.3 en relación con el art. 4.1 fila 9 (texto consolidado) · https://www.boe.es/buscar/act.php?id=BOE-A-2022-21681</t>
      </text>
    </comment>
    <comment ref="K23" authorId="0" shapeId="0">
      <text>
        <t>Verificado el 10-09-2026 · RD 1021/2022, art. 9.3 en relación con el art. 4.1 fila 9 (texto consolidado) · https://www.boe.es/buscar/act.php?id=BOE-A-2022-21681</t>
      </text>
    </comment>
    <comment ref="G24" authorId="0" shapeId="0">
      <text>
        <t>Verificado el 10-09-2026 · RD 1021/2022, art. 4.1 (tabla), 4.2 y 4.3 (texto consolidado) · https://www.boe.es/buscar/act.php?id=BOE-A-2022-21681</t>
      </text>
    </comment>
    <comment ref="H24" authorId="0" shapeId="0">
      <text>
        <t>Verificado el 10-09-2026 · RD 1021/2022, art. 9.3 en relación con el art. 4.1 fila 9 (texto consolidado) · https://www.boe.es/buscar/act.php?id=BOE-A-2022-21681</t>
      </text>
    </comment>
    <comment ref="K24" authorId="0" shapeId="0">
      <text>
        <t>Verificado el 10-09-2026 · RD 1021/2022, art. 9.3 en relación con el art. 4.1 fila 9 (texto consolidado) · https://www.boe.es/buscar/act.php?id=BOE-A-2022-21681</t>
      </text>
    </comment>
    <comment ref="G25" authorId="0" shapeId="0">
      <text>
        <t>Verificado el 10-09-2026 · RD 1021/2022, art. 4.1 (tabla), 4.2 y 4.3 (texto consolidado) · https://www.boe.es/buscar/act.php?id=BOE-A-2022-21681</t>
      </text>
    </comment>
    <comment ref="H25" authorId="0" shapeId="0">
      <text>
        <t>Verificado el 10-09-2026 · RD 1021/2022, art. 9.3 en relación con el art. 4.1 fila 9 (texto consolidado) · https://www.boe.es/buscar/act.php?id=BOE-A-2022-21681</t>
      </text>
    </comment>
    <comment ref="K25" authorId="0" shapeId="0">
      <text>
        <t>Verificado el 10-09-2026 · RD 1021/2022, art. 9.3 en relación con el art. 4.1 fila 9 (texto consolidado) · https://www.boe.es/buscar/act.php?id=BOE-A-2022-21681</t>
      </text>
    </comment>
    <comment ref="G26" authorId="0" shapeId="0">
      <text>
        <t>Verificado el 10-09-2026 · RD 1021/2022, art. 4.1 (tabla), 4.2 y 4.3 (texto consolidado) · https://www.boe.es/buscar/act.php?id=BOE-A-2022-21681</t>
      </text>
    </comment>
    <comment ref="H26" authorId="0" shapeId="0">
      <text>
        <t>Verificado el 10-09-2026 · RD 1021/2022, art. 9.3 en relación con el art. 4.1 fila 9 (texto consolidado) · https://www.boe.es/buscar/act.php?id=BOE-A-2022-21681</t>
      </text>
    </comment>
    <comment ref="K26" authorId="0" shapeId="0">
      <text>
        <t>Verificado el 10-09-2026 · RD 1021/2022, art. 9.3 en relación con el art. 4.1 fila 9 (texto consolidado) · https://www.boe.es/buscar/act.php?id=BOE-A-2022-21681</t>
      </text>
    </comment>
    <comment ref="G27" authorId="0" shapeId="0">
      <text>
        <t>Verificado el 10-09-2026 · RD 1021/2022, art. 4.1 (tabla), 4.2 y 4.3 (texto consolidado) · https://www.boe.es/buscar/act.php?id=BOE-A-2022-21681</t>
      </text>
    </comment>
    <comment ref="H27" authorId="0" shapeId="0">
      <text>
        <t>Verificado el 10-09-2026 · RD 1021/2022, art. 9.3 en relación con el art. 4.1 fila 9 (texto consolidado) · https://www.boe.es/buscar/act.php?id=BOE-A-2022-21681</t>
      </text>
    </comment>
    <comment ref="K27" authorId="0" shapeId="0">
      <text>
        <t>Verificado el 10-09-2026 · RD 1021/2022, art. 9.3 en relación con el art. 4.1 fila 9 (texto consolidado) · https://www.boe.es/buscar/act.php?id=BOE-A-2022-21681</t>
      </text>
    </comment>
    <comment ref="G28" authorId="0" shapeId="0">
      <text>
        <t>Verificado el 10-09-2026 · RD 1021/2022, art. 4.1 (tabla), 4.2 y 4.3 (texto consolidado) · https://www.boe.es/buscar/act.php?id=BOE-A-2022-21681</t>
      </text>
    </comment>
    <comment ref="H28" authorId="0" shapeId="0">
      <text>
        <t>Verificado el 10-09-2026 · RD 1021/2022, art. 9.3 en relación con el art. 4.1 fila 9 (texto consolidado) · https://www.boe.es/buscar/act.php?id=BOE-A-2022-21681</t>
      </text>
    </comment>
    <comment ref="K28" authorId="0" shapeId="0">
      <text>
        <t>Verificado el 10-09-2026 · RD 1021/2022, art. 9.3 en relación con el art. 4.1 fila 9 (texto consolidado) · https://www.boe.es/buscar/act.php?id=BOE-A-2022-21681</t>
      </text>
    </comment>
    <comment ref="G29" authorId="0" shapeId="0">
      <text>
        <t>Verificado el 10-09-2026 · RD 1021/2022, art. 4.1 (tabla), 4.2 y 4.3 (texto consolidado) · https://www.boe.es/buscar/act.php?id=BOE-A-2022-21681</t>
      </text>
    </comment>
    <comment ref="H29" authorId="0" shapeId="0">
      <text>
        <t>Verificado el 10-09-2026 · RD 1021/2022, art. 9.3 en relación con el art. 4.1 fila 9 (texto consolidado) · https://www.boe.es/buscar/act.php?id=BOE-A-2022-21681</t>
      </text>
    </comment>
    <comment ref="K29" authorId="0" shapeId="0">
      <text>
        <t>Verificado el 10-09-2026 · RD 1021/2022, art. 9.3 en relación con el art. 4.1 fila 9 (texto consolidado) · https://www.boe.es/buscar/act.php?id=BOE-A-2022-21681</t>
      </text>
    </comment>
    <comment ref="G30" authorId="0" shapeId="0">
      <text>
        <t>Verificado el 10-09-2026 · RD 1021/2022, art. 4.1 (tabla), 4.2 y 4.3 (texto consolidado) · https://www.boe.es/buscar/act.php?id=BOE-A-2022-21681</t>
      </text>
    </comment>
    <comment ref="H30" authorId="0" shapeId="0">
      <text>
        <t>Verificado el 10-09-2026 · RD 1021/2022, art. 9.3 en relación con el art. 4.1 fila 9 (texto consolidado) · https://www.boe.es/buscar/act.php?id=BOE-A-2022-21681</t>
      </text>
    </comment>
    <comment ref="K30" authorId="0" shapeId="0">
      <text>
        <t>Verificado el 10-09-2026 · RD 1021/2022, art. 9.3 en relación con el art. 4.1 fila 9 (texto consolidado) · https://www.boe.es/buscar/act.php?id=BOE-A-2022-21681</t>
      </text>
    </comment>
    <comment ref="G31" authorId="0" shapeId="0">
      <text>
        <t>Verificado el 10-09-2026 · RD 1021/2022, art. 4.1 (tabla), 4.2 y 4.3 (texto consolidado) · https://www.boe.es/buscar/act.php?id=BOE-A-2022-21681</t>
      </text>
    </comment>
    <comment ref="H31" authorId="0" shapeId="0">
      <text>
        <t>Verificado el 10-09-2026 · RD 1021/2022, art. 9.3 en relación con el art. 4.1 fila 9 (texto consolidado) · https://www.boe.es/buscar/act.php?id=BOE-A-2022-21681</t>
      </text>
    </comment>
    <comment ref="K31" authorId="0" shapeId="0">
      <text>
        <t>Verificado el 10-09-2026 · RD 1021/2022, art. 9.3 en relación con el art. 4.1 fila 9 (texto consolidado) · https://www.boe.es/buscar/act.php?id=BOE-A-2022-21681</t>
      </text>
    </comment>
    <comment ref="G32" authorId="0" shapeId="0">
      <text>
        <t>Verificado el 10-09-2026 · RD 1021/2022, art. 4.1 (tabla), 4.2 y 4.3 (texto consolidado) · https://www.boe.es/buscar/act.php?id=BOE-A-2022-21681</t>
      </text>
    </comment>
    <comment ref="H32" authorId="0" shapeId="0">
      <text>
        <t>Verificado el 10-09-2026 · RD 1021/2022, art. 9.3 en relación con el art. 4.1 fila 9 (texto consolidado) · https://www.boe.es/buscar/act.php?id=BOE-A-2022-21681</t>
      </text>
    </comment>
    <comment ref="K32" authorId="0" shapeId="0">
      <text>
        <t>Verificado el 10-09-2026 · RD 1021/2022, art. 9.3 en relación con el art. 4.1 fila 9 (texto consolidado) · https://www.boe.es/buscar/act.php?id=BOE-A-2022-21681</t>
      </text>
    </comment>
    <comment ref="G33" authorId="0" shapeId="0">
      <text>
        <t>Verificado el 10-09-2026 · RD 1021/2022, art. 4.1 (tabla), 4.2 y 4.3 (texto consolidado) · https://www.boe.es/buscar/act.php?id=BOE-A-2022-21681</t>
      </text>
    </comment>
    <comment ref="H33" authorId="0" shapeId="0">
      <text>
        <t>Verificado el 10-09-2026 · RD 1021/2022, art. 9.3 en relación con el art. 4.1 fila 9 (texto consolidado) · https://www.boe.es/buscar/act.php?id=BOE-A-2022-21681</t>
      </text>
    </comment>
    <comment ref="K33" authorId="0" shapeId="0">
      <text>
        <t>Verificado el 10-09-2026 · RD 1021/2022, art. 9.3 en relación con el art. 4.1 fila 9 (texto consolidado) · https://www.boe.es/buscar/act.php?id=BOE-A-2022-21681</t>
      </text>
    </comment>
    <comment ref="G34" authorId="0" shapeId="0">
      <text>
        <t>Verificado el 10-09-2026 · RD 1021/2022, art. 4.1 (tabla), 4.2 y 4.3 (texto consolidado) · https://www.boe.es/buscar/act.php?id=BOE-A-2022-21681</t>
      </text>
    </comment>
    <comment ref="H34" authorId="0" shapeId="0">
      <text>
        <t>Verificado el 10-09-2026 · RD 1021/2022, art. 9.3 en relación con el art. 4.1 fila 9 (texto consolidado) · https://www.boe.es/buscar/act.php?id=BOE-A-2022-21681</t>
      </text>
    </comment>
    <comment ref="K34" authorId="0" shapeId="0">
      <text>
        <t>Verificado el 10-09-2026 · RD 1021/2022, art. 9.3 en relación con el art. 4.1 fila 9 (texto consolidado) · https://www.boe.es/buscar/act.php?id=BOE-A-2022-21681</t>
      </text>
    </comment>
    <comment ref="G35" authorId="0" shapeId="0">
      <text>
        <t>Verificado el 10-09-2026 · RD 1021/2022, art. 4.1 (tabla), 4.2 y 4.3 (texto consolidado) · https://www.boe.es/buscar/act.php?id=BOE-A-2022-21681</t>
      </text>
    </comment>
    <comment ref="H35" authorId="0" shapeId="0">
      <text>
        <t>Verificado el 10-09-2026 · RD 1021/2022, art. 9.3 en relación con el art. 4.1 fila 9 (texto consolidado) · https://www.boe.es/buscar/act.php?id=BOE-A-2022-21681</t>
      </text>
    </comment>
    <comment ref="K35" authorId="0" shapeId="0">
      <text>
        <t>Verificado el 10-09-2026 · RD 1021/2022, art. 9.3 en relación con el art. 4.1 fila 9 (texto consolidado) · https://www.boe.es/buscar/act.php?id=BOE-A-2022-21681</t>
      </text>
    </comment>
    <comment ref="A50" authorId="0" shapeId="0">
      <text>
        <t>Verificado el 10-09-2026 · RD 1021/2022, art. 9.1 y 9.2 (texto consolidado) · https://www.boe.es/buscar/act.php?id=BOE-A-2022-21681</t>
      </text>
    </comment>
    <comment ref="A51" authorId="0" shapeId="0">
      <text>
        <t>Verificado el 10-09-2026 · RD 1021/2022, art. 9.1 y 9.2 (texto consolidado) · https://www.boe.es/buscar/act.php?id=BOE-A-2022-21681</t>
      </text>
    </comment>
    <comment ref="A52" authorId="0" shapeId="0">
      <text>
        <t>Verificado el 10-09-2026 · RD 1021/2022, art. 9.1 y 9.2 (texto consolidado) · https://www.boe.es/buscar/act.php?id=BOE-A-2022-21681</t>
      </text>
    </comment>
    <comment ref="A62" authorId="0" shapeId="0">
      <text>
        <t>PA-13: Verificado el 10-09-2026 · RD 1021/2022, art. 5 (texto consolidado) · https://www.boe.es/buscar/act.php?id=BOE-A-2022-21681
PA-21: Verificado el 10-09-2026 · RD 126/2015, arts. 4.1, 5.1, 6.2, 6.5 y 10 (texto consolidado, sin modificaciones) · https://www.boe.es/buscar/act.php?id=BOE-A-2015-2293
PA-24: Verificado el 10-09-2026 · RD 496/2010, de 30 de abril, «Norma de calidad para los productos de confitería, pastelería, bollería y repostería», apartados 1.1 a 1.4 (texto consolidado, SIN MODIFICACIONES) · https://www.boe.es/buscar/act.php?id=BOE-A-2010-7714
PA-25: Verificado el 10-09-2026 · RD 308/2019, arts. 2, 3, 5, 7, 8, 10 y 14.5 (texto consolidado, última modificación 27-02-2026) · https://www.boe.es/buscar/act.php?id=BOE-A-2019-6994</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A30"/>
  <sheetViews>
    <sheetView workbookViewId="0">
      <selection activeCell="A1" sqref="A1"/>
    </sheetView>
  </sheetViews>
  <sheetFormatPr baseColWidth="8" defaultRowHeight="15"/>
  <cols>
    <col width="90" customWidth="1" min="1" max="1"/>
  </cols>
  <sheetData>
    <row r="1">
      <c r="A1" s="1" t="inlineStr">
        <is>
          <t>Carta de Apertura y Escandallo por Tanda</t>
        </is>
      </c>
    </row>
    <row r="2">
      <c r="A2" s="2" t="inlineStr">
        <is>
          <t>AI Chef Pro · aichef.pro — Cómo Montar una Pastelería</t>
        </is>
      </c>
    </row>
    <row r="3">
      <c r="A3" s="3" t="inlineStr">
        <is>
          <t>Para qué sirve: decidir qué vendes, a cuánto, y con qué vía legal de huevo -con su temperatura y su plazo-.</t>
        </is>
      </c>
    </row>
    <row r="4"/>
    <row r="5">
      <c r="A5" s="4" t="inlineStr">
        <is>
          <t>Instrucciones de uso</t>
        </is>
      </c>
    </row>
    <row r="6" ht="62" customHeight="1">
      <c r="A6" s="5" t="inlineStr">
        <is>
          <t>1. Hoja «Parámetros»: empieza por el bloque de personal de obrador. El coste hora de obrador NO es un dato del sector y no se teclea: se calcula con el bruto de tu convenio, las pagas, la jornada de cada persona y la Seguridad Social a cargo de la empresa. Debajo están los precios de compra, uno por ingrediente: es la única tabla donde se tocan los precios y de ella beben las 226 líneas del escandallo.</t>
        </is>
      </c>
    </row>
    <row r="7" ht="62" customHeight="1">
      <c r="A7" s="5" t="inlineStr">
        <is>
          <t>2. Hoja «Escandallo por Tanda»: una fila por ingrediente y por referencia. La unidad de costeo es LA TANDA, no la pieza: es como se trabaja en un obrador y es la única forma de que la mano de obra cuadre. Escribe la cantidad neta que usas, el factor que convierte la unidad de compra en la de uso (12 para pasar de docena a unidad, 1 si coinciden) y la merma. El coste de la línea sale solo.</t>
        </is>
      </c>
    </row>
    <row r="8" ht="62" customHeight="1">
      <c r="A8" s="5" t="inlineStr">
        <is>
          <t>3. Hoja «Coste Hora y Mano de Obra»: los minutos que te lleva cada tanda y el precio de venta. De ahí salen el coste de mano de obra por pieza, el coste total, el food cost y el margen en euros. Es el capítulo que enseña a dejar de regalar tu trabajo.</t>
        </is>
      </c>
    </row>
    <row r="9" ht="62" customHeight="1">
      <c r="A9" s="5" t="inlineStr">
        <is>
          <t>4. Hoja «Decisión de Huevo y Temperatura»: para cada referencia, elige la vía legal del huevo, di si va rellena y si el producto terminado es estable a temperatura ambiente. El libro devuelve la temperatura de conservación, cuál de los dos artículos manda y el plazo legal del art. 9.3. La vida útil la declaras tú.</t>
        </is>
      </c>
    </row>
    <row r="10" ht="62" customHeight="1">
      <c r="A10" s="5" t="inlineStr">
        <is>
          <t>5. Hoja «Mix y Ticket Medio»: reparte el 100 % de tus unidades entre las 30 referencias. De ahí sale tu ticket medio, que no se copia de ningún estudio porque no existe un ticket medio publicado de pastelería.</t>
        </is>
      </c>
    </row>
    <row r="11" ht="62" customHeight="1">
      <c r="A11" s="5" t="inlineStr">
        <is>
          <t>6. Hoja «Decisión de Surtido»: cruza margen y rotación y te dice qué mantener, a qué revisarle el precio y qué retirar. Repásala a los tres meses de abrir, con ventas reales, y otra vez al cambiar de temporada.</t>
        </is>
      </c>
    </row>
    <row r="12"/>
    <row r="13">
      <c r="A13" s="6" t="inlineStr">
        <is>
          <t>Celdas verdes = campos editables</t>
        </is>
      </c>
    </row>
    <row r="14"/>
    <row r="15">
      <c r="A15" s="4" t="inlineStr">
        <is>
          <t>Lo que conviene saber antes de empezar</t>
        </is>
      </c>
    </row>
    <row r="16" ht="72" customHeight="1">
      <c r="A16" s="5" t="inlineStr">
        <is>
          <t>LA REGLA DEL MARGEN ES UNA SOLA, DICHA DE DOS FORMAS. Margen bruto del 65-70 % y food cost del 30-35 % son el mismo número visto del derecho y del revés: si el food cost es el 32 %, el margen bruto es el 68 %. Por eso «Parámetros» te pide UNO y calcula el otro. Cualquier herramienta que te pida los dos te va a dejar ponerlos incoherentes.</t>
        </is>
      </c>
    </row>
    <row r="17" ht="72" customHeight="1">
      <c r="A17" s="5" t="inlineStr">
        <is>
          <t>NO HAY NINGÚN «CONFLICTO 4/8 °C». Son dos techos distintos del mismo Real Decreto y manda el más bajo de los que te apliquen. La fila 9 del art. 4.1 pone 4 °C a los productos de pastelería RELLENOS salvo que sean estables a temperatura ambiente. El art. 9.3 pone 8 °C a lo elaborado por la vía del art. 9.1.a) que no sea estable y a lo hecho con ovoproducto. Si te aplican los dos, mandan los 4 °C. Y lo que casi nadie cuenta: el art. 9.3 obliga además a consumir en 24 horas y a REGISTRAR la fecha y la hora de elaboración.</t>
        </is>
      </c>
    </row>
    <row r="18" ht="72" customHeight="1">
      <c r="A18" s="5" t="inlineStr">
        <is>
          <t>LA VIDA ÚTIL NO LA CALCULA ESTE LIBRO, Y NINGÚN LIBRO PUEDE. El RD 1021/2022 no la establece: la fijas tú, con tu proceso y tus analíticas, y tiene que constar en tu plan de APPCC. Lo que sí es legal y está en la hoja es el PLAZO del art. 9.3, que es otra cosa y va en su propia columna.</t>
        </is>
      </c>
    </row>
    <row r="19" ht="72" customHeight="1">
      <c r="A19" s="5" t="inlineStr">
        <is>
          <t>DÓNDE ESTÁN LOS ALÉRGENOS, QUE AQUÍ NO ESTÁN. La declaración de vitrina es el «12-control-alergenos-vitrina.xlsx» del Kit de Tareas Pastelería (12 €) y la de carta es el «08» del Pack APPCC (14 €). Este libro lleva una sola fila de checklist -«matriz de alérgenos publicada antes de abrir»- y no repite ninguna de las dos: nunca dos declaraciones completas de alérgenos en el mismo catálogo.</t>
        </is>
      </c>
    </row>
    <row r="20" ht="72" customHeight="1">
      <c r="A20" s="5" t="inlineStr">
        <is>
          <t>DÓNDE ESTÁN LAS TEMPERATURAS DIARIAS, QUE AQUÍ TAMPOCO. El registro de temperaturas y vidas útiles es el «13-registro-temperaturas-recepcion.xlsx» del mismo kit. Lo que hace este libro es la DECISIÓN previa: qué vía legal eliges para cada elaboración y qué temperatura te obliga esa elección. Eso no está en ningún fichero del catálogo.</t>
        </is>
      </c>
    </row>
    <row r="21" ht="72" customHeight="1">
      <c r="A21" s="5" t="inlineStr">
        <is>
          <t>EL ESCANDALLO UNITARIO Y EL MÉTODO. Si quieres la ficha de escandallo unitaria de tres elaboraciones, es el «kit-escandallos/05-pasteleria.xlsx»; si quieres el método de costeo por lote y la ingeniería de menú, es la Guía Food Cost (capítulo 17 y capítulos 1 a 16). Tarta de chocolate 70 %, croissants y macarons llevan aquí el MISMO escandallo que el kit: copiado y declarado, nunca vinculado. Un cliente con los dos productos no puede ver dos costes distintos del mismo croissant.</t>
        </is>
      </c>
    </row>
    <row r="22" ht="72" customHeight="1">
      <c r="A22" s="5" t="inlineStr">
        <is>
          <t>EL FOOD COST DEL ESCANDALLO Y EL DEL PLAN FINANCIERO NO COINCIDEN, Y ESTÁ BIEN. El de la pieza sólo cuenta materia prima. Al que llega a la cuenta de resultados hay que sumarle la merma real, el packaging, el producto de terceros que revende el despacho y la subida de la materia prima. La hoja «Mix y Ticket Medio» calcula los dos y enseña la diferencia: ése es tu colchón, no un error.</t>
        </is>
      </c>
    </row>
    <row r="23" ht="72" customHeight="1">
      <c r="A23" s="5" t="inlineStr">
        <is>
          <t>LOS PRECIOS DE COMPRA DEL EJEMPLO SON DE UN OBRADOR MODELADO. Los diecinueve primeros son copia exacta del kit de escandallos; el resto son supuestos plausibles de compra profesional en España en 2026. Bórralos y pon tus albaranes: un escandallo con precios de otro no vale nada.</t>
        </is>
      </c>
    </row>
    <row r="24"/>
    <row r="25" ht="58" customHeight="1">
      <c r="A25" s="5" t="inlineStr">
        <is>
          <t>Cada cuánto se usa este libro: los precios de compra, CADA VEZ que te suba un proveedor, y como mínimo una vez al trimestre. El escandallo y los minutos de mano de obra, al montar la carta y cada vez que cambies un proceso. La decisión de huevo y temperatura, UNA VEZ por referencia y siempre que añadas una nueva: es la que decide cuántos metros de vitrina refrigerada necesitas. El mix, el ticket medio y la decisión de surtido, a los tres meses de abrir y luego cada temporada.</t>
        </is>
      </c>
    </row>
    <row r="26"/>
    <row r="27" ht="30" customHeight="1">
      <c r="A27" s="5" t="inlineStr">
        <is>
          <t>Para editar la estructura o una celda que no esté en verde, desprotege la hoja: Revisar &gt; Desproteger hoja. La protección NO tiene contraseña; sólo evita pisar una fórmula sin querer.</t>
        </is>
      </c>
    </row>
    <row r="28"/>
    <row r="29">
      <c r="A29" s="5" t="inlineStr">
        <is>
          <t>Diseñado por John Guerrero — chef y consultor gastronómico desde 2010, en cocina desde los 17 años.</t>
        </is>
      </c>
    </row>
    <row r="30">
      <c r="A30" s="7"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G93"/>
  <sheetViews>
    <sheetView workbookViewId="0">
      <selection activeCell="A1" sqref="A1"/>
    </sheetView>
  </sheetViews>
  <sheetFormatPr baseColWidth="8" defaultRowHeight="15"/>
  <cols>
    <col width="46" customWidth="1" min="1" max="1"/>
    <col width="15" customWidth="1" min="2" max="2"/>
    <col width="14" customWidth="1" min="3" max="3"/>
    <col width="17" customWidth="1" min="4" max="4"/>
    <col width="15" customWidth="1" min="5" max="5"/>
    <col width="15" customWidth="1" min="6" max="6"/>
    <col width="78" customWidth="1" min="7" max="7"/>
  </cols>
  <sheetData>
    <row r="1">
      <c r="A1" s="1" t="inlineStr">
        <is>
          <t>Parámetros</t>
        </is>
      </c>
    </row>
    <row r="2">
      <c r="A2" s="2" t="inlineStr">
        <is>
          <t>AI Chef Pro · aichef.pro — Cómo Montar una Pastelería</t>
        </is>
      </c>
    </row>
    <row r="3">
      <c r="A3" s="3" t="inlineStr">
        <is>
          <t>El coste hora de obrador se CALCULA aquí desde tu plantilla y tu convenio. No es un dato del sector.</t>
        </is>
      </c>
    </row>
    <row r="4"/>
    <row r="5" ht="40" customHeight="1">
      <c r="A5" s="8" t="inlineStr">
        <is>
          <t>Personal de obrador</t>
        </is>
      </c>
      <c r="B5" s="8" t="inlineStr">
        <is>
          <t>Jornada</t>
        </is>
      </c>
      <c r="C5" s="8" t="inlineStr">
        <is>
          <t>Grupo de convenio</t>
        </is>
      </c>
      <c r="D5" s="8" t="inlineStr">
        <is>
          <t>Bruto mensual del convenio (€)</t>
        </is>
      </c>
      <c r="E5" s="8" t="inlineStr">
        <is>
          <t>Bruto anual con las pagas (€)</t>
        </is>
      </c>
      <c r="F5" s="8" t="inlineStr">
        <is>
          <t>Coste de empresa anual con SS (€)</t>
        </is>
      </c>
      <c r="G5" s="8" t="inlineStr">
        <is>
          <t>Nota</t>
        </is>
      </c>
    </row>
    <row r="6">
      <c r="A6" t="inlineStr">
        <is>
          <t>Jefe Pastelero (P1)</t>
        </is>
      </c>
      <c r="B6" s="9" t="n">
        <v>1</v>
      </c>
      <c r="C6" t="inlineStr">
        <is>
          <t>2 · Dirección, jefes y encargados</t>
        </is>
      </c>
      <c r="D6" s="10" t="n">
        <v>1427.89</v>
      </c>
      <c r="E6" s="11">
        <f>IFERROR(D6*'Parámetros'!$B$11,"")</f>
        <v>21418.350000000002</v>
      </c>
      <c r="F6" s="11">
        <f>IFERROR(E6*B6*(1+'Parámetros'!$B$12),"")</f>
        <v>28486.405500000004</v>
      </c>
      <c r="G6" s="12" t="inlineStr">
        <is>
          <t>Turno: Madrugada (04:30-12:30). Sólo el área OBRADOR entra en el coste hora: el despacho no fabrica.</t>
        </is>
      </c>
    </row>
    <row r="7">
      <c r="A7" t="inlineStr">
        <is>
          <t>Pastelero (P2)</t>
        </is>
      </c>
      <c r="B7" s="9" t="n">
        <v>1</v>
      </c>
      <c r="C7" t="inlineStr">
        <is>
          <t>3 · Personal especialista</t>
        </is>
      </c>
      <c r="D7" s="10" t="n">
        <v>1376.91</v>
      </c>
      <c r="E7" s="11">
        <f>IFERROR(D7*'Parámetros'!$B$11,"")</f>
        <v>20653.65</v>
      </c>
      <c r="F7" s="11">
        <f>IFERROR(E7*B7*(1+'Parámetros'!$B$12),"")</f>
        <v>27469.354500000005</v>
      </c>
      <c r="G7" s="12" t="inlineStr">
        <is>
          <t>Turno: Madrugada (05:00-13:00). Sólo el área OBRADOR entra en el coste hora: el despacho no fabrica.</t>
        </is>
      </c>
    </row>
    <row r="8">
      <c r="A8" t="inlineStr">
        <is>
          <t>Ayudante (P3)</t>
        </is>
      </c>
      <c r="B8" s="9" t="n">
        <v>0.5</v>
      </c>
      <c r="C8" t="inlineStr">
        <is>
          <t>5 · Personal de apoyo</t>
        </is>
      </c>
      <c r="D8" s="10" t="n">
        <v>1192.42</v>
      </c>
      <c r="E8" s="11">
        <f>IFERROR(D8*'Parámetros'!$B$11,"")</f>
        <v>17886.300000000003</v>
      </c>
      <c r="F8" s="11">
        <f>IFERROR(E8*B8*(1+'Parámetros'!$B$12),"")</f>
        <v>11894.389500000003</v>
      </c>
      <c r="G8" s="12" t="inlineStr">
        <is>
          <t>Turno: Mañana (07:00-11:00). Sólo el área OBRADOR entra en el coste hora: el despacho no fabrica.</t>
        </is>
      </c>
    </row>
    <row r="9">
      <c r="A9" s="13" t="inlineStr">
        <is>
          <t>TOTAL OBRADOR</t>
        </is>
      </c>
      <c r="B9" s="14">
        <f>SUM(B6:B8)</f>
        <v>2.5</v>
      </c>
      <c r="F9" s="15">
        <f>SUM(F6:F8)</f>
        <v>67850.14950000001</v>
      </c>
    </row>
    <row r="10"/>
    <row r="11" ht="42" customHeight="1">
      <c r="A11" s="5" t="inlineStr">
        <is>
          <t>Pagas del convenio al año</t>
        </is>
      </c>
      <c r="B11" s="16" t="n">
        <v>15</v>
      </c>
      <c r="C11" t="inlineStr">
        <is>
          <t>pagas</t>
        </is>
      </c>
      <c r="D11" s="17" t="inlineStr">
        <is>
          <t>PA-33</t>
        </is>
      </c>
      <c r="G11" s="12" t="inlineStr">
        <is>
          <t>El convenio de la Comunidad de Madrid (código 28001025011981, revisión 2026 en el BOCM núm. 50, de 28 de febrero de 2026) paga 15, no 14. Sustitúyelo por el de tu convenio provincial.</t>
        </is>
      </c>
    </row>
    <row r="12" ht="42" customHeight="1">
      <c r="A12" s="5" t="inlineStr">
        <is>
          <t>Seguridad Social a cargo de la empresa</t>
        </is>
      </c>
      <c r="B12" s="18" t="n">
        <v>0.33</v>
      </c>
      <c r="C12" t="inlineStr">
        <is>
          <t>sobre bruto</t>
        </is>
      </c>
      <c r="D12" s="17" t="inlineStr">
        <is>
          <t>motor.PARAMETROS</t>
        </is>
      </c>
      <c r="G12" s="12" t="inlineStr">
        <is>
          <t>Cotización empresarial aproximada sobre el bruto: contingencias comunes, desempleo, FOGASA y formación. Es el renglón que convierte un bruto en un coste, y el que más sorprende.</t>
        </is>
      </c>
    </row>
    <row r="13" ht="42" customHeight="1">
      <c r="A13" s="5" t="inlineStr">
        <is>
          <t>Horas anuales de contrato</t>
        </is>
      </c>
      <c r="B13" s="16" t="n">
        <v>1780</v>
      </c>
      <c r="C13" t="inlineStr">
        <is>
          <t>horas/año</t>
        </is>
      </c>
      <c r="D13" s="17" t="inlineStr">
        <is>
          <t>supuesto</t>
        </is>
      </c>
      <c r="G13" s="12" t="inlineStr">
        <is>
          <t>40 horas por 52 semanas son 2.080, menos 30 días naturales de vacaciones y los festivos del calendario laboral.</t>
        </is>
      </c>
    </row>
    <row r="14" ht="42" customHeight="1">
      <c r="A14" s="5" t="inlineStr">
        <is>
          <t>Horas productivas sobre la jornada</t>
        </is>
      </c>
      <c r="B14" s="18" t="n">
        <v>0.85</v>
      </c>
      <c r="C14" t="inlineStr">
        <is>
          <t>de la jornada</t>
        </is>
      </c>
      <c r="D14" s="17" t="inlineStr">
        <is>
          <t>supuesto</t>
        </is>
      </c>
      <c r="G14" s="12" t="inlineStr">
        <is>
          <t>Parte de la jornada que se pasa a pie de mesa. El resto es recepción, limpieza, formación y reuniones: horas que pagas y no producen.</t>
        </is>
      </c>
    </row>
    <row r="15" ht="42" customHeight="1">
      <c r="A15" s="5" t="inlineStr">
        <is>
          <t>Horas productivas del obrador al año</t>
        </is>
      </c>
      <c r="B15" s="19">
        <f>IFERROR($B$9*'Parámetros'!$B$13*'Parámetros'!$B$14,"")</f>
        <v>3782.5</v>
      </c>
      <c r="C15" t="inlineStr">
        <is>
          <t>horas/año</t>
        </is>
      </c>
      <c r="D15" s="17" t="inlineStr">
        <is>
          <t>calculado</t>
        </is>
      </c>
      <c r="G15" s="12" t="inlineStr">
        <is>
          <t>Jornadas de obrador por horas anuales de contrato por el ratio productivo.</t>
        </is>
      </c>
    </row>
    <row r="16" ht="42" customHeight="1">
      <c r="A16" s="5" t="inlineStr">
        <is>
          <t>COSTE HORA PRODUCTIVA DE OBRADOR</t>
        </is>
      </c>
      <c r="B16" s="15">
        <f>IFERROR($F$9/'Parámetros'!$B$15,"")</f>
        <v>17.937911302048914</v>
      </c>
      <c r="C16" t="inlineStr">
        <is>
          <t>€/hora</t>
        </is>
      </c>
      <c r="D16" s="17" t="inlineStr">
        <is>
          <t>calculado</t>
        </is>
      </c>
      <c r="G16" s="12" t="inlineStr">
        <is>
          <t>Coste de empresa anual del obrador dividido por sus horas PRODUCTIVAS (con el factor de 85 % de más arriba). Éste es el número que hay que meter en cada tanda, y el que casi nadie imputa. NO lo confundas con el «coste medio por hora PAGADA de la plantilla» del libro 8 (14,89 €, plantilla-turnos-y-coste-personal.xlsx) ni con el «coste por hora PAGADA del refuerzo» del libro 3 (13,36 €, estacionalidad-y-picos.xlsx): las tres son correctas y las tres miden un denominador distinto.</t>
        </is>
      </c>
    </row>
    <row r="17"/>
    <row r="18">
      <c r="A18" s="4" t="inlineStr">
        <is>
          <t>IVA por familia de producto</t>
        </is>
      </c>
    </row>
    <row r="19" ht="42" customHeight="1">
      <c r="A19" s="5" t="inlineStr">
        <is>
          <t>IVA de pastelería, bollería y confitería</t>
        </is>
      </c>
      <c r="B19" s="18" t="n">
        <v>0.1</v>
      </c>
      <c r="C19" t="inlineStr">
        <is>
          <t>sobre base</t>
        </is>
      </c>
      <c r="D19" s="17" t="inlineStr">
        <is>
          <t>PA-36</t>
        </is>
      </c>
      <c r="G19" s="12" t="inlineStr">
        <is>
          <t>Regla general de alimentos del art. 91.Uno.1.1.º de la Ley 37/1992: no porque un precepto los nombre, sino porque no están en la lista cerrada del 4 % ni excluidos del 10 %.</t>
        </is>
      </c>
    </row>
    <row r="20" ht="42" customHeight="1">
      <c r="A20" s="5" t="inlineStr">
        <is>
          <t>IVA del pan del RD 308/2019</t>
        </is>
      </c>
      <c r="B20" s="18" t="n">
        <v>0.04</v>
      </c>
      <c r="C20" t="inlineStr">
        <is>
          <t>sobre base</t>
        </is>
      </c>
      <c r="D20" s="17" t="inlineStr">
        <is>
          <t>PA-36b</t>
        </is>
      </c>
      <c r="G20" s="12" t="inlineStr">
        <is>
          <t>Todos los productos del RD 308/2019 -pan común, pan especial y semielaborados, con o sin gluten- van al 4 % desde la Resolución vinculante de la DGT de 24-02-2025, que acoge la STS 1610/2024. El cruasán sigue al 10 %: el RD 308/2019 sólo regula el pan y no menciona la bollería.</t>
        </is>
      </c>
    </row>
    <row r="21" ht="42" customHeight="1">
      <c r="A21" s="5" t="inlineStr">
        <is>
          <t>IVA en zona de degustación</t>
        </is>
      </c>
      <c r="B21" s="18" t="n">
        <v>0.1</v>
      </c>
      <c r="C21" t="inlineStr">
        <is>
          <t>sobre base</t>
        </is>
      </c>
      <c r="D21" s="17" t="inlineStr">
        <is>
          <t>PA-36c</t>
        </is>
      </c>
      <c r="G21" s="12" t="inlineStr">
        <is>
          <t>Si pones mesas, ahí no vendes un bien: prestas un servicio de hostelería (art. 91.Uno.2.2.º). Tu TPV tiene que separar los tipos.</t>
        </is>
      </c>
    </row>
    <row r="22"/>
    <row r="23">
      <c r="A23" s="4" t="inlineStr">
        <is>
          <t>La regla del margen: UN número, y el otro se deriva</t>
        </is>
      </c>
    </row>
    <row r="24" ht="42" customHeight="1">
      <c r="A24" s="5" t="inlineStr">
        <is>
          <t>Food cost objetivo</t>
        </is>
      </c>
      <c r="B24" s="18" t="n">
        <v>0.32</v>
      </c>
      <c r="C24" t="inlineStr">
        <is>
          <t>sobre PVP sin IVA</t>
        </is>
      </c>
      <c r="D24" s="17" t="inlineStr">
        <is>
          <t>PS-55 + PS-56</t>
        </is>
      </c>
      <c r="G24" s="12" t="inlineStr">
        <is>
          <t>Éste es el ÚNICO número de margen que se teclea. La banda del sector es 30-35 % de food cost, que es exactamente lo mismo que decir 65-70 % de margen bruto.</t>
        </is>
      </c>
    </row>
    <row r="25" ht="42" customHeight="1">
      <c r="A25" s="5" t="inlineStr">
        <is>
          <t>Margen bruto objetivo (derivado)</t>
        </is>
      </c>
      <c r="B25" s="20">
        <f>IFERROR(1-'Parámetros'!$B$24,"")</f>
        <v>0.6799999999999999</v>
      </c>
      <c r="C25" t="inlineStr">
        <is>
          <t>sobre PVP sin IVA</t>
        </is>
      </c>
      <c r="D25" s="17" t="inlineStr">
        <is>
          <t>calculado</t>
        </is>
      </c>
      <c r="G25" s="12" t="inlineStr">
        <is>
          <t>Uno menos el food cost objetivo. No se teclea a propósito: pedir los dos números permite ponerlos incoherentes y es el error de método más repetido del oficio.</t>
        </is>
      </c>
    </row>
    <row r="26"/>
    <row r="27">
      <c r="A27" s="4" t="inlineStr">
        <is>
          <t>Techos y plazos legales (RD 1021/2022, verificado el 10-09-2026)</t>
        </is>
      </c>
    </row>
    <row r="28" ht="42" customHeight="1">
      <c r="A28" s="5" t="inlineStr">
        <is>
          <t>Techo de la fila 9 del art. 4.1</t>
        </is>
      </c>
      <c r="B28" s="16" t="n">
        <v>4</v>
      </c>
      <c r="C28" t="inlineStr">
        <is>
          <t>°C</t>
        </is>
      </c>
      <c r="D28" s="17" t="inlineStr">
        <is>
          <t>PA-12</t>
        </is>
      </c>
      <c r="G28" s="12" t="inlineStr">
        <is>
          <t>Productos de pastelería RELLENOS, salvo que sean estables a temperatura ambiente. Es el techo más bajo de los dos y por eso suele mandar él.</t>
        </is>
      </c>
    </row>
    <row r="29" ht="42" customHeight="1">
      <c r="A29" s="5" t="inlineStr">
        <is>
          <t>Techo del art. 9.3</t>
        </is>
      </c>
      <c r="B29" s="16" t="n">
        <v>8</v>
      </c>
      <c r="C29" t="inlineStr">
        <is>
          <t>°C</t>
        </is>
      </c>
      <c r="D29" s="17" t="inlineStr">
        <is>
          <t>PA-15</t>
        </is>
      </c>
      <c r="G29" s="12" t="inlineStr">
        <is>
          <t>Lo elaborado por la vía del art. 9.1.a) que no sea estable a temperatura ambiente, y lo hecho con ovoproducto del art. 9.2.</t>
        </is>
      </c>
    </row>
    <row r="30" ht="42" customHeight="1">
      <c r="A30" s="5" t="inlineStr">
        <is>
          <t>Plazo de consumo del art. 9.3</t>
        </is>
      </c>
      <c r="B30" s="16" t="n">
        <v>24</v>
      </c>
      <c r="C30" t="inlineStr">
        <is>
          <t>horas</t>
        </is>
      </c>
      <c r="D30" s="17" t="inlineStr">
        <is>
          <t>PA-15</t>
        </is>
      </c>
      <c r="G30" s="12" t="inlineStr">
        <is>
          <t>Desde la elaboración, con REGISTRO de fecha y hora. No es una vida útil: es un plazo legal, y sólo alcanza a lo que dice el propio art. 9.3.</t>
        </is>
      </c>
    </row>
    <row r="31" ht="42" customHeight="1">
      <c r="A31" s="5" t="inlineStr">
        <is>
          <t>Umbral analítico de «sin gluten»</t>
        </is>
      </c>
      <c r="B31" s="16" t="n">
        <v>20</v>
      </c>
      <c r="C31" t="inlineStr">
        <is>
          <t>mg/kg</t>
        </is>
      </c>
      <c r="D31" s="17" t="inlineStr">
        <is>
          <t>PA-23</t>
        </is>
      </c>
      <c r="G31" s="12" t="inlineStr">
        <is>
          <t>No es una declaración libre: por debajo de 20 mg/kg de gluten en el producto tal y como se vende. Con harina de arroz no basta si el obrador comparte utillaje con harina de trigo.</t>
        </is>
      </c>
    </row>
    <row r="32"/>
    <row r="33">
      <c r="A33" s="4" t="inlineStr">
        <is>
          <t>Merma, packaging y comercial</t>
        </is>
      </c>
    </row>
    <row r="34" ht="42" customHeight="1">
      <c r="A34" s="5" t="inlineStr">
        <is>
          <t>Merma objetivo</t>
        </is>
      </c>
      <c r="B34" s="18" t="n">
        <v>0.05</v>
      </c>
      <c r="C34" t="inlineStr">
        <is>
          <t>de la producción</t>
        </is>
      </c>
      <c r="D34" s="17" t="inlineStr">
        <is>
          <t>kit-tareas-pasteleria/10</t>
        </is>
      </c>
      <c r="G34" s="12" t="inlineStr">
        <is>
          <t>Objetivo precargado en el plan de producción del kit. En una pastelería artesanal se mueve entre el 3 y el 8 %; por encima del 10 % hay que revisar el plan de producción, no el escandallo.</t>
        </is>
      </c>
    </row>
    <row r="35" ht="42" customHeight="1">
      <c r="A35" s="5" t="inlineStr">
        <is>
          <t>Packaging sobre el coste del producto</t>
        </is>
      </c>
      <c r="B35" s="18" t="n">
        <v>0.1</v>
      </c>
      <c r="C35" t="inlineStr">
        <is>
          <t>del coste</t>
        </is>
      </c>
      <c r="D35" s="17" t="inlineStr">
        <is>
          <t>PS-59</t>
        </is>
      </c>
      <c r="G35" s="12" t="inlineStr">
        <is>
          <t>Entre el 5 y el 15 % del coste total del producto. Aquí, el punto medio. En pastelería la caja no es un extra: es parte del producto.</t>
        </is>
      </c>
    </row>
    <row r="36" ht="42" customHeight="1">
      <c r="A36" s="5" t="inlineStr">
        <is>
          <t>Piezas por cliente</t>
        </is>
      </c>
      <c r="B36" s="9" t="n">
        <v>2.6</v>
      </c>
      <c r="C36" t="inlineStr">
        <is>
          <t>piezas/ticket</t>
        </is>
      </c>
      <c r="D36" s="17" t="inlineStr">
        <is>
          <t>supuesto</t>
        </is>
      </c>
      <c r="G36" s="12" t="inlineStr">
        <is>
          <t>De aquí sale el ticket medio, que NO se teclea. No existe un ticket medio publicado de pastelería: el tuyo se calcula desde tu carta y tu mix, y por eso se puede publicar diciendo lo que es.</t>
        </is>
      </c>
    </row>
    <row r="37" ht="42" customHeight="1">
      <c r="A37" s="5" t="inlineStr">
        <is>
          <t>Umbral de rotación del semáforo de surtido</t>
        </is>
      </c>
      <c r="B37" s="9" t="n">
        <v>1</v>
      </c>
      <c r="C37" t="inlineStr">
        <is>
          <t>% del mix</t>
        </is>
      </c>
      <c r="D37" s="17" t="inlineStr">
        <is>
          <t>supuesto</t>
        </is>
      </c>
      <c r="G37" s="12" t="inlineStr">
        <is>
          <t>Por debajo de este porcentaje del mix, la referencia se considera de rotación baja en la hoja «Decisión de Surtido». Criterio de la casa, no del sector: súbelo si tu carta es más corta.</t>
        </is>
      </c>
    </row>
    <row r="38"/>
    <row r="39">
      <c r="A39" s="4" t="inlineStr">
        <is>
          <t>Precios de compra (la única tabla de precios)</t>
        </is>
      </c>
    </row>
    <row r="40" ht="30" customHeight="1">
      <c r="A40" s="8" t="inlineStr">
        <is>
          <t>Ingrediente</t>
        </is>
      </c>
      <c r="B40" s="8" t="inlineStr">
        <is>
          <t>Precio de compra (€)</t>
        </is>
      </c>
      <c r="C40" s="8" t="inlineStr">
        <is>
          <t>Unidad de compra</t>
        </is>
      </c>
      <c r="D40" s="8" t="inlineStr">
        <is>
          <t>De dónde sale</t>
        </is>
      </c>
      <c r="E40" s="8" t="inlineStr"/>
      <c r="F40" s="8" t="inlineStr"/>
      <c r="G40" s="8" t="inlineStr">
        <is>
          <t>Nota</t>
        </is>
      </c>
    </row>
    <row r="41">
      <c r="A41" t="inlineStr">
        <is>
          <t>Aceite de girasol</t>
        </is>
      </c>
      <c r="B41" s="10" t="n">
        <v>1.8</v>
      </c>
      <c r="C41" t="inlineStr">
        <is>
          <t>L</t>
        </is>
      </c>
      <c r="D41" s="17" t="inlineStr">
        <is>
          <t>supuesto</t>
        </is>
      </c>
    </row>
    <row r="42">
      <c r="A42" t="inlineStr">
        <is>
          <t>Aceite de oliva virgen extra</t>
        </is>
      </c>
      <c r="B42" s="10" t="n">
        <v>7.2</v>
      </c>
      <c r="C42" t="inlineStr">
        <is>
          <t>L</t>
        </is>
      </c>
      <c r="D42" s="17" t="inlineStr">
        <is>
          <t>supuesto</t>
        </is>
      </c>
    </row>
    <row r="43">
      <c r="A43" t="inlineStr">
        <is>
          <t>Agua de azahar</t>
        </is>
      </c>
      <c r="B43" s="10" t="n">
        <v>14</v>
      </c>
      <c r="C43" t="inlineStr">
        <is>
          <t>L</t>
        </is>
      </c>
      <c r="D43" s="17" t="inlineStr">
        <is>
          <t>supuesto</t>
        </is>
      </c>
    </row>
    <row r="44">
      <c r="A44" t="inlineStr">
        <is>
          <t>Almendra marcona cruda</t>
        </is>
      </c>
      <c r="B44" s="10" t="n">
        <v>15.5</v>
      </c>
      <c r="C44" t="inlineStr">
        <is>
          <t>kg</t>
        </is>
      </c>
      <c r="D44" s="17" t="inlineStr">
        <is>
          <t>supuesto</t>
        </is>
      </c>
    </row>
    <row r="45">
      <c r="A45" t="inlineStr">
        <is>
          <t>Almendra molida</t>
        </is>
      </c>
      <c r="B45" s="10" t="n">
        <v>13.5</v>
      </c>
      <c r="C45" t="inlineStr">
        <is>
          <t>kg</t>
        </is>
      </c>
      <c r="D45" s="17" t="inlineStr">
        <is>
          <t>supuesto</t>
        </is>
      </c>
    </row>
    <row r="46">
      <c r="A46" t="inlineStr">
        <is>
          <t>Almidón de maíz</t>
        </is>
      </c>
      <c r="B46" s="10" t="n">
        <v>2.1</v>
      </c>
      <c r="C46" t="inlineStr">
        <is>
          <t>kg</t>
        </is>
      </c>
      <c r="D46" s="17" t="inlineStr">
        <is>
          <t>supuesto</t>
        </is>
      </c>
    </row>
    <row r="47">
      <c r="A47" t="inlineStr">
        <is>
          <t>Azúcar</t>
        </is>
      </c>
      <c r="B47" s="10" t="n">
        <v>1.2</v>
      </c>
      <c r="C47" t="inlineStr">
        <is>
          <t>kg</t>
        </is>
      </c>
      <c r="D47" s="17" t="inlineStr">
        <is>
          <t>copiado del kit</t>
        </is>
      </c>
    </row>
    <row r="48">
      <c r="A48" t="inlineStr">
        <is>
          <t>Azúcar glas</t>
        </is>
      </c>
      <c r="B48" s="10" t="n">
        <v>2.5</v>
      </c>
      <c r="C48" t="inlineStr">
        <is>
          <t>kg</t>
        </is>
      </c>
      <c r="D48" s="17" t="inlineStr">
        <is>
          <t>copiado del kit</t>
        </is>
      </c>
    </row>
    <row r="49">
      <c r="A49" t="inlineStr">
        <is>
          <t>Cacao en polvo</t>
        </is>
      </c>
      <c r="B49" s="10" t="n">
        <v>12</v>
      </c>
      <c r="C49" t="inlineStr">
        <is>
          <t>kg</t>
        </is>
      </c>
      <c r="D49" s="17" t="inlineStr">
        <is>
          <t>copiado del kit</t>
        </is>
      </c>
    </row>
    <row r="50">
      <c r="A50" t="inlineStr">
        <is>
          <t>Canela molida</t>
        </is>
      </c>
      <c r="B50" s="10" t="n">
        <v>18</v>
      </c>
      <c r="C50" t="inlineStr">
        <is>
          <t>kg</t>
        </is>
      </c>
      <c r="D50" s="17" t="inlineStr">
        <is>
          <t>supuesto</t>
        </is>
      </c>
    </row>
    <row r="51">
      <c r="A51" t="inlineStr">
        <is>
          <t>Chocolate blanco</t>
        </is>
      </c>
      <c r="B51" s="10" t="n">
        <v>15</v>
      </c>
      <c r="C51" t="inlineStr">
        <is>
          <t>kg</t>
        </is>
      </c>
      <c r="D51" s="17" t="inlineStr">
        <is>
          <t>copiado del kit</t>
        </is>
      </c>
    </row>
    <row r="52">
      <c r="A52" t="inlineStr">
        <is>
          <t>Chocolate negro 70%</t>
        </is>
      </c>
      <c r="B52" s="10" t="n">
        <v>18</v>
      </c>
      <c r="C52" t="inlineStr">
        <is>
          <t>kg</t>
        </is>
      </c>
      <c r="D52" s="17" t="inlineStr">
        <is>
          <t>copiado del kit</t>
        </is>
      </c>
    </row>
    <row r="53">
      <c r="A53" t="inlineStr">
        <is>
          <t>Claras de huevo</t>
        </is>
      </c>
      <c r="B53" s="10" t="n">
        <v>6</v>
      </c>
      <c r="C53" t="inlineStr">
        <is>
          <t>kg</t>
        </is>
      </c>
      <c r="D53" s="17" t="inlineStr">
        <is>
          <t>copiado del kit</t>
        </is>
      </c>
    </row>
    <row r="54">
      <c r="A54" t="inlineStr">
        <is>
          <t>Cobertura de leche 40%</t>
        </is>
      </c>
      <c r="B54" s="10" t="n">
        <v>15.5</v>
      </c>
      <c r="C54" t="inlineStr">
        <is>
          <t>kg</t>
        </is>
      </c>
      <c r="D54" s="17" t="inlineStr">
        <is>
          <t>supuesto</t>
        </is>
      </c>
    </row>
    <row r="55">
      <c r="A55" t="inlineStr">
        <is>
          <t>Colorante rojo (bote 50 g · 2 g/tanda)</t>
        </is>
      </c>
      <c r="B55" s="10" t="n">
        <v>4</v>
      </c>
      <c r="C55" t="inlineStr">
        <is>
          <t>ud</t>
        </is>
      </c>
      <c r="D55" s="17" t="inlineStr">
        <is>
          <t>copiado del kit</t>
        </is>
      </c>
    </row>
    <row r="56">
      <c r="A56" t="inlineStr">
        <is>
          <t>Frambuesa congelada</t>
        </is>
      </c>
      <c r="B56" s="10" t="n">
        <v>9</v>
      </c>
      <c r="C56" t="inlineStr">
        <is>
          <t>kg</t>
        </is>
      </c>
      <c r="D56" s="17" t="inlineStr">
        <is>
          <t>copiado del kit</t>
        </is>
      </c>
    </row>
    <row r="57">
      <c r="A57" t="inlineStr">
        <is>
          <t>Fresa fresca</t>
        </is>
      </c>
      <c r="B57" s="10" t="n">
        <v>6.2</v>
      </c>
      <c r="C57" t="inlineStr">
        <is>
          <t>kg</t>
        </is>
      </c>
      <c r="D57" s="17" t="inlineStr">
        <is>
          <t>supuesto</t>
        </is>
      </c>
    </row>
    <row r="58">
      <c r="A58" t="inlineStr">
        <is>
          <t>Frutos rojos congelados</t>
        </is>
      </c>
      <c r="B58" s="10" t="n">
        <v>10.5</v>
      </c>
      <c r="C58" t="inlineStr">
        <is>
          <t>kg</t>
        </is>
      </c>
      <c r="D58" s="17" t="inlineStr">
        <is>
          <t>supuesto</t>
        </is>
      </c>
    </row>
    <row r="59">
      <c r="A59" t="inlineStr">
        <is>
          <t>Gelatina en hoja</t>
        </is>
      </c>
      <c r="B59" s="10" t="n">
        <v>42</v>
      </c>
      <c r="C59" t="inlineStr">
        <is>
          <t>kg</t>
        </is>
      </c>
      <c r="D59" s="17" t="inlineStr">
        <is>
          <t>supuesto</t>
        </is>
      </c>
    </row>
    <row r="60">
      <c r="A60" t="inlineStr">
        <is>
          <t>Gelatina neutra de brillo</t>
        </is>
      </c>
      <c r="B60" s="10" t="n">
        <v>11.5</v>
      </c>
      <c r="C60" t="inlineStr">
        <is>
          <t>kg</t>
        </is>
      </c>
      <c r="D60" s="17" t="inlineStr">
        <is>
          <t>supuesto</t>
        </is>
      </c>
    </row>
    <row r="61">
      <c r="A61" t="inlineStr">
        <is>
          <t>Harina de almendra</t>
        </is>
      </c>
      <c r="B61" s="10" t="n">
        <v>14</v>
      </c>
      <c r="C61" t="inlineStr">
        <is>
          <t>kg</t>
        </is>
      </c>
      <c r="D61" s="17" t="inlineStr">
        <is>
          <t>copiado del kit</t>
        </is>
      </c>
    </row>
    <row r="62">
      <c r="A62" t="inlineStr">
        <is>
          <t>Harina de fuerza</t>
        </is>
      </c>
      <c r="B62" s="10" t="n">
        <v>1.1</v>
      </c>
      <c r="C62" t="inlineStr">
        <is>
          <t>kg</t>
        </is>
      </c>
      <c r="D62" s="17" t="inlineStr">
        <is>
          <t>copiado del kit</t>
        </is>
      </c>
    </row>
    <row r="63">
      <c r="A63" t="inlineStr">
        <is>
          <t>Harina floja</t>
        </is>
      </c>
      <c r="B63" s="10" t="n">
        <v>0.9</v>
      </c>
      <c r="C63" t="inlineStr">
        <is>
          <t>kg</t>
        </is>
      </c>
      <c r="D63" s="17" t="inlineStr">
        <is>
          <t>copiado del kit</t>
        </is>
      </c>
    </row>
    <row r="64">
      <c r="A64" t="inlineStr">
        <is>
          <t>Harina integral de centeno</t>
        </is>
      </c>
      <c r="B64" s="10" t="n">
        <v>1.75</v>
      </c>
      <c r="C64" t="inlineStr">
        <is>
          <t>kg</t>
        </is>
      </c>
      <c r="D64" s="17" t="inlineStr">
        <is>
          <t>supuesto</t>
        </is>
      </c>
    </row>
    <row r="65">
      <c r="A65" t="inlineStr">
        <is>
          <t>Harina panificable</t>
        </is>
      </c>
      <c r="B65" s="10" t="n">
        <v>1.05</v>
      </c>
      <c r="C65" t="inlineStr">
        <is>
          <t>kg</t>
        </is>
      </c>
      <c r="D65" s="17" t="inlineStr">
        <is>
          <t>supuesto</t>
        </is>
      </c>
    </row>
    <row r="66">
      <c r="A66" t="inlineStr">
        <is>
          <t>Huevo (para pintar)</t>
        </is>
      </c>
      <c r="B66" s="10" t="n">
        <v>3.6</v>
      </c>
      <c r="C66" t="inlineStr">
        <is>
          <t>docena</t>
        </is>
      </c>
      <c r="D66" s="17" t="inlineStr">
        <is>
          <t>copiado del kit</t>
        </is>
      </c>
    </row>
    <row r="67">
      <c r="A67" t="inlineStr">
        <is>
          <t>Huevos (unidades)</t>
        </is>
      </c>
      <c r="B67" s="10" t="n">
        <v>3.6</v>
      </c>
      <c r="C67" t="inlineStr">
        <is>
          <t>docena</t>
        </is>
      </c>
      <c r="D67" s="17" t="inlineStr">
        <is>
          <t>copiado del kit</t>
        </is>
      </c>
    </row>
    <row r="68">
      <c r="A68" t="inlineStr">
        <is>
          <t>Kiwi</t>
        </is>
      </c>
      <c r="B68" s="10" t="n">
        <v>2.6</v>
      </c>
      <c r="C68" t="inlineStr">
        <is>
          <t>kg</t>
        </is>
      </c>
      <c r="D68" s="17" t="inlineStr">
        <is>
          <t>supuesto</t>
        </is>
      </c>
    </row>
    <row r="69">
      <c r="A69" t="inlineStr">
        <is>
          <t>Leche entera</t>
        </is>
      </c>
      <c r="B69" s="10" t="n">
        <v>1.1</v>
      </c>
      <c r="C69" t="inlineStr">
        <is>
          <t>L</t>
        </is>
      </c>
      <c r="D69" s="17" t="inlineStr">
        <is>
          <t>copiado del kit</t>
        </is>
      </c>
    </row>
    <row r="70">
      <c r="A70" t="inlineStr">
        <is>
          <t>Levadura fresca</t>
        </is>
      </c>
      <c r="B70" s="10" t="n">
        <v>5</v>
      </c>
      <c r="C70" t="inlineStr">
        <is>
          <t>kg</t>
        </is>
      </c>
      <c r="D70" s="17" t="inlineStr">
        <is>
          <t>copiado del kit</t>
        </is>
      </c>
    </row>
    <row r="71">
      <c r="A71" t="inlineStr">
        <is>
          <t>Levadura química (impulsor)</t>
        </is>
      </c>
      <c r="B71" s="10" t="n">
        <v>8.5</v>
      </c>
      <c r="C71" t="inlineStr">
        <is>
          <t>kg</t>
        </is>
      </c>
      <c r="D71" s="17" t="inlineStr">
        <is>
          <t>supuesto</t>
        </is>
      </c>
    </row>
    <row r="72">
      <c r="A72" t="inlineStr">
        <is>
          <t>Limón</t>
        </is>
      </c>
      <c r="B72" s="10" t="n">
        <v>2.2</v>
      </c>
      <c r="C72" t="inlineStr">
        <is>
          <t>kg</t>
        </is>
      </c>
      <c r="D72" s="17" t="inlineStr">
        <is>
          <t>supuesto</t>
        </is>
      </c>
    </row>
    <row r="73">
      <c r="A73" t="inlineStr">
        <is>
          <t>Manteca de cerdo</t>
        </is>
      </c>
      <c r="B73" s="10" t="n">
        <v>4.4</v>
      </c>
      <c r="C73" t="inlineStr">
        <is>
          <t>kg</t>
        </is>
      </c>
      <c r="D73" s="17" t="inlineStr">
        <is>
          <t>supuesto</t>
        </is>
      </c>
    </row>
    <row r="74">
      <c r="A74" t="inlineStr">
        <is>
          <t>Mantequilla</t>
        </is>
      </c>
      <c r="B74" s="10" t="n">
        <v>9</v>
      </c>
      <c r="C74" t="inlineStr">
        <is>
          <t>kg</t>
        </is>
      </c>
      <c r="D74" s="17" t="inlineStr">
        <is>
          <t>copiado del kit</t>
        </is>
      </c>
    </row>
    <row r="75">
      <c r="A75" t="inlineStr">
        <is>
          <t>Mantequilla seca (82% MG)</t>
        </is>
      </c>
      <c r="B75" s="10" t="n">
        <v>12</v>
      </c>
      <c r="C75" t="inlineStr">
        <is>
          <t>kg</t>
        </is>
      </c>
      <c r="D75" s="17" t="inlineStr">
        <is>
          <t>copiado del kit</t>
        </is>
      </c>
    </row>
    <row r="76">
      <c r="A76" t="inlineStr">
        <is>
          <t>Manzana</t>
        </is>
      </c>
      <c r="B76" s="10" t="n">
        <v>1.6</v>
      </c>
      <c r="C76" t="inlineStr">
        <is>
          <t>kg</t>
        </is>
      </c>
      <c r="D76" s="17" t="inlineStr">
        <is>
          <t>supuesto</t>
        </is>
      </c>
    </row>
    <row r="77">
      <c r="A77" t="inlineStr">
        <is>
          <t>Mermelada de albaricoque</t>
        </is>
      </c>
      <c r="B77" s="10" t="n">
        <v>4.2</v>
      </c>
      <c r="C77" t="inlineStr">
        <is>
          <t>kg</t>
        </is>
      </c>
      <c r="D77" s="17" t="inlineStr">
        <is>
          <t>supuesto</t>
        </is>
      </c>
    </row>
    <row r="78">
      <c r="A78" t="inlineStr">
        <is>
          <t>Miel</t>
        </is>
      </c>
      <c r="B78" s="10" t="n">
        <v>8.199999999999999</v>
      </c>
      <c r="C78" t="inlineStr">
        <is>
          <t>kg</t>
        </is>
      </c>
      <c r="D78" s="17" t="inlineStr">
        <is>
          <t>supuesto</t>
        </is>
      </c>
    </row>
    <row r="79">
      <c r="A79" t="inlineStr">
        <is>
          <t>Naranja confitada</t>
        </is>
      </c>
      <c r="B79" s="10" t="n">
        <v>7.8</v>
      </c>
      <c r="C79" t="inlineStr">
        <is>
          <t>kg</t>
        </is>
      </c>
      <c r="D79" s="17" t="inlineStr">
        <is>
          <t>supuesto</t>
        </is>
      </c>
    </row>
    <row r="80">
      <c r="A80" t="inlineStr">
        <is>
          <t>Nata 35% MG</t>
        </is>
      </c>
      <c r="B80" s="10" t="n">
        <v>3.8</v>
      </c>
      <c r="C80" t="inlineStr">
        <is>
          <t>L</t>
        </is>
      </c>
      <c r="D80" s="17" t="inlineStr">
        <is>
          <t>copiado del kit</t>
        </is>
      </c>
    </row>
    <row r="81">
      <c r="A81" t="inlineStr">
        <is>
          <t>Nueces</t>
        </is>
      </c>
      <c r="B81" s="10" t="n">
        <v>15</v>
      </c>
      <c r="C81" t="inlineStr">
        <is>
          <t>kg</t>
        </is>
      </c>
      <c r="D81" s="17" t="inlineStr">
        <is>
          <t>supuesto</t>
        </is>
      </c>
    </row>
    <row r="82">
      <c r="A82" t="inlineStr">
        <is>
          <t>Pasas</t>
        </is>
      </c>
      <c r="B82" s="10" t="n">
        <v>5.2</v>
      </c>
      <c r="C82" t="inlineStr">
        <is>
          <t>kg</t>
        </is>
      </c>
      <c r="D82" s="17" t="inlineStr">
        <is>
          <t>supuesto</t>
        </is>
      </c>
    </row>
    <row r="83">
      <c r="A83" t="inlineStr">
        <is>
          <t>Piñón</t>
        </is>
      </c>
      <c r="B83" s="10" t="n">
        <v>72</v>
      </c>
      <c r="C83" t="inlineStr">
        <is>
          <t>kg</t>
        </is>
      </c>
      <c r="D83" s="17" t="inlineStr">
        <is>
          <t>supuesto</t>
        </is>
      </c>
    </row>
    <row r="84">
      <c r="A84" t="inlineStr">
        <is>
          <t>Queso crema</t>
        </is>
      </c>
      <c r="B84" s="10" t="n">
        <v>8.9</v>
      </c>
      <c r="C84" t="inlineStr">
        <is>
          <t>kg</t>
        </is>
      </c>
      <c r="D84" s="17" t="inlineStr">
        <is>
          <t>supuesto</t>
        </is>
      </c>
    </row>
    <row r="85">
      <c r="A85" t="inlineStr">
        <is>
          <t>Ron</t>
        </is>
      </c>
      <c r="B85" s="10" t="n">
        <v>9.800000000000001</v>
      </c>
      <c r="C85" t="inlineStr">
        <is>
          <t>L</t>
        </is>
      </c>
      <c r="D85" s="17" t="inlineStr">
        <is>
          <t>supuesto</t>
        </is>
      </c>
    </row>
    <row r="86">
      <c r="A86" t="inlineStr">
        <is>
          <t>Sal</t>
        </is>
      </c>
      <c r="B86" s="10" t="n">
        <v>0.6</v>
      </c>
      <c r="C86" t="inlineStr">
        <is>
          <t>kg</t>
        </is>
      </c>
      <c r="D86" s="17" t="inlineStr">
        <is>
          <t>copiado del kit</t>
        </is>
      </c>
    </row>
    <row r="87">
      <c r="A87" t="inlineStr">
        <is>
          <t>Vainilla en pasta</t>
        </is>
      </c>
      <c r="B87" s="10" t="n">
        <v>92</v>
      </c>
      <c r="C87" t="inlineStr">
        <is>
          <t>kg</t>
        </is>
      </c>
      <c r="D87" s="17" t="inlineStr">
        <is>
          <t>supuesto</t>
        </is>
      </c>
    </row>
    <row r="88">
      <c r="A88" t="inlineStr">
        <is>
          <t>Yema pasteurizada (ovoproducto)</t>
        </is>
      </c>
      <c r="B88" s="10" t="n">
        <v>6.8</v>
      </c>
      <c r="C88" t="inlineStr">
        <is>
          <t>kg</t>
        </is>
      </c>
      <c r="D88" s="17" t="inlineStr">
        <is>
          <t>supuesto</t>
        </is>
      </c>
    </row>
    <row r="89">
      <c r="A89" t="inlineStr">
        <is>
          <t>Zanahoria</t>
        </is>
      </c>
      <c r="B89" s="10" t="n">
        <v>1.1</v>
      </c>
      <c r="C89" t="inlineStr">
        <is>
          <t>kg</t>
        </is>
      </c>
      <c r="D89" s="17" t="inlineStr">
        <is>
          <t>supuesto</t>
        </is>
      </c>
    </row>
    <row r="90"/>
    <row r="91" ht="46" customHeight="1">
      <c r="A91" s="21" t="inlineStr">
        <is>
          <t>Los diecinueve precios marcados «copiado del kit» son los mismos que usa el «kit-escandallos/05-pasteleria.xlsx»: son los que hacen que el mismo croissant cueste lo mismo en los dos productos. Ojo con la mantequilla: la cotización de commodity a granel que publican los observatorios NO es el precio de la mantequilla de laminado 82-84 % que compra un obrador. Sirve para modelar la volatilidad, nunca para fijar un precio.</t>
        </is>
      </c>
    </row>
    <row r="92"/>
    <row r="93">
      <c r="A93" s="7"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91:G91"/>
  </mergeCells>
  <dataValidations count="3">
    <dataValidation sqref="B12 B14 B24 B34 B35"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19 B20 B21" showDropDown="0" showInputMessage="1" showErrorMessage="1" allowBlank="1" errorTitle="Tipo de IVA" error="Escribe un porcentaje entre 0 y 1 (0,20 = 20 %)." promptTitle="Tipo de IVA" prompt="Se escribe en tanto por uno: 0,10 = 10 %." type="decimal" operator="between">
      <formula1>0</formula1>
      <formula2>1.0</formula2>
    </dataValidation>
    <dataValidation sqref="B6 B7 B8" showDropDown="0" showInputMessage="0" showErrorMessage="1" allowBlank="1" errorTitle="Jornada" error="La jornada va de 0 a 1 (0,5 = media jornada)." type="decimal" operator="between">
      <formula1>0</formula1>
      <formula2>1</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M266"/>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28" customWidth="1" min="2" max="2"/>
    <col width="19" customWidth="1" min="3" max="3"/>
    <col width="34" customWidth="1" min="4" max="4"/>
    <col width="11" customWidth="1" min="5" max="5"/>
    <col width="10" customWidth="1" min="6" max="6"/>
    <col width="10" customWidth="1" min="7" max="7"/>
    <col width="9" customWidth="1" min="8" max="8"/>
    <col width="11" customWidth="1" min="9" max="9"/>
    <col width="11" customWidth="1" min="10" max="10"/>
    <col width="11" customWidth="1" min="11" max="11"/>
    <col width="12" customWidth="1" min="12" max="12"/>
    <col width="66" customWidth="1" min="13" max="13"/>
  </cols>
  <sheetData>
    <row r="1">
      <c r="A1" s="1" t="inlineStr">
        <is>
          <t>Escandallo por Tanda</t>
        </is>
      </c>
    </row>
    <row r="2">
      <c r="A2" s="2" t="inlineStr">
        <is>
          <t>AI Chef Pro · aichef.pro — Cómo Montar una Pastelería</t>
        </is>
      </c>
    </row>
    <row r="3">
      <c r="A3" s="3" t="inlineStr">
        <is>
          <t>La unidad de costeo es LA TANDA, no la pieza. Los precios salen de la tabla única de «Parámetros».</t>
        </is>
      </c>
    </row>
    <row r="4"/>
    <row r="5" ht="42" customHeight="1">
      <c r="A5" s="8" t="inlineStr">
        <is>
          <t>Ref</t>
        </is>
      </c>
      <c r="B5" s="8" t="inlineStr">
        <is>
          <t>Referencia</t>
        </is>
      </c>
      <c r="C5" s="8" t="inlineStr">
        <is>
          <t>Familia</t>
        </is>
      </c>
      <c r="D5" s="8" t="inlineStr">
        <is>
          <t>Ingrediente</t>
        </is>
      </c>
      <c r="E5" s="8" t="inlineStr">
        <is>
          <t>Cantidad neta</t>
        </is>
      </c>
      <c r="F5" s="8" t="inlineStr">
        <is>
          <t>Unidad de uso</t>
        </is>
      </c>
      <c r="G5" s="8" t="inlineStr">
        <is>
          <t>Factor de conversión</t>
        </is>
      </c>
      <c r="H5" s="8" t="inlineStr">
        <is>
          <t>Merma</t>
        </is>
      </c>
      <c r="I5" s="8" t="inlineStr">
        <is>
          <t>Cantidad bruta</t>
        </is>
      </c>
      <c r="J5" s="8" t="inlineStr">
        <is>
          <t>Precio de compra (€)</t>
        </is>
      </c>
      <c r="K5" s="8" t="inlineStr">
        <is>
          <t>Unidad de compra</t>
        </is>
      </c>
      <c r="L5" s="8" t="inlineStr">
        <is>
          <t>Coste de la línea (€)</t>
        </is>
      </c>
      <c r="M5" s="8" t="inlineStr">
        <is>
          <t>Procedencia</t>
        </is>
      </c>
    </row>
    <row r="6">
      <c r="A6" t="inlineStr">
        <is>
          <t>B1</t>
        </is>
      </c>
      <c r="B6" t="inlineStr">
        <is>
          <t>Croissant de mantequilla</t>
        </is>
      </c>
      <c r="C6" t="inlineStr">
        <is>
          <t>Bollería</t>
        </is>
      </c>
      <c r="D6" t="inlineStr">
        <is>
          <t>Harina de fuerza</t>
        </is>
      </c>
      <c r="E6" s="22" t="n">
        <v>0.5</v>
      </c>
      <c r="F6" t="inlineStr">
        <is>
          <t>kg</t>
        </is>
      </c>
      <c r="G6" s="9" t="n">
        <v>1</v>
      </c>
      <c r="H6" s="18" t="n">
        <v>0.08</v>
      </c>
      <c r="I6" s="23">
        <f>IFERROR(E6/(1-H6),"")</f>
        <v>0.5434782608695652</v>
      </c>
      <c r="J6" s="11">
        <f>IFERROR(VLOOKUP($D6,'Parámetros'!$A$41:$C$89,2,FALSE),"")</f>
        <v>1.1</v>
      </c>
      <c r="K6" t="inlineStr">
        <is>
          <t>kg</t>
        </is>
      </c>
      <c r="L6" s="11">
        <f>IFERROR(I6/G6*J6,"")</f>
        <v>0.5978260869565217</v>
      </c>
      <c r="M6" s="12" t="inlineStr">
        <is>
          <t>COPIA EXACTA de kit-escandallos/05-pasteleria.xlsx, hoja «Croissants». Mismo escandallo en los dos productos: un cliente con los dos no puede ver dos costes distintos de la misma pieza.</t>
        </is>
      </c>
    </row>
    <row r="7">
      <c r="A7" t="inlineStr">
        <is>
          <t>B1</t>
        </is>
      </c>
      <c r="B7" t="inlineStr"/>
      <c r="C7" t="inlineStr"/>
      <c r="D7" t="inlineStr">
        <is>
          <t>Mantequilla seca (82% MG)</t>
        </is>
      </c>
      <c r="E7" s="22" t="n">
        <v>0.28</v>
      </c>
      <c r="F7" t="inlineStr">
        <is>
          <t>kg</t>
        </is>
      </c>
      <c r="G7" s="9" t="n">
        <v>1</v>
      </c>
      <c r="H7" s="18" t="n">
        <v>0.03</v>
      </c>
      <c r="I7" s="23">
        <f>IFERROR(E7/(1-H7),"")</f>
        <v>0.288659793814433</v>
      </c>
      <c r="J7" s="11">
        <f>IFERROR(VLOOKUP($D7,'Parámetros'!$A$41:$C$89,2,FALSE),"")</f>
        <v>12.0</v>
      </c>
      <c r="K7" t="inlineStr">
        <is>
          <t>kg</t>
        </is>
      </c>
      <c r="L7" s="11">
        <f>IFERROR(I7/G7*J7,"")</f>
        <v>3.463917525773196</v>
      </c>
    </row>
    <row r="8">
      <c r="A8" t="inlineStr">
        <is>
          <t>B1</t>
        </is>
      </c>
      <c r="B8" t="inlineStr"/>
      <c r="C8" t="inlineStr"/>
      <c r="D8" t="inlineStr">
        <is>
          <t>Leche entera</t>
        </is>
      </c>
      <c r="E8" s="22" t="n">
        <v>0.15</v>
      </c>
      <c r="F8" t="inlineStr">
        <is>
          <t>L</t>
        </is>
      </c>
      <c r="G8" s="9" t="n">
        <v>1</v>
      </c>
      <c r="H8" s="18" t="n">
        <v>0.03</v>
      </c>
      <c r="I8" s="23">
        <f>IFERROR(E8/(1-H8),"")</f>
        <v>0.15463917525773196</v>
      </c>
      <c r="J8" s="11">
        <f>IFERROR(VLOOKUP($D8,'Parámetros'!$A$41:$C$89,2,FALSE),"")</f>
        <v>1.1</v>
      </c>
      <c r="K8" t="inlineStr">
        <is>
          <t>L</t>
        </is>
      </c>
      <c r="L8" s="11">
        <f>IFERROR(I8/G8*J8,"")</f>
        <v>0.17010309278350516</v>
      </c>
    </row>
    <row r="9">
      <c r="A9" t="inlineStr">
        <is>
          <t>B1</t>
        </is>
      </c>
      <c r="B9" t="inlineStr"/>
      <c r="C9" t="inlineStr"/>
      <c r="D9" t="inlineStr">
        <is>
          <t>Azúcar</t>
        </is>
      </c>
      <c r="E9" s="22" t="n">
        <v>0.06</v>
      </c>
      <c r="F9" t="inlineStr">
        <is>
          <t>kg</t>
        </is>
      </c>
      <c r="G9" s="9" t="n">
        <v>1</v>
      </c>
      <c r="H9" s="18" t="n">
        <v>0.02</v>
      </c>
      <c r="I9" s="23">
        <f>IFERROR(E9/(1-H9),"")</f>
        <v>0.061224489795918366</v>
      </c>
      <c r="J9" s="11">
        <f>IFERROR(VLOOKUP($D9,'Parámetros'!$A$41:$C$89,2,FALSE),"")</f>
        <v>1.2</v>
      </c>
      <c r="K9" t="inlineStr">
        <is>
          <t>kg</t>
        </is>
      </c>
      <c r="L9" s="11">
        <f>IFERROR(I9/G9*J9,"")</f>
        <v>0.07346938775510203</v>
      </c>
    </row>
    <row r="10">
      <c r="A10" t="inlineStr">
        <is>
          <t>B1</t>
        </is>
      </c>
      <c r="B10" t="inlineStr"/>
      <c r="C10" t="inlineStr"/>
      <c r="D10" t="inlineStr">
        <is>
          <t>Levadura fresca</t>
        </is>
      </c>
      <c r="E10" s="22" t="n">
        <v>0.02</v>
      </c>
      <c r="F10" t="inlineStr">
        <is>
          <t>kg</t>
        </is>
      </c>
      <c r="G10" s="9" t="n">
        <v>1</v>
      </c>
      <c r="H10" s="18" t="n">
        <v>0.05</v>
      </c>
      <c r="I10" s="23">
        <f>IFERROR(E10/(1-H10),"")</f>
        <v>0.02105263157894737</v>
      </c>
      <c r="J10" s="11">
        <f>IFERROR(VLOOKUP($D10,'Parámetros'!$A$41:$C$89,2,FALSE),"")</f>
        <v>5.0</v>
      </c>
      <c r="K10" t="inlineStr">
        <is>
          <t>kg</t>
        </is>
      </c>
      <c r="L10" s="11">
        <f>IFERROR(I10/G10*J10,"")</f>
        <v>0.10526315789473686</v>
      </c>
    </row>
    <row r="11">
      <c r="A11" t="inlineStr">
        <is>
          <t>B1</t>
        </is>
      </c>
      <c r="B11" t="inlineStr"/>
      <c r="C11" t="inlineStr"/>
      <c r="D11" t="inlineStr">
        <is>
          <t>Sal</t>
        </is>
      </c>
      <c r="E11" s="22" t="n">
        <v>0.01</v>
      </c>
      <c r="F11" t="inlineStr">
        <is>
          <t>kg</t>
        </is>
      </c>
      <c r="G11" s="9" t="n">
        <v>1</v>
      </c>
      <c r="H11" s="18" t="n">
        <v>0.02</v>
      </c>
      <c r="I11" s="23">
        <f>IFERROR(E11/(1-H11),"")</f>
        <v>0.010204081632653062</v>
      </c>
      <c r="J11" s="11">
        <f>IFERROR(VLOOKUP($D11,'Parámetros'!$A$41:$C$89,2,FALSE),"")</f>
        <v>0.6</v>
      </c>
      <c r="K11" t="inlineStr">
        <is>
          <t>kg</t>
        </is>
      </c>
      <c r="L11" s="11">
        <f>IFERROR(I11/G11*J11,"")</f>
        <v>0.006122448979591837</v>
      </c>
    </row>
    <row r="12">
      <c r="A12" t="inlineStr">
        <is>
          <t>B1</t>
        </is>
      </c>
      <c r="B12" t="inlineStr"/>
      <c r="C12" t="inlineStr"/>
      <c r="D12" t="inlineStr">
        <is>
          <t>Huevo (para pintar)</t>
        </is>
      </c>
      <c r="E12" s="22" t="n">
        <v>1</v>
      </c>
      <c r="F12" t="inlineStr">
        <is>
          <t>ud</t>
        </is>
      </c>
      <c r="G12" s="9" t="n">
        <v>12</v>
      </c>
      <c r="H12" s="18" t="n">
        <v>0</v>
      </c>
      <c r="I12" s="23">
        <f>IFERROR(E12/(1-H12),"")</f>
        <v>1.0</v>
      </c>
      <c r="J12" s="11">
        <f>IFERROR(VLOOKUP($D12,'Parámetros'!$A$41:$C$89,2,FALSE),"")</f>
        <v>3.6</v>
      </c>
      <c r="K12" t="inlineStr">
        <is>
          <t>docena</t>
        </is>
      </c>
      <c r="L12" s="11">
        <f>IFERROR(I12/G12*J12,"")</f>
        <v>0.3</v>
      </c>
    </row>
    <row r="13">
      <c r="A13" t="inlineStr">
        <is>
          <t>B2</t>
        </is>
      </c>
      <c r="B13" t="inlineStr">
        <is>
          <t>Pain au chocolat</t>
        </is>
      </c>
      <c r="C13" t="inlineStr">
        <is>
          <t>Bollería</t>
        </is>
      </c>
      <c r="D13" t="inlineStr">
        <is>
          <t>Harina de fuerza</t>
        </is>
      </c>
      <c r="E13" s="22" t="n">
        <v>0.5</v>
      </c>
      <c r="F13" t="inlineStr">
        <is>
          <t>kg</t>
        </is>
      </c>
      <c r="G13" s="9" t="n">
        <v>1</v>
      </c>
      <c r="H13" s="18" t="n">
        <v>0.08</v>
      </c>
      <c r="I13" s="23">
        <f>IFERROR(E13/(1-H13),"")</f>
        <v>0.5434782608695652</v>
      </c>
      <c r="J13" s="11">
        <f>IFERROR(VLOOKUP($D13,'Parámetros'!$A$41:$C$89,2,FALSE),"")</f>
        <v>1.1</v>
      </c>
      <c r="K13" t="inlineStr">
        <is>
          <t>kg</t>
        </is>
      </c>
      <c r="L13" s="11">
        <f>IFERROR(I13/G13*J13,"")</f>
        <v>0.5978260869565217</v>
      </c>
      <c r="M13" s="12" t="inlineStr">
        <is>
          <t>supuesto (misma masa que B1, del kit, más dos barras por pieza)</t>
        </is>
      </c>
    </row>
    <row r="14">
      <c r="A14" t="inlineStr">
        <is>
          <t>B2</t>
        </is>
      </c>
      <c r="B14" t="inlineStr"/>
      <c r="C14" t="inlineStr"/>
      <c r="D14" t="inlineStr">
        <is>
          <t>Mantequilla seca (82% MG)</t>
        </is>
      </c>
      <c r="E14" s="22" t="n">
        <v>0.28</v>
      </c>
      <c r="F14" t="inlineStr">
        <is>
          <t>kg</t>
        </is>
      </c>
      <c r="G14" s="9" t="n">
        <v>1</v>
      </c>
      <c r="H14" s="18" t="n">
        <v>0.03</v>
      </c>
      <c r="I14" s="23">
        <f>IFERROR(E14/(1-H14),"")</f>
        <v>0.288659793814433</v>
      </c>
      <c r="J14" s="11">
        <f>IFERROR(VLOOKUP($D14,'Parámetros'!$A$41:$C$89,2,FALSE),"")</f>
        <v>12.0</v>
      </c>
      <c r="K14" t="inlineStr">
        <is>
          <t>kg</t>
        </is>
      </c>
      <c r="L14" s="11">
        <f>IFERROR(I14/G14*J14,"")</f>
        <v>3.463917525773196</v>
      </c>
    </row>
    <row r="15">
      <c r="A15" t="inlineStr">
        <is>
          <t>B2</t>
        </is>
      </c>
      <c r="B15" t="inlineStr"/>
      <c r="C15" t="inlineStr"/>
      <c r="D15" t="inlineStr">
        <is>
          <t>Leche entera</t>
        </is>
      </c>
      <c r="E15" s="22" t="n">
        <v>0.15</v>
      </c>
      <c r="F15" t="inlineStr">
        <is>
          <t>L</t>
        </is>
      </c>
      <c r="G15" s="9" t="n">
        <v>1</v>
      </c>
      <c r="H15" s="18" t="n">
        <v>0.03</v>
      </c>
      <c r="I15" s="23">
        <f>IFERROR(E15/(1-H15),"")</f>
        <v>0.15463917525773196</v>
      </c>
      <c r="J15" s="11">
        <f>IFERROR(VLOOKUP($D15,'Parámetros'!$A$41:$C$89,2,FALSE),"")</f>
        <v>1.1</v>
      </c>
      <c r="K15" t="inlineStr">
        <is>
          <t>L</t>
        </is>
      </c>
      <c r="L15" s="11">
        <f>IFERROR(I15/G15*J15,"")</f>
        <v>0.17010309278350516</v>
      </c>
    </row>
    <row r="16">
      <c r="A16" t="inlineStr">
        <is>
          <t>B2</t>
        </is>
      </c>
      <c r="B16" t="inlineStr"/>
      <c r="C16" t="inlineStr"/>
      <c r="D16" t="inlineStr">
        <is>
          <t>Azúcar</t>
        </is>
      </c>
      <c r="E16" s="22" t="n">
        <v>0.06</v>
      </c>
      <c r="F16" t="inlineStr">
        <is>
          <t>kg</t>
        </is>
      </c>
      <c r="G16" s="9" t="n">
        <v>1</v>
      </c>
      <c r="H16" s="18" t="n">
        <v>0.02</v>
      </c>
      <c r="I16" s="23">
        <f>IFERROR(E16/(1-H16),"")</f>
        <v>0.061224489795918366</v>
      </c>
      <c r="J16" s="11">
        <f>IFERROR(VLOOKUP($D16,'Parámetros'!$A$41:$C$89,2,FALSE),"")</f>
        <v>1.2</v>
      </c>
      <c r="K16" t="inlineStr">
        <is>
          <t>kg</t>
        </is>
      </c>
      <c r="L16" s="11">
        <f>IFERROR(I16/G16*J16,"")</f>
        <v>0.07346938775510203</v>
      </c>
    </row>
    <row r="17">
      <c r="A17" t="inlineStr">
        <is>
          <t>B2</t>
        </is>
      </c>
      <c r="B17" t="inlineStr"/>
      <c r="C17" t="inlineStr"/>
      <c r="D17" t="inlineStr">
        <is>
          <t>Levadura fresca</t>
        </is>
      </c>
      <c r="E17" s="22" t="n">
        <v>0.02</v>
      </c>
      <c r="F17" t="inlineStr">
        <is>
          <t>kg</t>
        </is>
      </c>
      <c r="G17" s="9" t="n">
        <v>1</v>
      </c>
      <c r="H17" s="18" t="n">
        <v>0.05</v>
      </c>
      <c r="I17" s="23">
        <f>IFERROR(E17/(1-H17),"")</f>
        <v>0.02105263157894737</v>
      </c>
      <c r="J17" s="11">
        <f>IFERROR(VLOOKUP($D17,'Parámetros'!$A$41:$C$89,2,FALSE),"")</f>
        <v>5.0</v>
      </c>
      <c r="K17" t="inlineStr">
        <is>
          <t>kg</t>
        </is>
      </c>
      <c r="L17" s="11">
        <f>IFERROR(I17/G17*J17,"")</f>
        <v>0.10526315789473686</v>
      </c>
    </row>
    <row r="18">
      <c r="A18" t="inlineStr">
        <is>
          <t>B2</t>
        </is>
      </c>
      <c r="B18" t="inlineStr"/>
      <c r="C18" t="inlineStr"/>
      <c r="D18" t="inlineStr">
        <is>
          <t>Sal</t>
        </is>
      </c>
      <c r="E18" s="22" t="n">
        <v>0.01</v>
      </c>
      <c r="F18" t="inlineStr">
        <is>
          <t>kg</t>
        </is>
      </c>
      <c r="G18" s="9" t="n">
        <v>1</v>
      </c>
      <c r="H18" s="18" t="n">
        <v>0.02</v>
      </c>
      <c r="I18" s="23">
        <f>IFERROR(E18/(1-H18),"")</f>
        <v>0.010204081632653062</v>
      </c>
      <c r="J18" s="11">
        <f>IFERROR(VLOOKUP($D18,'Parámetros'!$A$41:$C$89,2,FALSE),"")</f>
        <v>0.6</v>
      </c>
      <c r="K18" t="inlineStr">
        <is>
          <t>kg</t>
        </is>
      </c>
      <c r="L18" s="11">
        <f>IFERROR(I18/G18*J18,"")</f>
        <v>0.006122448979591837</v>
      </c>
    </row>
    <row r="19">
      <c r="A19" t="inlineStr">
        <is>
          <t>B2</t>
        </is>
      </c>
      <c r="B19" t="inlineStr"/>
      <c r="C19" t="inlineStr"/>
      <c r="D19" t="inlineStr">
        <is>
          <t>Chocolate negro 70%</t>
        </is>
      </c>
      <c r="E19" s="22" t="n">
        <v>0.2</v>
      </c>
      <c r="F19" t="inlineStr">
        <is>
          <t>kg</t>
        </is>
      </c>
      <c r="G19" s="9" t="n">
        <v>1</v>
      </c>
      <c r="H19" s="18" t="n">
        <v>0.02</v>
      </c>
      <c r="I19" s="23">
        <f>IFERROR(E19/(1-H19),"")</f>
        <v>0.20408163265306123</v>
      </c>
      <c r="J19" s="11">
        <f>IFERROR(VLOOKUP($D19,'Parámetros'!$A$41:$C$89,2,FALSE),"")</f>
        <v>18.0</v>
      </c>
      <c r="K19" t="inlineStr">
        <is>
          <t>kg</t>
        </is>
      </c>
      <c r="L19" s="11">
        <f>IFERROR(I19/G19*J19,"")</f>
        <v>3.673469387755102</v>
      </c>
    </row>
    <row r="20">
      <c r="A20" t="inlineStr">
        <is>
          <t>B2</t>
        </is>
      </c>
      <c r="B20" t="inlineStr"/>
      <c r="C20" t="inlineStr"/>
      <c r="D20" t="inlineStr">
        <is>
          <t>Huevo (para pintar)</t>
        </is>
      </c>
      <c r="E20" s="22" t="n">
        <v>1</v>
      </c>
      <c r="F20" t="inlineStr">
        <is>
          <t>ud</t>
        </is>
      </c>
      <c r="G20" s="9" t="n">
        <v>12</v>
      </c>
      <c r="H20" s="18" t="n">
        <v>0</v>
      </c>
      <c r="I20" s="23">
        <f>IFERROR(E20/(1-H20),"")</f>
        <v>1.0</v>
      </c>
      <c r="J20" s="11">
        <f>IFERROR(VLOOKUP($D20,'Parámetros'!$A$41:$C$89,2,FALSE),"")</f>
        <v>3.6</v>
      </c>
      <c r="K20" t="inlineStr">
        <is>
          <t>docena</t>
        </is>
      </c>
      <c r="L20" s="11">
        <f>IFERROR(I20/G20*J20,"")</f>
        <v>0.3</v>
      </c>
    </row>
    <row r="21">
      <c r="A21" t="inlineStr">
        <is>
          <t>B3</t>
        </is>
      </c>
      <c r="B21" t="inlineStr">
        <is>
          <t>Napolitana de crema</t>
        </is>
      </c>
      <c r="C21" t="inlineStr">
        <is>
          <t>Bollería</t>
        </is>
      </c>
      <c r="D21" t="inlineStr">
        <is>
          <t>Harina de fuerza</t>
        </is>
      </c>
      <c r="E21" s="22" t="n">
        <v>0.5</v>
      </c>
      <c r="F21" t="inlineStr">
        <is>
          <t>kg</t>
        </is>
      </c>
      <c r="G21" s="9" t="n">
        <v>1</v>
      </c>
      <c r="H21" s="18" t="n">
        <v>0.08</v>
      </c>
      <c r="I21" s="23">
        <f>IFERROR(E21/(1-H21),"")</f>
        <v>0.5434782608695652</v>
      </c>
      <c r="J21" s="11">
        <f>IFERROR(VLOOKUP($D21,'Parámetros'!$A$41:$C$89,2,FALSE),"")</f>
        <v>1.1</v>
      </c>
      <c r="K21" t="inlineStr">
        <is>
          <t>kg</t>
        </is>
      </c>
      <c r="L21" s="11">
        <f>IFERROR(I21/G21*J21,"")</f>
        <v>0.5978260869565217</v>
      </c>
      <c r="M21" s="12" t="inlineStr">
        <is>
          <t>supuesto (masa del kit más crema pastelera de ejemplo)</t>
        </is>
      </c>
    </row>
    <row r="22">
      <c r="A22" t="inlineStr">
        <is>
          <t>B3</t>
        </is>
      </c>
      <c r="B22" t="inlineStr"/>
      <c r="C22" t="inlineStr"/>
      <c r="D22" t="inlineStr">
        <is>
          <t>Mantequilla seca (82% MG)</t>
        </is>
      </c>
      <c r="E22" s="22" t="n">
        <v>0.28</v>
      </c>
      <c r="F22" t="inlineStr">
        <is>
          <t>kg</t>
        </is>
      </c>
      <c r="G22" s="9" t="n">
        <v>1</v>
      </c>
      <c r="H22" s="18" t="n">
        <v>0.03</v>
      </c>
      <c r="I22" s="23">
        <f>IFERROR(E22/(1-H22),"")</f>
        <v>0.288659793814433</v>
      </c>
      <c r="J22" s="11">
        <f>IFERROR(VLOOKUP($D22,'Parámetros'!$A$41:$C$89,2,FALSE),"")</f>
        <v>12.0</v>
      </c>
      <c r="K22" t="inlineStr">
        <is>
          <t>kg</t>
        </is>
      </c>
      <c r="L22" s="11">
        <f>IFERROR(I22/G22*J22,"")</f>
        <v>3.463917525773196</v>
      </c>
    </row>
    <row r="23">
      <c r="A23" t="inlineStr">
        <is>
          <t>B3</t>
        </is>
      </c>
      <c r="B23" t="inlineStr"/>
      <c r="C23" t="inlineStr"/>
      <c r="D23" t="inlineStr">
        <is>
          <t>Leche entera</t>
        </is>
      </c>
      <c r="E23" s="22" t="n">
        <v>0.15</v>
      </c>
      <c r="F23" t="inlineStr">
        <is>
          <t>L</t>
        </is>
      </c>
      <c r="G23" s="9" t="n">
        <v>1</v>
      </c>
      <c r="H23" s="18" t="n">
        <v>0.03</v>
      </c>
      <c r="I23" s="23">
        <f>IFERROR(E23/(1-H23),"")</f>
        <v>0.15463917525773196</v>
      </c>
      <c r="J23" s="11">
        <f>IFERROR(VLOOKUP($D23,'Parámetros'!$A$41:$C$89,2,FALSE),"")</f>
        <v>1.1</v>
      </c>
      <c r="K23" t="inlineStr">
        <is>
          <t>L</t>
        </is>
      </c>
      <c r="L23" s="11">
        <f>IFERROR(I23/G23*J23,"")</f>
        <v>0.17010309278350516</v>
      </c>
    </row>
    <row r="24">
      <c r="A24" t="inlineStr">
        <is>
          <t>B3</t>
        </is>
      </c>
      <c r="B24" t="inlineStr"/>
      <c r="C24" t="inlineStr"/>
      <c r="D24" t="inlineStr">
        <is>
          <t>Azúcar</t>
        </is>
      </c>
      <c r="E24" s="22" t="n">
        <v>0.06</v>
      </c>
      <c r="F24" t="inlineStr">
        <is>
          <t>kg</t>
        </is>
      </c>
      <c r="G24" s="9" t="n">
        <v>1</v>
      </c>
      <c r="H24" s="18" t="n">
        <v>0.02</v>
      </c>
      <c r="I24" s="23">
        <f>IFERROR(E24/(1-H24),"")</f>
        <v>0.061224489795918366</v>
      </c>
      <c r="J24" s="11">
        <f>IFERROR(VLOOKUP($D24,'Parámetros'!$A$41:$C$89,2,FALSE),"")</f>
        <v>1.2</v>
      </c>
      <c r="K24" t="inlineStr">
        <is>
          <t>kg</t>
        </is>
      </c>
      <c r="L24" s="11">
        <f>IFERROR(I24/G24*J24,"")</f>
        <v>0.07346938775510203</v>
      </c>
    </row>
    <row r="25">
      <c r="A25" t="inlineStr">
        <is>
          <t>B3</t>
        </is>
      </c>
      <c r="B25" t="inlineStr"/>
      <c r="C25" t="inlineStr"/>
      <c r="D25" t="inlineStr">
        <is>
          <t>Levadura fresca</t>
        </is>
      </c>
      <c r="E25" s="22" t="n">
        <v>0.02</v>
      </c>
      <c r="F25" t="inlineStr">
        <is>
          <t>kg</t>
        </is>
      </c>
      <c r="G25" s="9" t="n">
        <v>1</v>
      </c>
      <c r="H25" s="18" t="n">
        <v>0.05</v>
      </c>
      <c r="I25" s="23">
        <f>IFERROR(E25/(1-H25),"")</f>
        <v>0.02105263157894737</v>
      </c>
      <c r="J25" s="11">
        <f>IFERROR(VLOOKUP($D25,'Parámetros'!$A$41:$C$89,2,FALSE),"")</f>
        <v>5.0</v>
      </c>
      <c r="K25" t="inlineStr">
        <is>
          <t>kg</t>
        </is>
      </c>
      <c r="L25" s="11">
        <f>IFERROR(I25/G25*J25,"")</f>
        <v>0.10526315789473686</v>
      </c>
    </row>
    <row r="26">
      <c r="A26" t="inlineStr">
        <is>
          <t>B3</t>
        </is>
      </c>
      <c r="B26" t="inlineStr"/>
      <c r="C26" t="inlineStr"/>
      <c r="D26" t="inlineStr">
        <is>
          <t>Sal</t>
        </is>
      </c>
      <c r="E26" s="22" t="n">
        <v>0.01</v>
      </c>
      <c r="F26" t="inlineStr">
        <is>
          <t>kg</t>
        </is>
      </c>
      <c r="G26" s="9" t="n">
        <v>1</v>
      </c>
      <c r="H26" s="18" t="n">
        <v>0.02</v>
      </c>
      <c r="I26" s="23">
        <f>IFERROR(E26/(1-H26),"")</f>
        <v>0.010204081632653062</v>
      </c>
      <c r="J26" s="11">
        <f>IFERROR(VLOOKUP($D26,'Parámetros'!$A$41:$C$89,2,FALSE),"")</f>
        <v>0.6</v>
      </c>
      <c r="K26" t="inlineStr">
        <is>
          <t>kg</t>
        </is>
      </c>
      <c r="L26" s="11">
        <f>IFERROR(I26/G26*J26,"")</f>
        <v>0.006122448979591837</v>
      </c>
    </row>
    <row r="27">
      <c r="A27" t="inlineStr">
        <is>
          <t>B3</t>
        </is>
      </c>
      <c r="B27" t="inlineStr"/>
      <c r="C27" t="inlineStr"/>
      <c r="D27" t="inlineStr">
        <is>
          <t>Leche entera</t>
        </is>
      </c>
      <c r="E27" s="22" t="n">
        <v>0.6</v>
      </c>
      <c r="F27" t="inlineStr">
        <is>
          <t>L</t>
        </is>
      </c>
      <c r="G27" s="9" t="n">
        <v>1</v>
      </c>
      <c r="H27" s="18" t="n">
        <v>0.02</v>
      </c>
      <c r="I27" s="23">
        <f>IFERROR(E27/(1-H27),"")</f>
        <v>0.6122448979591837</v>
      </c>
      <c r="J27" s="11">
        <f>IFERROR(VLOOKUP($D27,'Parámetros'!$A$41:$C$89,2,FALSE),"")</f>
        <v>1.1</v>
      </c>
      <c r="K27" t="inlineStr">
        <is>
          <t>L</t>
        </is>
      </c>
      <c r="L27" s="11">
        <f>IFERROR(I27/G27*J27,"")</f>
        <v>0.6734693877551021</v>
      </c>
    </row>
    <row r="28">
      <c r="A28" t="inlineStr">
        <is>
          <t>B3</t>
        </is>
      </c>
      <c r="B28" t="inlineStr"/>
      <c r="C28" t="inlineStr"/>
      <c r="D28" t="inlineStr">
        <is>
          <t>Azúcar</t>
        </is>
      </c>
      <c r="E28" s="22" t="n">
        <v>0.14</v>
      </c>
      <c r="F28" t="inlineStr">
        <is>
          <t>kg</t>
        </is>
      </c>
      <c r="G28" s="9" t="n">
        <v>1</v>
      </c>
      <c r="H28" s="18" t="n">
        <v>0.02</v>
      </c>
      <c r="I28" s="23">
        <f>IFERROR(E28/(1-H28),"")</f>
        <v>0.14285714285714288</v>
      </c>
      <c r="J28" s="11">
        <f>IFERROR(VLOOKUP($D28,'Parámetros'!$A$41:$C$89,2,FALSE),"")</f>
        <v>1.2</v>
      </c>
      <c r="K28" t="inlineStr">
        <is>
          <t>kg</t>
        </is>
      </c>
      <c r="L28" s="11">
        <f>IFERROR(I28/G28*J28,"")</f>
        <v>0.17142857142857146</v>
      </c>
    </row>
    <row r="29">
      <c r="A29" t="inlineStr">
        <is>
          <t>B3</t>
        </is>
      </c>
      <c r="B29" t="inlineStr"/>
      <c r="C29" t="inlineStr"/>
      <c r="D29" t="inlineStr">
        <is>
          <t>Huevos (unidades)</t>
        </is>
      </c>
      <c r="E29" s="22" t="n">
        <v>4</v>
      </c>
      <c r="F29" t="inlineStr">
        <is>
          <t>ud</t>
        </is>
      </c>
      <c r="G29" s="9" t="n">
        <v>12</v>
      </c>
      <c r="H29" s="18" t="n">
        <v>0</v>
      </c>
      <c r="I29" s="23">
        <f>IFERROR(E29/(1-H29),"")</f>
        <v>4.0</v>
      </c>
      <c r="J29" s="11">
        <f>IFERROR(VLOOKUP($D29,'Parámetros'!$A$41:$C$89,2,FALSE),"")</f>
        <v>3.6</v>
      </c>
      <c r="K29" t="inlineStr">
        <is>
          <t>docena</t>
        </is>
      </c>
      <c r="L29" s="11">
        <f>IFERROR(I29/G29*J29,"")</f>
        <v>1.2</v>
      </c>
    </row>
    <row r="30">
      <c r="A30" t="inlineStr">
        <is>
          <t>B3</t>
        </is>
      </c>
      <c r="B30" t="inlineStr"/>
      <c r="C30" t="inlineStr"/>
      <c r="D30" t="inlineStr">
        <is>
          <t>Almidón de maíz</t>
        </is>
      </c>
      <c r="E30" s="22" t="n">
        <v>0.05</v>
      </c>
      <c r="F30" t="inlineStr">
        <is>
          <t>kg</t>
        </is>
      </c>
      <c r="G30" s="9" t="n">
        <v>1</v>
      </c>
      <c r="H30" s="18" t="n">
        <v>0.02</v>
      </c>
      <c r="I30" s="23">
        <f>IFERROR(E30/(1-H30),"")</f>
        <v>0.05102040816326531</v>
      </c>
      <c r="J30" s="11">
        <f>IFERROR(VLOOKUP($D30,'Parámetros'!$A$41:$C$89,2,FALSE),"")</f>
        <v>2.1</v>
      </c>
      <c r="K30" t="inlineStr">
        <is>
          <t>kg</t>
        </is>
      </c>
      <c r="L30" s="11">
        <f>IFERROR(I30/G30*J30,"")</f>
        <v>0.10714285714285715</v>
      </c>
    </row>
    <row r="31">
      <c r="A31" t="inlineStr">
        <is>
          <t>B3</t>
        </is>
      </c>
      <c r="B31" t="inlineStr"/>
      <c r="C31" t="inlineStr"/>
      <c r="D31" t="inlineStr">
        <is>
          <t>Vainilla en pasta</t>
        </is>
      </c>
      <c r="E31" s="22" t="n">
        <v>0.002</v>
      </c>
      <c r="F31" t="inlineStr">
        <is>
          <t>kg</t>
        </is>
      </c>
      <c r="G31" s="9" t="n">
        <v>1</v>
      </c>
      <c r="H31" s="18" t="n">
        <v>0</v>
      </c>
      <c r="I31" s="23">
        <f>IFERROR(E31/(1-H31),"")</f>
        <v>0.002</v>
      </c>
      <c r="J31" s="11">
        <f>IFERROR(VLOOKUP($D31,'Parámetros'!$A$41:$C$89,2,FALSE),"")</f>
        <v>92.0</v>
      </c>
      <c r="K31" t="inlineStr">
        <is>
          <t>kg</t>
        </is>
      </c>
      <c r="L31" s="11">
        <f>IFERROR(I31/G31*J31,"")</f>
        <v>0.184</v>
      </c>
    </row>
    <row r="32">
      <c r="A32" t="inlineStr">
        <is>
          <t>B3</t>
        </is>
      </c>
      <c r="B32" t="inlineStr"/>
      <c r="C32" t="inlineStr"/>
      <c r="D32" t="inlineStr">
        <is>
          <t>Huevo (para pintar)</t>
        </is>
      </c>
      <c r="E32" s="22" t="n">
        <v>1</v>
      </c>
      <c r="F32" t="inlineStr">
        <is>
          <t>ud</t>
        </is>
      </c>
      <c r="G32" s="9" t="n">
        <v>12</v>
      </c>
      <c r="H32" s="18" t="n">
        <v>0</v>
      </c>
      <c r="I32" s="23">
        <f>IFERROR(E32/(1-H32),"")</f>
        <v>1.0</v>
      </c>
      <c r="J32" s="11">
        <f>IFERROR(VLOOKUP($D32,'Parámetros'!$A$41:$C$89,2,FALSE),"")</f>
        <v>3.6</v>
      </c>
      <c r="K32" t="inlineStr">
        <is>
          <t>docena</t>
        </is>
      </c>
      <c r="L32" s="11">
        <f>IFERROR(I32/G32*J32,"")</f>
        <v>0.3</v>
      </c>
    </row>
    <row r="33">
      <c r="A33" t="inlineStr">
        <is>
          <t>B4</t>
        </is>
      </c>
      <c r="B33" t="inlineStr">
        <is>
          <t>Palmera de hojaldre</t>
        </is>
      </c>
      <c r="C33" t="inlineStr">
        <is>
          <t>Bollería</t>
        </is>
      </c>
      <c r="D33" t="inlineStr">
        <is>
          <t>Harina floja</t>
        </is>
      </c>
      <c r="E33" s="22" t="n">
        <v>0.45</v>
      </c>
      <c r="F33" t="inlineStr">
        <is>
          <t>kg</t>
        </is>
      </c>
      <c r="G33" s="9" t="n">
        <v>1</v>
      </c>
      <c r="H33" s="18" t="n">
        <v>0.08</v>
      </c>
      <c r="I33" s="23">
        <f>IFERROR(E33/(1-H33),"")</f>
        <v>0.4891304347826087</v>
      </c>
      <c r="J33" s="11">
        <f>IFERROR(VLOOKUP($D33,'Parámetros'!$A$41:$C$89,2,FALSE),"")</f>
        <v>0.9</v>
      </c>
      <c r="K33" t="inlineStr">
        <is>
          <t>kg</t>
        </is>
      </c>
      <c r="L33" s="11">
        <f>IFERROR(I33/G33*J33,"")</f>
        <v>0.44021739130434784</v>
      </c>
      <c r="M33" s="12" t="inlineStr">
        <is>
          <t>supuesto</t>
        </is>
      </c>
    </row>
    <row r="34">
      <c r="A34" t="inlineStr">
        <is>
          <t>B4</t>
        </is>
      </c>
      <c r="B34" t="inlineStr"/>
      <c r="C34" t="inlineStr"/>
      <c r="D34" t="inlineStr">
        <is>
          <t>Mantequilla seca (82% MG)</t>
        </is>
      </c>
      <c r="E34" s="22" t="n">
        <v>0.36</v>
      </c>
      <c r="F34" t="inlineStr">
        <is>
          <t>kg</t>
        </is>
      </c>
      <c r="G34" s="9" t="n">
        <v>1</v>
      </c>
      <c r="H34" s="18" t="n">
        <v>0.03</v>
      </c>
      <c r="I34" s="23">
        <f>IFERROR(E34/(1-H34),"")</f>
        <v>0.3711340206185567</v>
      </c>
      <c r="J34" s="11">
        <f>IFERROR(VLOOKUP($D34,'Parámetros'!$A$41:$C$89,2,FALSE),"")</f>
        <v>12.0</v>
      </c>
      <c r="K34" t="inlineStr">
        <is>
          <t>kg</t>
        </is>
      </c>
      <c r="L34" s="11">
        <f>IFERROR(I34/G34*J34,"")</f>
        <v>4.453608247422681</v>
      </c>
    </row>
    <row r="35">
      <c r="A35" t="inlineStr">
        <is>
          <t>B4</t>
        </is>
      </c>
      <c r="B35" t="inlineStr"/>
      <c r="C35" t="inlineStr"/>
      <c r="D35" t="inlineStr">
        <is>
          <t>Azúcar</t>
        </is>
      </c>
      <c r="E35" s="22" t="n">
        <v>0.3</v>
      </c>
      <c r="F35" t="inlineStr">
        <is>
          <t>kg</t>
        </is>
      </c>
      <c r="G35" s="9" t="n">
        <v>1</v>
      </c>
      <c r="H35" s="18" t="n">
        <v>0.02</v>
      </c>
      <c r="I35" s="23">
        <f>IFERROR(E35/(1-H35),"")</f>
        <v>0.30612244897959184</v>
      </c>
      <c r="J35" s="11">
        <f>IFERROR(VLOOKUP($D35,'Parámetros'!$A$41:$C$89,2,FALSE),"")</f>
        <v>1.2</v>
      </c>
      <c r="K35" t="inlineStr">
        <is>
          <t>kg</t>
        </is>
      </c>
      <c r="L35" s="11">
        <f>IFERROR(I35/G35*J35,"")</f>
        <v>0.3673469387755102</v>
      </c>
    </row>
    <row r="36">
      <c r="A36" t="inlineStr">
        <is>
          <t>B4</t>
        </is>
      </c>
      <c r="B36" t="inlineStr"/>
      <c r="C36" t="inlineStr"/>
      <c r="D36" t="inlineStr">
        <is>
          <t>Sal</t>
        </is>
      </c>
      <c r="E36" s="22" t="n">
        <v>0.01</v>
      </c>
      <c r="F36" t="inlineStr">
        <is>
          <t>kg</t>
        </is>
      </c>
      <c r="G36" s="9" t="n">
        <v>1</v>
      </c>
      <c r="H36" s="18" t="n">
        <v>0.02</v>
      </c>
      <c r="I36" s="23">
        <f>IFERROR(E36/(1-H36),"")</f>
        <v>0.010204081632653062</v>
      </c>
      <c r="J36" s="11">
        <f>IFERROR(VLOOKUP($D36,'Parámetros'!$A$41:$C$89,2,FALSE),"")</f>
        <v>0.6</v>
      </c>
      <c r="K36" t="inlineStr">
        <is>
          <t>kg</t>
        </is>
      </c>
      <c r="L36" s="11">
        <f>IFERROR(I36/G36*J36,"")</f>
        <v>0.006122448979591837</v>
      </c>
    </row>
    <row r="37">
      <c r="A37" t="inlineStr">
        <is>
          <t>B5</t>
        </is>
      </c>
      <c r="B37" t="inlineStr">
        <is>
          <t>Caracola de pasas</t>
        </is>
      </c>
      <c r="C37" t="inlineStr">
        <is>
          <t>Bollería</t>
        </is>
      </c>
      <c r="D37" t="inlineStr">
        <is>
          <t>Harina de fuerza</t>
        </is>
      </c>
      <c r="E37" s="22" t="n">
        <v>0.45</v>
      </c>
      <c r="F37" t="inlineStr">
        <is>
          <t>kg</t>
        </is>
      </c>
      <c r="G37" s="9" t="n">
        <v>1</v>
      </c>
      <c r="H37" s="18" t="n">
        <v>0.08</v>
      </c>
      <c r="I37" s="23">
        <f>IFERROR(E37/(1-H37),"")</f>
        <v>0.4891304347826087</v>
      </c>
      <c r="J37" s="11">
        <f>IFERROR(VLOOKUP($D37,'Parámetros'!$A$41:$C$89,2,FALSE),"")</f>
        <v>1.1</v>
      </c>
      <c r="K37" t="inlineStr">
        <is>
          <t>kg</t>
        </is>
      </c>
      <c r="L37" s="11">
        <f>IFERROR(I37/G37*J37,"")</f>
        <v>0.5380434782608696</v>
      </c>
      <c r="M37" s="12" t="inlineStr">
        <is>
          <t>supuesto</t>
        </is>
      </c>
    </row>
    <row r="38">
      <c r="A38" t="inlineStr">
        <is>
          <t>B5</t>
        </is>
      </c>
      <c r="B38" t="inlineStr"/>
      <c r="C38" t="inlineStr"/>
      <c r="D38" t="inlineStr">
        <is>
          <t>Mantequilla seca (82% MG)</t>
        </is>
      </c>
      <c r="E38" s="22" t="n">
        <v>0.22</v>
      </c>
      <c r="F38" t="inlineStr">
        <is>
          <t>kg</t>
        </is>
      </c>
      <c r="G38" s="9" t="n">
        <v>1</v>
      </c>
      <c r="H38" s="18" t="n">
        <v>0.03</v>
      </c>
      <c r="I38" s="23">
        <f>IFERROR(E38/(1-H38),"")</f>
        <v>0.2268041237113402</v>
      </c>
      <c r="J38" s="11">
        <f>IFERROR(VLOOKUP($D38,'Parámetros'!$A$41:$C$89,2,FALSE),"")</f>
        <v>12.0</v>
      </c>
      <c r="K38" t="inlineStr">
        <is>
          <t>kg</t>
        </is>
      </c>
      <c r="L38" s="11">
        <f>IFERROR(I38/G38*J38,"")</f>
        <v>2.7216494845360826</v>
      </c>
    </row>
    <row r="39">
      <c r="A39" t="inlineStr">
        <is>
          <t>B5</t>
        </is>
      </c>
      <c r="B39" t="inlineStr"/>
      <c r="C39" t="inlineStr"/>
      <c r="D39" t="inlineStr">
        <is>
          <t>Leche entera</t>
        </is>
      </c>
      <c r="E39" s="22" t="n">
        <v>0.14</v>
      </c>
      <c r="F39" t="inlineStr">
        <is>
          <t>L</t>
        </is>
      </c>
      <c r="G39" s="9" t="n">
        <v>1</v>
      </c>
      <c r="H39" s="18" t="n">
        <v>0.03</v>
      </c>
      <c r="I39" s="23">
        <f>IFERROR(E39/(1-H39),"")</f>
        <v>0.1443298969072165</v>
      </c>
      <c r="J39" s="11">
        <f>IFERROR(VLOOKUP($D39,'Parámetros'!$A$41:$C$89,2,FALSE),"")</f>
        <v>1.1</v>
      </c>
      <c r="K39" t="inlineStr">
        <is>
          <t>L</t>
        </is>
      </c>
      <c r="L39" s="11">
        <f>IFERROR(I39/G39*J39,"")</f>
        <v>0.15876288659793816</v>
      </c>
    </row>
    <row r="40">
      <c r="A40" t="inlineStr">
        <is>
          <t>B5</t>
        </is>
      </c>
      <c r="B40" t="inlineStr"/>
      <c r="C40" t="inlineStr"/>
      <c r="D40" t="inlineStr">
        <is>
          <t>Azúcar</t>
        </is>
      </c>
      <c r="E40" s="22" t="n">
        <v>0.05</v>
      </c>
      <c r="F40" t="inlineStr">
        <is>
          <t>kg</t>
        </is>
      </c>
      <c r="G40" s="9" t="n">
        <v>1</v>
      </c>
      <c r="H40" s="18" t="n">
        <v>0.02</v>
      </c>
      <c r="I40" s="23">
        <f>IFERROR(E40/(1-H40),"")</f>
        <v>0.05102040816326531</v>
      </c>
      <c r="J40" s="11">
        <f>IFERROR(VLOOKUP($D40,'Parámetros'!$A$41:$C$89,2,FALSE),"")</f>
        <v>1.2</v>
      </c>
      <c r="K40" t="inlineStr">
        <is>
          <t>kg</t>
        </is>
      </c>
      <c r="L40" s="11">
        <f>IFERROR(I40/G40*J40,"")</f>
        <v>0.061224489795918366</v>
      </c>
    </row>
    <row r="41">
      <c r="A41" t="inlineStr">
        <is>
          <t>B5</t>
        </is>
      </c>
      <c r="B41" t="inlineStr"/>
      <c r="C41" t="inlineStr"/>
      <c r="D41" t="inlineStr">
        <is>
          <t>Levadura fresca</t>
        </is>
      </c>
      <c r="E41" s="22" t="n">
        <v>0.018</v>
      </c>
      <c r="F41" t="inlineStr">
        <is>
          <t>kg</t>
        </is>
      </c>
      <c r="G41" s="9" t="n">
        <v>1</v>
      </c>
      <c r="H41" s="18" t="n">
        <v>0.05</v>
      </c>
      <c r="I41" s="23">
        <f>IFERROR(E41/(1-H41),"")</f>
        <v>0.01894736842105263</v>
      </c>
      <c r="J41" s="11">
        <f>IFERROR(VLOOKUP($D41,'Parámetros'!$A$41:$C$89,2,FALSE),"")</f>
        <v>5.0</v>
      </c>
      <c r="K41" t="inlineStr">
        <is>
          <t>kg</t>
        </is>
      </c>
      <c r="L41" s="11">
        <f>IFERROR(I41/G41*J41,"")</f>
        <v>0.09473684210526315</v>
      </c>
    </row>
    <row r="42">
      <c r="A42" t="inlineStr">
        <is>
          <t>B5</t>
        </is>
      </c>
      <c r="B42" t="inlineStr"/>
      <c r="C42" t="inlineStr"/>
      <c r="D42" t="inlineStr">
        <is>
          <t>Sal</t>
        </is>
      </c>
      <c r="E42" s="22" t="n">
        <v>0.008999999999999999</v>
      </c>
      <c r="F42" t="inlineStr">
        <is>
          <t>kg</t>
        </is>
      </c>
      <c r="G42" s="9" t="n">
        <v>1</v>
      </c>
      <c r="H42" s="18" t="n">
        <v>0.02</v>
      </c>
      <c r="I42" s="23">
        <f>IFERROR(E42/(1-H42),"")</f>
        <v>0.009183673469387754</v>
      </c>
      <c r="J42" s="11">
        <f>IFERROR(VLOOKUP($D42,'Parámetros'!$A$41:$C$89,2,FALSE),"")</f>
        <v>0.6</v>
      </c>
      <c r="K42" t="inlineStr">
        <is>
          <t>kg</t>
        </is>
      </c>
      <c r="L42" s="11">
        <f>IFERROR(I42/G42*J42,"")</f>
        <v>0.005510204081632652</v>
      </c>
    </row>
    <row r="43">
      <c r="A43" t="inlineStr">
        <is>
          <t>B5</t>
        </is>
      </c>
      <c r="B43" t="inlineStr"/>
      <c r="C43" t="inlineStr"/>
      <c r="D43" t="inlineStr">
        <is>
          <t>Pasas</t>
        </is>
      </c>
      <c r="E43" s="22" t="n">
        <v>0.15</v>
      </c>
      <c r="F43" t="inlineStr">
        <is>
          <t>kg</t>
        </is>
      </c>
      <c r="G43" s="9" t="n">
        <v>1</v>
      </c>
      <c r="H43" s="18" t="n">
        <v>0.02</v>
      </c>
      <c r="I43" s="23">
        <f>IFERROR(E43/(1-H43),"")</f>
        <v>0.15306122448979592</v>
      </c>
      <c r="J43" s="11">
        <f>IFERROR(VLOOKUP($D43,'Parámetros'!$A$41:$C$89,2,FALSE),"")</f>
        <v>5.2</v>
      </c>
      <c r="K43" t="inlineStr">
        <is>
          <t>kg</t>
        </is>
      </c>
      <c r="L43" s="11">
        <f>IFERROR(I43/G43*J43,"")</f>
        <v>0.7959183673469388</v>
      </c>
    </row>
    <row r="44">
      <c r="A44" t="inlineStr">
        <is>
          <t>B5</t>
        </is>
      </c>
      <c r="B44" t="inlineStr"/>
      <c r="C44" t="inlineStr"/>
      <c r="D44" t="inlineStr">
        <is>
          <t>Ron</t>
        </is>
      </c>
      <c r="E44" s="22" t="n">
        <v>0.03</v>
      </c>
      <c r="F44" t="inlineStr">
        <is>
          <t>L</t>
        </is>
      </c>
      <c r="G44" s="9" t="n">
        <v>1</v>
      </c>
      <c r="H44" s="18" t="n">
        <v>0</v>
      </c>
      <c r="I44" s="23">
        <f>IFERROR(E44/(1-H44),"")</f>
        <v>0.03</v>
      </c>
      <c r="J44" s="11">
        <f>IFERROR(VLOOKUP($D44,'Parámetros'!$A$41:$C$89,2,FALSE),"")</f>
        <v>9.8</v>
      </c>
      <c r="K44" t="inlineStr">
        <is>
          <t>L</t>
        </is>
      </c>
      <c r="L44" s="11">
        <f>IFERROR(I44/G44*J44,"")</f>
        <v>0.294</v>
      </c>
    </row>
    <row r="45">
      <c r="A45" t="inlineStr">
        <is>
          <t>B5</t>
        </is>
      </c>
      <c r="B45" t="inlineStr"/>
      <c r="C45" t="inlineStr"/>
      <c r="D45" t="inlineStr">
        <is>
          <t>Leche entera</t>
        </is>
      </c>
      <c r="E45" s="22" t="n">
        <v>0.35</v>
      </c>
      <c r="F45" t="inlineStr">
        <is>
          <t>L</t>
        </is>
      </c>
      <c r="G45" s="9" t="n">
        <v>1</v>
      </c>
      <c r="H45" s="18" t="n">
        <v>0.02</v>
      </c>
      <c r="I45" s="23">
        <f>IFERROR(E45/(1-H45),"")</f>
        <v>0.35714285714285715</v>
      </c>
      <c r="J45" s="11">
        <f>IFERROR(VLOOKUP($D45,'Parámetros'!$A$41:$C$89,2,FALSE),"")</f>
        <v>1.1</v>
      </c>
      <c r="K45" t="inlineStr">
        <is>
          <t>L</t>
        </is>
      </c>
      <c r="L45" s="11">
        <f>IFERROR(I45/G45*J45,"")</f>
        <v>0.3928571428571429</v>
      </c>
    </row>
    <row r="46">
      <c r="A46" t="inlineStr">
        <is>
          <t>B5</t>
        </is>
      </c>
      <c r="B46" t="inlineStr"/>
      <c r="C46" t="inlineStr"/>
      <c r="D46" t="inlineStr">
        <is>
          <t>Azúcar</t>
        </is>
      </c>
      <c r="E46" s="22" t="n">
        <v>0.08</v>
      </c>
      <c r="F46" t="inlineStr">
        <is>
          <t>kg</t>
        </is>
      </c>
      <c r="G46" s="9" t="n">
        <v>1</v>
      </c>
      <c r="H46" s="18" t="n">
        <v>0.02</v>
      </c>
      <c r="I46" s="23">
        <f>IFERROR(E46/(1-H46),"")</f>
        <v>0.0816326530612245</v>
      </c>
      <c r="J46" s="11">
        <f>IFERROR(VLOOKUP($D46,'Parámetros'!$A$41:$C$89,2,FALSE),"")</f>
        <v>1.2</v>
      </c>
      <c r="K46" t="inlineStr">
        <is>
          <t>kg</t>
        </is>
      </c>
      <c r="L46" s="11">
        <f>IFERROR(I46/G46*J46,"")</f>
        <v>0.0979591836734694</v>
      </c>
    </row>
    <row r="47">
      <c r="A47" t="inlineStr">
        <is>
          <t>B5</t>
        </is>
      </c>
      <c r="B47" t="inlineStr"/>
      <c r="C47" t="inlineStr"/>
      <c r="D47" t="inlineStr">
        <is>
          <t>Huevos (unidades)</t>
        </is>
      </c>
      <c r="E47" s="22" t="n">
        <v>2</v>
      </c>
      <c r="F47" t="inlineStr">
        <is>
          <t>ud</t>
        </is>
      </c>
      <c r="G47" s="9" t="n">
        <v>12</v>
      </c>
      <c r="H47" s="18" t="n">
        <v>0</v>
      </c>
      <c r="I47" s="23">
        <f>IFERROR(E47/(1-H47),"")</f>
        <v>2.0</v>
      </c>
      <c r="J47" s="11">
        <f>IFERROR(VLOOKUP($D47,'Parámetros'!$A$41:$C$89,2,FALSE),"")</f>
        <v>3.6</v>
      </c>
      <c r="K47" t="inlineStr">
        <is>
          <t>docena</t>
        </is>
      </c>
      <c r="L47" s="11">
        <f>IFERROR(I47/G47*J47,"")</f>
        <v>0.6</v>
      </c>
    </row>
    <row r="48">
      <c r="A48" t="inlineStr">
        <is>
          <t>B5</t>
        </is>
      </c>
      <c r="B48" t="inlineStr"/>
      <c r="C48" t="inlineStr"/>
      <c r="D48" t="inlineStr">
        <is>
          <t>Almidón de maíz</t>
        </is>
      </c>
      <c r="E48" s="22" t="n">
        <v>0.03</v>
      </c>
      <c r="F48" t="inlineStr">
        <is>
          <t>kg</t>
        </is>
      </c>
      <c r="G48" s="9" t="n">
        <v>1</v>
      </c>
      <c r="H48" s="18" t="n">
        <v>0.02</v>
      </c>
      <c r="I48" s="23">
        <f>IFERROR(E48/(1-H48),"")</f>
        <v>0.030612244897959183</v>
      </c>
      <c r="J48" s="11">
        <f>IFERROR(VLOOKUP($D48,'Parámetros'!$A$41:$C$89,2,FALSE),"")</f>
        <v>2.1</v>
      </c>
      <c r="K48" t="inlineStr">
        <is>
          <t>kg</t>
        </is>
      </c>
      <c r="L48" s="11">
        <f>IFERROR(I48/G48*J48,"")</f>
        <v>0.0642857142857143</v>
      </c>
    </row>
    <row r="49">
      <c r="A49" t="inlineStr">
        <is>
          <t>B5</t>
        </is>
      </c>
      <c r="B49" t="inlineStr"/>
      <c r="C49" t="inlineStr"/>
      <c r="D49" t="inlineStr">
        <is>
          <t>Huevo (para pintar)</t>
        </is>
      </c>
      <c r="E49" s="22" t="n">
        <v>1</v>
      </c>
      <c r="F49" t="inlineStr">
        <is>
          <t>ud</t>
        </is>
      </c>
      <c r="G49" s="9" t="n">
        <v>12</v>
      </c>
      <c r="H49" s="18" t="n">
        <v>0</v>
      </c>
      <c r="I49" s="23">
        <f>IFERROR(E49/(1-H49),"")</f>
        <v>1.0</v>
      </c>
      <c r="J49" s="11">
        <f>IFERROR(VLOOKUP($D49,'Parámetros'!$A$41:$C$89,2,FALSE),"")</f>
        <v>3.6</v>
      </c>
      <c r="K49" t="inlineStr">
        <is>
          <t>docena</t>
        </is>
      </c>
      <c r="L49" s="11">
        <f>IFERROR(I49/G49*J49,"")</f>
        <v>0.3</v>
      </c>
    </row>
    <row r="50">
      <c r="A50" t="inlineStr">
        <is>
          <t>B6</t>
        </is>
      </c>
      <c r="B50" t="inlineStr">
        <is>
          <t>Ensaimada</t>
        </is>
      </c>
      <c r="C50" t="inlineStr">
        <is>
          <t>Bollería</t>
        </is>
      </c>
      <c r="D50" t="inlineStr">
        <is>
          <t>Harina de fuerza</t>
        </is>
      </c>
      <c r="E50" s="22" t="n">
        <v>0.6</v>
      </c>
      <c r="F50" t="inlineStr">
        <is>
          <t>kg</t>
        </is>
      </c>
      <c r="G50" s="9" t="n">
        <v>1</v>
      </c>
      <c r="H50" s="18" t="n">
        <v>0.08</v>
      </c>
      <c r="I50" s="23">
        <f>IFERROR(E50/(1-H50),"")</f>
        <v>0.6521739130434782</v>
      </c>
      <c r="J50" s="11">
        <f>IFERROR(VLOOKUP($D50,'Parámetros'!$A$41:$C$89,2,FALSE),"")</f>
        <v>1.1</v>
      </c>
      <c r="K50" t="inlineStr">
        <is>
          <t>kg</t>
        </is>
      </c>
      <c r="L50" s="11">
        <f>IFERROR(I50/G50*J50,"")</f>
        <v>0.717391304347826</v>
      </c>
      <c r="M50" s="12" t="inlineStr">
        <is>
          <t>supuesto</t>
        </is>
      </c>
    </row>
    <row r="51">
      <c r="A51" t="inlineStr">
        <is>
          <t>B6</t>
        </is>
      </c>
      <c r="B51" t="inlineStr"/>
      <c r="C51" t="inlineStr"/>
      <c r="D51" t="inlineStr">
        <is>
          <t>Manteca de cerdo</t>
        </is>
      </c>
      <c r="E51" s="22" t="n">
        <v>0.2</v>
      </c>
      <c r="F51" t="inlineStr">
        <is>
          <t>kg</t>
        </is>
      </c>
      <c r="G51" s="9" t="n">
        <v>1</v>
      </c>
      <c r="H51" s="18" t="n">
        <v>0.03</v>
      </c>
      <c r="I51" s="23">
        <f>IFERROR(E51/(1-H51),"")</f>
        <v>0.2061855670103093</v>
      </c>
      <c r="J51" s="11">
        <f>IFERROR(VLOOKUP($D51,'Parámetros'!$A$41:$C$89,2,FALSE),"")</f>
        <v>4.4</v>
      </c>
      <c r="K51" t="inlineStr">
        <is>
          <t>kg</t>
        </is>
      </c>
      <c r="L51" s="11">
        <f>IFERROR(I51/G51*J51,"")</f>
        <v>0.9072164948453609</v>
      </c>
    </row>
    <row r="52">
      <c r="A52" t="inlineStr">
        <is>
          <t>B6</t>
        </is>
      </c>
      <c r="B52" t="inlineStr"/>
      <c r="C52" t="inlineStr"/>
      <c r="D52" t="inlineStr">
        <is>
          <t>Azúcar</t>
        </is>
      </c>
      <c r="E52" s="22" t="n">
        <v>0.12</v>
      </c>
      <c r="F52" t="inlineStr">
        <is>
          <t>kg</t>
        </is>
      </c>
      <c r="G52" s="9" t="n">
        <v>1</v>
      </c>
      <c r="H52" s="18" t="n">
        <v>0.02</v>
      </c>
      <c r="I52" s="23">
        <f>IFERROR(E52/(1-H52),"")</f>
        <v>0.12244897959183673</v>
      </c>
      <c r="J52" s="11">
        <f>IFERROR(VLOOKUP($D52,'Parámetros'!$A$41:$C$89,2,FALSE),"")</f>
        <v>1.2</v>
      </c>
      <c r="K52" t="inlineStr">
        <is>
          <t>kg</t>
        </is>
      </c>
      <c r="L52" s="11">
        <f>IFERROR(I52/G52*J52,"")</f>
        <v>0.14693877551020407</v>
      </c>
    </row>
    <row r="53">
      <c r="A53" t="inlineStr">
        <is>
          <t>B6</t>
        </is>
      </c>
      <c r="B53" t="inlineStr"/>
      <c r="C53" t="inlineStr"/>
      <c r="D53" t="inlineStr">
        <is>
          <t>Huevos (unidades)</t>
        </is>
      </c>
      <c r="E53" s="22" t="n">
        <v>3</v>
      </c>
      <c r="F53" t="inlineStr">
        <is>
          <t>ud</t>
        </is>
      </c>
      <c r="G53" s="9" t="n">
        <v>12</v>
      </c>
      <c r="H53" s="18" t="n">
        <v>0</v>
      </c>
      <c r="I53" s="23">
        <f>IFERROR(E53/(1-H53),"")</f>
        <v>3.0</v>
      </c>
      <c r="J53" s="11">
        <f>IFERROR(VLOOKUP($D53,'Parámetros'!$A$41:$C$89,2,FALSE),"")</f>
        <v>3.6</v>
      </c>
      <c r="K53" t="inlineStr">
        <is>
          <t>docena</t>
        </is>
      </c>
      <c r="L53" s="11">
        <f>IFERROR(I53/G53*J53,"")</f>
        <v>0.9</v>
      </c>
    </row>
    <row r="54">
      <c r="A54" t="inlineStr">
        <is>
          <t>B6</t>
        </is>
      </c>
      <c r="B54" t="inlineStr"/>
      <c r="C54" t="inlineStr"/>
      <c r="D54" t="inlineStr">
        <is>
          <t>Levadura fresca</t>
        </is>
      </c>
      <c r="E54" s="22" t="n">
        <v>0.02</v>
      </c>
      <c r="F54" t="inlineStr">
        <is>
          <t>kg</t>
        </is>
      </c>
      <c r="G54" s="9" t="n">
        <v>1</v>
      </c>
      <c r="H54" s="18" t="n">
        <v>0.05</v>
      </c>
      <c r="I54" s="23">
        <f>IFERROR(E54/(1-H54),"")</f>
        <v>0.02105263157894737</v>
      </c>
      <c r="J54" s="11">
        <f>IFERROR(VLOOKUP($D54,'Parámetros'!$A$41:$C$89,2,FALSE),"")</f>
        <v>5.0</v>
      </c>
      <c r="K54" t="inlineStr">
        <is>
          <t>kg</t>
        </is>
      </c>
      <c r="L54" s="11">
        <f>IFERROR(I54/G54*J54,"")</f>
        <v>0.10526315789473686</v>
      </c>
    </row>
    <row r="55">
      <c r="A55" t="inlineStr">
        <is>
          <t>B6</t>
        </is>
      </c>
      <c r="B55" t="inlineStr"/>
      <c r="C55" t="inlineStr"/>
      <c r="D55" t="inlineStr">
        <is>
          <t>Sal</t>
        </is>
      </c>
      <c r="E55" s="22" t="n">
        <v>0.008</v>
      </c>
      <c r="F55" t="inlineStr">
        <is>
          <t>kg</t>
        </is>
      </c>
      <c r="G55" s="9" t="n">
        <v>1</v>
      </c>
      <c r="H55" s="18" t="n">
        <v>0.02</v>
      </c>
      <c r="I55" s="23">
        <f>IFERROR(E55/(1-H55),"")</f>
        <v>0.00816326530612245</v>
      </c>
      <c r="J55" s="11">
        <f>IFERROR(VLOOKUP($D55,'Parámetros'!$A$41:$C$89,2,FALSE),"")</f>
        <v>0.6</v>
      </c>
      <c r="K55" t="inlineStr">
        <is>
          <t>kg</t>
        </is>
      </c>
      <c r="L55" s="11">
        <f>IFERROR(I55/G55*J55,"")</f>
        <v>0.00489795918367347</v>
      </c>
    </row>
    <row r="56">
      <c r="A56" t="inlineStr">
        <is>
          <t>B6</t>
        </is>
      </c>
      <c r="B56" t="inlineStr"/>
      <c r="C56" t="inlineStr"/>
      <c r="D56" t="inlineStr">
        <is>
          <t>Azúcar glas</t>
        </is>
      </c>
      <c r="E56" s="22" t="n">
        <v>0.04</v>
      </c>
      <c r="F56" t="inlineStr">
        <is>
          <t>kg</t>
        </is>
      </c>
      <c r="G56" s="9" t="n">
        <v>1</v>
      </c>
      <c r="H56" s="18" t="n">
        <v>0.02</v>
      </c>
      <c r="I56" s="23">
        <f>IFERROR(E56/(1-H56),"")</f>
        <v>0.04081632653061225</v>
      </c>
      <c r="J56" s="11">
        <f>IFERROR(VLOOKUP($D56,'Parámetros'!$A$41:$C$89,2,FALSE),"")</f>
        <v>2.5</v>
      </c>
      <c r="K56" t="inlineStr">
        <is>
          <t>kg</t>
        </is>
      </c>
      <c r="L56" s="11">
        <f>IFERROR(I56/G56*J56,"")</f>
        <v>0.10204081632653061</v>
      </c>
    </row>
    <row r="57">
      <c r="A57" t="inlineStr">
        <is>
          <t>PI1</t>
        </is>
      </c>
      <c r="B57" t="inlineStr">
        <is>
          <t>Milhojas</t>
        </is>
      </c>
      <c r="C57" t="inlineStr">
        <is>
          <t>Pastelería individual</t>
        </is>
      </c>
      <c r="D57" t="inlineStr">
        <is>
          <t>Harina floja</t>
        </is>
      </c>
      <c r="E57" s="22" t="n">
        <v>0.35</v>
      </c>
      <c r="F57" t="inlineStr">
        <is>
          <t>kg</t>
        </is>
      </c>
      <c r="G57" s="9" t="n">
        <v>1</v>
      </c>
      <c r="H57" s="18" t="n">
        <v>0.08</v>
      </c>
      <c r="I57" s="23">
        <f>IFERROR(E57/(1-H57),"")</f>
        <v>0.3804347826086956</v>
      </c>
      <c r="J57" s="11">
        <f>IFERROR(VLOOKUP($D57,'Parámetros'!$A$41:$C$89,2,FALSE),"")</f>
        <v>0.9</v>
      </c>
      <c r="K57" t="inlineStr">
        <is>
          <t>kg</t>
        </is>
      </c>
      <c r="L57" s="11">
        <f>IFERROR(I57/G57*J57,"")</f>
        <v>0.34239130434782605</v>
      </c>
      <c r="M57" s="12" t="inlineStr">
        <is>
          <t>supuesto</t>
        </is>
      </c>
    </row>
    <row r="58">
      <c r="A58" t="inlineStr">
        <is>
          <t>PI1</t>
        </is>
      </c>
      <c r="B58" t="inlineStr"/>
      <c r="C58" t="inlineStr"/>
      <c r="D58" t="inlineStr">
        <is>
          <t>Mantequilla seca (82% MG)</t>
        </is>
      </c>
      <c r="E58" s="22" t="n">
        <v>0.28</v>
      </c>
      <c r="F58" t="inlineStr">
        <is>
          <t>kg</t>
        </is>
      </c>
      <c r="G58" s="9" t="n">
        <v>1</v>
      </c>
      <c r="H58" s="18" t="n">
        <v>0.03</v>
      </c>
      <c r="I58" s="23">
        <f>IFERROR(E58/(1-H58),"")</f>
        <v>0.288659793814433</v>
      </c>
      <c r="J58" s="11">
        <f>IFERROR(VLOOKUP($D58,'Parámetros'!$A$41:$C$89,2,FALSE),"")</f>
        <v>12.0</v>
      </c>
      <c r="K58" t="inlineStr">
        <is>
          <t>kg</t>
        </is>
      </c>
      <c r="L58" s="11">
        <f>IFERROR(I58/G58*J58,"")</f>
        <v>3.463917525773196</v>
      </c>
    </row>
    <row r="59">
      <c r="A59" t="inlineStr">
        <is>
          <t>PI1</t>
        </is>
      </c>
      <c r="B59" t="inlineStr"/>
      <c r="C59" t="inlineStr"/>
      <c r="D59" t="inlineStr">
        <is>
          <t>Sal</t>
        </is>
      </c>
      <c r="E59" s="22" t="n">
        <v>0.008</v>
      </c>
      <c r="F59" t="inlineStr">
        <is>
          <t>kg</t>
        </is>
      </c>
      <c r="G59" s="9" t="n">
        <v>1</v>
      </c>
      <c r="H59" s="18" t="n">
        <v>0.02</v>
      </c>
      <c r="I59" s="23">
        <f>IFERROR(E59/(1-H59),"")</f>
        <v>0.00816326530612245</v>
      </c>
      <c r="J59" s="11">
        <f>IFERROR(VLOOKUP($D59,'Parámetros'!$A$41:$C$89,2,FALSE),"")</f>
        <v>0.6</v>
      </c>
      <c r="K59" t="inlineStr">
        <is>
          <t>kg</t>
        </is>
      </c>
      <c r="L59" s="11">
        <f>IFERROR(I59/G59*J59,"")</f>
        <v>0.00489795918367347</v>
      </c>
    </row>
    <row r="60">
      <c r="A60" t="inlineStr">
        <is>
          <t>PI1</t>
        </is>
      </c>
      <c r="B60" t="inlineStr"/>
      <c r="C60" t="inlineStr"/>
      <c r="D60" t="inlineStr">
        <is>
          <t>Leche entera</t>
        </is>
      </c>
      <c r="E60" s="22" t="n">
        <v>0.8</v>
      </c>
      <c r="F60" t="inlineStr">
        <is>
          <t>L</t>
        </is>
      </c>
      <c r="G60" s="9" t="n">
        <v>1</v>
      </c>
      <c r="H60" s="18" t="n">
        <v>0.02</v>
      </c>
      <c r="I60" s="23">
        <f>IFERROR(E60/(1-H60),"")</f>
        <v>0.8163265306122449</v>
      </c>
      <c r="J60" s="11">
        <f>IFERROR(VLOOKUP($D60,'Parámetros'!$A$41:$C$89,2,FALSE),"")</f>
        <v>1.1</v>
      </c>
      <c r="K60" t="inlineStr">
        <is>
          <t>L</t>
        </is>
      </c>
      <c r="L60" s="11">
        <f>IFERROR(I60/G60*J60,"")</f>
        <v>0.8979591836734695</v>
      </c>
    </row>
    <row r="61">
      <c r="A61" t="inlineStr">
        <is>
          <t>PI1</t>
        </is>
      </c>
      <c r="B61" t="inlineStr"/>
      <c r="C61" t="inlineStr"/>
      <c r="D61" t="inlineStr">
        <is>
          <t>Azúcar</t>
        </is>
      </c>
      <c r="E61" s="22" t="n">
        <v>0.18</v>
      </c>
      <c r="F61" t="inlineStr">
        <is>
          <t>kg</t>
        </is>
      </c>
      <c r="G61" s="9" t="n">
        <v>1</v>
      </c>
      <c r="H61" s="18" t="n">
        <v>0.02</v>
      </c>
      <c r="I61" s="23">
        <f>IFERROR(E61/(1-H61),"")</f>
        <v>0.1836734693877551</v>
      </c>
      <c r="J61" s="11">
        <f>IFERROR(VLOOKUP($D61,'Parámetros'!$A$41:$C$89,2,FALSE),"")</f>
        <v>1.2</v>
      </c>
      <c r="K61" t="inlineStr">
        <is>
          <t>kg</t>
        </is>
      </c>
      <c r="L61" s="11">
        <f>IFERROR(I61/G61*J61,"")</f>
        <v>0.22040816326530613</v>
      </c>
    </row>
    <row r="62">
      <c r="A62" t="inlineStr">
        <is>
          <t>PI1</t>
        </is>
      </c>
      <c r="B62" t="inlineStr"/>
      <c r="C62" t="inlineStr"/>
      <c r="D62" t="inlineStr">
        <is>
          <t>Huevos (unidades)</t>
        </is>
      </c>
      <c r="E62" s="22" t="n">
        <v>5</v>
      </c>
      <c r="F62" t="inlineStr">
        <is>
          <t>ud</t>
        </is>
      </c>
      <c r="G62" s="9" t="n">
        <v>12</v>
      </c>
      <c r="H62" s="18" t="n">
        <v>0</v>
      </c>
      <c r="I62" s="23">
        <f>IFERROR(E62/(1-H62),"")</f>
        <v>5.0</v>
      </c>
      <c r="J62" s="11">
        <f>IFERROR(VLOOKUP($D62,'Parámetros'!$A$41:$C$89,2,FALSE),"")</f>
        <v>3.6</v>
      </c>
      <c r="K62" t="inlineStr">
        <is>
          <t>docena</t>
        </is>
      </c>
      <c r="L62" s="11">
        <f>IFERROR(I62/G62*J62,"")</f>
        <v>1.5</v>
      </c>
    </row>
    <row r="63">
      <c r="A63" t="inlineStr">
        <is>
          <t>PI1</t>
        </is>
      </c>
      <c r="B63" t="inlineStr"/>
      <c r="C63" t="inlineStr"/>
      <c r="D63" t="inlineStr">
        <is>
          <t>Almidón de maíz</t>
        </is>
      </c>
      <c r="E63" s="22" t="n">
        <v>0.06</v>
      </c>
      <c r="F63" t="inlineStr">
        <is>
          <t>kg</t>
        </is>
      </c>
      <c r="G63" s="9" t="n">
        <v>1</v>
      </c>
      <c r="H63" s="18" t="n">
        <v>0.02</v>
      </c>
      <c r="I63" s="23">
        <f>IFERROR(E63/(1-H63),"")</f>
        <v>0.061224489795918366</v>
      </c>
      <c r="J63" s="11">
        <f>IFERROR(VLOOKUP($D63,'Parámetros'!$A$41:$C$89,2,FALSE),"")</f>
        <v>2.1</v>
      </c>
      <c r="K63" t="inlineStr">
        <is>
          <t>kg</t>
        </is>
      </c>
      <c r="L63" s="11">
        <f>IFERROR(I63/G63*J63,"")</f>
        <v>0.1285714285714286</v>
      </c>
    </row>
    <row r="64">
      <c r="A64" t="inlineStr">
        <is>
          <t>PI1</t>
        </is>
      </c>
      <c r="B64" t="inlineStr"/>
      <c r="C64" t="inlineStr"/>
      <c r="D64" t="inlineStr">
        <is>
          <t>Vainilla en pasta</t>
        </is>
      </c>
      <c r="E64" s="22" t="n">
        <v>0.002</v>
      </c>
      <c r="F64" t="inlineStr">
        <is>
          <t>kg</t>
        </is>
      </c>
      <c r="G64" s="9" t="n">
        <v>1</v>
      </c>
      <c r="H64" s="18" t="n">
        <v>0</v>
      </c>
      <c r="I64" s="23">
        <f>IFERROR(E64/(1-H64),"")</f>
        <v>0.002</v>
      </c>
      <c r="J64" s="11">
        <f>IFERROR(VLOOKUP($D64,'Parámetros'!$A$41:$C$89,2,FALSE),"")</f>
        <v>92.0</v>
      </c>
      <c r="K64" t="inlineStr">
        <is>
          <t>kg</t>
        </is>
      </c>
      <c r="L64" s="11">
        <f>IFERROR(I64/G64*J64,"")</f>
        <v>0.184</v>
      </c>
    </row>
    <row r="65">
      <c r="A65" t="inlineStr">
        <is>
          <t>PI1</t>
        </is>
      </c>
      <c r="B65" t="inlineStr"/>
      <c r="C65" t="inlineStr"/>
      <c r="D65" t="inlineStr">
        <is>
          <t>Nata 35% MG</t>
        </is>
      </c>
      <c r="E65" s="22" t="n">
        <v>0.3</v>
      </c>
      <c r="F65" t="inlineStr">
        <is>
          <t>L</t>
        </is>
      </c>
      <c r="G65" s="9" t="n">
        <v>1</v>
      </c>
      <c r="H65" s="18" t="n">
        <v>0.03</v>
      </c>
      <c r="I65" s="23">
        <f>IFERROR(E65/(1-H65),"")</f>
        <v>0.30927835051546393</v>
      </c>
      <c r="J65" s="11">
        <f>IFERROR(VLOOKUP($D65,'Parámetros'!$A$41:$C$89,2,FALSE),"")</f>
        <v>3.8</v>
      </c>
      <c r="K65" t="inlineStr">
        <is>
          <t>L</t>
        </is>
      </c>
      <c r="L65" s="11">
        <f>IFERROR(I65/G65*J65,"")</f>
        <v>1.175257731958763</v>
      </c>
    </row>
    <row r="66">
      <c r="A66" t="inlineStr">
        <is>
          <t>PI1</t>
        </is>
      </c>
      <c r="B66" t="inlineStr"/>
      <c r="C66" t="inlineStr"/>
      <c r="D66" t="inlineStr">
        <is>
          <t>Azúcar glas</t>
        </is>
      </c>
      <c r="E66" s="22" t="n">
        <v>0.05</v>
      </c>
      <c r="F66" t="inlineStr">
        <is>
          <t>kg</t>
        </is>
      </c>
      <c r="G66" s="9" t="n">
        <v>1</v>
      </c>
      <c r="H66" s="18" t="n">
        <v>0.02</v>
      </c>
      <c r="I66" s="23">
        <f>IFERROR(E66/(1-H66),"")</f>
        <v>0.05102040816326531</v>
      </c>
      <c r="J66" s="11">
        <f>IFERROR(VLOOKUP($D66,'Parámetros'!$A$41:$C$89,2,FALSE),"")</f>
        <v>2.5</v>
      </c>
      <c r="K66" t="inlineStr">
        <is>
          <t>kg</t>
        </is>
      </c>
      <c r="L66" s="11">
        <f>IFERROR(I66/G66*J66,"")</f>
        <v>0.12755102040816327</v>
      </c>
    </row>
    <row r="67">
      <c r="A67" t="inlineStr">
        <is>
          <t>PI2</t>
        </is>
      </c>
      <c r="B67" t="inlineStr">
        <is>
          <t>Éclair</t>
        </is>
      </c>
      <c r="C67" t="inlineStr">
        <is>
          <t>Pastelería individual</t>
        </is>
      </c>
      <c r="D67" t="inlineStr">
        <is>
          <t>Harina floja</t>
        </is>
      </c>
      <c r="E67" s="22" t="n">
        <v>0.18</v>
      </c>
      <c r="F67" t="inlineStr">
        <is>
          <t>kg</t>
        </is>
      </c>
      <c r="G67" s="9" t="n">
        <v>1</v>
      </c>
      <c r="H67" s="18" t="n">
        <v>0.08</v>
      </c>
      <c r="I67" s="23">
        <f>IFERROR(E67/(1-H67),"")</f>
        <v>0.19565217391304346</v>
      </c>
      <c r="J67" s="11">
        <f>IFERROR(VLOOKUP($D67,'Parámetros'!$A$41:$C$89,2,FALSE),"")</f>
        <v>0.9</v>
      </c>
      <c r="K67" t="inlineStr">
        <is>
          <t>kg</t>
        </is>
      </c>
      <c r="L67" s="11">
        <f>IFERROR(I67/G67*J67,"")</f>
        <v>0.1760869565217391</v>
      </c>
      <c r="M67" s="12" t="inlineStr">
        <is>
          <t>supuesto</t>
        </is>
      </c>
    </row>
    <row r="68">
      <c r="A68" t="inlineStr">
        <is>
          <t>PI2</t>
        </is>
      </c>
      <c r="B68" t="inlineStr"/>
      <c r="C68" t="inlineStr"/>
      <c r="D68" t="inlineStr">
        <is>
          <t>Mantequilla</t>
        </is>
      </c>
      <c r="E68" s="22" t="n">
        <v>0.14</v>
      </c>
      <c r="F68" t="inlineStr">
        <is>
          <t>kg</t>
        </is>
      </c>
      <c r="G68" s="9" t="n">
        <v>1</v>
      </c>
      <c r="H68" s="18" t="n">
        <v>0.03</v>
      </c>
      <c r="I68" s="23">
        <f>IFERROR(E68/(1-H68),"")</f>
        <v>0.1443298969072165</v>
      </c>
      <c r="J68" s="11">
        <f>IFERROR(VLOOKUP($D68,'Parámetros'!$A$41:$C$89,2,FALSE),"")</f>
        <v>9.0</v>
      </c>
      <c r="K68" t="inlineStr">
        <is>
          <t>kg</t>
        </is>
      </c>
      <c r="L68" s="11">
        <f>IFERROR(I68/G68*J68,"")</f>
        <v>1.2989690721649485</v>
      </c>
    </row>
    <row r="69">
      <c r="A69" t="inlineStr">
        <is>
          <t>PI2</t>
        </is>
      </c>
      <c r="B69" t="inlineStr"/>
      <c r="C69" t="inlineStr"/>
      <c r="D69" t="inlineStr">
        <is>
          <t>Huevos (unidades)</t>
        </is>
      </c>
      <c r="E69" s="22" t="n">
        <v>6</v>
      </c>
      <c r="F69" t="inlineStr">
        <is>
          <t>ud</t>
        </is>
      </c>
      <c r="G69" s="9" t="n">
        <v>12</v>
      </c>
      <c r="H69" s="18" t="n">
        <v>0</v>
      </c>
      <c r="I69" s="23">
        <f>IFERROR(E69/(1-H69),"")</f>
        <v>6.0</v>
      </c>
      <c r="J69" s="11">
        <f>IFERROR(VLOOKUP($D69,'Parámetros'!$A$41:$C$89,2,FALSE),"")</f>
        <v>3.6</v>
      </c>
      <c r="K69" t="inlineStr">
        <is>
          <t>docena</t>
        </is>
      </c>
      <c r="L69" s="11">
        <f>IFERROR(I69/G69*J69,"")</f>
        <v>1.8</v>
      </c>
    </row>
    <row r="70">
      <c r="A70" t="inlineStr">
        <is>
          <t>PI2</t>
        </is>
      </c>
      <c r="B70" t="inlineStr"/>
      <c r="C70" t="inlineStr"/>
      <c r="D70" t="inlineStr">
        <is>
          <t>Sal</t>
        </is>
      </c>
      <c r="E70" s="22" t="n">
        <v>0.004</v>
      </c>
      <c r="F70" t="inlineStr">
        <is>
          <t>kg</t>
        </is>
      </c>
      <c r="G70" s="9" t="n">
        <v>1</v>
      </c>
      <c r="H70" s="18" t="n">
        <v>0.02</v>
      </c>
      <c r="I70" s="23">
        <f>IFERROR(E70/(1-H70),"")</f>
        <v>0.004081632653061225</v>
      </c>
      <c r="J70" s="11">
        <f>IFERROR(VLOOKUP($D70,'Parámetros'!$A$41:$C$89,2,FALSE),"")</f>
        <v>0.6</v>
      </c>
      <c r="K70" t="inlineStr">
        <is>
          <t>kg</t>
        </is>
      </c>
      <c r="L70" s="11">
        <f>IFERROR(I70/G70*J70,"")</f>
        <v>0.002448979591836735</v>
      </c>
    </row>
    <row r="71">
      <c r="A71" t="inlineStr">
        <is>
          <t>PI2</t>
        </is>
      </c>
      <c r="B71" t="inlineStr"/>
      <c r="C71" t="inlineStr"/>
      <c r="D71" t="inlineStr">
        <is>
          <t>Leche entera</t>
        </is>
      </c>
      <c r="E71" s="22" t="n">
        <v>0.7</v>
      </c>
      <c r="F71" t="inlineStr">
        <is>
          <t>L</t>
        </is>
      </c>
      <c r="G71" s="9" t="n">
        <v>1</v>
      </c>
      <c r="H71" s="18" t="n">
        <v>0.02</v>
      </c>
      <c r="I71" s="23">
        <f>IFERROR(E71/(1-H71),"")</f>
        <v>0.7142857142857143</v>
      </c>
      <c r="J71" s="11">
        <f>IFERROR(VLOOKUP($D71,'Parámetros'!$A$41:$C$89,2,FALSE),"")</f>
        <v>1.1</v>
      </c>
      <c r="K71" t="inlineStr">
        <is>
          <t>L</t>
        </is>
      </c>
      <c r="L71" s="11">
        <f>IFERROR(I71/G71*J71,"")</f>
        <v>0.7857142857142858</v>
      </c>
    </row>
    <row r="72">
      <c r="A72" t="inlineStr">
        <is>
          <t>PI2</t>
        </is>
      </c>
      <c r="B72" t="inlineStr"/>
      <c r="C72" t="inlineStr"/>
      <c r="D72" t="inlineStr">
        <is>
          <t>Azúcar</t>
        </is>
      </c>
      <c r="E72" s="22" t="n">
        <v>0.16</v>
      </c>
      <c r="F72" t="inlineStr">
        <is>
          <t>kg</t>
        </is>
      </c>
      <c r="G72" s="9" t="n">
        <v>1</v>
      </c>
      <c r="H72" s="18" t="n">
        <v>0.02</v>
      </c>
      <c r="I72" s="23">
        <f>IFERROR(E72/(1-H72),"")</f>
        <v>0.163265306122449</v>
      </c>
      <c r="J72" s="11">
        <f>IFERROR(VLOOKUP($D72,'Parámetros'!$A$41:$C$89,2,FALSE),"")</f>
        <v>1.2</v>
      </c>
      <c r="K72" t="inlineStr">
        <is>
          <t>kg</t>
        </is>
      </c>
      <c r="L72" s="11">
        <f>IFERROR(I72/G72*J72,"")</f>
        <v>0.1959183673469388</v>
      </c>
    </row>
    <row r="73">
      <c r="A73" t="inlineStr">
        <is>
          <t>PI2</t>
        </is>
      </c>
      <c r="B73" t="inlineStr"/>
      <c r="C73" t="inlineStr"/>
      <c r="D73" t="inlineStr">
        <is>
          <t>Huevos (unidades)</t>
        </is>
      </c>
      <c r="E73" s="22" t="n">
        <v>4</v>
      </c>
      <c r="F73" t="inlineStr">
        <is>
          <t>ud</t>
        </is>
      </c>
      <c r="G73" s="9" t="n">
        <v>12</v>
      </c>
      <c r="H73" s="18" t="n">
        <v>0</v>
      </c>
      <c r="I73" s="23">
        <f>IFERROR(E73/(1-H73),"")</f>
        <v>4.0</v>
      </c>
      <c r="J73" s="11">
        <f>IFERROR(VLOOKUP($D73,'Parámetros'!$A$41:$C$89,2,FALSE),"")</f>
        <v>3.6</v>
      </c>
      <c r="K73" t="inlineStr">
        <is>
          <t>docena</t>
        </is>
      </c>
      <c r="L73" s="11">
        <f>IFERROR(I73/G73*J73,"")</f>
        <v>1.2</v>
      </c>
    </row>
    <row r="74">
      <c r="A74" t="inlineStr">
        <is>
          <t>PI2</t>
        </is>
      </c>
      <c r="B74" t="inlineStr"/>
      <c r="C74" t="inlineStr"/>
      <c r="D74" t="inlineStr">
        <is>
          <t>Almidón de maíz</t>
        </is>
      </c>
      <c r="E74" s="22" t="n">
        <v>0.055</v>
      </c>
      <c r="F74" t="inlineStr">
        <is>
          <t>kg</t>
        </is>
      </c>
      <c r="G74" s="9" t="n">
        <v>1</v>
      </c>
      <c r="H74" s="18" t="n">
        <v>0.02</v>
      </c>
      <c r="I74" s="23">
        <f>IFERROR(E74/(1-H74),"")</f>
        <v>0.05612244897959184</v>
      </c>
      <c r="J74" s="11">
        <f>IFERROR(VLOOKUP($D74,'Parámetros'!$A$41:$C$89,2,FALSE),"")</f>
        <v>2.1</v>
      </c>
      <c r="K74" t="inlineStr">
        <is>
          <t>kg</t>
        </is>
      </c>
      <c r="L74" s="11">
        <f>IFERROR(I74/G74*J74,"")</f>
        <v>0.11785714285714287</v>
      </c>
    </row>
    <row r="75">
      <c r="A75" t="inlineStr">
        <is>
          <t>PI2</t>
        </is>
      </c>
      <c r="B75" t="inlineStr"/>
      <c r="C75" t="inlineStr"/>
      <c r="D75" t="inlineStr">
        <is>
          <t>Vainilla en pasta</t>
        </is>
      </c>
      <c r="E75" s="22" t="n">
        <v>0.002</v>
      </c>
      <c r="F75" t="inlineStr">
        <is>
          <t>kg</t>
        </is>
      </c>
      <c r="G75" s="9" t="n">
        <v>1</v>
      </c>
      <c r="H75" s="18" t="n">
        <v>0</v>
      </c>
      <c r="I75" s="23">
        <f>IFERROR(E75/(1-H75),"")</f>
        <v>0.002</v>
      </c>
      <c r="J75" s="11">
        <f>IFERROR(VLOOKUP($D75,'Parámetros'!$A$41:$C$89,2,FALSE),"")</f>
        <v>92.0</v>
      </c>
      <c r="K75" t="inlineStr">
        <is>
          <t>kg</t>
        </is>
      </c>
      <c r="L75" s="11">
        <f>IFERROR(I75/G75*J75,"")</f>
        <v>0.184</v>
      </c>
    </row>
    <row r="76">
      <c r="A76" t="inlineStr">
        <is>
          <t>PI2</t>
        </is>
      </c>
      <c r="B76" t="inlineStr"/>
      <c r="C76" t="inlineStr"/>
      <c r="D76" t="inlineStr">
        <is>
          <t>Chocolate negro 70%</t>
        </is>
      </c>
      <c r="E76" s="22" t="n">
        <v>0.12</v>
      </c>
      <c r="F76" t="inlineStr">
        <is>
          <t>kg</t>
        </is>
      </c>
      <c r="G76" s="9" t="n">
        <v>1</v>
      </c>
      <c r="H76" s="18" t="n">
        <v>0.02</v>
      </c>
      <c r="I76" s="23">
        <f>IFERROR(E76/(1-H76),"")</f>
        <v>0.12244897959183673</v>
      </c>
      <c r="J76" s="11">
        <f>IFERROR(VLOOKUP($D76,'Parámetros'!$A$41:$C$89,2,FALSE),"")</f>
        <v>18.0</v>
      </c>
      <c r="K76" t="inlineStr">
        <is>
          <t>kg</t>
        </is>
      </c>
      <c r="L76" s="11">
        <f>IFERROR(I76/G76*J76,"")</f>
        <v>2.204081632653061</v>
      </c>
    </row>
    <row r="77">
      <c r="A77" t="inlineStr">
        <is>
          <t>PI2</t>
        </is>
      </c>
      <c r="B77" t="inlineStr"/>
      <c r="C77" t="inlineStr"/>
      <c r="D77" t="inlineStr">
        <is>
          <t>Azúcar glas</t>
        </is>
      </c>
      <c r="E77" s="22" t="n">
        <v>0.06</v>
      </c>
      <c r="F77" t="inlineStr">
        <is>
          <t>kg</t>
        </is>
      </c>
      <c r="G77" s="9" t="n">
        <v>1</v>
      </c>
      <c r="H77" s="18" t="n">
        <v>0.02</v>
      </c>
      <c r="I77" s="23">
        <f>IFERROR(E77/(1-H77),"")</f>
        <v>0.061224489795918366</v>
      </c>
      <c r="J77" s="11">
        <f>IFERROR(VLOOKUP($D77,'Parámetros'!$A$41:$C$89,2,FALSE),"")</f>
        <v>2.5</v>
      </c>
      <c r="K77" t="inlineStr">
        <is>
          <t>kg</t>
        </is>
      </c>
      <c r="L77" s="11">
        <f>IFERROR(I77/G77*J77,"")</f>
        <v>0.15306122448979592</v>
      </c>
    </row>
    <row r="78">
      <c r="A78" t="inlineStr">
        <is>
          <t>PI3</t>
        </is>
      </c>
      <c r="B78" t="inlineStr">
        <is>
          <t>Macarons de frambuesa</t>
        </is>
      </c>
      <c r="C78" t="inlineStr">
        <is>
          <t>Pastelería individual</t>
        </is>
      </c>
      <c r="D78" t="inlineStr">
        <is>
          <t>Harina de almendra</t>
        </is>
      </c>
      <c r="E78" s="22" t="n">
        <v>0.15</v>
      </c>
      <c r="F78" t="inlineStr">
        <is>
          <t>kg</t>
        </is>
      </c>
      <c r="G78" s="9" t="n">
        <v>1</v>
      </c>
      <c r="H78" s="18" t="n">
        <v>0.02</v>
      </c>
      <c r="I78" s="23">
        <f>IFERROR(E78/(1-H78),"")</f>
        <v>0.15306122448979592</v>
      </c>
      <c r="J78" s="11">
        <f>IFERROR(VLOOKUP($D78,'Parámetros'!$A$41:$C$89,2,FALSE),"")</f>
        <v>14.0</v>
      </c>
      <c r="K78" t="inlineStr">
        <is>
          <t>kg</t>
        </is>
      </c>
      <c r="L78" s="11">
        <f>IFERROR(I78/G78*J78,"")</f>
        <v>2.142857142857143</v>
      </c>
      <c r="M78" s="12" t="inlineStr">
        <is>
          <t>COPIA EXACTA de kit-escandallos/05-pasteleria.xlsx, hoja «Macarons». Mismo escandallo en los dos productos: un cliente con los dos no puede ver dos costes distintos de la misma pieza.</t>
        </is>
      </c>
    </row>
    <row r="79">
      <c r="A79" t="inlineStr">
        <is>
          <t>PI3</t>
        </is>
      </c>
      <c r="B79" t="inlineStr"/>
      <c r="C79" t="inlineStr"/>
      <c r="D79" t="inlineStr">
        <is>
          <t>Azúcar glas</t>
        </is>
      </c>
      <c r="E79" s="22" t="n">
        <v>0.15</v>
      </c>
      <c r="F79" t="inlineStr">
        <is>
          <t>kg</t>
        </is>
      </c>
      <c r="G79" s="9" t="n">
        <v>1</v>
      </c>
      <c r="H79" s="18" t="n">
        <v>0.02</v>
      </c>
      <c r="I79" s="23">
        <f>IFERROR(E79/(1-H79),"")</f>
        <v>0.15306122448979592</v>
      </c>
      <c r="J79" s="11">
        <f>IFERROR(VLOOKUP($D79,'Parámetros'!$A$41:$C$89,2,FALSE),"")</f>
        <v>2.5</v>
      </c>
      <c r="K79" t="inlineStr">
        <is>
          <t>kg</t>
        </is>
      </c>
      <c r="L79" s="11">
        <f>IFERROR(I79/G79*J79,"")</f>
        <v>0.38265306122448983</v>
      </c>
    </row>
    <row r="80">
      <c r="A80" t="inlineStr">
        <is>
          <t>PI3</t>
        </is>
      </c>
      <c r="B80" t="inlineStr"/>
      <c r="C80" t="inlineStr"/>
      <c r="D80" t="inlineStr">
        <is>
          <t>Claras de huevo</t>
        </is>
      </c>
      <c r="E80" s="22" t="n">
        <v>0.11</v>
      </c>
      <c r="F80" t="inlineStr">
        <is>
          <t>kg</t>
        </is>
      </c>
      <c r="G80" s="9" t="n">
        <v>1</v>
      </c>
      <c r="H80" s="18" t="n">
        <v>0.05</v>
      </c>
      <c r="I80" s="23">
        <f>IFERROR(E80/(1-H80),"")</f>
        <v>0.11578947368421053</v>
      </c>
      <c r="J80" s="11">
        <f>IFERROR(VLOOKUP($D80,'Parámetros'!$A$41:$C$89,2,FALSE),"")</f>
        <v>6.0</v>
      </c>
      <c r="K80" t="inlineStr">
        <is>
          <t>kg</t>
        </is>
      </c>
      <c r="L80" s="11">
        <f>IFERROR(I80/G80*J80,"")</f>
        <v>0.6947368421052631</v>
      </c>
    </row>
    <row r="81">
      <c r="A81" t="inlineStr">
        <is>
          <t>PI3</t>
        </is>
      </c>
      <c r="B81" t="inlineStr"/>
      <c r="C81" t="inlineStr"/>
      <c r="D81" t="inlineStr">
        <is>
          <t>Azúcar</t>
        </is>
      </c>
      <c r="E81" s="22" t="n">
        <v>0.15</v>
      </c>
      <c r="F81" t="inlineStr">
        <is>
          <t>kg</t>
        </is>
      </c>
      <c r="G81" s="9" t="n">
        <v>1</v>
      </c>
      <c r="H81" s="18" t="n">
        <v>0.02</v>
      </c>
      <c r="I81" s="23">
        <f>IFERROR(E81/(1-H81),"")</f>
        <v>0.15306122448979592</v>
      </c>
      <c r="J81" s="11">
        <f>IFERROR(VLOOKUP($D81,'Parámetros'!$A$41:$C$89,2,FALSE),"")</f>
        <v>1.2</v>
      </c>
      <c r="K81" t="inlineStr">
        <is>
          <t>kg</t>
        </is>
      </c>
      <c r="L81" s="11">
        <f>IFERROR(I81/G81*J81,"")</f>
        <v>0.1836734693877551</v>
      </c>
    </row>
    <row r="82">
      <c r="A82" t="inlineStr">
        <is>
          <t>PI3</t>
        </is>
      </c>
      <c r="B82" t="inlineStr"/>
      <c r="C82" t="inlineStr"/>
      <c r="D82" t="inlineStr">
        <is>
          <t>Frambuesa congelada</t>
        </is>
      </c>
      <c r="E82" s="22" t="n">
        <v>0.1</v>
      </c>
      <c r="F82" t="inlineStr">
        <is>
          <t>kg</t>
        </is>
      </c>
      <c r="G82" s="9" t="n">
        <v>1</v>
      </c>
      <c r="H82" s="18" t="n">
        <v>0.07000000000000001</v>
      </c>
      <c r="I82" s="23">
        <f>IFERROR(E82/(1-H82),"")</f>
        <v>0.10752688172043012</v>
      </c>
      <c r="J82" s="11">
        <f>IFERROR(VLOOKUP($D82,'Parámetros'!$A$41:$C$89,2,FALSE),"")</f>
        <v>9.0</v>
      </c>
      <c r="K82" t="inlineStr">
        <is>
          <t>kg</t>
        </is>
      </c>
      <c r="L82" s="11">
        <f>IFERROR(I82/G82*J82,"")</f>
        <v>0.9677419354838711</v>
      </c>
    </row>
    <row r="83">
      <c r="A83" t="inlineStr">
        <is>
          <t>PI3</t>
        </is>
      </c>
      <c r="B83" t="inlineStr"/>
      <c r="C83" t="inlineStr"/>
      <c r="D83" t="inlineStr">
        <is>
          <t>Chocolate blanco</t>
        </is>
      </c>
      <c r="E83" s="22" t="n">
        <v>0.08</v>
      </c>
      <c r="F83" t="inlineStr">
        <is>
          <t>kg</t>
        </is>
      </c>
      <c r="G83" s="9" t="n">
        <v>1</v>
      </c>
      <c r="H83" s="18" t="n">
        <v>0.12</v>
      </c>
      <c r="I83" s="23">
        <f>IFERROR(E83/(1-H83),"")</f>
        <v>0.09090909090909091</v>
      </c>
      <c r="J83" s="11">
        <f>IFERROR(VLOOKUP($D83,'Parámetros'!$A$41:$C$89,2,FALSE),"")</f>
        <v>15.0</v>
      </c>
      <c r="K83" t="inlineStr">
        <is>
          <t>kg</t>
        </is>
      </c>
      <c r="L83" s="11">
        <f>IFERROR(I83/G83*J83,"")</f>
        <v>1.3636363636363638</v>
      </c>
    </row>
    <row r="84">
      <c r="A84" t="inlineStr">
        <is>
          <t>PI3</t>
        </is>
      </c>
      <c r="B84" t="inlineStr"/>
      <c r="C84" t="inlineStr"/>
      <c r="D84" t="inlineStr">
        <is>
          <t>Colorante rojo (bote 50 g · 2 g/tanda)</t>
        </is>
      </c>
      <c r="E84" s="22" t="n">
        <v>0.04</v>
      </c>
      <c r="F84" t="inlineStr">
        <is>
          <t>ud</t>
        </is>
      </c>
      <c r="G84" s="9" t="n">
        <v>1</v>
      </c>
      <c r="H84" s="18" t="n">
        <v>0</v>
      </c>
      <c r="I84" s="23">
        <f>IFERROR(E84/(1-H84),"")</f>
        <v>0.04</v>
      </c>
      <c r="J84" s="11">
        <f>IFERROR(VLOOKUP($D84,'Parámetros'!$A$41:$C$89,2,FALSE),"")</f>
        <v>4.0</v>
      </c>
      <c r="K84" t="inlineStr">
        <is>
          <t>ud</t>
        </is>
      </c>
      <c r="L84" s="11">
        <f>IFERROR(I84/G84*J84,"")</f>
        <v>0.16</v>
      </c>
    </row>
    <row r="85">
      <c r="A85" t="inlineStr">
        <is>
          <t>PI4</t>
        </is>
      </c>
      <c r="B85" t="inlineStr">
        <is>
          <t>Tartaleta de frutas</t>
        </is>
      </c>
      <c r="C85" t="inlineStr">
        <is>
          <t>Pastelería individual</t>
        </is>
      </c>
      <c r="D85" t="inlineStr">
        <is>
          <t>Harina floja</t>
        </is>
      </c>
      <c r="E85" s="22" t="n">
        <v>0.4</v>
      </c>
      <c r="F85" t="inlineStr">
        <is>
          <t>kg</t>
        </is>
      </c>
      <c r="G85" s="9" t="n">
        <v>1</v>
      </c>
      <c r="H85" s="18" t="n">
        <v>0.08</v>
      </c>
      <c r="I85" s="23">
        <f>IFERROR(E85/(1-H85),"")</f>
        <v>0.43478260869565216</v>
      </c>
      <c r="J85" s="11">
        <f>IFERROR(VLOOKUP($D85,'Parámetros'!$A$41:$C$89,2,FALSE),"")</f>
        <v>0.9</v>
      </c>
      <c r="K85" t="inlineStr">
        <is>
          <t>kg</t>
        </is>
      </c>
      <c r="L85" s="11">
        <f>IFERROR(I85/G85*J85,"")</f>
        <v>0.391304347826087</v>
      </c>
      <c r="M85" s="12" t="inlineStr">
        <is>
          <t>supuesto</t>
        </is>
      </c>
    </row>
    <row r="86">
      <c r="A86" t="inlineStr">
        <is>
          <t>PI4</t>
        </is>
      </c>
      <c r="B86" t="inlineStr"/>
      <c r="C86" t="inlineStr"/>
      <c r="D86" t="inlineStr">
        <is>
          <t>Mantequilla</t>
        </is>
      </c>
      <c r="E86" s="22" t="n">
        <v>0.2</v>
      </c>
      <c r="F86" t="inlineStr">
        <is>
          <t>kg</t>
        </is>
      </c>
      <c r="G86" s="9" t="n">
        <v>1</v>
      </c>
      <c r="H86" s="18" t="n">
        <v>0.03</v>
      </c>
      <c r="I86" s="23">
        <f>IFERROR(E86/(1-H86),"")</f>
        <v>0.2061855670103093</v>
      </c>
      <c r="J86" s="11">
        <f>IFERROR(VLOOKUP($D86,'Parámetros'!$A$41:$C$89,2,FALSE),"")</f>
        <v>9.0</v>
      </c>
      <c r="K86" t="inlineStr">
        <is>
          <t>kg</t>
        </is>
      </c>
      <c r="L86" s="11">
        <f>IFERROR(I86/G86*J86,"")</f>
        <v>1.8556701030927836</v>
      </c>
    </row>
    <row r="87">
      <c r="A87" t="inlineStr">
        <is>
          <t>PI4</t>
        </is>
      </c>
      <c r="B87" t="inlineStr"/>
      <c r="C87" t="inlineStr"/>
      <c r="D87" t="inlineStr">
        <is>
          <t>Azúcar glas</t>
        </is>
      </c>
      <c r="E87" s="22" t="n">
        <v>0.12</v>
      </c>
      <c r="F87" t="inlineStr">
        <is>
          <t>kg</t>
        </is>
      </c>
      <c r="G87" s="9" t="n">
        <v>1</v>
      </c>
      <c r="H87" s="18" t="n">
        <v>0.02</v>
      </c>
      <c r="I87" s="23">
        <f>IFERROR(E87/(1-H87),"")</f>
        <v>0.12244897959183673</v>
      </c>
      <c r="J87" s="11">
        <f>IFERROR(VLOOKUP($D87,'Parámetros'!$A$41:$C$89,2,FALSE),"")</f>
        <v>2.5</v>
      </c>
      <c r="K87" t="inlineStr">
        <is>
          <t>kg</t>
        </is>
      </c>
      <c r="L87" s="11">
        <f>IFERROR(I87/G87*J87,"")</f>
        <v>0.30612244897959184</v>
      </c>
    </row>
    <row r="88">
      <c r="A88" t="inlineStr">
        <is>
          <t>PI4</t>
        </is>
      </c>
      <c r="B88" t="inlineStr"/>
      <c r="C88" t="inlineStr"/>
      <c r="D88" t="inlineStr">
        <is>
          <t>Huevos (unidades)</t>
        </is>
      </c>
      <c r="E88" s="22" t="n">
        <v>2</v>
      </c>
      <c r="F88" t="inlineStr">
        <is>
          <t>ud</t>
        </is>
      </c>
      <c r="G88" s="9" t="n">
        <v>12</v>
      </c>
      <c r="H88" s="18" t="n">
        <v>0</v>
      </c>
      <c r="I88" s="23">
        <f>IFERROR(E88/(1-H88),"")</f>
        <v>2.0</v>
      </c>
      <c r="J88" s="11">
        <f>IFERROR(VLOOKUP($D88,'Parámetros'!$A$41:$C$89,2,FALSE),"")</f>
        <v>3.6</v>
      </c>
      <c r="K88" t="inlineStr">
        <is>
          <t>docena</t>
        </is>
      </c>
      <c r="L88" s="11">
        <f>IFERROR(I88/G88*J88,"")</f>
        <v>0.6</v>
      </c>
    </row>
    <row r="89">
      <c r="A89" t="inlineStr">
        <is>
          <t>PI4</t>
        </is>
      </c>
      <c r="B89" t="inlineStr"/>
      <c r="C89" t="inlineStr"/>
      <c r="D89" t="inlineStr">
        <is>
          <t>Sal</t>
        </is>
      </c>
      <c r="E89" s="22" t="n">
        <v>0.004</v>
      </c>
      <c r="F89" t="inlineStr">
        <is>
          <t>kg</t>
        </is>
      </c>
      <c r="G89" s="9" t="n">
        <v>1</v>
      </c>
      <c r="H89" s="18" t="n">
        <v>0.02</v>
      </c>
      <c r="I89" s="23">
        <f>IFERROR(E89/(1-H89),"")</f>
        <v>0.004081632653061225</v>
      </c>
      <c r="J89" s="11">
        <f>IFERROR(VLOOKUP($D89,'Parámetros'!$A$41:$C$89,2,FALSE),"")</f>
        <v>0.6</v>
      </c>
      <c r="K89" t="inlineStr">
        <is>
          <t>kg</t>
        </is>
      </c>
      <c r="L89" s="11">
        <f>IFERROR(I89/G89*J89,"")</f>
        <v>0.002448979591836735</v>
      </c>
    </row>
    <row r="90">
      <c r="A90" t="inlineStr">
        <is>
          <t>PI4</t>
        </is>
      </c>
      <c r="B90" t="inlineStr"/>
      <c r="C90" t="inlineStr"/>
      <c r="D90" t="inlineStr">
        <is>
          <t>Leche entera</t>
        </is>
      </c>
      <c r="E90" s="22" t="n">
        <v>0.5</v>
      </c>
      <c r="F90" t="inlineStr">
        <is>
          <t>L</t>
        </is>
      </c>
      <c r="G90" s="9" t="n">
        <v>1</v>
      </c>
      <c r="H90" s="18" t="n">
        <v>0.02</v>
      </c>
      <c r="I90" s="23">
        <f>IFERROR(E90/(1-H90),"")</f>
        <v>0.5102040816326531</v>
      </c>
      <c r="J90" s="11">
        <f>IFERROR(VLOOKUP($D90,'Parámetros'!$A$41:$C$89,2,FALSE),"")</f>
        <v>1.1</v>
      </c>
      <c r="K90" t="inlineStr">
        <is>
          <t>L</t>
        </is>
      </c>
      <c r="L90" s="11">
        <f>IFERROR(I90/G90*J90,"")</f>
        <v>0.5612244897959184</v>
      </c>
    </row>
    <row r="91">
      <c r="A91" t="inlineStr">
        <is>
          <t>PI4</t>
        </is>
      </c>
      <c r="B91" t="inlineStr"/>
      <c r="C91" t="inlineStr"/>
      <c r="D91" t="inlineStr">
        <is>
          <t>Azúcar</t>
        </is>
      </c>
      <c r="E91" s="22" t="n">
        <v>0.11</v>
      </c>
      <c r="F91" t="inlineStr">
        <is>
          <t>kg</t>
        </is>
      </c>
      <c r="G91" s="9" t="n">
        <v>1</v>
      </c>
      <c r="H91" s="18" t="n">
        <v>0.02</v>
      </c>
      <c r="I91" s="23">
        <f>IFERROR(E91/(1-H91),"")</f>
        <v>0.11224489795918367</v>
      </c>
      <c r="J91" s="11">
        <f>IFERROR(VLOOKUP($D91,'Parámetros'!$A$41:$C$89,2,FALSE),"")</f>
        <v>1.2</v>
      </c>
      <c r="K91" t="inlineStr">
        <is>
          <t>kg</t>
        </is>
      </c>
      <c r="L91" s="11">
        <f>IFERROR(I91/G91*J91,"")</f>
        <v>0.1346938775510204</v>
      </c>
    </row>
    <row r="92">
      <c r="A92" t="inlineStr">
        <is>
          <t>PI4</t>
        </is>
      </c>
      <c r="B92" t="inlineStr"/>
      <c r="C92" t="inlineStr"/>
      <c r="D92" t="inlineStr">
        <is>
          <t>Huevos (unidades)</t>
        </is>
      </c>
      <c r="E92" s="22" t="n">
        <v>3</v>
      </c>
      <c r="F92" t="inlineStr">
        <is>
          <t>ud</t>
        </is>
      </c>
      <c r="G92" s="9" t="n">
        <v>12</v>
      </c>
      <c r="H92" s="18" t="n">
        <v>0</v>
      </c>
      <c r="I92" s="23">
        <f>IFERROR(E92/(1-H92),"")</f>
        <v>3.0</v>
      </c>
      <c r="J92" s="11">
        <f>IFERROR(VLOOKUP($D92,'Parámetros'!$A$41:$C$89,2,FALSE),"")</f>
        <v>3.6</v>
      </c>
      <c r="K92" t="inlineStr">
        <is>
          <t>docena</t>
        </is>
      </c>
      <c r="L92" s="11">
        <f>IFERROR(I92/G92*J92,"")</f>
        <v>0.9</v>
      </c>
    </row>
    <row r="93">
      <c r="A93" t="inlineStr">
        <is>
          <t>PI4</t>
        </is>
      </c>
      <c r="B93" t="inlineStr"/>
      <c r="C93" t="inlineStr"/>
      <c r="D93" t="inlineStr">
        <is>
          <t>Almidón de maíz</t>
        </is>
      </c>
      <c r="E93" s="22" t="n">
        <v>0.04</v>
      </c>
      <c r="F93" t="inlineStr">
        <is>
          <t>kg</t>
        </is>
      </c>
      <c r="G93" s="9" t="n">
        <v>1</v>
      </c>
      <c r="H93" s="18" t="n">
        <v>0.02</v>
      </c>
      <c r="I93" s="23">
        <f>IFERROR(E93/(1-H93),"")</f>
        <v>0.04081632653061225</v>
      </c>
      <c r="J93" s="11">
        <f>IFERROR(VLOOKUP($D93,'Parámetros'!$A$41:$C$89,2,FALSE),"")</f>
        <v>2.1</v>
      </c>
      <c r="K93" t="inlineStr">
        <is>
          <t>kg</t>
        </is>
      </c>
      <c r="L93" s="11">
        <f>IFERROR(I93/G93*J93,"")</f>
        <v>0.08571428571428573</v>
      </c>
    </row>
    <row r="94">
      <c r="A94" t="inlineStr">
        <is>
          <t>PI4</t>
        </is>
      </c>
      <c r="B94" t="inlineStr"/>
      <c r="C94" t="inlineStr"/>
      <c r="D94" t="inlineStr">
        <is>
          <t>Fresa fresca</t>
        </is>
      </c>
      <c r="E94" s="22" t="n">
        <v>0.35</v>
      </c>
      <c r="F94" t="inlineStr">
        <is>
          <t>kg</t>
        </is>
      </c>
      <c r="G94" s="9" t="n">
        <v>1</v>
      </c>
      <c r="H94" s="18" t="n">
        <v>0.12</v>
      </c>
      <c r="I94" s="23">
        <f>IFERROR(E94/(1-H94),"")</f>
        <v>0.3977272727272727</v>
      </c>
      <c r="J94" s="11">
        <f>IFERROR(VLOOKUP($D94,'Parámetros'!$A$41:$C$89,2,FALSE),"")</f>
        <v>6.2</v>
      </c>
      <c r="K94" t="inlineStr">
        <is>
          <t>kg</t>
        </is>
      </c>
      <c r="L94" s="11">
        <f>IFERROR(I94/G94*J94,"")</f>
        <v>2.465909090909091</v>
      </c>
    </row>
    <row r="95">
      <c r="A95" t="inlineStr">
        <is>
          <t>PI4</t>
        </is>
      </c>
      <c r="B95" t="inlineStr"/>
      <c r="C95" t="inlineStr"/>
      <c r="D95" t="inlineStr">
        <is>
          <t>Kiwi</t>
        </is>
      </c>
      <c r="E95" s="22" t="n">
        <v>0.2</v>
      </c>
      <c r="F95" t="inlineStr">
        <is>
          <t>kg</t>
        </is>
      </c>
      <c r="G95" s="9" t="n">
        <v>1</v>
      </c>
      <c r="H95" s="18" t="n">
        <v>0.18</v>
      </c>
      <c r="I95" s="23">
        <f>IFERROR(E95/(1-H95),"")</f>
        <v>0.24390243902439024</v>
      </c>
      <c r="J95" s="11">
        <f>IFERROR(VLOOKUP($D95,'Parámetros'!$A$41:$C$89,2,FALSE),"")</f>
        <v>2.6</v>
      </c>
      <c r="K95" t="inlineStr">
        <is>
          <t>kg</t>
        </is>
      </c>
      <c r="L95" s="11">
        <f>IFERROR(I95/G95*J95,"")</f>
        <v>0.6341463414634146</v>
      </c>
    </row>
    <row r="96">
      <c r="A96" t="inlineStr">
        <is>
          <t>PI4</t>
        </is>
      </c>
      <c r="B96" t="inlineStr"/>
      <c r="C96" t="inlineStr"/>
      <c r="D96" t="inlineStr">
        <is>
          <t>Frutos rojos congelados</t>
        </is>
      </c>
      <c r="E96" s="22" t="n">
        <v>0.15</v>
      </c>
      <c r="F96" t="inlineStr">
        <is>
          <t>kg</t>
        </is>
      </c>
      <c r="G96" s="9" t="n">
        <v>1</v>
      </c>
      <c r="H96" s="18" t="n">
        <v>0.03</v>
      </c>
      <c r="I96" s="23">
        <f>IFERROR(E96/(1-H96),"")</f>
        <v>0.15463917525773196</v>
      </c>
      <c r="J96" s="11">
        <f>IFERROR(VLOOKUP($D96,'Parámetros'!$A$41:$C$89,2,FALSE),"")</f>
        <v>10.5</v>
      </c>
      <c r="K96" t="inlineStr">
        <is>
          <t>kg</t>
        </is>
      </c>
      <c r="L96" s="11">
        <f>IFERROR(I96/G96*J96,"")</f>
        <v>1.6237113402061856</v>
      </c>
    </row>
    <row r="97">
      <c r="A97" t="inlineStr">
        <is>
          <t>PI4</t>
        </is>
      </c>
      <c r="B97" t="inlineStr"/>
      <c r="C97" t="inlineStr"/>
      <c r="D97" t="inlineStr">
        <is>
          <t>Gelatina neutra de brillo</t>
        </is>
      </c>
      <c r="E97" s="22" t="n">
        <v>0.08</v>
      </c>
      <c r="F97" t="inlineStr">
        <is>
          <t>kg</t>
        </is>
      </c>
      <c r="G97" s="9" t="n">
        <v>1</v>
      </c>
      <c r="H97" s="18" t="n">
        <v>0.02</v>
      </c>
      <c r="I97" s="23">
        <f>IFERROR(E97/(1-H97),"")</f>
        <v>0.0816326530612245</v>
      </c>
      <c r="J97" s="11">
        <f>IFERROR(VLOOKUP($D97,'Parámetros'!$A$41:$C$89,2,FALSE),"")</f>
        <v>11.5</v>
      </c>
      <c r="K97" t="inlineStr">
        <is>
          <t>kg</t>
        </is>
      </c>
      <c r="L97" s="11">
        <f>IFERROR(I97/G97*J97,"")</f>
        <v>0.9387755102040817</v>
      </c>
    </row>
    <row r="98">
      <c r="A98" t="inlineStr">
        <is>
          <t>PI5</t>
        </is>
      </c>
      <c r="B98" t="inlineStr">
        <is>
          <t>Lionesa o profiterol</t>
        </is>
      </c>
      <c r="C98" t="inlineStr">
        <is>
          <t>Pastelería individual</t>
        </is>
      </c>
      <c r="D98" t="inlineStr">
        <is>
          <t>Harina floja</t>
        </is>
      </c>
      <c r="E98" s="22" t="n">
        <v>0.2</v>
      </c>
      <c r="F98" t="inlineStr">
        <is>
          <t>kg</t>
        </is>
      </c>
      <c r="G98" s="9" t="n">
        <v>1</v>
      </c>
      <c r="H98" s="18" t="n">
        <v>0.08</v>
      </c>
      <c r="I98" s="23">
        <f>IFERROR(E98/(1-H98),"")</f>
        <v>0.21739130434782608</v>
      </c>
      <c r="J98" s="11">
        <f>IFERROR(VLOOKUP($D98,'Parámetros'!$A$41:$C$89,2,FALSE),"")</f>
        <v>0.9</v>
      </c>
      <c r="K98" t="inlineStr">
        <is>
          <t>kg</t>
        </is>
      </c>
      <c r="L98" s="11">
        <f>IFERROR(I98/G98*J98,"")</f>
        <v>0.1956521739130435</v>
      </c>
      <c r="M98" s="12" t="inlineStr">
        <is>
          <t>supuesto</t>
        </is>
      </c>
    </row>
    <row r="99">
      <c r="A99" t="inlineStr">
        <is>
          <t>PI5</t>
        </is>
      </c>
      <c r="B99" t="inlineStr"/>
      <c r="C99" t="inlineStr"/>
      <c r="D99" t="inlineStr">
        <is>
          <t>Mantequilla</t>
        </is>
      </c>
      <c r="E99" s="22" t="n">
        <v>0.16</v>
      </c>
      <c r="F99" t="inlineStr">
        <is>
          <t>kg</t>
        </is>
      </c>
      <c r="G99" s="9" t="n">
        <v>1</v>
      </c>
      <c r="H99" s="18" t="n">
        <v>0.03</v>
      </c>
      <c r="I99" s="23">
        <f>IFERROR(E99/(1-H99),"")</f>
        <v>0.16494845360824742</v>
      </c>
      <c r="J99" s="11">
        <f>IFERROR(VLOOKUP($D99,'Parámetros'!$A$41:$C$89,2,FALSE),"")</f>
        <v>9.0</v>
      </c>
      <c r="K99" t="inlineStr">
        <is>
          <t>kg</t>
        </is>
      </c>
      <c r="L99" s="11">
        <f>IFERROR(I99/G99*J99,"")</f>
        <v>1.4845360824742269</v>
      </c>
    </row>
    <row r="100">
      <c r="A100" t="inlineStr">
        <is>
          <t>PI5</t>
        </is>
      </c>
      <c r="B100" t="inlineStr"/>
      <c r="C100" t="inlineStr"/>
      <c r="D100" t="inlineStr">
        <is>
          <t>Huevos (unidades)</t>
        </is>
      </c>
      <c r="E100" s="22" t="n">
        <v>7</v>
      </c>
      <c r="F100" t="inlineStr">
        <is>
          <t>ud</t>
        </is>
      </c>
      <c r="G100" s="9" t="n">
        <v>12</v>
      </c>
      <c r="H100" s="18" t="n">
        <v>0</v>
      </c>
      <c r="I100" s="23">
        <f>IFERROR(E100/(1-H100),"")</f>
        <v>7.0</v>
      </c>
      <c r="J100" s="11">
        <f>IFERROR(VLOOKUP($D100,'Parámetros'!$A$41:$C$89,2,FALSE),"")</f>
        <v>3.6</v>
      </c>
      <c r="K100" t="inlineStr">
        <is>
          <t>docena</t>
        </is>
      </c>
      <c r="L100" s="11">
        <f>IFERROR(I100/G100*J100,"")</f>
        <v>2.1</v>
      </c>
    </row>
    <row r="101">
      <c r="A101" t="inlineStr">
        <is>
          <t>PI5</t>
        </is>
      </c>
      <c r="B101" t="inlineStr"/>
      <c r="C101" t="inlineStr"/>
      <c r="D101" t="inlineStr">
        <is>
          <t>Sal</t>
        </is>
      </c>
      <c r="E101" s="22" t="n">
        <v>0.004</v>
      </c>
      <c r="F101" t="inlineStr">
        <is>
          <t>kg</t>
        </is>
      </c>
      <c r="G101" s="9" t="n">
        <v>1</v>
      </c>
      <c r="H101" s="18" t="n">
        <v>0.02</v>
      </c>
      <c r="I101" s="23">
        <f>IFERROR(E101/(1-H101),"")</f>
        <v>0.004081632653061225</v>
      </c>
      <c r="J101" s="11">
        <f>IFERROR(VLOOKUP($D101,'Parámetros'!$A$41:$C$89,2,FALSE),"")</f>
        <v>0.6</v>
      </c>
      <c r="K101" t="inlineStr">
        <is>
          <t>kg</t>
        </is>
      </c>
      <c r="L101" s="11">
        <f>IFERROR(I101/G101*J101,"")</f>
        <v>0.002448979591836735</v>
      </c>
    </row>
    <row r="102">
      <c r="A102" t="inlineStr">
        <is>
          <t>PI5</t>
        </is>
      </c>
      <c r="B102" t="inlineStr"/>
      <c r="C102" t="inlineStr"/>
      <c r="D102" t="inlineStr">
        <is>
          <t>Nata 35% MG</t>
        </is>
      </c>
      <c r="E102" s="22" t="n">
        <v>0.55</v>
      </c>
      <c r="F102" t="inlineStr">
        <is>
          <t>L</t>
        </is>
      </c>
      <c r="G102" s="9" t="n">
        <v>1</v>
      </c>
      <c r="H102" s="18" t="n">
        <v>0.03</v>
      </c>
      <c r="I102" s="23">
        <f>IFERROR(E102/(1-H102),"")</f>
        <v>0.5670103092783506</v>
      </c>
      <c r="J102" s="11">
        <f>IFERROR(VLOOKUP($D102,'Parámetros'!$A$41:$C$89,2,FALSE),"")</f>
        <v>3.8</v>
      </c>
      <c r="K102" t="inlineStr">
        <is>
          <t>L</t>
        </is>
      </c>
      <c r="L102" s="11">
        <f>IFERROR(I102/G102*J102,"")</f>
        <v>2.1546391752577323</v>
      </c>
    </row>
    <row r="103">
      <c r="A103" t="inlineStr">
        <is>
          <t>PI5</t>
        </is>
      </c>
      <c r="B103" t="inlineStr"/>
      <c r="C103" t="inlineStr"/>
      <c r="D103" t="inlineStr">
        <is>
          <t>Azúcar glas</t>
        </is>
      </c>
      <c r="E103" s="22" t="n">
        <v>0.06</v>
      </c>
      <c r="F103" t="inlineStr">
        <is>
          <t>kg</t>
        </is>
      </c>
      <c r="G103" s="9" t="n">
        <v>1</v>
      </c>
      <c r="H103" s="18" t="n">
        <v>0.02</v>
      </c>
      <c r="I103" s="23">
        <f>IFERROR(E103/(1-H103),"")</f>
        <v>0.061224489795918366</v>
      </c>
      <c r="J103" s="11">
        <f>IFERROR(VLOOKUP($D103,'Parámetros'!$A$41:$C$89,2,FALSE),"")</f>
        <v>2.5</v>
      </c>
      <c r="K103" t="inlineStr">
        <is>
          <t>kg</t>
        </is>
      </c>
      <c r="L103" s="11">
        <f>IFERROR(I103/G103*J103,"")</f>
        <v>0.15306122448979592</v>
      </c>
    </row>
    <row r="104">
      <c r="A104" t="inlineStr">
        <is>
          <t>PI5</t>
        </is>
      </c>
      <c r="B104" t="inlineStr"/>
      <c r="C104" t="inlineStr"/>
      <c r="D104" t="inlineStr">
        <is>
          <t>Chocolate negro 70%</t>
        </is>
      </c>
      <c r="E104" s="22" t="n">
        <v>0.1</v>
      </c>
      <c r="F104" t="inlineStr">
        <is>
          <t>kg</t>
        </is>
      </c>
      <c r="G104" s="9" t="n">
        <v>1</v>
      </c>
      <c r="H104" s="18" t="n">
        <v>0.02</v>
      </c>
      <c r="I104" s="23">
        <f>IFERROR(E104/(1-H104),"")</f>
        <v>0.10204081632653061</v>
      </c>
      <c r="J104" s="11">
        <f>IFERROR(VLOOKUP($D104,'Parámetros'!$A$41:$C$89,2,FALSE),"")</f>
        <v>18.0</v>
      </c>
      <c r="K104" t="inlineStr">
        <is>
          <t>kg</t>
        </is>
      </c>
      <c r="L104" s="11">
        <f>IFERROR(I104/G104*J104,"")</f>
        <v>1.836734693877551</v>
      </c>
    </row>
    <row r="105">
      <c r="A105" t="inlineStr">
        <is>
          <t>PI6</t>
        </is>
      </c>
      <c r="B105" t="inlineStr">
        <is>
          <t>Entremet individual</t>
        </is>
      </c>
      <c r="C105" t="inlineStr">
        <is>
          <t>Pastelería individual</t>
        </is>
      </c>
      <c r="D105" t="inlineStr">
        <is>
          <t>Harina floja</t>
        </is>
      </c>
      <c r="E105" s="22" t="n">
        <v>0.1</v>
      </c>
      <c r="F105" t="inlineStr">
        <is>
          <t>kg</t>
        </is>
      </c>
      <c r="G105" s="9" t="n">
        <v>1</v>
      </c>
      <c r="H105" s="18" t="n">
        <v>0.08</v>
      </c>
      <c r="I105" s="23">
        <f>IFERROR(E105/(1-H105),"")</f>
        <v>0.10869565217391304</v>
      </c>
      <c r="J105" s="11">
        <f>IFERROR(VLOOKUP($D105,'Parámetros'!$A$41:$C$89,2,FALSE),"")</f>
        <v>0.9</v>
      </c>
      <c r="K105" t="inlineStr">
        <is>
          <t>kg</t>
        </is>
      </c>
      <c r="L105" s="11">
        <f>IFERROR(I105/G105*J105,"")</f>
        <v>0.09782608695652174</v>
      </c>
      <c r="M105" s="12" t="inlineStr">
        <is>
          <t>supuesto</t>
        </is>
      </c>
    </row>
    <row r="106">
      <c r="A106" t="inlineStr">
        <is>
          <t>PI6</t>
        </is>
      </c>
      <c r="B106" t="inlineStr"/>
      <c r="C106" t="inlineStr"/>
      <c r="D106" t="inlineStr">
        <is>
          <t>Azúcar</t>
        </is>
      </c>
      <c r="E106" s="22" t="n">
        <v>0.22</v>
      </c>
      <c r="F106" t="inlineStr">
        <is>
          <t>kg</t>
        </is>
      </c>
      <c r="G106" s="9" t="n">
        <v>1</v>
      </c>
      <c r="H106" s="18" t="n">
        <v>0.02</v>
      </c>
      <c r="I106" s="23">
        <f>IFERROR(E106/(1-H106),"")</f>
        <v>0.22448979591836735</v>
      </c>
      <c r="J106" s="11">
        <f>IFERROR(VLOOKUP($D106,'Parámetros'!$A$41:$C$89,2,FALSE),"")</f>
        <v>1.2</v>
      </c>
      <c r="K106" t="inlineStr">
        <is>
          <t>kg</t>
        </is>
      </c>
      <c r="L106" s="11">
        <f>IFERROR(I106/G106*J106,"")</f>
        <v>0.2693877551020408</v>
      </c>
    </row>
    <row r="107">
      <c r="A107" t="inlineStr">
        <is>
          <t>PI6</t>
        </is>
      </c>
      <c r="B107" t="inlineStr"/>
      <c r="C107" t="inlineStr"/>
      <c r="D107" t="inlineStr">
        <is>
          <t>Huevos (unidades)</t>
        </is>
      </c>
      <c r="E107" s="22" t="n">
        <v>4</v>
      </c>
      <c r="F107" t="inlineStr">
        <is>
          <t>ud</t>
        </is>
      </c>
      <c r="G107" s="9" t="n">
        <v>12</v>
      </c>
      <c r="H107" s="18" t="n">
        <v>0</v>
      </c>
      <c r="I107" s="23">
        <f>IFERROR(E107/(1-H107),"")</f>
        <v>4.0</v>
      </c>
      <c r="J107" s="11">
        <f>IFERROR(VLOOKUP($D107,'Parámetros'!$A$41:$C$89,2,FALSE),"")</f>
        <v>3.6</v>
      </c>
      <c r="K107" t="inlineStr">
        <is>
          <t>docena</t>
        </is>
      </c>
      <c r="L107" s="11">
        <f>IFERROR(I107/G107*J107,"")</f>
        <v>1.2</v>
      </c>
    </row>
    <row r="108">
      <c r="A108" t="inlineStr">
        <is>
          <t>PI6</t>
        </is>
      </c>
      <c r="B108" t="inlineStr"/>
      <c r="C108" t="inlineStr"/>
      <c r="D108" t="inlineStr">
        <is>
          <t>Chocolate negro 70%</t>
        </is>
      </c>
      <c r="E108" s="22" t="n">
        <v>0.28</v>
      </c>
      <c r="F108" t="inlineStr">
        <is>
          <t>kg</t>
        </is>
      </c>
      <c r="G108" s="9" t="n">
        <v>1</v>
      </c>
      <c r="H108" s="18" t="n">
        <v>0.02</v>
      </c>
      <c r="I108" s="23">
        <f>IFERROR(E108/(1-H108),"")</f>
        <v>0.28571428571428575</v>
      </c>
      <c r="J108" s="11">
        <f>IFERROR(VLOOKUP($D108,'Parámetros'!$A$41:$C$89,2,FALSE),"")</f>
        <v>18.0</v>
      </c>
      <c r="K108" t="inlineStr">
        <is>
          <t>kg</t>
        </is>
      </c>
      <c r="L108" s="11">
        <f>IFERROR(I108/G108*J108,"")</f>
        <v>5.142857142857143</v>
      </c>
    </row>
    <row r="109">
      <c r="A109" t="inlineStr">
        <is>
          <t>PI6</t>
        </is>
      </c>
      <c r="B109" t="inlineStr"/>
      <c r="C109" t="inlineStr"/>
      <c r="D109" t="inlineStr">
        <is>
          <t>Nata 35% MG</t>
        </is>
      </c>
      <c r="E109" s="22" t="n">
        <v>0.45</v>
      </c>
      <c r="F109" t="inlineStr">
        <is>
          <t>L</t>
        </is>
      </c>
      <c r="G109" s="9" t="n">
        <v>1</v>
      </c>
      <c r="H109" s="18" t="n">
        <v>0.03</v>
      </c>
      <c r="I109" s="23">
        <f>IFERROR(E109/(1-H109),"")</f>
        <v>0.4639175257731959</v>
      </c>
      <c r="J109" s="11">
        <f>IFERROR(VLOOKUP($D109,'Parámetros'!$A$41:$C$89,2,FALSE),"")</f>
        <v>3.8</v>
      </c>
      <c r="K109" t="inlineStr">
        <is>
          <t>L</t>
        </is>
      </c>
      <c r="L109" s="11">
        <f>IFERROR(I109/G109*J109,"")</f>
        <v>1.7628865979381443</v>
      </c>
    </row>
    <row r="110">
      <c r="A110" t="inlineStr">
        <is>
          <t>PI6</t>
        </is>
      </c>
      <c r="B110" t="inlineStr"/>
      <c r="C110" t="inlineStr"/>
      <c r="D110" t="inlineStr">
        <is>
          <t>Yema pasteurizada (ovoproducto)</t>
        </is>
      </c>
      <c r="E110" s="22" t="n">
        <v>0.09</v>
      </c>
      <c r="F110" t="inlineStr">
        <is>
          <t>kg</t>
        </is>
      </c>
      <c r="G110" s="9" t="n">
        <v>1</v>
      </c>
      <c r="H110" s="18" t="n">
        <v>0.02</v>
      </c>
      <c r="I110" s="23">
        <f>IFERROR(E110/(1-H110),"")</f>
        <v>0.09183673469387756</v>
      </c>
      <c r="J110" s="11">
        <f>IFERROR(VLOOKUP($D110,'Parámetros'!$A$41:$C$89,2,FALSE),"")</f>
        <v>6.8</v>
      </c>
      <c r="K110" t="inlineStr">
        <is>
          <t>kg</t>
        </is>
      </c>
      <c r="L110" s="11">
        <f>IFERROR(I110/G110*J110,"")</f>
        <v>0.6244897959183674</v>
      </c>
    </row>
    <row r="111">
      <c r="A111" t="inlineStr">
        <is>
          <t>PI6</t>
        </is>
      </c>
      <c r="B111" t="inlineStr"/>
      <c r="C111" t="inlineStr"/>
      <c r="D111" t="inlineStr">
        <is>
          <t>Gelatina en hoja</t>
        </is>
      </c>
      <c r="E111" s="22" t="n">
        <v>0.006</v>
      </c>
      <c r="F111" t="inlineStr">
        <is>
          <t>kg</t>
        </is>
      </c>
      <c r="G111" s="9" t="n">
        <v>1</v>
      </c>
      <c r="H111" s="18" t="n">
        <v>0</v>
      </c>
      <c r="I111" s="23">
        <f>IFERROR(E111/(1-H111),"")</f>
        <v>0.006</v>
      </c>
      <c r="J111" s="11">
        <f>IFERROR(VLOOKUP($D111,'Parámetros'!$A$41:$C$89,2,FALSE),"")</f>
        <v>42.0</v>
      </c>
      <c r="K111" t="inlineStr">
        <is>
          <t>kg</t>
        </is>
      </c>
      <c r="L111" s="11">
        <f>IFERROR(I111/G111*J111,"")</f>
        <v>0.252</v>
      </c>
    </row>
    <row r="112">
      <c r="A112" t="inlineStr">
        <is>
          <t>PI6</t>
        </is>
      </c>
      <c r="B112" t="inlineStr"/>
      <c r="C112" t="inlineStr"/>
      <c r="D112" t="inlineStr">
        <is>
          <t>Frutos rojos congelados</t>
        </is>
      </c>
      <c r="E112" s="22" t="n">
        <v>0.18</v>
      </c>
      <c r="F112" t="inlineStr">
        <is>
          <t>kg</t>
        </is>
      </c>
      <c r="G112" s="9" t="n">
        <v>1</v>
      </c>
      <c r="H112" s="18" t="n">
        <v>0.03</v>
      </c>
      <c r="I112" s="23">
        <f>IFERROR(E112/(1-H112),"")</f>
        <v>0.18556701030927836</v>
      </c>
      <c r="J112" s="11">
        <f>IFERROR(VLOOKUP($D112,'Parámetros'!$A$41:$C$89,2,FALSE),"")</f>
        <v>10.5</v>
      </c>
      <c r="K112" t="inlineStr">
        <is>
          <t>kg</t>
        </is>
      </c>
      <c r="L112" s="11">
        <f>IFERROR(I112/G112*J112,"")</f>
        <v>1.9484536082474229</v>
      </c>
    </row>
    <row r="113">
      <c r="A113" t="inlineStr">
        <is>
          <t>PI6</t>
        </is>
      </c>
      <c r="B113" t="inlineStr"/>
      <c r="C113" t="inlineStr"/>
      <c r="D113" t="inlineStr">
        <is>
          <t>Cobertura de leche 40%</t>
        </is>
      </c>
      <c r="E113" s="22" t="n">
        <v>0.12</v>
      </c>
      <c r="F113" t="inlineStr">
        <is>
          <t>kg</t>
        </is>
      </c>
      <c r="G113" s="9" t="n">
        <v>1</v>
      </c>
      <c r="H113" s="18" t="n">
        <v>0.02</v>
      </c>
      <c r="I113" s="23">
        <f>IFERROR(E113/(1-H113),"")</f>
        <v>0.12244897959183673</v>
      </c>
      <c r="J113" s="11">
        <f>IFERROR(VLOOKUP($D113,'Parámetros'!$A$41:$C$89,2,FALSE),"")</f>
        <v>15.5</v>
      </c>
      <c r="K113" t="inlineStr">
        <is>
          <t>kg</t>
        </is>
      </c>
      <c r="L113" s="11">
        <f>IFERROR(I113/G113*J113,"")</f>
        <v>1.8979591836734693</v>
      </c>
    </row>
    <row r="114">
      <c r="A114" t="inlineStr">
        <is>
          <t>T1</t>
        </is>
      </c>
      <c r="B114" t="inlineStr">
        <is>
          <t>Tarta de chocolate 70 %</t>
        </is>
      </c>
      <c r="C114" t="inlineStr">
        <is>
          <t>Tartas y entremets</t>
        </is>
      </c>
      <c r="D114" t="inlineStr">
        <is>
          <t>Chocolate negro 70%</t>
        </is>
      </c>
      <c r="E114" s="22" t="n">
        <v>0.4</v>
      </c>
      <c r="F114" t="inlineStr">
        <is>
          <t>kg</t>
        </is>
      </c>
      <c r="G114" s="9" t="n">
        <v>1</v>
      </c>
      <c r="H114" s="18" t="n">
        <v>0.12</v>
      </c>
      <c r="I114" s="23">
        <f>IFERROR(E114/(1-H114),"")</f>
        <v>0.4545454545454546</v>
      </c>
      <c r="J114" s="11">
        <f>IFERROR(VLOOKUP($D114,'Parámetros'!$A$41:$C$89,2,FALSE),"")</f>
        <v>18.0</v>
      </c>
      <c r="K114" t="inlineStr">
        <is>
          <t>kg</t>
        </is>
      </c>
      <c r="L114" s="11">
        <f>IFERROR(I114/G114*J114,"")</f>
        <v>8.181818181818183</v>
      </c>
      <c r="M114" s="12" t="inlineStr">
        <is>
          <t>COPIA EXACTA de kit-escandallos/05-pasteleria.xlsx, hoja «Tarta Chocolate». Mismo escandallo en los dos productos: un cliente con los dos no puede ver dos costes distintos de la misma pieza.</t>
        </is>
      </c>
    </row>
    <row r="115">
      <c r="A115" t="inlineStr">
        <is>
          <t>T1</t>
        </is>
      </c>
      <c r="B115" t="inlineStr"/>
      <c r="C115" t="inlineStr"/>
      <c r="D115" t="inlineStr">
        <is>
          <t>Mantequilla</t>
        </is>
      </c>
      <c r="E115" s="22" t="n">
        <v>0.25</v>
      </c>
      <c r="F115" t="inlineStr">
        <is>
          <t>kg</t>
        </is>
      </c>
      <c r="G115" s="9" t="n">
        <v>1</v>
      </c>
      <c r="H115" s="18" t="n">
        <v>0.03</v>
      </c>
      <c r="I115" s="23">
        <f>IFERROR(E115/(1-H115),"")</f>
        <v>0.2577319587628866</v>
      </c>
      <c r="J115" s="11">
        <f>IFERROR(VLOOKUP($D115,'Parámetros'!$A$41:$C$89,2,FALSE),"")</f>
        <v>9.0</v>
      </c>
      <c r="K115" t="inlineStr">
        <is>
          <t>kg</t>
        </is>
      </c>
      <c r="L115" s="11">
        <f>IFERROR(I115/G115*J115,"")</f>
        <v>2.3195876288659796</v>
      </c>
    </row>
    <row r="116">
      <c r="A116" t="inlineStr">
        <is>
          <t>T1</t>
        </is>
      </c>
      <c r="B116" t="inlineStr"/>
      <c r="C116" t="inlineStr"/>
      <c r="D116" t="inlineStr">
        <is>
          <t>Huevos (unidades)</t>
        </is>
      </c>
      <c r="E116" s="22" t="n">
        <v>6</v>
      </c>
      <c r="F116" t="inlineStr">
        <is>
          <t>ud</t>
        </is>
      </c>
      <c r="G116" s="9" t="n">
        <v>12</v>
      </c>
      <c r="H116" s="18" t="n">
        <v>0</v>
      </c>
      <c r="I116" s="23">
        <f>IFERROR(E116/(1-H116),"")</f>
        <v>6.0</v>
      </c>
      <c r="J116" s="11">
        <f>IFERROR(VLOOKUP($D116,'Parámetros'!$A$41:$C$89,2,FALSE),"")</f>
        <v>3.6</v>
      </c>
      <c r="K116" t="inlineStr">
        <is>
          <t>docena</t>
        </is>
      </c>
      <c r="L116" s="11">
        <f>IFERROR(I116/G116*J116,"")</f>
        <v>1.8</v>
      </c>
    </row>
    <row r="117">
      <c r="A117" t="inlineStr">
        <is>
          <t>T1</t>
        </is>
      </c>
      <c r="B117" t="inlineStr"/>
      <c r="C117" t="inlineStr"/>
      <c r="D117" t="inlineStr">
        <is>
          <t>Azúcar</t>
        </is>
      </c>
      <c r="E117" s="22" t="n">
        <v>0.2</v>
      </c>
      <c r="F117" t="inlineStr">
        <is>
          <t>kg</t>
        </is>
      </c>
      <c r="G117" s="9" t="n">
        <v>1</v>
      </c>
      <c r="H117" s="18" t="n">
        <v>0.02</v>
      </c>
      <c r="I117" s="23">
        <f>IFERROR(E117/(1-H117),"")</f>
        <v>0.20408163265306123</v>
      </c>
      <c r="J117" s="11">
        <f>IFERROR(VLOOKUP($D117,'Parámetros'!$A$41:$C$89,2,FALSE),"")</f>
        <v>1.2</v>
      </c>
      <c r="K117" t="inlineStr">
        <is>
          <t>kg</t>
        </is>
      </c>
      <c r="L117" s="11">
        <f>IFERROR(I117/G117*J117,"")</f>
        <v>0.24489795918367346</v>
      </c>
    </row>
    <row r="118">
      <c r="A118" t="inlineStr">
        <is>
          <t>T1</t>
        </is>
      </c>
      <c r="B118" t="inlineStr"/>
      <c r="C118" t="inlineStr"/>
      <c r="D118" t="inlineStr">
        <is>
          <t>Harina floja</t>
        </is>
      </c>
      <c r="E118" s="22" t="n">
        <v>0.12</v>
      </c>
      <c r="F118" t="inlineStr">
        <is>
          <t>kg</t>
        </is>
      </c>
      <c r="G118" s="9" t="n">
        <v>1</v>
      </c>
      <c r="H118" s="18" t="n">
        <v>0.08</v>
      </c>
      <c r="I118" s="23">
        <f>IFERROR(E118/(1-H118),"")</f>
        <v>0.13043478260869565</v>
      </c>
      <c r="J118" s="11">
        <f>IFERROR(VLOOKUP($D118,'Parámetros'!$A$41:$C$89,2,FALSE),"")</f>
        <v>0.9</v>
      </c>
      <c r="K118" t="inlineStr">
        <is>
          <t>kg</t>
        </is>
      </c>
      <c r="L118" s="11">
        <f>IFERROR(I118/G118*J118,"")</f>
        <v>0.11739130434782609</v>
      </c>
    </row>
    <row r="119">
      <c r="A119" t="inlineStr">
        <is>
          <t>T1</t>
        </is>
      </c>
      <c r="B119" t="inlineStr"/>
      <c r="C119" t="inlineStr"/>
      <c r="D119" t="inlineStr">
        <is>
          <t>Nata 35% MG</t>
        </is>
      </c>
      <c r="E119" s="22" t="n">
        <v>0.2</v>
      </c>
      <c r="F119" t="inlineStr">
        <is>
          <t>L</t>
        </is>
      </c>
      <c r="G119" s="9" t="n">
        <v>1</v>
      </c>
      <c r="H119" s="18" t="n">
        <v>0.03</v>
      </c>
      <c r="I119" s="23">
        <f>IFERROR(E119/(1-H119),"")</f>
        <v>0.2061855670103093</v>
      </c>
      <c r="J119" s="11">
        <f>IFERROR(VLOOKUP($D119,'Parámetros'!$A$41:$C$89,2,FALSE),"")</f>
        <v>3.8</v>
      </c>
      <c r="K119" t="inlineStr">
        <is>
          <t>L</t>
        </is>
      </c>
      <c r="L119" s="11">
        <f>IFERROR(I119/G119*J119,"")</f>
        <v>0.7835051546391752</v>
      </c>
    </row>
    <row r="120">
      <c r="A120" t="inlineStr">
        <is>
          <t>T1</t>
        </is>
      </c>
      <c r="B120" t="inlineStr"/>
      <c r="C120" t="inlineStr"/>
      <c r="D120" t="inlineStr">
        <is>
          <t>Cacao en polvo</t>
        </is>
      </c>
      <c r="E120" s="22" t="n">
        <v>0.03</v>
      </c>
      <c r="F120" t="inlineStr">
        <is>
          <t>kg</t>
        </is>
      </c>
      <c r="G120" s="9" t="n">
        <v>1</v>
      </c>
      <c r="H120" s="18" t="n">
        <v>0.05</v>
      </c>
      <c r="I120" s="23">
        <f>IFERROR(E120/(1-H120),"")</f>
        <v>0.031578947368421054</v>
      </c>
      <c r="J120" s="11">
        <f>IFERROR(VLOOKUP($D120,'Parámetros'!$A$41:$C$89,2,FALSE),"")</f>
        <v>12.0</v>
      </c>
      <c r="K120" t="inlineStr">
        <is>
          <t>kg</t>
        </is>
      </c>
      <c r="L120" s="11">
        <f>IFERROR(I120/G120*J120,"")</f>
        <v>0.37894736842105264</v>
      </c>
    </row>
    <row r="121">
      <c r="A121" t="inlineStr">
        <is>
          <t>T1</t>
        </is>
      </c>
      <c r="B121" t="inlineStr"/>
      <c r="C121" t="inlineStr"/>
      <c r="D121" t="inlineStr">
        <is>
          <t>Sal</t>
        </is>
      </c>
      <c r="E121" s="22" t="n">
        <v>0.003</v>
      </c>
      <c r="F121" t="inlineStr">
        <is>
          <t>kg</t>
        </is>
      </c>
      <c r="G121" s="9" t="n">
        <v>1</v>
      </c>
      <c r="H121" s="18" t="n">
        <v>0.02</v>
      </c>
      <c r="I121" s="23">
        <f>IFERROR(E121/(1-H121),"")</f>
        <v>0.0030612244897959186</v>
      </c>
      <c r="J121" s="11">
        <f>IFERROR(VLOOKUP($D121,'Parámetros'!$A$41:$C$89,2,FALSE),"")</f>
        <v>0.6</v>
      </c>
      <c r="K121" t="inlineStr">
        <is>
          <t>kg</t>
        </is>
      </c>
      <c r="L121" s="11">
        <f>IFERROR(I121/G121*J121,"")</f>
        <v>0.0018367346938775511</v>
      </c>
    </row>
    <row r="122">
      <c r="A122" t="inlineStr">
        <is>
          <t>T2</t>
        </is>
      </c>
      <c r="B122" t="inlineStr">
        <is>
          <t>Tarta de queso</t>
        </is>
      </c>
      <c r="C122" t="inlineStr">
        <is>
          <t>Tartas y entremets</t>
        </is>
      </c>
      <c r="D122" t="inlineStr">
        <is>
          <t>Queso crema</t>
        </is>
      </c>
      <c r="E122" s="22" t="n">
        <v>0.9</v>
      </c>
      <c r="F122" t="inlineStr">
        <is>
          <t>kg</t>
        </is>
      </c>
      <c r="G122" s="9" t="n">
        <v>1</v>
      </c>
      <c r="H122" s="18" t="n">
        <v>0.02</v>
      </c>
      <c r="I122" s="23">
        <f>IFERROR(E122/(1-H122),"")</f>
        <v>0.9183673469387755</v>
      </c>
      <c r="J122" s="11">
        <f>IFERROR(VLOOKUP($D122,'Parámetros'!$A$41:$C$89,2,FALSE),"")</f>
        <v>8.9</v>
      </c>
      <c r="K122" t="inlineStr">
        <is>
          <t>kg</t>
        </is>
      </c>
      <c r="L122" s="11">
        <f>IFERROR(I122/G122*J122,"")</f>
        <v>8.173469387755102</v>
      </c>
      <c r="M122" s="12" t="inlineStr">
        <is>
          <t>supuesto</t>
        </is>
      </c>
    </row>
    <row r="123">
      <c r="A123" t="inlineStr">
        <is>
          <t>T2</t>
        </is>
      </c>
      <c r="B123" t="inlineStr"/>
      <c r="C123" t="inlineStr"/>
      <c r="D123" t="inlineStr">
        <is>
          <t>Azúcar</t>
        </is>
      </c>
      <c r="E123" s="22" t="n">
        <v>0.22</v>
      </c>
      <c r="F123" t="inlineStr">
        <is>
          <t>kg</t>
        </is>
      </c>
      <c r="G123" s="9" t="n">
        <v>1</v>
      </c>
      <c r="H123" s="18" t="n">
        <v>0.02</v>
      </c>
      <c r="I123" s="23">
        <f>IFERROR(E123/(1-H123),"")</f>
        <v>0.22448979591836735</v>
      </c>
      <c r="J123" s="11">
        <f>IFERROR(VLOOKUP($D123,'Parámetros'!$A$41:$C$89,2,FALSE),"")</f>
        <v>1.2</v>
      </c>
      <c r="K123" t="inlineStr">
        <is>
          <t>kg</t>
        </is>
      </c>
      <c r="L123" s="11">
        <f>IFERROR(I123/G123*J123,"")</f>
        <v>0.2693877551020408</v>
      </c>
    </row>
    <row r="124">
      <c r="A124" t="inlineStr">
        <is>
          <t>T2</t>
        </is>
      </c>
      <c r="B124" t="inlineStr"/>
      <c r="C124" t="inlineStr"/>
      <c r="D124" t="inlineStr">
        <is>
          <t>Huevos (unidades)</t>
        </is>
      </c>
      <c r="E124" s="22" t="n">
        <v>5</v>
      </c>
      <c r="F124" t="inlineStr">
        <is>
          <t>ud</t>
        </is>
      </c>
      <c r="G124" s="9" t="n">
        <v>12</v>
      </c>
      <c r="H124" s="18" t="n">
        <v>0</v>
      </c>
      <c r="I124" s="23">
        <f>IFERROR(E124/(1-H124),"")</f>
        <v>5.0</v>
      </c>
      <c r="J124" s="11">
        <f>IFERROR(VLOOKUP($D124,'Parámetros'!$A$41:$C$89,2,FALSE),"")</f>
        <v>3.6</v>
      </c>
      <c r="K124" t="inlineStr">
        <is>
          <t>docena</t>
        </is>
      </c>
      <c r="L124" s="11">
        <f>IFERROR(I124/G124*J124,"")</f>
        <v>1.5</v>
      </c>
    </row>
    <row r="125">
      <c r="A125" t="inlineStr">
        <is>
          <t>T2</t>
        </is>
      </c>
      <c r="B125" t="inlineStr"/>
      <c r="C125" t="inlineStr"/>
      <c r="D125" t="inlineStr">
        <is>
          <t>Nata 35% MG</t>
        </is>
      </c>
      <c r="E125" s="22" t="n">
        <v>0.25</v>
      </c>
      <c r="F125" t="inlineStr">
        <is>
          <t>L</t>
        </is>
      </c>
      <c r="G125" s="9" t="n">
        <v>1</v>
      </c>
      <c r="H125" s="18" t="n">
        <v>0.03</v>
      </c>
      <c r="I125" s="23">
        <f>IFERROR(E125/(1-H125),"")</f>
        <v>0.2577319587628866</v>
      </c>
      <c r="J125" s="11">
        <f>IFERROR(VLOOKUP($D125,'Parámetros'!$A$41:$C$89,2,FALSE),"")</f>
        <v>3.8</v>
      </c>
      <c r="K125" t="inlineStr">
        <is>
          <t>L</t>
        </is>
      </c>
      <c r="L125" s="11">
        <f>IFERROR(I125/G125*J125,"")</f>
        <v>0.9793814432989691</v>
      </c>
    </row>
    <row r="126">
      <c r="A126" t="inlineStr">
        <is>
          <t>T2</t>
        </is>
      </c>
      <c r="B126" t="inlineStr"/>
      <c r="C126" t="inlineStr"/>
      <c r="D126" t="inlineStr">
        <is>
          <t>Harina floja</t>
        </is>
      </c>
      <c r="E126" s="22" t="n">
        <v>0.03</v>
      </c>
      <c r="F126" t="inlineStr">
        <is>
          <t>kg</t>
        </is>
      </c>
      <c r="G126" s="9" t="n">
        <v>1</v>
      </c>
      <c r="H126" s="18" t="n">
        <v>0.08</v>
      </c>
      <c r="I126" s="23">
        <f>IFERROR(E126/(1-H126),"")</f>
        <v>0.03260869565217391</v>
      </c>
      <c r="J126" s="11">
        <f>IFERROR(VLOOKUP($D126,'Parámetros'!$A$41:$C$89,2,FALSE),"")</f>
        <v>0.9</v>
      </c>
      <c r="K126" t="inlineStr">
        <is>
          <t>kg</t>
        </is>
      </c>
      <c r="L126" s="11">
        <f>IFERROR(I126/G126*J126,"")</f>
        <v>0.029347826086956522</v>
      </c>
    </row>
    <row r="127">
      <c r="A127" t="inlineStr">
        <is>
          <t>T3</t>
        </is>
      </c>
      <c r="B127" t="inlineStr">
        <is>
          <t>Tarta de manzana</t>
        </is>
      </c>
      <c r="C127" t="inlineStr">
        <is>
          <t>Tartas y entremets</t>
        </is>
      </c>
      <c r="D127" t="inlineStr">
        <is>
          <t>Harina floja</t>
        </is>
      </c>
      <c r="E127" s="22" t="n">
        <v>0.3</v>
      </c>
      <c r="F127" t="inlineStr">
        <is>
          <t>kg</t>
        </is>
      </c>
      <c r="G127" s="9" t="n">
        <v>1</v>
      </c>
      <c r="H127" s="18" t="n">
        <v>0.08</v>
      </c>
      <c r="I127" s="23">
        <f>IFERROR(E127/(1-H127),"")</f>
        <v>0.3260869565217391</v>
      </c>
      <c r="J127" s="11">
        <f>IFERROR(VLOOKUP($D127,'Parámetros'!$A$41:$C$89,2,FALSE),"")</f>
        <v>0.9</v>
      </c>
      <c r="K127" t="inlineStr">
        <is>
          <t>kg</t>
        </is>
      </c>
      <c r="L127" s="11">
        <f>IFERROR(I127/G127*J127,"")</f>
        <v>0.2934782608695652</v>
      </c>
      <c r="M127" s="12" t="inlineStr">
        <is>
          <t>supuesto</t>
        </is>
      </c>
    </row>
    <row r="128">
      <c r="A128" t="inlineStr">
        <is>
          <t>T3</t>
        </is>
      </c>
      <c r="B128" t="inlineStr"/>
      <c r="C128" t="inlineStr"/>
      <c r="D128" t="inlineStr">
        <is>
          <t>Mantequilla</t>
        </is>
      </c>
      <c r="E128" s="22" t="n">
        <v>0.15</v>
      </c>
      <c r="F128" t="inlineStr">
        <is>
          <t>kg</t>
        </is>
      </c>
      <c r="G128" s="9" t="n">
        <v>1</v>
      </c>
      <c r="H128" s="18" t="n">
        <v>0.03</v>
      </c>
      <c r="I128" s="23">
        <f>IFERROR(E128/(1-H128),"")</f>
        <v>0.15463917525773196</v>
      </c>
      <c r="J128" s="11">
        <f>IFERROR(VLOOKUP($D128,'Parámetros'!$A$41:$C$89,2,FALSE),"")</f>
        <v>9.0</v>
      </c>
      <c r="K128" t="inlineStr">
        <is>
          <t>kg</t>
        </is>
      </c>
      <c r="L128" s="11">
        <f>IFERROR(I128/G128*J128,"")</f>
        <v>1.3917525773195876</v>
      </c>
    </row>
    <row r="129">
      <c r="A129" t="inlineStr">
        <is>
          <t>T3</t>
        </is>
      </c>
      <c r="B129" t="inlineStr"/>
      <c r="C129" t="inlineStr"/>
      <c r="D129" t="inlineStr">
        <is>
          <t>Azúcar</t>
        </is>
      </c>
      <c r="E129" s="22" t="n">
        <v>0.1</v>
      </c>
      <c r="F129" t="inlineStr">
        <is>
          <t>kg</t>
        </is>
      </c>
      <c r="G129" s="9" t="n">
        <v>1</v>
      </c>
      <c r="H129" s="18" t="n">
        <v>0.02</v>
      </c>
      <c r="I129" s="23">
        <f>IFERROR(E129/(1-H129),"")</f>
        <v>0.10204081632653061</v>
      </c>
      <c r="J129" s="11">
        <f>IFERROR(VLOOKUP($D129,'Parámetros'!$A$41:$C$89,2,FALSE),"")</f>
        <v>1.2</v>
      </c>
      <c r="K129" t="inlineStr">
        <is>
          <t>kg</t>
        </is>
      </c>
      <c r="L129" s="11">
        <f>IFERROR(I129/G129*J129,"")</f>
        <v>0.12244897959183673</v>
      </c>
    </row>
    <row r="130">
      <c r="A130" t="inlineStr">
        <is>
          <t>T3</t>
        </is>
      </c>
      <c r="B130" t="inlineStr"/>
      <c r="C130" t="inlineStr"/>
      <c r="D130" t="inlineStr">
        <is>
          <t>Huevos (unidades)</t>
        </is>
      </c>
      <c r="E130" s="22" t="n">
        <v>2</v>
      </c>
      <c r="F130" t="inlineStr">
        <is>
          <t>ud</t>
        </is>
      </c>
      <c r="G130" s="9" t="n">
        <v>12</v>
      </c>
      <c r="H130" s="18" t="n">
        <v>0</v>
      </c>
      <c r="I130" s="23">
        <f>IFERROR(E130/(1-H130),"")</f>
        <v>2.0</v>
      </c>
      <c r="J130" s="11">
        <f>IFERROR(VLOOKUP($D130,'Parámetros'!$A$41:$C$89,2,FALSE),"")</f>
        <v>3.6</v>
      </c>
      <c r="K130" t="inlineStr">
        <is>
          <t>docena</t>
        </is>
      </c>
      <c r="L130" s="11">
        <f>IFERROR(I130/G130*J130,"")</f>
        <v>0.6</v>
      </c>
    </row>
    <row r="131">
      <c r="A131" t="inlineStr">
        <is>
          <t>T3</t>
        </is>
      </c>
      <c r="B131" t="inlineStr"/>
      <c r="C131" t="inlineStr"/>
      <c r="D131" t="inlineStr">
        <is>
          <t>Manzana</t>
        </is>
      </c>
      <c r="E131" s="22" t="n">
        <v>1.1</v>
      </c>
      <c r="F131" t="inlineStr">
        <is>
          <t>kg</t>
        </is>
      </c>
      <c r="G131" s="9" t="n">
        <v>1</v>
      </c>
      <c r="H131" s="18" t="n">
        <v>0.22</v>
      </c>
      <c r="I131" s="23">
        <f>IFERROR(E131/(1-H131),"")</f>
        <v>1.4102564102564104</v>
      </c>
      <c r="J131" s="11">
        <f>IFERROR(VLOOKUP($D131,'Parámetros'!$A$41:$C$89,2,FALSE),"")</f>
        <v>1.6</v>
      </c>
      <c r="K131" t="inlineStr">
        <is>
          <t>kg</t>
        </is>
      </c>
      <c r="L131" s="11">
        <f>IFERROR(I131/G131*J131,"")</f>
        <v>2.256410256410257</v>
      </c>
    </row>
    <row r="132">
      <c r="A132" t="inlineStr">
        <is>
          <t>T3</t>
        </is>
      </c>
      <c r="B132" t="inlineStr"/>
      <c r="C132" t="inlineStr"/>
      <c r="D132" t="inlineStr">
        <is>
          <t>Mermelada de albaricoque</t>
        </is>
      </c>
      <c r="E132" s="22" t="n">
        <v>0.1</v>
      </c>
      <c r="F132" t="inlineStr">
        <is>
          <t>kg</t>
        </is>
      </c>
      <c r="G132" s="9" t="n">
        <v>1</v>
      </c>
      <c r="H132" s="18" t="n">
        <v>0.02</v>
      </c>
      <c r="I132" s="23">
        <f>IFERROR(E132/(1-H132),"")</f>
        <v>0.10204081632653061</v>
      </c>
      <c r="J132" s="11">
        <f>IFERROR(VLOOKUP($D132,'Parámetros'!$A$41:$C$89,2,FALSE),"")</f>
        <v>4.2</v>
      </c>
      <c r="K132" t="inlineStr">
        <is>
          <t>kg</t>
        </is>
      </c>
      <c r="L132" s="11">
        <f>IFERROR(I132/G132*J132,"")</f>
        <v>0.4285714285714286</v>
      </c>
    </row>
    <row r="133">
      <c r="A133" t="inlineStr">
        <is>
          <t>T3</t>
        </is>
      </c>
      <c r="B133" t="inlineStr"/>
      <c r="C133" t="inlineStr"/>
      <c r="D133" t="inlineStr">
        <is>
          <t>Canela molida</t>
        </is>
      </c>
      <c r="E133" s="22" t="n">
        <v>0.003</v>
      </c>
      <c r="F133" t="inlineStr">
        <is>
          <t>kg</t>
        </is>
      </c>
      <c r="G133" s="9" t="n">
        <v>1</v>
      </c>
      <c r="H133" s="18" t="n">
        <v>0</v>
      </c>
      <c r="I133" s="23">
        <f>IFERROR(E133/(1-H133),"")</f>
        <v>0.003</v>
      </c>
      <c r="J133" s="11">
        <f>IFERROR(VLOOKUP($D133,'Parámetros'!$A$41:$C$89,2,FALSE),"")</f>
        <v>18.0</v>
      </c>
      <c r="K133" t="inlineStr">
        <is>
          <t>kg</t>
        </is>
      </c>
      <c r="L133" s="11">
        <f>IFERROR(I133/G133*J133,"")</f>
        <v>0.054</v>
      </c>
    </row>
    <row r="134">
      <c r="A134" t="inlineStr">
        <is>
          <t>T4</t>
        </is>
      </c>
      <c r="B134" t="inlineStr">
        <is>
          <t>Tarta de zanahoria</t>
        </is>
      </c>
      <c r="C134" t="inlineStr">
        <is>
          <t>Tartas y entremets</t>
        </is>
      </c>
      <c r="D134" t="inlineStr">
        <is>
          <t>Zanahoria</t>
        </is>
      </c>
      <c r="E134" s="22" t="n">
        <v>0.55</v>
      </c>
      <c r="F134" t="inlineStr">
        <is>
          <t>kg</t>
        </is>
      </c>
      <c r="G134" s="9" t="n">
        <v>1</v>
      </c>
      <c r="H134" s="18" t="n">
        <v>0.2</v>
      </c>
      <c r="I134" s="23">
        <f>IFERROR(E134/(1-H134),"")</f>
        <v>0.6875</v>
      </c>
      <c r="J134" s="11">
        <f>IFERROR(VLOOKUP($D134,'Parámetros'!$A$41:$C$89,2,FALSE),"")</f>
        <v>1.1</v>
      </c>
      <c r="K134" t="inlineStr">
        <is>
          <t>kg</t>
        </is>
      </c>
      <c r="L134" s="11">
        <f>IFERROR(I134/G134*J134,"")</f>
        <v>0.7562500000000001</v>
      </c>
      <c r="M134" s="12" t="inlineStr">
        <is>
          <t>supuesto</t>
        </is>
      </c>
    </row>
    <row r="135">
      <c r="A135" t="inlineStr">
        <is>
          <t>T4</t>
        </is>
      </c>
      <c r="B135" t="inlineStr"/>
      <c r="C135" t="inlineStr"/>
      <c r="D135" t="inlineStr">
        <is>
          <t>Harina floja</t>
        </is>
      </c>
      <c r="E135" s="22" t="n">
        <v>0.3</v>
      </c>
      <c r="F135" t="inlineStr">
        <is>
          <t>kg</t>
        </is>
      </c>
      <c r="G135" s="9" t="n">
        <v>1</v>
      </c>
      <c r="H135" s="18" t="n">
        <v>0.08</v>
      </c>
      <c r="I135" s="23">
        <f>IFERROR(E135/(1-H135),"")</f>
        <v>0.3260869565217391</v>
      </c>
      <c r="J135" s="11">
        <f>IFERROR(VLOOKUP($D135,'Parámetros'!$A$41:$C$89,2,FALSE),"")</f>
        <v>0.9</v>
      </c>
      <c r="K135" t="inlineStr">
        <is>
          <t>kg</t>
        </is>
      </c>
      <c r="L135" s="11">
        <f>IFERROR(I135/G135*J135,"")</f>
        <v>0.2934782608695652</v>
      </c>
    </row>
    <row r="136">
      <c r="A136" t="inlineStr">
        <is>
          <t>T4</t>
        </is>
      </c>
      <c r="B136" t="inlineStr"/>
      <c r="C136" t="inlineStr"/>
      <c r="D136" t="inlineStr">
        <is>
          <t>Azúcar</t>
        </is>
      </c>
      <c r="E136" s="22" t="n">
        <v>0.28</v>
      </c>
      <c r="F136" t="inlineStr">
        <is>
          <t>kg</t>
        </is>
      </c>
      <c r="G136" s="9" t="n">
        <v>1</v>
      </c>
      <c r="H136" s="18" t="n">
        <v>0.02</v>
      </c>
      <c r="I136" s="23">
        <f>IFERROR(E136/(1-H136),"")</f>
        <v>0.28571428571428575</v>
      </c>
      <c r="J136" s="11">
        <f>IFERROR(VLOOKUP($D136,'Parámetros'!$A$41:$C$89,2,FALSE),"")</f>
        <v>1.2</v>
      </c>
      <c r="K136" t="inlineStr">
        <is>
          <t>kg</t>
        </is>
      </c>
      <c r="L136" s="11">
        <f>IFERROR(I136/G136*J136,"")</f>
        <v>0.3428571428571429</v>
      </c>
    </row>
    <row r="137">
      <c r="A137" t="inlineStr">
        <is>
          <t>T4</t>
        </is>
      </c>
      <c r="B137" t="inlineStr"/>
      <c r="C137" t="inlineStr"/>
      <c r="D137" t="inlineStr">
        <is>
          <t>Aceite de girasol</t>
        </is>
      </c>
      <c r="E137" s="22" t="n">
        <v>0.22</v>
      </c>
      <c r="F137" t="inlineStr">
        <is>
          <t>L</t>
        </is>
      </c>
      <c r="G137" s="9" t="n">
        <v>1</v>
      </c>
      <c r="H137" s="18" t="n">
        <v>0</v>
      </c>
      <c r="I137" s="23">
        <f>IFERROR(E137/(1-H137),"")</f>
        <v>0.22</v>
      </c>
      <c r="J137" s="11">
        <f>IFERROR(VLOOKUP($D137,'Parámetros'!$A$41:$C$89,2,FALSE),"")</f>
        <v>1.8</v>
      </c>
      <c r="K137" t="inlineStr">
        <is>
          <t>L</t>
        </is>
      </c>
      <c r="L137" s="11">
        <f>IFERROR(I137/G137*J137,"")</f>
        <v>0.396</v>
      </c>
    </row>
    <row r="138">
      <c r="A138" t="inlineStr">
        <is>
          <t>T4</t>
        </is>
      </c>
      <c r="B138" t="inlineStr"/>
      <c r="C138" t="inlineStr"/>
      <c r="D138" t="inlineStr">
        <is>
          <t>Huevos (unidades)</t>
        </is>
      </c>
      <c r="E138" s="22" t="n">
        <v>4</v>
      </c>
      <c r="F138" t="inlineStr">
        <is>
          <t>ud</t>
        </is>
      </c>
      <c r="G138" s="9" t="n">
        <v>12</v>
      </c>
      <c r="H138" s="18" t="n">
        <v>0</v>
      </c>
      <c r="I138" s="23">
        <f>IFERROR(E138/(1-H138),"")</f>
        <v>4.0</v>
      </c>
      <c r="J138" s="11">
        <f>IFERROR(VLOOKUP($D138,'Parámetros'!$A$41:$C$89,2,FALSE),"")</f>
        <v>3.6</v>
      </c>
      <c r="K138" t="inlineStr">
        <is>
          <t>docena</t>
        </is>
      </c>
      <c r="L138" s="11">
        <f>IFERROR(I138/G138*J138,"")</f>
        <v>1.2</v>
      </c>
    </row>
    <row r="139">
      <c r="A139" t="inlineStr">
        <is>
          <t>T4</t>
        </is>
      </c>
      <c r="B139" t="inlineStr"/>
      <c r="C139" t="inlineStr"/>
      <c r="D139" t="inlineStr">
        <is>
          <t>Nueces</t>
        </is>
      </c>
      <c r="E139" s="22" t="n">
        <v>0.1</v>
      </c>
      <c r="F139" t="inlineStr">
        <is>
          <t>kg</t>
        </is>
      </c>
      <c r="G139" s="9" t="n">
        <v>1</v>
      </c>
      <c r="H139" s="18" t="n">
        <v>0.05</v>
      </c>
      <c r="I139" s="23">
        <f>IFERROR(E139/(1-H139),"")</f>
        <v>0.10526315789473685</v>
      </c>
      <c r="J139" s="11">
        <f>IFERROR(VLOOKUP($D139,'Parámetros'!$A$41:$C$89,2,FALSE),"")</f>
        <v>15.0</v>
      </c>
      <c r="K139" t="inlineStr">
        <is>
          <t>kg</t>
        </is>
      </c>
      <c r="L139" s="11">
        <f>IFERROR(I139/G139*J139,"")</f>
        <v>1.5789473684210527</v>
      </c>
    </row>
    <row r="140">
      <c r="A140" t="inlineStr">
        <is>
          <t>T4</t>
        </is>
      </c>
      <c r="B140" t="inlineStr"/>
      <c r="C140" t="inlineStr"/>
      <c r="D140" t="inlineStr">
        <is>
          <t>Canela molida</t>
        </is>
      </c>
      <c r="E140" s="22" t="n">
        <v>0.005</v>
      </c>
      <c r="F140" t="inlineStr">
        <is>
          <t>kg</t>
        </is>
      </c>
      <c r="G140" s="9" t="n">
        <v>1</v>
      </c>
      <c r="H140" s="18" t="n">
        <v>0</v>
      </c>
      <c r="I140" s="23">
        <f>IFERROR(E140/(1-H140),"")</f>
        <v>0.005</v>
      </c>
      <c r="J140" s="11">
        <f>IFERROR(VLOOKUP($D140,'Parámetros'!$A$41:$C$89,2,FALSE),"")</f>
        <v>18.0</v>
      </c>
      <c r="K140" t="inlineStr">
        <is>
          <t>kg</t>
        </is>
      </c>
      <c r="L140" s="11">
        <f>IFERROR(I140/G140*J140,"")</f>
        <v>0.09</v>
      </c>
    </row>
    <row r="141">
      <c r="A141" t="inlineStr">
        <is>
          <t>T4</t>
        </is>
      </c>
      <c r="B141" t="inlineStr"/>
      <c r="C141" t="inlineStr"/>
      <c r="D141" t="inlineStr">
        <is>
          <t>Levadura química (impulsor)</t>
        </is>
      </c>
      <c r="E141" s="22" t="n">
        <v>0.012</v>
      </c>
      <c r="F141" t="inlineStr">
        <is>
          <t>kg</t>
        </is>
      </c>
      <c r="G141" s="9" t="n">
        <v>1</v>
      </c>
      <c r="H141" s="18" t="n">
        <v>0</v>
      </c>
      <c r="I141" s="23">
        <f>IFERROR(E141/(1-H141),"")</f>
        <v>0.012</v>
      </c>
      <c r="J141" s="11">
        <f>IFERROR(VLOOKUP($D141,'Parámetros'!$A$41:$C$89,2,FALSE),"")</f>
        <v>8.5</v>
      </c>
      <c r="K141" t="inlineStr">
        <is>
          <t>kg</t>
        </is>
      </c>
      <c r="L141" s="11">
        <f>IFERROR(I141/G141*J141,"")</f>
        <v>0.10200000000000001</v>
      </c>
    </row>
    <row r="142">
      <c r="A142" t="inlineStr">
        <is>
          <t>T4</t>
        </is>
      </c>
      <c r="B142" t="inlineStr"/>
      <c r="C142" t="inlineStr"/>
      <c r="D142" t="inlineStr">
        <is>
          <t>Queso crema</t>
        </is>
      </c>
      <c r="E142" s="22" t="n">
        <v>0.35</v>
      </c>
      <c r="F142" t="inlineStr">
        <is>
          <t>kg</t>
        </is>
      </c>
      <c r="G142" s="9" t="n">
        <v>1</v>
      </c>
      <c r="H142" s="18" t="n">
        <v>0.02</v>
      </c>
      <c r="I142" s="23">
        <f>IFERROR(E142/(1-H142),"")</f>
        <v>0.35714285714285715</v>
      </c>
      <c r="J142" s="11">
        <f>IFERROR(VLOOKUP($D142,'Parámetros'!$A$41:$C$89,2,FALSE),"")</f>
        <v>8.9</v>
      </c>
      <c r="K142" t="inlineStr">
        <is>
          <t>kg</t>
        </is>
      </c>
      <c r="L142" s="11">
        <f>IFERROR(I142/G142*J142,"")</f>
        <v>3.178571428571429</v>
      </c>
    </row>
    <row r="143">
      <c r="A143" t="inlineStr">
        <is>
          <t>T4</t>
        </is>
      </c>
      <c r="B143" t="inlineStr"/>
      <c r="C143" t="inlineStr"/>
      <c r="D143" t="inlineStr">
        <is>
          <t>Azúcar glas</t>
        </is>
      </c>
      <c r="E143" s="22" t="n">
        <v>0.14</v>
      </c>
      <c r="F143" t="inlineStr">
        <is>
          <t>kg</t>
        </is>
      </c>
      <c r="G143" s="9" t="n">
        <v>1</v>
      </c>
      <c r="H143" s="18" t="n">
        <v>0.02</v>
      </c>
      <c r="I143" s="23">
        <f>IFERROR(E143/(1-H143),"")</f>
        <v>0.14285714285714288</v>
      </c>
      <c r="J143" s="11">
        <f>IFERROR(VLOOKUP($D143,'Parámetros'!$A$41:$C$89,2,FALSE),"")</f>
        <v>2.5</v>
      </c>
      <c r="K143" t="inlineStr">
        <is>
          <t>kg</t>
        </is>
      </c>
      <c r="L143" s="11">
        <f>IFERROR(I143/G143*J143,"")</f>
        <v>0.3571428571428572</v>
      </c>
    </row>
    <row r="144">
      <c r="A144" t="inlineStr">
        <is>
          <t>T4</t>
        </is>
      </c>
      <c r="B144" t="inlineStr"/>
      <c r="C144" t="inlineStr"/>
      <c r="D144" t="inlineStr">
        <is>
          <t>Mantequilla</t>
        </is>
      </c>
      <c r="E144" s="22" t="n">
        <v>0.08</v>
      </c>
      <c r="F144" t="inlineStr">
        <is>
          <t>kg</t>
        </is>
      </c>
      <c r="G144" s="9" t="n">
        <v>1</v>
      </c>
      <c r="H144" s="18" t="n">
        <v>0.03</v>
      </c>
      <c r="I144" s="23">
        <f>IFERROR(E144/(1-H144),"")</f>
        <v>0.08247422680412371</v>
      </c>
      <c r="J144" s="11">
        <f>IFERROR(VLOOKUP($D144,'Parámetros'!$A$41:$C$89,2,FALSE),"")</f>
        <v>9.0</v>
      </c>
      <c r="K144" t="inlineStr">
        <is>
          <t>kg</t>
        </is>
      </c>
      <c r="L144" s="11">
        <f>IFERROR(I144/G144*J144,"")</f>
        <v>0.7422680412371134</v>
      </c>
    </row>
    <row r="145">
      <c r="A145" t="inlineStr">
        <is>
          <t>T5</t>
        </is>
      </c>
      <c r="B145" t="inlineStr">
        <is>
          <t>Tarta Sacher</t>
        </is>
      </c>
      <c r="C145" t="inlineStr">
        <is>
          <t>Tartas y entremets</t>
        </is>
      </c>
      <c r="D145" t="inlineStr">
        <is>
          <t>Chocolate negro 70%</t>
        </is>
      </c>
      <c r="E145" s="22" t="n">
        <v>0.3</v>
      </c>
      <c r="F145" t="inlineStr">
        <is>
          <t>kg</t>
        </is>
      </c>
      <c r="G145" s="9" t="n">
        <v>1</v>
      </c>
      <c r="H145" s="18" t="n">
        <v>0.02</v>
      </c>
      <c r="I145" s="23">
        <f>IFERROR(E145/(1-H145),"")</f>
        <v>0.30612244897959184</v>
      </c>
      <c r="J145" s="11">
        <f>IFERROR(VLOOKUP($D145,'Parámetros'!$A$41:$C$89,2,FALSE),"")</f>
        <v>18.0</v>
      </c>
      <c r="K145" t="inlineStr">
        <is>
          <t>kg</t>
        </is>
      </c>
      <c r="L145" s="11">
        <f>IFERROR(I145/G145*J145,"")</f>
        <v>5.510204081632653</v>
      </c>
      <c r="M145" s="12" t="inlineStr">
        <is>
          <t>supuesto</t>
        </is>
      </c>
    </row>
    <row r="146">
      <c r="A146" t="inlineStr">
        <is>
          <t>T5</t>
        </is>
      </c>
      <c r="B146" t="inlineStr"/>
      <c r="C146" t="inlineStr"/>
      <c r="D146" t="inlineStr">
        <is>
          <t>Mantequilla</t>
        </is>
      </c>
      <c r="E146" s="22" t="n">
        <v>0.18</v>
      </c>
      <c r="F146" t="inlineStr">
        <is>
          <t>kg</t>
        </is>
      </c>
      <c r="G146" s="9" t="n">
        <v>1</v>
      </c>
      <c r="H146" s="18" t="n">
        <v>0.03</v>
      </c>
      <c r="I146" s="23">
        <f>IFERROR(E146/(1-H146),"")</f>
        <v>0.18556701030927836</v>
      </c>
      <c r="J146" s="11">
        <f>IFERROR(VLOOKUP($D146,'Parámetros'!$A$41:$C$89,2,FALSE),"")</f>
        <v>9.0</v>
      </c>
      <c r="K146" t="inlineStr">
        <is>
          <t>kg</t>
        </is>
      </c>
      <c r="L146" s="11">
        <f>IFERROR(I146/G146*J146,"")</f>
        <v>1.6701030927835052</v>
      </c>
    </row>
    <row r="147">
      <c r="A147" t="inlineStr">
        <is>
          <t>T5</t>
        </is>
      </c>
      <c r="B147" t="inlineStr"/>
      <c r="C147" t="inlineStr"/>
      <c r="D147" t="inlineStr">
        <is>
          <t>Azúcar</t>
        </is>
      </c>
      <c r="E147" s="22" t="n">
        <v>0.2</v>
      </c>
      <c r="F147" t="inlineStr">
        <is>
          <t>kg</t>
        </is>
      </c>
      <c r="G147" s="9" t="n">
        <v>1</v>
      </c>
      <c r="H147" s="18" t="n">
        <v>0.02</v>
      </c>
      <c r="I147" s="23">
        <f>IFERROR(E147/(1-H147),"")</f>
        <v>0.20408163265306123</v>
      </c>
      <c r="J147" s="11">
        <f>IFERROR(VLOOKUP($D147,'Parámetros'!$A$41:$C$89,2,FALSE),"")</f>
        <v>1.2</v>
      </c>
      <c r="K147" t="inlineStr">
        <is>
          <t>kg</t>
        </is>
      </c>
      <c r="L147" s="11">
        <f>IFERROR(I147/G147*J147,"")</f>
        <v>0.24489795918367346</v>
      </c>
    </row>
    <row r="148">
      <c r="A148" t="inlineStr">
        <is>
          <t>T5</t>
        </is>
      </c>
      <c r="B148" t="inlineStr"/>
      <c r="C148" t="inlineStr"/>
      <c r="D148" t="inlineStr">
        <is>
          <t>Huevos (unidades)</t>
        </is>
      </c>
      <c r="E148" s="22" t="n">
        <v>6</v>
      </c>
      <c r="F148" t="inlineStr">
        <is>
          <t>ud</t>
        </is>
      </c>
      <c r="G148" s="9" t="n">
        <v>12</v>
      </c>
      <c r="H148" s="18" t="n">
        <v>0</v>
      </c>
      <c r="I148" s="23">
        <f>IFERROR(E148/(1-H148),"")</f>
        <v>6.0</v>
      </c>
      <c r="J148" s="11">
        <f>IFERROR(VLOOKUP($D148,'Parámetros'!$A$41:$C$89,2,FALSE),"")</f>
        <v>3.6</v>
      </c>
      <c r="K148" t="inlineStr">
        <is>
          <t>docena</t>
        </is>
      </c>
      <c r="L148" s="11">
        <f>IFERROR(I148/G148*J148,"")</f>
        <v>1.8</v>
      </c>
    </row>
    <row r="149">
      <c r="A149" t="inlineStr">
        <is>
          <t>T5</t>
        </is>
      </c>
      <c r="B149" t="inlineStr"/>
      <c r="C149" t="inlineStr"/>
      <c r="D149" t="inlineStr">
        <is>
          <t>Harina floja</t>
        </is>
      </c>
      <c r="E149" s="22" t="n">
        <v>0.14</v>
      </c>
      <c r="F149" t="inlineStr">
        <is>
          <t>kg</t>
        </is>
      </c>
      <c r="G149" s="9" t="n">
        <v>1</v>
      </c>
      <c r="H149" s="18" t="n">
        <v>0.08</v>
      </c>
      <c r="I149" s="23">
        <f>IFERROR(E149/(1-H149),"")</f>
        <v>0.15217391304347827</v>
      </c>
      <c r="J149" s="11">
        <f>IFERROR(VLOOKUP($D149,'Parámetros'!$A$41:$C$89,2,FALSE),"")</f>
        <v>0.9</v>
      </c>
      <c r="K149" t="inlineStr">
        <is>
          <t>kg</t>
        </is>
      </c>
      <c r="L149" s="11">
        <f>IFERROR(I149/G149*J149,"")</f>
        <v>0.13695652173913045</v>
      </c>
    </row>
    <row r="150">
      <c r="A150" t="inlineStr">
        <is>
          <t>T5</t>
        </is>
      </c>
      <c r="B150" t="inlineStr"/>
      <c r="C150" t="inlineStr"/>
      <c r="D150" t="inlineStr">
        <is>
          <t>Mermelada de albaricoque</t>
        </is>
      </c>
      <c r="E150" s="22" t="n">
        <v>0.2</v>
      </c>
      <c r="F150" t="inlineStr">
        <is>
          <t>kg</t>
        </is>
      </c>
      <c r="G150" s="9" t="n">
        <v>1</v>
      </c>
      <c r="H150" s="18" t="n">
        <v>0.02</v>
      </c>
      <c r="I150" s="23">
        <f>IFERROR(E150/(1-H150),"")</f>
        <v>0.20408163265306123</v>
      </c>
      <c r="J150" s="11">
        <f>IFERROR(VLOOKUP($D150,'Parámetros'!$A$41:$C$89,2,FALSE),"")</f>
        <v>4.2</v>
      </c>
      <c r="K150" t="inlineStr">
        <is>
          <t>kg</t>
        </is>
      </c>
      <c r="L150" s="11">
        <f>IFERROR(I150/G150*J150,"")</f>
        <v>0.8571428571428572</v>
      </c>
    </row>
    <row r="151">
      <c r="A151" t="inlineStr">
        <is>
          <t>T5</t>
        </is>
      </c>
      <c r="B151" t="inlineStr"/>
      <c r="C151" t="inlineStr"/>
      <c r="D151" t="inlineStr">
        <is>
          <t>Nata 35% MG</t>
        </is>
      </c>
      <c r="E151" s="22" t="n">
        <v>0.12</v>
      </c>
      <c r="F151" t="inlineStr">
        <is>
          <t>L</t>
        </is>
      </c>
      <c r="G151" s="9" t="n">
        <v>1</v>
      </c>
      <c r="H151" s="18" t="n">
        <v>0.03</v>
      </c>
      <c r="I151" s="23">
        <f>IFERROR(E151/(1-H151),"")</f>
        <v>0.12371134020618557</v>
      </c>
      <c r="J151" s="11">
        <f>IFERROR(VLOOKUP($D151,'Parámetros'!$A$41:$C$89,2,FALSE),"")</f>
        <v>3.8</v>
      </c>
      <c r="K151" t="inlineStr">
        <is>
          <t>L</t>
        </is>
      </c>
      <c r="L151" s="11">
        <f>IFERROR(I151/G151*J151,"")</f>
        <v>0.47010309278350515</v>
      </c>
    </row>
    <row r="152">
      <c r="A152" t="inlineStr">
        <is>
          <t>T6</t>
        </is>
      </c>
      <c r="B152" t="inlineStr">
        <is>
          <t>Tarta de nata y fresas</t>
        </is>
      </c>
      <c r="C152" t="inlineStr">
        <is>
          <t>Tartas y entremets</t>
        </is>
      </c>
      <c r="D152" t="inlineStr">
        <is>
          <t>Harina floja</t>
        </is>
      </c>
      <c r="E152" s="22" t="n">
        <v>0.16</v>
      </c>
      <c r="F152" t="inlineStr">
        <is>
          <t>kg</t>
        </is>
      </c>
      <c r="G152" s="9" t="n">
        <v>1</v>
      </c>
      <c r="H152" s="18" t="n">
        <v>0.08</v>
      </c>
      <c r="I152" s="23">
        <f>IFERROR(E152/(1-H152),"")</f>
        <v>0.17391304347826086</v>
      </c>
      <c r="J152" s="11">
        <f>IFERROR(VLOOKUP($D152,'Parámetros'!$A$41:$C$89,2,FALSE),"")</f>
        <v>0.9</v>
      </c>
      <c r="K152" t="inlineStr">
        <is>
          <t>kg</t>
        </is>
      </c>
      <c r="L152" s="11">
        <f>IFERROR(I152/G152*J152,"")</f>
        <v>0.1565217391304348</v>
      </c>
      <c r="M152" s="12" t="inlineStr">
        <is>
          <t>supuesto</t>
        </is>
      </c>
    </row>
    <row r="153">
      <c r="A153" t="inlineStr">
        <is>
          <t>T6</t>
        </is>
      </c>
      <c r="B153" t="inlineStr"/>
      <c r="C153" t="inlineStr"/>
      <c r="D153" t="inlineStr">
        <is>
          <t>Azúcar</t>
        </is>
      </c>
      <c r="E153" s="22" t="n">
        <v>0.2</v>
      </c>
      <c r="F153" t="inlineStr">
        <is>
          <t>kg</t>
        </is>
      </c>
      <c r="G153" s="9" t="n">
        <v>1</v>
      </c>
      <c r="H153" s="18" t="n">
        <v>0.02</v>
      </c>
      <c r="I153" s="23">
        <f>IFERROR(E153/(1-H153),"")</f>
        <v>0.20408163265306123</v>
      </c>
      <c r="J153" s="11">
        <f>IFERROR(VLOOKUP($D153,'Parámetros'!$A$41:$C$89,2,FALSE),"")</f>
        <v>1.2</v>
      </c>
      <c r="K153" t="inlineStr">
        <is>
          <t>kg</t>
        </is>
      </c>
      <c r="L153" s="11">
        <f>IFERROR(I153/G153*J153,"")</f>
        <v>0.24489795918367346</v>
      </c>
    </row>
    <row r="154">
      <c r="A154" t="inlineStr">
        <is>
          <t>T6</t>
        </is>
      </c>
      <c r="B154" t="inlineStr"/>
      <c r="C154" t="inlineStr"/>
      <c r="D154" t="inlineStr">
        <is>
          <t>Huevos (unidades)</t>
        </is>
      </c>
      <c r="E154" s="22" t="n">
        <v>6</v>
      </c>
      <c r="F154" t="inlineStr">
        <is>
          <t>ud</t>
        </is>
      </c>
      <c r="G154" s="9" t="n">
        <v>12</v>
      </c>
      <c r="H154" s="18" t="n">
        <v>0</v>
      </c>
      <c r="I154" s="23">
        <f>IFERROR(E154/(1-H154),"")</f>
        <v>6.0</v>
      </c>
      <c r="J154" s="11">
        <f>IFERROR(VLOOKUP($D154,'Parámetros'!$A$41:$C$89,2,FALSE),"")</f>
        <v>3.6</v>
      </c>
      <c r="K154" t="inlineStr">
        <is>
          <t>docena</t>
        </is>
      </c>
      <c r="L154" s="11">
        <f>IFERROR(I154/G154*J154,"")</f>
        <v>1.8</v>
      </c>
    </row>
    <row r="155">
      <c r="A155" t="inlineStr">
        <is>
          <t>T6</t>
        </is>
      </c>
      <c r="B155" t="inlineStr"/>
      <c r="C155" t="inlineStr"/>
      <c r="D155" t="inlineStr">
        <is>
          <t>Nata 35% MG</t>
        </is>
      </c>
      <c r="E155" s="22" t="n">
        <v>0.75</v>
      </c>
      <c r="F155" t="inlineStr">
        <is>
          <t>L</t>
        </is>
      </c>
      <c r="G155" s="9" t="n">
        <v>1</v>
      </c>
      <c r="H155" s="18" t="n">
        <v>0.03</v>
      </c>
      <c r="I155" s="23">
        <f>IFERROR(E155/(1-H155),"")</f>
        <v>0.7731958762886598</v>
      </c>
      <c r="J155" s="11">
        <f>IFERROR(VLOOKUP($D155,'Parámetros'!$A$41:$C$89,2,FALSE),"")</f>
        <v>3.8</v>
      </c>
      <c r="K155" t="inlineStr">
        <is>
          <t>L</t>
        </is>
      </c>
      <c r="L155" s="11">
        <f>IFERROR(I155/G155*J155,"")</f>
        <v>2.938144329896907</v>
      </c>
    </row>
    <row r="156">
      <c r="A156" t="inlineStr">
        <is>
          <t>T6</t>
        </is>
      </c>
      <c r="B156" t="inlineStr"/>
      <c r="C156" t="inlineStr"/>
      <c r="D156" t="inlineStr">
        <is>
          <t>Azúcar glas</t>
        </is>
      </c>
      <c r="E156" s="22" t="n">
        <v>0.08</v>
      </c>
      <c r="F156" t="inlineStr">
        <is>
          <t>kg</t>
        </is>
      </c>
      <c r="G156" s="9" t="n">
        <v>1</v>
      </c>
      <c r="H156" s="18" t="n">
        <v>0.02</v>
      </c>
      <c r="I156" s="23">
        <f>IFERROR(E156/(1-H156),"")</f>
        <v>0.0816326530612245</v>
      </c>
      <c r="J156" s="11">
        <f>IFERROR(VLOOKUP($D156,'Parámetros'!$A$41:$C$89,2,FALSE),"")</f>
        <v>2.5</v>
      </c>
      <c r="K156" t="inlineStr">
        <is>
          <t>kg</t>
        </is>
      </c>
      <c r="L156" s="11">
        <f>IFERROR(I156/G156*J156,"")</f>
        <v>0.20408163265306123</v>
      </c>
    </row>
    <row r="157">
      <c r="A157" t="inlineStr">
        <is>
          <t>T6</t>
        </is>
      </c>
      <c r="B157" t="inlineStr"/>
      <c r="C157" t="inlineStr"/>
      <c r="D157" t="inlineStr">
        <is>
          <t>Fresa fresca</t>
        </is>
      </c>
      <c r="E157" s="22" t="n">
        <v>0.45</v>
      </c>
      <c r="F157" t="inlineStr">
        <is>
          <t>kg</t>
        </is>
      </c>
      <c r="G157" s="9" t="n">
        <v>1</v>
      </c>
      <c r="H157" s="18" t="n">
        <v>0.12</v>
      </c>
      <c r="I157" s="23">
        <f>IFERROR(E157/(1-H157),"")</f>
        <v>0.5113636363636364</v>
      </c>
      <c r="J157" s="11">
        <f>IFERROR(VLOOKUP($D157,'Parámetros'!$A$41:$C$89,2,FALSE),"")</f>
        <v>6.2</v>
      </c>
      <c r="K157" t="inlineStr">
        <is>
          <t>kg</t>
        </is>
      </c>
      <c r="L157" s="11">
        <f>IFERROR(I157/G157*J157,"")</f>
        <v>3.1704545454545454</v>
      </c>
    </row>
    <row r="158">
      <c r="A158" t="inlineStr">
        <is>
          <t>T6</t>
        </is>
      </c>
      <c r="B158" t="inlineStr"/>
      <c r="C158" t="inlineStr"/>
      <c r="D158" t="inlineStr">
        <is>
          <t>Gelatina neutra de brillo</t>
        </is>
      </c>
      <c r="E158" s="22" t="n">
        <v>0.05</v>
      </c>
      <c r="F158" t="inlineStr">
        <is>
          <t>kg</t>
        </is>
      </c>
      <c r="G158" s="9" t="n">
        <v>1</v>
      </c>
      <c r="H158" s="18" t="n">
        <v>0.02</v>
      </c>
      <c r="I158" s="23">
        <f>IFERROR(E158/(1-H158),"")</f>
        <v>0.05102040816326531</v>
      </c>
      <c r="J158" s="11">
        <f>IFERROR(VLOOKUP($D158,'Parámetros'!$A$41:$C$89,2,FALSE),"")</f>
        <v>11.5</v>
      </c>
      <c r="K158" t="inlineStr">
        <is>
          <t>kg</t>
        </is>
      </c>
      <c r="L158" s="11">
        <f>IFERROR(I158/G158*J158,"")</f>
        <v>0.5867346938775511</v>
      </c>
    </row>
    <row r="159">
      <c r="A159" t="inlineStr">
        <is>
          <t>PA1</t>
        </is>
      </c>
      <c r="B159" t="inlineStr">
        <is>
          <t>Barra</t>
        </is>
      </c>
      <c r="C159" t="inlineStr">
        <is>
          <t>Panes de acompañamiento</t>
        </is>
      </c>
      <c r="D159" t="inlineStr">
        <is>
          <t>Harina panificable</t>
        </is>
      </c>
      <c r="E159" s="22" t="n">
        <v>6</v>
      </c>
      <c r="F159" t="inlineStr">
        <is>
          <t>kg</t>
        </is>
      </c>
      <c r="G159" s="9" t="n">
        <v>1</v>
      </c>
      <c r="H159" s="18" t="n">
        <v>0.03</v>
      </c>
      <c r="I159" s="23">
        <f>IFERROR(E159/(1-H159),"")</f>
        <v>6.185567010309279</v>
      </c>
      <c r="J159" s="11">
        <f>IFERROR(VLOOKUP($D159,'Parámetros'!$A$41:$C$89,2,FALSE),"")</f>
        <v>1.05</v>
      </c>
      <c r="K159" t="inlineStr">
        <is>
          <t>kg</t>
        </is>
      </c>
      <c r="L159" s="11">
        <f>IFERROR(I159/G159*J159,"")</f>
        <v>6.494845360824743</v>
      </c>
      <c r="M159" s="12" t="inlineStr">
        <is>
          <t>supuesto</t>
        </is>
      </c>
    </row>
    <row r="160">
      <c r="A160" t="inlineStr">
        <is>
          <t>PA1</t>
        </is>
      </c>
      <c r="B160" t="inlineStr"/>
      <c r="C160" t="inlineStr"/>
      <c r="D160" t="inlineStr">
        <is>
          <t>Levadura fresca</t>
        </is>
      </c>
      <c r="E160" s="22" t="n">
        <v>0.06</v>
      </c>
      <c r="F160" t="inlineStr">
        <is>
          <t>kg</t>
        </is>
      </c>
      <c r="G160" s="9" t="n">
        <v>1</v>
      </c>
      <c r="H160" s="18" t="n">
        <v>0.05</v>
      </c>
      <c r="I160" s="23">
        <f>IFERROR(E160/(1-H160),"")</f>
        <v>0.06315789473684211</v>
      </c>
      <c r="J160" s="11">
        <f>IFERROR(VLOOKUP($D160,'Parámetros'!$A$41:$C$89,2,FALSE),"")</f>
        <v>5.0</v>
      </c>
      <c r="K160" t="inlineStr">
        <is>
          <t>kg</t>
        </is>
      </c>
      <c r="L160" s="11">
        <f>IFERROR(I160/G160*J160,"")</f>
        <v>0.3157894736842105</v>
      </c>
    </row>
    <row r="161">
      <c r="A161" t="inlineStr">
        <is>
          <t>PA1</t>
        </is>
      </c>
      <c r="B161" t="inlineStr"/>
      <c r="C161" t="inlineStr"/>
      <c r="D161" t="inlineStr">
        <is>
          <t>Sal</t>
        </is>
      </c>
      <c r="E161" s="22" t="n">
        <v>0.12</v>
      </c>
      <c r="F161" t="inlineStr">
        <is>
          <t>kg</t>
        </is>
      </c>
      <c r="G161" s="9" t="n">
        <v>1</v>
      </c>
      <c r="H161" s="18" t="n">
        <v>0.02</v>
      </c>
      <c r="I161" s="23">
        <f>IFERROR(E161/(1-H161),"")</f>
        <v>0.12244897959183673</v>
      </c>
      <c r="J161" s="11">
        <f>IFERROR(VLOOKUP($D161,'Parámetros'!$A$41:$C$89,2,FALSE),"")</f>
        <v>0.6</v>
      </c>
      <c r="K161" t="inlineStr">
        <is>
          <t>kg</t>
        </is>
      </c>
      <c r="L161" s="11">
        <f>IFERROR(I161/G161*J161,"")</f>
        <v>0.07346938775510203</v>
      </c>
    </row>
    <row r="162">
      <c r="A162" t="inlineStr">
        <is>
          <t>PA2</t>
        </is>
      </c>
      <c r="B162" t="inlineStr">
        <is>
          <t>Chapata</t>
        </is>
      </c>
      <c r="C162" t="inlineStr">
        <is>
          <t>Panes de acompañamiento</t>
        </is>
      </c>
      <c r="D162" t="inlineStr">
        <is>
          <t>Harina panificable</t>
        </is>
      </c>
      <c r="E162" s="22" t="n">
        <v>4.2</v>
      </c>
      <c r="F162" t="inlineStr">
        <is>
          <t>kg</t>
        </is>
      </c>
      <c r="G162" s="9" t="n">
        <v>1</v>
      </c>
      <c r="H162" s="18" t="n">
        <v>0.03</v>
      </c>
      <c r="I162" s="23">
        <f>IFERROR(E162/(1-H162),"")</f>
        <v>4.3298969072164954</v>
      </c>
      <c r="J162" s="11">
        <f>IFERROR(VLOOKUP($D162,'Parámetros'!$A$41:$C$89,2,FALSE),"")</f>
        <v>1.05</v>
      </c>
      <c r="K162" t="inlineStr">
        <is>
          <t>kg</t>
        </is>
      </c>
      <c r="L162" s="11">
        <f>IFERROR(I162/G162*J162,"")</f>
        <v>4.54639175257732</v>
      </c>
      <c r="M162" s="12" t="inlineStr">
        <is>
          <t>supuesto</t>
        </is>
      </c>
    </row>
    <row r="163">
      <c r="A163" t="inlineStr">
        <is>
          <t>PA2</t>
        </is>
      </c>
      <c r="B163" t="inlineStr"/>
      <c r="C163" t="inlineStr"/>
      <c r="D163" t="inlineStr">
        <is>
          <t>Levadura fresca</t>
        </is>
      </c>
      <c r="E163" s="22" t="n">
        <v>0.03</v>
      </c>
      <c r="F163" t="inlineStr">
        <is>
          <t>kg</t>
        </is>
      </c>
      <c r="G163" s="9" t="n">
        <v>1</v>
      </c>
      <c r="H163" s="18" t="n">
        <v>0.05</v>
      </c>
      <c r="I163" s="23">
        <f>IFERROR(E163/(1-H163),"")</f>
        <v>0.031578947368421054</v>
      </c>
      <c r="J163" s="11">
        <f>IFERROR(VLOOKUP($D163,'Parámetros'!$A$41:$C$89,2,FALSE),"")</f>
        <v>5.0</v>
      </c>
      <c r="K163" t="inlineStr">
        <is>
          <t>kg</t>
        </is>
      </c>
      <c r="L163" s="11">
        <f>IFERROR(I163/G163*J163,"")</f>
        <v>0.15789473684210525</v>
      </c>
    </row>
    <row r="164">
      <c r="A164" t="inlineStr">
        <is>
          <t>PA2</t>
        </is>
      </c>
      <c r="B164" t="inlineStr"/>
      <c r="C164" t="inlineStr"/>
      <c r="D164" t="inlineStr">
        <is>
          <t>Sal</t>
        </is>
      </c>
      <c r="E164" s="22" t="n">
        <v>0.09</v>
      </c>
      <c r="F164" t="inlineStr">
        <is>
          <t>kg</t>
        </is>
      </c>
      <c r="G164" s="9" t="n">
        <v>1</v>
      </c>
      <c r="H164" s="18" t="n">
        <v>0.02</v>
      </c>
      <c r="I164" s="23">
        <f>IFERROR(E164/(1-H164),"")</f>
        <v>0.09183673469387756</v>
      </c>
      <c r="J164" s="11">
        <f>IFERROR(VLOOKUP($D164,'Parámetros'!$A$41:$C$89,2,FALSE),"")</f>
        <v>0.6</v>
      </c>
      <c r="K164" t="inlineStr">
        <is>
          <t>kg</t>
        </is>
      </c>
      <c r="L164" s="11">
        <f>IFERROR(I164/G164*J164,"")</f>
        <v>0.05510204081632653</v>
      </c>
    </row>
    <row r="165">
      <c r="A165" t="inlineStr">
        <is>
          <t>PA2</t>
        </is>
      </c>
      <c r="B165" t="inlineStr"/>
      <c r="C165" t="inlineStr"/>
      <c r="D165" t="inlineStr">
        <is>
          <t>Aceite de oliva virgen extra</t>
        </is>
      </c>
      <c r="E165" s="22" t="n">
        <v>0.05</v>
      </c>
      <c r="F165" t="inlineStr">
        <is>
          <t>L</t>
        </is>
      </c>
      <c r="G165" s="9" t="n">
        <v>1</v>
      </c>
      <c r="H165" s="18" t="n">
        <v>0</v>
      </c>
      <c r="I165" s="23">
        <f>IFERROR(E165/(1-H165),"")</f>
        <v>0.05</v>
      </c>
      <c r="J165" s="11">
        <f>IFERROR(VLOOKUP($D165,'Parámetros'!$A$41:$C$89,2,FALSE),"")</f>
        <v>7.2</v>
      </c>
      <c r="K165" t="inlineStr">
        <is>
          <t>L</t>
        </is>
      </c>
      <c r="L165" s="11">
        <f>IFERROR(I165/G165*J165,"")</f>
        <v>0.36000000000000004</v>
      </c>
    </row>
    <row r="166">
      <c r="A166" t="inlineStr">
        <is>
          <t>PA3</t>
        </is>
      </c>
      <c r="B166" t="inlineStr">
        <is>
          <t>Hogaza de masa madre</t>
        </is>
      </c>
      <c r="C166" t="inlineStr">
        <is>
          <t>Panes de acompañamiento</t>
        </is>
      </c>
      <c r="D166" t="inlineStr">
        <is>
          <t>Harina panificable</t>
        </is>
      </c>
      <c r="E166" s="22" t="n">
        <v>5.5</v>
      </c>
      <c r="F166" t="inlineStr">
        <is>
          <t>kg</t>
        </is>
      </c>
      <c r="G166" s="9" t="n">
        <v>1</v>
      </c>
      <c r="H166" s="18" t="n">
        <v>0.03</v>
      </c>
      <c r="I166" s="23">
        <f>IFERROR(E166/(1-H166),"")</f>
        <v>5.670103092783505</v>
      </c>
      <c r="J166" s="11">
        <f>IFERROR(VLOOKUP($D166,'Parámetros'!$A$41:$C$89,2,FALSE),"")</f>
        <v>1.05</v>
      </c>
      <c r="K166" t="inlineStr">
        <is>
          <t>kg</t>
        </is>
      </c>
      <c r="L166" s="11">
        <f>IFERROR(I166/G166*J166,"")</f>
        <v>5.953608247422681</v>
      </c>
      <c r="M166" s="12" t="inlineStr">
        <is>
          <t>supuesto</t>
        </is>
      </c>
    </row>
    <row r="167">
      <c r="A167" t="inlineStr">
        <is>
          <t>PA3</t>
        </is>
      </c>
      <c r="B167" t="inlineStr"/>
      <c r="C167" t="inlineStr"/>
      <c r="D167" t="inlineStr">
        <is>
          <t>Harina integral de centeno</t>
        </is>
      </c>
      <c r="E167" s="22" t="n">
        <v>0.6</v>
      </c>
      <c r="F167" t="inlineStr">
        <is>
          <t>kg</t>
        </is>
      </c>
      <c r="G167" s="9" t="n">
        <v>1</v>
      </c>
      <c r="H167" s="18" t="n">
        <v>0.03</v>
      </c>
      <c r="I167" s="23">
        <f>IFERROR(E167/(1-H167),"")</f>
        <v>0.6185567010309279</v>
      </c>
      <c r="J167" s="11">
        <f>IFERROR(VLOOKUP($D167,'Parámetros'!$A$41:$C$89,2,FALSE),"")</f>
        <v>1.75</v>
      </c>
      <c r="K167" t="inlineStr">
        <is>
          <t>kg</t>
        </is>
      </c>
      <c r="L167" s="11">
        <f>IFERROR(I167/G167*J167,"")</f>
        <v>1.0824742268041239</v>
      </c>
    </row>
    <row r="168">
      <c r="A168" t="inlineStr">
        <is>
          <t>PA3</t>
        </is>
      </c>
      <c r="B168" t="inlineStr"/>
      <c r="C168" t="inlineStr"/>
      <c r="D168" t="inlineStr">
        <is>
          <t>Sal</t>
        </is>
      </c>
      <c r="E168" s="22" t="n">
        <v>0.13</v>
      </c>
      <c r="F168" t="inlineStr">
        <is>
          <t>kg</t>
        </is>
      </c>
      <c r="G168" s="9" t="n">
        <v>1</v>
      </c>
      <c r="H168" s="18" t="n">
        <v>0.02</v>
      </c>
      <c r="I168" s="23">
        <f>IFERROR(E168/(1-H168),"")</f>
        <v>0.1326530612244898</v>
      </c>
      <c r="J168" s="11">
        <f>IFERROR(VLOOKUP($D168,'Parámetros'!$A$41:$C$89,2,FALSE),"")</f>
        <v>0.6</v>
      </c>
      <c r="K168" t="inlineStr">
        <is>
          <t>kg</t>
        </is>
      </c>
      <c r="L168" s="11">
        <f>IFERROR(I168/G168*J168,"")</f>
        <v>0.07959183673469387</v>
      </c>
    </row>
    <row r="169">
      <c r="A169" t="inlineStr">
        <is>
          <t>PA4</t>
        </is>
      </c>
      <c r="B169" t="inlineStr">
        <is>
          <t>Pan de molde</t>
        </is>
      </c>
      <c r="C169" t="inlineStr">
        <is>
          <t>Panes de acompañamiento</t>
        </is>
      </c>
      <c r="D169" t="inlineStr">
        <is>
          <t>Harina de fuerza</t>
        </is>
      </c>
      <c r="E169" s="22" t="n">
        <v>3.2</v>
      </c>
      <c r="F169" t="inlineStr">
        <is>
          <t>kg</t>
        </is>
      </c>
      <c r="G169" s="9" t="n">
        <v>1</v>
      </c>
      <c r="H169" s="18" t="n">
        <v>0.03</v>
      </c>
      <c r="I169" s="23">
        <f>IFERROR(E169/(1-H169),"")</f>
        <v>3.2989690721649487</v>
      </c>
      <c r="J169" s="11">
        <f>IFERROR(VLOOKUP($D169,'Parámetros'!$A$41:$C$89,2,FALSE),"")</f>
        <v>1.1</v>
      </c>
      <c r="K169" t="inlineStr">
        <is>
          <t>kg</t>
        </is>
      </c>
      <c r="L169" s="11">
        <f>IFERROR(I169/G169*J169,"")</f>
        <v>3.6288659793814437</v>
      </c>
      <c r="M169" s="12" t="inlineStr">
        <is>
          <t>supuesto</t>
        </is>
      </c>
    </row>
    <row r="170">
      <c r="A170" t="inlineStr">
        <is>
          <t>PA4</t>
        </is>
      </c>
      <c r="B170" t="inlineStr"/>
      <c r="C170" t="inlineStr"/>
      <c r="D170" t="inlineStr">
        <is>
          <t>Leche entera</t>
        </is>
      </c>
      <c r="E170" s="22" t="n">
        <v>1.4</v>
      </c>
      <c r="F170" t="inlineStr">
        <is>
          <t>L</t>
        </is>
      </c>
      <c r="G170" s="9" t="n">
        <v>1</v>
      </c>
      <c r="H170" s="18" t="n">
        <v>0.02</v>
      </c>
      <c r="I170" s="23">
        <f>IFERROR(E170/(1-H170),"")</f>
        <v>1.4285714285714286</v>
      </c>
      <c r="J170" s="11">
        <f>IFERROR(VLOOKUP($D170,'Parámetros'!$A$41:$C$89,2,FALSE),"")</f>
        <v>1.1</v>
      </c>
      <c r="K170" t="inlineStr">
        <is>
          <t>L</t>
        </is>
      </c>
      <c r="L170" s="11">
        <f>IFERROR(I170/G170*J170,"")</f>
        <v>1.5714285714285716</v>
      </c>
    </row>
    <row r="171">
      <c r="A171" t="inlineStr">
        <is>
          <t>PA4</t>
        </is>
      </c>
      <c r="B171" t="inlineStr"/>
      <c r="C171" t="inlineStr"/>
      <c r="D171" t="inlineStr">
        <is>
          <t>Mantequilla</t>
        </is>
      </c>
      <c r="E171" s="22" t="n">
        <v>0.25</v>
      </c>
      <c r="F171" t="inlineStr">
        <is>
          <t>kg</t>
        </is>
      </c>
      <c r="G171" s="9" t="n">
        <v>1</v>
      </c>
      <c r="H171" s="18" t="n">
        <v>0.03</v>
      </c>
      <c r="I171" s="23">
        <f>IFERROR(E171/(1-H171),"")</f>
        <v>0.2577319587628866</v>
      </c>
      <c r="J171" s="11">
        <f>IFERROR(VLOOKUP($D171,'Parámetros'!$A$41:$C$89,2,FALSE),"")</f>
        <v>9.0</v>
      </c>
      <c r="K171" t="inlineStr">
        <is>
          <t>kg</t>
        </is>
      </c>
      <c r="L171" s="11">
        <f>IFERROR(I171/G171*J171,"")</f>
        <v>2.3195876288659796</v>
      </c>
    </row>
    <row r="172">
      <c r="A172" t="inlineStr">
        <is>
          <t>PA4</t>
        </is>
      </c>
      <c r="B172" t="inlineStr"/>
      <c r="C172" t="inlineStr"/>
      <c r="D172" t="inlineStr">
        <is>
          <t>Azúcar</t>
        </is>
      </c>
      <c r="E172" s="22" t="n">
        <v>0.16</v>
      </c>
      <c r="F172" t="inlineStr">
        <is>
          <t>kg</t>
        </is>
      </c>
      <c r="G172" s="9" t="n">
        <v>1</v>
      </c>
      <c r="H172" s="18" t="n">
        <v>0.02</v>
      </c>
      <c r="I172" s="23">
        <f>IFERROR(E172/(1-H172),"")</f>
        <v>0.163265306122449</v>
      </c>
      <c r="J172" s="11">
        <f>IFERROR(VLOOKUP($D172,'Parámetros'!$A$41:$C$89,2,FALSE),"")</f>
        <v>1.2</v>
      </c>
      <c r="K172" t="inlineStr">
        <is>
          <t>kg</t>
        </is>
      </c>
      <c r="L172" s="11">
        <f>IFERROR(I172/G172*J172,"")</f>
        <v>0.1959183673469388</v>
      </c>
    </row>
    <row r="173">
      <c r="A173" t="inlineStr">
        <is>
          <t>PA4</t>
        </is>
      </c>
      <c r="B173" t="inlineStr"/>
      <c r="C173" t="inlineStr"/>
      <c r="D173" t="inlineStr">
        <is>
          <t>Levadura fresca</t>
        </is>
      </c>
      <c r="E173" s="22" t="n">
        <v>0.07000000000000001</v>
      </c>
      <c r="F173" t="inlineStr">
        <is>
          <t>kg</t>
        </is>
      </c>
      <c r="G173" s="9" t="n">
        <v>1</v>
      </c>
      <c r="H173" s="18" t="n">
        <v>0.05</v>
      </c>
      <c r="I173" s="23">
        <f>IFERROR(E173/(1-H173),"")</f>
        <v>0.0736842105263158</v>
      </c>
      <c r="J173" s="11">
        <f>IFERROR(VLOOKUP($D173,'Parámetros'!$A$41:$C$89,2,FALSE),"")</f>
        <v>5.0</v>
      </c>
      <c r="K173" t="inlineStr">
        <is>
          <t>kg</t>
        </is>
      </c>
      <c r="L173" s="11">
        <f>IFERROR(I173/G173*J173,"")</f>
        <v>0.368421052631579</v>
      </c>
    </row>
    <row r="174">
      <c r="A174" t="inlineStr">
        <is>
          <t>PA4</t>
        </is>
      </c>
      <c r="B174" t="inlineStr"/>
      <c r="C174" t="inlineStr"/>
      <c r="D174" t="inlineStr">
        <is>
          <t>Sal</t>
        </is>
      </c>
      <c r="E174" s="22" t="n">
        <v>0.06</v>
      </c>
      <c r="F174" t="inlineStr">
        <is>
          <t>kg</t>
        </is>
      </c>
      <c r="G174" s="9" t="n">
        <v>1</v>
      </c>
      <c r="H174" s="18" t="n">
        <v>0.02</v>
      </c>
      <c r="I174" s="23">
        <f>IFERROR(E174/(1-H174),"")</f>
        <v>0.061224489795918366</v>
      </c>
      <c r="J174" s="11">
        <f>IFERROR(VLOOKUP($D174,'Parámetros'!$A$41:$C$89,2,FALSE),"")</f>
        <v>0.6</v>
      </c>
      <c r="K174" t="inlineStr">
        <is>
          <t>kg</t>
        </is>
      </c>
      <c r="L174" s="11">
        <f>IFERROR(I174/G174*J174,"")</f>
        <v>0.03673469387755102</v>
      </c>
    </row>
    <row r="175">
      <c r="A175" t="inlineStr">
        <is>
          <t>TP1</t>
        </is>
      </c>
      <c r="B175" t="inlineStr">
        <is>
          <t>Roscón de Reyes</t>
        </is>
      </c>
      <c r="C175" t="inlineStr">
        <is>
          <t>Temporada</t>
        </is>
      </c>
      <c r="D175" t="inlineStr">
        <is>
          <t>Harina de fuerza</t>
        </is>
      </c>
      <c r="E175" s="22" t="n">
        <v>3</v>
      </c>
      <c r="F175" t="inlineStr">
        <is>
          <t>kg</t>
        </is>
      </c>
      <c r="G175" s="9" t="n">
        <v>1</v>
      </c>
      <c r="H175" s="18" t="n">
        <v>0.08</v>
      </c>
      <c r="I175" s="23">
        <f>IFERROR(E175/(1-H175),"")</f>
        <v>3.260869565217391</v>
      </c>
      <c r="J175" s="11">
        <f>IFERROR(VLOOKUP($D175,'Parámetros'!$A$41:$C$89,2,FALSE),"")</f>
        <v>1.1</v>
      </c>
      <c r="K175" t="inlineStr">
        <is>
          <t>kg</t>
        </is>
      </c>
      <c r="L175" s="11">
        <f>IFERROR(I175/G175*J175,"")</f>
        <v>3.5869565217391304</v>
      </c>
      <c r="M175" s="12" t="inlineStr">
        <is>
          <t>supuesto</t>
        </is>
      </c>
    </row>
    <row r="176">
      <c r="A176" t="inlineStr">
        <is>
          <t>TP1</t>
        </is>
      </c>
      <c r="B176" t="inlineStr"/>
      <c r="C176" t="inlineStr"/>
      <c r="D176" t="inlineStr">
        <is>
          <t>Mantequilla</t>
        </is>
      </c>
      <c r="E176" s="22" t="n">
        <v>0.6</v>
      </c>
      <c r="F176" t="inlineStr">
        <is>
          <t>kg</t>
        </is>
      </c>
      <c r="G176" s="9" t="n">
        <v>1</v>
      </c>
      <c r="H176" s="18" t="n">
        <v>0.03</v>
      </c>
      <c r="I176" s="23">
        <f>IFERROR(E176/(1-H176),"")</f>
        <v>0.6185567010309279</v>
      </c>
      <c r="J176" s="11">
        <f>IFERROR(VLOOKUP($D176,'Parámetros'!$A$41:$C$89,2,FALSE),"")</f>
        <v>9.0</v>
      </c>
      <c r="K176" t="inlineStr">
        <is>
          <t>kg</t>
        </is>
      </c>
      <c r="L176" s="11">
        <f>IFERROR(I176/G176*J176,"")</f>
        <v>5.56701030927835</v>
      </c>
    </row>
    <row r="177">
      <c r="A177" t="inlineStr">
        <is>
          <t>TP1</t>
        </is>
      </c>
      <c r="B177" t="inlineStr"/>
      <c r="C177" t="inlineStr"/>
      <c r="D177" t="inlineStr">
        <is>
          <t>Azúcar</t>
        </is>
      </c>
      <c r="E177" s="22" t="n">
        <v>0.6</v>
      </c>
      <c r="F177" t="inlineStr">
        <is>
          <t>kg</t>
        </is>
      </c>
      <c r="G177" s="9" t="n">
        <v>1</v>
      </c>
      <c r="H177" s="18" t="n">
        <v>0.02</v>
      </c>
      <c r="I177" s="23">
        <f>IFERROR(E177/(1-H177),"")</f>
        <v>0.6122448979591837</v>
      </c>
      <c r="J177" s="11">
        <f>IFERROR(VLOOKUP($D177,'Parámetros'!$A$41:$C$89,2,FALSE),"")</f>
        <v>1.2</v>
      </c>
      <c r="K177" t="inlineStr">
        <is>
          <t>kg</t>
        </is>
      </c>
      <c r="L177" s="11">
        <f>IFERROR(I177/G177*J177,"")</f>
        <v>0.7346938775510204</v>
      </c>
    </row>
    <row r="178">
      <c r="A178" t="inlineStr">
        <is>
          <t>TP1</t>
        </is>
      </c>
      <c r="B178" t="inlineStr"/>
      <c r="C178" t="inlineStr"/>
      <c r="D178" t="inlineStr">
        <is>
          <t>Huevos (unidades)</t>
        </is>
      </c>
      <c r="E178" s="22" t="n">
        <v>12</v>
      </c>
      <c r="F178" t="inlineStr">
        <is>
          <t>ud</t>
        </is>
      </c>
      <c r="G178" s="9" t="n">
        <v>12</v>
      </c>
      <c r="H178" s="18" t="n">
        <v>0</v>
      </c>
      <c r="I178" s="23">
        <f>IFERROR(E178/(1-H178),"")</f>
        <v>12.0</v>
      </c>
      <c r="J178" s="11">
        <f>IFERROR(VLOOKUP($D178,'Parámetros'!$A$41:$C$89,2,FALSE),"")</f>
        <v>3.6</v>
      </c>
      <c r="K178" t="inlineStr">
        <is>
          <t>docena</t>
        </is>
      </c>
      <c r="L178" s="11">
        <f>IFERROR(I178/G178*J178,"")</f>
        <v>3.6</v>
      </c>
    </row>
    <row r="179">
      <c r="A179" t="inlineStr">
        <is>
          <t>TP1</t>
        </is>
      </c>
      <c r="B179" t="inlineStr"/>
      <c r="C179" t="inlineStr"/>
      <c r="D179" t="inlineStr">
        <is>
          <t>Leche entera</t>
        </is>
      </c>
      <c r="E179" s="22" t="n">
        <v>0.75</v>
      </c>
      <c r="F179" t="inlineStr">
        <is>
          <t>L</t>
        </is>
      </c>
      <c r="G179" s="9" t="n">
        <v>1</v>
      </c>
      <c r="H179" s="18" t="n">
        <v>0.02</v>
      </c>
      <c r="I179" s="23">
        <f>IFERROR(E179/(1-H179),"")</f>
        <v>0.7653061224489796</v>
      </c>
      <c r="J179" s="11">
        <f>IFERROR(VLOOKUP($D179,'Parámetros'!$A$41:$C$89,2,FALSE),"")</f>
        <v>1.1</v>
      </c>
      <c r="K179" t="inlineStr">
        <is>
          <t>L</t>
        </is>
      </c>
      <c r="L179" s="11">
        <f>IFERROR(I179/G179*J179,"")</f>
        <v>0.8418367346938775</v>
      </c>
    </row>
    <row r="180">
      <c r="A180" t="inlineStr">
        <is>
          <t>TP1</t>
        </is>
      </c>
      <c r="B180" t="inlineStr"/>
      <c r="C180" t="inlineStr"/>
      <c r="D180" t="inlineStr">
        <is>
          <t>Levadura fresca</t>
        </is>
      </c>
      <c r="E180" s="22" t="n">
        <v>0.12</v>
      </c>
      <c r="F180" t="inlineStr">
        <is>
          <t>kg</t>
        </is>
      </c>
      <c r="G180" s="9" t="n">
        <v>1</v>
      </c>
      <c r="H180" s="18" t="n">
        <v>0.05</v>
      </c>
      <c r="I180" s="23">
        <f>IFERROR(E180/(1-H180),"")</f>
        <v>0.12631578947368421</v>
      </c>
      <c r="J180" s="11">
        <f>IFERROR(VLOOKUP($D180,'Parámetros'!$A$41:$C$89,2,FALSE),"")</f>
        <v>5.0</v>
      </c>
      <c r="K180" t="inlineStr">
        <is>
          <t>kg</t>
        </is>
      </c>
      <c r="L180" s="11">
        <f>IFERROR(I180/G180*J180,"")</f>
        <v>0.631578947368421</v>
      </c>
    </row>
    <row r="181">
      <c r="A181" t="inlineStr">
        <is>
          <t>TP1</t>
        </is>
      </c>
      <c r="B181" t="inlineStr"/>
      <c r="C181" t="inlineStr"/>
      <c r="D181" t="inlineStr">
        <is>
          <t>Sal</t>
        </is>
      </c>
      <c r="E181" s="22" t="n">
        <v>0.04</v>
      </c>
      <c r="F181" t="inlineStr">
        <is>
          <t>kg</t>
        </is>
      </c>
      <c r="G181" s="9" t="n">
        <v>1</v>
      </c>
      <c r="H181" s="18" t="n">
        <v>0.02</v>
      </c>
      <c r="I181" s="23">
        <f>IFERROR(E181/(1-H181),"")</f>
        <v>0.04081632653061225</v>
      </c>
      <c r="J181" s="11">
        <f>IFERROR(VLOOKUP($D181,'Parámetros'!$A$41:$C$89,2,FALSE),"")</f>
        <v>0.6</v>
      </c>
      <c r="K181" t="inlineStr">
        <is>
          <t>kg</t>
        </is>
      </c>
      <c r="L181" s="11">
        <f>IFERROR(I181/G181*J181,"")</f>
        <v>0.02448979591836735</v>
      </c>
    </row>
    <row r="182">
      <c r="A182" t="inlineStr">
        <is>
          <t>TP1</t>
        </is>
      </c>
      <c r="B182" t="inlineStr"/>
      <c r="C182" t="inlineStr"/>
      <c r="D182" t="inlineStr">
        <is>
          <t>Agua de azahar</t>
        </is>
      </c>
      <c r="E182" s="22" t="n">
        <v>0.04</v>
      </c>
      <c r="F182" t="inlineStr">
        <is>
          <t>L</t>
        </is>
      </c>
      <c r="G182" s="9" t="n">
        <v>1</v>
      </c>
      <c r="H182" s="18" t="n">
        <v>0</v>
      </c>
      <c r="I182" s="23">
        <f>IFERROR(E182/(1-H182),"")</f>
        <v>0.04</v>
      </c>
      <c r="J182" s="11">
        <f>IFERROR(VLOOKUP($D182,'Parámetros'!$A$41:$C$89,2,FALSE),"")</f>
        <v>14.0</v>
      </c>
      <c r="K182" t="inlineStr">
        <is>
          <t>L</t>
        </is>
      </c>
      <c r="L182" s="11">
        <f>IFERROR(I182/G182*J182,"")</f>
        <v>0.56</v>
      </c>
    </row>
    <row r="183">
      <c r="A183" t="inlineStr">
        <is>
          <t>TP1</t>
        </is>
      </c>
      <c r="B183" t="inlineStr"/>
      <c r="C183" t="inlineStr"/>
      <c r="D183" t="inlineStr">
        <is>
          <t>Naranja confitada</t>
        </is>
      </c>
      <c r="E183" s="22" t="n">
        <v>0.35</v>
      </c>
      <c r="F183" t="inlineStr">
        <is>
          <t>kg</t>
        </is>
      </c>
      <c r="G183" s="9" t="n">
        <v>1</v>
      </c>
      <c r="H183" s="18" t="n">
        <v>0.02</v>
      </c>
      <c r="I183" s="23">
        <f>IFERROR(E183/(1-H183),"")</f>
        <v>0.35714285714285715</v>
      </c>
      <c r="J183" s="11">
        <f>IFERROR(VLOOKUP($D183,'Parámetros'!$A$41:$C$89,2,FALSE),"")</f>
        <v>7.8</v>
      </c>
      <c r="K183" t="inlineStr">
        <is>
          <t>kg</t>
        </is>
      </c>
      <c r="L183" s="11">
        <f>IFERROR(I183/G183*J183,"")</f>
        <v>2.7857142857142856</v>
      </c>
    </row>
    <row r="184">
      <c r="A184" t="inlineStr">
        <is>
          <t>TP1</t>
        </is>
      </c>
      <c r="B184" t="inlineStr"/>
      <c r="C184" t="inlineStr"/>
      <c r="D184" t="inlineStr">
        <is>
          <t>Almendra marcona cruda</t>
        </is>
      </c>
      <c r="E184" s="22" t="n">
        <v>0.2</v>
      </c>
      <c r="F184" t="inlineStr">
        <is>
          <t>kg</t>
        </is>
      </c>
      <c r="G184" s="9" t="n">
        <v>1</v>
      </c>
      <c r="H184" s="18" t="n">
        <v>0.03</v>
      </c>
      <c r="I184" s="23">
        <f>IFERROR(E184/(1-H184),"")</f>
        <v>0.2061855670103093</v>
      </c>
      <c r="J184" s="11">
        <f>IFERROR(VLOOKUP($D184,'Parámetros'!$A$41:$C$89,2,FALSE),"")</f>
        <v>15.5</v>
      </c>
      <c r="K184" t="inlineStr">
        <is>
          <t>kg</t>
        </is>
      </c>
      <c r="L184" s="11">
        <f>IFERROR(I184/G184*J184,"")</f>
        <v>3.195876288659794</v>
      </c>
    </row>
    <row r="185">
      <c r="A185" t="inlineStr">
        <is>
          <t>TP1</t>
        </is>
      </c>
      <c r="B185" t="inlineStr"/>
      <c r="C185" t="inlineStr"/>
      <c r="D185" t="inlineStr">
        <is>
          <t>Azúcar glas</t>
        </is>
      </c>
      <c r="E185" s="22" t="n">
        <v>0.1</v>
      </c>
      <c r="F185" t="inlineStr">
        <is>
          <t>kg</t>
        </is>
      </c>
      <c r="G185" s="9" t="n">
        <v>1</v>
      </c>
      <c r="H185" s="18" t="n">
        <v>0.02</v>
      </c>
      <c r="I185" s="23">
        <f>IFERROR(E185/(1-H185),"")</f>
        <v>0.10204081632653061</v>
      </c>
      <c r="J185" s="11">
        <f>IFERROR(VLOOKUP($D185,'Parámetros'!$A$41:$C$89,2,FALSE),"")</f>
        <v>2.5</v>
      </c>
      <c r="K185" t="inlineStr">
        <is>
          <t>kg</t>
        </is>
      </c>
      <c r="L185" s="11">
        <f>IFERROR(I185/G185*J185,"")</f>
        <v>0.25510204081632654</v>
      </c>
    </row>
    <row r="186">
      <c r="A186" t="inlineStr">
        <is>
          <t>TP1</t>
        </is>
      </c>
      <c r="B186" t="inlineStr"/>
      <c r="C186" t="inlineStr"/>
      <c r="D186" t="inlineStr">
        <is>
          <t>Nata 35% MG</t>
        </is>
      </c>
      <c r="E186" s="22" t="n">
        <v>2.4</v>
      </c>
      <c r="F186" t="inlineStr">
        <is>
          <t>L</t>
        </is>
      </c>
      <c r="G186" s="9" t="n">
        <v>1</v>
      </c>
      <c r="H186" s="18" t="n">
        <v>0.03</v>
      </c>
      <c r="I186" s="23">
        <f>IFERROR(E186/(1-H186),"")</f>
        <v>2.4742268041237114</v>
      </c>
      <c r="J186" s="11">
        <f>IFERROR(VLOOKUP($D186,'Parámetros'!$A$41:$C$89,2,FALSE),"")</f>
        <v>3.8</v>
      </c>
      <c r="K186" t="inlineStr">
        <is>
          <t>L</t>
        </is>
      </c>
      <c r="L186" s="11">
        <f>IFERROR(I186/G186*J186,"")</f>
        <v>9.402061855670103</v>
      </c>
    </row>
    <row r="187">
      <c r="A187" t="inlineStr">
        <is>
          <t>TP2</t>
        </is>
      </c>
      <c r="B187" t="inlineStr">
        <is>
          <t>Torrijas</t>
        </is>
      </c>
      <c r="C187" t="inlineStr">
        <is>
          <t>Temporada</t>
        </is>
      </c>
      <c r="D187" t="inlineStr">
        <is>
          <t>Harina de fuerza</t>
        </is>
      </c>
      <c r="E187" s="22" t="n">
        <v>1.2</v>
      </c>
      <c r="F187" t="inlineStr">
        <is>
          <t>kg</t>
        </is>
      </c>
      <c r="G187" s="9" t="n">
        <v>1</v>
      </c>
      <c r="H187" s="18" t="n">
        <v>0.08</v>
      </c>
      <c r="I187" s="23">
        <f>IFERROR(E187/(1-H187),"")</f>
        <v>1.3043478260869563</v>
      </c>
      <c r="J187" s="11">
        <f>IFERROR(VLOOKUP($D187,'Parámetros'!$A$41:$C$89,2,FALSE),"")</f>
        <v>1.1</v>
      </c>
      <c r="K187" t="inlineStr">
        <is>
          <t>kg</t>
        </is>
      </c>
      <c r="L187" s="11">
        <f>IFERROR(I187/G187*J187,"")</f>
        <v>1.434782608695652</v>
      </c>
      <c r="M187" s="12" t="inlineStr">
        <is>
          <t>supuesto</t>
        </is>
      </c>
    </row>
    <row r="188">
      <c r="A188" t="inlineStr">
        <is>
          <t>TP2</t>
        </is>
      </c>
      <c r="B188" t="inlineStr"/>
      <c r="C188" t="inlineStr"/>
      <c r="D188" t="inlineStr">
        <is>
          <t>Huevos (unidades)</t>
        </is>
      </c>
      <c r="E188" s="22" t="n">
        <v>4</v>
      </c>
      <c r="F188" t="inlineStr">
        <is>
          <t>ud</t>
        </is>
      </c>
      <c r="G188" s="9" t="n">
        <v>12</v>
      </c>
      <c r="H188" s="18" t="n">
        <v>0</v>
      </c>
      <c r="I188" s="23">
        <f>IFERROR(E188/(1-H188),"")</f>
        <v>4.0</v>
      </c>
      <c r="J188" s="11">
        <f>IFERROR(VLOOKUP($D188,'Parámetros'!$A$41:$C$89,2,FALSE),"")</f>
        <v>3.6</v>
      </c>
      <c r="K188" t="inlineStr">
        <is>
          <t>docena</t>
        </is>
      </c>
      <c r="L188" s="11">
        <f>IFERROR(I188/G188*J188,"")</f>
        <v>1.2</v>
      </c>
    </row>
    <row r="189">
      <c r="A189" t="inlineStr">
        <is>
          <t>TP2</t>
        </is>
      </c>
      <c r="B189" t="inlineStr"/>
      <c r="C189" t="inlineStr"/>
      <c r="D189" t="inlineStr">
        <is>
          <t>Leche entera</t>
        </is>
      </c>
      <c r="E189" s="22" t="n">
        <v>2.6</v>
      </c>
      <c r="F189" t="inlineStr">
        <is>
          <t>L</t>
        </is>
      </c>
      <c r="G189" s="9" t="n">
        <v>1</v>
      </c>
      <c r="H189" s="18" t="n">
        <v>0.02</v>
      </c>
      <c r="I189" s="23">
        <f>IFERROR(E189/(1-H189),"")</f>
        <v>2.653061224489796</v>
      </c>
      <c r="J189" s="11">
        <f>IFERROR(VLOOKUP($D189,'Parámetros'!$A$41:$C$89,2,FALSE),"")</f>
        <v>1.1</v>
      </c>
      <c r="K189" t="inlineStr">
        <is>
          <t>L</t>
        </is>
      </c>
      <c r="L189" s="11">
        <f>IFERROR(I189/G189*J189,"")</f>
        <v>2.918367346938776</v>
      </c>
    </row>
    <row r="190">
      <c r="A190" t="inlineStr">
        <is>
          <t>TP2</t>
        </is>
      </c>
      <c r="B190" t="inlineStr"/>
      <c r="C190" t="inlineStr"/>
      <c r="D190" t="inlineStr">
        <is>
          <t>Azúcar</t>
        </is>
      </c>
      <c r="E190" s="22" t="n">
        <v>0.45</v>
      </c>
      <c r="F190" t="inlineStr">
        <is>
          <t>kg</t>
        </is>
      </c>
      <c r="G190" s="9" t="n">
        <v>1</v>
      </c>
      <c r="H190" s="18" t="n">
        <v>0.02</v>
      </c>
      <c r="I190" s="23">
        <f>IFERROR(E190/(1-H190),"")</f>
        <v>0.45918367346938777</v>
      </c>
      <c r="J190" s="11">
        <f>IFERROR(VLOOKUP($D190,'Parámetros'!$A$41:$C$89,2,FALSE),"")</f>
        <v>1.2</v>
      </c>
      <c r="K190" t="inlineStr">
        <is>
          <t>kg</t>
        </is>
      </c>
      <c r="L190" s="11">
        <f>IFERROR(I190/G190*J190,"")</f>
        <v>0.5510204081632653</v>
      </c>
    </row>
    <row r="191">
      <c r="A191" t="inlineStr">
        <is>
          <t>TP2</t>
        </is>
      </c>
      <c r="B191" t="inlineStr"/>
      <c r="C191" t="inlineStr"/>
      <c r="D191" t="inlineStr">
        <is>
          <t>Canela molida</t>
        </is>
      </c>
      <c r="E191" s="22" t="n">
        <v>0.006</v>
      </c>
      <c r="F191" t="inlineStr">
        <is>
          <t>kg</t>
        </is>
      </c>
      <c r="G191" s="9" t="n">
        <v>1</v>
      </c>
      <c r="H191" s="18" t="n">
        <v>0</v>
      </c>
      <c r="I191" s="23">
        <f>IFERROR(E191/(1-H191),"")</f>
        <v>0.006</v>
      </c>
      <c r="J191" s="11">
        <f>IFERROR(VLOOKUP($D191,'Parámetros'!$A$41:$C$89,2,FALSE),"")</f>
        <v>18.0</v>
      </c>
      <c r="K191" t="inlineStr">
        <is>
          <t>kg</t>
        </is>
      </c>
      <c r="L191" s="11">
        <f>IFERROR(I191/G191*J191,"")</f>
        <v>0.108</v>
      </c>
    </row>
    <row r="192">
      <c r="A192" t="inlineStr">
        <is>
          <t>TP2</t>
        </is>
      </c>
      <c r="B192" t="inlineStr"/>
      <c r="C192" t="inlineStr"/>
      <c r="D192" t="inlineStr">
        <is>
          <t>Aceite de girasol</t>
        </is>
      </c>
      <c r="E192" s="22" t="n">
        <v>0.55</v>
      </c>
      <c r="F192" t="inlineStr">
        <is>
          <t>L</t>
        </is>
      </c>
      <c r="G192" s="9" t="n">
        <v>1</v>
      </c>
      <c r="H192" s="18" t="n">
        <v>0.2</v>
      </c>
      <c r="I192" s="23">
        <f>IFERROR(E192/(1-H192),"")</f>
        <v>0.6875</v>
      </c>
      <c r="J192" s="11">
        <f>IFERROR(VLOOKUP($D192,'Parámetros'!$A$41:$C$89,2,FALSE),"")</f>
        <v>1.8</v>
      </c>
      <c r="K192" t="inlineStr">
        <is>
          <t>L</t>
        </is>
      </c>
      <c r="L192" s="11">
        <f>IFERROR(I192/G192*J192,"")</f>
        <v>1.2375</v>
      </c>
    </row>
    <row r="193">
      <c r="A193" t="inlineStr">
        <is>
          <t>TP2</t>
        </is>
      </c>
      <c r="B193" t="inlineStr"/>
      <c r="C193" t="inlineStr"/>
      <c r="D193" t="inlineStr">
        <is>
          <t>Limón</t>
        </is>
      </c>
      <c r="E193" s="22" t="n">
        <v>0.12</v>
      </c>
      <c r="F193" t="inlineStr">
        <is>
          <t>kg</t>
        </is>
      </c>
      <c r="G193" s="9" t="n">
        <v>1</v>
      </c>
      <c r="H193" s="18" t="n">
        <v>0.25</v>
      </c>
      <c r="I193" s="23">
        <f>IFERROR(E193/(1-H193),"")</f>
        <v>0.16</v>
      </c>
      <c r="J193" s="11">
        <f>IFERROR(VLOOKUP($D193,'Parámetros'!$A$41:$C$89,2,FALSE),"")</f>
        <v>2.2</v>
      </c>
      <c r="K193" t="inlineStr">
        <is>
          <t>kg</t>
        </is>
      </c>
      <c r="L193" s="11">
        <f>IFERROR(I193/G193*J193,"")</f>
        <v>0.35200000000000004</v>
      </c>
    </row>
    <row r="194">
      <c r="A194" t="inlineStr">
        <is>
          <t>TP3</t>
        </is>
      </c>
      <c r="B194" t="inlineStr">
        <is>
          <t>Buñuelos de viento</t>
        </is>
      </c>
      <c r="C194" t="inlineStr">
        <is>
          <t>Temporada</t>
        </is>
      </c>
      <c r="D194" t="inlineStr">
        <is>
          <t>Harina floja</t>
        </is>
      </c>
      <c r="E194" s="22" t="n">
        <v>0.35</v>
      </c>
      <c r="F194" t="inlineStr">
        <is>
          <t>kg</t>
        </is>
      </c>
      <c r="G194" s="9" t="n">
        <v>1</v>
      </c>
      <c r="H194" s="18" t="n">
        <v>0.08</v>
      </c>
      <c r="I194" s="23">
        <f>IFERROR(E194/(1-H194),"")</f>
        <v>0.3804347826086956</v>
      </c>
      <c r="J194" s="11">
        <f>IFERROR(VLOOKUP($D194,'Parámetros'!$A$41:$C$89,2,FALSE),"")</f>
        <v>0.9</v>
      </c>
      <c r="K194" t="inlineStr">
        <is>
          <t>kg</t>
        </is>
      </c>
      <c r="L194" s="11">
        <f>IFERROR(I194/G194*J194,"")</f>
        <v>0.34239130434782605</v>
      </c>
      <c r="M194" s="12" t="inlineStr">
        <is>
          <t>supuesto</t>
        </is>
      </c>
    </row>
    <row r="195">
      <c r="A195" t="inlineStr">
        <is>
          <t>TP3</t>
        </is>
      </c>
      <c r="B195" t="inlineStr"/>
      <c r="C195" t="inlineStr"/>
      <c r="D195" t="inlineStr">
        <is>
          <t>Mantequilla</t>
        </is>
      </c>
      <c r="E195" s="22" t="n">
        <v>0.25</v>
      </c>
      <c r="F195" t="inlineStr">
        <is>
          <t>kg</t>
        </is>
      </c>
      <c r="G195" s="9" t="n">
        <v>1</v>
      </c>
      <c r="H195" s="18" t="n">
        <v>0.03</v>
      </c>
      <c r="I195" s="23">
        <f>IFERROR(E195/(1-H195),"")</f>
        <v>0.2577319587628866</v>
      </c>
      <c r="J195" s="11">
        <f>IFERROR(VLOOKUP($D195,'Parámetros'!$A$41:$C$89,2,FALSE),"")</f>
        <v>9.0</v>
      </c>
      <c r="K195" t="inlineStr">
        <is>
          <t>kg</t>
        </is>
      </c>
      <c r="L195" s="11">
        <f>IFERROR(I195/G195*J195,"")</f>
        <v>2.3195876288659796</v>
      </c>
    </row>
    <row r="196">
      <c r="A196" t="inlineStr">
        <is>
          <t>TP3</t>
        </is>
      </c>
      <c r="B196" t="inlineStr"/>
      <c r="C196" t="inlineStr"/>
      <c r="D196" t="inlineStr">
        <is>
          <t>Huevos (unidades)</t>
        </is>
      </c>
      <c r="E196" s="22" t="n">
        <v>10</v>
      </c>
      <c r="F196" t="inlineStr">
        <is>
          <t>ud</t>
        </is>
      </c>
      <c r="G196" s="9" t="n">
        <v>12</v>
      </c>
      <c r="H196" s="18" t="n">
        <v>0</v>
      </c>
      <c r="I196" s="23">
        <f>IFERROR(E196/(1-H196),"")</f>
        <v>10.0</v>
      </c>
      <c r="J196" s="11">
        <f>IFERROR(VLOOKUP($D196,'Parámetros'!$A$41:$C$89,2,FALSE),"")</f>
        <v>3.6</v>
      </c>
      <c r="K196" t="inlineStr">
        <is>
          <t>docena</t>
        </is>
      </c>
      <c r="L196" s="11">
        <f>IFERROR(I196/G196*J196,"")</f>
        <v>3.0</v>
      </c>
    </row>
    <row r="197">
      <c r="A197" t="inlineStr">
        <is>
          <t>TP3</t>
        </is>
      </c>
      <c r="B197" t="inlineStr"/>
      <c r="C197" t="inlineStr"/>
      <c r="D197" t="inlineStr">
        <is>
          <t>Sal</t>
        </is>
      </c>
      <c r="E197" s="22" t="n">
        <v>0.005</v>
      </c>
      <c r="F197" t="inlineStr">
        <is>
          <t>kg</t>
        </is>
      </c>
      <c r="G197" s="9" t="n">
        <v>1</v>
      </c>
      <c r="H197" s="18" t="n">
        <v>0.02</v>
      </c>
      <c r="I197" s="23">
        <f>IFERROR(E197/(1-H197),"")</f>
        <v>0.005102040816326531</v>
      </c>
      <c r="J197" s="11">
        <f>IFERROR(VLOOKUP($D197,'Parámetros'!$A$41:$C$89,2,FALSE),"")</f>
        <v>0.6</v>
      </c>
      <c r="K197" t="inlineStr">
        <is>
          <t>kg</t>
        </is>
      </c>
      <c r="L197" s="11">
        <f>IFERROR(I197/G197*J197,"")</f>
        <v>0.0030612244897959186</v>
      </c>
    </row>
    <row r="198">
      <c r="A198" t="inlineStr">
        <is>
          <t>TP3</t>
        </is>
      </c>
      <c r="B198" t="inlineStr"/>
      <c r="C198" t="inlineStr"/>
      <c r="D198" t="inlineStr">
        <is>
          <t>Aceite de girasol</t>
        </is>
      </c>
      <c r="E198" s="22" t="n">
        <v>0.7</v>
      </c>
      <c r="F198" t="inlineStr">
        <is>
          <t>L</t>
        </is>
      </c>
      <c r="G198" s="9" t="n">
        <v>1</v>
      </c>
      <c r="H198" s="18" t="n">
        <v>0.2</v>
      </c>
      <c r="I198" s="23">
        <f>IFERROR(E198/(1-H198),"")</f>
        <v>0.8749999999999999</v>
      </c>
      <c r="J198" s="11">
        <f>IFERROR(VLOOKUP($D198,'Parámetros'!$A$41:$C$89,2,FALSE),"")</f>
        <v>1.8</v>
      </c>
      <c r="K198" t="inlineStr">
        <is>
          <t>L</t>
        </is>
      </c>
      <c r="L198" s="11">
        <f>IFERROR(I198/G198*J198,"")</f>
        <v>1.5749999999999997</v>
      </c>
    </row>
    <row r="199">
      <c r="A199" t="inlineStr">
        <is>
          <t>TP3</t>
        </is>
      </c>
      <c r="B199" t="inlineStr"/>
      <c r="C199" t="inlineStr"/>
      <c r="D199" t="inlineStr">
        <is>
          <t>Azúcar</t>
        </is>
      </c>
      <c r="E199" s="22" t="n">
        <v>0.15</v>
      </c>
      <c r="F199" t="inlineStr">
        <is>
          <t>kg</t>
        </is>
      </c>
      <c r="G199" s="9" t="n">
        <v>1</v>
      </c>
      <c r="H199" s="18" t="n">
        <v>0.02</v>
      </c>
      <c r="I199" s="23">
        <f>IFERROR(E199/(1-H199),"")</f>
        <v>0.15306122448979592</v>
      </c>
      <c r="J199" s="11">
        <f>IFERROR(VLOOKUP($D199,'Parámetros'!$A$41:$C$89,2,FALSE),"")</f>
        <v>1.2</v>
      </c>
      <c r="K199" t="inlineStr">
        <is>
          <t>kg</t>
        </is>
      </c>
      <c r="L199" s="11">
        <f>IFERROR(I199/G199*J199,"")</f>
        <v>0.1836734693877551</v>
      </c>
    </row>
    <row r="200">
      <c r="A200" t="inlineStr">
        <is>
          <t>TP3</t>
        </is>
      </c>
      <c r="B200" t="inlineStr"/>
      <c r="C200" t="inlineStr"/>
      <c r="D200" t="inlineStr">
        <is>
          <t>Leche entera</t>
        </is>
      </c>
      <c r="E200" s="22" t="n">
        <v>0.8</v>
      </c>
      <c r="F200" t="inlineStr">
        <is>
          <t>L</t>
        </is>
      </c>
      <c r="G200" s="9" t="n">
        <v>1</v>
      </c>
      <c r="H200" s="18" t="n">
        <v>0.02</v>
      </c>
      <c r="I200" s="23">
        <f>IFERROR(E200/(1-H200),"")</f>
        <v>0.8163265306122449</v>
      </c>
      <c r="J200" s="11">
        <f>IFERROR(VLOOKUP($D200,'Parámetros'!$A$41:$C$89,2,FALSE),"")</f>
        <v>1.1</v>
      </c>
      <c r="K200" t="inlineStr">
        <is>
          <t>L</t>
        </is>
      </c>
      <c r="L200" s="11">
        <f>IFERROR(I200/G200*J200,"")</f>
        <v>0.8979591836734695</v>
      </c>
    </row>
    <row r="201">
      <c r="A201" t="inlineStr">
        <is>
          <t>TP3</t>
        </is>
      </c>
      <c r="B201" t="inlineStr"/>
      <c r="C201" t="inlineStr"/>
      <c r="D201" t="inlineStr">
        <is>
          <t>Azúcar</t>
        </is>
      </c>
      <c r="E201" s="22" t="n">
        <v>0.18</v>
      </c>
      <c r="F201" t="inlineStr">
        <is>
          <t>kg</t>
        </is>
      </c>
      <c r="G201" s="9" t="n">
        <v>1</v>
      </c>
      <c r="H201" s="18" t="n">
        <v>0.02</v>
      </c>
      <c r="I201" s="23">
        <f>IFERROR(E201/(1-H201),"")</f>
        <v>0.1836734693877551</v>
      </c>
      <c r="J201" s="11">
        <f>IFERROR(VLOOKUP($D201,'Parámetros'!$A$41:$C$89,2,FALSE),"")</f>
        <v>1.2</v>
      </c>
      <c r="K201" t="inlineStr">
        <is>
          <t>kg</t>
        </is>
      </c>
      <c r="L201" s="11">
        <f>IFERROR(I201/G201*J201,"")</f>
        <v>0.22040816326530613</v>
      </c>
    </row>
    <row r="202">
      <c r="A202" t="inlineStr">
        <is>
          <t>TP3</t>
        </is>
      </c>
      <c r="B202" t="inlineStr"/>
      <c r="C202" t="inlineStr"/>
      <c r="D202" t="inlineStr">
        <is>
          <t>Huevos (unidades)</t>
        </is>
      </c>
      <c r="E202" s="22" t="n">
        <v>5</v>
      </c>
      <c r="F202" t="inlineStr">
        <is>
          <t>ud</t>
        </is>
      </c>
      <c r="G202" s="9" t="n">
        <v>12</v>
      </c>
      <c r="H202" s="18" t="n">
        <v>0</v>
      </c>
      <c r="I202" s="23">
        <f>IFERROR(E202/(1-H202),"")</f>
        <v>5.0</v>
      </c>
      <c r="J202" s="11">
        <f>IFERROR(VLOOKUP($D202,'Parámetros'!$A$41:$C$89,2,FALSE),"")</f>
        <v>3.6</v>
      </c>
      <c r="K202" t="inlineStr">
        <is>
          <t>docena</t>
        </is>
      </c>
      <c r="L202" s="11">
        <f>IFERROR(I202/G202*J202,"")</f>
        <v>1.5</v>
      </c>
    </row>
    <row r="203">
      <c r="A203" t="inlineStr">
        <is>
          <t>TP3</t>
        </is>
      </c>
      <c r="B203" t="inlineStr"/>
      <c r="C203" t="inlineStr"/>
      <c r="D203" t="inlineStr">
        <is>
          <t>Almidón de maíz</t>
        </is>
      </c>
      <c r="E203" s="22" t="n">
        <v>0.06</v>
      </c>
      <c r="F203" t="inlineStr">
        <is>
          <t>kg</t>
        </is>
      </c>
      <c r="G203" s="9" t="n">
        <v>1</v>
      </c>
      <c r="H203" s="18" t="n">
        <v>0.02</v>
      </c>
      <c r="I203" s="23">
        <f>IFERROR(E203/(1-H203),"")</f>
        <v>0.061224489795918366</v>
      </c>
      <c r="J203" s="11">
        <f>IFERROR(VLOOKUP($D203,'Parámetros'!$A$41:$C$89,2,FALSE),"")</f>
        <v>2.1</v>
      </c>
      <c r="K203" t="inlineStr">
        <is>
          <t>kg</t>
        </is>
      </c>
      <c r="L203" s="11">
        <f>IFERROR(I203/G203*J203,"")</f>
        <v>0.1285714285714286</v>
      </c>
    </row>
    <row r="204">
      <c r="A204" t="inlineStr">
        <is>
          <t>TP4</t>
        </is>
      </c>
      <c r="B204" t="inlineStr">
        <is>
          <t>Huesos de santo</t>
        </is>
      </c>
      <c r="C204" t="inlineStr">
        <is>
          <t>Temporada</t>
        </is>
      </c>
      <c r="D204" t="inlineStr">
        <is>
          <t>Almendra molida</t>
        </is>
      </c>
      <c r="E204" s="22" t="n">
        <v>0.7</v>
      </c>
      <c r="F204" t="inlineStr">
        <is>
          <t>kg</t>
        </is>
      </c>
      <c r="G204" s="9" t="n">
        <v>1</v>
      </c>
      <c r="H204" s="18" t="n">
        <v>0.02</v>
      </c>
      <c r="I204" s="23">
        <f>IFERROR(E204/(1-H204),"")</f>
        <v>0.7142857142857143</v>
      </c>
      <c r="J204" s="11">
        <f>IFERROR(VLOOKUP($D204,'Parámetros'!$A$41:$C$89,2,FALSE),"")</f>
        <v>13.5</v>
      </c>
      <c r="K204" t="inlineStr">
        <is>
          <t>kg</t>
        </is>
      </c>
      <c r="L204" s="11">
        <f>IFERROR(I204/G204*J204,"")</f>
        <v>9.642857142857142</v>
      </c>
      <c r="M204" s="12" t="inlineStr">
        <is>
          <t>supuesto</t>
        </is>
      </c>
    </row>
    <row r="205">
      <c r="A205" t="inlineStr">
        <is>
          <t>TP4</t>
        </is>
      </c>
      <c r="B205" t="inlineStr"/>
      <c r="C205" t="inlineStr"/>
      <c r="D205" t="inlineStr">
        <is>
          <t>Azúcar</t>
        </is>
      </c>
      <c r="E205" s="22" t="n">
        <v>0.7</v>
      </c>
      <c r="F205" t="inlineStr">
        <is>
          <t>kg</t>
        </is>
      </c>
      <c r="G205" s="9" t="n">
        <v>1</v>
      </c>
      <c r="H205" s="18" t="n">
        <v>0.02</v>
      </c>
      <c r="I205" s="23">
        <f>IFERROR(E205/(1-H205),"")</f>
        <v>0.7142857142857143</v>
      </c>
      <c r="J205" s="11">
        <f>IFERROR(VLOOKUP($D205,'Parámetros'!$A$41:$C$89,2,FALSE),"")</f>
        <v>1.2</v>
      </c>
      <c r="K205" t="inlineStr">
        <is>
          <t>kg</t>
        </is>
      </c>
      <c r="L205" s="11">
        <f>IFERROR(I205/G205*J205,"")</f>
        <v>0.8571428571428571</v>
      </c>
    </row>
    <row r="206">
      <c r="A206" t="inlineStr">
        <is>
          <t>TP4</t>
        </is>
      </c>
      <c r="B206" t="inlineStr"/>
      <c r="C206" t="inlineStr"/>
      <c r="D206" t="inlineStr">
        <is>
          <t>Yema pasteurizada (ovoproducto)</t>
        </is>
      </c>
      <c r="E206" s="22" t="n">
        <v>0.3</v>
      </c>
      <c r="F206" t="inlineStr">
        <is>
          <t>kg</t>
        </is>
      </c>
      <c r="G206" s="9" t="n">
        <v>1</v>
      </c>
      <c r="H206" s="18" t="n">
        <v>0.02</v>
      </c>
      <c r="I206" s="23">
        <f>IFERROR(E206/(1-H206),"")</f>
        <v>0.30612244897959184</v>
      </c>
      <c r="J206" s="11">
        <f>IFERROR(VLOOKUP($D206,'Parámetros'!$A$41:$C$89,2,FALSE),"")</f>
        <v>6.8</v>
      </c>
      <c r="K206" t="inlineStr">
        <is>
          <t>kg</t>
        </is>
      </c>
      <c r="L206" s="11">
        <f>IFERROR(I206/G206*J206,"")</f>
        <v>2.0816326530612246</v>
      </c>
    </row>
    <row r="207">
      <c r="A207" t="inlineStr">
        <is>
          <t>TP4</t>
        </is>
      </c>
      <c r="B207" t="inlineStr"/>
      <c r="C207" t="inlineStr"/>
      <c r="D207" t="inlineStr">
        <is>
          <t>Azúcar glas</t>
        </is>
      </c>
      <c r="E207" s="22" t="n">
        <v>0.1</v>
      </c>
      <c r="F207" t="inlineStr">
        <is>
          <t>kg</t>
        </is>
      </c>
      <c r="G207" s="9" t="n">
        <v>1</v>
      </c>
      <c r="H207" s="18" t="n">
        <v>0.02</v>
      </c>
      <c r="I207" s="23">
        <f>IFERROR(E207/(1-H207),"")</f>
        <v>0.10204081632653061</v>
      </c>
      <c r="J207" s="11">
        <f>IFERROR(VLOOKUP($D207,'Parámetros'!$A$41:$C$89,2,FALSE),"")</f>
        <v>2.5</v>
      </c>
      <c r="K207" t="inlineStr">
        <is>
          <t>kg</t>
        </is>
      </c>
      <c r="L207" s="11">
        <f>IFERROR(I207/G207*J207,"")</f>
        <v>0.25510204081632654</v>
      </c>
    </row>
    <row r="208">
      <c r="A208" t="inlineStr">
        <is>
          <t>TP4</t>
        </is>
      </c>
      <c r="B208" t="inlineStr"/>
      <c r="C208" t="inlineStr"/>
      <c r="D208" t="inlineStr">
        <is>
          <t>Limón</t>
        </is>
      </c>
      <c r="E208" s="22" t="n">
        <v>0.05</v>
      </c>
      <c r="F208" t="inlineStr">
        <is>
          <t>kg</t>
        </is>
      </c>
      <c r="G208" s="9" t="n">
        <v>1</v>
      </c>
      <c r="H208" s="18" t="n">
        <v>0.25</v>
      </c>
      <c r="I208" s="23">
        <f>IFERROR(E208/(1-H208),"")</f>
        <v>0.06666666666666667</v>
      </c>
      <c r="J208" s="11">
        <f>IFERROR(VLOOKUP($D208,'Parámetros'!$A$41:$C$89,2,FALSE),"")</f>
        <v>2.2</v>
      </c>
      <c r="K208" t="inlineStr">
        <is>
          <t>kg</t>
        </is>
      </c>
      <c r="L208" s="11">
        <f>IFERROR(I208/G208*J208,"")</f>
        <v>0.14666666666666667</v>
      </c>
    </row>
    <row r="209">
      <c r="A209" t="inlineStr">
        <is>
          <t>TP5</t>
        </is>
      </c>
      <c r="B209" t="inlineStr">
        <is>
          <t>Panellets</t>
        </is>
      </c>
      <c r="C209" t="inlineStr">
        <is>
          <t>Temporada</t>
        </is>
      </c>
      <c r="D209" t="inlineStr">
        <is>
          <t>Almendra molida</t>
        </is>
      </c>
      <c r="E209" s="22" t="n">
        <v>1</v>
      </c>
      <c r="F209" t="inlineStr">
        <is>
          <t>kg</t>
        </is>
      </c>
      <c r="G209" s="9" t="n">
        <v>1</v>
      </c>
      <c r="H209" s="18" t="n">
        <v>0.02</v>
      </c>
      <c r="I209" s="23">
        <f>IFERROR(E209/(1-H209),"")</f>
        <v>1.0204081632653061</v>
      </c>
      <c r="J209" s="11">
        <f>IFERROR(VLOOKUP($D209,'Parámetros'!$A$41:$C$89,2,FALSE),"")</f>
        <v>13.5</v>
      </c>
      <c r="K209" t="inlineStr">
        <is>
          <t>kg</t>
        </is>
      </c>
      <c r="L209" s="11">
        <f>IFERROR(I209/G209*J209,"")</f>
        <v>13.775510204081632</v>
      </c>
      <c r="M209" s="12" t="inlineStr">
        <is>
          <t>supuesto</t>
        </is>
      </c>
    </row>
    <row r="210">
      <c r="A210" t="inlineStr">
        <is>
          <t>TP5</t>
        </is>
      </c>
      <c r="B210" t="inlineStr"/>
      <c r="C210" t="inlineStr"/>
      <c r="D210" t="inlineStr">
        <is>
          <t>Azúcar</t>
        </is>
      </c>
      <c r="E210" s="22" t="n">
        <v>0.9</v>
      </c>
      <c r="F210" t="inlineStr">
        <is>
          <t>kg</t>
        </is>
      </c>
      <c r="G210" s="9" t="n">
        <v>1</v>
      </c>
      <c r="H210" s="18" t="n">
        <v>0.02</v>
      </c>
      <c r="I210" s="23">
        <f>IFERROR(E210/(1-H210),"")</f>
        <v>0.9183673469387755</v>
      </c>
      <c r="J210" s="11">
        <f>IFERROR(VLOOKUP($D210,'Parámetros'!$A$41:$C$89,2,FALSE),"")</f>
        <v>1.2</v>
      </c>
      <c r="K210" t="inlineStr">
        <is>
          <t>kg</t>
        </is>
      </c>
      <c r="L210" s="11">
        <f>IFERROR(I210/G210*J210,"")</f>
        <v>1.1020408163265305</v>
      </c>
    </row>
    <row r="211">
      <c r="A211" t="inlineStr">
        <is>
          <t>TP5</t>
        </is>
      </c>
      <c r="B211" t="inlineStr"/>
      <c r="C211" t="inlineStr"/>
      <c r="D211" t="inlineStr">
        <is>
          <t>Huevos (unidades)</t>
        </is>
      </c>
      <c r="E211" s="22" t="n">
        <v>2</v>
      </c>
      <c r="F211" t="inlineStr">
        <is>
          <t>ud</t>
        </is>
      </c>
      <c r="G211" s="9" t="n">
        <v>12</v>
      </c>
      <c r="H211" s="18" t="n">
        <v>0</v>
      </c>
      <c r="I211" s="23">
        <f>IFERROR(E211/(1-H211),"")</f>
        <v>2.0</v>
      </c>
      <c r="J211" s="11">
        <f>IFERROR(VLOOKUP($D211,'Parámetros'!$A$41:$C$89,2,FALSE),"")</f>
        <v>3.6</v>
      </c>
      <c r="K211" t="inlineStr">
        <is>
          <t>docena</t>
        </is>
      </c>
      <c r="L211" s="11">
        <f>IFERROR(I211/G211*J211,"")</f>
        <v>0.6</v>
      </c>
    </row>
    <row r="212">
      <c r="A212" t="inlineStr">
        <is>
          <t>TP5</t>
        </is>
      </c>
      <c r="B212" t="inlineStr"/>
      <c r="C212" t="inlineStr"/>
      <c r="D212" t="inlineStr">
        <is>
          <t>Piñón</t>
        </is>
      </c>
      <c r="E212" s="22" t="n">
        <v>0.35</v>
      </c>
      <c r="F212" t="inlineStr">
        <is>
          <t>kg</t>
        </is>
      </c>
      <c r="G212" s="9" t="n">
        <v>1</v>
      </c>
      <c r="H212" s="18" t="n">
        <v>0.02</v>
      </c>
      <c r="I212" s="23">
        <f>IFERROR(E212/(1-H212),"")</f>
        <v>0.35714285714285715</v>
      </c>
      <c r="J212" s="11">
        <f>IFERROR(VLOOKUP($D212,'Parámetros'!$A$41:$C$89,2,FALSE),"")</f>
        <v>72.0</v>
      </c>
      <c r="K212" t="inlineStr">
        <is>
          <t>kg</t>
        </is>
      </c>
      <c r="L212" s="11">
        <f>IFERROR(I212/G212*J212,"")</f>
        <v>25.714285714285715</v>
      </c>
    </row>
    <row r="213">
      <c r="A213" t="inlineStr">
        <is>
          <t>TP5</t>
        </is>
      </c>
      <c r="B213" t="inlineStr"/>
      <c r="C213" t="inlineStr"/>
      <c r="D213" t="inlineStr">
        <is>
          <t>Limón</t>
        </is>
      </c>
      <c r="E213" s="22" t="n">
        <v>0.05</v>
      </c>
      <c r="F213" t="inlineStr">
        <is>
          <t>kg</t>
        </is>
      </c>
      <c r="G213" s="9" t="n">
        <v>1</v>
      </c>
      <c r="H213" s="18" t="n">
        <v>0.25</v>
      </c>
      <c r="I213" s="23">
        <f>IFERROR(E213/(1-H213),"")</f>
        <v>0.06666666666666667</v>
      </c>
      <c r="J213" s="11">
        <f>IFERROR(VLOOKUP($D213,'Parámetros'!$A$41:$C$89,2,FALSE),"")</f>
        <v>2.2</v>
      </c>
      <c r="K213" t="inlineStr">
        <is>
          <t>kg</t>
        </is>
      </c>
      <c r="L213" s="11">
        <f>IFERROR(I213/G213*J213,"")</f>
        <v>0.14666666666666667</v>
      </c>
    </row>
    <row r="214">
      <c r="A214" t="inlineStr">
        <is>
          <t>TP6</t>
        </is>
      </c>
      <c r="B214" t="inlineStr">
        <is>
          <t>Polvorón o mantecado</t>
        </is>
      </c>
      <c r="C214" t="inlineStr">
        <is>
          <t>Temporada</t>
        </is>
      </c>
      <c r="D214" t="inlineStr">
        <is>
          <t>Harina floja</t>
        </is>
      </c>
      <c r="E214" s="22" t="n">
        <v>1.1</v>
      </c>
      <c r="F214" t="inlineStr">
        <is>
          <t>kg</t>
        </is>
      </c>
      <c r="G214" s="9" t="n">
        <v>1</v>
      </c>
      <c r="H214" s="18" t="n">
        <v>0.08</v>
      </c>
      <c r="I214" s="23">
        <f>IFERROR(E214/(1-H214),"")</f>
        <v>1.1956521739130435</v>
      </c>
      <c r="J214" s="11">
        <f>IFERROR(VLOOKUP($D214,'Parámetros'!$A$41:$C$89,2,FALSE),"")</f>
        <v>0.9</v>
      </c>
      <c r="K214" t="inlineStr">
        <is>
          <t>kg</t>
        </is>
      </c>
      <c r="L214" s="11">
        <f>IFERROR(I214/G214*J214,"")</f>
        <v>1.0760869565217392</v>
      </c>
      <c r="M214" s="12" t="inlineStr">
        <is>
          <t>supuesto</t>
        </is>
      </c>
    </row>
    <row r="215">
      <c r="A215" t="inlineStr">
        <is>
          <t>TP6</t>
        </is>
      </c>
      <c r="B215" t="inlineStr"/>
      <c r="C215" t="inlineStr"/>
      <c r="D215" t="inlineStr">
        <is>
          <t>Manteca de cerdo</t>
        </is>
      </c>
      <c r="E215" s="22" t="n">
        <v>0.45</v>
      </c>
      <c r="F215" t="inlineStr">
        <is>
          <t>kg</t>
        </is>
      </c>
      <c r="G215" s="9" t="n">
        <v>1</v>
      </c>
      <c r="H215" s="18" t="n">
        <v>0.03</v>
      </c>
      <c r="I215" s="23">
        <f>IFERROR(E215/(1-H215),"")</f>
        <v>0.4639175257731959</v>
      </c>
      <c r="J215" s="11">
        <f>IFERROR(VLOOKUP($D215,'Parámetros'!$A$41:$C$89,2,FALSE),"")</f>
        <v>4.4</v>
      </c>
      <c r="K215" t="inlineStr">
        <is>
          <t>kg</t>
        </is>
      </c>
      <c r="L215" s="11">
        <f>IFERROR(I215/G215*J215,"")</f>
        <v>2.041237113402062</v>
      </c>
    </row>
    <row r="216">
      <c r="A216" t="inlineStr">
        <is>
          <t>TP6</t>
        </is>
      </c>
      <c r="B216" t="inlineStr"/>
      <c r="C216" t="inlineStr"/>
      <c r="D216" t="inlineStr">
        <is>
          <t>Azúcar glas</t>
        </is>
      </c>
      <c r="E216" s="22" t="n">
        <v>0.45</v>
      </c>
      <c r="F216" t="inlineStr">
        <is>
          <t>kg</t>
        </is>
      </c>
      <c r="G216" s="9" t="n">
        <v>1</v>
      </c>
      <c r="H216" s="18" t="n">
        <v>0.02</v>
      </c>
      <c r="I216" s="23">
        <f>IFERROR(E216/(1-H216),"")</f>
        <v>0.45918367346938777</v>
      </c>
      <c r="J216" s="11">
        <f>IFERROR(VLOOKUP($D216,'Parámetros'!$A$41:$C$89,2,FALSE),"")</f>
        <v>2.5</v>
      </c>
      <c r="K216" t="inlineStr">
        <is>
          <t>kg</t>
        </is>
      </c>
      <c r="L216" s="11">
        <f>IFERROR(I216/G216*J216,"")</f>
        <v>1.1479591836734695</v>
      </c>
    </row>
    <row r="217">
      <c r="A217" t="inlineStr">
        <is>
          <t>TP6</t>
        </is>
      </c>
      <c r="B217" t="inlineStr"/>
      <c r="C217" t="inlineStr"/>
      <c r="D217" t="inlineStr">
        <is>
          <t>Almendra molida</t>
        </is>
      </c>
      <c r="E217" s="22" t="n">
        <v>0.25</v>
      </c>
      <c r="F217" t="inlineStr">
        <is>
          <t>kg</t>
        </is>
      </c>
      <c r="G217" s="9" t="n">
        <v>1</v>
      </c>
      <c r="H217" s="18" t="n">
        <v>0.02</v>
      </c>
      <c r="I217" s="23">
        <f>IFERROR(E217/(1-H217),"")</f>
        <v>0.25510204081632654</v>
      </c>
      <c r="J217" s="11">
        <f>IFERROR(VLOOKUP($D217,'Parámetros'!$A$41:$C$89,2,FALSE),"")</f>
        <v>13.5</v>
      </c>
      <c r="K217" t="inlineStr">
        <is>
          <t>kg</t>
        </is>
      </c>
      <c r="L217" s="11">
        <f>IFERROR(I217/G217*J217,"")</f>
        <v>3.443877551020408</v>
      </c>
    </row>
    <row r="218">
      <c r="A218" t="inlineStr">
        <is>
          <t>TP6</t>
        </is>
      </c>
      <c r="B218" t="inlineStr"/>
      <c r="C218" t="inlineStr"/>
      <c r="D218" t="inlineStr">
        <is>
          <t>Canela molida</t>
        </is>
      </c>
      <c r="E218" s="22" t="n">
        <v>0.008</v>
      </c>
      <c r="F218" t="inlineStr">
        <is>
          <t>kg</t>
        </is>
      </c>
      <c r="G218" s="9" t="n">
        <v>1</v>
      </c>
      <c r="H218" s="18" t="n">
        <v>0</v>
      </c>
      <c r="I218" s="23">
        <f>IFERROR(E218/(1-H218),"")</f>
        <v>0.008</v>
      </c>
      <c r="J218" s="11">
        <f>IFERROR(VLOOKUP($D218,'Parámetros'!$A$41:$C$89,2,FALSE),"")</f>
        <v>18.0</v>
      </c>
      <c r="K218" t="inlineStr">
        <is>
          <t>kg</t>
        </is>
      </c>
      <c r="L218" s="11">
        <f>IFERROR(I218/G218*J218,"")</f>
        <v>0.14400000000000002</v>
      </c>
    </row>
    <row r="219">
      <c r="A219" t="inlineStr">
        <is>
          <t>TP7</t>
        </is>
      </c>
      <c r="B219" t="inlineStr">
        <is>
          <t>Turrón de almendra</t>
        </is>
      </c>
      <c r="C219" t="inlineStr">
        <is>
          <t>Temporada</t>
        </is>
      </c>
      <c r="D219" t="inlineStr">
        <is>
          <t>Almendra marcona cruda</t>
        </is>
      </c>
      <c r="E219" s="22" t="n">
        <v>3.2</v>
      </c>
      <c r="F219" t="inlineStr">
        <is>
          <t>kg</t>
        </is>
      </c>
      <c r="G219" s="9" t="n">
        <v>1</v>
      </c>
      <c r="H219" s="18" t="n">
        <v>0.03</v>
      </c>
      <c r="I219" s="23">
        <f>IFERROR(E219/(1-H219),"")</f>
        <v>3.2989690721649487</v>
      </c>
      <c r="J219" s="11">
        <f>IFERROR(VLOOKUP($D219,'Parámetros'!$A$41:$C$89,2,FALSE),"")</f>
        <v>15.5</v>
      </c>
      <c r="K219" t="inlineStr">
        <is>
          <t>kg</t>
        </is>
      </c>
      <c r="L219" s="11">
        <f>IFERROR(I219/G219*J219,"")</f>
        <v>51.134020618556704</v>
      </c>
      <c r="M219" s="12" t="inlineStr">
        <is>
          <t>supuesto</t>
        </is>
      </c>
    </row>
    <row r="220">
      <c r="A220" t="inlineStr">
        <is>
          <t>TP7</t>
        </is>
      </c>
      <c r="B220" t="inlineStr"/>
      <c r="C220" t="inlineStr"/>
      <c r="D220" t="inlineStr">
        <is>
          <t>Miel</t>
        </is>
      </c>
      <c r="E220" s="22" t="n">
        <v>1.1</v>
      </c>
      <c r="F220" t="inlineStr">
        <is>
          <t>kg</t>
        </is>
      </c>
      <c r="G220" s="9" t="n">
        <v>1</v>
      </c>
      <c r="H220" s="18" t="n">
        <v>0.02</v>
      </c>
      <c r="I220" s="23">
        <f>IFERROR(E220/(1-H220),"")</f>
        <v>1.1224489795918369</v>
      </c>
      <c r="J220" s="11">
        <f>IFERROR(VLOOKUP($D220,'Parámetros'!$A$41:$C$89,2,FALSE),"")</f>
        <v>8.2</v>
      </c>
      <c r="K220" t="inlineStr">
        <is>
          <t>kg</t>
        </is>
      </c>
      <c r="L220" s="11">
        <f>IFERROR(I220/G220*J220,"")</f>
        <v>9.204081632653061</v>
      </c>
    </row>
    <row r="221">
      <c r="A221" t="inlineStr">
        <is>
          <t>TP7</t>
        </is>
      </c>
      <c r="B221" t="inlineStr"/>
      <c r="C221" t="inlineStr"/>
      <c r="D221" t="inlineStr">
        <is>
          <t>Azúcar</t>
        </is>
      </c>
      <c r="E221" s="22" t="n">
        <v>0.8</v>
      </c>
      <c r="F221" t="inlineStr">
        <is>
          <t>kg</t>
        </is>
      </c>
      <c r="G221" s="9" t="n">
        <v>1</v>
      </c>
      <c r="H221" s="18" t="n">
        <v>0.02</v>
      </c>
      <c r="I221" s="23">
        <f>IFERROR(E221/(1-H221),"")</f>
        <v>0.8163265306122449</v>
      </c>
      <c r="J221" s="11">
        <f>IFERROR(VLOOKUP($D221,'Parámetros'!$A$41:$C$89,2,FALSE),"")</f>
        <v>1.2</v>
      </c>
      <c r="K221" t="inlineStr">
        <is>
          <t>kg</t>
        </is>
      </c>
      <c r="L221" s="11">
        <f>IFERROR(I221/G221*J221,"")</f>
        <v>0.9795918367346939</v>
      </c>
    </row>
    <row r="222">
      <c r="A222" t="inlineStr">
        <is>
          <t>TP7</t>
        </is>
      </c>
      <c r="B222" t="inlineStr"/>
      <c r="C222" t="inlineStr"/>
      <c r="D222" t="inlineStr">
        <is>
          <t>Claras de huevo</t>
        </is>
      </c>
      <c r="E222" s="22" t="n">
        <v>0.1</v>
      </c>
      <c r="F222" t="inlineStr">
        <is>
          <t>kg</t>
        </is>
      </c>
      <c r="G222" s="9" t="n">
        <v>1</v>
      </c>
      <c r="H222" s="18" t="n">
        <v>0.05</v>
      </c>
      <c r="I222" s="23">
        <f>IFERROR(E222/(1-H222),"")</f>
        <v>0.10526315789473685</v>
      </c>
      <c r="J222" s="11">
        <f>IFERROR(VLOOKUP($D222,'Parámetros'!$A$41:$C$89,2,FALSE),"")</f>
        <v>6.0</v>
      </c>
      <c r="K222" t="inlineStr">
        <is>
          <t>kg</t>
        </is>
      </c>
      <c r="L222" s="11">
        <f>IFERROR(I222/G222*J222,"")</f>
        <v>0.6315789473684211</v>
      </c>
    </row>
    <row r="223">
      <c r="A223" t="inlineStr">
        <is>
          <t>TP8</t>
        </is>
      </c>
      <c r="B223" t="inlineStr">
        <is>
          <t>Mona de Pascua</t>
        </is>
      </c>
      <c r="C223" t="inlineStr">
        <is>
          <t>Temporada</t>
        </is>
      </c>
      <c r="D223" t="inlineStr">
        <is>
          <t>Harina de fuerza</t>
        </is>
      </c>
      <c r="E223" s="22" t="n">
        <v>1.6</v>
      </c>
      <c r="F223" t="inlineStr">
        <is>
          <t>kg</t>
        </is>
      </c>
      <c r="G223" s="9" t="n">
        <v>1</v>
      </c>
      <c r="H223" s="18" t="n">
        <v>0.08</v>
      </c>
      <c r="I223" s="23">
        <f>IFERROR(E223/(1-H223),"")</f>
        <v>1.7391304347826086</v>
      </c>
      <c r="J223" s="11">
        <f>IFERROR(VLOOKUP($D223,'Parámetros'!$A$41:$C$89,2,FALSE),"")</f>
        <v>1.1</v>
      </c>
      <c r="K223" t="inlineStr">
        <is>
          <t>kg</t>
        </is>
      </c>
      <c r="L223" s="11">
        <f>IFERROR(I223/G223*J223,"")</f>
        <v>1.9130434782608696</v>
      </c>
      <c r="M223" s="12" t="inlineStr">
        <is>
          <t>supuesto</t>
        </is>
      </c>
    </row>
    <row r="224">
      <c r="A224" t="inlineStr">
        <is>
          <t>TP8</t>
        </is>
      </c>
      <c r="B224" t="inlineStr"/>
      <c r="C224" t="inlineStr"/>
      <c r="D224" t="inlineStr">
        <is>
          <t>Azúcar</t>
        </is>
      </c>
      <c r="E224" s="22" t="n">
        <v>0.45</v>
      </c>
      <c r="F224" t="inlineStr">
        <is>
          <t>kg</t>
        </is>
      </c>
      <c r="G224" s="9" t="n">
        <v>1</v>
      </c>
      <c r="H224" s="18" t="n">
        <v>0.02</v>
      </c>
      <c r="I224" s="23">
        <f>IFERROR(E224/(1-H224),"")</f>
        <v>0.45918367346938777</v>
      </c>
      <c r="J224" s="11">
        <f>IFERROR(VLOOKUP($D224,'Parámetros'!$A$41:$C$89,2,FALSE),"")</f>
        <v>1.2</v>
      </c>
      <c r="K224" t="inlineStr">
        <is>
          <t>kg</t>
        </is>
      </c>
      <c r="L224" s="11">
        <f>IFERROR(I224/G224*J224,"")</f>
        <v>0.5510204081632653</v>
      </c>
    </row>
    <row r="225">
      <c r="A225" t="inlineStr">
        <is>
          <t>TP8</t>
        </is>
      </c>
      <c r="B225" t="inlineStr"/>
      <c r="C225" t="inlineStr"/>
      <c r="D225" t="inlineStr">
        <is>
          <t>Huevos (unidades)</t>
        </is>
      </c>
      <c r="E225" s="22" t="n">
        <v>10</v>
      </c>
      <c r="F225" t="inlineStr">
        <is>
          <t>ud</t>
        </is>
      </c>
      <c r="G225" s="9" t="n">
        <v>12</v>
      </c>
      <c r="H225" s="18" t="n">
        <v>0</v>
      </c>
      <c r="I225" s="23">
        <f>IFERROR(E225/(1-H225),"")</f>
        <v>10.0</v>
      </c>
      <c r="J225" s="11">
        <f>IFERROR(VLOOKUP($D225,'Parámetros'!$A$41:$C$89,2,FALSE),"")</f>
        <v>3.6</v>
      </c>
      <c r="K225" t="inlineStr">
        <is>
          <t>docena</t>
        </is>
      </c>
      <c r="L225" s="11">
        <f>IFERROR(I225/G225*J225,"")</f>
        <v>3.0</v>
      </c>
    </row>
    <row r="226">
      <c r="A226" t="inlineStr">
        <is>
          <t>TP8</t>
        </is>
      </c>
      <c r="B226" t="inlineStr"/>
      <c r="C226" t="inlineStr"/>
      <c r="D226" t="inlineStr">
        <is>
          <t>Mantequilla</t>
        </is>
      </c>
      <c r="E226" s="22" t="n">
        <v>0.3</v>
      </c>
      <c r="F226" t="inlineStr">
        <is>
          <t>kg</t>
        </is>
      </c>
      <c r="G226" s="9" t="n">
        <v>1</v>
      </c>
      <c r="H226" s="18" t="n">
        <v>0.03</v>
      </c>
      <c r="I226" s="23">
        <f>IFERROR(E226/(1-H226),"")</f>
        <v>0.30927835051546393</v>
      </c>
      <c r="J226" s="11">
        <f>IFERROR(VLOOKUP($D226,'Parámetros'!$A$41:$C$89,2,FALSE),"")</f>
        <v>9.0</v>
      </c>
      <c r="K226" t="inlineStr">
        <is>
          <t>kg</t>
        </is>
      </c>
      <c r="L226" s="11">
        <f>IFERROR(I226/G226*J226,"")</f>
        <v>2.783505154639175</v>
      </c>
    </row>
    <row r="227">
      <c r="A227" t="inlineStr">
        <is>
          <t>TP8</t>
        </is>
      </c>
      <c r="B227" t="inlineStr"/>
      <c r="C227" t="inlineStr"/>
      <c r="D227" t="inlineStr">
        <is>
          <t>Leche entera</t>
        </is>
      </c>
      <c r="E227" s="22" t="n">
        <v>0.4</v>
      </c>
      <c r="F227" t="inlineStr">
        <is>
          <t>L</t>
        </is>
      </c>
      <c r="G227" s="9" t="n">
        <v>1</v>
      </c>
      <c r="H227" s="18" t="n">
        <v>0.02</v>
      </c>
      <c r="I227" s="23">
        <f>IFERROR(E227/(1-H227),"")</f>
        <v>0.40816326530612246</v>
      </c>
      <c r="J227" s="11">
        <f>IFERROR(VLOOKUP($D227,'Parámetros'!$A$41:$C$89,2,FALSE),"")</f>
        <v>1.1</v>
      </c>
      <c r="K227" t="inlineStr">
        <is>
          <t>L</t>
        </is>
      </c>
      <c r="L227" s="11">
        <f>IFERROR(I227/G227*J227,"")</f>
        <v>0.44897959183673475</v>
      </c>
    </row>
    <row r="228">
      <c r="A228" t="inlineStr">
        <is>
          <t>TP8</t>
        </is>
      </c>
      <c r="B228" t="inlineStr"/>
      <c r="C228" t="inlineStr"/>
      <c r="D228" t="inlineStr">
        <is>
          <t>Levadura fresca</t>
        </is>
      </c>
      <c r="E228" s="22" t="n">
        <v>0.06</v>
      </c>
      <c r="F228" t="inlineStr">
        <is>
          <t>kg</t>
        </is>
      </c>
      <c r="G228" s="9" t="n">
        <v>1</v>
      </c>
      <c r="H228" s="18" t="n">
        <v>0.05</v>
      </c>
      <c r="I228" s="23">
        <f>IFERROR(E228/(1-H228),"")</f>
        <v>0.06315789473684211</v>
      </c>
      <c r="J228" s="11">
        <f>IFERROR(VLOOKUP($D228,'Parámetros'!$A$41:$C$89,2,FALSE),"")</f>
        <v>5.0</v>
      </c>
      <c r="K228" t="inlineStr">
        <is>
          <t>kg</t>
        </is>
      </c>
      <c r="L228" s="11">
        <f>IFERROR(I228/G228*J228,"")</f>
        <v>0.3157894736842105</v>
      </c>
    </row>
    <row r="229">
      <c r="A229" t="inlineStr">
        <is>
          <t>TP8</t>
        </is>
      </c>
      <c r="B229" t="inlineStr"/>
      <c r="C229" t="inlineStr"/>
      <c r="D229" t="inlineStr">
        <is>
          <t>Sal</t>
        </is>
      </c>
      <c r="E229" s="22" t="n">
        <v>0.02</v>
      </c>
      <c r="F229" t="inlineStr">
        <is>
          <t>kg</t>
        </is>
      </c>
      <c r="G229" s="9" t="n">
        <v>1</v>
      </c>
      <c r="H229" s="18" t="n">
        <v>0.02</v>
      </c>
      <c r="I229" s="23">
        <f>IFERROR(E229/(1-H229),"")</f>
        <v>0.020408163265306124</v>
      </c>
      <c r="J229" s="11">
        <f>IFERROR(VLOOKUP($D229,'Parámetros'!$A$41:$C$89,2,FALSE),"")</f>
        <v>0.6</v>
      </c>
      <c r="K229" t="inlineStr">
        <is>
          <t>kg</t>
        </is>
      </c>
      <c r="L229" s="11">
        <f>IFERROR(I229/G229*J229,"")</f>
        <v>0.012244897959183675</v>
      </c>
    </row>
    <row r="230">
      <c r="A230" t="inlineStr">
        <is>
          <t>TP8</t>
        </is>
      </c>
      <c r="B230" t="inlineStr"/>
      <c r="C230" t="inlineStr"/>
      <c r="D230" t="inlineStr">
        <is>
          <t>Cobertura de leche 40%</t>
        </is>
      </c>
      <c r="E230" s="22" t="n">
        <v>1.2</v>
      </c>
      <c r="F230" t="inlineStr">
        <is>
          <t>kg</t>
        </is>
      </c>
      <c r="G230" s="9" t="n">
        <v>1</v>
      </c>
      <c r="H230" s="18" t="n">
        <v>0.02</v>
      </c>
      <c r="I230" s="23">
        <f>IFERROR(E230/(1-H230),"")</f>
        <v>1.2244897959183674</v>
      </c>
      <c r="J230" s="11">
        <f>IFERROR(VLOOKUP($D230,'Parámetros'!$A$41:$C$89,2,FALSE),"")</f>
        <v>15.5</v>
      </c>
      <c r="K230" t="inlineStr">
        <is>
          <t>kg</t>
        </is>
      </c>
      <c r="L230" s="11">
        <f>IFERROR(I230/G230*J230,"")</f>
        <v>18.979591836734695</v>
      </c>
    </row>
    <row r="231">
      <c r="A231" t="inlineStr">
        <is>
          <t>TP8</t>
        </is>
      </c>
      <c r="B231" t="inlineStr"/>
      <c r="C231" t="inlineStr"/>
      <c r="D231" t="inlineStr">
        <is>
          <t>Azúcar glas</t>
        </is>
      </c>
      <c r="E231" s="22" t="n">
        <v>0.08</v>
      </c>
      <c r="F231" t="inlineStr">
        <is>
          <t>kg</t>
        </is>
      </c>
      <c r="G231" s="9" t="n">
        <v>1</v>
      </c>
      <c r="H231" s="18" t="n">
        <v>0.02</v>
      </c>
      <c r="I231" s="23">
        <f>IFERROR(E231/(1-H231),"")</f>
        <v>0.0816326530612245</v>
      </c>
      <c r="J231" s="11">
        <f>IFERROR(VLOOKUP($D231,'Parámetros'!$A$41:$C$89,2,FALSE),"")</f>
        <v>2.5</v>
      </c>
      <c r="K231" t="inlineStr">
        <is>
          <t>kg</t>
        </is>
      </c>
      <c r="L231" s="11">
        <f>IFERROR(I231/G231*J231,"")</f>
        <v>0.20408163265306123</v>
      </c>
    </row>
    <row r="232">
      <c r="A232" s="13" t="inlineStr">
        <is>
          <t>TOTAL</t>
        </is>
      </c>
      <c r="L232" s="15">
        <f>SUM(L6:L231)</f>
        <v>375.60100244959415</v>
      </c>
      <c r="M232" s="17" t="inlineStr">
        <is>
          <t>Materia prima de una tanda de cada una de las 30 referencias. No es un coste de producción: es la suma de las 30 tandas.</t>
        </is>
      </c>
    </row>
    <row r="233"/>
    <row r="234">
      <c r="A234" s="4" t="inlineStr">
        <is>
          <t>Coste de materia por referencia</t>
        </is>
      </c>
    </row>
    <row r="235" ht="40" customHeight="1">
      <c r="A235" s="8" t="inlineStr">
        <is>
          <t>Ref</t>
        </is>
      </c>
      <c r="B235" s="8" t="inlineStr">
        <is>
          <t>Referencia</t>
        </is>
      </c>
      <c r="C235" s="8" t="inlineStr">
        <is>
          <t>Familia</t>
        </is>
      </c>
      <c r="D235" s="8" t="inlineStr">
        <is>
          <t>Uds por tanda</t>
        </is>
      </c>
      <c r="E235" s="8" t="inlineStr">
        <is>
          <t>Líneas del escandallo</t>
        </is>
      </c>
      <c r="F235" s="8" t="inlineStr">
        <is>
          <t>Coste de materia de la tanda (€)</t>
        </is>
      </c>
      <c r="G235" s="8" t="inlineStr">
        <is>
          <t>Coste de materia por unidad (€)</t>
        </is>
      </c>
      <c r="H235" s="8" t="inlineStr">
        <is>
          <t>Gramaje (g)</t>
        </is>
      </c>
      <c r="I235" s="8" t="inlineStr">
        <is>
          <t>Coste de materia por kg (€)</t>
        </is>
      </c>
      <c r="J235" s="8" t="inlineStr"/>
      <c r="K235" s="8" t="inlineStr"/>
      <c r="L235" s="8" t="inlineStr"/>
      <c r="M235" s="8" t="inlineStr">
        <is>
          <t>Procedencia del escandallo</t>
        </is>
      </c>
    </row>
    <row r="236" ht="26" customHeight="1">
      <c r="A236" t="inlineStr">
        <is>
          <t>B1</t>
        </is>
      </c>
      <c r="B236" s="13" t="inlineStr">
        <is>
          <t>Croissant de mantequilla</t>
        </is>
      </c>
      <c r="C236" t="inlineStr">
        <is>
          <t>Bollería</t>
        </is>
      </c>
      <c r="D236" s="16" t="n">
        <v>20</v>
      </c>
      <c r="E236" s="24">
        <f>IFERROR(SUMPRODUCT(--($A$6:$A$231=$A236),--($D$6:$D$231&lt;&gt;"")),"")</f>
        <v>7.0</v>
      </c>
      <c r="F236" s="11">
        <f>IFERROR(SUMPRODUCT(--($A$6:$A$231=$A236),$L$6:$L$231),"")</f>
        <v>4.716701700142654</v>
      </c>
      <c r="G236" s="11">
        <f>IFERROR(F236/D236,"")</f>
        <v>0.23583508500713268</v>
      </c>
      <c r="H236" s="16" t="n">
        <v>50</v>
      </c>
      <c r="I236" s="11">
        <f>IFERROR(G236/H236*1000,"")</f>
        <v>4.716701700142654</v>
      </c>
      <c r="M236" s="12" t="inlineStr">
        <is>
          <t>COPIA EXACTA de kit-escandallos/05-pasteleria.xlsx, hoja «Croissants». Mismo escandallo en los dos productos: un cliente con los dos no puede ver dos costes distintos de la misma pieza.</t>
        </is>
      </c>
    </row>
    <row r="237" ht="26" customHeight="1">
      <c r="A237" t="inlineStr">
        <is>
          <t>B2</t>
        </is>
      </c>
      <c r="B237" s="25" t="inlineStr">
        <is>
          <t>Pain au chocolat</t>
        </is>
      </c>
      <c r="C237" t="inlineStr">
        <is>
          <t>Bollería</t>
        </is>
      </c>
      <c r="D237" s="16" t="n">
        <v>20</v>
      </c>
      <c r="E237" s="24">
        <f>IFERROR(SUMPRODUCT(--($A$6:$A$231=$A237),--($D$6:$D$231&lt;&gt;"")),"")</f>
        <v>8.0</v>
      </c>
      <c r="F237" s="11">
        <f>IFERROR(SUMPRODUCT(--($A$6:$A$231=$A237),$L$6:$L$231),"")</f>
        <v>8.390171087897755</v>
      </c>
      <c r="G237" s="11">
        <f>IFERROR(F237/D237,"")</f>
        <v>0.41950855439488777</v>
      </c>
      <c r="H237" s="16" t="n">
        <v>55</v>
      </c>
      <c r="I237" s="11">
        <f>IFERROR(G237/H237*1000,"")</f>
        <v>7.627428261725232</v>
      </c>
      <c r="M237" s="12" t="inlineStr">
        <is>
          <t>supuesto (misma masa que B1, del kit, más dos barras por pieza)</t>
        </is>
      </c>
    </row>
    <row r="238" ht="26" customHeight="1">
      <c r="A238" t="inlineStr">
        <is>
          <t>B3</t>
        </is>
      </c>
      <c r="B238" s="25" t="inlineStr">
        <is>
          <t>Napolitana de crema</t>
        </is>
      </c>
      <c r="C238" t="inlineStr">
        <is>
          <t>Bollería</t>
        </is>
      </c>
      <c r="D238" s="16" t="n">
        <v>20</v>
      </c>
      <c r="E238" s="24">
        <f>IFERROR(SUMPRODUCT(--($A$6:$A$231=$A238),--($D$6:$D$231&lt;&gt;"")),"")</f>
        <v>12.0</v>
      </c>
      <c r="F238" s="11">
        <f>IFERROR(SUMPRODUCT(--($A$6:$A$231=$A238),$L$6:$L$231),"")</f>
        <v>7.052742516469184</v>
      </c>
      <c r="G238" s="11">
        <f>IFERROR(F238/D238,"")</f>
        <v>0.3526371258234592</v>
      </c>
      <c r="H238" s="16" t="n">
        <v>60</v>
      </c>
      <c r="I238" s="11">
        <f>IFERROR(G238/H238*1000,"")</f>
        <v>5.8772854303909865</v>
      </c>
      <c r="M238" s="12" t="inlineStr">
        <is>
          <t>supuesto (masa del kit más crema pastelera de ejemplo)</t>
        </is>
      </c>
    </row>
    <row r="239" ht="26" customHeight="1">
      <c r="A239" t="inlineStr">
        <is>
          <t>B4</t>
        </is>
      </c>
      <c r="B239" s="25" t="inlineStr">
        <is>
          <t>Palmera de hojaldre</t>
        </is>
      </c>
      <c r="C239" t="inlineStr">
        <is>
          <t>Bollería</t>
        </is>
      </c>
      <c r="D239" s="16" t="n">
        <v>24</v>
      </c>
      <c r="E239" s="24">
        <f>IFERROR(SUMPRODUCT(--($A$6:$A$231=$A239),--($D$6:$D$231&lt;&gt;"")),"")</f>
        <v>4.0</v>
      </c>
      <c r="F239" s="11">
        <f>IFERROR(SUMPRODUCT(--($A$6:$A$231=$A239),$L$6:$L$231),"")</f>
        <v>5.26729502648213</v>
      </c>
      <c r="G239" s="11">
        <f>IFERROR(F239/D239,"")</f>
        <v>0.21947062610342208</v>
      </c>
      <c r="H239" s="16" t="n">
        <v>45</v>
      </c>
      <c r="I239" s="11">
        <f>IFERROR(G239/H239*1000,"")</f>
        <v>4.877125024520491</v>
      </c>
      <c r="M239" s="12" t="inlineStr">
        <is>
          <t>supuesto</t>
        </is>
      </c>
    </row>
    <row r="240" ht="26" customHeight="1">
      <c r="A240" t="inlineStr">
        <is>
          <t>B5</t>
        </is>
      </c>
      <c r="B240" s="25" t="inlineStr">
        <is>
          <t>Caracola de pasas</t>
        </is>
      </c>
      <c r="C240" t="inlineStr">
        <is>
          <t>Bollería</t>
        </is>
      </c>
      <c r="D240" s="16" t="n">
        <v>20</v>
      </c>
      <c r="E240" s="24">
        <f>IFERROR(SUMPRODUCT(--($A$6:$A$231=$A240),--($D$6:$D$231&lt;&gt;"")),"")</f>
        <v>13.0</v>
      </c>
      <c r="F240" s="11">
        <f>IFERROR(SUMPRODUCT(--($A$6:$A$231=$A240),$L$6:$L$231),"")</f>
        <v>6.1249477935409695</v>
      </c>
      <c r="G240" s="11">
        <f>IFERROR(F240/D240,"")</f>
        <v>0.30624738967704845</v>
      </c>
      <c r="H240" s="16" t="n">
        <v>65</v>
      </c>
      <c r="I240" s="11">
        <f>IFERROR(G240/H240*1000,"")</f>
        <v>4.711498302723823</v>
      </c>
      <c r="M240" s="12" t="inlineStr">
        <is>
          <t>supuesto</t>
        </is>
      </c>
    </row>
    <row r="241" ht="26" customHeight="1">
      <c r="A241" t="inlineStr">
        <is>
          <t>B6</t>
        </is>
      </c>
      <c r="B241" s="25" t="inlineStr">
        <is>
          <t>Ensaimada</t>
        </is>
      </c>
      <c r="C241" t="inlineStr">
        <is>
          <t>Bollería</t>
        </is>
      </c>
      <c r="D241" s="16" t="n">
        <v>16</v>
      </c>
      <c r="E241" s="24">
        <f>IFERROR(SUMPRODUCT(--($A$6:$A$231=$A241),--($D$6:$D$231&lt;&gt;"")),"")</f>
        <v>7.0</v>
      </c>
      <c r="F241" s="11">
        <f>IFERROR(SUMPRODUCT(--($A$6:$A$231=$A241),$L$6:$L$231),"")</f>
        <v>2.8837485081083316</v>
      </c>
      <c r="G241" s="11">
        <f>IFERROR(F241/D241,"")</f>
        <v>0.18023428175677073</v>
      </c>
      <c r="H241" s="16" t="n">
        <v>70</v>
      </c>
      <c r="I241" s="11">
        <f>IFERROR(G241/H241*1000,"")</f>
        <v>2.574775453668153</v>
      </c>
      <c r="M241" s="12" t="inlineStr">
        <is>
          <t>supuesto</t>
        </is>
      </c>
    </row>
    <row r="242" ht="26" customHeight="1">
      <c r="A242" t="inlineStr">
        <is>
          <t>PI1</t>
        </is>
      </c>
      <c r="B242" s="25" t="inlineStr">
        <is>
          <t>Milhojas</t>
        </is>
      </c>
      <c r="C242" t="inlineStr">
        <is>
          <t>Pastelería individual</t>
        </is>
      </c>
      <c r="D242" s="16" t="n">
        <v>18</v>
      </c>
      <c r="E242" s="24">
        <f>IFERROR(SUMPRODUCT(--($A$6:$A$231=$A242),--($D$6:$D$231&lt;&gt;"")),"")</f>
        <v>10.0</v>
      </c>
      <c r="F242" s="11">
        <f>IFERROR(SUMPRODUCT(--($A$6:$A$231=$A242),$L$6:$L$231),"")</f>
        <v>8.044954317181826</v>
      </c>
      <c r="G242" s="11">
        <f>IFERROR(F242/D242,"")</f>
        <v>0.44694190651010146</v>
      </c>
      <c r="H242" s="16" t="n">
        <v>90</v>
      </c>
      <c r="I242" s="11">
        <f>IFERROR(G242/H242*1000,"")</f>
        <v>4.966021183445571</v>
      </c>
      <c r="M242" s="12" t="inlineStr">
        <is>
          <t>supuesto</t>
        </is>
      </c>
    </row>
    <row r="243" ht="26" customHeight="1">
      <c r="A243" t="inlineStr">
        <is>
          <t>PI2</t>
        </is>
      </c>
      <c r="B243" s="25" t="inlineStr">
        <is>
          <t>Éclair</t>
        </is>
      </c>
      <c r="C243" t="inlineStr">
        <is>
          <t>Pastelería individual</t>
        </is>
      </c>
      <c r="D243" s="16" t="n">
        <v>24</v>
      </c>
      <c r="E243" s="24">
        <f>IFERROR(SUMPRODUCT(--($A$6:$A$231=$A243),--($D$6:$D$231&lt;&gt;"")),"")</f>
        <v>11.0</v>
      </c>
      <c r="F243" s="11">
        <f>IFERROR(SUMPRODUCT(--($A$6:$A$231=$A243),$L$6:$L$231),"")</f>
        <v>8.118137661339748</v>
      </c>
      <c r="G243" s="11">
        <f>IFERROR(F243/D243,"")</f>
        <v>0.3382557358891562</v>
      </c>
      <c r="H243" s="16" t="n">
        <v>85</v>
      </c>
      <c r="I243" s="11">
        <f>IFERROR(G243/H243*1000,"")</f>
        <v>3.9794792457547787</v>
      </c>
      <c r="M243" s="12" t="inlineStr">
        <is>
          <t>supuesto</t>
        </is>
      </c>
    </row>
    <row r="244" ht="26" customHeight="1">
      <c r="A244" t="inlineStr">
        <is>
          <t>PI3</t>
        </is>
      </c>
      <c r="B244" s="13" t="inlineStr">
        <is>
          <t>Macarons de frambuesa</t>
        </is>
      </c>
      <c r="C244" t="inlineStr">
        <is>
          <t>Pastelería individual</t>
        </is>
      </c>
      <c r="D244" s="16" t="n">
        <v>30</v>
      </c>
      <c r="E244" s="24">
        <f>IFERROR(SUMPRODUCT(--($A$6:$A$231=$A244),--($D$6:$D$231&lt;&gt;"")),"")</f>
        <v>7.0</v>
      </c>
      <c r="F244" s="11">
        <f>IFERROR(SUMPRODUCT(--($A$6:$A$231=$A244),$L$6:$L$231),"")</f>
        <v>5.895298814694886</v>
      </c>
      <c r="G244" s="11">
        <f>IFERROR(F244/D244,"")</f>
        <v>0.19650996048982955</v>
      </c>
      <c r="H244" s="16" t="n">
        <v>25</v>
      </c>
      <c r="I244" s="11">
        <f>IFERROR(G244/H244*1000,"")</f>
        <v>7.860398419593182</v>
      </c>
      <c r="M244" s="12" t="inlineStr">
        <is>
          <t>COPIA EXACTA de kit-escandallos/05-pasteleria.xlsx, hoja «Macarons». Mismo escandallo en los dos productos: un cliente con los dos no puede ver dos costes distintos de la misma pieza.</t>
        </is>
      </c>
    </row>
    <row r="245" ht="26" customHeight="1">
      <c r="A245" t="inlineStr">
        <is>
          <t>PI4</t>
        </is>
      </c>
      <c r="B245" s="25" t="inlineStr">
        <is>
          <t>Tartaleta de frutas</t>
        </is>
      </c>
      <c r="C245" t="inlineStr">
        <is>
          <t>Pastelería individual</t>
        </is>
      </c>
      <c r="D245" s="16" t="n">
        <v>20</v>
      </c>
      <c r="E245" s="24">
        <f>IFERROR(SUMPRODUCT(--($A$6:$A$231=$A245),--($D$6:$D$231&lt;&gt;"")),"")</f>
        <v>13.0</v>
      </c>
      <c r="F245" s="11">
        <f>IFERROR(SUMPRODUCT(--($A$6:$A$231=$A245),$L$6:$L$231),"")</f>
        <v>10.499720815334296</v>
      </c>
      <c r="G245" s="11">
        <f>IFERROR(F245/D245,"")</f>
        <v>0.5249860407667148</v>
      </c>
      <c r="H245" s="16" t="n">
        <v>95</v>
      </c>
      <c r="I245" s="11">
        <f>IFERROR(G245/H245*1000,"")</f>
        <v>5.526168850175946</v>
      </c>
      <c r="M245" s="12" t="inlineStr">
        <is>
          <t>supuesto</t>
        </is>
      </c>
    </row>
    <row r="246" ht="26" customHeight="1">
      <c r="A246" t="inlineStr">
        <is>
          <t>PI5</t>
        </is>
      </c>
      <c r="B246" s="25" t="inlineStr">
        <is>
          <t>Lionesa o profiterol</t>
        </is>
      </c>
      <c r="C246" t="inlineStr">
        <is>
          <t>Pastelería individual</t>
        </is>
      </c>
      <c r="D246" s="16" t="n">
        <v>40</v>
      </c>
      <c r="E246" s="24">
        <f>IFERROR(SUMPRODUCT(--($A$6:$A$231=$A246),--($D$6:$D$231&lt;&gt;"")),"")</f>
        <v>7.0</v>
      </c>
      <c r="F246" s="11">
        <f>IFERROR(SUMPRODUCT(--($A$6:$A$231=$A246),$L$6:$L$231),"")</f>
        <v>7.9270723296041865</v>
      </c>
      <c r="G246" s="11">
        <f>IFERROR(F246/D246,"")</f>
        <v>0.19817680824010467</v>
      </c>
      <c r="H246" s="16" t="n">
        <v>45</v>
      </c>
      <c r="I246" s="11">
        <f>IFERROR(G246/H246*1000,"")</f>
        <v>4.403929072002326</v>
      </c>
      <c r="M246" s="12" t="inlineStr">
        <is>
          <t>supuesto</t>
        </is>
      </c>
    </row>
    <row r="247" ht="26" customHeight="1">
      <c r="A247" t="inlineStr">
        <is>
          <t>PI6</t>
        </is>
      </c>
      <c r="B247" s="25" t="inlineStr">
        <is>
          <t>Entremet individual</t>
        </is>
      </c>
      <c r="C247" t="inlineStr">
        <is>
          <t>Pastelería individual</t>
        </is>
      </c>
      <c r="D247" s="16" t="n">
        <v>16</v>
      </c>
      <c r="E247" s="24">
        <f>IFERROR(SUMPRODUCT(--($A$6:$A$231=$A247),--($D$6:$D$231&lt;&gt;"")),"")</f>
        <v>9.0</v>
      </c>
      <c r="F247" s="11">
        <f>IFERROR(SUMPRODUCT(--($A$6:$A$231=$A247),$L$6:$L$231),"")</f>
        <v>13.19586017069311</v>
      </c>
      <c r="G247" s="11">
        <f>IFERROR(F247/D247,"")</f>
        <v>0.8247412606683193</v>
      </c>
      <c r="H247" s="16" t="n">
        <v>110</v>
      </c>
      <c r="I247" s="11">
        <f>IFERROR(G247/H247*1000,"")</f>
        <v>7.497647824257449</v>
      </c>
      <c r="M247" s="12" t="inlineStr">
        <is>
          <t>supuesto</t>
        </is>
      </c>
    </row>
    <row r="248" ht="26" customHeight="1">
      <c r="A248" t="inlineStr">
        <is>
          <t>T1</t>
        </is>
      </c>
      <c r="B248" s="13" t="inlineStr">
        <is>
          <t>Tarta de chocolate 70 %</t>
        </is>
      </c>
      <c r="C248" t="inlineStr">
        <is>
          <t>Tartas y entremets</t>
        </is>
      </c>
      <c r="D248" s="16" t="n">
        <v>12</v>
      </c>
      <c r="E248" s="24">
        <f>IFERROR(SUMPRODUCT(--($A$6:$A$231=$A248),--($D$6:$D$231&lt;&gt;"")),"")</f>
        <v>8.0</v>
      </c>
      <c r="F248" s="11">
        <f>IFERROR(SUMPRODUCT(--($A$6:$A$231=$A248),$L$6:$L$231),"")</f>
        <v>13.827984331969768</v>
      </c>
      <c r="G248" s="11">
        <f>IFERROR(F248/D248,"")</f>
        <v>1.1523320276641473</v>
      </c>
      <c r="H248" s="16" t="n">
        <v>125</v>
      </c>
      <c r="I248" s="11">
        <f>IFERROR(G248/H248*1000,"")</f>
        <v>9.218656221313179</v>
      </c>
      <c r="M248" s="12" t="inlineStr">
        <is>
          <t>COPIA EXACTA de kit-escandallos/05-pasteleria.xlsx, hoja «Tarta Chocolate». Mismo escandallo en los dos productos: un cliente con los dos no puede ver dos costes distintos de la misma pieza.</t>
        </is>
      </c>
    </row>
    <row r="249" ht="26" customHeight="1">
      <c r="A249" t="inlineStr">
        <is>
          <t>T2</t>
        </is>
      </c>
      <c r="B249" s="25" t="inlineStr">
        <is>
          <t>Tarta de queso</t>
        </is>
      </c>
      <c r="C249" t="inlineStr">
        <is>
          <t>Tartas y entremets</t>
        </is>
      </c>
      <c r="D249" s="16" t="n">
        <v>12</v>
      </c>
      <c r="E249" s="24">
        <f>IFERROR(SUMPRODUCT(--($A$6:$A$231=$A249),--($D$6:$D$231&lt;&gt;"")),"")</f>
        <v>5.0</v>
      </c>
      <c r="F249" s="11">
        <f>IFERROR(SUMPRODUCT(--($A$6:$A$231=$A249),$L$6:$L$231),"")</f>
        <v>10.951586412243069</v>
      </c>
      <c r="G249" s="11">
        <f>IFERROR(F249/D249,"")</f>
        <v>0.9126322010202558</v>
      </c>
      <c r="H249" s="16" t="n">
        <v>120</v>
      </c>
      <c r="I249" s="11">
        <f>IFERROR(G249/H249*1000,"")</f>
        <v>7.6052683418354645</v>
      </c>
      <c r="M249" s="12" t="inlineStr">
        <is>
          <t>supuesto</t>
        </is>
      </c>
    </row>
    <row r="250" ht="26" customHeight="1">
      <c r="A250" t="inlineStr">
        <is>
          <t>T3</t>
        </is>
      </c>
      <c r="B250" s="25" t="inlineStr">
        <is>
          <t>Tarta de manzana</t>
        </is>
      </c>
      <c r="C250" t="inlineStr">
        <is>
          <t>Tartas y entremets</t>
        </is>
      </c>
      <c r="D250" s="16" t="n">
        <v>12</v>
      </c>
      <c r="E250" s="24">
        <f>IFERROR(SUMPRODUCT(--($A$6:$A$231=$A250),--($D$6:$D$231&lt;&gt;"")),"")</f>
        <v>7.0</v>
      </c>
      <c r="F250" s="11">
        <f>IFERROR(SUMPRODUCT(--($A$6:$A$231=$A250),$L$6:$L$231),"")</f>
        <v>5.146661502762675</v>
      </c>
      <c r="G250" s="11">
        <f>IFERROR(F250/D250,"")</f>
        <v>0.42888845856355623</v>
      </c>
      <c r="H250" s="16" t="n">
        <v>130</v>
      </c>
      <c r="I250" s="11">
        <f>IFERROR(G250/H250*1000,"")</f>
        <v>3.2991419889504328</v>
      </c>
      <c r="M250" s="12" t="inlineStr">
        <is>
          <t>supuesto</t>
        </is>
      </c>
    </row>
    <row r="251" ht="26" customHeight="1">
      <c r="A251" t="inlineStr">
        <is>
          <t>T4</t>
        </is>
      </c>
      <c r="B251" s="25" t="inlineStr">
        <is>
          <t>Tarta de zanahoria</t>
        </is>
      </c>
      <c r="C251" t="inlineStr">
        <is>
          <t>Tartas y entremets</t>
        </is>
      </c>
      <c r="D251" s="16" t="n">
        <v>12</v>
      </c>
      <c r="E251" s="24">
        <f>IFERROR(SUMPRODUCT(--($A$6:$A$231=$A251),--($D$6:$D$231&lt;&gt;"")),"")</f>
        <v>11.0</v>
      </c>
      <c r="F251" s="11">
        <f>IFERROR(SUMPRODUCT(--($A$6:$A$231=$A251),$L$6:$L$231),"")</f>
        <v>9.03751509909916</v>
      </c>
      <c r="G251" s="11">
        <f>IFERROR(F251/D251,"")</f>
        <v>0.7531262582582633</v>
      </c>
      <c r="H251" s="16" t="n">
        <v>125</v>
      </c>
      <c r="I251" s="11">
        <f>IFERROR(G251/H251*1000,"")</f>
        <v>6.025010066066106</v>
      </c>
      <c r="M251" s="12" t="inlineStr">
        <is>
          <t>supuesto</t>
        </is>
      </c>
    </row>
    <row r="252" ht="26" customHeight="1">
      <c r="A252" t="inlineStr">
        <is>
          <t>T5</t>
        </is>
      </c>
      <c r="B252" s="25" t="inlineStr">
        <is>
          <t>Tarta Sacher</t>
        </is>
      </c>
      <c r="C252" t="inlineStr">
        <is>
          <t>Tartas y entremets</t>
        </is>
      </c>
      <c r="D252" s="16" t="n">
        <v>12</v>
      </c>
      <c r="E252" s="24">
        <f>IFERROR(SUMPRODUCT(--($A$6:$A$231=$A252),--($D$6:$D$231&lt;&gt;"")),"")</f>
        <v>7.0</v>
      </c>
      <c r="F252" s="11">
        <f>IFERROR(SUMPRODUCT(--($A$6:$A$231=$A252),$L$6:$L$231),"")</f>
        <v>10.689407605265325</v>
      </c>
      <c r="G252" s="11">
        <f>IFERROR(F252/D252,"")</f>
        <v>0.8907839671054437</v>
      </c>
      <c r="H252" s="16" t="n">
        <v>115</v>
      </c>
      <c r="I252" s="11">
        <f>IFERROR(G252/H252*1000,"")</f>
        <v>7.745947540047336</v>
      </c>
      <c r="M252" s="12" t="inlineStr">
        <is>
          <t>supuesto</t>
        </is>
      </c>
    </row>
    <row r="253" ht="26" customHeight="1">
      <c r="A253" t="inlineStr">
        <is>
          <t>T6</t>
        </is>
      </c>
      <c r="B253" s="25" t="inlineStr">
        <is>
          <t>Tarta de nata y fresas</t>
        </is>
      </c>
      <c r="C253" t="inlineStr">
        <is>
          <t>Tartas y entremets</t>
        </is>
      </c>
      <c r="D253" s="16" t="n">
        <v>12</v>
      </c>
      <c r="E253" s="24">
        <f>IFERROR(SUMPRODUCT(--($A$6:$A$231=$A253),--($D$6:$D$231&lt;&gt;"")),"")</f>
        <v>7.0</v>
      </c>
      <c r="F253" s="11">
        <f>IFERROR(SUMPRODUCT(--($A$6:$A$231=$A253),$L$6:$L$231),"")</f>
        <v>9.100834900196173</v>
      </c>
      <c r="G253" s="11">
        <f>IFERROR(F253/D253,"")</f>
        <v>0.758402908349681</v>
      </c>
      <c r="H253" s="16" t="n">
        <v>135</v>
      </c>
      <c r="I253" s="11">
        <f>IFERROR(G253/H253*1000,"")</f>
        <v>5.617799321108748</v>
      </c>
      <c r="M253" s="12" t="inlineStr">
        <is>
          <t>supuesto</t>
        </is>
      </c>
    </row>
    <row r="254" ht="26" customHeight="1">
      <c r="A254" t="inlineStr">
        <is>
          <t>PA1</t>
        </is>
      </c>
      <c r="B254" s="25" t="inlineStr">
        <is>
          <t>Barra</t>
        </is>
      </c>
      <c r="C254" t="inlineStr">
        <is>
          <t>Panes de acompañamiento</t>
        </is>
      </c>
      <c r="D254" s="16" t="n">
        <v>40</v>
      </c>
      <c r="E254" s="24">
        <f>IFERROR(SUMPRODUCT(--($A$6:$A$231=$A254),--($D$6:$D$231&lt;&gt;"")),"")</f>
        <v>3.0</v>
      </c>
      <c r="F254" s="11">
        <f>IFERROR(SUMPRODUCT(--($A$6:$A$231=$A254),$L$6:$L$231),"")</f>
        <v>6.884104222264056</v>
      </c>
      <c r="G254" s="11">
        <f>IFERROR(F254/D254,"")</f>
        <v>0.1721026055566014</v>
      </c>
      <c r="H254" s="16" t="n">
        <v>250</v>
      </c>
      <c r="I254" s="11">
        <f>IFERROR(G254/H254*1000,"")</f>
        <v>0.6884104222264056</v>
      </c>
      <c r="M254" s="12" t="inlineStr">
        <is>
          <t>supuesto</t>
        </is>
      </c>
    </row>
    <row r="255" ht="26" customHeight="1">
      <c r="A255" t="inlineStr">
        <is>
          <t>PA2</t>
        </is>
      </c>
      <c r="B255" s="25" t="inlineStr">
        <is>
          <t>Chapata</t>
        </is>
      </c>
      <c r="C255" t="inlineStr">
        <is>
          <t>Panes de acompañamiento</t>
        </is>
      </c>
      <c r="D255" s="16" t="n">
        <v>24</v>
      </c>
      <c r="E255" s="24">
        <f>IFERROR(SUMPRODUCT(--($A$6:$A$231=$A255),--($D$6:$D$231&lt;&gt;"")),"")</f>
        <v>4.0</v>
      </c>
      <c r="F255" s="11">
        <f>IFERROR(SUMPRODUCT(--($A$6:$A$231=$A255),$L$6:$L$231),"")</f>
        <v>5.119388530235752</v>
      </c>
      <c r="G255" s="11">
        <f>IFERROR(F255/D255,"")</f>
        <v>0.21330785542648967</v>
      </c>
      <c r="H255" s="16" t="n">
        <v>200</v>
      </c>
      <c r="I255" s="11">
        <f>IFERROR(G255/H255*1000,"")</f>
        <v>1.0665392771324482</v>
      </c>
      <c r="M255" s="12" t="inlineStr">
        <is>
          <t>supuesto</t>
        </is>
      </c>
    </row>
    <row r="256" ht="26" customHeight="1">
      <c r="A256" t="inlineStr">
        <is>
          <t>PA3</t>
        </is>
      </c>
      <c r="B256" s="25" t="inlineStr">
        <is>
          <t>Hogaza de masa madre</t>
        </is>
      </c>
      <c r="C256" t="inlineStr">
        <is>
          <t>Panes de acompañamiento</t>
        </is>
      </c>
      <c r="D256" s="16" t="n">
        <v>12</v>
      </c>
      <c r="E256" s="24">
        <f>IFERROR(SUMPRODUCT(--($A$6:$A$231=$A256),--($D$6:$D$231&lt;&gt;"")),"")</f>
        <v>3.0</v>
      </c>
      <c r="F256" s="11">
        <f>IFERROR(SUMPRODUCT(--($A$6:$A$231=$A256),$L$6:$L$231),"")</f>
        <v>7.115674310961498</v>
      </c>
      <c r="G256" s="11">
        <f>IFERROR(F256/D256,"")</f>
        <v>0.5929728592467914</v>
      </c>
      <c r="H256" s="16" t="n">
        <v>550</v>
      </c>
      <c r="I256" s="11">
        <f>IFERROR(G256/H256*1000,"")</f>
        <v>1.0781324713578027</v>
      </c>
      <c r="M256" s="12" t="inlineStr">
        <is>
          <t>supuesto</t>
        </is>
      </c>
    </row>
    <row r="257" ht="26" customHeight="1">
      <c r="A257" t="inlineStr">
        <is>
          <t>PA4</t>
        </is>
      </c>
      <c r="B257" s="25" t="inlineStr">
        <is>
          <t>Pan de molde</t>
        </is>
      </c>
      <c r="C257" t="inlineStr">
        <is>
          <t>Panes de acompañamiento</t>
        </is>
      </c>
      <c r="D257" s="16" t="n">
        <v>10</v>
      </c>
      <c r="E257" s="24">
        <f>IFERROR(SUMPRODUCT(--($A$6:$A$231=$A257),--($D$6:$D$231&lt;&gt;"")),"")</f>
        <v>6.0</v>
      </c>
      <c r="F257" s="11">
        <f>IFERROR(SUMPRODUCT(--($A$6:$A$231=$A257),$L$6:$L$231),"")</f>
        <v>8.120956293532064</v>
      </c>
      <c r="G257" s="11">
        <f>IFERROR(F257/D257,"")</f>
        <v>0.8120956293532064</v>
      </c>
      <c r="H257" s="16" t="n">
        <v>500</v>
      </c>
      <c r="I257" s="11">
        <f>IFERROR(G257/H257*1000,"")</f>
        <v>1.624191258706413</v>
      </c>
      <c r="M257" s="12" t="inlineStr">
        <is>
          <t>supuesto</t>
        </is>
      </c>
    </row>
    <row r="258" ht="26" customHeight="1">
      <c r="A258" t="inlineStr">
        <is>
          <t>TP1</t>
        </is>
      </c>
      <c r="B258" s="25" t="inlineStr">
        <is>
          <t>Roscón de Reyes</t>
        </is>
      </c>
      <c r="C258" t="inlineStr">
        <is>
          <t>Temporada</t>
        </is>
      </c>
      <c r="D258" s="16" t="n">
        <v>12</v>
      </c>
      <c r="E258" s="24">
        <f>IFERROR(SUMPRODUCT(--($A$6:$A$231=$A258),--($D$6:$D$231&lt;&gt;"")),"")</f>
        <v>12.0</v>
      </c>
      <c r="F258" s="11">
        <f>IFERROR(SUMPRODUCT(--($A$6:$A$231=$A258),$L$6:$L$231),"")</f>
        <v>31.18532065740968</v>
      </c>
      <c r="G258" s="11">
        <f>IFERROR(F258/D258,"")</f>
        <v>2.5987767214508066</v>
      </c>
      <c r="H258" s="16" t="n">
        <v>600</v>
      </c>
      <c r="I258" s="11">
        <f>IFERROR(G258/H258*1000,"")</f>
        <v>4.331294535751344</v>
      </c>
      <c r="M258" s="12" t="inlineStr">
        <is>
          <t>supuesto</t>
        </is>
      </c>
    </row>
    <row r="259" ht="26" customHeight="1">
      <c r="A259" t="inlineStr">
        <is>
          <t>TP2</t>
        </is>
      </c>
      <c r="B259" s="25" t="inlineStr">
        <is>
          <t>Torrijas</t>
        </is>
      </c>
      <c r="C259" t="inlineStr">
        <is>
          <t>Temporada</t>
        </is>
      </c>
      <c r="D259" s="16" t="n">
        <v>30</v>
      </c>
      <c r="E259" s="24">
        <f>IFERROR(SUMPRODUCT(--($A$6:$A$231=$A259),--($D$6:$D$231&lt;&gt;"")),"")</f>
        <v>7.0</v>
      </c>
      <c r="F259" s="11">
        <f>IFERROR(SUMPRODUCT(--($A$6:$A$231=$A259),$L$6:$L$231),"")</f>
        <v>7.801670363797694</v>
      </c>
      <c r="G259" s="11">
        <f>IFERROR(F259/D259,"")</f>
        <v>0.2600556787932565</v>
      </c>
      <c r="H259" s="16" t="n">
        <v>90</v>
      </c>
      <c r="I259" s="11">
        <f>IFERROR(G259/H259*1000,"")</f>
        <v>2.889507542147294</v>
      </c>
      <c r="M259" s="12" t="inlineStr">
        <is>
          <t>supuesto</t>
        </is>
      </c>
    </row>
    <row r="260" ht="26" customHeight="1">
      <c r="A260" t="inlineStr">
        <is>
          <t>TP3</t>
        </is>
      </c>
      <c r="B260" s="25" t="inlineStr">
        <is>
          <t>Buñuelos de viento</t>
        </is>
      </c>
      <c r="C260" t="inlineStr">
        <is>
          <t>Temporada</t>
        </is>
      </c>
      <c r="D260" s="16" t="n">
        <v>60</v>
      </c>
      <c r="E260" s="24">
        <f>IFERROR(SUMPRODUCT(--($A$6:$A$231=$A260),--($D$6:$D$231&lt;&gt;"")),"")</f>
        <v>10.0</v>
      </c>
      <c r="F260" s="11">
        <f>IFERROR(SUMPRODUCT(--($A$6:$A$231=$A260),$L$6:$L$231),"")</f>
        <v>10.170652402601561</v>
      </c>
      <c r="G260" s="11">
        <f>IFERROR(F260/D260,"")</f>
        <v>0.16951087337669268</v>
      </c>
      <c r="H260" s="16" t="n">
        <v>35</v>
      </c>
      <c r="I260" s="11">
        <f>IFERROR(G260/H260*1000,"")</f>
        <v>4.8431678107626475</v>
      </c>
      <c r="M260" s="12" t="inlineStr">
        <is>
          <t>supuesto</t>
        </is>
      </c>
    </row>
    <row r="261" ht="26" customHeight="1">
      <c r="A261" t="inlineStr">
        <is>
          <t>TP4</t>
        </is>
      </c>
      <c r="B261" s="25" t="inlineStr">
        <is>
          <t>Huesos de santo</t>
        </is>
      </c>
      <c r="C261" t="inlineStr">
        <is>
          <t>Temporada</t>
        </is>
      </c>
      <c r="D261" s="16" t="n">
        <v>40</v>
      </c>
      <c r="E261" s="24">
        <f>IFERROR(SUMPRODUCT(--($A$6:$A$231=$A261),--($D$6:$D$231&lt;&gt;"")),"")</f>
        <v>5.0</v>
      </c>
      <c r="F261" s="11">
        <f>IFERROR(SUMPRODUCT(--($A$6:$A$231=$A261),$L$6:$L$231),"")</f>
        <v>12.983401360544217</v>
      </c>
      <c r="G261" s="11">
        <f>IFERROR(F261/D261,"")</f>
        <v>0.32458503401360544</v>
      </c>
      <c r="H261" s="16" t="n">
        <v>40</v>
      </c>
      <c r="I261" s="11">
        <f>IFERROR(G261/H261*1000,"")</f>
        <v>8.114625850340136</v>
      </c>
      <c r="M261" s="12" t="inlineStr">
        <is>
          <t>supuesto</t>
        </is>
      </c>
    </row>
    <row r="262" ht="26" customHeight="1">
      <c r="A262" t="inlineStr">
        <is>
          <t>TP5</t>
        </is>
      </c>
      <c r="B262" s="25" t="inlineStr">
        <is>
          <t>Panellets</t>
        </is>
      </c>
      <c r="C262" t="inlineStr">
        <is>
          <t>Temporada</t>
        </is>
      </c>
      <c r="D262" s="16" t="n">
        <v>60</v>
      </c>
      <c r="E262" s="24">
        <f>IFERROR(SUMPRODUCT(--($A$6:$A$231=$A262),--($D$6:$D$231&lt;&gt;"")),"")</f>
        <v>5.0</v>
      </c>
      <c r="F262" s="11">
        <f>IFERROR(SUMPRODUCT(--($A$6:$A$231=$A262),$L$6:$L$231),"")</f>
        <v>41.33850340136055</v>
      </c>
      <c r="G262" s="11">
        <f>IFERROR(F262/D262,"")</f>
        <v>0.6889750566893424</v>
      </c>
      <c r="H262" s="16" t="n">
        <v>30</v>
      </c>
      <c r="I262" s="11">
        <f>IFERROR(G262/H262*1000,"")</f>
        <v>22.965835222978082</v>
      </c>
      <c r="M262" s="12" t="inlineStr">
        <is>
          <t>supuesto</t>
        </is>
      </c>
    </row>
    <row r="263" ht="26" customHeight="1">
      <c r="A263" t="inlineStr">
        <is>
          <t>TP6</t>
        </is>
      </c>
      <c r="B263" s="25" t="inlineStr">
        <is>
          <t>Polvorón o mantecado</t>
        </is>
      </c>
      <c r="C263" t="inlineStr">
        <is>
          <t>Temporada</t>
        </is>
      </c>
      <c r="D263" s="16" t="n">
        <v>50</v>
      </c>
      <c r="E263" s="24">
        <f>IFERROR(SUMPRODUCT(--($A$6:$A$231=$A263),--($D$6:$D$231&lt;&gt;"")),"")</f>
        <v>5.0</v>
      </c>
      <c r="F263" s="11">
        <f>IFERROR(SUMPRODUCT(--($A$6:$A$231=$A263),$L$6:$L$231),"")</f>
        <v>7.85316080461768</v>
      </c>
      <c r="G263" s="11">
        <f>IFERROR(F263/D263,"")</f>
        <v>0.1570632160923536</v>
      </c>
      <c r="H263" s="16" t="n">
        <v>35</v>
      </c>
      <c r="I263" s="11">
        <f>IFERROR(G263/H263*1000,"")</f>
        <v>4.487520459781532</v>
      </c>
      <c r="M263" s="12" t="inlineStr">
        <is>
          <t>supuesto</t>
        </is>
      </c>
    </row>
    <row r="264" ht="26" customHeight="1">
      <c r="A264" t="inlineStr">
        <is>
          <t>TP7</t>
        </is>
      </c>
      <c r="B264" s="25" t="inlineStr">
        <is>
          <t>Turrón de almendra</t>
        </is>
      </c>
      <c r="C264" t="inlineStr">
        <is>
          <t>Temporada</t>
        </is>
      </c>
      <c r="D264" s="16" t="n">
        <v>20</v>
      </c>
      <c r="E264" s="24">
        <f>IFERROR(SUMPRODUCT(--($A$6:$A$231=$A264),--($D$6:$D$231&lt;&gt;"")),"")</f>
        <v>4.0</v>
      </c>
      <c r="F264" s="11">
        <f>IFERROR(SUMPRODUCT(--($A$6:$A$231=$A264),$L$6:$L$231),"")</f>
        <v>61.94927303531288</v>
      </c>
      <c r="G264" s="11">
        <f>IFERROR(F264/D264,"")</f>
        <v>3.097463651765644</v>
      </c>
      <c r="H264" s="16" t="n">
        <v>250</v>
      </c>
      <c r="I264" s="11">
        <f>IFERROR(G264/H264*1000,"")</f>
        <v>12.389854607062576</v>
      </c>
      <c r="M264" s="12" t="inlineStr">
        <is>
          <t>supuesto</t>
        </is>
      </c>
    </row>
    <row r="265" ht="26" customHeight="1">
      <c r="A265" t="inlineStr">
        <is>
          <t>TP8</t>
        </is>
      </c>
      <c r="B265" s="25" t="inlineStr">
        <is>
          <t>Mona de Pascua</t>
        </is>
      </c>
      <c r="C265" t="inlineStr">
        <is>
          <t>Temporada</t>
        </is>
      </c>
      <c r="D265" s="16" t="n">
        <v>14</v>
      </c>
      <c r="E265" s="24">
        <f>IFERROR(SUMPRODUCT(--($A$6:$A$231=$A265),--($D$6:$D$231&lt;&gt;"")),"")</f>
        <v>9.0</v>
      </c>
      <c r="F265" s="11">
        <f>IFERROR(SUMPRODUCT(--($A$6:$A$231=$A265),$L$6:$L$231),"")</f>
        <v>28.208256473931197</v>
      </c>
      <c r="G265" s="11">
        <f>IFERROR(F265/D265,"")</f>
        <v>2.014875462423657</v>
      </c>
      <c r="H265" s="16" t="n">
        <v>350</v>
      </c>
      <c r="I265" s="11">
        <f>IFERROR(G265/H265*1000,"")</f>
        <v>5.756787035496163</v>
      </c>
      <c r="M265" s="12" t="inlineStr">
        <is>
          <t>supuesto</t>
        </is>
      </c>
    </row>
    <row r="266">
      <c r="A266" s="13" t="inlineStr">
        <is>
          <t>TOTAL</t>
        </is>
      </c>
      <c r="E266" s="19">
        <f>IFERROR(SUMPRODUCT(--($A$6:$A$231&lt;&gt;""),--($D$6:$D$231&lt;&gt;"")),"")</f>
        <v>226.0</v>
      </c>
      <c r="F266" s="15">
        <f>SUM(F236:F265)</f>
        <v>375.6010024495941</v>
      </c>
      <c r="G266" t="str">
        <f>IF(ABS(F266-L232)&lt;=0.005,"Cuadra","DESCUADRE")</f>
        <v>Cuadra</v>
      </c>
      <c r="M266" s="17" t="inlineStr">
        <is>
          <t>La columna E cuenta las líneas directamente sobre la tabla de arriba y la columna G comprueba que el coste repartido por referencia cuadra con el coste de las líneas. Si aparece «DESCUADRE», hay una fila cuyo Ref no está en la lista de referencias: su coste se suma arriba y no se le imputa a nadie.</t>
        </is>
      </c>
    </row>
  </sheetData>
  <sheetProtection selectLockedCells="0" selectUnlockedCells="0" sheet="1" objects="0" insertRows="0" insertHyperlinks="1" autoFilter="1" scenarios="0" formatColumns="0" deleteColumns="1" insertColumns="1" pivotTables="1" deleteRows="1" formatCells="1" formatRows="0" sort="0"/>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showDropDown="0" showInputMessage="1" showErrorMessage="1" allowBlank="1" errorTitle="Merma (%)" error="Escribe un porcentaje entre 0 y 0,95 (0,20 = 20 %)." promptTitle="Merma (%)" prompt="Se escribe en tanto por uno: 0,08 = 8 %. La merma entra como cantidad neta / (1 - merma)." type="decimal" operator="between">
      <formula1>0</formula1>
      <formula2>0.95</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S43"/>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28" customWidth="1" min="2" max="2"/>
    <col width="19" customWidth="1" min="3" max="3"/>
    <col width="9" customWidth="1" min="4" max="4"/>
    <col width="11" customWidth="1" min="5" max="5"/>
    <col width="10" customWidth="1" min="6" max="6"/>
    <col width="10" customWidth="1" min="7" max="7"/>
    <col width="11" customWidth="1" min="8" max="8"/>
    <col width="11" customWidth="1" min="9" max="9"/>
    <col width="11" customWidth="1" min="10" max="10"/>
    <col width="11" customWidth="1" min="11" max="11"/>
    <col width="10" customWidth="1" min="12" max="12"/>
    <col width="8" customWidth="1" min="13" max="13"/>
    <col width="10" customWidth="1" min="14" max="14"/>
    <col width="10" customWidth="1" min="15" max="15"/>
    <col width="10" customWidth="1" min="16" max="16"/>
    <col width="11" customWidth="1" min="17" max="17"/>
    <col width="11" customWidth="1" min="18" max="18"/>
    <col width="10" customWidth="1" min="19" max="19"/>
  </cols>
  <sheetData>
    <row r="1">
      <c r="A1" s="1" t="inlineStr">
        <is>
          <t>Coste Hora y Mano de Obra</t>
        </is>
      </c>
    </row>
    <row r="2">
      <c r="A2" s="2" t="inlineStr">
        <is>
          <t>AI Chef Pro · aichef.pro — Cómo Montar una Pastelería</t>
        </is>
      </c>
    </row>
    <row r="3">
      <c r="A3" s="3" t="inlineStr">
        <is>
          <t>La mano de obra imputada por pieza. Es el capítulo que enseña a dejar de regalar tu trabajo.</t>
        </is>
      </c>
    </row>
    <row r="4"/>
    <row r="5" ht="42" customHeight="1">
      <c r="A5" s="8" t="inlineStr">
        <is>
          <t>Ref</t>
        </is>
      </c>
      <c r="B5" s="8" t="inlineStr">
        <is>
          <t>Referencia</t>
        </is>
      </c>
      <c r="C5" s="8" t="inlineStr">
        <is>
          <t>Familia</t>
        </is>
      </c>
      <c r="D5" s="8" t="inlineStr">
        <is>
          <t>Uds por tanda</t>
        </is>
      </c>
      <c r="E5" s="8" t="inlineStr">
        <is>
          <t>Minutos de mano de obra por tanda</t>
        </is>
      </c>
      <c r="F5" s="8" t="inlineStr">
        <is>
          <t>Horas de mano de obra por tanda</t>
        </is>
      </c>
      <c r="G5" s="8" t="inlineStr">
        <is>
          <t>Coste hora de obrador (€)</t>
        </is>
      </c>
      <c r="H5" s="8" t="inlineStr">
        <is>
          <t>Coste de mano de obra de la tanda (€)</t>
        </is>
      </c>
      <c r="I5" s="8" t="inlineStr">
        <is>
          <t>Coste de mano de obra por unidad (€)</t>
        </is>
      </c>
      <c r="J5" s="8" t="inlineStr">
        <is>
          <t>Coste de materia por unidad (€)</t>
        </is>
      </c>
      <c r="K5" s="8" t="inlineStr">
        <is>
          <t>Coste total por unidad (€)</t>
        </is>
      </c>
      <c r="L5" s="8" t="inlineStr">
        <is>
          <t>PVP con IVA (€)</t>
        </is>
      </c>
      <c r="M5" s="8" t="inlineStr">
        <is>
          <t>IVA</t>
        </is>
      </c>
      <c r="N5" s="8" t="inlineStr">
        <is>
          <t>PVP sin IVA (€)</t>
        </is>
      </c>
      <c r="O5" s="8" t="inlineStr">
        <is>
          <t>Food cost</t>
        </is>
      </c>
      <c r="P5" s="8" t="inlineStr">
        <is>
          <t>Margen bruto</t>
        </is>
      </c>
      <c r="Q5" s="8" t="inlineStr">
        <is>
          <t>Margen por unidad (€)</t>
        </is>
      </c>
      <c r="R5" s="8" t="inlineStr">
        <is>
          <t>Peso de la mano de obra sobre el coste</t>
        </is>
      </c>
      <c r="S5" s="8" t="inlineStr">
        <is>
          <t>Minutos por pieza</t>
        </is>
      </c>
    </row>
    <row r="6">
      <c r="A6" t="inlineStr">
        <is>
          <t>B1</t>
        </is>
      </c>
      <c r="B6" t="inlineStr">
        <is>
          <t>Croissant de mantequilla</t>
        </is>
      </c>
      <c r="C6" t="inlineStr">
        <is>
          <t>Bollería</t>
        </is>
      </c>
      <c r="D6" s="24">
        <f>'Escandallo por Tanda'!D236</f>
        <v>20.0</v>
      </c>
      <c r="E6" s="16" t="n">
        <v>55</v>
      </c>
      <c r="F6" s="26">
        <f>IFERROR(E6/60,"")</f>
        <v>0.9166666666666666</v>
      </c>
      <c r="G6" s="11">
        <f>'Parámetros'!$B$16</f>
        <v>17.937911302048914</v>
      </c>
      <c r="H6" s="11">
        <f>IFERROR(F6*G6,"")</f>
        <v>16.443085360211505</v>
      </c>
      <c r="I6" s="11">
        <f>IFERROR(H6/D6,"")</f>
        <v>0.8221542680105752</v>
      </c>
      <c r="J6" s="11">
        <f>'Escandallo por Tanda'!G236</f>
        <v>0.23583508500713268</v>
      </c>
      <c r="K6" s="11">
        <f>IFERROR(I6+J6,"")</f>
        <v>1.057989353017708</v>
      </c>
      <c r="L6" s="10" t="n">
        <v>1.6</v>
      </c>
      <c r="M6" s="18" t="n">
        <v>0.1</v>
      </c>
      <c r="N6" s="11">
        <f>IFERROR(L6/(1+M6),"")</f>
        <v>1.4545454545454546</v>
      </c>
      <c r="O6" s="27">
        <f>IFERROR(J6/N6,"")</f>
        <v>0.16213662094240372</v>
      </c>
      <c r="P6" s="27">
        <f>IFERROR(1-O6,"")</f>
        <v>0.8378633790575962</v>
      </c>
      <c r="Q6" s="11">
        <f>IFERROR(N6-K6,"")</f>
        <v>0.39655610152774656</v>
      </c>
      <c r="R6" s="27">
        <f>IFERROR(I6/K6,"")</f>
        <v>0.7770912492318951</v>
      </c>
      <c r="S6" s="26">
        <f>IFERROR(E6/D6,"")</f>
        <v>2.75</v>
      </c>
    </row>
    <row r="7">
      <c r="A7" t="inlineStr">
        <is>
          <t>B2</t>
        </is>
      </c>
      <c r="B7" t="inlineStr">
        <is>
          <t>Pain au chocolat</t>
        </is>
      </c>
      <c r="C7" t="inlineStr">
        <is>
          <t>Bollería</t>
        </is>
      </c>
      <c r="D7" s="24">
        <f>'Escandallo por Tanda'!D237</f>
        <v>20.0</v>
      </c>
      <c r="E7" s="16" t="n">
        <v>55</v>
      </c>
      <c r="F7" s="26">
        <f>IFERROR(E7/60,"")</f>
        <v>0.9166666666666666</v>
      </c>
      <c r="G7" s="11">
        <f>'Parámetros'!$B$16</f>
        <v>17.937911302048914</v>
      </c>
      <c r="H7" s="11">
        <f>IFERROR(F7*G7,"")</f>
        <v>16.443085360211505</v>
      </c>
      <c r="I7" s="11">
        <f>IFERROR(H7/D7,"")</f>
        <v>0.8221542680105752</v>
      </c>
      <c r="J7" s="11">
        <f>'Escandallo por Tanda'!G237</f>
        <v>0.41950855439488777</v>
      </c>
      <c r="K7" s="11">
        <f>IFERROR(I7+J7,"")</f>
        <v>1.241662822405463</v>
      </c>
      <c r="L7" s="10" t="n">
        <v>1.85</v>
      </c>
      <c r="M7" s="18" t="n">
        <v>0.1</v>
      </c>
      <c r="N7" s="11">
        <f>IFERROR(L7/(1+M7),"")</f>
        <v>1.6818181818181817</v>
      </c>
      <c r="O7" s="27">
        <f>IFERROR(J7/N7,"")</f>
        <v>0.24943751882939275</v>
      </c>
      <c r="P7" s="27">
        <f>IFERROR(1-O7,"")</f>
        <v>0.7505624811706073</v>
      </c>
      <c r="Q7" s="11">
        <f>IFERROR(N7-K7,"")</f>
        <v>0.44015535941271855</v>
      </c>
      <c r="R7" s="27">
        <f>IFERROR(I7/K7,"")</f>
        <v>0.6621397155290698</v>
      </c>
      <c r="S7" s="26">
        <f>IFERROR(E7/D7,"")</f>
        <v>2.75</v>
      </c>
    </row>
    <row r="8">
      <c r="A8" t="inlineStr">
        <is>
          <t>B3</t>
        </is>
      </c>
      <c r="B8" t="inlineStr">
        <is>
          <t>Napolitana de crema</t>
        </is>
      </c>
      <c r="C8" t="inlineStr">
        <is>
          <t>Bollería</t>
        </is>
      </c>
      <c r="D8" s="24">
        <f>'Escandallo por Tanda'!D238</f>
        <v>20.0</v>
      </c>
      <c r="E8" s="16" t="n">
        <v>65</v>
      </c>
      <c r="F8" s="26">
        <f>IFERROR(E8/60,"")</f>
        <v>1.0833333333333333</v>
      </c>
      <c r="G8" s="11">
        <f>'Parámetros'!$B$16</f>
        <v>17.937911302048914</v>
      </c>
      <c r="H8" s="11">
        <f>IFERROR(F8*G8,"")</f>
        <v>19.432737243886322</v>
      </c>
      <c r="I8" s="11">
        <f>IFERROR(H8/D8,"")</f>
        <v>0.9716368621943161</v>
      </c>
      <c r="J8" s="11">
        <f>'Escandallo por Tanda'!G238</f>
        <v>0.3526371258234592</v>
      </c>
      <c r="K8" s="11">
        <f>IFERROR(I8+J8,"")</f>
        <v>1.3242739880177754</v>
      </c>
      <c r="L8" s="10" t="n">
        <v>1.85</v>
      </c>
      <c r="M8" s="18" t="n">
        <v>0.1</v>
      </c>
      <c r="N8" s="11">
        <f>IFERROR(L8/(1+M8),"")</f>
        <v>1.6818181818181817</v>
      </c>
      <c r="O8" s="27">
        <f>IFERROR(J8/N8,"")</f>
        <v>0.20967612886800277</v>
      </c>
      <c r="P8" s="27">
        <f>IFERROR(1-O8,"")</f>
        <v>0.7903238711319972</v>
      </c>
      <c r="Q8" s="11">
        <f>IFERROR(N8-K8,"")</f>
        <v>0.35754419380040625</v>
      </c>
      <c r="R8" s="27">
        <f>IFERROR(I8/K8,"")</f>
        <v>0.7337128653026703</v>
      </c>
      <c r="S8" s="26">
        <f>IFERROR(E8/D8,"")</f>
        <v>3.25</v>
      </c>
    </row>
    <row r="9">
      <c r="A9" t="inlineStr">
        <is>
          <t>B4</t>
        </is>
      </c>
      <c r="B9" t="inlineStr">
        <is>
          <t>Palmera de hojaldre</t>
        </is>
      </c>
      <c r="C9" t="inlineStr">
        <is>
          <t>Bollería</t>
        </is>
      </c>
      <c r="D9" s="24">
        <f>'Escandallo por Tanda'!D239</f>
        <v>24.0</v>
      </c>
      <c r="E9" s="16" t="n">
        <v>40</v>
      </c>
      <c r="F9" s="26">
        <f>IFERROR(E9/60,"")</f>
        <v>0.6666666666666666</v>
      </c>
      <c r="G9" s="11">
        <f>'Parámetros'!$B$16</f>
        <v>17.937911302048914</v>
      </c>
      <c r="H9" s="11">
        <f>IFERROR(F9*G9,"")</f>
        <v>11.958607534699276</v>
      </c>
      <c r="I9" s="11">
        <f>IFERROR(H9/D9,"")</f>
        <v>0.49827531394580316</v>
      </c>
      <c r="J9" s="11">
        <f>'Escandallo por Tanda'!G239</f>
        <v>0.21947062610342208</v>
      </c>
      <c r="K9" s="11">
        <f>IFERROR(I9+J9,"")</f>
        <v>0.7177459400492252</v>
      </c>
      <c r="L9" s="10" t="n">
        <v>1.7</v>
      </c>
      <c r="M9" s="18" t="n">
        <v>0.1</v>
      </c>
      <c r="N9" s="11">
        <f>IFERROR(L9/(1+M9),"")</f>
        <v>1.5454545454545452</v>
      </c>
      <c r="O9" s="27">
        <f>IFERROR(J9/N9,"")</f>
        <v>0.14201040512574373</v>
      </c>
      <c r="P9" s="27">
        <f>IFERROR(1-O9,"")</f>
        <v>0.8579895948742563</v>
      </c>
      <c r="Q9" s="11">
        <f>IFERROR(N9-K9,"")</f>
        <v>0.82770860540532</v>
      </c>
      <c r="R9" s="27">
        <f>IFERROR(I9/K9,"")</f>
        <v>0.6942224067636383</v>
      </c>
      <c r="S9" s="26">
        <f>IFERROR(E9/D9,"")</f>
        <v>1.6666666666666667</v>
      </c>
    </row>
    <row r="10">
      <c r="A10" t="inlineStr">
        <is>
          <t>B5</t>
        </is>
      </c>
      <c r="B10" t="inlineStr">
        <is>
          <t>Caracola de pasas</t>
        </is>
      </c>
      <c r="C10" t="inlineStr">
        <is>
          <t>Bollería</t>
        </is>
      </c>
      <c r="D10" s="24">
        <f>'Escandallo por Tanda'!D240</f>
        <v>20.0</v>
      </c>
      <c r="E10" s="16" t="n">
        <v>60</v>
      </c>
      <c r="F10" s="26">
        <f>IFERROR(E10/60,"")</f>
        <v>1.0</v>
      </c>
      <c r="G10" s="11">
        <f>'Parámetros'!$B$16</f>
        <v>17.937911302048914</v>
      </c>
      <c r="H10" s="11">
        <f>IFERROR(F10*G10,"")</f>
        <v>17.937911302048914</v>
      </c>
      <c r="I10" s="11">
        <f>IFERROR(H10/D10,"")</f>
        <v>0.8968955651024457</v>
      </c>
      <c r="J10" s="11">
        <f>'Escandallo por Tanda'!G240</f>
        <v>0.30624738967704845</v>
      </c>
      <c r="K10" s="11">
        <f>IFERROR(I10+J10,"")</f>
        <v>1.2031429547794943</v>
      </c>
      <c r="L10" s="10" t="n">
        <v>1.85</v>
      </c>
      <c r="M10" s="18" t="n">
        <v>0.1</v>
      </c>
      <c r="N10" s="11">
        <f>IFERROR(L10/(1+M10),"")</f>
        <v>1.6818181818181817</v>
      </c>
      <c r="O10" s="27">
        <f>IFERROR(J10/N10,"")</f>
        <v>0.18209304251067748</v>
      </c>
      <c r="P10" s="27">
        <f>IFERROR(1-O10,"")</f>
        <v>0.8179069574893225</v>
      </c>
      <c r="Q10" s="11">
        <f>IFERROR(N10-K10,"")</f>
        <v>0.47867522703868737</v>
      </c>
      <c r="R10" s="27">
        <f>IFERROR(I10/K10,"")</f>
        <v>0.7454605136817046</v>
      </c>
      <c r="S10" s="26">
        <f>IFERROR(E10/D10,"")</f>
        <v>3.0</v>
      </c>
    </row>
    <row r="11">
      <c r="A11" t="inlineStr">
        <is>
          <t>B6</t>
        </is>
      </c>
      <c r="B11" t="inlineStr">
        <is>
          <t>Ensaimada</t>
        </is>
      </c>
      <c r="C11" t="inlineStr">
        <is>
          <t>Bollería</t>
        </is>
      </c>
      <c r="D11" s="24">
        <f>'Escandallo por Tanda'!D241</f>
        <v>16.0</v>
      </c>
      <c r="E11" s="16" t="n">
        <v>70</v>
      </c>
      <c r="F11" s="26">
        <f>IFERROR(E11/60,"")</f>
        <v>1.1666666666666667</v>
      </c>
      <c r="G11" s="11">
        <f>'Parámetros'!$B$16</f>
        <v>17.937911302048914</v>
      </c>
      <c r="H11" s="11">
        <f>IFERROR(F11*G11,"")</f>
        <v>20.927563185723734</v>
      </c>
      <c r="I11" s="11">
        <f>IFERROR(H11/D11,"")</f>
        <v>1.3079726991077334</v>
      </c>
      <c r="J11" s="11">
        <f>'Escandallo por Tanda'!G241</f>
        <v>0.18023428175677073</v>
      </c>
      <c r="K11" s="11">
        <f>IFERROR(I11+J11,"")</f>
        <v>1.4882069808645042</v>
      </c>
      <c r="L11" s="10" t="n">
        <v>1.95</v>
      </c>
      <c r="M11" s="18" t="n">
        <v>0.1</v>
      </c>
      <c r="N11" s="11">
        <f>IFERROR(L11/(1+M11),"")</f>
        <v>1.7727272727272725</v>
      </c>
      <c r="O11" s="27">
        <f>IFERROR(J11/N11,"")</f>
        <v>0.10167062047817838</v>
      </c>
      <c r="P11" s="27">
        <f>IFERROR(1-O11,"")</f>
        <v>0.8983293795218217</v>
      </c>
      <c r="Q11" s="11">
        <f>IFERROR(N11-K11,"")</f>
        <v>0.2845202918627683</v>
      </c>
      <c r="R11" s="27">
        <f>IFERROR(I11/K11,"")</f>
        <v>0.8788916568231173</v>
      </c>
      <c r="S11" s="26">
        <f>IFERROR(E11/D11,"")</f>
        <v>4.375</v>
      </c>
    </row>
    <row r="12">
      <c r="A12" t="inlineStr">
        <is>
          <t>PI1</t>
        </is>
      </c>
      <c r="B12" t="inlineStr">
        <is>
          <t>Milhojas</t>
        </is>
      </c>
      <c r="C12" t="inlineStr">
        <is>
          <t>Pastelería individual</t>
        </is>
      </c>
      <c r="D12" s="24">
        <f>'Escandallo por Tanda'!D242</f>
        <v>18.0</v>
      </c>
      <c r="E12" s="16" t="n">
        <v>75</v>
      </c>
      <c r="F12" s="26">
        <f>IFERROR(E12/60,"")</f>
        <v>1.25</v>
      </c>
      <c r="G12" s="11">
        <f>'Parámetros'!$B$16</f>
        <v>17.937911302048914</v>
      </c>
      <c r="H12" s="11">
        <f>IFERROR(F12*G12,"")</f>
        <v>22.422389127561143</v>
      </c>
      <c r="I12" s="11">
        <f>IFERROR(H12/D12,"")</f>
        <v>1.2456882848645079</v>
      </c>
      <c r="J12" s="11">
        <f>'Escandallo por Tanda'!G242</f>
        <v>0.44694190651010146</v>
      </c>
      <c r="K12" s="11">
        <f>IFERROR(I12+J12,"")</f>
        <v>1.6926301913746093</v>
      </c>
      <c r="L12" s="10" t="n">
        <v>3.6</v>
      </c>
      <c r="M12" s="18" t="n">
        <v>0.1</v>
      </c>
      <c r="N12" s="11">
        <f>IFERROR(L12/(1+M12),"")</f>
        <v>3.2727272727272725</v>
      </c>
      <c r="O12" s="27">
        <f>IFERROR(J12/N12,"")</f>
        <v>0.13656558254475323</v>
      </c>
      <c r="P12" s="27">
        <f>IFERROR(1-O12,"")</f>
        <v>0.8634344174552467</v>
      </c>
      <c r="Q12" s="11">
        <f>IFERROR(N12-K12,"")</f>
        <v>1.5800970813526631</v>
      </c>
      <c r="R12" s="27">
        <f>IFERROR(I12/K12,"")</f>
        <v>0.7359482840447662</v>
      </c>
      <c r="S12" s="26">
        <f>IFERROR(E12/D12,"")</f>
        <v>4.166666666666667</v>
      </c>
    </row>
    <row r="13">
      <c r="A13" t="inlineStr">
        <is>
          <t>PI2</t>
        </is>
      </c>
      <c r="B13" t="inlineStr">
        <is>
          <t>Éclair</t>
        </is>
      </c>
      <c r="C13" t="inlineStr">
        <is>
          <t>Pastelería individual</t>
        </is>
      </c>
      <c r="D13" s="24">
        <f>'Escandallo por Tanda'!D243</f>
        <v>24.0</v>
      </c>
      <c r="E13" s="16" t="n">
        <v>65</v>
      </c>
      <c r="F13" s="26">
        <f>IFERROR(E13/60,"")</f>
        <v>1.0833333333333333</v>
      </c>
      <c r="G13" s="11">
        <f>'Parámetros'!$B$16</f>
        <v>17.937911302048914</v>
      </c>
      <c r="H13" s="11">
        <f>IFERROR(F13*G13,"")</f>
        <v>19.432737243886322</v>
      </c>
      <c r="I13" s="11">
        <f>IFERROR(H13/D13,"")</f>
        <v>0.8096973851619301</v>
      </c>
      <c r="J13" s="11">
        <f>'Escandallo por Tanda'!G243</f>
        <v>0.3382557358891562</v>
      </c>
      <c r="K13" s="11">
        <f>IFERROR(I13+J13,"")</f>
        <v>1.1479531210510863</v>
      </c>
      <c r="L13" s="10" t="n">
        <v>3.2</v>
      </c>
      <c r="M13" s="18" t="n">
        <v>0.1</v>
      </c>
      <c r="N13" s="11">
        <f>IFERROR(L13/(1+M13),"")</f>
        <v>2.909090909090909</v>
      </c>
      <c r="O13" s="27">
        <f>IFERROR(J13/N13,"")</f>
        <v>0.11627540921189744</v>
      </c>
      <c r="P13" s="27">
        <f>IFERROR(1-O13,"")</f>
        <v>0.8837245907881026</v>
      </c>
      <c r="Q13" s="11">
        <f>IFERROR(N13-K13,"")</f>
        <v>1.761137788039823</v>
      </c>
      <c r="R13" s="27">
        <f>IFERROR(I13/K13,"")</f>
        <v>0.7053401139068787</v>
      </c>
      <c r="S13" s="26">
        <f>IFERROR(E13/D13,"")</f>
        <v>2.7083333333333335</v>
      </c>
    </row>
    <row r="14">
      <c r="A14" t="inlineStr">
        <is>
          <t>PI3</t>
        </is>
      </c>
      <c r="B14" t="inlineStr">
        <is>
          <t>Macarons de frambuesa</t>
        </is>
      </c>
      <c r="C14" t="inlineStr">
        <is>
          <t>Pastelería individual</t>
        </is>
      </c>
      <c r="D14" s="24">
        <f>'Escandallo por Tanda'!D244</f>
        <v>30.0</v>
      </c>
      <c r="E14" s="16" t="n">
        <v>80</v>
      </c>
      <c r="F14" s="26">
        <f>IFERROR(E14/60,"")</f>
        <v>1.3333333333333333</v>
      </c>
      <c r="G14" s="11">
        <f>'Parámetros'!$B$16</f>
        <v>17.937911302048914</v>
      </c>
      <c r="H14" s="11">
        <f>IFERROR(F14*G14,"")</f>
        <v>23.91721506939855</v>
      </c>
      <c r="I14" s="11">
        <f>IFERROR(H14/D14,"")</f>
        <v>0.797240502313285</v>
      </c>
      <c r="J14" s="11">
        <f>'Escandallo por Tanda'!G244</f>
        <v>0.19650996048982955</v>
      </c>
      <c r="K14" s="11">
        <f>IFERROR(I14+J14,"")</f>
        <v>0.9937504628031146</v>
      </c>
      <c r="L14" s="10" t="n">
        <v>2.1</v>
      </c>
      <c r="M14" s="18" t="n">
        <v>0.1</v>
      </c>
      <c r="N14" s="11">
        <f>IFERROR(L14/(1+M14),"")</f>
        <v>1.909090909090909</v>
      </c>
      <c r="O14" s="27">
        <f>IFERROR(J14/N14,"")</f>
        <v>0.10293378882800597</v>
      </c>
      <c r="P14" s="27">
        <f>IFERROR(1-O14,"")</f>
        <v>0.897066211171994</v>
      </c>
      <c r="Q14" s="11">
        <f>IFERROR(N14-K14,"")</f>
        <v>0.9153404462877943</v>
      </c>
      <c r="R14" s="27">
        <f>IFERROR(I14/K14,"")</f>
        <v>0.8022542199019204</v>
      </c>
      <c r="S14" s="26">
        <f>IFERROR(E14/D14,"")</f>
        <v>2.6666666666666665</v>
      </c>
    </row>
    <row r="15">
      <c r="A15" t="inlineStr">
        <is>
          <t>PI4</t>
        </is>
      </c>
      <c r="B15" t="inlineStr">
        <is>
          <t>Tartaleta de frutas</t>
        </is>
      </c>
      <c r="C15" t="inlineStr">
        <is>
          <t>Pastelería individual</t>
        </is>
      </c>
      <c r="D15" s="24">
        <f>'Escandallo por Tanda'!D245</f>
        <v>20.0</v>
      </c>
      <c r="E15" s="16" t="n">
        <v>85</v>
      </c>
      <c r="F15" s="26">
        <f>IFERROR(E15/60,"")</f>
        <v>1.4166666666666667</v>
      </c>
      <c r="G15" s="11">
        <f>'Parámetros'!$B$16</f>
        <v>17.937911302048914</v>
      </c>
      <c r="H15" s="11">
        <f>IFERROR(F15*G15,"")</f>
        <v>25.412041011235964</v>
      </c>
      <c r="I15" s="11">
        <f>IFERROR(H15/D15,"")</f>
        <v>1.270602050561798</v>
      </c>
      <c r="J15" s="11">
        <f>'Escandallo por Tanda'!G245</f>
        <v>0.5249860407667148</v>
      </c>
      <c r="K15" s="11">
        <f>IFERROR(I15+J15,"")</f>
        <v>1.795588091328513</v>
      </c>
      <c r="L15" s="10" t="n">
        <v>3.8</v>
      </c>
      <c r="M15" s="18" t="n">
        <v>0.1</v>
      </c>
      <c r="N15" s="11">
        <f>IFERROR(L15/(1+M15),"")</f>
        <v>3.454545454545454</v>
      </c>
      <c r="O15" s="27">
        <f>IFERROR(J15/N15,"")</f>
        <v>0.15196964337983854</v>
      </c>
      <c r="P15" s="27">
        <f>IFERROR(1-O15,"")</f>
        <v>0.8480303566201615</v>
      </c>
      <c r="Q15" s="11">
        <f>IFERROR(N15-K15,"")</f>
        <v>1.6589573632169412</v>
      </c>
      <c r="R15" s="27">
        <f>IFERROR(I15/K15,"")</f>
        <v>0.7076244583587709</v>
      </c>
      <c r="S15" s="26">
        <f>IFERROR(E15/D15,"")</f>
        <v>4.25</v>
      </c>
    </row>
    <row r="16">
      <c r="A16" t="inlineStr">
        <is>
          <t>PI5</t>
        </is>
      </c>
      <c r="B16" t="inlineStr">
        <is>
          <t>Lionesa o profiterol</t>
        </is>
      </c>
      <c r="C16" t="inlineStr">
        <is>
          <t>Pastelería individual</t>
        </is>
      </c>
      <c r="D16" s="24">
        <f>'Escandallo por Tanda'!D246</f>
        <v>40.0</v>
      </c>
      <c r="E16" s="16" t="n">
        <v>60</v>
      </c>
      <c r="F16" s="26">
        <f>IFERROR(E16/60,"")</f>
        <v>1.0</v>
      </c>
      <c r="G16" s="11">
        <f>'Parámetros'!$B$16</f>
        <v>17.937911302048914</v>
      </c>
      <c r="H16" s="11">
        <f>IFERROR(F16*G16,"")</f>
        <v>17.937911302048914</v>
      </c>
      <c r="I16" s="11">
        <f>IFERROR(H16/D16,"")</f>
        <v>0.44844778255122286</v>
      </c>
      <c r="J16" s="11">
        <f>'Escandallo por Tanda'!G246</f>
        <v>0.19817680824010467</v>
      </c>
      <c r="K16" s="11">
        <f>IFERROR(I16+J16,"")</f>
        <v>0.6466245907913275</v>
      </c>
      <c r="L16" s="10" t="n">
        <v>2.3</v>
      </c>
      <c r="M16" s="18" t="n">
        <v>0.1</v>
      </c>
      <c r="N16" s="11">
        <f>IFERROR(L16/(1+M16),"")</f>
        <v>2.0909090909090904</v>
      </c>
      <c r="O16" s="27">
        <f>IFERROR(J16/N16,"")</f>
        <v>0.09478021263657183</v>
      </c>
      <c r="P16" s="27">
        <f>IFERROR(1-O16,"")</f>
        <v>0.9052197873634282</v>
      </c>
      <c r="Q16" s="11">
        <f>IFERROR(N16-K16,"")</f>
        <v>1.4442845001177629</v>
      </c>
      <c r="R16" s="27">
        <f>IFERROR(I16/K16,"")</f>
        <v>0.6935210768931948</v>
      </c>
      <c r="S16" s="26">
        <f>IFERROR(E16/D16,"")</f>
        <v>1.5</v>
      </c>
    </row>
    <row r="17">
      <c r="A17" t="inlineStr">
        <is>
          <t>PI6</t>
        </is>
      </c>
      <c r="B17" t="inlineStr">
        <is>
          <t>Entremet individual</t>
        </is>
      </c>
      <c r="C17" t="inlineStr">
        <is>
          <t>Pastelería individual</t>
        </is>
      </c>
      <c r="D17" s="24">
        <f>'Escandallo por Tanda'!D247</f>
        <v>16.0</v>
      </c>
      <c r="E17" s="16" t="n">
        <v>95</v>
      </c>
      <c r="F17" s="26">
        <f>IFERROR(E17/60,"")</f>
        <v>1.5833333333333333</v>
      </c>
      <c r="G17" s="11">
        <f>'Parámetros'!$B$16</f>
        <v>17.937911302048914</v>
      </c>
      <c r="H17" s="11">
        <f>IFERROR(F17*G17,"")</f>
        <v>28.401692894910777</v>
      </c>
      <c r="I17" s="11">
        <f>IFERROR(H17/D17,"")</f>
        <v>1.7751058059319236</v>
      </c>
      <c r="J17" s="11">
        <f>'Escandallo por Tanda'!G247</f>
        <v>0.8247412606683193</v>
      </c>
      <c r="K17" s="11">
        <f>IFERROR(I17+J17,"")</f>
        <v>2.599847066600243</v>
      </c>
      <c r="L17" s="10" t="n">
        <v>4.5</v>
      </c>
      <c r="M17" s="18" t="n">
        <v>0.1</v>
      </c>
      <c r="N17" s="11">
        <f>IFERROR(L17/(1+M17),"")</f>
        <v>4.090909090909091</v>
      </c>
      <c r="O17" s="27">
        <f>IFERROR(J17/N17,"")</f>
        <v>0.20160341927447806</v>
      </c>
      <c r="P17" s="27">
        <f>IFERROR(1-O17,"")</f>
        <v>0.798396580725522</v>
      </c>
      <c r="Q17" s="11">
        <f>IFERROR(N17-K17,"")</f>
        <v>1.4910620243088477</v>
      </c>
      <c r="R17" s="27">
        <f>IFERROR(I17/K17,"")</f>
        <v>0.6827731633665616</v>
      </c>
      <c r="S17" s="26">
        <f>IFERROR(E17/D17,"")</f>
        <v>5.9375</v>
      </c>
    </row>
    <row r="18">
      <c r="A18" t="inlineStr">
        <is>
          <t>T1</t>
        </is>
      </c>
      <c r="B18" t="inlineStr">
        <is>
          <t>Tarta de chocolate 70 %</t>
        </is>
      </c>
      <c r="C18" t="inlineStr">
        <is>
          <t>Tartas y entremets</t>
        </is>
      </c>
      <c r="D18" s="24">
        <f>'Escandallo por Tanda'!D248</f>
        <v>12.0</v>
      </c>
      <c r="E18" s="16" t="n">
        <v>45</v>
      </c>
      <c r="F18" s="26">
        <f>IFERROR(E18/60,"")</f>
        <v>0.75</v>
      </c>
      <c r="G18" s="11">
        <f>'Parámetros'!$B$16</f>
        <v>17.937911302048914</v>
      </c>
      <c r="H18" s="11">
        <f>IFERROR(F18*G18,"")</f>
        <v>13.453433476536684</v>
      </c>
      <c r="I18" s="11">
        <f>IFERROR(H18/D18,"")</f>
        <v>1.121119456378057</v>
      </c>
      <c r="J18" s="11">
        <f>'Escandallo por Tanda'!G248</f>
        <v>1.1523320276641473</v>
      </c>
      <c r="K18" s="11">
        <f>IFERROR(I18+J18,"")</f>
        <v>2.273451484042204</v>
      </c>
      <c r="L18" s="10" t="n">
        <v>3.6</v>
      </c>
      <c r="M18" s="18" t="n">
        <v>0.1</v>
      </c>
      <c r="N18" s="11">
        <f>IFERROR(L18/(1+M18),"")</f>
        <v>3.2727272727272725</v>
      </c>
      <c r="O18" s="27">
        <f>IFERROR(J18/N18,"")</f>
        <v>0.3521014528973784</v>
      </c>
      <c r="P18" s="27">
        <f>IFERROR(1-O18,"")</f>
        <v>0.6478985471026216</v>
      </c>
      <c r="Q18" s="11">
        <f>IFERROR(N18-K18,"")</f>
        <v>0.9992757886850683</v>
      </c>
      <c r="R18" s="27">
        <f>IFERROR(I18/K18,"")</f>
        <v>0.49313542173537084</v>
      </c>
      <c r="S18" s="26">
        <f>IFERROR(E18/D18,"")</f>
        <v>3.75</v>
      </c>
    </row>
    <row r="19">
      <c r="A19" t="inlineStr">
        <is>
          <t>T2</t>
        </is>
      </c>
      <c r="B19" t="inlineStr">
        <is>
          <t>Tarta de queso</t>
        </is>
      </c>
      <c r="C19" t="inlineStr">
        <is>
          <t>Tartas y entremets</t>
        </is>
      </c>
      <c r="D19" s="24">
        <f>'Escandallo por Tanda'!D249</f>
        <v>12.0</v>
      </c>
      <c r="E19" s="16" t="n">
        <v>30</v>
      </c>
      <c r="F19" s="26">
        <f>IFERROR(E19/60,"")</f>
        <v>0.5</v>
      </c>
      <c r="G19" s="11">
        <f>'Parámetros'!$B$16</f>
        <v>17.937911302048914</v>
      </c>
      <c r="H19" s="11">
        <f>IFERROR(F19*G19,"")</f>
        <v>8.968955651024457</v>
      </c>
      <c r="I19" s="11">
        <f>IFERROR(H19/D19,"")</f>
        <v>0.7474129709187047</v>
      </c>
      <c r="J19" s="11">
        <f>'Escandallo por Tanda'!G249</f>
        <v>0.9126322010202558</v>
      </c>
      <c r="K19" s="11">
        <f>IFERROR(I19+J19,"")</f>
        <v>1.6600451719389606</v>
      </c>
      <c r="L19" s="10" t="n">
        <v>3.4</v>
      </c>
      <c r="M19" s="18" t="n">
        <v>0.1</v>
      </c>
      <c r="N19" s="11">
        <f>IFERROR(L19/(1+M19),"")</f>
        <v>3.0909090909090904</v>
      </c>
      <c r="O19" s="27">
        <f>IFERROR(J19/N19,"")</f>
        <v>0.29526335915361224</v>
      </c>
      <c r="P19" s="27">
        <f>IFERROR(1-O19,"")</f>
        <v>0.7047366408463878</v>
      </c>
      <c r="Q19" s="11">
        <f>IFERROR(N19-K19,"")</f>
        <v>1.4308639189701298</v>
      </c>
      <c r="R19" s="27">
        <f>IFERROR(I19/K19,"")</f>
        <v>0.4502365258203871</v>
      </c>
      <c r="S19" s="26">
        <f>IFERROR(E19/D19,"")</f>
        <v>2.5</v>
      </c>
    </row>
    <row r="20">
      <c r="A20" t="inlineStr">
        <is>
          <t>T3</t>
        </is>
      </c>
      <c r="B20" t="inlineStr">
        <is>
          <t>Tarta de manzana</t>
        </is>
      </c>
      <c r="C20" t="inlineStr">
        <is>
          <t>Tartas y entremets</t>
        </is>
      </c>
      <c r="D20" s="24">
        <f>'Escandallo por Tanda'!D250</f>
        <v>12.0</v>
      </c>
      <c r="E20" s="16" t="n">
        <v>40</v>
      </c>
      <c r="F20" s="26">
        <f>IFERROR(E20/60,"")</f>
        <v>0.6666666666666666</v>
      </c>
      <c r="G20" s="11">
        <f>'Parámetros'!$B$16</f>
        <v>17.937911302048914</v>
      </c>
      <c r="H20" s="11">
        <f>IFERROR(F20*G20,"")</f>
        <v>11.958607534699276</v>
      </c>
      <c r="I20" s="11">
        <f>IFERROR(H20/D20,"")</f>
        <v>0.9965506278916063</v>
      </c>
      <c r="J20" s="11">
        <f>'Escandallo por Tanda'!G250</f>
        <v>0.42888845856355623</v>
      </c>
      <c r="K20" s="11">
        <f>IFERROR(I20+J20,"")</f>
        <v>1.4254390864551625</v>
      </c>
      <c r="L20" s="10" t="n">
        <v>3.2</v>
      </c>
      <c r="M20" s="18" t="n">
        <v>0.1</v>
      </c>
      <c r="N20" s="11">
        <f>IFERROR(L20/(1+M20),"")</f>
        <v>2.909090909090909</v>
      </c>
      <c r="O20" s="27">
        <f>IFERROR(J20/N20,"")</f>
        <v>0.14743040763122245</v>
      </c>
      <c r="P20" s="27">
        <f>IFERROR(1-O20,"")</f>
        <v>0.8525695923687775</v>
      </c>
      <c r="Q20" s="11">
        <f>IFERROR(N20-K20,"")</f>
        <v>1.4836518226357467</v>
      </c>
      <c r="R20" s="27">
        <f>IFERROR(I20/K20,"")</f>
        <v>0.6991183540293309</v>
      </c>
      <c r="S20" s="26">
        <f>IFERROR(E20/D20,"")</f>
        <v>3.3333333333333335</v>
      </c>
    </row>
    <row r="21">
      <c r="A21" t="inlineStr">
        <is>
          <t>T4</t>
        </is>
      </c>
      <c r="B21" t="inlineStr">
        <is>
          <t>Tarta de zanahoria</t>
        </is>
      </c>
      <c r="C21" t="inlineStr">
        <is>
          <t>Tartas y entremets</t>
        </is>
      </c>
      <c r="D21" s="24">
        <f>'Escandallo por Tanda'!D251</f>
        <v>12.0</v>
      </c>
      <c r="E21" s="16" t="n">
        <v>45</v>
      </c>
      <c r="F21" s="26">
        <f>IFERROR(E21/60,"")</f>
        <v>0.75</v>
      </c>
      <c r="G21" s="11">
        <f>'Parámetros'!$B$16</f>
        <v>17.937911302048914</v>
      </c>
      <c r="H21" s="11">
        <f>IFERROR(F21*G21,"")</f>
        <v>13.453433476536684</v>
      </c>
      <c r="I21" s="11">
        <f>IFERROR(H21/D21,"")</f>
        <v>1.121119456378057</v>
      </c>
      <c r="J21" s="11">
        <f>'Escandallo por Tanda'!G251</f>
        <v>0.7531262582582633</v>
      </c>
      <c r="K21" s="11">
        <f>IFERROR(I21+J21,"")</f>
        <v>1.8742457146363205</v>
      </c>
      <c r="L21" s="10" t="n">
        <v>3.3</v>
      </c>
      <c r="M21" s="18" t="n">
        <v>0.1</v>
      </c>
      <c r="N21" s="11">
        <f>IFERROR(L21/(1+M21),"")</f>
        <v>2.9999999999999996</v>
      </c>
      <c r="O21" s="27">
        <f>IFERROR(J21/N21,"")</f>
        <v>0.2510420860860878</v>
      </c>
      <c r="P21" s="27">
        <f>IFERROR(1-O21,"")</f>
        <v>0.7489579139139122</v>
      </c>
      <c r="Q21" s="11">
        <f>IFERROR(N21-K21,"")</f>
        <v>1.125754285363679</v>
      </c>
      <c r="R21" s="27">
        <f>IFERROR(I21/K21,"")</f>
        <v>0.5981710122760503</v>
      </c>
      <c r="S21" s="26">
        <f>IFERROR(E21/D21,"")</f>
        <v>3.75</v>
      </c>
    </row>
    <row r="22">
      <c r="A22" t="inlineStr">
        <is>
          <t>T5</t>
        </is>
      </c>
      <c r="B22" t="inlineStr">
        <is>
          <t>Tarta Sacher</t>
        </is>
      </c>
      <c r="C22" t="inlineStr">
        <is>
          <t>Tartas y entremets</t>
        </is>
      </c>
      <c r="D22" s="24">
        <f>'Escandallo por Tanda'!D252</f>
        <v>12.0</v>
      </c>
      <c r="E22" s="16" t="n">
        <v>55</v>
      </c>
      <c r="F22" s="26">
        <f>IFERROR(E22/60,"")</f>
        <v>0.9166666666666666</v>
      </c>
      <c r="G22" s="11">
        <f>'Parámetros'!$B$16</f>
        <v>17.937911302048914</v>
      </c>
      <c r="H22" s="11">
        <f>IFERROR(F22*G22,"")</f>
        <v>16.443085360211505</v>
      </c>
      <c r="I22" s="11">
        <f>IFERROR(H22/D22,"")</f>
        <v>1.3702571133509587</v>
      </c>
      <c r="J22" s="11">
        <f>'Escandallo por Tanda'!G252</f>
        <v>0.8907839671054437</v>
      </c>
      <c r="K22" s="11">
        <f>IFERROR(I22+J22,"")</f>
        <v>2.2610410804564025</v>
      </c>
      <c r="L22" s="10" t="n">
        <v>3.8</v>
      </c>
      <c r="M22" s="18" t="n">
        <v>0.1</v>
      </c>
      <c r="N22" s="11">
        <f>IFERROR(L22/(1+M22),"")</f>
        <v>3.454545454545454</v>
      </c>
      <c r="O22" s="27">
        <f>IFERROR(J22/N22,"")</f>
        <v>0.2578585167936811</v>
      </c>
      <c r="P22" s="27">
        <f>IFERROR(1-O22,"")</f>
        <v>0.7421414832063189</v>
      </c>
      <c r="Q22" s="11">
        <f>IFERROR(N22-K22,"")</f>
        <v>1.1935043740890516</v>
      </c>
      <c r="R22" s="27">
        <f>IFERROR(I22/K22,"")</f>
        <v>0.6060292867718995</v>
      </c>
      <c r="S22" s="26">
        <f>IFERROR(E22/D22,"")</f>
        <v>4.583333333333333</v>
      </c>
    </row>
    <row r="23">
      <c r="A23" t="inlineStr">
        <is>
          <t>T6</t>
        </is>
      </c>
      <c r="B23" t="inlineStr">
        <is>
          <t>Tarta de nata y fresas</t>
        </is>
      </c>
      <c r="C23" t="inlineStr">
        <is>
          <t>Tartas y entremets</t>
        </is>
      </c>
      <c r="D23" s="24">
        <f>'Escandallo por Tanda'!D253</f>
        <v>12.0</v>
      </c>
      <c r="E23" s="16" t="n">
        <v>50</v>
      </c>
      <c r="F23" s="26">
        <f>IFERROR(E23/60,"")</f>
        <v>0.8333333333333334</v>
      </c>
      <c r="G23" s="11">
        <f>'Parámetros'!$B$16</f>
        <v>17.937911302048914</v>
      </c>
      <c r="H23" s="11">
        <f>IFERROR(F23*G23,"")</f>
        <v>14.948259418374095</v>
      </c>
      <c r="I23" s="11">
        <f>IFERROR(H23/D23,"")</f>
        <v>1.2456882848645079</v>
      </c>
      <c r="J23" s="11">
        <f>'Escandallo por Tanda'!G253</f>
        <v>0.758402908349681</v>
      </c>
      <c r="K23" s="11">
        <f>IFERROR(I23+J23,"")</f>
        <v>2.004091193214189</v>
      </c>
      <c r="L23" s="10" t="n">
        <v>3.5</v>
      </c>
      <c r="M23" s="18" t="n">
        <v>0.1</v>
      </c>
      <c r="N23" s="11">
        <f>IFERROR(L23/(1+M23),"")</f>
        <v>3.1818181818181817</v>
      </c>
      <c r="O23" s="27">
        <f>IFERROR(J23/N23,"")</f>
        <v>0.2383551997670426</v>
      </c>
      <c r="P23" s="27">
        <f>IFERROR(1-O23,"")</f>
        <v>0.7616448002329574</v>
      </c>
      <c r="Q23" s="11">
        <f>IFERROR(N23-K23,"")</f>
        <v>1.1777269886039927</v>
      </c>
      <c r="R23" s="27">
        <f>IFERROR(I23/K23,"")</f>
        <v>0.6215726555170655</v>
      </c>
      <c r="S23" s="26">
        <f>IFERROR(E23/D23,"")</f>
        <v>4.166666666666667</v>
      </c>
    </row>
    <row r="24">
      <c r="A24" t="inlineStr">
        <is>
          <t>PA1</t>
        </is>
      </c>
      <c r="B24" t="inlineStr">
        <is>
          <t>Barra</t>
        </is>
      </c>
      <c r="C24" t="inlineStr">
        <is>
          <t>Panes de acompañamiento</t>
        </is>
      </c>
      <c r="D24" s="24">
        <f>'Escandallo por Tanda'!D254</f>
        <v>40.0</v>
      </c>
      <c r="E24" s="16" t="n">
        <v>35</v>
      </c>
      <c r="F24" s="26">
        <f>IFERROR(E24/60,"")</f>
        <v>0.5833333333333334</v>
      </c>
      <c r="G24" s="11">
        <f>'Parámetros'!$B$16</f>
        <v>17.937911302048914</v>
      </c>
      <c r="H24" s="11">
        <f>IFERROR(F24*G24,"")</f>
        <v>10.463781592861867</v>
      </c>
      <c r="I24" s="11">
        <f>IFERROR(H24/D24,"")</f>
        <v>0.2615945398215467</v>
      </c>
      <c r="J24" s="11">
        <f>'Escandallo por Tanda'!G254</f>
        <v>0.1721026055566014</v>
      </c>
      <c r="K24" s="11">
        <f>IFERROR(I24+J24,"")</f>
        <v>0.4336971453781481</v>
      </c>
      <c r="L24" s="10" t="n">
        <v>1.2</v>
      </c>
      <c r="M24" s="18" t="n">
        <v>0.04</v>
      </c>
      <c r="N24" s="11">
        <f>IFERROR(L24/(1+M24),"")</f>
        <v>1.1538461538461537</v>
      </c>
      <c r="O24" s="27">
        <f>IFERROR(J24/N24,"")</f>
        <v>0.14915559148238788</v>
      </c>
      <c r="P24" s="27">
        <f>IFERROR(1-O24,"")</f>
        <v>0.8508444085176121</v>
      </c>
      <c r="Q24" s="11">
        <f>IFERROR(N24-K24,"")</f>
        <v>0.7201490084680057</v>
      </c>
      <c r="R24" s="27">
        <f>IFERROR(I24/K24,"")</f>
        <v>0.6031733033277354</v>
      </c>
      <c r="S24" s="26">
        <f>IFERROR(E24/D24,"")</f>
        <v>0.875</v>
      </c>
    </row>
    <row r="25">
      <c r="A25" t="inlineStr">
        <is>
          <t>PA2</t>
        </is>
      </c>
      <c r="B25" t="inlineStr">
        <is>
          <t>Chapata</t>
        </is>
      </c>
      <c r="C25" t="inlineStr">
        <is>
          <t>Panes de acompañamiento</t>
        </is>
      </c>
      <c r="D25" s="24">
        <f>'Escandallo por Tanda'!D255</f>
        <v>24.0</v>
      </c>
      <c r="E25" s="16" t="n">
        <v>30</v>
      </c>
      <c r="F25" s="26">
        <f>IFERROR(E25/60,"")</f>
        <v>0.5</v>
      </c>
      <c r="G25" s="11">
        <f>'Parámetros'!$B$16</f>
        <v>17.937911302048914</v>
      </c>
      <c r="H25" s="11">
        <f>IFERROR(F25*G25,"")</f>
        <v>8.968955651024457</v>
      </c>
      <c r="I25" s="11">
        <f>IFERROR(H25/D25,"")</f>
        <v>0.37370648545935237</v>
      </c>
      <c r="J25" s="11">
        <f>'Escandallo por Tanda'!G255</f>
        <v>0.21330785542648967</v>
      </c>
      <c r="K25" s="11">
        <f>IFERROR(I25+J25,"")</f>
        <v>0.587014340885842</v>
      </c>
      <c r="L25" s="10" t="n">
        <v>1.6</v>
      </c>
      <c r="M25" s="18" t="n">
        <v>0.04</v>
      </c>
      <c r="N25" s="11">
        <f>IFERROR(L25/(1+M25),"")</f>
        <v>1.5384615384615385</v>
      </c>
      <c r="O25" s="27">
        <f>IFERROR(J25/N25,"")</f>
        <v>0.13865010602721828</v>
      </c>
      <c r="P25" s="27">
        <f>IFERROR(1-O25,"")</f>
        <v>0.8613498939727817</v>
      </c>
      <c r="Q25" s="11">
        <f>IFERROR(N25-K25,"")</f>
        <v>0.9514471975756965</v>
      </c>
      <c r="R25" s="27">
        <f>IFERROR(I25/K25,"")</f>
        <v>0.6366224118058266</v>
      </c>
      <c r="S25" s="26">
        <f>IFERROR(E25/D25,"")</f>
        <v>1.25</v>
      </c>
    </row>
    <row r="26">
      <c r="A26" t="inlineStr">
        <is>
          <t>PA3</t>
        </is>
      </c>
      <c r="B26" t="inlineStr">
        <is>
          <t>Hogaza de masa madre</t>
        </is>
      </c>
      <c r="C26" t="inlineStr">
        <is>
          <t>Panes de acompañamiento</t>
        </is>
      </c>
      <c r="D26" s="24">
        <f>'Escandallo por Tanda'!D256</f>
        <v>12.0</v>
      </c>
      <c r="E26" s="16" t="n">
        <v>40</v>
      </c>
      <c r="F26" s="26">
        <f>IFERROR(E26/60,"")</f>
        <v>0.6666666666666666</v>
      </c>
      <c r="G26" s="11">
        <f>'Parámetros'!$B$16</f>
        <v>17.937911302048914</v>
      </c>
      <c r="H26" s="11">
        <f>IFERROR(F26*G26,"")</f>
        <v>11.958607534699276</v>
      </c>
      <c r="I26" s="11">
        <f>IFERROR(H26/D26,"")</f>
        <v>0.9965506278916063</v>
      </c>
      <c r="J26" s="11">
        <f>'Escandallo por Tanda'!G256</f>
        <v>0.5929728592467914</v>
      </c>
      <c r="K26" s="11">
        <f>IFERROR(I26+J26,"")</f>
        <v>1.5895234871383979</v>
      </c>
      <c r="L26" s="10" t="n">
        <v>3.9</v>
      </c>
      <c r="M26" s="18" t="n">
        <v>0.04</v>
      </c>
      <c r="N26" s="11">
        <f>IFERROR(L26/(1+M26),"")</f>
        <v>3.75</v>
      </c>
      <c r="O26" s="27">
        <f>IFERROR(J26/N26,"")</f>
        <v>0.15812609579914438</v>
      </c>
      <c r="P26" s="27">
        <f>IFERROR(1-O26,"")</f>
        <v>0.8418739042008556</v>
      </c>
      <c r="Q26" s="11">
        <f>IFERROR(N26-K26,"")</f>
        <v>2.160476512861602</v>
      </c>
      <c r="R26" s="27">
        <f>IFERROR(I26/K26,"")</f>
        <v>0.6269492938954213</v>
      </c>
      <c r="S26" s="26">
        <f>IFERROR(E26/D26,"")</f>
        <v>3.3333333333333335</v>
      </c>
    </row>
    <row r="27">
      <c r="A27" t="inlineStr">
        <is>
          <t>PA4</t>
        </is>
      </c>
      <c r="B27" t="inlineStr">
        <is>
          <t>Pan de molde</t>
        </is>
      </c>
      <c r="C27" t="inlineStr">
        <is>
          <t>Panes de acompañamiento</t>
        </is>
      </c>
      <c r="D27" s="24">
        <f>'Escandallo por Tanda'!D257</f>
        <v>10.0</v>
      </c>
      <c r="E27" s="16" t="n">
        <v>30</v>
      </c>
      <c r="F27" s="26">
        <f>IFERROR(E27/60,"")</f>
        <v>0.5</v>
      </c>
      <c r="G27" s="11">
        <f>'Parámetros'!$B$16</f>
        <v>17.937911302048914</v>
      </c>
      <c r="H27" s="11">
        <f>IFERROR(F27*G27,"")</f>
        <v>8.968955651024457</v>
      </c>
      <c r="I27" s="11">
        <f>IFERROR(H27/D27,"")</f>
        <v>0.8968955651024457</v>
      </c>
      <c r="J27" s="11">
        <f>'Escandallo por Tanda'!G257</f>
        <v>0.8120956293532064</v>
      </c>
      <c r="K27" s="11">
        <f>IFERROR(I27+J27,"")</f>
        <v>1.7089911944556522</v>
      </c>
      <c r="L27" s="10" t="n">
        <v>3.2</v>
      </c>
      <c r="M27" s="18" t="n">
        <v>0.04</v>
      </c>
      <c r="N27" s="11">
        <f>IFERROR(L27/(1+M27),"")</f>
        <v>3.076923076923077</v>
      </c>
      <c r="O27" s="27">
        <f>IFERROR(J27/N27,"")</f>
        <v>0.26393107953979206</v>
      </c>
      <c r="P27" s="27">
        <f>IFERROR(1-O27,"")</f>
        <v>0.736068920460208</v>
      </c>
      <c r="Q27" s="11">
        <f>IFERROR(N27-K27,"")</f>
        <v>1.367931882467425</v>
      </c>
      <c r="R27" s="27">
        <f>IFERROR(I27/K27,"")</f>
        <v>0.5248099393444358</v>
      </c>
      <c r="S27" s="26">
        <f>IFERROR(E27/D27,"")</f>
        <v>3.0</v>
      </c>
    </row>
    <row r="28">
      <c r="A28" t="inlineStr">
        <is>
          <t>TP1</t>
        </is>
      </c>
      <c r="B28" t="inlineStr">
        <is>
          <t>Roscón de Reyes</t>
        </is>
      </c>
      <c r="C28" t="inlineStr">
        <is>
          <t>Temporada</t>
        </is>
      </c>
      <c r="D28" s="24">
        <f>'Escandallo por Tanda'!D258</f>
        <v>12.0</v>
      </c>
      <c r="E28" s="16" t="n">
        <v>90</v>
      </c>
      <c r="F28" s="26">
        <f>IFERROR(E28/60,"")</f>
        <v>1.5</v>
      </c>
      <c r="G28" s="11">
        <f>'Parámetros'!$B$16</f>
        <v>17.937911302048914</v>
      </c>
      <c r="H28" s="11">
        <f>IFERROR(F28*G28,"")</f>
        <v>26.90686695307337</v>
      </c>
      <c r="I28" s="11">
        <f>IFERROR(H28/D28,"")</f>
        <v>2.242238912756114</v>
      </c>
      <c r="J28" s="11">
        <f>'Escandallo por Tanda'!G258</f>
        <v>2.5987767214508066</v>
      </c>
      <c r="K28" s="11">
        <f>IFERROR(I28+J28,"")</f>
        <v>4.84101563420692</v>
      </c>
      <c r="L28" s="10" t="n">
        <v>16.5</v>
      </c>
      <c r="M28" s="18" t="n">
        <v>0.1</v>
      </c>
      <c r="N28" s="11">
        <f>IFERROR(L28/(1+M28),"")</f>
        <v>14.999999999999998</v>
      </c>
      <c r="O28" s="27">
        <f>IFERROR(J28/N28,"")</f>
        <v>0.1732517814300538</v>
      </c>
      <c r="P28" s="27">
        <f>IFERROR(1-O28,"")</f>
        <v>0.8267482185699462</v>
      </c>
      <c r="Q28" s="11">
        <f>IFERROR(N28-K28,"")</f>
        <v>10.158984365793078</v>
      </c>
      <c r="R28" s="27">
        <f>IFERROR(I28/K28,"")</f>
        <v>0.46317530910503846</v>
      </c>
      <c r="S28" s="26">
        <f>IFERROR(E28/D28,"")</f>
        <v>7.5</v>
      </c>
    </row>
    <row r="29">
      <c r="A29" t="inlineStr">
        <is>
          <t>TP2</t>
        </is>
      </c>
      <c r="B29" t="inlineStr">
        <is>
          <t>Torrijas</t>
        </is>
      </c>
      <c r="C29" t="inlineStr">
        <is>
          <t>Temporada</t>
        </is>
      </c>
      <c r="D29" s="24">
        <f>'Escandallo por Tanda'!D259</f>
        <v>30.0</v>
      </c>
      <c r="E29" s="16" t="n">
        <v>70</v>
      </c>
      <c r="F29" s="26">
        <f>IFERROR(E29/60,"")</f>
        <v>1.1666666666666667</v>
      </c>
      <c r="G29" s="11">
        <f>'Parámetros'!$B$16</f>
        <v>17.937911302048914</v>
      </c>
      <c r="H29" s="11">
        <f>IFERROR(F29*G29,"")</f>
        <v>20.927563185723734</v>
      </c>
      <c r="I29" s="11">
        <f>IFERROR(H29/D29,"")</f>
        <v>0.6975854395241244</v>
      </c>
      <c r="J29" s="11">
        <f>'Escandallo por Tanda'!G259</f>
        <v>0.2600556787932565</v>
      </c>
      <c r="K29" s="11">
        <f>IFERROR(I29+J29,"")</f>
        <v>0.957641118317381</v>
      </c>
      <c r="L29" s="10" t="n">
        <v>2.4</v>
      </c>
      <c r="M29" s="18" t="n">
        <v>0.1</v>
      </c>
      <c r="N29" s="11">
        <f>IFERROR(L29/(1+M29),"")</f>
        <v>2.1818181818181817</v>
      </c>
      <c r="O29" s="27">
        <f>IFERROR(J29/N29,"")</f>
        <v>0.11919218611357589</v>
      </c>
      <c r="P29" s="27">
        <f>IFERROR(1-O29,"")</f>
        <v>0.8808078138864242</v>
      </c>
      <c r="Q29" s="11">
        <f>IFERROR(N29-K29,"")</f>
        <v>1.2241770635008007</v>
      </c>
      <c r="R29" s="27">
        <f>IFERROR(I29/K29,"")</f>
        <v>0.7284414027144258</v>
      </c>
      <c r="S29" s="26">
        <f>IFERROR(E29/D29,"")</f>
        <v>2.3333333333333335</v>
      </c>
    </row>
    <row r="30">
      <c r="A30" t="inlineStr">
        <is>
          <t>TP3</t>
        </is>
      </c>
      <c r="B30" t="inlineStr">
        <is>
          <t>Buñuelos de viento</t>
        </is>
      </c>
      <c r="C30" t="inlineStr">
        <is>
          <t>Temporada</t>
        </is>
      </c>
      <c r="D30" s="24">
        <f>'Escandallo por Tanda'!D260</f>
        <v>60.0</v>
      </c>
      <c r="E30" s="16" t="n">
        <v>75</v>
      </c>
      <c r="F30" s="26">
        <f>IFERROR(E30/60,"")</f>
        <v>1.25</v>
      </c>
      <c r="G30" s="11">
        <f>'Parámetros'!$B$16</f>
        <v>17.937911302048914</v>
      </c>
      <c r="H30" s="11">
        <f>IFERROR(F30*G30,"")</f>
        <v>22.422389127561143</v>
      </c>
      <c r="I30" s="11">
        <f>IFERROR(H30/D30,"")</f>
        <v>0.37370648545935237</v>
      </c>
      <c r="J30" s="11">
        <f>'Escandallo por Tanda'!G260</f>
        <v>0.16951087337669268</v>
      </c>
      <c r="K30" s="11">
        <f>IFERROR(I30+J30,"")</f>
        <v>0.543217358836045</v>
      </c>
      <c r="L30" s="10" t="n">
        <v>1.6</v>
      </c>
      <c r="M30" s="18" t="n">
        <v>0.1</v>
      </c>
      <c r="N30" s="11">
        <f>IFERROR(L30/(1+M30),"")</f>
        <v>1.4545454545454546</v>
      </c>
      <c r="O30" s="27">
        <f>IFERROR(J30/N30,"")</f>
        <v>0.11653872544647621</v>
      </c>
      <c r="P30" s="27">
        <f>IFERROR(1-O30,"")</f>
        <v>0.8834612745535237</v>
      </c>
      <c r="Q30" s="11">
        <f>IFERROR(N30-K30,"")</f>
        <v>0.9113280957094095</v>
      </c>
      <c r="R30" s="27">
        <f>IFERROR(I30/K30,"")</f>
        <v>0.6879501904359158</v>
      </c>
      <c r="S30" s="26">
        <f>IFERROR(E30/D30,"")</f>
        <v>1.25</v>
      </c>
    </row>
    <row r="31">
      <c r="A31" t="inlineStr">
        <is>
          <t>TP4</t>
        </is>
      </c>
      <c r="B31" t="inlineStr">
        <is>
          <t>Huesos de santo</t>
        </is>
      </c>
      <c r="C31" t="inlineStr">
        <is>
          <t>Temporada</t>
        </is>
      </c>
      <c r="D31" s="24">
        <f>'Escandallo por Tanda'!D261</f>
        <v>40.0</v>
      </c>
      <c r="E31" s="16" t="n">
        <v>85</v>
      </c>
      <c r="F31" s="26">
        <f>IFERROR(E31/60,"")</f>
        <v>1.4166666666666667</v>
      </c>
      <c r="G31" s="11">
        <f>'Parámetros'!$B$16</f>
        <v>17.937911302048914</v>
      </c>
      <c r="H31" s="11">
        <f>IFERROR(F31*G31,"")</f>
        <v>25.412041011235964</v>
      </c>
      <c r="I31" s="11">
        <f>IFERROR(H31/D31,"")</f>
        <v>0.635301025280899</v>
      </c>
      <c r="J31" s="11">
        <f>'Escandallo por Tanda'!G261</f>
        <v>0.32458503401360544</v>
      </c>
      <c r="K31" s="11">
        <f>IFERROR(I31+J31,"")</f>
        <v>0.9598860592945044</v>
      </c>
      <c r="L31" s="10" t="n">
        <v>1.9</v>
      </c>
      <c r="M31" s="18" t="n">
        <v>0.1</v>
      </c>
      <c r="N31" s="11">
        <f>IFERROR(L31/(1+M31),"")</f>
        <v>1.727272727272727</v>
      </c>
      <c r="O31" s="27">
        <f>IFERROR(J31/N31,"")</f>
        <v>0.18791765127103474</v>
      </c>
      <c r="P31" s="27">
        <f>IFERROR(1-O31,"")</f>
        <v>0.8120823487289652</v>
      </c>
      <c r="Q31" s="11">
        <f>IFERROR(N31-K31,"")</f>
        <v>0.7673866679782226</v>
      </c>
      <c r="R31" s="27">
        <f>IFERROR(I31/K31,"")</f>
        <v>0.661850455196559</v>
      </c>
      <c r="S31" s="26">
        <f>IFERROR(E31/D31,"")</f>
        <v>2.125</v>
      </c>
    </row>
    <row r="32">
      <c r="A32" t="inlineStr">
        <is>
          <t>TP5</t>
        </is>
      </c>
      <c r="B32" t="inlineStr">
        <is>
          <t>Panellets</t>
        </is>
      </c>
      <c r="C32" t="inlineStr">
        <is>
          <t>Temporada</t>
        </is>
      </c>
      <c r="D32" s="24">
        <f>'Escandallo por Tanda'!D262</f>
        <v>60.0</v>
      </c>
      <c r="E32" s="16" t="n">
        <v>90</v>
      </c>
      <c r="F32" s="26">
        <f>IFERROR(E32/60,"")</f>
        <v>1.5</v>
      </c>
      <c r="G32" s="11">
        <f>'Parámetros'!$B$16</f>
        <v>17.937911302048914</v>
      </c>
      <c r="H32" s="11">
        <f>IFERROR(F32*G32,"")</f>
        <v>26.90686695307337</v>
      </c>
      <c r="I32" s="11">
        <f>IFERROR(H32/D32,"")</f>
        <v>0.4484477825512228</v>
      </c>
      <c r="J32" s="11">
        <f>'Escandallo por Tanda'!G262</f>
        <v>0.6889750566893424</v>
      </c>
      <c r="K32" s="11">
        <f>IFERROR(I32+J32,"")</f>
        <v>1.1374228392405652</v>
      </c>
      <c r="L32" s="10" t="n">
        <v>1.85</v>
      </c>
      <c r="M32" s="18" t="n">
        <v>0.1</v>
      </c>
      <c r="N32" s="11">
        <f>IFERROR(L32/(1+M32),"")</f>
        <v>1.6818181818181817</v>
      </c>
      <c r="O32" s="27">
        <f>IFERROR(J32/N32,"")</f>
        <v>0.40966084451798745</v>
      </c>
      <c r="P32" s="27">
        <f>IFERROR(1-O32,"")</f>
        <v>0.5903391554820125</v>
      </c>
      <c r="Q32" s="11">
        <f>IFERROR(N32-K32,"")</f>
        <v>0.5443953425776165</v>
      </c>
      <c r="R32" s="27">
        <f>IFERROR(I32/K32,"")</f>
        <v>0.3942665533695829</v>
      </c>
      <c r="S32" s="26">
        <f>IFERROR(E32/D32,"")</f>
        <v>1.5</v>
      </c>
    </row>
    <row r="33">
      <c r="A33" t="inlineStr">
        <is>
          <t>TP6</t>
        </is>
      </c>
      <c r="B33" t="inlineStr">
        <is>
          <t>Polvorón o mantecado</t>
        </is>
      </c>
      <c r="C33" t="inlineStr">
        <is>
          <t>Temporada</t>
        </is>
      </c>
      <c r="D33" s="24">
        <f>'Escandallo por Tanda'!D263</f>
        <v>50.0</v>
      </c>
      <c r="E33" s="16" t="n">
        <v>55</v>
      </c>
      <c r="F33" s="26">
        <f>IFERROR(E33/60,"")</f>
        <v>0.9166666666666666</v>
      </c>
      <c r="G33" s="11">
        <f>'Parámetros'!$B$16</f>
        <v>17.937911302048914</v>
      </c>
      <c r="H33" s="11">
        <f>IFERROR(F33*G33,"")</f>
        <v>16.443085360211505</v>
      </c>
      <c r="I33" s="11">
        <f>IFERROR(H33/D33,"")</f>
        <v>0.3288617072042301</v>
      </c>
      <c r="J33" s="11">
        <f>'Escandallo por Tanda'!G263</f>
        <v>0.1570632160923536</v>
      </c>
      <c r="K33" s="11">
        <f>IFERROR(I33+J33,"")</f>
        <v>0.48592492329658366</v>
      </c>
      <c r="L33" s="10" t="n">
        <v>1.2</v>
      </c>
      <c r="M33" s="18" t="n">
        <v>0.1</v>
      </c>
      <c r="N33" s="11">
        <f>IFERROR(L33/(1+M33),"")</f>
        <v>1.0909090909090908</v>
      </c>
      <c r="O33" s="27">
        <f>IFERROR(J33/N33,"")</f>
        <v>0.14397461475132414</v>
      </c>
      <c r="P33" s="27">
        <f>IFERROR(1-O33,"")</f>
        <v>0.8560253852486759</v>
      </c>
      <c r="Q33" s="11">
        <f>IFERROR(N33-K33,"")</f>
        <v>0.6049841676125072</v>
      </c>
      <c r="R33" s="27">
        <f>IFERROR(I33/K33,"")</f>
        <v>0.6767747267894505</v>
      </c>
      <c r="S33" s="26">
        <f>IFERROR(E33/D33,"")</f>
        <v>1.1</v>
      </c>
    </row>
    <row r="34">
      <c r="A34" t="inlineStr">
        <is>
          <t>TP7</t>
        </is>
      </c>
      <c r="B34" t="inlineStr">
        <is>
          <t>Turrón de almendra</t>
        </is>
      </c>
      <c r="C34" t="inlineStr">
        <is>
          <t>Temporada</t>
        </is>
      </c>
      <c r="D34" s="24">
        <f>'Escandallo por Tanda'!D264</f>
        <v>20.0</v>
      </c>
      <c r="E34" s="16" t="n">
        <v>65</v>
      </c>
      <c r="F34" s="26">
        <f>IFERROR(E34/60,"")</f>
        <v>1.0833333333333333</v>
      </c>
      <c r="G34" s="11">
        <f>'Parámetros'!$B$16</f>
        <v>17.937911302048914</v>
      </c>
      <c r="H34" s="11">
        <f>IFERROR(F34*G34,"")</f>
        <v>19.432737243886322</v>
      </c>
      <c r="I34" s="11">
        <f>IFERROR(H34/D34,"")</f>
        <v>0.9716368621943161</v>
      </c>
      <c r="J34" s="11">
        <f>'Escandallo por Tanda'!G264</f>
        <v>3.097463651765644</v>
      </c>
      <c r="K34" s="11">
        <f>IFERROR(I34+J34,"")</f>
        <v>4.06910051395996</v>
      </c>
      <c r="L34" s="10" t="n">
        <v>10.5</v>
      </c>
      <c r="M34" s="18" t="n">
        <v>0.1</v>
      </c>
      <c r="N34" s="11">
        <f>IFERROR(L34/(1+M34),"")</f>
        <v>9.545454545454545</v>
      </c>
      <c r="O34" s="27">
        <f>IFERROR(J34/N34,"")</f>
        <v>0.3244961920897341</v>
      </c>
      <c r="P34" s="27">
        <f>IFERROR(1-O34,"")</f>
        <v>0.6755038079102659</v>
      </c>
      <c r="Q34" s="11">
        <f>IFERROR(N34-K34,"")</f>
        <v>5.476354031494585</v>
      </c>
      <c r="R34" s="27">
        <f>IFERROR(I34/K34,"")</f>
        <v>0.23878418801916995</v>
      </c>
      <c r="S34" s="26">
        <f>IFERROR(E34/D34,"")</f>
        <v>3.25</v>
      </c>
    </row>
    <row r="35">
      <c r="A35" t="inlineStr">
        <is>
          <t>TP8</t>
        </is>
      </c>
      <c r="B35" t="inlineStr">
        <is>
          <t>Mona de Pascua</t>
        </is>
      </c>
      <c r="C35" t="inlineStr">
        <is>
          <t>Temporada</t>
        </is>
      </c>
      <c r="D35" s="24">
        <f>'Escandallo por Tanda'!D265</f>
        <v>14.0</v>
      </c>
      <c r="E35" s="16" t="n">
        <v>80</v>
      </c>
      <c r="F35" s="26">
        <f>IFERROR(E35/60,"")</f>
        <v>1.3333333333333333</v>
      </c>
      <c r="G35" s="11">
        <f>'Parámetros'!$B$16</f>
        <v>17.937911302048914</v>
      </c>
      <c r="H35" s="11">
        <f>IFERROR(F35*G35,"")</f>
        <v>23.91721506939855</v>
      </c>
      <c r="I35" s="11">
        <f>IFERROR(H35/D35,"")</f>
        <v>1.7083725049570393</v>
      </c>
      <c r="J35" s="11">
        <f>'Escandallo por Tanda'!G265</f>
        <v>2.014875462423657</v>
      </c>
      <c r="K35" s="11">
        <f>IFERROR(I35+J35,"")</f>
        <v>3.723247967380696</v>
      </c>
      <c r="L35" s="10" t="n">
        <v>13.5</v>
      </c>
      <c r="M35" s="18" t="n">
        <v>0.1</v>
      </c>
      <c r="N35" s="11">
        <f>IFERROR(L35/(1+M35),"")</f>
        <v>12.272727272727272</v>
      </c>
      <c r="O35" s="27">
        <f>IFERROR(J35/N35,"")</f>
        <v>0.16417503767896466</v>
      </c>
      <c r="P35" s="27">
        <f>IFERROR(1-O35,"")</f>
        <v>0.8358249623210353</v>
      </c>
      <c r="Q35" s="11">
        <f>IFERROR(N35-K35,"")</f>
        <v>8.549479305346576</v>
      </c>
      <c r="R35" s="27">
        <f>IFERROR(I35/K35,"")</f>
        <v>0.45883930372729886</v>
      </c>
      <c r="S35" s="26">
        <f>IFERROR(E35/D35,"")</f>
        <v>5.714285714285714</v>
      </c>
    </row>
    <row r="36">
      <c r="A36" s="13" t="inlineStr">
        <is>
          <t>MEDIA / TOTAL</t>
        </is>
      </c>
      <c r="H36" s="15">
        <f>SUM(H6:H35)</f>
        <v>542.6218168869797</v>
      </c>
      <c r="O36" s="20">
        <f>IFERROR(AVERAGE(O6:O35),"")</f>
        <v>0.19140911070355546</v>
      </c>
      <c r="Q36" s="15">
        <f>IFERROR(AVERAGE(Q6:Q35),"")</f>
        <v>1.7494636600701559</v>
      </c>
      <c r="R36" s="20">
        <f>IFERROR(AVERAGE(R6:R35),"")</f>
        <v>0.6329626685895051</v>
      </c>
    </row>
    <row r="37"/>
    <row r="38" ht="44" customHeight="1">
      <c r="A38" s="21" t="inlineStr">
        <is>
          <t>El food cost de esta hoja compara MATERIA con PVP sin IVA, que es la definición del sector. La mano de obra no entra en el food cost: entra en el coste total y se le come el margen. Por eso una referencia puede tener un food cost estupendo y dejarte menos dinero que otra peor: mira siempre las dos columnas juntas.</t>
        </is>
      </c>
    </row>
    <row r="39" ht="44" customHeight="1">
      <c r="A39" s="21" t="inlineStr">
        <is>
          <t>El margen bruto de la columna P es uno menos el food cost, calculado, no tecleado. Es la misma regla dicha del revés, y por eso el libro no te pide los dos números en ningún sitio.</t>
        </is>
      </c>
    </row>
    <row r="40" ht="44" customHeight="1">
      <c r="A40" s="21" t="inlineStr">
        <is>
          <t>La columna R es la que duele: en las referencias de más trabajo la mano de obra es más de la mitad del coste. Ahí no se gana bajando el precio de la harina, se gana cambiando el proceso o el precio.</t>
        </is>
      </c>
    </row>
    <row r="41" ht="44" customHeight="1">
      <c r="A41" s="21" t="inlineStr">
        <is>
          <t>Las celdas en rojo del food cost son las que se pasan de tu objetivo de «Parámetros»; las del margen, las que no dejan dinero. Lo que hacer con ellas está en la hoja «Decisión de Surtido».</t>
        </is>
      </c>
    </row>
    <row r="42"/>
    <row r="43">
      <c r="A43" s="7"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4">
    <mergeCell ref="A41:S41"/>
    <mergeCell ref="A38:S38"/>
    <mergeCell ref="A40:S40"/>
    <mergeCell ref="A39:S39"/>
  </mergeCells>
  <conditionalFormatting sqref="O6:O35">
    <cfRule type="expression" priority="1" dxfId="0" stopIfTrue="1">
      <formula>=AND(ISNUMBER($O6),$O6&gt;'Parámetros'!$B$24)</formula>
    </cfRule>
  </conditionalFormatting>
  <conditionalFormatting sqref="Q6:Q35">
    <cfRule type="expression" priority="2" dxfId="0" stopIfTrue="1">
      <formula>=AND(ISNUMBER($Q6),$Q6&lt;=0)</formula>
    </cfRule>
  </conditionalFormatting>
  <dataValidations count="2">
    <dataValidation sqref="M6 M7 M8 M9 M10 M11 M12 M13 M14 M15 M16 M17 M18 M19 M20 M21 M22 M23 M24 M25 M26 M27 M28 M29 M30 M31 M32 M33 M34 M35" showDropDown="0" showInputMessage="1" showErrorMessage="1" allowBlank="1" errorTitle="Tipo de IVA" error="Escribe un porcentaje entre 0 y 1 (0,20 = 20 %)." promptTitle="Tipo de IVA" prompt="Se escribe en tanto por uno: 0,10 = 10 %." type="decimal" operator="between">
      <formula1>0</formula1>
      <formula2>1.0</formula2>
    </dataValidation>
    <dataValidation sqref="E6 E7 E8 E9 E10 E11 E12 E13 E14 E15 E16 E17 E18 E19 E20 E21 E22 E23 E24 E25 E26 E27 E28 E29 E30 E31 E32 E33 E34 E35" showDropDown="0" showInputMessage="0" showErrorMessage="1" allowBlank="1" errorTitle="Minutos por tanda" error="Escribe los minutos de mano de obra de la tanda entera (1 a 1.440)." type="decimal" operator="between">
      <formula1>1</formula1>
      <formula2>1440</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O64"/>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28" customWidth="1" min="2" max="2"/>
    <col width="19" customWidth="1" min="3" max="3"/>
    <col width="22" customWidth="1" min="4" max="4"/>
    <col width="10" customWidth="1" min="5" max="5"/>
    <col width="12" customWidth="1" min="6" max="6"/>
    <col width="11" customWidth="1" min="7" max="7"/>
    <col width="11" customWidth="1" min="8" max="8"/>
    <col width="12" customWidth="1" min="9" max="9"/>
    <col width="52" customWidth="1" min="10" max="10"/>
    <col width="12" customWidth="1" min="11" max="11"/>
    <col width="13" customWidth="1" min="12" max="12"/>
    <col width="14" customWidth="1" min="13" max="13"/>
    <col width="62" customWidth="1" min="14" max="14"/>
    <col width="34" customWidth="1" min="15" max="15"/>
  </cols>
  <sheetData>
    <row r="1">
      <c r="A1" s="1" t="inlineStr">
        <is>
          <t>Decisión de Huevo y Temperatura</t>
        </is>
      </c>
    </row>
    <row r="2">
      <c r="A2" s="2" t="inlineStr">
        <is>
          <t>AI Chef Pro · aichef.pro — Cómo Montar una Pastelería</t>
        </is>
      </c>
    </row>
    <row r="3">
      <c r="A3" s="3" t="inlineStr">
        <is>
          <t>Dos salidas separadas, cada una con su artículo: la TEMPERATURA (el más bajo de los techos que apliquen) y el PLAZO legal del art. 9.3. La vida útil la declaras tú.</t>
        </is>
      </c>
    </row>
    <row r="4"/>
    <row r="5" ht="42" customHeight="1">
      <c r="A5" s="8" t="inlineStr">
        <is>
          <t>Ref</t>
        </is>
      </c>
      <c r="B5" s="8" t="inlineStr">
        <is>
          <t>Referencia</t>
        </is>
      </c>
      <c r="C5" s="8" t="inlineStr">
        <is>
          <t>Familia</t>
        </is>
      </c>
      <c r="D5" s="8" t="inlineStr">
        <is>
          <t>Vía legal del huevo</t>
        </is>
      </c>
      <c r="E5" s="8" t="inlineStr">
        <is>
          <t>¿Producto relleno?</t>
        </is>
      </c>
      <c r="F5" s="8" t="inlineStr">
        <is>
          <t>¿Estable a temperatura ambiente?</t>
        </is>
      </c>
      <c r="G5" s="8" t="inlineStr">
        <is>
          <t>Techo del art. 4.1 fila 9 (°C)</t>
        </is>
      </c>
      <c r="H5" s="8" t="inlineStr">
        <is>
          <t>Techo del art. 9.3 (°C)</t>
        </is>
      </c>
      <c r="I5" s="8" t="inlineStr">
        <is>
          <t>Temperatura de conservación (°C)</t>
        </is>
      </c>
      <c r="J5" s="8" t="inlineStr">
        <is>
          <t>Cuál manda</t>
        </is>
      </c>
      <c r="K5" s="8" t="inlineStr">
        <is>
          <t>Plazo legal (art. 9.3)</t>
        </is>
      </c>
      <c r="L5" s="8" t="inlineStr">
        <is>
          <t>Vida útil declarada por ti (días)</t>
        </is>
      </c>
      <c r="M5" s="8" t="inlineStr">
        <is>
          <t>Dónde va en el mostrador</t>
        </is>
      </c>
      <c r="N5" s="8" t="inlineStr">
        <is>
          <t>Qué dice esa vía</t>
        </is>
      </c>
      <c r="O5" s="8" t="inlineStr">
        <is>
          <t>Coherencia D / F</t>
        </is>
      </c>
    </row>
    <row r="6" ht="40" customHeight="1">
      <c r="A6" t="inlineStr">
        <is>
          <t>B1</t>
        </is>
      </c>
      <c r="B6" t="inlineStr">
        <is>
          <t>Croissant de mantequilla</t>
        </is>
      </c>
      <c r="C6" t="inlineStr">
        <is>
          <t>Bollería</t>
        </is>
      </c>
      <c r="D6" s="6" t="inlineStr">
        <is>
          <t>estable a ambiente</t>
        </is>
      </c>
      <c r="E6" s="6" t="inlineStr">
        <is>
          <t>No</t>
        </is>
      </c>
      <c r="F6" s="6" t="inlineStr">
        <is>
          <t>Sí</t>
        </is>
      </c>
      <c r="G6" s="24">
        <f>IF(AND($E6="Sí",$F6="No"),'Parámetros'!$B$28,"")</f>
        <v/>
      </c>
      <c r="H6" s="24">
        <f>IF(AND(OR($D6="70/2",$D6="ovoproducto"),$F6="No"),'Parámetros'!$B$29,"")</f>
        <v/>
      </c>
      <c r="I6" s="24">
        <f>IF(AND(G6="",H6=""),"",IF(G6="",H6,IF(H6="",G6,MIN(G6,H6))))</f>
        <v/>
      </c>
      <c r="J6" s="28" t="str">
        <f>IF(AND(G6="",H6=""),"Ni la fila 9 del art. 4.1 ni el art. 9.3 le fijan techo: vitrina de ambiente.",IF(AND(G6&lt;&gt;"",H6&lt;&gt;""),"Le aplican los DOS techos y manda el más bajo, el de la fila 9 del art. 4.1. No es un conflicto: son dos topes distintos.",IF(G6&lt;&gt;"","Manda la fila 9 del art. 4.1: producto de pastelería relleno que no es estable a temperatura ambiente.","Manda el art. 9.3: elaborado por la vía del art. 9.1.a) sin ser estable, o con ovoproducto del art. 9.2.")))</f>
        <v>Ni la fila 9 del art. 4.1 ni el art. 9.3 le fijan techo: vitrina de ambiente.</v>
      </c>
      <c r="K6" s="24" t="str">
        <f>IF(AND(OR($D6="70/2",$D6="ovoproducto"),$F6="No"),'Parámetros'!$B$30,"No aplica")</f>
        <v>No aplica</v>
      </c>
      <c r="L6" s="6" t="inlineStr">
        <is>
          <t>Por declarar en tu APPCC</t>
        </is>
      </c>
      <c r="M6" t="str">
        <f>IF(I6="","Vitrina de ambiente","Vitrina refrigerada")</f>
        <v>Vitrina de ambiente</v>
      </c>
      <c r="N6" s="12" t="inlineStr">
        <is>
          <t>Vía 1.a) y el producto terminado ES estable a temperatura ambiente: el art. 9.3 no le fija ni temperatura ni plazo, y la fila 9 del art. 4.1 lo exceptúa aunque vaya relleno.</t>
        </is>
      </c>
      <c r="O6" s="28">
        <f>IF(AND($D6="estable a ambiente",$F6="No"),"Incoherente: has elegido la vía de producto estable y luego has dicho que no lo es","")</f>
        <v/>
      </c>
    </row>
    <row r="7" ht="40" customHeight="1">
      <c r="A7" t="inlineStr">
        <is>
          <t>B2</t>
        </is>
      </c>
      <c r="B7" t="inlineStr">
        <is>
          <t>Pain au chocolat</t>
        </is>
      </c>
      <c r="C7" t="inlineStr">
        <is>
          <t>Bollería</t>
        </is>
      </c>
      <c r="D7" s="6" t="inlineStr">
        <is>
          <t>estable a ambiente</t>
        </is>
      </c>
      <c r="E7" s="6" t="inlineStr">
        <is>
          <t>No</t>
        </is>
      </c>
      <c r="F7" s="6" t="inlineStr">
        <is>
          <t>Sí</t>
        </is>
      </c>
      <c r="G7" s="24">
        <f>IF(AND($E7="Sí",$F7="No"),'Parámetros'!$B$28,"")</f>
        <v/>
      </c>
      <c r="H7" s="24">
        <f>IF(AND(OR($D7="70/2",$D7="ovoproducto"),$F7="No"),'Parámetros'!$B$29,"")</f>
        <v/>
      </c>
      <c r="I7" s="24">
        <f>IF(AND(G7="",H7=""),"",IF(G7="",H7,IF(H7="",G7,MIN(G7,H7))))</f>
        <v/>
      </c>
      <c r="J7" s="28" t="str">
        <f>IF(AND(G7="",H7=""),"Ni la fila 9 del art. 4.1 ni el art. 9.3 le fijan techo: vitrina de ambiente.",IF(AND(G7&lt;&gt;"",H7&lt;&gt;""),"Le aplican los DOS techos y manda el más bajo, el de la fila 9 del art. 4.1. No es un conflicto: son dos topes distintos.",IF(G7&lt;&gt;"","Manda la fila 9 del art. 4.1: producto de pastelería relleno que no es estable a temperatura ambiente.","Manda el art. 9.3: elaborado por la vía del art. 9.1.a) sin ser estable, o con ovoproducto del art. 9.2.")))</f>
        <v>Ni la fila 9 del art. 4.1 ni el art. 9.3 le fijan techo: vitrina de ambiente.</v>
      </c>
      <c r="K7" s="24" t="str">
        <f>IF(AND(OR($D7="70/2",$D7="ovoproducto"),$F7="No"),'Parámetros'!$B$30,"No aplica")</f>
        <v>No aplica</v>
      </c>
      <c r="L7" s="6" t="inlineStr">
        <is>
          <t>Por declarar en tu APPCC</t>
        </is>
      </c>
      <c r="M7" t="str">
        <f>IF(I7="","Vitrina de ambiente","Vitrina refrigerada")</f>
        <v>Vitrina de ambiente</v>
      </c>
      <c r="N7" s="12" t="inlineStr">
        <is>
          <t>Vía 1.a) y el producto terminado ES estable a temperatura ambiente: el art. 9.3 no le fija ni temperatura ni plazo, y la fila 9 del art. 4.1 lo exceptúa aunque vaya relleno.</t>
        </is>
      </c>
      <c r="O7" s="28">
        <f>IF(AND($D7="estable a ambiente",$F7="No"),"Incoherente: has elegido la vía de producto estable y luego has dicho que no lo es","")</f>
        <v/>
      </c>
    </row>
    <row r="8" ht="40" customHeight="1">
      <c r="A8" t="inlineStr">
        <is>
          <t>B3</t>
        </is>
      </c>
      <c r="B8" t="inlineStr">
        <is>
          <t>Napolitana de crema</t>
        </is>
      </c>
      <c r="C8" t="inlineStr">
        <is>
          <t>Bollería</t>
        </is>
      </c>
      <c r="D8" s="6" t="inlineStr">
        <is>
          <t>70/2</t>
        </is>
      </c>
      <c r="E8" s="6" t="inlineStr">
        <is>
          <t>Sí</t>
        </is>
      </c>
      <c r="F8" s="6" t="inlineStr">
        <is>
          <t>No</t>
        </is>
      </c>
      <c r="G8" s="24">
        <f>IF(AND($E8="Sí",$F8="No"),'Parámetros'!$B$28,"")</f>
        <v>4.0</v>
      </c>
      <c r="H8" s="24">
        <f>IF(AND(OR($D8="70/2",$D8="ovoproducto"),$F8="No"),'Parámetros'!$B$29,"")</f>
        <v>8.0</v>
      </c>
      <c r="I8" s="24">
        <f>IF(AND(G8="",H8=""),"",IF(G8="",H8,IF(H8="",G8,MIN(G8,H8))))</f>
        <v>4.0</v>
      </c>
      <c r="J8" s="28" t="str">
        <f>IF(AND(G8="",H8=""),"Ni la fila 9 del art. 4.1 ni el art. 9.3 le fijan techo: vitrina de ambiente.",IF(AND(G8&lt;&gt;"",H8&lt;&gt;""),"Le aplican los DOS techos y manda el más bajo, el de la fila 9 del art. 4.1. No es un conflicto: son dos topes distintos.",IF(G8&lt;&gt;"","Manda la fila 9 del art. 4.1: producto de pastelería relleno que no es estable a temperatura ambiente.","Manda el art. 9.3: elaborado por la vía del art. 9.1.a) sin ser estable, o con ovoproducto del art. 9.2.")))</f>
        <v>Le aplican los DOS techos y manda el más bajo, el de la fila 9 del art. 4.1. No es un conflicto: son dos topes distintos.</v>
      </c>
      <c r="K8" s="24">
        <f>IF(AND(OR($D8="70/2",$D8="ovoproducto"),$F8="No"),'Parámetros'!$B$30,"No aplica")</f>
        <v>24.0</v>
      </c>
      <c r="L8" s="6" t="inlineStr">
        <is>
          <t>Por declarar en tu APPCC</t>
        </is>
      </c>
      <c r="M8" t="str">
        <f>IF(I8="","Vitrina de ambiente","Vitrina refrigerada")</f>
        <v>Vitrina refrigerada</v>
      </c>
      <c r="N8" s="12" t="inlineStr">
        <is>
          <t>Tratamiento térmico de 70 °C durante 2 s en el centro del producto, o cualquier combinación equivalente (art. 9.1.a).</t>
        </is>
      </c>
      <c r="O8" s="28">
        <f>IF(AND($D8="estable a ambiente",$F8="No"),"Incoherente: has elegido la vía de producto estable y luego has dicho que no lo es","")</f>
        <v/>
      </c>
    </row>
    <row r="9" ht="40" customHeight="1">
      <c r="A9" t="inlineStr">
        <is>
          <t>B4</t>
        </is>
      </c>
      <c r="B9" t="inlineStr">
        <is>
          <t>Palmera de hojaldre</t>
        </is>
      </c>
      <c r="C9" t="inlineStr">
        <is>
          <t>Bollería</t>
        </is>
      </c>
      <c r="D9" s="6" t="inlineStr">
        <is>
          <t>sin huevo</t>
        </is>
      </c>
      <c r="E9" s="6" t="inlineStr">
        <is>
          <t>No</t>
        </is>
      </c>
      <c r="F9" s="6" t="inlineStr">
        <is>
          <t>Sí</t>
        </is>
      </c>
      <c r="G9" s="24">
        <f>IF(AND($E9="Sí",$F9="No"),'Parámetros'!$B$28,"")</f>
        <v/>
      </c>
      <c r="H9" s="24">
        <f>IF(AND(OR($D9="70/2",$D9="ovoproducto"),$F9="No"),'Parámetros'!$B$29,"")</f>
        <v/>
      </c>
      <c r="I9" s="24">
        <f>IF(AND(G9="",H9=""),"",IF(G9="",H9,IF(H9="",G9,MIN(G9,H9))))</f>
        <v/>
      </c>
      <c r="J9" s="28" t="str">
        <f>IF(AND(G9="",H9=""),"Ni la fila 9 del art. 4.1 ni el art. 9.3 le fijan techo: vitrina de ambiente.",IF(AND(G9&lt;&gt;"",H9&lt;&gt;""),"Le aplican los DOS techos y manda el más bajo, el de la fila 9 del art. 4.1. No es un conflicto: son dos topes distintos.",IF(G9&lt;&gt;"","Manda la fila 9 del art. 4.1: producto de pastelería relleno que no es estable a temperatura ambiente.","Manda el art. 9.3: elaborado por la vía del art. 9.1.a) sin ser estable, o con ovoproducto del art. 9.2.")))</f>
        <v>Ni la fila 9 del art. 4.1 ni el art. 9.3 le fijan techo: vitrina de ambiente.</v>
      </c>
      <c r="K9" s="24" t="str">
        <f>IF(AND(OR($D9="70/2",$D9="ovoproducto"),$F9="No"),'Parámetros'!$B$30,"No aplica")</f>
        <v>No aplica</v>
      </c>
      <c r="L9" s="6" t="inlineStr">
        <is>
          <t>Por declarar en tu APPCC</t>
        </is>
      </c>
      <c r="M9" t="str">
        <f>IF(I9="","Vitrina de ambiente","Vitrina refrigerada")</f>
        <v>Vitrina de ambiente</v>
      </c>
      <c r="N9" s="12" t="inlineStr">
        <is>
          <t>La elaboración no lleva huevo en ninguna forma: el art. 9 no le aplica.</t>
        </is>
      </c>
      <c r="O9" s="28">
        <f>IF(AND($D9="estable a ambiente",$F9="No"),"Incoherente: has elegido la vía de producto estable y luego has dicho que no lo es","")</f>
        <v/>
      </c>
    </row>
    <row r="10" ht="40" customHeight="1">
      <c r="A10" t="inlineStr">
        <is>
          <t>B5</t>
        </is>
      </c>
      <c r="B10" t="inlineStr">
        <is>
          <t>Caracola de pasas</t>
        </is>
      </c>
      <c r="C10" t="inlineStr">
        <is>
          <t>Bollería</t>
        </is>
      </c>
      <c r="D10" s="6" t="inlineStr">
        <is>
          <t>70/2</t>
        </is>
      </c>
      <c r="E10" s="6" t="inlineStr">
        <is>
          <t>Sí</t>
        </is>
      </c>
      <c r="F10" s="6" t="inlineStr">
        <is>
          <t>No</t>
        </is>
      </c>
      <c r="G10" s="24">
        <f>IF(AND($E10="Sí",$F10="No"),'Parámetros'!$B$28,"")</f>
        <v>4.0</v>
      </c>
      <c r="H10" s="24">
        <f>IF(AND(OR($D10="70/2",$D10="ovoproducto"),$F10="No"),'Parámetros'!$B$29,"")</f>
        <v>8.0</v>
      </c>
      <c r="I10" s="24">
        <f>IF(AND(G10="",H10=""),"",IF(G10="",H10,IF(H10="",G10,MIN(G10,H10))))</f>
        <v>4.0</v>
      </c>
      <c r="J10" s="28" t="str">
        <f>IF(AND(G10="",H10=""),"Ni la fila 9 del art. 4.1 ni el art. 9.3 le fijan techo: vitrina de ambiente.",IF(AND(G10&lt;&gt;"",H10&lt;&gt;""),"Le aplican los DOS techos y manda el más bajo, el de la fila 9 del art. 4.1. No es un conflicto: son dos topes distintos.",IF(G10&lt;&gt;"","Manda la fila 9 del art. 4.1: producto de pastelería relleno que no es estable a temperatura ambiente.","Manda el art. 9.3: elaborado por la vía del art. 9.1.a) sin ser estable, o con ovoproducto del art. 9.2.")))</f>
        <v>Le aplican los DOS techos y manda el más bajo, el de la fila 9 del art. 4.1. No es un conflicto: son dos topes distintos.</v>
      </c>
      <c r="K10" s="24">
        <f>IF(AND(OR($D10="70/2",$D10="ovoproducto"),$F10="No"),'Parámetros'!$B$30,"No aplica")</f>
        <v>24.0</v>
      </c>
      <c r="L10" s="6" t="inlineStr">
        <is>
          <t>Por declarar en tu APPCC</t>
        </is>
      </c>
      <c r="M10" t="str">
        <f>IF(I10="","Vitrina de ambiente","Vitrina refrigerada")</f>
        <v>Vitrina refrigerada</v>
      </c>
      <c r="N10" s="12" t="inlineStr">
        <is>
          <t>Tratamiento térmico de 70 °C durante 2 s en el centro del producto, o cualquier combinación equivalente (art. 9.1.a).</t>
        </is>
      </c>
      <c r="O10" s="28">
        <f>IF(AND($D10="estable a ambiente",$F10="No"),"Incoherente: has elegido la vía de producto estable y luego has dicho que no lo es","")</f>
        <v/>
      </c>
    </row>
    <row r="11" ht="40" customHeight="1">
      <c r="A11" t="inlineStr">
        <is>
          <t>B6</t>
        </is>
      </c>
      <c r="B11" t="inlineStr">
        <is>
          <t>Ensaimada</t>
        </is>
      </c>
      <c r="C11" t="inlineStr">
        <is>
          <t>Bollería</t>
        </is>
      </c>
      <c r="D11" s="6" t="inlineStr">
        <is>
          <t>estable a ambiente</t>
        </is>
      </c>
      <c r="E11" s="6" t="inlineStr">
        <is>
          <t>No</t>
        </is>
      </c>
      <c r="F11" s="6" t="inlineStr">
        <is>
          <t>Sí</t>
        </is>
      </c>
      <c r="G11" s="24">
        <f>IF(AND($E11="Sí",$F11="No"),'Parámetros'!$B$28,"")</f>
        <v/>
      </c>
      <c r="H11" s="24">
        <f>IF(AND(OR($D11="70/2",$D11="ovoproducto"),$F11="No"),'Parámetros'!$B$29,"")</f>
        <v/>
      </c>
      <c r="I11" s="24">
        <f>IF(AND(G11="",H11=""),"",IF(G11="",H11,IF(H11="",G11,MIN(G11,H11))))</f>
        <v/>
      </c>
      <c r="J11" s="28" t="str">
        <f>IF(AND(G11="",H11=""),"Ni la fila 9 del art. 4.1 ni el art. 9.3 le fijan techo: vitrina de ambiente.",IF(AND(G11&lt;&gt;"",H11&lt;&gt;""),"Le aplican los DOS techos y manda el más bajo, el de la fila 9 del art. 4.1. No es un conflicto: son dos topes distintos.",IF(G11&lt;&gt;"","Manda la fila 9 del art. 4.1: producto de pastelería relleno que no es estable a temperatura ambiente.","Manda el art. 9.3: elaborado por la vía del art. 9.1.a) sin ser estable, o con ovoproducto del art. 9.2.")))</f>
        <v>Ni la fila 9 del art. 4.1 ni el art. 9.3 le fijan techo: vitrina de ambiente.</v>
      </c>
      <c r="K11" s="24" t="str">
        <f>IF(AND(OR($D11="70/2",$D11="ovoproducto"),$F11="No"),'Parámetros'!$B$30,"No aplica")</f>
        <v>No aplica</v>
      </c>
      <c r="L11" s="6" t="inlineStr">
        <is>
          <t>Por declarar en tu APPCC</t>
        </is>
      </c>
      <c r="M11" t="str">
        <f>IF(I11="","Vitrina de ambiente","Vitrina refrigerada")</f>
        <v>Vitrina de ambiente</v>
      </c>
      <c r="N11" s="12" t="inlineStr">
        <is>
          <t>Vía 1.a) y el producto terminado ES estable a temperatura ambiente: el art. 9.3 no le fija ni temperatura ni plazo, y la fila 9 del art. 4.1 lo exceptúa aunque vaya relleno.</t>
        </is>
      </c>
      <c r="O11" s="28">
        <f>IF(AND($D11="estable a ambiente",$F11="No"),"Incoherente: has elegido la vía de producto estable y luego has dicho que no lo es","")</f>
        <v/>
      </c>
    </row>
    <row r="12" ht="40" customHeight="1">
      <c r="A12" t="inlineStr">
        <is>
          <t>PI1</t>
        </is>
      </c>
      <c r="B12" t="inlineStr">
        <is>
          <t>Milhojas</t>
        </is>
      </c>
      <c r="C12" t="inlineStr">
        <is>
          <t>Pastelería individual</t>
        </is>
      </c>
      <c r="D12" s="6" t="inlineStr">
        <is>
          <t>70/2</t>
        </is>
      </c>
      <c r="E12" s="6" t="inlineStr">
        <is>
          <t>Sí</t>
        </is>
      </c>
      <c r="F12" s="6" t="inlineStr">
        <is>
          <t>No</t>
        </is>
      </c>
      <c r="G12" s="24">
        <f>IF(AND($E12="Sí",$F12="No"),'Parámetros'!$B$28,"")</f>
        <v>4.0</v>
      </c>
      <c r="H12" s="24">
        <f>IF(AND(OR($D12="70/2",$D12="ovoproducto"),$F12="No"),'Parámetros'!$B$29,"")</f>
        <v>8.0</v>
      </c>
      <c r="I12" s="24">
        <f>IF(AND(G12="",H12=""),"",IF(G12="",H12,IF(H12="",G12,MIN(G12,H12))))</f>
        <v>4.0</v>
      </c>
      <c r="J12" s="28" t="str">
        <f>IF(AND(G12="",H12=""),"Ni la fila 9 del art. 4.1 ni el art. 9.3 le fijan techo: vitrina de ambiente.",IF(AND(G12&lt;&gt;"",H12&lt;&gt;""),"Le aplican los DOS techos y manda el más bajo, el de la fila 9 del art. 4.1. No es un conflicto: son dos topes distintos.",IF(G12&lt;&gt;"","Manda la fila 9 del art. 4.1: producto de pastelería relleno que no es estable a temperatura ambiente.","Manda el art. 9.3: elaborado por la vía del art. 9.1.a) sin ser estable, o con ovoproducto del art. 9.2.")))</f>
        <v>Le aplican los DOS techos y manda el más bajo, el de la fila 9 del art. 4.1. No es un conflicto: son dos topes distintos.</v>
      </c>
      <c r="K12" s="24">
        <f>IF(AND(OR($D12="70/2",$D12="ovoproducto"),$F12="No"),'Parámetros'!$B$30,"No aplica")</f>
        <v>24.0</v>
      </c>
      <c r="L12" s="6" t="inlineStr">
        <is>
          <t>Por declarar en tu APPCC</t>
        </is>
      </c>
      <c r="M12" t="str">
        <f>IF(I12="","Vitrina de ambiente","Vitrina refrigerada")</f>
        <v>Vitrina refrigerada</v>
      </c>
      <c r="N12" s="12" t="inlineStr">
        <is>
          <t>Tratamiento térmico de 70 °C durante 2 s en el centro del producto, o cualquier combinación equivalente (art. 9.1.a).</t>
        </is>
      </c>
      <c r="O12" s="28">
        <f>IF(AND($D12="estable a ambiente",$F12="No"),"Incoherente: has elegido la vía de producto estable y luego has dicho que no lo es","")</f>
        <v/>
      </c>
    </row>
    <row r="13" ht="40" customHeight="1">
      <c r="A13" t="inlineStr">
        <is>
          <t>PI2</t>
        </is>
      </c>
      <c r="B13" t="inlineStr">
        <is>
          <t>Éclair</t>
        </is>
      </c>
      <c r="C13" t="inlineStr">
        <is>
          <t>Pastelería individual</t>
        </is>
      </c>
      <c r="D13" s="6" t="inlineStr">
        <is>
          <t>70/2</t>
        </is>
      </c>
      <c r="E13" s="6" t="inlineStr">
        <is>
          <t>Sí</t>
        </is>
      </c>
      <c r="F13" s="6" t="inlineStr">
        <is>
          <t>No</t>
        </is>
      </c>
      <c r="G13" s="24">
        <f>IF(AND($E13="Sí",$F13="No"),'Parámetros'!$B$28,"")</f>
        <v>4.0</v>
      </c>
      <c r="H13" s="24">
        <f>IF(AND(OR($D13="70/2",$D13="ovoproducto"),$F13="No"),'Parámetros'!$B$29,"")</f>
        <v>8.0</v>
      </c>
      <c r="I13" s="24">
        <f>IF(AND(G13="",H13=""),"",IF(G13="",H13,IF(H13="",G13,MIN(G13,H13))))</f>
        <v>4.0</v>
      </c>
      <c r="J13" s="28" t="str">
        <f>IF(AND(G13="",H13=""),"Ni la fila 9 del art. 4.1 ni el art. 9.3 le fijan techo: vitrina de ambiente.",IF(AND(G13&lt;&gt;"",H13&lt;&gt;""),"Le aplican los DOS techos y manda el más bajo, el de la fila 9 del art. 4.1. No es un conflicto: son dos topes distintos.",IF(G13&lt;&gt;"","Manda la fila 9 del art. 4.1: producto de pastelería relleno que no es estable a temperatura ambiente.","Manda el art. 9.3: elaborado por la vía del art. 9.1.a) sin ser estable, o con ovoproducto del art. 9.2.")))</f>
        <v>Le aplican los DOS techos y manda el más bajo, el de la fila 9 del art. 4.1. No es un conflicto: son dos topes distintos.</v>
      </c>
      <c r="K13" s="24">
        <f>IF(AND(OR($D13="70/2",$D13="ovoproducto"),$F13="No"),'Parámetros'!$B$30,"No aplica")</f>
        <v>24.0</v>
      </c>
      <c r="L13" s="6" t="inlineStr">
        <is>
          <t>Por declarar en tu APPCC</t>
        </is>
      </c>
      <c r="M13" t="str">
        <f>IF(I13="","Vitrina de ambiente","Vitrina refrigerada")</f>
        <v>Vitrina refrigerada</v>
      </c>
      <c r="N13" s="12" t="inlineStr">
        <is>
          <t>Tratamiento térmico de 70 °C durante 2 s en el centro del producto, o cualquier combinación equivalente (art. 9.1.a).</t>
        </is>
      </c>
      <c r="O13" s="28">
        <f>IF(AND($D13="estable a ambiente",$F13="No"),"Incoherente: has elegido la vía de producto estable y luego has dicho que no lo es","")</f>
        <v/>
      </c>
    </row>
    <row r="14" ht="40" customHeight="1">
      <c r="A14" t="inlineStr">
        <is>
          <t>PI3</t>
        </is>
      </c>
      <c r="B14" t="inlineStr">
        <is>
          <t>Macarons de frambuesa</t>
        </is>
      </c>
      <c r="C14" t="inlineStr">
        <is>
          <t>Pastelería individual</t>
        </is>
      </c>
      <c r="D14" s="6" t="inlineStr">
        <is>
          <t>70/2</t>
        </is>
      </c>
      <c r="E14" s="6" t="inlineStr">
        <is>
          <t>Sí</t>
        </is>
      </c>
      <c r="F14" s="6" t="inlineStr">
        <is>
          <t>No</t>
        </is>
      </c>
      <c r="G14" s="24">
        <f>IF(AND($E14="Sí",$F14="No"),'Parámetros'!$B$28,"")</f>
        <v>4.0</v>
      </c>
      <c r="H14" s="24">
        <f>IF(AND(OR($D14="70/2",$D14="ovoproducto"),$F14="No"),'Parámetros'!$B$29,"")</f>
        <v>8.0</v>
      </c>
      <c r="I14" s="24">
        <f>IF(AND(G14="",H14=""),"",IF(G14="",H14,IF(H14="",G14,MIN(G14,H14))))</f>
        <v>4.0</v>
      </c>
      <c r="J14" s="28" t="str">
        <f>IF(AND(G14="",H14=""),"Ni la fila 9 del art. 4.1 ni el art. 9.3 le fijan techo: vitrina de ambiente.",IF(AND(G14&lt;&gt;"",H14&lt;&gt;""),"Le aplican los DOS techos y manda el más bajo, el de la fila 9 del art. 4.1. No es un conflicto: son dos topes distintos.",IF(G14&lt;&gt;"","Manda la fila 9 del art. 4.1: producto de pastelería relleno que no es estable a temperatura ambiente.","Manda el art. 9.3: elaborado por la vía del art. 9.1.a) sin ser estable, o con ovoproducto del art. 9.2.")))</f>
        <v>Le aplican los DOS techos y manda el más bajo, el de la fila 9 del art. 4.1. No es un conflicto: son dos topes distintos.</v>
      </c>
      <c r="K14" s="24">
        <f>IF(AND(OR($D14="70/2",$D14="ovoproducto"),$F14="No"),'Parámetros'!$B$30,"No aplica")</f>
        <v>24.0</v>
      </c>
      <c r="L14" s="6" t="inlineStr">
        <is>
          <t>Por declarar en tu APPCC</t>
        </is>
      </c>
      <c r="M14" t="str">
        <f>IF(I14="","Vitrina de ambiente","Vitrina refrigerada")</f>
        <v>Vitrina refrigerada</v>
      </c>
      <c r="N14" s="12" t="inlineStr">
        <is>
          <t>Tratamiento térmico de 70 °C durante 2 s en el centro del producto, o cualquier combinación equivalente (art. 9.1.a).</t>
        </is>
      </c>
      <c r="O14" s="28">
        <f>IF(AND($D14="estable a ambiente",$F14="No"),"Incoherente: has elegido la vía de producto estable y luego has dicho que no lo es","")</f>
        <v/>
      </c>
    </row>
    <row r="15" ht="40" customHeight="1">
      <c r="A15" t="inlineStr">
        <is>
          <t>PI4</t>
        </is>
      </c>
      <c r="B15" t="inlineStr">
        <is>
          <t>Tartaleta de frutas</t>
        </is>
      </c>
      <c r="C15" t="inlineStr">
        <is>
          <t>Pastelería individual</t>
        </is>
      </c>
      <c r="D15" s="6" t="inlineStr">
        <is>
          <t>70/2</t>
        </is>
      </c>
      <c r="E15" s="6" t="inlineStr">
        <is>
          <t>Sí</t>
        </is>
      </c>
      <c r="F15" s="6" t="inlineStr">
        <is>
          <t>No</t>
        </is>
      </c>
      <c r="G15" s="24">
        <f>IF(AND($E15="Sí",$F15="No"),'Parámetros'!$B$28,"")</f>
        <v>4.0</v>
      </c>
      <c r="H15" s="24">
        <f>IF(AND(OR($D15="70/2",$D15="ovoproducto"),$F15="No"),'Parámetros'!$B$29,"")</f>
        <v>8.0</v>
      </c>
      <c r="I15" s="24">
        <f>IF(AND(G15="",H15=""),"",IF(G15="",H15,IF(H15="",G15,MIN(G15,H15))))</f>
        <v>4.0</v>
      </c>
      <c r="J15" s="28" t="str">
        <f>IF(AND(G15="",H15=""),"Ni la fila 9 del art. 4.1 ni el art. 9.3 le fijan techo: vitrina de ambiente.",IF(AND(G15&lt;&gt;"",H15&lt;&gt;""),"Le aplican los DOS techos y manda el más bajo, el de la fila 9 del art. 4.1. No es un conflicto: son dos topes distintos.",IF(G15&lt;&gt;"","Manda la fila 9 del art. 4.1: producto de pastelería relleno que no es estable a temperatura ambiente.","Manda el art. 9.3: elaborado por la vía del art. 9.1.a) sin ser estable, o con ovoproducto del art. 9.2.")))</f>
        <v>Le aplican los DOS techos y manda el más bajo, el de la fila 9 del art. 4.1. No es un conflicto: son dos topes distintos.</v>
      </c>
      <c r="K15" s="24">
        <f>IF(AND(OR($D15="70/2",$D15="ovoproducto"),$F15="No"),'Parámetros'!$B$30,"No aplica")</f>
        <v>24.0</v>
      </c>
      <c r="L15" s="6" t="inlineStr">
        <is>
          <t>Por declarar en tu APPCC</t>
        </is>
      </c>
      <c r="M15" t="str">
        <f>IF(I15="","Vitrina de ambiente","Vitrina refrigerada")</f>
        <v>Vitrina refrigerada</v>
      </c>
      <c r="N15" s="12" t="inlineStr">
        <is>
          <t>Tratamiento térmico de 70 °C durante 2 s en el centro del producto, o cualquier combinación equivalente (art. 9.1.a).</t>
        </is>
      </c>
      <c r="O15" s="28">
        <f>IF(AND($D15="estable a ambiente",$F15="No"),"Incoherente: has elegido la vía de producto estable y luego has dicho que no lo es","")</f>
        <v/>
      </c>
    </row>
    <row r="16" ht="40" customHeight="1">
      <c r="A16" t="inlineStr">
        <is>
          <t>PI5</t>
        </is>
      </c>
      <c r="B16" t="inlineStr">
        <is>
          <t>Lionesa o profiterol</t>
        </is>
      </c>
      <c r="C16" t="inlineStr">
        <is>
          <t>Pastelería individual</t>
        </is>
      </c>
      <c r="D16" s="6" t="inlineStr">
        <is>
          <t>70/2</t>
        </is>
      </c>
      <c r="E16" s="6" t="inlineStr">
        <is>
          <t>Sí</t>
        </is>
      </c>
      <c r="F16" s="6" t="inlineStr">
        <is>
          <t>No</t>
        </is>
      </c>
      <c r="G16" s="24">
        <f>IF(AND($E16="Sí",$F16="No"),'Parámetros'!$B$28,"")</f>
        <v>4.0</v>
      </c>
      <c r="H16" s="24">
        <f>IF(AND(OR($D16="70/2",$D16="ovoproducto"),$F16="No"),'Parámetros'!$B$29,"")</f>
        <v>8.0</v>
      </c>
      <c r="I16" s="24">
        <f>IF(AND(G16="",H16=""),"",IF(G16="",H16,IF(H16="",G16,MIN(G16,H16))))</f>
        <v>4.0</v>
      </c>
      <c r="J16" s="28" t="str">
        <f>IF(AND(G16="",H16=""),"Ni la fila 9 del art. 4.1 ni el art. 9.3 le fijan techo: vitrina de ambiente.",IF(AND(G16&lt;&gt;"",H16&lt;&gt;""),"Le aplican los DOS techos y manda el más bajo, el de la fila 9 del art. 4.1. No es un conflicto: son dos topes distintos.",IF(G16&lt;&gt;"","Manda la fila 9 del art. 4.1: producto de pastelería relleno que no es estable a temperatura ambiente.","Manda el art. 9.3: elaborado por la vía del art. 9.1.a) sin ser estable, o con ovoproducto del art. 9.2.")))</f>
        <v>Le aplican los DOS techos y manda el más bajo, el de la fila 9 del art. 4.1. No es un conflicto: son dos topes distintos.</v>
      </c>
      <c r="K16" s="24">
        <f>IF(AND(OR($D16="70/2",$D16="ovoproducto"),$F16="No"),'Parámetros'!$B$30,"No aplica")</f>
        <v>24.0</v>
      </c>
      <c r="L16" s="6" t="inlineStr">
        <is>
          <t>Por declarar en tu APPCC</t>
        </is>
      </c>
      <c r="M16" t="str">
        <f>IF(I16="","Vitrina de ambiente","Vitrina refrigerada")</f>
        <v>Vitrina refrigerada</v>
      </c>
      <c r="N16" s="12" t="inlineStr">
        <is>
          <t>Tratamiento térmico de 70 °C durante 2 s en el centro del producto, o cualquier combinación equivalente (art. 9.1.a).</t>
        </is>
      </c>
      <c r="O16" s="28">
        <f>IF(AND($D16="estable a ambiente",$F16="No"),"Incoherente: has elegido la vía de producto estable y luego has dicho que no lo es","")</f>
        <v/>
      </c>
    </row>
    <row r="17" ht="40" customHeight="1">
      <c r="A17" t="inlineStr">
        <is>
          <t>PI6</t>
        </is>
      </c>
      <c r="B17" t="inlineStr">
        <is>
          <t>Entremet individual</t>
        </is>
      </c>
      <c r="C17" t="inlineStr">
        <is>
          <t>Pastelería individual</t>
        </is>
      </c>
      <c r="D17" s="6" t="inlineStr">
        <is>
          <t>ovoproducto</t>
        </is>
      </c>
      <c r="E17" s="6" t="inlineStr">
        <is>
          <t>Sí</t>
        </is>
      </c>
      <c r="F17" s="6" t="inlineStr">
        <is>
          <t>No</t>
        </is>
      </c>
      <c r="G17" s="24">
        <f>IF(AND($E17="Sí",$F17="No"),'Parámetros'!$B$28,"")</f>
        <v>4.0</v>
      </c>
      <c r="H17" s="24">
        <f>IF(AND(OR($D17="70/2",$D17="ovoproducto"),$F17="No"),'Parámetros'!$B$29,"")</f>
        <v>8.0</v>
      </c>
      <c r="I17" s="24">
        <f>IF(AND(G17="",H17=""),"",IF(G17="",H17,IF(H17="",G17,MIN(G17,H17))))</f>
        <v>4.0</v>
      </c>
      <c r="J17" s="28" t="str">
        <f>IF(AND(G17="",H17=""),"Ni la fila 9 del art. 4.1 ni el art. 9.3 le fijan techo: vitrina de ambiente.",IF(AND(G17&lt;&gt;"",H17&lt;&gt;""),"Le aplican los DOS techos y manda el más bajo, el de la fila 9 del art. 4.1. No es un conflicto: son dos topes distintos.",IF(G17&lt;&gt;"","Manda la fila 9 del art. 4.1: producto de pastelería relleno que no es estable a temperatura ambiente.","Manda el art. 9.3: elaborado por la vía del art. 9.1.a) sin ser estable, o con ovoproducto del art. 9.2.")))</f>
        <v>Le aplican los DOS techos y manda el más bajo, el de la fila 9 del art. 4.1. No es un conflicto: son dos topes distintos.</v>
      </c>
      <c r="K17" s="24">
        <f>IF(AND(OR($D17="70/2",$D17="ovoproducto"),$F17="No"),'Parámetros'!$B$30,"No aplica")</f>
        <v>24.0</v>
      </c>
      <c r="L17" s="6" t="inlineStr">
        <is>
          <t>Por declarar en tu APPCC</t>
        </is>
      </c>
      <c r="M17" t="str">
        <f>IF(I17="","Vitrina de ambiente","Vitrina refrigerada")</f>
        <v>Vitrina refrigerada</v>
      </c>
      <c r="N17" s="12" t="inlineStr">
        <is>
          <t>El producto se consume sin un tratamiento térmico que cumpla el apartado 1, así que el huevo crudo se sustituye por ovoproducto de establecimiento autorizado (art. 9.2).</t>
        </is>
      </c>
      <c r="O17" s="28">
        <f>IF(AND($D17="estable a ambiente",$F17="No"),"Incoherente: has elegido la vía de producto estable y luego has dicho que no lo es","")</f>
        <v/>
      </c>
    </row>
    <row r="18" ht="40" customHeight="1">
      <c r="A18" t="inlineStr">
        <is>
          <t>T1</t>
        </is>
      </c>
      <c r="B18" t="inlineStr">
        <is>
          <t>Tarta de chocolate 70 %</t>
        </is>
      </c>
      <c r="C18" t="inlineStr">
        <is>
          <t>Tartas y entremets</t>
        </is>
      </c>
      <c r="D18" s="6" t="inlineStr">
        <is>
          <t>70/2</t>
        </is>
      </c>
      <c r="E18" s="6" t="inlineStr">
        <is>
          <t>Sí</t>
        </is>
      </c>
      <c r="F18" s="6" t="inlineStr">
        <is>
          <t>No</t>
        </is>
      </c>
      <c r="G18" s="24">
        <f>IF(AND($E18="Sí",$F18="No"),'Parámetros'!$B$28,"")</f>
        <v>4.0</v>
      </c>
      <c r="H18" s="24">
        <f>IF(AND(OR($D18="70/2",$D18="ovoproducto"),$F18="No"),'Parámetros'!$B$29,"")</f>
        <v>8.0</v>
      </c>
      <c r="I18" s="24">
        <f>IF(AND(G18="",H18=""),"",IF(G18="",H18,IF(H18="",G18,MIN(G18,H18))))</f>
        <v>4.0</v>
      </c>
      <c r="J18" s="28" t="str">
        <f>IF(AND(G18="",H18=""),"Ni la fila 9 del art. 4.1 ni el art. 9.3 le fijan techo: vitrina de ambiente.",IF(AND(G18&lt;&gt;"",H18&lt;&gt;""),"Le aplican los DOS techos y manda el más bajo, el de la fila 9 del art. 4.1. No es un conflicto: son dos topes distintos.",IF(G18&lt;&gt;"","Manda la fila 9 del art. 4.1: producto de pastelería relleno que no es estable a temperatura ambiente.","Manda el art. 9.3: elaborado por la vía del art. 9.1.a) sin ser estable, o con ovoproducto del art. 9.2.")))</f>
        <v>Le aplican los DOS techos y manda el más bajo, el de la fila 9 del art. 4.1. No es un conflicto: son dos topes distintos.</v>
      </c>
      <c r="K18" s="24">
        <f>IF(AND(OR($D18="70/2",$D18="ovoproducto"),$F18="No"),'Parámetros'!$B$30,"No aplica")</f>
        <v>24.0</v>
      </c>
      <c r="L18" s="6" t="inlineStr">
        <is>
          <t>Por declarar en tu APPCC</t>
        </is>
      </c>
      <c r="M18" t="str">
        <f>IF(I18="","Vitrina de ambiente","Vitrina refrigerada")</f>
        <v>Vitrina refrigerada</v>
      </c>
      <c r="N18" s="12" t="inlineStr">
        <is>
          <t>Tratamiento térmico de 70 °C durante 2 s en el centro del producto, o cualquier combinación equivalente (art. 9.1.a).</t>
        </is>
      </c>
      <c r="O18" s="28">
        <f>IF(AND($D18="estable a ambiente",$F18="No"),"Incoherente: has elegido la vía de producto estable y luego has dicho que no lo es","")</f>
        <v/>
      </c>
    </row>
    <row r="19" ht="40" customHeight="1">
      <c r="A19" t="inlineStr">
        <is>
          <t>T2</t>
        </is>
      </c>
      <c r="B19" t="inlineStr">
        <is>
          <t>Tarta de queso</t>
        </is>
      </c>
      <c r="C19" t="inlineStr">
        <is>
          <t>Tartas y entremets</t>
        </is>
      </c>
      <c r="D19" s="6" t="inlineStr">
        <is>
          <t>70/2</t>
        </is>
      </c>
      <c r="E19" s="6" t="inlineStr">
        <is>
          <t>No</t>
        </is>
      </c>
      <c r="F19" s="6" t="inlineStr">
        <is>
          <t>No</t>
        </is>
      </c>
      <c r="G19" s="24">
        <f>IF(AND($E19="Sí",$F19="No"),'Parámetros'!$B$28,"")</f>
        <v/>
      </c>
      <c r="H19" s="24">
        <f>IF(AND(OR($D19="70/2",$D19="ovoproducto"),$F19="No"),'Parámetros'!$B$29,"")</f>
        <v>8.0</v>
      </c>
      <c r="I19" s="24">
        <f>IF(AND(G19="",H19=""),"",IF(G19="",H19,IF(H19="",G19,MIN(G19,H19))))</f>
        <v>8.0</v>
      </c>
      <c r="J19" s="28" t="str">
        <f>IF(AND(G19="",H19=""),"Ni la fila 9 del art. 4.1 ni el art. 9.3 le fijan techo: vitrina de ambiente.",IF(AND(G19&lt;&gt;"",H19&lt;&gt;""),"Le aplican los DOS techos y manda el más bajo, el de la fila 9 del art. 4.1. No es un conflicto: son dos topes distintos.",IF(G19&lt;&gt;"","Manda la fila 9 del art. 4.1: producto de pastelería relleno que no es estable a temperatura ambiente.","Manda el art. 9.3: elaborado por la vía del art. 9.1.a) sin ser estable, o con ovoproducto del art. 9.2.")))</f>
        <v>Manda el art. 9.3: elaborado por la vía del art. 9.1.a) sin ser estable, o con ovoproducto del art. 9.2.</v>
      </c>
      <c r="K19" s="24">
        <f>IF(AND(OR($D19="70/2",$D19="ovoproducto"),$F19="No"),'Parámetros'!$B$30,"No aplica")</f>
        <v>24.0</v>
      </c>
      <c r="L19" s="6" t="inlineStr">
        <is>
          <t>Por declarar en tu APPCC</t>
        </is>
      </c>
      <c r="M19" t="str">
        <f>IF(I19="","Vitrina de ambiente","Vitrina refrigerada")</f>
        <v>Vitrina refrigerada</v>
      </c>
      <c r="N19" s="12" t="inlineStr">
        <is>
          <t>Tratamiento térmico de 70 °C durante 2 s en el centro del producto, o cualquier combinación equivalente (art. 9.1.a).</t>
        </is>
      </c>
      <c r="O19" s="28">
        <f>IF(AND($D19="estable a ambiente",$F19="No"),"Incoherente: has elegido la vía de producto estable y luego has dicho que no lo es","")</f>
        <v/>
      </c>
    </row>
    <row r="20" ht="40" customHeight="1">
      <c r="A20" t="inlineStr">
        <is>
          <t>T3</t>
        </is>
      </c>
      <c r="B20" t="inlineStr">
        <is>
          <t>Tarta de manzana</t>
        </is>
      </c>
      <c r="C20" t="inlineStr">
        <is>
          <t>Tartas y entremets</t>
        </is>
      </c>
      <c r="D20" s="6" t="inlineStr">
        <is>
          <t>estable a ambiente</t>
        </is>
      </c>
      <c r="E20" s="6" t="inlineStr">
        <is>
          <t>No</t>
        </is>
      </c>
      <c r="F20" s="6" t="inlineStr">
        <is>
          <t>Sí</t>
        </is>
      </c>
      <c r="G20" s="24">
        <f>IF(AND($E20="Sí",$F20="No"),'Parámetros'!$B$28,"")</f>
        <v/>
      </c>
      <c r="H20" s="24">
        <f>IF(AND(OR($D20="70/2",$D20="ovoproducto"),$F20="No"),'Parámetros'!$B$29,"")</f>
        <v/>
      </c>
      <c r="I20" s="24">
        <f>IF(AND(G20="",H20=""),"",IF(G20="",H20,IF(H20="",G20,MIN(G20,H20))))</f>
        <v/>
      </c>
      <c r="J20" s="28" t="str">
        <f>IF(AND(G20="",H20=""),"Ni la fila 9 del art. 4.1 ni el art. 9.3 le fijan techo: vitrina de ambiente.",IF(AND(G20&lt;&gt;"",H20&lt;&gt;""),"Le aplican los DOS techos y manda el más bajo, el de la fila 9 del art. 4.1. No es un conflicto: son dos topes distintos.",IF(G20&lt;&gt;"","Manda la fila 9 del art. 4.1: producto de pastelería relleno que no es estable a temperatura ambiente.","Manda el art. 9.3: elaborado por la vía del art. 9.1.a) sin ser estable, o con ovoproducto del art. 9.2.")))</f>
        <v>Ni la fila 9 del art. 4.1 ni el art. 9.3 le fijan techo: vitrina de ambiente.</v>
      </c>
      <c r="K20" s="24" t="str">
        <f>IF(AND(OR($D20="70/2",$D20="ovoproducto"),$F20="No"),'Parámetros'!$B$30,"No aplica")</f>
        <v>No aplica</v>
      </c>
      <c r="L20" s="6" t="inlineStr">
        <is>
          <t>Por declarar en tu APPCC</t>
        </is>
      </c>
      <c r="M20" t="str">
        <f>IF(I20="","Vitrina de ambiente","Vitrina refrigerada")</f>
        <v>Vitrina de ambiente</v>
      </c>
      <c r="N20" s="12" t="inlineStr">
        <is>
          <t>Vía 1.a) y el producto terminado ES estable a temperatura ambiente: el art. 9.3 no le fija ni temperatura ni plazo, y la fila 9 del art. 4.1 lo exceptúa aunque vaya relleno.</t>
        </is>
      </c>
      <c r="O20" s="28">
        <f>IF(AND($D20="estable a ambiente",$F20="No"),"Incoherente: has elegido la vía de producto estable y luego has dicho que no lo es","")</f>
        <v/>
      </c>
    </row>
    <row r="21" ht="40" customHeight="1">
      <c r="A21" t="inlineStr">
        <is>
          <t>T4</t>
        </is>
      </c>
      <c r="B21" t="inlineStr">
        <is>
          <t>Tarta de zanahoria</t>
        </is>
      </c>
      <c r="C21" t="inlineStr">
        <is>
          <t>Tartas y entremets</t>
        </is>
      </c>
      <c r="D21" s="6" t="inlineStr">
        <is>
          <t>70/2</t>
        </is>
      </c>
      <c r="E21" s="6" t="inlineStr">
        <is>
          <t>Sí</t>
        </is>
      </c>
      <c r="F21" s="6" t="inlineStr">
        <is>
          <t>No</t>
        </is>
      </c>
      <c r="G21" s="24">
        <f>IF(AND($E21="Sí",$F21="No"),'Parámetros'!$B$28,"")</f>
        <v>4.0</v>
      </c>
      <c r="H21" s="24">
        <f>IF(AND(OR($D21="70/2",$D21="ovoproducto"),$F21="No"),'Parámetros'!$B$29,"")</f>
        <v>8.0</v>
      </c>
      <c r="I21" s="24">
        <f>IF(AND(G21="",H21=""),"",IF(G21="",H21,IF(H21="",G21,MIN(G21,H21))))</f>
        <v>4.0</v>
      </c>
      <c r="J21" s="28" t="str">
        <f>IF(AND(G21="",H21=""),"Ni la fila 9 del art. 4.1 ni el art. 9.3 le fijan techo: vitrina de ambiente.",IF(AND(G21&lt;&gt;"",H21&lt;&gt;""),"Le aplican los DOS techos y manda el más bajo, el de la fila 9 del art. 4.1. No es un conflicto: son dos topes distintos.",IF(G21&lt;&gt;"","Manda la fila 9 del art. 4.1: producto de pastelería relleno que no es estable a temperatura ambiente.","Manda el art. 9.3: elaborado por la vía del art. 9.1.a) sin ser estable, o con ovoproducto del art. 9.2.")))</f>
        <v>Le aplican los DOS techos y manda el más bajo, el de la fila 9 del art. 4.1. No es un conflicto: son dos topes distintos.</v>
      </c>
      <c r="K21" s="24">
        <f>IF(AND(OR($D21="70/2",$D21="ovoproducto"),$F21="No"),'Parámetros'!$B$30,"No aplica")</f>
        <v>24.0</v>
      </c>
      <c r="L21" s="6" t="inlineStr">
        <is>
          <t>Por declarar en tu APPCC</t>
        </is>
      </c>
      <c r="M21" t="str">
        <f>IF(I21="","Vitrina de ambiente","Vitrina refrigerada")</f>
        <v>Vitrina refrigerada</v>
      </c>
      <c r="N21" s="12" t="inlineStr">
        <is>
          <t>Tratamiento térmico de 70 °C durante 2 s en el centro del producto, o cualquier combinación equivalente (art. 9.1.a).</t>
        </is>
      </c>
      <c r="O21" s="28">
        <f>IF(AND($D21="estable a ambiente",$F21="No"),"Incoherente: has elegido la vía de producto estable y luego has dicho que no lo es","")</f>
        <v/>
      </c>
    </row>
    <row r="22" ht="40" customHeight="1">
      <c r="A22" t="inlineStr">
        <is>
          <t>T5</t>
        </is>
      </c>
      <c r="B22" t="inlineStr">
        <is>
          <t>Tarta Sacher</t>
        </is>
      </c>
      <c r="C22" t="inlineStr">
        <is>
          <t>Tartas y entremets</t>
        </is>
      </c>
      <c r="D22" s="6" t="inlineStr">
        <is>
          <t>estable a ambiente</t>
        </is>
      </c>
      <c r="E22" s="6" t="inlineStr">
        <is>
          <t>Sí</t>
        </is>
      </c>
      <c r="F22" s="6" t="inlineStr">
        <is>
          <t>Sí</t>
        </is>
      </c>
      <c r="G22" s="24">
        <f>IF(AND($E22="Sí",$F22="No"),'Parámetros'!$B$28,"")</f>
        <v/>
      </c>
      <c r="H22" s="24">
        <f>IF(AND(OR($D22="70/2",$D22="ovoproducto"),$F22="No"),'Parámetros'!$B$29,"")</f>
        <v/>
      </c>
      <c r="I22" s="24">
        <f>IF(AND(G22="",H22=""),"",IF(G22="",H22,IF(H22="",G22,MIN(G22,H22))))</f>
        <v/>
      </c>
      <c r="J22" s="28" t="str">
        <f>IF(AND(G22="",H22=""),"Ni la fila 9 del art. 4.1 ni el art. 9.3 le fijan techo: vitrina de ambiente.",IF(AND(G22&lt;&gt;"",H22&lt;&gt;""),"Le aplican los DOS techos y manda el más bajo, el de la fila 9 del art. 4.1. No es un conflicto: son dos topes distintos.",IF(G22&lt;&gt;"","Manda la fila 9 del art. 4.1: producto de pastelería relleno que no es estable a temperatura ambiente.","Manda el art. 9.3: elaborado por la vía del art. 9.1.a) sin ser estable, o con ovoproducto del art. 9.2.")))</f>
        <v>Ni la fila 9 del art. 4.1 ni el art. 9.3 le fijan techo: vitrina de ambiente.</v>
      </c>
      <c r="K22" s="24" t="str">
        <f>IF(AND(OR($D22="70/2",$D22="ovoproducto"),$F22="No"),'Parámetros'!$B$30,"No aplica")</f>
        <v>No aplica</v>
      </c>
      <c r="L22" s="6" t="inlineStr">
        <is>
          <t>Por declarar en tu APPCC</t>
        </is>
      </c>
      <c r="M22" t="str">
        <f>IF(I22="","Vitrina de ambiente","Vitrina refrigerada")</f>
        <v>Vitrina de ambiente</v>
      </c>
      <c r="N22" s="12" t="inlineStr">
        <is>
          <t>Vía 1.a) y el producto terminado ES estable a temperatura ambiente: el art. 9.3 no le fija ni temperatura ni plazo, y la fila 9 del art. 4.1 lo exceptúa aunque vaya relleno.</t>
        </is>
      </c>
      <c r="O22" s="28">
        <f>IF(AND($D22="estable a ambiente",$F22="No"),"Incoherente: has elegido la vía de producto estable y luego has dicho que no lo es","")</f>
        <v/>
      </c>
    </row>
    <row r="23" ht="40" customHeight="1">
      <c r="A23" t="inlineStr">
        <is>
          <t>T6</t>
        </is>
      </c>
      <c r="B23" t="inlineStr">
        <is>
          <t>Tarta de nata y fresas</t>
        </is>
      </c>
      <c r="C23" t="inlineStr">
        <is>
          <t>Tartas y entremets</t>
        </is>
      </c>
      <c r="D23" s="6" t="inlineStr">
        <is>
          <t>70/2</t>
        </is>
      </c>
      <c r="E23" s="6" t="inlineStr">
        <is>
          <t>Sí</t>
        </is>
      </c>
      <c r="F23" s="6" t="inlineStr">
        <is>
          <t>No</t>
        </is>
      </c>
      <c r="G23" s="24">
        <f>IF(AND($E23="Sí",$F23="No"),'Parámetros'!$B$28,"")</f>
        <v>4.0</v>
      </c>
      <c r="H23" s="24">
        <f>IF(AND(OR($D23="70/2",$D23="ovoproducto"),$F23="No"),'Parámetros'!$B$29,"")</f>
        <v>8.0</v>
      </c>
      <c r="I23" s="24">
        <f>IF(AND(G23="",H23=""),"",IF(G23="",H23,IF(H23="",G23,MIN(G23,H23))))</f>
        <v>4.0</v>
      </c>
      <c r="J23" s="28" t="str">
        <f>IF(AND(G23="",H23=""),"Ni la fila 9 del art. 4.1 ni el art. 9.3 le fijan techo: vitrina de ambiente.",IF(AND(G23&lt;&gt;"",H23&lt;&gt;""),"Le aplican los DOS techos y manda el más bajo, el de la fila 9 del art. 4.1. No es un conflicto: son dos topes distintos.",IF(G23&lt;&gt;"","Manda la fila 9 del art. 4.1: producto de pastelería relleno que no es estable a temperatura ambiente.","Manda el art. 9.3: elaborado por la vía del art. 9.1.a) sin ser estable, o con ovoproducto del art. 9.2.")))</f>
        <v>Le aplican los DOS techos y manda el más bajo, el de la fila 9 del art. 4.1. No es un conflicto: son dos topes distintos.</v>
      </c>
      <c r="K23" s="24">
        <f>IF(AND(OR($D23="70/2",$D23="ovoproducto"),$F23="No"),'Parámetros'!$B$30,"No aplica")</f>
        <v>24.0</v>
      </c>
      <c r="L23" s="6" t="inlineStr">
        <is>
          <t>Por declarar en tu APPCC</t>
        </is>
      </c>
      <c r="M23" t="str">
        <f>IF(I23="","Vitrina de ambiente","Vitrina refrigerada")</f>
        <v>Vitrina refrigerada</v>
      </c>
      <c r="N23" s="12" t="inlineStr">
        <is>
          <t>Tratamiento térmico de 70 °C durante 2 s en el centro del producto, o cualquier combinación equivalente (art. 9.1.a).</t>
        </is>
      </c>
      <c r="O23" s="28">
        <f>IF(AND($D23="estable a ambiente",$F23="No"),"Incoherente: has elegido la vía de producto estable y luego has dicho que no lo es","")</f>
        <v/>
      </c>
    </row>
    <row r="24" ht="40" customHeight="1">
      <c r="A24" t="inlineStr">
        <is>
          <t>PA1</t>
        </is>
      </c>
      <c r="B24" t="inlineStr">
        <is>
          <t>Barra</t>
        </is>
      </c>
      <c r="C24" t="inlineStr">
        <is>
          <t>Panes de acompañamiento</t>
        </is>
      </c>
      <c r="D24" s="6" t="inlineStr">
        <is>
          <t>sin huevo</t>
        </is>
      </c>
      <c r="E24" s="6" t="inlineStr">
        <is>
          <t>No</t>
        </is>
      </c>
      <c r="F24" s="6" t="inlineStr">
        <is>
          <t>Sí</t>
        </is>
      </c>
      <c r="G24" s="24">
        <f>IF(AND($E24="Sí",$F24="No"),'Parámetros'!$B$28,"")</f>
        <v/>
      </c>
      <c r="H24" s="24">
        <f>IF(AND(OR($D24="70/2",$D24="ovoproducto"),$F24="No"),'Parámetros'!$B$29,"")</f>
        <v/>
      </c>
      <c r="I24" s="24">
        <f>IF(AND(G24="",H24=""),"",IF(G24="",H24,IF(H24="",G24,MIN(G24,H24))))</f>
        <v/>
      </c>
      <c r="J24" s="28" t="str">
        <f>IF(AND(G24="",H24=""),"Ni la fila 9 del art. 4.1 ni el art. 9.3 le fijan techo: vitrina de ambiente.",IF(AND(G24&lt;&gt;"",H24&lt;&gt;""),"Le aplican los DOS techos y manda el más bajo, el de la fila 9 del art. 4.1. No es un conflicto: son dos topes distintos.",IF(G24&lt;&gt;"","Manda la fila 9 del art. 4.1: producto de pastelería relleno que no es estable a temperatura ambiente.","Manda el art. 9.3: elaborado por la vía del art. 9.1.a) sin ser estable, o con ovoproducto del art. 9.2.")))</f>
        <v>Ni la fila 9 del art. 4.1 ni el art. 9.3 le fijan techo: vitrina de ambiente.</v>
      </c>
      <c r="K24" s="24" t="str">
        <f>IF(AND(OR($D24="70/2",$D24="ovoproducto"),$F24="No"),'Parámetros'!$B$30,"No aplica")</f>
        <v>No aplica</v>
      </c>
      <c r="L24" s="6" t="inlineStr">
        <is>
          <t>Por declarar en tu APPCC</t>
        </is>
      </c>
      <c r="M24" t="str">
        <f>IF(I24="","Vitrina de ambiente","Vitrina refrigerada")</f>
        <v>Vitrina de ambiente</v>
      </c>
      <c r="N24" s="12" t="inlineStr">
        <is>
          <t>La elaboración no lleva huevo en ninguna forma: el art. 9 no le aplica.</t>
        </is>
      </c>
      <c r="O24" s="28">
        <f>IF(AND($D24="estable a ambiente",$F24="No"),"Incoherente: has elegido la vía de producto estable y luego has dicho que no lo es","")</f>
        <v/>
      </c>
    </row>
    <row r="25" ht="40" customHeight="1">
      <c r="A25" t="inlineStr">
        <is>
          <t>PA2</t>
        </is>
      </c>
      <c r="B25" t="inlineStr">
        <is>
          <t>Chapata</t>
        </is>
      </c>
      <c r="C25" t="inlineStr">
        <is>
          <t>Panes de acompañamiento</t>
        </is>
      </c>
      <c r="D25" s="6" t="inlineStr">
        <is>
          <t>sin huevo</t>
        </is>
      </c>
      <c r="E25" s="6" t="inlineStr">
        <is>
          <t>No</t>
        </is>
      </c>
      <c r="F25" s="6" t="inlineStr">
        <is>
          <t>Sí</t>
        </is>
      </c>
      <c r="G25" s="24">
        <f>IF(AND($E25="Sí",$F25="No"),'Parámetros'!$B$28,"")</f>
        <v/>
      </c>
      <c r="H25" s="24">
        <f>IF(AND(OR($D25="70/2",$D25="ovoproducto"),$F25="No"),'Parámetros'!$B$29,"")</f>
        <v/>
      </c>
      <c r="I25" s="24">
        <f>IF(AND(G25="",H25=""),"",IF(G25="",H25,IF(H25="",G25,MIN(G25,H25))))</f>
        <v/>
      </c>
      <c r="J25" s="28" t="str">
        <f>IF(AND(G25="",H25=""),"Ni la fila 9 del art. 4.1 ni el art. 9.3 le fijan techo: vitrina de ambiente.",IF(AND(G25&lt;&gt;"",H25&lt;&gt;""),"Le aplican los DOS techos y manda el más bajo, el de la fila 9 del art. 4.1. No es un conflicto: son dos topes distintos.",IF(G25&lt;&gt;"","Manda la fila 9 del art. 4.1: producto de pastelería relleno que no es estable a temperatura ambiente.","Manda el art. 9.3: elaborado por la vía del art. 9.1.a) sin ser estable, o con ovoproducto del art. 9.2.")))</f>
        <v>Ni la fila 9 del art. 4.1 ni el art. 9.3 le fijan techo: vitrina de ambiente.</v>
      </c>
      <c r="K25" s="24" t="str">
        <f>IF(AND(OR($D25="70/2",$D25="ovoproducto"),$F25="No"),'Parámetros'!$B$30,"No aplica")</f>
        <v>No aplica</v>
      </c>
      <c r="L25" s="6" t="inlineStr">
        <is>
          <t>Por declarar en tu APPCC</t>
        </is>
      </c>
      <c r="M25" t="str">
        <f>IF(I25="","Vitrina de ambiente","Vitrina refrigerada")</f>
        <v>Vitrina de ambiente</v>
      </c>
      <c r="N25" s="12" t="inlineStr">
        <is>
          <t>La elaboración no lleva huevo en ninguna forma: el art. 9 no le aplica.</t>
        </is>
      </c>
      <c r="O25" s="28">
        <f>IF(AND($D25="estable a ambiente",$F25="No"),"Incoherente: has elegido la vía de producto estable y luego has dicho que no lo es","")</f>
        <v/>
      </c>
    </row>
    <row r="26" ht="40" customHeight="1">
      <c r="A26" t="inlineStr">
        <is>
          <t>PA3</t>
        </is>
      </c>
      <c r="B26" t="inlineStr">
        <is>
          <t>Hogaza de masa madre</t>
        </is>
      </c>
      <c r="C26" t="inlineStr">
        <is>
          <t>Panes de acompañamiento</t>
        </is>
      </c>
      <c r="D26" s="6" t="inlineStr">
        <is>
          <t>sin huevo</t>
        </is>
      </c>
      <c r="E26" s="6" t="inlineStr">
        <is>
          <t>No</t>
        </is>
      </c>
      <c r="F26" s="6" t="inlineStr">
        <is>
          <t>Sí</t>
        </is>
      </c>
      <c r="G26" s="24">
        <f>IF(AND($E26="Sí",$F26="No"),'Parámetros'!$B$28,"")</f>
        <v/>
      </c>
      <c r="H26" s="24">
        <f>IF(AND(OR($D26="70/2",$D26="ovoproducto"),$F26="No"),'Parámetros'!$B$29,"")</f>
        <v/>
      </c>
      <c r="I26" s="24">
        <f>IF(AND(G26="",H26=""),"",IF(G26="",H26,IF(H26="",G26,MIN(G26,H26))))</f>
        <v/>
      </c>
      <c r="J26" s="28" t="str">
        <f>IF(AND(G26="",H26=""),"Ni la fila 9 del art. 4.1 ni el art. 9.3 le fijan techo: vitrina de ambiente.",IF(AND(G26&lt;&gt;"",H26&lt;&gt;""),"Le aplican los DOS techos y manda el más bajo, el de la fila 9 del art. 4.1. No es un conflicto: son dos topes distintos.",IF(G26&lt;&gt;"","Manda la fila 9 del art. 4.1: producto de pastelería relleno que no es estable a temperatura ambiente.","Manda el art. 9.3: elaborado por la vía del art. 9.1.a) sin ser estable, o con ovoproducto del art. 9.2.")))</f>
        <v>Ni la fila 9 del art. 4.1 ni el art. 9.3 le fijan techo: vitrina de ambiente.</v>
      </c>
      <c r="K26" s="24" t="str">
        <f>IF(AND(OR($D26="70/2",$D26="ovoproducto"),$F26="No"),'Parámetros'!$B$30,"No aplica")</f>
        <v>No aplica</v>
      </c>
      <c r="L26" s="6" t="inlineStr">
        <is>
          <t>Por declarar en tu APPCC</t>
        </is>
      </c>
      <c r="M26" t="str">
        <f>IF(I26="","Vitrina de ambiente","Vitrina refrigerada")</f>
        <v>Vitrina de ambiente</v>
      </c>
      <c r="N26" s="12" t="inlineStr">
        <is>
          <t>La elaboración no lleva huevo en ninguna forma: el art. 9 no le aplica.</t>
        </is>
      </c>
      <c r="O26" s="28">
        <f>IF(AND($D26="estable a ambiente",$F26="No"),"Incoherente: has elegido la vía de producto estable y luego has dicho que no lo es","")</f>
        <v/>
      </c>
    </row>
    <row r="27" ht="40" customHeight="1">
      <c r="A27" t="inlineStr">
        <is>
          <t>PA4</t>
        </is>
      </c>
      <c r="B27" t="inlineStr">
        <is>
          <t>Pan de molde</t>
        </is>
      </c>
      <c r="C27" t="inlineStr">
        <is>
          <t>Panes de acompañamiento</t>
        </is>
      </c>
      <c r="D27" s="6" t="inlineStr">
        <is>
          <t>sin huevo</t>
        </is>
      </c>
      <c r="E27" s="6" t="inlineStr">
        <is>
          <t>No</t>
        </is>
      </c>
      <c r="F27" s="6" t="inlineStr">
        <is>
          <t>Sí</t>
        </is>
      </c>
      <c r="G27" s="24">
        <f>IF(AND($E27="Sí",$F27="No"),'Parámetros'!$B$28,"")</f>
        <v/>
      </c>
      <c r="H27" s="24">
        <f>IF(AND(OR($D27="70/2",$D27="ovoproducto"),$F27="No"),'Parámetros'!$B$29,"")</f>
        <v/>
      </c>
      <c r="I27" s="24">
        <f>IF(AND(G27="",H27=""),"",IF(G27="",H27,IF(H27="",G27,MIN(G27,H27))))</f>
        <v/>
      </c>
      <c r="J27" s="28" t="str">
        <f>IF(AND(G27="",H27=""),"Ni la fila 9 del art. 4.1 ni el art. 9.3 le fijan techo: vitrina de ambiente.",IF(AND(G27&lt;&gt;"",H27&lt;&gt;""),"Le aplican los DOS techos y manda el más bajo, el de la fila 9 del art. 4.1. No es un conflicto: son dos topes distintos.",IF(G27&lt;&gt;"","Manda la fila 9 del art. 4.1: producto de pastelería relleno que no es estable a temperatura ambiente.","Manda el art. 9.3: elaborado por la vía del art. 9.1.a) sin ser estable, o con ovoproducto del art. 9.2.")))</f>
        <v>Ni la fila 9 del art. 4.1 ni el art. 9.3 le fijan techo: vitrina de ambiente.</v>
      </c>
      <c r="K27" s="24" t="str">
        <f>IF(AND(OR($D27="70/2",$D27="ovoproducto"),$F27="No"),'Parámetros'!$B$30,"No aplica")</f>
        <v>No aplica</v>
      </c>
      <c r="L27" s="6" t="inlineStr">
        <is>
          <t>Por declarar en tu APPCC</t>
        </is>
      </c>
      <c r="M27" t="str">
        <f>IF(I27="","Vitrina de ambiente","Vitrina refrigerada")</f>
        <v>Vitrina de ambiente</v>
      </c>
      <c r="N27" s="12" t="inlineStr">
        <is>
          <t>La elaboración no lleva huevo en ninguna forma: el art. 9 no le aplica.</t>
        </is>
      </c>
      <c r="O27" s="28">
        <f>IF(AND($D27="estable a ambiente",$F27="No"),"Incoherente: has elegido la vía de producto estable y luego has dicho que no lo es","")</f>
        <v/>
      </c>
    </row>
    <row r="28" ht="40" customHeight="1">
      <c r="A28" t="inlineStr">
        <is>
          <t>TP1</t>
        </is>
      </c>
      <c r="B28" t="inlineStr">
        <is>
          <t>Roscón de Reyes</t>
        </is>
      </c>
      <c r="C28" t="inlineStr">
        <is>
          <t>Temporada</t>
        </is>
      </c>
      <c r="D28" s="6" t="inlineStr">
        <is>
          <t>70/2</t>
        </is>
      </c>
      <c r="E28" s="6" t="inlineStr">
        <is>
          <t>Sí</t>
        </is>
      </c>
      <c r="F28" s="6" t="inlineStr">
        <is>
          <t>No</t>
        </is>
      </c>
      <c r="G28" s="24">
        <f>IF(AND($E28="Sí",$F28="No"),'Parámetros'!$B$28,"")</f>
        <v>4.0</v>
      </c>
      <c r="H28" s="24">
        <f>IF(AND(OR($D28="70/2",$D28="ovoproducto"),$F28="No"),'Parámetros'!$B$29,"")</f>
        <v>8.0</v>
      </c>
      <c r="I28" s="24">
        <f>IF(AND(G28="",H28=""),"",IF(G28="",H28,IF(H28="",G28,MIN(G28,H28))))</f>
        <v>4.0</v>
      </c>
      <c r="J28" s="28" t="str">
        <f>IF(AND(G28="",H28=""),"Ni la fila 9 del art. 4.1 ni el art. 9.3 le fijan techo: vitrina de ambiente.",IF(AND(G28&lt;&gt;"",H28&lt;&gt;""),"Le aplican los DOS techos y manda el más bajo, el de la fila 9 del art. 4.1. No es un conflicto: son dos topes distintos.",IF(G28&lt;&gt;"","Manda la fila 9 del art. 4.1: producto de pastelería relleno que no es estable a temperatura ambiente.","Manda el art. 9.3: elaborado por la vía del art. 9.1.a) sin ser estable, o con ovoproducto del art. 9.2.")))</f>
        <v>Le aplican los DOS techos y manda el más bajo, el de la fila 9 del art. 4.1. No es un conflicto: son dos topes distintos.</v>
      </c>
      <c r="K28" s="24">
        <f>IF(AND(OR($D28="70/2",$D28="ovoproducto"),$F28="No"),'Parámetros'!$B$30,"No aplica")</f>
        <v>24.0</v>
      </c>
      <c r="L28" s="6" t="inlineStr">
        <is>
          <t>Por declarar en tu APPCC</t>
        </is>
      </c>
      <c r="M28" t="str">
        <f>IF(I28="","Vitrina de ambiente","Vitrina refrigerada")</f>
        <v>Vitrina refrigerada</v>
      </c>
      <c r="N28" s="12" t="inlineStr">
        <is>
          <t>Tratamiento térmico de 70 °C durante 2 s en el centro del producto, o cualquier combinación equivalente (art. 9.1.a).</t>
        </is>
      </c>
      <c r="O28" s="28">
        <f>IF(AND($D28="estable a ambiente",$F28="No"),"Incoherente: has elegido la vía de producto estable y luego has dicho que no lo es","")</f>
        <v/>
      </c>
    </row>
    <row r="29" ht="40" customHeight="1">
      <c r="A29" t="inlineStr">
        <is>
          <t>TP2</t>
        </is>
      </c>
      <c r="B29" t="inlineStr">
        <is>
          <t>Torrijas</t>
        </is>
      </c>
      <c r="C29" t="inlineStr">
        <is>
          <t>Temporada</t>
        </is>
      </c>
      <c r="D29" s="6" t="inlineStr">
        <is>
          <t>70/2</t>
        </is>
      </c>
      <c r="E29" s="6" t="inlineStr">
        <is>
          <t>No</t>
        </is>
      </c>
      <c r="F29" s="6" t="inlineStr">
        <is>
          <t>No</t>
        </is>
      </c>
      <c r="G29" s="24">
        <f>IF(AND($E29="Sí",$F29="No"),'Parámetros'!$B$28,"")</f>
        <v/>
      </c>
      <c r="H29" s="24">
        <f>IF(AND(OR($D29="70/2",$D29="ovoproducto"),$F29="No"),'Parámetros'!$B$29,"")</f>
        <v>8.0</v>
      </c>
      <c r="I29" s="24">
        <f>IF(AND(G29="",H29=""),"",IF(G29="",H29,IF(H29="",G29,MIN(G29,H29))))</f>
        <v>8.0</v>
      </c>
      <c r="J29" s="28" t="str">
        <f>IF(AND(G29="",H29=""),"Ni la fila 9 del art. 4.1 ni el art. 9.3 le fijan techo: vitrina de ambiente.",IF(AND(G29&lt;&gt;"",H29&lt;&gt;""),"Le aplican los DOS techos y manda el más bajo, el de la fila 9 del art. 4.1. No es un conflicto: son dos topes distintos.",IF(G29&lt;&gt;"","Manda la fila 9 del art. 4.1: producto de pastelería relleno que no es estable a temperatura ambiente.","Manda el art. 9.3: elaborado por la vía del art. 9.1.a) sin ser estable, o con ovoproducto del art. 9.2.")))</f>
        <v>Manda el art. 9.3: elaborado por la vía del art. 9.1.a) sin ser estable, o con ovoproducto del art. 9.2.</v>
      </c>
      <c r="K29" s="24">
        <f>IF(AND(OR($D29="70/2",$D29="ovoproducto"),$F29="No"),'Parámetros'!$B$30,"No aplica")</f>
        <v>24.0</v>
      </c>
      <c r="L29" s="6" t="inlineStr">
        <is>
          <t>Por declarar en tu APPCC</t>
        </is>
      </c>
      <c r="M29" t="str">
        <f>IF(I29="","Vitrina de ambiente","Vitrina refrigerada")</f>
        <v>Vitrina refrigerada</v>
      </c>
      <c r="N29" s="12" t="inlineStr">
        <is>
          <t>Tratamiento térmico de 70 °C durante 2 s en el centro del producto, o cualquier combinación equivalente (art. 9.1.a).</t>
        </is>
      </c>
      <c r="O29" s="28">
        <f>IF(AND($D29="estable a ambiente",$F29="No"),"Incoherente: has elegido la vía de producto estable y luego has dicho que no lo es","")</f>
        <v/>
      </c>
    </row>
    <row r="30" ht="40" customHeight="1">
      <c r="A30" t="inlineStr">
        <is>
          <t>TP3</t>
        </is>
      </c>
      <c r="B30" t="inlineStr">
        <is>
          <t>Buñuelos de viento</t>
        </is>
      </c>
      <c r="C30" t="inlineStr">
        <is>
          <t>Temporada</t>
        </is>
      </c>
      <c r="D30" s="6" t="inlineStr">
        <is>
          <t>70/2</t>
        </is>
      </c>
      <c r="E30" s="6" t="inlineStr">
        <is>
          <t>Sí</t>
        </is>
      </c>
      <c r="F30" s="6" t="inlineStr">
        <is>
          <t>No</t>
        </is>
      </c>
      <c r="G30" s="24">
        <f>IF(AND($E30="Sí",$F30="No"),'Parámetros'!$B$28,"")</f>
        <v>4.0</v>
      </c>
      <c r="H30" s="24">
        <f>IF(AND(OR($D30="70/2",$D30="ovoproducto"),$F30="No"),'Parámetros'!$B$29,"")</f>
        <v>8.0</v>
      </c>
      <c r="I30" s="24">
        <f>IF(AND(G30="",H30=""),"",IF(G30="",H30,IF(H30="",G30,MIN(G30,H30))))</f>
        <v>4.0</v>
      </c>
      <c r="J30" s="28" t="str">
        <f>IF(AND(G30="",H30=""),"Ni la fila 9 del art. 4.1 ni el art. 9.3 le fijan techo: vitrina de ambiente.",IF(AND(G30&lt;&gt;"",H30&lt;&gt;""),"Le aplican los DOS techos y manda el más bajo, el de la fila 9 del art. 4.1. No es un conflicto: son dos topes distintos.",IF(G30&lt;&gt;"","Manda la fila 9 del art. 4.1: producto de pastelería relleno que no es estable a temperatura ambiente.","Manda el art. 9.3: elaborado por la vía del art. 9.1.a) sin ser estable, o con ovoproducto del art. 9.2.")))</f>
        <v>Le aplican los DOS techos y manda el más bajo, el de la fila 9 del art. 4.1. No es un conflicto: son dos topes distintos.</v>
      </c>
      <c r="K30" s="24">
        <f>IF(AND(OR($D30="70/2",$D30="ovoproducto"),$F30="No"),'Parámetros'!$B$30,"No aplica")</f>
        <v>24.0</v>
      </c>
      <c r="L30" s="6" t="inlineStr">
        <is>
          <t>Por declarar en tu APPCC</t>
        </is>
      </c>
      <c r="M30" t="str">
        <f>IF(I30="","Vitrina de ambiente","Vitrina refrigerada")</f>
        <v>Vitrina refrigerada</v>
      </c>
      <c r="N30" s="12" t="inlineStr">
        <is>
          <t>Tratamiento térmico de 70 °C durante 2 s en el centro del producto, o cualquier combinación equivalente (art. 9.1.a).</t>
        </is>
      </c>
      <c r="O30" s="28">
        <f>IF(AND($D30="estable a ambiente",$F30="No"),"Incoherente: has elegido la vía de producto estable y luego has dicho que no lo es","")</f>
        <v/>
      </c>
    </row>
    <row r="31" ht="40" customHeight="1">
      <c r="A31" t="inlineStr">
        <is>
          <t>TP4</t>
        </is>
      </c>
      <c r="B31" t="inlineStr">
        <is>
          <t>Huesos de santo</t>
        </is>
      </c>
      <c r="C31" t="inlineStr">
        <is>
          <t>Temporada</t>
        </is>
      </c>
      <c r="D31" s="6" t="inlineStr">
        <is>
          <t>estable a ambiente</t>
        </is>
      </c>
      <c r="E31" s="6" t="inlineStr">
        <is>
          <t>Sí</t>
        </is>
      </c>
      <c r="F31" s="6" t="inlineStr">
        <is>
          <t>Sí</t>
        </is>
      </c>
      <c r="G31" s="24">
        <f>IF(AND($E31="Sí",$F31="No"),'Parámetros'!$B$28,"")</f>
        <v/>
      </c>
      <c r="H31" s="24">
        <f>IF(AND(OR($D31="70/2",$D31="ovoproducto"),$F31="No"),'Parámetros'!$B$29,"")</f>
        <v/>
      </c>
      <c r="I31" s="24">
        <f>IF(AND(G31="",H31=""),"",IF(G31="",H31,IF(H31="",G31,MIN(G31,H31))))</f>
        <v/>
      </c>
      <c r="J31" s="28" t="str">
        <f>IF(AND(G31="",H31=""),"Ni la fila 9 del art. 4.1 ni el art. 9.3 le fijan techo: vitrina de ambiente.",IF(AND(G31&lt;&gt;"",H31&lt;&gt;""),"Le aplican los DOS techos y manda el más bajo, el de la fila 9 del art. 4.1. No es un conflicto: son dos topes distintos.",IF(G31&lt;&gt;"","Manda la fila 9 del art. 4.1: producto de pastelería relleno que no es estable a temperatura ambiente.","Manda el art. 9.3: elaborado por la vía del art. 9.1.a) sin ser estable, o con ovoproducto del art. 9.2.")))</f>
        <v>Ni la fila 9 del art. 4.1 ni el art. 9.3 le fijan techo: vitrina de ambiente.</v>
      </c>
      <c r="K31" s="24" t="str">
        <f>IF(AND(OR($D31="70/2",$D31="ovoproducto"),$F31="No"),'Parámetros'!$B$30,"No aplica")</f>
        <v>No aplica</v>
      </c>
      <c r="L31" s="6" t="inlineStr">
        <is>
          <t>Por declarar en tu APPCC</t>
        </is>
      </c>
      <c r="M31" t="str">
        <f>IF(I31="","Vitrina de ambiente","Vitrina refrigerada")</f>
        <v>Vitrina de ambiente</v>
      </c>
      <c r="N31" s="12" t="inlineStr">
        <is>
          <t>Vía 1.a) y el producto terminado ES estable a temperatura ambiente: el art. 9.3 no le fija ni temperatura ni plazo, y la fila 9 del art. 4.1 lo exceptúa aunque vaya relleno.</t>
        </is>
      </c>
      <c r="O31" s="28">
        <f>IF(AND($D31="estable a ambiente",$F31="No"),"Incoherente: has elegido la vía de producto estable y luego has dicho que no lo es","")</f>
        <v/>
      </c>
    </row>
    <row r="32" ht="40" customHeight="1">
      <c r="A32" t="inlineStr">
        <is>
          <t>TP5</t>
        </is>
      </c>
      <c r="B32" t="inlineStr">
        <is>
          <t>Panellets</t>
        </is>
      </c>
      <c r="C32" t="inlineStr">
        <is>
          <t>Temporada</t>
        </is>
      </c>
      <c r="D32" s="6" t="inlineStr">
        <is>
          <t>estable a ambiente</t>
        </is>
      </c>
      <c r="E32" s="6" t="inlineStr">
        <is>
          <t>No</t>
        </is>
      </c>
      <c r="F32" s="6" t="inlineStr">
        <is>
          <t>Sí</t>
        </is>
      </c>
      <c r="G32" s="24">
        <f>IF(AND($E32="Sí",$F32="No"),'Parámetros'!$B$28,"")</f>
        <v/>
      </c>
      <c r="H32" s="24">
        <f>IF(AND(OR($D32="70/2",$D32="ovoproducto"),$F32="No"),'Parámetros'!$B$29,"")</f>
        <v/>
      </c>
      <c r="I32" s="24">
        <f>IF(AND(G32="",H32=""),"",IF(G32="",H32,IF(H32="",G32,MIN(G32,H32))))</f>
        <v/>
      </c>
      <c r="J32" s="28" t="str">
        <f>IF(AND(G32="",H32=""),"Ni la fila 9 del art. 4.1 ni el art. 9.3 le fijan techo: vitrina de ambiente.",IF(AND(G32&lt;&gt;"",H32&lt;&gt;""),"Le aplican los DOS techos y manda el más bajo, el de la fila 9 del art. 4.1. No es un conflicto: son dos topes distintos.",IF(G32&lt;&gt;"","Manda la fila 9 del art. 4.1: producto de pastelería relleno que no es estable a temperatura ambiente.","Manda el art. 9.3: elaborado por la vía del art. 9.1.a) sin ser estable, o con ovoproducto del art. 9.2.")))</f>
        <v>Ni la fila 9 del art. 4.1 ni el art. 9.3 le fijan techo: vitrina de ambiente.</v>
      </c>
      <c r="K32" s="24" t="str">
        <f>IF(AND(OR($D32="70/2",$D32="ovoproducto"),$F32="No"),'Parámetros'!$B$30,"No aplica")</f>
        <v>No aplica</v>
      </c>
      <c r="L32" s="6" t="inlineStr">
        <is>
          <t>Por declarar en tu APPCC</t>
        </is>
      </c>
      <c r="M32" t="str">
        <f>IF(I32="","Vitrina de ambiente","Vitrina refrigerada")</f>
        <v>Vitrina de ambiente</v>
      </c>
      <c r="N32" s="12" t="inlineStr">
        <is>
          <t>Vía 1.a) y el producto terminado ES estable a temperatura ambiente: el art. 9.3 no le fija ni temperatura ni plazo, y la fila 9 del art. 4.1 lo exceptúa aunque vaya relleno.</t>
        </is>
      </c>
      <c r="O32" s="28">
        <f>IF(AND($D32="estable a ambiente",$F32="No"),"Incoherente: has elegido la vía de producto estable y luego has dicho que no lo es","")</f>
        <v/>
      </c>
    </row>
    <row r="33" ht="40" customHeight="1">
      <c r="A33" t="inlineStr">
        <is>
          <t>TP6</t>
        </is>
      </c>
      <c r="B33" t="inlineStr">
        <is>
          <t>Polvorón o mantecado</t>
        </is>
      </c>
      <c r="C33" t="inlineStr">
        <is>
          <t>Temporada</t>
        </is>
      </c>
      <c r="D33" s="6" t="inlineStr">
        <is>
          <t>sin huevo</t>
        </is>
      </c>
      <c r="E33" s="6" t="inlineStr">
        <is>
          <t>No</t>
        </is>
      </c>
      <c r="F33" s="6" t="inlineStr">
        <is>
          <t>Sí</t>
        </is>
      </c>
      <c r="G33" s="24">
        <f>IF(AND($E33="Sí",$F33="No"),'Parámetros'!$B$28,"")</f>
        <v/>
      </c>
      <c r="H33" s="24">
        <f>IF(AND(OR($D33="70/2",$D33="ovoproducto"),$F33="No"),'Parámetros'!$B$29,"")</f>
        <v/>
      </c>
      <c r="I33" s="24">
        <f>IF(AND(G33="",H33=""),"",IF(G33="",H33,IF(H33="",G33,MIN(G33,H33))))</f>
        <v/>
      </c>
      <c r="J33" s="28" t="str">
        <f>IF(AND(G33="",H33=""),"Ni la fila 9 del art. 4.1 ni el art. 9.3 le fijan techo: vitrina de ambiente.",IF(AND(G33&lt;&gt;"",H33&lt;&gt;""),"Le aplican los DOS techos y manda el más bajo, el de la fila 9 del art. 4.1. No es un conflicto: son dos topes distintos.",IF(G33&lt;&gt;"","Manda la fila 9 del art. 4.1: producto de pastelería relleno que no es estable a temperatura ambiente.","Manda el art. 9.3: elaborado por la vía del art. 9.1.a) sin ser estable, o con ovoproducto del art. 9.2.")))</f>
        <v>Ni la fila 9 del art. 4.1 ni el art. 9.3 le fijan techo: vitrina de ambiente.</v>
      </c>
      <c r="K33" s="24" t="str">
        <f>IF(AND(OR($D33="70/2",$D33="ovoproducto"),$F33="No"),'Parámetros'!$B$30,"No aplica")</f>
        <v>No aplica</v>
      </c>
      <c r="L33" s="6" t="inlineStr">
        <is>
          <t>Por declarar en tu APPCC</t>
        </is>
      </c>
      <c r="M33" t="str">
        <f>IF(I33="","Vitrina de ambiente","Vitrina refrigerada")</f>
        <v>Vitrina de ambiente</v>
      </c>
      <c r="N33" s="12" t="inlineStr">
        <is>
          <t>La elaboración no lleva huevo en ninguna forma: el art. 9 no le aplica.</t>
        </is>
      </c>
      <c r="O33" s="28">
        <f>IF(AND($D33="estable a ambiente",$F33="No"),"Incoherente: has elegido la vía de producto estable y luego has dicho que no lo es","")</f>
        <v/>
      </c>
    </row>
    <row r="34" ht="40" customHeight="1">
      <c r="A34" t="inlineStr">
        <is>
          <t>TP7</t>
        </is>
      </c>
      <c r="B34" t="inlineStr">
        <is>
          <t>Turrón de almendra</t>
        </is>
      </c>
      <c r="C34" t="inlineStr">
        <is>
          <t>Temporada</t>
        </is>
      </c>
      <c r="D34" s="6" t="inlineStr">
        <is>
          <t>estable a ambiente</t>
        </is>
      </c>
      <c r="E34" s="6" t="inlineStr">
        <is>
          <t>No</t>
        </is>
      </c>
      <c r="F34" s="6" t="inlineStr">
        <is>
          <t>Sí</t>
        </is>
      </c>
      <c r="G34" s="24">
        <f>IF(AND($E34="Sí",$F34="No"),'Parámetros'!$B$28,"")</f>
        <v/>
      </c>
      <c r="H34" s="24">
        <f>IF(AND(OR($D34="70/2",$D34="ovoproducto"),$F34="No"),'Parámetros'!$B$29,"")</f>
        <v/>
      </c>
      <c r="I34" s="24">
        <f>IF(AND(G34="",H34=""),"",IF(G34="",H34,IF(H34="",G34,MIN(G34,H34))))</f>
        <v/>
      </c>
      <c r="J34" s="28" t="str">
        <f>IF(AND(G34="",H34=""),"Ni la fila 9 del art. 4.1 ni el art. 9.3 le fijan techo: vitrina de ambiente.",IF(AND(G34&lt;&gt;"",H34&lt;&gt;""),"Le aplican los DOS techos y manda el más bajo, el de la fila 9 del art. 4.1. No es un conflicto: son dos topes distintos.",IF(G34&lt;&gt;"","Manda la fila 9 del art. 4.1: producto de pastelería relleno que no es estable a temperatura ambiente.","Manda el art. 9.3: elaborado por la vía del art. 9.1.a) sin ser estable, o con ovoproducto del art. 9.2.")))</f>
        <v>Ni la fila 9 del art. 4.1 ni el art. 9.3 le fijan techo: vitrina de ambiente.</v>
      </c>
      <c r="K34" s="24" t="str">
        <f>IF(AND(OR($D34="70/2",$D34="ovoproducto"),$F34="No"),'Parámetros'!$B$30,"No aplica")</f>
        <v>No aplica</v>
      </c>
      <c r="L34" s="6" t="inlineStr">
        <is>
          <t>Por declarar en tu APPCC</t>
        </is>
      </c>
      <c r="M34" t="str">
        <f>IF(I34="","Vitrina de ambiente","Vitrina refrigerada")</f>
        <v>Vitrina de ambiente</v>
      </c>
      <c r="N34" s="12" t="inlineStr">
        <is>
          <t>Vía 1.a) y el producto terminado ES estable a temperatura ambiente: el art. 9.3 no le fija ni temperatura ni plazo, y la fila 9 del art. 4.1 lo exceptúa aunque vaya relleno.</t>
        </is>
      </c>
      <c r="O34" s="28">
        <f>IF(AND($D34="estable a ambiente",$F34="No"),"Incoherente: has elegido la vía de producto estable y luego has dicho que no lo es","")</f>
        <v/>
      </c>
    </row>
    <row r="35" ht="40" customHeight="1">
      <c r="A35" t="inlineStr">
        <is>
          <t>TP8</t>
        </is>
      </c>
      <c r="B35" t="inlineStr">
        <is>
          <t>Mona de Pascua</t>
        </is>
      </c>
      <c r="C35" t="inlineStr">
        <is>
          <t>Temporada</t>
        </is>
      </c>
      <c r="D35" s="6" t="inlineStr">
        <is>
          <t>estable a ambiente</t>
        </is>
      </c>
      <c r="E35" s="6" t="inlineStr">
        <is>
          <t>No</t>
        </is>
      </c>
      <c r="F35" s="6" t="inlineStr">
        <is>
          <t>Sí</t>
        </is>
      </c>
      <c r="G35" s="24">
        <f>IF(AND($E35="Sí",$F35="No"),'Parámetros'!$B$28,"")</f>
        <v/>
      </c>
      <c r="H35" s="24">
        <f>IF(AND(OR($D35="70/2",$D35="ovoproducto"),$F35="No"),'Parámetros'!$B$29,"")</f>
        <v/>
      </c>
      <c r="I35" s="24">
        <f>IF(AND(G35="",H35=""),"",IF(G35="",H35,IF(H35="",G35,MIN(G35,H35))))</f>
        <v/>
      </c>
      <c r="J35" s="28" t="str">
        <f>IF(AND(G35="",H35=""),"Ni la fila 9 del art. 4.1 ni el art. 9.3 le fijan techo: vitrina de ambiente.",IF(AND(G35&lt;&gt;"",H35&lt;&gt;""),"Le aplican los DOS techos y manda el más bajo, el de la fila 9 del art. 4.1. No es un conflicto: son dos topes distintos.",IF(G35&lt;&gt;"","Manda la fila 9 del art. 4.1: producto de pastelería relleno que no es estable a temperatura ambiente.","Manda el art. 9.3: elaborado por la vía del art. 9.1.a) sin ser estable, o con ovoproducto del art. 9.2.")))</f>
        <v>Ni la fila 9 del art. 4.1 ni el art. 9.3 le fijan techo: vitrina de ambiente.</v>
      </c>
      <c r="K35" s="24" t="str">
        <f>IF(AND(OR($D35="70/2",$D35="ovoproducto"),$F35="No"),'Parámetros'!$B$30,"No aplica")</f>
        <v>No aplica</v>
      </c>
      <c r="L35" s="6" t="inlineStr">
        <is>
          <t>Por declarar en tu APPCC</t>
        </is>
      </c>
      <c r="M35" t="str">
        <f>IF(I35="","Vitrina de ambiente","Vitrina refrigerada")</f>
        <v>Vitrina de ambiente</v>
      </c>
      <c r="N35" s="12" t="inlineStr">
        <is>
          <t>Vía 1.a) y el producto terminado ES estable a temperatura ambiente: el art. 9.3 no le fija ni temperatura ni plazo, y la fila 9 del art. 4.1 lo exceptúa aunque vaya relleno.</t>
        </is>
      </c>
      <c r="O35" s="28">
        <f>IF(AND($D35="estable a ambiente",$F35="No"),"Incoherente: has elegido la vía de producto estable y luego has dicho que no lo es","")</f>
        <v/>
      </c>
    </row>
    <row r="36"/>
    <row r="37">
      <c r="A37" s="4" t="inlineStr">
        <is>
          <t>Lo que sale de esta hoja</t>
        </is>
      </c>
    </row>
    <row r="38" ht="26" customHeight="1">
      <c r="B38" t="inlineStr">
        <is>
          <t>Referencias que necesitan vitrina REFRIGERADA</t>
        </is>
      </c>
      <c r="G38" s="19">
        <f>COUNTIF(M6:M35,"Vitrina refrigerada")</f>
        <v>15.0</v>
      </c>
      <c r="J38" s="12" t="inlineStr">
        <is>
          <t>Cuántos metros de vitrina refrigerada tienes que comprar lo decide esta cuenta, no el gusto.</t>
        </is>
      </c>
    </row>
    <row r="39" ht="26" customHeight="1">
      <c r="B39" t="inlineStr">
        <is>
          <t>Referencias que van en vitrina de AMBIENTE</t>
        </is>
      </c>
      <c r="G39" s="19">
        <f>COUNTIF(M6:M35,"Vitrina de ambiente")</f>
        <v>15.0</v>
      </c>
      <c r="J39" s="12" t="inlineStr">
        <is>
          <t>Palmeras, Sacher, huesos de santo, turrón y panes. Son las que se pueden adelantar y las que aguantan el pico.</t>
        </is>
      </c>
    </row>
    <row r="40" ht="26" customHeight="1">
      <c r="B40" t="inlineStr">
        <is>
          <t>Referencias con el techo de la fila 9 del art. 4.1</t>
        </is>
      </c>
      <c r="G40" s="19">
        <f>SUMPRODUCT(--(G6:G35&lt;&gt;""))</f>
        <v>13.0</v>
      </c>
      <c r="J40" s="12" t="inlineStr">
        <is>
          <t>Producto relleno que no es estable a temperatura ambiente.</t>
        </is>
      </c>
    </row>
    <row r="41" ht="26" customHeight="1">
      <c r="B41" t="inlineStr">
        <is>
          <t>Referencias con el techo del art. 9.3</t>
        </is>
      </c>
      <c r="G41" s="19">
        <f>SUMPRODUCT(--(H6:H35&lt;&gt;""))</f>
        <v>15.0</v>
      </c>
      <c r="J41" s="12" t="inlineStr">
        <is>
          <t>Vía del art. 9.1.a) sin ser estable, u ovoproducto del art. 9.2.</t>
        </is>
      </c>
    </row>
    <row r="42" ht="26" customHeight="1">
      <c r="B42" t="inlineStr">
        <is>
          <t>Referencias a las que aplican LOS DOS techos</t>
        </is>
      </c>
      <c r="G42" s="19">
        <f>SUMPRODUCT(--(G6:G35&lt;&gt;""),--(H6:H35&lt;&gt;""))</f>
        <v>13.0</v>
      </c>
      <c r="J42" s="12" t="inlineStr">
        <is>
          <t>Aquí manda el más bajo. Es el caso que la SERP vende como «conflicto sin resolver» y no lo es.</t>
        </is>
      </c>
    </row>
    <row r="43" ht="26" customHeight="1">
      <c r="B43" t="inlineStr">
        <is>
          <t>Referencias con plazo legal de 24 horas</t>
        </is>
      </c>
      <c r="G43" s="19">
        <f>SUMPRODUCT(--(K6:K35&lt;&gt;"No aplica"))</f>
        <v>15.0</v>
      </c>
      <c r="J43" s="12" t="inlineStr">
        <is>
          <t>Con registro de fecha y hora de elaboración. Es la obligación del art. 9.3 que casi nadie cuenta.</t>
        </is>
      </c>
    </row>
    <row r="44" ht="26" customHeight="1">
      <c r="B44" t="inlineStr">
        <is>
          <t>Referencias que no llevan huevo en ninguna forma</t>
        </is>
      </c>
      <c r="G44" s="19">
        <f>COUNTIF(D6:D35,"sin huevo")</f>
        <v>6.0</v>
      </c>
      <c r="J44" s="12" t="inlineStr">
        <is>
          <t>El art. 9 no les aplica.</t>
        </is>
      </c>
    </row>
    <row r="45" ht="26" customHeight="1">
      <c r="B45" t="inlineStr">
        <is>
          <t>Referencias por la vía 63/20 con consumo inmediato</t>
        </is>
      </c>
      <c r="G45" s="19">
        <f>COUNTIF(D6:D35,"63/20")</f>
        <v>0.0</v>
      </c>
      <c r="J45" s="12" t="inlineStr">
        <is>
          <t>Debería salir cero: la vía del art. 9.1.b) es la de los huevos fritos y las tortillas, no la de la pastelería. Está en la lista para que sepas que existe y que NO es tuya.</t>
        </is>
      </c>
    </row>
    <row r="46"/>
    <row r="47"/>
    <row r="48"/>
    <row r="49">
      <c r="A49" s="29" t="inlineStr">
        <is>
          <t>Listas de los desplegables (no se tocan)</t>
        </is>
      </c>
    </row>
    <row r="50">
      <c r="A50" t="inlineStr">
        <is>
          <t>70/2</t>
        </is>
      </c>
      <c r="B50" s="12" t="inlineStr">
        <is>
          <t>Tratamiento térmico de 70 °C durante 2 s en el centro del producto, o cualquier combinación equivalente (art. 9.1.a).</t>
        </is>
      </c>
      <c r="D50" t="inlineStr">
        <is>
          <t>Sí</t>
        </is>
      </c>
    </row>
    <row r="51">
      <c r="A51" t="inlineStr">
        <is>
          <t>63/20</t>
        </is>
      </c>
      <c r="B51" s="12" t="inlineStr">
        <is>
          <t>63 °C durante 20 s en el centro Y servido para consumo inmediato (art. 9.1.b): huevos fritos, tortillas. No es una vía de pastelería.</t>
        </is>
      </c>
      <c r="D51" t="inlineStr">
        <is>
          <t>No</t>
        </is>
      </c>
    </row>
    <row r="52">
      <c r="A52" t="inlineStr">
        <is>
          <t>ovoproducto</t>
        </is>
      </c>
      <c r="B52" s="12" t="inlineStr">
        <is>
          <t>El producto se consume sin un tratamiento térmico que cumpla el apartado 1, así que el huevo crudo se sustituye por ovoproducto de establecimiento autorizado (art. 9.2).</t>
        </is>
      </c>
    </row>
    <row r="53">
      <c r="A53" t="inlineStr">
        <is>
          <t>sin huevo</t>
        </is>
      </c>
      <c r="B53" s="12" t="inlineStr">
        <is>
          <t>La elaboración no lleva huevo en ninguna forma: el art. 9 no le aplica.</t>
        </is>
      </c>
    </row>
    <row r="54">
      <c r="A54" t="inlineStr">
        <is>
          <t>estable a ambiente</t>
        </is>
      </c>
      <c r="B54" s="12" t="inlineStr">
        <is>
          <t>Vía 1.a) y el producto terminado ES estable a temperatura ambiente: el art. 9.3 no le fija ni temperatura ni plazo, y la fila 9 del art. 4.1 lo exceptúa aunque vaya relleno.</t>
        </is>
      </c>
    </row>
    <row r="55"/>
    <row r="56"/>
    <row r="57" ht="56" customHeight="1">
      <c r="A57" s="21" t="inlineStr">
        <is>
          <t>CÓMO SE LEE ESTA HOJA. Eliges la vía legal del huevo, dices si la pieza va rellena y si el producto TERMINADO es estable a temperatura ambiente. Con eso el libro te devuelve la temperatura a la que tienes que conservarla, cuál de los dos artículos manda y si te aplica el plazo de 24 horas. Nada más, y nada menos.</t>
        </is>
      </c>
    </row>
    <row r="58" ht="56" customHeight="1">
      <c r="A58" s="21" t="inlineStr">
        <is>
          <t>LA VIDA ÚTIL ES TUYA. La columna L viene con el texto «Por declarar en tu APPCC» a propósito: el RD 1021/2022 NO establece vidas útiles y este libro no se las va a inventar para tus 30 referencias. La fijas tú, con tu proceso y tus analíticas, y tiene que constar en tu plan de APPCC. El plazo del art. 9.3 de la columna K es otra cosa: es legal, es de 24 horas y sólo alcanza a lo que dice el artículo.</t>
        </is>
      </c>
    </row>
    <row r="59" ht="56" customHeight="1">
      <c r="A59" s="21" t="inlineStr">
        <is>
          <t>LO QUE ESTA HOJA CAMBIA EN TU DINERO. Cada referencia que sale «Vitrina refrigerada» son metros de mueble frigorífico que hay que comprar, y cada una con plazo de 24 horas es producto que no se puede adelantar: hay que hacerlo el mismo día, también el 5 de enero. Por eso esta hoja se lee ANTES de cerrar la carta y ANTES de comprar la vitrina.</t>
        </is>
      </c>
    </row>
    <row r="60" ht="56" customHeight="1">
      <c r="A60" s="21" t="inlineStr">
        <is>
          <t>DÓNDE NO ESTÁ LO DEMÁS. Los alérgenos de vitrina son el «12-control-alergenos-vitrina.xlsx» del Kit de Tareas Pastelería y el «08» del Pack APPCC; el registro diario de temperaturas y de vidas útiles es el «13-registro-temperaturas-recepcion.xlsx» del mismo kit. Este libro no los rehace: hace la decisión previa, que no está en ningún fichero del catálogo.</t>
        </is>
      </c>
    </row>
    <row r="61" ht="56" customHeight="1">
      <c r="A61" s="21" t="inlineStr">
        <is>
          <t>LA NORMA DEROGADA QUE SIGUE VIVA EN INTERNET. Casi todo lo que vas a leer sobre «huevo a 8 °C y 24 horas» cita el RD 1254/1991, derogado el 22 de diciembre de 2022. Y en producto relleno no estable no mandan los 8 °C: mandan los 4 °C de la fila 9 del art. 4.1. Cada celda con dato legal de esta hoja lleva su nota con la norma, el artículo y el enlace al BOE, verificados el 10-09-2026.</t>
        </is>
      </c>
    </row>
    <row r="62" ht="56" customHeight="1">
      <c r="A62" s="21" t="inlineStr">
        <is>
          <t>ALCANCE LEGAL DE ESTA HOJA: QUÉ NO RESUELVE Y POR QUÉ. La congelación (PA-13, art. 5) es del PROCESO, no de la vitrina: va en el APPCC y en el «13-registro-temperaturas-recepcion.xlsx» del Kit de Tareas, no aquí. Los 14 alérgenos (PA-21) tienen su propia matriz dedicada, el «12-control-alergenos-vitrina.xlsx»: repetirlos en esta tabla sería mantener el mismo dato en dos sitios y que se desincronicen. El RD 496/2010 de calidad (PA-24) fija denominaciones y composición, no temperaturas ni plazos: no cambia ni una celda de esta hoja. Y el RD 308/2019 del pan (PA-25) sólo aplica si tu carta incluye pan de verdad, cosa que decides en el libro 6, no aquí.</t>
        </is>
      </c>
    </row>
    <row r="63"/>
    <row r="64">
      <c r="A64" s="7"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6">
    <mergeCell ref="A60:N60"/>
    <mergeCell ref="A59:N59"/>
    <mergeCell ref="A61:N61"/>
    <mergeCell ref="A62:N62"/>
    <mergeCell ref="A57:N57"/>
    <mergeCell ref="A58:N58"/>
  </mergeCells>
  <conditionalFormatting sqref="O6:O35">
    <cfRule type="expression" priority="1" dxfId="0" stopIfTrue="1">
      <formula>=$O6&lt;&gt;""</formula>
    </cfRule>
  </conditionalFormatting>
  <dataValidations count="2">
    <dataValidation sqref="D6 D7 D8 D9 D10 D11 D12 D13 D14 D15 D16 D17 D18 D19 D20 D21 D22 D23 D24 D25 D26 D27 D28 D29 D30 D31 D32 D33 D34 D35" showDropDown="0" showInputMessage="0" showErrorMessage="1" allowBlank="0" errorTitle="Vía legal del huevo" error="Elige una de las cinco vías del art. 9 del RD 1021/2022 de la lista." type="list">
      <formula1>'Decisión de Huevo y Temperatura'!$A$50:$A$54</formula1>
    </dataValidation>
    <dataValidation sqref="E6 E7 E8 E9 E10 E11 E12 E13 E14 E15 E16 E17 E18 E19 E20 E21 E22 E23 E24 E25 E26 E27 E28 E29 E30 E31 E32 E33 E34 E35 F6 F7 F8 F9 F10 F11 F12 F13 F14 F15 F16 F17 F18 F19 F20 F21 F22 F23 F24 F25 F26 F27 F28 F29 F30 F31 F32 F33 F34 F35" showDropDown="0" showInputMessage="0" showErrorMessage="1" allowBlank="0" errorTitle="Sí o No" error="Elige «Sí» o «No» de la lista." type="list">
      <formula1>'Decisión de Huevo y Temperatura'!$D$50:$D$51</formula1>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M53"/>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28" customWidth="1" min="2" max="2"/>
    <col width="19" customWidth="1" min="3" max="3"/>
    <col width="11" customWidth="1" min="4" max="4"/>
    <col width="11" customWidth="1" min="5" max="5"/>
    <col width="11" customWidth="1" min="6" max="6"/>
    <col width="12" customWidth="1" min="7" max="7"/>
    <col width="12" customWidth="1" min="8" max="8"/>
    <col width="12" customWidth="1" min="9" max="9"/>
    <col width="12" customWidth="1" min="10" max="10"/>
    <col width="12" customWidth="1" min="11" max="11"/>
    <col width="11" customWidth="1" min="12" max="12"/>
    <col width="56" customWidth="1" min="13" max="13"/>
  </cols>
  <sheetData>
    <row r="1">
      <c r="A1" s="1" t="inlineStr">
        <is>
          <t>Mix y Ticket Medio</t>
        </is>
      </c>
    </row>
    <row r="2">
      <c r="A2" s="2" t="inlineStr">
        <is>
          <t>AI Chef Pro · aichef.pro — Cómo Montar una Pastelería</t>
        </is>
      </c>
    </row>
    <row r="3">
      <c r="A3" s="3" t="inlineStr">
        <is>
          <t>No existe un ticket medio publicado de pastelería. El tuyo se calcula desde tu carta y tu mix.</t>
        </is>
      </c>
    </row>
    <row r="4"/>
    <row r="5" ht="42" customHeight="1">
      <c r="A5" s="8" t="inlineStr">
        <is>
          <t>Ref</t>
        </is>
      </c>
      <c r="B5" s="8" t="inlineStr">
        <is>
          <t>Referencia</t>
        </is>
      </c>
      <c r="C5" s="8" t="inlineStr">
        <is>
          <t>Familia</t>
        </is>
      </c>
      <c r="D5" s="8" t="inlineStr">
        <is>
          <t>Mix (% de las unidades)</t>
        </is>
      </c>
      <c r="E5" s="8" t="inlineStr">
        <is>
          <t>PVP con IVA (€)</t>
        </is>
      </c>
      <c r="F5" s="8" t="inlineStr">
        <is>
          <t>PVP sin IVA (€)</t>
        </is>
      </c>
      <c r="G5" s="8" t="inlineStr">
        <is>
          <t>Aporte al PVP medio con IVA (€)</t>
        </is>
      </c>
      <c r="H5" s="8" t="inlineStr">
        <is>
          <t>Aporte al ticket medio (€)</t>
        </is>
      </c>
      <c r="I5" s="8" t="inlineStr">
        <is>
          <t>Ingresos relativos sin IVA</t>
        </is>
      </c>
      <c r="J5" s="8" t="inlineStr">
        <is>
          <t>Materia relativa</t>
        </is>
      </c>
      <c r="K5" s="8" t="inlineStr">
        <is>
          <t>Margen relativo</t>
        </is>
      </c>
      <c r="L5" s="8" t="inlineStr">
        <is>
          <t>Food cost de la referencia</t>
        </is>
      </c>
      <c r="M5" s="8" t="inlineStr">
        <is>
          <t>Qué aporta esta referencia</t>
        </is>
      </c>
    </row>
    <row r="6">
      <c r="A6" t="inlineStr">
        <is>
          <t>B1</t>
        </is>
      </c>
      <c r="B6" t="inlineStr">
        <is>
          <t>Croissant de mantequilla</t>
        </is>
      </c>
      <c r="C6" t="inlineStr">
        <is>
          <t>Bollería</t>
        </is>
      </c>
      <c r="D6" s="9" t="n">
        <v>12</v>
      </c>
      <c r="E6" s="11">
        <f>'Coste Hora y Mano de Obra'!L6</f>
        <v>1.6</v>
      </c>
      <c r="F6" s="11">
        <f>'Coste Hora y Mano de Obra'!N6</f>
        <v>1.4545454545454546</v>
      </c>
      <c r="G6" s="11">
        <f>IFERROR(E6*D6/100,"")</f>
        <v>0.19200000000000003</v>
      </c>
      <c r="H6" s="11">
        <f>IFERROR(G6*'Parámetros'!$B$36,"")</f>
        <v>0.4992000000000001</v>
      </c>
      <c r="I6" s="11">
        <f>IFERROR(F6*D6/100,"")</f>
        <v>0.17454545454545453</v>
      </c>
      <c r="J6" s="11">
        <f>IFERROR('Escandallo por Tanda'!G236*D6/100,"")</f>
        <v>0.02830021020085592</v>
      </c>
      <c r="K6" s="11">
        <f>IFERROR('Coste Hora y Mano de Obra'!Q6*D6/100,"")</f>
        <v>0.04758673218332959</v>
      </c>
      <c r="L6" s="27">
        <f>'Coste Hora y Mano de Obra'!O6</f>
        <v>0.16213662094240372</v>
      </c>
    </row>
    <row r="7">
      <c r="A7" t="inlineStr">
        <is>
          <t>B2</t>
        </is>
      </c>
      <c r="B7" t="inlineStr">
        <is>
          <t>Pain au chocolat</t>
        </is>
      </c>
      <c r="C7" t="inlineStr">
        <is>
          <t>Bollería</t>
        </is>
      </c>
      <c r="D7" s="9" t="n">
        <v>8</v>
      </c>
      <c r="E7" s="11">
        <f>'Coste Hora y Mano de Obra'!L7</f>
        <v>1.85</v>
      </c>
      <c r="F7" s="11">
        <f>'Coste Hora y Mano de Obra'!N7</f>
        <v>1.6818181818181817</v>
      </c>
      <c r="G7" s="11">
        <f>IFERROR(E7*D7/100,"")</f>
        <v>0.14800000000000002</v>
      </c>
      <c r="H7" s="11">
        <f>IFERROR(G7*'Parámetros'!$B$36,"")</f>
        <v>0.3848000000000001</v>
      </c>
      <c r="I7" s="11">
        <f>IFERROR(F7*D7/100,"")</f>
        <v>0.13454545454545452</v>
      </c>
      <c r="J7" s="11">
        <f>IFERROR('Escandallo por Tanda'!G237*D7/100,"")</f>
        <v>0.03356068435159102</v>
      </c>
      <c r="K7" s="11">
        <f>IFERROR('Coste Hora y Mano de Obra'!Q7*D7/100,"")</f>
        <v>0.035212428753017486</v>
      </c>
      <c r="L7" s="27">
        <f>'Coste Hora y Mano de Obra'!O7</f>
        <v>0.24943751882939275</v>
      </c>
    </row>
    <row r="8">
      <c r="A8" t="inlineStr">
        <is>
          <t>B3</t>
        </is>
      </c>
      <c r="B8" t="inlineStr">
        <is>
          <t>Napolitana de crema</t>
        </is>
      </c>
      <c r="C8" t="inlineStr">
        <is>
          <t>Bollería</t>
        </is>
      </c>
      <c r="D8" s="9" t="n">
        <v>7</v>
      </c>
      <c r="E8" s="11">
        <f>'Coste Hora y Mano de Obra'!L8</f>
        <v>1.85</v>
      </c>
      <c r="F8" s="11">
        <f>'Coste Hora y Mano de Obra'!N8</f>
        <v>1.6818181818181817</v>
      </c>
      <c r="G8" s="11">
        <f>IFERROR(E8*D8/100,"")</f>
        <v>0.1295</v>
      </c>
      <c r="H8" s="11">
        <f>IFERROR(G8*'Parámetros'!$B$36,"")</f>
        <v>0.3367</v>
      </c>
      <c r="I8" s="11">
        <f>IFERROR(F8*D8/100,"")</f>
        <v>0.11772727272727272</v>
      </c>
      <c r="J8" s="11">
        <f>IFERROR('Escandallo por Tanda'!G238*D8/100,"")</f>
        <v>0.024684598807642143</v>
      </c>
      <c r="K8" s="11">
        <f>IFERROR('Coste Hora y Mano de Obra'!Q8*D8/100,"")</f>
        <v>0.025028093566028437</v>
      </c>
      <c r="L8" s="27">
        <f>'Coste Hora y Mano de Obra'!O8</f>
        <v>0.20967612886800277</v>
      </c>
    </row>
    <row r="9">
      <c r="A9" t="inlineStr">
        <is>
          <t>B4</t>
        </is>
      </c>
      <c r="B9" t="inlineStr">
        <is>
          <t>Palmera de hojaldre</t>
        </is>
      </c>
      <c r="C9" t="inlineStr">
        <is>
          <t>Bollería</t>
        </is>
      </c>
      <c r="D9" s="9" t="n">
        <v>4.5</v>
      </c>
      <c r="E9" s="11">
        <f>'Coste Hora y Mano de Obra'!L9</f>
        <v>1.7</v>
      </c>
      <c r="F9" s="11">
        <f>'Coste Hora y Mano de Obra'!N9</f>
        <v>1.5454545454545452</v>
      </c>
      <c r="G9" s="11">
        <f>IFERROR(E9*D9/100,"")</f>
        <v>0.0765</v>
      </c>
      <c r="H9" s="11">
        <f>IFERROR(G9*'Parámetros'!$B$36,"")</f>
        <v>0.1989</v>
      </c>
      <c r="I9" s="11">
        <f>IFERROR(F9*D9/100,"")</f>
        <v>0.06954545454545454</v>
      </c>
      <c r="J9" s="11">
        <f>IFERROR('Escandallo por Tanda'!G239*D9/100,"")</f>
        <v>0.009876178174653994</v>
      </c>
      <c r="K9" s="11">
        <f>IFERROR('Coste Hora y Mano de Obra'!Q9*D9/100,"")</f>
        <v>0.0372468872432394</v>
      </c>
      <c r="L9" s="27">
        <f>'Coste Hora y Mano de Obra'!O9</f>
        <v>0.14201040512574373</v>
      </c>
    </row>
    <row r="10">
      <c r="A10" t="inlineStr">
        <is>
          <t>B5</t>
        </is>
      </c>
      <c r="B10" t="inlineStr">
        <is>
          <t>Caracola de pasas</t>
        </is>
      </c>
      <c r="C10" t="inlineStr">
        <is>
          <t>Bollería</t>
        </is>
      </c>
      <c r="D10" s="9" t="n">
        <v>3.5</v>
      </c>
      <c r="E10" s="11">
        <f>'Coste Hora y Mano de Obra'!L10</f>
        <v>1.85</v>
      </c>
      <c r="F10" s="11">
        <f>'Coste Hora y Mano de Obra'!N10</f>
        <v>1.6818181818181817</v>
      </c>
      <c r="G10" s="11">
        <f>IFERROR(E10*D10/100,"")</f>
        <v>0.06475</v>
      </c>
      <c r="H10" s="11">
        <f>IFERROR(G10*'Parámetros'!$B$36,"")</f>
        <v>0.16835</v>
      </c>
      <c r="I10" s="11">
        <f>IFERROR(F10*D10/100,"")</f>
        <v>0.05886363636363636</v>
      </c>
      <c r="J10" s="11">
        <f>IFERROR('Escandallo por Tanda'!G240*D10/100,"")</f>
        <v>0.010718658638696697</v>
      </c>
      <c r="K10" s="11">
        <f>IFERROR('Coste Hora y Mano de Obra'!Q10*D10/100,"")</f>
        <v>0.01675363294635406</v>
      </c>
      <c r="L10" s="27">
        <f>'Coste Hora y Mano de Obra'!O10</f>
        <v>0.18209304251067748</v>
      </c>
    </row>
    <row r="11">
      <c r="A11" t="inlineStr">
        <is>
          <t>B6</t>
        </is>
      </c>
      <c r="B11" t="inlineStr">
        <is>
          <t>Ensaimada</t>
        </is>
      </c>
      <c r="C11" t="inlineStr">
        <is>
          <t>Bollería</t>
        </is>
      </c>
      <c r="D11" s="9" t="n">
        <v>3</v>
      </c>
      <c r="E11" s="11">
        <f>'Coste Hora y Mano de Obra'!L11</f>
        <v>1.95</v>
      </c>
      <c r="F11" s="11">
        <f>'Coste Hora y Mano de Obra'!N11</f>
        <v>1.7727272727272725</v>
      </c>
      <c r="G11" s="11">
        <f>IFERROR(E11*D11/100,"")</f>
        <v>0.058499999999999996</v>
      </c>
      <c r="H11" s="11">
        <f>IFERROR(G11*'Parámetros'!$B$36,"")</f>
        <v>0.15209999999999999</v>
      </c>
      <c r="I11" s="11">
        <f>IFERROR(F11*D11/100,"")</f>
        <v>0.05318181818181818</v>
      </c>
      <c r="J11" s="11">
        <f>IFERROR('Escandallo por Tanda'!G241*D11/100,"")</f>
        <v>0.005407028452703122</v>
      </c>
      <c r="K11" s="11">
        <f>IFERROR('Coste Hora y Mano de Obra'!Q11*D11/100,"")</f>
        <v>0.008535608755883049</v>
      </c>
      <c r="L11" s="27">
        <f>'Coste Hora y Mano de Obra'!O11</f>
        <v>0.10167062047817838</v>
      </c>
    </row>
    <row r="12">
      <c r="A12" t="inlineStr">
        <is>
          <t>PI1</t>
        </is>
      </c>
      <c r="B12" t="inlineStr">
        <is>
          <t>Milhojas</t>
        </is>
      </c>
      <c r="C12" t="inlineStr">
        <is>
          <t>Pastelería individual</t>
        </is>
      </c>
      <c r="D12" s="9" t="n">
        <v>4</v>
      </c>
      <c r="E12" s="11">
        <f>'Coste Hora y Mano de Obra'!L12</f>
        <v>3.6</v>
      </c>
      <c r="F12" s="11">
        <f>'Coste Hora y Mano de Obra'!N12</f>
        <v>3.2727272727272725</v>
      </c>
      <c r="G12" s="11">
        <f>IFERROR(E12*D12/100,"")</f>
        <v>0.14400000000000002</v>
      </c>
      <c r="H12" s="11">
        <f>IFERROR(G12*'Parámetros'!$B$36,"")</f>
        <v>0.37440000000000007</v>
      </c>
      <c r="I12" s="11">
        <f>IFERROR(F12*D12/100,"")</f>
        <v>0.1309090909090909</v>
      </c>
      <c r="J12" s="11">
        <f>IFERROR('Escandallo por Tanda'!G242*D12/100,"")</f>
        <v>0.017877676260404058</v>
      </c>
      <c r="K12" s="11">
        <f>IFERROR('Coste Hora y Mano de Obra'!Q12*D12/100,"")</f>
        <v>0.06320388325410653</v>
      </c>
      <c r="L12" s="27">
        <f>'Coste Hora y Mano de Obra'!O12</f>
        <v>0.13656558254475323</v>
      </c>
    </row>
    <row r="13">
      <c r="A13" t="inlineStr">
        <is>
          <t>PI2</t>
        </is>
      </c>
      <c r="B13" t="inlineStr">
        <is>
          <t>Éclair</t>
        </is>
      </c>
      <c r="C13" t="inlineStr">
        <is>
          <t>Pastelería individual</t>
        </is>
      </c>
      <c r="D13" s="9" t="n">
        <v>3.5</v>
      </c>
      <c r="E13" s="11">
        <f>'Coste Hora y Mano de Obra'!L13</f>
        <v>3.2</v>
      </c>
      <c r="F13" s="11">
        <f>'Coste Hora y Mano de Obra'!N13</f>
        <v>2.909090909090909</v>
      </c>
      <c r="G13" s="11">
        <f>IFERROR(E13*D13/100,"")</f>
        <v>0.11200000000000002</v>
      </c>
      <c r="H13" s="11">
        <f>IFERROR(G13*'Parámetros'!$B$36,"")</f>
        <v>0.29120000000000007</v>
      </c>
      <c r="I13" s="11">
        <f>IFERROR(F13*D13/100,"")</f>
        <v>0.10181818181818182</v>
      </c>
      <c r="J13" s="11">
        <f>IFERROR('Escandallo por Tanda'!G243*D13/100,"")</f>
        <v>0.011838950756120467</v>
      </c>
      <c r="K13" s="11">
        <f>IFERROR('Coste Hora y Mano de Obra'!Q13*D13/100,"")</f>
        <v>0.0616398225813938</v>
      </c>
      <c r="L13" s="27">
        <f>'Coste Hora y Mano de Obra'!O13</f>
        <v>0.11627540921189744</v>
      </c>
    </row>
    <row r="14">
      <c r="A14" t="inlineStr">
        <is>
          <t>PI3</t>
        </is>
      </c>
      <c r="B14" t="inlineStr">
        <is>
          <t>Macarons de frambuesa</t>
        </is>
      </c>
      <c r="C14" t="inlineStr">
        <is>
          <t>Pastelería individual</t>
        </is>
      </c>
      <c r="D14" s="9" t="n">
        <v>7</v>
      </c>
      <c r="E14" s="11">
        <f>'Coste Hora y Mano de Obra'!L14</f>
        <v>2.1</v>
      </c>
      <c r="F14" s="11">
        <f>'Coste Hora y Mano de Obra'!N14</f>
        <v>1.909090909090909</v>
      </c>
      <c r="G14" s="11">
        <f>IFERROR(E14*D14/100,"")</f>
        <v>0.14700000000000002</v>
      </c>
      <c r="H14" s="11">
        <f>IFERROR(G14*'Parámetros'!$B$36,"")</f>
        <v>0.38220000000000004</v>
      </c>
      <c r="I14" s="11">
        <f>IFERROR(F14*D14/100,"")</f>
        <v>0.13363636363636364</v>
      </c>
      <c r="J14" s="11">
        <f>IFERROR('Escandallo por Tanda'!G244*D14/100,"")</f>
        <v>0.013755697234288069</v>
      </c>
      <c r="K14" s="11">
        <f>IFERROR('Coste Hora y Mano de Obra'!Q14*D14/100,"")</f>
        <v>0.0640738312401456</v>
      </c>
      <c r="L14" s="27">
        <f>'Coste Hora y Mano de Obra'!O14</f>
        <v>0.10293378882800597</v>
      </c>
    </row>
    <row r="15">
      <c r="A15" t="inlineStr">
        <is>
          <t>PI4</t>
        </is>
      </c>
      <c r="B15" t="inlineStr">
        <is>
          <t>Tartaleta de frutas</t>
        </is>
      </c>
      <c r="C15" t="inlineStr">
        <is>
          <t>Pastelería individual</t>
        </is>
      </c>
      <c r="D15" s="9" t="n">
        <v>3</v>
      </c>
      <c r="E15" s="11">
        <f>'Coste Hora y Mano de Obra'!L15</f>
        <v>3.8</v>
      </c>
      <c r="F15" s="11">
        <f>'Coste Hora y Mano de Obra'!N15</f>
        <v>3.454545454545454</v>
      </c>
      <c r="G15" s="11">
        <f>IFERROR(E15*D15/100,"")</f>
        <v>0.11399999999999999</v>
      </c>
      <c r="H15" s="11">
        <f>IFERROR(G15*'Parámetros'!$B$36,"")</f>
        <v>0.2964</v>
      </c>
      <c r="I15" s="11">
        <f>IFERROR(F15*D15/100,"")</f>
        <v>0.10363636363636364</v>
      </c>
      <c r="J15" s="11">
        <f>IFERROR('Escandallo por Tanda'!G245*D15/100,"")</f>
        <v>0.015749581223001446</v>
      </c>
      <c r="K15" s="11">
        <f>IFERROR('Coste Hora y Mano de Obra'!Q15*D15/100,"")</f>
        <v>0.04976872089650824</v>
      </c>
      <c r="L15" s="27">
        <f>'Coste Hora y Mano de Obra'!O15</f>
        <v>0.15196964337983854</v>
      </c>
    </row>
    <row r="16">
      <c r="A16" t="inlineStr">
        <is>
          <t>PI5</t>
        </is>
      </c>
      <c r="B16" t="inlineStr">
        <is>
          <t>Lionesa o profiterol</t>
        </is>
      </c>
      <c r="C16" t="inlineStr">
        <is>
          <t>Pastelería individual</t>
        </is>
      </c>
      <c r="D16" s="9" t="n">
        <v>3</v>
      </c>
      <c r="E16" s="11">
        <f>'Coste Hora y Mano de Obra'!L16</f>
        <v>2.3</v>
      </c>
      <c r="F16" s="11">
        <f>'Coste Hora y Mano de Obra'!N16</f>
        <v>2.0909090909090904</v>
      </c>
      <c r="G16" s="11">
        <f>IFERROR(E16*D16/100,"")</f>
        <v>0.06899999999999999</v>
      </c>
      <c r="H16" s="11">
        <f>IFERROR(G16*'Parámetros'!$B$36,"")</f>
        <v>0.17939999999999998</v>
      </c>
      <c r="I16" s="11">
        <f>IFERROR(F16*D16/100,"")</f>
        <v>0.06272727272727271</v>
      </c>
      <c r="J16" s="11">
        <f>IFERROR('Escandallo por Tanda'!G246*D16/100,"")</f>
        <v>0.00594530424720314</v>
      </c>
      <c r="K16" s="11">
        <f>IFERROR('Coste Hora y Mano de Obra'!Q16*D16/100,"")</f>
        <v>0.043328535003532884</v>
      </c>
      <c r="L16" s="27">
        <f>'Coste Hora y Mano de Obra'!O16</f>
        <v>0.09478021263657183</v>
      </c>
    </row>
    <row r="17">
      <c r="A17" t="inlineStr">
        <is>
          <t>PI6</t>
        </is>
      </c>
      <c r="B17" t="inlineStr">
        <is>
          <t>Entremet individual</t>
        </is>
      </c>
      <c r="C17" t="inlineStr">
        <is>
          <t>Pastelería individual</t>
        </is>
      </c>
      <c r="D17" s="9" t="n">
        <v>1.5</v>
      </c>
      <c r="E17" s="11">
        <f>'Coste Hora y Mano de Obra'!L17</f>
        <v>4.5</v>
      </c>
      <c r="F17" s="11">
        <f>'Coste Hora y Mano de Obra'!N17</f>
        <v>4.090909090909091</v>
      </c>
      <c r="G17" s="11">
        <f>IFERROR(E17*D17/100,"")</f>
        <v>0.0675</v>
      </c>
      <c r="H17" s="11">
        <f>IFERROR(G17*'Parámetros'!$B$36,"")</f>
        <v>0.17550000000000002</v>
      </c>
      <c r="I17" s="11">
        <f>IFERROR(F17*D17/100,"")</f>
        <v>0.06136363636363637</v>
      </c>
      <c r="J17" s="11">
        <f>IFERROR('Escandallo por Tanda'!G247*D17/100,"")</f>
        <v>0.01237111891002479</v>
      </c>
      <c r="K17" s="11">
        <f>IFERROR('Coste Hora y Mano de Obra'!Q17*D17/100,"")</f>
        <v>0.022365930364632716</v>
      </c>
      <c r="L17" s="27">
        <f>'Coste Hora y Mano de Obra'!O17</f>
        <v>0.20160341927447806</v>
      </c>
    </row>
    <row r="18">
      <c r="A18" t="inlineStr">
        <is>
          <t>T1</t>
        </is>
      </c>
      <c r="B18" t="inlineStr">
        <is>
          <t>Tarta de chocolate 70 %</t>
        </is>
      </c>
      <c r="C18" t="inlineStr">
        <is>
          <t>Tartas y entremets</t>
        </is>
      </c>
      <c r="D18" s="9" t="n">
        <v>1.2</v>
      </c>
      <c r="E18" s="11">
        <f>'Coste Hora y Mano de Obra'!L18</f>
        <v>3.6</v>
      </c>
      <c r="F18" s="11">
        <f>'Coste Hora y Mano de Obra'!N18</f>
        <v>3.2727272727272725</v>
      </c>
      <c r="G18" s="11">
        <f>IFERROR(E18*D18/100,"")</f>
        <v>0.0432</v>
      </c>
      <c r="H18" s="11">
        <f>IFERROR(G18*'Parámetros'!$B$36,"")</f>
        <v>0.11232</v>
      </c>
      <c r="I18" s="11">
        <f>IFERROR(F18*D18/100,"")</f>
        <v>0.039272727272727265</v>
      </c>
      <c r="J18" s="11">
        <f>IFERROR('Escandallo por Tanda'!G248*D18/100,"")</f>
        <v>0.013827984331969767</v>
      </c>
      <c r="K18" s="11">
        <f>IFERROR('Coste Hora y Mano de Obra'!Q18*D18/100,"")</f>
        <v>0.011991309464220818</v>
      </c>
      <c r="L18" s="27">
        <f>'Coste Hora y Mano de Obra'!O18</f>
        <v>0.3521014528973784</v>
      </c>
    </row>
    <row r="19">
      <c r="A19" t="inlineStr">
        <is>
          <t>T2</t>
        </is>
      </c>
      <c r="B19" t="inlineStr">
        <is>
          <t>Tarta de queso</t>
        </is>
      </c>
      <c r="C19" t="inlineStr">
        <is>
          <t>Tartas y entremets</t>
        </is>
      </c>
      <c r="D19" s="9" t="n">
        <v>1.5</v>
      </c>
      <c r="E19" s="11">
        <f>'Coste Hora y Mano de Obra'!L19</f>
        <v>3.4</v>
      </c>
      <c r="F19" s="11">
        <f>'Coste Hora y Mano de Obra'!N19</f>
        <v>3.0909090909090904</v>
      </c>
      <c r="G19" s="11">
        <f>IFERROR(E19*D19/100,"")</f>
        <v>0.051</v>
      </c>
      <c r="H19" s="11">
        <f>IFERROR(G19*'Parámetros'!$B$36,"")</f>
        <v>0.1326</v>
      </c>
      <c r="I19" s="11">
        <f>IFERROR(F19*D19/100,"")</f>
        <v>0.04636363636363636</v>
      </c>
      <c r="J19" s="11">
        <f>IFERROR('Escandallo por Tanda'!G249*D19/100,"")</f>
        <v>0.013689483015303837</v>
      </c>
      <c r="K19" s="11">
        <f>IFERROR('Coste Hora y Mano de Obra'!Q19*D19/100,"")</f>
        <v>0.021462958784551945</v>
      </c>
      <c r="L19" s="27">
        <f>'Coste Hora y Mano de Obra'!O19</f>
        <v>0.29526335915361224</v>
      </c>
    </row>
    <row r="20">
      <c r="A20" t="inlineStr">
        <is>
          <t>T3</t>
        </is>
      </c>
      <c r="B20" t="inlineStr">
        <is>
          <t>Tarta de manzana</t>
        </is>
      </c>
      <c r="C20" t="inlineStr">
        <is>
          <t>Tartas y entremets</t>
        </is>
      </c>
      <c r="D20" s="9" t="n">
        <v>1.1</v>
      </c>
      <c r="E20" s="11">
        <f>'Coste Hora y Mano de Obra'!L20</f>
        <v>3.2</v>
      </c>
      <c r="F20" s="11">
        <f>'Coste Hora y Mano de Obra'!N20</f>
        <v>2.909090909090909</v>
      </c>
      <c r="G20" s="11">
        <f>IFERROR(E20*D20/100,"")</f>
        <v>0.0352</v>
      </c>
      <c r="H20" s="11">
        <f>IFERROR(G20*'Parámetros'!$B$36,"")</f>
        <v>0.09152</v>
      </c>
      <c r="I20" s="11">
        <f>IFERROR(F20*D20/100,"")</f>
        <v>0.032</v>
      </c>
      <c r="J20" s="11">
        <f>IFERROR('Escandallo por Tanda'!G250*D20/100,"")</f>
        <v>0.004717773044199119</v>
      </c>
      <c r="K20" s="11">
        <f>IFERROR('Coste Hora y Mano de Obra'!Q20*D20/100,"")</f>
        <v>0.016320170048993214</v>
      </c>
      <c r="L20" s="27">
        <f>'Coste Hora y Mano de Obra'!O20</f>
        <v>0.14743040763122245</v>
      </c>
    </row>
    <row r="21">
      <c r="A21" t="inlineStr">
        <is>
          <t>T4</t>
        </is>
      </c>
      <c r="B21" t="inlineStr">
        <is>
          <t>Tarta de zanahoria</t>
        </is>
      </c>
      <c r="C21" t="inlineStr">
        <is>
          <t>Tartas y entremets</t>
        </is>
      </c>
      <c r="D21" s="9" t="n">
        <v>0.9</v>
      </c>
      <c r="E21" s="11">
        <f>'Coste Hora y Mano de Obra'!L21</f>
        <v>3.3</v>
      </c>
      <c r="F21" s="11">
        <f>'Coste Hora y Mano de Obra'!N21</f>
        <v>2.9999999999999996</v>
      </c>
      <c r="G21" s="11">
        <f>IFERROR(E21*D21/100,"")</f>
        <v>0.029699999999999997</v>
      </c>
      <c r="H21" s="11">
        <f>IFERROR(G21*'Parámetros'!$B$36,"")</f>
        <v>0.07722</v>
      </c>
      <c r="I21" s="11">
        <f>IFERROR(F21*D21/100,"")</f>
        <v>0.026999999999999996</v>
      </c>
      <c r="J21" s="11">
        <f>IFERROR('Escandallo por Tanda'!G251*D21/100,"")</f>
        <v>0.00677813632432437</v>
      </c>
      <c r="K21" s="11">
        <f>IFERROR('Coste Hora y Mano de Obra'!Q21*D21/100,"")</f>
        <v>0.010131788568273112</v>
      </c>
      <c r="L21" s="27">
        <f>'Coste Hora y Mano de Obra'!O21</f>
        <v>0.2510420860860878</v>
      </c>
    </row>
    <row r="22">
      <c r="A22" t="inlineStr">
        <is>
          <t>T5</t>
        </is>
      </c>
      <c r="B22" t="inlineStr">
        <is>
          <t>Tarta Sacher</t>
        </is>
      </c>
      <c r="C22" t="inlineStr">
        <is>
          <t>Tartas y entremets</t>
        </is>
      </c>
      <c r="D22" s="9" t="n">
        <v>0.8</v>
      </c>
      <c r="E22" s="11">
        <f>'Coste Hora y Mano de Obra'!L22</f>
        <v>3.8</v>
      </c>
      <c r="F22" s="11">
        <f>'Coste Hora y Mano de Obra'!N22</f>
        <v>3.454545454545454</v>
      </c>
      <c r="G22" s="11">
        <f>IFERROR(E22*D22/100,"")</f>
        <v>0.0304</v>
      </c>
      <c r="H22" s="11">
        <f>IFERROR(G22*'Parámetros'!$B$36,"")</f>
        <v>0.07904</v>
      </c>
      <c r="I22" s="11">
        <f>IFERROR(F22*D22/100,"")</f>
        <v>0.027636363636363636</v>
      </c>
      <c r="J22" s="11">
        <f>IFERROR('Escandallo por Tanda'!G252*D22/100,"")</f>
        <v>0.007126271736843551</v>
      </c>
      <c r="K22" s="11">
        <f>IFERROR('Coste Hora y Mano de Obra'!Q22*D22/100,"")</f>
        <v>0.009548034992712413</v>
      </c>
      <c r="L22" s="27">
        <f>'Coste Hora y Mano de Obra'!O22</f>
        <v>0.2578585167936811</v>
      </c>
    </row>
    <row r="23">
      <c r="A23" t="inlineStr">
        <is>
          <t>T6</t>
        </is>
      </c>
      <c r="B23" t="inlineStr">
        <is>
          <t>Tarta de nata y fresas</t>
        </is>
      </c>
      <c r="C23" t="inlineStr">
        <is>
          <t>Tartas y entremets</t>
        </is>
      </c>
      <c r="D23" s="9" t="n">
        <v>1</v>
      </c>
      <c r="E23" s="11">
        <f>'Coste Hora y Mano de Obra'!L23</f>
        <v>3.5</v>
      </c>
      <c r="F23" s="11">
        <f>'Coste Hora y Mano de Obra'!N23</f>
        <v>3.1818181818181817</v>
      </c>
      <c r="G23" s="11">
        <f>IFERROR(E23*D23/100,"")</f>
        <v>0.035</v>
      </c>
      <c r="H23" s="11">
        <f>IFERROR(G23*'Parámetros'!$B$36,"")</f>
        <v>0.09100000000000001</v>
      </c>
      <c r="I23" s="11">
        <f>IFERROR(F23*D23/100,"")</f>
        <v>0.031818181818181815</v>
      </c>
      <c r="J23" s="11">
        <f>IFERROR('Escandallo por Tanda'!G253*D23/100,"")</f>
        <v>0.00758402908349681</v>
      </c>
      <c r="K23" s="11">
        <f>IFERROR('Coste Hora y Mano de Obra'!Q23*D23/100,"")</f>
        <v>0.011777269886039927</v>
      </c>
      <c r="L23" s="27">
        <f>'Coste Hora y Mano de Obra'!O23</f>
        <v>0.2383551997670426</v>
      </c>
    </row>
    <row r="24">
      <c r="A24" t="inlineStr">
        <is>
          <t>PA1</t>
        </is>
      </c>
      <c r="B24" t="inlineStr">
        <is>
          <t>Barra</t>
        </is>
      </c>
      <c r="C24" t="inlineStr">
        <is>
          <t>Panes de acompañamiento</t>
        </is>
      </c>
      <c r="D24" s="9" t="n">
        <v>16</v>
      </c>
      <c r="E24" s="11">
        <f>'Coste Hora y Mano de Obra'!L24</f>
        <v>1.2</v>
      </c>
      <c r="F24" s="11">
        <f>'Coste Hora y Mano de Obra'!N24</f>
        <v>1.1538461538461537</v>
      </c>
      <c r="G24" s="11">
        <f>IFERROR(E24*D24/100,"")</f>
        <v>0.192</v>
      </c>
      <c r="H24" s="11">
        <f>IFERROR(G24*'Parámetros'!$B$36,"")</f>
        <v>0.49920000000000003</v>
      </c>
      <c r="I24" s="11">
        <f>IFERROR(F24*D24/100,"")</f>
        <v>0.1846153846153846</v>
      </c>
      <c r="J24" s="11">
        <f>IFERROR('Escandallo por Tanda'!G254*D24/100,"")</f>
        <v>0.027536416889056222</v>
      </c>
      <c r="K24" s="11">
        <f>IFERROR('Coste Hora y Mano de Obra'!Q24*D24/100,"")</f>
        <v>0.11522384135488091</v>
      </c>
      <c r="L24" s="27">
        <f>'Coste Hora y Mano de Obra'!O24</f>
        <v>0.14915559148238788</v>
      </c>
    </row>
    <row r="25">
      <c r="A25" t="inlineStr">
        <is>
          <t>PA2</t>
        </is>
      </c>
      <c r="B25" t="inlineStr">
        <is>
          <t>Chapata</t>
        </is>
      </c>
      <c r="C25" t="inlineStr">
        <is>
          <t>Panes de acompañamiento</t>
        </is>
      </c>
      <c r="D25" s="9" t="n">
        <v>4</v>
      </c>
      <c r="E25" s="11">
        <f>'Coste Hora y Mano de Obra'!L25</f>
        <v>1.6</v>
      </c>
      <c r="F25" s="11">
        <f>'Coste Hora y Mano de Obra'!N25</f>
        <v>1.5384615384615385</v>
      </c>
      <c r="G25" s="11">
        <f>IFERROR(E25*D25/100,"")</f>
        <v>0.064</v>
      </c>
      <c r="H25" s="11">
        <f>IFERROR(G25*'Parámetros'!$B$36,"")</f>
        <v>0.16640000000000002</v>
      </c>
      <c r="I25" s="11">
        <f>IFERROR(F25*D25/100,"")</f>
        <v>0.06153846153846154</v>
      </c>
      <c r="J25" s="11">
        <f>IFERROR('Escandallo por Tanda'!G255*D25/100,"")</f>
        <v>0.008532314217059586</v>
      </c>
      <c r="K25" s="11">
        <f>IFERROR('Coste Hora y Mano de Obra'!Q25*D25/100,"")</f>
        <v>0.03805788790302786</v>
      </c>
      <c r="L25" s="27">
        <f>'Coste Hora y Mano de Obra'!O25</f>
        <v>0.13865010602721828</v>
      </c>
    </row>
    <row r="26">
      <c r="A26" t="inlineStr">
        <is>
          <t>PA3</t>
        </is>
      </c>
      <c r="B26" t="inlineStr">
        <is>
          <t>Hogaza de masa madre</t>
        </is>
      </c>
      <c r="C26" t="inlineStr">
        <is>
          <t>Panes de acompañamiento</t>
        </is>
      </c>
      <c r="D26" s="9" t="n">
        <v>3.5</v>
      </c>
      <c r="E26" s="11">
        <f>'Coste Hora y Mano de Obra'!L26</f>
        <v>3.9</v>
      </c>
      <c r="F26" s="11">
        <f>'Coste Hora y Mano de Obra'!N26</f>
        <v>3.75</v>
      </c>
      <c r="G26" s="11">
        <f>IFERROR(E26*D26/100,"")</f>
        <v>0.1365</v>
      </c>
      <c r="H26" s="11">
        <f>IFERROR(G26*'Parámetros'!$B$36,"")</f>
        <v>0.35490000000000005</v>
      </c>
      <c r="I26" s="11">
        <f>IFERROR(F26*D26/100,"")</f>
        <v>0.13125</v>
      </c>
      <c r="J26" s="11">
        <f>IFERROR('Escandallo por Tanda'!G256*D26/100,"")</f>
        <v>0.0207540500736377</v>
      </c>
      <c r="K26" s="11">
        <f>IFERROR('Coste Hora y Mano de Obra'!Q26*D26/100,"")</f>
        <v>0.07561667795015607</v>
      </c>
      <c r="L26" s="27">
        <f>'Coste Hora y Mano de Obra'!O26</f>
        <v>0.15812609579914438</v>
      </c>
    </row>
    <row r="27">
      <c r="A27" t="inlineStr">
        <is>
          <t>PA4</t>
        </is>
      </c>
      <c r="B27" t="inlineStr">
        <is>
          <t>Pan de molde</t>
        </is>
      </c>
      <c r="C27" t="inlineStr">
        <is>
          <t>Panes de acompañamiento</t>
        </is>
      </c>
      <c r="D27" s="9" t="n">
        <v>2.5</v>
      </c>
      <c r="E27" s="11">
        <f>'Coste Hora y Mano de Obra'!L27</f>
        <v>3.2</v>
      </c>
      <c r="F27" s="11">
        <f>'Coste Hora y Mano de Obra'!N27</f>
        <v>3.076923076923077</v>
      </c>
      <c r="G27" s="11">
        <f>IFERROR(E27*D27/100,"")</f>
        <v>0.08</v>
      </c>
      <c r="H27" s="11">
        <f>IFERROR(G27*'Parámetros'!$B$36,"")</f>
        <v>0.20800000000000002</v>
      </c>
      <c r="I27" s="11">
        <f>IFERROR(F27*D27/100,"")</f>
        <v>0.07692307692307693</v>
      </c>
      <c r="J27" s="11">
        <f>IFERROR('Escandallo por Tanda'!G257*D27/100,"")</f>
        <v>0.02030239073383016</v>
      </c>
      <c r="K27" s="11">
        <f>IFERROR('Coste Hora y Mano de Obra'!Q27*D27/100,"")</f>
        <v>0.034198297061685624</v>
      </c>
      <c r="L27" s="27">
        <f>'Coste Hora y Mano de Obra'!O27</f>
        <v>0.26393107953979206</v>
      </c>
    </row>
    <row r="28">
      <c r="A28" t="inlineStr">
        <is>
          <t>TP1</t>
        </is>
      </c>
      <c r="B28" t="inlineStr">
        <is>
          <t>Roscón de Reyes</t>
        </is>
      </c>
      <c r="C28" t="inlineStr">
        <is>
          <t>Temporada</t>
        </is>
      </c>
      <c r="D28" s="9" t="n">
        <v>1.2</v>
      </c>
      <c r="E28" s="11">
        <f>'Coste Hora y Mano de Obra'!L28</f>
        <v>16.5</v>
      </c>
      <c r="F28" s="11">
        <f>'Coste Hora y Mano de Obra'!N28</f>
        <v>14.999999999999998</v>
      </c>
      <c r="G28" s="11">
        <f>IFERROR(E28*D28/100,"")</f>
        <v>0.198</v>
      </c>
      <c r="H28" s="11">
        <f>IFERROR(G28*'Parámetros'!$B$36,"")</f>
        <v>0.5148</v>
      </c>
      <c r="I28" s="11">
        <f>IFERROR(F28*D28/100,"")</f>
        <v>0.17999999999999997</v>
      </c>
      <c r="J28" s="11">
        <f>IFERROR('Escandallo por Tanda'!G258*D28/100,"")</f>
        <v>0.031185320657409678</v>
      </c>
      <c r="K28" s="11">
        <f>IFERROR('Coste Hora y Mano de Obra'!Q28*D28/100,"")</f>
        <v>0.12190781238951694</v>
      </c>
      <c r="L28" s="27">
        <f>'Coste Hora y Mano de Obra'!O28</f>
        <v>0.1732517814300538</v>
      </c>
    </row>
    <row r="29">
      <c r="A29" t="inlineStr">
        <is>
          <t>TP2</t>
        </is>
      </c>
      <c r="B29" t="inlineStr">
        <is>
          <t>Torrijas</t>
        </is>
      </c>
      <c r="C29" t="inlineStr">
        <is>
          <t>Temporada</t>
        </is>
      </c>
      <c r="D29" s="9" t="n">
        <v>1.3</v>
      </c>
      <c r="E29" s="11">
        <f>'Coste Hora y Mano de Obra'!L29</f>
        <v>2.4</v>
      </c>
      <c r="F29" s="11">
        <f>'Coste Hora y Mano de Obra'!N29</f>
        <v>2.1818181818181817</v>
      </c>
      <c r="G29" s="11">
        <f>IFERROR(E29*D29/100,"")</f>
        <v>0.031200000000000002</v>
      </c>
      <c r="H29" s="11">
        <f>IFERROR(G29*'Parámetros'!$B$36,"")</f>
        <v>0.08112000000000001</v>
      </c>
      <c r="I29" s="11">
        <f>IFERROR(F29*D29/100,"")</f>
        <v>0.028363636363636365</v>
      </c>
      <c r="J29" s="11">
        <f>IFERROR('Escandallo por Tanda'!G259*D29/100,"")</f>
        <v>0.0033807238243123345</v>
      </c>
      <c r="K29" s="11">
        <f>IFERROR('Coste Hora y Mano de Obra'!Q29*D29/100,"")</f>
        <v>0.01591430182551041</v>
      </c>
      <c r="L29" s="27">
        <f>'Coste Hora y Mano de Obra'!O29</f>
        <v>0.11919218611357589</v>
      </c>
    </row>
    <row r="30">
      <c r="A30" t="inlineStr">
        <is>
          <t>TP3</t>
        </is>
      </c>
      <c r="B30" t="inlineStr">
        <is>
          <t>Buñuelos de viento</t>
        </is>
      </c>
      <c r="C30" t="inlineStr">
        <is>
          <t>Temporada</t>
        </is>
      </c>
      <c r="D30" s="9" t="n">
        <v>1</v>
      </c>
      <c r="E30" s="11">
        <f>'Coste Hora y Mano de Obra'!L30</f>
        <v>1.6</v>
      </c>
      <c r="F30" s="11">
        <f>'Coste Hora y Mano de Obra'!N30</f>
        <v>1.4545454545454546</v>
      </c>
      <c r="G30" s="11">
        <f>IFERROR(E30*D30/100,"")</f>
        <v>0.016</v>
      </c>
      <c r="H30" s="11">
        <f>IFERROR(G30*'Parámetros'!$B$36,"")</f>
        <v>0.041600000000000005</v>
      </c>
      <c r="I30" s="11">
        <f>IFERROR(F30*D30/100,"")</f>
        <v>0.014545454545454545</v>
      </c>
      <c r="J30" s="11">
        <f>IFERROR('Escandallo por Tanda'!G260*D30/100,"")</f>
        <v>0.0016951087337669269</v>
      </c>
      <c r="K30" s="11">
        <f>IFERROR('Coste Hora y Mano de Obra'!Q30*D30/100,"")</f>
        <v>0.009113280957094095</v>
      </c>
      <c r="L30" s="27">
        <f>'Coste Hora y Mano de Obra'!O30</f>
        <v>0.11653872544647621</v>
      </c>
    </row>
    <row r="31">
      <c r="A31" t="inlineStr">
        <is>
          <t>TP4</t>
        </is>
      </c>
      <c r="B31" t="inlineStr">
        <is>
          <t>Huesos de santo</t>
        </is>
      </c>
      <c r="C31" t="inlineStr">
        <is>
          <t>Temporada</t>
        </is>
      </c>
      <c r="D31" s="9" t="n">
        <v>0.8</v>
      </c>
      <c r="E31" s="11">
        <f>'Coste Hora y Mano de Obra'!L31</f>
        <v>1.9</v>
      </c>
      <c r="F31" s="11">
        <f>'Coste Hora y Mano de Obra'!N31</f>
        <v>1.727272727272727</v>
      </c>
      <c r="G31" s="11">
        <f>IFERROR(E31*D31/100,"")</f>
        <v>0.0152</v>
      </c>
      <c r="H31" s="11">
        <f>IFERROR(G31*'Parámetros'!$B$36,"")</f>
        <v>0.03952</v>
      </c>
      <c r="I31" s="11">
        <f>IFERROR(F31*D31/100,"")</f>
        <v>0.013818181818181818</v>
      </c>
      <c r="J31" s="11">
        <f>IFERROR('Escandallo por Tanda'!G261*D31/100,"")</f>
        <v>0.002596680272108844</v>
      </c>
      <c r="K31" s="11">
        <f>IFERROR('Coste Hora y Mano de Obra'!Q31*D31/100,"")</f>
        <v>0.006139093343825781</v>
      </c>
      <c r="L31" s="27">
        <f>'Coste Hora y Mano de Obra'!O31</f>
        <v>0.18791765127103474</v>
      </c>
    </row>
    <row r="32">
      <c r="A32" t="inlineStr">
        <is>
          <t>TP5</t>
        </is>
      </c>
      <c r="B32" t="inlineStr">
        <is>
          <t>Panellets</t>
        </is>
      </c>
      <c r="C32" t="inlineStr">
        <is>
          <t>Temporada</t>
        </is>
      </c>
      <c r="D32" s="9" t="n">
        <v>0.7</v>
      </c>
      <c r="E32" s="11">
        <f>'Coste Hora y Mano de Obra'!L32</f>
        <v>1.85</v>
      </c>
      <c r="F32" s="11">
        <f>'Coste Hora y Mano de Obra'!N32</f>
        <v>1.6818181818181817</v>
      </c>
      <c r="G32" s="11">
        <f>IFERROR(E32*D32/100,"")</f>
        <v>0.01295</v>
      </c>
      <c r="H32" s="11">
        <f>IFERROR(G32*'Parámetros'!$B$36,"")</f>
        <v>0.03367</v>
      </c>
      <c r="I32" s="11">
        <f>IFERROR(F32*D32/100,"")</f>
        <v>0.01177272727272727</v>
      </c>
      <c r="J32" s="11">
        <f>IFERROR('Escandallo por Tanda'!G262*D32/100,"")</f>
        <v>0.004822825396825397</v>
      </c>
      <c r="K32" s="11">
        <f>IFERROR('Coste Hora y Mano de Obra'!Q32*D32/100,"")</f>
        <v>0.003810767398043315</v>
      </c>
      <c r="L32" s="27">
        <f>'Coste Hora y Mano de Obra'!O32</f>
        <v>0.40966084451798745</v>
      </c>
    </row>
    <row r="33">
      <c r="A33" t="inlineStr">
        <is>
          <t>TP6</t>
        </is>
      </c>
      <c r="B33" t="inlineStr">
        <is>
          <t>Polvorón o mantecado</t>
        </is>
      </c>
      <c r="C33" t="inlineStr">
        <is>
          <t>Temporada</t>
        </is>
      </c>
      <c r="D33" s="9" t="n">
        <v>1.3</v>
      </c>
      <c r="E33" s="11">
        <f>'Coste Hora y Mano de Obra'!L33</f>
        <v>1.2</v>
      </c>
      <c r="F33" s="11">
        <f>'Coste Hora y Mano de Obra'!N33</f>
        <v>1.0909090909090908</v>
      </c>
      <c r="G33" s="11">
        <f>IFERROR(E33*D33/100,"")</f>
        <v>0.015600000000000001</v>
      </c>
      <c r="H33" s="11">
        <f>IFERROR(G33*'Parámetros'!$B$36,"")</f>
        <v>0.040560000000000006</v>
      </c>
      <c r="I33" s="11">
        <f>IFERROR(F33*D33/100,"")</f>
        <v>0.014181818181818183</v>
      </c>
      <c r="J33" s="11">
        <f>IFERROR('Escandallo por Tanda'!G263*D33/100,"")</f>
        <v>0.002041821809200597</v>
      </c>
      <c r="K33" s="11">
        <f>IFERROR('Coste Hora y Mano de Obra'!Q33*D33/100,"")</f>
        <v>0.007864794178962593</v>
      </c>
      <c r="L33" s="27">
        <f>'Coste Hora y Mano de Obra'!O33</f>
        <v>0.14397461475132414</v>
      </c>
    </row>
    <row r="34">
      <c r="A34" t="inlineStr">
        <is>
          <t>TP7</t>
        </is>
      </c>
      <c r="B34" t="inlineStr">
        <is>
          <t>Turrón de almendra</t>
        </is>
      </c>
      <c r="C34" t="inlineStr">
        <is>
          <t>Temporada</t>
        </is>
      </c>
      <c r="D34" s="9" t="n">
        <v>0.5</v>
      </c>
      <c r="E34" s="11">
        <f>'Coste Hora y Mano de Obra'!L34</f>
        <v>10.5</v>
      </c>
      <c r="F34" s="11">
        <f>'Coste Hora y Mano de Obra'!N34</f>
        <v>9.545454545454545</v>
      </c>
      <c r="G34" s="11">
        <f>IFERROR(E34*D34/100,"")</f>
        <v>0.0525</v>
      </c>
      <c r="H34" s="11">
        <f>IFERROR(G34*'Parámetros'!$B$36,"")</f>
        <v>0.1365</v>
      </c>
      <c r="I34" s="11">
        <f>IFERROR(F34*D34/100,"")</f>
        <v>0.04772727272727272</v>
      </c>
      <c r="J34" s="11">
        <f>IFERROR('Escandallo por Tanda'!G264*D34/100,"")</f>
        <v>0.01548731825882822</v>
      </c>
      <c r="K34" s="11">
        <f>IFERROR('Coste Hora y Mano de Obra'!Q34*D34/100,"")</f>
        <v>0.027381770157472927</v>
      </c>
      <c r="L34" s="27">
        <f>'Coste Hora y Mano de Obra'!O34</f>
        <v>0.3244961920897341</v>
      </c>
    </row>
    <row r="35">
      <c r="A35" t="inlineStr">
        <is>
          <t>TP8</t>
        </is>
      </c>
      <c r="B35" t="inlineStr">
        <is>
          <t>Mona de Pascua</t>
        </is>
      </c>
      <c r="C35" t="inlineStr">
        <is>
          <t>Temporada</t>
        </is>
      </c>
      <c r="D35" s="9" t="n">
        <v>0.7</v>
      </c>
      <c r="E35" s="11">
        <f>'Coste Hora y Mano de Obra'!L35</f>
        <v>13.5</v>
      </c>
      <c r="F35" s="11">
        <f>'Coste Hora y Mano de Obra'!N35</f>
        <v>12.272727272727272</v>
      </c>
      <c r="G35" s="11">
        <f>IFERROR(E35*D35/100,"")</f>
        <v>0.09449999999999999</v>
      </c>
      <c r="H35" s="11">
        <f>IFERROR(G35*'Parámetros'!$B$36,"")</f>
        <v>0.24569999999999997</v>
      </c>
      <c r="I35" s="11">
        <f>IFERROR(F35*D35/100,"")</f>
        <v>0.0859090909090909</v>
      </c>
      <c r="J35" s="11">
        <f>IFERROR('Escandallo por Tanda'!G265*D35/100,"")</f>
        <v>0.014104128236965599</v>
      </c>
      <c r="K35" s="11">
        <f>IFERROR('Coste Hora y Mano de Obra'!Q35*D35/100,"")</f>
        <v>0.05984635513742603</v>
      </c>
      <c r="L35" s="27">
        <f>'Coste Hora y Mano de Obra'!O35</f>
        <v>0.16417503767896466</v>
      </c>
    </row>
    <row r="36">
      <c r="A36" s="13" t="inlineStr">
        <is>
          <t>TOTAL DE LA CARTA</t>
        </is>
      </c>
      <c r="D36" s="14">
        <f>SUM(D6:D35)</f>
        <v>100.0</v>
      </c>
      <c r="G36" s="15">
        <f>SUM(G6:G35)</f>
        <v>2.4556999999999998</v>
      </c>
      <c r="H36" s="15">
        <f>SUM(H6:H35)</f>
        <v>6.38482</v>
      </c>
      <c r="I36" s="15">
        <f>SUM(I6:I35)</f>
        <v>2.2572360139860144</v>
      </c>
      <c r="J36" s="15">
        <f>SUM(J6:J35)</f>
        <v>0.39624846389632357</v>
      </c>
      <c r="K36" s="15">
        <f>SUM(K6:K35)</f>
        <v>1.0710505181905658</v>
      </c>
      <c r="M36" s="17" t="inlineStr">
        <is>
          <t>La suma del mix tiene que dar 100,00. Si no, la celda se pone en rojo: el ticket medio de abajo estaría mintiendo.</t>
        </is>
      </c>
    </row>
    <row r="37"/>
    <row r="38">
      <c r="A38" s="4" t="inlineStr">
        <is>
          <t>El ticket medio de tu pastelería</t>
        </is>
      </c>
    </row>
    <row r="39" ht="26" customHeight="1">
      <c r="B39" s="25" t="inlineStr">
        <is>
          <t>PVP medio ponderado con IVA</t>
        </is>
      </c>
      <c r="F39" s="15">
        <f>IFERROR($G$36,"")</f>
        <v>2.4556999999999998</v>
      </c>
      <c r="I39" s="12" t="inlineStr">
        <is>
          <t>Suma de los aportes de las 30 referencias, ponderados por el mix de unidades.</t>
        </is>
      </c>
    </row>
    <row r="40" ht="26" customHeight="1">
      <c r="B40" s="25" t="inlineStr">
        <is>
          <t>Piezas por cliente</t>
        </is>
      </c>
      <c r="F40" s="14">
        <f>'Parámetros'!$B$36</f>
        <v>2.6</v>
      </c>
      <c r="I40" s="12" t="inlineStr">
        <is>
          <t>Parámetro de la hoja «Parámetros». Es lo único que se supone: el resto sale de tu carta.</t>
        </is>
      </c>
    </row>
    <row r="41" ht="26" customHeight="1">
      <c r="B41" s="13" t="inlineStr">
        <is>
          <t>TICKET MEDIO CON IVA</t>
        </is>
      </c>
      <c r="F41" s="15">
        <f>IFERROR($G$36*'Parámetros'!$B$36,"")</f>
        <v>6.3848199999999995</v>
      </c>
      <c r="I41" s="12" t="inlineStr">
        <is>
          <t>PVP medio ponderado por piezas por cliente. No se copia de ningún estudio porque no hay ninguno: éste es el tuyo, y por eso se puede defender delante de un banco.</t>
        </is>
      </c>
    </row>
    <row r="42" ht="26" customHeight="1">
      <c r="B42" s="25" t="inlineStr">
        <is>
          <t>Ticket medio sin IVA</t>
        </is>
      </c>
      <c r="F42" s="15">
        <f>IFERROR($I$36*'Parámetros'!$B$36,"")</f>
        <v>5.868813636363638</v>
      </c>
      <c r="I42" s="12" t="inlineStr">
        <is>
          <t>El que entra en el plan financiero: la cuenta de resultados va sin IVA.</t>
        </is>
      </c>
    </row>
    <row r="43" ht="26" customHeight="1">
      <c r="B43" s="25" t="inlineStr">
        <is>
          <t>IVA medio de la carta</t>
        </is>
      </c>
      <c r="F43" s="20">
        <f>IFERROR($G$36/$I$36-1,"")</f>
        <v>0.08792345363279996</v>
      </c>
      <c r="I43" s="12" t="inlineStr">
        <is>
          <t>No es un tipo legal: es el que hace falta para pasar de caja a ventas netas, y existe porque los panes van al 4 % y el resto al 10 %.</t>
        </is>
      </c>
    </row>
    <row r="44" ht="26" customHeight="1">
      <c r="B44" s="25" t="inlineStr">
        <is>
          <t>Food cost de MATERIA de la carta</t>
        </is>
      </c>
      <c r="F44" s="20">
        <f>IFERROR($J$36/$I$36,"")</f>
        <v>0.175545871783516</v>
      </c>
      <c r="I44" s="12" t="inlineStr">
        <is>
          <t>Ponderado por euros vendidos, que es como se pondera de verdad, no por piezas.</t>
        </is>
      </c>
    </row>
    <row r="45" ht="26" customHeight="1">
      <c r="B45" s="25" t="inlineStr">
        <is>
          <t>Food cost SERVIDO (con merma y packaging)</t>
        </is>
      </c>
      <c r="F45" s="20">
        <f>IFERROR($J$36/$I$36/(1-'Parámetros'!$B$34)*(1+'Parámetros'!$B$35),"")</f>
        <v>0.20326364101249222</v>
      </c>
      <c r="I45" s="12" t="inlineStr">
        <is>
          <t>El de escandallo más lo que se produce y no se vende, más la caja. Es el que se acerca al de la cuenta de resultados.</t>
        </is>
      </c>
    </row>
    <row r="46" ht="26" customHeight="1">
      <c r="B46" s="25" t="inlineStr">
        <is>
          <t>Food cost objetivo de la casa</t>
        </is>
      </c>
      <c r="F46" s="20">
        <f>'Parámetros'!$B$24</f>
        <v>0.32</v>
      </c>
      <c r="I46" s="12" t="inlineStr">
        <is>
          <t>El de «Parámetros». La regla del sector es 30-35 %.</t>
        </is>
      </c>
    </row>
    <row r="47" ht="26" customHeight="1">
      <c r="B47" s="25" t="inlineStr">
        <is>
          <t>Margen de contribución medio por pieza (€)</t>
        </is>
      </c>
      <c r="F47" s="15">
        <f>IFERROR($K$36/$D$36*100,"")</f>
        <v>1.0710505181905658</v>
      </c>
      <c r="I47" s="12" t="inlineStr">
        <is>
          <t>Después de materia Y de mano de obra. Es el euro que queda para pagar alquiler, luz y tu sueldo.</t>
        </is>
      </c>
    </row>
    <row r="48"/>
    <row r="49"/>
    <row r="50" ht="76" customHeight="1">
      <c r="A50" s="21" t="inlineStr">
        <is>
          <t>POR QUÉ EL FOOD COST DE LA CARTA Y EL DEL PLAN FINANCIERO NO COINCIDEN. El de escandallo sólo cuenta materia prima de lo que tú fabricas. Al que llega a la cuenta de resultados hay que sumarle cuatro cosas, en este orden de tamaño: el producto de TERCEROS que revende el despacho -bebida, café, helado, bombonería comprada-, que no tiene escandallo propio; la merma real, que en producto fresco se va por encima del objetivo; el packaging; y la subida de la materia prima, que en mantequilla y cacao no es teórica. Por eso el plan financiero se proyecta con la regla del sector y no con tu escandallo: es el supuesto conservador. La diferencia entre los dos números es tu colchón.</t>
        </is>
      </c>
    </row>
    <row r="51" ht="76" customHeight="1">
      <c r="A51" s="21" t="inlineStr">
        <is>
          <t>EL MIX SE MIDE, NO SE ADIVINA. El del ejemplo es un supuesto. El tuyo lo saca tu TPV en dos clics a los tres meses de abrir, y hasta entonces cualquier ticket medio que calcules es una hipótesis. Dilo así cuando lo lleves al banco.</t>
        </is>
      </c>
    </row>
    <row r="52"/>
    <row r="53">
      <c r="A53" s="7"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3">
    <mergeCell ref="I39:M39"/>
    <mergeCell ref="A51:M51"/>
    <mergeCell ref="A50:M50"/>
  </mergeCells>
  <conditionalFormatting sqref="D36">
    <cfRule type="expression" priority="1" dxfId="0" stopIfTrue="1">
      <formula>=AND(ISNUMBER($D$36),ABS($D$36-100)&gt;0.01)</formula>
    </cfRule>
  </conditionalFormatting>
  <dataValidations count="1">
    <dataValidation sqref="D6 D7 D8 D9 D10 D11 D12 D13 D14 D15 D16 D17 D18 D19 D20 D21 D22 D23 D24 D25 D26 D27 D28 D29 D30 D31 D32 D33 D34 D35" showDropDown="0" showInputMessage="0" showErrorMessage="1" allowBlank="1" errorTitle="Mix (%)" error="El mix se escribe en porcentaje de 0 a 100 (12 = 12 %). Los 30 tienen que sumar 100." type="decimal" operator="between">
      <formula1>0</formula1>
      <formula2>100</formula2>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K50"/>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28" customWidth="1" min="2" max="2"/>
    <col width="19" customWidth="1" min="3" max="3"/>
    <col width="10" customWidth="1" min="4" max="4"/>
    <col width="11" customWidth="1" min="5" max="5"/>
    <col width="11" customWidth="1" min="6" max="6"/>
    <col width="11" customWidth="1" min="7" max="7"/>
    <col width="11" customWidth="1" min="8" max="8"/>
    <col width="11" customWidth="1" min="9" max="9"/>
    <col width="16" customWidth="1" min="10" max="10"/>
    <col width="70" customWidth="1" min="11" max="11"/>
  </cols>
  <sheetData>
    <row r="1">
      <c r="A1" s="1" t="inlineStr">
        <is>
          <t>Decisión de Surtido</t>
        </is>
      </c>
    </row>
    <row r="2">
      <c r="A2" s="2" t="inlineStr">
        <is>
          <t>AI Chef Pro · aichef.pro — Cómo Montar una Pastelería</t>
        </is>
      </c>
    </row>
    <row r="3">
      <c r="A3" s="3" t="inlineStr">
        <is>
          <t>Margen contra rotación: qué mantener, a qué revisarle el precio y qué retirar.</t>
        </is>
      </c>
    </row>
    <row r="4"/>
    <row r="5" ht="42" customHeight="1">
      <c r="A5" s="8" t="inlineStr">
        <is>
          <t>Ref</t>
        </is>
      </c>
      <c r="B5" s="8" t="inlineStr">
        <is>
          <t>Referencia</t>
        </is>
      </c>
      <c r="C5" s="8" t="inlineStr">
        <is>
          <t>Familia</t>
        </is>
      </c>
      <c r="D5" s="8" t="inlineStr">
        <is>
          <t>Food cost</t>
        </is>
      </c>
      <c r="E5" s="8" t="inlineStr">
        <is>
          <t>Margen por unidad (€)</t>
        </is>
      </c>
      <c r="F5" s="8" t="inlineStr">
        <is>
          <t>Mix (% de las unidades)</t>
        </is>
      </c>
      <c r="G5" s="8" t="inlineStr">
        <is>
          <t>Margen ponderado (€)</t>
        </is>
      </c>
      <c r="H5" s="8" t="inlineStr">
        <is>
          <t>¿Food cost dentro del objetivo?</t>
        </is>
      </c>
      <c r="I5" s="8" t="inlineStr">
        <is>
          <t>¿Rotación por encima del umbral?</t>
        </is>
      </c>
      <c r="J5" s="8" t="inlineStr">
        <is>
          <t>Veredicto</t>
        </is>
      </c>
      <c r="K5" s="8" t="inlineStr">
        <is>
          <t>Por qué</t>
        </is>
      </c>
    </row>
    <row r="6" ht="32" customHeight="1">
      <c r="A6" t="inlineStr">
        <is>
          <t>B1</t>
        </is>
      </c>
      <c r="B6" t="inlineStr">
        <is>
          <t>Croissant de mantequilla</t>
        </is>
      </c>
      <c r="C6" t="inlineStr">
        <is>
          <t>Bollería</t>
        </is>
      </c>
      <c r="D6" s="27">
        <f>'Coste Hora y Mano de Obra'!O6</f>
        <v>0.16213662094240372</v>
      </c>
      <c r="E6" s="11">
        <f>'Coste Hora y Mano de Obra'!Q6</f>
        <v>0.39655610152774656</v>
      </c>
      <c r="F6" s="26">
        <f>'Mix y Ticket Medio'!D6</f>
        <v>12.0</v>
      </c>
      <c r="G6" s="11">
        <f>IFERROR(E6*F6/100,"")</f>
        <v>0.04758673218332959</v>
      </c>
      <c r="H6" t="str">
        <f>IF(NOT(ISNUMBER(D6)),"",IF(D6&lt;='Parámetros'!$B$24,"Sí","No"))</f>
        <v>Sí</v>
      </c>
      <c r="I6" t="str">
        <f>IF(NOT(ISNUMBER(F6)),"",IF(F6&gt;='Parámetros'!$B$37,"Sí","No"))</f>
        <v>Sí</v>
      </c>
      <c r="J6" t="str">
        <f>IF(OR(H6="",I6=""),"",IF(AND(H6="No",I6="No"),"Retirar",IF(H6="No","Revisar precio","Mantener")))</f>
        <v>Mantener</v>
      </c>
      <c r="K6" s="28" t="str">
        <f>IF(J6="","",IF(J6="Retirar","Se pasa del food cost objetivo Y casi no rota: ocupa vitrina, genera merma y no paga el hueco. Fuera de la carta de apertura.",IF(J6="Revisar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7" ht="32" customHeight="1">
      <c r="A7" t="inlineStr">
        <is>
          <t>B2</t>
        </is>
      </c>
      <c r="B7" t="inlineStr">
        <is>
          <t>Pain au chocolat</t>
        </is>
      </c>
      <c r="C7" t="inlineStr">
        <is>
          <t>Bollería</t>
        </is>
      </c>
      <c r="D7" s="27">
        <f>'Coste Hora y Mano de Obra'!O7</f>
        <v>0.24943751882939275</v>
      </c>
      <c r="E7" s="11">
        <f>'Coste Hora y Mano de Obra'!Q7</f>
        <v>0.44015535941271855</v>
      </c>
      <c r="F7" s="26">
        <f>'Mix y Ticket Medio'!D7</f>
        <v>8.0</v>
      </c>
      <c r="G7" s="11">
        <f>IFERROR(E7*F7/100,"")</f>
        <v>0.035212428753017486</v>
      </c>
      <c r="H7" t="str">
        <f>IF(NOT(ISNUMBER(D7)),"",IF(D7&lt;='Parámetros'!$B$24,"Sí","No"))</f>
        <v>Sí</v>
      </c>
      <c r="I7" t="str">
        <f>IF(NOT(ISNUMBER(F7)),"",IF(F7&gt;='Parámetros'!$B$37,"Sí","No"))</f>
        <v>Sí</v>
      </c>
      <c r="J7" t="str">
        <f>IF(OR(H7="",I7=""),"",IF(AND(H7="No",I7="No"),"Retirar",IF(H7="No","Revisar precio","Mantener")))</f>
        <v>Mantener</v>
      </c>
      <c r="K7" s="28" t="str">
        <f>IF(J7="","",IF(J7="Retirar","Se pasa del food cost objetivo Y casi no rota: ocupa vitrina, genera merma y no paga el hueco. Fuera de la carta de apertura.",IF(J7="Revisar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8" ht="32" customHeight="1">
      <c r="A8" t="inlineStr">
        <is>
          <t>B3</t>
        </is>
      </c>
      <c r="B8" t="inlineStr">
        <is>
          <t>Napolitana de crema</t>
        </is>
      </c>
      <c r="C8" t="inlineStr">
        <is>
          <t>Bollería</t>
        </is>
      </c>
      <c r="D8" s="27">
        <f>'Coste Hora y Mano de Obra'!O8</f>
        <v>0.20967612886800277</v>
      </c>
      <c r="E8" s="11">
        <f>'Coste Hora y Mano de Obra'!Q8</f>
        <v>0.35754419380040625</v>
      </c>
      <c r="F8" s="26">
        <f>'Mix y Ticket Medio'!D8</f>
        <v>7.0</v>
      </c>
      <c r="G8" s="11">
        <f>IFERROR(E8*F8/100,"")</f>
        <v>0.025028093566028437</v>
      </c>
      <c r="H8" t="str">
        <f>IF(NOT(ISNUMBER(D8)),"",IF(D8&lt;='Parámetros'!$B$24,"Sí","No"))</f>
        <v>Sí</v>
      </c>
      <c r="I8" t="str">
        <f>IF(NOT(ISNUMBER(F8)),"",IF(F8&gt;='Parámetros'!$B$37,"Sí","No"))</f>
        <v>Sí</v>
      </c>
      <c r="J8" t="str">
        <f>IF(OR(H8="",I8=""),"",IF(AND(H8="No",I8="No"),"Retirar",IF(H8="No","Revisar precio","Mantener")))</f>
        <v>Mantener</v>
      </c>
      <c r="K8" s="28" t="str">
        <f>IF(J8="","",IF(J8="Retirar","Se pasa del food cost objetivo Y casi no rota: ocupa vitrina, genera merma y no paga el hueco. Fuera de la carta de apertura.",IF(J8="Revisar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9" ht="32" customHeight="1">
      <c r="A9" t="inlineStr">
        <is>
          <t>B4</t>
        </is>
      </c>
      <c r="B9" t="inlineStr">
        <is>
          <t>Palmera de hojaldre</t>
        </is>
      </c>
      <c r="C9" t="inlineStr">
        <is>
          <t>Bollería</t>
        </is>
      </c>
      <c r="D9" s="27">
        <f>'Coste Hora y Mano de Obra'!O9</f>
        <v>0.14201040512574373</v>
      </c>
      <c r="E9" s="11">
        <f>'Coste Hora y Mano de Obra'!Q9</f>
        <v>0.82770860540532</v>
      </c>
      <c r="F9" s="26">
        <f>'Mix y Ticket Medio'!D9</f>
        <v>4.5</v>
      </c>
      <c r="G9" s="11">
        <f>IFERROR(E9*F9/100,"")</f>
        <v>0.0372468872432394</v>
      </c>
      <c r="H9" t="str">
        <f>IF(NOT(ISNUMBER(D9)),"",IF(D9&lt;='Parámetros'!$B$24,"Sí","No"))</f>
        <v>Sí</v>
      </c>
      <c r="I9" t="str">
        <f>IF(NOT(ISNUMBER(F9)),"",IF(F9&gt;='Parámetros'!$B$37,"Sí","No"))</f>
        <v>Sí</v>
      </c>
      <c r="J9" t="str">
        <f>IF(OR(H9="",I9=""),"",IF(AND(H9="No",I9="No"),"Retirar",IF(H9="No","Revisar precio","Mantener")))</f>
        <v>Mantener</v>
      </c>
      <c r="K9" s="28" t="str">
        <f>IF(J9="","",IF(J9="Retirar","Se pasa del food cost objetivo Y casi no rota: ocupa vitrina, genera merma y no paga el hueco. Fuera de la carta de apertura.",IF(J9="Revisar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10" ht="32" customHeight="1">
      <c r="A10" t="inlineStr">
        <is>
          <t>B5</t>
        </is>
      </c>
      <c r="B10" t="inlineStr">
        <is>
          <t>Caracola de pasas</t>
        </is>
      </c>
      <c r="C10" t="inlineStr">
        <is>
          <t>Bollería</t>
        </is>
      </c>
      <c r="D10" s="27">
        <f>'Coste Hora y Mano de Obra'!O10</f>
        <v>0.18209304251067748</v>
      </c>
      <c r="E10" s="11">
        <f>'Coste Hora y Mano de Obra'!Q10</f>
        <v>0.47867522703868737</v>
      </c>
      <c r="F10" s="26">
        <f>'Mix y Ticket Medio'!D10</f>
        <v>3.5</v>
      </c>
      <c r="G10" s="11">
        <f>IFERROR(E10*F10/100,"")</f>
        <v>0.01675363294635406</v>
      </c>
      <c r="H10" t="str">
        <f>IF(NOT(ISNUMBER(D10)),"",IF(D10&lt;='Parámetros'!$B$24,"Sí","No"))</f>
        <v>Sí</v>
      </c>
      <c r="I10" t="str">
        <f>IF(NOT(ISNUMBER(F10)),"",IF(F10&gt;='Parámetros'!$B$37,"Sí","No"))</f>
        <v>Sí</v>
      </c>
      <c r="J10" t="str">
        <f>IF(OR(H10="",I10=""),"",IF(AND(H10="No",I10="No"),"Retirar",IF(H10="No","Revisar precio","Mantener")))</f>
        <v>Mantener</v>
      </c>
      <c r="K10" s="28" t="str">
        <f>IF(J10="","",IF(J10="Retirar","Se pasa del food cost objetivo Y casi no rota: ocupa vitrina, genera merma y no paga el hueco. Fuera de la carta de apertura.",IF(J10="Revisar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11" ht="32" customHeight="1">
      <c r="A11" t="inlineStr">
        <is>
          <t>B6</t>
        </is>
      </c>
      <c r="B11" t="inlineStr">
        <is>
          <t>Ensaimada</t>
        </is>
      </c>
      <c r="C11" t="inlineStr">
        <is>
          <t>Bollería</t>
        </is>
      </c>
      <c r="D11" s="27">
        <f>'Coste Hora y Mano de Obra'!O11</f>
        <v>0.10167062047817838</v>
      </c>
      <c r="E11" s="11">
        <f>'Coste Hora y Mano de Obra'!Q11</f>
        <v>0.2845202918627683</v>
      </c>
      <c r="F11" s="26">
        <f>'Mix y Ticket Medio'!D11</f>
        <v>3.0</v>
      </c>
      <c r="G11" s="11">
        <f>IFERROR(E11*F11/100,"")</f>
        <v>0.008535608755883049</v>
      </c>
      <c r="H11" t="str">
        <f>IF(NOT(ISNUMBER(D11)),"",IF(D11&lt;='Parámetros'!$B$24,"Sí","No"))</f>
        <v>Sí</v>
      </c>
      <c r="I11" t="str">
        <f>IF(NOT(ISNUMBER(F11)),"",IF(F11&gt;='Parámetros'!$B$37,"Sí","No"))</f>
        <v>Sí</v>
      </c>
      <c r="J11" t="str">
        <f>IF(OR(H11="",I11=""),"",IF(AND(H11="No",I11="No"),"Retirar",IF(H11="No","Revisar precio","Mantener")))</f>
        <v>Mantener</v>
      </c>
      <c r="K11" s="28" t="str">
        <f>IF(J11="","",IF(J11="Retirar","Se pasa del food cost objetivo Y casi no rota: ocupa vitrina, genera merma y no paga el hueco. Fuera de la carta de apertura.",IF(J11="Revisar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12" ht="32" customHeight="1">
      <c r="A12" t="inlineStr">
        <is>
          <t>PI1</t>
        </is>
      </c>
      <c r="B12" t="inlineStr">
        <is>
          <t>Milhojas</t>
        </is>
      </c>
      <c r="C12" t="inlineStr">
        <is>
          <t>Pastelería individual</t>
        </is>
      </c>
      <c r="D12" s="27">
        <f>'Coste Hora y Mano de Obra'!O12</f>
        <v>0.13656558254475323</v>
      </c>
      <c r="E12" s="11">
        <f>'Coste Hora y Mano de Obra'!Q12</f>
        <v>1.5800970813526631</v>
      </c>
      <c r="F12" s="26">
        <f>'Mix y Ticket Medio'!D12</f>
        <v>4.0</v>
      </c>
      <c r="G12" s="11">
        <f>IFERROR(E12*F12/100,"")</f>
        <v>0.06320388325410653</v>
      </c>
      <c r="H12" t="str">
        <f>IF(NOT(ISNUMBER(D12)),"",IF(D12&lt;='Parámetros'!$B$24,"Sí","No"))</f>
        <v>Sí</v>
      </c>
      <c r="I12" t="str">
        <f>IF(NOT(ISNUMBER(F12)),"",IF(F12&gt;='Parámetros'!$B$37,"Sí","No"))</f>
        <v>Sí</v>
      </c>
      <c r="J12" t="str">
        <f>IF(OR(H12="",I12=""),"",IF(AND(H12="No",I12="No"),"Retirar",IF(H12="No","Revisar precio","Mantener")))</f>
        <v>Mantener</v>
      </c>
      <c r="K12" s="28" t="str">
        <f>IF(J12="","",IF(J12="Retirar","Se pasa del food cost objetivo Y casi no rota: ocupa vitrina, genera merma y no paga el hueco. Fuera de la carta de apertura.",IF(J12="Revisar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13" ht="32" customHeight="1">
      <c r="A13" t="inlineStr">
        <is>
          <t>PI2</t>
        </is>
      </c>
      <c r="B13" t="inlineStr">
        <is>
          <t>Éclair</t>
        </is>
      </c>
      <c r="C13" t="inlineStr">
        <is>
          <t>Pastelería individual</t>
        </is>
      </c>
      <c r="D13" s="27">
        <f>'Coste Hora y Mano de Obra'!O13</f>
        <v>0.11627540921189744</v>
      </c>
      <c r="E13" s="11">
        <f>'Coste Hora y Mano de Obra'!Q13</f>
        <v>1.761137788039823</v>
      </c>
      <c r="F13" s="26">
        <f>'Mix y Ticket Medio'!D13</f>
        <v>3.5</v>
      </c>
      <c r="G13" s="11">
        <f>IFERROR(E13*F13/100,"")</f>
        <v>0.0616398225813938</v>
      </c>
      <c r="H13" t="str">
        <f>IF(NOT(ISNUMBER(D13)),"",IF(D13&lt;='Parámetros'!$B$24,"Sí","No"))</f>
        <v>Sí</v>
      </c>
      <c r="I13" t="str">
        <f>IF(NOT(ISNUMBER(F13)),"",IF(F13&gt;='Parámetros'!$B$37,"Sí","No"))</f>
        <v>Sí</v>
      </c>
      <c r="J13" t="str">
        <f>IF(OR(H13="",I13=""),"",IF(AND(H13="No",I13="No"),"Retirar",IF(H13="No","Revisar precio","Mantener")))</f>
        <v>Mantener</v>
      </c>
      <c r="K13" s="28" t="str">
        <f>IF(J13="","",IF(J13="Retirar","Se pasa del food cost objetivo Y casi no rota: ocupa vitrina, genera merma y no paga el hueco. Fuera de la carta de apertura.",IF(J13="Revisar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14" ht="32" customHeight="1">
      <c r="A14" t="inlineStr">
        <is>
          <t>PI3</t>
        </is>
      </c>
      <c r="B14" t="inlineStr">
        <is>
          <t>Macarons de frambuesa</t>
        </is>
      </c>
      <c r="C14" t="inlineStr">
        <is>
          <t>Pastelería individual</t>
        </is>
      </c>
      <c r="D14" s="27">
        <f>'Coste Hora y Mano de Obra'!O14</f>
        <v>0.10293378882800597</v>
      </c>
      <c r="E14" s="11">
        <f>'Coste Hora y Mano de Obra'!Q14</f>
        <v>0.9153404462877943</v>
      </c>
      <c r="F14" s="26">
        <f>'Mix y Ticket Medio'!D14</f>
        <v>7.0</v>
      </c>
      <c r="G14" s="11">
        <f>IFERROR(E14*F14/100,"")</f>
        <v>0.0640738312401456</v>
      </c>
      <c r="H14" t="str">
        <f>IF(NOT(ISNUMBER(D14)),"",IF(D14&lt;='Parámetros'!$B$24,"Sí","No"))</f>
        <v>Sí</v>
      </c>
      <c r="I14" t="str">
        <f>IF(NOT(ISNUMBER(F14)),"",IF(F14&gt;='Parámetros'!$B$37,"Sí","No"))</f>
        <v>Sí</v>
      </c>
      <c r="J14" t="str">
        <f>IF(OR(H14="",I14=""),"",IF(AND(H14="No",I14="No"),"Retirar",IF(H14="No","Revisar precio","Mantener")))</f>
        <v>Mantener</v>
      </c>
      <c r="K14" s="28" t="str">
        <f>IF(J14="","",IF(J14="Retirar","Se pasa del food cost objetivo Y casi no rota: ocupa vitrina, genera merma y no paga el hueco. Fuera de la carta de apertura.",IF(J14="Revisar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15" ht="32" customHeight="1">
      <c r="A15" t="inlineStr">
        <is>
          <t>PI4</t>
        </is>
      </c>
      <c r="B15" t="inlineStr">
        <is>
          <t>Tartaleta de frutas</t>
        </is>
      </c>
      <c r="C15" t="inlineStr">
        <is>
          <t>Pastelería individual</t>
        </is>
      </c>
      <c r="D15" s="27">
        <f>'Coste Hora y Mano de Obra'!O15</f>
        <v>0.15196964337983854</v>
      </c>
      <c r="E15" s="11">
        <f>'Coste Hora y Mano de Obra'!Q15</f>
        <v>1.6589573632169412</v>
      </c>
      <c r="F15" s="26">
        <f>'Mix y Ticket Medio'!D15</f>
        <v>3.0</v>
      </c>
      <c r="G15" s="11">
        <f>IFERROR(E15*F15/100,"")</f>
        <v>0.04976872089650824</v>
      </c>
      <c r="H15" t="str">
        <f>IF(NOT(ISNUMBER(D15)),"",IF(D15&lt;='Parámetros'!$B$24,"Sí","No"))</f>
        <v>Sí</v>
      </c>
      <c r="I15" t="str">
        <f>IF(NOT(ISNUMBER(F15)),"",IF(F15&gt;='Parámetros'!$B$37,"Sí","No"))</f>
        <v>Sí</v>
      </c>
      <c r="J15" t="str">
        <f>IF(OR(H15="",I15=""),"",IF(AND(H15="No",I15="No"),"Retirar",IF(H15="No","Revisar precio","Mantener")))</f>
        <v>Mantener</v>
      </c>
      <c r="K15" s="28" t="str">
        <f>IF(J15="","",IF(J15="Retirar","Se pasa del food cost objetivo Y casi no rota: ocupa vitrina, genera merma y no paga el hueco. Fuera de la carta de apertura.",IF(J15="Revisar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16" ht="32" customHeight="1">
      <c r="A16" t="inlineStr">
        <is>
          <t>PI5</t>
        </is>
      </c>
      <c r="B16" t="inlineStr">
        <is>
          <t>Lionesa o profiterol</t>
        </is>
      </c>
      <c r="C16" t="inlineStr">
        <is>
          <t>Pastelería individual</t>
        </is>
      </c>
      <c r="D16" s="27">
        <f>'Coste Hora y Mano de Obra'!O16</f>
        <v>0.09478021263657183</v>
      </c>
      <c r="E16" s="11">
        <f>'Coste Hora y Mano de Obra'!Q16</f>
        <v>1.4442845001177629</v>
      </c>
      <c r="F16" s="26">
        <f>'Mix y Ticket Medio'!D16</f>
        <v>3.0</v>
      </c>
      <c r="G16" s="11">
        <f>IFERROR(E16*F16/100,"")</f>
        <v>0.043328535003532884</v>
      </c>
      <c r="H16" t="str">
        <f>IF(NOT(ISNUMBER(D16)),"",IF(D16&lt;='Parámetros'!$B$24,"Sí","No"))</f>
        <v>Sí</v>
      </c>
      <c r="I16" t="str">
        <f>IF(NOT(ISNUMBER(F16)),"",IF(F16&gt;='Parámetros'!$B$37,"Sí","No"))</f>
        <v>Sí</v>
      </c>
      <c r="J16" t="str">
        <f>IF(OR(H16="",I16=""),"",IF(AND(H16="No",I16="No"),"Retirar",IF(H16="No","Revisar precio","Mantener")))</f>
        <v>Mantener</v>
      </c>
      <c r="K16" s="28" t="str">
        <f>IF(J16="","",IF(J16="Retirar","Se pasa del food cost objetivo Y casi no rota: ocupa vitrina, genera merma y no paga el hueco. Fuera de la carta de apertura.",IF(J16="Revisar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17" ht="32" customHeight="1">
      <c r="A17" t="inlineStr">
        <is>
          <t>PI6</t>
        </is>
      </c>
      <c r="B17" t="inlineStr">
        <is>
          <t>Entremet individual</t>
        </is>
      </c>
      <c r="C17" t="inlineStr">
        <is>
          <t>Pastelería individual</t>
        </is>
      </c>
      <c r="D17" s="27">
        <f>'Coste Hora y Mano de Obra'!O17</f>
        <v>0.20160341927447806</v>
      </c>
      <c r="E17" s="11">
        <f>'Coste Hora y Mano de Obra'!Q17</f>
        <v>1.4910620243088477</v>
      </c>
      <c r="F17" s="26">
        <f>'Mix y Ticket Medio'!D17</f>
        <v>1.5</v>
      </c>
      <c r="G17" s="11">
        <f>IFERROR(E17*F17/100,"")</f>
        <v>0.022365930364632716</v>
      </c>
      <c r="H17" t="str">
        <f>IF(NOT(ISNUMBER(D17)),"",IF(D17&lt;='Parámetros'!$B$24,"Sí","No"))</f>
        <v>Sí</v>
      </c>
      <c r="I17" t="str">
        <f>IF(NOT(ISNUMBER(F17)),"",IF(F17&gt;='Parámetros'!$B$37,"Sí","No"))</f>
        <v>Sí</v>
      </c>
      <c r="J17" t="str">
        <f>IF(OR(H17="",I17=""),"",IF(AND(H17="No",I17="No"),"Retirar",IF(H17="No","Revisar precio","Mantener")))</f>
        <v>Mantener</v>
      </c>
      <c r="K17" s="28" t="str">
        <f>IF(J17="","",IF(J17="Retirar","Se pasa del food cost objetivo Y casi no rota: ocupa vitrina, genera merma y no paga el hueco. Fuera de la carta de apertura.",IF(J17="Revisar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18" ht="32" customHeight="1">
      <c r="A18" t="inlineStr">
        <is>
          <t>T1</t>
        </is>
      </c>
      <c r="B18" t="inlineStr">
        <is>
          <t>Tarta de chocolate 70 %</t>
        </is>
      </c>
      <c r="C18" t="inlineStr">
        <is>
          <t>Tartas y entremets</t>
        </is>
      </c>
      <c r="D18" s="27">
        <f>'Coste Hora y Mano de Obra'!O18</f>
        <v>0.3521014528973784</v>
      </c>
      <c r="E18" s="11">
        <f>'Coste Hora y Mano de Obra'!Q18</f>
        <v>0.9992757886850683</v>
      </c>
      <c r="F18" s="26">
        <f>'Mix y Ticket Medio'!D18</f>
        <v>1.2</v>
      </c>
      <c r="G18" s="11">
        <f>IFERROR(E18*F18/100,"")</f>
        <v>0.011991309464220818</v>
      </c>
      <c r="H18" t="str">
        <f>IF(NOT(ISNUMBER(D18)),"",IF(D18&lt;='Parámetros'!$B$24,"Sí","No"))</f>
        <v>No</v>
      </c>
      <c r="I18" t="str">
        <f>IF(NOT(ISNUMBER(F18)),"",IF(F18&gt;='Parámetros'!$B$37,"Sí","No"))</f>
        <v>Sí</v>
      </c>
      <c r="J18" t="str">
        <f>IF(OR(H18="",I18=""),"",IF(AND(H18="No",I18="No"),"Retirar",IF(H18="No","Revisar precio","Mantener")))</f>
        <v>Revisar precio</v>
      </c>
      <c r="K18" s="28" t="str">
        <f>IF(J18="","",IF(J18="Retirar","Se pasa del food cost objetivo Y casi no rota: ocupa vitrina, genera merma y no paga el hueco. Fuera de la carta de apertura.",IF(J18="Revisar precio","Rota bien pero se pasa del food cost objetivo: sube el precio, cambia el gramaje o renegocia el ingrediente que la encarece. Retirarla te quitaría rotación.","Dentro del objetivo y con rotación: es la que sostiene la carta. Vigila que no se te vaya el coste de materia.")))</f>
        <v>Rota bien pero se pasa del food cost objetivo: sube el precio, cambia el gramaje o renegocia el ingrediente que la encarece. Retirarla te quitaría rotación.</v>
      </c>
    </row>
    <row r="19" ht="32" customHeight="1">
      <c r="A19" t="inlineStr">
        <is>
          <t>T2</t>
        </is>
      </c>
      <c r="B19" t="inlineStr">
        <is>
          <t>Tarta de queso</t>
        </is>
      </c>
      <c r="C19" t="inlineStr">
        <is>
          <t>Tartas y entremets</t>
        </is>
      </c>
      <c r="D19" s="27">
        <f>'Coste Hora y Mano de Obra'!O19</f>
        <v>0.29526335915361224</v>
      </c>
      <c r="E19" s="11">
        <f>'Coste Hora y Mano de Obra'!Q19</f>
        <v>1.4308639189701298</v>
      </c>
      <c r="F19" s="26">
        <f>'Mix y Ticket Medio'!D19</f>
        <v>1.5</v>
      </c>
      <c r="G19" s="11">
        <f>IFERROR(E19*F19/100,"")</f>
        <v>0.021462958784551945</v>
      </c>
      <c r="H19" t="str">
        <f>IF(NOT(ISNUMBER(D19)),"",IF(D19&lt;='Parámetros'!$B$24,"Sí","No"))</f>
        <v>Sí</v>
      </c>
      <c r="I19" t="str">
        <f>IF(NOT(ISNUMBER(F19)),"",IF(F19&gt;='Parámetros'!$B$37,"Sí","No"))</f>
        <v>Sí</v>
      </c>
      <c r="J19" t="str">
        <f>IF(OR(H19="",I19=""),"",IF(AND(H19="No",I19="No"),"Retirar",IF(H19="No","Revisar precio","Mantener")))</f>
        <v>Mantener</v>
      </c>
      <c r="K19" s="28" t="str">
        <f>IF(J19="","",IF(J19="Retirar","Se pasa del food cost objetivo Y casi no rota: ocupa vitrina, genera merma y no paga el hueco. Fuera de la carta de apertura.",IF(J19="Revisar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20" ht="32" customHeight="1">
      <c r="A20" t="inlineStr">
        <is>
          <t>T3</t>
        </is>
      </c>
      <c r="B20" t="inlineStr">
        <is>
          <t>Tarta de manzana</t>
        </is>
      </c>
      <c r="C20" t="inlineStr">
        <is>
          <t>Tartas y entremets</t>
        </is>
      </c>
      <c r="D20" s="27">
        <f>'Coste Hora y Mano de Obra'!O20</f>
        <v>0.14743040763122245</v>
      </c>
      <c r="E20" s="11">
        <f>'Coste Hora y Mano de Obra'!Q20</f>
        <v>1.4836518226357467</v>
      </c>
      <c r="F20" s="26">
        <f>'Mix y Ticket Medio'!D20</f>
        <v>1.1</v>
      </c>
      <c r="G20" s="11">
        <f>IFERROR(E20*F20/100,"")</f>
        <v>0.016320170048993214</v>
      </c>
      <c r="H20" t="str">
        <f>IF(NOT(ISNUMBER(D20)),"",IF(D20&lt;='Parámetros'!$B$24,"Sí","No"))</f>
        <v>Sí</v>
      </c>
      <c r="I20" t="str">
        <f>IF(NOT(ISNUMBER(F20)),"",IF(F20&gt;='Parámetros'!$B$37,"Sí","No"))</f>
        <v>Sí</v>
      </c>
      <c r="J20" t="str">
        <f>IF(OR(H20="",I20=""),"",IF(AND(H20="No",I20="No"),"Retirar",IF(H20="No","Revisar precio","Mantener")))</f>
        <v>Mantener</v>
      </c>
      <c r="K20" s="28" t="str">
        <f>IF(J20="","",IF(J20="Retirar","Se pasa del food cost objetivo Y casi no rota: ocupa vitrina, genera merma y no paga el hueco. Fuera de la carta de apertura.",IF(J20="Revisar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21" ht="32" customHeight="1">
      <c r="A21" t="inlineStr">
        <is>
          <t>T4</t>
        </is>
      </c>
      <c r="B21" t="inlineStr">
        <is>
          <t>Tarta de zanahoria</t>
        </is>
      </c>
      <c r="C21" t="inlineStr">
        <is>
          <t>Tartas y entremets</t>
        </is>
      </c>
      <c r="D21" s="27">
        <f>'Coste Hora y Mano de Obra'!O21</f>
        <v>0.2510420860860878</v>
      </c>
      <c r="E21" s="11">
        <f>'Coste Hora y Mano de Obra'!Q21</f>
        <v>1.125754285363679</v>
      </c>
      <c r="F21" s="26">
        <f>'Mix y Ticket Medio'!D21</f>
        <v>0.9</v>
      </c>
      <c r="G21" s="11">
        <f>IFERROR(E21*F21/100,"")</f>
        <v>0.010131788568273112</v>
      </c>
      <c r="H21" t="str">
        <f>IF(NOT(ISNUMBER(D21)),"",IF(D21&lt;='Parámetros'!$B$24,"Sí","No"))</f>
        <v>Sí</v>
      </c>
      <c r="I21" t="str">
        <f>IF(NOT(ISNUMBER(F21)),"",IF(F21&gt;='Parámetros'!$B$37,"Sí","No"))</f>
        <v>No</v>
      </c>
      <c r="J21" t="str">
        <f>IF(OR(H21="",I21=""),"",IF(AND(H21="No",I21="No"),"Retirar",IF(H21="No","Revisar precio","Mantener")))</f>
        <v>Mantener</v>
      </c>
      <c r="K21" s="28" t="str">
        <f>IF(J21="","",IF(J21="Retirar","Se pasa del food cost objetivo Y casi no rota: ocupa vitrina, genera merma y no paga el hueco. Fuera de la carta de apertura.",IF(J21="Revisar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22" ht="32" customHeight="1">
      <c r="A22" t="inlineStr">
        <is>
          <t>T5</t>
        </is>
      </c>
      <c r="B22" t="inlineStr">
        <is>
          <t>Tarta Sacher</t>
        </is>
      </c>
      <c r="C22" t="inlineStr">
        <is>
          <t>Tartas y entremets</t>
        </is>
      </c>
      <c r="D22" s="27">
        <f>'Coste Hora y Mano de Obra'!O22</f>
        <v>0.2578585167936811</v>
      </c>
      <c r="E22" s="11">
        <f>'Coste Hora y Mano de Obra'!Q22</f>
        <v>1.1935043740890516</v>
      </c>
      <c r="F22" s="26">
        <f>'Mix y Ticket Medio'!D22</f>
        <v>0.8</v>
      </c>
      <c r="G22" s="11">
        <f>IFERROR(E22*F22/100,"")</f>
        <v>0.009548034992712413</v>
      </c>
      <c r="H22" t="str">
        <f>IF(NOT(ISNUMBER(D22)),"",IF(D22&lt;='Parámetros'!$B$24,"Sí","No"))</f>
        <v>Sí</v>
      </c>
      <c r="I22" t="str">
        <f>IF(NOT(ISNUMBER(F22)),"",IF(F22&gt;='Parámetros'!$B$37,"Sí","No"))</f>
        <v>No</v>
      </c>
      <c r="J22" t="str">
        <f>IF(OR(H22="",I22=""),"",IF(AND(H22="No",I22="No"),"Retirar",IF(H22="No","Revisar precio","Mantener")))</f>
        <v>Mantener</v>
      </c>
      <c r="K22" s="28" t="str">
        <f>IF(J22="","",IF(J22="Retirar","Se pasa del food cost objetivo Y casi no rota: ocupa vitrina, genera merma y no paga el hueco. Fuera de la carta de apertura.",IF(J22="Revisar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23" ht="32" customHeight="1">
      <c r="A23" t="inlineStr">
        <is>
          <t>T6</t>
        </is>
      </c>
      <c r="B23" t="inlineStr">
        <is>
          <t>Tarta de nata y fresas</t>
        </is>
      </c>
      <c r="C23" t="inlineStr">
        <is>
          <t>Tartas y entremets</t>
        </is>
      </c>
      <c r="D23" s="27">
        <f>'Coste Hora y Mano de Obra'!O23</f>
        <v>0.2383551997670426</v>
      </c>
      <c r="E23" s="11">
        <f>'Coste Hora y Mano de Obra'!Q23</f>
        <v>1.1777269886039927</v>
      </c>
      <c r="F23" s="26">
        <f>'Mix y Ticket Medio'!D23</f>
        <v>1.0</v>
      </c>
      <c r="G23" s="11">
        <f>IFERROR(E23*F23/100,"")</f>
        <v>0.011777269886039927</v>
      </c>
      <c r="H23" t="str">
        <f>IF(NOT(ISNUMBER(D23)),"",IF(D23&lt;='Parámetros'!$B$24,"Sí","No"))</f>
        <v>Sí</v>
      </c>
      <c r="I23" t="str">
        <f>IF(NOT(ISNUMBER(F23)),"",IF(F23&gt;='Parámetros'!$B$37,"Sí","No"))</f>
        <v>Sí</v>
      </c>
      <c r="J23" t="str">
        <f>IF(OR(H23="",I23=""),"",IF(AND(H23="No",I23="No"),"Retirar",IF(H23="No","Revisar precio","Mantener")))</f>
        <v>Mantener</v>
      </c>
      <c r="K23" s="28" t="str">
        <f>IF(J23="","",IF(J23="Retirar","Se pasa del food cost objetivo Y casi no rota: ocupa vitrina, genera merma y no paga el hueco. Fuera de la carta de apertura.",IF(J23="Revisar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24" ht="32" customHeight="1">
      <c r="A24" t="inlineStr">
        <is>
          <t>PA1</t>
        </is>
      </c>
      <c r="B24" t="inlineStr">
        <is>
          <t>Barra</t>
        </is>
      </c>
      <c r="C24" t="inlineStr">
        <is>
          <t>Panes de acompañamiento</t>
        </is>
      </c>
      <c r="D24" s="27">
        <f>'Coste Hora y Mano de Obra'!O24</f>
        <v>0.14915559148238788</v>
      </c>
      <c r="E24" s="11">
        <f>'Coste Hora y Mano de Obra'!Q24</f>
        <v>0.7201490084680057</v>
      </c>
      <c r="F24" s="26">
        <f>'Mix y Ticket Medio'!D24</f>
        <v>16.0</v>
      </c>
      <c r="G24" s="11">
        <f>IFERROR(E24*F24/100,"")</f>
        <v>0.11522384135488091</v>
      </c>
      <c r="H24" t="str">
        <f>IF(NOT(ISNUMBER(D24)),"",IF(D24&lt;='Parámetros'!$B$24,"Sí","No"))</f>
        <v>Sí</v>
      </c>
      <c r="I24" t="str">
        <f>IF(NOT(ISNUMBER(F24)),"",IF(F24&gt;='Parámetros'!$B$37,"Sí","No"))</f>
        <v>Sí</v>
      </c>
      <c r="J24" t="str">
        <f>IF(OR(H24="",I24=""),"",IF(AND(H24="No",I24="No"),"Retirar",IF(H24="No","Revisar precio","Mantener")))</f>
        <v>Mantener</v>
      </c>
      <c r="K24" s="28" t="str">
        <f>IF(J24="","",IF(J24="Retirar","Se pasa del food cost objetivo Y casi no rota: ocupa vitrina, genera merma y no paga el hueco. Fuera de la carta de apertura.",IF(J24="Revisar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25" ht="32" customHeight="1">
      <c r="A25" t="inlineStr">
        <is>
          <t>PA2</t>
        </is>
      </c>
      <c r="B25" t="inlineStr">
        <is>
          <t>Chapata</t>
        </is>
      </c>
      <c r="C25" t="inlineStr">
        <is>
          <t>Panes de acompañamiento</t>
        </is>
      </c>
      <c r="D25" s="27">
        <f>'Coste Hora y Mano de Obra'!O25</f>
        <v>0.13865010602721828</v>
      </c>
      <c r="E25" s="11">
        <f>'Coste Hora y Mano de Obra'!Q25</f>
        <v>0.9514471975756965</v>
      </c>
      <c r="F25" s="26">
        <f>'Mix y Ticket Medio'!D25</f>
        <v>4.0</v>
      </c>
      <c r="G25" s="11">
        <f>IFERROR(E25*F25/100,"")</f>
        <v>0.03805788790302786</v>
      </c>
      <c r="H25" t="str">
        <f>IF(NOT(ISNUMBER(D25)),"",IF(D25&lt;='Parámetros'!$B$24,"Sí","No"))</f>
        <v>Sí</v>
      </c>
      <c r="I25" t="str">
        <f>IF(NOT(ISNUMBER(F25)),"",IF(F25&gt;='Parámetros'!$B$37,"Sí","No"))</f>
        <v>Sí</v>
      </c>
      <c r="J25" t="str">
        <f>IF(OR(H25="",I25=""),"",IF(AND(H25="No",I25="No"),"Retirar",IF(H25="No","Revisar precio","Mantener")))</f>
        <v>Mantener</v>
      </c>
      <c r="K25" s="28" t="str">
        <f>IF(J25="","",IF(J25="Retirar","Se pasa del food cost objetivo Y casi no rota: ocupa vitrina, genera merma y no paga el hueco. Fuera de la carta de apertura.",IF(J25="Revisar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26" ht="32" customHeight="1">
      <c r="A26" t="inlineStr">
        <is>
          <t>PA3</t>
        </is>
      </c>
      <c r="B26" t="inlineStr">
        <is>
          <t>Hogaza de masa madre</t>
        </is>
      </c>
      <c r="C26" t="inlineStr">
        <is>
          <t>Panes de acompañamiento</t>
        </is>
      </c>
      <c r="D26" s="27">
        <f>'Coste Hora y Mano de Obra'!O26</f>
        <v>0.15812609579914438</v>
      </c>
      <c r="E26" s="11">
        <f>'Coste Hora y Mano de Obra'!Q26</f>
        <v>2.160476512861602</v>
      </c>
      <c r="F26" s="26">
        <f>'Mix y Ticket Medio'!D26</f>
        <v>3.5</v>
      </c>
      <c r="G26" s="11">
        <f>IFERROR(E26*F26/100,"")</f>
        <v>0.07561667795015607</v>
      </c>
      <c r="H26" t="str">
        <f>IF(NOT(ISNUMBER(D26)),"",IF(D26&lt;='Parámetros'!$B$24,"Sí","No"))</f>
        <v>Sí</v>
      </c>
      <c r="I26" t="str">
        <f>IF(NOT(ISNUMBER(F26)),"",IF(F26&gt;='Parámetros'!$B$37,"Sí","No"))</f>
        <v>Sí</v>
      </c>
      <c r="J26" t="str">
        <f>IF(OR(H26="",I26=""),"",IF(AND(H26="No",I26="No"),"Retirar",IF(H26="No","Revisar precio","Mantener")))</f>
        <v>Mantener</v>
      </c>
      <c r="K26" s="28" t="str">
        <f>IF(J26="","",IF(J26="Retirar","Se pasa del food cost objetivo Y casi no rota: ocupa vitrina, genera merma y no paga el hueco. Fuera de la carta de apertura.",IF(J26="Revisar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27" ht="32" customHeight="1">
      <c r="A27" t="inlineStr">
        <is>
          <t>PA4</t>
        </is>
      </c>
      <c r="B27" t="inlineStr">
        <is>
          <t>Pan de molde</t>
        </is>
      </c>
      <c r="C27" t="inlineStr">
        <is>
          <t>Panes de acompañamiento</t>
        </is>
      </c>
      <c r="D27" s="27">
        <f>'Coste Hora y Mano de Obra'!O27</f>
        <v>0.26393107953979206</v>
      </c>
      <c r="E27" s="11">
        <f>'Coste Hora y Mano de Obra'!Q27</f>
        <v>1.367931882467425</v>
      </c>
      <c r="F27" s="26">
        <f>'Mix y Ticket Medio'!D27</f>
        <v>2.5</v>
      </c>
      <c r="G27" s="11">
        <f>IFERROR(E27*F27/100,"")</f>
        <v>0.034198297061685624</v>
      </c>
      <c r="H27" t="str">
        <f>IF(NOT(ISNUMBER(D27)),"",IF(D27&lt;='Parámetros'!$B$24,"Sí","No"))</f>
        <v>Sí</v>
      </c>
      <c r="I27" t="str">
        <f>IF(NOT(ISNUMBER(F27)),"",IF(F27&gt;='Parámetros'!$B$37,"Sí","No"))</f>
        <v>Sí</v>
      </c>
      <c r="J27" t="str">
        <f>IF(OR(H27="",I27=""),"",IF(AND(H27="No",I27="No"),"Retirar",IF(H27="No","Revisar precio","Mantener")))</f>
        <v>Mantener</v>
      </c>
      <c r="K27" s="28" t="str">
        <f>IF(J27="","",IF(J27="Retirar","Se pasa del food cost objetivo Y casi no rota: ocupa vitrina, genera merma y no paga el hueco. Fuera de la carta de apertura.",IF(J27="Revisar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28" ht="32" customHeight="1">
      <c r="A28" t="inlineStr">
        <is>
          <t>TP1</t>
        </is>
      </c>
      <c r="B28" t="inlineStr">
        <is>
          <t>Roscón de Reyes</t>
        </is>
      </c>
      <c r="C28" t="inlineStr">
        <is>
          <t>Temporada</t>
        </is>
      </c>
      <c r="D28" s="27">
        <f>'Coste Hora y Mano de Obra'!O28</f>
        <v>0.1732517814300538</v>
      </c>
      <c r="E28" s="11">
        <f>'Coste Hora y Mano de Obra'!Q28</f>
        <v>10.158984365793078</v>
      </c>
      <c r="F28" s="26">
        <f>'Mix y Ticket Medio'!D28</f>
        <v>1.2</v>
      </c>
      <c r="G28" s="11">
        <f>IFERROR(E28*F28/100,"")</f>
        <v>0.12190781238951694</v>
      </c>
      <c r="H28" t="str">
        <f>IF(NOT(ISNUMBER(D28)),"",IF(D28&lt;='Parámetros'!$B$24,"Sí","No"))</f>
        <v>Sí</v>
      </c>
      <c r="I28" t="str">
        <f>IF(NOT(ISNUMBER(F28)),"",IF(F28&gt;='Parámetros'!$B$37,"Sí","No"))</f>
        <v>Sí</v>
      </c>
      <c r="J28" t="str">
        <f>IF(OR(H28="",I28=""),"",IF(AND(H28="No",I28="No"),"Retirar",IF(H28="No","Revisar precio","Mantener")))</f>
        <v>Mantener</v>
      </c>
      <c r="K28" s="28" t="str">
        <f>IF(J28="","",IF(J28="Retirar","Se pasa del food cost objetivo Y casi no rota: ocupa vitrina, genera merma y no paga el hueco. Fuera de la carta de apertura.",IF(J28="Revisar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29" ht="32" customHeight="1">
      <c r="A29" t="inlineStr">
        <is>
          <t>TP2</t>
        </is>
      </c>
      <c r="B29" t="inlineStr">
        <is>
          <t>Torrijas</t>
        </is>
      </c>
      <c r="C29" t="inlineStr">
        <is>
          <t>Temporada</t>
        </is>
      </c>
      <c r="D29" s="27">
        <f>'Coste Hora y Mano de Obra'!O29</f>
        <v>0.11919218611357589</v>
      </c>
      <c r="E29" s="11">
        <f>'Coste Hora y Mano de Obra'!Q29</f>
        <v>1.2241770635008007</v>
      </c>
      <c r="F29" s="26">
        <f>'Mix y Ticket Medio'!D29</f>
        <v>1.3</v>
      </c>
      <c r="G29" s="11">
        <f>IFERROR(E29*F29/100,"")</f>
        <v>0.01591430182551041</v>
      </c>
      <c r="H29" t="str">
        <f>IF(NOT(ISNUMBER(D29)),"",IF(D29&lt;='Parámetros'!$B$24,"Sí","No"))</f>
        <v>Sí</v>
      </c>
      <c r="I29" t="str">
        <f>IF(NOT(ISNUMBER(F29)),"",IF(F29&gt;='Parámetros'!$B$37,"Sí","No"))</f>
        <v>Sí</v>
      </c>
      <c r="J29" t="str">
        <f>IF(OR(H29="",I29=""),"",IF(AND(H29="No",I29="No"),"Retirar",IF(H29="No","Revisar precio","Mantener")))</f>
        <v>Mantener</v>
      </c>
      <c r="K29" s="28" t="str">
        <f>IF(J29="","",IF(J29="Retirar","Se pasa del food cost objetivo Y casi no rota: ocupa vitrina, genera merma y no paga el hueco. Fuera de la carta de apertura.",IF(J29="Revisar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30" ht="32" customHeight="1">
      <c r="A30" t="inlineStr">
        <is>
          <t>TP3</t>
        </is>
      </c>
      <c r="B30" t="inlineStr">
        <is>
          <t>Buñuelos de viento</t>
        </is>
      </c>
      <c r="C30" t="inlineStr">
        <is>
          <t>Temporada</t>
        </is>
      </c>
      <c r="D30" s="27">
        <f>'Coste Hora y Mano de Obra'!O30</f>
        <v>0.11653872544647621</v>
      </c>
      <c r="E30" s="11">
        <f>'Coste Hora y Mano de Obra'!Q30</f>
        <v>0.9113280957094095</v>
      </c>
      <c r="F30" s="26">
        <f>'Mix y Ticket Medio'!D30</f>
        <v>1.0</v>
      </c>
      <c r="G30" s="11">
        <f>IFERROR(E30*F30/100,"")</f>
        <v>0.009113280957094095</v>
      </c>
      <c r="H30" t="str">
        <f>IF(NOT(ISNUMBER(D30)),"",IF(D30&lt;='Parámetros'!$B$24,"Sí","No"))</f>
        <v>Sí</v>
      </c>
      <c r="I30" t="str">
        <f>IF(NOT(ISNUMBER(F30)),"",IF(F30&gt;='Parámetros'!$B$37,"Sí","No"))</f>
        <v>Sí</v>
      </c>
      <c r="J30" t="str">
        <f>IF(OR(H30="",I30=""),"",IF(AND(H30="No",I30="No"),"Retirar",IF(H30="No","Revisar precio","Mantener")))</f>
        <v>Mantener</v>
      </c>
      <c r="K30" s="28" t="str">
        <f>IF(J30="","",IF(J30="Retirar","Se pasa del food cost objetivo Y casi no rota: ocupa vitrina, genera merma y no paga el hueco. Fuera de la carta de apertura.",IF(J30="Revisar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31" ht="32" customHeight="1">
      <c r="A31" t="inlineStr">
        <is>
          <t>TP4</t>
        </is>
      </c>
      <c r="B31" t="inlineStr">
        <is>
          <t>Huesos de santo</t>
        </is>
      </c>
      <c r="C31" t="inlineStr">
        <is>
          <t>Temporada</t>
        </is>
      </c>
      <c r="D31" s="27">
        <f>'Coste Hora y Mano de Obra'!O31</f>
        <v>0.18791765127103474</v>
      </c>
      <c r="E31" s="11">
        <f>'Coste Hora y Mano de Obra'!Q31</f>
        <v>0.7673866679782226</v>
      </c>
      <c r="F31" s="26">
        <f>'Mix y Ticket Medio'!D31</f>
        <v>0.8</v>
      </c>
      <c r="G31" s="11">
        <f>IFERROR(E31*F31/100,"")</f>
        <v>0.006139093343825781</v>
      </c>
      <c r="H31" t="str">
        <f>IF(NOT(ISNUMBER(D31)),"",IF(D31&lt;='Parámetros'!$B$24,"Sí","No"))</f>
        <v>Sí</v>
      </c>
      <c r="I31" t="str">
        <f>IF(NOT(ISNUMBER(F31)),"",IF(F31&gt;='Parámetros'!$B$37,"Sí","No"))</f>
        <v>No</v>
      </c>
      <c r="J31" t="str">
        <f>IF(OR(H31="",I31=""),"",IF(AND(H31="No",I31="No"),"Retirar",IF(H31="No","Revisar precio","Mantener")))</f>
        <v>Mantener</v>
      </c>
      <c r="K31" s="28" t="str">
        <f>IF(J31="","",IF(J31="Retirar","Se pasa del food cost objetivo Y casi no rota: ocupa vitrina, genera merma y no paga el hueco. Fuera de la carta de apertura.",IF(J31="Revisar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32" ht="32" customHeight="1">
      <c r="A32" t="inlineStr">
        <is>
          <t>TP5</t>
        </is>
      </c>
      <c r="B32" t="inlineStr">
        <is>
          <t>Panellets</t>
        </is>
      </c>
      <c r="C32" t="inlineStr">
        <is>
          <t>Temporada</t>
        </is>
      </c>
      <c r="D32" s="27">
        <f>'Coste Hora y Mano de Obra'!O32</f>
        <v>0.40966084451798745</v>
      </c>
      <c r="E32" s="11">
        <f>'Coste Hora y Mano de Obra'!Q32</f>
        <v>0.5443953425776165</v>
      </c>
      <c r="F32" s="26">
        <f>'Mix y Ticket Medio'!D32</f>
        <v>0.7</v>
      </c>
      <c r="G32" s="11">
        <f>IFERROR(E32*F32/100,"")</f>
        <v>0.003810767398043315</v>
      </c>
      <c r="H32" t="str">
        <f>IF(NOT(ISNUMBER(D32)),"",IF(D32&lt;='Parámetros'!$B$24,"Sí","No"))</f>
        <v>No</v>
      </c>
      <c r="I32" t="str">
        <f>IF(NOT(ISNUMBER(F32)),"",IF(F32&gt;='Parámetros'!$B$37,"Sí","No"))</f>
        <v>No</v>
      </c>
      <c r="J32" t="str">
        <f>IF(OR(H32="",I32=""),"",IF(AND(H32="No",I32="No"),"Retirar",IF(H32="No","Revisar precio","Mantener")))</f>
        <v>Retirar</v>
      </c>
      <c r="K32" s="28" t="str">
        <f>IF(J32="","",IF(J32="Retirar","Se pasa del food cost objetivo Y casi no rota: ocupa vitrina, genera merma y no paga el hueco. Fuera de la carta de apertura.",IF(J32="Revisar precio","Rota bien pero se pasa del food cost objetivo: sube el precio, cambia el gramaje o renegocia el ingrediente que la encarece. Retirarla te quitaría rotación.","Dentro del objetivo y con rotación: es la que sostiene la carta. Vigila que no se te vaya el coste de materia.")))</f>
        <v>Se pasa del food cost objetivo Y casi no rota: ocupa vitrina, genera merma y no paga el hueco. Fuera de la carta de apertura.</v>
      </c>
    </row>
    <row r="33" ht="32" customHeight="1">
      <c r="A33" t="inlineStr">
        <is>
          <t>TP6</t>
        </is>
      </c>
      <c r="B33" t="inlineStr">
        <is>
          <t>Polvorón o mantecado</t>
        </is>
      </c>
      <c r="C33" t="inlineStr">
        <is>
          <t>Temporada</t>
        </is>
      </c>
      <c r="D33" s="27">
        <f>'Coste Hora y Mano de Obra'!O33</f>
        <v>0.14397461475132414</v>
      </c>
      <c r="E33" s="11">
        <f>'Coste Hora y Mano de Obra'!Q33</f>
        <v>0.6049841676125072</v>
      </c>
      <c r="F33" s="26">
        <f>'Mix y Ticket Medio'!D33</f>
        <v>1.3</v>
      </c>
      <c r="G33" s="11">
        <f>IFERROR(E33*F33/100,"")</f>
        <v>0.007864794178962593</v>
      </c>
      <c r="H33" t="str">
        <f>IF(NOT(ISNUMBER(D33)),"",IF(D33&lt;='Parámetros'!$B$24,"Sí","No"))</f>
        <v>Sí</v>
      </c>
      <c r="I33" t="str">
        <f>IF(NOT(ISNUMBER(F33)),"",IF(F33&gt;='Parámetros'!$B$37,"Sí","No"))</f>
        <v>Sí</v>
      </c>
      <c r="J33" t="str">
        <f>IF(OR(H33="",I33=""),"",IF(AND(H33="No",I33="No"),"Retirar",IF(H33="No","Revisar precio","Mantener")))</f>
        <v>Mantener</v>
      </c>
      <c r="K33" s="28" t="str">
        <f>IF(J33="","",IF(J33="Retirar","Se pasa del food cost objetivo Y casi no rota: ocupa vitrina, genera merma y no paga el hueco. Fuera de la carta de apertura.",IF(J33="Revisar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34" ht="32" customHeight="1">
      <c r="A34" t="inlineStr">
        <is>
          <t>TP7</t>
        </is>
      </c>
      <c r="B34" t="inlineStr">
        <is>
          <t>Turrón de almendra</t>
        </is>
      </c>
      <c r="C34" t="inlineStr">
        <is>
          <t>Temporada</t>
        </is>
      </c>
      <c r="D34" s="27">
        <f>'Coste Hora y Mano de Obra'!O34</f>
        <v>0.3244961920897341</v>
      </c>
      <c r="E34" s="11">
        <f>'Coste Hora y Mano de Obra'!Q34</f>
        <v>5.476354031494585</v>
      </c>
      <c r="F34" s="26">
        <f>'Mix y Ticket Medio'!D34</f>
        <v>0.5</v>
      </c>
      <c r="G34" s="11">
        <f>IFERROR(E34*F34/100,"")</f>
        <v>0.027381770157472927</v>
      </c>
      <c r="H34" t="str">
        <f>IF(NOT(ISNUMBER(D34)),"",IF(D34&lt;='Parámetros'!$B$24,"Sí","No"))</f>
        <v>No</v>
      </c>
      <c r="I34" t="str">
        <f>IF(NOT(ISNUMBER(F34)),"",IF(F34&gt;='Parámetros'!$B$37,"Sí","No"))</f>
        <v>No</v>
      </c>
      <c r="J34" t="str">
        <f>IF(OR(H34="",I34=""),"",IF(AND(H34="No",I34="No"),"Retirar",IF(H34="No","Revisar precio","Mantener")))</f>
        <v>Retirar</v>
      </c>
      <c r="K34" s="28" t="str">
        <f>IF(J34="","",IF(J34="Retirar","Se pasa del food cost objetivo Y casi no rota: ocupa vitrina, genera merma y no paga el hueco. Fuera de la carta de apertura.",IF(J34="Revisar precio","Rota bien pero se pasa del food cost objetivo: sube el precio, cambia el gramaje o renegocia el ingrediente que la encarece. Retirarla te quitaría rotación.","Dentro del objetivo y con rotación: es la que sostiene la carta. Vigila que no se te vaya el coste de materia.")))</f>
        <v>Se pasa del food cost objetivo Y casi no rota: ocupa vitrina, genera merma y no paga el hueco. Fuera de la carta de apertura.</v>
      </c>
    </row>
    <row r="35" ht="32" customHeight="1">
      <c r="A35" t="inlineStr">
        <is>
          <t>TP8</t>
        </is>
      </c>
      <c r="B35" t="inlineStr">
        <is>
          <t>Mona de Pascua</t>
        </is>
      </c>
      <c r="C35" t="inlineStr">
        <is>
          <t>Temporada</t>
        </is>
      </c>
      <c r="D35" s="27">
        <f>'Coste Hora y Mano de Obra'!O35</f>
        <v>0.16417503767896466</v>
      </c>
      <c r="E35" s="11">
        <f>'Coste Hora y Mano de Obra'!Q35</f>
        <v>8.549479305346576</v>
      </c>
      <c r="F35" s="26">
        <f>'Mix y Ticket Medio'!D35</f>
        <v>0.7</v>
      </c>
      <c r="G35" s="11">
        <f>IFERROR(E35*F35/100,"")</f>
        <v>0.05984635513742603</v>
      </c>
      <c r="H35" t="str">
        <f>IF(NOT(ISNUMBER(D35)),"",IF(D35&lt;='Parámetros'!$B$24,"Sí","No"))</f>
        <v>Sí</v>
      </c>
      <c r="I35" t="str">
        <f>IF(NOT(ISNUMBER(F35)),"",IF(F35&gt;='Parámetros'!$B$37,"Sí","No"))</f>
        <v>No</v>
      </c>
      <c r="J35" t="str">
        <f>IF(OR(H35="",I35=""),"",IF(AND(H35="No",I35="No"),"Retirar",IF(H35="No","Revisar precio","Mantener")))</f>
        <v>Mantener</v>
      </c>
      <c r="K35" s="28" t="str">
        <f>IF(J35="","",IF(J35="Retirar","Se pasa del food cost objetivo Y casi no rota: ocupa vitrina, genera merma y no paga el hueco. Fuera de la carta de apertura.",IF(J35="Revisar precio","Rota bien pero se pasa del food cost objetivo: sube el precio, cambia el gramaje o renegocia el ingrediente que la encarece. Retirarla te quitaría rotación.","Dentro del objetivo y con rotación: es la que sostiene la carta. Vigila que no se te vaya el coste de materia.")))</f>
        <v>Dentro del objetivo y con rotación: es la que sostiene la carta. Vigila que no se te vaya el coste de materia.</v>
      </c>
    </row>
    <row r="36">
      <c r="A36" s="13" t="inlineStr">
        <is>
          <t>TOTAL DE LA CARTA</t>
        </is>
      </c>
      <c r="F36" s="14">
        <f>SUM(F6:F35)</f>
        <v>100.0</v>
      </c>
      <c r="G36" s="15">
        <f>SUM(G6:G35)</f>
        <v>1.0710505181905658</v>
      </c>
      <c r="K36" s="17" t="inlineStr">
        <is>
          <t>El margen ponderado del total es el margen de contribución de 100 piezas vendidas con este mix.</t>
        </is>
      </c>
    </row>
    <row r="37"/>
    <row r="38">
      <c r="A38" s="4" t="inlineStr">
        <is>
          <t>Cómo queda la carta</t>
        </is>
      </c>
    </row>
    <row r="39">
      <c r="B39" t="inlineStr">
        <is>
          <t>Referencias con veredicto «Mantener»</t>
        </is>
      </c>
      <c r="E39" s="19">
        <f>COUNTIF(J6:J35,"Mantener")</f>
        <v>27.0</v>
      </c>
      <c r="F39" s="11">
        <f>IFERROR(SUMPRODUCT(--(J6:J35="Mantener"),G6:G35),"")</f>
        <v>1.0278666711708286</v>
      </c>
      <c r="G39" s="17" t="inlineStr">
        <is>
          <t>euros de margen ponderado que aportan</t>
        </is>
      </c>
    </row>
    <row r="40">
      <c r="B40" t="inlineStr">
        <is>
          <t>Referencias con veredicto «Revisar precio»</t>
        </is>
      </c>
      <c r="E40" s="19">
        <f>COUNTIF(J6:J35,"Revisar precio")</f>
        <v>1.0</v>
      </c>
      <c r="F40" s="11">
        <f>IFERROR(SUMPRODUCT(--(J6:J35="Revisar precio"),G6:G35),"")</f>
        <v>0.011991309464220818</v>
      </c>
      <c r="G40" s="17" t="inlineStr">
        <is>
          <t>euros de margen ponderado que aportan</t>
        </is>
      </c>
    </row>
    <row r="41">
      <c r="B41" t="inlineStr">
        <is>
          <t>Referencias con veredicto «Retirar»</t>
        </is>
      </c>
      <c r="E41" s="19">
        <f>COUNTIF(J6:J35,"Retirar")</f>
        <v>2.0</v>
      </c>
      <c r="F41" s="11">
        <f>IFERROR(SUMPRODUCT(--(J6:J35="Retirar"),G6:G35),"")</f>
        <v>0.031192537555516243</v>
      </c>
      <c r="G41" s="17" t="inlineStr">
        <is>
          <t>euros de margen ponderado que aportan</t>
        </is>
      </c>
    </row>
    <row r="42">
      <c r="B42" t="inlineStr">
        <is>
          <t>Margen ponderado medio de la carta (€)</t>
        </is>
      </c>
      <c r="E42" s="15">
        <f>IFERROR(AVERAGE(G6:G35),"")</f>
        <v>0.03570168393968553</v>
      </c>
    </row>
    <row r="43"/>
    <row r="44"/>
    <row r="45" ht="46" customHeight="1">
      <c r="A45" s="21" t="inlineStr">
        <is>
          <t>CÓMO SE DECIDE. Dos preguntas, no cuatro. ¿El food cost está dentro de tu objetivo? ¿La referencia rota por encima de tu umbral? Si falla el margen y además no rota, fuera. Si falla sólo el margen, el problema es de precio o de proceso, no de carta: retirarla te quitaría rotación. Si no falla ninguna, se queda.</t>
        </is>
      </c>
    </row>
    <row r="46" ht="46" customHeight="1">
      <c r="A46" s="21" t="inlineStr">
        <is>
          <t>ESTO NO ES INGENIERÍA DE MENÚ. La ingeniería de menú -Kasavana-Smith, Miller, Pavesic, Goal Value- está en la Guía Food Cost, con sus cuatro métodos y su comparativa. Aquí hay una decisión de surtido de APERTURA, que es otra cosa: se toma antes de vender nada y con el mix que TÚ supones.</t>
        </is>
      </c>
    </row>
    <row r="47" ht="46" customHeight="1">
      <c r="A47" s="21" t="inlineStr">
        <is>
          <t>CUÁNDO SE VUELVE A MIRAR. A los tres meses de abrir, con ventas reales del TPV en la columna del mix, y luego cada cambio de temporada. Una carta de apertura que sigue igual al año es una carta que nadie ha mirado.</t>
        </is>
      </c>
    </row>
    <row r="48" ht="46" customHeight="1">
      <c r="A48" s="21" t="inlineStr">
        <is>
          <t>UNA REFERENCIA PUEDE QUEDARSE AUNQUE PIERDA DINERO, Y HAY QUE SABERLO. El pan de barra es el caso clásico: margen corto y mucha rotación, pero es lo que trae al cliente todos los días. Si decides mantener algo que el semáforo manda retirar, escríbelo y ponle una fecha para revisarlo: eso es una decisión, no un despiste.</t>
        </is>
      </c>
    </row>
    <row r="49"/>
    <row r="50">
      <c r="A50" s="7" t="inlineStr">
        <is>
          <t>Versión 1.0 · septiembre 2026 · aichef.pro/guia-pasteleria-obrador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4">
    <mergeCell ref="A46:K46"/>
    <mergeCell ref="A47:K47"/>
    <mergeCell ref="A48:K48"/>
    <mergeCell ref="A45:K45"/>
  </mergeCells>
  <conditionalFormatting sqref="J6:J35">
    <cfRule type="cellIs" priority="1" operator="equal" dxfId="1" stopIfTrue="1">
      <formula>"Mantener"</formula>
    </cfRule>
    <cfRule type="cellIs" priority="2" operator="equal" dxfId="2" stopIfTrue="1">
      <formula>"Revisar precio"</formula>
    </cfRule>
    <cfRule type="cellIs" priority="3" operator="equal" dxfId="3" stopIfTrue="1">
      <formula>"Retirar"</formula>
    </cfRule>
  </conditionalFormatting>
  <conditionalFormatting sqref="H6:H35">
    <cfRule type="cellIs" priority="4" operator="equal" dxfId="3" stopIfTrue="1">
      <formula>"No"</formula>
    </cfRule>
  </conditionalFormatting>
  <conditionalFormatting sqref="I6:I35">
    <cfRule type="cellIs" priority="5" operator="equal" dxfId="3" stopIfTrue="1">
      <formula>"No"</formula>
    </cfRule>
  </conditionalFormatting>
  <conditionalFormatting sqref="E6:E35">
    <cfRule type="expression" priority="6" dxfId="0" stopIfTrue="1">
      <formula>=AND(ISNUMBER($E6),$E6&lt;=0)</formula>
    </cfRule>
  </conditionalFormatting>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Carta de Apertura y Escandallo por Tanda</dc:title>
  <dc:subject xmlns:dc="http://purl.org/dc/elements/1.1/">Cómo Montar una Pastelería · Versión 1.0 · septiembre 2026</dc:subject>
  <dcterms:created xmlns:dcterms="http://purl.org/dc/terms/" xmlns:xsi="http://www.w3.org/2001/XMLSchema-instance" xsi:type="dcterms:W3CDTF">2026-09-10T03:39:12Z</dcterms:created>
  <dcterms:modified xmlns:dcterms="http://purl.org/dc/terms/" xmlns:xsi="http://www.w3.org/2001/XMLSchema-instance" xsi:type="dcterms:W3CDTF">2026-09-10T03:39:13Z</dcterms:modified>
  <cp:lastModifiedBy>AI Chef Pro</cp:lastModifiedBy>
</cp:coreProperties>
</file>