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Zonas y m2" sheetId="3" state="visible" r:id="rId3"/>
    <sheet xmlns:r="http://schemas.openxmlformats.org/officeDocument/2006/relationships" name="Capacidad por Equipo" sheetId="4" state="visible" r:id="rId4"/>
    <sheet xmlns:r="http://schemas.openxmlformats.org/officeDocument/2006/relationships" name="Cuello de Botella" sheetId="5" state="visible" r:id="rId5"/>
    <sheet xmlns:r="http://schemas.openxmlformats.org/officeDocument/2006/relationships" name="Ficha de Visita a Local" sheetId="6" state="visible" r:id="rId6"/>
  </sheets>
  <definedNames>
    <definedName name="_xlnm.Print_Titles" localSheetId="1">'Parámetros'!$5:$5</definedName>
    <definedName name="_xlnm.Print_Titles" localSheetId="2">'Zonas y m2'!$5:$5</definedName>
    <definedName name="_xlnm.Print_Titles" localSheetId="3">'Capacidad por Equipo'!$5:$5</definedName>
    <definedName name="_xlnm.Print_Titles" localSheetId="4">'Cuello de Botella'!$17:$17</definedName>
    <definedName name="_xlnm.Print_Titles" localSheetId="5">'Ficha de Visita a Local'!$5:$5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3" fontId="0" fillId="2" borderId="0" applyProtection="1" pivotButton="0" quotePrefix="0" xfId="0">
      <protection locked="0" hidden="0"/>
    </xf>
    <xf numFmtId="165" fontId="0" fillId="2" borderId="0" applyProtection="1" pivotButton="0" quotePrefix="0" xfId="0">
      <protection locked="0" hidden="0"/>
    </xf>
    <xf numFmtId="3" fontId="0" fillId="0" borderId="0" pivotButton="0" quotePrefix="0" xfId="0"/>
    <xf numFmtId="0" fontId="3" fillId="0" borderId="0" pivotButton="0" quotePrefix="0" xfId="0"/>
    <xf numFmtId="165" fontId="0" fillId="0" borderId="0" pivotButton="0" quotePrefix="0" xfId="0"/>
    <xf numFmtId="164" fontId="6" fillId="4" borderId="0" pivotButton="0" quotePrefix="0" xfId="0"/>
    <xf numFmtId="165" fontId="3" fillId="0" borderId="0" pivotButton="0" quotePrefix="0" xfId="0"/>
    <xf numFmtId="164" fontId="0" fillId="0" borderId="0" pivotButton="0" quotePrefix="0" xfId="0"/>
    <xf numFmtId="0" fontId="6" fillId="4" borderId="0" pivotButton="0" quotePrefix="0" xfId="0"/>
    <xf numFmtId="3" fontId="6" fillId="4"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A21" authorId="0" shapeId="0">
      <text>
        <t>Verificado el 10-09-2026 · RD 1027/2007 (RITE), IT 1.1.4.2.5 «Aire de extracción» (texto consolidado, última modificación 02-08-2022) · https://www.boe.es/buscar/act.php?id=BOE-A-2007-15820</t>
      </text>
    </comment>
  </commentList>
</comments>
</file>

<file path=xl/comments/comment2.xml><?xml version="1.0" encoding="utf-8"?>
<comments xmlns="http://schemas.openxmlformats.org/spreadsheetml/2006/main">
  <authors>
    <author>AI Chef Pro</author>
  </authors>
  <commentList>
    <comment ref="G6" authorId="0" shapeId="0">
      <text>
        <t>Verificado el 10-09-2026 · RD 1021/2022, art. 2.2.h), i) y j) (texto consolidado) · https://www.boe.es/buscar/act.php?id=BOE-A-2022-21681</t>
      </text>
    </comment>
    <comment ref="G9" authorId="0" shapeId="0">
      <text>
        <t>Verificado el 10-09-2026 · RD 1021/2022, art. 4.1 (tabla), 4.2 y 4.3 (texto consolidado) · https://www.boe.es/buscar/act.php?id=BOE-A-2022-21681</t>
      </text>
    </comment>
  </commentList>
</comments>
</file>

<file path=xl/comments/comment3.xml><?xml version="1.0" encoding="utf-8"?>
<comments xmlns="http://schemas.openxmlformats.org/spreadsheetml/2006/main">
  <authors>
    <author>AI Chef Pro</author>
  </authors>
  <commentList>
    <comment ref="B12" authorId="0" shapeId="0">
      <text>
        <t>Verificado el 10-09-2026 · RD 1021/2022, art. 5 (texto consolidado) · https://www.boe.es/buscar/act.php?id=BOE-A-2022-21681</t>
      </text>
    </comment>
    <comment ref="B13" authorId="0" shapeId="0">
      <text>
        <t>Verificado el 10-09-2026 · RD 1021/2022, art. 4.1 (tabla), 4.2 y 4.3 (texto consolidado) · https://www.boe.es/buscar/act.php?id=BOE-A-2022-21681</t>
      </text>
    </comment>
  </commentList>
</comments>
</file>

<file path=xl/comments/comment4.xml><?xml version="1.0" encoding="utf-8"?>
<comments xmlns="http://schemas.openxmlformats.org/spreadsheetml/2006/main">
  <authors>
    <author>AI Chef Pro</author>
  </authors>
  <commentList>
    <comment ref="D6" authorId="0" shapeId="0">
      <text>
        <t>Verificado el 10-09-2026 · RD 1027/2007 (RITE), IT 1.1.4.2.5 «Aire de extracción» (texto consolidado, última modificación 02-08-2022) · https://www.boe.es/buscar/act.php?id=BOE-A-2007-15820</t>
      </text>
    </comment>
    <comment ref="J7" authorId="0" shapeId="0">
      <text>
        <t>Verificado el 10-09-2026 · RD 1027/2007 (RITE), IT 1.1.4.2.5 «Aire de extracción» (texto consolidado, última modificación 02-08-2022) · https://www.boe.es/buscar/act.php?id=BOE-A-2007-15820</t>
      </text>
    </comment>
    <comment ref="J14" authorId="0" shapeId="0">
      <text>
        <t>Verificado el 10-09-2026 · RD 1021/2022, art. 2.2.h), i) y j) (texto consolidado) · https://www.boe.es/buscar/act.php?id=BOE-A-2022-21681</t>
      </text>
    </comment>
    <comment ref="J21" authorId="0" shapeId="0">
      <text>
        <t>Verificado el 10-09-2026 · RD 193/2023, de 21 de marzo, arts. 17.2, 17.3, 17.4 y 25.2 y disposición final sexta (texto consolidado, sin modificaciones) · https://www.boe.es/buscar/act.php?id=BOE-A-2023-7417</t>
      </text>
    </comment>
    <comment ref="J22" authorId="0" shapeId="0">
      <text>
        <t>Verificado el 10-09-2026 · RD 919/2006, ITC-ICG 07, apartado 4.1 (texto consolidado, última modificación 03-09-2025) · https://www.boe.es/buscar/act.php?id=BOE-A-2006-15345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5"/>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Capacidad del obrador y ficha de visita al local</t>
        </is>
      </c>
    </row>
    <row r="2">
      <c r="A2" t="inlineStr">
        <is>
          <t>AI Chef Pro · aichef.pro — Cómo Montar una Pastelería</t>
        </is>
      </c>
    </row>
    <row r="3">
      <c r="A3" s="2" t="inlineStr">
        <is>
          <t>Para qué sirve: decidir si ESE local sirve y cuántas piezas al día aguanta el equipo que estás comprando.</t>
        </is>
      </c>
    </row>
    <row r="4"/>
    <row r="5">
      <c r="A5" s="3" t="inlineStr">
        <is>
          <t>Instrucciones de uso</t>
        </is>
      </c>
    </row>
    <row r="6" ht="62" customHeight="1">
      <c r="A6" s="4" t="inlineStr">
        <is>
          <t>1. Hoja «Parámetros»: lo primero. Horas de turno, turnos al día, piezas que quieres sacar, superficie, potencia y tipo de energía de los hornos. Todo lo demás del libro se recalcula desde aquí; no hay ni un número escondido dentro de una fórmula.</t>
        </is>
      </c>
    </row>
    <row r="7" ht="62" customHeight="1">
      <c r="A7" s="4" t="inlineStr">
        <is>
          <t>2. Hoja «Zonas y m2»: reparte los metros entre las siete zonas obligatorias y numera el recorrido de la marcha adelante, del 1 al 7. La hoja te dice si el reparto cuadra con la superficie declarada, qué parte del local es obrador y si el recorrido tiene un cruce.</t>
        </is>
      </c>
    </row>
    <row r="8" ht="62" customHeight="1">
      <c r="A8" s="4" t="inlineStr">
        <is>
          <t>3. Hoja «Capacidad por Equipo»: una fila por máquina. Di si la tienes, cuánto cabe en un ciclo, cuántas piezas salen de esa cantidad, cuántos minutos dura el ciclo y qué parte de tu surtido pasa por ahí. La hoja devuelve las piezas al día que ESA máquina permite al obrador entero.</t>
        </is>
      </c>
    </row>
    <row r="9" ht="62" customHeight="1">
      <c r="A9" s="4" t="inlineStr">
        <is>
          <t>4. Hoja «Cuello de Botella»: el resultado. Cuál es la máquina que manda, cuántas piezas al día aguanta el conjunto, cuánta holgura te queda sobre el día normal y qué pasa en cada uno de los seis picos del año. Aquí es donde se ve si Reyes te cabe en el obrador que estás comprando.</t>
        </is>
      </c>
    </row>
    <row r="10" ht="62" customHeight="1">
      <c r="A10" s="4" t="inlineStr">
        <is>
          <t>5. Hoja «Ficha de Visita a Local»: imprímela y llévala a cada visita. Dieciocho comprobaciones, ocho de ellas eliminatorias. Un solo «No» en un ítem eliminatorio y el veredicto es DESCARTAR: no es pesimismo, es que ese defecto no se arregla con dinero razonable.</t>
        </is>
      </c>
    </row>
    <row r="11"/>
    <row r="12">
      <c r="A12" s="5" t="inlineStr">
        <is>
          <t>Celdas verdes = campos editables</t>
        </is>
      </c>
    </row>
    <row r="13"/>
    <row r="14">
      <c r="A14" s="3" t="inlineStr">
        <is>
          <t>Lo que conviene saber antes de empezar</t>
        </is>
      </c>
    </row>
    <row r="15" ht="62" customHeight="1">
      <c r="A15" s="4" t="inlineStr">
        <is>
          <t>ESTE LIBRO DECIDE UNA COMPRA, NO UNA SEMANA DE TRABAJO. La producción del día a día -qué se hace el martes y cuánto- vive en kit-tareas-pasteleria/10-plan-produccion-semanal.xlsx. Aquí sólo se contesta cuántas piezas al día permite el equipo que estás a punto de pagar, que es la pregunta que ya no se puede contestar después.</t>
        </is>
      </c>
    </row>
    <row r="16" ht="62" customHeight="1">
      <c r="A16" s="4" t="inlineStr">
        <is>
          <t>EL PORCENTAJE DEL SURTIDO ES LA COLUMNA QUE MÁS SE OLVIDA. Un abatidor por el que pasa el 40 % de lo que haces y abate 192 piezas al día no limita tu obrador a 192 piezas: lo limita a 480. Sin esa columna, cualquier cuenta de capacidad sale mal y siempre por lo bajo.</t>
        </is>
      </c>
    </row>
    <row r="17" ht="62" customHeight="1">
      <c r="A17" s="4" t="inlineStr">
        <is>
          <t>LOS PICOS NO SE RESUELVEN CON HORAS EXTRA. Reyes multiplica por seis la producción de un día normal. Ninguna plantilla absorbe eso: se absorbe con congelación programada, con producto estable a temperatura ambiente adelantado y con encargos cerrados con antelación. El calendario de los picos y el qué de cada uno está en el BONUS-02 del Kit de Tareas Pastelería; los euros de cada campaña, en el libro 3 de esta guía.</t>
        </is>
      </c>
    </row>
    <row r="18" ht="62" customHeight="1">
      <c r="A18" s="4" t="inlineStr">
        <is>
          <t>LA PRUEBA DE HUMOS SE CITA POR EL RITE. El CTE DB-HS 3 se aplica a las viviendas y, en edificios de otro uso, sólo a aparcamientos y garajes: para un local remite al RITE, y la regla de los 3 m que circula por ahí es de vivienda. Lo que sí obliga en tu obrador es que el aire de la campana (categoría AE4) no comparta expulsión con el del despacho ni con el de los aseos.</t>
        </is>
      </c>
    </row>
    <row r="19" ht="62" customHeight="1">
      <c r="A19" s="4" t="inlineStr">
        <is>
          <t>LOS PRECIOS Y LOS PLAZOS NO ESTÁN AQUÍ. Cuánto cuesta cada máquina y cuántas semanas tarda en llegar son los libros 2 (CAPEX) y 7 (equipamiento y proveedores). Este libro sólo mira lo que producen.</t>
        </is>
      </c>
    </row>
    <row r="20"/>
    <row r="21">
      <c r="A21" s="3" t="inlineStr">
        <is>
          <t>Dónde acaba este libro y dónde sigue el Kit de Tareas Pastelería</t>
        </is>
      </c>
    </row>
    <row r="22" ht="26" customHeight="1">
      <c r="A22" s="6" t="inlineStr">
        <is>
          <t>Lo que necesitas</t>
        </is>
      </c>
      <c r="B22" s="6" t="inlineStr">
        <is>
          <t>Dónde está</t>
        </is>
      </c>
      <c r="C22" s="6" t="inlineStr">
        <is>
          <t>Por qué no está aquí</t>
        </is>
      </c>
    </row>
    <row r="23" ht="54" customHeight="1">
      <c r="A23" s="4" t="inlineStr">
        <is>
          <t>Qué se produce cada día de la semana y en qué orden</t>
        </is>
      </c>
      <c r="B23" s="4" t="inlineStr">
        <is>
          <t>kit-tareas-pasteleria/10-plan-produccion-semanal.xlsx</t>
        </is>
      </c>
      <c r="C23" s="4" t="inlineStr">
        <is>
          <t>Es la operación del obrador que YA tienes. Este libro decide la compra: cuántas piezas al día permite la máquina.</t>
        </is>
      </c>
    </row>
    <row r="24" ht="54" customHeight="1">
      <c r="A24" s="4" t="inlineStr">
        <is>
          <t>Las fechas de cada campaña y qué se hace en cada una</t>
        </is>
      </c>
      <c r="B24" s="4" t="inlineStr">
        <is>
          <t>kit-tareas-pasteleria/BONUS-02-calendario-anual-tareas.xlsx</t>
        </is>
      </c>
      <c r="C24" s="4" t="inlineStr">
        <is>
          <t>El kit pone las fechas y el qué. Aquí el pico entra sólo como multiplicador de piezas al día; los euros de cada campaña son el libro 3 de esta guía.</t>
        </is>
      </c>
    </row>
    <row r="25" ht="54" customHeight="1">
      <c r="A25" s="4" t="inlineStr">
        <is>
          <t>Cuánta gente hace falta y cuánto cuesta con la Seguridad Social</t>
        </is>
      </c>
      <c r="B25" s="4" t="inlineStr">
        <is>
          <t>Libro 8 de esta guía: plantilla-turnos-y-coste-personal.xlsx</t>
        </is>
      </c>
      <c r="C25" s="4" t="inlineStr">
        <is>
          <t>Aquí las horas de turno son un parámetro de capacidad, no un dimensionado de plantilla.</t>
        </is>
      </c>
    </row>
    <row r="26" ht="54" customHeight="1">
      <c r="A26" s="4" t="inlineStr">
        <is>
          <t>Cuánto cuesta cada máquina y cuánto tarda en llegar</t>
        </is>
      </c>
      <c r="B26" s="4" t="inlineStr">
        <is>
          <t>Libros 2 y 7 de esta guía</t>
        </is>
      </c>
      <c r="C26" s="4" t="inlineStr">
        <is>
          <t>El precio y el plazo no cambian la capacidad. Se separan a propósito para poder decidir primero qué necesitas y después qué te cuesta.</t>
        </is>
      </c>
    </row>
    <row r="27" ht="56" customHeight="1">
      <c r="A27" s="7" t="inlineStr">
        <is>
          <t>Es COPIA declarada, no vínculo: en toda la guía no hay ni una fórmula que apunte a otro fichero. Un enlace entre libros se rompe en cuanto alguien mueve una carpeta, y entonces el libro miente sin avisar. Donde una celda verde traería un dato del Kit, viene con un valor por defecto propio, declarado como supuesto, y su nota te dice qué fichero del Kit lo sustituye.</t>
        </is>
      </c>
    </row>
    <row r="28"/>
    <row r="29">
      <c r="A29" s="3" t="inlineStr">
        <is>
          <t>Cada cuánto se usa este libro</t>
        </is>
      </c>
    </row>
    <row r="30" ht="44" customHeight="1">
      <c r="A30" s="4" t="inlineStr">
        <is>
          <t>Cadencia: la hoja «Ficha de Visita a Local», UNA VEZ POR LOCAL que visites, y se guarda aunque descartes -la comparación entre tres locales es la que enseña qué estás aceptando-. Las hojas de capacidad, cada vez que cambies un equipo del presupuesto y, después de abrir, UNA VEZ AL AÑO antes de la campaña de Reyes.</t>
        </is>
      </c>
    </row>
    <row r="31"/>
    <row r="32">
      <c r="A32" s="4" t="inlineStr">
        <is>
          <t>Para editar la estructura o una celda que no esté en verde: Revisar &gt; Desproteger hoja (no tiene contraseña).</t>
        </is>
      </c>
    </row>
    <row r="33"/>
    <row r="34">
      <c r="A34" s="4" t="inlineStr">
        <is>
          <t>Diseñado por John Guerrero — chef y consultor gastronómico desde 2010, en cocina desde los 17 años.</t>
        </is>
      </c>
    </row>
    <row r="35">
      <c r="A35" s="4"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5">
    <mergeCell ref="A6:C6"/>
    <mergeCell ref="A10:C10"/>
    <mergeCell ref="A16:C16"/>
    <mergeCell ref="A32:C32"/>
    <mergeCell ref="A35:C35"/>
    <mergeCell ref="A17:C17"/>
    <mergeCell ref="A9:C9"/>
    <mergeCell ref="A7:C7"/>
    <mergeCell ref="A18:C18"/>
    <mergeCell ref="A30:C30"/>
    <mergeCell ref="A34:C34"/>
    <mergeCell ref="A8:C8"/>
    <mergeCell ref="A19:C19"/>
    <mergeCell ref="A27:C27"/>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0"/>
  <sheetViews>
    <sheetView workbookViewId="0">
      <selection activeCell="A1" sqref="A1"/>
    </sheetView>
  </sheetViews>
  <sheetFormatPr baseColWidth="8" defaultRowHeight="15"/>
  <cols>
    <col width="46" customWidth="1" min="1" max="1"/>
    <col width="14" customWidth="1" min="2" max="2"/>
    <col width="18" customWidth="1" min="3" max="3"/>
    <col width="18" customWidth="1" min="4" max="4"/>
    <col width="78" customWidth="1" min="5" max="5"/>
  </cols>
  <sheetData>
    <row r="1" ht="28" customHeight="1">
      <c r="A1" s="1" t="inlineStr">
        <is>
          <t>Parámetros</t>
        </is>
      </c>
    </row>
    <row r="2">
      <c r="A2" t="inlineStr">
        <is>
          <t>AI Chef Pro · aichef.pro — Cómo Montar una Pastelería</t>
        </is>
      </c>
    </row>
    <row r="3" ht="26" customHeight="1">
      <c r="A3" s="7" t="inlineStr">
        <is>
          <t>Todo lo que el libro calcula sale de aquí. Ni un número vive dentro de una fórmula.</t>
        </is>
      </c>
    </row>
    <row r="4"/>
    <row r="5" ht="30" customHeight="1">
      <c r="A5" s="6" t="inlineStr">
        <is>
          <t>Parámetro</t>
        </is>
      </c>
      <c r="B5" s="6" t="inlineStr">
        <is>
          <t>Valor</t>
        </is>
      </c>
      <c r="C5" s="6" t="inlineStr">
        <is>
          <t>Unidad</t>
        </is>
      </c>
      <c r="D5" s="6" t="inlineStr">
        <is>
          <t>Procedencia</t>
        </is>
      </c>
      <c r="E5" s="6" t="inlineStr">
        <is>
          <t>Qué es y de dónde sale</t>
        </is>
      </c>
    </row>
    <row r="6" ht="42" customHeight="1">
      <c r="A6" s="4" t="inlineStr">
        <is>
          <t>Horas de turno del obrador</t>
        </is>
      </c>
      <c r="B6" s="8" t="n">
        <v>8</v>
      </c>
      <c r="C6" t="inlineStr">
        <is>
          <t>h por turno</t>
        </is>
      </c>
      <c r="D6" t="inlineStr">
        <is>
          <t>supuesto</t>
        </is>
      </c>
      <c r="E6" s="4" t="inlineStr">
        <is>
          <t>Duración del turno de obrador. Es el número que multiplica todo lo demás: con dos turnos, la capacidad se duplica sin comprar una sola máquina.</t>
        </is>
      </c>
    </row>
    <row r="7" ht="42" customHeight="1">
      <c r="A7" s="4" t="inlineStr">
        <is>
          <t>Turnos de obrador al día</t>
        </is>
      </c>
      <c r="B7" s="9" t="n">
        <v>1</v>
      </c>
      <c r="C7" t="inlineStr">
        <is>
          <t>turnos</t>
        </is>
      </c>
      <c r="D7" t="inlineStr">
        <is>
          <t>supuesto</t>
        </is>
      </c>
      <c r="E7" s="4" t="inlineStr">
        <is>
          <t>La Clara trabaja a un turno de madrugada. El segundo turno es la palanca más barata que existe para subir capacidad, y la más cara en personal.</t>
        </is>
      </c>
    </row>
    <row r="8" ht="42" customHeight="1">
      <c r="A8" s="4" t="inlineStr">
        <is>
          <t>Horas productivas sobre la jornada</t>
        </is>
      </c>
      <c r="B8" s="10" t="n">
        <v>0.85</v>
      </c>
      <c r="C8" t="inlineStr">
        <is>
          <t>%</t>
        </is>
      </c>
      <c r="D8" t="inlineStr">
        <is>
          <t>supuesto</t>
        </is>
      </c>
      <c r="E8" s="4" t="inlineStr">
        <is>
          <t>Parte de la jornada que la máquina está de verdad trabajando. El resto es recepción, limpieza, cambio de bandejas y esperas.</t>
        </is>
      </c>
    </row>
    <row r="9" ht="42" customHeight="1">
      <c r="A9" s="4" t="inlineStr">
        <is>
          <t>Minutos disponibles al día</t>
        </is>
      </c>
      <c r="B9" s="11">
        <f>IFERROR(B6*B7*B8*60,"")</f>
        <v>408.0</v>
      </c>
      <c r="C9" t="inlineStr">
        <is>
          <t>minutos</t>
        </is>
      </c>
      <c r="D9" t="inlineStr">
        <is>
          <t>Se calcula</t>
        </is>
      </c>
      <c r="E9" s="4" t="inlineStr">
        <is>
          <t>Horas de turno × turnos × horas productivas × 60. De aquí salen los ciclos al día de cada equipo.</t>
        </is>
      </c>
    </row>
    <row r="10" ht="42" customHeight="1">
      <c r="A10" s="4" t="inlineStr">
        <is>
          <t>Días de apertura a la semana</t>
        </is>
      </c>
      <c r="B10" s="9" t="n">
        <v>6</v>
      </c>
      <c r="C10" t="inlineStr">
        <is>
          <t>días</t>
        </is>
      </c>
      <c r="D10" t="inlineStr">
        <is>
          <t>supuesto</t>
        </is>
      </c>
      <c r="E10" s="4" t="inlineStr">
        <is>
          <t>6 días por semana × 52 semanas = 312, menos 12 días de cierre por vacaciones en agosto = 300. Los festivos NO se descuentan: la pastelería tiene libertad horaria por ley estatal cuando es la actividad principal (PA-39).</t>
        </is>
      </c>
    </row>
    <row r="11" ht="42" customHeight="1">
      <c r="A11" s="4" t="inlineStr">
        <is>
          <t>Días de apertura al año</t>
        </is>
      </c>
      <c r="B11" s="9" t="n">
        <v>300</v>
      </c>
      <c r="C11" t="inlineStr">
        <is>
          <t>días</t>
        </is>
      </c>
      <c r="D11" t="inlineStr">
        <is>
          <t>supuesto</t>
        </is>
      </c>
      <c r="E11" s="4" t="inlineStr">
        <is>
          <t>312 días de apertura menos 12 de cierre por vacaciones.</t>
        </is>
      </c>
    </row>
    <row r="12" ht="42" customHeight="1">
      <c r="A12" s="4" t="inlineStr">
        <is>
          <t>Piezas al día en velocidad de crucero</t>
        </is>
      </c>
      <c r="B12" s="9" t="n">
        <v>476</v>
      </c>
      <c r="C12" t="inlineStr">
        <is>
          <t>piezas al día</t>
        </is>
      </c>
      <c r="D12" t="inlineStr">
        <is>
          <t>supuesto</t>
        </is>
      </c>
      <c r="E12" s="4" t="inlineStr">
        <is>
          <t>Lo que tienes que sacar todos los días una vez rodado el negocio. Sale de los clientes al día por las piezas por ticket, los dos supuestos: no existe dato público de tráfico de pastelería. Si ya tienes el Kit de Tareas Pastelería, sustitúyelo por tu dato real de kit-tareas-pasteleria/10-plan-produccion-semanal.xlsx.</t>
        </is>
      </c>
    </row>
    <row r="13" ht="42" customHeight="1">
      <c r="A13" s="4" t="inlineStr">
        <is>
          <t>Margen de seguridad exigido sobre la capacidad</t>
        </is>
      </c>
      <c r="B13" s="10" t="n">
        <v>0.1</v>
      </c>
      <c r="C13" t="inlineStr">
        <is>
          <t>%</t>
        </is>
      </c>
      <c r="D13" t="inlineStr">
        <is>
          <t>supuesto</t>
        </is>
      </c>
      <c r="E13" s="4" t="inlineStr">
        <is>
          <t>Holgura mínima que quieres tener sobre el día normal. Por debajo de ella, el libro avisa: una avería, una baja o un pedido grande te dejan sin género aunque en teoría llegues.</t>
        </is>
      </c>
    </row>
    <row r="14" ht="42" customHeight="1">
      <c r="A14" s="4" t="inlineStr">
        <is>
          <t>Superficie total del local</t>
        </is>
      </c>
      <c r="B14" s="8" t="n">
        <v>90</v>
      </c>
      <c r="C14" t="inlineStr">
        <is>
          <t>m2</t>
        </is>
      </c>
      <c r="D14" t="inlineStr">
        <is>
          <t>D22 + PS-85a + PS-85b + PS-85c</t>
        </is>
      </c>
      <c r="E14" s="4" t="inlineStr">
        <is>
          <t>Los 90 m2 del caso de referencia. Es la superficie sobre la que casan los escenarios de obra de 600, 900 y 1.200 EUR/m2 del libro 2.</t>
        </is>
      </c>
    </row>
    <row r="15" ht="42" customHeight="1">
      <c r="A15" s="4" t="inlineStr">
        <is>
          <t>Parte mínima del local dedicada a obrador</t>
        </is>
      </c>
      <c r="B15" s="10" t="n">
        <v>0.45</v>
      </c>
      <c r="C15" t="inlineStr">
        <is>
          <t>%</t>
        </is>
      </c>
      <c r="D15" t="inlineStr">
        <is>
          <t>supuesto</t>
        </is>
      </c>
      <c r="E15" s="4" t="inlineStr">
        <is>
          <t>Criterio de la casa, no norma: por debajo de esto la tienda se come al obrador y acabas comprando semielaborados. Si vendes sobre todo por encargo, bájalo; si el despacho es tu escaparate, súbelo.</t>
        </is>
      </c>
    </row>
    <row r="16" ht="42" customHeight="1">
      <c r="A16" s="4" t="inlineStr">
        <is>
          <t>Potencia eléctrica de los hornos</t>
        </is>
      </c>
      <c r="B16" s="8" t="n">
        <v>34</v>
      </c>
      <c r="C16" t="inlineStr">
        <is>
          <t>kW</t>
        </is>
      </c>
      <c r="D16" t="inlineStr">
        <is>
          <t>PS-86a</t>
        </is>
      </c>
      <c r="E16" s="4" t="inlineStr">
        <is>
          <t>PS-86a da 20-80 kW SOLO para los hornos. 34 kW es el punto de trabajo de los dos hornos de convección de La Clara.</t>
        </is>
      </c>
    </row>
    <row r="17" ht="42" customHeight="1">
      <c r="A17" s="4" t="inlineStr">
        <is>
          <t>Potencia instalada total prevista</t>
        </is>
      </c>
      <c r="B17" s="8" t="n">
        <v>62</v>
      </c>
      <c r="C17" t="inlineStr">
        <is>
          <t>kW</t>
        </is>
      </c>
      <c r="D17" t="inlineStr">
        <is>
          <t>supuesto</t>
        </is>
      </c>
      <c r="E17" s="4" t="inlineStr">
        <is>
          <t>PS-86a da 20-80 kW SOLO para los hornos. Los 62 kW de potencia instalada suman además frío, amasado, climatización e iluminación, y son un supuesto: la potencia a contratar la fija el proyecto eléctrico, no una tabla.</t>
        </is>
      </c>
    </row>
    <row r="18" ht="42" customHeight="1">
      <c r="A18" s="4" t="inlineStr">
        <is>
          <t>Energía de los hornos</t>
        </is>
      </c>
      <c r="B18" s="5" t="inlineStr">
        <is>
          <t>Eléctrica</t>
        </is>
      </c>
      <c r="C18" t="inlineStr">
        <is>
          <t>Eléctrica o Gas</t>
        </is>
      </c>
      <c r="D18" t="inlineStr">
        <is>
          <t>supuesto</t>
        </is>
      </c>
      <c r="E18" s="4" t="inlineStr">
        <is>
          <t>Cambia el caudal de campana que necesitas y, si eliges gas, activa la inspección periódica obligatoria de la instalación receptora.</t>
        </is>
      </c>
    </row>
    <row r="19" ht="42" customHeight="1">
      <c r="A19" s="4" t="inlineStr">
        <is>
          <t>Caudal de extracción por kW, equipos eléctricos</t>
        </is>
      </c>
      <c r="B19" s="9" t="n">
        <v>40</v>
      </c>
      <c r="C19" t="inlineStr">
        <is>
          <t>m3/h por kW</t>
        </is>
      </c>
      <c r="D19" t="inlineStr">
        <is>
          <t>PS-86b</t>
        </is>
      </c>
      <c r="E19" s="4" t="inlineStr">
        <is>
          <t>Regla de dimensionado de campana para equipos eléctricos.</t>
        </is>
      </c>
    </row>
    <row r="20" ht="42" customHeight="1">
      <c r="A20" s="4" t="inlineStr">
        <is>
          <t>Caudal de extracción por kW, equipos de gas</t>
        </is>
      </c>
      <c r="B20" s="9" t="n">
        <v>50</v>
      </c>
      <c r="C20" t="inlineStr">
        <is>
          <t>m3/h por kW</t>
        </is>
      </c>
      <c r="D20" t="inlineStr">
        <is>
          <t>PS-86b</t>
        </is>
      </c>
      <c r="E20" s="4" t="inlineStr">
        <is>
          <t>Regla de dimensionado de campana para equipos de gas.</t>
        </is>
      </c>
    </row>
    <row r="21" ht="42" customHeight="1">
      <c r="A21" s="4" t="inlineStr">
        <is>
          <t>Caudal de campana necesario</t>
        </is>
      </c>
      <c r="B21" s="11">
        <f>IFERROR(B16*IF(B18="Gas",B20,B19),"")</f>
        <v>1360.0</v>
      </c>
      <c r="C21" t="inlineStr">
        <is>
          <t>m3/h</t>
        </is>
      </c>
      <c r="D21" t="inlineStr">
        <is>
          <t>Se calcula</t>
        </is>
      </c>
      <c r="E21" s="4" t="inlineStr">
        <is>
          <t>Potencia de los hornos × el caudal por kW que corresponda a tu energía. Es el número que hay que llevar a la visita: si el local no puede darlo, no hay pastelería.</t>
        </is>
      </c>
    </row>
    <row r="22" ht="42" customHeight="1">
      <c r="A22" s="4" t="inlineStr">
        <is>
          <t>Altura libre mínima que exiges al local</t>
        </is>
      </c>
      <c r="B22" s="8" t="n">
        <v>3</v>
      </c>
      <c r="C22" t="inlineStr">
        <is>
          <t>m</t>
        </is>
      </c>
      <c r="D22" t="inlineStr">
        <is>
          <t>supuesto</t>
        </is>
      </c>
      <c r="E22" s="4" t="inlineStr">
        <is>
          <t>Con campana, conducto y falso techo, por debajo de 3 m el obrador se queda sin aire y sin sitio para el conducto.</t>
        </is>
      </c>
    </row>
    <row r="23" ht="42" customHeight="1">
      <c r="A23" s="4" t="inlineStr">
        <is>
          <t>Número de zonas del local</t>
        </is>
      </c>
      <c r="B23" s="9" t="n">
        <v>7</v>
      </c>
      <c r="C23" t="inlineStr">
        <is>
          <t>zonas</t>
        </is>
      </c>
      <c r="D23" t="inlineStr">
        <is>
          <t>PS-86d</t>
        </is>
      </c>
      <c r="E23" s="4" t="inlineStr">
        <is>
          <t>Las zonas obligatorias de un obrador de pastelería. Si tu local no permite las siete, no es que quede apretado: es que falta una.</t>
        </is>
      </c>
    </row>
    <row r="24"/>
    <row r="25">
      <c r="A25" s="3" t="inlineStr">
        <is>
          <t>Listas de validación (no las borres: las usan los desplegables)</t>
        </is>
      </c>
    </row>
    <row r="26">
      <c r="A26" s="12" t="inlineStr">
        <is>
          <t>Energía de los hornos</t>
        </is>
      </c>
    </row>
    <row r="27">
      <c r="A27" t="inlineStr">
        <is>
          <t>Eléctrica</t>
        </is>
      </c>
    </row>
    <row r="28">
      <c r="A28" t="inlineStr">
        <is>
          <t>Gas</t>
        </is>
      </c>
    </row>
    <row r="29"/>
    <row r="30" ht="42" customHeight="1">
      <c r="A30" s="7" t="inlineStr">
        <is>
          <t>Los valores marcados «supuesto» son de la pastelería de ejemplo «La Clara» (90 m2, obrador de 45 m2, un turno de madrugada). No son datos de sector: son un punto de partida coherente para que puedas ver el libro funcionando antes de meter los tuyos.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0:E30"/>
  </mergeCells>
  <dataValidations count="1">
    <dataValidation sqref="B18" showDropDown="0" showInputMessage="0" showErrorMessage="1" allowBlank="0" errorTitle="Energía de los hornos" error="Elige «Eléctrica» o «Gas»." type="list">
      <formula1>=$A$27:$A$28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37"/>
  <sheetViews>
    <sheetView workbookViewId="0">
      <selection activeCell="A1" sqref="A1"/>
    </sheetView>
  </sheetViews>
  <sheetFormatPr baseColWidth="8" defaultRowHeight="15"/>
  <cols>
    <col width="5" customWidth="1" min="1" max="1"/>
    <col width="34" customWidth="1" min="2" max="2"/>
    <col width="22" customWidth="1" min="3" max="3"/>
    <col width="11" customWidth="1" min="4" max="4"/>
    <col width="11" customWidth="1" min="5" max="5"/>
    <col width="11" customWidth="1" min="6" max="6"/>
    <col width="86" customWidth="1" min="7" max="7"/>
  </cols>
  <sheetData>
    <row r="1" ht="28" customHeight="1">
      <c r="A1" s="1" t="inlineStr">
        <is>
          <t>Zonas y Metros Cuadrados</t>
        </is>
      </c>
    </row>
    <row r="2">
      <c r="A2" t="inlineStr">
        <is>
          <t>AI Chef Pro · aichef.pro — Cómo Montar una Pastelería</t>
        </is>
      </c>
    </row>
    <row r="3" ht="26" customHeight="1">
      <c r="A3" s="7" t="inlineStr">
        <is>
          <t>Las siete zonas obligatorias de un obrador de pastelería (PS-86d) y el recorrido de marcha adelante.</t>
        </is>
      </c>
    </row>
    <row r="4"/>
    <row r="5" ht="30" customHeight="1">
      <c r="A5" s="6" t="inlineStr">
        <is>
          <t>Nº</t>
        </is>
      </c>
      <c r="B5" s="6" t="inlineStr">
        <is>
          <t>Zona</t>
        </is>
      </c>
      <c r="C5" s="6" t="inlineStr">
        <is>
          <t>Bloque</t>
        </is>
      </c>
      <c r="D5" s="6" t="inlineStr">
        <is>
          <t>m2</t>
        </is>
      </c>
      <c r="E5" s="6" t="inlineStr">
        <is>
          <t>% del local</t>
        </is>
      </c>
      <c r="F5" s="6" t="inlineStr">
        <is>
          <t>Paso del recorrido</t>
        </is>
      </c>
      <c r="G5" s="6" t="inlineStr">
        <is>
          <t>Qué tiene que cumplir</t>
        </is>
      </c>
    </row>
    <row r="6" ht="44" customHeight="1">
      <c r="A6" s="11" t="n">
        <v>1</v>
      </c>
      <c r="B6" s="4" t="inlineStr">
        <is>
          <t>Obrador</t>
        </is>
      </c>
      <c r="C6" t="inlineStr">
        <is>
          <t>Obrador</t>
        </is>
      </c>
      <c r="D6" s="8" t="n">
        <v>45</v>
      </c>
      <c r="E6" s="13">
        <f>IFERROR(D6/$D$14,"")</f>
        <v>0.5</v>
      </c>
      <c r="F6" s="9" t="n">
        <v>3</v>
      </c>
      <c r="G6" s="4" t="inlineStr">
        <is>
          <t>Zona de elaboración, inaccesible al público (art. 2.2.h del RD 1021/2022, PA-03b). Principio de marcha adelante: la materia prima entra por un extremo y el producto terminado sale por el otro sin cruzarse con ella.</t>
        </is>
      </c>
    </row>
    <row r="7" ht="44" customHeight="1">
      <c r="A7" s="11" t="n">
        <v>2</v>
      </c>
      <c r="B7" s="4" t="inlineStr">
        <is>
          <t>Zona de venta (despacho)</t>
        </is>
      </c>
      <c r="C7" t="inlineStr">
        <is>
          <t>Despacho</t>
        </is>
      </c>
      <c r="D7" s="8" t="n">
        <v>22</v>
      </c>
      <c r="E7" s="13">
        <f>IFERROR(D7/$D$14,"")</f>
        <v>0.24444444444444444</v>
      </c>
      <c r="F7" s="9" t="n">
        <v>5</v>
      </c>
      <c r="G7" s="4" t="inlineStr">
        <is>
          <t>Mostrador, vitrina refrigerada, vitrina de ambiente y espacio de cola.</t>
        </is>
      </c>
    </row>
    <row r="8" ht="44" customHeight="1">
      <c r="A8" s="11" t="n">
        <v>3</v>
      </c>
      <c r="B8" s="4" t="inlineStr">
        <is>
          <t>Almacén de materia prima</t>
        </is>
      </c>
      <c r="C8" t="inlineStr">
        <is>
          <t>Cámara y almacén</t>
        </is>
      </c>
      <c r="D8" s="8" t="n">
        <v>5</v>
      </c>
      <c r="E8" s="13">
        <f>IFERROR(D8/$D$14,"")</f>
        <v>0.05555555555555555</v>
      </c>
      <c r="F8" s="9" t="n">
        <v>1</v>
      </c>
      <c r="G8" s="4" t="inlineStr">
        <is>
          <t>Harinas, azúcares y secos sobre estantería, nunca en el suelo.</t>
        </is>
      </c>
    </row>
    <row r="9" ht="44" customHeight="1">
      <c r="A9" s="11" t="n">
        <v>4</v>
      </c>
      <c r="B9" s="4" t="inlineStr">
        <is>
          <t>Cámara frigorífica</t>
        </is>
      </c>
      <c r="C9" t="inlineStr">
        <is>
          <t>Cámara y almacén</t>
        </is>
      </c>
      <c r="D9" s="8" t="n">
        <v>4</v>
      </c>
      <c r="E9" s="13">
        <f>IFERROR(D9/$D$14,"")</f>
        <v>0.044444444444444446</v>
      </c>
      <c r="F9" s="9" t="n">
        <v>2</v>
      </c>
      <c r="G9" s="4" t="inlineStr">
        <is>
          <t>Conservación a 4 °C o menos de lo relleno (art. 4.1 fila 9, PA-12).</t>
        </is>
      </c>
    </row>
    <row r="10" ht="44" customHeight="1">
      <c r="A10" s="11" t="n">
        <v>5</v>
      </c>
      <c r="B10" s="4" t="inlineStr">
        <is>
          <t>Almacén de producto terminado</t>
        </is>
      </c>
      <c r="C10" t="inlineStr">
        <is>
          <t>Cámara y almacén</t>
        </is>
      </c>
      <c r="D10" s="8" t="n">
        <v>3</v>
      </c>
      <c r="E10" s="13">
        <f>IFERROR(D10/$D$14,"")</f>
        <v>0.03333333333333333</v>
      </c>
      <c r="F10" s="9" t="n">
        <v>4</v>
      </c>
      <c r="G10" s="4" t="inlineStr">
        <is>
          <t>Producto estable a temperatura ambiente y packaging montado.</t>
        </is>
      </c>
    </row>
    <row r="11" ht="44" customHeight="1">
      <c r="A11" s="11" t="n">
        <v>6</v>
      </c>
      <c r="B11" s="4" t="inlineStr">
        <is>
          <t>Vestuarios y aseos de personal</t>
        </is>
      </c>
      <c r="C11" t="inlineStr">
        <is>
          <t>Aseos y vestuario</t>
        </is>
      </c>
      <c r="D11" s="8" t="n">
        <v>8</v>
      </c>
      <c r="E11" s="13">
        <f>IFERROR(D11/$D$14,"")</f>
        <v>0.08888888888888889</v>
      </c>
      <c r="F11" s="9" t="n">
        <v>7</v>
      </c>
      <c r="G11" s="4" t="inlineStr">
        <is>
          <t>Aseo de personal separado del de clientes, con taquillas.</t>
        </is>
      </c>
    </row>
    <row r="12" ht="44" customHeight="1">
      <c r="A12" s="11" t="n">
        <v>7</v>
      </c>
      <c r="B12" s="4" t="inlineStr">
        <is>
          <t>Almacén de residuos</t>
        </is>
      </c>
      <c r="C12" t="inlineStr">
        <is>
          <t>Aseos y vestuario</t>
        </is>
      </c>
      <c r="D12" s="8" t="n">
        <v>3</v>
      </c>
      <c r="E12" s="13">
        <f>IFERROR(D12/$D$14,"")</f>
        <v>0.03333333333333333</v>
      </c>
      <c r="F12" s="9" t="n">
        <v>6</v>
      </c>
      <c r="G12" s="4" t="inlineStr">
        <is>
          <t>Cerrado, con contenedores identificados; no puede abrir al obrador.</t>
        </is>
      </c>
    </row>
    <row r="13"/>
    <row r="14">
      <c r="B14" s="12" t="inlineStr">
        <is>
          <t>TOTAL repartido</t>
        </is>
      </c>
      <c r="D14" s="14">
        <f>SUM(D6:D12)</f>
        <v>90.0</v>
      </c>
      <c r="E14" s="15">
        <f>SUM(E6:E12)</f>
        <v>1.0</v>
      </c>
    </row>
    <row r="15">
      <c r="B15" t="inlineStr">
        <is>
          <t>Superficie declarada en «Parámetros»</t>
        </is>
      </c>
      <c r="D15" s="16">
        <f>'Parámetros'!B14</f>
        <v>90.0</v>
      </c>
    </row>
    <row r="16">
      <c r="B16" t="inlineStr">
        <is>
          <t>Descuadre (m2)</t>
        </is>
      </c>
      <c r="D16" s="16">
        <f>IFERROR(D14-D15,"")</f>
        <v>0.0</v>
      </c>
      <c r="G16" s="4" t="inlineStr">
        <is>
          <t>Si no es cero, o te sobran metros sin asignar o has repartido más de los que tiene el local.</t>
        </is>
      </c>
    </row>
    <row r="17"/>
    <row r="18">
      <c r="B18" t="inlineStr">
        <is>
          <t>Metros de obrador</t>
        </is>
      </c>
      <c r="D18" s="16">
        <f>SUMIF(C6:C12,"Obrador",D6:D12)</f>
        <v>45.0</v>
      </c>
    </row>
    <row r="19">
      <c r="B19" t="inlineStr">
        <is>
          <t>Parte del local dedicada a obrador</t>
        </is>
      </c>
      <c r="D19" s="13">
        <f>IFERROR(D18/D14,"")</f>
        <v>0.5</v>
      </c>
    </row>
    <row r="20">
      <c r="B20" t="inlineStr">
        <is>
          <t>Metros de zona de venta (despacho)</t>
        </is>
      </c>
      <c r="D20" s="16">
        <f>SUMIF(C6:C12,"Despacho",D6:D12)</f>
        <v>22.0</v>
      </c>
    </row>
    <row r="21">
      <c r="B21" t="inlineStr">
        <is>
          <t>Parte del local dedicada a venta</t>
        </is>
      </c>
      <c r="D21" s="13">
        <f>IFERROR(D20/D14,"")</f>
        <v>0.24444444444444444</v>
      </c>
    </row>
    <row r="22">
      <c r="B22" t="inlineStr">
        <is>
          <t>Mínimo de obrador que te has exigido</t>
        </is>
      </c>
      <c r="D22" s="13">
        <f>'Parámetros'!B15</f>
        <v>0.45</v>
      </c>
    </row>
    <row r="23">
      <c r="B23" s="12" t="inlineStr">
        <is>
          <t>Veredicto del reparto</t>
        </is>
      </c>
      <c r="D23" s="17" t="str">
        <f>IF(D19="","",IF(D19&lt;D22,"El obrador se queda corto","Reparto suficiente"))</f>
        <v>Reparto suficiente</v>
      </c>
    </row>
    <row r="24"/>
    <row r="25">
      <c r="B25" s="3" t="inlineStr">
        <is>
          <t>Marcha adelante: la materia prima entra por un extremo y el producto sale por el otro</t>
        </is>
      </c>
    </row>
    <row r="26">
      <c r="B26" t="inlineStr">
        <is>
          <t>Suma de los pasos que has numerado</t>
        </is>
      </c>
      <c r="D26" s="11">
        <f>SUM(F6:F12)</f>
        <v>28.0</v>
      </c>
    </row>
    <row r="27">
      <c r="B27" t="inlineStr">
        <is>
          <t>Suma que debería dar (1 + 2 + ... + n)</t>
        </is>
      </c>
      <c r="D27" s="11">
        <f>IFERROR('Parámetros'!B23*('Parámetros'!B23+1)/2,"")</f>
        <v>28.0</v>
      </c>
    </row>
    <row r="28" ht="44" customHeight="1">
      <c r="B28" t="inlineStr">
        <is>
          <t>¿Están numerados del 1 al n sin repetir?</t>
        </is>
      </c>
      <c r="D28" t="str">
        <f>IF(AND(D26=D27,MIN(F6:F12)=1,MAX(F6:F12)='Parámetros'!B23),"Sí","Revisa la numeración")</f>
        <v>Sí</v>
      </c>
      <c r="G28" s="4" t="inlineStr">
        <is>
          <t>Comprobación de numeración: la suma tiene que cuadrar y los pasos ir del 1 al número de zonas. No detecta una permutación que sume igual; lo que detecta -y es lo que pasa siempre- es un número repetido o uno saltado.</t>
        </is>
      </c>
    </row>
    <row r="29">
      <c r="B29" s="4" t="inlineStr">
        <is>
          <t>La materia prima entra antes que el obrador</t>
        </is>
      </c>
      <c r="D29" t="str">
        <f>IF(F8&lt;F6,"Sí","No")</f>
        <v>Sí</v>
      </c>
    </row>
    <row r="30">
      <c r="B30" s="4" t="inlineStr">
        <is>
          <t>La cámara de conservación va antes que el obrador</t>
        </is>
      </c>
      <c r="D30" t="str">
        <f>IF(F9&lt;F6,"Sí","No")</f>
        <v>Sí</v>
      </c>
    </row>
    <row r="31">
      <c r="B31" s="4" t="inlineStr">
        <is>
          <t>El producto terminado sale después del obrador</t>
        </is>
      </c>
      <c r="D31" t="str">
        <f>IF(F10&gt;F6,"Sí","No")</f>
        <v>Sí</v>
      </c>
    </row>
    <row r="32">
      <c r="B32" s="4" t="inlineStr">
        <is>
          <t>El producto terminado llega a la venta sin volver atrás</t>
        </is>
      </c>
      <c r="D32" t="str">
        <f>IF(F10&lt;=F7,"Sí","No")</f>
        <v>Sí</v>
      </c>
    </row>
    <row r="33">
      <c r="B33" s="4" t="inlineStr">
        <is>
          <t>Los residuos salen después del obrador</t>
        </is>
      </c>
      <c r="D33" t="str">
        <f>IF(F12&gt;F6,"Sí","No")</f>
        <v>Sí</v>
      </c>
    </row>
    <row r="34"/>
    <row r="35">
      <c r="B35" s="12" t="inlineStr">
        <is>
          <t>VEREDICTO DE MARCHA ADELANTE</t>
        </is>
      </c>
      <c r="D35" s="17" t="str">
        <f>IF(COUNTIF(D29:D33,"No")&gt;0,"Hay un cruce en el recorrido","Marcha adelante correcta")</f>
        <v>Marcha adelante correcta</v>
      </c>
    </row>
    <row r="36"/>
    <row r="37" ht="44" customHeight="1">
      <c r="B37" s="7" t="inlineStr">
        <is>
          <t>La marcha adelante no es una preferencia de diseño: es que la materia prima sucia y el producto terminado no se crucen nunca. Cuando el local no la permite, no se arregla con un cartel ni con un horario; se arregla con obra o no se arregla. Por eso este recorrido se dibuja sobre el plano ANTES de firmar.</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B37:G37"/>
  </mergeCells>
  <conditionalFormatting sqref="D16">
    <cfRule type="expression" priority="1" dxfId="0" stopIfTrue="1">
      <formula>=AND(ISNUMBER($D$16),ABS($D$16)&gt;0.05)</formula>
    </cfRule>
  </conditionalFormatting>
  <conditionalFormatting sqref="D23">
    <cfRule type="cellIs" priority="2" operator="equal" dxfId="0" stopIfTrue="1">
      <formula>"El obrador se queda corto"</formula>
    </cfRule>
    <cfRule type="cellIs" priority="3" operator="equal" dxfId="1" stopIfTrue="1">
      <formula>"Reparto suficiente"</formula>
    </cfRule>
  </conditionalFormatting>
  <conditionalFormatting sqref="D29">
    <cfRule type="cellIs" priority="4" operator="equal" dxfId="0" stopIfTrue="1">
      <formula>"No"</formula>
    </cfRule>
    <cfRule type="cellIs" priority="5" operator="equal" dxfId="1" stopIfTrue="1">
      <formula>"Sí"</formula>
    </cfRule>
  </conditionalFormatting>
  <conditionalFormatting sqref="D30">
    <cfRule type="cellIs" priority="6" operator="equal" dxfId="0" stopIfTrue="1">
      <formula>"No"</formula>
    </cfRule>
    <cfRule type="cellIs" priority="7" operator="equal" dxfId="1" stopIfTrue="1">
      <formula>"Sí"</formula>
    </cfRule>
  </conditionalFormatting>
  <conditionalFormatting sqref="D31">
    <cfRule type="cellIs" priority="8" operator="equal" dxfId="0" stopIfTrue="1">
      <formula>"No"</formula>
    </cfRule>
    <cfRule type="cellIs" priority="9" operator="equal" dxfId="1" stopIfTrue="1">
      <formula>"Sí"</formula>
    </cfRule>
  </conditionalFormatting>
  <conditionalFormatting sqref="D32">
    <cfRule type="cellIs" priority="10" operator="equal" dxfId="0" stopIfTrue="1">
      <formula>"No"</formula>
    </cfRule>
    <cfRule type="cellIs" priority="11" operator="equal" dxfId="1" stopIfTrue="1">
      <formula>"Sí"</formula>
    </cfRule>
  </conditionalFormatting>
  <conditionalFormatting sqref="D33">
    <cfRule type="cellIs" priority="12" operator="equal" dxfId="0" stopIfTrue="1">
      <formula>"No"</formula>
    </cfRule>
    <cfRule type="cellIs" priority="13" operator="equal" dxfId="1" stopIfTrue="1">
      <formula>"Sí"</formula>
    </cfRule>
  </conditionalFormatting>
  <conditionalFormatting sqref="D35">
    <cfRule type="cellIs" priority="14" operator="equal" dxfId="0" stopIfTrue="1">
      <formula>"Hay un cruce en el recorrido"</formula>
    </cfRule>
    <cfRule type="cellIs" priority="15" operator="equal" dxfId="1" stopIfTrue="1">
      <formula>"Marcha adelante correcta"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P26"/>
  <sheetViews>
    <sheetView workbookViewId="0">
      <selection activeCell="A1" sqref="A1"/>
    </sheetView>
  </sheetViews>
  <sheetFormatPr baseColWidth="8" defaultRowHeight="15"/>
  <cols>
    <col width="5" customWidth="1" min="1" max="1"/>
    <col width="40" customWidth="1" min="2" max="2"/>
    <col width="18" customWidth="1" min="3" max="3"/>
    <col width="12" customWidth="1" min="4" max="4"/>
    <col width="12" customWidth="1" min="5" max="5"/>
    <col width="26" customWidth="1" min="6" max="6"/>
    <col width="12" customWidth="1" min="7" max="7"/>
    <col width="12" customWidth="1" min="8" max="8"/>
    <col width="12" customWidth="1" min="9" max="9"/>
    <col width="11" customWidth="1" min="10" max="10"/>
    <col width="13" customWidth="1" min="11" max="11"/>
    <col width="13" customWidth="1" min="12" max="12"/>
    <col width="15" customWidth="1" min="13" max="13"/>
    <col width="15" customWidth="1" min="14" max="14"/>
    <col width="14" customWidth="1" min="15" max="15"/>
    <col width="74" customWidth="1" min="16" max="16"/>
  </cols>
  <sheetData>
    <row r="1" ht="28" customHeight="1">
      <c r="A1" s="1" t="inlineStr">
        <is>
          <t>Capacidad Por Equipo</t>
        </is>
      </c>
    </row>
    <row r="2">
      <c r="A2" t="inlineStr">
        <is>
          <t>AI Chef Pro · aichef.pro — Cómo Montar una Pastelería</t>
        </is>
      </c>
    </row>
    <row r="3" ht="26" customHeight="1">
      <c r="A3" s="7" t="inlineStr">
        <is>
          <t>Un solo modelo para todas las máquinas: lo que cabe en un ciclo, cuántas piezas salen de eso, cuánto dura el ciclo y qué parte de tu surtido pasa por ahí.</t>
        </is>
      </c>
    </row>
    <row r="4"/>
    <row r="5" ht="54" customHeight="1">
      <c r="A5" s="6" t="inlineStr">
        <is>
          <t>Nº</t>
        </is>
      </c>
      <c r="B5" s="6" t="inlineStr">
        <is>
          <t>Equipo</t>
        </is>
      </c>
      <c r="C5" s="6" t="inlineStr">
        <is>
          <t>Categoría</t>
        </is>
      </c>
      <c r="D5" s="6" t="inlineStr">
        <is>
          <t>¿Lo tienes?</t>
        </is>
      </c>
      <c r="E5" s="6" t="inlineStr">
        <is>
          <t>Capacidad por ciclo</t>
        </is>
      </c>
      <c r="F5" s="6" t="inlineStr">
        <is>
          <t>Unidad de la capacidad</t>
        </is>
      </c>
      <c r="G5" s="6" t="inlineStr">
        <is>
          <t>Piezas por unidad</t>
        </is>
      </c>
      <c r="H5" s="6" t="inlineStr">
        <is>
          <t>Piezas por ciclo</t>
        </is>
      </c>
      <c r="I5" s="6" t="inlineStr">
        <is>
          <t>Minutos por ciclo</t>
        </is>
      </c>
      <c r="J5" s="6" t="inlineStr">
        <is>
          <t>Ciclos al día</t>
        </is>
      </c>
      <c r="K5" s="6" t="inlineStr">
        <is>
          <t>Piezas al día del equipo</t>
        </is>
      </c>
      <c r="L5" s="6" t="inlineStr">
        <is>
          <t>% del surtido que pasa</t>
        </is>
      </c>
      <c r="M5" s="6" t="inlineStr">
        <is>
          <t>Piezas/día de obrador que permite</t>
        </is>
      </c>
      <c r="N5" s="6" t="inlineStr">
        <is>
          <t>Cuenta para el cuello</t>
        </is>
      </c>
      <c r="O5" s="6" t="inlineStr">
        <is>
          <t>Procedencia</t>
        </is>
      </c>
      <c r="P5" s="6" t="inlineStr">
        <is>
          <t>Nota</t>
        </is>
      </c>
    </row>
    <row r="6" ht="46" customHeight="1">
      <c r="A6" s="11" t="n">
        <v>1</v>
      </c>
      <c r="B6" s="4" t="inlineStr">
        <is>
          <t>Amasadora de espiral, 25 kg</t>
        </is>
      </c>
      <c r="C6" t="inlineStr">
        <is>
          <t>Amasado y batido</t>
        </is>
      </c>
      <c r="D6" s="5" t="inlineStr">
        <is>
          <t>Sí</t>
        </is>
      </c>
      <c r="E6" s="8" t="n">
        <v>25</v>
      </c>
      <c r="F6" s="4" t="inlineStr">
        <is>
          <t>kg de masa por amasada</t>
        </is>
      </c>
      <c r="G6" s="8" t="n">
        <v>19.6</v>
      </c>
      <c r="H6" s="11">
        <f>IFERROR(E6*G6,"")</f>
        <v>490.00000000000006</v>
      </c>
      <c r="I6" s="9" t="n">
        <v>30</v>
      </c>
      <c r="J6" s="11">
        <f>IFERROR(INT('Parámetros'!$B$9/I6),"")</f>
        <v>13.0</v>
      </c>
      <c r="K6" s="11">
        <f>IFERROR(H6*J6,"")</f>
        <v>6370.000000000001</v>
      </c>
      <c r="L6" s="10" t="n">
        <v>0.55</v>
      </c>
      <c r="M6" s="11">
        <f>IFERROR(K6/L6,"")</f>
        <v>11581.818181818182</v>
      </c>
      <c r="N6" s="11">
        <f>IF(D6="Sí",M6,"")</f>
        <v>11581.818181818182</v>
      </c>
      <c r="O6" t="inlineStr">
        <is>
          <t>supuesto</t>
        </is>
      </c>
      <c r="P6" s="4" t="inlineStr">
        <is>
          <t>Las piezas por kg salen de la tanda de croissant de la carta: 1,02 kg de masa para 20 piezas, es decir 19,6 piezas por kg. Cambia el número si tu surtido pesa más por pieza.</t>
        </is>
      </c>
    </row>
    <row r="7" ht="46" customHeight="1">
      <c r="A7" s="11" t="n">
        <v>2</v>
      </c>
      <c r="B7" s="4" t="inlineStr">
        <is>
          <t>Batidora planetaria, 20 L</t>
        </is>
      </c>
      <c r="C7" t="inlineStr">
        <is>
          <t>Amasado y batido</t>
        </is>
      </c>
      <c r="D7" s="5" t="inlineStr">
        <is>
          <t>Sí</t>
        </is>
      </c>
      <c r="E7" s="8" t="n">
        <v>20</v>
      </c>
      <c r="F7" s="4" t="inlineStr">
        <is>
          <t>L de masa o crema por batida</t>
        </is>
      </c>
      <c r="G7" s="8" t="n">
        <v>8</v>
      </c>
      <c r="H7" s="11">
        <f>IFERROR(E7*G7,"")</f>
        <v>160.0</v>
      </c>
      <c r="I7" s="9" t="n">
        <v>25</v>
      </c>
      <c r="J7" s="11">
        <f>IFERROR(INT('Parámetros'!$B$9/I7),"")</f>
        <v>16.0</v>
      </c>
      <c r="K7" s="11">
        <f>IFERROR(H7*J7,"")</f>
        <v>2560.0</v>
      </c>
      <c r="L7" s="10" t="n">
        <v>0.3</v>
      </c>
      <c r="M7" s="11">
        <f>IFERROR(K7/L7,"")</f>
        <v>8533.333333333334</v>
      </c>
      <c r="N7" s="11">
        <f>IF(D7="Sí",M7,"")</f>
        <v>8533.333333333334</v>
      </c>
      <c r="O7" t="inlineStr">
        <is>
          <t>PS-81</t>
        </is>
      </c>
      <c r="P7" s="4" t="inlineStr">
        <is>
          <t>Sammic BP-20, 900 W. Es la que marca el ritmo de cremas, mousses y merengues, no de las masas.</t>
        </is>
      </c>
    </row>
    <row r="8" ht="46" customHeight="1">
      <c r="A8" s="11" t="n">
        <v>3</v>
      </c>
      <c r="B8" s="4" t="inlineStr">
        <is>
          <t>Laminadora automática de masa, hasta 40 cm</t>
        </is>
      </c>
      <c r="C8" t="inlineStr">
        <is>
          <t>Laminación</t>
        </is>
      </c>
      <c r="D8" s="5" t="inlineStr">
        <is>
          <t>Sí</t>
        </is>
      </c>
      <c r="E8" s="8" t="n">
        <v>3</v>
      </c>
      <c r="F8" s="4" t="inlineStr">
        <is>
          <t>pastones por ciclo</t>
        </is>
      </c>
      <c r="G8" s="8" t="n">
        <v>20</v>
      </c>
      <c r="H8" s="11">
        <f>IFERROR(E8*G8,"")</f>
        <v>60.0</v>
      </c>
      <c r="I8" s="9" t="n">
        <v>20</v>
      </c>
      <c r="J8" s="11">
        <f>IFERROR(INT('Parámetros'!$B$9/I8),"")</f>
        <v>20.0</v>
      </c>
      <c r="K8" s="11">
        <f>IFERROR(H8*J8,"")</f>
        <v>1200.0</v>
      </c>
      <c r="L8" s="10" t="n">
        <v>0.25</v>
      </c>
      <c r="M8" s="11">
        <f>IFERROR(K8/L8,"")</f>
        <v>4800.0</v>
      </c>
      <c r="N8" s="11">
        <f>IF(D8="Sí",M8,"")</f>
        <v>4800.0</v>
      </c>
      <c r="O8" t="inlineStr">
        <is>
          <t>PS-79</t>
        </is>
      </c>
      <c r="P8" s="4" t="inlineStr">
        <is>
          <t>Sammic DF-40. Un pastón da una tanda de 20 piezas de bollería, así que tres pastones son 60 piezas por ciclo.</t>
        </is>
      </c>
    </row>
    <row r="9" ht="46" customHeight="1">
      <c r="A9" s="11" t="n">
        <v>4</v>
      </c>
      <c r="B9" s="4" t="inlineStr">
        <is>
          <t>Horno de convección, 6 bandejas</t>
        </is>
      </c>
      <c r="C9" t="inlineStr">
        <is>
          <t>Calor</t>
        </is>
      </c>
      <c r="D9" s="5" t="inlineStr">
        <is>
          <t>Sí</t>
        </is>
      </c>
      <c r="E9" s="8" t="n">
        <v>6</v>
      </c>
      <c r="F9" s="4" t="inlineStr">
        <is>
          <t>bandejas por hornada</t>
        </is>
      </c>
      <c r="G9" s="8" t="n">
        <v>12</v>
      </c>
      <c r="H9" s="11">
        <f>IFERROR(E9*G9,"")</f>
        <v>72.0</v>
      </c>
      <c r="I9" s="9" t="n">
        <v>25</v>
      </c>
      <c r="J9" s="11">
        <f>IFERROR(INT('Parámetros'!$B$9/I9),"")</f>
        <v>16.0</v>
      </c>
      <c r="K9" s="11">
        <f>IFERROR(H9*J9,"")</f>
        <v>1152.0</v>
      </c>
      <c r="L9" s="10" t="n">
        <v>0.6</v>
      </c>
      <c r="M9" s="11">
        <f>IFERROR(K9/L9,"")</f>
        <v>1920.0</v>
      </c>
      <c r="N9" s="11">
        <f>IF(D9="Sí",M9,"")</f>
        <v>1920.0</v>
      </c>
      <c r="O9" t="inlineStr">
        <is>
          <t>PS-72</t>
        </is>
      </c>
      <c r="P9" s="4" t="inlineStr">
        <is>
          <t>UNOX XB693 Bakerlux. Las piezas por bandeja son de bollería mediana: bájalas para tartas y súbelas para petit four.</t>
        </is>
      </c>
    </row>
    <row r="10" ht="46" customHeight="1">
      <c r="A10" s="11" t="n">
        <v>5</v>
      </c>
      <c r="B10" s="4" t="inlineStr">
        <is>
          <t>Horno de convección, 4 bandejas</t>
        </is>
      </c>
      <c r="C10" t="inlineStr">
        <is>
          <t>Calor</t>
        </is>
      </c>
      <c r="D10" s="5" t="inlineStr">
        <is>
          <t>Sí</t>
        </is>
      </c>
      <c r="E10" s="8" t="n">
        <v>4</v>
      </c>
      <c r="F10" s="4" t="inlineStr">
        <is>
          <t>bandejas por hornada</t>
        </is>
      </c>
      <c r="G10" s="8" t="n">
        <v>12</v>
      </c>
      <c r="H10" s="11">
        <f>IFERROR(E10*G10,"")</f>
        <v>48.0</v>
      </c>
      <c r="I10" s="9" t="n">
        <v>25</v>
      </c>
      <c r="J10" s="11">
        <f>IFERROR(INT('Parámetros'!$B$9/I10),"")</f>
        <v>16.0</v>
      </c>
      <c r="K10" s="11">
        <f>IFERROR(H10*J10,"")</f>
        <v>768.0</v>
      </c>
      <c r="L10" s="10" t="n">
        <v>0.25</v>
      </c>
      <c r="M10" s="11">
        <f>IFERROR(K10/L10,"")</f>
        <v>3072.0</v>
      </c>
      <c r="N10" s="11">
        <f>IF(D10="Sí",M10,"")</f>
        <v>3072.0</v>
      </c>
      <c r="O10" t="inlineStr">
        <is>
          <t>PS-72</t>
        </is>
      </c>
      <c r="P10" s="4" t="inlineStr">
        <is>
          <t>SMEG ALFA420E1HDS. El segundo horno no está para producir más: está para poder cocer a dos temperaturas a la vez.</t>
        </is>
      </c>
    </row>
    <row r="11" ht="46" customHeight="1">
      <c r="A11" s="11" t="n">
        <v>6</v>
      </c>
      <c r="B11" s="4" t="inlineStr">
        <is>
          <t>Cámara de fermentación controlada (roll-in)</t>
        </is>
      </c>
      <c r="C11" t="inlineStr">
        <is>
          <t>Frío positivo</t>
        </is>
      </c>
      <c r="D11" s="5" t="inlineStr">
        <is>
          <t>Sí</t>
        </is>
      </c>
      <c r="E11" s="8" t="n">
        <v>2</v>
      </c>
      <c r="F11" s="4" t="inlineStr">
        <is>
          <t>carros por ciclo</t>
        </is>
      </c>
      <c r="G11" s="8" t="n">
        <v>90</v>
      </c>
      <c r="H11" s="11">
        <f>IFERROR(E11*G11,"")</f>
        <v>180.0</v>
      </c>
      <c r="I11" s="9" t="n">
        <v>120</v>
      </c>
      <c r="J11" s="11">
        <f>IFERROR(INT('Parámetros'!$B$9/I11),"")</f>
        <v>3.0</v>
      </c>
      <c r="K11" s="11">
        <f>IFERROR(H11*J11,"")</f>
        <v>540.0</v>
      </c>
      <c r="L11" s="10" t="n">
        <v>0.35</v>
      </c>
      <c r="M11" s="11">
        <f>IFERROR(K11/L11,"")</f>
        <v>1542.857142857143</v>
      </c>
      <c r="N11" s="11">
        <f>IF(D11="Sí",M11,"")</f>
        <v>1542.857142857143</v>
      </c>
      <c r="O11" t="inlineStr">
        <is>
          <t>PS-83</t>
        </is>
      </c>
      <c r="P11" s="4" t="inlineStr">
        <is>
          <t>Es lo que permite que la bollería esté horneada a las 7:00 sin entrar a las 3. Su ciclo es largo, así que limita más de lo que parece.</t>
        </is>
      </c>
    </row>
    <row r="12" ht="46" customHeight="1">
      <c r="A12" s="11" t="n">
        <v>7</v>
      </c>
      <c r="B12" s="4" t="inlineStr">
        <is>
          <t>Abatidor de temperatura, 4 bandejas</t>
        </is>
      </c>
      <c r="C12" t="inlineStr">
        <is>
          <t>Frío negativo</t>
        </is>
      </c>
      <c r="D12" s="5" t="inlineStr">
        <is>
          <t>Sí</t>
        </is>
      </c>
      <c r="E12" s="8" t="n">
        <v>4</v>
      </c>
      <c r="F12" s="4" t="inlineStr">
        <is>
          <t>bandejas por ciclo</t>
        </is>
      </c>
      <c r="G12" s="8" t="n">
        <v>12</v>
      </c>
      <c r="H12" s="11">
        <f>IFERROR(E12*G12,"")</f>
        <v>48.0</v>
      </c>
      <c r="I12" s="9" t="n">
        <v>90</v>
      </c>
      <c r="J12" s="11">
        <f>IFERROR(INT('Parámetros'!$B$9/I12),"")</f>
        <v>4.0</v>
      </c>
      <c r="K12" s="11">
        <f>IFERROR(H12*J12,"")</f>
        <v>192.0</v>
      </c>
      <c r="L12" s="10" t="n">
        <v>0.4</v>
      </c>
      <c r="M12" s="11">
        <f>IFERROR(K12/L12,"")</f>
        <v>480.0</v>
      </c>
      <c r="N12" s="11">
        <f>IF(D12="Sí",M12,"")</f>
        <v>480.0</v>
      </c>
      <c r="O12" t="inlineStr">
        <is>
          <t>PS-78</t>
        </is>
      </c>
      <c r="P12" s="4" t="inlineStr">
        <is>
          <t>Irinox, gama Multifresh. Ciclo largo y obligatorio para lo relleno: es el candidato número uno a cuello de botella de una pastelería. Un arcón doméstico NO vale (art. 5 del RD 1021/2022).</t>
        </is>
      </c>
    </row>
    <row r="13" ht="46" customHeight="1">
      <c r="A13" s="11" t="n">
        <v>8</v>
      </c>
      <c r="B13" s="4" t="inlineStr">
        <is>
          <t>Cámara frigorífica de conservación, 8 m3</t>
        </is>
      </c>
      <c r="C13" t="inlineStr">
        <is>
          <t>Frío positivo</t>
        </is>
      </c>
      <c r="D13" s="5" t="inlineStr">
        <is>
          <t>Sí</t>
        </is>
      </c>
      <c r="E13" s="8" t="n">
        <v>8</v>
      </c>
      <c r="F13" s="4" t="inlineStr">
        <is>
          <t>m3 útiles por rotación</t>
        </is>
      </c>
      <c r="G13" s="8" t="n">
        <v>70</v>
      </c>
      <c r="H13" s="11">
        <f>IFERROR(E13*G13,"")</f>
        <v>560.0</v>
      </c>
      <c r="I13" s="9" t="n">
        <v>400</v>
      </c>
      <c r="J13" s="11">
        <f>IFERROR(INT('Parámetros'!$B$9/I13),"")</f>
        <v>1.0</v>
      </c>
      <c r="K13" s="11">
        <f>IFERROR(H13*J13,"")</f>
        <v>560.0</v>
      </c>
      <c r="L13" s="10" t="n">
        <v>0.45</v>
      </c>
      <c r="M13" s="11">
        <f>IFERROR(K13/L13,"")</f>
        <v>1244.4444444444443</v>
      </c>
      <c r="N13" s="11">
        <f>IF(D13="Sí",M13,"")</f>
        <v>1244.4444444444443</v>
      </c>
      <c r="O13" t="inlineStr">
        <is>
          <t>supuesto</t>
        </is>
      </c>
      <c r="P13" s="4" t="inlineStr">
        <is>
          <t>Aquí el "ciclo" es una rotación de la cámara: con 400 minutos entra una rotación al día. Es la que sostiene los 4 °C de lo relleno.</t>
        </is>
      </c>
    </row>
    <row r="14" ht="46" customHeight="1">
      <c r="A14" s="11" t="n">
        <v>9</v>
      </c>
      <c r="B14" s="4" t="inlineStr">
        <is>
          <t>Vitrina expositora pastelera refrigerada</t>
        </is>
      </c>
      <c r="C14" t="inlineStr">
        <is>
          <t>Tienda y vitrina</t>
        </is>
      </c>
      <c r="D14" s="5" t="inlineStr">
        <is>
          <t>Sí</t>
        </is>
      </c>
      <c r="E14" s="8" t="n">
        <v>0.93</v>
      </c>
      <c r="F14" s="4" t="inlineStr">
        <is>
          <t>m2 de exposición por reposición</t>
        </is>
      </c>
      <c r="G14" s="8" t="n">
        <v>130</v>
      </c>
      <c r="H14" s="11">
        <f>IFERROR(E14*G14,"")</f>
        <v>120.9</v>
      </c>
      <c r="I14" s="9" t="n">
        <v>120</v>
      </c>
      <c r="J14" s="11">
        <f>IFERROR(INT('Parámetros'!$B$9/I14),"")</f>
        <v>3.0</v>
      </c>
      <c r="K14" s="11">
        <f>IFERROR(H14*J14,"")</f>
        <v>362.70000000000005</v>
      </c>
      <c r="L14" s="10" t="n">
        <v>0.35</v>
      </c>
      <c r="M14" s="11">
        <f>IFERROR(K14/L14,"")</f>
        <v>1036.2857142857144</v>
      </c>
      <c r="N14" s="11">
        <f>IF(D14="Sí",M14,"")</f>
        <v>1036.2857142857144</v>
      </c>
      <c r="O14" t="inlineStr">
        <is>
          <t>PS-76</t>
        </is>
      </c>
      <c r="P14" s="4" t="inlineStr">
        <is>
          <t>Docriluc VEPD-9-15-C, 0,93 m2 de exposición. Con 120 minutos por reposición salen tres reposiciones de vitrina al día.</t>
        </is>
      </c>
    </row>
    <row r="15" ht="46" customHeight="1">
      <c r="A15" s="11" t="n">
        <v>10</v>
      </c>
      <c r="B15" s="4" t="inlineStr">
        <is>
          <t>Horno de pisos modular (deck)</t>
        </is>
      </c>
      <c r="C15" t="inlineStr">
        <is>
          <t>Calor</t>
        </is>
      </c>
      <c r="D15" s="5" t="inlineStr">
        <is>
          <t>No</t>
        </is>
      </c>
      <c r="E15" s="8" t="n">
        <v>4</v>
      </c>
      <c r="F15" s="4" t="inlineStr">
        <is>
          <t>bandejas por hornada</t>
        </is>
      </c>
      <c r="G15" s="8" t="n">
        <v>14</v>
      </c>
      <c r="H15" s="11">
        <f>IFERROR(E15*G15,"")</f>
        <v>56.0</v>
      </c>
      <c r="I15" s="9" t="n">
        <v>35</v>
      </c>
      <c r="J15" s="11">
        <f>IFERROR(INT('Parámetros'!$B$9/I15),"")</f>
        <v>11.0</v>
      </c>
      <c r="K15" s="11">
        <f>IFERROR(H15*J15,"")</f>
        <v>616.0</v>
      </c>
      <c r="L15" s="10" t="n">
        <v>0.2</v>
      </c>
      <c r="M15" s="11">
        <f>IFERROR(K15/L15,"")</f>
        <v>3080.0</v>
      </c>
      <c r="N15" s="11">
        <f>IF(D15="Sí",M15,"")</f>
        <v/>
      </c>
      <c r="O15" t="inlineStr">
        <is>
          <t>PS-73</t>
        </is>
      </c>
      <c r="P15" s="4" t="inlineStr">
        <is>
          <t>OPCIONAL. Marcado como "No" a propósito: cámbialo a "Sí" y mira cómo se mueve el cuello de botella antes de gastarte el dinero.</t>
        </is>
      </c>
    </row>
    <row r="16"/>
    <row r="17">
      <c r="B17" t="inlineStr">
        <is>
          <t>Minutos disponibles al día (de «Parámetros»)</t>
        </is>
      </c>
      <c r="E17" s="11">
        <f>'Parámetros'!B9</f>
        <v>408.0</v>
      </c>
    </row>
    <row r="18">
      <c r="B18" t="inlineStr">
        <is>
          <t>Equipos que dices tener</t>
        </is>
      </c>
      <c r="E18" s="11">
        <f>COUNTIF(D6:D15,"Sí")</f>
        <v>9.0</v>
      </c>
    </row>
    <row r="19" ht="44" customHeight="1">
      <c r="B19" t="inlineStr">
        <is>
          <t>Equipos que no cuentan (ciclo más largo que la jornada)</t>
        </is>
      </c>
      <c r="E19" s="11">
        <f>COUNTIF(J6:J15,0)</f>
        <v>0.0</v>
      </c>
      <c r="P19" s="4" t="inlineStr">
        <is>
          <t>Un cero en «ciclos al día» quiere decir que el ciclo de esa máquina no cabe en la jornada que has declarado. No es un error del libro: es que con ese turno esa máquina no produce nada.</t>
        </is>
      </c>
    </row>
    <row r="20"/>
    <row r="21">
      <c r="B21" s="3" t="inlineStr">
        <is>
          <t>Listas de validación (no las borres: las usan los desplegables)</t>
        </is>
      </c>
    </row>
    <row r="22">
      <c r="B22" s="12" t="inlineStr">
        <is>
          <t>¿Lo tienes?</t>
        </is>
      </c>
    </row>
    <row r="23">
      <c r="B23" t="inlineStr">
        <is>
          <t>Sí</t>
        </is>
      </c>
    </row>
    <row r="24">
      <c r="B24" t="inlineStr">
        <is>
          <t>No</t>
        </is>
      </c>
    </row>
    <row r="25"/>
    <row r="26" ht="56" customHeight="1">
      <c r="B26" s="7" t="inlineStr">
        <is>
          <t>Las columnas verdes de esta hoja son las que tienes que pelear con el comercial: cuánto cabe de verdad en un ciclo, cuánto dura el ciclo completo (con carga y descarga, no el que pone el folleto) y qué parte de tu surtido pasa por ahí. Si ya tienes el Kit de Tareas Pastelería, el porcentaje real de cada máquina lo sacas de kit-tareas-pasteleria/10-plan-produccion-semanal.xlsx; mientras tanto, los valores por defecto son supuestos coherentes con la carta de 30 referencias de «La Clara».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P3"/>
    <mergeCell ref="B26:P26"/>
  </mergeCells>
  <conditionalFormatting sqref="J6:J15">
    <cfRule type="expression" priority="1" dxfId="0" stopIfTrue="1">
      <formula>=AND(ISNUMBER($J6),$J6&lt;1)</formula>
    </cfRule>
  </conditionalFormatting>
  <dataValidations count="1">
    <dataValidation sqref="D6 D7 D8 D9 D10 D11 D12 D13 D14 D15" showDropDown="0" showInputMessage="0" showErrorMessage="1" allowBlank="0" errorTitle="¿Lo tienes?" error="Elige «Sí» o «No» de la lista." type="list">
      <formula1>=$B$23:$B$24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2"/>
  <sheetViews>
    <sheetView workbookViewId="0">
      <selection activeCell="A1" sqref="A1"/>
    </sheetView>
  </sheetViews>
  <sheetFormatPr baseColWidth="8" defaultRowHeight="15"/>
  <cols>
    <col width="44" customWidth="1" min="1" max="1"/>
    <col width="20" customWidth="1" min="2" max="2"/>
    <col width="16" customWidth="1" min="3" max="3"/>
    <col width="16" customWidth="1" min="4" max="4"/>
    <col width="16" customWidth="1" min="5" max="5"/>
    <col width="15" customWidth="1" min="6" max="6"/>
    <col width="14" customWidth="1" min="7" max="7"/>
    <col width="26" customWidth="1" min="8" max="8"/>
    <col width="15" customWidth="1" min="9" max="9"/>
    <col width="74" customWidth="1" min="10" max="10"/>
  </cols>
  <sheetData>
    <row r="1" ht="28" customHeight="1">
      <c r="A1" s="1" t="inlineStr">
        <is>
          <t>Cuello de Botella</t>
        </is>
      </c>
    </row>
    <row r="2">
      <c r="A2" t="inlineStr">
        <is>
          <t>AI Chef Pro · aichef.pro — Cómo Montar una Pastelería</t>
        </is>
      </c>
    </row>
    <row r="3" ht="26" customHeight="1">
      <c r="A3" s="7" t="inlineStr">
        <is>
          <t>El equipo que manda, las piezas al día que aguanta el conjunto y qué pasa en cada uno de los seis picos del año.</t>
        </is>
      </c>
    </row>
    <row r="4"/>
    <row r="5">
      <c r="A5" s="3" t="inlineStr">
        <is>
          <t>El día normal</t>
        </is>
      </c>
    </row>
    <row r="6">
      <c r="A6" t="inlineStr">
        <is>
          <t>Piezas al día que quieres sacar</t>
        </is>
      </c>
      <c r="B6" s="11">
        <f>'Parámetros'!B12</f>
        <v>476.0</v>
      </c>
    </row>
    <row r="7">
      <c r="A7" t="inlineStr">
        <is>
          <t>Piezas al día que permite el conjunto</t>
        </is>
      </c>
      <c r="B7" s="18">
        <f>IFERROR(MIN('Capacidad por Equipo'!$N$6:$N$15),"")</f>
        <v>480.0</v>
      </c>
    </row>
    <row r="8">
      <c r="A8" s="12" t="inlineStr">
        <is>
          <t>El equipo que limita</t>
        </is>
      </c>
      <c r="B8" s="17" t="str">
        <f>IFERROR(INDEX('Capacidad por Equipo'!$B$6:$B$15,MATCH(B7,'Capacidad por Equipo'!$N$6:$N$15,0)),"")</f>
        <v>Abatidor de temperatura, 4 bandejas</v>
      </c>
    </row>
    <row r="9">
      <c r="A9" t="inlineStr">
        <is>
          <t>Holgura sobre el día normal (piezas)</t>
        </is>
      </c>
      <c r="B9" s="11">
        <f>IFERROR(B7-B6,"")</f>
        <v>4.0</v>
      </c>
    </row>
    <row r="10">
      <c r="A10" t="inlineStr">
        <is>
          <t>Holgura sobre el día normal (%)</t>
        </is>
      </c>
      <c r="B10" s="13">
        <f>IFERROR(B9/B6,"")</f>
        <v>0.008403361344537815</v>
      </c>
    </row>
    <row r="11">
      <c r="A11" t="inlineStr">
        <is>
          <t>Margen de seguridad que te has exigido</t>
        </is>
      </c>
      <c r="B11" s="13">
        <f>'Parámetros'!B13</f>
        <v>0.1</v>
      </c>
    </row>
    <row r="12" ht="44" customHeight="1">
      <c r="A12" s="12" t="inlineStr">
        <is>
          <t>VEREDICTO DEL DÍA NORMAL</t>
        </is>
      </c>
      <c r="B12" s="17" t="str">
        <f>IF(B7="","",IF(B7&lt;B6,"NO LLEGAS",IF(B10&lt;B11,"AJUSTADO","SUFICIENTE")))</f>
        <v>AJUSTADO</v>
      </c>
      <c r="J12" s="4" t="inlineStr">
        <is>
          <t>«AJUSTADO» quiere decir que pasas el día normal, pero por debajo del margen de seguridad que tú mismo has pedido: una avería, una baja o un encargo grande te dejan sin género.</t>
        </is>
      </c>
    </row>
    <row r="13">
      <c r="A13" t="inlineStr">
        <is>
          <t>El segundo equipo más justo permite</t>
        </is>
      </c>
      <c r="B13" s="11">
        <f>IFERROR(SMALL('Capacidad por Equipo'!$N$6:$N$15,2),"")</f>
        <v>1036.2857142857144</v>
      </c>
    </row>
    <row r="14" ht="44" customHeight="1">
      <c r="A14" t="inlineStr">
        <is>
          <t>Y es</t>
        </is>
      </c>
      <c r="B14" t="str">
        <f>IFERROR(INDEX('Capacidad por Equipo'!$B$6:$B$15,MATCH(B13,'Capacidad por Equipo'!$N$6:$N$15,0)),"")</f>
        <v>Vitrina expositora pastelera refrigerada</v>
      </c>
      <c r="J14" s="4" t="inlineStr">
        <is>
          <t>Mira los dos juntos antes de comprar: si el segundo está muy cerca del primero, resolver sólo el cuello de botella te sube la capacidad cuatro piezas y te deja el dinero fuera.</t>
        </is>
      </c>
    </row>
    <row r="15"/>
    <row r="16">
      <c r="A16" s="3" t="inlineStr">
        <is>
          <t>Los seis picos del año</t>
        </is>
      </c>
    </row>
    <row r="17" ht="54" customHeight="1">
      <c r="A17" s="6" t="inlineStr">
        <is>
          <t>Pico</t>
        </is>
      </c>
      <c r="B17" s="6" t="inlineStr">
        <is>
          <t>Fechas</t>
        </is>
      </c>
      <c r="C17" s="6" t="inlineStr">
        <is>
          <t>Factor sobre el día normal</t>
        </is>
      </c>
      <c r="D17" s="6" t="inlineStr">
        <is>
          <t>Piezas/día que hacen falta</t>
        </is>
      </c>
      <c r="E17" s="6" t="inlineStr">
        <is>
          <t>Piezas/día que permite el conjunto</t>
        </is>
      </c>
      <c r="F17" s="6" t="inlineStr">
        <is>
          <t>Déficit (piezas/día)</t>
        </is>
      </c>
      <c r="G17" s="6" t="inlineStr">
        <is>
          <t>¿Aguantas?</t>
        </is>
      </c>
      <c r="H17" s="6" t="inlineStr">
        <is>
          <t>Producto estrella</t>
        </is>
      </c>
      <c r="I17" s="6" t="inlineStr">
        <is>
          <t>Uds/día del estrella en campaña</t>
        </is>
      </c>
      <c r="J17" s="6" t="inlineStr">
        <is>
          <t>Nota</t>
        </is>
      </c>
    </row>
    <row r="18" ht="62" customHeight="1">
      <c r="A18" t="inlineStr">
        <is>
          <t>Reyes</t>
        </is>
      </c>
      <c r="B18" t="inlineStr">
        <is>
          <t>2 a 6 de enero</t>
        </is>
      </c>
      <c r="C18" s="8" t="n">
        <v>6</v>
      </c>
      <c r="D18" s="11">
        <f>IFERROR($B$6*C18,"")</f>
        <v>2856.0</v>
      </c>
      <c r="E18" s="11">
        <f>IFERROR($B$7,"")</f>
        <v>480.0</v>
      </c>
      <c r="F18" s="11">
        <f>IFERROR(E18-D18,"")</f>
        <v>-2376.0</v>
      </c>
      <c r="G18" t="str">
        <f>IF(F18="","",IF(F18&lt;0,"NO","SÍ"))</f>
        <v>NO</v>
      </c>
      <c r="H18" t="inlineStr">
        <is>
          <t>Roscón de Reyes</t>
        </is>
      </c>
      <c r="I18" s="9" t="n">
        <v>420</v>
      </c>
      <c r="J18" s="4" t="inlineStr">
        <is>
          <t>El pico que decide el año. Referencias de escala, nunca de precio ni de cuota: PS-35 (unos 30 millones de roscones en España en la campaña 2025/26), PS-36 (más de 2,9 millones en la Comunidad de Madrid) y PS-38 (El Corte Inglés 850.000, Viena Capellanes 72.000). PS-46: el supermercado entra con roscones premiados a 9 €. El roscón relleno de nata arrastra los 4 °C de la fila 9 y las 24 h del art. 9.3 justo el día de más producción: eso limita la producción tanto como el horno.</t>
        </is>
      </c>
    </row>
    <row r="19" ht="62" customHeight="1">
      <c r="A19" t="inlineStr">
        <is>
          <t>San Valentín</t>
        </is>
      </c>
      <c r="B19" t="inlineStr">
        <is>
          <t>13 y 14 de febrero</t>
        </is>
      </c>
      <c r="C19" s="8" t="n">
        <v>1.8</v>
      </c>
      <c r="D19" s="11">
        <f>IFERROR($B$6*C19,"")</f>
        <v>856.8000000000001</v>
      </c>
      <c r="E19" s="11">
        <f>IFERROR($B$7,"")</f>
        <v>480.0</v>
      </c>
      <c r="F19" s="11">
        <f>IFERROR(E19-D19,"")</f>
        <v>-376.80000000000007</v>
      </c>
      <c r="G19" t="str">
        <f>IF(F19="","",IF(F19&lt;0,"NO","SÍ"))</f>
        <v>NO</v>
      </c>
      <c r="H19" t="inlineStr">
        <is>
          <t>Macarons de frambuesa</t>
        </is>
      </c>
      <c r="I19" s="9" t="n">
        <v>260</v>
      </c>
      <c r="J19" s="4" t="inlineStr">
        <is>
          <t>Campaña de dos días y de ticket alto, no de volumen: se gana con cajas y presentación, no con más horno. En el kit, la producción especial de esta fecha son tartas corazón, bombones y macarons.</t>
        </is>
      </c>
    </row>
    <row r="20" ht="62" customHeight="1">
      <c r="A20" t="inlineStr">
        <is>
          <t>Día del Padre y de la Madre</t>
        </is>
      </c>
      <c r="B20" t="inlineStr">
        <is>
          <t>19 de marzo y primer domingo de mayo</t>
        </is>
      </c>
      <c r="C20" s="8" t="n">
        <v>1.9</v>
      </c>
      <c r="D20" s="11">
        <f>IFERROR($B$6*C20,"")</f>
        <v>904.4</v>
      </c>
      <c r="E20" s="11">
        <f>IFERROR($B$7,"")</f>
        <v>480.0</v>
      </c>
      <c r="F20" s="11">
        <f>IFERROR(E20-D20,"")</f>
        <v>-424.4</v>
      </c>
      <c r="G20" t="str">
        <f>IF(F20="","",IF(F20&lt;0,"NO","SÍ"))</f>
        <v>NO</v>
      </c>
      <c r="H20" t="inlineStr">
        <is>
          <t>Tarta de chocolate 70 %</t>
        </is>
      </c>
      <c r="I20" s="9" t="n">
        <v>96</v>
      </c>
      <c r="J20" s="4" t="inlineStr">
        <is>
          <t>Dos fechas con el mismo patrón de trabajo -tarta con dedicatoria, por encargo- y por eso van juntas como una sola campaña operativa. El kit las separa en su calendario porque a él le importan las fechas; a la guía le importa la carga de obrador.</t>
        </is>
      </c>
    </row>
    <row r="21" ht="62" customHeight="1">
      <c r="A21" t="inlineStr">
        <is>
          <t>Semana Santa</t>
        </is>
      </c>
      <c r="B21" t="inlineStr">
        <is>
          <t>del Domingo de Ramos al Domingo de Resurrección</t>
        </is>
      </c>
      <c r="C21" s="8" t="n">
        <v>2.4</v>
      </c>
      <c r="D21" s="11">
        <f>IFERROR($B$6*C21,"")</f>
        <v>1142.3999999999999</v>
      </c>
      <c r="E21" s="11">
        <f>IFERROR($B$7,"")</f>
        <v>480.0</v>
      </c>
      <c r="F21" s="11">
        <f>IFERROR(E21-D21,"")</f>
        <v>-662.3999999999999</v>
      </c>
      <c r="G21" t="str">
        <f>IF(F21="","",IF(F21&lt;0,"NO","SÍ"))</f>
        <v>NO</v>
      </c>
      <c r="H21" t="inlineStr">
        <is>
          <t>Torrijas</t>
        </is>
      </c>
      <c r="I21" s="9" t="n">
        <v>240</v>
      </c>
      <c r="J21" s="4" t="inlineStr">
        <is>
          <t>Ocho días seguidos de producción extra, que es más agotador que los cinco de Reyes aunque el pico sea menor. Torrijas y monas a la vez: una necesita freidora y frío, la otra horno y chocolate.</t>
        </is>
      </c>
    </row>
    <row r="22" ht="62" customHeight="1">
      <c r="A22" t="inlineStr">
        <is>
          <t>Comuniones</t>
        </is>
      </c>
      <c r="B22" t="inlineStr">
        <is>
          <t>de mediados de abril a mediados de junio</t>
        </is>
      </c>
      <c r="C22" s="8" t="n">
        <v>1.6</v>
      </c>
      <c r="D22" s="11">
        <f>IFERROR($B$6*C22,"")</f>
        <v>761.6</v>
      </c>
      <c r="E22" s="11">
        <f>IFERROR($B$7,"")</f>
        <v>480.0</v>
      </c>
      <c r="F22" s="11">
        <f>IFERROR(E22-D22,"")</f>
        <v>-281.6</v>
      </c>
      <c r="G22" t="str">
        <f>IF(F22="","",IF(F22&lt;0,"NO","SÍ"))</f>
        <v>NO</v>
      </c>
      <c r="H22" t="inlineStr">
        <is>
          <t>Tarta de nata y fresas</t>
        </is>
      </c>
      <c r="I22" s="9" t="n">
        <v>34</v>
      </c>
      <c r="J22" s="4" t="inlineStr">
        <is>
          <t>No es un pico, es una MESETA de dos meses, y por eso se aguanta con plantilla y no con horas extra. Todo va por encargo: anticipo, calendario de entrega y riesgo de anulación (cap. 16). La herramienta de gestión del encargo es el 11-control-encargos.xlsx del kit, que la guía no rehace (R2).</t>
        </is>
      </c>
    </row>
    <row r="23" ht="62" customHeight="1">
      <c r="A23" t="inlineStr">
        <is>
          <t>Todos los Santos</t>
        </is>
      </c>
      <c r="B23" t="inlineStr">
        <is>
          <t>30 y 31 de octubre y 1 de noviembre</t>
        </is>
      </c>
      <c r="C23" s="8" t="n">
        <v>2.6</v>
      </c>
      <c r="D23" s="11">
        <f>IFERROR($B$6*C23,"")</f>
        <v>1237.6000000000001</v>
      </c>
      <c r="E23" s="11">
        <f>IFERROR($B$7,"")</f>
        <v>480.0</v>
      </c>
      <c r="F23" s="11">
        <f>IFERROR(E23-D23,"")</f>
        <v>-757.6000000000001</v>
      </c>
      <c r="G23" t="str">
        <f>IF(F23="","",IF(F23&lt;0,"NO","SÍ"))</f>
        <v>NO</v>
      </c>
      <c r="H23" t="inlineStr">
        <is>
          <t>Buñuelos de viento</t>
        </is>
      </c>
      <c r="I23" s="9" t="n">
        <v>520</v>
      </c>
      <c r="J23" s="4" t="inlineStr">
        <is>
          <t>Tres días con tres referencias que sólo se hacen ahora: buñuelos, huesos de santo y panellets. Los buñuelos van rellenos (4 °C y 24 h) y los otros dos son estables a temperatura ambiente: por eso los buñuelos se hacen el mismo día y los huesos de santo se pueden adelantar. Ese detalle legal ES la planificación de la campaña.</t>
        </is>
      </c>
    </row>
    <row r="24"/>
    <row r="25">
      <c r="A25" t="inlineStr">
        <is>
          <t>Picos que NO aguantas</t>
        </is>
      </c>
      <c r="B25" s="11">
        <f>COUNTIF(G18:G23,"NO")</f>
        <v>6.0</v>
      </c>
    </row>
    <row r="26">
      <c r="A26" t="inlineStr">
        <is>
          <t>El peor déficit (piezas/día)</t>
        </is>
      </c>
      <c r="B26" s="11">
        <f>IFERROR(MIN(F18:F23),"")</f>
        <v>-2376.0</v>
      </c>
    </row>
    <row r="27">
      <c r="A27" t="inlineStr">
        <is>
          <t>Y es el pico de</t>
        </is>
      </c>
      <c r="B27" t="str">
        <f>IFERROR(INDEX($A$18:$A$23,MATCH(B26,$F$18:$F$23,0)),"")</f>
        <v>Reyes</v>
      </c>
    </row>
    <row r="28">
      <c r="A28" s="12" t="inlineStr">
        <is>
          <t>VEREDICTO DE CAMPAÑA</t>
        </is>
      </c>
      <c r="B28" s="17" t="str">
        <f>IF(B25=0,"Aguantas los seis picos",IF(B25=1,"Un pico se te va del obrador","Varios picos se te van del obrador"))</f>
        <v>Varios picos se te van del obrador</v>
      </c>
    </row>
    <row r="29"/>
    <row r="30" ht="62" customHeight="1">
      <c r="A30" s="7" t="inlineStr">
        <is>
          <t>Que un pico no quepa en el obrador NO es motivo para comprar más máquina: comprar para el día de Reyes es tener el dinero parado los otros 299 días. Lo que se hace es adelantar producción (congelación programada del art. 5, con abatidor, no con un arcón), cargar la campaña en lo estable a temperatura ambiente, que se puede hacer con días de antelación, y cerrar encargos con fecha. Las fechas de cada campaña y su lista de tareas están en el BONUS-02 del Kit de Tareas Pastelería; los euros que mueve cada una, en el libro 3 de esta guía.</t>
        </is>
      </c>
    </row>
    <row r="31"/>
    <row r="32" ht="44" customHeight="1">
      <c r="A32" s="7" t="inlineStr">
        <is>
          <t>La columna «uds/día del estrella en campaña» está aquí como contraste, no como cálculo: son las unidades del producto que define el pico. Los 420 roscones al día de Reyes frente a los cero de un día normal son la razón por la que esta hoja existe.</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0:J30"/>
    <mergeCell ref="A32:J32"/>
    <mergeCell ref="A3:J3"/>
  </mergeCells>
  <conditionalFormatting sqref="B12">
    <cfRule type="cellIs" priority="1" operator="equal" dxfId="0" stopIfTrue="1">
      <formula>"NO LLEGAS"</formula>
    </cfRule>
    <cfRule type="cellIs" priority="2" operator="equal" dxfId="2" stopIfTrue="1">
      <formula>"AJUSTADO"</formula>
    </cfRule>
    <cfRule type="cellIs" priority="3" operator="equal" dxfId="1" stopIfTrue="1">
      <formula>"SUFICIENTE"</formula>
    </cfRule>
  </conditionalFormatting>
  <conditionalFormatting sqref="F18:F23">
    <cfRule type="expression" priority="4" dxfId="0" stopIfTrue="1">
      <formula>=AND(ISNUMBER($F18),$F18&lt;0)</formula>
    </cfRule>
  </conditionalFormatting>
  <conditionalFormatting sqref="G18:G23">
    <cfRule type="cellIs" priority="5" operator="equal" dxfId="0" stopIfTrue="1">
      <formula>"NO"</formula>
    </cfRule>
    <cfRule type="cellIs" priority="6" operator="equal" dxfId="1" stopIfTrue="1">
      <formula>"SÍ"</formula>
    </cfRule>
  </conditionalFormatting>
  <conditionalFormatting sqref="B28">
    <cfRule type="cellIs" priority="7" operator="equal" dxfId="1" stopIfTrue="1">
      <formula>"Aguantas los seis picos"</formula>
    </cfRule>
    <cfRule type="cellIs" priority="8" operator="equal" dxfId="2" stopIfTrue="1">
      <formula>"Un pico se te va del obrador"</formula>
    </cfRule>
    <cfRule type="cellIs" priority="9" operator="equal" dxfId="0" stopIfTrue="1">
      <formula>"Varios picos se te van del obrador"</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40"/>
  <sheetViews>
    <sheetView workbookViewId="0">
      <selection activeCell="A1" sqref="A1"/>
    </sheetView>
  </sheetViews>
  <sheetFormatPr baseColWidth="8" defaultRowHeight="15"/>
  <cols>
    <col width="5" customWidth="1" min="1" max="1"/>
    <col width="52" customWidth="1" min="2" max="2"/>
    <col width="13" customWidth="1" min="3" max="3"/>
    <col width="46" customWidth="1" min="4" max="4"/>
    <col width="15" customWidth="1" min="5" max="5"/>
    <col width="13" customWidth="1" min="6" max="6"/>
    <col width="13" customWidth="1" min="7" max="7"/>
    <col width="13" customWidth="1" min="8" max="8"/>
    <col width="15" customWidth="1" min="9" max="9"/>
    <col width="80" customWidth="1" min="10" max="10"/>
  </cols>
  <sheetData>
    <row r="1" ht="28" customHeight="1">
      <c r="A1" s="1" t="inlineStr">
        <is>
          <t>Ficha de Visita a Local</t>
        </is>
      </c>
    </row>
    <row r="2">
      <c r="A2" t="inlineStr">
        <is>
          <t>AI Chef Pro · aichef.pro — Cómo Montar una Pastelería</t>
        </is>
      </c>
    </row>
    <row r="3" ht="26" customHeight="1">
      <c r="A3" s="7" t="inlineStr">
        <is>
          <t>Imprímela y llévala a cada visita. Un solo «No» en un ítem eliminatorio y el veredicto es DESCARTAR.</t>
        </is>
      </c>
    </row>
    <row r="4"/>
    <row r="5" ht="44" customHeight="1">
      <c r="A5" s="6" t="inlineStr">
        <is>
          <t>Nº</t>
        </is>
      </c>
      <c r="B5" s="6" t="inlineStr">
        <is>
          <t>Qué se comprueba</t>
        </is>
      </c>
      <c r="C5" s="6" t="inlineStr">
        <is>
          <t>¿Eliminatorio?</t>
        </is>
      </c>
      <c r="D5" s="6" t="inlineStr">
        <is>
          <t>Cómo se comprueba</t>
        </is>
      </c>
      <c r="E5" s="6" t="inlineStr">
        <is>
          <t>Respuesta</t>
        </is>
      </c>
      <c r="F5" s="6" t="inlineStr">
        <is>
          <t>Dato medido</t>
        </is>
      </c>
      <c r="G5" s="6" t="inlineStr">
        <is>
          <t>Umbral</t>
        </is>
      </c>
      <c r="H5" s="6" t="inlineStr">
        <is>
          <t>¿Cumple el dato?</t>
        </is>
      </c>
      <c r="I5" s="6" t="inlineStr">
        <is>
          <t>Veredicto</t>
        </is>
      </c>
      <c r="J5" s="6" t="inlineStr">
        <is>
          <t>Nota y norma</t>
        </is>
      </c>
    </row>
    <row r="6" ht="58" customHeight="1">
      <c r="A6" s="11" t="n">
        <v>1</v>
      </c>
      <c r="B6" s="4" t="inlineStr">
        <is>
          <t>El local puede tener salida de humos propia hasta cubierta</t>
        </is>
      </c>
      <c r="C6" t="inlineStr">
        <is>
          <t>Sí</t>
        </is>
      </c>
      <c r="D6" s="4" t="inlineStr">
        <is>
          <t>Sube a la cubierta con el propietario y mira por dónde subiría el conducto. Pídelo por escrito antes de firmar.</t>
        </is>
      </c>
      <c r="E6" s="5" t="inlineStr">
        <is>
          <t>Sí</t>
        </is>
      </c>
      <c r="G6" t="inlineStr">
        <is>
          <t>No aplica</t>
        </is>
      </c>
      <c r="H6" t="inlineStr"/>
      <c r="I6" t="str">
        <f>IF(H6="No",IF(C6="Sí","DESCARTAR","Punto débil"),IF(E6="","",IF(E6="No",IF(C6="Sí","DESCARTAR","Punto débil"),IF(E6="Por comprobar","Pendiente","OK"))))</f>
        <v>OK</v>
      </c>
      <c r="J6" s="4" t="inlineStr">
        <is>
          <t>Referencia de sector, NO norma verificada (PS-86c): la salida suele tener que llegar a cubierta y rebasar la cumbrera en 1 m, pero la altura real la fija la ORDENANZA MUNICIPAL, no el CTE. Es la partida que más locales tumba y la que hay que resolver ANTES de firmar, no después.</t>
        </is>
      </c>
    </row>
    <row r="7" ht="58" customHeight="1">
      <c r="A7" s="11" t="n">
        <v>2</v>
      </c>
      <c r="B7" s="4" t="inlineStr">
        <is>
          <t>La expulsión de la campana NO comparte conducto con el despacho ni con los aseos</t>
        </is>
      </c>
      <c r="C7" t="inlineStr">
        <is>
          <t>Sí</t>
        </is>
      </c>
      <c r="D7" s="4" t="inlineStr">
        <is>
          <t>Pide el plano de instalaciones o abre el falso techo. Si sólo hay un patinillo, ya tienes la respuesta.</t>
        </is>
      </c>
      <c r="E7" s="5" t="inlineStr">
        <is>
          <t>Sí</t>
        </is>
      </c>
      <c r="G7" t="inlineStr">
        <is>
          <t>No aplica</t>
        </is>
      </c>
      <c r="H7" t="inlineStr"/>
      <c r="I7" t="str">
        <f>IF(H7="No",IF(C7="Sí","DESCARTAR","Punto débil"),IF(E7="","",IF(E7="No",IF(C7="Sí","DESCARTAR","Punto débil"),IF(E7="Por comprobar","Pendiente","OK"))))</f>
        <v>OK</v>
      </c>
      <c r="J7" s="4" t="inlineStr">
        <is>
          <t>El aire de la campana de humos es categoría AE4 del RITE: no puede recircularse, no puede usarse como aire de transferencia y su expulsión no puede ser común con la del aire del despacho o los aseos. Ojo: esto NO sale del CTE DB-HS 3, que se aplica a viviendas y, en otros usos, sólo a aparcamientos y garajes.</t>
        </is>
      </c>
    </row>
    <row r="8" ht="58" customHeight="1">
      <c r="A8" s="11" t="n">
        <v>3</v>
      </c>
      <c r="B8" s="4" t="inlineStr">
        <is>
          <t>El caudal de extracción disponible cubre el que necesitan tus hornos</t>
        </is>
      </c>
      <c r="C8" t="inlineStr">
        <is>
          <t>No</t>
        </is>
      </c>
      <c r="D8" s="4" t="inlineStr">
        <is>
          <t>Mide o pide la ficha del extractor existente. El umbral lo calcula la hoja «Parámetros» con tu potencia y tu tipo de energía.</t>
        </is>
      </c>
      <c r="E8" s="5" t="inlineStr">
        <is>
          <t>Sí</t>
        </is>
      </c>
      <c r="F8" s="9" t="n">
        <v>1400</v>
      </c>
      <c r="G8" s="11">
        <f>'Parámetros'!B21</f>
        <v>1360.0</v>
      </c>
      <c r="H8" t="str">
        <f>IF(AND(ISNUMBER(F8),ISNUMBER(G8)),IF(F8&gt;=G8,"Sí","No"),"")</f>
        <v>Sí</v>
      </c>
      <c r="I8" t="str">
        <f>IF(H8="No",IF(C8="Sí","DESCARTAR","Punto débil"),IF(E8="","",IF(E8="No",IF(C8="Sí","DESCARTAR","Punto débil"),IF(E8="Por comprobar","Pendiente","OK"))))</f>
        <v>OK</v>
      </c>
      <c r="J8" s="4" t="inlineStr">
        <is>
          <t>Regla de dimensionado: 40 m3/h por kW en equipos eléctricos y 50 en equipos de gas (PS-86b). Si el local se queda corto, el coste de sustituir el extractor va al libro 2.</t>
        </is>
      </c>
    </row>
    <row r="9" ht="58" customHeight="1">
      <c r="A9" s="11" t="n">
        <v>4</v>
      </c>
      <c r="B9" s="4" t="inlineStr">
        <is>
          <t>La potencia eléctrica contratable llega a la que vas a instalar</t>
        </is>
      </c>
      <c r="C9" t="inlineStr">
        <is>
          <t>Sí</t>
        </is>
      </c>
      <c r="D9" s="4" t="inlineStr">
        <is>
          <t>Pide el boletín eléctrico del local y consulta a la distribuidora la potencia disponible en la acometida.</t>
        </is>
      </c>
      <c r="E9" s="5" t="inlineStr">
        <is>
          <t>Sí</t>
        </is>
      </c>
      <c r="F9" s="8" t="n">
        <v>70</v>
      </c>
      <c r="G9" s="16">
        <f>'Parámetros'!B17</f>
        <v>62.0</v>
      </c>
      <c r="H9" t="str">
        <f>IF(AND(ISNUMBER(F9),ISNUMBER(G9)),IF(F9&gt;=G9,"Sí","No"),"")</f>
        <v>Sí</v>
      </c>
      <c r="I9" t="str">
        <f>IF(H9="No",IF(C9="Sí","DESCARTAR","Punto débil"),IF(E9="","",IF(E9="No",IF(C9="Sí","DESCARTAR","Punto débil"),IF(E9="Por comprobar","Pendiente","OK"))))</f>
        <v>OK</v>
      </c>
      <c r="J9" s="4" t="inlineStr">
        <is>
          <t>Subir la potencia disponible de una acometida puede costar más que la obra entera y depende de la distribuidora, no de tu presupuesto.</t>
        </is>
      </c>
    </row>
    <row r="10" ht="58" customHeight="1">
      <c r="A10" s="11" t="n">
        <v>5</v>
      </c>
      <c r="B10" s="4" t="inlineStr">
        <is>
          <t>El planeamiento urbanístico admite la actividad en esa finca</t>
        </is>
      </c>
      <c r="C10" t="inlineStr">
        <is>
          <t>Sí</t>
        </is>
      </c>
      <c r="D10" s="4" t="inlineStr">
        <is>
          <t>Consulta de compatibilidad urbanística en el ayuntamiento, por escrito y a nombre del local, no una llamada.</t>
        </is>
      </c>
      <c r="E10" s="5" t="inlineStr">
        <is>
          <t>Sí</t>
        </is>
      </c>
      <c r="G10" t="inlineStr">
        <is>
          <t>No aplica</t>
        </is>
      </c>
      <c r="H10" t="inlineStr"/>
      <c r="I10" t="str">
        <f>IF(H10="No",IF(C10="Sí","DESCARTAR","Punto débil"),IF(E10="","",IF(E10="No",IF(C10="Sí","DESCARTAR","Punto débil"),IF(E10="Por comprobar","Pendiente","OK"))))</f>
        <v>OK</v>
      </c>
      <c r="J10" s="4" t="inlineStr">
        <is>
          <t>Un local que hoy es un comercio no admite automáticamente un obrador: es actividad de transformación de alimentos, con humos y con horario de madrugada.</t>
        </is>
      </c>
    </row>
    <row r="11" ht="58" customHeight="1">
      <c r="A11" s="11" t="n">
        <v>6</v>
      </c>
      <c r="B11" s="4" t="inlineStr">
        <is>
          <t>Los estatutos de la comunidad de propietarios no prohíben la actividad</t>
        </is>
      </c>
      <c r="C11" t="inlineStr">
        <is>
          <t>Sí</t>
        </is>
      </c>
      <c r="D11" s="4" t="inlineStr">
        <is>
          <t>Pide los estatutos inscritos y el acta de la última junta. Que el vecino de al lado sea un bar no basta.</t>
        </is>
      </c>
      <c r="E11" s="5" t="inlineStr">
        <is>
          <t>Sí</t>
        </is>
      </c>
      <c r="G11" t="inlineStr">
        <is>
          <t>No aplica</t>
        </is>
      </c>
      <c r="H11" t="inlineStr"/>
      <c r="I11" t="str">
        <f>IF(H11="No",IF(C11="Sí","DESCARTAR","Punto débil"),IF(E11="","",IF(E11="No",IF(C11="Sí","DESCARTAR","Punto débil"),IF(E11="Por comprobar","Pendiente","OK"))))</f>
        <v>OK</v>
      </c>
      <c r="J11" s="4" t="inlineStr">
        <is>
          <t>Una prohibición estatutaria inscrita se impone aunque el ayuntamiento te dé la licencia, y el conducto de humos suele pasar por zona común.</t>
        </is>
      </c>
    </row>
    <row r="12" ht="58" customHeight="1">
      <c r="A12" s="11" t="n">
        <v>7</v>
      </c>
      <c r="B12" s="4" t="inlineStr">
        <is>
          <t>La altura libre del local llega a la que has fijado</t>
        </is>
      </c>
      <c r="C12" t="inlineStr">
        <is>
          <t>No</t>
        </is>
      </c>
      <c r="D12" s="4" t="inlineStr">
        <is>
          <t>Metro laser desde el suelo terminado a la cara inferior del forjado, en el punto más bajo, no en el más alto.</t>
        </is>
      </c>
      <c r="E12" s="5" t="inlineStr">
        <is>
          <t>Sí</t>
        </is>
      </c>
      <c r="F12" s="8" t="n">
        <v>3.2</v>
      </c>
      <c r="G12" s="16">
        <f>'Parámetros'!B22</f>
        <v>3.0</v>
      </c>
      <c r="H12" t="str">
        <f>IF(AND(ISNUMBER(F12),ISNUMBER(G12)),IF(F12&gt;=G12,"Sí","No"),"")</f>
        <v>Sí</v>
      </c>
      <c r="I12" t="str">
        <f>IF(H12="No",IF(C12="Sí","DESCARTAR","Punto débil"),IF(E12="","",IF(E12="No",IF(C12="Sí","DESCARTAR","Punto débil"),IF(E12="Por comprobar","Pendiente","OK"))))</f>
        <v>OK</v>
      </c>
      <c r="J12" s="4" t="inlineStr">
        <is>
          <t>Con campana, conducto y falso techo, cada centímetro cuenta. Mide donde va el horno.</t>
        </is>
      </c>
    </row>
    <row r="13" ht="58" customHeight="1">
      <c r="A13" s="11" t="n">
        <v>8</v>
      </c>
      <c r="B13" s="4" t="inlineStr">
        <is>
          <t>La superficie útil llega a los m2 que has repartido por zonas</t>
        </is>
      </c>
      <c r="C13" t="inlineStr">
        <is>
          <t>No</t>
        </is>
      </c>
      <c r="D13" s="4" t="inlineStr">
        <is>
          <t>Superficie útil real, sin contar muros ni patinillos. Compárala con el total de la hoja «Zonas y m2».</t>
        </is>
      </c>
      <c r="E13" s="5" t="inlineStr">
        <is>
          <t>Sí</t>
        </is>
      </c>
      <c r="F13" s="8" t="n">
        <v>92</v>
      </c>
      <c r="G13" s="16">
        <f>'Parámetros'!B14</f>
        <v>90.0</v>
      </c>
      <c r="H13" t="str">
        <f>IF(AND(ISNUMBER(F13),ISNUMBER(G13)),IF(F13&gt;=G13,"Sí","No"),"")</f>
        <v>Sí</v>
      </c>
      <c r="I13" t="str">
        <f>IF(H13="No",IF(C13="Sí","DESCARTAR","Punto débil"),IF(E13="","",IF(E13="No",IF(C13="Sí","DESCARTAR","Punto débil"),IF(E13="Por comprobar","Pendiente","OK"))))</f>
        <v>OK</v>
      </c>
      <c r="J13" s="4" t="inlineStr">
        <is>
          <t>La superficie de un anuncio suele ser construida. La que te sirve es la útil, y entre una y otra se van con facilidad 10 m2.</t>
        </is>
      </c>
    </row>
    <row r="14" ht="58" customHeight="1">
      <c r="A14" s="11" t="n">
        <v>9</v>
      </c>
      <c r="B14" s="4" t="inlineStr">
        <is>
          <t>Se puede separar el obrador para que quede inaccesible al público</t>
        </is>
      </c>
      <c r="C14" t="inlineStr">
        <is>
          <t>Sí</t>
        </is>
      </c>
      <c r="D14" s="4" t="inlineStr">
        <is>
          <t>Dibuja las siete zonas sobre el plano antes de firmar. Si no caben con la puerta donde está, no caben.</t>
        </is>
      </c>
      <c r="E14" s="5" t="inlineStr">
        <is>
          <t>Sí</t>
        </is>
      </c>
      <c r="G14" t="inlineStr">
        <is>
          <t>No aplica</t>
        </is>
      </c>
      <c r="H14" t="inlineStr"/>
      <c r="I14" t="str">
        <f>IF(H14="No",IF(C14="Sí","DESCARTAR","Punto débil"),IF(E14="","",IF(E14="No",IF(C14="Sí","DESCARTAR","Punto débil"),IF(E14="Por comprobar","Pendiente","OK"))))</f>
        <v>OK</v>
      </c>
      <c r="J14" s="4" t="inlineStr">
        <is>
          <t>El obrador es zona de elaboración inaccesible al público. No es una recomendación de diseño: es lo que separa un obrador de una cocina a la vista.</t>
        </is>
      </c>
    </row>
    <row r="15" ht="58" customHeight="1">
      <c r="A15" s="11" t="n">
        <v>10</v>
      </c>
      <c r="B15" s="4" t="inlineStr">
        <is>
          <t>Las siete zonas caben con marcha adelante y sin cruces</t>
        </is>
      </c>
      <c r="C15" t="inlineStr">
        <is>
          <t>No</t>
        </is>
      </c>
      <c r="D15" s="4" t="inlineStr">
        <is>
          <t>Comprueba el recorrido en la hoja «Zonas y m2»: materia prima, obrador, producto terminado, venta.</t>
        </is>
      </c>
      <c r="E15" s="5" t="inlineStr">
        <is>
          <t>Sí</t>
        </is>
      </c>
      <c r="G15" t="inlineStr">
        <is>
          <t>No aplica</t>
        </is>
      </c>
      <c r="H15" t="inlineStr"/>
      <c r="I15" t="str">
        <f>IF(H15="No",IF(C15="Sí","DESCARTAR","Punto débil"),IF(E15="","",IF(E15="No",IF(C15="Sí","DESCARTAR","Punto débil"),IF(E15="Por comprobar","Pendiente","OK"))))</f>
        <v>OK</v>
      </c>
      <c r="J15" s="4" t="inlineStr">
        <is>
          <t>Que quepan los metros no quiere decir que quepa el recorrido. Un obrador donde la basura sale por donde entra la harina no pasa una inspección.</t>
        </is>
      </c>
    </row>
    <row r="16" ht="58" customHeight="1">
      <c r="A16" s="11" t="n">
        <v>11</v>
      </c>
      <c r="B16" s="4" t="inlineStr">
        <is>
          <t>Hay acometida de agua fría y caliente y desagüe donde van los equipos</t>
        </is>
      </c>
      <c r="C16" t="inlineStr">
        <is>
          <t>No</t>
        </is>
      </c>
      <c r="D16" s="4" t="inlineStr">
        <is>
          <t>Localiza el desagüe existente. Mover un desagüe obliga a levantar el suelo del local entero.</t>
        </is>
      </c>
      <c r="E16" s="5" t="inlineStr">
        <is>
          <t>Sí</t>
        </is>
      </c>
      <c r="G16" t="inlineStr">
        <is>
          <t>No aplica</t>
        </is>
      </c>
      <c r="H16" t="inlineStr"/>
      <c r="I16" t="str">
        <f>IF(H16="No",IF(C16="Sí","DESCARTAR","Punto débil"),IF(E16="","",IF(E16="No",IF(C16="Sí","DESCARTAR","Punto débil"),IF(E16="Por comprobar","Pendiente","OK"))))</f>
        <v>OK</v>
      </c>
      <c r="J16" s="4" t="inlineStr">
        <is>
          <t>El horno con generador de vapor, el abatidor y el fregadero necesitan desagüe en su punto, no al fondo del local.</t>
        </is>
      </c>
    </row>
    <row r="17" ht="58" customHeight="1">
      <c r="A17" s="11" t="n">
        <v>12</v>
      </c>
      <c r="B17" s="4" t="inlineStr">
        <is>
          <t>Suelos y paredes admiten acabado liso, lavable e impermeable</t>
        </is>
      </c>
      <c r="C17" t="inlineStr">
        <is>
          <t>No</t>
        </is>
      </c>
      <c r="D17" s="4" t="inlineStr">
        <is>
          <t>Mira el estado real: azulejo roto, yeso, hormigón visto. El acabado del obrador es obra, no pintura.</t>
        </is>
      </c>
      <c r="E17" s="5" t="inlineStr">
        <is>
          <t>Sí</t>
        </is>
      </c>
      <c r="G17" t="inlineStr">
        <is>
          <t>No aplica</t>
        </is>
      </c>
      <c r="H17" t="inlineStr"/>
      <c r="I17" t="str">
        <f>IF(H17="No",IF(C17="Sí","DESCARTAR","Punto débil"),IF(E17="","",IF(E17="No",IF(C17="Sí","DESCARTAR","Punto débil"),IF(E17="Por comprobar","Pendiente","OK"))))</f>
        <v>OK</v>
      </c>
      <c r="J17" s="4" t="inlineStr">
        <is>
          <t>Superficies lisas, lavables e impermeables, encuentros pared-suelo redondeados y lavamanos no manual por zona (PS-86e). No es un extra: es requisito.</t>
        </is>
      </c>
    </row>
    <row r="18" ht="58" customHeight="1">
      <c r="A18" s="11" t="n">
        <v>13</v>
      </c>
      <c r="B18" s="4" t="inlineStr">
        <is>
          <t>Caben aseo y vestuario de personal separados de los de clientes</t>
        </is>
      </c>
      <c r="C18" t="inlineStr">
        <is>
          <t>No</t>
        </is>
      </c>
      <c r="D18" s="4" t="inlineStr">
        <is>
          <t>Cuenta los metros y mira dónde están los bajantes. Un aseo nuevo sin bajante cerca es obra grande.</t>
        </is>
      </c>
      <c r="E18" s="5" t="inlineStr">
        <is>
          <t>Sí</t>
        </is>
      </c>
      <c r="G18" t="inlineStr">
        <is>
          <t>No aplica</t>
        </is>
      </c>
      <c r="H18" t="inlineStr"/>
      <c r="I18" t="str">
        <f>IF(H18="No",IF(C18="Sí","DESCARTAR","Punto débil"),IF(E18="","",IF(E18="No",IF(C18="Sí","DESCARTAR","Punto débil"),IF(E18="Por comprobar","Pendiente","OK"))))</f>
        <v>OK</v>
      </c>
      <c r="J18" s="4" t="inlineStr">
        <is>
          <t>El personal necesita su aseo y su taquilla; el cliente, el suyo. Los 11 m2 de la hoja de zonas ya lo contemplan.</t>
        </is>
      </c>
    </row>
    <row r="19" ht="58" customHeight="1">
      <c r="A19" s="11" t="n">
        <v>14</v>
      </c>
      <c r="B19" s="4" t="inlineStr">
        <is>
          <t>Se puede descargar género sin cruzar la zona de clientes</t>
        </is>
      </c>
      <c r="C19" t="inlineStr">
        <is>
          <t>No</t>
        </is>
      </c>
      <c r="D19" s="4" t="inlineStr">
        <is>
          <t>Ve a la hora a la que descargarías, no a mediodía. Mira si hay carga y descarga y si el portal lo permite.</t>
        </is>
      </c>
      <c r="E19" s="5" t="inlineStr">
        <is>
          <t>Sí</t>
        </is>
      </c>
      <c r="G19" t="inlineStr">
        <is>
          <t>No aplica</t>
        </is>
      </c>
      <c r="H19" t="inlineStr"/>
      <c r="I19" t="str">
        <f>IF(H19="No",IF(C19="Sí","DESCARTAR","Punto débil"),IF(E19="","",IF(E19="No",IF(C19="Sí","DESCARTAR","Punto débil"),IF(E19="Por comprobar","Pendiente","OK"))))</f>
        <v>OK</v>
      </c>
      <c r="J19" s="4" t="inlineStr">
        <is>
          <t>La harina entra en sacos y a diario. Si entra por la puerta del despacho, entra por delante del cliente todas las mañanas.</t>
        </is>
      </c>
    </row>
    <row r="20" ht="58" customHeight="1">
      <c r="A20" s="11" t="n">
        <v>15</v>
      </c>
      <c r="B20" s="4" t="inlineStr">
        <is>
          <t>La basura sale sin abrir al obrador</t>
        </is>
      </c>
      <c r="C20" t="inlineStr">
        <is>
          <t>No</t>
        </is>
      </c>
      <c r="D20" s="4" t="inlineStr">
        <is>
          <t>Localiza el cuarto de residuos y su puerta. Debe estar cerrado y con contenedores identificados.</t>
        </is>
      </c>
      <c r="E20" s="5" t="inlineStr">
        <is>
          <t>Sí</t>
        </is>
      </c>
      <c r="G20" t="inlineStr">
        <is>
          <t>No aplica</t>
        </is>
      </c>
      <c r="H20" t="inlineStr"/>
      <c r="I20" t="str">
        <f>IF(H20="No",IF(C20="Sí","DESCARTAR","Punto débil"),IF(E20="","",IF(E20="No",IF(C20="Sí","DESCARTAR","Punto débil"),IF(E20="Por comprobar","Pendiente","OK"))))</f>
        <v>OK</v>
      </c>
      <c r="J20" s="4" t="inlineStr">
        <is>
          <t>El almacén de residuos no puede abrir al obrador. Es de los pocos defectos de plano que no tienen arreglo barato.</t>
        </is>
      </c>
    </row>
    <row r="21" ht="58" customHeight="1">
      <c r="A21" s="11" t="n">
        <v>16</v>
      </c>
      <c r="B21" s="4" t="inlineStr">
        <is>
          <t>El local es accesible o admite ajustes razonables</t>
        </is>
      </c>
      <c r="C21" t="inlineStr">
        <is>
          <t>No</t>
        </is>
      </c>
      <c r="D21" s="4" t="inlineStr">
        <is>
          <t>Mide el escalón de entrada y el ancho de la puerta. Un escalón en fachada puede depender del ayuntamiento, no de ti.</t>
        </is>
      </c>
      <c r="E21" s="5" t="inlineStr">
        <is>
          <t>Sí</t>
        </is>
      </c>
      <c r="G21" t="inlineStr">
        <is>
          <t>No aplica</t>
        </is>
      </c>
      <c r="H21" t="inlineStr"/>
      <c r="I21" t="str">
        <f>IF(H21="No",IF(C21="Sí","DESCARTAR","Punto débil"),IF(E21="","",IF(E21="No",IF(C21="Sí","DESCARTAR","Punto débil"),IF(E21="Por comprobar","Pendiente","OK"))))</f>
        <v>OK</v>
      </c>
      <c r="J21" s="4" t="inlineStr">
        <is>
          <t>El calendario del RD 193/2023 para titularidad privada es el 1-ene-2029 en bienes y servicios nuevos y el 1-ene-2030 en los existentes; el art. 25.2 obliga sin umbral de superficie a garantizar la accesibilidad o a hacer ajustes razonables.</t>
        </is>
      </c>
    </row>
    <row r="22" ht="58" customHeight="1">
      <c r="A22" s="11" t="n">
        <v>17</v>
      </c>
      <c r="B22" s="4" t="inlineStr">
        <is>
          <t>Si el horno es de gas, la instalación receptora está al día</t>
        </is>
      </c>
      <c r="C22" t="inlineStr">
        <is>
          <t>Sí</t>
        </is>
      </c>
      <c r="D22" s="4" t="inlineStr">
        <is>
          <t>Pide el certificado de la última inspección periódica y la fecha de puesta en servicio.</t>
        </is>
      </c>
      <c r="E22" s="5" t="inlineStr">
        <is>
          <t>Por comprobar</t>
        </is>
      </c>
      <c r="G22" t="inlineStr">
        <is>
          <t>No aplica</t>
        </is>
      </c>
      <c r="H22" t="inlineStr"/>
      <c r="I22" t="str">
        <f>IF(H22="No",IF(C22="Sí","DESCARTAR","Punto débil"),IF(E22="","",IF(E22="No",IF(C22="Sí","DESCARTAR","Punto débil"),IF(E22="Por comprobar","Pendiente","OK"))))</f>
        <v>Pendiente</v>
      </c>
      <c r="J22" s="4" t="inlineStr">
        <is>
          <t>Las instalaciones receptoras alimentadas desde red se inspeccionan cada cinco años, y el coste se repercute al usuario. Hasta 70 kW instalados la inspección incluye los aparatos de gas.</t>
        </is>
      </c>
    </row>
    <row r="23" ht="58" customHeight="1">
      <c r="A23" s="11" t="n">
        <v>18</v>
      </c>
      <c r="B23" s="4" t="inlineStr">
        <is>
          <t>El contrato y las cargas del local están claros antes de firmar</t>
        </is>
      </c>
      <c r="C23" t="inlineStr">
        <is>
          <t>Sí</t>
        </is>
      </c>
      <c r="D23" s="4" t="inlineStr">
        <is>
          <t>Nota simple del Registro, contrato de arrendamiento leído entero y quién paga la obra de adecuación.</t>
        </is>
      </c>
      <c r="E23" s="5" t="inlineStr">
        <is>
          <t>Por comprobar</t>
        </is>
      </c>
      <c r="G23" t="inlineStr">
        <is>
          <t>No aplica</t>
        </is>
      </c>
      <c r="H23" t="inlineStr"/>
      <c r="I23" t="str">
        <f>IF(H23="No",IF(C23="Sí","DESCARTAR","Punto débil"),IF(E23="","",IF(E23="No",IF(C23="Sí","DESCARTAR","Punto débil"),IF(E23="Por comprobar","Pendiente","OK"))))</f>
        <v>Pendiente</v>
      </c>
      <c r="J23" s="4" t="inlineStr">
        <is>
          <t>Quién paga la obra, cuántos años dura el contrato y qué pasa con la obra al terminar son tres números del libro 2, no tres detalles.</t>
        </is>
      </c>
    </row>
    <row r="24"/>
    <row r="25">
      <c r="B25" t="inlineStr">
        <is>
          <t>Ítems de la ficha</t>
        </is>
      </c>
      <c r="E25" s="11">
        <f>COUNTIF(C6:C23,"Sí")+COUNTIF(C6:C23,"No")</f>
        <v>18.0</v>
      </c>
    </row>
    <row r="26">
      <c r="B26" t="inlineStr">
        <is>
          <t>De los cuales, eliminatorios</t>
        </is>
      </c>
      <c r="E26" s="11">
        <f>COUNTIF(C6:C23,"Sí")</f>
        <v>8.0</v>
      </c>
    </row>
    <row r="27">
      <c r="B27" t="inlineStr">
        <is>
          <t>Motivos de descarte</t>
        </is>
      </c>
      <c r="E27" s="11">
        <f>COUNTIF(I6:I23,"DESCARTAR")</f>
        <v>0.0</v>
      </c>
    </row>
    <row r="28">
      <c r="B28" t="inlineStr">
        <is>
          <t>Puntos débiles</t>
        </is>
      </c>
      <c r="E28" s="11">
        <f>COUNTIF(I6:I23,"Punto débil")</f>
        <v>0.0</v>
      </c>
    </row>
    <row r="29">
      <c r="B29" t="inlineStr">
        <is>
          <t>Pendientes de comprobar</t>
        </is>
      </c>
      <c r="E29" s="11">
        <f>COUNTIF(I6:I23,"Pendiente")</f>
        <v>2.0</v>
      </c>
    </row>
    <row r="30">
      <c r="B30" t="inlineStr">
        <is>
          <t>Resueltos sin problema</t>
        </is>
      </c>
      <c r="E30" s="11">
        <f>COUNTIF(I6:I23,"OK")</f>
        <v>16.0</v>
      </c>
    </row>
    <row r="31">
      <c r="B31" t="inlineStr">
        <is>
          <t>Ficha comprobada</t>
        </is>
      </c>
      <c r="E31" s="13">
        <f>IFERROR((E25-E29)/E25,"")</f>
        <v>0.8888888888888888</v>
      </c>
    </row>
    <row r="32">
      <c r="B32" s="12" t="inlineStr">
        <is>
          <t>VEREDICTO DEL LOCAL</t>
        </is>
      </c>
      <c r="E32" s="17" t="str">
        <f>IF(E27&gt;0,"DESCARTAR ESTE LOCAL",IF(E29&gt;0,"NO DECIDAS TODAVÍA",IF(E28&gt;0,"SIGUE ADELANTE CON RESERVAS","SIGUE ADELANTE")))</f>
        <v>NO DECIDAS TODAVÍA</v>
      </c>
    </row>
    <row r="33"/>
    <row r="34">
      <c r="B34" s="3" t="inlineStr">
        <is>
          <t>Listas de validación (no las borres: las usan los desplegables)</t>
        </is>
      </c>
    </row>
    <row r="35">
      <c r="B35" s="12" t="inlineStr">
        <is>
          <t>Respuesta</t>
        </is>
      </c>
    </row>
    <row r="36">
      <c r="B36" t="inlineStr">
        <is>
          <t>Sí</t>
        </is>
      </c>
    </row>
    <row r="37">
      <c r="B37" t="inlineStr">
        <is>
          <t>No</t>
        </is>
      </c>
    </row>
    <row r="38">
      <c r="B38" t="inlineStr">
        <is>
          <t>Por comprobar</t>
        </is>
      </c>
    </row>
    <row r="39"/>
    <row r="40" ht="56" customHeight="1">
      <c r="B40" s="7" t="inlineStr">
        <is>
          <t>Los ocho ítems eliminatorios no lo son por gusto: son los defectos que no se arreglan con dinero razonable, o que no dependen de ti (la comunidad, el planeamiento, la acometida, la cubierta). El resto encarecen la obra y hay que llevarlos al libro 2 como partida, no descartar el local por ellos. Y guarda la ficha de los locales que descartes: comparar tres fichas es lo que enseña qué estás aceptando sin darte cuenta.</t>
        </is>
      </c>
    </row>
  </sheetData>
  <sheetProtection selectLockedCells="0" selectUnlockedCells="0" sheet="1" objects="0" insertRows="0" insertHyperlinks="1" autoFilter="1" scenarios="0" formatColumns="0" deleteColumns="1" insertColumns="1" pivotTables="1" deleteRows="1" formatCells="1" formatRows="0" sort="0"/>
  <mergeCells count="2">
    <mergeCell ref="B40:J40"/>
    <mergeCell ref="A3:J3"/>
  </mergeCells>
  <conditionalFormatting sqref="I6:I23">
    <cfRule type="cellIs" priority="1" operator="equal" dxfId="0" stopIfTrue="1">
      <formula>"DESCARTAR"</formula>
    </cfRule>
    <cfRule type="cellIs" priority="2" operator="equal" dxfId="2" stopIfTrue="1">
      <formula>"Punto débil"</formula>
    </cfRule>
    <cfRule type="cellIs" priority="3" operator="equal" dxfId="3" stopIfTrue="1">
      <formula>"Pendiente"</formula>
    </cfRule>
    <cfRule type="cellIs" priority="4" operator="equal" dxfId="1" stopIfTrue="1">
      <formula>"OK"</formula>
    </cfRule>
  </conditionalFormatting>
  <conditionalFormatting sqref="H6:H23">
    <cfRule type="cellIs" priority="5" operator="equal" dxfId="0" stopIfTrue="1">
      <formula>"No"</formula>
    </cfRule>
    <cfRule type="cellIs" priority="6" operator="equal" dxfId="1" stopIfTrue="1">
      <formula>"Sí"</formula>
    </cfRule>
  </conditionalFormatting>
  <conditionalFormatting sqref="E32">
    <cfRule type="cellIs" priority="7" operator="equal" dxfId="0" stopIfTrue="1">
      <formula>"DESCARTAR ESTE LOCAL"</formula>
    </cfRule>
    <cfRule type="cellIs" priority="8" operator="equal" dxfId="3" stopIfTrue="1">
      <formula>"NO DECIDAS TODAVÍA"</formula>
    </cfRule>
    <cfRule type="cellIs" priority="9" operator="equal" dxfId="2" stopIfTrue="1">
      <formula>"SIGUE ADELANTE CON RESERVAS"</formula>
    </cfRule>
    <cfRule type="cellIs" priority="10" operator="equal" dxfId="1" stopIfTrue="1">
      <formula>"SIGUE ADELANTE"</formula>
    </cfRule>
  </conditionalFormatting>
  <dataValidations count="1">
    <dataValidation sqref="E6 E7 E8 E9 E10 E11 E12 E13 E14 E15 E16 E17 E18 E19 E20 E21 E22 E23" showDropDown="0" showInputMessage="0" showErrorMessage="1" allowBlank="0" errorTitle="Respuesta" error="Elige «Sí», «No» o «Por comprobar» de la lista." type="list">
      <formula1>=$B$36:$B$38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Capacidad del obrador y ficha de visita al local</dc:title>
  <dc:subject xmlns:dc="http://purl.org/dc/elements/1.1/">Cómo Montar una Pastelería · Versión 1.0 · septiembre 2026</dc:subject>
  <dcterms:created xmlns:dcterms="http://purl.org/dc/terms/" xmlns:xsi="http://www.w3.org/2001/XMLSchema-instance" xsi:type="dcterms:W3CDTF">2026-09-10T03:30:43Z</dcterms:created>
  <dcterms:modified xmlns:dcterms="http://purl.org/dc/terms/" xmlns:xsi="http://www.w3.org/2001/XMLSchema-instance" xsi:type="dcterms:W3CDTF">2026-09-10T03:30:43Z</dcterms:modified>
  <cp:lastModifiedBy>AI Chef Pro</cp:lastModifiedBy>
</cp:coreProperties>
</file>