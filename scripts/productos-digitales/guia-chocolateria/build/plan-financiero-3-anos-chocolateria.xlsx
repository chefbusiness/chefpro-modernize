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0. Supuestos" sheetId="2" state="visible" r:id="rId2"/>
    <sheet xmlns:r="http://schemas.openxmlformats.org/officeDocument/2006/relationships" name="Inversión Inicial" sheetId="3" state="visible" r:id="rId3"/>
    <sheet xmlns:r="http://schemas.openxmlformats.org/officeDocument/2006/relationships" name="PyG 3 Años" sheetId="4" state="visible" r:id="rId4"/>
    <sheet xmlns:r="http://schemas.openxmlformats.org/officeDocument/2006/relationships" name="Punto de Equilibrio" sheetId="5" state="visible" r:id="rId5"/>
    <sheet xmlns:r="http://schemas.openxmlformats.org/officeDocument/2006/relationships" name="Escenarios" sheetId="6" state="visible" r:id="rId6"/>
    <sheet xmlns:r="http://schemas.openxmlformats.org/officeDocument/2006/relationships" name="Personal"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 xmlns:r="http://schemas.openxmlformats.org/officeDocument/2006/relationships" name="Canales y Punto Muerto" sheetId="10" state="visible" r:id="rId10"/>
    <sheet xmlns:r="http://schemas.openxmlformats.org/officeDocument/2006/relationships" name="Talleres y Regalo Corporativo" sheetId="11" state="visible" r:id="rId11"/>
  </sheets>
  <definedNames>
    <definedName name="_xlnm.Print_Area" localSheetId="0">'Instrucciones'!$A$1:$C$45</definedName>
    <definedName name="_xlnm.Print_Titles" localSheetId="1">'0. Supuestos'!$5:$5</definedName>
    <definedName name="_xlnm.Print_Area" localSheetId="1">'0. Supuestos'!$A$1:$C$72</definedName>
    <definedName name="_xlnm.Print_Area" localSheetId="2">'Inversión Inicial'!$A$1:$D$29</definedName>
    <definedName name="_xlnm.Print_Titles" localSheetId="3">'PyG 3 Años'!$5:$5</definedName>
    <definedName name="_xlnm.Print_Area" localSheetId="3">'PyG 3 Años'!$A$1:$G$82</definedName>
    <definedName name="_xlnm.Print_Titles" localSheetId="4">'Punto de Equilibrio'!$5:$5</definedName>
    <definedName name="_xlnm.Print_Area" localSheetId="4">'Punto de Equilibrio'!$A$1:$E$46</definedName>
    <definedName name="_xlnm.Print_Titles" localSheetId="5">'Escenarios'!$5:$5</definedName>
    <definedName name="_xlnm.Print_Area" localSheetId="5">'Escenarios'!$A$1:$E$25</definedName>
    <definedName name="_xlnm.Print_Titles" localSheetId="6">'Personal'!$5:$5</definedName>
    <definedName name="_xlnm.Print_Area" localSheetId="6">'Personal'!$A$1:$L$46</definedName>
    <definedName name="_xlnm.Print_Titles" localSheetId="7">'Tesorería 12 meses'!$5:$5</definedName>
    <definedName name="_xlnm.Print_Area" localSheetId="7">'Tesorería 12 meses'!$A$1:$O$50</definedName>
    <definedName name="_xlnm.Print_Titles" localSheetId="8">'Financiación'!$25:$25</definedName>
    <definedName name="_xlnm.Print_Area" localSheetId="8">'Financiación'!$A$1:$H$126</definedName>
    <definedName name="_xlnm.Print_Titles" localSheetId="9">'Canales y Punto Muerto'!$5:$5</definedName>
    <definedName name="_xlnm.Print_Area" localSheetId="9">'Canales y Punto Muerto'!$A$1:$L$42</definedName>
    <definedName name="_xlnm.Print_Area" localSheetId="10">'Talleres y Regalo Corporativo'!$A$1:$D$59</definedName>
  </definedNames>
  <calcPr calcId="124519" fullCalcOnLoad="1"/>
</workbook>
</file>

<file path=xl/styles.xml><?xml version="1.0" encoding="utf-8"?>
<styleSheet xmlns="http://schemas.openxmlformats.org/spreadsheetml/2006/main">
  <numFmts count="6">
    <numFmt numFmtId="164" formatCode="#,##0.0"/>
    <numFmt numFmtId="165" formatCode="#,##0.00 €"/>
    <numFmt numFmtId="166" formatCode="0.0%"/>
    <numFmt numFmtId="167" formatCode="yyyy-mm-dd"/>
    <numFmt numFmtId="168" formatCode="dd/mm/yyyy"/>
    <numFmt numFmtId="169" formatCode="0.0000%"/>
  </numFmts>
  <fonts count="10">
    <font>
      <name val="Calibri"/>
      <family val="2"/>
      <color theme="1"/>
      <sz val="11"/>
      <scheme val="minor"/>
    </font>
    <font>
      <b val="1"/>
      <color rgb="00FFD700"/>
      <sz val="16"/>
    </font>
    <font>
      <color rgb="00808080"/>
      <sz val="9"/>
    </font>
    <font>
      <i val="1"/>
      <sz val="9"/>
    </font>
    <font>
      <b val="1"/>
      <color rgb="00FFD700"/>
      <sz val="11"/>
    </font>
    <font>
      <b val="1"/>
      <color rgb="00FFFFFF"/>
      <sz val="10"/>
    </font>
    <font>
      <b val="1"/>
      <color theme="1"/>
      <sz val="11"/>
    </font>
    <font>
      <b val="1"/>
      <sz val="11"/>
    </font>
    <font>
      <b val="1"/>
      <sz val="9"/>
    </font>
    <font>
      <b val="1"/>
      <sz val="12"/>
    </font>
  </fonts>
  <fills count="5">
    <fill>
      <patternFill/>
    </fill>
    <fill>
      <patternFill patternType="gray125"/>
    </fill>
    <fill>
      <patternFill patternType="solid">
        <fgColor rgb="002D2D2D"/>
      </patternFill>
    </fill>
    <fill>
      <patternFill patternType="solid">
        <fgColor rgb="00E8F5E9"/>
      </patternFill>
    </fill>
    <fill>
      <patternFill patternType="solid">
        <fgColor rgb="00FFF6DC"/>
      </patternFill>
    </fill>
  </fills>
  <borders count="1">
    <border>
      <left/>
      <right/>
      <top/>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3" fillId="0" borderId="0" applyAlignment="1" pivotButton="0" quotePrefix="0" xfId="0">
      <alignment horizontal="general" vertical="top" wrapText="1"/>
    </xf>
    <xf numFmtId="0" fontId="0" fillId="3" borderId="0" applyProtection="1" pivotButton="0" quotePrefix="0" xfId="0">
      <protection locked="0" hidden="0"/>
    </xf>
    <xf numFmtId="0" fontId="5" fillId="2" borderId="0" applyAlignment="1" pivotButton="0" quotePrefix="0" xfId="0">
      <alignment horizontal="center" vertical="center" wrapText="1"/>
    </xf>
    <xf numFmtId="0" fontId="6"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2" borderId="0" pivotButton="0" quotePrefix="0" xfId="0"/>
    <xf numFmtId="3" fontId="0" fillId="3" borderId="0" applyProtection="1" pivotButton="0" quotePrefix="0" xfId="0">
      <protection locked="0" hidden="0"/>
    </xf>
    <xf numFmtId="164" fontId="0" fillId="3" borderId="0" applyProtection="1" pivotButton="0" quotePrefix="0" xfId="0">
      <protection locked="0" hidden="0"/>
    </xf>
    <xf numFmtId="165" fontId="0" fillId="3" borderId="0" applyProtection="1" pivotButton="0" quotePrefix="0" xfId="0">
      <protection locked="0" hidden="0"/>
    </xf>
    <xf numFmtId="165" fontId="0" fillId="0" borderId="0" pivotButton="0" quotePrefix="0" xfId="0"/>
    <xf numFmtId="166" fontId="0" fillId="0" borderId="0" pivotButton="0" quotePrefix="0" xfId="0"/>
    <xf numFmtId="166" fontId="0" fillId="3" borderId="0" applyProtection="1" pivotButton="0" quotePrefix="0" xfId="0">
      <protection locked="0" hidden="0"/>
    </xf>
    <xf numFmtId="10" fontId="0" fillId="0" borderId="0" pivotButton="0" quotePrefix="0" xfId="0"/>
    <xf numFmtId="10" fontId="0" fillId="3" borderId="0" applyProtection="1" pivotButton="0" quotePrefix="0" xfId="0">
      <protection locked="0" hidden="0"/>
    </xf>
    <xf numFmtId="164" fontId="0" fillId="0" borderId="0" pivotButton="0" quotePrefix="0" xfId="0"/>
    <xf numFmtId="4" fontId="0" fillId="3" borderId="0" applyProtection="1" pivotButton="0" quotePrefix="0" xfId="0">
      <protection locked="0" hidden="0"/>
    </xf>
    <xf numFmtId="0" fontId="6" fillId="0" borderId="0" pivotButton="0" quotePrefix="0" xfId="0"/>
    <xf numFmtId="0" fontId="7" fillId="4" borderId="0" pivotButton="0" quotePrefix="0" xfId="0"/>
    <xf numFmtId="0" fontId="7" fillId="4" borderId="0" applyAlignment="1" pivotButton="0" quotePrefix="0" xfId="0">
      <alignment horizontal="general" vertical="top" wrapText="1"/>
    </xf>
    <xf numFmtId="165" fontId="7" fillId="4" borderId="0" pivotButton="0" quotePrefix="0" xfId="0"/>
    <xf numFmtId="0" fontId="8" fillId="4" borderId="0" applyAlignment="1" pivotButton="0" quotePrefix="0" xfId="0">
      <alignment horizontal="general" vertical="top" wrapText="1"/>
    </xf>
    <xf numFmtId="3" fontId="0" fillId="0" borderId="0" pivotButton="0" quotePrefix="0" xfId="0"/>
    <xf numFmtId="166" fontId="7" fillId="4" borderId="0" pivotButton="0" quotePrefix="0" xfId="0"/>
    <xf numFmtId="10" fontId="7" fillId="4" borderId="0" pivotButton="0" quotePrefix="0" xfId="0"/>
    <xf numFmtId="0" fontId="3" fillId="4" borderId="0" applyAlignment="1" pivotButton="0" quotePrefix="0" xfId="0">
      <alignment horizontal="general" vertical="top" wrapText="1"/>
    </xf>
    <xf numFmtId="165" fontId="6" fillId="0" borderId="0" pivotButton="0" quotePrefix="0" xfId="0"/>
    <xf numFmtId="164" fontId="7" fillId="4" borderId="0" pivotButton="0" quotePrefix="0" xfId="0"/>
    <xf numFmtId="3" fontId="0" fillId="3" borderId="0" applyAlignment="1" applyProtection="1" pivotButton="0" quotePrefix="0" xfId="0">
      <alignment horizontal="center" vertical="top"/>
      <protection locked="0" hidden="0"/>
    </xf>
    <xf numFmtId="164" fontId="0" fillId="3" borderId="0" applyAlignment="1" applyProtection="1" pivotButton="0" quotePrefix="0" xfId="0">
      <alignment horizontal="center" vertical="top"/>
      <protection locked="0" hidden="0"/>
    </xf>
    <xf numFmtId="0" fontId="0" fillId="3" borderId="0" applyAlignment="1" applyProtection="1" pivotButton="0" quotePrefix="0" xfId="0">
      <alignment horizontal="center" vertical="top"/>
      <protection locked="0" hidden="0"/>
    </xf>
    <xf numFmtId="3" fontId="7" fillId="4" borderId="0" pivotButton="0" quotePrefix="0" xfId="0"/>
    <xf numFmtId="168" fontId="0" fillId="3" borderId="0" applyProtection="1" pivotButton="0" quotePrefix="0" xfId="0">
      <protection locked="0" hidden="0"/>
    </xf>
    <xf numFmtId="168" fontId="7" fillId="4" borderId="0" pivotButton="0" quotePrefix="0" xfId="0"/>
    <xf numFmtId="169" fontId="0" fillId="0" borderId="0" pivotButton="0" quotePrefix="0" xfId="0"/>
    <xf numFmtId="3" fontId="0" fillId="0" borderId="0" applyAlignment="1" pivotButton="0" quotePrefix="0" xfId="0">
      <alignment horizontal="center" vertical="top"/>
    </xf>
    <xf numFmtId="4" fontId="0" fillId="0" borderId="0" pivotButton="0" quotePrefix="0" xfId="0"/>
    <xf numFmtId="4" fontId="7" fillId="4" borderId="0" pivotButton="0" quotePrefix="0" xfId="0"/>
    <xf numFmtId="166" fontId="6" fillId="0" borderId="0" pivotButton="0" quotePrefix="0" xfId="0"/>
    <xf numFmtId="0" fontId="9" fillId="0" borderId="0" pivotButton="0" quotePrefix="0" xfId="0"/>
  </cellXfs>
  <cellStyles count="1">
    <cellStyle name="Normal" xfId="0" builtinId="0" hidden="0"/>
  </cellStyles>
  <dxfs count="2">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AI Chef Pro</author>
  </authors>
  <commentList>
    <comment ref="B11" authorId="0" shapeId="0">
      <text>
        <t>Verificado el 12-09-2026 · Ley 1/2004, de 21 de diciembre, de Horarios Comerciales (BOE-A-2004-21421), texto consolidado · «Última modificación: 17 de octubre de 2014» (Nuevo matiz que la lente no traía: el propio art. 5.1 da libertad plena también a los establecimientos situados «en zonas de...) · https://www.boe.es/buscar/act.php?id=BOE-A-2004-21421</t>
      </text>
    </comment>
    <comment ref="B15" authorId="0" shapeId="0">
      <text>
        <t>Verificado el 12-09-2026 · Ley 37/1992, de 28 de diciembre, del Impuesto sobre el Valor Añadido (BOE-A-1992-28740), texto consolidado · «Última modificación: 28 de febrero de 2026» (Art. 91.Dos.1.1.º (las siete letras: pan común, harinas panificables, leches, qu...) · https://www.boe.es/buscar/act.php?id=BOE-A-1992-28740</t>
      </text>
    </comment>
    <comment ref="B16" authorId="0" shapeId="0">
      <text>
        <t>Verificado el 12-09-2026 · Ley 37/1992, de 28 de diciembre, del Impuesto sobre el Valor Añadido (BOE-A-1992-28740), texto consolidado · «Última modificación: 28 de febrero de 2026» (Art. 91.Uno.2.2.º y art. 90.Uno («El Impuesto se exigirá al tipo del 21 por ciento, salvo lo dispuesto en el artículo siguiente»).) · https://www.boe.es/buscar/act.php?id=BOE-A-1992-28740</t>
      </text>
    </comment>
    <comment ref="B17" authorId="0" shapeId="0">
      <text>
        <t>Verificado el 12-09-2026 · Ley 37/1992, de 28 de diciembre, del Impuesto sobre el Valor Añadido (BOE-A-1992-28740), texto consolidado · «Última modificación: 28 de febrero de 2026» (Lo que sigue abierto es el TIPO: el art. 91 no nombra los talleres, así que por la regla general del art. 90.Uno ser...) · https://www.boe.es/buscar/act.php?id=BOE-A-1992-28740</t>
      </text>
    </comment>
    <comment ref="B30" authorId="0" shapeId="0">
      <text>
        <t>Verificado el 12-09-2026 · Revisión salarial 2026 del convenio 28001025011981 · BOCM núm. 50, de 28-02-2026 (BOCM-20260228-2) · https://www.bocm.es/boletin/CM_Orden_BOCM/2026/02/28/BOCM-20260228-2.PDF</t>
      </text>
    </comment>
    <comment ref="B31" authorId="0" shapeId="0">
      <text>
        <t>Verificado el 12-09-2026 · Real Decreto 126/2026, de 18 de febrero (BOE-A-2026-3815), arts. 1, 3.1 y 4.1 · https://www.boe.es/buscar/act.php?id=BOE-A-2026-3815</t>
      </text>
    </comment>
  </commentList>
</comments>
</file>

<file path=xl/comments/comment2.xml><?xml version="1.0" encoding="utf-8"?>
<comments xmlns="http://schemas.openxmlformats.org/spreadsheetml/2006/main">
  <authors>
    <author>AI Chef Pro</author>
  </authors>
  <commentList>
    <comment ref="F11" authorId="0" shapeId="0">
      <text>
        <t>Verificado el 12-09-2026 · Ley 37/1992, de 28 de diciembre, del Impuesto sobre el Valor Añadido (BOE-A-1992-28740), texto consolidado · «Última modificación: 28 de febrero de 2026» (Art. 91.Dos.1.1.º (las siete letras: pan común, harinas panificables, leches, qu...) · https://www.boe.es/buscar/act.php?id=BOE-A-1992-28740</t>
      </text>
    </comment>
    <comment ref="B23" authorId="0" shapeId="0">
      <text>
        <t>Verificado el 12-09-2026 · Real Decreto 1007/2023 (BOE-A-2023-24840), D.F. cuarta y art. 3.1 del Reglamento · «Última modificación: 03 de diciembre de 2025» · https://www.boe.es/buscar/act.php?id=BOE-A-2023-24840</t>
      </text>
    </comment>
    <comment ref="B26" authorId="0" shapeId="0">
      <text>
        <t>Verificado el 12-09-2026 · Real Decreto 919/2006 (BOE-A-2006-15345), ITC-ICG 07, apartados 3.3 y 4.1 · «Última modificación: 03-09-2025» · https://www.boe.es/buscar/act.php?id=BOE-A-2006-15345</t>
      </text>
    </comment>
    <comment ref="C55" authorId="0" shapeId="0">
      <text>
        <t>Chocolate a la taza y churros — ticket (CHS-32) · Fuente: Loomis Pay, «Rentabilidad de una churrería: ingresos y costes 2025» · Consultada el 2026-09-12 · https://es.loomispay.com/blog/rentabilidad-churreria-2025</t>
      </text>
    </comment>
    <comment ref="C56" authorId="0" shapeId="0">
      <text>
        <t>Chocolate a la taza y churros — ticket (CHS-32) · Fuente: Loomis Pay, «Rentabilidad de una churrería: ingresos y costes 2025» · Consultada el 2026-09-12 · https://es.loomispay.com/blog/rentabilidad-churreria-2025</t>
      </text>
    </comment>
    <comment ref="C58" authorId="0" shapeId="0">
      <text>
        <t>Chocolate a la taza y churros — margen bruto del churro (CHS-31) · Fuente: Loomis Pay, «Rentabilidad de una churrería: ingresos y costes 2025»; contraste en El Español · Consultada el 2026-09-12 · https://es.loomispay.com/blog/rentabilidad-churreria-2025</t>
      </text>
    </comment>
    <comment ref="C60" authorId="0" shapeId="0">
      <text>
        <t>Verificado el 12-09-2026 · Real Decreto 919/2006 (BOE-A-2006-15345), ITC-ICG 07, apartados 3.3 y 4.1 · «Última modificación: 03-09-2025» · https://www.boe.es/buscar/act.php?id=BOE-A-2006-15345</t>
      </text>
    </comment>
    <comment ref="C61" authorId="0" shapeId="0">
      <text>
        <t>Verificado el 12-09-2026 · Ley 37/1992, de 28 de diciembre, del Impuesto sobre el Valor Añadido (BOE-A-1992-28740), texto consolidado · «Última modificación: 28 de febrero de 2026» (Art. 91.Uno.2.2.º y art. 90.Uno («El Impuesto se exigirá al tipo del 21 por ciento, salvo lo dispuesto en el artículo siguiente»).) · https://www.boe.es/buscar/act.php?id=BOE-A-1992-28740</t>
      </text>
    </comment>
    <comment ref="B68" authorId="0" shapeId="0">
      <text>
        <t>Verificado el 12-09-2026 · Ley 12/2012, de 26 de diciembre, de medidas urgentes de liberalización del comercio y de determinados servicios (BOE-A-2012-15595), texto consolidado · «Última modificación: 29... (Arts.) · https://www.boe.es/buscar/act.php?id=BOE-A-2012-15595</t>
      </text>
    </comment>
  </commentList>
</comments>
</file>

<file path=xl/comments/comment3.xml><?xml version="1.0" encoding="utf-8"?>
<comments xmlns="http://schemas.openxmlformats.org/spreadsheetml/2006/main">
  <authors>
    <author>AI Chef Pro</author>
  </authors>
  <commentList>
    <comment ref="A11" authorId="0" shapeId="0">
      <text>
        <t>Verificado el 12-09-2026 · Registro y Depósito de Convenios Colectivos, Acuerdos Colectivos de Trabajo y Planes de Igualdad (REGCON), Ministerio de Trabajo y Economía Social · consulta pública · https://expinterweb.mites.gob.es/regcon/pub/consultaPublica · El código y la denominación son los LITERALES del registro oficial. Ojo: «BOLLERÍAS» no aparece en esa denominación, así que quien busque por ese nombre no encuentra el convenio.</t>
      </text>
    </comment>
    <comment ref="E13" authorId="0" shapeId="0">
      <text>
        <t>Verificado el 12-09-2026 · Revisión salarial 2026 del convenio 28001025011981 · BOCM núm. 50, de 28-02-2026 (BOCM-20260228-2) · https://www.bocm.es/boletin/CM_Orden_BOCM/2026/02/28/BOCM-20260228-2.PDF · TABLA DE EJEMPLO: convenio 28001025011981, «CONFITERÍAS PASTELERÍAS Y REPOSTERÍA (COMERCIO E INDUSTRIA)» (Madrid), vigencia 01/01/2024 a 31/12/2026, tablas de 2026 a 15 pagas. CADUCAN el 31-12-2026.</t>
      </text>
    </comment>
    <comment ref="B21" authorId="0" shapeId="0">
      <text>
        <t>Verificado el 12-09-2026 · Real Decreto 126/2026, de 18 de febrero (BOE-A-2026-3815), arts. 1, 3.1 y 4.1 · https://www.boe.es/buscar/act.php?id=BOE-A-2026-3815</t>
      </text>
    </comment>
    <comment ref="B26" authorId="0" shapeId="0">
      <text>
        <t>Salarios de mercado — Chocolatero / bombonero especializado (CHS-69a) · Fuente: Insertia · Consultada el 2026-09-12 · https://www.insertia.net/blog/cuanto-cobra-un-pastelero-en-espana-sueldo-por-hora-dia-y-mes-segun-convenio-de-pasteleria</t>
      </text>
    </comment>
    <comment ref="B27" authorId="0" shapeId="0">
      <text>
        <t>Salarios de mercado — Oficial de primera (CHS-69b) · Fuente: Insertia · Consultada el 2026-09-12 · https://www.insertia.net/blog/cuanto-cobra-un-pastelero-en-espana-sueldo-por-hora-dia-y-mes-segun-convenio-de-pasteleria</t>
      </text>
    </comment>
    <comment ref="B28" authorId="0" shapeId="0">
      <text>
        <t>Salarios de mercado — Auxiliar / ayudante (CHS-69c) · Fuente: Insertia · Consultada el 2026-09-12 · https://www.insertia.net/blog/cuanto-cobra-un-pastelero-en-espana-sueldo-por-hora-dia-y-mes-segun-convenio-de-pasteleria</t>
      </text>
    </comment>
    <comment ref="B29" authorId="0" shapeId="0">
      <text>
        <t>Salarios de mercado — Encargado / maestro (CHS-69d) · Fuente: Insertia · Consultada el 2026-09-12 · https://www.insertia.net/blog/cuanto-cobra-un-pastelero-en-espana-sueldo-por-hora-dia-y-mes-segun-convenio-de-pasteleria</t>
      </text>
    </comment>
    <comment ref="A33" authorId="0" shapeId="0">
      <text>
        <t>Verificado el 12-09-2026 · Registro y Depósito de Convenios Colectivos, Acuerdos Colectivos de Trabajo y Planes de Igualdad (REGCON), Ministerio de Trabajo y Economía Social · consulta pública · https://expinterweb.mites.gob.es/regcon/pub/consultaPublica</t>
      </text>
    </comment>
    <comment ref="B33" authorId="0" shapeId="0">
      <text>
        <t>Verificado el 12-09-2026 · Registro y Depósito de Convenios Colectivos, Acuerdos Colectivos de Trabajo y Planes de Igualdad (REGCON), Ministerio de Trabajo y Economía Social · consulta pública · https://expinterweb.mites.gob.es/regcon/pub/consultaPublica</t>
      </text>
    </comment>
  </commentList>
</comments>
</file>

<file path=xl/comments/comment4.xml><?xml version="1.0" encoding="utf-8"?>
<comments xmlns="http://schemas.openxmlformats.org/spreadsheetml/2006/main">
  <authors>
    <author>AI Chef Pro</author>
  </authors>
  <commentList>
    <comment ref="K6" authorId="0" shapeId="0">
      <text>
        <t>Verificado el 12-09-2026 · Real Decreto Legislativo 1175/1990, de 28 de septiembre, por el que se aprueban las tarifas y la instrucción del Impuesto sobre Actividades Económicas (BOE-A-1990-23930), texto... (El 421.1 «Industria del cacao y chocolate» es el epígrafe industrial («elaboración de derivados edulcorados del caca... · https://www.boe.es/buscar/act.php?id=BOE-A-1990-23930</t>
      </text>
    </comment>
    <comment ref="F7" authorId="0" shapeId="0">
      <text>
        <t>SUPUESTO DECLARADO: no hay tarifa pública de envío refrigerado de bombonería. Es el número que decide si ese canal existe, y por eso está en celda verde y tiene su propio bloque al pie de la hoja.</t>
      </text>
    </comment>
    <comment ref="A8" authorId="0" shapeId="0">
      <text>
        <t>Verificado el 12-09-2026 · Real Decreto 1021/2022 (BOE-A-2022-21681), art. 3 · https://www.boe.es/buscar/act.php?id=BOE-A-2022-21681</t>
      </text>
    </comment>
    <comment ref="A9" authorId="0" shapeId="0">
      <text>
        <t>Verificado el 12-09-2026 · Reglamento (UE) 2023/1115 del Parlamento Europeo y del Consejo, de 31 de mayo de 2023 (EUDR) · texto consolidado CELEX:02023R1115-20251226 (versión 26-12-2025, 002.001) (Art. 5.3.a).) · https://eur-lex.europa.eu/legal-content/ES/TXT/HTML/?uri=CELEX:02023R1115-20251226</t>
      </text>
    </comment>
    <comment ref="A10" authorId="0" shapeId="0">
      <text>
        <t>Talleres y catas — precio de mercado (CHS-30) · Fuente: Agregado de Tallerdechocolate.es, Gastronomía Activa, Club del Chocolate y Helen Chocolate · Consultada el 2026-09-12 · https://www.tallerdechocolate.es/talleres-de-chocolate/talleres-en-madrid/</t>
      </text>
    </comment>
    <comment ref="B26" authorId="0" shapeId="0">
      <text>
        <t>Verificado el 12-09-2026 · Real Decreto Legislativo 1175/1990, de 28 de septiembre, por el que se aprueban las tarifas y la instrucción del Impuesto sobre Actividades Económicas (BOE-A-1990-23930), texto... (El 421.1 «Industria del cacao y chocolate» es el epígrafe industrial («elaboración de derivados edulcorados del caca... · https://www.boe.es/buscar/act.php?id=BOE-A-1990-23930</t>
      </text>
    </comment>
    <comment ref="B27" authorId="0" shapeId="0">
      <text>
        <t>Verificado el 12-09-2026 · Real Decreto Legislativo 1175/1990, de 28 de septiembre, por el que se aprueban las tarifas y la instrucción del Impuesto sobre Actividades Económicas (BOE-A-1990-23930), texto... (Regla 4.ª, apartado 1 de la Instrucción.) · https://www.boe.es/buscar/act.php?id=BOE-A-1990-23930 · Regla 4.a.1: el pago de la cuota de una actividad faculta exclusivamente para el ejercicio de ESA actividad. Y la regla 4.a.2.D) define el comercio al por menor por el DESTINO y comprende el realizado sin establecimiento, así que la venta online al consumidor SÍ es minorista.</t>
      </text>
    </comment>
  </commentList>
</comments>
</file>

<file path=xl/comments/comment5.xml><?xml version="1.0" encoding="utf-8"?>
<comments xmlns="http://schemas.openxmlformats.org/spreadsheetml/2006/main">
  <authors>
    <author>AI Chef Pro</author>
  </authors>
  <commentList>
    <comment ref="B6" authorId="0" shapeId="0">
      <text>
        <t>Talleres y catas — precio de mercado (CHS-30) · Fuente: Agregado de Tallerdechocolate.es, Gastronomía Activa, Club del Chocolate y Helen Chocolate · Consultada el 2026-09-12 · https://www.tallerdechocolate.es/talleres-de-chocolate/talleres-en-madrid/</t>
      </text>
    </comment>
    <comment ref="B7" authorId="0" shapeId="0">
      <text>
        <t>Talleres y catas — precio de mercado (CHS-30) · Fuente: Agregado de Tallerdechocolate.es, Gastronomía Activa, Club del Chocolate y Helen Chocolate · Consultada el 2026-09-12 · https://www.tallerdechocolate.es/talleres-de-chocolate/talleres-en-madrid/</t>
      </text>
    </comment>
    <comment ref="B10" authorId="0" shapeId="0">
      <text>
        <t>Talleres y catas — precio de mercado (CHS-30) · Fuente: Agregado de Tallerdechocolate.es, Gastronomía Activa, Club del Chocolate y Helen Chocolate · Consultada el 2026-09-12 · https://www.tallerdechocolate.es/talleres-de-chocolate/talleres-en-madrid/</t>
      </text>
    </comment>
    <comment ref="B11" authorId="0" shapeId="0">
      <text>
        <t>Talleres y catas — precio de mercado (CHS-30) · Fuente: Agregado de Tallerdechocolate.es, Gastronomía Activa, Club del Chocolate y Helen Chocolate · Consultada el 2026-09-12 · https://www.tallerdechocolate.es/talleres-de-chocolate/talleres-en-madrid/</t>
      </text>
    </comment>
    <comment ref="B12" authorId="0" shapeId="0">
      <text>
        <t>Talleres y catas — precio de mercado (CHS-30) · Fuente: Agregado de Tallerdechocolate.es, Gastronomía Activa, Club del Chocolate y Helen Chocolate · Consultada el 2026-09-12 · https://www.tallerdechocolate.es/talleres-de-chocolate/talleres-en-madrid/</t>
      </text>
    </comment>
    <comment ref="B42" authorId="0" shapeId="0">
      <text>
        <t>Verificado el 12-09-2026 · Ley 37/1992, de 28 de diciembre, del Impuesto sobre el Valor Añadido (BOE-A-1992-28740), texto consolidado · «Última modificación: 28 de febrero de 2026» (Lo que sigue abierto es el TIPO: el art. 91 no nombra los talleres, así que por la regla general del art. 90.Uno ser...) · https://www.boe.es/buscar/act.php?id=BOE-A-1992-28740</t>
      </text>
    </comment>
    <comment ref="B48" authorId="0" shapeId="0">
      <text>
        <t>Regalo corporativo B2B — proveedores y reglas operativas (CHS-55) · Fuente: Gift Campaign, Regalo Publicidad, Lindt España, Cornet 1945, QuieroChocolate, NoSoloDulce, Regalo Chocolate · Consultada el 2026-09-12 · https://www.giftcampaign.es/dulces-personalizados/chocolates.html</t>
      </text>
    </comment>
    <comment ref="B49" authorId="0" shapeId="0">
      <text>
        <t>Regalo corporativo B2B — proveedores y reglas operativas (CHS-55) · Fuente: Gift Campaign, Regalo Publicidad, Lindt España, Cornet 1945, QuieroChocolate, NoSoloDulce, Regalo Chocolate · Consultada el 2026-09-12 · https://www.giftcampaign.es/dulces-personalizados/chocolates.html</t>
      </text>
    </comment>
    <comment ref="B50" authorId="0" shapeId="0">
      <text>
        <t>Regalo corporativo B2B — proveedores y reglas operativas (CHS-55) · Fuente: Gift Campaign, Regalo Publicidad, Lindt España, Cornet 1945, QuieroChocolate, NoSoloDulce, Regalo Chocolate · Consultada el 2026-09-12 · https://www.giftcampaign.es/dulces-personalizados/chocolates.html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1.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fitToPage="1"/>
  </sheetPr>
  <dimension ref="A1:C45"/>
  <sheetViews>
    <sheetView workbookViewId="0">
      <pane ySplit="32" topLeftCell="A33" activePane="bottomLeft" state="frozen"/>
      <selection pane="bottomLeft" activeCell="A1" sqref="A1"/>
    </sheetView>
  </sheetViews>
  <sheetFormatPr baseColWidth="8" defaultRowHeight="15"/>
  <cols>
    <col width="44" customWidth="1" min="1" max="1"/>
    <col width="44" customWidth="1" min="2" max="2"/>
    <col width="44" customWidth="1" min="3" max="3"/>
  </cols>
  <sheetData>
    <row r="1" ht="26" customHeight="1">
      <c r="A1" s="1" t="inlineStr">
        <is>
          <t>Plan financiero a 3 años</t>
        </is>
      </c>
    </row>
    <row r="2">
      <c r="A2" s="2" t="inlineStr">
        <is>
          <t>AI Chef Pro · aichef.pro — Cómo Montar una Chocolatería</t>
        </is>
      </c>
    </row>
    <row r="3">
      <c r="A3" s="3" t="inlineStr">
        <is>
          <t>Para qué sirve: saber si el negocio se sostiene, qué canal lo sostiene y si el taller da dinero o te ocupa el obrador en el peor momento.</t>
        </is>
      </c>
    </row>
    <row r="4"/>
    <row r="5">
      <c r="A5" s="4" t="inlineStr">
        <is>
          <t>Instrucciones de uso</t>
        </is>
      </c>
    </row>
    <row r="6" ht="56" customHeight="1">
      <c r="A6" s="5" t="inlineStr">
        <is>
          <t>1. Hoja «0. Supuestos»: es el cuadro de mandos. Aquí se teclean las TASAS y los DRIVERS —clientes al día, piezas por ticket, días de apertura, tipos de IVA, food cost, condiciones del préstamo, umbrales de control— y el resto del libro se recalcula solo. Las partidas de gasto se teclean en su hoja, no aquí.</t>
        </is>
      </c>
    </row>
    <row r="7" ht="56" customHeight="1">
      <c r="A7" s="5" t="inlineStr">
        <is>
          <t>2. Hoja «Inversión Inicial»: NO vuelve a pedirte las nueve partidas del CAPEX. Te pide UNA cifra —el CAPEX SIN el fondo de maniobra, que publica el libro «calculadora-capex-chocolateria»— y dota aquí el fondo de maniobra con TUS meses de colchón y TUS gastos fijos. El fondo se calcula una sola vez en todo el pack, y es esta hoja la que lo calcula.</t>
        </is>
      </c>
    </row>
    <row r="8" ht="56" customHeight="1">
      <c r="A8" s="5" t="inlineStr">
        <is>
          <t>3. Hoja «PyG 3 Años»: la cuenta de resultados. El AÑO 2 es el año de crucero; el año 1 lleva la rampa de arranque y el año 3 crece sobre el crucero. La amortización y los intereses van DENTRO de los costes fijos, y la cuota de autónomos del titular también. Abajo, el escenario de formato: bombonería frente a bombonería con taza y churros, lado a lado.</t>
        </is>
      </c>
    </row>
    <row r="9" ht="56" customHeight="1">
      <c r="A9" s="5" t="inlineStr">
        <is>
          <t>4. Hoja «Punto de Equilibrio»: cuántos clientes al día hay que hacer para no perder dinero, en dos versiones. La CONTABLE incluye la amortización; la de CAJA le quita la amortización (que no se paga) y le suma la devolución de principal (que sí). La segunda es la que decide si llegas a fin de mes.</t>
        </is>
      </c>
    </row>
    <row r="10" ht="56" customHeight="1">
      <c r="A10" s="5" t="inlineStr">
        <is>
          <t>5. Hoja «Escenarios»: el mismo modelo con tres juegos de clientes, ticket medio y días de apertura. La columna «Realista» LEE el año de crucero del P&amp;L, así que no puede desviarse de él.</t>
        </is>
      </c>
    </row>
    <row r="11" ht="56" customHeight="1">
      <c r="A11" s="5" t="inlineStr">
        <is>
          <t>6. Hoja «Personal»: tres personas y dos jornadas y media, con el bruto del convenio en celda verde y la Seguridad Social a cargo de la empresa DENTRO. Del bruto al coste empresa hay un tercio más: es el salto que más sorprende. Al lado, los salarios de MERCADO, que son orientativos y no son un convenio.</t>
        </is>
      </c>
    </row>
    <row r="12" ht="56" customHeight="1">
      <c r="A12" s="5" t="inlineStr">
        <is>
          <t>7. Hoja «Tesorería 12 meses»: el P&amp;L dice si el negocio gana dinero; esta hoja dice si le queda caja para llegar a fin de mes. Trae la estacionalidad con el valle de agosto dentro, la rampa de arranque, el desfase de cobros y pagos, la liquidación trimestral del IVA y la FECHA LÍMITE de cierre de pedidos de Navidad, calculada hacia atrás desde la capacidad de tu obrador.</t>
        </is>
      </c>
    </row>
    <row r="13" ht="56" customHeight="1">
      <c r="A13" s="5" t="inlineStr">
        <is>
          <t>8. Hoja «Financiación»: de dónde sale el dinero y cuánto cuesta devolverlo. El cuadro de amortización es MENSUAL, con 84 filas, porque la carencia de este caso son seis meses y un cuadro anual no sabe expresar medio año. Abajo, el DSCR año a año: es el número que decide la operación bancaria.</t>
        </is>
      </c>
    </row>
    <row r="14" ht="56" customHeight="1">
      <c r="A14" s="5" t="inlineStr">
        <is>
          <t>9. Hoja «Canales y Punto Muerto»: mostrador, online con envío refrigerado, B2B a hostelería, regalo corporativo y talleres, cada uno con su margen, su coste de servir, su coste de envío y sus días de cobro. Dice qué canal sostiene el negocio, qué pasa con el punto muerto si quitas el B2B y cuáles de los cinco te sacan de la nota del epígrafe 644.5 del IAE.</t>
        </is>
      </c>
    </row>
    <row r="15" ht="56" customHeight="1">
      <c r="A15" s="5" t="inlineStr">
        <is>
          <t>10. Hoja «Talleres y Regalo Corporativo»: cuántos asistentes necesita un taller para cubrir su propio coste, y cuánto deja una hora de sala dando taller frente a la misma hora vendiendo. Más el pedido mínimo del regalo corporativo, sus días de cobro y el plazo mínimo desde que el cliente aprueba la muestra.</t>
        </is>
      </c>
    </row>
    <row r="16" ht="56" customHeight="1">
      <c r="A16" s="5" t="inlineStr">
        <is>
          <t>11. Y una regla de uso: cambia SIEMPRE los supuestos antes de discutir el resultado. Este libro no está para darte la razón, está para que veas qué hace falta que pase.</t>
        </is>
      </c>
    </row>
    <row r="17"/>
    <row r="18">
      <c r="A18" s="6" t="inlineStr">
        <is>
          <t>Celdas verdes = campos editables</t>
        </is>
      </c>
    </row>
    <row r="19"/>
    <row r="20">
      <c r="A20" s="4" t="inlineStr">
        <is>
          <t>Lo que conviene saber antes de empezar</t>
        </is>
      </c>
    </row>
    <row r="21" ht="72" customHeight="1">
      <c r="A21" s="5" t="inlineStr">
        <is>
          <t>ESTE LIBRO ES LA FUENTE ÚNICA DE LAS CIFRAS FINANCIERAS DE LA GUÍA. Si un euro del texto no sale de una celda de aquí, es que está inventado. Cámbialo aquí y el capítulo entero deja de cuadrar contigo: eso es exactamente lo que tiene que pasar.</t>
        </is>
      </c>
    </row>
    <row r="22" ht="72" customHeight="1">
      <c r="A22" s="5" t="inlineStr">
        <is>
          <t>LIBRO HÍBRIDO. La estructura y las fórmulas encadenadas son las del molde de planes de negocio de la casa (nueve hojas, con tesorería, IVA y financiación de verdad), y encima van las dos hojas propias de esta guía: «Canales y Punto Muerto» y «Talleres y Regalo Corporativo». La versión que manda es la de la FAMILIA DE GUÍAS, la que está al pie de esta hoja, no la del motor de planes.</t>
        </is>
      </c>
    </row>
    <row r="23" ht="72" customHeight="1">
      <c r="A23" s="5" t="inlineStr">
        <is>
          <t>NO HAY NI UNA FÓRMULA QUE APUNTE A OTRO FICHERO, en todo el pack. Lo que viene de otro libro viene COPIADO, declarado y con una fila de CUADRE que te avisa si las dos cifras han dejado de decir lo mismo. Un enlace entre ficheros se rompe en cuanto alguien mueve una carpeta, y entonces el libro miente sin avisar. Este recibe tres cifras así (el CAPEX sin el fondo de maniobra, la capacidad diaria del obrador y el precio de la cobertura en base imponible) y devuelve una: el fondo de maniobra.</t>
        </is>
      </c>
    </row>
    <row r="24" ht="72" customHeight="1">
      <c r="A24" s="5" t="inlineStr">
        <is>
          <t>EL FONDO DE MANIOBRA SE CALCULA AQUÍ Y SÓLO AQUÍ. Es «meses de colchón x gastos fijos mensuales», y los dos factores viven en este libro. El de CAPEX no te vuelve a preguntar los meses de colchón: recibe el fondo ya calculado. Si se calculara en los dos, los dos libros publicarían dos inversiones totales distintas con el mismo nombre.</t>
        </is>
      </c>
    </row>
    <row r="25" ht="72" customHeight="1">
      <c r="A25" s="5" t="inlineStr">
        <is>
          <t>EL SUELDO DEL TITULAR YA ESTÁ EN LA NÓMINA. En este caso el titular es el Encargado, y su retribución está en la plantilla de la hoja de Personal. Lo que va como renglón propio de los fijos es su CUOTA DE AUTÓNOMOS: ponerle además una «retribución del propietario» sería contarlo dos veces. Lo que no cambia es el fondo del asunto: un negocio que sólo es rentable porque su dueño no cobra no es rentable.</t>
        </is>
      </c>
    </row>
    <row r="26" ht="72" customHeight="1">
      <c r="A26" s="5" t="inlineStr">
        <is>
          <t>EL FOOD COST DEL P&amp;L NO ES EL DE UNA PIEZA SUELTA, Y NO ES UN ERROR. El escandallo del libro «carta-de-apertura-y-escandallo-chocolate» mide la materia prima de la pieza; lo que proyecta este P&amp;L es esa misma materia MÁS el packaging, que en bombonería pesa porque la caja ES el producto en las campañas de regalo. Al lado tienes el food cost objetivo de la casa y la brecha entre los dos, con su semáforo: esa brecha es tu colchón.</t>
        </is>
      </c>
    </row>
    <row r="27" ht="72" customHeight="1">
      <c r="A27" s="5" t="inlineStr">
        <is>
          <t>MARGEN BRUTO Y FOOD COST SON LA MISMA REGLA DICHA DOS VECES. Por eso el libro guarda UNO —el food cost objetivo— y DERIVA el otro. Publicarlos como dos reglas independientes es un error de método: antes o después dicen cosas distintas.</t>
        </is>
      </c>
    </row>
    <row r="28" ht="72" customHeight="1">
      <c r="A28" s="5" t="inlineStr">
        <is>
          <t>EL TIPO DE IVA DEL TALLER VA SIN CIFRA, A PROPÓSITO. Lo que sí está cerrado es que un taller de bombonería NO está exento: el art. 20.Uno.10.º de la Ley del IVA excluye las clases para cuya realización haya que darse de alta en las tarifas empresariales del IAE. Lo que NO está cerrado es el TIPO, y esta guía no publica ninguna cifra que no pueda sostener. Pregúntaselo a tu asesor y escríbelo tú en «0. Supuestos».</t>
        </is>
      </c>
    </row>
    <row r="29" ht="72" customHeight="1">
      <c r="A29" s="5" t="inlineStr">
        <is>
          <t>TODAS LAS CIFRAS VAN SIN IVA salvo donde la hoja diga lo contrario. La tesorería es caja: ahí el IVA entra y sale, y la liquidación trimestral lo devuelve a su sitio. Las columnas de los años 2 y 3 están en euros del año 1 mientras la «Subida anual de los costes fijos» de «0. Supuestos» valga cero.</t>
        </is>
      </c>
    </row>
    <row r="30"/>
    <row r="31">
      <c r="A31" s="4" t="inlineStr">
        <is>
          <t>Qué hace este libro y qué hace otro (para no teclear dos veces)</t>
        </is>
      </c>
    </row>
    <row r="32" ht="26" customHeight="1">
      <c r="A32" s="7" t="inlineStr">
        <is>
          <t>Producto o libro</t>
        </is>
      </c>
      <c r="B32" s="7" t="inlineStr">
        <is>
          <t>Qué aporta</t>
        </is>
      </c>
      <c r="C32" s="7" t="inlineStr">
        <is>
          <t>Qué NO hace este libro</t>
        </is>
      </c>
    </row>
    <row r="33" ht="66" customHeight="1">
      <c r="A33" s="8" t="inlineStr">
        <is>
          <t>kit-tareas-chocolateria (12 €)</t>
        </is>
      </c>
      <c r="B33" s="9" t="inlineStr">
        <is>
          <t>La operación del obrador que ya tienes: partidas de producción, curvas de templado, calendario anual de campañas y fichas de tarea por perfil.</t>
        </is>
      </c>
      <c r="C33" s="9" t="inlineStr">
        <is>
          <t>Este libro NO planifica producción ni templa nada. Toma su resultado en euros y lo proyecta a tres años. Los tres perfiles de la hoja de Personal son los de ese kit, con sus nombres.</t>
        </is>
      </c>
    </row>
    <row r="34" ht="66" customHeight="1">
      <c r="A34" s="8" t="inlineStr">
        <is>
          <t>El libro «sensibilidad-al-precio-del-cacao» de esta misma guía</t>
        </is>
      </c>
      <c r="B34" s="9" t="inlineStr">
        <is>
          <t>El precio de la cobertura, en las dos bases de IVA, y qué pasa con cada referencia si el cacao sube un 40 %.</t>
        </is>
      </c>
      <c r="C34" s="9" t="inlineStr">
        <is>
          <t>Aquí el coste de la materia entra como UN porcentaje sobre las ventas. El precio de la cobertura en base imponible se trae de allí por celda verde, con su fila de cuadre.</t>
        </is>
      </c>
    </row>
    <row r="35" ht="66" customHeight="1">
      <c r="A35" s="8" t="inlineStr">
        <is>
          <t>El libro «calculadora-capex-chocolateria» de esta misma guía</t>
        </is>
      </c>
      <c r="B35" s="9" t="inlineStr">
        <is>
          <t>El CAPEX partida a partida, con su columna de IVA por línea, la variante del formato y la comparación entre traspaso y obra nueva.</t>
        </is>
      </c>
      <c r="C35" s="9" t="inlineStr">
        <is>
          <t>Aquí entra UNA cifra: el CAPEX SIN el fondo de maniobra. El fondo lo dota esta hoja y vuelve allí ya calculado.</t>
        </is>
      </c>
    </row>
    <row r="36" ht="66" customHeight="1">
      <c r="A36" s="8" t="inlineStr">
        <is>
          <t>El libro «capacidad-obrador-y-clima» de esta misma guía</t>
        </is>
      </c>
      <c r="B36" s="9" t="inlineStr">
        <is>
          <t>Cuántos bombones al día aguanta el equipo que vas a comprar y cuál es el que limita.</t>
        </is>
      </c>
      <c r="C36" s="9" t="inlineStr">
        <is>
          <t>Aquí esa capacidad sólo sirve para una cosa, y es importante: calcular hacia atrás la fecha límite de cierre de pedidos de Navidad.</t>
        </is>
      </c>
    </row>
    <row r="37" ht="66" customHeight="1">
      <c r="A37" s="8" t="inlineStr">
        <is>
          <t>plan-negocio-bar-restaurante y los demás planes de negocio (35 €)</t>
        </is>
      </c>
      <c r="B37" s="9" t="inlineStr">
        <is>
          <t>El dossier completo que se le entrega al banco, con memoria escrita.</t>
        </is>
      </c>
      <c r="C37" s="9" t="inlineStr">
        <is>
          <t>Este libro es el motor de números de una GUÍA de apertura. Si vas a pedir financiación de verdad, el dossier del banco es aquel producto.</t>
        </is>
      </c>
    </row>
    <row r="38"/>
    <row r="39">
      <c r="A39" s="4" t="inlineStr">
        <is>
          <t>Cada cuánto se usa este libro</t>
        </is>
      </c>
    </row>
    <row r="40" ht="80" customHeight="1">
      <c r="A40" s="5" t="inlineStr">
        <is>
          <t>Cadencia: «0. Supuestos» e «Inversión Inicial», MIENTRAS BUSCAS LOCAL y pides presupuestos, tantas veces como haga falta. El P&amp;L, el punto de equilibrio y los escenarios, UNA VEZ ANTES DE FIRMAR y otra antes de sentarte con el banco. «Tesorería 12 meses», CADA MES durante el primer año, sustituyendo la previsión por lo que pasó de verdad. «Canales y Punto Muerto» y «Talleres y Regalo Corporativo», cada vez que te plantees abrir o cerrar un canal, y en septiembre, cuando se cierra la agenda corporativa de Navidad.</t>
        </is>
      </c>
    </row>
    <row r="41"/>
    <row r="42" ht="28" customHeight="1">
      <c r="A42" s="5" t="inlineStr">
        <is>
          <t>Para editar la estructura o una celda que no esté en verde: Revisar &gt; Desproteger hoja (no tiene contraseña).</t>
        </is>
      </c>
    </row>
    <row r="43"/>
    <row r="44">
      <c r="A44" s="9" t="inlineStr">
        <is>
          <t>Diseñado por John Guerrero — chef y consultor gastronómico desde 2010, en cocina desde los 17 años.</t>
        </is>
      </c>
    </row>
    <row r="45">
      <c r="A45" s="9"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24">
    <mergeCell ref="A6:C6"/>
    <mergeCell ref="A24:C24"/>
    <mergeCell ref="A11:C11"/>
    <mergeCell ref="A12:C12"/>
    <mergeCell ref="A15:C15"/>
    <mergeCell ref="A10:C10"/>
    <mergeCell ref="A22:C22"/>
    <mergeCell ref="A9:C9"/>
    <mergeCell ref="A40:C40"/>
    <mergeCell ref="A27:C27"/>
    <mergeCell ref="A28:C28"/>
    <mergeCell ref="A26:C26"/>
    <mergeCell ref="A7:C7"/>
    <mergeCell ref="A25:C25"/>
    <mergeCell ref="A14:C14"/>
    <mergeCell ref="A21:C21"/>
    <mergeCell ref="A13:C13"/>
    <mergeCell ref="A45:C45"/>
    <mergeCell ref="A44:C44"/>
    <mergeCell ref="A42:C42"/>
    <mergeCell ref="A16:C16"/>
    <mergeCell ref="A23:C23"/>
    <mergeCell ref="A8:C8"/>
    <mergeCell ref="A29:C29"/>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C72"/>
  <sheetViews>
    <sheetView workbookViewId="0">
      <pane ySplit="5" topLeftCell="A6" activePane="bottomLeft" state="frozen"/>
      <selection pane="bottomLeft" activeCell="A1" sqref="A1"/>
    </sheetView>
  </sheetViews>
  <sheetFormatPr baseColWidth="8" defaultRowHeight="15"/>
  <cols>
    <col width="56" customWidth="1" min="1" max="1"/>
    <col width="17" customWidth="1" min="2" max="2"/>
    <col width="98" customWidth="1" min="3" max="3"/>
  </cols>
  <sheetData>
    <row r="1" ht="28" customHeight="1">
      <c r="A1" s="1" t="inlineStr">
        <is>
          <t>Supuestos: Las Tasas y los Drivers del Modelo</t>
        </is>
      </c>
    </row>
    <row r="2">
      <c r="A2" t="inlineStr">
        <is>
          <t>AI Chef Pro · aichef.pro — Cómo Montar una Chocolatería</t>
        </is>
      </c>
    </row>
    <row r="3" ht="26" customHeight="1">
      <c r="A3" s="5" t="inlineStr">
        <is>
          <t>Cambia las celdas VERDES y el resto del libro se recalcula solo. Las partidas de gasto se teclean en su hoja, no aquí. Cada supuesto lleva al lado de dónde sale y qué pasa si lo mueves.</t>
        </is>
      </c>
    </row>
    <row r="4"/>
    <row r="5">
      <c r="A5" s="4" t="inlineStr">
        <is>
          <t>ACTIVIDAD</t>
        </is>
      </c>
      <c r="B5" s="10" t="inlineStr"/>
      <c r="C5" s="10" t="inlineStr"/>
    </row>
    <row r="6">
      <c r="A6" t="inlineStr">
        <is>
          <t>Clientes al día en velocidad de crucero</t>
        </is>
      </c>
      <c r="B6" s="11" t="n">
        <v>67</v>
      </c>
      <c r="C6" s="5" t="inlineStr">
        <is>
          <t>SUPUESTO, y de los gordos: no existe dato público de tráfico de una bombonería española, así que este número no es un benchmark. Cuéntalos tú en la puerta de tres bombonerías parecidas a la que quieres abrir, un sábado y un martes, y trae el tuyo. Es la ÚNICA palanca que hay que tocar para mover el resultado: los costes no se maquillan.</t>
        </is>
      </c>
    </row>
    <row r="7">
      <c r="A7" t="inlineStr">
        <is>
          <t>Piezas por ticket</t>
        </is>
      </c>
      <c r="B7" s="12" t="n">
        <v>1.4</v>
      </c>
      <c r="C7" s="5" t="inlineStr">
        <is>
          <t>SUPUESTO. En bombonería es BAJO -1,4- porque la unidad de venta real es la CAJA, no la pieza: quien entra a por un regalo se lleva una caja de 20 euros, no ocho bombones sueltos. De aquí sale el ticket medio, que NO se teclea: se calcula.</t>
        </is>
      </c>
    </row>
    <row r="8">
      <c r="A8" t="inlineStr">
        <is>
          <t>PVP medio ponderado de la carta, CON IVA (€/pieza)</t>
        </is>
      </c>
      <c r="B8" s="13" t="n">
        <v>7.68</v>
      </c>
      <c r="C8" s="5" t="inlineStr">
        <is>
          <t>Sale de las 28 referencias del libro «carta-de-apertura-y-escandallo-chocolate», ponderadas por su mix de ventas. Si cambias la carta allí, trae aquí el nuevo PVP medio: es COPIA declarada, no un vínculo entre ficheros.</t>
        </is>
      </c>
    </row>
    <row r="9">
      <c r="A9" t="inlineStr">
        <is>
          <t>Ticket medio CON IVA (€)</t>
        </is>
      </c>
      <c r="B9" s="14">
        <f>IFERROR($B$7*$B$8,"")</f>
        <v>10.751999999999999</v>
      </c>
      <c r="C9" s="5" t="inlineStr">
        <is>
          <t>Piezas por ticket x PVP medio ponderado. Es lo que ve el cliente en el datáfono.</t>
        </is>
      </c>
    </row>
    <row r="10">
      <c r="A10" t="inlineStr">
        <is>
          <t>Ticket medio SIN IVA (€)</t>
        </is>
      </c>
      <c r="B10" s="14">
        <f>IFERROR($B$9/(1+$B$20),"")</f>
        <v>9.774545454545454</v>
      </c>
      <c r="C10" s="5" t="inlineStr">
        <is>
          <t>Es el que entra en el P&amp;L: la cuenta de resultados va siempre sin IVA. Se divide por el IVA MEDIO de la carta, no por un tipo suelto, para que el día que entre una referencia a otro tipo el libro siga cuadrando.</t>
        </is>
      </c>
    </row>
    <row r="11">
      <c r="A11" t="inlineStr">
        <is>
          <t>Días de apertura al año</t>
        </is>
      </c>
      <c r="B11" s="11" t="n">
        <v>304</v>
      </c>
      <c r="C11" s="5" t="inlineStr">
        <is>
          <t>SUPUESTO: 6 días por semana x 52 semanas = 312, menos 8 días de cierre por festivos. En AGOSTO NO SE CIERRA: lo que para es el obrador, no la tienda, y el literal del kit lo dice («la tienda abre para el turista aunque el obrador pare»). Una bombonería de menos de 300 m² tiene libertad horaria por el art. 5.2 de la Ley de Horarios Comerciales, no por el 5.1.</t>
        </is>
      </c>
    </row>
    <row r="12">
      <c r="A12" t="inlineStr">
        <is>
          <t>Actividad del año 1 sobre la de crucero (%)</t>
        </is>
      </c>
      <c r="B12" s="15">
        <f>IFERROR(SUMPRODUCT('Tesorería 12 meses'!B6:M6,'Tesorería 12 meses'!B7:M7),"")</f>
        <v>0.88450094</v>
      </c>
      <c r="C12" s="5" t="inlineStr">
        <is>
          <t>NO se teclea: sale de la estacionalidad y de la rampa de la hoja de Tesorería. Un local que abre no factura desde el primer día lo que factura a los seis meses, y proyectar el año 1 a velocidad de crucero es el error que más planes de negocio tumba. Aquí además la apertura es el 1 de junio, así que la rampa cae justo sobre el valle de agosto.</t>
        </is>
      </c>
    </row>
    <row r="13">
      <c r="A13" t="inlineStr">
        <is>
          <t>Crecimiento de volumen del año 3 (%)</t>
        </is>
      </c>
      <c r="B13" s="16" t="n">
        <v>0.04</v>
      </c>
      <c r="C13" s="5" t="inlineStr">
        <is>
          <t>SUPUESTO. El año 2 ya es el de crucero: el año 3 sólo crece lo que dé la clientela fija y la agenda corporativa que repite, no un salto de negocio. Un 4 % es prudente; si pones más, tendrás que decir de dónde sale.</t>
        </is>
      </c>
    </row>
    <row r="14">
      <c r="A14" s="4" t="inlineStr">
        <is>
          <t>IVA Y TIPOS</t>
        </is>
      </c>
      <c r="B14" s="10" t="inlineStr"/>
      <c r="C14" s="10" t="inlineStr"/>
    </row>
    <row r="15">
      <c r="A15" t="inlineStr">
        <is>
          <t>IVA del chocolate y la bombonería (%)</t>
        </is>
      </c>
      <c r="B15" s="16" t="n">
        <v>0.1</v>
      </c>
      <c r="C15" s="5" t="inlineStr">
        <is>
          <t>El 10 % sale POR EXCLUSIÓN, no porque un precepto nombre al chocolate: la lista del 4 % del art. 91.Dos.1.1.o es cerrada y tiene siete letras, el chocolate no está en ninguna, y tampoco está entre las dos exclusiones del 10 % (bebidas alcohólicas y refrescantes).</t>
        </is>
      </c>
    </row>
    <row r="16">
      <c r="A16" t="inlineStr">
        <is>
          <t>IVA del chocolate a la taza SERVIDO en sala (%)</t>
        </is>
      </c>
      <c r="B16" s="16" t="n">
        <v>0.1</v>
      </c>
      <c r="C16" s="5" t="inlineStr">
        <is>
          <t>La taza servida en sala es una prestación de servicio de hostelería, no la entrega de un bien: va al 10 % por el art. 91.Uno.2.2.o. La tableta para taza que te llevas a casa es una entrega de bien, y va por la línea de arriba.</t>
        </is>
      </c>
    </row>
    <row r="17" ht="30" customHeight="1">
      <c r="A17" t="inlineStr">
        <is>
          <t>IVA de los talleres y catas (%)</t>
        </is>
      </c>
      <c r="B17" s="6" t="inlineStr">
        <is>
          <t>Pregúntaselo a tu asesor</t>
        </is>
      </c>
      <c r="C17" s="5" t="inlineStr">
        <is>
          <t>VA SIN CIFRA A PROPÓSITO, y no es un olvido. Lo que SÍ está cerrado: un taller de bombonería NO está exento de IVA, porque el art. 20.Uno.10.o excluye de la exención las clases «para cuya realización sea necesario darse de alta en las tarifas de actividades empresariales o artísticas del IAE». Lo que NO está cerrado es el TIPO: el art. 91 no nombra los talleres. Esta guía no publica una cifra que no pueda sostener; escribe tú la que te diga tu asesor.</t>
        </is>
      </c>
    </row>
    <row r="18">
      <c r="A18" t="inlineStr">
        <is>
          <t>IVA general (%)</t>
        </is>
      </c>
      <c r="B18" s="16" t="n">
        <v>0.21</v>
      </c>
      <c r="C18" s="5" t="inlineStr">
        <is>
          <t>Tipo general del art. 90.Uno de la Ley 37/1992. Es el que soportas en obra, maquinaria, moldes, packaging y servicios. Sin la columna de IVA por línea el CAPEX sale hasta un 21 % desviado, que es el error más caro de todo el proceso.</t>
        </is>
      </c>
    </row>
    <row r="19">
      <c r="A19" t="inlineStr">
        <is>
          <t>IVA medio de las compras de materia prima (%)</t>
        </is>
      </c>
      <c r="B19" s="16" t="n">
        <v>0.1</v>
      </c>
      <c r="C19" s="5" t="inlineStr">
        <is>
          <t>SUPUESTO de trabajo: la cobertura y los frutos secos van al 10 % y el packaging al 21 %. Sólo afecta a la TESORERÍA (lo que adelantas al proveedor), nunca al resultado. Pídele a tu distribuidor una factura de ejemplo y afínalo.</t>
        </is>
      </c>
    </row>
    <row r="20">
      <c r="A20" t="inlineStr">
        <is>
          <t>IVA medio ponderado de la carta (%)</t>
        </is>
      </c>
      <c r="B20" s="17">
        <f>IFERROR($B$15,"")</f>
        <v>0.1</v>
      </c>
      <c r="C20" s="5" t="inlineStr">
        <is>
          <t>Hoy toda la carta va al 10 %, así que el IVA medio es ése. Esta celda existe para que el día que entres una referencia a otro tipo -una bebida, por ejemplo- no haya que tocar el libro entero: cambias aquí y el ticket sin IVA, la tesorería y el modelo 303 te siguen.</t>
        </is>
      </c>
    </row>
    <row r="21">
      <c r="A21" s="4" t="inlineStr">
        <is>
          <t>COSTE DE VENTAS</t>
        </is>
      </c>
      <c r="B21" s="10" t="inlineStr"/>
      <c r="C21" s="10" t="inlineStr"/>
    </row>
    <row r="22">
      <c r="A22" t="inlineStr">
        <is>
          <t>Food cost de escandallo de la carta (%)</t>
        </is>
      </c>
      <c r="B22" s="18" t="n">
        <v>0.252157</v>
      </c>
      <c r="C22" s="5" t="inlineStr">
        <is>
          <t>Coste de MATERIA sobre PVP, los dos en BASE IMPONIBLE, ponderado por los euros que vende cada referencia. Sale del libro «carta-de-apertura-y-escandallo-chocolate». Ojo con la base: el precio de la cobertura que publica la fuente lleva el IVA dentro, y un escandallo hecho con esa base sale un 9 % alto.</t>
        </is>
      </c>
    </row>
    <row r="23">
      <c r="A23" t="inlineStr">
        <is>
          <t>Peso del packaging sobre el coste de la pieza (%)</t>
        </is>
      </c>
      <c r="B23" s="16" t="n">
        <v>0.12</v>
      </c>
      <c r="C23" s="5" t="inlineStr">
        <is>
          <t>SUPUESTO. En bombonería pesa más que en pastelería: la caja ES el producto en las campañas de regalo, y el 23 % de diferencia de precio por bombón entre la caja de 12 y la de 35 se juega ahí.</t>
        </is>
      </c>
    </row>
    <row r="24">
      <c r="A24" t="inlineStr">
        <is>
          <t>Coste de ventas sobre las ventas (food cost del P&amp;L, %)</t>
        </is>
      </c>
      <c r="B24" s="17">
        <f>IFERROR($B$22*(1+$B$23),"")</f>
        <v>0.28241584000000003</v>
      </c>
      <c r="C24" s="5" t="inlineStr">
        <is>
          <t>SE DERIVA: escandallo + packaging. Es el que proyecta el P&amp;L, y es MAYOR que el de una pieza suelta a propósito. Si además revendes producto de terceros o tienes merma de producto fresco por encima de la que ya lleva el escandallo, súbelo tú.</t>
        </is>
      </c>
    </row>
    <row r="25">
      <c r="A25" t="inlineStr">
        <is>
          <t>Food cost OBJETIVO de la casa (regla única, %)</t>
        </is>
      </c>
      <c r="B25" s="16" t="n">
        <v>0.3</v>
      </c>
      <c r="C25" s="5" t="inlineStr">
        <is>
          <t>SUPUESTO declarado: no existe dato público de food cost de bombonería. Es la regla única de la casa, y el margen bruto objetivo de la línea de abajo se DERIVA de él: guardar los dos por separado es un error de método, porque antes o después dicen cosas distintas.</t>
        </is>
      </c>
    </row>
    <row r="26">
      <c r="A26" t="inlineStr">
        <is>
          <t>Margen bruto objetivo (%)</t>
        </is>
      </c>
      <c r="B26" s="15">
        <f>IFERROR(1-$B$25,"")</f>
        <v>0.7</v>
      </c>
      <c r="C26" s="5" t="inlineStr">
        <is>
          <t>Se DERIVA del food cost objetivo. Margen bruto y food cost son la misma regla dicha dos veces.</t>
        </is>
      </c>
    </row>
    <row r="27">
      <c r="A27" t="inlineStr">
        <is>
          <t>Brecha entre el food cost del P&amp;L y el objetivo (puntos)</t>
        </is>
      </c>
      <c r="B27" s="17">
        <f>IFERROR($B$24-$B$25,"")</f>
        <v>-0.01758415999999996</v>
      </c>
      <c r="C27" s="5" t="inlineStr">
        <is>
          <t>En NEGATIVO estás por debajo del objetivo, y esa diferencia es tu colchón. En positivo, tu carta no llega a la regla de la casa: o suben los precios, o baja el coste de la cobertura, o cambia el mix.</t>
        </is>
      </c>
    </row>
    <row r="28">
      <c r="A28" s="4" t="inlineStr">
        <is>
          <t>PERSONAL</t>
        </is>
      </c>
      <c r="B28" s="10" t="inlineStr"/>
      <c r="C28" s="10" t="inlineStr"/>
    </row>
    <row r="29">
      <c r="A29" t="inlineStr">
        <is>
          <t>Seguridad Social a cargo de la empresa (%)</t>
        </is>
      </c>
      <c r="B29" s="16" t="n">
        <v>0.33</v>
      </c>
      <c r="C29" s="9" t="inlineStr">
        <is>
          <t>Cotización empresarial aproximada sobre el salario bruto (contingencias comunes, desempleo, FOGASA y formación). Ajústala a tu convenio y a tus contratos.</t>
        </is>
      </c>
    </row>
    <row r="30">
      <c r="A30" t="inlineStr">
        <is>
          <t>Número de pagas del convenio</t>
        </is>
      </c>
      <c r="B30" s="11" t="n">
        <v>15</v>
      </c>
      <c r="C30" s="5" t="inlineStr">
        <is>
          <t>El convenio de referencia paga 15, no 14, y eso cambia el coste mes a mes y el reparto de la tesorería. Busca el tuyo: NO existe convenio estatal del chocolate, está comprobado en el registro oficial.</t>
        </is>
      </c>
    </row>
    <row r="31">
      <c r="A31" t="inlineStr">
        <is>
          <t>SMI vigente (€/año, 14 pagas)</t>
        </is>
      </c>
      <c r="B31" s="13" t="n">
        <v>17094</v>
      </c>
      <c r="C31" s="9" t="inlineStr">
        <is>
          <t>1.221 €/mes × 14 pagas = 17.094 €/año — Real Decreto 126/2026, de 18 de febrero (BOE-A-2026-3815), con efectos desde el 1-ene-2026. El convenio provincial de hostelería prevalece si fija un mínimo superior.</t>
        </is>
      </c>
    </row>
    <row r="32">
      <c r="A32" t="inlineStr">
        <is>
          <t>Jornada completa (horas/semana)</t>
        </is>
      </c>
      <c r="B32" s="11" t="n">
        <v>40</v>
      </c>
      <c r="C32" s="5" t="inlineStr">
        <is>
          <t>SUPUESTO: la jornada anual del convenio de referencia no se ha verificado. Comprueba la del tuyo antes de dimensionar turnos.</t>
        </is>
      </c>
    </row>
    <row r="33">
      <c r="A33" s="4" t="inlineStr">
        <is>
          <t>LOCAL Y GASTOS FIJOS</t>
        </is>
      </c>
      <c r="B33" s="10" t="inlineStr"/>
      <c r="C33" s="10" t="inlineStr"/>
    </row>
    <row r="34">
      <c r="A34" t="inlineStr">
        <is>
          <t>Alquiler mensual del local (€)</t>
        </is>
      </c>
      <c r="B34" s="13" t="n">
        <v>1300</v>
      </c>
      <c r="C34" s="5" t="inlineStr">
        <is>
          <t>SUPUESTO para una ciudad media. La renta observada en los ocho traspasos verificados va de 910 €/mes (74 m² en Madrid-Vallecas) a 2.200 €/mes (180 m² en Barcelona); aquí se toma la parte baja porque ninguna de esas dos ciudades es una ciudad media.</t>
        </is>
      </c>
    </row>
    <row r="35">
      <c r="A35" t="inlineStr">
        <is>
          <t>Fianza del alquiler (meses de renta)</t>
        </is>
      </c>
      <c r="B35" s="11" t="n">
        <v>2</v>
      </c>
      <c r="C35" s="5" t="inlineStr">
        <is>
          <t>SUPUESTO. La fianza no es un gasto: es un depósito que se recupera. Está dentro del CAPEX del libro 2 porque hay que tenerla el día de la firma, y por eso no se amortiza.</t>
        </is>
      </c>
    </row>
    <row r="36">
      <c r="A36" t="inlineStr">
        <is>
          <t>Suministros mensuales de luz, agua y climatización (€)</t>
        </is>
      </c>
      <c r="B36" s="13" t="n">
        <v>780</v>
      </c>
      <c r="C36" s="5" t="inlineStr">
        <is>
          <t>SUPUESTO. Un obrador de chocolate NO tiene hornos, pero tiene TRES equipos de frío y una climatización con deshumidificación funcionando 24 horas, y en agosto a pleno. No se estima: se le pide la simulación a la comercializadora con la potencia del proyecto eléctrico.</t>
        </is>
      </c>
    </row>
    <row r="37">
      <c r="A37" t="inlineStr">
        <is>
          <t>Cuota de autónomos del titular (€/mes)</t>
        </is>
      </c>
      <c r="B37" s="13" t="n">
        <v>320</v>
      </c>
      <c r="C37" s="5" t="inlineStr">
        <is>
          <t>SUPUESTO, y va como renglón propio de los fijos. El titular de este caso es el Encargado, y su retribución YA está en la nómina de la hoja de Personal: ponerle además una «retribución del propietario» sería contarlo dos veces. Lo que va aparte es la cuota.</t>
        </is>
      </c>
    </row>
    <row r="38">
      <c r="A38" t="inlineStr">
        <is>
          <t>Subida anual de los costes fijos (%)</t>
        </is>
      </c>
      <c r="B38" s="16" t="n">
        <v>0</v>
      </c>
      <c r="C38" s="5" t="inlineStr">
        <is>
          <t>A CERO: las tres columnas del P&amp;L están en euros del año 1 (términos reales). Súbela si quieres proyectar en euros corrientes, pero entonces sube también el ticket medio o estarás proyectando una pérdida de margen que no has decidido.</t>
        </is>
      </c>
    </row>
    <row r="39">
      <c r="A39" s="4" t="inlineStr">
        <is>
          <t>FINANCIACIÓN</t>
        </is>
      </c>
      <c r="B39" s="10" t="inlineStr"/>
      <c r="C39" s="10" t="inlineStr"/>
    </row>
    <row r="40">
      <c r="A40" t="inlineStr">
        <is>
          <t>Recursos propios aportados (€)</t>
        </is>
      </c>
      <c r="B40" s="13" t="n">
        <v>78105.23</v>
      </c>
      <c r="C40" s="5" t="inlineStr">
        <is>
          <t>SUPUESTO sembrado para que el plan quede financiado: es la necesidad total de caja menos el préstamo. Míralo dos veces, porque es mucho dinero: si no lo tienes, o baja la inversión (mira la hoja «Traspaso vs Obra Nueva» del libro de CAPEX) o sube el préstamo, y entonces vigila el DSCR de la hoja de Financiación.</t>
        </is>
      </c>
    </row>
    <row r="41">
      <c r="A41" t="inlineStr">
        <is>
          <t>Préstamo bancario solicitado (€)</t>
        </is>
      </c>
      <c r="B41" s="13" t="n">
        <v>90300</v>
      </c>
      <c r="C41" s="5" t="inlineStr">
        <is>
          <t>SUPUESTO: el 60 % de la inversión total, redondeado a centenas, que es la estructura 40/60 del caso. Las condiciones las pone tu banco y dependen de la garantía. Pide oferta a dos entidades y a una línea ICO antes de fijarlo.</t>
        </is>
      </c>
    </row>
    <row r="42">
      <c r="A42" t="inlineStr">
        <is>
          <t>Tipo de interés nominal anual (%)</t>
        </is>
      </c>
      <c r="B42" s="18" t="n">
        <v>0.062</v>
      </c>
      <c r="C42" s="5" t="inlineStr">
        <is>
          <t>SUPUESTO.</t>
        </is>
      </c>
    </row>
    <row r="43">
      <c r="A43" t="inlineStr">
        <is>
          <t>Plazo total del préstamo (meses)</t>
        </is>
      </c>
      <c r="B43" s="11" t="n">
        <v>84</v>
      </c>
      <c r="C43" s="5" t="inlineStr">
        <is>
          <t>SUPUESTO: 7 años, carencia incluida. El cuadro de amortización de la hoja de Financiación tiene 84 filas; si alargas el plazo por encima de 84 meses, tendrás que añadirlas.</t>
        </is>
      </c>
    </row>
    <row r="44">
      <c r="A44" t="inlineStr">
        <is>
          <t>Carencia de principal (meses)</t>
        </is>
      </c>
      <c r="B44" s="11" t="n">
        <v>6</v>
      </c>
      <c r="C44" s="5" t="inlineStr">
        <is>
          <t>SUPUESTO, y es lo PRIMERO que hay que negociar: la carencia es lo que hace que el préstamo no se coma la caja justo en la rampa de arranque. Durante la carencia sólo se pagan intereses.</t>
        </is>
      </c>
    </row>
    <row r="45">
      <c r="A45" t="inlineStr">
        <is>
          <t>Fondo de maniobra (meses de gastos fijos)</t>
        </is>
      </c>
      <c r="B45" s="11" t="n">
        <v>6</v>
      </c>
      <c r="C45" s="5" t="inlineStr">
        <is>
          <t>SUPUESTO, y ESTE ES EL ÚNICO SITIO DEL PACK DONDE SE DECIDE. Meses de gastos fijos que hay que tener en caja el día que abres. El libro de CAPEX no te lo vuelve a preguntar: recibe el fondo ya calculado desde aquí. Si se pidiera en los dos, el fondo se calcularía dos veces y los dos libros publicarían dos inversiones totales distintas.</t>
        </is>
      </c>
    </row>
    <row r="46">
      <c r="A46" s="4" t="inlineStr">
        <is>
          <t>FISCAL</t>
        </is>
      </c>
      <c r="B46" s="10" t="inlineStr"/>
      <c r="C46" s="10" t="inlineStr"/>
    </row>
    <row r="47">
      <c r="A47" t="inlineStr">
        <is>
          <t>Impuesto de Sociedades, entidad de nueva creación (%)</t>
        </is>
      </c>
      <c r="B47" s="16" t="n">
        <v>0.15</v>
      </c>
      <c r="C47" s="5" t="inlineStr">
        <is>
          <t>Art. 29.1 de la Ley del Impuesto sobre Sociedades: se aplica al PRIMER ejercicio con base imponible positiva y al siguiente, no a los dos primeros años naturales. Si eres autónomo y no sociedad, esta línea no te aplica: tributas en IRPF.</t>
        </is>
      </c>
    </row>
    <row r="48">
      <c r="A48" t="inlineStr">
        <is>
          <t>Impuesto de Sociedades, tipo general (%)</t>
        </is>
      </c>
      <c r="B48" s="16" t="n">
        <v>0.25</v>
      </c>
      <c r="C48" s="5" t="inlineStr">
        <is>
          <t>A partir del tercer ejercicio con base positiva.</t>
        </is>
      </c>
    </row>
    <row r="49">
      <c r="A49" t="inlineStr">
        <is>
          <t>Bases negativas de ejercicios anteriores (€)</t>
        </is>
      </c>
      <c r="B49" s="13" t="n">
        <v>0</v>
      </c>
      <c r="C49" s="5" t="inlineStr">
        <is>
          <t>Pérdidas pendientes de compensar al empezar. En una apertura son cero: se rellena si arrancas dentro de una sociedad que ya existía.</t>
        </is>
      </c>
    </row>
    <row r="50">
      <c r="A50" s="4" t="inlineStr">
        <is>
          <t>AMORTIZACIÓN</t>
        </is>
      </c>
      <c r="B50" s="10" t="inlineStr"/>
      <c r="C50" s="10" t="inlineStr"/>
    </row>
    <row r="51">
      <c r="A51" t="inlineStr">
        <is>
          <t>Años de amortización del inmovilizado</t>
        </is>
      </c>
      <c r="B51" s="11" t="n">
        <v>10</v>
      </c>
      <c r="C51" s="5" t="inlineStr">
        <is>
          <t>SUPUESTO, y en la práctica obra y maquinaria tienen coeficientes distintos. Sin amortización la rentabilidad publicada es mentira: la atemperadora se gasta.</t>
        </is>
      </c>
    </row>
    <row r="52">
      <c r="A52" s="4" t="inlineStr">
        <is>
          <t>ARRANQUE</t>
        </is>
      </c>
      <c r="B52" s="10" t="inlineStr"/>
      <c r="C52" s="10" t="inlineStr"/>
    </row>
    <row r="53">
      <c r="A53" t="inlineStr">
        <is>
          <t>Actividad del mes 1 sobre la de crucero (%)</t>
        </is>
      </c>
      <c r="B53" s="16" t="n">
        <v>0.55</v>
      </c>
      <c r="C53" s="5" t="inlineStr">
        <is>
          <t>SUPUESTO. Con el 100 % eliminas la rampa y el año 1 se proyecta como si abrieras a pleno rendimiento, que es justo lo que no pasa.</t>
        </is>
      </c>
    </row>
    <row r="54">
      <c r="A54" t="inlineStr">
        <is>
          <t>Meses hasta alcanzar el régimen de crucero</t>
        </is>
      </c>
      <c r="B54" s="11" t="n">
        <v>6</v>
      </c>
      <c r="C54" s="5" t="inlineStr">
        <is>
          <t>SUPUESTO. La rampa sube en línea recta desde el porcentaje de arriba hasta el 100 % en este número de meses.</t>
        </is>
      </c>
    </row>
    <row r="55">
      <c r="A55" t="inlineStr">
        <is>
          <t>Mes de apertura (1-12)</t>
        </is>
      </c>
      <c r="B55" s="11" t="n">
        <v>6</v>
      </c>
      <c r="C55" s="5" t="inlineStr">
        <is>
          <t>SUPUESTO: el 1 de junio. Junio es «Media» en el calendario de campañas del kit, deja SEIS meses de rodaje antes de Navidad y mete el valle de agosto dentro del arranque, que es cuando sale barato. Abrir dentro de una campaña «Alta» es el error que avisa el cronograma del libro de licencias.</t>
        </is>
      </c>
    </row>
    <row r="56">
      <c r="A56" t="inlineStr">
        <is>
          <t>Días de apertura a la semana</t>
        </is>
      </c>
      <c r="B56" s="11" t="n">
        <v>6</v>
      </c>
      <c r="C56" s="5" t="inlineStr">
        <is>
          <t>SUPUESTO. Lo usa el cálculo de la fecha límite de Navidad para pasar de días de PRODUCCIÓN a días de calendario: si produces seis días de cada siete, cada día de obrador son 1,17 días naturales.</t>
        </is>
      </c>
    </row>
    <row r="57">
      <c r="A57" s="4" t="inlineStr">
        <is>
          <t>COBROS Y PAGOS</t>
        </is>
      </c>
      <c r="B57" s="10" t="inlineStr"/>
      <c r="C57" s="10" t="inlineStr"/>
    </row>
    <row r="58">
      <c r="A58" t="inlineStr">
        <is>
          <t>Días medios de cobro</t>
        </is>
      </c>
      <c r="B58" s="19">
        <f>IFERROR(SUMPRODUCT('Canales y Punto Muerto'!B6:B10,'Canales y Punto Muerto'!G6:G10),"")</f>
        <v>7.65</v>
      </c>
      <c r="C58" s="5" t="inlineStr">
        <is>
          <t>NO se teclea: sale de la hoja «Canales y Punto Muerto», ponderando los días de cobro de cada canal por su peso en las ventas. El mostrador y el taller cobran al contado; el corporativo, a 30 días, y el B2B a 45: ahí financias tú.</t>
        </is>
      </c>
    </row>
    <row r="59">
      <c r="A59" t="inlineStr">
        <is>
          <t>Días medios de pago a proveedor</t>
        </is>
      </c>
      <c r="B59" s="11" t="n">
        <v>30</v>
      </c>
      <c r="C59" s="5" t="inlineStr">
        <is>
          <t>SUPUESTO. Es lo que te financian tus proveedores, y lo primero que se pierde si te retrasas en un pago. Ojo en septiembre y octubre: es cuando se paga la cobertura de Navidad.</t>
        </is>
      </c>
    </row>
    <row r="60">
      <c r="A60" t="inlineStr">
        <is>
          <t>Mes de la primera paga extra (1-12)</t>
        </is>
      </c>
      <c r="B60" s="11" t="n">
        <v>7</v>
      </c>
      <c r="C60" s="5" t="inlineStr">
        <is>
          <t>SUPUESTO. Con 15 pagas hay TRES meses en los que la nómina sale doble; escribe aquí en cuáles cae en tu convenio.</t>
        </is>
      </c>
    </row>
    <row r="61">
      <c r="A61" t="inlineStr">
        <is>
          <t>Mes de la segunda paga extra (1-12)</t>
        </is>
      </c>
      <c r="B61" s="11" t="n">
        <v>12</v>
      </c>
      <c r="C61" s="5" t="inlineStr">
        <is>
          <t>SUPUESTO. Diciembre es el mes de más caja y de más nómina a la vez.</t>
        </is>
      </c>
    </row>
    <row r="62">
      <c r="A62" t="inlineStr">
        <is>
          <t>Mes de la tercera paga extra (1-12)</t>
        </is>
      </c>
      <c r="B62" s="11" t="n">
        <v>3</v>
      </c>
      <c r="C62" s="5" t="inlineStr">
        <is>
          <t>SUPUESTO. Si tu convenio paga 14, pon aquí un número fuera de 1-12 (por ejemplo 0) y baja a 14 las pagas de arriba.</t>
        </is>
      </c>
    </row>
    <row r="63">
      <c r="A63" s="4" t="inlineStr">
        <is>
          <t>UMBRALES Y SUELOS DE CONTROL</t>
        </is>
      </c>
      <c r="B63" s="10" t="inlineStr"/>
      <c r="C63" s="10" t="inlineStr"/>
    </row>
    <row r="64">
      <c r="A64" t="inlineStr">
        <is>
          <t>DSCR mínimo aceptable</t>
        </is>
      </c>
      <c r="B64" s="20" t="n">
        <v>1</v>
      </c>
      <c r="C64" s="5" t="inlineStr">
        <is>
          <t>Por debajo de 1 el negocio no genera lo suficiente para pagar el préstamo. Pon el que te exija tu banco en el contrato.</t>
        </is>
      </c>
    </row>
    <row r="65">
      <c r="A65" t="inlineStr">
        <is>
          <t>DSCR objetivo (verde)</t>
        </is>
      </c>
      <c r="B65" s="20" t="n">
        <v>1.25</v>
      </c>
      <c r="C65" s="5" t="inlineStr">
        <is>
          <t>Lo que suele pedir una entidad para dar el préstamo sin garantías adicionales.</t>
        </is>
      </c>
    </row>
    <row r="66">
      <c r="A66" t="inlineStr">
        <is>
          <t>Holgura mínima sobre el punto de equilibrio (%)</t>
        </is>
      </c>
      <c r="B66" s="16" t="n">
        <v>0.15</v>
      </c>
      <c r="C66" s="5" t="inlineStr">
        <is>
          <t>Cuánto puedes caer sobre lo previsto antes de entrar en pérdidas. Con un negocio tan estacional como éste, la holgura no es un lujo: es lo que te deja llegar a octubre.</t>
        </is>
      </c>
    </row>
    <row r="67">
      <c r="A67" t="inlineStr">
        <is>
          <t>Margen neto de referencia, suelo (%)</t>
        </is>
      </c>
      <c r="B67" s="16" t="n">
        <v>0.08</v>
      </c>
      <c r="C67" s="5" t="inlineStr">
        <is>
          <t>SUPUESTO DE CONTROL, no un dato del sector: NO existe rentabilidad publicada de bombonería artesana en España. Está aquí para que contrastes tu proyección, no para que la persigas.</t>
        </is>
      </c>
    </row>
    <row r="68">
      <c r="A68" t="inlineStr">
        <is>
          <t>Margen neto de referencia, techo (%)</t>
        </is>
      </c>
      <c r="B68" s="16" t="n">
        <v>0.12</v>
      </c>
      <c r="C68" s="5" t="inlineStr">
        <is>
          <t>SUPUESTO DE CONTROL. Si tu proyección sale por encima, desconfía antes de enseñarla: casi siempre falta un coste.</t>
        </is>
      </c>
    </row>
    <row r="69">
      <c r="A69" t="inlineStr">
        <is>
          <t>Techo de coste de personal sobre ventas (%)</t>
        </is>
      </c>
      <c r="B69" s="16" t="n">
        <v>0.35</v>
      </c>
      <c r="C69" s="5" t="inlineStr">
        <is>
          <t>SUPUESTO de control. En un obrador con tienda el personal es la primera partida; por encima de este techo, o subes precios o redimensionas turnos.</t>
        </is>
      </c>
    </row>
    <row r="70">
      <c r="A70" t="inlineStr">
        <is>
          <t>Techo de alquiler sobre ventas (%)</t>
        </is>
      </c>
      <c r="B70" s="16" t="n">
        <v>0.1</v>
      </c>
      <c r="C70" s="5" t="inlineStr">
        <is>
          <t>SUPUESTO de control. Un alquiler por encima del 10 % de las ventas se come el margen de todo lo demás, y no se renegocia una vez firmado.</t>
        </is>
      </c>
    </row>
    <row r="71">
      <c r="A71" t="inlineStr">
        <is>
          <t>Paso de la sensibilidad del coste variable (€)</t>
        </is>
      </c>
      <c r="B71" s="13" t="n">
        <v>0.2</v>
      </c>
      <c r="C71" s="5" t="inlineStr">
        <is>
          <t>Cuánto sube y baja el coste variable por ticket en la tabla de sensibilidad del punto de equilibrio. Con el cacao como está, la columna de la derecha no es un ejercicio teórico.</t>
        </is>
      </c>
    </row>
    <row r="72">
      <c r="A72" t="inlineStr">
        <is>
          <t>Tolerancia de los cuadres entre libros (%)</t>
        </is>
      </c>
      <c r="B72" s="16" t="n">
        <v>0.02</v>
      </c>
      <c r="C72" s="5" t="inlineStr">
        <is>
          <t>Cuánto puede alejarse una cifra traída de otro libro antes de que su fila de CUADRE se ponga en rojo. Un 2 % tolera el redondeo; una máquina distinta, no.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3:C3"/>
  </mergeCells>
  <conditionalFormatting sqref="B27">
    <cfRule type="expression" priority="1" dxfId="0" stopIfTrue="1">
      <formula>=AND(ISNUMBER($B$27),$B$27&gt;0)</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D29"/>
  <sheetViews>
    <sheetView workbookViewId="0">
      <selection activeCell="A1" sqref="A1"/>
    </sheetView>
  </sheetViews>
  <sheetFormatPr baseColWidth="8" defaultRowHeight="15"/>
  <cols>
    <col width="60" customWidth="1" min="1" max="1"/>
    <col width="17" customWidth="1" min="2" max="2"/>
    <col width="14" customWidth="1" min="3" max="3"/>
    <col width="92" customWidth="1" min="4" max="4"/>
  </cols>
  <sheetData>
    <row r="1" ht="28" customHeight="1">
      <c r="A1" s="1" t="inlineStr">
        <is>
          <t>Inversión Inicial: La Cifra que Viene y la que se Dota Aquí</t>
        </is>
      </c>
    </row>
    <row r="2">
      <c r="A2" t="inlineStr">
        <is>
          <t>AI Chef Pro · aichef.pro — Cómo Montar una Chocolatería</t>
        </is>
      </c>
    </row>
    <row r="3" ht="26" customHeight="1">
      <c r="A3" s="5" t="inlineStr">
        <is>
          <t>Esta hoja NO te vuelve a pedir las nueve partidas del CAPEX: eso lo hace el libro «calculadora-capex-chocolateria». Aquí entra UNA cifra suya -el CAPEX SIN el fondo de maniobra- y se DOTA el fondo de maniobra con tus meses de colchón y tus gastos fijos. El fondo se calcula una sola vez en todo el pack, y es aquí.</t>
        </is>
      </c>
    </row>
    <row r="4"/>
    <row r="5">
      <c r="A5" s="4" t="inlineStr">
        <is>
          <t>LO QUE VIENE DEL LIBRO DE CAPEX (cruce 7 &lt;- 2)</t>
        </is>
      </c>
      <c r="B5" s="10" t="inlineStr"/>
      <c r="C5" s="10" t="inlineStr"/>
      <c r="D5" s="10" t="inlineStr"/>
    </row>
    <row r="6" ht="44" customHeight="1">
      <c r="A6" s="9" t="inlineStr">
        <is>
          <t>CAPEX SIN el fondo de maniobra: trae aquí la cifra de calculadora-capex-chocolateria.xlsx!Resumen!B7 («CAPEX SIN el fondo de maniobra»)</t>
        </is>
      </c>
      <c r="B6" s="13" t="n">
        <v>89219.35000000001</v>
      </c>
      <c r="D6" s="5" t="inlineStr">
        <is>
          <t>CÓPIALA A MANO. No hay ninguna fórmula entre ficheros: un enlace se rompe en cuanto alguien mueve una carpeta, y entonces el libro miente sin avisar. Y OJO CON CUÁL COPIAS: NO es «el CAPEX total». El total de aquel libro lleva DENTRO el bloque «fondo de maniobra», y este libro vuelve a dotarlo tres filas más abajo: traer el total contaría el fondo dos veces y publicaría dos inversiones totales distintas para la misma bombonería. VALOR POR DEFECTO DECLARADO: el del caso «La Almendra».</t>
        </is>
      </c>
    </row>
    <row r="7">
      <c r="A7" s="9" t="inlineStr">
        <is>
          <t>Cifra que publica hoy esa celda del libro de CAPEX</t>
        </is>
      </c>
      <c r="B7" s="13" t="n">
        <v>89219.35000000001</v>
      </c>
      <c r="D7" s="5" t="inlineStr">
        <is>
          <t>Anota aquí lo que ves en el libro 2 la última vez que lo abriste. Si arriba tecleas otra cosa -porque has cerrado un presupuesto mejor, o porque el instalador te ha subido la climatización-, la fila de CUADRE te avisa en vez de dejar las dos cifras separadas en silencio.</t>
        </is>
      </c>
    </row>
    <row r="8">
      <c r="A8" t="inlineStr">
        <is>
          <t>Desviación entre las dos</t>
        </is>
      </c>
      <c r="B8" s="17">
        <f>IFERROR(ABS(B6-B7)/B7,"")</f>
        <v>0.0</v>
      </c>
    </row>
    <row r="9">
      <c r="A9" s="21" t="inlineStr">
        <is>
          <t>CUADRE DEL CAPEX: lo que usas frente a lo que publica el libro 2</t>
        </is>
      </c>
      <c r="B9" s="22" t="str">
        <f>IFERROR(IF(NOT(ISNUMBER(B8)),"",IF(B8&lt;='0. Supuestos'!$B$72,"CUADRA","REVISA: el CAPEX que estás usando no es el que publica el libro 2")),"")</f>
        <v>CUADRA</v>
      </c>
      <c r="D9" s="5" t="inlineStr">
        <is>
          <t>Es la red de seguridad de todo el pack: dos libros que dicen cosas distintas sobre la misma inversión es el defecto que más caro sale y el que menos se nota.</t>
        </is>
      </c>
    </row>
    <row r="10" ht="30" customHeight="1">
      <c r="A10" s="9" t="inlineStr">
        <is>
          <t>IVA soportado sobre la inversión, traído del libro 2</t>
        </is>
      </c>
      <c r="B10" s="13" t="n">
        <v>17912.86</v>
      </c>
      <c r="D10" s="5" t="inlineStr">
        <is>
          <t>Copia de calculadora-capex-chocolateria.xlsx!CAPEX por Bloque!M40 («IVA soportado total»). Se recupera por el modelo 303, pero hay que ADELANTARLO: la hoja de Tesorería lo arrastra trimestre a trimestre, y esa espera es la partida que más sorprende al que abre.</t>
        </is>
      </c>
    </row>
    <row r="11" ht="30" customHeight="1">
      <c r="A11" s="9" t="inlineStr">
        <is>
          <t>Inmovilizado amortizable, traído del libro 2</t>
        </is>
      </c>
      <c r="B11" s="13" t="n">
        <v>83614.99000000001</v>
      </c>
      <c r="D11" s="5" t="inlineStr">
        <is>
          <t>El CAPEX menos la FIANZA (que es un depósito y se recupera) y menos el primer pedido de packaging y moldes de consumo (que son existencias, no inmovilizado). De aquí sale la amortización anual que entra en los costes fijos.</t>
        </is>
      </c>
    </row>
    <row r="12"/>
    <row r="13">
      <c r="A13" s="4" t="inlineStr">
        <is>
          <t>EL FONDO DE MANIOBRA SE DOTA AQUÍ (y viaja al libro 2 ya calculado: cruce 2 &lt;- 7)</t>
        </is>
      </c>
      <c r="B13" s="10" t="inlineStr"/>
      <c r="C13" s="10" t="inlineStr"/>
      <c r="D13" s="10" t="inlineStr"/>
    </row>
    <row r="14">
      <c r="A14" s="23" t="inlineStr">
        <is>
          <t>Gastos fijos mensuales del año de crucero (€)</t>
        </is>
      </c>
      <c r="B14" s="24">
        <f>IFERROR('PyG 3 Años'!C31/12,"")</f>
        <v>10212.169275499467</v>
      </c>
      <c r="C14" s="22" t="n"/>
      <c r="D14" s="25" t="inlineStr">
        <is>
          <t>El total de costes fijos del AÑO 2 del P&amp;L dividido entre doce. Es la foto de un mes normal: por eso lleva dentro la amortización y los intereses del AÑO DE CRUCERO, no los del año 1, que es el de la carencia. Ésta es una de las dos celdas que cita el resto del pack.</t>
        </is>
      </c>
    </row>
    <row r="15">
      <c r="A15" s="9" t="inlineStr">
        <is>
          <t>Meses de colchón (de «0. Supuestos»)</t>
        </is>
      </c>
      <c r="B15" s="26">
        <f>IFERROR('0. Supuestos'!$B$45,"")</f>
        <v>6.0</v>
      </c>
      <c r="D15" s="5" t="inlineStr">
        <is>
          <t>Se decide en «0. Supuestos», y sólo allí. El libro de CAPEX no lo pregunta.</t>
        </is>
      </c>
    </row>
    <row r="16">
      <c r="A16" s="23" t="inlineStr">
        <is>
          <t>FONDO DE MANIOBRA (€)</t>
        </is>
      </c>
      <c r="B16" s="24">
        <f>IFERROR(B14*B15,"")</f>
        <v>61273.01565299681</v>
      </c>
      <c r="C16" s="22" t="n"/>
      <c r="D16" s="25" t="inlineStr">
        <is>
          <t>Meses de colchón x gastos fijos mensuales. ES LA CIFRA QUE VIAJA AL LIBRO 2: cópiala allí en su celda verde del cruce, y su fila de CUADRE te dirá si las dos siguen diciendo lo mismo. No es inversión que se compra: es caja, y es lo que te deja llegar a octubre del primer año.</t>
        </is>
      </c>
    </row>
    <row r="17"/>
    <row r="18">
      <c r="A18" s="4" t="inlineStr">
        <is>
          <t>LA INVERSIÓN, EN DOS LÍNEAS</t>
        </is>
      </c>
      <c r="B18" s="10" t="inlineStr"/>
      <c r="C18" s="10" t="inlineStr"/>
      <c r="D18" s="10" t="inlineStr"/>
    </row>
    <row r="19">
      <c r="A19" s="9" t="inlineStr">
        <is>
          <t>CAPEX (lo que se compra, sin el fondo de maniobra)</t>
        </is>
      </c>
      <c r="B19" s="14">
        <f>IFERROR(B6,"")</f>
        <v>89219.35</v>
      </c>
      <c r="C19" s="15">
        <f>IFERROR(B19/B21,"")</f>
        <v>0.5928496745524005</v>
      </c>
      <c r="D19" s="5" t="inlineStr">
        <is>
          <t>Obra, climatización, equipo de templado, frío, mobiliario, packaging y moldes, TPV y rótulo, fianza y licencias.</t>
        </is>
      </c>
    </row>
    <row r="20">
      <c r="A20" s="9" t="inlineStr">
        <is>
          <t>Del cual NO forma parte: el fondo de maniobra (es caja)</t>
        </is>
      </c>
      <c r="B20" s="14">
        <f>IFERROR(B16,"")</f>
        <v>61273.01565299681</v>
      </c>
      <c r="C20" s="15">
        <f>IFERROR(B20/B21,"")</f>
        <v>0.40715032544759955</v>
      </c>
    </row>
    <row r="21">
      <c r="A21" s="23" t="inlineStr">
        <is>
          <t>INVERSIÓN TOTAL (lo que se compra más la caja del arranque)</t>
        </is>
      </c>
      <c r="B21" s="24">
        <f>IFERROR(B19+B20,"")</f>
        <v>150492.3656529968</v>
      </c>
      <c r="C21" s="22" t="n"/>
      <c r="D21" s="25" t="inlineStr">
        <is>
          <t>Esta cifra y la que publica el libro de CAPEX tienen que ser IDÉNTICAS, y lo son por construcción: aquel libro publica el CAPEX ya depurado de fondo y éste le devuelve el fondo ya calculado.</t>
        </is>
      </c>
    </row>
    <row r="22">
      <c r="A22" s="9" t="inlineStr">
        <is>
          <t>IVA soportado sobre la inversión (recuperable, pero hay que ADELANTARLO)</t>
        </is>
      </c>
      <c r="B22" s="14">
        <f>IFERROR(B10,"")</f>
        <v>17912.86</v>
      </c>
    </row>
    <row r="23">
      <c r="A23" s="23" t="inlineStr">
        <is>
          <t>NECESIDAD TOTAL DE CAJA AL ARRANQUE</t>
        </is>
      </c>
      <c r="B23" s="24">
        <f>IFERROR(B21+B22,"")</f>
        <v>168405.2256529968</v>
      </c>
      <c r="C23" s="22" t="n"/>
      <c r="D23" s="25" t="inlineStr">
        <is>
          <t>Es la cifra que tiene que cubrir la hoja de Financiación. Si el origen de fondos no llega aquí, el plan no está financiado, y da igual lo bonito que sea el P&amp;L.</t>
        </is>
      </c>
    </row>
    <row r="24"/>
    <row r="25">
      <c r="A25" s="4" t="inlineStr">
        <is>
          <t>BASES DE AMORTIZACIÓN (no suman a la inversión)</t>
        </is>
      </c>
      <c r="B25" s="10" t="inlineStr"/>
      <c r="C25" s="10" t="inlineStr"/>
      <c r="D25" s="10" t="inlineStr"/>
    </row>
    <row r="26">
      <c r="A26" s="9" t="inlineStr">
        <is>
          <t>Inmovilizado amortizable</t>
        </is>
      </c>
      <c r="B26" s="14">
        <f>IFERROR(B11,"")</f>
        <v>83614.99</v>
      </c>
      <c r="D26" s="5" t="inlineStr">
        <is>
          <t>El que has traído del libro 2. Ni la fianza ni el fondo de maniobra se amortizan: la primera se recupera y el segundo es caja.</t>
        </is>
      </c>
    </row>
    <row r="27">
      <c r="A27" s="9" t="inlineStr">
        <is>
          <t>Amortización anual del inmovilizado</t>
        </is>
      </c>
      <c r="B27" s="14">
        <f>IFERROR(B26/MAX(1,'0. Supuestos'!$B$51),"")</f>
        <v>8361.499</v>
      </c>
      <c r="D27" s="5" t="inlineStr">
        <is>
          <t>Es la línea que entra en los costes fijos del P&amp;L. Sin ella la rentabilidad publicada es mentira: la atemperadora se gasta, y la cámara de chocolate también.</t>
        </is>
      </c>
    </row>
    <row r="28"/>
    <row r="29" ht="46" customHeight="1">
      <c r="A29" s="5" t="inlineStr">
        <is>
          <t>Todas las cifras van en BASE SIN IVA. El IVA de la inversión se trae aparte, arriba, para que puedas ver cuánto dinero tienes que adelantar y cuánto vas a recuperar. Y una advertencia que vale dinero: la renta que pagues ANTES de abrir no está aquí. Si la vas a pagar, súmala en el libro de CAPEX a la línea de fianza y dilo en su nota, para que los dos libros sigan diciendo lo mismo.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D3"/>
    <mergeCell ref="A29:D29"/>
  </mergeCells>
  <conditionalFormatting sqref="B9">
    <cfRule type="cellIs" priority="1" operator="equal" dxfId="0" stopIfTrue="1">
      <formula>"REVISA: el CAPEX que estás usando no es el que publica el libro 2"</formula>
    </cfRule>
    <cfRule type="cellIs" priority="2" operator="equal" dxfId="1" stopIfTrue="1">
      <formula>"CUADRA"</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82"/>
  <sheetViews>
    <sheetView workbookViewId="0">
      <pane ySplit="5" topLeftCell="A6"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3" customWidth="1" min="5" max="5"/>
    <col width="13" customWidth="1" min="6" max="6"/>
    <col width="80" customWidth="1" min="7" max="7"/>
  </cols>
  <sheetData>
    <row r="1" ht="28" customHeight="1">
      <c r="A1" s="1" t="inlineStr">
        <is>
          <t>Cuenta de Resultados a 3 Años</t>
        </is>
      </c>
    </row>
    <row r="2">
      <c r="A2" t="inlineStr">
        <is>
          <t>AI Chef Pro · aichef.pro — Cómo Montar una Chocolatería</t>
        </is>
      </c>
    </row>
    <row r="3" ht="26" customHeight="1">
      <c r="A3" s="5" t="inlineStr">
        <is>
          <t>El AÑO 2 es el año de crucero: es el que citan la guía y el business plan. El año 1 lleva la rampa de arranque -y el valle de agosto dentro- y el año 3 crece sobre el crucero. Amortización, intereses y la cuota de autónomos del titular van DENTRO de los costes fijos.</t>
        </is>
      </c>
    </row>
    <row r="4"/>
    <row r="5" ht="30" customHeight="1">
      <c r="A5" s="7" t="inlineStr">
        <is>
          <t>Concepto</t>
        </is>
      </c>
      <c r="B5" s="7" t="inlineStr">
        <is>
          <t>Año 1 (arranque)</t>
        </is>
      </c>
      <c r="C5" s="7" t="inlineStr">
        <is>
          <t>Año 2 (crucero)</t>
        </is>
      </c>
      <c r="D5" s="7" t="inlineStr">
        <is>
          <t>Año 3</t>
        </is>
      </c>
      <c r="E5" s="7" t="inlineStr">
        <is>
          <t>% s/ventas (año 2)</t>
        </is>
      </c>
      <c r="F5" s="7" t="inlineStr">
        <is>
          <t>Tipo de IVA de la línea</t>
        </is>
      </c>
      <c r="G5" s="7" t="inlineStr">
        <is>
          <t>Notas</t>
        </is>
      </c>
    </row>
    <row r="6">
      <c r="A6" s="4" t="inlineStr">
        <is>
          <t>INGRESOS</t>
        </is>
      </c>
      <c r="B6" s="10" t="inlineStr"/>
      <c r="C6" s="10" t="inlineStr"/>
      <c r="D6" s="10" t="inlineStr"/>
      <c r="E6" s="10" t="inlineStr"/>
      <c r="F6" s="10" t="inlineStr"/>
      <c r="G6" s="10" t="inlineStr"/>
    </row>
    <row r="7">
      <c r="A7" t="inlineStr">
        <is>
          <t>Clientes al día</t>
        </is>
      </c>
      <c r="B7" s="26">
        <f>IFERROR('0. Supuestos'!$B$6,"")</f>
        <v>67.0</v>
      </c>
      <c r="C7" s="26">
        <f>IFERROR('0. Supuestos'!$B$6,"")</f>
        <v>67.0</v>
      </c>
      <c r="D7" s="26">
        <f>IFERROR(C7*(1+'0. Supuestos'!$B$13),"")</f>
        <v>69.68</v>
      </c>
      <c r="G7" s="5" t="inlineStr">
        <is>
          <t>Los años 1 y 2 comparten el tráfico de crucero; lo que separa al año 1 es la rampa de la fila de abajo, no menos clientes al día en el mes 12.</t>
        </is>
      </c>
    </row>
    <row r="8">
      <c r="A8" t="inlineStr">
        <is>
          <t>Ticket medio sin IVA (€)</t>
        </is>
      </c>
      <c r="B8" s="14">
        <f>IFERROR('0. Supuestos'!$B$10,"")</f>
        <v>9.774545454545454</v>
      </c>
      <c r="C8" s="14">
        <f>IFERROR('0. Supuestos'!$B$10,"")</f>
        <v>9.774545454545454</v>
      </c>
      <c r="D8" s="14">
        <f>IFERROR('0. Supuestos'!$B$10,"")</f>
        <v>9.774545454545454</v>
      </c>
      <c r="G8" s="5" t="inlineStr">
        <is>
          <t>Constante en euros del año 1: una subida de precios es una decisión aparte, y se toma en la carta, no aquí.</t>
        </is>
      </c>
    </row>
    <row r="9">
      <c r="A9" t="inlineStr">
        <is>
          <t>Días de apertura al año</t>
        </is>
      </c>
      <c r="B9" s="26">
        <f>IFERROR('0. Supuestos'!$B$11,"")</f>
        <v>304.0</v>
      </c>
      <c r="C9" s="26">
        <f>IFERROR('0. Supuestos'!$B$11,"")</f>
        <v>304.0</v>
      </c>
      <c r="D9" s="26">
        <f>IFERROR('0. Supuestos'!$B$11,"")</f>
        <v>304.0</v>
      </c>
    </row>
    <row r="10">
      <c r="A10" t="inlineStr">
        <is>
          <t>Actividad sobre la velocidad de crucero (%)</t>
        </is>
      </c>
      <c r="B10" s="15">
        <f>IFERROR('0. Supuestos'!$B$12,"")</f>
        <v>0.88450094</v>
      </c>
      <c r="C10" s="16" t="n">
        <v>1</v>
      </c>
      <c r="D10" s="16" t="n">
        <v>1</v>
      </c>
      <c r="G10" s="5" t="inlineStr">
        <is>
          <t>El año 1 lo calcula «0. Supuestos» desde la rampa y la estacionalidad de la hoja de Tesorería. Los años 2 y 3 están al 100 % porque el año 2 es, por definición, el de crucero: si crees que vas a tardar más en llegar, bájalos.</t>
        </is>
      </c>
    </row>
    <row r="11">
      <c r="A11" s="22" t="inlineStr">
        <is>
          <t>INGRESOS TOTALES (sin IVA)</t>
        </is>
      </c>
      <c r="B11" s="24">
        <f>IFERROR(IF(B7*B8*B9*B10=0,"",B7*B8*B9*B10),"")</f>
        <v>176093.4716808471</v>
      </c>
      <c r="C11" s="24">
        <f>IFERROR(IF(C7*C8*C9*C10=0,"",C7*C8*C9*C10),"")</f>
        <v>199087.9418181818</v>
      </c>
      <c r="D11" s="24">
        <f>IFERROR(IF(D7*D8*D9*D10=0,"",D7*D8*D9*D10),"")</f>
        <v>207051.45949090907</v>
      </c>
      <c r="E11" s="27">
        <f>IFERROR(C11/$C$11,"")</f>
        <v>1.0</v>
      </c>
      <c r="F11" s="28">
        <f>IFERROR('0. Supuestos'!$B$20,"")</f>
        <v>0.1</v>
      </c>
      <c r="G11" s="29" t="inlineStr">
        <is>
          <t>Clientes x ticket medio sin IVA x días x actividad. El reparto por canal está en la hoja «Canales y Punto Muerto»: aquí es UNA cifra, porque lo que cambia por canal es el MARGEN, no el precio.</t>
        </is>
      </c>
    </row>
    <row r="12">
      <c r="A12" s="4" t="inlineStr">
        <is>
          <t>COSTES VARIABLES</t>
        </is>
      </c>
      <c r="B12" s="10" t="inlineStr"/>
      <c r="C12" s="10" t="inlineStr"/>
      <c r="D12" s="10" t="inlineStr"/>
      <c r="E12" s="10" t="inlineStr"/>
      <c r="F12" s="10" t="inlineStr"/>
      <c r="G12" s="10" t="inlineStr"/>
    </row>
    <row r="13">
      <c r="A13" t="inlineStr">
        <is>
          <t>Coste de ventas (cobertura, rellenos, packaging y merma)</t>
        </is>
      </c>
      <c r="B13" s="14">
        <f>IFERROR(IF(B11="","",B11*'0. Supuestos'!$B$24),"")</f>
        <v>49731.58572326265</v>
      </c>
      <c r="C13" s="14">
        <f>IFERROR(IF(C11="","",C11*'0. Supuestos'!$B$24),"")</f>
        <v>56225.588322452946</v>
      </c>
      <c r="D13" s="14">
        <f>IFERROR(IF(D11="","",D11*'0. Supuestos'!$B$24),"")</f>
        <v>58474.61185535106</v>
      </c>
      <c r="E13" s="15">
        <f>IFERROR(C13/$C$11,"")</f>
        <v>0.28241584000000003</v>
      </c>
      <c r="F13" s="15">
        <f>IFERROR('0. Supuestos'!$B$19,"")</f>
        <v>0.1</v>
      </c>
      <c r="G13" s="5" t="inlineStr">
        <is>
          <t>Al food cost DERIVADO de «0. Supuestos»: el de escandallo de la carta más el packaging. La materia prima que manda aquí es la cobertura, y su precio vive en el libro «sensibilidad-al-precio-del-cacao» EN BASE IMPONIBLE: si copias el precio con IVA, este renglón sale un 9 % alto.</t>
        </is>
      </c>
    </row>
    <row r="14">
      <c r="A14" s="22" t="inlineStr">
        <is>
          <t>TOTAL COSTES VARIABLES</t>
        </is>
      </c>
      <c r="B14" s="24">
        <f>IFERROR(IF(B11="","",B13),"")</f>
        <v>49731.58572326265</v>
      </c>
      <c r="C14" s="24">
        <f>IFERROR(IF(C11="","",C13),"")</f>
        <v>56225.588322452946</v>
      </c>
      <c r="D14" s="24">
        <f>IFERROR(IF(D11="","",D13),"")</f>
        <v>58474.61185535106</v>
      </c>
      <c r="E14" s="27">
        <f>IFERROR(C14/$C$11,"")</f>
        <v>0.28241584000000003</v>
      </c>
      <c r="F14" s="22" t="n"/>
      <c r="G14" s="22" t="n"/>
    </row>
    <row r="15">
      <c r="A15" s="22" t="inlineStr">
        <is>
          <t>MARGEN BRUTO</t>
        </is>
      </c>
      <c r="B15" s="24">
        <f>IFERROR(IF(B11="","",B11-B14),"")</f>
        <v>126361.88595758445</v>
      </c>
      <c r="C15" s="24">
        <f>IFERROR(IF(C11="","",C11-C14),"")</f>
        <v>142862.35349572886</v>
      </c>
      <c r="D15" s="24">
        <f>IFERROR(IF(D11="","",D11-D14),"")</f>
        <v>148576.847635558</v>
      </c>
      <c r="E15" s="27">
        <f>IFERROR(C15/$C$11,"")</f>
        <v>0.71758416</v>
      </c>
      <c r="F15" s="22" t="n"/>
      <c r="G15" s="22" t="n"/>
    </row>
    <row r="16">
      <c r="A16" s="4" t="inlineStr">
        <is>
          <t>COSTES FIJOS</t>
        </is>
      </c>
      <c r="B16" s="10" t="inlineStr"/>
      <c r="C16" s="10" t="inlineStr"/>
      <c r="D16" s="10" t="inlineStr"/>
      <c r="E16" s="10" t="inlineStr"/>
      <c r="F16" s="10" t="inlineStr"/>
      <c r="G16" s="10" t="inlineStr"/>
    </row>
    <row r="17">
      <c r="A17" t="inlineStr">
        <is>
          <t>Personal (nóminas y Seguridad Social)</t>
        </is>
      </c>
      <c r="B17" s="14">
        <f>IFERROR(IF(B11="","",'Personal'!$I$9),"")</f>
        <v>68418.72450000001</v>
      </c>
      <c r="C17" s="14">
        <f>IFERROR(IF(C11="","",'Personal'!$I$9),"")</f>
        <v>68418.72450000001</v>
      </c>
      <c r="D17" s="14">
        <f>IFERROR(IF(D11="","",'Personal'!$I$9),"")</f>
        <v>68418.72450000001</v>
      </c>
      <c r="E17" s="15">
        <f>IFERROR(C17/$C$11,"")</f>
        <v>0.3436608157940766</v>
      </c>
      <c r="F17" s="15" t="n">
        <v>0</v>
      </c>
      <c r="G17" s="5" t="inlineStr">
        <is>
          <t>Sale de la hoja de Personal: es el MISMO número, no una estimación aparte, y dentro va la retribución del titular, que es el Encargado. Las nóminas no llevan IVA. El refuerzo de campañas NO está aquí: se dimensiona en el libro «campanas-y-valle-del-ano».</t>
        </is>
      </c>
    </row>
    <row r="18">
      <c r="A18" t="inlineStr">
        <is>
          <t>Cuota de autónomos del titular</t>
        </is>
      </c>
      <c r="B18" s="14">
        <f>IFERROR(IF(B11="","",'0. Supuestos'!$B$37*12),"")</f>
        <v>3840.0</v>
      </c>
      <c r="C18" s="14">
        <f>IFERROR(IF(C11="","",B18*(1+'0. Supuestos'!$B$38)),"")</f>
        <v>3840.0</v>
      </c>
      <c r="D18" s="14">
        <f>IFERROR(IF(D11="","",C18*(1+'0. Supuestos'!$B$38)),"")</f>
        <v>3840.0</v>
      </c>
      <c r="E18" s="15">
        <f>IFERROR(C18/$C$11,"")</f>
        <v>0.019287958702726968</v>
      </c>
      <c r="F18" s="15" t="n">
        <v>0</v>
      </c>
      <c r="G18" s="5" t="inlineStr">
        <is>
          <t>RENGLÓN PROPIO, y es lo ÚNICO que va aparte del titular: su sueldo ya está en la nómina de arriba, porque el titular de este caso es el Encargado. Ponerle además una «retribución del propietario» sería contarlo dos veces.</t>
        </is>
      </c>
    </row>
    <row r="19">
      <c r="A19" t="inlineStr">
        <is>
          <t>Alquiler del local</t>
        </is>
      </c>
      <c r="B19" s="14">
        <f>IFERROR(IF(B11="","",'0. Supuestos'!$B$34*12),"")</f>
        <v>15600.0</v>
      </c>
      <c r="C19" s="14">
        <f>IFERROR(IF(C11="","",B19*(1+'0. Supuestos'!$B$38)),"")</f>
        <v>15600.0</v>
      </c>
      <c r="D19" s="14">
        <f>IFERROR(IF(D11="","",C19*(1+'0. Supuestos'!$B$38)),"")</f>
        <v>15600.0</v>
      </c>
      <c r="E19" s="15">
        <f>IFERROR(C19/$C$11,"")</f>
        <v>0.07835733222982831</v>
      </c>
      <c r="F19" s="15">
        <f>IFERROR('0. Supuestos'!$B$18,"")</f>
        <v>0.21</v>
      </c>
      <c r="G19" s="5" t="inlineStr">
        <is>
          <t>El importe mensual está en «0. Supuestos»; aquí se multiplica por doce. El arrendamiento de local de negocio lleva IVA al tipo general.</t>
        </is>
      </c>
    </row>
    <row r="20">
      <c r="A20" t="inlineStr">
        <is>
          <t>Suministros (luz, agua y climatización)</t>
        </is>
      </c>
      <c r="B20" s="14">
        <f>IFERROR(IF(B11="","",'0. Supuestos'!$B$36*12),"")</f>
        <v>9360.0</v>
      </c>
      <c r="C20" s="14">
        <f>IFERROR(IF(C11="","",B20*(1+'0. Supuestos'!$B$38)),"")</f>
        <v>9360.0</v>
      </c>
      <c r="D20" s="14">
        <f>IFERROR(IF(D11="","",C20*(1+'0. Supuestos'!$B$38)),"")</f>
        <v>9360.0</v>
      </c>
      <c r="E20" s="15">
        <f>IFERROR(C20/$C$11,"")</f>
        <v>0.04701439933789699</v>
      </c>
      <c r="F20" s="15">
        <f>IFERROR('0. Supuestos'!$B$18,"")</f>
        <v>0.21</v>
      </c>
      <c r="G20" s="5" t="inlineStr">
        <is>
          <t>Luz va al 21 % y el agua al 10 %. El libro aplica a toda la partida el tipo de la columna de al lado: si el agua te pesa, sepárala en su propia línea. Y ojo en agosto: la climatización con deshumidificación no para aunque pare el obrador.</t>
        </is>
      </c>
    </row>
    <row r="21">
      <c r="A21" t="inlineStr">
        <is>
          <t>Seguros</t>
        </is>
      </c>
      <c r="B21" s="13" t="n">
        <v>1320</v>
      </c>
      <c r="C21" s="14">
        <f>IFERROR(IF(C11="","",B21*(1+'0. Supuestos'!$B$38)),"")</f>
        <v>1320.0</v>
      </c>
      <c r="D21" s="14">
        <f>IFERROR(IF(D11="","",C21*(1+'0. Supuestos'!$B$38)),"")</f>
        <v>1320.0</v>
      </c>
      <c r="E21" s="15">
        <f>IFERROR(C21/$C$11,"")</f>
        <v>0.006630235804062396</v>
      </c>
      <c r="F21" s="16" t="n">
        <v>0</v>
      </c>
      <c r="G21" s="5" t="inlineStr">
        <is>
          <t>Responsabilidad civil y continente. `CHN-70` (seguro de RC) está en los EXCLUIDOS de la verificación legal: NO está verificado como obligatorio y depende de tu comunidad autónoma, así que aquí va como supuesto y sin cifra de norma detrás. Las operaciones de seguro están exentas de IVA, y por eso su tipo va a cero. Importe ANUAL: el mensual del caso, por doce.</t>
        </is>
      </c>
    </row>
    <row r="22">
      <c r="A22" t="inlineStr">
        <is>
          <t>Gestoría y asesoría</t>
        </is>
      </c>
      <c r="B22" s="13" t="n">
        <v>2400</v>
      </c>
      <c r="C22" s="14">
        <f>IFERROR(IF(C11="","",B22*(1+'0. Supuestos'!$B$38)),"")</f>
        <v>2400.0</v>
      </c>
      <c r="D22" s="14">
        <f>IFERROR(IF(D11="","",C22*(1+'0. Supuestos'!$B$38)),"")</f>
        <v>2400.0</v>
      </c>
      <c r="E22" s="15">
        <f>IFERROR(C22/$C$11,"")</f>
        <v>0.012054974189204355</v>
      </c>
      <c r="F22" s="16" t="n">
        <v>0.21</v>
      </c>
      <c r="G22" s="5" t="inlineStr">
        <is>
          <t>Supuesto. Importe ANUAL: el mensual del caso, por doce.</t>
        </is>
      </c>
    </row>
    <row r="23">
      <c r="A23" t="inlineStr">
        <is>
          <t>Software, TPV y pasarela de cobro</t>
        </is>
      </c>
      <c r="B23" s="13" t="n">
        <v>720</v>
      </c>
      <c r="C23" s="14">
        <f>IFERROR(IF(C11="","",B23*(1+'0. Supuestos'!$B$38)),"")</f>
        <v>720.0</v>
      </c>
      <c r="D23" s="14">
        <f>IFERROR(IF(D11="","",C23*(1+'0. Supuestos'!$B$38)),"")</f>
        <v>720.0</v>
      </c>
      <c r="E23" s="15">
        <f>IFERROR(C23/$C$11,"")</f>
        <v>0.0036164922567613065</v>
      </c>
      <c r="F23" s="16" t="n">
        <v>0.21</v>
      </c>
      <c r="G23" s="5" t="inlineStr">
        <is>
          <t>Supuesto. Con Verifactu en el horizonte (1 de enero de 2027 para sociedades y 1 de julio de 2027 para autónomos, no 2026) esta cuota deja de ser opcional. Importe ANUAL: el mensual del caso, por doce.</t>
        </is>
      </c>
    </row>
    <row r="24">
      <c r="A24" t="inlineStr">
        <is>
          <t>Telefonía e internet</t>
        </is>
      </c>
      <c r="B24" s="13" t="n">
        <v>660</v>
      </c>
      <c r="C24" s="14">
        <f>IFERROR(IF(C11="","",B24*(1+'0. Supuestos'!$B$38)),"")</f>
        <v>660.0</v>
      </c>
      <c r="D24" s="14">
        <f>IFERROR(IF(D11="","",C24*(1+'0. Supuestos'!$B$38)),"")</f>
        <v>660.0</v>
      </c>
      <c r="E24" s="15">
        <f>IFERROR(C24/$C$11,"")</f>
        <v>0.003315117902031198</v>
      </c>
      <c r="F24" s="16" t="n">
        <v>0.21</v>
      </c>
      <c r="G24" s="5" t="inlineStr">
        <is>
          <t>Supuesto. Importe ANUAL: el mensual del caso, por doce.</t>
        </is>
      </c>
    </row>
    <row r="25">
      <c r="A25" t="inlineStr">
        <is>
          <t>Limpieza y consumibles</t>
        </is>
      </c>
      <c r="B25" s="13" t="n">
        <v>1680</v>
      </c>
      <c r="C25" s="14">
        <f>IFERROR(IF(C11="","",B25*(1+'0. Supuestos'!$B$38)),"")</f>
        <v>1680.0</v>
      </c>
      <c r="D25" s="14">
        <f>IFERROR(IF(D11="","",C25*(1+'0. Supuestos'!$B$38)),"")</f>
        <v>1680.0</v>
      </c>
      <c r="E25" s="15">
        <f>IFERROR(C25/$C$11,"")</f>
        <v>0.00843848193244305</v>
      </c>
      <c r="F25" s="16" t="n">
        <v>0.21</v>
      </c>
      <c r="G25" s="5" t="inlineStr">
        <is>
          <t>Supuesto. Incluye guantes y utillaje dedicado: el equipo que has usado con un alérgeno no se reutiliza para otro alimento sin limpiarlo. Importe ANUAL: el mensual del caso, por doce.</t>
        </is>
      </c>
    </row>
    <row r="26">
      <c r="A26" t="inlineStr">
        <is>
          <t>Mantenimiento de equipos</t>
        </is>
      </c>
      <c r="B26" s="13" t="n">
        <v>1560</v>
      </c>
      <c r="C26" s="14">
        <f>IFERROR(IF(C11="","",B26*(1+'0. Supuestos'!$B$38)),"")</f>
        <v>1560.0</v>
      </c>
      <c r="D26" s="14">
        <f>IFERROR(IF(D11="","",C26*(1+'0. Supuestos'!$B$38)),"")</f>
        <v>1560.0</v>
      </c>
      <c r="E26" s="15">
        <f>IFERROR(C26/$C$11,"")</f>
        <v>0.007835733222982831</v>
      </c>
      <c r="F26" s="16" t="n">
        <v>0.21</v>
      </c>
      <c r="G26" s="5" t="inlineStr">
        <is>
          <t>Supuesto. Si montas la variante de taza y churros con freidora de gas, súmale la inspección periódica obligatoria cada cinco años, que se te repercute. Importe ANUAL: el mensual del caso, por doce.</t>
        </is>
      </c>
    </row>
    <row r="27">
      <c r="A27" t="inlineStr">
        <is>
          <t>Publicidad y redes</t>
        </is>
      </c>
      <c r="B27" s="13" t="n">
        <v>2160</v>
      </c>
      <c r="C27" s="14">
        <f>IFERROR(IF(C11="","",B27*(1+'0. Supuestos'!$B$38)),"")</f>
        <v>2160.0</v>
      </c>
      <c r="D27" s="14">
        <f>IFERROR(IF(D11="","",C27*(1+'0. Supuestos'!$B$38)),"")</f>
        <v>2160.0</v>
      </c>
      <c r="E27" s="15">
        <f>IFERROR(C27/$C$11,"")</f>
        <v>0.01084947677028392</v>
      </c>
      <c r="F27" s="16" t="n">
        <v>0.21</v>
      </c>
      <c r="G27" s="5" t="inlineStr">
        <is>
          <t>Supuesto. Importe ANUAL: el mensual del caso, por doce.</t>
        </is>
      </c>
    </row>
    <row r="28">
      <c r="A28" t="inlineStr">
        <is>
          <t>Otros gastos de estructura</t>
        </is>
      </c>
      <c r="B28" s="13" t="n">
        <v>1560</v>
      </c>
      <c r="C28" s="14">
        <f>IFERROR(IF(C11="","",B28*(1+'0. Supuestos'!$B$38)),"")</f>
        <v>1560.0</v>
      </c>
      <c r="D28" s="14">
        <f>IFERROR(IF(D11="","",C28*(1+'0. Supuestos'!$B$38)),"")</f>
        <v>1560.0</v>
      </c>
      <c r="E28" s="15">
        <f>IFERROR(C28/$C$11,"")</f>
        <v>0.007835733222982831</v>
      </c>
      <c r="F28" s="16" t="n">
        <v>0.21</v>
      </c>
      <c r="G28" s="5" t="inlineStr">
        <is>
          <t>Supuesto. Importe ANUAL: el mensual del caso, por doce.</t>
        </is>
      </c>
    </row>
    <row r="29">
      <c r="A29" t="inlineStr">
        <is>
          <t>Amortización del inmovilizado</t>
        </is>
      </c>
      <c r="B29" s="14">
        <f>IFERROR(IF(B11="","",'Inversión Inicial'!$B$27),"")</f>
        <v>8361.499</v>
      </c>
      <c r="C29" s="14">
        <f>IFERROR(IF(C11="","",'Inversión Inicial'!$B$27),"")</f>
        <v>8361.499</v>
      </c>
      <c r="D29" s="14">
        <f>IFERROR(IF(D11="","",'Inversión Inicial'!$B$27),"")</f>
        <v>8361.499</v>
      </c>
      <c r="E29" s="15">
        <f>IFERROR(C29/$C$11,"")</f>
        <v>0.041999022761690846</v>
      </c>
      <c r="F29" s="15" t="n">
        <v>0</v>
      </c>
      <c r="G29" s="5" t="inlineStr">
        <is>
          <t>Sale de la base de amortización de la hoja de Inversión. No sube con el IPC: es un reparto contable de una inversión ya hecha.</t>
        </is>
      </c>
    </row>
    <row r="30">
      <c r="A30" t="inlineStr">
        <is>
          <t>Gastos financieros del préstamo</t>
        </is>
      </c>
      <c r="B30" s="14">
        <f>IFERROR(IF(B11="","",'Financiación'!$B$116),"")</f>
        <v>5525.012752130365</v>
      </c>
      <c r="C30" s="14">
        <f>IFERROR(IF(C11="","",'Financiación'!$B$117),"")</f>
        <v>4905.807805993596</v>
      </c>
      <c r="D30" s="14">
        <f>IFERROR(IF(D11="","",'Financiación'!$B$118),"")</f>
        <v>4139.743065890662</v>
      </c>
      <c r="E30" s="15">
        <f>IFERROR(C30/$C$11,"")</f>
        <v>0.024641411032687518</v>
      </c>
      <c r="F30" s="15" t="n">
        <v>0</v>
      </c>
      <c r="G30" s="5" t="inlineStr">
        <is>
          <t>Sólo los INTERESES son gasto. La devolución del principal sale de la caja pero no del resultado: va en la hoja de Tesorería. Los que usa el fondo de maniobra son los del AÑO 2, no los del año 1, que es el de la carencia.</t>
        </is>
      </c>
    </row>
    <row r="31">
      <c r="A31" s="22" t="inlineStr">
        <is>
          <t>TOTAL COSTES FIJOS</t>
        </is>
      </c>
      <c r="B31" s="24">
        <f>IFERROR(IF(B11="","",SUM(B17:B30)),"")</f>
        <v>123165.23625213037</v>
      </c>
      <c r="C31" s="24">
        <f>IFERROR(IF(C11="","",SUM(C17:C30)),"")</f>
        <v>122546.0313059936</v>
      </c>
      <c r="D31" s="24">
        <f>IFERROR(IF(D11="","",SUM(D17:D30)),"")</f>
        <v>121779.96656589067</v>
      </c>
      <c r="E31" s="27">
        <f>IFERROR(C31/$C$11,"")</f>
        <v>0.615537185159659</v>
      </c>
      <c r="F31" s="22" t="n"/>
      <c r="G31" s="29" t="inlineStr">
        <is>
          <t>De esta celda, columna del año 2 y dividida entre doce, sale el fondo de maniobra de todo el pack.</t>
        </is>
      </c>
    </row>
    <row r="32">
      <c r="A32" t="inlineStr">
        <is>
          <t>IVA soportado de los costes variables</t>
        </is>
      </c>
      <c r="B32" s="14">
        <f>IFERROR(IF(B11="","",B13*$F$13),"")</f>
        <v>4973.158572326265</v>
      </c>
      <c r="C32" s="14">
        <f>IFERROR(IF(C11="","",C13*$F$13),"")</f>
        <v>5622.558832245295</v>
      </c>
      <c r="D32" s="14">
        <f>IFERROR(IF(D11="","",D13*$F$13),"")</f>
        <v>5847.461185535107</v>
      </c>
    </row>
    <row r="33">
      <c r="A33" t="inlineStr">
        <is>
          <t>IVA soportado de los costes fijos</t>
        </is>
      </c>
      <c r="B33" s="14">
        <f>IFERROR(IF(B11="","",SUMPRODUCT(B17:B30,$F$17:$F$30)),"")</f>
        <v>7497.000000000002</v>
      </c>
      <c r="C33" s="14">
        <f>IFERROR(IF(C11="","",SUMPRODUCT(C17:C30,$F$17:$F$30)),"")</f>
        <v>7497.000000000002</v>
      </c>
      <c r="D33" s="14">
        <f>IFERROR(IF(D11="","",SUMPRODUCT(D17:D30,$F$17:$F$30)),"")</f>
        <v>7497.000000000002</v>
      </c>
      <c r="G33" s="5" t="inlineStr">
        <is>
          <t>Cada línea a SU tipo, leído de la columna de al lado. Es lo que la hoja de Tesorería paga de más a los proveedores y luego recupera en el modelo 303.</t>
        </is>
      </c>
    </row>
    <row r="34">
      <c r="A34" s="22" t="inlineStr">
        <is>
          <t>RESULTADO ANTES DE IMPUESTOS</t>
        </is>
      </c>
      <c r="B34" s="24">
        <f>IFERROR(IF(B11="","",B15-B31),"")</f>
        <v>3196.6497054540814</v>
      </c>
      <c r="C34" s="24">
        <f>IFERROR(IF(C11="","",C15-C31),"")</f>
        <v>20316.322189735263</v>
      </c>
      <c r="D34" s="24">
        <f>IFERROR(IF(D11="","",D15-D31),"")</f>
        <v>26796.881069667317</v>
      </c>
      <c r="E34" s="27">
        <f>IFERROR(C34/$C$11,"")</f>
        <v>0.10204697484034096</v>
      </c>
      <c r="F34" s="22" t="n"/>
      <c r="G34" s="22" t="n"/>
    </row>
    <row r="35">
      <c r="A35" t="inlineStr">
        <is>
          <t>Bases negativas pendientes al inicio</t>
        </is>
      </c>
      <c r="B35" s="14">
        <f>IFERROR(IF(B11="","",'0. Supuestos'!$B$49),"")</f>
        <v>0.0</v>
      </c>
      <c r="C35" s="14">
        <f>IFERROR(IF(C11="","",B40),"")</f>
        <v>0.0</v>
      </c>
      <c r="D35" s="14">
        <f>IFERROR(IF(D11="","",C40),"")</f>
        <v>0.0</v>
      </c>
      <c r="G35" s="5" t="inlineStr">
        <is>
          <t>Art. 26 de la Ley del Impuesto sobre Sociedades: las pérdidas de un ejercicio se compensan con los beneficios de los siguientes.</t>
        </is>
      </c>
    </row>
    <row r="36">
      <c r="A36" t="inlineStr">
        <is>
          <t>Base imponible (después de compensar)</t>
        </is>
      </c>
      <c r="B36" s="14">
        <f>IFERROR(IF(B11="","",MAX(0,B34-B35)),"")</f>
        <v>3196.6497054540814</v>
      </c>
      <c r="C36" s="14">
        <f>IFERROR(IF(C11="","",MAX(0,C34-C35)),"")</f>
        <v>20316.322189735263</v>
      </c>
      <c r="D36" s="14">
        <f>IFERROR(IF(D11="","",MAX(0,D34-D35)),"")</f>
        <v>26796.881069667317</v>
      </c>
    </row>
    <row r="37">
      <c r="A37" t="inlineStr">
        <is>
          <t>Ejercicios con base positiva (acumulado)</t>
        </is>
      </c>
      <c r="B37" s="26">
        <f>IFERROR(IF(B11="","",IF(B36&gt;0,1,0)),"")</f>
        <v>1.0</v>
      </c>
      <c r="C37" s="26">
        <f>IFERROR(IF(C11="","",B37+IF(C36&gt;0,1,0)),"")</f>
        <v>2.0</v>
      </c>
      <c r="D37" s="26">
        <f>IFERROR(IF(D11="","",C37+IF(D36&gt;0,1,0)),"")</f>
        <v>3.0</v>
      </c>
    </row>
    <row r="38">
      <c r="A38" t="inlineStr">
        <is>
          <t>Tipo de Impuesto de Sociedades aplicado</t>
        </is>
      </c>
      <c r="B38" s="15">
        <f>IFERROR(IF(B11="","",IF(B36&lt;=0,"",IF(B37&lt;=2,'0. Supuestos'!$B$47,'0. Supuestos'!$B$48))),"")</f>
        <v>0.15</v>
      </c>
      <c r="C38" s="15">
        <f>IFERROR(IF(C11="","",IF(C36&lt;=0,"",IF(C37&lt;=2,'0. Supuestos'!$B$47,'0. Supuestos'!$B$48))),"")</f>
        <v>0.15</v>
      </c>
      <c r="D38" s="15">
        <f>IFERROR(IF(D11="","",IF(D36&lt;=0,"",IF(D37&lt;=2,'0. Supuestos'!$B$47,'0. Supuestos'!$B$48))),"")</f>
        <v>0.25</v>
      </c>
      <c r="G38" s="5" t="inlineStr">
        <is>
          <t>El 15 % de entidad de nueva creación se aplica al PRIMER ejercicio con base positiva y al siguiente, no a los dos primeros años naturales. Si tributas en IRPF, esta línea no te aplica.</t>
        </is>
      </c>
    </row>
    <row r="39">
      <c r="A39" t="inlineStr">
        <is>
          <t>Impuesto de Sociedades</t>
        </is>
      </c>
      <c r="B39" s="14">
        <f>IFERROR(IF(B11="","",IF(B38="",0,B36*B38)),"")</f>
        <v>479.4974558181122</v>
      </c>
      <c r="C39" s="14">
        <f>IFERROR(IF(C11="","",IF(C38="",0,C36*C38)),"")</f>
        <v>3047.4483284602893</v>
      </c>
      <c r="D39" s="14">
        <f>IFERROR(IF(D11="","",IF(D38="",0,D36*D38)),"")</f>
        <v>6699.220267416829</v>
      </c>
    </row>
    <row r="40">
      <c r="A40" t="inlineStr">
        <is>
          <t>Bases negativas pendientes al cierre</t>
        </is>
      </c>
      <c r="B40" s="14">
        <f>IFERROR(IF(B11="","",MAX(0,B35-B34)),"")</f>
        <v>0.0</v>
      </c>
      <c r="C40" s="14">
        <f>IFERROR(IF(C11="","",MAX(0,C35-C34)),"")</f>
        <v>0.0</v>
      </c>
      <c r="D40" s="14">
        <f>IFERROR(IF(D11="","",MAX(0,D35-D34)),"")</f>
        <v>0.0</v>
      </c>
    </row>
    <row r="41">
      <c r="A41" s="22" t="inlineStr">
        <is>
          <t>RESULTADO NETO</t>
        </is>
      </c>
      <c r="B41" s="24">
        <f>IFERROR(IF(B11="","",B34-B39),"")</f>
        <v>2717.1522496359694</v>
      </c>
      <c r="C41" s="24">
        <f>IFERROR(IF(C11="","",C34-C39),"")</f>
        <v>17268.873861274973</v>
      </c>
      <c r="D41" s="24">
        <f>IFERROR(IF(D11="","",D34-D39),"")</f>
        <v>20097.660802250488</v>
      </c>
      <c r="E41" s="27">
        <f>IFERROR(C41/$C$11,"")</f>
        <v>0.08673992861428981</v>
      </c>
      <c r="F41" s="22" t="n"/>
      <c r="G41" s="22" t="n"/>
    </row>
    <row r="42">
      <c r="A42" s="4" t="inlineStr">
        <is>
          <t>RATIOS CLAVE</t>
        </is>
      </c>
      <c r="B42" s="10" t="inlineStr"/>
      <c r="C42" s="10" t="inlineStr"/>
      <c r="D42" s="10" t="inlineStr"/>
      <c r="E42" s="10" t="inlineStr"/>
      <c r="F42" s="10" t="inlineStr"/>
      <c r="G42" s="10" t="inlineStr"/>
    </row>
    <row r="43" ht="22" customHeight="1">
      <c r="A43" s="7" t="inlineStr">
        <is>
          <t>Ratio</t>
        </is>
      </c>
      <c r="B43" s="7" t="inlineStr">
        <is>
          <t>Año 1</t>
        </is>
      </c>
      <c r="C43" s="7" t="inlineStr">
        <is>
          <t>Año 2</t>
        </is>
      </c>
      <c r="D43" s="7" t="inlineStr">
        <is>
          <t>Año 3</t>
        </is>
      </c>
      <c r="E43" s="7" t="inlineStr">
        <is>
          <t>Umbral</t>
        </is>
      </c>
      <c r="F43" s="7" t="inlineStr"/>
      <c r="G43" s="7" t="inlineStr">
        <is>
          <t>Comentario</t>
        </is>
      </c>
    </row>
    <row r="44">
      <c r="A44" t="inlineStr">
        <is>
          <t>Margen bruto / ventas</t>
        </is>
      </c>
      <c r="B44" s="15">
        <f>IFERROR(IF(B11="","",B15/B11),"")</f>
        <v>0.7175841599999999</v>
      </c>
      <c r="C44" s="15">
        <f>IFERROR(IF(C11="","",C15/C11),"")</f>
        <v>0.71758416</v>
      </c>
      <c r="D44" s="15">
        <f>IFERROR(IF(D11="","",D15/D11),"")</f>
        <v>0.7175841599999999</v>
      </c>
      <c r="E44" s="15">
        <f>IFERROR('0. Supuestos'!$B$26,"")</f>
        <v>0.7</v>
      </c>
      <c r="G44" s="5" t="inlineStr">
        <is>
          <t>El suelo es la regla única de margen del propio libro. Por debajo, o suben los precios o baja el coste de la cobertura.</t>
        </is>
      </c>
    </row>
    <row r="45">
      <c r="A45" t="inlineStr">
        <is>
          <t>Coste de ventas / ventas</t>
        </is>
      </c>
      <c r="B45" s="15">
        <f>IFERROR(IF(B11="","",B13/B11),"")</f>
        <v>0.28241584000000003</v>
      </c>
      <c r="C45" s="15">
        <f>IFERROR(IF(C11="","",C13/C11),"")</f>
        <v>0.28241584000000003</v>
      </c>
      <c r="D45" s="15">
        <f>IFERROR(IF(D11="","",D13/D11),"")</f>
        <v>0.28241584000000003</v>
      </c>
      <c r="E45" s="15">
        <f>IFERROR('0. Supuestos'!$B$25,"")</f>
        <v>0.3</v>
      </c>
      <c r="G45" s="5" t="inlineStr">
        <is>
          <t>Es el food cost proyectado. Cuando midas el tuyo de verdad, con tres meses de compras y de ventas, cámbialo en «0. Supuestos» y mira qué le pasa a este cuadro.</t>
        </is>
      </c>
    </row>
    <row r="46">
      <c r="A46" t="inlineStr">
        <is>
          <t>Coste de personal / ventas</t>
        </is>
      </c>
      <c r="B46" s="15">
        <f>IFERROR(IF(B11="","",B17/B11),"")</f>
        <v>0.38853640539271395</v>
      </c>
      <c r="C46" s="15">
        <f>IFERROR(IF(C11="","",C17/C11),"")</f>
        <v>0.3436608157940766</v>
      </c>
      <c r="D46" s="15">
        <f>IFERROR(IF(D11="","",D17/D11),"")</f>
        <v>0.33044309210968903</v>
      </c>
      <c r="E46" s="15">
        <f>IFERROR('0. Supuestos'!$B$69,"")</f>
        <v>0.35</v>
      </c>
      <c r="G46" s="5" t="inlineStr">
        <is>
          <t>En un obrador con tienda el personal es la primera partida. Por encima del techo, o subes precios o redimensionas turnos.</t>
        </is>
      </c>
    </row>
    <row r="47">
      <c r="A47" t="inlineStr">
        <is>
          <t>Alquiler / ventas</t>
        </is>
      </c>
      <c r="B47" s="15">
        <f>IFERROR(IF(B11="","",B19/B11),"")</f>
        <v>0.08858931481726669</v>
      </c>
      <c r="C47" s="15">
        <f>IFERROR(IF(C11="","",C19/C11),"")</f>
        <v>0.07835733222982831</v>
      </c>
      <c r="D47" s="15">
        <f>IFERROR(IF(D11="","",D19/D11),"")</f>
        <v>0.07534358868252722</v>
      </c>
      <c r="E47" s="15">
        <f>IFERROR('0. Supuestos'!$B$70,"")</f>
        <v>0.1</v>
      </c>
      <c r="G47" s="5" t="inlineStr">
        <is>
          <t>Un alquiler por encima del techo se come el margen de todo lo demás, y no se renegocia una vez firmado.</t>
        </is>
      </c>
    </row>
    <row r="48">
      <c r="A48" t="inlineStr">
        <is>
          <t>Resultado neto / ventas</t>
        </is>
      </c>
      <c r="B48" s="15">
        <f>IFERROR(IF(B11="","",B41/B11),"")</f>
        <v>0.015430170259579826</v>
      </c>
      <c r="C48" s="15">
        <f>IFERROR(IF(C11="","",C41/C11),"")</f>
        <v>0.08673992861428981</v>
      </c>
      <c r="D48" s="15">
        <f>IFERROR(IF(D11="","",D41/D11),"")</f>
        <v>0.097066018523443</v>
      </c>
      <c r="E48" s="15">
        <f>IFERROR('0. Supuestos'!$B$67,"")</f>
        <v>0.08</v>
      </c>
      <c r="G48" s="5" t="inlineStr">
        <is>
          <t>El suelo es un SUPUESTO de control, no un dato del sector: no existe rentabilidad publicada de bombonería artesana española.</t>
        </is>
      </c>
    </row>
    <row r="49">
      <c r="A49" t="inlineStr">
        <is>
          <t>Margen neto dentro de la banda de referencia</t>
        </is>
      </c>
      <c r="B49" t="str">
        <f>IFERROR(IF(B48="","",IF(AND(B48&gt;='0. Supuestos'!$B$67,B48&lt;='0. Supuestos'!$B$68),"Sí","No: revísalo")),"")</f>
        <v>No: revísalo</v>
      </c>
      <c r="C49" t="str">
        <f>IFERROR(IF(C48="","",IF(AND(C48&gt;='0. Supuestos'!$B$67,C48&lt;='0. Supuestos'!$B$68),"Sí","No: revísalo")),"")</f>
        <v>Sí</v>
      </c>
      <c r="D49" t="str">
        <f>IFERROR(IF(D48="","",IF(AND(D48&gt;='0. Supuestos'!$B$67,D48&lt;='0. Supuestos'!$B$68),"Sí","No: revísalo")),"")</f>
        <v>Sí</v>
      </c>
      <c r="G49" s="5" t="inlineStr">
        <is>
          <t>Si sale por ENCIMA del techo, desconfía antes de enseñarlo: casi siempre falta un coste. Si sale por debajo del suelo, el negocio no está mal planteado por fuerza, pero tiene poco donde caerse.</t>
        </is>
      </c>
    </row>
    <row r="50">
      <c r="A50" t="inlineStr">
        <is>
          <t>Punto de equilibrio alcanzado</t>
        </is>
      </c>
      <c r="B50" t="str">
        <f>IFERROR(IF(B11="","",IF(B11&gt;='Punto de Equilibrio'!$B$17,"Sí","No")),"")</f>
        <v>Sí</v>
      </c>
      <c r="C50" t="str">
        <f>IFERROR(IF(C11="","",IF(C11&gt;='Punto de Equilibrio'!$C$17,"Sí","No")),"")</f>
        <v>Sí</v>
      </c>
      <c r="D50" t="str">
        <f>IFERROR(IF(D11="","",IF(D11&gt;='Punto de Equilibrio'!$D$17,"Sí","No")),"")</f>
        <v>Sí</v>
      </c>
      <c r="G50" s="5" t="inlineStr">
        <is>
          <t>Compara las ventas de CADA año con el umbral contable de ese mismo año, que calcula la hoja «Punto de Equilibrio». El umbral de caja, que es el que de verdad te deja dormir, está allí.</t>
        </is>
      </c>
    </row>
    <row r="51"/>
    <row r="52">
      <c r="A52" s="4" t="inlineStr">
        <is>
          <t>ESCENARIO DE FORMATO: BOMBONERÍA FRENTE A BOMBONERÍA CON TAZA Y CHURROS (año de crucero)</t>
        </is>
      </c>
      <c r="B52" s="10" t="inlineStr"/>
      <c r="C52" s="10" t="inlineStr"/>
      <c r="D52" s="10" t="inlineStr"/>
      <c r="E52" s="10" t="inlineStr"/>
      <c r="F52" s="10" t="inlineStr"/>
      <c r="G52" s="10" t="inlineStr"/>
    </row>
    <row r="53" ht="30" customHeight="1">
      <c r="A53" s="7" t="inlineStr">
        <is>
          <t>Concepto (año 2)</t>
        </is>
      </c>
      <c r="B53" s="7" t="inlineStr">
        <is>
          <t>Bombonería</t>
        </is>
      </c>
      <c r="C53" s="7" t="inlineStr">
        <is>
          <t>Bombonería + taza y churros</t>
        </is>
      </c>
      <c r="D53" s="7" t="inlineStr"/>
      <c r="E53" s="7" t="inlineStr"/>
      <c r="F53" s="7" t="inlineStr"/>
      <c r="G53" s="7" t="inlineStr">
        <is>
          <t>Notas</t>
        </is>
      </c>
    </row>
    <row r="54">
      <c r="A54" s="9" t="inlineStr">
        <is>
          <t>Clientes al día que añade el servicio de taza y churros</t>
        </is>
      </c>
      <c r="C54" s="11" t="n">
        <v>35</v>
      </c>
      <c r="G54" s="5" t="inlineStr">
        <is>
          <t>SUPUESTO. Es OTRO negocio, con otro horario y otro público: no son los mismos clientes comprando más, son clientes nuevos a otra hora.</t>
        </is>
      </c>
    </row>
    <row r="55">
      <c r="A55" s="9" t="inlineStr">
        <is>
          <t>PVP con IVA de la ración con chocolate, mínimo publicado (€)</t>
        </is>
      </c>
      <c r="C55" s="13" t="n">
        <v>3.5</v>
      </c>
      <c r="G55" s="5" t="inlineStr">
        <is>
          <t>Dato de mercado: el chocolate convierte una ración de churros de 2,50 € en 3,50-4 €, entre un 40 y un 60 % más de ticket. Se publica el RANGO, y el libro usa el mínimo.</t>
        </is>
      </c>
    </row>
    <row r="56">
      <c r="A56" s="9" t="inlineStr">
        <is>
          <t>PVP con IVA de la ración con chocolate, máximo publicado (€)</t>
        </is>
      </c>
      <c r="C56" s="13" t="n">
        <v>4</v>
      </c>
      <c r="G56" s="5" t="inlineStr">
        <is>
          <t>El techo del mismo rango. Si tu carta está por encima, dilo aquí y mira cómo se mueve la columna de la derecha.</t>
        </is>
      </c>
    </row>
    <row r="57">
      <c r="A57" s="9" t="inlineStr">
        <is>
          <t>PVP con IVA que usa el escenario (el mínimo: criterio conservador)</t>
        </is>
      </c>
      <c r="C57" s="14">
        <f>IFERROR(C55,"")</f>
        <v>3.5</v>
      </c>
      <c r="G57" s="5" t="inlineStr">
        <is>
          <t>Se usa el mínimo del rango a propósito: un escenario que se defiende con el techo del rango no es un escenario, es un deseo.</t>
        </is>
      </c>
    </row>
    <row r="58">
      <c r="A58" s="9" t="inlineStr">
        <is>
          <t>Margen bruto de la línea de taza y churros (%)</t>
        </is>
      </c>
      <c r="C58" s="16" t="n">
        <v>0.5</v>
      </c>
      <c r="G58" s="5" t="inlineStr">
        <is>
          <t>SE PUBLICAN LAS DOS CIFRAS QUE HAY, no la más bonita: el margen bruto del churro se cita entre el 85 y el 90 %, y un maestro churrero lo rebaja a «un poco más del 50 %». El libro usa el 50 % porque es el que aguanta una discusión con el banco.</t>
        </is>
      </c>
    </row>
    <row r="59">
      <c r="A59" s="9" t="inlineStr">
        <is>
          <t>Coste de personal adicional al año (€)</t>
        </is>
      </c>
      <c r="C59" s="13" t="n">
        <v>12462.96</v>
      </c>
      <c r="G59" s="5" t="inlineStr">
        <is>
          <t>SUPUESTO: media jornada más del grupo de convenio del Dependiente, con la Seguridad Social a cargo de la empresa dentro. La taza se sirve, y servir es mano de obra: sin esta línea el escenario sale redondo y es mentira.</t>
        </is>
      </c>
    </row>
    <row r="60">
      <c r="A60" s="9" t="inlineStr">
        <is>
          <t>Otros costes fijos adicionales al año (€)</t>
        </is>
      </c>
      <c r="C60" s="13" t="n">
        <v>1200</v>
      </c>
      <c r="G60" s="5" t="inlineStr">
        <is>
          <t>SUPUESTO: mantenimiento de freidora y extracción, y la inspección periódica de la instalación de gas cada cinco años, repercutida. Y una que no es un euro pero cuesta tiempo: la bombonería se libra de la licencia previa de actividad hasta 750 m² y la chocolatería de taza NO, porque su grupo de IAE no está en el Anexo de esa ley.</t>
        </is>
      </c>
    </row>
    <row r="61">
      <c r="A61" s="8" t="inlineStr">
        <is>
          <t>Ventas del año sin IVA (€)</t>
        </is>
      </c>
      <c r="B61" s="30">
        <f>IFERROR(C11,"")</f>
        <v>199087.9418181818</v>
      </c>
      <c r="C61" s="30">
        <f>IFERROR(B61+C54*C57/(1+'0. Supuestos'!$B$16)*C9,"")</f>
        <v>232942.48727272724</v>
      </c>
      <c r="G61" s="5" t="inlineStr">
        <is>
          <t>La taza servida en sala va al 10 % por ser prestación de servicio de hostelería, no entrega de un bien: por eso el PVP se pasa a base imponible con ESE tipo.</t>
        </is>
      </c>
    </row>
    <row r="62">
      <c r="A62" s="9" t="inlineStr">
        <is>
          <t>Costes variables (€)</t>
        </is>
      </c>
      <c r="B62" s="14">
        <f>IFERROR(C14,"")</f>
        <v>56225.588322452946</v>
      </c>
      <c r="C62" s="14">
        <f>IFERROR(B62+(C61-B61)*(1-C58),"")</f>
        <v>73152.86104972567</v>
      </c>
    </row>
    <row r="63">
      <c r="A63" s="9" t="inlineStr">
        <is>
          <t>Margen bruto (€)</t>
        </is>
      </c>
      <c r="B63" s="14">
        <f>IFERROR(B61-B62,"")</f>
        <v>142862.35349572886</v>
      </c>
      <c r="C63" s="14">
        <f>IFERROR(C61-C62,"")</f>
        <v>159789.62622300157</v>
      </c>
    </row>
    <row r="64">
      <c r="A64" s="9" t="inlineStr">
        <is>
          <t>Costes fijos (€)</t>
        </is>
      </c>
      <c r="B64" s="14">
        <f>IFERROR(C31,"")</f>
        <v>122546.0313059936</v>
      </c>
      <c r="C64" s="14">
        <f>IFERROR(B64+C59+C60,"")</f>
        <v>136208.9913059936</v>
      </c>
    </row>
    <row r="65">
      <c r="A65" s="8" t="inlineStr">
        <is>
          <t>Resultado antes de impuestos (€)</t>
        </is>
      </c>
      <c r="B65" s="30">
        <f>IFERROR(B63-B64,"")</f>
        <v>20316.322189735263</v>
      </c>
      <c r="C65" s="30">
        <f>IFERROR(C63-C64,"")</f>
        <v>23580.634917007963</v>
      </c>
    </row>
    <row r="66">
      <c r="A66" s="23" t="inlineStr">
        <is>
          <t>Resultado neto (€)</t>
        </is>
      </c>
      <c r="B66" s="24">
        <f>IFERROR(B65-MAX(0,B65)*'0. Supuestos'!$B$47,"")</f>
        <v>17268.873861274973</v>
      </c>
      <c r="C66" s="24">
        <f>IFERROR(C65-MAX(0,C65)*'0. Supuestos'!$B$47,"")</f>
        <v>20043.539679456768</v>
      </c>
    </row>
    <row r="67">
      <c r="A67" s="9" t="inlineStr">
        <is>
          <t>Margen neto (%)</t>
        </is>
      </c>
      <c r="B67" s="15">
        <f>IFERROR(B66/B61,"")</f>
        <v>0.08673992861428981</v>
      </c>
      <c r="C67" s="15">
        <f>IFERROR(C66/C61,"")</f>
        <v>0.08604501443306883</v>
      </c>
    </row>
    <row r="68">
      <c r="A68" s="21" t="inlineStr">
        <is>
          <t>VEREDICTO DEL FORMATO</t>
        </is>
      </c>
      <c r="B68" s="22" t="str">
        <f>IFERROR(IF(OR(B67="",C67=""),"",IF(C67&gt;B67,"La taza y los churros suman: aporta más margen del que se come en fijos","La taza y los churros restan: con estos supuestos te ocupan sala y personal para nada")),"")</f>
        <v>La taza y los churros restan: con estos supuestos te ocupan sala y personal para nada</v>
      </c>
      <c r="G68" s="5" t="inlineStr">
        <is>
          <t>Son DOS NEGOCIOS, y la norma los separa sola: el Anexo de la Ley 12/2012 incluye el epígrafe 644.5 de bombones y caramelos y no contiene ningún grupo de la agrupación 67, donde está la chocolatería de taza. Antes de mirar el margen, mira eso: la bombonería se libra de la licencia previa de actividad hasta 750 m² y la taza no.</t>
        </is>
      </c>
    </row>
    <row r="69"/>
    <row r="70">
      <c r="A70" s="4" t="inlineStr">
        <is>
          <t>DE DÓNDE SALE EL COSTE DE VENTAS: EL PRECIO DE LA COBERTURA (cruce 7 &lt;- 3)</t>
        </is>
      </c>
      <c r="B70" s="10" t="inlineStr"/>
      <c r="C70" s="10" t="inlineStr"/>
      <c r="D70" s="10" t="inlineStr"/>
      <c r="E70" s="10" t="inlineStr"/>
      <c r="F70" s="10" t="inlineStr"/>
      <c r="G70" s="10" t="inlineStr"/>
    </row>
    <row r="71" ht="44" customHeight="1">
      <c r="A71" s="9" t="inlineStr">
        <is>
          <t>Precio de la cobertura negra EN BASE IMPONIBLE: trae aquí la cifra de sensibilidad-al-precio-del-cacao.xlsx!Coste de Cobertura!G7 («precio de la cobertura negra EN BASE IMPONIBLE»)</t>
        </is>
      </c>
      <c r="B71" s="13" t="n">
        <v>22.7455</v>
      </c>
      <c r="C71" t="inlineStr">
        <is>
          <t>€/kg</t>
        </is>
      </c>
      <c r="G71" s="5" t="inlineStr">
        <is>
          <t>CÓPIALA A MANO, y cópiala BIEN: es la celda más crítica de todo el pack. La fuente publica 25,02 €/kg CON EL IVA DENTRO, y un escandallo se calcula con precios SIN IVA porque el soportado es deducible. Con la base equivocada el food cost sale un 9 % alto y este P&amp;L entero está mal. Por eso lo que se copia es la celda de BASE IMPONIBLE, nunca la de la fuente.</t>
        </is>
      </c>
    </row>
    <row r="72">
      <c r="A72" t="inlineStr">
        <is>
          <t>Cifra que publica hoy esa celda del libro 3</t>
        </is>
      </c>
      <c r="B72" s="13" t="n">
        <v>22.7455</v>
      </c>
      <c r="G72" s="5" t="inlineStr">
        <is>
          <t>Anota aquí lo que ves en el libro «sensibilidad-al-precio-del-cacao» la última vez que lo abriste. Si arriba tecleas otra cosa -porque te han pasado tarifa nueva-, la fila de CUADRE te avisa.</t>
        </is>
      </c>
    </row>
    <row r="73">
      <c r="A73" t="inlineStr">
        <is>
          <t>Desviación entre las dos</t>
        </is>
      </c>
      <c r="B73" s="17">
        <f>IFERROR(ABS(B71-B72)/B72,"")</f>
        <v>0.0</v>
      </c>
    </row>
    <row r="74">
      <c r="A74" s="21" t="inlineStr">
        <is>
          <t>CUADRE DE LA COBERTURA: el precio que usas frente al del libro 3</t>
        </is>
      </c>
      <c r="B74" s="22" t="str">
        <f>IFERROR(IF(NOT(ISNUMBER(B73)),"",IF(B73&lt;='0. Supuestos'!$B$72,"CUADRA","REVISA: el precio de cobertura que usas no es el del libro 3")),"")</f>
        <v>CUADRA</v>
      </c>
    </row>
    <row r="75">
      <c r="A75" t="inlineStr">
        <is>
          <t>Kilos de cobertura negra que se van al año</t>
        </is>
      </c>
      <c r="B75" s="12" t="n">
        <v>462.1</v>
      </c>
      <c r="C75" t="inlineStr">
        <is>
          <t>kg/año</t>
        </is>
      </c>
      <c r="G75" s="5" t="inlineStr">
        <is>
          <t>También del libro 3, que los calcula referencia a referencia. Es la cobertura MÁS USADA de la carta, no toda la que compras.</t>
        </is>
      </c>
    </row>
    <row r="76">
      <c r="A76" t="inlineStr">
        <is>
          <t>Coste anual de esa cobertura (€)</t>
        </is>
      </c>
      <c r="B76" s="14">
        <f>IFERROR(B71*B75,"")</f>
        <v>10510.69555</v>
      </c>
    </row>
    <row r="77">
      <c r="A77" t="inlineStr">
        <is>
          <t>Peso sobre el coste de ventas del año de crucero (%)</t>
        </is>
      </c>
      <c r="B77" s="15">
        <f>IFERROR(IF(C13="","",B76/C13),"")</f>
        <v>0.18693793810962567</v>
      </c>
    </row>
    <row r="78">
      <c r="A78" t="inlineStr">
        <is>
          <t>Subida del precio del cacao que quieres simular (%)</t>
        </is>
      </c>
      <c r="B78" s="16" t="n">
        <v>0.4</v>
      </c>
      <c r="G78" s="5" t="inlineStr">
        <is>
          <t>El 40 % no es un número de miedo: es uno de los escenarios que trabaja el libro «sensibilidad-al-precio-del-cacao», y allí está referencia a referencia. Aquí sólo se mira lo que le hace a la cuenta de resultados entera.</t>
        </is>
      </c>
    </row>
    <row r="79">
      <c r="A79" t="inlineStr">
        <is>
          <t>Lo que te costaría esa subida al año (€)</t>
        </is>
      </c>
      <c r="B79" s="30">
        <f>IFERROR(B76*B78,"")</f>
        <v>4204.27822</v>
      </c>
    </row>
    <row r="80">
      <c r="A80" s="22" t="inlineStr">
        <is>
          <t>Margen neto del año de crucero DESPUÉS de esa subida (%)</t>
        </is>
      </c>
      <c r="B80" s="27">
        <f>IFERROR(IF(C11="","",(C41-B79)/C11),"")</f>
        <v>0.06562223468665063</v>
      </c>
      <c r="G80" s="5" t="inlineStr">
        <is>
          <t>Es la pregunta que hay que saber responder antes de firmar un alquiler: si el cacao sube lo que ya ha subido otras veces, ¿el negocio sigue en pie? Si esta celda se pone en rojo, tu plan depende del precio del cacao más de lo que crees, y la respuesta no es esperar: es gramaje, mix o precio.</t>
        </is>
      </c>
    </row>
    <row r="81"/>
    <row r="82" ht="46" customHeight="1">
      <c r="A82" s="5" t="inlineStr">
        <is>
          <t>Todas las cifras van SIN IVA. Las columnas de los años 2 y 3 están en euros del año 1 mientras la «Subida anual de los costes fijos» de «0. Supuestos» valga cero. Y una advertencia que vale dinero: si tu proyección del año 1 sale en positivo, míralo dos veces. Casi ninguna apertura gana dinero el primer año, y lo que decide si sobrevives no es este cuadro sino la hoja de Tesorería.</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G3"/>
    <mergeCell ref="A82:G82"/>
  </mergeCells>
  <conditionalFormatting sqref="B41:D41">
    <cfRule type="expression" priority="1" dxfId="0" stopIfTrue="1">
      <formula>=AND(ISNUMBER(B41),B41&lt;0)</formula>
    </cfRule>
  </conditionalFormatting>
  <conditionalFormatting sqref="B74">
    <cfRule type="cellIs" priority="2" operator="equal" dxfId="0" stopIfTrue="1">
      <formula>"REVISA: el precio de cobertura que usas no es el del libro 3"</formula>
    </cfRule>
    <cfRule type="cellIs" priority="3" operator="equal" dxfId="1" stopIfTrue="1">
      <formula>"CUADRA"</formula>
    </cfRule>
  </conditionalFormatting>
  <conditionalFormatting sqref="B80">
    <cfRule type="expression" priority="4" dxfId="0" stopIfTrue="1">
      <formula>=AND(ISNUMBER($B$80),$B$80&lt;'0. Supuestos'!$B$67)</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E46"/>
  <sheetViews>
    <sheetView workbookViewId="0">
      <pane ySplit="31" topLeftCell="A32" activePane="bottomLeft" state="frozen"/>
      <selection pane="bottomLeft" activeCell="A1" sqref="A1"/>
    </sheetView>
  </sheetViews>
  <sheetFormatPr baseColWidth="8" defaultRowHeight="15"/>
  <cols>
    <col width="56" customWidth="1" min="1" max="1"/>
    <col width="15" customWidth="1" min="2" max="2"/>
    <col width="15" customWidth="1" min="3" max="3"/>
    <col width="15" customWidth="1" min="4" max="4"/>
    <col width="82" customWidth="1" min="5" max="5"/>
  </cols>
  <sheetData>
    <row r="1" ht="28" customHeight="1">
      <c r="A1" s="1" t="inlineStr">
        <is>
          <t>Punto de Equilibrio: Cuántos Clientes al Día</t>
        </is>
      </c>
    </row>
    <row r="2">
      <c r="A2" t="inlineStr">
        <is>
          <t>AI Chef Pro · aichef.pro — Cómo Montar una Chocolatería</t>
        </is>
      </c>
    </row>
    <row r="3" ht="26" customHeight="1">
      <c r="A3" s="5" t="inlineStr">
        <is>
          <t>Dos umbrales, y no dicen lo mismo. El CONTABLE incluye la amortización; el de CAJA le quita la amortización (que no se paga) y le suma la devolución de principal (que sí). El segundo es el que decide si llegas a fin de mes.</t>
        </is>
      </c>
    </row>
    <row r="4"/>
    <row r="5" ht="30" customHeight="1">
      <c r="A5" s="7" t="inlineStr">
        <is>
          <t>Variable</t>
        </is>
      </c>
      <c r="B5" s="7" t="inlineStr">
        <is>
          <t>Año 1</t>
        </is>
      </c>
      <c r="C5" s="7" t="inlineStr">
        <is>
          <t>Año 2</t>
        </is>
      </c>
      <c r="D5" s="7" t="inlineStr">
        <is>
          <t>Año 3</t>
        </is>
      </c>
      <c r="E5" s="7" t="inlineStr">
        <is>
          <t>Notas</t>
        </is>
      </c>
    </row>
    <row r="6">
      <c r="A6" s="4" t="inlineStr">
        <is>
          <t>DATOS BASE POR AÑO</t>
        </is>
      </c>
      <c r="B6" s="10" t="inlineStr"/>
      <c r="C6" s="10" t="inlineStr"/>
      <c r="D6" s="10" t="inlineStr"/>
      <c r="E6" s="10" t="inlineStr"/>
    </row>
    <row r="7">
      <c r="A7" t="inlineStr">
        <is>
          <t>Costes fijos anuales</t>
        </is>
      </c>
      <c r="B7" s="14">
        <f>IFERROR(IF('PyG 3 Años'!B11="","",'PyG 3 Años'!B31),"")</f>
        <v>123165.23625213037</v>
      </c>
      <c r="C7" s="14">
        <f>IFERROR(IF('PyG 3 Años'!C11="","",'PyG 3 Años'!C31),"")</f>
        <v>122546.0313059936</v>
      </c>
      <c r="D7" s="14">
        <f>IFERROR(IF('PyG 3 Años'!D11="","",'PyG 3 Años'!D31),"")</f>
        <v>121779.96656589067</v>
      </c>
      <c r="E7" s="5" t="inlineStr">
        <is>
          <t>Los MISMOS costes fijos del P&amp;L. Cada año tiene los suyos: por eso el umbral no puede ser uno solo para los tres.</t>
        </is>
      </c>
    </row>
    <row r="8">
      <c r="A8" t="inlineStr">
        <is>
          <t>Costes fijos mensuales</t>
        </is>
      </c>
      <c r="B8" s="14">
        <f>IFERROR(IF('PyG 3 Años'!B11="","",B7/12),"")</f>
        <v>10263.769687677532</v>
      </c>
      <c r="C8" s="14">
        <f>IFERROR(IF('PyG 3 Años'!C11="","",C7/12),"")</f>
        <v>10212.169275499467</v>
      </c>
      <c r="D8" s="14">
        <f>IFERROR(IF('PyG 3 Años'!D11="","",D7/12),"")</f>
        <v>10148.330547157557</v>
      </c>
    </row>
    <row r="9">
      <c r="A9" t="inlineStr">
        <is>
          <t>Ticket medio sin IVA (€)</t>
        </is>
      </c>
      <c r="B9" s="14">
        <f>IFERROR(IF('PyG 3 Años'!B11="","",'PyG 3 Años'!B8),"")</f>
        <v>9.774545454545454</v>
      </c>
      <c r="C9" s="14">
        <f>IFERROR(IF('PyG 3 Años'!C11="","",'PyG 3 Años'!C8),"")</f>
        <v>9.774545454545454</v>
      </c>
      <c r="D9" s="14">
        <f>IFERROR(IF('PyG 3 Años'!D11="","",'PyG 3 Años'!D8),"")</f>
        <v>9.774545454545454</v>
      </c>
    </row>
    <row r="10">
      <c r="A10" t="inlineStr">
        <is>
          <t>Coste variable por ticket (€)</t>
        </is>
      </c>
      <c r="B10" s="14">
        <f>IFERROR(IF('PyG 3 Años'!B11="","",'PyG 3 Años'!B14/('PyG 3 Años'!B7*'PyG 3 Años'!B9*'PyG 3 Años'!B10)),"")</f>
        <v>2.7604864651636363</v>
      </c>
      <c r="C10" s="14">
        <f>IFERROR(IF('PyG 3 Años'!C11="","",'PyG 3 Años'!C14/('PyG 3 Años'!C7*'PyG 3 Años'!C9*'PyG 3 Años'!C10)),"")</f>
        <v>2.7604864651636363</v>
      </c>
      <c r="D10" s="14">
        <f>IFERROR(IF('PyG 3 Años'!D11="","",'PyG 3 Años'!D14/('PyG 3 Años'!D7*'PyG 3 Años'!D9*'PyG 3 Años'!D10)),"")</f>
        <v>2.7604864651636363</v>
      </c>
      <c r="E10" s="5" t="inlineStr">
        <is>
          <t>Sale del total de costes variables del P&amp;L dividido por los clientes de ese año, no de una estimación aparte.</t>
        </is>
      </c>
    </row>
    <row r="11">
      <c r="A11" t="inlineStr">
        <is>
          <t>Margen de contribución por ticket (€)</t>
        </is>
      </c>
      <c r="B11" s="14">
        <f>IFERROR(IF('PyG 3 Años'!B11="","",B9-B10),"")</f>
        <v>7.014058989381818</v>
      </c>
      <c r="C11" s="14">
        <f>IFERROR(IF('PyG 3 Años'!C11="","",C9-C10),"")</f>
        <v>7.014058989381818</v>
      </c>
      <c r="D11" s="14">
        <f>IFERROR(IF('PyG 3 Años'!D11="","",D9-D10),"")</f>
        <v>7.014058989381818</v>
      </c>
      <c r="E11" s="5" t="inlineStr">
        <is>
          <t>Ticket menos coste variable unitario. Es lo que deja cada cliente para pagar los fijos. En bombonería es alto y los fijos también: las dos cosas van juntas.</t>
        </is>
      </c>
    </row>
    <row r="12">
      <c r="A12" t="inlineStr">
        <is>
          <t>Días de apertura al año</t>
        </is>
      </c>
      <c r="B12" s="26">
        <f>IFERROR(IF('PyG 3 Años'!B11="","",'PyG 3 Años'!B9),"")</f>
        <v>304.0</v>
      </c>
      <c r="C12" s="26">
        <f>IFERROR(IF('PyG 3 Años'!C11="","",'PyG 3 Años'!C9),"")</f>
        <v>304.0</v>
      </c>
      <c r="D12" s="26">
        <f>IFERROR(IF('PyG 3 Años'!D11="","",'PyG 3 Años'!D9),"")</f>
        <v>304.0</v>
      </c>
    </row>
    <row r="13">
      <c r="A13" t="inlineStr">
        <is>
          <t>Devolución de principal del año (sale de caja)</t>
        </is>
      </c>
      <c r="B13" s="14">
        <f>IFERROR(IF('PyG 3 Años'!B11="","",'Financiación'!$C$116),"")</f>
        <v>5731.536172598888</v>
      </c>
      <c r="C13" s="14">
        <f>IFERROR(IF('PyG 3 Años'!C11="","",'Financiación'!$C$117),"")</f>
        <v>12008.690043464907</v>
      </c>
      <c r="D13" s="14">
        <f>IFERROR(IF('PyG 3 Años'!D11="","",'Financiación'!$C$118),"")</f>
        <v>12774.754783567842</v>
      </c>
      <c r="E13" s="5" t="inlineStr">
        <is>
          <t>El principal NO es gasto del P&amp;L, pero sale de la caja. Sin él, el umbral de equilibrio se publica por debajo de lo que de verdad hay que facturar.</t>
        </is>
      </c>
    </row>
    <row r="14">
      <c r="A14" s="4" t="inlineStr">
        <is>
          <t>PUNTO DE EQUILIBRIO CONTABLE (incluye la amortización)</t>
        </is>
      </c>
      <c r="B14" s="10" t="inlineStr"/>
      <c r="C14" s="10" t="inlineStr"/>
      <c r="D14" s="10" t="inlineStr"/>
      <c r="E14" s="10" t="inlineStr"/>
    </row>
    <row r="15">
      <c r="A15" t="inlineStr">
        <is>
          <t>Clientes necesarios al año</t>
        </is>
      </c>
      <c r="B15" s="26">
        <f>IFERROR(IF('PyG 3 Años'!B11="","",IF(B11&lt;=0,"",B7/B11)),"")</f>
        <v>17559.766240714995</v>
      </c>
      <c r="C15" s="26">
        <f>IFERROR(IF('PyG 3 Años'!C11="","",IF(C11&lt;=0,"",C7/C11)),"")</f>
        <v>17471.485696300675</v>
      </c>
      <c r="D15" s="26">
        <f>IFERROR(IF('PyG 3 Años'!D11="","",IF(D11&lt;=0,"",D7/D11)),"")</f>
        <v>17362.267233601313</v>
      </c>
    </row>
    <row r="16">
      <c r="A16" t="inlineStr">
        <is>
          <t>Clientes necesarios al día</t>
        </is>
      </c>
      <c r="B16" s="19">
        <f>IFERROR(IF('PyG 3 Años'!B11="","",B15/B12),"")</f>
        <v>57.762388949720375</v>
      </c>
      <c r="C16" s="19">
        <f>IFERROR(IF('PyG 3 Años'!C11="","",C15/C12),"")</f>
        <v>57.471992422041694</v>
      </c>
      <c r="D16" s="19">
        <f>IFERROR(IF('PyG 3 Años'!D11="","",D15/D12),"")</f>
        <v>57.11272116316221</v>
      </c>
    </row>
    <row r="17">
      <c r="A17" s="22" t="inlineStr">
        <is>
          <t>Ingresos necesarios al año (sin IVA)</t>
        </is>
      </c>
      <c r="B17" s="24">
        <f>IFERROR(IF('PyG 3 Años'!B11="","",B15*B9),"")</f>
        <v>171638.73329106145</v>
      </c>
      <c r="C17" s="24">
        <f>IFERROR(IF('PyG 3 Años'!C11="","",C15*C9),"")</f>
        <v>170775.83109693168</v>
      </c>
      <c r="D17" s="24">
        <f>IFERROR(IF('PyG 3 Años'!D11="","",D15*D9),"")</f>
        <v>169708.2702688012</v>
      </c>
      <c r="E17" s="22" t="n"/>
    </row>
    <row r="18">
      <c r="A18" s="22" t="inlineStr">
        <is>
          <t>Ingresos necesarios al mes (sin IVA)</t>
        </is>
      </c>
      <c r="B18" s="24">
        <f>IFERROR(IF('PyG 3 Años'!B11="","",B17/12),"")</f>
        <v>14303.227774255121</v>
      </c>
      <c r="C18" s="24">
        <f>IFERROR(IF('PyG 3 Años'!C11="","",C17/12),"")</f>
        <v>14231.31925807764</v>
      </c>
      <c r="D18" s="24">
        <f>IFERROR(IF('PyG 3 Años'!D11="","",D17/12),"")</f>
        <v>14142.355855733433</v>
      </c>
      <c r="E18" s="22" t="n"/>
    </row>
    <row r="19">
      <c r="A19" s="4" t="inlineStr">
        <is>
          <t>PUNTO DE EQUILIBRIO DE CAJA (incluye la cuota del préstamo)</t>
        </is>
      </c>
      <c r="B19" s="10" t="inlineStr"/>
      <c r="C19" s="10" t="inlineStr"/>
      <c r="D19" s="10" t="inlineStr"/>
      <c r="E19" s="10" t="inlineStr"/>
    </row>
    <row r="20">
      <c r="A20" t="inlineStr">
        <is>
          <t>Costes fijos de caja más el principal del año</t>
        </is>
      </c>
      <c r="B20" s="14">
        <f>IFERROR(IF('PyG 3 Años'!B11="","",B7-'PyG 3 Años'!B29+B13),"")</f>
        <v>120535.27342472927</v>
      </c>
      <c r="C20" s="14">
        <f>IFERROR(IF('PyG 3 Años'!C11="","",C7-'PyG 3 Años'!C29+C13),"")</f>
        <v>126193.22234945852</v>
      </c>
      <c r="D20" s="14">
        <f>IFERROR(IF('PyG 3 Años'!D11="","",D7-'PyG 3 Años'!D29+D13),"")</f>
        <v>126193.22234945852</v>
      </c>
      <c r="E20" s="5" t="inlineStr">
        <is>
          <t>Los fijos del P&amp;L sin la amortización (que no se paga) y CON la devolución de principal (que sí). Es el umbral que decide si sobrevives, no el contable.</t>
        </is>
      </c>
    </row>
    <row r="21">
      <c r="A21" t="inlineStr">
        <is>
          <t>Clientes necesarios al año (caja)</t>
        </is>
      </c>
      <c r="B21" s="26">
        <f>IFERROR(IF('PyG 3 Años'!B11="","",IF(B11&lt;=0,"",B20/B11)),"")</f>
        <v>17184.810336953356</v>
      </c>
      <c r="C21" s="26">
        <f>IFERROR(IF('PyG 3 Años'!C11="","",IF(C11&lt;=0,"",C20/C11)),"")</f>
        <v>17991.46864041138</v>
      </c>
      <c r="D21" s="26">
        <f>IFERROR(IF('PyG 3 Años'!D11="","",IF(D11&lt;=0,"",D20/D11)),"")</f>
        <v>17991.46864041138</v>
      </c>
    </row>
    <row r="22">
      <c r="A22" s="22" t="inlineStr">
        <is>
          <t>Clientes necesarios al día (caja)</t>
        </is>
      </c>
      <c r="B22" s="31">
        <f>IFERROR(IF('PyG 3 Años'!B11="","",B21/B12),"")</f>
        <v>56.528981371557094</v>
      </c>
      <c r="C22" s="31">
        <f>IFERROR(IF('PyG 3 Años'!C11="","",C21/C12),"")</f>
        <v>59.18246263293218</v>
      </c>
      <c r="D22" s="31">
        <f>IFERROR(IF('PyG 3 Años'!D11="","",D21/D12),"")</f>
        <v>59.18246263293218</v>
      </c>
      <c r="E22" s="22" t="n"/>
    </row>
    <row r="23">
      <c r="A23" t="inlineStr">
        <is>
          <t>Ingresos necesarios al año (caja, sin IVA)</t>
        </is>
      </c>
      <c r="B23" s="14">
        <f>IFERROR(IF('PyG 3 Años'!B11="","",B21*B9),"")</f>
        <v>167973.70976629315</v>
      </c>
      <c r="C23" s="14">
        <f>IFERROR(IF('PyG 3 Años'!C11="","",C21*C9),"")</f>
        <v>175858.42801973014</v>
      </c>
      <c r="D23" s="14">
        <f>IFERROR(IF('PyG 3 Años'!D11="","",D21*D9),"")</f>
        <v>175858.42801973014</v>
      </c>
    </row>
    <row r="24">
      <c r="A24" s="4" t="inlineStr">
        <is>
          <t>CONTRASTE CON EL PLAN</t>
        </is>
      </c>
      <c r="B24" s="10" t="inlineStr"/>
      <c r="C24" s="10" t="inlineStr"/>
      <c r="D24" s="10" t="inlineStr"/>
      <c r="E24" s="10" t="inlineStr"/>
    </row>
    <row r="25">
      <c r="A25" t="inlineStr">
        <is>
          <t>Clientes al día previstos en el plan</t>
        </is>
      </c>
      <c r="B25" s="19">
        <f>IFERROR(IF('PyG 3 Años'!B11="","",'PyG 3 Años'!B7*'PyG 3 Años'!B10),"")</f>
        <v>59.26156298</v>
      </c>
      <c r="C25" s="19">
        <f>IFERROR(IF('PyG 3 Años'!C11="","",'PyG 3 Años'!C7*'PyG 3 Años'!C10),"")</f>
        <v>67.0</v>
      </c>
      <c r="D25" s="19">
        <f>IFERROR(IF('PyG 3 Años'!D11="","",'PyG 3 Años'!D7*'PyG 3 Años'!D10),"")</f>
        <v>69.68</v>
      </c>
    </row>
    <row r="26">
      <c r="A26" t="inlineStr">
        <is>
          <t>Holgura sobre el equilibrio de CAJA (%)</t>
        </is>
      </c>
      <c r="B26" s="15">
        <f>IFERROR(IF('PyG 3 Años'!B11="","",IF(B22&lt;=0,"",B25/B22-1)),"")</f>
        <v>0.04833948077857664</v>
      </c>
      <c r="C26" s="15">
        <f>IFERROR(IF('PyG 3 Años'!C11="","",IF(C22&lt;=0,"",C25/C22-1)),"")</f>
        <v>0.13209212694568984</v>
      </c>
      <c r="D26" s="15">
        <f>IFERROR(IF('PyG 3 Años'!D11="","",IF(D22&lt;=0,"",D25/D22-1)),"")</f>
        <v>0.1773758120235176</v>
      </c>
      <c r="E26" s="5" t="inlineStr">
        <is>
          <t>Cuánto puedes caer sobre lo previsto antes de no poder pagar los fijos y la cuota. El mínimo exigible está en «0. Supuestos».</t>
        </is>
      </c>
    </row>
    <row r="27">
      <c r="A27" t="inlineStr">
        <is>
          <t>Lectura de la holgura</t>
        </is>
      </c>
      <c r="B27" t="str">
        <f>IFERROR(IF('PyG 3 Años'!B11="","",IF(B26&lt;0,"Por debajo del equilibrio",IF(B26&lt;'0. Supuestos'!$B$66,"Ajustada","Suficiente"))),"")</f>
        <v>Ajustada</v>
      </c>
      <c r="C27" t="str">
        <f>IFERROR(IF('PyG 3 Años'!C11="","",IF(C26&lt;0,"Por debajo del equilibrio",IF(C26&lt;'0. Supuestos'!$B$66,"Ajustada","Suficiente"))),"")</f>
        <v>Ajustada</v>
      </c>
      <c r="D27" t="str">
        <f>IFERROR(IF('PyG 3 Años'!D11="","",IF(D26&lt;0,"Por debajo del equilibrio",IF(D26&lt;'0. Supuestos'!$B$66,"Ajustada","Suficiente"))),"")</f>
        <v>Suficiente</v>
      </c>
    </row>
    <row r="28" ht="44" customHeight="1">
      <c r="A28" s="5" t="inlineStr">
        <is>
          <t>Lectura rápida: si los clientes al día previstos están por debajo de los clientes al día de CAJA, el negocio no genera para pagar los fijos y la cuota, y da igual lo que diga el resultado contable. Si están justo por encima, no tienes margen para un mes malo -y aquí los meses malos están en el calendario, no en la mala suerte-: negocia carencia, baja inversión o revisa el ticket medio antes de firmar nada.</t>
        </is>
      </c>
    </row>
    <row r="29"/>
    <row r="30">
      <c r="A30" s="4" t="inlineStr">
        <is>
          <t>EL PUNTO MUERTO, POR FORMATO (año de crucero)</t>
        </is>
      </c>
      <c r="B30" s="10" t="inlineStr"/>
      <c r="C30" s="10" t="inlineStr"/>
      <c r="D30" s="10" t="inlineStr"/>
      <c r="E30" s="10" t="inlineStr"/>
    </row>
    <row r="31" ht="30" customHeight="1">
      <c r="A31" s="7" t="inlineStr">
        <is>
          <t>Concepto</t>
        </is>
      </c>
      <c r="B31" s="7" t="inlineStr">
        <is>
          <t>Bombonería</t>
        </is>
      </c>
      <c r="C31" s="7" t="inlineStr">
        <is>
          <t>Bombonería + taza y churros</t>
        </is>
      </c>
      <c r="D31" s="7" t="inlineStr"/>
      <c r="E31" s="7" t="inlineStr">
        <is>
          <t>Notas</t>
        </is>
      </c>
    </row>
    <row r="32">
      <c r="A32" t="inlineStr">
        <is>
          <t>Costes fijos mensuales (€)</t>
        </is>
      </c>
      <c r="B32" s="14">
        <f>IFERROR('PyG 3 Años'!B64/12,"")</f>
        <v>10212.169275499467</v>
      </c>
      <c r="C32" s="14">
        <f>IFERROR('PyG 3 Años'!C64/12,"")</f>
        <v>11350.749275499467</v>
      </c>
    </row>
    <row r="33">
      <c r="A33" t="inlineStr">
        <is>
          <t>Margen de contribución sobre ventas (%)</t>
        </is>
      </c>
      <c r="B33" s="15">
        <f>IFERROR('PyG 3 Años'!B63/'PyG 3 Años'!B61,"")</f>
        <v>0.71758416</v>
      </c>
      <c r="C33" s="15">
        <f>IFERROR('PyG 3 Años'!C63/'PyG 3 Años'!C61,"")</f>
        <v>0.68596170708833</v>
      </c>
    </row>
    <row r="34">
      <c r="A34" s="22" t="inlineStr">
        <is>
          <t>PUNTO MUERTO MENSUAL (€ sin IVA)</t>
        </is>
      </c>
      <c r="B34" s="24">
        <f>IFERROR(IF(B33&lt;=0,"",B32/B33),"")</f>
        <v>14231.319258077641</v>
      </c>
      <c r="C34" s="24">
        <f>IFERROR(IF(C33&lt;=0,"",C32/C33),"")</f>
        <v>16547.205417164565</v>
      </c>
      <c r="E34" s="5" t="inlineStr">
        <is>
          <t>El formato con taza y churros factura más, pero también arrastra más fijos y un margen bruto mucho peor en esa línea. Lo que decide no es cuál factura más: es cuál necesita menos para no perder dinero.</t>
        </is>
      </c>
    </row>
    <row r="35">
      <c r="A35" t="inlineStr">
        <is>
          <t>Punto muerto por día de apertura (€)</t>
        </is>
      </c>
      <c r="B35" s="14">
        <f>IFERROR(B34*12/'0. Supuestos'!$B$11,"")</f>
        <v>561.7626022925385</v>
      </c>
      <c r="C35" s="14">
        <f>IFERROR(C34*12/'0. Supuestos'!$B$11,"")</f>
        <v>653.1791612038644</v>
      </c>
    </row>
    <row r="36" ht="44" customHeight="1">
      <c r="A36" s="5" t="inlineStr">
        <is>
          <t>Los dos formatos comparten obrador, alquiler y titular; lo que cambia es la sala, el personal de servicio y la licencia. Si el punto muerto de la derecha sale MÁS ALTO, la taza y los churros te están obligando a facturar más para estar igual: puede seguir mereciendo la pena por tráfico y por horario, pero eso ya es una decisión tuya y no un resultado del libro.</t>
        </is>
      </c>
    </row>
    <row r="37"/>
    <row r="38">
      <c r="A38" s="4" t="inlineStr">
        <is>
          <t>SENSIBILIDAD DEL PUNTO DE EQUILIBRIO (año de crucero)</t>
        </is>
      </c>
      <c r="B38" s="10" t="inlineStr"/>
      <c r="C38" s="10" t="inlineStr"/>
      <c r="D38" s="10" t="inlineStr"/>
      <c r="E38" s="10" t="inlineStr"/>
    </row>
    <row r="39" ht="30" customHeight="1">
      <c r="A39" s="9" t="inlineStr">
        <is>
          <t>Clientes al día necesarios: ticket medio (columnas) x coste variable por ticket (filas)</t>
        </is>
      </c>
      <c r="B39" s="30">
        <f>IFERROR($C$9-1,"")</f>
        <v>8.774545454545454</v>
      </c>
      <c r="C39" s="30">
        <f>IFERROR($C$9,"")</f>
        <v>9.774545454545454</v>
      </c>
      <c r="D39" s="30">
        <f>IFERROR($C$9+1,"")</f>
        <v>10.774545454545454</v>
      </c>
      <c r="E39" s="30">
        <f>IFERROR($C$9+2,"")</f>
        <v>11.774545454545454</v>
      </c>
    </row>
    <row r="40">
      <c r="A40" s="30">
        <f>IFERROR($C$10-2*'0. Supuestos'!$B$71,"")</f>
        <v>2.3604864651636364</v>
      </c>
      <c r="B40" s="19">
        <f>IFERROR(IF(B$39-$A40&lt;=0,"",$C$7/(B$39-$A40)/$C$12),"")</f>
        <v>62.8481817446392</v>
      </c>
      <c r="C40" s="19">
        <f>IFERROR(IF(C$39-$A40&lt;=0,"",$C$7/(C$39-$A40)/$C$12),"")</f>
        <v>54.371289149820576</v>
      </c>
      <c r="D40" s="19">
        <f>IFERROR(IF(D$39-$A40&lt;=0,"",$C$7/(D$39-$A40)/$C$12),"")</f>
        <v>47.90933194005596</v>
      </c>
      <c r="E40" s="19">
        <f>IFERROR(IF(E$39-$A40&lt;=0,"",$C$7/(E$39-$A40)/$C$12),"")</f>
        <v>42.82020598555607</v>
      </c>
    </row>
    <row r="41">
      <c r="A41" s="30">
        <f>IFERROR($C$10-1*'0. Supuestos'!$B$71,"")</f>
        <v>2.560486465163636</v>
      </c>
      <c r="B41" s="19">
        <f>IFERROR(IF(B$39-$A41&lt;=0,"",$C$7/(B$39-$A41)/$C$12),"")</f>
        <v>64.8709556465938</v>
      </c>
      <c r="C41" s="19">
        <f>IFERROR(IF(C$39-$A41&lt;=0,"",$C$7/(C$39-$A41)/$C$12),"")</f>
        <v>55.87865938978806</v>
      </c>
      <c r="D41" s="19">
        <f>IFERROR(IF(D$39-$A41&lt;=0,"",$C$7/(D$39-$A41)/$C$12),"")</f>
        <v>49.07585221954233</v>
      </c>
      <c r="E41" s="19">
        <f>IFERROR(IF(E$39-$A41&lt;=0,"",$C$7/(E$39-$A41)/$C$12),"")</f>
        <v>43.74965968310461</v>
      </c>
    </row>
    <row r="42">
      <c r="A42" s="30">
        <f>IFERROR($C$10,"")</f>
        <v>2.7604864651636363</v>
      </c>
      <c r="B42" s="19">
        <f>IFERROR(IF(B$39-$A42&lt;=0,"",$C$7/(B$39-$A42)/$C$12),"")</f>
        <v>67.02826590115322</v>
      </c>
      <c r="C42" s="19">
        <f>IFERROR(IF(C$39-$A42&lt;=0,"",$C$7/(C$39-$A42)/$C$12),"")</f>
        <v>57.471992422041694</v>
      </c>
      <c r="D42" s="19">
        <f>IFERROR(IF(D$39-$A42&lt;=0,"",$C$7/(D$39-$A42)/$C$12),"")</f>
        <v>50.300596192217476</v>
      </c>
      <c r="E42" s="19">
        <f>IFERROR(IF(E$39-$A42&lt;=0,"",$C$7/(E$39-$A42)/$C$12),"")</f>
        <v>44.72035800523984</v>
      </c>
    </row>
    <row r="43">
      <c r="A43" s="30">
        <f>IFERROR($C$10+1*'0. Supuestos'!$B$71,"")</f>
        <v>2.9604864651636364</v>
      </c>
      <c r="B43" s="19">
        <f>IFERROR(IF(B$39-$A43&lt;=0,"",$C$7/(B$39-$A43)/$C$12),"")</f>
        <v>69.33399640796668</v>
      </c>
      <c r="C43" s="19">
        <f>IFERROR(IF(C$39-$A43&lt;=0,"",$C$7/(C$39-$A43)/$C$12),"")</f>
        <v>59.15885754932043</v>
      </c>
      <c r="D43" s="19">
        <f>IFERROR(IF(D$39-$A43&lt;=0,"",$C$7/(D$39-$A43)/$C$12),"")</f>
        <v>51.58803454558974</v>
      </c>
      <c r="E43" s="19">
        <f>IFERROR(IF(E$39-$A43&lt;=0,"",$C$7/(E$39-$A43)/$C$12),"")</f>
        <v>45.73510859992304</v>
      </c>
    </row>
    <row r="44">
      <c r="A44" s="30">
        <f>IFERROR($C$10+2*'0. Supuestos'!$B$71,"")</f>
        <v>3.160486465163636</v>
      </c>
      <c r="B44" s="19">
        <f>IFERROR(IF(B$39-$A44&lt;=0,"",$C$7/(B$39-$A44)/$C$12),"")</f>
        <v>71.80400951396011</v>
      </c>
      <c r="C44" s="19">
        <f>IFERROR(IF(C$39-$A44&lt;=0,"",$C$7/(C$39-$A44)/$C$12),"")</f>
        <v>60.9477396153647</v>
      </c>
      <c r="D44" s="19">
        <f>IFERROR(IF(D$39-$A44&lt;=0,"",$C$7/(D$39-$A44)/$C$12),"")</f>
        <v>52.943107696914986</v>
      </c>
      <c r="E44" s="19">
        <f>IFERROR(IF(E$39-$A44&lt;=0,"",$C$7/(E$39-$A44)/$C$12),"")</f>
        <v>46.79697986540424</v>
      </c>
    </row>
    <row r="45"/>
    <row r="46" ht="42" customHeight="1">
      <c r="A46" s="5" t="inlineStr">
        <is>
          <t>La celda del centro es tu escenario. Muévete una columna a la izquierda y estarás viendo qué pasa si tienes que bajar el ticket medio un euro; una fila hacia abajo, qué pasa si el cacao te sube el coste variable. Los dos movimientos han pasado en los últimos tres años, y el segundo tiene su propio libro en esta guía.</t>
        </is>
      </c>
    </row>
  </sheetData>
  <sheetProtection selectLockedCells="0" selectUnlockedCells="0" sheet="1" objects="0" insertRows="0" insertHyperlinks="1" autoFilter="1" scenarios="0" formatColumns="0" deleteColumns="1" insertColumns="1" pivotTables="1" deleteRows="1" formatCells="1" formatRows="0" sort="0"/>
  <mergeCells count="4">
    <mergeCell ref="A3:E3"/>
    <mergeCell ref="A28:E28"/>
    <mergeCell ref="A46:E46"/>
    <mergeCell ref="A36:E36"/>
  </mergeCells>
  <conditionalFormatting sqref="B26:D26">
    <cfRule type="expression" priority="1" dxfId="0" stopIfTrue="1">
      <formula>=AND(ISNUMBER(B26),B26&lt;0)</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25"/>
  <sheetViews>
    <sheetView workbookViewId="0">
      <pane ySplit="5" topLeftCell="A6" activePane="bottomLeft" state="frozen"/>
      <selection pane="bottomLeft" activeCell="A1" sqref="A1"/>
    </sheetView>
  </sheetViews>
  <sheetFormatPr baseColWidth="8" defaultRowHeight="15"/>
  <cols>
    <col width="54" customWidth="1" min="1" max="1"/>
    <col width="16" customWidth="1" min="2" max="2"/>
    <col width="16" customWidth="1" min="3" max="3"/>
    <col width="16" customWidth="1" min="4" max="4"/>
    <col width="82" customWidth="1" min="5" max="5"/>
  </cols>
  <sheetData>
    <row r="1" ht="28" customHeight="1">
      <c r="A1" s="1" t="inlineStr">
        <is>
          <t>Escenarios: Pesimista, Realista y Optimista</t>
        </is>
      </c>
    </row>
    <row r="2">
      <c r="A2" t="inlineStr">
        <is>
          <t>AI Chef Pro · aichef.pro — Cómo Montar una Chocolatería</t>
        </is>
      </c>
    </row>
    <row r="3" ht="26" customHeight="1">
      <c r="A3" s="5" t="inlineStr">
        <is>
          <t>La columna «Realista» LEE el año de crucero del P&amp;L, así que no puede desviarse de él. Las otras dos son verdes: son tus apuestas, y la de la izquierda es la que hay que poder sobrevivir.</t>
        </is>
      </c>
    </row>
    <row r="4"/>
    <row r="5" ht="30" customHeight="1">
      <c r="A5" s="7" t="inlineStr">
        <is>
          <t>Métrica</t>
        </is>
      </c>
      <c r="B5" s="7" t="inlineStr">
        <is>
          <t>Pesimista</t>
        </is>
      </c>
      <c r="C5" s="7" t="inlineStr">
        <is>
          <t>Realista</t>
        </is>
      </c>
      <c r="D5" s="7" t="inlineStr">
        <is>
          <t>Optimista</t>
        </is>
      </c>
      <c r="E5" s="7" t="inlineStr">
        <is>
          <t>Notas</t>
        </is>
      </c>
    </row>
    <row r="6">
      <c r="A6" t="inlineStr">
        <is>
          <t>Clientes al día</t>
        </is>
      </c>
      <c r="B6" s="11" t="n">
        <v>48</v>
      </c>
      <c r="C6" s="26">
        <f>IFERROR('PyG 3 Años'!C7,"")</f>
        <v>67.0</v>
      </c>
      <c r="D6" s="11" t="n">
        <v>85</v>
      </c>
      <c r="E6" s="5" t="inlineStr">
        <is>
          <t>SUPUESTOS los dos extremos. El pesimista no es «un mal día»: es el año entero yendo mal, con una Navidad floja dentro.</t>
        </is>
      </c>
    </row>
    <row r="7">
      <c r="A7" t="inlineStr">
        <is>
          <t>Ticket medio sin IVA (€)</t>
        </is>
      </c>
      <c r="B7" s="13" t="n">
        <v>8.199999999999999</v>
      </c>
      <c r="C7" s="14">
        <f>IFERROR('PyG 3 Años'!C8,"")</f>
        <v>9.774545454545454</v>
      </c>
      <c r="D7" s="13" t="n">
        <v>11.5</v>
      </c>
      <c r="E7" s="5" t="inlineStr">
        <is>
          <t>SUPUESTOS. En bombonería el ticket lo mueve el MIX, no el precio: si la gente compra cajas de 12 en vez de cajas de 35, el ticket cae sin que hayas bajado un solo precio.</t>
        </is>
      </c>
    </row>
    <row r="8">
      <c r="A8" t="inlineStr">
        <is>
          <t>Días de apertura al año</t>
        </is>
      </c>
      <c r="B8" s="11" t="n">
        <v>290</v>
      </c>
      <c r="C8" s="26">
        <f>IFERROR('PyG 3 Años'!C9,"")</f>
        <v>304.0</v>
      </c>
      <c r="D8" s="11" t="n">
        <v>310</v>
      </c>
      <c r="E8" s="5" t="inlineStr">
        <is>
          <t>SUPUESTOS. Ojo con creer que abrir más días arregla un año malo: lo que arregla un año malo es Navidad.</t>
        </is>
      </c>
    </row>
    <row r="9">
      <c r="A9" s="22" t="inlineStr">
        <is>
          <t>INGRESOS ANUALES (sin IVA)</t>
        </is>
      </c>
      <c r="B9" s="24">
        <f>IFERROR(IF(B6*B7*B8=0,"",B6*B7*B8),"")</f>
        <v>114143.99999999999</v>
      </c>
      <c r="C9" s="24">
        <f>IFERROR(IF(C6*C7*C8=0,"",C6*C7*C8),"")</f>
        <v>199087.9418181818</v>
      </c>
      <c r="D9" s="24">
        <f>IFERROR(IF(D6*D7*D8=0,"",D6*D7*D8),"")</f>
        <v>303025.0</v>
      </c>
      <c r="E9" s="22" t="n"/>
    </row>
    <row r="10">
      <c r="A10" t="inlineStr">
        <is>
          <t>Coste de ventas (food cost del P&amp;L)</t>
        </is>
      </c>
      <c r="B10" s="14">
        <f>IFERROR(IF(B9="","",B9*'0. Supuestos'!$B$24),"")</f>
        <v>32236.07364096</v>
      </c>
      <c r="C10" s="14">
        <f>IFERROR(IF(C9="","",C9*'0. Supuestos'!$B$24),"")</f>
        <v>56225.588322452946</v>
      </c>
      <c r="D10" s="14">
        <f>IFERROR(IF(D9="","",D9*'0. Supuestos'!$B$24),"")</f>
        <v>85579.05991600001</v>
      </c>
    </row>
    <row r="11">
      <c r="A11" t="inlineStr">
        <is>
          <t>TOTAL COSTES VARIABLES</t>
        </is>
      </c>
      <c r="B11" s="14">
        <f>IFERROR(IF(B9="","",B10),"")</f>
        <v>32236.07364096</v>
      </c>
      <c r="C11" s="14">
        <f>IFERROR(IF(C9="","",C10),"")</f>
        <v>56225.588322452946</v>
      </c>
      <c r="D11" s="14">
        <f>IFERROR(IF(D9="","",D10),"")</f>
        <v>85579.05991600001</v>
      </c>
    </row>
    <row r="12">
      <c r="A12" s="21" t="inlineStr">
        <is>
          <t>MARGEN BRUTO</t>
        </is>
      </c>
      <c r="B12" s="30">
        <f>IFERROR(IF(B9="","",B9-B11),"")</f>
        <v>81907.92635904</v>
      </c>
      <c r="C12" s="30">
        <f>IFERROR(IF(C9="","",C9-C11),"")</f>
        <v>142862.35349572886</v>
      </c>
      <c r="D12" s="30">
        <f>IFERROR(IF(D9="","",D9-D11),"")</f>
        <v>217445.940084</v>
      </c>
    </row>
    <row r="13">
      <c r="A13" t="inlineStr">
        <is>
          <t>COSTES FIJOS (los del año de crucero del P&amp;L)</t>
        </is>
      </c>
      <c r="B13" s="14">
        <f>IFERROR(IF(B9="","",'PyG 3 Años'!$C$31),"")</f>
        <v>122546.0313059936</v>
      </c>
      <c r="C13" s="14">
        <f>IFERROR(IF(C9="","",'PyG 3 Años'!$C$31),"")</f>
        <v>122546.0313059936</v>
      </c>
      <c r="D13" s="14">
        <f>IFERROR(IF(D9="","",'PyG 3 Años'!$C$31),"")</f>
        <v>122546.0313059936</v>
      </c>
      <c r="E13" s="5" t="inlineStr">
        <is>
          <t>Los costes fijos no cambian con el escenario: por eso son fijos. Si en el pesimista se disparan sobre las ventas, el ajuste hay que hacerlo en la hoja de Personal, no aquí.</t>
        </is>
      </c>
    </row>
    <row r="14">
      <c r="A14" s="21" t="inlineStr">
        <is>
          <t>RESULTADO ANTES DE IMPUESTOS</t>
        </is>
      </c>
      <c r="B14" s="30">
        <f>IFERROR(IF(B9="","",B12-B13),"")</f>
        <v>-40638.10494695361</v>
      </c>
      <c r="C14" s="30">
        <f>IFERROR(IF(C9="","",C12-C13),"")</f>
        <v>20316.322189735263</v>
      </c>
      <c r="D14" s="30">
        <f>IFERROR(IF(D9="","",D12-D13),"")</f>
        <v>94899.9087780064</v>
      </c>
    </row>
    <row r="15">
      <c r="A15" t="inlineStr">
        <is>
          <t>Impuesto de Sociedades</t>
        </is>
      </c>
      <c r="B15" s="14">
        <f>IFERROR(IF(B9="","",MAX(0,B14-'0. Supuestos'!$B$49)*'0. Supuestos'!$B$47),"")</f>
        <v>0.0</v>
      </c>
      <c r="C15" s="14">
        <f>IFERROR(IF(C9="","",MAX(0,C14-'0. Supuestos'!$B$49)*'0. Supuestos'!$B$47),"")</f>
        <v>3047.4483284602893</v>
      </c>
      <c r="D15" s="14">
        <f>IFERROR(IF(D9="","",MAX(0,D14-'0. Supuestos'!$B$49)*'0. Supuestos'!$B$47),"")</f>
        <v>14234.986316700959</v>
      </c>
      <c r="E15" s="5" t="inlineStr">
        <is>
          <t>Al tipo de entidad de nueva creación, compensando las bases negativas anteriores. Con resultado negativo no hay cuota.</t>
        </is>
      </c>
    </row>
    <row r="16">
      <c r="A16" s="22" t="inlineStr">
        <is>
          <t>RESULTADO NETO</t>
        </is>
      </c>
      <c r="B16" s="24">
        <f>IFERROR(IF(B9="","",B14-B15),"")</f>
        <v>-40638.10494695361</v>
      </c>
      <c r="C16" s="24">
        <f>IFERROR(IF(C9="","",C14-C15),"")</f>
        <v>17268.873861274973</v>
      </c>
      <c r="D16" s="24">
        <f>IFERROR(IF(D9="","",D14-D15),"")</f>
        <v>80664.92246130544</v>
      </c>
      <c r="E16" s="22" t="n"/>
    </row>
    <row r="17">
      <c r="A17" t="inlineStr">
        <is>
          <t>Margen neto (%)</t>
        </is>
      </c>
      <c r="B17" s="15">
        <f>IFERROR(IF(B9="","",B16/B9),"")</f>
        <v>-0.35602488914838815</v>
      </c>
      <c r="C17" s="15">
        <f>IFERROR(IF(C9="","",C16/C9),"")</f>
        <v>0.08673992861428981</v>
      </c>
      <c r="D17" s="15">
        <f>IFERROR(IF(D9="","",D16/D9),"")</f>
        <v>0.2661989026031035</v>
      </c>
      <c r="E17" s="5" t="inlineStr">
        <is>
          <t>Contrástalo con la banda de referencia de «0. Supuestos», que es un supuesto de control y no un dato del sector. El optimista que se va muy por encima suele estar olvidándose de un coste, no descubriendo un negocio mejor.</t>
        </is>
      </c>
    </row>
    <row r="18">
      <c r="A18" t="inlineStr">
        <is>
          <t>Clientes al día para el equilibrio</t>
        </is>
      </c>
      <c r="B18" s="19">
        <f>IFERROR(IF(B9="","",IF(B7-B11/(B6*B8)&lt;=0,"",B13/(B7-B11/(B6*B8))/B8)),"")</f>
        <v>71.81489953613612</v>
      </c>
      <c r="C18" s="19">
        <f>IFERROR(IF(C9="","",IF(C7-C11/(C6*C8)&lt;=0,"",C13/(C7-C11/(C6*C8))/C8)),"")</f>
        <v>57.471992422041694</v>
      </c>
      <c r="D18" s="19">
        <f>IFERROR(IF(D9="","",IF(D7-D11/(D6*D8)&lt;=0,"",D13/(D7-D11/(D6*D8))/D8)),"")</f>
        <v>47.90345893322067</v>
      </c>
    </row>
    <row r="19">
      <c r="A19" s="4" t="inlineStr">
        <is>
          <t>LO QUE CADA ESCENARIO EXIGE</t>
        </is>
      </c>
      <c r="B19" s="10" t="inlineStr"/>
      <c r="C19" s="10" t="inlineStr"/>
      <c r="D19" s="10" t="inlineStr"/>
      <c r="E19" s="10" t="inlineStr"/>
    </row>
    <row r="20">
      <c r="A20" t="inlineStr">
        <is>
          <t>Coste de personal / ventas</t>
        </is>
      </c>
      <c r="B20" s="15">
        <f>IFERROR(IF(B9="","",'PyG 3 Años'!$C$17/B9),"")</f>
        <v>0.5994071041841885</v>
      </c>
      <c r="C20" s="15">
        <f>IFERROR(IF(C9="","",'PyG 3 Años'!$C$17/C9),"")</f>
        <v>0.3436608157940766</v>
      </c>
      <c r="D20" s="15">
        <f>IFERROR(IF(D9="","",'PyG 3 Años'!$C$17/D9),"")</f>
        <v>0.2257857421004868</v>
      </c>
      <c r="E20" s="5" t="inlineStr">
        <is>
          <t>La MISMA plantilla en los tres escenarios: tres personas y dos jornadas y media. En el pesimista es donde se ve si esa plantilla se sostiene.</t>
        </is>
      </c>
    </row>
    <row r="21">
      <c r="A21" t="inlineStr">
        <is>
          <t>Ventas al año por jornada equivalente (€)</t>
        </is>
      </c>
      <c r="B21" s="14">
        <f>IFERROR(IF(B9="","",B9/'Personal'!$C$9),"")</f>
        <v>45657.59999999999</v>
      </c>
      <c r="C21" s="14">
        <f>IFERROR(IF(C9="","",C9/'Personal'!$C$9),"")</f>
        <v>79635.17672727272</v>
      </c>
      <c r="D21" s="14">
        <f>IFERROR(IF(D9="","",D9/'Personal'!$C$9),"")</f>
        <v>121210.0</v>
      </c>
      <c r="E21" s="5" t="inlineStr">
        <is>
          <t>Cuánto tendría que facturar cada jornada completa del cuadro de Personal. En el optimista dice si hace falta contratar antes de llegar ahí -y en bombonería contratar en noviembre ya es tarde-.</t>
        </is>
      </c>
    </row>
    <row r="22">
      <c r="A22" t="inlineStr">
        <is>
          <t>Saldo de caja estimado al cierre del año 1 (mismo método en los tres)</t>
        </is>
      </c>
      <c r="B22" s="14">
        <f>IFERROR(IF(B9="","",'Inversión Inicial'!$B$16+B16+'PyG 3 Años'!$C$29-'Financiación'!$C$116),"")</f>
        <v>23264.87353344431</v>
      </c>
      <c r="C22" s="14">
        <f>IFERROR(IF(C9="","",'Inversión Inicial'!$B$16+C16+'PyG 3 Años'!$C$29-'Financiación'!$C$116),"")</f>
        <v>81171.85234167289</v>
      </c>
      <c r="D22" s="14">
        <f>IFERROR(IF(D9="","",'Inversión Inicial'!$B$16+D16+'PyG 3 Años'!$C$29-'Financiación'!$C$116),"")</f>
        <v>144567.90094170335</v>
      </c>
      <c r="E22" s="5" t="inlineStr">
        <is>
          <t>Fondo de maniobra más el resultado del año, devolviendo la amortización (que no se paga) y restando el principal (que sí). Es una ESTIMACIÓN: el saldo de verdad, con su desfase de cobros y su liquidación de IVA, está en la hoja de Tesorería.</t>
        </is>
      </c>
    </row>
    <row r="23">
      <c r="A23" t="inlineStr">
        <is>
          <t>Saldo real del mes 12 de la hoja de Tesorería (sólo el realista)</t>
        </is>
      </c>
      <c r="C23" s="14">
        <f>IFERROR(IF(C9="","",'Tesorería 12 meses'!M23),"")</f>
        <v>72959.29431857425</v>
      </c>
      <c r="E23" s="5" t="inlineStr">
        <is>
          <t>Sólo existe para el caso base: la tesorería mes a mes está construida sobre el año 1 del P&amp;L, no sobre los escenarios.</t>
        </is>
      </c>
    </row>
    <row r="24"/>
    <row r="25" ht="30" customHeight="1">
      <c r="A25" s="5" t="inlineStr">
        <is>
          <t>La columna «Realista» lee sus tres datos del año de crucero del P&amp;L, así que reproduce EXACTAMENTE ese año. Si quieres mover el caso base, muévelo en «0. Supuestos» y esta columna te sigue.</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E3"/>
    <mergeCell ref="A25:E25"/>
  </mergeCells>
  <conditionalFormatting sqref="B16:D16">
    <cfRule type="expression" priority="1" dxfId="0" stopIfTrue="1">
      <formula>=AND(ISNUMBER(B16),B16&lt;0)</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46"/>
  <sheetViews>
    <sheetView workbookViewId="0">
      <pane ySplit="5" topLeftCell="A6" activePane="bottomLeft" state="frozen"/>
      <selection pane="bottomLeft" activeCell="A1" sqref="A1"/>
    </sheetView>
  </sheetViews>
  <sheetFormatPr baseColWidth="8" defaultRowHeight="15"/>
  <cols>
    <col width="34" customWidth="1" min="1" max="1"/>
    <col width="10" customWidth="1" min="2" max="2"/>
    <col width="10" customWidth="1" min="3" max="3"/>
    <col width="12" customWidth="1" min="4" max="4"/>
    <col width="14" customWidth="1" min="5" max="5"/>
    <col width="14" customWidth="1" min="6" max="6"/>
    <col width="14" customWidth="1" min="7" max="7"/>
    <col width="14" customWidth="1" min="8" max="8"/>
    <col width="15" customWidth="1" min="9" max="9"/>
    <col width="11" customWidth="1" min="10" max="10"/>
    <col width="13" customWidth="1" min="11" max="11"/>
    <col width="62" customWidth="1" min="12" max="12"/>
  </cols>
  <sheetData>
    <row r="1" ht="28" customHeight="1">
      <c r="A1" s="1" t="inlineStr">
        <is>
          <t>Personal: Tres Personas y Dos Jornadas y Media</t>
        </is>
      </c>
    </row>
    <row r="2">
      <c r="A2" t="inlineStr">
        <is>
          <t>AI Chef Pro · aichef.pro — Cómo Montar una Chocolatería</t>
        </is>
      </c>
    </row>
    <row r="3" ht="26" customHeight="1">
      <c r="A3" s="5" t="inlineStr">
        <is>
          <t>Los tres perfiles son los del kit de tareas de chocolatería, con sus nombres: Encargado, Chocolatero y Dependiente. El bruto sale del convenio, en celda verde, y la Seguridad Social a cargo de la empresa va DENTRO: del bruto al coste empresa hay un tercio más.</t>
        </is>
      </c>
    </row>
    <row r="4"/>
    <row r="5" ht="30" customHeight="1">
      <c r="A5" s="7" t="inlineStr">
        <is>
          <t>Persona y perfil</t>
        </is>
      </c>
      <c r="B5" s="7" t="inlineStr">
        <is>
          <t>Personas</t>
        </is>
      </c>
      <c r="C5" s="7" t="inlineStr">
        <is>
          <t>Jornada</t>
        </is>
      </c>
      <c r="D5" s="7" t="inlineStr">
        <is>
          <t>Grupo de convenio</t>
        </is>
      </c>
      <c r="E5" s="7" t="inlineStr">
        <is>
          <t>Bruto mes del grupo (€)</t>
        </is>
      </c>
      <c r="F5" s="7" t="inlineStr">
        <is>
          <t>Bruto mes del puesto (€)</t>
        </is>
      </c>
      <c r="G5" s="7" t="inlineStr">
        <is>
          <t>Seguridad Social a cargo de la empresa (€)</t>
        </is>
      </c>
      <c r="H5" s="7" t="inlineStr">
        <is>
          <t>Coste mes (€)</t>
        </is>
      </c>
      <c r="I5" s="7" t="inlineStr">
        <is>
          <t>Coste año (€)</t>
        </is>
      </c>
      <c r="J5" s="7" t="inlineStr">
        <is>
          <t>Horas/semana</t>
        </is>
      </c>
      <c r="K5" s="7" t="inlineStr">
        <is>
          <t>Área</t>
        </is>
      </c>
      <c r="L5" s="7" t="inlineStr">
        <is>
          <t>Notas</t>
        </is>
      </c>
    </row>
    <row r="6">
      <c r="A6" t="inlineStr">
        <is>
          <t>P1 · Encargado</t>
        </is>
      </c>
      <c r="B6" s="32" t="n">
        <v>1</v>
      </c>
      <c r="C6" s="33" t="n">
        <v>1</v>
      </c>
      <c r="D6" s="34" t="inlineStr">
        <is>
          <t>Grupo 2</t>
        </is>
      </c>
      <c r="E6" s="14">
        <f>IFERROR(INDEX($E$13:$E$17,MATCH(D6,$A$13:$A$17,0)),"")</f>
        <v>1427.89</v>
      </c>
      <c r="F6" s="14">
        <f>IFERROR(E6*C6*B6,"")</f>
        <v>1427.89</v>
      </c>
      <c r="G6" s="14">
        <f>IFERROR(F6*'0. Supuestos'!$B$29,"")</f>
        <v>471.2037000000001</v>
      </c>
      <c r="H6" s="14">
        <f>IFERROR(F6+G6,"")</f>
        <v>1899.0937000000001</v>
      </c>
      <c r="I6" s="14">
        <f>IFERROR(H6*MAX(12,'0. Supuestos'!$B$30),"")</f>
        <v>28486.4055</v>
      </c>
      <c r="J6" s="32" t="n">
        <v>40</v>
      </c>
      <c r="K6" s="34" t="inlineStr">
        <is>
          <t>OBRADOR</t>
        </is>
      </c>
      <c r="L6" s="5" t="inlineStr">
        <is>
          <t>Turno de Partido (08:00-13:00 y 17:00-20:00).</t>
        </is>
      </c>
    </row>
    <row r="7">
      <c r="A7" t="inlineStr">
        <is>
          <t>P2 · Chocolatero</t>
        </is>
      </c>
      <c r="B7" s="32" t="n">
        <v>1</v>
      </c>
      <c r="C7" s="33" t="n">
        <v>1</v>
      </c>
      <c r="D7" s="34" t="inlineStr">
        <is>
          <t>Grupo 3</t>
        </is>
      </c>
      <c r="E7" s="14">
        <f>IFERROR(INDEX($E$13:$E$17,MATCH(D7,$A$13:$A$17,0)),"")</f>
        <v>1376.91</v>
      </c>
      <c r="F7" s="14">
        <f>IFERROR(E7*C7*B7,"")</f>
        <v>1376.91</v>
      </c>
      <c r="G7" s="14">
        <f>IFERROR(F7*'0. Supuestos'!$B$29,"")</f>
        <v>454.38030000000003</v>
      </c>
      <c r="H7" s="14">
        <f>IFERROR(F7+G7,"")</f>
        <v>1831.2903000000001</v>
      </c>
      <c r="I7" s="14">
        <f>IFERROR(H7*MAX(12,'0. Supuestos'!$B$30),"")</f>
        <v>27469.3545</v>
      </c>
      <c r="J7" s="32" t="n">
        <v>40</v>
      </c>
      <c r="K7" s="34" t="inlineStr">
        <is>
          <t>OBRADOR</t>
        </is>
      </c>
      <c r="L7" s="5" t="inlineStr">
        <is>
          <t>Turno de Mañana (07:00-15:00).</t>
        </is>
      </c>
    </row>
    <row r="8">
      <c r="A8" t="inlineStr">
        <is>
          <t>P3 · Dependiente</t>
        </is>
      </c>
      <c r="B8" s="32" t="n">
        <v>1</v>
      </c>
      <c r="C8" s="33" t="n">
        <v>0.5</v>
      </c>
      <c r="D8" s="34" t="inlineStr">
        <is>
          <t>Grupo 4</t>
        </is>
      </c>
      <c r="E8" s="14">
        <f>IFERROR(INDEX($E$13:$E$17,MATCH(D8,$A$13:$A$17,0)),"")</f>
        <v>1249.42</v>
      </c>
      <c r="F8" s="14">
        <f>IFERROR(E8*C8*B8,"")</f>
        <v>624.71</v>
      </c>
      <c r="G8" s="14">
        <f>IFERROR(F8*'0. Supuestos'!$B$29,"")</f>
        <v>206.15430000000003</v>
      </c>
      <c r="H8" s="14">
        <f>IFERROR(F8+G8,"")</f>
        <v>830.8643000000001</v>
      </c>
      <c r="I8" s="14">
        <f>IFERROR(H8*MAX(12,'0. Supuestos'!$B$30),"")</f>
        <v>12462.964500000002</v>
      </c>
      <c r="J8" s="32" t="n">
        <v>20</v>
      </c>
      <c r="K8" s="34" t="inlineStr">
        <is>
          <t>TIENDA</t>
        </is>
      </c>
      <c r="L8" s="5" t="inlineStr">
        <is>
          <t>Turno de Tarde (16:30-20:30).</t>
        </is>
      </c>
    </row>
    <row r="9">
      <c r="A9" s="22" t="inlineStr">
        <is>
          <t>TOTAL PLANTILLA</t>
        </is>
      </c>
      <c r="B9" s="35">
        <f>IFERROR(IF(COUNT(E6:E8)=0,"",SUM(B6:B8)),"")</f>
        <v>3.0</v>
      </c>
      <c r="C9" s="31">
        <f>IFERROR(IF(COUNT(E6:E8)=0,"",SUM(C6:C8)),"")</f>
        <v>2.5</v>
      </c>
      <c r="D9" s="22" t="n"/>
      <c r="E9" s="22" t="n"/>
      <c r="F9" s="24">
        <f>IFERROR(IF(COUNT(E6:E8)=0,"",SUM(F6:F8)),"")</f>
        <v>3429.51</v>
      </c>
      <c r="G9" s="24">
        <f>IFERROR(IF(COUNT(E6:E8)=0,"",SUM(G6:G8)),"")</f>
        <v>1131.7383</v>
      </c>
      <c r="H9" s="24">
        <f>IFERROR(IF(COUNT(E6:E8)=0,"",SUM(H6:H8)),"")</f>
        <v>4561.2483</v>
      </c>
      <c r="I9" s="24">
        <f>IFERROR(IF(COUNT(E6:E8)=0,"",SUM(I6:I8)),"")</f>
        <v>68418.72450000001</v>
      </c>
      <c r="J9" s="35">
        <f>IFERROR(IF(COUNT(E6:E8)=0,"",SUM(J6:J8)),"")</f>
        <v>100.0</v>
      </c>
      <c r="K9" s="22" t="n"/>
      <c r="L9" s="29" t="inlineStr">
        <is>
          <t>Este «Coste año» es el que lee el P&amp;L. No hay una segunda estimación de personal en ninguna parte del libro. Y dentro va la retribución del titular, que en este caso es el Encargado: lo único que va aparte, en los fijos, es su cuota de autónomos.</t>
        </is>
      </c>
    </row>
    <row r="10"/>
    <row r="11">
      <c r="A11" s="4" t="inlineStr">
        <is>
          <t>EL CONVENIO DE REFERENCIA (sustitúyelo por el tuyo)</t>
        </is>
      </c>
    </row>
    <row r="12" ht="26" customHeight="1">
      <c r="A12" s="7" t="inlineStr">
        <is>
          <t>Grupo</t>
        </is>
      </c>
      <c r="B12" s="7" t="inlineStr">
        <is>
          <t>Denominación del grupo</t>
        </is>
      </c>
      <c r="E12" s="7" t="inlineStr">
        <is>
          <t>Bruto mes (€)</t>
        </is>
      </c>
      <c r="F12" s="7" t="inlineStr">
        <is>
          <t>Bruto año (€)</t>
        </is>
      </c>
      <c r="G12" s="7" t="inlineStr">
        <is>
          <t>Áreas funcionales</t>
        </is>
      </c>
      <c r="I12" s="7" t="inlineStr">
        <is>
          <t>Puestos que cita</t>
        </is>
      </c>
    </row>
    <row r="13" ht="26" customHeight="1">
      <c r="A13" t="inlineStr">
        <is>
          <t>Grupo 1</t>
        </is>
      </c>
      <c r="B13" s="9" t="inlineStr">
        <is>
          <t>Técnicos y titulados superiores</t>
        </is>
      </c>
      <c r="E13" s="13" t="n">
        <v>1733.88</v>
      </c>
      <c r="F13" s="14">
        <f>IFERROR(E13*MAX(12,'0. Supuestos'!$B$30),"")</f>
        <v>26008.2</v>
      </c>
      <c r="G13" s="9" t="inlineStr">
        <is>
          <t>ADMINISTRACION</t>
        </is>
      </c>
      <c r="I13" s="9" t="inlineStr">
        <is>
          <t>-</t>
        </is>
      </c>
    </row>
    <row r="14" ht="26" customHeight="1">
      <c r="A14" t="inlineStr">
        <is>
          <t>Grupo 2</t>
        </is>
      </c>
      <c r="B14" s="9" t="inlineStr">
        <is>
          <t>Dirección, jefes y encargados</t>
        </is>
      </c>
      <c r="E14" s="13" t="n">
        <v>1427.89</v>
      </c>
      <c r="F14" s="14">
        <f>IFERROR(E14*MAX(12,'0. Supuestos'!$B$30),"")</f>
        <v>21418.350000000002</v>
      </c>
      <c r="G14" s="9" t="inlineStr">
        <is>
          <t>OBRADOR / TIENDA / ADMINISTRACION</t>
        </is>
      </c>
      <c r="I14" s="9" t="inlineStr">
        <is>
          <t>maestro de obrador, encargado</t>
        </is>
      </c>
    </row>
    <row r="15" ht="26" customHeight="1">
      <c r="A15" t="inlineStr">
        <is>
          <t>Grupo 3</t>
        </is>
      </c>
      <c r="B15" s="9" t="inlineStr">
        <is>
          <t>Personal especialista</t>
        </is>
      </c>
      <c r="E15" s="13" t="n">
        <v>1376.91</v>
      </c>
      <c r="F15" s="14">
        <f>IFERROR(E15*MAX(12,'0. Supuestos'!$B$30),"")</f>
        <v>20653.65</v>
      </c>
      <c r="G15" s="9" t="inlineStr">
        <is>
          <t>OBRADOR / TIENDA</t>
        </is>
      </c>
      <c r="I15" s="9" t="inlineStr">
        <is>
          <t>especialista de producción, encargado de sección</t>
        </is>
      </c>
    </row>
    <row r="16" ht="26" customHeight="1">
      <c r="A16" t="inlineStr">
        <is>
          <t>Grupo 4</t>
        </is>
      </c>
      <c r="B16" s="9" t="inlineStr">
        <is>
          <t>Personal cualificado</t>
        </is>
      </c>
      <c r="E16" s="13" t="n">
        <v>1249.42</v>
      </c>
      <c r="F16" s="14">
        <f>IFERROR(E16*MAX(12,'0. Supuestos'!$B$30),"")</f>
        <v>18741.300000000003</v>
      </c>
      <c r="G16" s="9" t="inlineStr">
        <is>
          <t>OBRADOR / TIENDA</t>
        </is>
      </c>
      <c r="I16" s="9" t="inlineStr">
        <is>
          <t>personal cualificado de producción y de envasado, dependiente</t>
        </is>
      </c>
    </row>
    <row r="17" ht="26" customHeight="1">
      <c r="A17" t="inlineStr">
        <is>
          <t>Grupo 5</t>
        </is>
      </c>
      <c r="B17" s="9" t="inlineStr">
        <is>
          <t>Personal de apoyo y ayuda en servicios auxiliares</t>
        </is>
      </c>
      <c r="E17" s="13" t="n">
        <v>1192.42</v>
      </c>
      <c r="F17" s="14">
        <f>IFERROR(E17*MAX(12,'0. Supuestos'!$B$30),"")</f>
        <v>17886.300000000003</v>
      </c>
      <c r="G17" s="9" t="inlineStr">
        <is>
          <t>OBRADOR / TIENDA</t>
        </is>
      </c>
      <c r="I17" s="9" t="inlineStr">
        <is>
          <t>ayudante de producción, ayudante de comercio, peón, limpiador, almacenero</t>
        </is>
      </c>
    </row>
    <row r="18"/>
    <row r="19">
      <c r="A19" s="4" t="inlineStr">
        <is>
          <t>CONTRASTE CON EL SMI</t>
        </is>
      </c>
    </row>
    <row r="20">
      <c r="A20" t="inlineStr">
        <is>
          <t>Bruto anual del grupo más bajo (€)</t>
        </is>
      </c>
      <c r="B20" s="14">
        <f>IFERROR(IF(COUNT(F13:F17)=0,"",MIN(F13:F17)),"")</f>
        <v>17886.300000000003</v>
      </c>
    </row>
    <row r="21">
      <c r="A21" t="inlineStr">
        <is>
          <t>SMI anual de referencia (€)</t>
        </is>
      </c>
      <c r="B21" s="14">
        <f>IFERROR('0. Supuestos'!$B$31,"")</f>
        <v>17094.0</v>
      </c>
    </row>
    <row r="22">
      <c r="A22" t="inlineStr">
        <is>
          <t>¿Algún grupo queda por debajo del SMI?</t>
        </is>
      </c>
      <c r="B22" t="str">
        <f>IFERROR(IF(B20="","",IF(B20&lt;B21,"Sí: revísalo con tu asesor","No: aquí manda el convenio")),"")</f>
        <v>No: aquí manda el convenio</v>
      </c>
      <c r="L22" s="5" t="inlineStr">
        <is>
          <t>El SMI es una referencia ANUAL en cómputo global, no un mínimo por concepto. En este sector manda el convenio: el grupo más bajo de la tabla de ejemplo ya lo supera. Las dos cosas caducan el 31-12-2026.</t>
        </is>
      </c>
    </row>
    <row r="23"/>
    <row r="24">
      <c r="A24" s="4" t="inlineStr">
        <is>
          <t>SALARIOS DE MERCADO (orientativos, y NUNCA un convenio)</t>
        </is>
      </c>
    </row>
    <row r="25" ht="30" customHeight="1">
      <c r="A25" s="7" t="inlineStr">
        <is>
          <t>Etiqueta de la fuente salarial</t>
        </is>
      </c>
      <c r="B25" s="7" t="inlineStr">
        <is>
          <t>Mín. (€/h)</t>
        </is>
      </c>
      <c r="C25" s="7" t="inlineStr">
        <is>
          <t>Máx. (€/h)</t>
        </is>
      </c>
      <c r="D25" s="7" t="inlineStr">
        <is>
          <t>Equivale a</t>
        </is>
      </c>
      <c r="E25" s="7" t="inlineStr">
        <is>
          <t>Coste año a jornada completa (€)</t>
        </is>
      </c>
      <c r="L25" s="7" t="inlineStr">
        <is>
          <t>Notas</t>
        </is>
      </c>
    </row>
    <row r="26">
      <c r="A26" s="9" t="inlineStr">
        <is>
          <t>«Chocolatero / bombonero especializado»</t>
        </is>
      </c>
      <c r="B26" s="13" t="n">
        <v>13</v>
      </c>
      <c r="C26" s="13" t="n">
        <v>16</v>
      </c>
      <c r="D26" t="inlineStr">
        <is>
          <t>Chocolatero</t>
        </is>
      </c>
      <c r="E26" s="14">
        <f>IFERROR(B26*$B$42*(1+'0. Supuestos'!$B$29),"")</f>
        <v>30776.2</v>
      </c>
      <c r="L26" s="5" t="inlineStr">
        <is>
          <t>Fiabilidad media, y NUNCA se presentan como tabla de convenio. Las etiquetas entrecomilladas son las de la FUENTE salarial, no los perfiles de esta casa: los perfiles son los tres del kit, y la columna «Equivale a» está para eso. Sirven para saber si lo que vas a ofrecer está dentro de mercado; lo que te OBLIGA es tu convenio.</t>
        </is>
      </c>
    </row>
    <row r="27">
      <c r="A27" s="9" t="inlineStr">
        <is>
          <t>«Oficial de primera»</t>
        </is>
      </c>
      <c r="B27" s="13" t="n">
        <v>11</v>
      </c>
      <c r="C27" s="13" t="n">
        <v>13</v>
      </c>
      <c r="D27" t="inlineStr">
        <is>
          <t>Chocolatero</t>
        </is>
      </c>
      <c r="E27" s="14">
        <f>IFERROR(B27*$B$42*(1+'0. Supuestos'!$B$29),"")</f>
        <v>26041.4</v>
      </c>
    </row>
    <row r="28">
      <c r="A28" s="9" t="inlineStr">
        <is>
          <t>«Auxiliar / ayudante»</t>
        </is>
      </c>
      <c r="B28" s="13" t="n">
        <v>8</v>
      </c>
      <c r="C28" s="13" t="n">
        <v>9.5</v>
      </c>
      <c r="D28" t="inlineStr">
        <is>
          <t>Dependiente</t>
        </is>
      </c>
      <c r="E28" s="14">
        <f>IFERROR(B28*$B$42*(1+'0. Supuestos'!$B$29),"")</f>
        <v>18939.2</v>
      </c>
    </row>
    <row r="29">
      <c r="A29" s="9" t="inlineStr">
        <is>
          <t>«Encargado / maestro»</t>
        </is>
      </c>
      <c r="B29" s="13" t="n">
        <v>15</v>
      </c>
      <c r="C29" s="13" t="n">
        <v>20</v>
      </c>
      <c r="D29" t="inlineStr">
        <is>
          <t>Encargado</t>
        </is>
      </c>
      <c r="E29" s="14">
        <f>IFERROR(B29*$B$42*(1+'0. Supuestos'!$B$29),"")</f>
        <v>35511.0</v>
      </c>
    </row>
    <row r="30"/>
    <row r="31">
      <c r="A31" s="4" t="inlineStr">
        <is>
          <t>LOS CUATRO CONVENIOS DE ÁMBITO PROVINCIAL O SUPERIOR QUE SÍ NOMBRAN CHOCOLATES O BOMBONES</t>
        </is>
      </c>
    </row>
    <row r="32" ht="22" customHeight="1">
      <c r="A32" s="7" t="inlineStr">
        <is>
          <t>Código</t>
        </is>
      </c>
      <c r="B32" s="7" t="inlineStr">
        <is>
          <t>Ámbito</t>
        </is>
      </c>
      <c r="E32" s="7" t="inlineStr">
        <is>
          <t>Denominación</t>
        </is>
      </c>
      <c r="L32" s="7" t="inlineStr">
        <is>
          <t>Notas</t>
        </is>
      </c>
    </row>
    <row r="33">
      <c r="A33" t="inlineStr">
        <is>
          <t>45000145011981</t>
        </is>
      </c>
      <c r="B33" t="inlineStr">
        <is>
          <t>Toledo</t>
        </is>
      </c>
      <c r="E33" s="9" t="inlineStr">
        <is>
          <t>-</t>
        </is>
      </c>
      <c r="L33" s="5" t="inlineStr">
        <is>
          <t>ESTÁ PROBADO que NO existe convenio ESTATAL del chocolate: el registro oficial devuelve «no se ha encontrado ningún acuerdo» para chocolate, bombones, confitería y pastelería, y el control con «turrones» devuelve 29 trámites, así que la consulta funciona. Estos cuatro existen y nombran el producto, pero su ámbito FUNCIONAL es una pregunta para un laboralista, no una respuesta de esta guía.</t>
        </is>
      </c>
    </row>
    <row r="34">
      <c r="A34" t="inlineStr">
        <is>
          <t>80000725012008</t>
        </is>
      </c>
      <c r="B34" t="inlineStr">
        <is>
          <t>Comunitat Valenciana</t>
        </is>
      </c>
      <c r="E34" s="9" t="inlineStr">
        <is>
          <t>CHOCOLATES, TORREFACTORES DE CAFES Y SUCEDANEOS (01/01/2023-31/12/2026)</t>
        </is>
      </c>
    </row>
    <row r="35">
      <c r="A35" t="inlineStr">
        <is>
          <t>01000425011981</t>
        </is>
      </c>
      <c r="B35" t="inlineStr">
        <is>
          <t>Alava</t>
        </is>
      </c>
      <c r="E35" s="9" t="inlineStr">
        <is>
          <t>caducado</t>
        </is>
      </c>
    </row>
    <row r="36">
      <c r="A36" t="inlineStr">
        <is>
          <t>22001125012010</t>
        </is>
      </c>
      <c r="B36" t="inlineStr">
        <is>
          <t>Huesca</t>
        </is>
      </c>
      <c r="E36" s="9" t="inlineStr">
        <is>
          <t>-</t>
        </is>
      </c>
    </row>
    <row r="37"/>
    <row r="38">
      <c r="A38" s="4" t="inlineStr">
        <is>
          <t>HORAS, DIMENSIONADO Y COSTE HORA</t>
        </is>
      </c>
    </row>
    <row r="39">
      <c r="A39" t="inlineStr">
        <is>
          <t>Horas contratadas a la semana</t>
        </is>
      </c>
      <c r="B39" s="26">
        <f>IFERROR(J9,"")</f>
        <v>100.0</v>
      </c>
    </row>
    <row r="40">
      <c r="A40" t="inlineStr">
        <is>
          <t>Jornadas completas equivalentes</t>
        </is>
      </c>
      <c r="B40" s="19">
        <f>IFERROR(C9,"")</f>
        <v>2.5</v>
      </c>
    </row>
    <row r="41">
      <c r="A41" t="inlineStr">
        <is>
          <t>Personas con más horas de las que da su jornada</t>
        </is>
      </c>
      <c r="B41" s="26">
        <f>IFERROR(SUMPRODUCT((J6:J8&gt;C6:C8*'0. Supuestos'!$B$32)*1),"")</f>
        <v>0.0</v>
      </c>
      <c r="L41" s="5" t="inlineStr">
        <is>
          <t>Tiene que valer cero. Si se pone en rojo, alguien está contratado a media jornada y trabajando más horas de las que cobra: eso no es un ahorro, es una inspección.</t>
        </is>
      </c>
    </row>
    <row r="42">
      <c r="A42" t="inlineStr">
        <is>
          <t>Horas anuales de contrato</t>
        </is>
      </c>
      <c r="B42" s="11" t="n">
        <v>1780</v>
      </c>
      <c r="L42" s="5" t="inlineStr">
        <is>
          <t>SUPUESTO: 40 h x 52 semanas = 2.080, menos 30 días naturales de vacaciones y los festivos del calendario laboral.</t>
        </is>
      </c>
    </row>
    <row r="43">
      <c r="A43" t="inlineStr">
        <is>
          <t>Parte de la jornada a pie de mesa (%)</t>
        </is>
      </c>
      <c r="B43" s="16" t="n">
        <v>0.85</v>
      </c>
      <c r="L43" s="5" t="inlineStr">
        <is>
          <t>SUPUESTO. El resto es recepción de mercancía, limpieza, formación y reuniones. Si lo pones al 100 % estarás repartiendo el coste de personal entre horas que no existen.</t>
        </is>
      </c>
    </row>
    <row r="44">
      <c r="A44" s="22" t="inlineStr">
        <is>
          <t>COSTE DE UNA HORA DE OBRADOR (€)</t>
        </is>
      </c>
      <c r="B44" s="24">
        <f>IFERROR(SUMPRODUCT((K6:K8="OBRADOR")*I6:I8)/SUMPRODUCT((K6:K8="OBRADOR")*C6:C8*B6:B8)/$B$42/$B$43,"")</f>
        <v>18.49165895571712</v>
      </c>
      <c r="L44" s="5" t="inlineStr">
        <is>
          <t>Coste empresa de las personas del ÁREA OBRADOR dividido entre sus horas PRODUCTIVAS. No es el bruto ni el bruto con Seguridad Social: es lo que de verdad cuesta un minuto de templado, y es el número que usan el escandallo del libro 4 y la hoja de talleres para saber lo que cuesta un docente.</t>
        </is>
      </c>
    </row>
    <row r="45"/>
    <row r="46" ht="58" customHeight="1">
      <c r="A46" s="5" t="inlineStr">
        <is>
          <t>El refuerzo de las campañas NO está en este cuadro: la estacionalidad manda horas extra en Navidad, en San Valentín y en comuniones, y eso se dimensiona y se cuesta en el libro «campanas-y-valle-del-ano». Aquí está la plantilla ESTABLE, que es la que entra en los costes fijos del P&amp;L. Y una nota de método: los tres nombres de perfil son los de las hojas del kit de tareas -Encargado, Chocolatero y Dependiente-, no «maestro chocolatero» ni «bombonero», que son etiquetas de fuentes salariales y no puestos de esta casa.</t>
        </is>
      </c>
    </row>
  </sheetData>
  <sheetProtection selectLockedCells="0" selectUnlockedCells="0" sheet="1" objects="0" insertRows="0" insertHyperlinks="1" autoFilter="1" scenarios="0" formatColumns="0" deleteColumns="1" insertColumns="1" pivotTables="1" deleteRows="1" formatCells="1" formatRows="0" sort="0"/>
  <mergeCells count="30">
    <mergeCell ref="B35:D35"/>
    <mergeCell ref="G14:H14"/>
    <mergeCell ref="E34:K34"/>
    <mergeCell ref="B36:D36"/>
    <mergeCell ref="A46:L46"/>
    <mergeCell ref="I13:L13"/>
    <mergeCell ref="E36:K36"/>
    <mergeCell ref="G15:H15"/>
    <mergeCell ref="I16:L16"/>
    <mergeCell ref="G17:H17"/>
    <mergeCell ref="I15:L15"/>
    <mergeCell ref="I17:L17"/>
    <mergeCell ref="B15:D15"/>
    <mergeCell ref="G12:H12"/>
    <mergeCell ref="B17:D17"/>
    <mergeCell ref="I14:L14"/>
    <mergeCell ref="B34:D34"/>
    <mergeCell ref="E33:K33"/>
    <mergeCell ref="B16:D16"/>
    <mergeCell ref="B32:D32"/>
    <mergeCell ref="G13:H13"/>
    <mergeCell ref="A3:L3"/>
    <mergeCell ref="E32:K32"/>
    <mergeCell ref="B13:D13"/>
    <mergeCell ref="G16:H16"/>
    <mergeCell ref="E35:K35"/>
    <mergeCell ref="B33:D33"/>
    <mergeCell ref="B14:D14"/>
    <mergeCell ref="I12:L12"/>
    <mergeCell ref="B12:D12"/>
  </mergeCells>
  <conditionalFormatting sqref="B41">
    <cfRule type="expression" priority="1" dxfId="0" stopIfTrue="1">
      <formula>=AND(ISNUMBER($B$41),$B$41&gt;0)</formula>
    </cfRule>
  </conditionalFormatting>
  <dataValidations count="1">
    <dataValidation sqref="D6 D7 D8" showDropDown="0" showInputMessage="0" showErrorMessage="1" allowBlank="0" errorTitle="Elige un grupo del convenio" error="Escribe uno de los grupos de la tabla del convenio de abajo." type="list">
      <formula1>'Personal'!$A$13:$A$17</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O5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5" customWidth="1" min="14" max="14"/>
    <col width="86" customWidth="1" min="15" max="15"/>
  </cols>
  <sheetData>
    <row r="1" ht="28" customHeight="1">
      <c r="A1" s="1" t="inlineStr">
        <is>
          <t>Tesorería de los 12 Primeros Meses</t>
        </is>
      </c>
    </row>
    <row r="2">
      <c r="A2" t="inlineStr">
        <is>
          <t>AI Chef Pro · aichef.pro — Cómo Montar una Chocolatería</t>
        </is>
      </c>
    </row>
    <row r="3" ht="26" customHeight="1">
      <c r="A3" s="5" t="inlineStr">
        <is>
          <t>El P&amp;L dice si el negocio gana dinero; esta hoja dice si le queda caja para llegar a fin de mes. Es la primera que mira un banco, y la que más aperturas ha salvado. Abajo, la fecha límite de cierre de pedidos de Navidad, calculada hacia atrás desde la capacidad de tu obrador.</t>
        </is>
      </c>
    </row>
    <row r="4"/>
    <row r="5" ht="30" customHeight="1">
      <c r="A5" s="7" t="inlineStr">
        <is>
          <t>Concepto</t>
        </is>
      </c>
      <c r="B5" s="7" t="inlineStr">
        <is>
          <t>Mes 1</t>
        </is>
      </c>
      <c r="C5" s="7" t="inlineStr">
        <is>
          <t>Mes 2</t>
        </is>
      </c>
      <c r="D5" s="7" t="inlineStr">
        <is>
          <t>Mes 3</t>
        </is>
      </c>
      <c r="E5" s="7" t="inlineStr">
        <is>
          <t>Mes 4</t>
        </is>
      </c>
      <c r="F5" s="7" t="inlineStr">
        <is>
          <t>Mes 5</t>
        </is>
      </c>
      <c r="G5" s="7" t="inlineStr">
        <is>
          <t>Mes 6</t>
        </is>
      </c>
      <c r="H5" s="7" t="inlineStr">
        <is>
          <t>Mes 7</t>
        </is>
      </c>
      <c r="I5" s="7" t="inlineStr">
        <is>
          <t>Mes 8</t>
        </is>
      </c>
      <c r="J5" s="7" t="inlineStr">
        <is>
          <t>Mes 9</t>
        </is>
      </c>
      <c r="K5" s="7" t="inlineStr">
        <is>
          <t>Mes 10</t>
        </is>
      </c>
      <c r="L5" s="7" t="inlineStr">
        <is>
          <t>Mes 11</t>
        </is>
      </c>
      <c r="M5" s="7" t="inlineStr">
        <is>
          <t>Mes 12</t>
        </is>
      </c>
      <c r="N5" s="7" t="inlineStr">
        <is>
          <t>Año (€)</t>
        </is>
      </c>
      <c r="O5" s="7" t="inlineStr">
        <is>
          <t>Notas</t>
        </is>
      </c>
    </row>
    <row r="6" ht="30" customHeight="1">
      <c r="A6" t="inlineStr">
        <is>
          <t>Estacionalidad del mes (tiene que sumar 100 %)</t>
        </is>
      </c>
      <c r="B6" s="18" t="n">
        <v>0.076667</v>
      </c>
      <c r="C6" s="18" t="n">
        <v>0.093333</v>
      </c>
      <c r="D6" s="18" t="n">
        <v>0.08500000000000001</v>
      </c>
      <c r="E6" s="18" t="n">
        <v>0.09</v>
      </c>
      <c r="F6" s="18" t="n">
        <v>0.091667</v>
      </c>
      <c r="G6" s="18" t="n">
        <v>0.076667</v>
      </c>
      <c r="H6" s="18" t="n">
        <v>0.068333</v>
      </c>
      <c r="I6" s="18" t="n">
        <v>0.05</v>
      </c>
      <c r="J6" s="18" t="n">
        <v>0.07166699999999999</v>
      </c>
      <c r="K6" s="18" t="n">
        <v>0.08500000000000001</v>
      </c>
      <c r="L6" s="18" t="n">
        <v>0.091667</v>
      </c>
      <c r="M6" s="18" t="n">
        <v>0.12</v>
      </c>
      <c r="N6" s="15">
        <f>IFERROR(SUM(B6:M6),"")</f>
        <v>1.0000010000000001</v>
      </c>
      <c r="O6" s="5" t="inlineStr">
        <is>
          <t>DICIEMBRE manda, y AGOSTO es el suelo: son los doce coeficientes del calendario de campañas del kit traducidos a euros, con media 1,000 exacta. Agosto NO vale cero -la tienda abre para el turista aunque el obrador pare-, y por eso el valle se nota en el margen y no en la persiana. SON SUPUESTOS: no existe reparto mensual publicado de las ventas de una chocolatería, y la guía te enseña a medir el tuyo con el TPV.</t>
        </is>
      </c>
    </row>
    <row r="7">
      <c r="A7" t="inlineStr">
        <is>
          <t>Rampa de arranque (% de la actividad de crucero)</t>
        </is>
      </c>
      <c r="B7" s="15">
        <f>IFERROR(MIN(1,'0. Supuestos'!$B$53+(1-'0. Supuestos'!$B$53)*0/MAX(1,'0. Supuestos'!$B$54-1)),"")</f>
        <v>0.55</v>
      </c>
      <c r="C7" s="15">
        <f>IFERROR(MIN(1,'0. Supuestos'!$B$53+(1-'0. Supuestos'!$B$53)*1/MAX(1,'0. Supuestos'!$B$54-1)),"")</f>
        <v>0.64</v>
      </c>
      <c r="D7" s="15">
        <f>IFERROR(MIN(1,'0. Supuestos'!$B$53+(1-'0. Supuestos'!$B$53)*2/MAX(1,'0. Supuestos'!$B$54-1)),"")</f>
        <v>0.73</v>
      </c>
      <c r="E7" s="15">
        <f>IFERROR(MIN(1,'0. Supuestos'!$B$53+(1-'0. Supuestos'!$B$53)*3/MAX(1,'0. Supuestos'!$B$54-1)),"")</f>
        <v>0.8200000000000001</v>
      </c>
      <c r="F7" s="15">
        <f>IFERROR(MIN(1,'0. Supuestos'!$B$53+(1-'0. Supuestos'!$B$53)*4/MAX(1,'0. Supuestos'!$B$54-1)),"")</f>
        <v>0.91</v>
      </c>
      <c r="G7" s="15">
        <f>IFERROR(MIN(1,'0. Supuestos'!$B$53+(1-'0. Supuestos'!$B$53)*5/MAX(1,'0. Supuestos'!$B$54-1)),"")</f>
        <v>1.0</v>
      </c>
      <c r="H7" s="15">
        <f>IFERROR(MIN(1,'0. Supuestos'!$B$53+(1-'0. Supuestos'!$B$53)*6/MAX(1,'0. Supuestos'!$B$54-1)),"")</f>
        <v>1.0</v>
      </c>
      <c r="I7" s="15">
        <f>IFERROR(MIN(1,'0. Supuestos'!$B$53+(1-'0. Supuestos'!$B$53)*7/MAX(1,'0. Supuestos'!$B$54-1)),"")</f>
        <v>1.0</v>
      </c>
      <c r="J7" s="15">
        <f>IFERROR(MIN(1,'0. Supuestos'!$B$53+(1-'0. Supuestos'!$B$53)*8/MAX(1,'0. Supuestos'!$B$54-1)),"")</f>
        <v>1.0</v>
      </c>
      <c r="K7" s="15">
        <f>IFERROR(MIN(1,'0. Supuestos'!$B$53+(1-'0. Supuestos'!$B$53)*9/MAX(1,'0. Supuestos'!$B$54-1)),"")</f>
        <v>1.0</v>
      </c>
      <c r="L7" s="15">
        <f>IFERROR(MIN(1,'0. Supuestos'!$B$53+(1-'0. Supuestos'!$B$53)*10/MAX(1,'0. Supuestos'!$B$54-1)),"")</f>
        <v>1.0</v>
      </c>
      <c r="M7" s="15">
        <f>IFERROR(MIN(1,'0. Supuestos'!$B$53+(1-'0. Supuestos'!$B$53)*11/MAX(1,'0. Supuestos'!$B$54-1)),"")</f>
        <v>1.0</v>
      </c>
      <c r="O7" s="5" t="inlineStr">
        <is>
          <t>Sube en línea recta desde el porcentaje del mes 1 hasta el 100 % en los meses que digas en «0. Supuestos». Con el 100 % en el mes 1 la rampa desaparece, y entonces estás proyectando una apertura que no existe. Ojo al calendario: este caso abre el 1 de junio, así que el mes 3 de la rampa es agosto.</t>
        </is>
      </c>
    </row>
    <row r="8">
      <c r="A8" t="inlineStr">
        <is>
          <t>Reparto de la actividad por mes (calculado)</t>
        </is>
      </c>
      <c r="B8" s="17">
        <f>IFERROR(B6*B7/SUMPRODUCT($B$6:$M$6,$B$7:$M$7),"")</f>
        <v>0.047673041478056545</v>
      </c>
      <c r="C8" s="17">
        <f>IFERROR(C6*C7/SUMPRODUCT($B$6:$M$6,$B$7:$M$7),"")</f>
        <v>0.06753313343002214</v>
      </c>
      <c r="D8" s="17">
        <f>IFERROR(D6*D7/SUMPRODUCT($B$6:$M$6,$B$7:$M$7),"")</f>
        <v>0.07015255404929248</v>
      </c>
      <c r="E8" s="17">
        <f>IFERROR(E6*E7/SUMPRODUCT($B$6:$M$6,$B$7:$M$7),"")</f>
        <v>0.08343688136724875</v>
      </c>
      <c r="F8" s="17">
        <f>IFERROR(F6*F7/SUMPRODUCT($B$6:$M$6,$B$7:$M$7),"")</f>
        <v>0.09430964539167139</v>
      </c>
      <c r="G8" s="17">
        <f>IFERROR(G6*G7/SUMPRODUCT($B$6:$M$6,$B$7:$M$7),"")</f>
        <v>0.08667825723283007</v>
      </c>
      <c r="H8" s="17">
        <f>IFERROR(H6*H7/SUMPRODUCT($B$6:$M$6,$B$7:$M$7),"")</f>
        <v>0.07725599477599199</v>
      </c>
      <c r="I8" s="17">
        <f>IFERROR(I6*I7/SUMPRODUCT($B$6:$M$6,$B$7:$M$7),"")</f>
        <v>0.056529052416835195</v>
      </c>
      <c r="J8" s="17">
        <f>IFERROR(J6*J7/SUMPRODUCT($B$6:$M$6,$B$7:$M$7),"")</f>
        <v>0.08102535199114655</v>
      </c>
      <c r="K8" s="17">
        <f>IFERROR(K6*K7/SUMPRODUCT($B$6:$M$6,$B$7:$M$7),"")</f>
        <v>0.09609938910861983</v>
      </c>
      <c r="L8" s="17">
        <f>IFERROR(L6*L7/SUMPRODUCT($B$6:$M$6,$B$7:$M$7),"")</f>
        <v>0.10363697295788063</v>
      </c>
      <c r="M8" s="17">
        <f>IFERROR(M6*M7/SUMPRODUCT($B$6:$M$6,$B$7:$M$7),"")</f>
        <v>0.13566972580040446</v>
      </c>
      <c r="N8" s="15">
        <f>IFERROR(SUM(B8:M8),"")</f>
        <v>1.0</v>
      </c>
      <c r="O8" s="5" t="inlineStr">
        <is>
          <t>Estacionalidad x rampa, normalizado al 100 %: el AÑO factura lo que dice el P&amp;L, pero repartido como lo reparte la realidad.</t>
        </is>
      </c>
    </row>
    <row r="9">
      <c r="A9" s="4" t="inlineStr">
        <is>
          <t>COBROS</t>
        </is>
      </c>
      <c r="B9" s="10" t="inlineStr"/>
      <c r="C9" s="10" t="inlineStr"/>
      <c r="D9" s="10" t="inlineStr"/>
      <c r="E9" s="10" t="inlineStr"/>
      <c r="F9" s="10" t="inlineStr"/>
      <c r="G9" s="10" t="inlineStr"/>
      <c r="H9" s="10" t="inlineStr"/>
      <c r="I9" s="10" t="inlineStr"/>
      <c r="J9" s="10" t="inlineStr"/>
      <c r="K9" s="10" t="inlineStr"/>
      <c r="L9" s="10" t="inlineStr"/>
      <c r="M9" s="10" t="inlineStr"/>
      <c r="N9" s="10" t="inlineStr"/>
      <c r="O9" s="10" t="inlineStr"/>
    </row>
    <row r="10">
      <c r="A10" t="inlineStr">
        <is>
          <t>Ventas cobradas (con el IVA repercutido dentro)</t>
        </is>
      </c>
      <c r="B10" s="14">
        <f>IFERROR(IF('PyG 3 Años'!$B$11="","",'PyG 3 Años'!$B$11*(1+'0. Supuestos'!$B$20)*(B8*(1-'0. Supuestos'!$B$58/30))),"")</f>
        <v>6879.629875464193</v>
      </c>
      <c r="C10" s="14">
        <f>IFERROR(IF('PyG 3 Años'!$B$11="","",'PyG 3 Años'!$B$11*(1+'0. Supuestos'!$B$20)*(C8*(1-'0. Supuestos'!$B$58/30)+B8*('0. Supuestos'!$B$58/30))),"")</f>
        <v>12100.384583704168</v>
      </c>
      <c r="D10" s="14">
        <f>IFERROR(IF('PyG 3 Años'!$B$11="","",'PyG 3 Años'!$B$11*(1+'0. Supuestos'!$B$20)*(D8*(1-'0. Supuestos'!$B$58/30)+C8*('0. Supuestos'!$B$58/30))),"")</f>
        <v>13459.363233585562</v>
      </c>
      <c r="E10" s="14">
        <f>IFERROR(IF('PyG 3 Años'!$B$11="","",'PyG 3 Años'!$B$11*(1+'0. Supuestos'!$B$20)*(E8*(1-'0. Supuestos'!$B$58/30)+D8*('0. Supuestos'!$B$58/30))),"")</f>
        <v>15505.790146559999</v>
      </c>
      <c r="F10" s="14">
        <f>IFERROR(IF('PyG 3 Años'!$B$11="","",'PyG 3 Años'!$B$11*(1+'0. Supuestos'!$B$20)*(F8*(1-'0. Supuestos'!$B$58/30)+E8*('0. Supuestos'!$B$58/30))),"")</f>
        <v>17730.99247175639</v>
      </c>
      <c r="G10" s="14">
        <f>IFERROR(IF('PyG 3 Años'!$B$11="","",'PyG 3 Años'!$B$11*(1+'0. Supuestos'!$B$20)*(G8*(1-'0. Supuestos'!$B$58/30)+F8*('0. Supuestos'!$B$58/30))),"")</f>
        <v>17166.76921542697</v>
      </c>
      <c r="H10" s="14">
        <f>IFERROR(IF('PyG 3 Años'!$B$11="","",'PyG 3 Años'!$B$11*(1+'0. Supuestos'!$B$20)*(H8*(1-'0. Supuestos'!$B$58/30)+G8*('0. Supuestos'!$B$58/30))),"")</f>
        <v>15430.10925453312</v>
      </c>
      <c r="I10" s="14">
        <f>IFERROR(IF('PyG 3 Años'!$B$11="","",'PyG 3 Años'!$B$11*(1+'0. Supuestos'!$B$20)*(I8*(1-'0. Supuestos'!$B$58/30)+H8*('0. Supuestos'!$B$58/30))),"")</f>
        <v>11973.62792607744</v>
      </c>
      <c r="J10" s="14">
        <f>IFERROR(IF('PyG 3 Años'!$B$11="","",'PyG 3 Años'!$B$11*(1+'0. Supuestos'!$B$20)*(J8*(1-'0. Supuestos'!$B$58/30)+I8*('0. Supuestos'!$B$58/30))),"")</f>
        <v>14484.863497789438</v>
      </c>
      <c r="K10" s="14">
        <f>IFERROR(IF('PyG 3 Años'!$B$11="","",'PyG 3 Años'!$B$11*(1+'0. Supuestos'!$B$20)*(K8*(1-'0. Supuestos'!$B$58/30)+J8*('0. Supuestos'!$B$58/30))),"")</f>
        <v>17870.15227232256</v>
      </c>
      <c r="L10" s="14">
        <f>IFERROR(IF('PyG 3 Años'!$B$11="","",'PyG 3 Años'!$B$11*(1+'0. Supuestos'!$B$20)*(L8*(1-'0. Supuestos'!$B$58/30)+K8*('0. Supuestos'!$B$58/30))),"")</f>
        <v>19702.46073298944</v>
      </c>
      <c r="M10" s="14">
        <f>IFERROR(IF('PyG 3 Años'!$B$11="","",'PyG 3 Años'!$B$11*(1+'0. Supuestos'!$B$20)*(M8*(1-'0. Supuestos'!$B$58/30)+L8*('0. Supuestos'!$B$58/30))),"")</f>
        <v>24697.375517122557</v>
      </c>
      <c r="N10" s="14">
        <f>IFERROR(IF('PyG 3 Años'!$B$11="","",SUM(B10:M10)),"")</f>
        <v>187001.51872733186</v>
      </c>
      <c r="O10" s="5" t="inlineStr">
        <is>
          <t>Ventas del mes con el IVA repercutido, corregidas por los días medios de cobro que calcula la hoja de canales. El mostrador y el taller cobran al contado; el corporativo a 30 días y el B2B a 45, y ahí financias tú.</t>
        </is>
      </c>
    </row>
    <row r="11">
      <c r="A11" s="4" t="inlineStr">
        <is>
          <t>PAGOS</t>
        </is>
      </c>
      <c r="B11" s="10" t="inlineStr"/>
      <c r="C11" s="10" t="inlineStr"/>
      <c r="D11" s="10" t="inlineStr"/>
      <c r="E11" s="10" t="inlineStr"/>
      <c r="F11" s="10" t="inlineStr"/>
      <c r="G11" s="10" t="inlineStr"/>
      <c r="H11" s="10" t="inlineStr"/>
      <c r="I11" s="10" t="inlineStr"/>
      <c r="J11" s="10" t="inlineStr"/>
      <c r="K11" s="10" t="inlineStr"/>
      <c r="L11" s="10" t="inlineStr"/>
      <c r="M11" s="10" t="inlineStr"/>
      <c r="N11" s="10" t="inlineStr"/>
      <c r="O11" s="10" t="inlineStr"/>
    </row>
    <row r="12">
      <c r="A12" t="inlineStr">
        <is>
          <t>Compras y coste de ventas (IVA incluido)</t>
        </is>
      </c>
      <c r="B12" s="14">
        <f>IFERROR(IF('PyG 3 Años'!$B$11="","",-'PyG 3 Años'!$B$13*(1+'PyG 3 Años'!$F$13)*(B8*(1-'0. Supuestos'!$B$59/30))+0),"")</f>
        <v>0.0</v>
      </c>
      <c r="C12" s="14">
        <f>IFERROR(IF('PyG 3 Años'!$B$11="","",-'PyG 3 Años'!$B$13*(1+'PyG 3 Años'!$F$13)*(C8*(1-'0. Supuestos'!$B$59/30)+B8*('0. Supuestos'!$B$59/30))+0),"")</f>
        <v>-2607.941543850088</v>
      </c>
      <c r="D12" s="14">
        <f>IFERROR(IF('PyG 3 Años'!$B$11="","",-'PyG 3 Años'!$B$13*(1+'PyG 3 Años'!$F$13)*(D8*(1-'0. Supuestos'!$B$59/30)+C8*('0. Supuestos'!$B$59/30))+0),"")</f>
        <v>-3694.382795769249</v>
      </c>
      <c r="E12" s="14">
        <f>IFERROR(IF('PyG 3 Años'!$B$11="","",-'PyG 3 Años'!$B$13*(1+'PyG 3 Años'!$F$13)*(E8*(1-'0. Supuestos'!$B$59/30)+D8*('0. Supuestos'!$B$59/30))+0),"")</f>
        <v>-3837.6775309490263</v>
      </c>
      <c r="F12" s="14">
        <f>IFERROR(IF('PyG 3 Años'!$B$11="","",-'PyG 3 Años'!$B$13*(1+'PyG 3 Años'!$F$13)*(F8*(1-'0. Supuestos'!$B$59/30)+E8*('0. Supuestos'!$B$59/30))+0),"")</f>
        <v>-4564.393260016731</v>
      </c>
      <c r="G12" s="14">
        <f>IFERROR(IF('PyG 3 Años'!$B$11="","",-'PyG 3 Años'!$B$13*(1+'PyG 3 Años'!$F$13)*(G8*(1-'0. Supuestos'!$B$59/30)+F8*('0. Supuestos'!$B$59/30))+0),"")</f>
        <v>-5159.185035759049</v>
      </c>
      <c r="H12" s="14">
        <f>IFERROR(IF('PyG 3 Años'!$B$11="","",-'PyG 3 Años'!$B$13*(1+'PyG 3 Años'!$F$13)*(H8*(1-'0. Supuestos'!$B$59/30)+G8*('0. Supuestos'!$B$59/30))+0),"")</f>
        <v>-4741.71189790925</v>
      </c>
      <c r="I12" s="14">
        <f>IFERROR(IF('PyG 3 Años'!$B$11="","",-'PyG 3 Años'!$B$13*(1+'PyG 3 Años'!$F$13)*(I8*(1-'0. Supuestos'!$B$59/30)+H8*('0. Supuestos'!$B$59/30))+0),"")</f>
        <v>-4226.269439521995</v>
      </c>
      <c r="J12" s="14">
        <f>IFERROR(IF('PyG 3 Años'!$B$11="","",-'PyG 3 Años'!$B$13*(1+'PyG 3 Años'!$F$13)*(J8*(1-'0. Supuestos'!$B$59/30)+I8*('0. Supuestos'!$B$59/30))+0),"")</f>
        <v>-3092.4073577349122</v>
      </c>
      <c r="K12" s="14">
        <f>IFERROR(IF('PyG 3 Años'!$B$11="","",-'PyG 3 Años'!$B$13*(1+'PyG 3 Años'!$F$13)*(K8*(1-'0. Supuestos'!$B$59/30)+J8*('0. Supuestos'!$B$59/30))+0),"")</f>
        <v>-4432.471162135758</v>
      </c>
      <c r="L12" s="14">
        <f>IFERROR(IF('PyG 3 Años'!$B$11="","",-'PyG 3 Años'!$B$13*(1+'PyG 3 Años'!$F$13)*(L8*(1-'0. Supuestos'!$B$59/30)+K8*('0. Supuestos'!$B$59/30))+0),"")</f>
        <v>-5257.092508149351</v>
      </c>
      <c r="M12" s="14">
        <f>IFERROR(IF('PyG 3 Años'!$B$11="","",-'PyG 3 Años'!$B$13*(1+'PyG 3 Años'!$F$13)*(M8*(1-'0. Supuestos'!$B$59/30)+L8*('0. Supuestos'!$B$59/30))+0),"")</f>
        <v>-5669.434105229723</v>
      </c>
      <c r="N12" s="14">
        <f>IFERROR(IF('PyG 3 Años'!$B$11="","",SUM(B12:M12)),"")</f>
        <v>-47282.96663702513</v>
      </c>
      <c r="O12" s="5" t="inlineStr">
        <is>
          <t>Con los días medios de pago a proveedor de «0. Supuestos». A 30 días el mes 1 no paga nada: el proveedor te está financiando el arranque, y por eso perder ese crédito por un retraso sale tan caro. Ojo a la compra de cobertura de Navidad, que se paga en octubre y se cobra en diciembre.</t>
        </is>
      </c>
    </row>
    <row r="13">
      <c r="A13" t="inlineStr">
        <is>
          <t>Costes fijos de explotación (IVA incluido)</t>
        </is>
      </c>
      <c r="B13" s="14">
        <f>IFERROR(IF('PyG 3 Años'!$B$11="","",-(('PyG 3 Años'!$B$31-'PyG 3 Años'!$B$17-'PyG 3 Años'!$B$29-'PyG 3 Años'!$B$30)+'PyG 3 Años'!$B$33)/12),"")</f>
        <v>-4029.75</v>
      </c>
      <c r="C13" s="14">
        <f>IFERROR(IF('PyG 3 Años'!$B$11="","",-(('PyG 3 Años'!$B$31-'PyG 3 Años'!$B$17-'PyG 3 Años'!$B$29-'PyG 3 Años'!$B$30)+'PyG 3 Años'!$B$33)/12),"")</f>
        <v>-4029.75</v>
      </c>
      <c r="D13" s="14">
        <f>IFERROR(IF('PyG 3 Años'!$B$11="","",-(('PyG 3 Años'!$B$31-'PyG 3 Años'!$B$17-'PyG 3 Años'!$B$29-'PyG 3 Años'!$B$30)+'PyG 3 Años'!$B$33)/12),"")</f>
        <v>-4029.75</v>
      </c>
      <c r="E13" s="14">
        <f>IFERROR(IF('PyG 3 Años'!$B$11="","",-(('PyG 3 Años'!$B$31-'PyG 3 Años'!$B$17-'PyG 3 Años'!$B$29-'PyG 3 Años'!$B$30)+'PyG 3 Años'!$B$33)/12),"")</f>
        <v>-4029.75</v>
      </c>
      <c r="F13" s="14">
        <f>IFERROR(IF('PyG 3 Años'!$B$11="","",-(('PyG 3 Años'!$B$31-'PyG 3 Años'!$B$17-'PyG 3 Años'!$B$29-'PyG 3 Años'!$B$30)+'PyG 3 Años'!$B$33)/12),"")</f>
        <v>-4029.75</v>
      </c>
      <c r="G13" s="14">
        <f>IFERROR(IF('PyG 3 Años'!$B$11="","",-(('PyG 3 Años'!$B$31-'PyG 3 Años'!$B$17-'PyG 3 Años'!$B$29-'PyG 3 Años'!$B$30)+'PyG 3 Años'!$B$33)/12),"")</f>
        <v>-4029.75</v>
      </c>
      <c r="H13" s="14">
        <f>IFERROR(IF('PyG 3 Años'!$B$11="","",-(('PyG 3 Años'!$B$31-'PyG 3 Años'!$B$17-'PyG 3 Años'!$B$29-'PyG 3 Años'!$B$30)+'PyG 3 Años'!$B$33)/12),"")</f>
        <v>-4029.75</v>
      </c>
      <c r="I13" s="14">
        <f>IFERROR(IF('PyG 3 Años'!$B$11="","",-(('PyG 3 Años'!$B$31-'PyG 3 Años'!$B$17-'PyG 3 Años'!$B$29-'PyG 3 Años'!$B$30)+'PyG 3 Años'!$B$33)/12),"")</f>
        <v>-4029.75</v>
      </c>
      <c r="J13" s="14">
        <f>IFERROR(IF('PyG 3 Años'!$B$11="","",-(('PyG 3 Años'!$B$31-'PyG 3 Años'!$B$17-'PyG 3 Años'!$B$29-'PyG 3 Años'!$B$30)+'PyG 3 Años'!$B$33)/12),"")</f>
        <v>-4029.75</v>
      </c>
      <c r="K13" s="14">
        <f>IFERROR(IF('PyG 3 Años'!$B$11="","",-(('PyG 3 Años'!$B$31-'PyG 3 Años'!$B$17-'PyG 3 Años'!$B$29-'PyG 3 Años'!$B$30)+'PyG 3 Años'!$B$33)/12),"")</f>
        <v>-4029.75</v>
      </c>
      <c r="L13" s="14">
        <f>IFERROR(IF('PyG 3 Años'!$B$11="","",-(('PyG 3 Años'!$B$31-'PyG 3 Años'!$B$17-'PyG 3 Años'!$B$29-'PyG 3 Años'!$B$30)+'PyG 3 Años'!$B$33)/12),"")</f>
        <v>-4029.75</v>
      </c>
      <c r="M13" s="14">
        <f>IFERROR(IF('PyG 3 Años'!$B$11="","",-(('PyG 3 Años'!$B$31-'PyG 3 Años'!$B$17-'PyG 3 Años'!$B$29-'PyG 3 Años'!$B$30)+'PyG 3 Años'!$B$33)/12),"")</f>
        <v>-4029.75</v>
      </c>
      <c r="N13" s="14">
        <f>IFERROR(IF('PyG 3 Años'!$B$11="","",SUM(B13:M13)),"")</f>
        <v>-48357.0</v>
      </c>
      <c r="O13" s="5" t="inlineStr">
        <is>
          <t>Los fijos que salen de caja, cada uno con su tipo de IVA: sin las nóminas (van abajo), sin la amortización (no se paga) y sin los intereses (van aparte). La cuota de autónomos del titular SÍ está aquí: se paga todos los meses, también en agosto.</t>
        </is>
      </c>
    </row>
    <row r="14">
      <c r="A14" t="inlineStr">
        <is>
          <t>Nóminas y Seguridad Social</t>
        </is>
      </c>
      <c r="B14" s="14">
        <f>IFERROR(IF('PyG 3 Años'!$B$11="","",-'PyG 3 Años'!$B$17/MAX(12,'0. Supuestos'!$B$30)*(1+IF(1='0. Supuestos'!$B$60,1,0)+IF(1='0. Supuestos'!$B$61,1,0)+IF(1='0. Supuestos'!$B$62,1,0))),"")</f>
        <v>-4561.248300000001</v>
      </c>
      <c r="C14" s="14">
        <f>IFERROR(IF('PyG 3 Años'!$B$11="","",-'PyG 3 Años'!$B$17/MAX(12,'0. Supuestos'!$B$30)*(1+IF(2='0. Supuestos'!$B$60,1,0)+IF(2='0. Supuestos'!$B$61,1,0)+IF(2='0. Supuestos'!$B$62,1,0))),"")</f>
        <v>-4561.248300000001</v>
      </c>
      <c r="D14" s="14">
        <f>IFERROR(IF('PyG 3 Años'!$B$11="","",-'PyG 3 Años'!$B$17/MAX(12,'0. Supuestos'!$B$30)*(1+IF(3='0. Supuestos'!$B$60,1,0)+IF(3='0. Supuestos'!$B$61,1,0)+IF(3='0. Supuestos'!$B$62,1,0))),"")</f>
        <v>-9122.496600000002</v>
      </c>
      <c r="E14" s="14">
        <f>IFERROR(IF('PyG 3 Años'!$B$11="","",-'PyG 3 Años'!$B$17/MAX(12,'0. Supuestos'!$B$30)*(1+IF(4='0. Supuestos'!$B$60,1,0)+IF(4='0. Supuestos'!$B$61,1,0)+IF(4='0. Supuestos'!$B$62,1,0))),"")</f>
        <v>-4561.248300000001</v>
      </c>
      <c r="F14" s="14">
        <f>IFERROR(IF('PyG 3 Años'!$B$11="","",-'PyG 3 Años'!$B$17/MAX(12,'0. Supuestos'!$B$30)*(1+IF(5='0. Supuestos'!$B$60,1,0)+IF(5='0. Supuestos'!$B$61,1,0)+IF(5='0. Supuestos'!$B$62,1,0))),"")</f>
        <v>-4561.248300000001</v>
      </c>
      <c r="G14" s="14">
        <f>IFERROR(IF('PyG 3 Años'!$B$11="","",-'PyG 3 Años'!$B$17/MAX(12,'0. Supuestos'!$B$30)*(1+IF(6='0. Supuestos'!$B$60,1,0)+IF(6='0. Supuestos'!$B$61,1,0)+IF(6='0. Supuestos'!$B$62,1,0))),"")</f>
        <v>-4561.248300000001</v>
      </c>
      <c r="H14" s="14">
        <f>IFERROR(IF('PyG 3 Años'!$B$11="","",-'PyG 3 Años'!$B$17/MAX(12,'0. Supuestos'!$B$30)*(1+IF(7='0. Supuestos'!$B$60,1,0)+IF(7='0. Supuestos'!$B$61,1,0)+IF(7='0. Supuestos'!$B$62,1,0))),"")</f>
        <v>-9122.496600000002</v>
      </c>
      <c r="I14" s="14">
        <f>IFERROR(IF('PyG 3 Años'!$B$11="","",-'PyG 3 Años'!$B$17/MAX(12,'0. Supuestos'!$B$30)*(1+IF(8='0. Supuestos'!$B$60,1,0)+IF(8='0. Supuestos'!$B$61,1,0)+IF(8='0. Supuestos'!$B$62,1,0))),"")</f>
        <v>-4561.248300000001</v>
      </c>
      <c r="J14" s="14">
        <f>IFERROR(IF('PyG 3 Años'!$B$11="","",-'PyG 3 Años'!$B$17/MAX(12,'0. Supuestos'!$B$30)*(1+IF(9='0. Supuestos'!$B$60,1,0)+IF(9='0. Supuestos'!$B$61,1,0)+IF(9='0. Supuestos'!$B$62,1,0))),"")</f>
        <v>-4561.248300000001</v>
      </c>
      <c r="K14" s="14">
        <f>IFERROR(IF('PyG 3 Años'!$B$11="","",-'PyG 3 Años'!$B$17/MAX(12,'0. Supuestos'!$B$30)*(1+IF(10='0. Supuestos'!$B$60,1,0)+IF(10='0. Supuestos'!$B$61,1,0)+IF(10='0. Supuestos'!$B$62,1,0))),"")</f>
        <v>-4561.248300000001</v>
      </c>
      <c r="L14" s="14">
        <f>IFERROR(IF('PyG 3 Años'!$B$11="","",-'PyG 3 Años'!$B$17/MAX(12,'0. Supuestos'!$B$30)*(1+IF(11='0. Supuestos'!$B$60,1,0)+IF(11='0. Supuestos'!$B$61,1,0)+IF(11='0. Supuestos'!$B$62,1,0))),"")</f>
        <v>-4561.248300000001</v>
      </c>
      <c r="M14" s="14">
        <f>IFERROR(IF('PyG 3 Años'!$B$11="","",-'PyG 3 Años'!$B$17/MAX(12,'0. Supuestos'!$B$30)*(1+IF(12='0. Supuestos'!$B$60,1,0)+IF(12='0. Supuestos'!$B$61,1,0)+IF(12='0. Supuestos'!$B$62,1,0))),"")</f>
        <v>-9122.496600000002</v>
      </c>
      <c r="N14" s="14">
        <f>IFERROR(IF('PyG 3 Años'!$B$11="","",SUM(B14:M14)),"")</f>
        <v>-68418.7245</v>
      </c>
      <c r="O14" s="5" t="inlineStr">
        <is>
          <t>Doce mensualidades más las pagas extra en los meses que digas. Con 15 pagas hay tres meses que salen dobles, y siempre pillan a contrapié: uno de ellos suele caer en el mes flojo.</t>
        </is>
      </c>
    </row>
    <row r="15">
      <c r="A15" t="inlineStr">
        <is>
          <t>Intereses del préstamo</t>
        </is>
      </c>
      <c r="B15" s="14">
        <f>IFERROR(IF('PyG 3 Años'!$B$11="","",-IF('Financiación'!C26="",0,'Financiación'!C26)),"")</f>
        <v>-466.55</v>
      </c>
      <c r="C15" s="14">
        <f>IFERROR(IF('PyG 3 Años'!$B$11="","",-IF('Financiación'!C27="",0,'Financiación'!C27)),"")</f>
        <v>-466.55</v>
      </c>
      <c r="D15" s="14">
        <f>IFERROR(IF('PyG 3 Años'!$B$11="","",-IF('Financiación'!C28="",0,'Financiación'!C28)),"")</f>
        <v>-466.55</v>
      </c>
      <c r="E15" s="14">
        <f>IFERROR(IF('PyG 3 Años'!$B$11="","",-IF('Financiación'!C29="",0,'Financiación'!C29)),"")</f>
        <v>-466.55</v>
      </c>
      <c r="F15" s="14">
        <f>IFERROR(IF('PyG 3 Años'!$B$11="","",-IF('Financiación'!C30="",0,'Financiación'!C30)),"")</f>
        <v>-466.55</v>
      </c>
      <c r="G15" s="14">
        <f>IFERROR(IF('PyG 3 Años'!$B$11="","",-IF('Financiación'!C31="",0,'Financiación'!C31)),"")</f>
        <v>-466.55</v>
      </c>
      <c r="H15" s="14">
        <f>IFERROR(IF('PyG 3 Años'!$B$11="","",-IF('Financiación'!C32="",0,'Financiación'!C32)),"")</f>
        <v>-466.55</v>
      </c>
      <c r="I15" s="14">
        <f>IFERROR(IF('PyG 3 Años'!$B$11="","",-IF('Financiación'!C33="",0,'Financiación'!C33)),"")</f>
        <v>-461.6778773148165</v>
      </c>
      <c r="J15" s="14">
        <f>IFERROR(IF('PyG 3 Años'!$B$11="","",-IF('Financiación'!C34="",0,'Financiación'!C34)),"")</f>
        <v>-456.7805819957595</v>
      </c>
      <c r="K15" s="14">
        <f>IFERROR(IF('PyG 3 Años'!$B$11="","",-IF('Financiación'!C35="",0,'Financiación'!C35)),"")</f>
        <v>-451.85798398422077</v>
      </c>
      <c r="L15" s="14">
        <f>IFERROR(IF('PyG 3 Años'!$B$11="","",-IF('Financiación'!C36="",0,'Financiación'!C36)),"")</f>
        <v>-446.90995254962235</v>
      </c>
      <c r="M15" s="14">
        <f>IFERROR(IF('PyG 3 Años'!$B$11="","",-IF('Financiación'!C37="",0,'Financiación'!C37)),"")</f>
        <v>-441.93635628594524</v>
      </c>
      <c r="N15" s="14">
        <f>IFERROR(IF('PyG 3 Años'!$B$11="","",SUM(B15:M15)),"")</f>
        <v>-5525.012752130365</v>
      </c>
    </row>
    <row r="16">
      <c r="A16" t="inlineStr">
        <is>
          <t>Devolución de principal del préstamo</t>
        </is>
      </c>
      <c r="B16" s="14">
        <f>IFERROR(IF('PyG 3 Años'!$B$11="","",-IF('Financiación'!D26="",0,'Financiación'!D26)),"")</f>
        <v>0.0</v>
      </c>
      <c r="C16" s="14">
        <f>IFERROR(IF('PyG 3 Años'!$B$11="","",-IF('Financiación'!D27="",0,'Financiación'!D27)),"")</f>
        <v>0.0</v>
      </c>
      <c r="D16" s="14">
        <f>IFERROR(IF('PyG 3 Años'!$B$11="","",-IF('Financiación'!D28="",0,'Financiación'!D28)),"")</f>
        <v>0.0</v>
      </c>
      <c r="E16" s="14">
        <f>IFERROR(IF('PyG 3 Años'!$B$11="","",-IF('Financiación'!D29="",0,'Financiación'!D29)),"")</f>
        <v>0.0</v>
      </c>
      <c r="F16" s="14">
        <f>IFERROR(IF('PyG 3 Años'!$B$11="","",-IF('Financiación'!D30="",0,'Financiación'!D30)),"")</f>
        <v>0.0</v>
      </c>
      <c r="G16" s="14">
        <f>IFERROR(IF('PyG 3 Años'!$B$11="","",-IF('Financiación'!D31="",0,'Financiación'!D31)),"")</f>
        <v>0.0</v>
      </c>
      <c r="H16" s="14">
        <f>IFERROR(IF('PyG 3 Años'!$B$11="","",-IF('Financiación'!D32="",0,'Financiación'!D32)),"")</f>
        <v>-942.9914874548754</v>
      </c>
      <c r="I16" s="14">
        <f>IFERROR(IF('PyG 3 Años'!$B$11="","",-IF('Financiación'!D33="",0,'Financiación'!D33)),"")</f>
        <v>-947.8636101400589</v>
      </c>
      <c r="J16" s="14">
        <f>IFERROR(IF('PyG 3 Años'!$B$11="","",-IF('Financiación'!D34="",0,'Financiación'!D34)),"")</f>
        <v>-952.7609054591157</v>
      </c>
      <c r="K16" s="14">
        <f>IFERROR(IF('PyG 3 Años'!$B$11="","",-IF('Financiación'!D35="",0,'Financiación'!D35)),"")</f>
        <v>-957.6835034706546</v>
      </c>
      <c r="L16" s="14">
        <f>IFERROR(IF('PyG 3 Años'!$B$11="","",-IF('Financiación'!D36="",0,'Financiación'!D36)),"")</f>
        <v>-962.6315349052529</v>
      </c>
      <c r="M16" s="14">
        <f>IFERROR(IF('PyG 3 Años'!$B$11="","",-IF('Financiación'!D37="",0,'Financiación'!D37)),"")</f>
        <v>-967.60513116893</v>
      </c>
      <c r="N16" s="14">
        <f>IFERROR(IF('PyG 3 Años'!$B$11="","",SUM(B16:M16)),"")</f>
        <v>-5731.536172598888</v>
      </c>
      <c r="O16" s="5" t="inlineStr">
        <is>
          <t>Sale del cuadro MENSUAL de la hoja de Financiación. Durante la carencia esta fila vale cero, y ése es justo el efecto que se negocia con el banco.</t>
        </is>
      </c>
    </row>
    <row r="17">
      <c r="A17" t="inlineStr">
        <is>
          <t>IVA repercutido del mes (memoria)</t>
        </is>
      </c>
      <c r="B17" s="14">
        <f>IFERROR(IF('PyG 3 Años'!$B$11="","",'PyG 3 Años'!$B$11*B8*'0. Supuestos'!$B$20),"")</f>
        <v>839.4911379456</v>
      </c>
      <c r="C17" s="14">
        <f>IFERROR(IF('PyG 3 Años'!$B$11="","",'PyG 3 Años'!$B$11*C8*'0. Supuestos'!$B$20),"")</f>
        <v>1189.2143919178473</v>
      </c>
      <c r="D17" s="14">
        <f>IFERROR(IF('PyG 3 Años'!$B$11="","",'PyG 3 Años'!$B$11*D8*'0. Supuestos'!$B$20),"")</f>
        <v>1235.3406789818182</v>
      </c>
      <c r="E17" s="14">
        <f>IFERROR(IF('PyG 3 Años'!$B$11="","",'PyG 3 Años'!$B$11*E8*'0. Supuestos'!$B$20),"")</f>
        <v>1469.2690106181817</v>
      </c>
      <c r="F17" s="14">
        <f>IFERROR(IF('PyG 3 Años'!$B$11="","",'PyG 3 Años'!$B$11*F8*'0. Supuestos'!$B$20),"")</f>
        <v>1660.731287000902</v>
      </c>
      <c r="G17" s="14">
        <f>IFERROR(IF('PyG 3 Años'!$B$11="","",'PyG 3 Años'!$B$11*G8*'0. Supuestos'!$B$20),"")</f>
        <v>1526.3475235374544</v>
      </c>
      <c r="H17" s="14">
        <f>IFERROR(IF('PyG 3 Años'!$B$11="","",'PyG 3 Años'!$B$11*H8*'0. Supuestos'!$B$20),"")</f>
        <v>1360.427632826182</v>
      </c>
      <c r="I17" s="14">
        <f>IFERROR(IF('PyG 3 Años'!$B$11="","",'PyG 3 Años'!$B$11*I8*'0. Supuestos'!$B$20),"")</f>
        <v>995.4397090909092</v>
      </c>
      <c r="J17" s="14">
        <f>IFERROR(IF('PyG 3 Años'!$B$11="","",'PyG 3 Años'!$B$11*J8*'0. Supuestos'!$B$20),"")</f>
        <v>1426.8035526283636</v>
      </c>
      <c r="K17" s="14">
        <f>IFERROR(IF('PyG 3 Años'!$B$11="","",'PyG 3 Años'!$B$11*K8*'0. Supuestos'!$B$20),"")</f>
        <v>1692.2475054545453</v>
      </c>
      <c r="L17" s="14">
        <f>IFERROR(IF('PyG 3 Años'!$B$11="","",'PyG 3 Años'!$B$11*L8*'0. Supuestos'!$B$20),"")</f>
        <v>1824.9794362647272</v>
      </c>
      <c r="M17" s="14">
        <f>IFERROR(IF('PyG 3 Años'!$B$11="","",'PyG 3 Años'!$B$11*M8*'0. Supuestos'!$B$20),"")</f>
        <v>2389.0553018181813</v>
      </c>
      <c r="N17" s="14">
        <f>IFERROR(IF('PyG 3 Años'!$B$11="","",SUM(B17:M17)),"")</f>
        <v>17609.347168084714</v>
      </c>
    </row>
    <row r="18">
      <c r="A18" t="inlineStr">
        <is>
          <t>IVA soportado del mes (memoria)</t>
        </is>
      </c>
      <c r="B18" s="14">
        <f>IFERROR(IF('PyG 3 Años'!$B$11="","",'PyG 3 Años'!$B$32*B8+'PyG 3 Años'!$B$33/12),"")</f>
        <v>861.8355948954627</v>
      </c>
      <c r="C18" s="14">
        <f>IFERROR(IF('PyG 3 Años'!$B$11="","",'PyG 3 Años'!$B$32*C8+'PyG 3 Años'!$B$33/12),"")</f>
        <v>960.6029814335682</v>
      </c>
      <c r="D18" s="14">
        <f>IFERROR(IF('PyG 3 Años'!$B$11="","",'PyG 3 Años'!$B$32*D8+'PyG 3 Años'!$B$33/12),"")</f>
        <v>973.6297755408207</v>
      </c>
      <c r="E18" s="14">
        <f>IFERROR(IF('PyG 3 Años'!$B$11="","",'PyG 3 Años'!$B$32*E8+'PyG 3 Años'!$B$33/12),"")</f>
        <v>1039.6948418197028</v>
      </c>
      <c r="F18" s="14">
        <f>IFERROR(IF('PyG 3 Años'!$B$11="","",'PyG 3 Años'!$B$32*F8+'PyG 3 Años'!$B$33/12),"")</f>
        <v>1093.7668214326409</v>
      </c>
      <c r="G18" s="14">
        <f>IFERROR(IF('PyG 3 Años'!$B$11="","",'PyG 3 Años'!$B$32*G8+'PyG 3 Años'!$B$33/12),"")</f>
        <v>1055.81471799175</v>
      </c>
      <c r="H18" s="14">
        <f>IFERROR(IF('PyG 3 Años'!$B$11="","",'PyG 3 Años'!$B$32*H8+'PyG 3 Años'!$B$33/12),"")</f>
        <v>1008.9563126838178</v>
      </c>
      <c r="I18" s="14">
        <f>IFERROR(IF('PyG 3 Años'!$B$11="","",'PyG 3 Años'!$B$32*I8+'PyG 3 Años'!$B$33/12),"")</f>
        <v>905.8779416122649</v>
      </c>
      <c r="J18" s="14">
        <f>IFERROR(IF('PyG 3 Años'!$B$11="","",'PyG 3 Años'!$B$32*J8+'PyG 3 Años'!$B$33/12),"")</f>
        <v>1027.7019238305236</v>
      </c>
      <c r="K18" s="14">
        <f>IFERROR(IF('PyG 3 Años'!$B$11="","",'PyG 3 Años'!$B$32*K8+'PyG 3 Años'!$B$33/12),"")</f>
        <v>1102.66750074085</v>
      </c>
      <c r="L18" s="14">
        <f>IFERROR(IF('PyG 3 Años'!$B$11="","",'PyG 3 Años'!$B$32*L8+'PyG 3 Años'!$B$33/12),"")</f>
        <v>1140.1531004754295</v>
      </c>
      <c r="M18" s="14">
        <f>IFERROR(IF('PyG 3 Años'!$B$11="","",'PyG 3 Años'!$B$32*M8+'PyG 3 Años'!$B$33/12),"")</f>
        <v>1299.4570598694354</v>
      </c>
      <c r="N18" s="14">
        <f>IFERROR(IF('PyG 3 Años'!$B$11="","",SUM(B18:M18)),"")</f>
        <v>12470.158572326265</v>
      </c>
    </row>
    <row r="19">
      <c r="A19" t="inlineStr">
        <is>
          <t>IVA a compensar arrastrado (inversión incluida)</t>
        </is>
      </c>
      <c r="E19" s="14">
        <f>IFERROR(IF('PyG 3 Años'!$B$11="","",'Inversión Inicial'!$B$22),"")</f>
        <v>17912.86</v>
      </c>
      <c r="H19" s="14">
        <f>IFERROR(IF('PyG 3 Años'!$B$11="","",MAX(0,-E20)),"")</f>
        <v>17444.882143024588</v>
      </c>
      <c r="K19" s="14">
        <f>IFERROR(IF('PyG 3 Años'!$B$11="","",MAX(0,-H20)),"")</f>
        <v>15977.810703112144</v>
      </c>
      <c r="O19" s="5" t="inlineStr">
        <is>
          <t>El IVA soportado de la INVERSIÓN entra aquí y se compensa contra el repercutido de los trimestres siguientes. Con una inversión grande tardas medio año en recuperarlo, y ese medio año lo financias tú.</t>
        </is>
      </c>
    </row>
    <row r="20">
      <c r="A20" t="inlineStr">
        <is>
          <t>Resultado de la liquidación trimestral</t>
        </is>
      </c>
      <c r="E20" s="14">
        <f>IFERROR(IF('PyG 3 Años'!$B$11="","",SUM(B17:D17)-SUM(B18:D18)-E19),"")</f>
        <v>-17444.882143024588</v>
      </c>
      <c r="H20" s="14">
        <f>IFERROR(IF('PyG 3 Años'!$B$11="","",SUM(E17:G17)-SUM(E18:G18)-H19),"")</f>
        <v>-15977.810703112144</v>
      </c>
      <c r="K20" s="14">
        <f>IFERROR(IF('PyG 3 Años'!$B$11="","",SUM(H17:J17)-SUM(H18:J18)-K19),"")</f>
        <v>-15137.675986693295</v>
      </c>
    </row>
    <row r="21">
      <c r="A21" t="inlineStr">
        <is>
          <t>Pago del IVA (modelo 303)</t>
        </is>
      </c>
      <c r="E21" s="14">
        <f>IFERROR(IF('PyG 3 Años'!$B$11="","",IF(E20&lt;=0,"",-E20)),"")</f>
        <v/>
      </c>
      <c r="H21" s="14">
        <f>IFERROR(IF('PyG 3 Años'!$B$11="","",IF(H20&lt;=0,"",-H20)),"")</f>
        <v/>
      </c>
      <c r="K21" s="14">
        <f>IFERROR(IF('PyG 3 Años'!$B$11="","",IF(K20&lt;=0,"",-K20)),"")</f>
        <v/>
      </c>
      <c r="N21" s="14">
        <f>IFERROR(IF('PyG 3 Años'!$B$11="","",IF(E21="",0,E21)+IF(H21="",0,H21)+IF(K21="",0,K21)),"")</f>
        <v>0.0</v>
      </c>
      <c r="O21" s="5" t="inlineStr">
        <is>
          <t>Sólo sale caja cuando el resultado del trimestre es positivo. Los meses sin liquidación van en BLANCO, no a cero: un cero significaría «liquidé y no pagué nada», que es otra cosa. El cuarto trimestre se liquida en enero del año siguiente y por eso no aparece.</t>
        </is>
      </c>
    </row>
    <row r="22">
      <c r="A22" s="22" t="inlineStr">
        <is>
          <t>FLUJO DEL MES</t>
        </is>
      </c>
      <c r="B22" s="24">
        <f>IFERROR(IF('PyG 3 Años'!$B$11="","",SUM(B10:B16)+IF(B21="",0,B21)),"")</f>
        <v>-2177.9184245358083</v>
      </c>
      <c r="C22" s="24">
        <f>IFERROR(IF('PyG 3 Años'!$B$11="","",SUM(C10:C16)+IF(C21="",0,C21)),"")</f>
        <v>434.89473985407966</v>
      </c>
      <c r="D22" s="24">
        <f>IFERROR(IF('PyG 3 Años'!$B$11="","",SUM(D10:D16)+IF(D21="",0,D21)),"")</f>
        <v>-3853.816162183689</v>
      </c>
      <c r="E22" s="24">
        <f>IFERROR(IF('PyG 3 Años'!$B$11="","",SUM(E10:E16)+IF(E21="",0,E21)),"")</f>
        <v>2610.564315610972</v>
      </c>
      <c r="F22" s="24">
        <f>IFERROR(IF('PyG 3 Años'!$B$11="","",SUM(F10:F16)+IF(F21="",0,F21)),"")</f>
        <v>4109.050911739659</v>
      </c>
      <c r="G22" s="24">
        <f>IFERROR(IF('PyG 3 Años'!$B$11="","",SUM(G10:G16)+IF(G21="",0,G21)),"")</f>
        <v>2950.035879667922</v>
      </c>
      <c r="H22" s="24">
        <f>IFERROR(IF('PyG 3 Años'!$B$11="","",SUM(H10:H16)+IF(H21="",0,H21)),"")</f>
        <v>-3873.3907308310086</v>
      </c>
      <c r="I22" s="24">
        <f>IFERROR(IF('PyG 3 Años'!$B$11="","",SUM(I10:I16)+IF(I21="",0,I21)),"")</f>
        <v>-2253.1813008994304</v>
      </c>
      <c r="J22" s="24">
        <f>IFERROR(IF('PyG 3 Años'!$B$11="","",SUM(J10:J16)+IF(J21="",0,J21)),"")</f>
        <v>1391.91635259965</v>
      </c>
      <c r="K22" s="24">
        <f>IFERROR(IF('PyG 3 Años'!$B$11="","",SUM(K10:K16)+IF(K21="",0,K21)),"")</f>
        <v>3437.1413227319263</v>
      </c>
      <c r="L22" s="24">
        <f>IFERROR(IF('PyG 3 Años'!$B$11="","",SUM(L10:L16)+IF(L21="",0,L21)),"")</f>
        <v>4444.828437385211</v>
      </c>
      <c r="M22" s="24">
        <f>IFERROR(IF('PyG 3 Años'!$B$11="","",SUM(M10:M16)+IF(M21="",0,M21)),"")</f>
        <v>4466.153324437955</v>
      </c>
      <c r="N22" s="24">
        <f>IFERROR(IF('PyG 3 Años'!$B$11="","",SUM(B22:M22)),"")</f>
        <v>11686.278665577438</v>
      </c>
      <c r="O22" s="22" t="n"/>
    </row>
    <row r="23">
      <c r="A23" s="22" t="inlineStr">
        <is>
          <t>SALDO ACUMULADO DE CAJA</t>
        </is>
      </c>
      <c r="B23" s="24">
        <f>IFERROR(IF('PyG 3 Años'!$B$11="","",'Inversión Inicial'!$B$16+B22),"")</f>
        <v>59095.097228461</v>
      </c>
      <c r="C23" s="24">
        <f>IFERROR(IF('PyG 3 Años'!$B$11="","",B23+C22),"")</f>
        <v>59529.99196831508</v>
      </c>
      <c r="D23" s="24">
        <f>IFERROR(IF('PyG 3 Años'!$B$11="","",C23+D22),"")</f>
        <v>55676.17580613139</v>
      </c>
      <c r="E23" s="24">
        <f>IFERROR(IF('PyG 3 Años'!$B$11="","",D23+E22),"")</f>
        <v>58286.74012174236</v>
      </c>
      <c r="F23" s="24">
        <f>IFERROR(IF('PyG 3 Años'!$B$11="","",E23+F22),"")</f>
        <v>62395.79103348202</v>
      </c>
      <c r="G23" s="24">
        <f>IFERROR(IF('PyG 3 Años'!$B$11="","",F23+G22),"")</f>
        <v>65345.82691314994</v>
      </c>
      <c r="H23" s="24">
        <f>IFERROR(IF('PyG 3 Años'!$B$11="","",G23+H22),"")</f>
        <v>61472.43618231893</v>
      </c>
      <c r="I23" s="24">
        <f>IFERROR(IF('PyG 3 Años'!$B$11="","",H23+I22),"")</f>
        <v>59219.2548814195</v>
      </c>
      <c r="J23" s="24">
        <f>IFERROR(IF('PyG 3 Años'!$B$11="","",I23+J22),"")</f>
        <v>60611.17123401915</v>
      </c>
      <c r="K23" s="24">
        <f>IFERROR(IF('PyG 3 Años'!$B$11="","",J23+K22),"")</f>
        <v>64048.31255675108</v>
      </c>
      <c r="L23" s="24">
        <f>IFERROR(IF('PyG 3 Años'!$B$11="","",K23+L22),"")</f>
        <v>68493.1409941363</v>
      </c>
      <c r="M23" s="24">
        <f>IFERROR(IF('PyG 3 Años'!$B$11="","",L23+M22),"")</f>
        <v>72959.29431857425</v>
      </c>
      <c r="N23" s="22" t="n"/>
      <c r="O23" s="22" t="n"/>
    </row>
    <row r="24">
      <c r="A24" t="inlineStr">
        <is>
          <t>Saldo mínimo del año (€)</t>
        </is>
      </c>
      <c r="B24" s="14">
        <f>IFERROR(IF('PyG 3 Años'!$B$11="","",IF(COUNT(B23:M23)=0,"",MIN(B23:M23))),"")</f>
        <v>55676.17580613139</v>
      </c>
      <c r="O24" s="5" t="inlineStr">
        <is>
          <t>Si es negativo te quedas sin caja: sube el fondo de maniobra, sube el préstamo o negocia más carencia. No lo dejes para verlo pasar.</t>
        </is>
      </c>
    </row>
    <row r="25">
      <c r="A25" t="inlineStr">
        <is>
          <t>Mes en el que la caja toca fondo</t>
        </is>
      </c>
      <c r="B25" s="26">
        <f>IFERROR(IF('PyG 3 Años'!$B$11="","",IF(COUNT(B23:M23)=0,"",MATCH(MIN(B23:M23),B23:M23,0))),"")</f>
        <v>3.0</v>
      </c>
      <c r="O25" s="5" t="inlineStr">
        <is>
          <t>Es la respuesta a la pregunta que decide una operación bancaria: en qué mes se agota la caja. Abriendo el 1 de junio, ese mes cae casi siempre en el valle.</t>
        </is>
      </c>
    </row>
    <row r="26"/>
    <row r="27">
      <c r="A27" s="4" t="inlineStr">
        <is>
          <t>RETORNO DE LA INVERSIÓN</t>
        </is>
      </c>
      <c r="B27" s="10" t="inlineStr"/>
      <c r="C27" s="10" t="inlineStr"/>
      <c r="D27" s="10" t="inlineStr"/>
      <c r="E27" s="10" t="inlineStr"/>
      <c r="F27" s="10" t="inlineStr"/>
      <c r="G27" s="10" t="inlineStr"/>
      <c r="H27" s="10" t="inlineStr"/>
      <c r="I27" s="10" t="inlineStr"/>
      <c r="J27" s="10" t="inlineStr"/>
      <c r="K27" s="10" t="inlineStr"/>
      <c r="L27" s="10" t="inlineStr"/>
      <c r="M27" s="10" t="inlineStr"/>
      <c r="N27" s="10" t="inlineStr"/>
      <c r="O27" s="10" t="inlineStr"/>
    </row>
    <row r="28">
      <c r="A28" t="inlineStr">
        <is>
          <t>Flujo de caja libre antes de la deuda, año 1</t>
        </is>
      </c>
      <c r="B28" s="14">
        <f>IFERROR(IF('PyG 3 Años'!$B$11="","",'PyG 3 Años'!B41+'PyG 3 Años'!B29+'Financiación'!$B$116),"")</f>
        <v>16603.664001766334</v>
      </c>
      <c r="O28" s="5" t="inlineStr">
        <is>
          <t>Resultado neto más amortización (que no se paga) más los intereses de ese año: el principal no se resta porque este flujo se compara con la inversión, no con la deuda.</t>
        </is>
      </c>
    </row>
    <row r="29">
      <c r="A29" t="inlineStr">
        <is>
          <t>Flujo de caja libre antes de la deuda, año 2</t>
        </is>
      </c>
      <c r="B29" s="14">
        <f>IFERROR(IF('PyG 3 Años'!$B$11="","",'PyG 3 Años'!C41+'PyG 3 Años'!C29+'Financiación'!$B$117),"")</f>
        <v>30536.18066726857</v>
      </c>
    </row>
    <row r="30">
      <c r="A30" t="inlineStr">
        <is>
          <t>Flujo de caja libre antes de la deuda, año 3</t>
        </is>
      </c>
      <c r="B30" s="14">
        <f>IFERROR(IF('PyG 3 Años'!$B$11="","",'PyG 3 Años'!D41+'PyG 3 Años'!D29+'Financiación'!$B$118),"")</f>
        <v>32598.90286814115</v>
      </c>
    </row>
    <row r="31">
      <c r="A31" t="inlineStr">
        <is>
          <t>Inversión a recuperar (sin el IVA, que se recupera por el 303)</t>
        </is>
      </c>
      <c r="B31" s="14">
        <f>IFERROR(IF('PyG 3 Años'!$B$11="","",'Inversión Inicial'!$B$23-'Inversión Inicial'!$B$22),"")</f>
        <v>150492.3656529968</v>
      </c>
    </row>
    <row r="32">
      <c r="A32" t="inlineStr">
        <is>
          <t>Payback del proyecto (años), antes de la deuda</t>
        </is>
      </c>
      <c r="B32" s="19" t="str">
        <f>IFERROR(IF('PyG 3 Años'!$B$11="","",IF(B28&gt;=B31,ROUND(B31/B28,1),IF(B28+B29&gt;=B31,ROUND(1+(B31-B28)/B29,1),IF(B28+B29+B30&gt;=B31,ROUND(2+(B31-B28-B29)/B30,1),"Más de 3 años")))),"")</f>
        <v>Más de 3 años</v>
      </c>
      <c r="O32" s="5" t="inlineStr">
        <is>
          <t>Cuánto tarda el negocio en devolver la inversión con lo que genera ANTES de pagar al banco. Si sale «Más de 3 años», este libro no proyecta lo suficiente para decírtelo: es una señal, no un fallo.</t>
        </is>
      </c>
    </row>
    <row r="33"/>
    <row r="34">
      <c r="A34" s="4" t="inlineStr">
        <is>
          <t>LA FECHA LÍMITE DE CIERRE DE PEDIDOS DE NAVIDAD (cruce 7 &lt;- 1, calculada HACIA ATRÁS desde tu capacidad)</t>
        </is>
      </c>
      <c r="B34" s="10" t="inlineStr"/>
      <c r="C34" s="10" t="inlineStr"/>
      <c r="D34" s="10" t="inlineStr"/>
      <c r="E34" s="10" t="inlineStr"/>
      <c r="F34" s="10" t="inlineStr"/>
      <c r="G34" s="10" t="inlineStr"/>
      <c r="H34" s="10" t="inlineStr"/>
      <c r="I34" s="10" t="inlineStr"/>
      <c r="J34" s="10" t="inlineStr"/>
      <c r="K34" s="10" t="inlineStr"/>
      <c r="L34" s="10" t="inlineStr"/>
      <c r="M34" s="10" t="inlineStr"/>
      <c r="N34" s="10" t="inlineStr"/>
      <c r="O34" s="10" t="inlineStr"/>
    </row>
    <row r="35" ht="44" customHeight="1">
      <c r="A35" s="9" t="inlineStr">
        <is>
          <t>Capacidad del obrador en jornada normal (bombones/día): trae aquí la cifra de capacidad-obrador-y-clima.xlsx!Cuello de Botella!B7 («Bombones al día que permite el conjunto»)</t>
        </is>
      </c>
      <c r="B35" s="11" t="n">
        <v>512</v>
      </c>
      <c r="O35" s="5" t="inlineStr">
        <is>
          <t>CÓPIALA A MANO del libro «capacidad-obrador-y-clima»: la casilla de bombones al día que permite el equipo que limita. No hay ninguna fórmula entre ficheros. VALOR POR DEFECTO DECLARADO: los 512 bombones al día del caso, con el puesto de envasado y montaje de cajas como cuello de botella. Si cambias de atemperadora, de moldes o de puesto de envasado, vuelve a copiarlo.</t>
        </is>
      </c>
    </row>
    <row r="36">
      <c r="A36" t="inlineStr">
        <is>
          <t>Cifra que publica hoy esa hoja del libro 1</t>
        </is>
      </c>
      <c r="B36" s="11" t="n">
        <v>512</v>
      </c>
      <c r="O36" s="5" t="inlineStr">
        <is>
          <t>Anota aquí lo que ves en el libro 1 la última vez que lo abriste. Si arriba tecleas otra cosa -porque te lo dijo el instalador, o porque cuentas con horas extra-, la fila de CUADRE te avisa en vez de dejar las dos cifras separadas en silencio.</t>
        </is>
      </c>
    </row>
    <row r="37">
      <c r="A37" t="inlineStr">
        <is>
          <t>Desviación entre las dos</t>
        </is>
      </c>
      <c r="B37" s="17">
        <f>IFERROR(ABS(B35-B36)/B36,"")</f>
        <v>0.0</v>
      </c>
    </row>
    <row r="38">
      <c r="A38" s="21" t="inlineStr">
        <is>
          <t>CUADRE DE LA CAPACIDAD: la que usas frente a la del libro 1</t>
        </is>
      </c>
      <c r="B38" s="22" t="str">
        <f>IFERROR(IF(NOT(ISNUMBER(B37)),"",IF(B37&lt;='0. Supuestos'!$B$72,"CUADRA","REVISA: la capacidad que estás usando no es la que calcula el libro 1")),"")</f>
        <v>CUADRA</v>
      </c>
    </row>
    <row r="39">
      <c r="A39" t="inlineStr">
        <is>
          <t>Bombones de obrador al día en velocidad de crucero</t>
        </is>
      </c>
      <c r="B39" s="11" t="n">
        <v>472</v>
      </c>
      <c r="O39" s="5" t="inlineStr">
        <is>
          <t>Lo que sale del obrador un día normal, contado en BOMBONES DE OBRADOR: una caja de 35 es una venta y treinta y seis piezas. Sale del mismo libro 1; medir el pico en tickets es lo que hace creer que Navidad cabe.</t>
        </is>
      </c>
    </row>
    <row r="40">
      <c r="A40" t="inlineStr">
        <is>
          <t>Excedente diario para adelantar producción (bombones/día)</t>
        </is>
      </c>
      <c r="B40" s="26">
        <f>IFERROR(B35-B39,"")</f>
        <v>40.0</v>
      </c>
      <c r="O40" s="5" t="inlineStr">
        <is>
          <t>Lo que te sobra cada día para ir haciendo Navidad por delante. Si sale cero o negativo, no hay fecha límite que valga: no puedes adelantar nada y la campaña se resuelve con horas extra, con refuerzo o diciendo que no. Eso se dimensiona en el libro «campanas-y-valle-del-ano».</t>
        </is>
      </c>
    </row>
    <row r="41" ht="30" customHeight="1">
      <c r="A41" s="9" t="inlineStr">
        <is>
          <t>Bombones de la campaña de Navidad que quieres tener hechos POR ADELANTADO</t>
        </is>
      </c>
      <c r="B41" s="11" t="n">
        <v>2400</v>
      </c>
      <c r="O41" s="5" t="inlineStr">
        <is>
          <t>SUPUESTO, y OJO CON LO QUE ES: NO es lo que vas a vender en diciembre, que es muchísimo más. Es lo que quieres tener FABRICADO Y GUARDADO antes de que empiece la punta, y por eso sólo caben las referencias que aguantan -tabletas, turrones, figuras y bombones estabilizados-, nunca la ganache fresca. Todo lo que no quepa aquí se resuelve con horas extra y refuerzo, y eso se dimensiona y se cuesta en el libro «campanas-y-valle-del-ano».</t>
        </is>
      </c>
    </row>
    <row r="42">
      <c r="A42" t="inlineStr">
        <is>
          <t>Días de obrador que hacen falta para fabricarlos</t>
        </is>
      </c>
      <c r="B42" s="19">
        <f>IFERROR(IF(B40&lt;=0,"",B41/B40),"")</f>
        <v>60.0</v>
      </c>
    </row>
    <row r="43">
      <c r="A43" t="inlineStr">
        <is>
          <t>Días de calendario que hay que empezar antes</t>
        </is>
      </c>
      <c r="B43" s="26">
        <f>IFERROR(IF(B42="","",ROUND(B42*7/'0. Supuestos'!$B$56,0)),"")</f>
        <v>70.0</v>
      </c>
      <c r="O43" s="5" t="inlineStr">
        <is>
          <t>De días de PRODUCCIÓN a días de calendario: si abres seis días de cada siete, cada día de obrador son 1,17 días naturales. Sin NETWORKDAYS, que esta familia tiene prohibida: aritmética de días y de índices de mes, que se entiende y se audita.</t>
        </is>
      </c>
    </row>
    <row r="44">
      <c r="A44" t="inlineStr">
        <is>
          <t>Fecha en la que tiene que estar todo hecho</t>
        </is>
      </c>
      <c r="B44" s="36" t="n">
        <v>46741</v>
      </c>
      <c r="O44" s="5" t="inlineStr">
        <is>
          <t>SUPUESTO: el 20 de diciembre, que es cuando se lleva el grueso de los encargos. Ponla del año que estés planificando.</t>
        </is>
      </c>
    </row>
    <row r="45">
      <c r="A45" s="22" t="inlineStr">
        <is>
          <t>FECHA LÍMITE DE CIERRE DE PEDIDOS DE NAVIDAD</t>
        </is>
      </c>
      <c r="B45" s="37">
        <f>IFERROR(IF(B43="","",B44-B43),"")</f>
        <v>46671.0</v>
      </c>
      <c r="O45" s="5" t="inlineStr">
        <is>
          <t>A partir de aquí, cada pedido nuevo de Navidad te obliga a comprar horas o a decir que no. NO es una fecha comercial: la fija tu obrador, y por eso se calcula hacia atrás desde la capacidad y no desde el calendario de marketing.</t>
        </is>
      </c>
    </row>
    <row r="46">
      <c r="A46" t="inlineStr">
        <is>
          <t>Mes en el que cae esa fecha (índice 1-12)</t>
        </is>
      </c>
      <c r="B46" s="26">
        <f>IFERROR(IF(B45="","",MONTH(B45)),"")</f>
        <v>10.0</v>
      </c>
    </row>
    <row r="47">
      <c r="A47" s="21" t="inlineStr">
        <is>
          <t>LECTURA</t>
        </is>
      </c>
      <c r="B47" s="22" t="str">
        <f>IFERROR(IF(B43="","No hay excedente diario: no puedes adelantar nada y la campaña se resuelve con refuerzo",IF(B46&lt;=10,"Cierras en octubre o antes: la agenda corporativa y la de encargos tienen que estar montadas en septiembre","Cierras dentro de noviembre o diciembre: vas justo, y una avería te deja sin campaña")),"")</f>
        <v>Cierras en octubre o antes: la agenda corporativa y la de encargos tienen que estar montadas en septiembre</v>
      </c>
    </row>
    <row r="48" ht="44" customHeight="1">
      <c r="A48" s="5" t="inlineStr">
        <is>
          <t>Esta fecha es la que convierte la capacidad del obrador en una decisión comercial: hasta ella coges encargos, después empiezas a comprar horas. Y explica por qué el pedido de regalo corporativo se cierra en octubre: entre que el cliente aprueba la muestra y tú fabricas pasan catorce días como mínimo, y esos catorce días caen ENCIMA de los que acabas de calcular.</t>
        </is>
      </c>
    </row>
    <row r="49"/>
    <row r="50" ht="32" customHeight="1">
      <c r="A50" s="5" t="inlineStr">
        <is>
          <t>Escribe los ingresos y los gastos SIN IVA en el resto del libro: la capa de IVA de esta hoja lo añade, porque la tesorería es caja. El Impuesto de Sociedades no está en este cuadro: se paga en julio del año siguiente, fuera de los doce meses.</t>
        </is>
      </c>
    </row>
  </sheetData>
  <sheetProtection selectLockedCells="0" selectUnlockedCells="0" sheet="1" objects="0" insertRows="0" insertHyperlinks="1" autoFilter="1" scenarios="0" formatColumns="0" deleteColumns="1" insertColumns="1" pivotTables="1" deleteRows="1" formatCells="1" formatRows="0" sort="0"/>
  <mergeCells count="3">
    <mergeCell ref="A48:O48"/>
    <mergeCell ref="A3:O3"/>
    <mergeCell ref="A50:O50"/>
  </mergeCells>
  <conditionalFormatting sqref="B23:M23">
    <cfRule type="expression" priority="1" dxfId="0" stopIfTrue="1">
      <formula>=AND(ISNUMBER(B23),B23&lt;0)</formula>
    </cfRule>
  </conditionalFormatting>
  <conditionalFormatting sqref="B24">
    <cfRule type="expression" priority="2" dxfId="0" stopIfTrue="1">
      <formula>=AND(ISNUMBER($B$24),$B$24&lt;0)</formula>
    </cfRule>
  </conditionalFormatting>
  <conditionalFormatting sqref="B38">
    <cfRule type="cellIs" priority="3" operator="equal" dxfId="0" stopIfTrue="1">
      <formula>"REVISA: la capacidad que estás usando no es la que calcula el libro 1"</formula>
    </cfRule>
    <cfRule type="cellIs" priority="4" operator="equal" dxfId="1" stopIfTrue="1">
      <formula>"CUADRA"</formula>
    </cfRule>
  </conditionalFormatting>
  <conditionalFormatting sqref="B40">
    <cfRule type="expression" priority="5" dxfId="0" stopIfTrue="1">
      <formula>=AND(ISNUMBER($B$40),$B$40&lt;=0)</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126"/>
  <sheetViews>
    <sheetView workbookViewId="0">
      <pane ySplit="25" topLeftCell="A26" activePane="bottomLeft" state="frozen"/>
      <selection pane="bottomLeft" activeCell="A1" sqref="A1"/>
    </sheetView>
  </sheetViews>
  <sheetFormatPr baseColWidth="8" defaultRowHeight="15"/>
  <cols>
    <col width="52" customWidth="1" min="1" max="1"/>
    <col width="16" customWidth="1" min="2" max="2"/>
    <col width="16" customWidth="1" min="3" max="3"/>
    <col width="18" customWidth="1" min="4" max="4"/>
    <col width="16" customWidth="1" min="5" max="5"/>
    <col width="17" customWidth="1" min="6" max="6"/>
    <col width="14" customWidth="1" min="7" max="7"/>
    <col width="76" customWidth="1" min="8" max="8"/>
  </cols>
  <sheetData>
    <row r="1" ht="28" customHeight="1">
      <c r="A1" s="1" t="inlineStr">
        <is>
          <t>Financiación: De Dónde Sale y Cuánto Cuesta Devolverlo</t>
        </is>
      </c>
    </row>
    <row r="2">
      <c r="A2" t="inlineStr">
        <is>
          <t>AI Chef Pro · aichef.pro — Cómo Montar una Chocolatería</t>
        </is>
      </c>
    </row>
    <row r="3" ht="26" customHeight="1">
      <c r="A3" s="5" t="inlineStr">
        <is>
          <t>El cuadro de amortización es MENSUAL, con 84 filas, porque la carencia de este caso son seis meses y un cuadro anual no sabe expresar medio año. La cuota es una anualidad algebraica del sistema francés: PMT está prohibida en esta familia.</t>
        </is>
      </c>
    </row>
    <row r="4"/>
    <row r="5">
      <c r="A5" s="4" t="inlineStr">
        <is>
          <t>ORIGEN DE FONDOS</t>
        </is>
      </c>
      <c r="B5" s="10" t="inlineStr"/>
      <c r="C5" s="10" t="inlineStr"/>
      <c r="D5" s="10" t="inlineStr"/>
      <c r="E5" s="10" t="inlineStr"/>
      <c r="F5" s="10" t="inlineStr"/>
      <c r="G5" s="10" t="inlineStr"/>
      <c r="H5" s="10" t="inlineStr"/>
    </row>
    <row r="6">
      <c r="A6" t="inlineStr">
        <is>
          <t>Recursos propios aportados</t>
        </is>
      </c>
      <c r="B6" s="14">
        <f>IFERROR('0. Supuestos'!$B$40,"")</f>
        <v>78105.23</v>
      </c>
      <c r="H6" s="5" t="inlineStr">
        <is>
          <t>Aportación de los socios o del promotor. Un banco quiere ver un 25-30 % de fondos propios sobre la necesidad total antes de sentarse a hablar. Aquí es el 40 %, que es la estructura declarada del caso.</t>
        </is>
      </c>
    </row>
    <row r="7">
      <c r="A7" t="inlineStr">
        <is>
          <t>Préstamo bancario</t>
        </is>
      </c>
      <c r="B7" s="14">
        <f>IFERROR('0. Supuestos'!$B$41,"")</f>
        <v>90300.0</v>
      </c>
    </row>
    <row r="8">
      <c r="A8" t="inlineStr">
        <is>
          <t>Otras fuentes (ICO, ENISA, subvenciones, socios)</t>
        </is>
      </c>
      <c r="B8" s="13" t="n">
        <v>0</v>
      </c>
      <c r="H8" s="5" t="inlineStr">
        <is>
          <t>A cero por defecto. Las subvenciones suelen cobrarse DESPUÉS de justificar el gasto: no cuentes con ellas para pagar la obra.</t>
        </is>
      </c>
    </row>
    <row r="9">
      <c r="A9" s="22" t="inlineStr">
        <is>
          <t>TOTAL ORIGEN DE FONDOS</t>
        </is>
      </c>
      <c r="B9" s="24">
        <f>IFERROR(IF(COUNT(B6:B8)=0,"",SUM(B6:B8)),"")</f>
        <v>168405.22999999998</v>
      </c>
      <c r="C9" s="22" t="n"/>
      <c r="D9" s="22" t="n"/>
      <c r="E9" s="22" t="n"/>
      <c r="F9" s="22" t="n"/>
      <c r="G9" s="22" t="n"/>
      <c r="H9" s="22" t="n"/>
    </row>
    <row r="10">
      <c r="A10" s="4" t="inlineStr">
        <is>
          <t>USOS</t>
        </is>
      </c>
      <c r="B10" s="10" t="inlineStr"/>
      <c r="C10" s="10" t="inlineStr"/>
      <c r="D10" s="10" t="inlineStr"/>
      <c r="E10" s="10" t="inlineStr"/>
      <c r="F10" s="10" t="inlineStr"/>
      <c r="G10" s="10" t="inlineStr"/>
      <c r="H10" s="10" t="inlineStr"/>
    </row>
    <row r="11">
      <c r="A11" t="inlineStr">
        <is>
          <t>Necesidad total de caja al arranque</t>
        </is>
      </c>
      <c r="B11" s="14">
        <f>IFERROR('Inversión Inicial'!$B$23,"")</f>
        <v>168405.2256529968</v>
      </c>
      <c r="H11" s="5" t="inlineStr">
        <is>
          <t>Inversión total -CAPEX más fondo de maniobra- y el IVA que hay que adelantar.</t>
        </is>
      </c>
    </row>
    <row r="12">
      <c r="A12" t="inlineStr">
        <is>
          <t>Diferencia (origen menos usos)</t>
        </is>
      </c>
      <c r="B12" s="14">
        <f>IFERROR(B9-B11,"")</f>
        <v>0.00434700318146497</v>
      </c>
      <c r="H12" s="5" t="inlineStr">
        <is>
          <t>En negativo el plan NO está financiado. Muy por encima de cero tampoco es gratis: son intereses que pagas sin necesitarlos.</t>
        </is>
      </c>
    </row>
    <row r="13">
      <c r="A13" t="inlineStr">
        <is>
          <t>Diferencia sobre los usos (%)</t>
        </is>
      </c>
      <c r="B13" s="15">
        <f>IFERROR(B12/B11,"")</f>
        <v>2.5812757084047257e-08</v>
      </c>
    </row>
    <row r="14">
      <c r="A14" t="inlineStr">
        <is>
          <t>Préstamo que ajustaría el origen a la necesidad</t>
        </is>
      </c>
      <c r="B14" s="14">
        <f>IFERROR(MAX(0,B11-B9+B7),"")</f>
        <v>90299.99565299682</v>
      </c>
      <c r="H14" s="5" t="inlineStr">
        <is>
          <t>Cópialo en «Préstamo bancario solicitado» de «0. Supuestos» y la diferencia de arriba se pone a cero. Después mira el DSCR: pedir más siempre se puede, devolverlo no.</t>
        </is>
      </c>
    </row>
    <row r="15">
      <c r="A15" s="4" t="inlineStr">
        <is>
          <t>CONDICIONES DEL PRÉSTAMO</t>
        </is>
      </c>
      <c r="B15" s="10" t="inlineStr"/>
      <c r="C15" s="10" t="inlineStr"/>
      <c r="D15" s="10" t="inlineStr"/>
      <c r="E15" s="10" t="inlineStr"/>
      <c r="F15" s="10" t="inlineStr"/>
      <c r="G15" s="10" t="inlineStr"/>
      <c r="H15" s="10" t="inlineStr"/>
    </row>
    <row r="16">
      <c r="A16" t="inlineStr">
        <is>
          <t>Importe del principal</t>
        </is>
      </c>
      <c r="B16" s="14">
        <f>IFERROR(IF('0. Supuestos'!$B$41=0,"",'0. Supuestos'!$B$41),"")</f>
        <v>90300.0</v>
      </c>
    </row>
    <row r="17">
      <c r="A17" t="inlineStr">
        <is>
          <t>Tipo de interés nominal anual</t>
        </is>
      </c>
      <c r="B17" s="17">
        <f>IFERROR('0. Supuestos'!$B$42,"")</f>
        <v>0.062</v>
      </c>
    </row>
    <row r="18">
      <c r="A18" t="inlineStr">
        <is>
          <t>Tipo mensual</t>
        </is>
      </c>
      <c r="B18" s="38">
        <f>IFERROR(B17/12,"")</f>
        <v>0.005166666666666667</v>
      </c>
    </row>
    <row r="19">
      <c r="A19" t="inlineStr">
        <is>
          <t>Plazo total (meses)</t>
        </is>
      </c>
      <c r="B19" s="26">
        <f>IFERROR('0. Supuestos'!$B$43,"")</f>
        <v>84.0</v>
      </c>
    </row>
    <row r="20">
      <c r="A20" t="inlineStr">
        <is>
          <t>Carencia de principal aplicada (meses)</t>
        </is>
      </c>
      <c r="B20" s="26">
        <f>IFERROR(IF('0. Supuestos'!$B$44&gt;='0. Supuestos'!$B$43,'0. Supuestos'!$B$43-1,'0. Supuestos'!$B$44),"")</f>
        <v>6.0</v>
      </c>
      <c r="H20" s="5" t="inlineStr">
        <is>
          <t>Una carencia igual o mayor que el plazo no existe: la hoja la anula en origen.</t>
        </is>
      </c>
    </row>
    <row r="21">
      <c r="A21" t="inlineStr">
        <is>
          <t>Meses de amortización</t>
        </is>
      </c>
      <c r="B21" s="26">
        <f>IFERROR(B19-B20,"")</f>
        <v>78.0</v>
      </c>
    </row>
    <row r="22">
      <c r="A22" s="22" t="inlineStr">
        <is>
          <t>Cuota mensual durante la amortización</t>
        </is>
      </c>
      <c r="B22" s="24">
        <f>IFERROR(IF(B21&lt;=0,"",IF(B18=0,B16/B21,B16*B18/(1-(1+B18)^(-B21)))),"")</f>
        <v>1409.5414874548753</v>
      </c>
      <c r="C22" s="22" t="n"/>
      <c r="D22" s="22" t="n"/>
      <c r="E22" s="22" t="n"/>
      <c r="F22" s="22" t="n"/>
      <c r="G22" s="22" t="n"/>
      <c r="H22" s="22" t="n"/>
    </row>
    <row r="23" ht="40" customHeight="1">
      <c r="A23" s="5" t="inlineStr">
        <is>
          <t>Sistema francés, escrito como anualidad algebraica: capital x tipo mensual dividido por uno menos (uno más el tipo) elevado a menos el número de cuotas. Con el tipo al 0 % es el principal entre los meses de amortización. No se usa la función PMT: esta familia la tiene prohibida porque no todos los motores de hoja de cálculo la evalúan igual.</t>
        </is>
      </c>
    </row>
    <row r="24"/>
    <row r="25" ht="30" customHeight="1">
      <c r="A25" s="7" t="inlineStr">
        <is>
          <t>Mes</t>
        </is>
      </c>
      <c r="B25" s="7" t="inlineStr">
        <is>
          <t>Capital pendiente (€)</t>
        </is>
      </c>
      <c r="C25" s="7" t="inlineStr">
        <is>
          <t>Intereses (€)</t>
        </is>
      </c>
      <c r="D25" s="7" t="inlineStr">
        <is>
          <t>Amortización de principal (€)</t>
        </is>
      </c>
      <c r="E25" s="7" t="inlineStr">
        <is>
          <t>Cuota total (€)</t>
        </is>
      </c>
      <c r="F25" s="7" t="inlineStr">
        <is>
          <t>Capital al cierre (€)</t>
        </is>
      </c>
      <c r="G25" s="7" t="inlineStr"/>
      <c r="H25" s="7" t="inlineStr">
        <is>
          <t>Notas</t>
        </is>
      </c>
    </row>
    <row r="26">
      <c r="A26" s="39" t="n">
        <v>1</v>
      </c>
      <c r="B26" s="14">
        <f>IFERROR(IF($B$16="","",$B$16),"")</f>
        <v>90300.0</v>
      </c>
      <c r="C26" s="14">
        <f>IFERROR(IF(OR(A26&gt;$B$19,B26=""),"",B26*$B$18),"")</f>
        <v>466.55</v>
      </c>
      <c r="D26" s="14">
        <f>IFERROR(IF(OR(A26&gt;$B$19,B26=""),"",IF(A26&lt;=$B$20,0,MIN(B26,$B$22-C26))),"")</f>
        <v>0.0</v>
      </c>
      <c r="E26" s="14">
        <f>IFERROR(IF(C26="","",C26+D26),"")</f>
        <v>466.55</v>
      </c>
      <c r="F26" s="14">
        <f>IFERROR(IF(D26="","",B26-D26),"")</f>
        <v>90300.0</v>
      </c>
      <c r="H26" s="5" t="inlineStr">
        <is>
          <t>Durante la carencia la columna de amortización vale cero y sólo se pagan intereses. Es lo que hace que el préstamo no se coma la caja en la rampa de arranque, y es lo primero que hay que negociar.</t>
        </is>
      </c>
    </row>
    <row r="27">
      <c r="A27" s="39" t="n">
        <v>2</v>
      </c>
      <c r="B27" s="14">
        <f>IFERROR(IF(OR(A27&gt;$B$19,F26=""),"",F26),"")</f>
        <v>90300.0</v>
      </c>
      <c r="C27" s="14">
        <f>IFERROR(IF(OR(A27&gt;$B$19,B27=""),"",B27*$B$18),"")</f>
        <v>466.55</v>
      </c>
      <c r="D27" s="14">
        <f>IFERROR(IF(OR(A27&gt;$B$19,B27=""),"",IF(A27&lt;=$B$20,0,MIN(B27,$B$22-C27))),"")</f>
        <v>0.0</v>
      </c>
      <c r="E27" s="14">
        <f>IFERROR(IF(C27="","",C27+D27),"")</f>
        <v>466.55</v>
      </c>
      <c r="F27" s="14">
        <f>IFERROR(IF(D27="","",B27-D27),"")</f>
        <v>90300.0</v>
      </c>
    </row>
    <row r="28">
      <c r="A28" s="39" t="n">
        <v>3</v>
      </c>
      <c r="B28" s="14">
        <f>IFERROR(IF(OR(A28&gt;$B$19,F27=""),"",F27),"")</f>
        <v>90300.0</v>
      </c>
      <c r="C28" s="14">
        <f>IFERROR(IF(OR(A28&gt;$B$19,B28=""),"",B28*$B$18),"")</f>
        <v>466.55</v>
      </c>
      <c r="D28" s="14">
        <f>IFERROR(IF(OR(A28&gt;$B$19,B28=""),"",IF(A28&lt;=$B$20,0,MIN(B28,$B$22-C28))),"")</f>
        <v>0.0</v>
      </c>
      <c r="E28" s="14">
        <f>IFERROR(IF(C28="","",C28+D28),"")</f>
        <v>466.55</v>
      </c>
      <c r="F28" s="14">
        <f>IFERROR(IF(D28="","",B28-D28),"")</f>
        <v>90300.0</v>
      </c>
    </row>
    <row r="29">
      <c r="A29" s="39" t="n">
        <v>4</v>
      </c>
      <c r="B29" s="14">
        <f>IFERROR(IF(OR(A29&gt;$B$19,F28=""),"",F28),"")</f>
        <v>90300.0</v>
      </c>
      <c r="C29" s="14">
        <f>IFERROR(IF(OR(A29&gt;$B$19,B29=""),"",B29*$B$18),"")</f>
        <v>466.55</v>
      </c>
      <c r="D29" s="14">
        <f>IFERROR(IF(OR(A29&gt;$B$19,B29=""),"",IF(A29&lt;=$B$20,0,MIN(B29,$B$22-C29))),"")</f>
        <v>0.0</v>
      </c>
      <c r="E29" s="14">
        <f>IFERROR(IF(C29="","",C29+D29),"")</f>
        <v>466.55</v>
      </c>
      <c r="F29" s="14">
        <f>IFERROR(IF(D29="","",B29-D29),"")</f>
        <v>90300.0</v>
      </c>
    </row>
    <row r="30">
      <c r="A30" s="39" t="n">
        <v>5</v>
      </c>
      <c r="B30" s="14">
        <f>IFERROR(IF(OR(A30&gt;$B$19,F29=""),"",F29),"")</f>
        <v>90300.0</v>
      </c>
      <c r="C30" s="14">
        <f>IFERROR(IF(OR(A30&gt;$B$19,B30=""),"",B30*$B$18),"")</f>
        <v>466.55</v>
      </c>
      <c r="D30" s="14">
        <f>IFERROR(IF(OR(A30&gt;$B$19,B30=""),"",IF(A30&lt;=$B$20,0,MIN(B30,$B$22-C30))),"")</f>
        <v>0.0</v>
      </c>
      <c r="E30" s="14">
        <f>IFERROR(IF(C30="","",C30+D30),"")</f>
        <v>466.55</v>
      </c>
      <c r="F30" s="14">
        <f>IFERROR(IF(D30="","",B30-D30),"")</f>
        <v>90300.0</v>
      </c>
    </row>
    <row r="31">
      <c r="A31" s="39" t="n">
        <v>6</v>
      </c>
      <c r="B31" s="14">
        <f>IFERROR(IF(OR(A31&gt;$B$19,F30=""),"",F30),"")</f>
        <v>90300.0</v>
      </c>
      <c r="C31" s="14">
        <f>IFERROR(IF(OR(A31&gt;$B$19,B31=""),"",B31*$B$18),"")</f>
        <v>466.55</v>
      </c>
      <c r="D31" s="14">
        <f>IFERROR(IF(OR(A31&gt;$B$19,B31=""),"",IF(A31&lt;=$B$20,0,MIN(B31,$B$22-C31))),"")</f>
        <v>0.0</v>
      </c>
      <c r="E31" s="14">
        <f>IFERROR(IF(C31="","",C31+D31),"")</f>
        <v>466.55</v>
      </c>
      <c r="F31" s="14">
        <f>IFERROR(IF(D31="","",B31-D31),"")</f>
        <v>90300.0</v>
      </c>
    </row>
    <row r="32">
      <c r="A32" s="39" t="n">
        <v>7</v>
      </c>
      <c r="B32" s="14">
        <f>IFERROR(IF(OR(A32&gt;$B$19,F31=""),"",F31),"")</f>
        <v>90300.0</v>
      </c>
      <c r="C32" s="14">
        <f>IFERROR(IF(OR(A32&gt;$B$19,B32=""),"",B32*$B$18),"")</f>
        <v>466.55</v>
      </c>
      <c r="D32" s="14">
        <f>IFERROR(IF(OR(A32&gt;$B$19,B32=""),"",IF(A32&lt;=$B$20,0,MIN(B32,$B$22-C32))),"")</f>
        <v>942.9914874548754</v>
      </c>
      <c r="E32" s="14">
        <f>IFERROR(IF(C32="","",C32+D32),"")</f>
        <v>1409.5414874548753</v>
      </c>
      <c r="F32" s="14">
        <f>IFERROR(IF(D32="","",B32-D32),"")</f>
        <v>89357.00851254513</v>
      </c>
    </row>
    <row r="33">
      <c r="A33" s="39" t="n">
        <v>8</v>
      </c>
      <c r="B33" s="14">
        <f>IFERROR(IF(OR(A33&gt;$B$19,F32=""),"",F32),"")</f>
        <v>89357.00851254513</v>
      </c>
      <c r="C33" s="14">
        <f>IFERROR(IF(OR(A33&gt;$B$19,B33=""),"",B33*$B$18),"")</f>
        <v>461.6778773148165</v>
      </c>
      <c r="D33" s="14">
        <f>IFERROR(IF(OR(A33&gt;$B$19,B33=""),"",IF(A33&lt;=$B$20,0,MIN(B33,$B$22-C33))),"")</f>
        <v>947.8636101400589</v>
      </c>
      <c r="E33" s="14">
        <f>IFERROR(IF(C33="","",C33+D33),"")</f>
        <v>1409.5414874548753</v>
      </c>
      <c r="F33" s="14">
        <f>IFERROR(IF(D33="","",B33-D33),"")</f>
        <v>88409.14490240507</v>
      </c>
    </row>
    <row r="34">
      <c r="A34" s="39" t="n">
        <v>9</v>
      </c>
      <c r="B34" s="14">
        <f>IFERROR(IF(OR(A34&gt;$B$19,F33=""),"",F33),"")</f>
        <v>88409.14490240507</v>
      </c>
      <c r="C34" s="14">
        <f>IFERROR(IF(OR(A34&gt;$B$19,B34=""),"",B34*$B$18),"")</f>
        <v>456.7805819957595</v>
      </c>
      <c r="D34" s="14">
        <f>IFERROR(IF(OR(A34&gt;$B$19,B34=""),"",IF(A34&lt;=$B$20,0,MIN(B34,$B$22-C34))),"")</f>
        <v>952.7609054591157</v>
      </c>
      <c r="E34" s="14">
        <f>IFERROR(IF(C34="","",C34+D34),"")</f>
        <v>1409.5414874548753</v>
      </c>
      <c r="F34" s="14">
        <f>IFERROR(IF(D34="","",B34-D34),"")</f>
        <v>87456.38399694595</v>
      </c>
    </row>
    <row r="35">
      <c r="A35" s="39" t="n">
        <v>10</v>
      </c>
      <c r="B35" s="14">
        <f>IFERROR(IF(OR(A35&gt;$B$19,F34=""),"",F34),"")</f>
        <v>87456.38399694595</v>
      </c>
      <c r="C35" s="14">
        <f>IFERROR(IF(OR(A35&gt;$B$19,B35=""),"",B35*$B$18),"")</f>
        <v>451.85798398422077</v>
      </c>
      <c r="D35" s="14">
        <f>IFERROR(IF(OR(A35&gt;$B$19,B35=""),"",IF(A35&lt;=$B$20,0,MIN(B35,$B$22-C35))),"")</f>
        <v>957.6835034706546</v>
      </c>
      <c r="E35" s="14">
        <f>IFERROR(IF(C35="","",C35+D35),"")</f>
        <v>1409.5414874548753</v>
      </c>
      <c r="F35" s="14">
        <f>IFERROR(IF(D35="","",B35-D35),"")</f>
        <v>86498.70049347529</v>
      </c>
    </row>
    <row r="36">
      <c r="A36" s="39" t="n">
        <v>11</v>
      </c>
      <c r="B36" s="14">
        <f>IFERROR(IF(OR(A36&gt;$B$19,F35=""),"",F35),"")</f>
        <v>86498.70049347529</v>
      </c>
      <c r="C36" s="14">
        <f>IFERROR(IF(OR(A36&gt;$B$19,B36=""),"",B36*$B$18),"")</f>
        <v>446.90995254962235</v>
      </c>
      <c r="D36" s="14">
        <f>IFERROR(IF(OR(A36&gt;$B$19,B36=""),"",IF(A36&lt;=$B$20,0,MIN(B36,$B$22-C36))),"")</f>
        <v>962.6315349052529</v>
      </c>
      <c r="E36" s="14">
        <f>IFERROR(IF(C36="","",C36+D36),"")</f>
        <v>1409.5414874548753</v>
      </c>
      <c r="F36" s="14">
        <f>IFERROR(IF(D36="","",B36-D36),"")</f>
        <v>85536.06895857005</v>
      </c>
    </row>
    <row r="37">
      <c r="A37" s="39" t="n">
        <v>12</v>
      </c>
      <c r="B37" s="14">
        <f>IFERROR(IF(OR(A37&gt;$B$19,F36=""),"",F36),"")</f>
        <v>85536.06895857005</v>
      </c>
      <c r="C37" s="14">
        <f>IFERROR(IF(OR(A37&gt;$B$19,B37=""),"",B37*$B$18),"")</f>
        <v>441.93635628594524</v>
      </c>
      <c r="D37" s="14">
        <f>IFERROR(IF(OR(A37&gt;$B$19,B37=""),"",IF(A37&lt;=$B$20,0,MIN(B37,$B$22-C37))),"")</f>
        <v>967.60513116893</v>
      </c>
      <c r="E37" s="14">
        <f>IFERROR(IF(C37="","",C37+D37),"")</f>
        <v>1409.5414874548753</v>
      </c>
      <c r="F37" s="14">
        <f>IFERROR(IF(D37="","",B37-D37),"")</f>
        <v>84568.46382740111</v>
      </c>
    </row>
    <row r="38">
      <c r="A38" s="39" t="n">
        <v>13</v>
      </c>
      <c r="B38" s="14">
        <f>IFERROR(IF(OR(A38&gt;$B$19,F37=""),"",F37),"")</f>
        <v>84568.46382740111</v>
      </c>
      <c r="C38" s="14">
        <f>IFERROR(IF(OR(A38&gt;$B$19,B38=""),"",B38*$B$18),"")</f>
        <v>436.93706310823904</v>
      </c>
      <c r="D38" s="14">
        <f>IFERROR(IF(OR(A38&gt;$B$19,B38=""),"",IF(A38&lt;=$B$20,0,MIN(B38,$B$22-C38))),"")</f>
        <v>972.6044243466363</v>
      </c>
      <c r="E38" s="14">
        <f>IFERROR(IF(C38="","",C38+D38),"")</f>
        <v>1409.5414874548753</v>
      </c>
      <c r="F38" s="14">
        <f>IFERROR(IF(D38="","",B38-D38),"")</f>
        <v>83595.85940305448</v>
      </c>
    </row>
    <row r="39">
      <c r="A39" s="39" t="n">
        <v>14</v>
      </c>
      <c r="B39" s="14">
        <f>IFERROR(IF(OR(A39&gt;$B$19,F38=""),"",F38),"")</f>
        <v>83595.85940305448</v>
      </c>
      <c r="C39" s="14">
        <f>IFERROR(IF(OR(A39&gt;$B$19,B39=""),"",B39*$B$18),"")</f>
        <v>431.9119402491148</v>
      </c>
      <c r="D39" s="14">
        <f>IFERROR(IF(OR(A39&gt;$B$19,B39=""),"",IF(A39&lt;=$B$20,0,MIN(B39,$B$22-C39))),"")</f>
        <v>977.6295472057604</v>
      </c>
      <c r="E39" s="14">
        <f>IFERROR(IF(C39="","",C39+D39),"")</f>
        <v>1409.5414874548753</v>
      </c>
      <c r="F39" s="14">
        <f>IFERROR(IF(D39="","",B39-D39),"")</f>
        <v>82618.22985584872</v>
      </c>
    </row>
    <row r="40">
      <c r="A40" s="39" t="n">
        <v>15</v>
      </c>
      <c r="B40" s="14">
        <f>IFERROR(IF(OR(A40&gt;$B$19,F39=""),"",F39),"")</f>
        <v>82618.22985584872</v>
      </c>
      <c r="C40" s="14">
        <f>IFERROR(IF(OR(A40&gt;$B$19,B40=""),"",B40*$B$18),"")</f>
        <v>426.8608542552184</v>
      </c>
      <c r="D40" s="14">
        <f>IFERROR(IF(OR(A40&gt;$B$19,B40=""),"",IF(A40&lt;=$B$20,0,MIN(B40,$B$22-C40))),"")</f>
        <v>982.680633199657</v>
      </c>
      <c r="E40" s="14">
        <f>IFERROR(IF(C40="","",C40+D40),"")</f>
        <v>1409.5414874548753</v>
      </c>
      <c r="F40" s="14">
        <f>IFERROR(IF(D40="","",B40-D40),"")</f>
        <v>81635.54922264906</v>
      </c>
    </row>
    <row r="41">
      <c r="A41" s="39" t="n">
        <v>16</v>
      </c>
      <c r="B41" s="14">
        <f>IFERROR(IF(OR(A41&gt;$B$19,F40=""),"",F40),"")</f>
        <v>81635.54922264906</v>
      </c>
      <c r="C41" s="14">
        <f>IFERROR(IF(OR(A41&gt;$B$19,B41=""),"",B41*$B$18),"")</f>
        <v>421.7836709836868</v>
      </c>
      <c r="D41" s="14">
        <f>IFERROR(IF(OR(A41&gt;$B$19,B41=""),"",IF(A41&lt;=$B$20,0,MIN(B41,$B$22-C41))),"")</f>
        <v>987.7578164711886</v>
      </c>
      <c r="E41" s="14">
        <f>IFERROR(IF(C41="","",C41+D41),"")</f>
        <v>1409.5414874548753</v>
      </c>
      <c r="F41" s="14">
        <f>IFERROR(IF(D41="","",B41-D41),"")</f>
        <v>80647.79140617787</v>
      </c>
    </row>
    <row r="42">
      <c r="A42" s="39" t="n">
        <v>17</v>
      </c>
      <c r="B42" s="14">
        <f>IFERROR(IF(OR(A42&gt;$B$19,F41=""),"",F41),"")</f>
        <v>80647.79140617787</v>
      </c>
      <c r="C42" s="14">
        <f>IFERROR(IF(OR(A42&gt;$B$19,B42=""),"",B42*$B$18),"")</f>
        <v>416.6802555985857</v>
      </c>
      <c r="D42" s="14">
        <f>IFERROR(IF(OR(A42&gt;$B$19,B42=""),"",IF(A42&lt;=$B$20,0,MIN(B42,$B$22-C42))),"")</f>
        <v>992.8612318562896</v>
      </c>
      <c r="E42" s="14">
        <f>IFERROR(IF(C42="","",C42+D42),"")</f>
        <v>1409.5414874548753</v>
      </c>
      <c r="F42" s="14">
        <f>IFERROR(IF(D42="","",B42-D42),"")</f>
        <v>79654.93017432158</v>
      </c>
    </row>
    <row r="43">
      <c r="A43" s="39" t="n">
        <v>18</v>
      </c>
      <c r="B43" s="14">
        <f>IFERROR(IF(OR(A43&gt;$B$19,F42=""),"",F42),"")</f>
        <v>79654.93017432158</v>
      </c>
      <c r="C43" s="14">
        <f>IFERROR(IF(OR(A43&gt;$B$19,B43=""),"",B43*$B$18),"")</f>
        <v>411.55047256732814</v>
      </c>
      <c r="D43" s="14">
        <f>IFERROR(IF(OR(A43&gt;$B$19,B43=""),"",IF(A43&lt;=$B$20,0,MIN(B43,$B$22-C43))),"")</f>
        <v>997.9910148875472</v>
      </c>
      <c r="E43" s="14">
        <f>IFERROR(IF(C43="","",C43+D43),"")</f>
        <v>1409.5414874548753</v>
      </c>
      <c r="F43" s="14">
        <f>IFERROR(IF(D43="","",B43-D43),"")</f>
        <v>78656.93915943403</v>
      </c>
    </row>
    <row r="44">
      <c r="A44" s="39" t="n">
        <v>19</v>
      </c>
      <c r="B44" s="14">
        <f>IFERROR(IF(OR(A44&gt;$B$19,F43=""),"",F43),"")</f>
        <v>78656.93915943403</v>
      </c>
      <c r="C44" s="14">
        <f>IFERROR(IF(OR(A44&gt;$B$19,B44=""),"",B44*$B$18),"")</f>
        <v>406.3941856570758</v>
      </c>
      <c r="D44" s="14">
        <f>IFERROR(IF(OR(A44&gt;$B$19,B44=""),"",IF(A44&lt;=$B$20,0,MIN(B44,$B$22-C44))),"")</f>
        <v>1003.1473017977995</v>
      </c>
      <c r="E44" s="14">
        <f>IFERROR(IF(C44="","",C44+D44),"")</f>
        <v>1409.5414874548753</v>
      </c>
      <c r="F44" s="14">
        <f>IFERROR(IF(D44="","",B44-D44),"")</f>
        <v>77653.79185763623</v>
      </c>
    </row>
    <row r="45">
      <c r="A45" s="39" t="n">
        <v>20</v>
      </c>
      <c r="B45" s="14">
        <f>IFERROR(IF(OR(A45&gt;$B$19,F44=""),"",F44),"")</f>
        <v>77653.79185763623</v>
      </c>
      <c r="C45" s="14">
        <f>IFERROR(IF(OR(A45&gt;$B$19,B45=""),"",B45*$B$18),"")</f>
        <v>401.2112579311205</v>
      </c>
      <c r="D45" s="14">
        <f>IFERROR(IF(OR(A45&gt;$B$19,B45=""),"",IF(A45&lt;=$B$20,0,MIN(B45,$B$22-C45))),"")</f>
        <v>1008.3302295237548</v>
      </c>
      <c r="E45" s="14">
        <f>IFERROR(IF(C45="","",C45+D45),"")</f>
        <v>1409.5414874548753</v>
      </c>
      <c r="F45" s="14">
        <f>IFERROR(IF(D45="","",B45-D45),"")</f>
        <v>76645.46162811248</v>
      </c>
    </row>
    <row r="46">
      <c r="A46" s="39" t="n">
        <v>21</v>
      </c>
      <c r="B46" s="14">
        <f>IFERROR(IF(OR(A46&gt;$B$19,F45=""),"",F45),"")</f>
        <v>76645.46162811248</v>
      </c>
      <c r="C46" s="14">
        <f>IFERROR(IF(OR(A46&gt;$B$19,B46=""),"",B46*$B$18),"")</f>
        <v>396.0015517452478</v>
      </c>
      <c r="D46" s="14">
        <f>IFERROR(IF(OR(A46&gt;$B$19,B46=""),"",IF(A46&lt;=$B$20,0,MIN(B46,$B$22-C46))),"")</f>
        <v>1013.5399357096276</v>
      </c>
      <c r="E46" s="14">
        <f>IFERROR(IF(C46="","",C46+D46),"")</f>
        <v>1409.5414874548753</v>
      </c>
      <c r="F46" s="14">
        <f>IFERROR(IF(D46="","",B46-D46),"")</f>
        <v>75631.92169240284</v>
      </c>
    </row>
    <row r="47">
      <c r="A47" s="39" t="n">
        <v>22</v>
      </c>
      <c r="B47" s="14">
        <f>IFERROR(IF(OR(A47&gt;$B$19,F46=""),"",F46),"")</f>
        <v>75631.92169240284</v>
      </c>
      <c r="C47" s="14">
        <f>IFERROR(IF(OR(A47&gt;$B$19,B47=""),"",B47*$B$18),"")</f>
        <v>390.7649287440814</v>
      </c>
      <c r="D47" s="14">
        <f>IFERROR(IF(OR(A47&gt;$B$19,B47=""),"",IF(A47&lt;=$B$20,0,MIN(B47,$B$22-C47))),"")</f>
        <v>1018.776558710794</v>
      </c>
      <c r="E47" s="14">
        <f>IFERROR(IF(C47="","",C47+D47),"")</f>
        <v>1409.5414874548753</v>
      </c>
      <c r="F47" s="14">
        <f>IFERROR(IF(D47="","",B47-D47),"")</f>
        <v>74613.14513369204</v>
      </c>
    </row>
    <row r="48">
      <c r="A48" s="39" t="n">
        <v>23</v>
      </c>
      <c r="B48" s="14">
        <f>IFERROR(IF(OR(A48&gt;$B$19,F47=""),"",F47),"")</f>
        <v>74613.14513369204</v>
      </c>
      <c r="C48" s="14">
        <f>IFERROR(IF(OR(A48&gt;$B$19,B48=""),"",B48*$B$18),"")</f>
        <v>385.5012498574089</v>
      </c>
      <c r="D48" s="14">
        <f>IFERROR(IF(OR(A48&gt;$B$19,B48=""),"",IF(A48&lt;=$B$20,0,MIN(B48,$B$22-C48))),"")</f>
        <v>1024.0402375974663</v>
      </c>
      <c r="E48" s="14">
        <f>IFERROR(IF(C48="","",C48+D48),"")</f>
        <v>1409.541487454875</v>
      </c>
      <c r="F48" s="14">
        <f>IFERROR(IF(D48="","",B48-D48),"")</f>
        <v>73589.10489609458</v>
      </c>
    </row>
    <row r="49">
      <c r="A49" s="39" t="n">
        <v>24</v>
      </c>
      <c r="B49" s="14">
        <f>IFERROR(IF(OR(A49&gt;$B$19,F48=""),"",F48),"")</f>
        <v>73589.10489609458</v>
      </c>
      <c r="C49" s="14">
        <f>IFERROR(IF(OR(A49&gt;$B$19,B49=""),"",B49*$B$18),"")</f>
        <v>380.2103752964886</v>
      </c>
      <c r="D49" s="14">
        <f>IFERROR(IF(OR(A49&gt;$B$19,B49=""),"",IF(A49&lt;=$B$20,0,MIN(B49,$B$22-C49))),"")</f>
        <v>1029.3311121583868</v>
      </c>
      <c r="E49" s="14">
        <f>IFERROR(IF(C49="","",C49+D49),"")</f>
        <v>1409.5414874548753</v>
      </c>
      <c r="F49" s="14">
        <f>IFERROR(IF(D49="","",B49-D49),"")</f>
        <v>72559.7737839362</v>
      </c>
    </row>
    <row r="50">
      <c r="A50" s="39" t="n">
        <v>25</v>
      </c>
      <c r="B50" s="14">
        <f>IFERROR(IF(OR(A50&gt;$B$19,F49=""),"",F49),"")</f>
        <v>72559.7737839362</v>
      </c>
      <c r="C50" s="14">
        <f>IFERROR(IF(OR(A50&gt;$B$19,B50=""),"",B50*$B$18),"")</f>
        <v>374.892164550337</v>
      </c>
      <c r="D50" s="14">
        <f>IFERROR(IF(OR(A50&gt;$B$19,B50=""),"",IF(A50&lt;=$B$20,0,MIN(B50,$B$22-C50))),"")</f>
        <v>1034.6493229045384</v>
      </c>
      <c r="E50" s="14">
        <f>IFERROR(IF(C50="","",C50+D50),"")</f>
        <v>1409.5414874548753</v>
      </c>
      <c r="F50" s="14">
        <f>IFERROR(IF(D50="","",B50-D50),"")</f>
        <v>71525.12446103165</v>
      </c>
    </row>
    <row r="51">
      <c r="A51" s="39" t="n">
        <v>26</v>
      </c>
      <c r="B51" s="14">
        <f>IFERROR(IF(OR(A51&gt;$B$19,F50=""),"",F50),"")</f>
        <v>71525.12446103165</v>
      </c>
      <c r="C51" s="14">
        <f>IFERROR(IF(OR(A51&gt;$B$19,B51=""),"",B51*$B$18),"")</f>
        <v>369.54647638199685</v>
      </c>
      <c r="D51" s="14">
        <f>IFERROR(IF(OR(A51&gt;$B$19,B51=""),"",IF(A51&lt;=$B$20,0,MIN(B51,$B$22-C51))),"")</f>
        <v>1039.9950110728785</v>
      </c>
      <c r="E51" s="14">
        <f>IFERROR(IF(C51="","",C51+D51),"")</f>
        <v>1409.5414874548753</v>
      </c>
      <c r="F51" s="14">
        <f>IFERROR(IF(D51="","",B51-D51),"")</f>
        <v>70485.12944995877</v>
      </c>
    </row>
    <row r="52">
      <c r="A52" s="39" t="n">
        <v>27</v>
      </c>
      <c r="B52" s="14">
        <f>IFERROR(IF(OR(A52&gt;$B$19,F51=""),"",F51),"")</f>
        <v>70485.12944995877</v>
      </c>
      <c r="C52" s="14">
        <f>IFERROR(IF(OR(A52&gt;$B$19,B52=""),"",B52*$B$18),"")</f>
        <v>364.17316882478696</v>
      </c>
      <c r="D52" s="14">
        <f>IFERROR(IF(OR(A52&gt;$B$19,B52=""),"",IF(A52&lt;=$B$20,0,MIN(B52,$B$22-C52))),"")</f>
        <v>1045.3683186300884</v>
      </c>
      <c r="E52" s="14">
        <f>IFERROR(IF(C52="","",C52+D52),"")</f>
        <v>1409.5414874548753</v>
      </c>
      <c r="F52" s="14">
        <f>IFERROR(IF(D52="","",B52-D52),"")</f>
        <v>69439.76113132868</v>
      </c>
    </row>
    <row r="53">
      <c r="A53" s="39" t="n">
        <v>28</v>
      </c>
      <c r="B53" s="14">
        <f>IFERROR(IF(OR(A53&gt;$B$19,F52=""),"",F52),"")</f>
        <v>69439.76113132868</v>
      </c>
      <c r="C53" s="14">
        <f>IFERROR(IF(OR(A53&gt;$B$19,B53=""),"",B53*$B$18),"")</f>
        <v>358.7720991785315</v>
      </c>
      <c r="D53" s="14">
        <f>IFERROR(IF(OR(A53&gt;$B$19,B53=""),"",IF(A53&lt;=$B$20,0,MIN(B53,$B$22-C53))),"")</f>
        <v>1050.7693882763438</v>
      </c>
      <c r="E53" s="14">
        <f>IFERROR(IF(C53="","",C53+D53),"")</f>
        <v>1409.5414874548753</v>
      </c>
      <c r="F53" s="14">
        <f>IFERROR(IF(D53="","",B53-D53),"")</f>
        <v>68388.99174305233</v>
      </c>
    </row>
    <row r="54">
      <c r="A54" s="39" t="n">
        <v>29</v>
      </c>
      <c r="B54" s="14">
        <f>IFERROR(IF(OR(A54&gt;$B$19,F53=""),"",F53),"")</f>
        <v>68388.99174305233</v>
      </c>
      <c r="C54" s="14">
        <f>IFERROR(IF(OR(A54&gt;$B$19,B54=""),"",B54*$B$18),"")</f>
        <v>353.3431240057704</v>
      </c>
      <c r="D54" s="14">
        <f>IFERROR(IF(OR(A54&gt;$B$19,B54=""),"",IF(A54&lt;=$B$20,0,MIN(B54,$B$22-C54))),"")</f>
        <v>1056.1983634491048</v>
      </c>
      <c r="E54" s="14">
        <f>IFERROR(IF(C54="","",C54+D54),"")</f>
        <v>1409.541487454875</v>
      </c>
      <c r="F54" s="14">
        <f>IFERROR(IF(D54="","",B54-D54),"")</f>
        <v>67332.79337960323</v>
      </c>
    </row>
    <row r="55">
      <c r="A55" s="39" t="n">
        <v>30</v>
      </c>
      <c r="B55" s="14">
        <f>IFERROR(IF(OR(A55&gt;$B$19,F54=""),"",F54),"")</f>
        <v>67332.79337960323</v>
      </c>
      <c r="C55" s="14">
        <f>IFERROR(IF(OR(A55&gt;$B$19,B55=""),"",B55*$B$18),"")</f>
        <v>347.88609912795005</v>
      </c>
      <c r="D55" s="14">
        <f>IFERROR(IF(OR(A55&gt;$B$19,B55=""),"",IF(A55&lt;=$B$20,0,MIN(B55,$B$22-C55))),"")</f>
        <v>1061.6553883269253</v>
      </c>
      <c r="E55" s="14">
        <f>IFERROR(IF(C55="","",C55+D55),"")</f>
        <v>1409.5414874548753</v>
      </c>
      <c r="F55" s="14">
        <f>IFERROR(IF(D55="","",B55-D55),"")</f>
        <v>66271.13799127631</v>
      </c>
    </row>
    <row r="56">
      <c r="A56" s="39" t="n">
        <v>31</v>
      </c>
      <c r="B56" s="14">
        <f>IFERROR(IF(OR(A56&gt;$B$19,F55=""),"",F55),"")</f>
        <v>66271.13799127631</v>
      </c>
      <c r="C56" s="14">
        <f>IFERROR(IF(OR(A56&gt;$B$19,B56=""),"",B56*$B$18),"")</f>
        <v>342.40087962159424</v>
      </c>
      <c r="D56" s="14">
        <f>IFERROR(IF(OR(A56&gt;$B$19,B56=""),"",IF(A56&lt;=$B$20,0,MIN(B56,$B$22-C56))),"")</f>
        <v>1067.1406078332811</v>
      </c>
      <c r="E56" s="14">
        <f>IFERROR(IF(C56="","",C56+D56),"")</f>
        <v>1409.5414874548753</v>
      </c>
      <c r="F56" s="14">
        <f>IFERROR(IF(D56="","",B56-D56),"")</f>
        <v>65203.99738344303</v>
      </c>
    </row>
    <row r="57">
      <c r="A57" s="39" t="n">
        <v>32</v>
      </c>
      <c r="B57" s="14">
        <f>IFERROR(IF(OR(A57&gt;$B$19,F56=""),"",F56),"")</f>
        <v>65203.99738344303</v>
      </c>
      <c r="C57" s="14">
        <f>IFERROR(IF(OR(A57&gt;$B$19,B57=""),"",B57*$B$18),"")</f>
        <v>336.8873198144556</v>
      </c>
      <c r="D57" s="14">
        <f>IFERROR(IF(OR(A57&gt;$B$19,B57=""),"",IF(A57&lt;=$B$20,0,MIN(B57,$B$22-C57))),"")</f>
        <v>1072.6541676404197</v>
      </c>
      <c r="E57" s="14">
        <f>IFERROR(IF(C57="","",C57+D57),"")</f>
        <v>1409.5414874548753</v>
      </c>
      <c r="F57" s="14">
        <f>IFERROR(IF(D57="","",B57-D57),"")</f>
        <v>64131.343215802604</v>
      </c>
    </row>
    <row r="58">
      <c r="A58" s="39" t="n">
        <v>33</v>
      </c>
      <c r="B58" s="14">
        <f>IFERROR(IF(OR(A58&gt;$B$19,F57=""),"",F57),"")</f>
        <v>64131.343215802604</v>
      </c>
      <c r="C58" s="14">
        <f>IFERROR(IF(OR(A58&gt;$B$19,B58=""),"",B58*$B$18),"")</f>
        <v>331.34527328164677</v>
      </c>
      <c r="D58" s="14">
        <f>IFERROR(IF(OR(A58&gt;$B$19,B58=""),"",IF(A58&lt;=$B$20,0,MIN(B58,$B$22-C58))),"")</f>
        <v>1078.1962141732286</v>
      </c>
      <c r="E58" s="14">
        <f>IFERROR(IF(C58="","",C58+D58),"")</f>
        <v>1409.5414874548753</v>
      </c>
      <c r="F58" s="14">
        <f>IFERROR(IF(D58="","",B58-D58),"")</f>
        <v>63053.147001629375</v>
      </c>
    </row>
    <row r="59">
      <c r="A59" s="39" t="n">
        <v>34</v>
      </c>
      <c r="B59" s="14">
        <f>IFERROR(IF(OR(A59&gt;$B$19,F58=""),"",F58),"")</f>
        <v>63053.147001629375</v>
      </c>
      <c r="C59" s="14">
        <f>IFERROR(IF(OR(A59&gt;$B$19,B59=""),"",B59*$B$18),"")</f>
        <v>325.77459284175177</v>
      </c>
      <c r="D59" s="14">
        <f>IFERROR(IF(OR(A59&gt;$B$19,B59=""),"",IF(A59&lt;=$B$20,0,MIN(B59,$B$22-C59))),"")</f>
        <v>1083.7668946131234</v>
      </c>
      <c r="E59" s="14">
        <f>IFERROR(IF(C59="","",C59+D59),"")</f>
        <v>1409.541487454875</v>
      </c>
      <c r="F59" s="14">
        <f>IFERROR(IF(D59="","",B59-D59),"")</f>
        <v>61969.38010701625</v>
      </c>
    </row>
    <row r="60">
      <c r="A60" s="39" t="n">
        <v>35</v>
      </c>
      <c r="B60" s="14">
        <f>IFERROR(IF(OR(A60&gt;$B$19,F59=""),"",F59),"")</f>
        <v>61969.38010701625</v>
      </c>
      <c r="C60" s="14">
        <f>IFERROR(IF(OR(A60&gt;$B$19,B60=""),"",B60*$B$18),"")</f>
        <v>320.1751305529173</v>
      </c>
      <c r="D60" s="14">
        <f>IFERROR(IF(OR(A60&gt;$B$19,B60=""),"",IF(A60&lt;=$B$20,0,MIN(B60,$B$22-C60))),"")</f>
        <v>1089.366356901958</v>
      </c>
      <c r="E60" s="14">
        <f>IFERROR(IF(C60="","",C60+D60),"")</f>
        <v>1409.5414874548753</v>
      </c>
      <c r="F60" s="14">
        <f>IFERROR(IF(D60="","",B60-D60),"")</f>
        <v>60880.013750114296</v>
      </c>
    </row>
    <row r="61">
      <c r="A61" s="39" t="n">
        <v>36</v>
      </c>
      <c r="B61" s="14">
        <f>IFERROR(IF(OR(A61&gt;$B$19,F60=""),"",F60),"")</f>
        <v>60880.013750114296</v>
      </c>
      <c r="C61" s="14">
        <f>IFERROR(IF(OR(A61&gt;$B$19,B61=""),"",B61*$B$18),"")</f>
        <v>314.54673770892384</v>
      </c>
      <c r="D61" s="14">
        <f>IFERROR(IF(OR(A61&gt;$B$19,B61=""),"",IF(A61&lt;=$B$20,0,MIN(B61,$B$22-C61))),"")</f>
        <v>1094.9947497459516</v>
      </c>
      <c r="E61" s="14">
        <f>IFERROR(IF(C61="","",C61+D61),"")</f>
        <v>1409.5414874548756</v>
      </c>
      <c r="F61" s="14">
        <f>IFERROR(IF(D61="","",B61-D61),"")</f>
        <v>59785.019000368346</v>
      </c>
    </row>
    <row r="62">
      <c r="A62" s="39" t="n">
        <v>37</v>
      </c>
      <c r="B62" s="14">
        <f>IFERROR(IF(OR(A62&gt;$B$19,F61=""),"",F61),"")</f>
        <v>59785.019000368346</v>
      </c>
      <c r="C62" s="14">
        <f>IFERROR(IF(OR(A62&gt;$B$19,B62=""),"",B62*$B$18),"")</f>
        <v>308.8892648352365</v>
      </c>
      <c r="D62" s="14">
        <f>IFERROR(IF(OR(A62&gt;$B$19,B62=""),"",IF(A62&lt;=$B$20,0,MIN(B62,$B$22-C62))),"")</f>
        <v>1100.652222619639</v>
      </c>
      <c r="E62" s="14">
        <f>IFERROR(IF(C62="","",C62+D62),"")</f>
        <v>1409.5414874548753</v>
      </c>
      <c r="F62" s="14">
        <f>IFERROR(IF(D62="","",B62-D62),"")</f>
        <v>58684.366777748706</v>
      </c>
    </row>
    <row r="63">
      <c r="A63" s="39" t="n">
        <v>38</v>
      </c>
      <c r="B63" s="14">
        <f>IFERROR(IF(OR(A63&gt;$B$19,F62=""),"",F62),"")</f>
        <v>58684.366777748706</v>
      </c>
      <c r="C63" s="14">
        <f>IFERROR(IF(OR(A63&gt;$B$19,B63=""),"",B63*$B$18),"")</f>
        <v>303.202561685035</v>
      </c>
      <c r="D63" s="14">
        <f>IFERROR(IF(OR(A63&gt;$B$19,B63=""),"",IF(A63&lt;=$B$20,0,MIN(B63,$B$22-C63))),"")</f>
        <v>1106.3389257698404</v>
      </c>
      <c r="E63" s="14">
        <f>IFERROR(IF(C63="","",C63+D63),"")</f>
        <v>1409.5414874548756</v>
      </c>
      <c r="F63" s="14">
        <f>IFERROR(IF(D63="","",B63-D63),"")</f>
        <v>57578.02785197886</v>
      </c>
    </row>
    <row r="64">
      <c r="A64" s="39" t="n">
        <v>39</v>
      </c>
      <c r="B64" s="14">
        <f>IFERROR(IF(OR(A64&gt;$B$19,F63=""),"",F63),"")</f>
        <v>57578.02785197886</v>
      </c>
      <c r="C64" s="14">
        <f>IFERROR(IF(OR(A64&gt;$B$19,B64=""),"",B64*$B$18),"")</f>
        <v>297.48647723522413</v>
      </c>
      <c r="D64" s="14">
        <f>IFERROR(IF(OR(A64&gt;$B$19,B64=""),"",IF(A64&lt;=$B$20,0,MIN(B64,$B$22-C64))),"")</f>
        <v>1112.0550102196512</v>
      </c>
      <c r="E64" s="14">
        <f>IFERROR(IF(C64="","",C64+D64),"")</f>
        <v>1409.5414874548753</v>
      </c>
      <c r="F64" s="14">
        <f>IFERROR(IF(D64="","",B64-D64),"")</f>
        <v>56465.97284175921</v>
      </c>
    </row>
    <row r="65">
      <c r="A65" s="39" t="n">
        <v>40</v>
      </c>
      <c r="B65" s="14">
        <f>IFERROR(IF(OR(A65&gt;$B$19,F64=""),"",F64),"")</f>
        <v>56465.97284175921</v>
      </c>
      <c r="C65" s="14">
        <f>IFERROR(IF(OR(A65&gt;$B$19,B65=""),"",B65*$B$18),"")</f>
        <v>291.7408596824226</v>
      </c>
      <c r="D65" s="14">
        <f>IFERROR(IF(OR(A65&gt;$B$19,B65=""),"",IF(A65&lt;=$B$20,0,MIN(B65,$B$22-C65))),"")</f>
        <v>1117.8006277724528</v>
      </c>
      <c r="E65" s="14">
        <f>IFERROR(IF(C65="","",C65+D65),"")</f>
        <v>1409.5414874548753</v>
      </c>
      <c r="F65" s="14">
        <f>IFERROR(IF(D65="","",B65-D65),"")</f>
        <v>55348.172213986756</v>
      </c>
    </row>
    <row r="66">
      <c r="A66" s="39" t="n">
        <v>41</v>
      </c>
      <c r="B66" s="14">
        <f>IFERROR(IF(OR(A66&gt;$B$19,F65=""),"",F65),"")</f>
        <v>55348.172213986756</v>
      </c>
      <c r="C66" s="14">
        <f>IFERROR(IF(OR(A66&gt;$B$19,B66=""),"",B66*$B$18),"")</f>
        <v>285.96555643893157</v>
      </c>
      <c r="D66" s="14">
        <f>IFERROR(IF(OR(A66&gt;$B$19,B66=""),"",IF(A66&lt;=$B$20,0,MIN(B66,$B$22-C66))),"")</f>
        <v>1123.5759310159438</v>
      </c>
      <c r="E66" s="14">
        <f>IFERROR(IF(C66="","",C66+D66),"")</f>
        <v>1409.5414874548753</v>
      </c>
      <c r="F66" s="14">
        <f>IFERROR(IF(D66="","",B66-D66),"")</f>
        <v>54224.596282970815</v>
      </c>
    </row>
    <row r="67">
      <c r="A67" s="39" t="n">
        <v>42</v>
      </c>
      <c r="B67" s="14">
        <f>IFERROR(IF(OR(A67&gt;$B$19,F66=""),"",F66),"")</f>
        <v>54224.596282970815</v>
      </c>
      <c r="C67" s="14">
        <f>IFERROR(IF(OR(A67&gt;$B$19,B67=""),"",B67*$B$18),"")</f>
        <v>280.16041412868253</v>
      </c>
      <c r="D67" s="14">
        <f>IFERROR(IF(OR(A67&gt;$B$19,B67=""),"",IF(A67&lt;=$B$20,0,MIN(B67,$B$22-C67))),"")</f>
        <v>1129.3810733261928</v>
      </c>
      <c r="E67" s="14">
        <f>IFERROR(IF(C67="","",C67+D67),"")</f>
        <v>1409.5414874548753</v>
      </c>
      <c r="F67" s="14">
        <f>IFERROR(IF(D67="","",B67-D67),"")</f>
        <v>53095.21520964462</v>
      </c>
    </row>
    <row r="68">
      <c r="A68" s="39" t="n">
        <v>43</v>
      </c>
      <c r="B68" s="14">
        <f>IFERROR(IF(OR(A68&gt;$B$19,F67=""),"",F67),"")</f>
        <v>53095.21520964462</v>
      </c>
      <c r="C68" s="14">
        <f>IFERROR(IF(OR(A68&gt;$B$19,B68=""),"",B68*$B$18),"")</f>
        <v>274.3252785831639</v>
      </c>
      <c r="D68" s="14">
        <f>IFERROR(IF(OR(A68&gt;$B$19,B68=""),"",IF(A68&lt;=$B$20,0,MIN(B68,$B$22-C68))),"")</f>
        <v>1135.2162088717114</v>
      </c>
      <c r="E68" s="14">
        <f>IFERROR(IF(C68="","",C68+D68),"")</f>
        <v>1409.5414874548753</v>
      </c>
      <c r="F68" s="14">
        <f>IFERROR(IF(D68="","",B68-D68),"")</f>
        <v>51959.999000772914</v>
      </c>
    </row>
    <row r="69">
      <c r="A69" s="39" t="n">
        <v>44</v>
      </c>
      <c r="B69" s="14">
        <f>IFERROR(IF(OR(A69&gt;$B$19,F68=""),"",F68),"")</f>
        <v>51959.999000772914</v>
      </c>
      <c r="C69" s="14">
        <f>IFERROR(IF(OR(A69&gt;$B$19,B69=""),"",B69*$B$18),"")</f>
        <v>268.45999483732675</v>
      </c>
      <c r="D69" s="14">
        <f>IFERROR(IF(OR(A69&gt;$B$19,B69=""),"",IF(A69&lt;=$B$20,0,MIN(B69,$B$22-C69))),"")</f>
        <v>1141.0814926175485</v>
      </c>
      <c r="E69" s="14">
        <f>IFERROR(IF(C69="","",C69+D69),"")</f>
        <v>1409.5414874548753</v>
      </c>
      <c r="F69" s="14">
        <f>IFERROR(IF(D69="","",B69-D69),"")</f>
        <v>50818.91750815536</v>
      </c>
    </row>
    <row r="70">
      <c r="A70" s="39" t="n">
        <v>45</v>
      </c>
      <c r="B70" s="14">
        <f>IFERROR(IF(OR(A70&gt;$B$19,F69=""),"",F69),"")</f>
        <v>50818.91750815536</v>
      </c>
      <c r="C70" s="14">
        <f>IFERROR(IF(OR(A70&gt;$B$19,B70=""),"",B70*$B$18),"")</f>
        <v>262.56440712546936</v>
      </c>
      <c r="D70" s="14">
        <f>IFERROR(IF(OR(A70&gt;$B$19,B70=""),"",IF(A70&lt;=$B$20,0,MIN(B70,$B$22-C70))),"")</f>
        <v>1146.977080329406</v>
      </c>
      <c r="E70" s="14">
        <f>IFERROR(IF(C70="","",C70+D70),"")</f>
        <v>1409.5414874548753</v>
      </c>
      <c r="F70" s="14">
        <f>IFERROR(IF(D70="","",B70-D70),"")</f>
        <v>49671.94042782595</v>
      </c>
    </row>
    <row r="71">
      <c r="A71" s="39" t="n">
        <v>46</v>
      </c>
      <c r="B71" s="14">
        <f>IFERROR(IF(OR(A71&gt;$B$19,F70=""),"",F70),"")</f>
        <v>49671.94042782595</v>
      </c>
      <c r="C71" s="14">
        <f>IFERROR(IF(OR(A71&gt;$B$19,B71=""),"",B71*$B$18),"")</f>
        <v>256.63835887710076</v>
      </c>
      <c r="D71" s="14">
        <f>IFERROR(IF(OR(A71&gt;$B$19,B71=""),"",IF(A71&lt;=$B$20,0,MIN(B71,$B$22-C71))),"")</f>
        <v>1152.9031285777746</v>
      </c>
      <c r="E71" s="14">
        <f>IFERROR(IF(C71="","",C71+D71),"")</f>
        <v>1409.5414874548753</v>
      </c>
      <c r="F71" s="14">
        <f>IFERROR(IF(D71="","",B71-D71),"")</f>
        <v>48519.03729924818</v>
      </c>
    </row>
    <row r="72">
      <c r="A72" s="39" t="n">
        <v>47</v>
      </c>
      <c r="B72" s="14">
        <f>IFERROR(IF(OR(A72&gt;$B$19,F71=""),"",F71),"")</f>
        <v>48519.03729924818</v>
      </c>
      <c r="C72" s="14">
        <f>IFERROR(IF(OR(A72&gt;$B$19,B72=""),"",B72*$B$18),"")</f>
        <v>250.68169271278225</v>
      </c>
      <c r="D72" s="14">
        <f>IFERROR(IF(OR(A72&gt;$B$19,B72=""),"",IF(A72&lt;=$B$20,0,MIN(B72,$B$22-C72))),"")</f>
        <v>1158.859794742093</v>
      </c>
      <c r="E72" s="14">
        <f>IFERROR(IF(C72="","",C72+D72),"")</f>
        <v>1409.5414874548753</v>
      </c>
      <c r="F72" s="14">
        <f>IFERROR(IF(D72="","",B72-D72),"")</f>
        <v>47360.177504506086</v>
      </c>
    </row>
    <row r="73">
      <c r="A73" s="39" t="n">
        <v>48</v>
      </c>
      <c r="B73" s="14">
        <f>IFERROR(IF(OR(A73&gt;$B$19,F72=""),"",F72),"")</f>
        <v>47360.177504506086</v>
      </c>
      <c r="C73" s="14">
        <f>IFERROR(IF(OR(A73&gt;$B$19,B73=""),"",B73*$B$18),"")</f>
        <v>244.69425043994812</v>
      </c>
      <c r="D73" s="14">
        <f>IFERROR(IF(OR(A73&gt;$B$19,B73=""),"",IF(A73&lt;=$B$20,0,MIN(B73,$B$22-C73))),"")</f>
        <v>1164.8472370149273</v>
      </c>
      <c r="E73" s="14">
        <f>IFERROR(IF(C73="","",C73+D73),"")</f>
        <v>1409.5414874548753</v>
      </c>
      <c r="F73" s="14">
        <f>IFERROR(IF(D73="","",B73-D73),"")</f>
        <v>46195.33026749116</v>
      </c>
    </row>
    <row r="74">
      <c r="A74" s="39" t="n">
        <v>49</v>
      </c>
      <c r="B74" s="14">
        <f>IFERROR(IF(OR(A74&gt;$B$19,F73=""),"",F73),"")</f>
        <v>46195.33026749116</v>
      </c>
      <c r="C74" s="14">
        <f>IFERROR(IF(OR(A74&gt;$B$19,B74=""),"",B74*$B$18),"")</f>
        <v>238.67587304870432</v>
      </c>
      <c r="D74" s="14">
        <f>IFERROR(IF(OR(A74&gt;$B$19,B74=""),"",IF(A74&lt;=$B$20,0,MIN(B74,$B$22-C74))),"")</f>
        <v>1170.865614406171</v>
      </c>
      <c r="E74" s="14">
        <f>IFERROR(IF(C74="","",C74+D74),"")</f>
        <v>1409.5414874548753</v>
      </c>
      <c r="F74" s="14">
        <f>IFERROR(IF(D74="","",B74-D74),"")</f>
        <v>45024.46465308499</v>
      </c>
    </row>
    <row r="75">
      <c r="A75" s="39" t="n">
        <v>50</v>
      </c>
      <c r="B75" s="14">
        <f>IFERROR(IF(OR(A75&gt;$B$19,F74=""),"",F74),"")</f>
        <v>45024.46465308499</v>
      </c>
      <c r="C75" s="14">
        <f>IFERROR(IF(OR(A75&gt;$B$19,B75=""),"",B75*$B$18),"")</f>
        <v>232.6264007076058</v>
      </c>
      <c r="D75" s="14">
        <f>IFERROR(IF(OR(A75&gt;$B$19,B75=""),"",IF(A75&lt;=$B$20,0,MIN(B75,$B$22-C75))),"")</f>
        <v>1176.9150867472695</v>
      </c>
      <c r="E75" s="14">
        <f>IFERROR(IF(C75="","",C75+D75),"")</f>
        <v>1409.5414874548753</v>
      </c>
      <c r="F75" s="14">
        <f>IFERROR(IF(D75="","",B75-D75),"")</f>
        <v>43847.54956633772</v>
      </c>
    </row>
    <row r="76">
      <c r="A76" s="39" t="n">
        <v>51</v>
      </c>
      <c r="B76" s="14">
        <f>IFERROR(IF(OR(A76&gt;$B$19,F75=""),"",F75),"")</f>
        <v>43847.54956633772</v>
      </c>
      <c r="C76" s="14">
        <f>IFERROR(IF(OR(A76&gt;$B$19,B76=""),"",B76*$B$18),"")</f>
        <v>226.54567275941156</v>
      </c>
      <c r="D76" s="14">
        <f>IFERROR(IF(OR(A76&gt;$B$19,B76=""),"",IF(A76&lt;=$B$20,0,MIN(B76,$B$22-C76))),"")</f>
        <v>1182.9958146954637</v>
      </c>
      <c r="E76" s="14">
        <f>IFERROR(IF(C76="","",C76+D76),"")</f>
        <v>1409.541487454875</v>
      </c>
      <c r="F76" s="14">
        <f>IFERROR(IF(D76="","",B76-D76),"")</f>
        <v>42664.553751642256</v>
      </c>
    </row>
    <row r="77">
      <c r="A77" s="39" t="n">
        <v>52</v>
      </c>
      <c r="B77" s="14">
        <f>IFERROR(IF(OR(A77&gt;$B$19,F76=""),"",F76),"")</f>
        <v>42664.553751642256</v>
      </c>
      <c r="C77" s="14">
        <f>IFERROR(IF(OR(A77&gt;$B$19,B77=""),"",B77*$B$18),"")</f>
        <v>220.43352771681833</v>
      </c>
      <c r="D77" s="14">
        <f>IFERROR(IF(OR(A77&gt;$B$19,B77=""),"",IF(A77&lt;=$B$20,0,MIN(B77,$B$22-C77))),"")</f>
        <v>1189.107959738057</v>
      </c>
      <c r="E77" s="14">
        <f>IFERROR(IF(C77="","",C77+D77),"")</f>
        <v>1409.5414874548753</v>
      </c>
      <c r="F77" s="14">
        <f>IFERROR(IF(D77="","",B77-D77),"")</f>
        <v>41475.445791904196</v>
      </c>
    </row>
    <row r="78">
      <c r="A78" s="39" t="n">
        <v>53</v>
      </c>
      <c r="B78" s="14">
        <f>IFERROR(IF(OR(A78&gt;$B$19,F77=""),"",F77),"")</f>
        <v>41475.445791904196</v>
      </c>
      <c r="C78" s="14">
        <f>IFERROR(IF(OR(A78&gt;$B$19,B78=""),"",B78*$B$18),"")</f>
        <v>214.28980325817167</v>
      </c>
      <c r="D78" s="14">
        <f>IFERROR(IF(OR(A78&gt;$B$19,B78=""),"",IF(A78&lt;=$B$20,0,MIN(B78,$B$22-C78))),"")</f>
        <v>1195.2516841967035</v>
      </c>
      <c r="E78" s="14">
        <f>IFERROR(IF(C78="","",C78+D78),"")</f>
        <v>1409.541487454875</v>
      </c>
      <c r="F78" s="14">
        <f>IFERROR(IF(D78="","",B78-D78),"")</f>
        <v>40280.194107707495</v>
      </c>
    </row>
    <row r="79">
      <c r="A79" s="39" t="n">
        <v>54</v>
      </c>
      <c r="B79" s="14">
        <f>IFERROR(IF(OR(A79&gt;$B$19,F78=""),"",F78),"")</f>
        <v>40280.194107707495</v>
      </c>
      <c r="C79" s="14">
        <f>IFERROR(IF(OR(A79&gt;$B$19,B79=""),"",B79*$B$18),"")</f>
        <v>208.1143362231554</v>
      </c>
      <c r="D79" s="14">
        <f>IFERROR(IF(OR(A79&gt;$B$19,B79=""),"",IF(A79&lt;=$B$20,0,MIN(B79,$B$22-C79))),"")</f>
        <v>1201.42715123172</v>
      </c>
      <c r="E79" s="14">
        <f>IFERROR(IF(C79="","",C79+D79),"")</f>
        <v>1409.5414874548753</v>
      </c>
      <c r="F79" s="14">
        <f>IFERROR(IF(D79="","",B79-D79),"")</f>
        <v>39078.766956475774</v>
      </c>
    </row>
    <row r="80">
      <c r="A80" s="39" t="n">
        <v>55</v>
      </c>
      <c r="B80" s="14">
        <f>IFERROR(IF(OR(A80&gt;$B$19,F79=""),"",F79),"")</f>
        <v>39078.766956475774</v>
      </c>
      <c r="C80" s="14">
        <f>IFERROR(IF(OR(A80&gt;$B$19,B80=""),"",B80*$B$18),"")</f>
        <v>201.90696260845817</v>
      </c>
      <c r="D80" s="14">
        <f>IFERROR(IF(OR(A80&gt;$B$19,B80=""),"",IF(A80&lt;=$B$20,0,MIN(B80,$B$22-C80))),"")</f>
        <v>1207.6345248464172</v>
      </c>
      <c r="E80" s="14">
        <f>IFERROR(IF(C80="","",C80+D80),"")</f>
        <v>1409.5414874548753</v>
      </c>
      <c r="F80" s="14">
        <f>IFERROR(IF(D80="","",B80-D80),"")</f>
        <v>37871.132431629354</v>
      </c>
    </row>
    <row r="81">
      <c r="A81" s="39" t="n">
        <v>56</v>
      </c>
      <c r="B81" s="14">
        <f>IFERROR(IF(OR(A81&gt;$B$19,F80=""),"",F80),"")</f>
        <v>37871.132431629354</v>
      </c>
      <c r="C81" s="14">
        <f>IFERROR(IF(OR(A81&gt;$B$19,B81=""),"",B81*$B$18),"")</f>
        <v>195.66751756341833</v>
      </c>
      <c r="D81" s="14">
        <f>IFERROR(IF(OR(A81&gt;$B$19,B81=""),"",IF(A81&lt;=$B$20,0,MIN(B81,$B$22-C81))),"")</f>
        <v>1213.873969891457</v>
      </c>
      <c r="E81" s="14">
        <f>IFERROR(IF(C81="","",C81+D81),"")</f>
        <v>1409.5414874548753</v>
      </c>
      <c r="F81" s="14">
        <f>IFERROR(IF(D81="","",B81-D81),"")</f>
        <v>36657.258461737896</v>
      </c>
    </row>
    <row r="82">
      <c r="A82" s="39" t="n">
        <v>57</v>
      </c>
      <c r="B82" s="14">
        <f>IFERROR(IF(OR(A82&gt;$B$19,F81=""),"",F81),"")</f>
        <v>36657.258461737896</v>
      </c>
      <c r="C82" s="14">
        <f>IFERROR(IF(OR(A82&gt;$B$19,B82=""),"",B82*$B$18),"")</f>
        <v>189.3958353856458</v>
      </c>
      <c r="D82" s="14">
        <f>IFERROR(IF(OR(A82&gt;$B$19,B82=""),"",IF(A82&lt;=$B$20,0,MIN(B82,$B$22-C82))),"")</f>
        <v>1220.1456520692295</v>
      </c>
      <c r="E82" s="14">
        <f>IFERROR(IF(C82="","",C82+D82),"")</f>
        <v>1409.5414874548753</v>
      </c>
      <c r="F82" s="14">
        <f>IFERROR(IF(D82="","",B82-D82),"")</f>
        <v>35437.112809668666</v>
      </c>
    </row>
    <row r="83">
      <c r="A83" s="39" t="n">
        <v>58</v>
      </c>
      <c r="B83" s="14">
        <f>IFERROR(IF(OR(A83&gt;$B$19,F82=""),"",F82),"")</f>
        <v>35437.112809668666</v>
      </c>
      <c r="C83" s="14">
        <f>IFERROR(IF(OR(A83&gt;$B$19,B83=""),"",B83*$B$18),"")</f>
        <v>183.09174951662143</v>
      </c>
      <c r="D83" s="14">
        <f>IFERROR(IF(OR(A83&gt;$B$19,B83=""),"",IF(A83&lt;=$B$20,0,MIN(B83,$B$22-C83))),"")</f>
        <v>1226.449737938254</v>
      </c>
      <c r="E83" s="14">
        <f>IFERROR(IF(C83="","",C83+D83),"")</f>
        <v>1409.5414874548753</v>
      </c>
      <c r="F83" s="14">
        <f>IFERROR(IF(D83="","",B83-D83),"")</f>
        <v>34210.663071730414</v>
      </c>
    </row>
    <row r="84">
      <c r="A84" s="39" t="n">
        <v>59</v>
      </c>
      <c r="B84" s="14">
        <f>IFERROR(IF(OR(A84&gt;$B$19,F83=""),"",F83),"")</f>
        <v>34210.663071730414</v>
      </c>
      <c r="C84" s="14">
        <f>IFERROR(IF(OR(A84&gt;$B$19,B84=""),"",B84*$B$18),"")</f>
        <v>176.7550925372738</v>
      </c>
      <c r="D84" s="14">
        <f>IFERROR(IF(OR(A84&gt;$B$19,B84=""),"",IF(A84&lt;=$B$20,0,MIN(B84,$B$22-C84))),"")</f>
        <v>1232.7863949176015</v>
      </c>
      <c r="E84" s="14">
        <f>IFERROR(IF(C84="","",C84+D84),"")</f>
        <v>1409.5414874548753</v>
      </c>
      <c r="F84" s="14">
        <f>IFERROR(IF(D84="","",B84-D84),"")</f>
        <v>32977.87667681281</v>
      </c>
    </row>
    <row r="85">
      <c r="A85" s="39" t="n">
        <v>60</v>
      </c>
      <c r="B85" s="14">
        <f>IFERROR(IF(OR(A85&gt;$B$19,F84=""),"",F84),"")</f>
        <v>32977.87667681281</v>
      </c>
      <c r="C85" s="14">
        <f>IFERROR(IF(OR(A85&gt;$B$19,B85=""),"",B85*$B$18),"")</f>
        <v>170.38569616353286</v>
      </c>
      <c r="D85" s="14">
        <f>IFERROR(IF(OR(A85&gt;$B$19,B85=""),"",IF(A85&lt;=$B$20,0,MIN(B85,$B$22-C85))),"")</f>
        <v>1239.1557912913424</v>
      </c>
      <c r="E85" s="14">
        <f>IFERROR(IF(C85="","",C85+D85),"")</f>
        <v>1409.5414874548753</v>
      </c>
      <c r="F85" s="14">
        <f>IFERROR(IF(D85="","",B85-D85),"")</f>
        <v>31738.72088552147</v>
      </c>
    </row>
    <row r="86">
      <c r="A86" s="39" t="n">
        <v>61</v>
      </c>
      <c r="B86" s="14">
        <f>IFERROR(IF(OR(A86&gt;$B$19,F85=""),"",F85),"")</f>
        <v>31738.72088552147</v>
      </c>
      <c r="C86" s="14">
        <f>IFERROR(IF(OR(A86&gt;$B$19,B86=""),"",B86*$B$18),"")</f>
        <v>163.98339124186094</v>
      </c>
      <c r="D86" s="14">
        <f>IFERROR(IF(OR(A86&gt;$B$19,B86=""),"",IF(A86&lt;=$B$20,0,MIN(B86,$B$22-C86))),"")</f>
        <v>1245.5580962130143</v>
      </c>
      <c r="E86" s="14">
        <f>IFERROR(IF(C86="","",C86+D86),"")</f>
        <v>1409.5414874548753</v>
      </c>
      <c r="F86" s="14">
        <f>IFERROR(IF(D86="","",B86-D86),"")</f>
        <v>30493.162789308455</v>
      </c>
    </row>
    <row r="87">
      <c r="A87" s="39" t="n">
        <v>62</v>
      </c>
      <c r="B87" s="14">
        <f>IFERROR(IF(OR(A87&gt;$B$19,F86=""),"",F86),"")</f>
        <v>30493.162789308455</v>
      </c>
      <c r="C87" s="14">
        <f>IFERROR(IF(OR(A87&gt;$B$19,B87=""),"",B87*$B$18),"")</f>
        <v>157.54800774476035</v>
      </c>
      <c r="D87" s="14">
        <f>IFERROR(IF(OR(A87&gt;$B$19,B87=""),"",IF(A87&lt;=$B$20,0,MIN(B87,$B$22-C87))),"")</f>
        <v>1251.993479710115</v>
      </c>
      <c r="E87" s="14">
        <f>IFERROR(IF(C87="","",C87+D87),"")</f>
        <v>1409.5414874548753</v>
      </c>
      <c r="F87" s="14">
        <f>IFERROR(IF(D87="","",B87-D87),"")</f>
        <v>29241.16930959834</v>
      </c>
    </row>
    <row r="88">
      <c r="A88" s="39" t="n">
        <v>63</v>
      </c>
      <c r="B88" s="14">
        <f>IFERROR(IF(OR(A88&gt;$B$19,F87=""),"",F87),"")</f>
        <v>29241.16930959834</v>
      </c>
      <c r="C88" s="14">
        <f>IFERROR(IF(OR(A88&gt;$B$19,B88=""),"",B88*$B$18),"")</f>
        <v>151.0793747662581</v>
      </c>
      <c r="D88" s="14">
        <f>IFERROR(IF(OR(A88&gt;$B$19,B88=""),"",IF(A88&lt;=$B$20,0,MIN(B88,$B$22-C88))),"")</f>
        <v>1258.4621126886173</v>
      </c>
      <c r="E88" s="14">
        <f>IFERROR(IF(C88="","",C88+D88),"")</f>
        <v>1409.5414874548753</v>
      </c>
      <c r="F88" s="14">
        <f>IFERROR(IF(D88="","",B88-D88),"")</f>
        <v>27982.707196909723</v>
      </c>
    </row>
    <row r="89">
      <c r="A89" s="39" t="n">
        <v>64</v>
      </c>
      <c r="B89" s="14">
        <f>IFERROR(IF(OR(A89&gt;$B$19,F88=""),"",F88),"")</f>
        <v>27982.707196909723</v>
      </c>
      <c r="C89" s="14">
        <f>IFERROR(IF(OR(A89&gt;$B$19,B89=""),"",B89*$B$18),"")</f>
        <v>144.5773205173669</v>
      </c>
      <c r="D89" s="14">
        <f>IFERROR(IF(OR(A89&gt;$B$19,B89=""),"",IF(A89&lt;=$B$20,0,MIN(B89,$B$22-C89))),"")</f>
        <v>1264.9641669375085</v>
      </c>
      <c r="E89" s="14">
        <f>IFERROR(IF(C89="","",C89+D89),"")</f>
        <v>1409.5414874548753</v>
      </c>
      <c r="F89" s="14">
        <f>IFERROR(IF(D89="","",B89-D89),"")</f>
        <v>26717.743029972215</v>
      </c>
    </row>
    <row r="90">
      <c r="A90" s="39" t="n">
        <v>65</v>
      </c>
      <c r="B90" s="14">
        <f>IFERROR(IF(OR(A90&gt;$B$19,F89=""),"",F89),"")</f>
        <v>26717.743029972215</v>
      </c>
      <c r="C90" s="14">
        <f>IFERROR(IF(OR(A90&gt;$B$19,B90=""),"",B90*$B$18),"")</f>
        <v>138.0416723215231</v>
      </c>
      <c r="D90" s="14">
        <f>IFERROR(IF(OR(A90&gt;$B$19,B90=""),"",IF(A90&lt;=$B$20,0,MIN(B90,$B$22-C90))),"")</f>
        <v>1271.4998151333523</v>
      </c>
      <c r="E90" s="14">
        <f>IFERROR(IF(C90="","",C90+D90),"")</f>
        <v>1409.5414874548753</v>
      </c>
      <c r="F90" s="14">
        <f>IFERROR(IF(D90="","",B90-D90),"")</f>
        <v>25446.24321483886</v>
      </c>
    </row>
    <row r="91">
      <c r="A91" s="39" t="n">
        <v>66</v>
      </c>
      <c r="B91" s="14">
        <f>IFERROR(IF(OR(A91&gt;$B$19,F90=""),"",F90),"")</f>
        <v>25446.24321483886</v>
      </c>
      <c r="C91" s="14">
        <f>IFERROR(IF(OR(A91&gt;$B$19,B91=""),"",B91*$B$18),"")</f>
        <v>131.47225661000078</v>
      </c>
      <c r="D91" s="14">
        <f>IFERROR(IF(OR(A91&gt;$B$19,B91=""),"",IF(A91&lt;=$B$20,0,MIN(B91,$B$22-C91))),"")</f>
        <v>1278.0692308448745</v>
      </c>
      <c r="E91" s="14">
        <f>IFERROR(IF(C91="","",C91+D91),"")</f>
        <v>1409.5414874548753</v>
      </c>
      <c r="F91" s="14">
        <f>IFERROR(IF(D91="","",B91-D91),"")</f>
        <v>24168.173983993987</v>
      </c>
    </row>
    <row r="92">
      <c r="A92" s="39" t="n">
        <v>67</v>
      </c>
      <c r="B92" s="14">
        <f>IFERROR(IF(OR(A92&gt;$B$19,F91=""),"",F91),"")</f>
        <v>24168.173983993987</v>
      </c>
      <c r="C92" s="14">
        <f>IFERROR(IF(OR(A92&gt;$B$19,B92=""),"",B92*$B$18),"")</f>
        <v>124.86889891730226</v>
      </c>
      <c r="D92" s="14">
        <f>IFERROR(IF(OR(A92&gt;$B$19,B92=""),"",IF(A92&lt;=$B$20,0,MIN(B92,$B$22-C92))),"")</f>
        <v>1284.6725885375731</v>
      </c>
      <c r="E92" s="14">
        <f>IFERROR(IF(C92="","",C92+D92),"")</f>
        <v>1409.5414874548753</v>
      </c>
      <c r="F92" s="14">
        <f>IFERROR(IF(D92="","",B92-D92),"")</f>
        <v>22883.501395456413</v>
      </c>
    </row>
    <row r="93">
      <c r="A93" s="39" t="n">
        <v>68</v>
      </c>
      <c r="B93" s="14">
        <f>IFERROR(IF(OR(A93&gt;$B$19,F92=""),"",F92),"")</f>
        <v>22883.501395456413</v>
      </c>
      <c r="C93" s="14">
        <f>IFERROR(IF(OR(A93&gt;$B$19,B93=""),"",B93*$B$18),"")</f>
        <v>118.2314238765248</v>
      </c>
      <c r="D93" s="14">
        <f>IFERROR(IF(OR(A93&gt;$B$19,B93=""),"",IF(A93&lt;=$B$20,0,MIN(B93,$B$22-C93))),"")</f>
        <v>1291.3100635783505</v>
      </c>
      <c r="E93" s="14">
        <f>IFERROR(IF(C93="","",C93+D93),"")</f>
        <v>1409.5414874548753</v>
      </c>
      <c r="F93" s="14">
        <f>IFERROR(IF(D93="","",B93-D93),"")</f>
        <v>21592.19133187806</v>
      </c>
    </row>
    <row r="94">
      <c r="A94" s="39" t="n">
        <v>69</v>
      </c>
      <c r="B94" s="14">
        <f>IFERROR(IF(OR(A94&gt;$B$19,F93=""),"",F93),"")</f>
        <v>21592.19133187806</v>
      </c>
      <c r="C94" s="14">
        <f>IFERROR(IF(OR(A94&gt;$B$19,B94=""),"",B94*$B$18),"")</f>
        <v>111.55965521470331</v>
      </c>
      <c r="D94" s="14">
        <f>IFERROR(IF(OR(A94&gt;$B$19,B94=""),"",IF(A94&lt;=$B$20,0,MIN(B94,$B$22-C94))),"")</f>
        <v>1297.981832240172</v>
      </c>
      <c r="E94" s="14">
        <f>IFERROR(IF(C94="","",C94+D94),"")</f>
        <v>1409.5414874548753</v>
      </c>
      <c r="F94" s="14">
        <f>IFERROR(IF(D94="","",B94-D94),"")</f>
        <v>20294.209499637887</v>
      </c>
    </row>
    <row r="95">
      <c r="A95" s="39" t="n">
        <v>70</v>
      </c>
      <c r="B95" s="14">
        <f>IFERROR(IF(OR(A95&gt;$B$19,F94=""),"",F94),"")</f>
        <v>20294.209499637887</v>
      </c>
      <c r="C95" s="14">
        <f>IFERROR(IF(OR(A95&gt;$B$19,B95=""),"",B95*$B$18),"")</f>
        <v>104.85341574812908</v>
      </c>
      <c r="D95" s="14">
        <f>IFERROR(IF(OR(A95&gt;$B$19,B95=""),"",IF(A95&lt;=$B$20,0,MIN(B95,$B$22-C95))),"")</f>
        <v>1304.6880717067463</v>
      </c>
      <c r="E95" s="14">
        <f>IFERROR(IF(C95="","",C95+D95),"")</f>
        <v>1409.5414874548753</v>
      </c>
      <c r="F95" s="14">
        <f>IFERROR(IF(D95="","",B95-D95),"")</f>
        <v>18989.52142793114</v>
      </c>
    </row>
    <row r="96">
      <c r="A96" s="39" t="n">
        <v>71</v>
      </c>
      <c r="B96" s="14">
        <f>IFERROR(IF(OR(A96&gt;$B$19,F95=""),"",F95),"")</f>
        <v>18989.52142793114</v>
      </c>
      <c r="C96" s="14">
        <f>IFERROR(IF(OR(A96&gt;$B$19,B96=""),"",B96*$B$18),"")</f>
        <v>98.11252737764423</v>
      </c>
      <c r="D96" s="14">
        <f>IFERROR(IF(OR(A96&gt;$B$19,B96=""),"",IF(A96&lt;=$B$20,0,MIN(B96,$B$22-C96))),"")</f>
        <v>1311.428960077231</v>
      </c>
      <c r="E96" s="14">
        <f>IFERROR(IF(C96="","",C96+D96),"")</f>
        <v>1409.5414874548753</v>
      </c>
      <c r="F96" s="14">
        <f>IFERROR(IF(D96="","",B96-D96),"")</f>
        <v>17678.09246785391</v>
      </c>
    </row>
    <row r="97">
      <c r="A97" s="39" t="n">
        <v>72</v>
      </c>
      <c r="B97" s="14">
        <f>IFERROR(IF(OR(A97&gt;$B$19,F96=""),"",F96),"")</f>
        <v>17678.09246785391</v>
      </c>
      <c r="C97" s="14">
        <f>IFERROR(IF(OR(A97&gt;$B$19,B97=""),"",B97*$B$18),"")</f>
        <v>91.33681108391185</v>
      </c>
      <c r="D97" s="14">
        <f>IFERROR(IF(OR(A97&gt;$B$19,B97=""),"",IF(A97&lt;=$B$20,0,MIN(B97,$B$22-C97))),"")</f>
        <v>1318.2046763709634</v>
      </c>
      <c r="E97" s="14">
        <f>IFERROR(IF(C97="","",C97+D97),"")</f>
        <v>1409.5414874548753</v>
      </c>
      <c r="F97" s="14">
        <f>IFERROR(IF(D97="","",B97-D97),"")</f>
        <v>16359.887791482945</v>
      </c>
    </row>
    <row r="98">
      <c r="A98" s="39" t="n">
        <v>73</v>
      </c>
      <c r="B98" s="14">
        <f>IFERROR(IF(OR(A98&gt;$B$19,F97=""),"",F97),"")</f>
        <v>16359.887791482945</v>
      </c>
      <c r="C98" s="14">
        <f>IFERROR(IF(OR(A98&gt;$B$19,B98=""),"",B98*$B$18),"")</f>
        <v>84.52608692266188</v>
      </c>
      <c r="D98" s="14">
        <f>IFERROR(IF(OR(A98&gt;$B$19,B98=""),"",IF(A98&lt;=$B$20,0,MIN(B98,$B$22-C98))),"")</f>
        <v>1325.0154005322133</v>
      </c>
      <c r="E98" s="14">
        <f>IFERROR(IF(C98="","",C98+D98),"")</f>
        <v>1409.541487454875</v>
      </c>
      <c r="F98" s="14">
        <f>IFERROR(IF(D98="","",B98-D98),"")</f>
        <v>15034.872390950732</v>
      </c>
    </row>
    <row r="99">
      <c r="A99" s="39" t="n">
        <v>74</v>
      </c>
      <c r="B99" s="14">
        <f>IFERROR(IF(OR(A99&gt;$B$19,F98=""),"",F98),"")</f>
        <v>15034.872390950732</v>
      </c>
      <c r="C99" s="14">
        <f>IFERROR(IF(OR(A99&gt;$B$19,B99=""),"",B99*$B$18),"")</f>
        <v>77.68017401991212</v>
      </c>
      <c r="D99" s="14">
        <f>IFERROR(IF(OR(A99&gt;$B$19,B99=""),"",IF(A99&lt;=$B$20,0,MIN(B99,$B$22-C99))),"")</f>
        <v>1331.8613134349632</v>
      </c>
      <c r="E99" s="14">
        <f>IFERROR(IF(C99="","",C99+D99),"")</f>
        <v>1409.5414874548753</v>
      </c>
      <c r="F99" s="14">
        <f>IFERROR(IF(D99="","",B99-D99),"")</f>
        <v>13703.011077515768</v>
      </c>
    </row>
    <row r="100">
      <c r="A100" s="39" t="n">
        <v>75</v>
      </c>
      <c r="B100" s="14">
        <f>IFERROR(IF(OR(A100&gt;$B$19,F99=""),"",F99),"")</f>
        <v>13703.011077515768</v>
      </c>
      <c r="C100" s="14">
        <f>IFERROR(IF(OR(A100&gt;$B$19,B100=""),"",B100*$B$18),"")</f>
        <v>70.7988905671648</v>
      </c>
      <c r="D100" s="14">
        <f>IFERROR(IF(OR(A100&gt;$B$19,B100=""),"",IF(A100&lt;=$B$20,0,MIN(B100,$B$22-C100))),"")</f>
        <v>1338.7425968877105</v>
      </c>
      <c r="E100" s="14">
        <f>IFERROR(IF(C100="","",C100+D100),"")</f>
        <v>1409.5414874548753</v>
      </c>
      <c r="F100" s="14">
        <f>IFERROR(IF(D100="","",B100-D100),"")</f>
        <v>12364.268480628058</v>
      </c>
    </row>
    <row r="101">
      <c r="A101" s="39" t="n">
        <v>76</v>
      </c>
      <c r="B101" s="14">
        <f>IFERROR(IF(OR(A101&gt;$B$19,F100=""),"",F100),"")</f>
        <v>12364.268480628058</v>
      </c>
      <c r="C101" s="14">
        <f>IFERROR(IF(OR(A101&gt;$B$19,B101=""),"",B101*$B$18),"")</f>
        <v>63.8820538165783</v>
      </c>
      <c r="D101" s="14">
        <f>IFERROR(IF(OR(A101&gt;$B$19,B101=""),"",IF(A101&lt;=$B$20,0,MIN(B101,$B$22-C101))),"")</f>
        <v>1345.659433638297</v>
      </c>
      <c r="E101" s="14">
        <f>IFERROR(IF(C101="","",C101+D101),"")</f>
        <v>1409.5414874548753</v>
      </c>
      <c r="F101" s="14">
        <f>IFERROR(IF(D101="","",B101-D101),"")</f>
        <v>11018.60904698976</v>
      </c>
    </row>
    <row r="102">
      <c r="A102" s="39" t="n">
        <v>77</v>
      </c>
      <c r="B102" s="14">
        <f>IFERROR(IF(OR(A102&gt;$B$19,F101=""),"",F101),"")</f>
        <v>11018.60904698976</v>
      </c>
      <c r="C102" s="14">
        <f>IFERROR(IF(OR(A102&gt;$B$19,B102=""),"",B102*$B$18),"")</f>
        <v>56.92948007611376</v>
      </c>
      <c r="D102" s="14">
        <f>IFERROR(IF(OR(A102&gt;$B$19,B102=""),"",IF(A102&lt;=$B$20,0,MIN(B102,$B$22-C102))),"")</f>
        <v>1352.6120073787615</v>
      </c>
      <c r="E102" s="14">
        <f>IFERROR(IF(C102="","",C102+D102),"")</f>
        <v>1409.5414874548753</v>
      </c>
      <c r="F102" s="14">
        <f>IFERROR(IF(D102="","",B102-D102),"")</f>
        <v>9665.997039611</v>
      </c>
    </row>
    <row r="103">
      <c r="A103" s="39" t="n">
        <v>78</v>
      </c>
      <c r="B103" s="14">
        <f>IFERROR(IF(OR(A103&gt;$B$19,F102=""),"",F102),"")</f>
        <v>9665.997039611</v>
      </c>
      <c r="C103" s="14">
        <f>IFERROR(IF(OR(A103&gt;$B$19,B103=""),"",B103*$B$18),"")</f>
        <v>49.940984704656834</v>
      </c>
      <c r="D103" s="14">
        <f>IFERROR(IF(OR(A103&gt;$B$19,B103=""),"",IF(A103&lt;=$B$20,0,MIN(B103,$B$22-C103))),"")</f>
        <v>1359.6005027502185</v>
      </c>
      <c r="E103" s="14">
        <f>IFERROR(IF(C103="","",C103+D103),"")</f>
        <v>1409.5414874548753</v>
      </c>
      <c r="F103" s="14">
        <f>IFERROR(IF(D103="","",B103-D103),"")</f>
        <v>8306.396536860782</v>
      </c>
    </row>
    <row r="104">
      <c r="A104" s="39" t="n">
        <v>79</v>
      </c>
      <c r="B104" s="14">
        <f>IFERROR(IF(OR(A104&gt;$B$19,F103=""),"",F103),"")</f>
        <v>8306.396536860782</v>
      </c>
      <c r="C104" s="14">
        <f>IFERROR(IF(OR(A104&gt;$B$19,B104=""),"",B104*$B$18),"")</f>
        <v>42.91638210711404</v>
      </c>
      <c r="D104" s="14">
        <f>IFERROR(IF(OR(A104&gt;$B$19,B104=""),"",IF(A104&lt;=$B$20,0,MIN(B104,$B$22-C104))),"")</f>
        <v>1366.6251053477613</v>
      </c>
      <c r="E104" s="14">
        <f>IFERROR(IF(C104="","",C104+D104),"")</f>
        <v>1409.5414874548753</v>
      </c>
      <c r="F104" s="14">
        <f>IFERROR(IF(D104="","",B104-D104),"")</f>
        <v>6939.7714315130215</v>
      </c>
    </row>
    <row r="105">
      <c r="A105" s="39" t="n">
        <v>80</v>
      </c>
      <c r="B105" s="14">
        <f>IFERROR(IF(OR(A105&gt;$B$19,F104=""),"",F104),"")</f>
        <v>6939.7714315130215</v>
      </c>
      <c r="C105" s="14">
        <f>IFERROR(IF(OR(A105&gt;$B$19,B105=""),"",B105*$B$18),"")</f>
        <v>35.855485729483945</v>
      </c>
      <c r="D105" s="14">
        <f>IFERROR(IF(OR(A105&gt;$B$19,B105=""),"",IF(A105&lt;=$B$20,0,MIN(B105,$B$22-C105))),"")</f>
        <v>1373.6860017253914</v>
      </c>
      <c r="E105" s="14">
        <f>IFERROR(IF(C105="","",C105+D105),"")</f>
        <v>1409.5414874548753</v>
      </c>
      <c r="F105" s="14">
        <f>IFERROR(IF(D105="","",B105-D105),"")</f>
        <v>5566.08542978763</v>
      </c>
    </row>
    <row r="106">
      <c r="A106" s="39" t="n">
        <v>81</v>
      </c>
      <c r="B106" s="14">
        <f>IFERROR(IF(OR(A106&gt;$B$19,F105=""),"",F105),"")</f>
        <v>5566.08542978763</v>
      </c>
      <c r="C106" s="14">
        <f>IFERROR(IF(OR(A106&gt;$B$19,B106=""),"",B106*$B$18),"")</f>
        <v>28.758108053902756</v>
      </c>
      <c r="D106" s="14">
        <f>IFERROR(IF(OR(A106&gt;$B$19,B106=""),"",IF(A106&lt;=$B$20,0,MIN(B106,$B$22-C106))),"")</f>
        <v>1380.7833794009725</v>
      </c>
      <c r="E106" s="14">
        <f>IFERROR(IF(C106="","",C106+D106),"")</f>
        <v>1409.5414874548753</v>
      </c>
      <c r="F106" s="14">
        <f>IFERROR(IF(D106="","",B106-D106),"")</f>
        <v>4185.302050386657</v>
      </c>
    </row>
    <row r="107">
      <c r="A107" s="39" t="n">
        <v>82</v>
      </c>
      <c r="B107" s="14">
        <f>IFERROR(IF(OR(A107&gt;$B$19,F106=""),"",F106),"")</f>
        <v>4185.302050386657</v>
      </c>
      <c r="C107" s="14">
        <f>IFERROR(IF(OR(A107&gt;$B$19,B107=""),"",B107*$B$18),"")</f>
        <v>21.624060593664396</v>
      </c>
      <c r="D107" s="14">
        <f>IFERROR(IF(OR(A107&gt;$B$19,B107=""),"",IF(A107&lt;=$B$20,0,MIN(B107,$B$22-C107))),"")</f>
        <v>1387.917426861211</v>
      </c>
      <c r="E107" s="14">
        <f>IFERROR(IF(C107="","",C107+D107),"")</f>
        <v>1409.5414874548753</v>
      </c>
      <c r="F107" s="14">
        <f>IFERROR(IF(D107="","",B107-D107),"")</f>
        <v>2797.3846235254464</v>
      </c>
    </row>
    <row r="108">
      <c r="A108" s="39" t="n">
        <v>83</v>
      </c>
      <c r="B108" s="14">
        <f>IFERROR(IF(OR(A108&gt;$B$19,F107=""),"",F107),"")</f>
        <v>2797.3846235254464</v>
      </c>
      <c r="C108" s="14">
        <f>IFERROR(IF(OR(A108&gt;$B$19,B108=""),"",B108*$B$18),"")</f>
        <v>14.453153888214807</v>
      </c>
      <c r="D108" s="14">
        <f>IFERROR(IF(OR(A108&gt;$B$19,B108=""),"",IF(A108&lt;=$B$20,0,MIN(B108,$B$22-C108))),"")</f>
        <v>1395.0883335666606</v>
      </c>
      <c r="E108" s="14">
        <f>IFERROR(IF(C108="","",C108+D108),"")</f>
        <v>1409.5414874548753</v>
      </c>
      <c r="F108" s="14">
        <f>IFERROR(IF(D108="","",B108-D108),"")</f>
        <v>1402.2962899587858</v>
      </c>
    </row>
    <row r="109">
      <c r="A109" s="39" t="n">
        <v>84</v>
      </c>
      <c r="B109" s="14">
        <f>IFERROR(IF(OR(A109&gt;$B$19,F108=""),"",F108),"")</f>
        <v>1402.2962899587858</v>
      </c>
      <c r="C109" s="14">
        <f>IFERROR(IF(OR(A109&gt;$B$19,B109=""),"",B109*$B$18),"")</f>
        <v>7.245197498120393</v>
      </c>
      <c r="D109" s="14">
        <f>IFERROR(IF(OR(A109&gt;$B$19,B109=""),"",IF(A109&lt;=$B$20,0,MIN(B109,$B$22-C109))),"")</f>
        <v>1402.296289956755</v>
      </c>
      <c r="E109" s="14">
        <f>IFERROR(IF(C109="","",C109+D109),"")</f>
        <v>1409.5414874548753</v>
      </c>
      <c r="F109" s="14">
        <f>IFERROR(IF(D109="","",B109-D109),"")</f>
        <v>2.0309016690589488e-09</v>
      </c>
    </row>
    <row r="110">
      <c r="A110" t="inlineStr">
        <is>
          <t>Tolerancia de cierre del cuadro (€)</t>
        </is>
      </c>
      <c r="B110" s="13" t="n">
        <v>0.01</v>
      </c>
    </row>
    <row r="111">
      <c r="A111" t="inlineStr">
        <is>
          <t>Capital pendiente al vencimiento</t>
        </is>
      </c>
      <c r="B111" s="14">
        <f>IFERROR(IF($B$16="","",ROUND($B$16-SUM(D26:D109),2)),"")</f>
        <v>0.0</v>
      </c>
    </row>
    <row r="112">
      <c r="A112" t="inlineStr">
        <is>
          <t>¿Cierra el cuadro de amortización?</t>
        </is>
      </c>
      <c r="B112" t="str">
        <f>IFERROR(IF(B111="","",IF(ABS(B111)&lt;=B110,"Sí","No: revisa el plazo")),"")</f>
        <v>Sí</v>
      </c>
      <c r="H112" s="5" t="inlineStr">
        <is>
          <t>Tiene que decir «Sí»: el principal devuelto en el cuadro tiene que ser el prestado. Si dice que no, el plazo no da para amortizarlo con esa cuota y queda capital sin devolver al vencimiento.</t>
        </is>
      </c>
    </row>
    <row r="113"/>
    <row r="114">
      <c r="A114" s="4" t="inlineStr">
        <is>
          <t>RESUMEN POR AÑO Y COBERTURA DEL SERVICIO DE LA DEUDA (DSCR)</t>
        </is>
      </c>
    </row>
    <row r="115" ht="30" customHeight="1">
      <c r="A115" s="7" t="inlineStr">
        <is>
          <t>Año</t>
        </is>
      </c>
      <c r="B115" s="7" t="inlineStr">
        <is>
          <t>Intereses (€)</t>
        </is>
      </c>
      <c r="C115" s="7" t="inlineStr">
        <is>
          <t>Principal devuelto (€)</t>
        </is>
      </c>
      <c r="D115" s="7" t="inlineStr">
        <is>
          <t>Cuota total (€)</t>
        </is>
      </c>
      <c r="E115" s="7" t="inlineStr">
        <is>
          <t>Flujo disponible para la deuda (€)</t>
        </is>
      </c>
      <c r="F115" s="7" t="inlineStr">
        <is>
          <t>DSCR</t>
        </is>
      </c>
      <c r="G115" s="7" t="inlineStr"/>
      <c r="H115" s="7" t="inlineStr">
        <is>
          <t>Notas</t>
        </is>
      </c>
    </row>
    <row r="116">
      <c r="A116" s="39" t="n">
        <v>1</v>
      </c>
      <c r="B116" s="14">
        <f>IFERROR(SUM(C26:C37),"")</f>
        <v>5525.012752130365</v>
      </c>
      <c r="C116" s="14">
        <f>IFERROR(SUM(D26:D37),"")</f>
        <v>5731.536172598888</v>
      </c>
      <c r="D116" s="14">
        <f>IFERROR(B116+C116,"")</f>
        <v>11256.548924729253</v>
      </c>
      <c r="E116" s="14">
        <f>IFERROR('PyG 3 Años'!B34-'PyG 3 Años'!B39+'PyG 3 Años'!B29+B116,"")</f>
        <v>16603.664001766334</v>
      </c>
      <c r="F116" s="40">
        <f>IFERROR(IF(OR(D116="",D116=0),"",E116/D116),"")</f>
        <v>1.4750225946506683</v>
      </c>
      <c r="H116" s="5" t="inlineStr">
        <is>
          <t>El flujo disponible se calcula ANTES de la deuda y DESPUÉS de impuestos: al resultado antes de impuestos se le resta la cuota del Impuesto de Sociedades y se le suma la amortización, que no se paga. Del año 4 en adelante se mantiene el flujo del año 3: este libro no proyecta más lejos, y decirlo es más honesto que inventarse un crecimiento.</t>
        </is>
      </c>
    </row>
    <row r="117">
      <c r="A117" s="39" t="n">
        <v>2</v>
      </c>
      <c r="B117" s="14">
        <f>IFERROR(SUM(C38:C49),"")</f>
        <v>4905.807805993596</v>
      </c>
      <c r="C117" s="14">
        <f>IFERROR(SUM(D38:D49),"")</f>
        <v>12008.690043464907</v>
      </c>
      <c r="D117" s="14">
        <f>IFERROR(B117+C117,"")</f>
        <v>16914.4978494585</v>
      </c>
      <c r="E117" s="14">
        <f>IFERROR('PyG 3 Años'!C34-'PyG 3 Años'!C39+'PyG 3 Años'!C29+B117,"")</f>
        <v>30536.18066726857</v>
      </c>
      <c r="F117" s="40">
        <f>IFERROR(IF(OR(D117="",D117=0),"",E117/D117),"")</f>
        <v>1.8053258771880214</v>
      </c>
    </row>
    <row r="118">
      <c r="A118" s="39" t="n">
        <v>3</v>
      </c>
      <c r="B118" s="14">
        <f>IFERROR(SUM(C50:C61),"")</f>
        <v>4139.743065890662</v>
      </c>
      <c r="C118" s="14">
        <f>IFERROR(SUM(D50:D61),"")</f>
        <v>12774.754783567842</v>
      </c>
      <c r="D118" s="14">
        <f>IFERROR(B118+C118,"")</f>
        <v>16914.497849458505</v>
      </c>
      <c r="E118" s="14">
        <f>IFERROR('PyG 3 Años'!D34-'PyG 3 Años'!D39+'PyG 3 Años'!D29+B118,"")</f>
        <v>32598.90286814115</v>
      </c>
      <c r="F118" s="40">
        <f>IFERROR(IF(OR(D118="",D118=0),"",E118/D118),"")</f>
        <v>1.9272758291896182</v>
      </c>
    </row>
    <row r="119">
      <c r="A119" s="39" t="n">
        <v>4</v>
      </c>
      <c r="B119" s="14">
        <f>IFERROR(SUM(C62:C73),"")</f>
        <v>3324.8091165813235</v>
      </c>
      <c r="C119" s="14">
        <f>IFERROR(SUM(D62:D73),"")</f>
        <v>13589.688732877179</v>
      </c>
      <c r="D119" s="14">
        <f>IFERROR(B119+C119,"")</f>
        <v>16914.4978494585</v>
      </c>
      <c r="E119" s="14">
        <f>IFERROR('PyG 3 Años'!D34-'PyG 3 Años'!D39+'PyG 3 Años'!D29+B119,"")</f>
        <v>31783.96891883181</v>
      </c>
      <c r="F119" s="40">
        <f>IFERROR(IF(OR(D119="",D119=0),"",E119/D119),"")</f>
        <v>1.8790962168498155</v>
      </c>
    </row>
    <row r="120">
      <c r="A120" s="39" t="n">
        <v>5</v>
      </c>
      <c r="B120" s="14">
        <f>IFERROR(SUM(C74:C85),"")</f>
        <v>2457.8884674888172</v>
      </c>
      <c r="C120" s="14">
        <f>IFERROR(SUM(D74:D85),"")</f>
        <v>14456.609381969685</v>
      </c>
      <c r="D120" s="14">
        <f>IFERROR(B120+C120,"")</f>
        <v>16914.4978494585</v>
      </c>
      <c r="E120" s="14">
        <f>IFERROR('PyG 3 Años'!D34-'PyG 3 Años'!D39+'PyG 3 Años'!D29+B120,"")</f>
        <v>30917.048269739305</v>
      </c>
      <c r="F120" s="40">
        <f>IFERROR(IF(OR(D120="",D120=0),"",E120/D120),"")</f>
        <v>1.8278431050632153</v>
      </c>
    </row>
    <row r="121">
      <c r="A121" s="39" t="n">
        <v>6</v>
      </c>
      <c r="B121" s="14">
        <f>IFERROR(SUM(C86:C97),"")</f>
        <v>1535.6647554199856</v>
      </c>
      <c r="C121" s="14">
        <f>IFERROR(SUM(D86:D97),"")</f>
        <v>15378.833094038519</v>
      </c>
      <c r="D121" s="14">
        <f>IFERROR(B121+C121,"")</f>
        <v>16914.497849458505</v>
      </c>
      <c r="E121" s="14">
        <f>IFERROR('PyG 3 Años'!D34-'PyG 3 Años'!D39+'PyG 3 Años'!D29+B121,"")</f>
        <v>29994.824557670472</v>
      </c>
      <c r="F121" s="40">
        <f>IFERROR(IF(OR(D121="",D121=0),"",E121/D121),"")</f>
        <v>1.7733204275189711</v>
      </c>
    </row>
    <row r="122">
      <c r="A122" s="39" t="n">
        <v>7</v>
      </c>
      <c r="B122" s="14">
        <f>IFERROR(SUM(C98:C109),"")</f>
        <v>554.6100579775881</v>
      </c>
      <c r="C122" s="14">
        <f>IFERROR(SUM(D98:D109),"")</f>
        <v>16359.887791480916</v>
      </c>
      <c r="D122" s="14">
        <f>IFERROR(B122+C122,"")</f>
        <v>16914.497849458505</v>
      </c>
      <c r="E122" s="14">
        <f>IFERROR('PyG 3 Años'!D34-'PyG 3 Años'!D39+'PyG 3 Años'!D29+B122,"")</f>
        <v>29013.769860228076</v>
      </c>
      <c r="F122" s="40">
        <f>IFERROR(IF(OR(D122="",D122=0),"",E122/D122),"")</f>
        <v>1.7153196103398904</v>
      </c>
    </row>
    <row r="123">
      <c r="A123" s="22" t="inlineStr">
        <is>
          <t>DSCR mínimo de todo el cuadro</t>
        </is>
      </c>
      <c r="B123" s="41">
        <f>IFERROR(IF(COUNT(F116:F122)=0,"",MIN(F116:F122)),"")</f>
        <v>1.4750225946506683</v>
      </c>
      <c r="C123" s="22" t="n"/>
      <c r="D123" s="22" t="n"/>
      <c r="E123" s="22" t="n"/>
      <c r="F123" s="22" t="n"/>
      <c r="G123" s="22" t="n"/>
      <c r="H123" s="29" t="inlineStr">
        <is>
          <t>Es el PEOR año de los que dura el préstamo, no el mejor de los tres que proyecta el P&amp;L. Es el número que decide la operación.</t>
        </is>
      </c>
    </row>
    <row r="124">
      <c r="A124" t="inlineStr">
        <is>
          <t>Lectura del DSCR</t>
        </is>
      </c>
      <c r="B124" t="str">
        <f>IFERROR(IF(B123="","",IF(B123&lt;'0. Supuestos'!$B$64,"Por debajo del mínimo",IF(B123&lt;'0. Supuestos'!$B$65,"Entre el mínimo y el objetivo","En objetivo"))),"")</f>
        <v>En objetivo</v>
      </c>
    </row>
    <row r="125"/>
    <row r="126" ht="32" customHeight="1">
      <c r="A126" s="5" t="inlineStr">
        <is>
          <t>El año de carencia infla el DSCR: con sólo intereses en el denominador el ratio se dispara y no está midiendo el negocio, está midiendo que todavía no devuelves nada. Mira el año 2 y el año 3, que es cuando la cuota está completa.</t>
        </is>
      </c>
    </row>
  </sheetData>
  <sheetProtection selectLockedCells="0" selectUnlockedCells="0" sheet="1" objects="0" insertRows="0" insertHyperlinks="1" autoFilter="1" scenarios="0" formatColumns="0" deleteColumns="1" insertColumns="1" pivotTables="1" deleteRows="1" formatCells="1" formatRows="0" sort="0"/>
  <mergeCells count="3">
    <mergeCell ref="A126:H126"/>
    <mergeCell ref="A3:H3"/>
    <mergeCell ref="A23:H23"/>
  </mergeCells>
  <conditionalFormatting sqref="B12">
    <cfRule type="expression" priority="1" dxfId="0" stopIfTrue="1">
      <formula>=AND(ISNUMBER($B$12),$B$12&lt;0)</formula>
    </cfRule>
  </conditionalFormatting>
  <conditionalFormatting sqref="B123">
    <cfRule type="expression" priority="2" dxfId="0" stopIfTrue="1">
      <formula>=AND(ISNUMBER($B$123),$B$123&lt;'0. Supuestos'!$B$64)</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48"/>
  <sheetViews>
    <sheetView workbookViewId="0">
      <pane ySplit="5" topLeftCell="A6" activePane="bottomLeft" state="frozen"/>
      <selection pane="bottomLeft"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3" customWidth="1" min="6" max="6"/>
    <col width="10" customWidth="1" min="7" max="7"/>
    <col width="13" customWidth="1" min="8" max="8"/>
    <col width="15" customWidth="1" min="9" max="9"/>
    <col width="15" customWidth="1" min="10" max="10"/>
    <col width="14" customWidth="1" min="11" max="11"/>
    <col width="76" customWidth="1" min="12" max="12"/>
  </cols>
  <sheetData>
    <row r="1" ht="28" customHeight="1">
      <c r="A1" s="1" t="inlineStr">
        <is>
          <t>Canales y Punto Muerto: Qué Canal Sostiene el Negocio</t>
        </is>
      </c>
    </row>
    <row r="2">
      <c r="A2" t="inlineStr">
        <is>
          <t>AI Chef Pro · aichef.pro — Cómo Montar una Chocolatería</t>
        </is>
      </c>
    </row>
    <row r="3" ht="26" customHeight="1">
      <c r="A3" s="5" t="inlineStr">
        <is>
          <t>Cinco canales, cada uno con su margen, su coste de servir, su comisión, su coste de envío y sus días de cobro. La suma no es lo interesante: lo interesante es qué pasa con el punto muerto cuando quitas uno, y cuáles de los cinco te sacan de la nota del epígrafe 644.5 del IAE.</t>
        </is>
      </c>
    </row>
    <row r="4"/>
    <row r="5" ht="30" customHeight="1">
      <c r="A5" s="7" t="inlineStr">
        <is>
          <t>Canal</t>
        </is>
      </c>
      <c r="B5" s="7" t="inlineStr">
        <is>
          <t>% de las ventas</t>
        </is>
      </c>
      <c r="C5" s="7" t="inlineStr">
        <is>
          <t>Margen bruto (%)</t>
        </is>
      </c>
      <c r="D5" s="7" t="inlineStr">
        <is>
          <t>Coste de servir (%)</t>
        </is>
      </c>
      <c r="E5" s="7" t="inlineStr">
        <is>
          <t>Comisión de plataforma (%)</t>
        </is>
      </c>
      <c r="F5" s="7" t="inlineStr">
        <is>
          <t>Envío refrigerado (€/pedido)</t>
        </is>
      </c>
      <c r="G5" s="7" t="inlineStr">
        <is>
          <t>Días de cobro</t>
        </is>
      </c>
      <c r="H5" s="7" t="inlineStr">
        <is>
          <t>Margen de contribución (%)</t>
        </is>
      </c>
      <c r="I5" s="7" t="inlineStr">
        <is>
          <t>Ventas del año de crucero (€)</t>
        </is>
      </c>
      <c r="J5" s="7" t="inlineStr">
        <is>
          <t>Margen de contribución (€)</t>
        </is>
      </c>
      <c r="K5" s="7" t="inlineStr">
        <is>
          <t>¿Te saca de la nota del 644.5?</t>
        </is>
      </c>
      <c r="L5" s="7" t="inlineStr">
        <is>
          <t>Notas</t>
        </is>
      </c>
    </row>
    <row r="6" ht="62" customHeight="1">
      <c r="A6" s="9" t="inlineStr">
        <is>
          <t>Mostrador</t>
        </is>
      </c>
      <c r="B6" s="16" t="n">
        <v>0.62</v>
      </c>
      <c r="C6" s="16" t="n">
        <v>0.7</v>
      </c>
      <c r="D6" s="16" t="n">
        <v>0</v>
      </c>
      <c r="E6" s="16" t="n">
        <v>0</v>
      </c>
      <c r="F6" s="13" t="n">
        <v>0</v>
      </c>
      <c r="G6" s="32" t="n">
        <v>0</v>
      </c>
      <c r="H6" s="15">
        <f>IFERROR(C6-D6-E6,"")</f>
        <v>0.7</v>
      </c>
      <c r="I6" s="14">
        <f>IFERROR(IF('PyG 3 Años'!$C$11="","",'PyG 3 Años'!$C$11*B6),"")</f>
        <v>123434.52392727272</v>
      </c>
      <c r="J6" s="14">
        <f>IFERROR(IF(H6="","",I6*H6),"")</f>
        <v>86404.1667490909</v>
      </c>
      <c r="K6" s="34" t="inlineStr">
        <is>
          <t>No</t>
        </is>
      </c>
      <c r="L6" s="5" t="inlineStr">
        <is>
          <t>Cobro al contado y dentro de la nota del 644.5 sin discusión: vendes en las propias dependencias. Es el canal que paga el alquiler.</t>
        </is>
      </c>
    </row>
    <row r="7" ht="62" customHeight="1">
      <c r="A7" s="9" t="inlineStr">
        <is>
          <t>Online con envío refrigerado</t>
        </is>
      </c>
      <c r="B7" s="16" t="n">
        <v>0.12</v>
      </c>
      <c r="C7" s="16" t="n">
        <v>0.58</v>
      </c>
      <c r="D7" s="16" t="n">
        <v>0.04</v>
      </c>
      <c r="E7" s="16" t="n">
        <v>0</v>
      </c>
      <c r="F7" s="13" t="n">
        <v>8.5</v>
      </c>
      <c r="G7" s="32" t="n">
        <v>0</v>
      </c>
      <c r="H7" s="15">
        <f>IFERROR(C7-D7-E7,"")</f>
        <v>0.5399999999999999</v>
      </c>
      <c r="I7" s="14">
        <f>IFERROR(IF('PyG 3 Años'!$C$11="","",'PyG 3 Años'!$C$11*B7),"")</f>
        <v>23890.553018181814</v>
      </c>
      <c r="J7" s="14">
        <f>IFERROR(IF(H7="","",I7*H7),"")</f>
        <v>12900.898629818177</v>
      </c>
      <c r="K7" s="34" t="inlineStr">
        <is>
          <t>No lo sé</t>
        </is>
      </c>
      <c r="L7" s="5" t="inlineStr">
        <is>
          <t>LO QUE SI ESTA VERIFICADO: vender online al consumidor SIGUE SIENDO comercio al por menor a efectos del IAE, porque la Regla 4.a.2.D) lo define por el destino y comprende el realizado sin establecimiento (`CHN-95`); y vender por internet NO cambia tu registro sanitario (`CHN-90`). LO QUE NO ESTA VERIFICADO es si la condición de la nota del 644.5 sobre la FABRICACION se rompe al comercializar fuera de las dependencias: eso es lo que hay que preguntar al asesor. Lo que si cambia: te conviertes en ENVASADOR (`CHN-59`) y respondes de la temperatura en el camión (`CHN-88`), mas la información obligatoria ANTES de pagar (`CHN-57`). Coste de envío refrigerado de 8,50 euros: SUPUESTO, y es el número que decide si el canal existe. PARADO de junio a septiembre (`VALLE`).</t>
        </is>
      </c>
    </row>
    <row r="8" ht="62" customHeight="1">
      <c r="A8" s="9" t="inlineStr">
        <is>
          <t>B2B a hostelería</t>
        </is>
      </c>
      <c r="B8" s="16" t="n">
        <v>0.11</v>
      </c>
      <c r="C8" s="16" t="n">
        <v>0.48</v>
      </c>
      <c r="D8" s="16" t="n">
        <v>0.03</v>
      </c>
      <c r="E8" s="16" t="n">
        <v>0</v>
      </c>
      <c r="F8" s="13" t="n">
        <v>0</v>
      </c>
      <c r="G8" s="32" t="n">
        <v>45</v>
      </c>
      <c r="H8" s="15">
        <f>IFERROR(C8-D8-E8,"")</f>
        <v>0.44999999999999996</v>
      </c>
      <c r="I8" s="14">
        <f>IFERROR(IF('PyG 3 Años'!$C$11="","",'PyG 3 Años'!$C$11*B8),"")</f>
        <v>21899.6736</v>
      </c>
      <c r="J8" s="14">
        <f>IFERROR(IF(H8="","",I8*H8),"")</f>
        <v>9854.853119999998</v>
      </c>
      <c r="K8" s="34" t="inlineStr">
        <is>
          <t>No lo sé</t>
        </is>
      </c>
      <c r="L8" s="5" t="inlineStr">
        <is>
          <t>Peor margen y cobro a 45 días: financias tu. Y es el canal que puede meterte en el art. 3 del RD 1021/2022 si dejas de ser marginal, localizado o restringido - los TRES requisitos son ACUMULATIVOS, y basta con servir a UN SOLO cliente inscrito en el RGSEAA para perder «restringido» (`CHN-41`). «Marginal» tiene DOS vías independientes: hasta el 25 % del volumen anual O hasta 500 kg/semana. Y los 500 kg NO incluyen el mostrador: el art. 3 solo habla del suministro a otros minoristas de distinta titularidad.</t>
        </is>
      </c>
    </row>
    <row r="9" ht="62" customHeight="1">
      <c r="A9" s="9" t="inlineStr">
        <is>
          <t>Regalo corporativo</t>
        </is>
      </c>
      <c r="B9" s="16" t="n">
        <v>0.09</v>
      </c>
      <c r="C9" s="16" t="n">
        <v>0.55</v>
      </c>
      <c r="D9" s="16" t="n">
        <v>0.03</v>
      </c>
      <c r="E9" s="16" t="n">
        <v>0</v>
      </c>
      <c r="F9" s="13" t="n">
        <v>0</v>
      </c>
      <c r="G9" s="32" t="n">
        <v>30</v>
      </c>
      <c r="H9" s="15">
        <f>IFERROR(C9-D9-E9,"")</f>
        <v>0.52</v>
      </c>
      <c r="I9" s="14">
        <f>IFERROR(IF('PyG 3 Años'!$C$11="","",'PyG 3 Años'!$C$11*B9),"")</f>
        <v>17917.914763636363</v>
      </c>
      <c r="J9" s="14">
        <f>IFERROR(IF(H9="","",I9*H9),"")</f>
        <v>9317.31567709091</v>
      </c>
      <c r="K9" s="34" t="inlineStr">
        <is>
          <t>No lo sé</t>
        </is>
      </c>
      <c r="L9" s="5" t="inlineStr">
        <is>
          <t>PLAZO MÍNIMO VERIFICADO: 14 días desde la aprobación de la muestra, con mínimos de fabricación de 10 a 25 cajas (`CHS-55`). Es lo que decide si aceptas un pedido de empresa el 15 de diciembre. Y es el canal que obliga a la SEGUNDA TABLA del libro 9: el art. 5.3.b) del EUDR exige registrar a quien suministras, y conservarlo cinco años (`CHN-24`, D48). El pedido mínimo (250 euros) y los 30 días de cobro son supuestos.</t>
        </is>
      </c>
    </row>
    <row r="10" ht="62" customHeight="1">
      <c r="A10" s="9" t="inlineStr">
        <is>
          <t>Talleres y catas</t>
        </is>
      </c>
      <c r="B10" s="16" t="n">
        <v>0.06</v>
      </c>
      <c r="C10" s="16" t="n">
        <v>0.82</v>
      </c>
      <c r="D10" s="16" t="n">
        <v>0.05</v>
      </c>
      <c r="E10" s="16" t="n">
        <v>0</v>
      </c>
      <c r="F10" s="13" t="n">
        <v>0</v>
      </c>
      <c r="G10" s="32" t="n">
        <v>0</v>
      </c>
      <c r="H10" s="15">
        <f>IFERROR(C10-D10-E10,"")</f>
        <v>0.7699999999999999</v>
      </c>
      <c r="I10" s="14">
        <f>IFERROR(IF('PyG 3 Años'!$C$11="","",'PyG 3 Años'!$C$11*B10),"")</f>
        <v>11945.276509090907</v>
      </c>
      <c r="J10" s="14">
        <f>IFERROR(IF(H10="","",I10*H10),"")</f>
        <v>9197.862911999997</v>
      </c>
      <c r="K10" s="34" t="inlineStr">
        <is>
          <t>No</t>
        </is>
      </c>
      <c r="L10" s="5" t="inlineStr">
        <is>
          <t>25-45 euros/persona, mínimo habitual de 6 personas y 90-150 minutos (`CHS-30`). El aforo de 12 y las 3 horas de docente (preparación y recogida incluidas) son SUPUESTOS. LA ÚNICA LÍNEA QUE FUNCIONA EN AGOSTO y que no depende del precio del cacao: por eso su hoja calcula euros/hora de sala dando taller frente a euros/hora de la misma sala vendiendo. IVA: NO esta exento (el art. 20.Uno.10.o excluye las clases para cuya realización haya que darse de alta en las tarifas empresariales del IAE, `CHN-71b`), pero el TIPO NO SE CIERRA y la guía NO publica ninguna cifra de tipo (D42e). Y ojo con la columna del 644.5: el taller NO comercializa bombones fuera de tus dependencias, así que no rompe la nota del epígrafe. Lo que si abre es otra pregunta, y es la del propio `CHN-71b`: si la Hacienda entiende que hay que darse de alta por esta actividad, eso es un alta distinta, no un problema de la nota del 644.5. Los TRES canales que la rompen son el online, el B2B y el corporativo.</t>
        </is>
      </c>
    </row>
    <row r="11">
      <c r="A11" s="22" t="inlineStr">
        <is>
          <t>TOTAL</t>
        </is>
      </c>
      <c r="B11" s="27">
        <f>IFERROR(IF(COUNT(B6:B10)=0,"",SUM(B6:B10)),"")</f>
        <v>1.0</v>
      </c>
      <c r="C11" s="22" t="n"/>
      <c r="D11" s="22" t="n"/>
      <c r="E11" s="22" t="n"/>
      <c r="F11" s="22" t="n"/>
      <c r="G11" s="22" t="n"/>
      <c r="H11" s="27">
        <f>IFERROR(J11/I11,"")</f>
        <v>0.6413</v>
      </c>
      <c r="I11" s="24">
        <f>IFERROR(IF(COUNT(I6:I10)=0,"",SUM(I6:I10)),"")</f>
        <v>199087.9418181818</v>
      </c>
      <c r="J11" s="24">
        <f>IFERROR(IF(COUNT(J6:J10)=0,"",SUM(J6:J10)),"")</f>
        <v>127675.097088</v>
      </c>
      <c r="K11" s="22" t="n"/>
      <c r="L11" s="29" t="inlineStr">
        <is>
          <t>La columna «% de las ventas» tiene que sumar 100 %. Si no suma, todo lo de abajo está mal.</t>
        </is>
      </c>
    </row>
    <row r="12"/>
    <row r="13">
      <c r="A13" s="4" t="inlineStr">
        <is>
          <t>EL PUNTO MUERTO, CANAL A CANAL</t>
        </is>
      </c>
      <c r="B13" s="10" t="inlineStr"/>
      <c r="C13" s="10" t="inlineStr"/>
      <c r="D13" s="10" t="inlineStr"/>
      <c r="E13" s="10" t="inlineStr"/>
      <c r="F13" s="10" t="inlineStr"/>
      <c r="G13" s="10" t="inlineStr"/>
      <c r="H13" s="10" t="inlineStr"/>
      <c r="I13" s="10" t="inlineStr"/>
      <c r="J13" s="10" t="inlineStr"/>
      <c r="K13" s="10" t="inlineStr"/>
      <c r="L13" s="10" t="inlineStr"/>
    </row>
    <row r="14">
      <c r="A14" s="9" t="inlineStr">
        <is>
          <t>Costes fijos del año de crucero (€)</t>
        </is>
      </c>
      <c r="B14" s="14">
        <f>IFERROR('PyG 3 Años'!$C$31,"")</f>
        <v>122546.0313059936</v>
      </c>
    </row>
    <row r="15">
      <c r="A15" s="9" t="inlineStr">
        <is>
          <t>Costes fijos mensuales (€)</t>
        </is>
      </c>
      <c r="B15" s="14">
        <f>IFERROR(B14/12,"")</f>
        <v>10212.169275499467</v>
      </c>
    </row>
    <row r="16">
      <c r="A16" s="9" t="inlineStr">
        <is>
          <t>Margen de contribución medio ponderado (%)</t>
        </is>
      </c>
      <c r="B16" s="15">
        <f>IFERROR(H11,"")</f>
        <v>0.6413</v>
      </c>
    </row>
    <row r="17">
      <c r="A17" s="9" t="inlineStr">
        <is>
          <t>Margen bruto objetivo de la regla única (%)</t>
        </is>
      </c>
      <c r="B17" s="15">
        <f>IFERROR('0. Supuestos'!$B$26,"")</f>
        <v>0.7</v>
      </c>
    </row>
    <row r="18">
      <c r="A18" s="9" t="inlineStr">
        <is>
          <t>Lo que se llevan servir, cobrar y las comisiones (%)</t>
        </is>
      </c>
      <c r="B18" s="15">
        <f>IFERROR(B17-B16,"")</f>
        <v>0.058699999999999974</v>
      </c>
      <c r="L18" s="5" t="inlineStr">
        <is>
          <t>La diferencia entre el margen bruto objetivo de la carta y el margen de contribución real. No es un error de ninguno de los dos: es lo que cuesta poner el bombón en manos del cliente por cada vía.</t>
        </is>
      </c>
    </row>
    <row r="19">
      <c r="A19" s="23" t="inlineStr">
        <is>
          <t>Punto muerto mensual CON todos los canales (€)</t>
        </is>
      </c>
      <c r="B19" s="24">
        <f>IFERROR(IF(B16&lt;=0,"",B15/B16),"")</f>
        <v>15924.168525650191</v>
      </c>
      <c r="C19" s="22" t="n"/>
      <c r="D19" s="22" t="n"/>
      <c r="E19" s="22" t="n"/>
      <c r="F19" s="22" t="n"/>
      <c r="G19" s="22" t="n"/>
      <c r="H19" s="22" t="n"/>
      <c r="I19" s="22" t="n"/>
      <c r="J19" s="22" t="n"/>
      <c r="K19" s="22" t="n"/>
      <c r="L19" s="22" t="n"/>
    </row>
    <row r="20">
      <c r="A20" s="23" t="inlineStr">
        <is>
          <t>Punto muerto mensual SIN el canal B2B (€)</t>
        </is>
      </c>
      <c r="B20" s="24">
        <f>IFERROR(IF(OR(I11-I8&lt;=0,(J11-J8)/(I11-I8)&lt;=0),"",B15/((J11-J8)/(I11-I8))),"")</f>
        <v>15357.942979375675</v>
      </c>
      <c r="C20" s="22" t="n"/>
      <c r="D20" s="22" t="n"/>
      <c r="E20" s="22" t="n"/>
      <c r="F20" s="22" t="n"/>
      <c r="G20" s="22" t="n"/>
      <c r="H20" s="22" t="n"/>
      <c r="I20" s="22" t="n"/>
      <c r="J20" s="22" t="n"/>
      <c r="K20" s="22" t="n"/>
      <c r="L20" s="22" t="n"/>
    </row>
    <row r="21">
      <c r="A21" s="9" t="inlineStr">
        <is>
          <t>Diferencia (€/mes)</t>
        </is>
      </c>
      <c r="B21" s="14">
        <f>IFERROR(IF(OR(B20="",B19=""),"",B20-B19),"")</f>
        <v>-566.2255462745161</v>
      </c>
      <c r="L21" s="5" t="inlineStr">
        <is>
          <t>Si sale NEGATIVA, quitar el B2B te BAJA el punto muerto: ese canal estaba tirando del margen medio hacia abajo, y lo que aporta es volumen, no rentabilidad. Ojo, eso no dice que haya que cerrarlo: dice qué tienes que exigirle. Y en chocolate el B2B tiene un coste extra que no está en esta fila: es el que te puede meter en el art. 3 del RD 1021/2022.</t>
        </is>
      </c>
    </row>
    <row r="22">
      <c r="A22" s="8" t="inlineStr">
        <is>
          <t>Canal que sostiene el negocio</t>
        </is>
      </c>
      <c r="B22" s="21" t="str">
        <f>IFERROR(IF(COUNT(J6:J10)=0,"",INDEX($A$6:$A$10,MATCH(MAX($J$6:$J$10),$J$6:$J$10,0))),"")</f>
        <v>Mostrador</v>
      </c>
    </row>
    <row r="23">
      <c r="A23" s="9" t="inlineStr">
        <is>
          <t>Aporte de ese canal al margen de contribución (%)</t>
        </is>
      </c>
      <c r="B23" s="15">
        <f>IFERROR(IF(J11="","",MAX($J$6:$J$10)/J11),"")</f>
        <v>0.6767503508498363</v>
      </c>
      <c r="L23" s="5" t="inlineStr">
        <is>
          <t>Es el canal que paga el alquiler. Todo lo que pongas en marcha en los otros cuatro se financia con éste, así que lo primero que hay que proteger es su margen.</t>
        </is>
      </c>
    </row>
    <row r="24"/>
    <row r="25">
      <c r="A25" s="4" t="inlineStr">
        <is>
          <t>LA NOTA DEL EPÍGRAFE 644.5: QUÉ CANALES TE SACAN DE ELLA</t>
        </is>
      </c>
      <c r="B25" s="10" t="inlineStr"/>
      <c r="C25" s="10" t="inlineStr"/>
      <c r="D25" s="10" t="inlineStr"/>
      <c r="E25" s="10" t="inlineStr"/>
      <c r="F25" s="10" t="inlineStr"/>
      <c r="G25" s="10" t="inlineStr"/>
      <c r="H25" s="10" t="inlineStr"/>
      <c r="I25" s="10" t="inlineStr"/>
      <c r="J25" s="10" t="inlineStr"/>
      <c r="K25" s="10" t="inlineStr"/>
      <c r="L25" s="10" t="inlineStr"/>
    </row>
    <row r="26">
      <c r="A26" s="9" t="inlineStr">
        <is>
          <t>Canales que hay que consultar con tu asesor</t>
        </is>
      </c>
      <c r="B26" s="26">
        <f>IFERROR(COUNTIF(K6:K10,"No lo sé"),"")</f>
        <v>3.0</v>
      </c>
      <c r="L26" s="5" t="inlineStr">
        <is>
          <t>La nota del epígrafe 644.5 faculta para «la fabricación de bombones y caramelos en el propio establecimiento, siempre que su comercialización se realice en las propias dependencias de venta». El mostrador y el taller no la rompen; el online, el B2B y el corporativo comercializan FUERA de tus dependencias, y ésa es la pregunta. Esta hoja NO emite un epígrafe de IAE por canal, y no es un olvido: ninguna fuente lo da.</t>
        </is>
      </c>
    </row>
    <row r="27" ht="60" customHeight="1">
      <c r="A27" s="9" t="inlineStr">
        <is>
          <t>La pregunta, redactada para el asesor</t>
        </is>
      </c>
      <c r="B27" s="9" t="inlineStr">
        <is>
          <t>Mi epígrafe es el 644.5, cuya nota permite fabricar bombones «siempre que su comercialización se realice en las propias dependencias de venta». Voy a vender además por este canal: [CANAL]. Con la Regla 4.a.1 del RDLeg 1175/1990 delante -una cuota faculta exclusivamente para su actividad-, ¿ese canal me obliga a dar otra alta, y cual? Y si la respuesta es el epígrafe industrial 421.1, ¿que consecuencias tiene que el Anexo de la Ley 12/2012 liste el 644.5 y no el 421.1?</t>
        </is>
      </c>
    </row>
    <row r="28"/>
    <row r="29">
      <c r="A29" s="4" t="inlineStr">
        <is>
          <t>EL AVISO DEL ART. 3: CUÁNDO EL B2B TE CAMBIA DE RÉGIMEN</t>
        </is>
      </c>
      <c r="B29" s="10" t="inlineStr"/>
      <c r="C29" s="10" t="inlineStr"/>
      <c r="D29" s="10" t="inlineStr"/>
      <c r="E29" s="10" t="inlineStr"/>
      <c r="F29" s="10" t="inlineStr"/>
      <c r="G29" s="10" t="inlineStr"/>
      <c r="H29" s="10" t="inlineStr"/>
      <c r="I29" s="10" t="inlineStr"/>
      <c r="J29" s="10" t="inlineStr"/>
      <c r="K29" s="10" t="inlineStr"/>
      <c r="L29" s="10" t="inlineStr"/>
    </row>
    <row r="30">
      <c r="A30" s="9" t="inlineStr">
        <is>
          <t>Peso del canal B2B sobre las ventas, en euros (referencia; NO es el test del art. 3)</t>
        </is>
      </c>
      <c r="B30" s="15">
        <f>IFERROR(B8,"")</f>
        <v>0.11</v>
      </c>
    </row>
    <row r="31" ht="40" customHeight="1">
      <c r="A31" s="9" t="inlineStr">
        <is>
          <t>La vía a) del art. 3.2 se mide en VOLUMEN (kg), no en euros, y sólo cuenta a los minoristas de distinta titularidad -no toda hostelería ni el regalo corporativo-. Se resuelve en «checklist-legal-licencias-y-cacao.xlsx», hoja «Suministro a Otros Minoristas».</t>
        </is>
      </c>
    </row>
    <row r="32">
      <c r="A32" s="23" t="inlineStr">
        <is>
          <t>La vía a) del art. 3.2 se resuelve en checklist-legal-licencias-y-cacao.xlsx!Suministro a Otros Minoristas!B26</t>
        </is>
      </c>
    </row>
    <row r="33" ht="48" customHeight="1">
      <c r="A33" s="5" t="inlineStr">
        <is>
          <t>El art. 3 del RD 1021/2022 sólo se activa si suministras a establecimientos minoristas de DISTINTA titularidad. Si entras, hay que presentar declaración responsable y llevar registro de destinatarios, cantidades y fechas. Este aviso mira sólo el porcentaje EN EUROS del B2B, como referencia de negocio; el árbol legal completo -con el test en volumen- está en el libro «checklist-legal-licencias-y-cacao».</t>
        </is>
      </c>
    </row>
    <row r="34">
      <c r="A34" s="9" t="inlineStr">
        <is>
          <t>Días medios de cobro ponderados</t>
        </is>
      </c>
      <c r="B34" s="19">
        <f>IFERROR('0. Supuestos'!$B$58,"")</f>
        <v>7.65</v>
      </c>
      <c r="L34" s="5" t="inlineStr">
        <is>
          <t>Es el número que usa la hoja de Tesorería para desfasar los cobros. Sube solo en cuanto crecen el B2B y el corporativo, y ése es su coste oculto: no es sólo que dejen menos margen, es que lo dejan más tarde -y el corporativo lo deja en enero, no en diciembre-.</t>
        </is>
      </c>
    </row>
    <row r="35"/>
    <row r="36">
      <c r="A36" s="4" t="inlineStr">
        <is>
          <t>EL ENVÍO REFRIGERADO: EL NÚMERO QUE DECIDE SI EL CANAL ONLINE EXISTE</t>
        </is>
      </c>
      <c r="B36" s="10" t="inlineStr"/>
      <c r="C36" s="10" t="inlineStr"/>
      <c r="D36" s="10" t="inlineStr"/>
      <c r="E36" s="10" t="inlineStr"/>
      <c r="F36" s="10" t="inlineStr"/>
      <c r="G36" s="10" t="inlineStr"/>
      <c r="H36" s="10" t="inlineStr"/>
      <c r="I36" s="10" t="inlineStr"/>
      <c r="J36" s="10" t="inlineStr"/>
      <c r="K36" s="10" t="inlineStr"/>
      <c r="L36" s="10" t="inlineStr"/>
    </row>
    <row r="37">
      <c r="A37" s="9" t="inlineStr">
        <is>
          <t>Pedido medio del canal online (€ sin IVA)</t>
        </is>
      </c>
      <c r="B37" s="13" t="n">
        <v>35</v>
      </c>
      <c r="L37" s="5" t="inlineStr">
        <is>
          <t>SUPUESTO, y es el pedido MÍNIMO del caso. Si tu pedido medio baja de aquí, el envío se come el canal: no es que gane menos, es que trabajas para el transportista.</t>
        </is>
      </c>
    </row>
    <row r="38">
      <c r="A38" s="9" t="inlineStr">
        <is>
          <t>Coste del envío sobre el pedido medio (%)</t>
        </is>
      </c>
      <c r="B38" s="15">
        <f>IFERROR(IF(B37&lt;=0,"",F7/B37),"")</f>
        <v>0.24285714285714285</v>
      </c>
    </row>
    <row r="39">
      <c r="A39" s="8" t="inlineStr">
        <is>
          <t>Margen de contribución del online DESPUÉS del envío (%)</t>
        </is>
      </c>
      <c r="B39" s="42">
        <f>IFERROR(IF(B38="","",H7-B38),"")</f>
        <v>0.29714285714285704</v>
      </c>
    </row>
    <row r="40">
      <c r="A40" s="8" t="inlineStr">
        <is>
          <t>VEREDICTO DEL CANAL ONLINE</t>
        </is>
      </c>
      <c r="B40" s="22" t="str">
        <f>IFERROR(IF(B39="","",IF(B39&lt;=0,"El envío se come el canal: sube el pedido mínimo o cierra el online",IF(B39&lt;B16,"Aguanta, pero deja menos que el mostrador: úsalo para llegar donde no llegas, no para sustituirlo","Aguanta bien"))),"")</f>
        <v>Aguanta, pero deja menos que el mostrador: úsalo para llegar donde no llegas, no para sustituirlo</v>
      </c>
      <c r="L40" s="5" t="inlineStr">
        <is>
          <t>Y hay una cosa que no se ve en el margen: los envíos de este caso PARAN de junio a septiembre. El chocolate no viaja en verano sin cadena de frío, y eso no es un problema de coste, es de calendario.</t>
        </is>
      </c>
    </row>
    <row r="41"/>
    <row r="42" ht="46" customHeight="1">
      <c r="A42" s="5" t="inlineStr">
        <is>
          <t>Los porcentajes de esta hoja son SUPUESTOS: no existe reparto publicado por canal de una bombonería española. Son una hipótesis de trabajo coherente con el caso -mostrador mayoritario, online pequeño y parado en verano, B2B y corporativo con cobro aplazado y taller pequeño pero con el mejor margen-, y lo primero que hay que sustituir por tus propios datos del TPV en cuanto tengas tres meses.</t>
        </is>
      </c>
    </row>
    <row r="43"/>
    <row r="44">
      <c r="A44" s="43" t="inlineStr">
        <is>
          <t>Listas de validación (no las borres: las usan los desplegables)</t>
        </is>
      </c>
    </row>
    <row r="45">
      <c r="A45" s="21" t="inlineStr">
        <is>
          <t>Respuesta del 644.5</t>
        </is>
      </c>
    </row>
    <row r="46">
      <c r="A46" t="inlineStr">
        <is>
          <t>Sí</t>
        </is>
      </c>
    </row>
    <row r="47">
      <c r="A47" t="inlineStr">
        <is>
          <t>No</t>
        </is>
      </c>
    </row>
    <row r="48">
      <c r="A48" t="inlineStr">
        <is>
          <t>No lo sé</t>
        </is>
      </c>
    </row>
  </sheetData>
  <sheetProtection selectLockedCells="0" selectUnlockedCells="0" sheet="1" objects="0" insertRows="0" insertHyperlinks="1" autoFilter="1" scenarios="0" formatColumns="0" deleteColumns="1" insertColumns="1" pivotTables="1" deleteRows="1" formatCells="1" formatRows="0" sort="0"/>
  <mergeCells count="6">
    <mergeCell ref="A32:L32"/>
    <mergeCell ref="A42:L42"/>
    <mergeCell ref="A31:L31"/>
    <mergeCell ref="A33:L33"/>
    <mergeCell ref="A3:L3"/>
    <mergeCell ref="B27:L27"/>
  </mergeCells>
  <conditionalFormatting sqref="B39">
    <cfRule type="expression" priority="1" dxfId="0" stopIfTrue="1">
      <formula>=AND(ISNUMBER($B$39),$B$39&lt;0)</formula>
    </cfRule>
  </conditionalFormatting>
  <dataValidations count="1">
    <dataValidation sqref="K6 K7 K8 K9 K10" showDropDown="0" showInputMessage="0" showErrorMessage="1" allowBlank="0" errorTitle="Responde Sí, No o No lo sé" error="Elige una de las tres respuestas de la lista del pie de la hoja." type="list">
      <formula1>=$A$46:$A$48</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D59"/>
  <sheetViews>
    <sheetView workbookViewId="0">
      <selection activeCell="A1" sqref="A1"/>
    </sheetView>
  </sheetViews>
  <sheetFormatPr baseColWidth="8" defaultRowHeight="15"/>
  <cols>
    <col width="56" customWidth="1" min="1" max="1"/>
    <col width="16" customWidth="1" min="2" max="2"/>
    <col width="16" customWidth="1" min="3" max="3"/>
    <col width="88" customWidth="1" min="4" max="4"/>
  </cols>
  <sheetData>
    <row r="1" ht="28" customHeight="1">
      <c r="A1" s="1" t="inlineStr">
        <is>
          <t>Talleres y Regalo Corporativo: Las Dos Líneas que No Dependen del Cacao</t>
        </is>
      </c>
    </row>
    <row r="2">
      <c r="A2" t="inlineStr">
        <is>
          <t>AI Chef Pro · aichef.pro — Cómo Montar una Chocolatería</t>
        </is>
      </c>
    </row>
    <row r="3" ht="26" customHeight="1">
      <c r="A3" s="5" t="inlineStr">
        <is>
          <t>El taller es la única línea que funciona en agosto y a la que no le afecta el precio de la cobertura. Y el regalo corporativo es el que llena diciembre, pero cobra en enero. Esta hoja dice cuántos asistentes necesita un taller para cubrirse y qué deja una hora de sala dando taller frente a la misma hora vendiendo.</t>
        </is>
      </c>
    </row>
    <row r="4"/>
    <row r="5">
      <c r="A5" s="4" t="inlineStr">
        <is>
          <t>EL TALLER: CUÁNTOS ASISTENTES HACEN FALTA PARA QUE SE PAGUE SOLO</t>
        </is>
      </c>
      <c r="B5" s="10" t="inlineStr"/>
      <c r="C5" s="10" t="inlineStr"/>
      <c r="D5" s="10" t="inlineStr"/>
    </row>
    <row r="6">
      <c r="A6" s="9" t="inlineStr">
        <is>
          <t>Precio por persona, mínimo del rango publicado</t>
        </is>
      </c>
      <c r="B6" s="13" t="n">
        <v>25</v>
      </c>
      <c r="C6" t="inlineStr">
        <is>
          <t>€/persona</t>
        </is>
      </c>
      <c r="D6" s="5" t="inlineStr">
        <is>
          <t>Dato de mercado: los talleres y catas de bombonería se mueven entre 25 y 45 € por persona, con un mínimo habitual de 6 personas y una duración de 90 a 150 minutos. Se publica el RANGO, y el libro trabaja con el mínimo.</t>
        </is>
      </c>
    </row>
    <row r="7">
      <c r="A7" s="9" t="inlineStr">
        <is>
          <t>Precio por persona, máximo del rango publicado</t>
        </is>
      </c>
      <c r="B7" s="13" t="n">
        <v>45</v>
      </c>
      <c r="C7" t="inlineStr">
        <is>
          <t>€/persona</t>
        </is>
      </c>
      <c r="D7" s="5" t="inlineStr">
        <is>
          <t>El techo del mismo rango. Cobrar el techo exige otra cosa: cata guiada, orígenes, material para llevarse a casa.</t>
        </is>
      </c>
    </row>
    <row r="8">
      <c r="A8" s="9" t="inlineStr">
        <is>
          <t>Precio por persona que vas a cobrar</t>
        </is>
      </c>
      <c r="B8" s="13" t="n">
        <v>25</v>
      </c>
      <c r="C8" t="inlineStr">
        <is>
          <t>€/persona</t>
        </is>
      </c>
      <c r="D8" s="5" t="inlineStr">
        <is>
          <t>Sembrado con el MÍNIMO a propósito: si el taller se paga solo al precio más bajo del rango, se paga solo. Súbelo cuando tengas la sala llena dos sábados seguidos.</t>
        </is>
      </c>
    </row>
    <row r="9">
      <c r="A9" s="9" t="inlineStr">
        <is>
          <t>Aforo del taller</t>
        </is>
      </c>
      <c r="B9" s="11" t="n">
        <v>12</v>
      </c>
      <c r="C9" t="inlineStr">
        <is>
          <t>personas</t>
        </is>
      </c>
      <c r="D9" s="5" t="inlineStr">
        <is>
          <t>SUPUESTO: doce personas es lo que cabe alrededor de una mesa de mármol sin que nadie tenga que mirar por encima de otro. Tu aforo lo manda tu sala, no este número.</t>
        </is>
      </c>
    </row>
    <row r="10">
      <c r="A10" s="9" t="inlineStr">
        <is>
          <t>Mínimo de personas para hacerlo</t>
        </is>
      </c>
      <c r="B10" s="11" t="n">
        <v>6</v>
      </c>
      <c r="C10" t="inlineStr">
        <is>
          <t>personas</t>
        </is>
      </c>
      <c r="D10" s="5" t="inlineStr">
        <is>
          <t>El mínimo habitual del mercado. Por debajo de este número, el taller se pospone: no es tacañería, es que el docente cuesta lo mismo con tres que con doce.</t>
        </is>
      </c>
    </row>
    <row r="11">
      <c r="A11" s="9" t="inlineStr">
        <is>
          <t>Duración mínima publicada</t>
        </is>
      </c>
      <c r="B11" s="11" t="n">
        <v>90</v>
      </c>
      <c r="C11" t="inlineStr">
        <is>
          <t>minutos</t>
        </is>
      </c>
      <c r="D11" s="5" t="inlineStr">
        <is>
          <t>Rango publicado de mercado.</t>
        </is>
      </c>
    </row>
    <row r="12">
      <c r="A12" s="9" t="inlineStr">
        <is>
          <t>Duración máxima publicada</t>
        </is>
      </c>
      <c r="B12" s="11" t="n">
        <v>150</v>
      </c>
      <c r="C12" t="inlineStr">
        <is>
          <t>minutos</t>
        </is>
      </c>
      <c r="D12" s="5" t="inlineStr">
        <is>
          <t>Rango publicado de mercado.</t>
        </is>
      </c>
    </row>
    <row r="13">
      <c r="A13" s="9" t="inlineStr">
        <is>
          <t>Horas de docente por taller</t>
        </is>
      </c>
      <c r="B13" s="12" t="n">
        <v>3</v>
      </c>
      <c r="C13" t="inlineStr">
        <is>
          <t>horas</t>
        </is>
      </c>
      <c r="D13" s="5" t="inlineStr">
        <is>
          <t>SUPUESTO: la sesión más la preparación y la recogida. El error clásico es contar sólo los 90 minutos de cara al público: montar y desmontar un taller de templado se lleva casi otro tanto.</t>
        </is>
      </c>
    </row>
    <row r="14">
      <c r="A14" s="9" t="inlineStr">
        <is>
          <t>Coste de una hora de obrador (€)</t>
        </is>
      </c>
      <c r="B14" s="14">
        <f>IFERROR('Personal'!$B$44,"")</f>
        <v>18.49165895571712</v>
      </c>
      <c r="C14" t="inlineStr">
        <is>
          <t>€/hora</t>
        </is>
      </c>
      <c r="D14" s="5" t="inlineStr">
        <is>
          <t>Sale de la hoja de Personal: coste empresa del área de obrador entre sus horas productivas. El docente no es gratis aunque seas tú: tu hora dando taller es una hora que no estás templando.</t>
        </is>
      </c>
    </row>
    <row r="15">
      <c r="A15" s="9" t="inlineStr">
        <is>
          <t>Coste del docente por taller (€)</t>
        </is>
      </c>
      <c r="B15" s="14">
        <f>IFERROR(B13*B14,"")</f>
        <v>55.47497686715136</v>
      </c>
      <c r="C15" t="inlineStr">
        <is>
          <t>€/taller</t>
        </is>
      </c>
    </row>
    <row r="16">
      <c r="A16" s="9" t="inlineStr">
        <is>
          <t>Coste de materia y material por asistente (€)</t>
        </is>
      </c>
      <c r="B16" s="13" t="n">
        <v>3.5</v>
      </c>
      <c r="C16" t="inlineStr">
        <is>
          <t>€/persona</t>
        </is>
      </c>
      <c r="D16" s="5" t="inlineStr">
        <is>
          <t>SUPUESTO: cobertura para templar, moldes de un uso, caja para llevarse lo que ha hecho y delantal. Es lo que convierte un taller en un recuerdo, y por eso no se recorta.</t>
        </is>
      </c>
    </row>
    <row r="17">
      <c r="A17" s="9" t="inlineStr">
        <is>
          <t>Coste de servir el canal de talleres (%)</t>
        </is>
      </c>
      <c r="B17" s="15">
        <f>IFERROR('Canales y Punto Muerto'!D10,"")</f>
        <v>0.05</v>
      </c>
      <c r="D17" s="5" t="inlineStr">
        <is>
          <t>Sale de la hoja de canales: reservas, pasarela de cobro y las horas de tienda que se van en atender la inscripción.</t>
        </is>
      </c>
    </row>
    <row r="18">
      <c r="A18" s="9" t="inlineStr">
        <is>
          <t>Ingreso neto por asistente (€)</t>
        </is>
      </c>
      <c r="B18" s="14">
        <f>IFERROR(B8*(1-B17),"")</f>
        <v>23.75</v>
      </c>
      <c r="C18" t="inlineStr">
        <is>
          <t>€/persona</t>
        </is>
      </c>
    </row>
    <row r="19">
      <c r="A19" s="23" t="inlineStr">
        <is>
          <t>ASISTENTES NECESARIOS PARA CUBRIR EL PUNTO MUERTO DEL TALLER</t>
        </is>
      </c>
      <c r="B19" s="31">
        <f>IFERROR(IF(B18&lt;=0,"",B15/B18),"")</f>
        <v>2.335788499669531</v>
      </c>
      <c r="C19" s="22" t="inlineStr">
        <is>
          <t>personas</t>
        </is>
      </c>
      <c r="D19" s="25" t="inlineStr">
        <is>
          <t>Sólo contra el coste del DOCENTE, que es el criterio más conservador y el que se puede defender: es el coste que existe aunque no venga nadie. Es el número que decide si abres el calendario de talleres.</t>
        </is>
      </c>
    </row>
    <row r="20">
      <c r="A20" s="9" t="inlineStr">
        <is>
          <t>Asistentes necesarios contando también la materia y el material</t>
        </is>
      </c>
      <c r="B20" s="19">
        <f>IFERROR(IF(B18-B16&lt;=0,"",B15/(B18-B16)),"")</f>
        <v>2.7395050304766104</v>
      </c>
      <c r="C20" t="inlineStr">
        <is>
          <t>personas</t>
        </is>
      </c>
      <c r="D20" s="5" t="inlineStr">
        <is>
          <t>El mismo cálculo con el material dentro. La diferencia entre los dos números es lo que te puedes permitir regalar en una primera edición para llenar la sala.</t>
        </is>
      </c>
    </row>
    <row r="21">
      <c r="A21" s="8" t="inlineStr">
        <is>
          <t>LECTURA FRENTE AL MÍNIMO DE PERSONAS</t>
        </is>
      </c>
      <c r="B21" s="22" t="str">
        <f>IFERROR(IF(B20="","",IF(B20&lt;=B10,"El mínimo habitual de mercado ya cubre el taller: el resto es margen","Con el mínimo de mercado NO se cubre: sube el precio o baja el coste de docente")),"")</f>
        <v>El mínimo habitual de mercado ya cubre el taller: el resto es margen</v>
      </c>
    </row>
    <row r="22"/>
    <row r="23">
      <c r="A23" s="4" t="inlineStr">
        <is>
          <t>LA PREGUNTA DE VERDAD: €/HORA DE SALA DANDO TALLER FRENTE A €/HORA VENDIENDO</t>
        </is>
      </c>
      <c r="B23" s="10" t="inlineStr"/>
      <c r="C23" s="10" t="inlineStr"/>
      <c r="D23" s="10" t="inlineStr"/>
    </row>
    <row r="24">
      <c r="A24" s="9" t="inlineStr">
        <is>
          <t>Horas que la sala está ocupada por el taller</t>
        </is>
      </c>
      <c r="B24" s="19">
        <f>IFERROR(B13,"")</f>
        <v>3.0</v>
      </c>
      <c r="C24" t="inlineStr">
        <is>
          <t>horas</t>
        </is>
      </c>
      <c r="D24" s="5" t="inlineStr">
        <is>
          <t>Las mismas del docente: mientras montas, das y recoges, esa sala no vende. Si tu taller es fuera del horario de tienda, pon aquí las horas que de verdad solapan.</t>
        </is>
      </c>
    </row>
    <row r="25">
      <c r="A25" s="9" t="inlineStr">
        <is>
          <t>Ingreso del taller a aforo completo (€)</t>
        </is>
      </c>
      <c r="B25" s="14">
        <f>IFERROR(B9*B8,"")</f>
        <v>300.0</v>
      </c>
      <c r="C25" t="inlineStr">
        <is>
          <t>€/taller</t>
        </is>
      </c>
    </row>
    <row r="26">
      <c r="A26" s="8" t="inlineStr">
        <is>
          <t>Margen por hora de sala DANDO TALLER (€/hora)</t>
        </is>
      </c>
      <c r="B26" s="30">
        <f>IFERROR(IF(B24&lt;=0,"",(B25-B16*B9-B15)/B24),"")</f>
        <v>67.50834104428289</v>
      </c>
      <c r="C26" t="inlineStr">
        <is>
          <t>€/hora</t>
        </is>
      </c>
    </row>
    <row r="27">
      <c r="A27" s="9" t="inlineStr">
        <is>
          <t>Ventas de mostrador del año de crucero (€)</t>
        </is>
      </c>
      <c r="B27" s="14">
        <f>IFERROR('Canales y Punto Muerto'!I6,"")</f>
        <v>123434.52392727272</v>
      </c>
      <c r="C27" t="inlineStr">
        <is>
          <t>€/año</t>
        </is>
      </c>
    </row>
    <row r="28">
      <c r="A28" s="9" t="inlineStr">
        <is>
          <t>Horas de tienda abierta al año</t>
        </is>
      </c>
      <c r="B28" s="11" t="n">
        <v>3040</v>
      </c>
      <c r="C28" t="inlineStr">
        <is>
          <t>horas/año</t>
        </is>
      </c>
      <c r="D28" s="5" t="inlineStr">
        <is>
          <t>SUPUESTO: los días de apertura del año por diez horas de persiana levantada. Cámbialo por tu horario real, que es lo que hace que esta comparación signifique algo.</t>
        </is>
      </c>
    </row>
    <row r="29">
      <c r="A29" s="8" t="inlineStr">
        <is>
          <t>Margen por hora de sala VENDIENDO (€/hora)</t>
        </is>
      </c>
      <c r="B29" s="30">
        <f>IFERROR(IF(B28&lt;=0,"",B27*'Canales y Punto Muerto'!H6/B28),"")</f>
        <v>28.422423272727272</v>
      </c>
      <c r="C29" t="inlineStr">
        <is>
          <t>€/hora</t>
        </is>
      </c>
      <c r="D29" s="5" t="inlineStr">
        <is>
          <t>Margen de contribución del mostrador repartido entre las horas que la tienda está abierta. Es la comparación honesta: margen contra margen, hora contra hora.</t>
        </is>
      </c>
    </row>
    <row r="30">
      <c r="A30" s="9" t="inlineStr">
        <is>
          <t>Diferencia a favor del taller (€/hora)</t>
        </is>
      </c>
      <c r="B30" s="14">
        <f>IFERROR(IF(OR(B26="",B29=""),"",B26-B29),"")</f>
        <v>39.085917771555614</v>
      </c>
      <c r="C30" t="inlineStr">
        <is>
          <t>€/hora</t>
        </is>
      </c>
    </row>
    <row r="31">
      <c r="A31" s="8" t="inlineStr">
        <is>
          <t>VEREDICTO DE LA HORA DE SALA</t>
        </is>
      </c>
      <c r="B31" s="22" t="str">
        <f>IFERROR(IF(B30="","",IF(B30&gt;0,"La hora de taller deja más que la hora vendiendo: el calendario de talleres se defiende solo","La hora de taller deja MENOS que vender: hazlos fuera del horario de tienda o en agosto, cuando esa hora no vende")),"")</f>
        <v>La hora de taller deja más que la hora vendiendo: el calendario de talleres se defiende solo</v>
      </c>
    </row>
    <row r="32"/>
    <row r="33">
      <c r="A33" s="4" t="inlineStr">
        <is>
          <t>CUÁNTOS TALLERES HACEN EL 6 % DE VENTAS QUE DICE LA HOJA DE CANALES</t>
        </is>
      </c>
      <c r="B33" s="10" t="inlineStr"/>
      <c r="C33" s="10" t="inlineStr"/>
      <c r="D33" s="10" t="inlineStr"/>
    </row>
    <row r="34">
      <c r="A34" s="9" t="inlineStr">
        <is>
          <t>Talleres al mes</t>
        </is>
      </c>
      <c r="B34" s="11" t="n">
        <v>4</v>
      </c>
      <c r="C34" t="inlineStr">
        <is>
          <t>talleres/mes</t>
        </is>
      </c>
      <c r="D34" s="5" t="inlineStr">
        <is>
          <t>SUPUESTO: uno por semana, normalmente en sábado. En agosto es la única línea que sigue funcionando.</t>
        </is>
      </c>
    </row>
    <row r="35">
      <c r="A35" s="9" t="inlineStr">
        <is>
          <t>Asistentes medios por taller</t>
        </is>
      </c>
      <c r="B35" s="11" t="n">
        <v>8</v>
      </c>
      <c r="C35" t="inlineStr">
        <is>
          <t>personas</t>
        </is>
      </c>
      <c r="D35" s="5" t="inlineStr">
        <is>
          <t>SUPUESTO: dos tercios del aforo. Llenar los doce todas las semanas es una previsión, no un supuesto.</t>
        </is>
      </c>
    </row>
    <row r="36">
      <c r="A36" s="8" t="inlineStr">
        <is>
          <t>Ingresos de talleres al año (€)</t>
        </is>
      </c>
      <c r="B36" s="30">
        <f>IFERROR(B34*12*B35*B8,"")</f>
        <v>9600.0</v>
      </c>
      <c r="C36" t="inlineStr">
        <is>
          <t>€/año</t>
        </is>
      </c>
    </row>
    <row r="37">
      <c r="A37" s="9" t="inlineStr">
        <is>
          <t>Ventas del canal «talleres» según la hoja de canales (€)</t>
        </is>
      </c>
      <c r="B37" s="14">
        <f>IFERROR('Canales y Punto Muerto'!I10,"")</f>
        <v>11945.276509090907</v>
      </c>
      <c r="C37" t="inlineStr">
        <is>
          <t>€/año</t>
        </is>
      </c>
    </row>
    <row r="38">
      <c r="A38" s="9" t="inlineStr">
        <is>
          <t>Diferencia entre las dos (€)</t>
        </is>
      </c>
      <c r="B38" s="14">
        <f>IFERROR(IF(OR(B36="",B37=""),"",B36-B37),"")</f>
        <v>-2345.276509090907</v>
      </c>
      <c r="C38" t="inlineStr">
        <is>
          <t>€/año</t>
        </is>
      </c>
    </row>
    <row r="39">
      <c r="A39" s="8" t="inlineStr">
        <is>
          <t>LECTURA</t>
        </is>
      </c>
      <c r="B39" s="22" t="str">
        <f>IFERROR(IF(B38="","",IF(ABS(B38)&lt;B37,"Cuadra: el calendario de talleres sostiene el peso que le da la hoja de canales","No cuadra: o haces más talleres, o llenas más, o baja el peso del canal en la hoja de canales")),"")</f>
        <v>Cuadra: el calendario de talleres sostiene el peso que le da la hoja de canales</v>
      </c>
      <c r="D39" s="5" t="inlineStr">
        <is>
          <t>Es un CUADRE interno de este libro, no un cruce con otro fichero: sirve para que el 6 % de ventas que le da la hoja de canales al taller no sea un número puesto a ojo, sino algo que cabe en un calendario de verdad.</t>
        </is>
      </c>
    </row>
    <row r="40"/>
    <row r="41">
      <c r="A41" s="4" t="inlineStr">
        <is>
          <t>EL IVA DEL TALLER</t>
        </is>
      </c>
      <c r="B41" s="10" t="inlineStr"/>
      <c r="C41" s="10" t="inlineStr"/>
      <c r="D41" s="10" t="inlineStr"/>
    </row>
    <row r="42">
      <c r="A42" s="9" t="inlineStr">
        <is>
          <t>Tipo de IVA que vas a aplicar al taller</t>
        </is>
      </c>
      <c r="B42" t="str">
        <f>IFERROR('0. Supuestos'!$B$17,"")</f>
        <v>Pregúntaselo a tu asesor</v>
      </c>
      <c r="D42" s="5" t="inlineStr">
        <is>
          <t>Viene de «0. Supuestos», y VA SIN CIFRA a propósito.</t>
        </is>
      </c>
    </row>
    <row r="43" ht="76" customHeight="1">
      <c r="A43" s="5" t="inlineStr">
        <is>
          <t>Lo que SÍ está cerrado: un taller de bombonería NO está exento de IVA. El art. 20.Uno.10.º de la Ley del IVA excluye de la exención de la enseñanza las clases «para cuya realización sea necesario darse de alta en las tarifas de actividades empresariales o artísticas del IAE», que es exactamente tu caso. Lo que NO está cerrado es el TIPO: el art. 91 no nombra los talleres, y esta guía no publica una cifra que no pueda sostener. Y ojo, que son dos preguntas distintas: el taller no rompe la nota del epígrafe 644.5 -no comercializas bombones fuera de tus dependencias-, pero sí abre la pregunta de si hay que darse de alta por esta actividad, que es un alta distinta.</t>
        </is>
      </c>
    </row>
    <row r="44"/>
    <row r="45">
      <c r="A45" s="4" t="inlineStr">
        <is>
          <t>EL REGALO CORPORATIVO: LLENA DICIEMBRE Y COBRA EN ENERO</t>
        </is>
      </c>
      <c r="B45" s="10" t="inlineStr"/>
      <c r="C45" s="10" t="inlineStr"/>
      <c r="D45" s="10" t="inlineStr"/>
    </row>
    <row r="46">
      <c r="A46" s="9" t="inlineStr">
        <is>
          <t>Pedido mínimo que aceptas (€ sin IVA)</t>
        </is>
      </c>
      <c r="B46" s="13" t="n">
        <v>250</v>
      </c>
      <c r="C46" t="inlineStr">
        <is>
          <t>€/pedido</t>
        </is>
      </c>
      <c r="D46" s="5" t="inlineStr">
        <is>
          <t>SUPUESTO. Por debajo de un mínimo, un pedido de empresa cuesta más en muestras, llamadas y personalización de lo que deja.</t>
        </is>
      </c>
    </row>
    <row r="47">
      <c r="A47" s="9" t="inlineStr">
        <is>
          <t>Días de cobro del canal corporativo</t>
        </is>
      </c>
      <c r="B47" s="11" t="n">
        <v>30</v>
      </c>
      <c r="C47" t="inlineStr">
        <is>
          <t>días</t>
        </is>
      </c>
      <c r="D47" s="5" t="inlineStr">
        <is>
          <t>SUPUESTO: 30 días. Lo que significa de verdad es que la caja de diciembre entra en enero, justo después de haber pagado la cobertura en octubre y las extras en diciembre.</t>
        </is>
      </c>
    </row>
    <row r="48">
      <c r="A48" s="9" t="inlineStr">
        <is>
          <t>Plazo mínimo desde que aprueban la muestra</t>
        </is>
      </c>
      <c r="B48" s="11" t="n">
        <v>14</v>
      </c>
      <c r="C48" t="inlineStr">
        <is>
          <t>días</t>
        </is>
      </c>
      <c r="D48" s="5" t="inlineStr">
        <is>
          <t>DATO DE MERCADO VERIFICADO: catorce días desde la aprobación de la muestra, con mínimos de fabricación de 10 a 25 cajas. Es lo que decide si aceptas un pedido de empresa el 15 de diciembre: la respuesta casi siempre es que no.</t>
        </is>
      </c>
    </row>
    <row r="49">
      <c r="A49" s="9" t="inlineStr">
        <is>
          <t>Mínimo de fabricación, suelo del rango</t>
        </is>
      </c>
      <c r="B49" s="11" t="n">
        <v>10</v>
      </c>
      <c r="C49" t="inlineStr">
        <is>
          <t>cajas</t>
        </is>
      </c>
      <c r="D49" s="5" t="inlineStr">
        <is>
          <t>Rango publicado de mercado.</t>
        </is>
      </c>
    </row>
    <row r="50">
      <c r="A50" s="9" t="inlineStr">
        <is>
          <t>Mínimo de fabricación, techo del rango</t>
        </is>
      </c>
      <c r="B50" s="11" t="n">
        <v>25</v>
      </c>
      <c r="C50" t="inlineStr">
        <is>
          <t>cajas</t>
        </is>
      </c>
      <c r="D50" s="5" t="inlineStr">
        <is>
          <t>Rango publicado de mercado.</t>
        </is>
      </c>
    </row>
    <row r="51">
      <c r="A51" s="9" t="inlineStr">
        <is>
          <t>Pedidos corporativos al año</t>
        </is>
      </c>
      <c r="B51" s="11" t="n">
        <v>40</v>
      </c>
      <c r="C51" t="inlineStr">
        <is>
          <t>pedidos/año</t>
        </is>
      </c>
      <c r="D51" s="5" t="inlineStr">
        <is>
          <t>SUPUESTO. La mayoría se concentran en noviembre y diciembre, y por eso la agenda se cierra en octubre.</t>
        </is>
      </c>
    </row>
    <row r="52">
      <c r="A52" s="9" t="inlineStr">
        <is>
          <t>Facturación del canal corporativo (€/año)</t>
        </is>
      </c>
      <c r="B52" s="14">
        <f>IFERROR(B51*B46,"")</f>
        <v>10000.0</v>
      </c>
      <c r="C52" t="inlineStr">
        <is>
          <t>€/año</t>
        </is>
      </c>
    </row>
    <row r="53">
      <c r="A53" s="9" t="inlineStr">
        <is>
          <t>Margen de contribución que deja (€/año)</t>
        </is>
      </c>
      <c r="B53" s="14">
        <f>IFERROR(B52*'Canales y Punto Muerto'!H9,"")</f>
        <v>5200.0</v>
      </c>
      <c r="C53" t="inlineStr">
        <is>
          <t>€/año</t>
        </is>
      </c>
    </row>
    <row r="54">
      <c r="A54" s="9" t="inlineStr">
        <is>
          <t>Caja inmovilizada por el aplazamiento (€)</t>
        </is>
      </c>
      <c r="B54" s="14">
        <f>IFERROR(B52*B47/365,"")</f>
        <v>821.917808219178</v>
      </c>
      <c r="C54" t="inlineStr">
        <is>
          <t>€</t>
        </is>
      </c>
      <c r="D54" s="5" t="inlineStr">
        <is>
          <t>Lo que tienes prestado a tus clientes de empresa en todo momento. No es un gasto, pero es dinero que no está en tu cuenta, y en diciembre es justo cuando hace falta.</t>
        </is>
      </c>
    </row>
    <row r="55">
      <c r="A55" s="9" t="inlineStr">
        <is>
          <t>Lo que cuesta financiar esa caja (€/año)</t>
        </is>
      </c>
      <c r="B55" s="14">
        <f>IFERROR(B54*'0. Supuestos'!$B$42,"")</f>
        <v>50.958904109589035</v>
      </c>
      <c r="C55" t="inlineStr">
        <is>
          <t>€/año</t>
        </is>
      </c>
      <c r="D55" s="5" t="inlineStr">
        <is>
          <t>Al mismo tipo que tu préstamo. Es pequeño comparado con el margen del canal, y aun así conviene verlo escrito: financiar a un cliente no es gratis.</t>
        </is>
      </c>
    </row>
    <row r="56">
      <c r="A56" s="23" t="inlineStr">
        <is>
          <t>FECHA LÍMITE PARA ACEPTAR UN PEDIDO CORPORATIVO</t>
        </is>
      </c>
      <c r="B56" s="37">
        <f>IFERROR(IF('Tesorería 12 meses'!$B$45="","",'Tesorería 12 meses'!$B$45-B48),"")</f>
        <v>46657.0</v>
      </c>
      <c r="C56" s="22" t="n"/>
      <c r="D56" s="25" t="inlineStr">
        <is>
          <t>La fecha límite de cierre de pedidos de Navidad que calcula la hoja de Tesorería, MENOS los catorce días que van desde que el cliente aprueba la muestra hasta que puedes servir. Los dos plazos se suman, y por eso la agenda corporativa se cierra antes que la de particulares.</t>
        </is>
      </c>
    </row>
    <row r="57">
      <c r="A57" s="8" t="inlineStr">
        <is>
          <t>LECTURA DEL CANAL CORPORATIVO</t>
        </is>
      </c>
      <c r="B57" s="22" t="str">
        <f>IFERROR(IF(B56="","",IF(MONTH(B56)&lt;=10,"Tienes que cerrar la agenda corporativa en octubre o antes: septiembre es el mes de llamar","Llegas a noviembre, pero vas justo: una muestra rechazada te deja sin el pedido")),"")</f>
        <v>Tienes que cerrar la agenda corporativa en octubre o antes: septiembre es el mes de llamar</v>
      </c>
    </row>
    <row r="58"/>
    <row r="59" ht="62" customHeight="1">
      <c r="A59" s="5" t="inlineStr">
        <is>
          <t>Las dos líneas de esta hoja tienen algo en común y conviene decirlo: NO dependen del precio del cacao. El taller vende tiempo y experiencia, y el corporativo vende un encargo cerrado con precio pactado. Por eso son las dos que sostienen un año en el que la cobertura suba un 40 %, y por eso el taller es lo único que funciona en agosto, cuando el obrador está parado y la tienda vive del turista. Lo que no son es un plan B: son dos canales con su propio coste de personal y su propio calendario.</t>
        </is>
      </c>
    </row>
  </sheetData>
  <sheetProtection selectLockedCells="0" selectUnlockedCells="0" sheet="1" objects="0" insertRows="0" insertHyperlinks="1" autoFilter="1" scenarios="0" formatColumns="0" deleteColumns="1" insertColumns="1" pivotTables="1" deleteRows="1" formatCells="1" formatRows="0" sort="0"/>
  <mergeCells count="3">
    <mergeCell ref="A3:D3"/>
    <mergeCell ref="A59:D59"/>
    <mergeCell ref="A43:D43"/>
  </mergeCells>
  <conditionalFormatting sqref="B30">
    <cfRule type="expression" priority="1" dxfId="0" stopIfTrue="1">
      <formula>=AND(ISNUMBER($B$30),$B$30&lt;0)</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a 3 años</dc:title>
  <dc:subject xmlns:dc="http://purl.org/dc/elements/1.1/">Cómo Montar una Chocolatería · Versión 1.0 · septiembre 2026</dc:subject>
  <dcterms:created xmlns:dcterms="http://purl.org/dc/terms/" xmlns:xsi="http://www.w3.org/2001/XMLSchema-instance" xsi:type="dcterms:W3CDTF">2026-09-19T12:16:56Z</dcterms:created>
  <dcterms:modified xmlns:dcterms="http://purl.org/dc/terms/" xmlns:xsi="http://www.w3.org/2001/XMLSchema-instance" xsi:type="dcterms:W3CDTF">2026-09-19T12:16:57Z</dcterms:modified>
  <cp:lastModifiedBy>AI Chef Pro</cp:lastModifiedBy>
</cp:coreProperties>
</file>