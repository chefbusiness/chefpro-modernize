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APEX por Bloque" sheetId="3" state="visible" r:id="rId3"/>
    <sheet xmlns:r="http://schemas.openxmlformats.org/officeDocument/2006/relationships" name="Variante del Formato" sheetId="4" state="visible" r:id="rId4"/>
    <sheet xmlns:r="http://schemas.openxmlformats.org/officeDocument/2006/relationships" name="Traspaso vs Obra Nueva" sheetId="5" state="visible" r:id="rId5"/>
    <sheet xmlns:r="http://schemas.openxmlformats.org/officeDocument/2006/relationships" name="IVA y Tesorería" sheetId="6" state="visible" r:id="rId6"/>
    <sheet xmlns:r="http://schemas.openxmlformats.org/officeDocument/2006/relationships" name="Resumen" sheetId="7" state="visible" r:id="rId7"/>
  </sheets>
  <definedNames>
    <definedName name="_xlnm.Print_Titles" localSheetId="1">'Parámetros'!$5:$5</definedName>
    <definedName name="_xlnm.Print_Titles" localSheetId="2">'CAPEX por Bloque'!$5:$5</definedName>
    <definedName name="_xlnm.Print_Titles" localSheetId="3">'Variante del Formato'!$6:$6</definedName>
    <definedName name="_xlnm.Print_Titles" localSheetId="4">'Traspaso vs Obra Nueva'!$25:$25</definedName>
    <definedName name="_xlnm.Print_Titles" localSheetId="5">'IVA y Tesorería'!$5:$5</definedName>
    <definedName name="_xlnm.Print_Titles" localSheetId="6">'Resumen'!$5:$5</definedName>
  </definedNames>
  <calcPr calcId="124519" fullCalcOnLoad="1"/>
</workbook>
</file>

<file path=xl/styles.xml><?xml version="1.0" encoding="utf-8"?>
<styleSheet xmlns="http://schemas.openxmlformats.org/spreadsheetml/2006/main">
  <numFmts count="3">
    <numFmt numFmtId="164" formatCode="#,##0.0"/>
    <numFmt numFmtId="165" formatCode="#,##0.00 €"/>
    <numFmt numFmtId="166" formatCode="0.0%"/>
  </numFmts>
  <fonts count="8">
    <font>
      <name val="Calibri"/>
      <family val="2"/>
      <color theme="1"/>
      <sz val="11"/>
      <scheme val="minor"/>
    </font>
    <font>
      <b val="1"/>
      <color rgb="00FFD700"/>
      <sz val="16"/>
    </font>
    <font>
      <i val="1"/>
      <sz val="9"/>
    </font>
    <font>
      <b val="1"/>
      <color theme="1"/>
      <sz val="11"/>
    </font>
    <font>
      <b val="1"/>
      <sz val="12"/>
    </font>
    <font>
      <b val="1"/>
      <color rgb="00FFFFFF"/>
      <sz val="10"/>
    </font>
    <font>
      <b val="1"/>
      <sz val="11"/>
    </font>
    <font>
      <color theme="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2" fillId="0" borderId="0" applyAlignment="1" pivotButton="0" quotePrefix="0" xfId="0">
      <alignment horizontal="general" vertical="top" wrapText="1"/>
    </xf>
    <xf numFmtId="164" fontId="0" fillId="2" borderId="0" applyProtection="1" pivotButton="0" quotePrefix="0" xfId="0">
      <protection locked="0" hidden="0"/>
    </xf>
    <xf numFmtId="165" fontId="0" fillId="2" borderId="0" applyProtection="1" pivotButton="0" quotePrefix="0" xfId="0">
      <protection locked="0" hidden="0"/>
    </xf>
    <xf numFmtId="165" fontId="0" fillId="0" borderId="0" pivotButton="0" quotePrefix="0" xfId="0"/>
    <xf numFmtId="166" fontId="0" fillId="2" borderId="0" applyProtection="1" pivotButton="0" quotePrefix="0" xfId="0">
      <protection locked="0" hidden="0"/>
    </xf>
    <xf numFmtId="3" fontId="0" fillId="2" borderId="0" applyProtection="1" pivotButton="0" quotePrefix="0" xfId="0">
      <protection locked="0" hidden="0"/>
    </xf>
    <xf numFmtId="3" fontId="0" fillId="0" borderId="0" pivotButton="0" quotePrefix="0" xfId="0"/>
    <xf numFmtId="166" fontId="0" fillId="0" borderId="0" pivotButton="0" quotePrefix="0" xfId="0"/>
    <xf numFmtId="0" fontId="3" fillId="0" borderId="0" pivotButton="0" quotePrefix="0" xfId="0"/>
    <xf numFmtId="165" fontId="6" fillId="4" borderId="0" pivotButton="0" quotePrefix="0" xfId="0"/>
    <xf numFmtId="165" fontId="3" fillId="0" borderId="0" pivotButton="0" quotePrefix="0" xfId="0"/>
    <xf numFmtId="0" fontId="3" fillId="0" borderId="0" applyAlignment="1" pivotButton="0" quotePrefix="0" xfId="0">
      <alignment horizontal="general" vertical="top" wrapText="1"/>
    </xf>
    <xf numFmtId="0" fontId="6" fillId="4" borderId="0" pivotButton="0" quotePrefix="0" xfId="0"/>
    <xf numFmtId="0" fontId="6" fillId="4" borderId="0" applyAlignment="1" pivotButton="0" quotePrefix="0" xfId="0">
      <alignment horizontal="general" vertical="top" wrapText="1"/>
    </xf>
    <xf numFmtId="0" fontId="7" fillId="0" borderId="0" applyAlignment="1" pivotButton="0" quotePrefix="0" xfId="0">
      <alignment horizontal="general" vertical="top" wrapText="1"/>
    </xf>
    <xf numFmtId="165" fontId="7" fillId="0" borderId="0" pivotButton="0" quotePrefix="0" xfId="0"/>
    <xf numFmtId="164" fontId="0" fillId="0"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A10"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A20" authorId="0" shapeId="0">
      <text>
        <t>Verificado el 12-09-2026 · Ley 7/2022 (BOE-A-2022-5809), art. 75.f) · https://www.boe.es/buscar/act.php?id=BOE-A-2022-5809</t>
      </text>
    </comment>
    <comment ref="A21" authorId="0" shapeId="0">
      <text>
        <t>Verificado el 12-09-2026 · Ley 7/2022, de 8 de abril, de residuos y suelos contaminados para una economía circular (BOE-A-2022-5809), texto consolidado · «Última modificación: 02 de abril de 2025» (Arts.) · https://www.boe.es/buscar/act.php?id=BOE-A-2022-5809</t>
      </text>
    </comment>
  </commentList>
</comments>
</file>

<file path=xl/comments/comment2.xml><?xml version="1.0" encoding="utf-8"?>
<comments xmlns="http://schemas.openxmlformats.org/spreadsheetml/2006/main">
  <authors>
    <author>AI Chef Pro</author>
  </authors>
  <commentList>
    <comment ref="P18" authorId="0" shapeId="0">
      <text>
        <t>Verificado el 12-09-2026 · Ley 7/2022 (BOE-A-2022-5809), arts. 68.1.a) y 73.d) · https://www.boe.es/buscar/act.php?id=BOE-A-2022-5809</t>
      </text>
    </comment>
    <comment ref="P21" authorId="0" shapeId="0">
      <text>
        <t>Verificado el 12-09-2026 · Real Decreto 1007/2023 (BOE-A-2023-24840), D.F. cuarta y art. 3.1 del Reglamento · «Última modificación: 03 de diciembre de 2025» · https://www.boe.es/buscar/act.php?id=BOE-A-2023-24840</t>
      </text>
    </comment>
    <comment ref="P23"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P26" authorId="0" shapeId="0">
      <text>
        <t>Verificado el 12-09-2026 · Ley 12/2012, de 26 de diciembre, de medidas urgentes de liberalización del comercio y de determinados servicios (BOE-A-2012-15595), texto consolidado · «Última modificación: 29... (Arts.) · https://www.boe.es/buscar/act.php?id=BOE-A-2012-15595</t>
      </text>
    </comment>
    <comment ref="P27"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List>
</comments>
</file>

<file path=xl/comments/comment3.xml><?xml version="1.0" encoding="utf-8"?>
<comments xmlns="http://schemas.openxmlformats.org/spreadsheetml/2006/main">
  <authors>
    <author>AI Chef Pro</author>
  </authors>
  <commentList>
    <comment ref="H8" authorId="0" shapeId="0">
      <text>
        <t>Verificado el 12-09-2026 · Reglamento (UE) 2023/1115 del Parlamento Europeo y del Consejo, de 31 de mayo de 2023 (EUDR) · texto consolidado CELEX:02023R1115-20251226 (versión 26-12-2025, 002.001) (Arts.) · https://eur-lex.europa.eu/legal-content/ES/TXT/HTML/?uri=CELEX:02023R1115-20251226</t>
      </text>
    </comment>
    <comment ref="H9"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H14" authorId="0" shapeId="0">
      <text>
        <t>Verificado el 12-09-2026 · Real Decreto 100/2011, de 28 de enero, por el que se actualiza el catálogo de actividades potencialmente contaminadoras de la atmósfera (BOE-A-2011-1643), texto consolidado · «Última modificación: 23 de diciembre de 2017» · https://www.boe.es/buscar/act.php?id=BOE-A-2011-1643</t>
      </text>
    </comment>
    <comment ref="C42" authorId="0" shapeId="0">
      <text>
        <t>Verificado el 12-09-2026 · Real Decreto 919/2006 (BOE-A-2006-15345), ITC-ICG 07, apartados 3.3 y 4.1 · «Última modificación: 03-09-2025» · https://www.boe.es/buscar/act.php?id=BOE-A-2006-15345</t>
      </text>
    </comment>
  </commentList>
</comments>
</file>

<file path=xl/comments/comment4.xml><?xml version="1.0" encoding="utf-8"?>
<comments xmlns="http://schemas.openxmlformats.org/spreadsheetml/2006/main">
  <authors>
    <author>AI Chef Pro</author>
  </authors>
  <commentList>
    <comment ref="A33" authorId="0" shapeId="0">
      <text>
        <t>Verificado el 12-09-2026 · Ley 7/2022 (BOE-A-2022-5809), art. 75.f) · https://www.boe.es/buscar/act.php?id=BOE-A-2022-5809</t>
      </text>
    </comment>
    <comment ref="A38" authorId="0" shapeId="0">
      <text>
        <t>Verificado el 12-09-2026 · Ley 7/2022 (BOE-A-2022-5809), arts. 68.1.a) y 73.d) · https://www.boe.es/buscar/act.php?id=BOE-A-2022-5809</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fitToPage="1"/>
  </sheetPr>
  <dimension ref="A1:C39"/>
  <sheetViews>
    <sheetView workbookViewId="0">
      <pane ySplit="24" topLeftCell="A25" activePane="bottomLeft" state="frozen"/>
      <selection pane="bottomLeft" activeCell="A1" sqref="A1"/>
    </sheetView>
  </sheetViews>
  <sheetFormatPr baseColWidth="8" defaultRowHeight="15"/>
  <cols>
    <col width="46" customWidth="1" min="1" max="1"/>
    <col width="46" customWidth="1" min="2" max="2"/>
    <col width="46" customWidth="1" min="3" max="3"/>
  </cols>
  <sheetData>
    <row r="1" ht="30" customHeight="1">
      <c r="A1" s="1" t="inlineStr">
        <is>
          <t>Calculadora de inversión inicial (CAPEX)</t>
        </is>
      </c>
    </row>
    <row r="2">
      <c r="A2" t="inlineStr">
        <is>
          <t>AI Chef Pro · aichef.pro — Cómo Montar una Chocolatería</t>
        </is>
      </c>
    </row>
    <row r="3">
      <c r="A3" s="2" t="inlineStr">
        <is>
          <t>Para qué sirve: saber cuánto dinero necesitas de verdad para abrir una chocolatería, y si sale mejor un traspaso o una obra nueva.</t>
        </is>
      </c>
    </row>
    <row r="4"/>
    <row r="5">
      <c r="A5" s="3" t="inlineStr">
        <is>
          <t>Instrucciones de uso</t>
        </is>
      </c>
    </row>
    <row r="6" ht="68" customHeight="1">
      <c r="A6" s="4" t="inlineStr">
        <is>
          <t>1. Hoja «Parámetros»: los metros del local, el precio por m² de la obra, los tipos de IVA, la renta, el horizonte de comparación y los kilos de plástico que importas. Todo lo que calcula el libro sale de aquí.</t>
        </is>
      </c>
    </row>
    <row r="7" ht="68" customHeight="1">
      <c r="A7" s="4" t="inlineStr">
        <is>
          <t>2. Hoja «CAPEX por Bloque»: una fila por partida. Escribe el mínimo y el máximo que te hayan presupuestado y el importe con el que trabajas, di si ESE importe lleva IVA y a qué tipo, y marca «No» en lo que no vayas a comprar. La hoja lleva todo a base imponible antes de sumar, que es la única forma de que el total signifique algo. Abajo va el cruce con el libro 7: el fondo de maniobra llega YA CALCULADO de allí.</t>
        </is>
      </c>
    </row>
    <row r="8" ht="68" customHeight="1">
      <c r="A8" s="4" t="inlineStr">
        <is>
          <t>3. Hoja «Variante del Formato»: tu chocolatería puede no ser la del ejemplo. Tres variantes -bombonería, bean-to-bar y taza y churros-, la lista de la compra del bean-to-bar SIN precios inventados, y la comparación con la franquicia.</t>
        </is>
      </c>
    </row>
    <row r="9" ht="68" customHeight="1">
      <c r="A9" s="4" t="inlineStr">
        <is>
          <t>4. Hoja «Traspaso vs Obra Nueva»: el precio del traspaso no es lo que cuesta el traspaso. Mete la renta de los dos casos, los meses que estarás parado en cada uno y los años del contrato, y compara el coste completo. Abajo, ocho traspasos reales para que veas la horquilla.</t>
        </is>
      </c>
    </row>
    <row r="10" ht="68" customHeight="1">
      <c r="A10" s="4" t="inlineStr">
        <is>
          <t>5. Hoja «IVA y Tesorería»: cuánto IVA adelantas, cuándo vuelve, cuánta caja tienes que tener el día que abres y si el impuesto al plástico te afecta o no. Es la hoja que más sorprende.</t>
        </is>
      </c>
    </row>
    <row r="11" ht="68" customHeight="1">
      <c r="A11" s="4" t="inlineStr">
        <is>
          <t>6. Hoja «Resumen»: las cifras que hay que llevar al banco, todas calculadas desde las hojas anteriores.</t>
        </is>
      </c>
    </row>
    <row r="12"/>
    <row r="13">
      <c r="A13" s="5" t="inlineStr">
        <is>
          <t>Celdas verdes = campos editables</t>
        </is>
      </c>
    </row>
    <row r="14"/>
    <row r="15">
      <c r="A15" s="3" t="inlineStr">
        <is>
          <t>Lo que conviene saber antes de empezar</t>
        </is>
      </c>
    </row>
    <row r="16" ht="80" customHeight="1">
      <c r="A16" s="4" t="inlineStr">
        <is>
          <t>LA COLUMNA «¿EL PRECIO LLEVA IVA?» ES LA QUE HACE QUE LA SUMA SIRVA. Unos distribuidores publican con IVA, otros sin él, y hay fichas que no lo dicen: en este presupuesto la vitrina viene con base SIN IVA declarada y las máquinas de templado, con base NO DECLARADA. Sumar los dos tipos de precio desvía la inversión un 21 % y no lo ve nadie, porque el total sale «razonable». Aquí cada línea declara la base de SU FUENTE y, aparte, la del importe que escribes tú.</t>
        </is>
      </c>
    </row>
    <row r="17" ht="80" customHeight="1">
      <c r="A17" s="4" t="inlineStr">
        <is>
          <t>LO QUE NO TIENE PRECIO PUBLICADO VIENE MARCADO «SUPUESTO», Y LO QUE TIENE RANGO VIENE COMO RANGO. Los moldes de policarbonato NO son «24 x 30 €»: el único dato medido es 24,20-42,83 € por unidad, así que 24 moldes valen entre 580,80 y 1.027,92 €, y el valor por defecto es el punto medio. El mantenedor es un «desde 570 €», que es un suelo comercial y no el precio de la unidad que vas a comprar. Escribir una multiplicación con un precio unitario elegido a ojo es el error que esta guía no comete.</t>
        </is>
      </c>
    </row>
    <row r="18" ht="80" customHeight="1">
      <c r="A18" s="4" t="inlineStr">
        <is>
          <t>EL FONDO DE MANIOBRA NO SE CALCULA AQUÍ, Y ES A PROPÓSITO. Es «meses de colchón x gastos fijos mensuales», y los dos factores viven en el libro 7 (plan financiero), que es donde están los gastos fijos. Así que este libro no te pide los meses de colchón: recibe el fondo YA CALCULADO en una celda verde y lo cuadra. Si cada libro lo calculase por su cuenta, los dos publicarían dos inversiones totales distintas con el mismo nombre, y ésa es exactamente la clase de error que se paga delante del banco.</t>
        </is>
      </c>
    </row>
    <row r="19" ht="80" customHeight="1">
      <c r="A19" s="4" t="inlineStr">
        <is>
          <t>EL PRECIO DE UN TRASPASO NO ES LO QUE CUESTA UN TRASPASO. Los ocho de la tabla son precios PEDIDOS en anuncios leídos el 12-09-2026, no precios pagados, y ninguno viene con su cuenta de resultados. Sirven para ver la horquilla y para negociar, nunca para valorar un negocio. Y tres de ellos son de churrería-chocolatería, que es OTRO formato: están marcados.</t>
        </is>
      </c>
    </row>
    <row r="20" ht="80" customHeight="1">
      <c r="A20" s="4" t="inlineStr">
        <is>
          <t>LA FIANZA NO ES UN GASTO Y EL PACKAGING TAMPOCO ES INVERSIÓN. La primera es un depósito que vuelve; el segundo son existencias. Los dos hay que tenerlos el día de la firma, así que están en el CAPEX, pero salen de la comparación con cualquier presupuesto de obra y equipamiento: si no, estarías comparando dos cosas distintas.</t>
        </is>
      </c>
    </row>
    <row r="21" ht="80" customHeight="1">
      <c r="A21" s="4" t="inlineStr">
        <is>
          <t>LAS DOS CIFRAS DE DOTACIÓN QUE CIRCULAN POR AHÍ NO SON PRESUPUESTOS DE APERTURA. El arranque mínimo con atemperadora de sobremesa y el profesional con continua se diferencian en un factor 4, y ése es el hallazgo que hay que quedarse: cualquier cifra publicada que no diga cuál de los dos describe no sirve para decidir nada. Los dos rangos están en la hoja de CAPEX, con su etiqueta pegada, y esta guía NO los resta ni los compara como si fueran cifras fiscales, porque mezclan bases de IVA.</t>
        </is>
      </c>
    </row>
    <row r="22"/>
    <row r="23">
      <c r="A23" s="3" t="inlineStr">
        <is>
          <t>Dónde acaba este libro y dónde sigue otro</t>
        </is>
      </c>
    </row>
    <row r="24" ht="26" customHeight="1">
      <c r="A24" s="6" t="inlineStr">
        <is>
          <t>Lo que necesitas</t>
        </is>
      </c>
      <c r="B24" s="6" t="inlineStr">
        <is>
          <t>Dónde está</t>
        </is>
      </c>
      <c r="C24" s="6" t="inlineStr">
        <is>
          <t>Por qué no está aquí</t>
        </is>
      </c>
    </row>
    <row r="25" ht="62" customHeight="1">
      <c r="A25" s="4" t="inlineStr">
        <is>
          <t>A quién compras cada máquina, a qué precio negociado y con qué plazo de entrega</t>
        </is>
      </c>
      <c r="B25" s="4" t="inlineStr">
        <is>
          <t>Libro 9: checklist-equipamiento-y-proveedores-cacao.xlsx</t>
        </is>
      </c>
      <c r="C25" s="4" t="inlineStr">
        <is>
          <t>Aquí la máquina entra sólo por su importe. El plazo de entrega no cambia el CAPEX: cambia la fecha de apertura, y eso es el libro 8.</t>
        </is>
      </c>
    </row>
    <row r="26" ht="62" customHeight="1">
      <c r="A26" s="4" t="inlineStr">
        <is>
          <t>El P&amp;L a tres años, la tesorería mes a mes, los gastos fijos y el cuadro de la deuda</t>
        </is>
      </c>
      <c r="B26" s="4" t="inlineStr">
        <is>
          <t>Libro 7: plan-financiero-3-anos-chocolateria.xlsx</t>
        </is>
      </c>
      <c r="C26" s="4" t="inlineStr">
        <is>
          <t>De ese libro sale el FONDO DE MANIOBRA ya calculado, que aquí llega en una celda verde con su fila de cuadre. Los meses de colchón se deciden allí, no aquí: si se decidieran en los dos sitios, el fondo se calcularía dos veces.</t>
        </is>
      </c>
    </row>
    <row r="27" ht="62" customHeight="1">
      <c r="A27" s="4" t="inlineStr">
        <is>
          <t>Si ese local sirve, si se puede climatizar y cuántos bombones al día aguanta el equipo</t>
        </is>
      </c>
      <c r="B27" s="4" t="inlineStr">
        <is>
          <t>Libro 1: capacidad-obrador-y-clima.xlsx</t>
        </is>
      </c>
      <c r="C27" s="4" t="inlineStr">
        <is>
          <t>Comprar bien empieza por saber qué necesitas, no cuánto cuesta. Los dos libros comparten los mismos 75 m² y la misma columna de IVA.</t>
        </is>
      </c>
    </row>
    <row r="28" ht="62" customHeight="1">
      <c r="A28" s="4" t="inlineStr">
        <is>
          <t>Qué papeles te tocan, en qué orden y cuándo abres</t>
        </is>
      </c>
      <c r="B28" s="4" t="inlineStr">
        <is>
          <t>Libro 8: checklist-legal-licencias-y-cacao.xlsx</t>
        </is>
      </c>
      <c r="C28" s="4" t="inlineStr">
        <is>
          <t>Las tasas, el proyecto técnico y la comunicación al registro autonómico están aquí como IMPORTE; el procedimiento y el calendario, allí.</t>
        </is>
      </c>
    </row>
    <row r="29" ht="62" customHeight="1">
      <c r="A29" s="4" t="inlineStr">
        <is>
          <t>Cómo funciona el impuesto al plástico y qué tienes que registrar</t>
        </is>
      </c>
      <c r="B29" s="4" t="inlineStr">
        <is>
          <t>Capítulo 13 de la guía</t>
        </is>
      </c>
      <c r="C29" s="4" t="inlineStr">
        <is>
          <t>Esta hoja sólo emite la ALERTA cuando pasas el umbral de los 5 kg al mes. Explicarlo entero dentro de una calculadora sería esconder la explicación donde nadie la lee.</t>
        </is>
      </c>
    </row>
    <row r="30" ht="62" customHeight="1">
      <c r="A30" s="4" t="inlineStr">
        <is>
          <t>Presupuestos de proveedor por partida y hoja de compra</t>
        </is>
      </c>
      <c r="B30" s="4" t="inlineStr">
        <is>
          <t>kit-tareas-chocolateria/02-partidas-produccion.xlsx (kit de 12 €)</t>
        </is>
      </c>
      <c r="C30" s="4" t="inlineStr">
        <is>
          <t>El kit trae la plantilla de negociación por proveedor; esta calculadora sólo suma lo que ya has decidido comprar. No cubre la inversión: es la ficha con la que la negocias.</t>
        </is>
      </c>
    </row>
    <row r="31" ht="62" customHeight="1">
      <c r="A31" s="7" t="inlineStr">
        <is>
          <t>Es COPIA declarada, no vínculo: en toda la guía no hay ni una fórmula que apunte a otro fichero. Un enlace entre libros se rompe en cuanto alguien mueve una carpeta, y entonces el libro miente sin avisar. Donde una celda verde trae un dato de otro libro, viene con su valor por defecto declarado y con una fila de CUADRE que te avisa si lo que has tecleado se aleja del origen.</t>
        </is>
      </c>
    </row>
    <row r="32"/>
    <row r="33">
      <c r="A33" s="3" t="inlineStr">
        <is>
          <t>Cada cuánto se usa este libro</t>
        </is>
      </c>
    </row>
    <row r="34" ht="56" customHeight="1">
      <c r="A34" s="4" t="inlineStr">
        <is>
          <t>Cadencia: se rellena UNA VEZ al preparar el plan y se revisa cada vez que entra un presupuesto nuevo, hasta la firma. Después de abrir sólo se vuelve a él para comparar lo presupuestado con lo gastado de verdad -que es la hoja «Equipamiento» del libro 9- y eso es lo que enseña a presupuestar el siguiente.</t>
        </is>
      </c>
    </row>
    <row r="35"/>
    <row r="36">
      <c r="A36" s="4" t="inlineStr">
        <is>
          <t>Para editar la estructura o una celda que no esté en verde: Revisar &gt; Desproteger hoja (no tiene contraseña).</t>
        </is>
      </c>
    </row>
    <row r="37"/>
    <row r="38">
      <c r="A38" s="4" t="inlineStr">
        <is>
          <t>Diseñado por John Guerrero — chef y consultor gastronómico desde 2010, en cocina desde los 17 años.</t>
        </is>
      </c>
    </row>
    <row r="39">
      <c r="A39" s="4"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7">
    <mergeCell ref="A6:C6"/>
    <mergeCell ref="A10:C10"/>
    <mergeCell ref="A38:C38"/>
    <mergeCell ref="A16:C16"/>
    <mergeCell ref="A21:C21"/>
    <mergeCell ref="A9:C9"/>
    <mergeCell ref="A7:C7"/>
    <mergeCell ref="A18:C18"/>
    <mergeCell ref="A19:C19"/>
    <mergeCell ref="A31:C31"/>
    <mergeCell ref="A34:C34"/>
    <mergeCell ref="A8:C8"/>
    <mergeCell ref="A36:C36"/>
    <mergeCell ref="A11:C11"/>
    <mergeCell ref="A39:C39"/>
    <mergeCell ref="A20:C20"/>
    <mergeCell ref="A17:C17"/>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5"/>
  <sheetViews>
    <sheetView workbookViewId="0">
      <pane ySplit="5" topLeftCell="A6" activePane="bottomLeft" state="frozen"/>
      <selection pane="bottomLeft" activeCell="A1" sqref="A1"/>
    </sheetView>
  </sheetViews>
  <sheetFormatPr baseColWidth="8" defaultRowHeight="15"/>
  <cols>
    <col width="52" customWidth="1" min="1" max="1"/>
    <col width="16" customWidth="1" min="2" max="2"/>
    <col width="18" customWidth="1" min="3" max="3"/>
    <col width="22" customWidth="1" min="4" max="4"/>
    <col width="86" customWidth="1" min="5" max="5"/>
  </cols>
  <sheetData>
    <row r="1" ht="28" customHeight="1">
      <c r="A1" s="1" t="inlineStr">
        <is>
          <t>Parámetros</t>
        </is>
      </c>
    </row>
    <row r="2">
      <c r="A2" t="inlineStr">
        <is>
          <t>AI Chef Pro · aichef.pro — Cómo Montar una Chocolatería</t>
        </is>
      </c>
    </row>
    <row r="3" ht="26" customHeight="1">
      <c r="A3" s="7" t="inlineStr">
        <is>
          <t>Todo lo que el libro calcula sale de aquí. Ni un número vive dentro de una fórmula.</t>
        </is>
      </c>
    </row>
    <row r="4"/>
    <row r="5" ht="30" customHeight="1">
      <c r="A5" s="6" t="inlineStr">
        <is>
          <t>Parámetro</t>
        </is>
      </c>
      <c r="B5" s="6" t="inlineStr">
        <is>
          <t>Valor</t>
        </is>
      </c>
      <c r="C5" s="6" t="inlineStr">
        <is>
          <t>Unidad</t>
        </is>
      </c>
      <c r="D5" s="6" t="inlineStr">
        <is>
          <t>Procedencia</t>
        </is>
      </c>
      <c r="E5" s="6" t="inlineStr">
        <is>
          <t>Qué es y de dónde sale</t>
        </is>
      </c>
    </row>
    <row r="6" ht="50" customHeight="1">
      <c r="A6" s="4" t="inlineStr">
        <is>
          <t>Superficie total del local</t>
        </is>
      </c>
      <c r="B6" s="8" t="n">
        <v>75</v>
      </c>
      <c r="C6" t="inlineStr">
        <is>
          <t>m2</t>
        </is>
      </c>
      <c r="D6" t="inlineStr">
        <is>
          <t>supuesto</t>
        </is>
      </c>
      <c r="E6" s="4" t="inlineStr">
        <is>
          <t>Los mismos 75 m² del libro 1. Si los cambias, cambia la obra: es la única partida del CAPEX que no se teclea.</t>
        </is>
      </c>
    </row>
    <row r="7" ht="50" customHeight="1">
      <c r="A7" s="4" t="inlineStr">
        <is>
          <t>Coste de obra y adecuación por m²</t>
        </is>
      </c>
      <c r="B7" s="9" t="n">
        <v>380</v>
      </c>
      <c r="C7" t="inlineStr">
        <is>
          <t>€/m²</t>
        </is>
      </c>
      <c r="D7" t="inlineStr">
        <is>
          <t>supuesto</t>
        </is>
      </c>
      <c r="E7" s="4" t="inlineStr">
        <is>
          <t>SUPUESTO DECLARADO: ninguna fuente del research publica un coste de obra por m² de obrador de chocolate. Es más barata que la de una pastelería por un motivo estructural, no por suerte: un obrador de chocolate NO genera humos, así que no hay conducto a cubierta ni la conversación con la comunidad de propietarios que lo acompaña. Pide tres presupuestos y sustitúyelo.</t>
        </is>
      </c>
    </row>
    <row r="8" ht="50" customHeight="1">
      <c r="A8" s="4" t="inlineStr">
        <is>
          <t>Obra y adecuación calculada</t>
        </is>
      </c>
      <c r="B8" s="10">
        <f>IFERROR(B6*B7,"")</f>
        <v>28500.0</v>
      </c>
      <c r="C8" t="inlineStr">
        <is>
          <t>€</t>
        </is>
      </c>
      <c r="D8" t="inlineStr">
        <is>
          <t>Se calcula</t>
        </is>
      </c>
      <c r="E8" s="4" t="inlineStr">
        <is>
          <t>Superficie x precio por m².</t>
        </is>
      </c>
    </row>
    <row r="9" ht="50" customHeight="1">
      <c r="A9" s="4" t="inlineStr">
        <is>
          <t>IVA general</t>
        </is>
      </c>
      <c r="B9" s="11" t="n">
        <v>0.21</v>
      </c>
      <c r="C9" t="inlineStr">
        <is>
          <t>%</t>
        </is>
      </c>
      <c r="D9" t="inlineStr">
        <is>
          <t>art. 90.Uno de la Ley 37/1992</t>
        </is>
      </c>
      <c r="E9" s="4" t="inlineStr">
        <is>
          <t>Tipo general: obra, equipamiento, mobiliario, proyecto y clima. Es el valor por defecto de la columna «tipo de IVA» de cada línea, pero cada línea tiene el suyo.</t>
        </is>
      </c>
    </row>
    <row r="10" ht="50" customHeight="1">
      <c r="A10" s="4" t="inlineStr">
        <is>
          <t>IVA del chocolate que vas a vender</t>
        </is>
      </c>
      <c r="B10" s="11" t="n">
        <v>0.1</v>
      </c>
      <c r="C10" t="inlineStr">
        <is>
          <t>%</t>
        </is>
      </c>
      <c r="D10" t="inlineStr">
        <is>
          <t>CHN-71</t>
        </is>
      </c>
      <c r="E10" s="4" t="inlineStr">
        <is>
          <t>No entra en el CAPEX: está aquí porque es el IVA que repercutirás y contra el que se compensa el que adelantas ahora. El chocolate va al 10 % POR EXCLUSIÓN, no porque un precepto lo nombre: la lista del 4 % es cerrada y tiene siete letras, y el chocolate no está en ninguna.</t>
        </is>
      </c>
    </row>
    <row r="11" ht="50" customHeight="1">
      <c r="A11" s="4" t="inlineStr">
        <is>
          <t>IVA de tasas y trámites</t>
        </is>
      </c>
      <c r="B11" s="11" t="n">
        <v>0</v>
      </c>
      <c r="C11" t="inlineStr">
        <is>
          <t>%</t>
        </is>
      </c>
      <c r="D11" t="inlineStr">
        <is>
          <t>supuesto</t>
        </is>
      </c>
      <c r="E11" s="4" t="inlineStr">
        <is>
          <t>Las tasas municipales y la comunicación al registro autonómico no llevan IVA. Se declara como parámetro para que la columna de la hoja de CAPEX no tenga que hacer una excepción escondida.</t>
        </is>
      </c>
    </row>
    <row r="12" ht="50" customHeight="1">
      <c r="A12" s="4" t="inlineStr">
        <is>
          <t>Renta mensual del local</t>
        </is>
      </c>
      <c r="B12" s="9" t="n">
        <v>1300</v>
      </c>
      <c r="C12" t="inlineStr">
        <is>
          <t>€/mes</t>
        </is>
      </c>
      <c r="D12" t="inlineStr">
        <is>
          <t>supuesto</t>
        </is>
      </c>
      <c r="E12" s="4" t="inlineStr">
        <is>
          <t>Supuesto para una ciudad media. La renta observada en los ocho traspasos verificados va de 910 euros/mes (`CHS-37b`, 74 m² en Madrid-Vallecas) a 2.200 euros/mes (`CHS-38c`, 180 m² en Barcelona); aquí se toma la parte baja porque ninguna de esas dos ciudades es una ciudad media.</t>
        </is>
      </c>
    </row>
    <row r="13" ht="50" customHeight="1">
      <c r="A13" s="4" t="inlineStr">
        <is>
          <t>Meses de fianza</t>
        </is>
      </c>
      <c r="B13" s="12" t="n">
        <v>2</v>
      </c>
      <c r="C13" t="inlineStr">
        <is>
          <t>meses</t>
        </is>
      </c>
      <c r="D13" t="inlineStr">
        <is>
          <t>supuesto</t>
        </is>
      </c>
      <c r="E13" s="4" t="inlineStr">
        <is>
          <t>La fianza no es un gasto: es un depósito que se recupera. Va en el CAPEX porque hay que tenerla el día de la firma, y por eso no se amortiza.</t>
        </is>
      </c>
    </row>
    <row r="14" ht="50" customHeight="1">
      <c r="A14" s="4" t="inlineStr">
        <is>
          <t>Horizonte de comparación</t>
        </is>
      </c>
      <c r="B14" s="12" t="n">
        <v>5</v>
      </c>
      <c r="C14" t="inlineStr">
        <is>
          <t>años</t>
        </is>
      </c>
      <c r="D14" t="inlineStr">
        <is>
          <t>supuesto</t>
        </is>
      </c>
      <c r="E14" s="4" t="inlineStr">
        <is>
          <t>Años sobre los que se compara el traspaso con la obra nueva. Cinco es lo habitual de un contrato con obligado cumplimiento; ponle los del tuyo.</t>
        </is>
      </c>
    </row>
    <row r="15" ht="50" customHeight="1">
      <c r="A15" s="4" t="inlineStr">
        <is>
          <t>Periodicidad de la declaración de IVA</t>
        </is>
      </c>
      <c r="B15" s="12" t="n">
        <v>3</v>
      </c>
      <c r="C15" t="inlineStr">
        <is>
          <t>meses</t>
        </is>
      </c>
      <c r="D15" t="inlineStr">
        <is>
          <t>supuesto</t>
        </is>
      </c>
      <c r="E15" s="4" t="inlineStr">
        <is>
          <t>Trimestral en el régimen general de una bombonería que arranca. Si te inscribes en el registro de devolución mensual, esto es 1 y el IVA de la inversión vuelve mucho antes.</t>
        </is>
      </c>
    </row>
    <row r="16" ht="50" customHeight="1">
      <c r="A16" s="4" t="inlineStr">
        <is>
          <t>Meses hasta recuperar el IVA de la inversión</t>
        </is>
      </c>
      <c r="B16" s="12" t="n">
        <v>4</v>
      </c>
      <c r="C16" t="inlineStr">
        <is>
          <t>meses</t>
        </is>
      </c>
      <c r="D16" t="inlineStr">
        <is>
          <t>supuesto</t>
        </is>
      </c>
      <c r="E16" s="4" t="inlineStr">
        <is>
          <t>El trimestre en el que compras más el plazo de presentación. Y ojo: en régimen general lo normal no es que te lo devuelvan, es que lo compenses contra el IVA que repercutes, así que tarda lo que tardes en facturar.</t>
        </is>
      </c>
    </row>
    <row r="17" ht="50" customHeight="1">
      <c r="A17" s="4" t="inlineStr">
        <is>
          <t>Financiación bancaria disponible</t>
        </is>
      </c>
      <c r="B17" s="9" t="n">
        <v>90300</v>
      </c>
      <c r="C17" t="inlineStr">
        <is>
          <t>€</t>
        </is>
      </c>
      <c r="D17" t="inlineStr">
        <is>
          <t>supuesto</t>
        </is>
      </c>
      <c r="E17" s="4" t="inlineStr">
        <is>
          <t>El 60 % de la inversión total, que es la estructura 40/60 supuesta en el libro 7. No se teclea allí ni aquí como número fijo: se deriva, para que si cambia una partida del CAPEX la estructura siga saliendo exacta.</t>
        </is>
      </c>
    </row>
    <row r="18" ht="50" customHeight="1">
      <c r="A18" s="4" t="inlineStr">
        <is>
          <t>Colchón mínimo aceptable antes de avisar</t>
        </is>
      </c>
      <c r="B18" s="12" t="n">
        <v>3</v>
      </c>
      <c r="C18" t="inlineStr">
        <is>
          <t>meses</t>
        </is>
      </c>
      <c r="D18" t="inlineStr">
        <is>
          <t>supuesto</t>
        </is>
      </c>
      <c r="E18" s="4" t="inlineStr">
        <is>
          <t>Umbral del veredicto de caja. Es el mínimo que te exiges TÚ, no los meses con los que se dota el fondo: esos se deciden en el libro 7, que es donde están los gastos fijos con los que se multiplican.</t>
        </is>
      </c>
    </row>
    <row r="19" ht="50" customHeight="1">
      <c r="A19" s="4" t="inlineStr">
        <is>
          <t>Kg de plástico no reciclado importado o adquirido en otro país de la UE</t>
        </is>
      </c>
      <c r="B19" s="8" t="n">
        <v>3.2</v>
      </c>
      <c r="C19" t="inlineStr">
        <is>
          <t>kg al mes</t>
        </is>
      </c>
      <c r="D19" t="inlineStr">
        <is>
          <t>supuesto</t>
        </is>
      </c>
      <c r="E19" s="4" t="inlineStr">
        <is>
          <t>Kilos de plástico no reciclado de los ENVASES que importas o compras en otro país de la UE, al mes. NO son los kilos totales de packaging: lo que compras en España a un proveedor español ya lo lleva repercutido. Por eso la pregunta es dónde compras, no cuánto.</t>
        </is>
      </c>
    </row>
    <row r="20" ht="50" customHeight="1">
      <c r="A20" s="4" t="inlineStr">
        <is>
          <t>Umbral de la exención del impuesto al plástico</t>
        </is>
      </c>
      <c r="B20" s="8" t="n">
        <v>5</v>
      </c>
      <c r="C20" t="inlineStr">
        <is>
          <t>kg al mes</t>
        </is>
      </c>
      <c r="D20" t="inlineStr">
        <is>
          <t>CHN-62b</t>
        </is>
      </c>
      <c r="E20" s="4" t="inlineStr">
        <is>
          <t>El art. 75.f) exime la importación o adquisición intracomunitaria que no exceda de 5 kilogramos en un mes, y SÓLO de los envases del art. 68.1.a): NO exime la fabricación, ni los semielaborados, ni los cierres.</t>
        </is>
      </c>
    </row>
    <row r="21" ht="50" customHeight="1">
      <c r="A21" s="4" t="inlineStr">
        <is>
          <t>Tipo del impuesto al plástico</t>
        </is>
      </c>
      <c r="B21" s="9" t="n">
        <v>0.45</v>
      </c>
      <c r="C21" t="inlineStr">
        <is>
          <t>€/kg</t>
        </is>
      </c>
      <c r="D21" t="inlineStr">
        <is>
          <t>CHN-62</t>
        </is>
      </c>
      <c r="E21" s="4" t="inlineStr">
        <is>
          <t>Se aplica sobre los kilos de plástico NO RECICLADO contenidos en el envase, no sobre el peso del envase entero.</t>
        </is>
      </c>
    </row>
    <row r="22"/>
    <row r="23" ht="68" customHeight="1">
      <c r="A23" s="7" t="inlineStr">
        <is>
          <t>AQUÍ NO ESTÁN LOS MESES DE COLCHÓN DE TESORERÍA, Y NO ES UN OLVIDO. El fondo de maniobra es «meses de colchón x gastos fijos mensuales», y los DOS factores viven en el libro 7, que es donde se calculan los gastos fijos. Este libro recibe el fondo YA CALCULADO en la celda verde del cruce, al pie de la hoja «CAPEX por Bloque». Si lo pidiera aquí, el fondo se calcularía dos veces y los dos libros publicarían dos inversiones totales distintas con el mismo nombre.</t>
        </is>
      </c>
    </row>
    <row r="24"/>
    <row r="25" ht="48" customHeight="1">
      <c r="A25" s="7" t="inlineStr">
        <is>
          <t>Los valores marcados «supuesto» son los de la bombonería de ejemplo «La Almendra» (75 m² en una ciudad media española, obrador propio y tienda a calle). NO son datos de sector: son un punto de partida coherente para que puedas ver el libro funcionando antes de meter los tuyos.</t>
        </is>
      </c>
    </row>
  </sheetData>
  <sheetProtection selectLockedCells="0" selectUnlockedCells="0" sheet="1" objects="0" insertRows="0" insertHyperlinks="1" autoFilter="1" scenarios="0" formatColumns="0" deleteColumns="1" insertColumns="1" pivotTables="1" deleteRows="1" formatCells="1" formatRows="0" sort="0"/>
  <mergeCells count="3">
    <mergeCell ref="A23:E23"/>
    <mergeCell ref="A3:E3"/>
    <mergeCell ref="A25:E25"/>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P69"/>
  <sheetViews>
    <sheetView workbookViewId="0">
      <pane ySplit="57" topLeftCell="A58" activePane="bottomLeft" state="frozen"/>
      <selection pane="bottomLeft" activeCell="A1" sqref="A1"/>
    </sheetView>
  </sheetViews>
  <sheetFormatPr baseColWidth="8" defaultRowHeight="15"/>
  <cols>
    <col width="5" customWidth="1" min="1" max="1"/>
    <col width="30" customWidth="1" min="2" max="2"/>
    <col width="48" customWidth="1" min="3" max="3"/>
    <col width="13" customWidth="1" min="4" max="4"/>
    <col width="22" customWidth="1" min="5" max="5"/>
    <col width="15" customWidth="1" min="6" max="6"/>
    <col width="13" customWidth="1" min="7" max="7"/>
    <col width="11" customWidth="1" min="8" max="8"/>
    <col width="14" customWidth="1" min="9" max="9"/>
    <col width="14" customWidth="1" min="10" max="10"/>
    <col width="14" customWidth="1" min="11" max="11"/>
    <col width="14" customWidth="1" min="12" max="12"/>
    <col width="14" customWidth="1" min="13" max="13"/>
    <col width="14" customWidth="1" min="14" max="14"/>
    <col width="40" customWidth="1" min="15" max="15"/>
    <col width="86" customWidth="1" min="16" max="16"/>
  </cols>
  <sheetData>
    <row r="1" ht="28" customHeight="1">
      <c r="A1" s="1" t="inlineStr">
        <is>
          <t>CAPEX por Bloque</t>
        </is>
      </c>
    </row>
    <row r="2">
      <c r="A2" t="inlineStr">
        <is>
          <t>AI Chef Pro · aichef.pro — Cómo Montar una Chocolatería</t>
        </is>
      </c>
    </row>
    <row r="3" ht="26" customHeight="1">
      <c r="A3" s="7" t="inlineStr">
        <is>
          <t>Nueve bloques, y el fondo de maniobra tiene fila propia porque llega del libro 7. Todas las líneas se llevan a base imponible antes de sumar: sin la columna de IVA, el total se desvía un 21 %.</t>
        </is>
      </c>
    </row>
    <row r="4"/>
    <row r="5" ht="58" customHeight="1">
      <c r="A5" s="6" t="inlineStr">
        <is>
          <t>Nº</t>
        </is>
      </c>
      <c r="B5" s="6" t="inlineStr">
        <is>
          <t>Bloque</t>
        </is>
      </c>
      <c r="C5" s="6" t="inlineStr">
        <is>
          <t>Partida</t>
        </is>
      </c>
      <c r="D5" s="6" t="inlineStr">
        <is>
          <t>¿La compras?</t>
        </is>
      </c>
      <c r="E5" s="6" t="inlineStr">
        <is>
          <t>Procedencia</t>
        </is>
      </c>
      <c r="F5" s="6" t="inlineStr">
        <is>
          <t>Base declarada por la fuente</t>
        </is>
      </c>
      <c r="G5" s="6" t="inlineStr">
        <is>
          <t>¿Tu precio lleva IVA?</t>
        </is>
      </c>
      <c r="H5" s="6" t="inlineStr">
        <is>
          <t>Tipo de IVA</t>
        </is>
      </c>
      <c r="I5" s="6" t="inlineStr">
        <is>
          <t>Mínimo</t>
        </is>
      </c>
      <c r="J5" s="6" t="inlineStr">
        <is>
          <t>Máximo</t>
        </is>
      </c>
      <c r="K5" s="6" t="inlineStr">
        <is>
          <t>Tu importe</t>
        </is>
      </c>
      <c r="L5" s="6" t="inlineStr">
        <is>
          <t>Base sin IVA</t>
        </is>
      </c>
      <c r="M5" s="6" t="inlineStr">
        <is>
          <t>IVA soportado</t>
        </is>
      </c>
      <c r="N5" s="6" t="inlineStr">
        <is>
          <t>Total con IVA</t>
        </is>
      </c>
      <c r="O5" s="6" t="inlineStr">
        <is>
          <t>Cómo se publica el precio</t>
        </is>
      </c>
      <c r="P5" s="6" t="inlineStr">
        <is>
          <t>Nota</t>
        </is>
      </c>
    </row>
    <row r="6" ht="56" customHeight="1">
      <c r="A6" s="13" t="n">
        <v>1</v>
      </c>
      <c r="B6" s="4" t="inlineStr">
        <is>
          <t>Obra y adecuación</t>
        </is>
      </c>
      <c r="C6" s="4" t="inlineStr">
        <is>
          <t>Obra y adecuación del local (75 m² x 380 euros/m²)</t>
        </is>
      </c>
      <c r="D6" s="5" t="inlineStr">
        <is>
          <t>Sí</t>
        </is>
      </c>
      <c r="E6" s="4" t="inlineStr">
        <is>
          <t>supuesto</t>
        </is>
      </c>
      <c r="F6" t="inlineStr">
        <is>
          <t>sin IVA</t>
        </is>
      </c>
      <c r="G6" s="5" t="inlineStr">
        <is>
          <t>No</t>
        </is>
      </c>
      <c r="H6" s="14">
        <f>'Parámetros'!$B$9</f>
        <v>0.21</v>
      </c>
      <c r="I6" s="10">
        <f>'Parámetros'!B8</f>
        <v>28500.0</v>
      </c>
      <c r="J6" s="10">
        <f>'Parámetros'!B8</f>
        <v>28500.0</v>
      </c>
      <c r="K6" s="10">
        <f>'Parámetros'!B8</f>
        <v>28500.0</v>
      </c>
      <c r="L6" s="10">
        <f>IF(D6="No","",IFERROR(IF(G6="Sí",K6/(1+H6),K6),""))</f>
        <v>28500.0</v>
      </c>
      <c r="M6" s="10">
        <f>IF(L6="","",IFERROR(L6*H6,""))</f>
        <v>5985.0</v>
      </c>
      <c r="N6" s="10">
        <f>IF(L6="","",IFERROR(L6+M6,""))</f>
        <v>34485.0</v>
      </c>
      <c r="O6" s="4" t="inlineStr">
        <is>
          <t>La calcula «Parámetros» con tus metros y tu precio por m²</t>
        </is>
      </c>
      <c r="P6" s="4" t="inlineStr">
        <is>
          <t>SUPUESTO declarado: ninguna fuente del research publica un coste de obra por m² de obrador de chocolate. Es mas barata que la de una pastelería por un motivo estructural: un obrador de chocolate NO genera humos, así que no hay conducto a cubierta ni la conversación con la comunidad de propietarios que lo acompaña. Publicar esta cifra como dato verificado esta prohibido (§5.1, 28).</t>
        </is>
      </c>
    </row>
    <row r="7" ht="56" customHeight="1">
      <c r="A7" s="13" t="n">
        <v>2</v>
      </c>
      <c r="B7" s="4" t="inlineStr">
        <is>
          <t>Equipo de templado y moldeado</t>
        </is>
      </c>
      <c r="C7" s="4" t="inlineStr">
        <is>
          <t>Atemperadora continua de sobremesa, 12 kg (55 kg/h) — Selmi One</t>
        </is>
      </c>
      <c r="D7" s="5" t="inlineStr">
        <is>
          <t>Sí</t>
        </is>
      </c>
      <c r="E7" s="4" t="inlineStr">
        <is>
          <t>CHS-41a</t>
        </is>
      </c>
      <c r="F7" t="inlineStr">
        <is>
          <t>no declarada</t>
        </is>
      </c>
      <c r="G7" s="5" t="inlineStr">
        <is>
          <t>No</t>
        </is>
      </c>
      <c r="H7" s="14">
        <f>'Parámetros'!$B$9</f>
        <v>0.21</v>
      </c>
      <c r="I7" s="9" t="n">
        <v>8500</v>
      </c>
      <c r="J7" s="9" t="n">
        <v>8500</v>
      </c>
      <c r="K7" s="9" t="n">
        <v>8500</v>
      </c>
      <c r="L7" s="10">
        <f>IF(D7="No","",IFERROR(IF(G7="Sí",K7/(1+H7),K7),""))</f>
        <v>8500.0</v>
      </c>
      <c r="M7" s="10">
        <f>IF(L7="","",IFERROR(L7*H7,""))</f>
        <v>1785.0</v>
      </c>
      <c r="N7" s="10">
        <f>IF(L7="","",IFERROR(L7+M7,""))</f>
        <v>10285.0</v>
      </c>
      <c r="O7" s="4" t="inlineStr">
        <is>
          <t>Precio de ficha de distribuidor (CHS-41a)</t>
        </is>
      </c>
      <c r="P7" s="4" t="inlineStr">
        <is>
          <t>La ficha NO declara si el precio lleva IVA: se trata como base imponible y SE MARCA, que es lo honesto. El corazón del obrador y la decisión 2 del bonus 2. Base de IVA NO declarada: la ficha trae el indicio «/Neto» en la línea de embalaje, que no es confirmable. La escalera completa va de esta a la Cento EX de 100 kg (`CHS-41g`), y la elección la decide los kg/semana que salga en la hoja de capacidad del libro 1.</t>
        </is>
      </c>
    </row>
    <row r="8" ht="56" customHeight="1">
      <c r="A8" s="13" t="n">
        <v>3</v>
      </c>
      <c r="B8" s="4" t="inlineStr">
        <is>
          <t>Equipo de templado y moldeado</t>
        </is>
      </c>
      <c r="C8" s="4" t="inlineStr">
        <is>
          <t>Embalaje, transporte y puesta en marcha de la atemperadora — Selmi servicio</t>
        </is>
      </c>
      <c r="D8" s="5" t="inlineStr">
        <is>
          <t>Sí</t>
        </is>
      </c>
      <c r="E8" s="4" t="inlineStr">
        <is>
          <t>CHS-41a</t>
        </is>
      </c>
      <c r="F8" t="inlineStr">
        <is>
          <t>no declarada</t>
        </is>
      </c>
      <c r="G8" s="5" t="inlineStr">
        <is>
          <t>No</t>
        </is>
      </c>
      <c r="H8" s="14">
        <f>'Parámetros'!$B$9</f>
        <v>0.21</v>
      </c>
      <c r="I8" s="9" t="n">
        <v>1045</v>
      </c>
      <c r="J8" s="9" t="n">
        <v>1045</v>
      </c>
      <c r="K8" s="9" t="n">
        <v>1045</v>
      </c>
      <c r="L8" s="10">
        <f>IF(D8="No","",IFERROR(IF(G8="Sí",K8/(1+H8),K8),""))</f>
        <v>1045.0</v>
      </c>
      <c r="M8" s="10">
        <f>IF(L8="","",IFERROR(L8*H8,""))</f>
        <v>219.45</v>
      </c>
      <c r="N8" s="10">
        <f>IF(L8="","",IFERROR(L8+M8,""))</f>
        <v>1264.45</v>
      </c>
      <c r="O8" s="4" t="inlineStr">
        <is>
          <t>Precio de ficha de distribuidor (CHS-41a)</t>
        </is>
      </c>
      <c r="P8" s="4" t="inlineStr">
        <is>
          <t>La ficha NO declara si el precio lleva IVA: se trata como base imponible y SE MARCA, que es lo honesto. La línea que nadie presupuesta: es el 12 % del precio de la máquina. La ficha la marca «Neto», que es un INDICIO de base sin IVA, no una declaración: por eso va como «no declarada».</t>
        </is>
      </c>
    </row>
    <row r="9" ht="56" customHeight="1">
      <c r="A9" s="13" t="n">
        <v>4</v>
      </c>
      <c r="B9" s="4" t="inlineStr">
        <is>
          <t>Equipo de templado y moldeado</t>
        </is>
      </c>
      <c r="C9" s="4" t="inlineStr">
        <is>
          <t>Enrobadora de banda, 200 mm — Selmi R200 Legend</t>
        </is>
      </c>
      <c r="D9" s="5" t="inlineStr">
        <is>
          <t>Sí</t>
        </is>
      </c>
      <c r="E9" s="4" t="inlineStr">
        <is>
          <t>CHS-42a</t>
        </is>
      </c>
      <c r="F9" t="inlineStr">
        <is>
          <t>no declarada</t>
        </is>
      </c>
      <c r="G9" s="5" t="inlineStr">
        <is>
          <t>No</t>
        </is>
      </c>
      <c r="H9" s="14">
        <f>'Parámetros'!$B$9</f>
        <v>0.21</v>
      </c>
      <c r="I9" s="9" t="n">
        <v>6800</v>
      </c>
      <c r="J9" s="9" t="n">
        <v>6800</v>
      </c>
      <c r="K9" s="9" t="n">
        <v>6800</v>
      </c>
      <c r="L9" s="10">
        <f>IF(D9="No","",IFERROR(IF(G9="Sí",K9/(1+H9),K9),""))</f>
        <v>6800.0</v>
      </c>
      <c r="M9" s="10">
        <f>IF(L9="","",IFERROR(L9*H9,""))</f>
        <v>1428.0</v>
      </c>
      <c r="N9" s="10">
        <f>IF(L9="","",IFERROR(L9+M9,""))</f>
        <v>8228.0</v>
      </c>
      <c r="O9" s="4" t="inlineStr">
        <is>
          <t>Precio de ficha de distribuidor (CHS-42a)</t>
        </is>
      </c>
      <c r="P9" s="4" t="inlineStr">
        <is>
          <t>La ficha NO declara si el precio lleva IVA: se trata como base imponible y SE MARCA, que es lo honesto. Base de IVA NO declarada por la ficha del distribuidor.</t>
        </is>
      </c>
    </row>
    <row r="10" ht="56" customHeight="1">
      <c r="A10" s="13" t="n">
        <v>5</v>
      </c>
      <c r="B10" s="4" t="inlineStr">
        <is>
          <t>Equipo de templado y moldeado</t>
        </is>
      </c>
      <c r="C10" s="4" t="inlineStr">
        <is>
          <t>Placa dosificadora de rellenos — Selmi placa dosificadora</t>
        </is>
      </c>
      <c r="D10" s="5" t="inlineStr">
        <is>
          <t>Sí</t>
        </is>
      </c>
      <c r="E10" s="4" t="inlineStr">
        <is>
          <t>CHS-42i</t>
        </is>
      </c>
      <c r="F10" t="inlineStr">
        <is>
          <t>no declarada</t>
        </is>
      </c>
      <c r="G10" s="5" t="inlineStr">
        <is>
          <t>No</t>
        </is>
      </c>
      <c r="H10" s="14">
        <f>'Parámetros'!$B$9</f>
        <v>0.21</v>
      </c>
      <c r="I10" s="9" t="n">
        <v>1495</v>
      </c>
      <c r="J10" s="9" t="n">
        <v>1495</v>
      </c>
      <c r="K10" s="9" t="n">
        <v>1495</v>
      </c>
      <c r="L10" s="10">
        <f>IF(D10="No","",IFERROR(IF(G10="Sí",K10/(1+H10),K10),""))</f>
        <v>1495.0</v>
      </c>
      <c r="M10" s="10">
        <f>IF(L10="","",IFERROR(L10*H10,""))</f>
        <v>313.95</v>
      </c>
      <c r="N10" s="10">
        <f>IF(L10="","",IFERROR(L10+M10,""))</f>
        <v>1808.95</v>
      </c>
      <c r="O10" s="4" t="inlineStr">
        <is>
          <t>Precio de ficha de distribuidor (CHS-42i)</t>
        </is>
      </c>
      <c r="P10" s="4" t="inlineStr">
        <is>
          <t>La ficha NO declara si el precio lleva IVA: se trata como base imponible y SE MARCA, que es lo honesto. Base de IVA NO declarada por la ficha del distribuidor.</t>
        </is>
      </c>
    </row>
    <row r="11" ht="56" customHeight="1">
      <c r="A11" s="13" t="n">
        <v>6</v>
      </c>
      <c r="B11" s="4" t="inlineStr">
        <is>
          <t>Equipo de templado y moldeado</t>
        </is>
      </c>
      <c r="C11" s="4" t="inlineStr">
        <is>
          <t>Temperador de baño maria digital, 22 L — Utilcentre baño maria digital 22 L</t>
        </is>
      </c>
      <c r="D11" s="5" t="inlineStr">
        <is>
          <t>Sí</t>
        </is>
      </c>
      <c r="E11" s="4" t="inlineStr">
        <is>
          <t>CHS-41j</t>
        </is>
      </c>
      <c r="F11" t="inlineStr">
        <is>
          <t>no declarada</t>
        </is>
      </c>
      <c r="G11" s="5" t="inlineStr">
        <is>
          <t>No</t>
        </is>
      </c>
      <c r="H11" s="14">
        <f>'Parámetros'!$B$9</f>
        <v>0.21</v>
      </c>
      <c r="I11" s="9" t="n">
        <v>2650</v>
      </c>
      <c r="J11" s="9" t="n">
        <v>2650</v>
      </c>
      <c r="K11" s="9" t="n">
        <v>2650</v>
      </c>
      <c r="L11" s="10">
        <f>IF(D11="No","",IFERROR(IF(G11="Sí",K11/(1+H11),K11),""))</f>
        <v>2650.0</v>
      </c>
      <c r="M11" s="10">
        <f>IF(L11="","",IFERROR(L11*H11,""))</f>
        <v>556.5</v>
      </c>
      <c r="N11" s="10">
        <f>IF(L11="","",IFERROR(L11+M11,""))</f>
        <v>3206.5</v>
      </c>
      <c r="O11" s="4" t="inlineStr">
        <is>
          <t>Precio de ficha de distribuidor (CHS-41j)</t>
        </is>
      </c>
      <c r="P11" s="4" t="inlineStr">
        <is>
          <t>La ficha NO declara si el precio lleva IVA: se trata como base imponible y SE MARCA, que es lo honesto. Segunda línea de templado: sin ella no se trabajan dos coberturas a la vez.</t>
        </is>
      </c>
    </row>
    <row r="12" ht="56" customHeight="1">
      <c r="A12" s="13" t="n">
        <v>7</v>
      </c>
      <c r="B12" s="4" t="inlineStr">
        <is>
          <t>Equipo de templado y moldeado</t>
        </is>
      </c>
      <c r="C12" s="4" t="inlineStr">
        <is>
          <t>Mantenedor de 1 cubeta, digital — Utilcentre mantenedor 1 cubeta digital</t>
        </is>
      </c>
      <c r="D12" s="5" t="inlineStr">
        <is>
          <t>Sí</t>
        </is>
      </c>
      <c r="E12" s="4" t="inlineStr">
        <is>
          <t>CHS-41i</t>
        </is>
      </c>
      <c r="F12" t="inlineStr">
        <is>
          <t>no declarada</t>
        </is>
      </c>
      <c r="G12" s="5" t="inlineStr">
        <is>
          <t>No</t>
        </is>
      </c>
      <c r="H12" s="14">
        <f>'Parámetros'!$B$9</f>
        <v>0.21</v>
      </c>
      <c r="I12" s="9" t="n">
        <v>570</v>
      </c>
      <c r="J12" s="9" t="n">
        <v>570</v>
      </c>
      <c r="K12" s="9" t="n">
        <v>570</v>
      </c>
      <c r="L12" s="10">
        <f>IF(D12="No","",IFERROR(IF(G12="Sí",K12/(1+H12),K12),""))</f>
        <v>570.0</v>
      </c>
      <c r="M12" s="10">
        <f>IF(L12="","",IFERROR(L12*H12,""))</f>
        <v>119.69999999999999</v>
      </c>
      <c r="N12" s="10">
        <f>IF(L12="","",IFERROR(L12+M12,""))</f>
        <v>689.7</v>
      </c>
      <c r="O12" s="4" t="inlineStr">
        <is>
          <t>«DESDE», suelo comercial: presupuéstalo (CHS-41i, D23b)</t>
        </is>
      </c>
      <c r="P12" s="4" t="inlineStr">
        <is>
          <t>La ficha NO declara si el precio lleva IVA: se trata como base imponible y SE MARCA, que es lo honesto. ES UN «DESDE», NO UN PRECIO (D23b): la ficha publica «desde 570,00 euros» y eso es un SUELO comercial, no el precio de la unidad que vas a comprar. Se presupuesta. Publicarlo como precio cerrado esta prohibido, y el techo del escenario B solo puede subir por su culpa.</t>
        </is>
      </c>
    </row>
    <row r="13" ht="56" customHeight="1">
      <c r="A13" s="13" t="n">
        <v>8</v>
      </c>
      <c r="B13" s="4" t="inlineStr">
        <is>
          <t>Equipo de templado y moldeado</t>
        </is>
      </c>
      <c r="C13" s="4" t="inlineStr">
        <is>
          <t>Atemperadora de arranque, 4,5 L (unos 3 kg) — Pavoni MINITEMPER</t>
        </is>
      </c>
      <c r="D13" s="5" t="inlineStr">
        <is>
          <t>No</t>
        </is>
      </c>
      <c r="E13" s="4" t="inlineStr">
        <is>
          <t>CHS-41h</t>
        </is>
      </c>
      <c r="F13" t="inlineStr">
        <is>
          <t>no declarada</t>
        </is>
      </c>
      <c r="G13" s="5" t="inlineStr">
        <is>
          <t>No</t>
        </is>
      </c>
      <c r="H13" s="14">
        <f>'Parámetros'!$B$9</f>
        <v>0.21</v>
      </c>
      <c r="I13" s="9" t="n">
        <v>1960</v>
      </c>
      <c r="J13" s="9" t="n">
        <v>1960</v>
      </c>
      <c r="K13" s="9" t="n">
        <v>1960</v>
      </c>
      <c r="L13" s="10">
        <f>IF(D13="No","",IFERROR(IF(G13="Sí",K13/(1+H13),K13),""))</f>
        <v/>
      </c>
      <c r="M13" s="10">
        <f>IF(L13="","",IFERROR(L13*H13,""))</f>
        <v/>
      </c>
      <c r="N13" s="10">
        <f>IF(L13="","",IFERROR(L13+M13,""))</f>
        <v/>
      </c>
      <c r="O13" s="4" t="inlineStr">
        <is>
          <t>Precio de ficha de distribuidor (CHS-41h)</t>
        </is>
      </c>
      <c r="P13" s="4" t="inlineStr">
        <is>
          <t>OPCIONAL: viene con «¿la compras?» en No. La ficha NO declara si el precio lleva IVA: se trata como base imponible y SE MARCA, que es lo honesto. NO esta en la dotación de La Almendra: es la máquina del ESCENARIO B, el arranque mínimo, y aparece para que el lector vea la escalera. Cubeta adicional, 165,30 euros (`CHS-41h`).</t>
        </is>
      </c>
    </row>
    <row r="14" ht="56" customHeight="1">
      <c r="A14" s="13" t="n">
        <v>9</v>
      </c>
      <c r="B14" s="4" t="inlineStr">
        <is>
          <t>Equipo de templado y moldeado</t>
        </is>
      </c>
      <c r="C14" s="4" t="inlineStr">
        <is>
          <t>Cubeta adicional para la atemperadora de arranque — Pavoni cubeta MINITEMPER</t>
        </is>
      </c>
      <c r="D14" s="5" t="inlineStr">
        <is>
          <t>No</t>
        </is>
      </c>
      <c r="E14" s="4" t="inlineStr">
        <is>
          <t>CHS-41h</t>
        </is>
      </c>
      <c r="F14" t="inlineStr">
        <is>
          <t>no declarada</t>
        </is>
      </c>
      <c r="G14" s="5" t="inlineStr">
        <is>
          <t>No</t>
        </is>
      </c>
      <c r="H14" s="14">
        <f>'Parámetros'!$B$9</f>
        <v>0.21</v>
      </c>
      <c r="I14" s="9" t="n">
        <v>165.3</v>
      </c>
      <c r="J14" s="9" t="n">
        <v>165.3</v>
      </c>
      <c r="K14" s="9" t="n">
        <v>165.3</v>
      </c>
      <c r="L14" s="10">
        <f>IF(D14="No","",IFERROR(IF(G14="Sí",K14/(1+H14),K14),""))</f>
        <v/>
      </c>
      <c r="M14" s="10">
        <f>IF(L14="","",IFERROR(L14*H14,""))</f>
        <v/>
      </c>
      <c r="N14" s="10">
        <f>IF(L14="","",IFERROR(L14+M14,""))</f>
        <v/>
      </c>
      <c r="O14" s="4" t="inlineStr">
        <is>
          <t>Precio de ficha de distribuidor (CHS-41h)</t>
        </is>
      </c>
      <c r="P14" s="4" t="inlineStr">
        <is>
          <t>OPCIONAL: viene con «¿la compras?» en No. La ficha NO declara si el precio lleva IVA: se trata como base imponible y SE MARCA, que es lo honesto. Accesorio del escenario B.</t>
        </is>
      </c>
    </row>
    <row r="15" ht="56" customHeight="1">
      <c r="A15" s="13" t="n">
        <v>10</v>
      </c>
      <c r="B15" s="4" t="inlineStr">
        <is>
          <t>Frío (cámara, nevera de rellenos y vitrina)</t>
        </is>
      </c>
      <c r="C15" s="4" t="inlineStr">
        <is>
          <t>Vitrina refrigerada específica para chocolate — Docriluc WB-6-6-R</t>
        </is>
      </c>
      <c r="D15" s="5" t="inlineStr">
        <is>
          <t>Sí</t>
        </is>
      </c>
      <c r="E15" s="4" t="inlineStr">
        <is>
          <t>CHS-43</t>
        </is>
      </c>
      <c r="F15" t="inlineStr">
        <is>
          <t>sin IVA</t>
        </is>
      </c>
      <c r="G15" s="5" t="inlineStr">
        <is>
          <t>No</t>
        </is>
      </c>
      <c r="H15" s="14">
        <f>'Parámetros'!$B$9</f>
        <v>0.21</v>
      </c>
      <c r="I15" s="9" t="n">
        <v>2684.99</v>
      </c>
      <c r="J15" s="9" t="n">
        <v>2684.99</v>
      </c>
      <c r="K15" s="9" t="n">
        <v>2684.99</v>
      </c>
      <c r="L15" s="10">
        <f>IF(D15="No","",IFERROR(IF(G15="Sí",K15/(1+H15),K15),""))</f>
        <v>2684.99</v>
      </c>
      <c r="M15" s="10">
        <f>IF(L15="","",IFERROR(L15*H15,""))</f>
        <v>563.8479</v>
      </c>
      <c r="N15" s="10">
        <f>IF(L15="","",IFERROR(L15+M15,""))</f>
        <v>3248.8378999999995</v>
      </c>
      <c r="O15" s="4" t="inlineStr">
        <is>
          <t>Precio de ficha de distribuidor (CHS-43)</t>
        </is>
      </c>
      <c r="P15" s="4" t="inlineStr">
        <is>
          <t>600x730x1380 mm. RANGO DE TRABAJO DEL EQUIPO: +14 a +17 °C, con base SIN IVA declarada literalmente por la ficha. NO son los +2/+4 °C de una vitrina de pastelería, que arruina el bombón por condensación, sugar bloom y perdida de brillo. El OBJETIVO OPERATIVO es otra cosa y lo pone el kit: 16-18 °C y menos del 55 % de humedad. El semáforo del libro 5 solo avisa por encima de 20 °C, y queda PROHIBIDO uno que ponga en rojo los 16-18 del propio kit. Precio de oferta (antes 3.487,00 euros): esta FECHADO el 12-09-2026 y puede caducar.</t>
        </is>
      </c>
    </row>
    <row r="16" ht="56" customHeight="1">
      <c r="A16" s="13" t="n">
        <v>11</v>
      </c>
      <c r="B16" s="4" t="inlineStr">
        <is>
          <t>Frío (cámara, nevera de rellenos y vitrina)</t>
        </is>
      </c>
      <c r="C16" s="4" t="inlineStr">
        <is>
          <t>Cámara climatizada de chocolate, unos 6 m²</t>
        </is>
      </c>
      <c r="D16" s="5" t="inlineStr">
        <is>
          <t>Sí</t>
        </is>
      </c>
      <c r="E16" s="4" t="inlineStr">
        <is>
          <t>supuesto</t>
        </is>
      </c>
      <c r="F16" t="inlineStr">
        <is>
          <t>sin IVA</t>
        </is>
      </c>
      <c r="G16" s="5" t="inlineStr">
        <is>
          <t>No</t>
        </is>
      </c>
      <c r="H16" s="14">
        <f>'Parámetros'!$B$9</f>
        <v>0.21</v>
      </c>
      <c r="I16" s="9" t="n">
        <v>6400</v>
      </c>
      <c r="J16" s="9" t="n">
        <v>6400</v>
      </c>
      <c r="K16" s="9" t="n">
        <v>6400</v>
      </c>
      <c r="L16" s="10">
        <f>IF(D16="No","",IFERROR(IF(G16="Sí",K16/(1+H16),K16),""))</f>
        <v>6400.0</v>
      </c>
      <c r="M16" s="10">
        <f>IF(L16="","",IFERROR(L16*H16,""))</f>
        <v>1344.0</v>
      </c>
      <c r="N16" s="10">
        <f>IF(L16="","",IFERROR(L16+M16,""))</f>
        <v>7744.0</v>
      </c>
      <c r="O16" s="4" t="inlineStr">
        <is>
          <t>Sin precio publicado: valor por defecto SUPUESTO</t>
        </is>
      </c>
      <c r="P16" s="4" t="inlineStr">
        <is>
          <t>SUPUESTO, no precio de ficha. SUPUESTO declarado: ninguna fuente del research publica el precio de una cámara de chocolate. Celda verde con valor por defecto. No es una nevera: trabaja a 15-18 °C y 50-60 % de humedad, y ese control de HUMEDAD es lo que la encarece frente a una cámara de pastelería.</t>
        </is>
      </c>
    </row>
    <row r="17" ht="56" customHeight="1">
      <c r="A17" s="13" t="n">
        <v>12</v>
      </c>
      <c r="B17" s="4" t="inlineStr">
        <is>
          <t>Frío (cámara, nevera de rellenos y vitrina)</t>
        </is>
      </c>
      <c r="C17" s="4" t="inlineStr">
        <is>
          <t>Nevera de rellenos y ganaches</t>
        </is>
      </c>
      <c r="D17" s="5" t="inlineStr">
        <is>
          <t>Sí</t>
        </is>
      </c>
      <c r="E17" s="4" t="inlineStr">
        <is>
          <t>supuesto</t>
        </is>
      </c>
      <c r="F17" t="inlineStr">
        <is>
          <t>sin IVA</t>
        </is>
      </c>
      <c r="G17" s="5" t="inlineStr">
        <is>
          <t>No</t>
        </is>
      </c>
      <c r="H17" s="14">
        <f>'Parámetros'!$B$9</f>
        <v>0.21</v>
      </c>
      <c r="I17" s="9" t="n">
        <v>1450</v>
      </c>
      <c r="J17" s="9" t="n">
        <v>1450</v>
      </c>
      <c r="K17" s="9" t="n">
        <v>1450</v>
      </c>
      <c r="L17" s="10">
        <f>IF(D17="No","",IFERROR(IF(G17="Sí",K17/(1+H17),K17),""))</f>
        <v>1450.0</v>
      </c>
      <c r="M17" s="10">
        <f>IF(L17="","",IFERROR(L17*H17,""))</f>
        <v>304.5</v>
      </c>
      <c r="N17" s="10">
        <f>IF(L17="","",IFERROR(L17+M17,""))</f>
        <v>1754.5</v>
      </c>
      <c r="O17" s="4" t="inlineStr">
        <is>
          <t>Sin precio publicado: valor por defecto SUPUESTO</t>
        </is>
      </c>
      <c r="P17" s="4" t="inlineStr">
        <is>
          <t>SUPUESTO, no precio de ficha. SUPUESTO. Es la del RELLENO, a 0-4 °C, no la del bombón acabado. Confundirlas es el error de método que la SPEC persigue.</t>
        </is>
      </c>
    </row>
    <row r="18" ht="56" customHeight="1">
      <c r="A18" s="13" t="n">
        <v>13</v>
      </c>
      <c r="B18" s="4" t="inlineStr">
        <is>
          <t>Packaging y moldes</t>
        </is>
      </c>
      <c r="C18" s="4" t="inlineStr">
        <is>
          <t>Moldes de policarbonato para bombonería (24 unidades) — Chocolate World varios (CF0246, CW12064, CW1000L07)</t>
        </is>
      </c>
      <c r="D18" s="5" t="inlineStr">
        <is>
          <t>Sí</t>
        </is>
      </c>
      <c r="E18" s="4" t="inlineStr">
        <is>
          <t>CHS-45a</t>
        </is>
      </c>
      <c r="F18" t="inlineStr">
        <is>
          <t>no declarada</t>
        </is>
      </c>
      <c r="G18" s="5" t="inlineStr">
        <is>
          <t>No</t>
        </is>
      </c>
      <c r="H18" s="14">
        <f>'Parámetros'!$B$9</f>
        <v>0.21</v>
      </c>
      <c r="I18" s="9" t="n">
        <v>580.8</v>
      </c>
      <c r="J18" s="9" t="n">
        <v>1027.92</v>
      </c>
      <c r="K18" s="9" t="n">
        <v>804.36</v>
      </c>
      <c r="L18" s="10">
        <f>IF(D18="No","",IFERROR(IF(G18="Sí",K18/(1+H18),K18),""))</f>
        <v>804.36</v>
      </c>
      <c r="M18" s="10">
        <f>IF(L18="","",IFERROR(L18*H18,""))</f>
        <v>168.91559999999998</v>
      </c>
      <c r="N18" s="10">
        <f>IF(L18="","",IFERROR(L18+M18,""))</f>
        <v>973.2755999999999</v>
      </c>
      <c r="O18" s="4" t="inlineStr">
        <is>
          <t>RANGO, no precio cerrado: CHS-45a (D23a)</t>
        </is>
      </c>
      <c r="P18" s="4" t="inlineStr">
        <is>
          <t>La ficha NO declara si el precio lleva IVA: se trata como base imponible y SE MARCA, que es lo honesto. SE PUBLICA COMO RANGO (D23a). El único dato medido es 24,20-42,83 euros/ud (`CHS-45a`): 24 moldes valen entre 580,80 y 1.027,92 euros. El valor por defecto (804,36) es el punto medio del rango, y es SUPUESTO. Escribir una multiplicación con un precio unitario elegido a ojo esta prohibido. Y los moldes de policarbonato NO pagan el impuesto al plastico: no están sujetos por el art. 73.d) de la Ley 7/2022 (`CHN-62c`), porque no se entregan junto con la mercancía.</t>
        </is>
      </c>
    </row>
    <row r="19" ht="56" customHeight="1">
      <c r="A19" s="13" t="n">
        <v>14</v>
      </c>
      <c r="B19" s="4" t="inlineStr">
        <is>
          <t>Packaging y moldes</t>
        </is>
      </c>
      <c r="C19" s="4" t="inlineStr">
        <is>
          <t>Primer pedido de packaging: cajas, estuches, cintas y etiquetas</t>
        </is>
      </c>
      <c r="D19" s="5" t="inlineStr">
        <is>
          <t>Sí</t>
        </is>
      </c>
      <c r="E19" s="4" t="inlineStr">
        <is>
          <t>supuesto</t>
        </is>
      </c>
      <c r="F19" t="inlineStr">
        <is>
          <t>sin IVA</t>
        </is>
      </c>
      <c r="G19" s="5" t="inlineStr">
        <is>
          <t>No</t>
        </is>
      </c>
      <c r="H19" s="14">
        <f>'Parámetros'!$B$9</f>
        <v>0.21</v>
      </c>
      <c r="I19" s="9" t="n">
        <v>2200</v>
      </c>
      <c r="J19" s="9" t="n">
        <v>2200</v>
      </c>
      <c r="K19" s="9" t="n">
        <v>2200</v>
      </c>
      <c r="L19" s="10">
        <f>IF(D19="No","",IFERROR(IF(G19="Sí",K19/(1+H19),K19),""))</f>
        <v>2200.0</v>
      </c>
      <c r="M19" s="10">
        <f>IF(L19="","",IFERROR(L19*H19,""))</f>
        <v>462.0</v>
      </c>
      <c r="N19" s="10">
        <f>IF(L19="","",IFERROR(L19+M19,""))</f>
        <v>2662.0</v>
      </c>
      <c r="O19" s="4" t="inlineStr">
        <is>
          <t>Sin precio publicado: valor por defecto SUPUESTO</t>
        </is>
      </c>
      <c r="P19" s="4" t="inlineStr">
        <is>
          <t>SUPUESTO, no precio de ficha. SUPUESTO: la web del proveedor de packaging verificado devolvió HTTP 403 y no publica precio (`CHS-54`). En bombonería la caja ES el producto en campana, y el personalizado obliga a pedidos grandes: es dinero parado en el almacén. Si lo compras fuera de Espana, mira el contador de plastico del libro 2 (`PLASTICO`).</t>
        </is>
      </c>
    </row>
    <row r="20" ht="56" customHeight="1">
      <c r="A20" s="13" t="n">
        <v>15</v>
      </c>
      <c r="B20" s="4" t="inlineStr">
        <is>
          <t>Mobiliario y tienda</t>
        </is>
      </c>
      <c r="C20" s="4" t="inlineStr">
        <is>
          <t>Mobiliario de tienda, mostrador y estantería</t>
        </is>
      </c>
      <c r="D20" s="5" t="inlineStr">
        <is>
          <t>Sí</t>
        </is>
      </c>
      <c r="E20" s="4" t="inlineStr">
        <is>
          <t>supuesto</t>
        </is>
      </c>
      <c r="F20" t="inlineStr">
        <is>
          <t>sin IVA</t>
        </is>
      </c>
      <c r="G20" s="5" t="inlineStr">
        <is>
          <t>No</t>
        </is>
      </c>
      <c r="H20" s="14">
        <f>'Parámetros'!$B$9</f>
        <v>0.21</v>
      </c>
      <c r="I20" s="9" t="n">
        <v>6900</v>
      </c>
      <c r="J20" s="9" t="n">
        <v>6900</v>
      </c>
      <c r="K20" s="9" t="n">
        <v>6900</v>
      </c>
      <c r="L20" s="10">
        <f>IF(D20="No","",IFERROR(IF(G20="Sí",K20/(1+H20),K20),""))</f>
        <v>6900.0</v>
      </c>
      <c r="M20" s="10">
        <f>IF(L20="","",IFERROR(L20*H20,""))</f>
        <v>1449.0</v>
      </c>
      <c r="N20" s="10">
        <f>IF(L20="","",IFERROR(L20+M20,""))</f>
        <v>8349.0</v>
      </c>
      <c r="O20" s="4" t="inlineStr">
        <is>
          <t>Sin precio publicado: valor por defecto SUPUESTO</t>
        </is>
      </c>
      <c r="P20" s="4" t="inlineStr">
        <is>
          <t>SUPUESTO, no precio de ficha. SUPUESTO declarado. Celda verde con valor por defecto.</t>
        </is>
      </c>
    </row>
    <row r="21" ht="56" customHeight="1">
      <c r="A21" s="13" t="n">
        <v>16</v>
      </c>
      <c r="B21" s="4" t="inlineStr">
        <is>
          <t>TPV, informática y rótulo</t>
        </is>
      </c>
      <c r="C21" s="4" t="inlineStr">
        <is>
          <t>TPV, ordenador, impresora de etiquetas y rotulo</t>
        </is>
      </c>
      <c r="D21" s="5" t="inlineStr">
        <is>
          <t>Sí</t>
        </is>
      </c>
      <c r="E21" s="4" t="inlineStr">
        <is>
          <t>supuesto</t>
        </is>
      </c>
      <c r="F21" t="inlineStr">
        <is>
          <t>sin IVA</t>
        </is>
      </c>
      <c r="G21" s="5" t="inlineStr">
        <is>
          <t>No</t>
        </is>
      </c>
      <c r="H21" s="14">
        <f>'Parámetros'!$B$9</f>
        <v>0.21</v>
      </c>
      <c r="I21" s="9" t="n">
        <v>3200</v>
      </c>
      <c r="J21" s="9" t="n">
        <v>3200</v>
      </c>
      <c r="K21" s="9" t="n">
        <v>3200</v>
      </c>
      <c r="L21" s="10">
        <f>IF(D21="No","",IFERROR(IF(G21="Sí",K21/(1+H21),K21),""))</f>
        <v>3200.0</v>
      </c>
      <c r="M21" s="10">
        <f>IF(L21="","",IFERROR(L21*H21,""))</f>
        <v>672.0</v>
      </c>
      <c r="N21" s="10">
        <f>IF(L21="","",IFERROR(L21+M21,""))</f>
        <v>3872.0</v>
      </c>
      <c r="O21" s="4" t="inlineStr">
        <is>
          <t>Sin precio publicado: valor por defecto SUPUESTO</t>
        </is>
      </c>
      <c r="P21" s="4" t="inlineStr">
        <is>
          <t>SUPUESTO, no precio de ficha. SUPUESTO. La impresora de etiquetas deja de ser opcional en cuanto una sola referencia sale envasada con etiqueta (D47). Y Verifactu no es 2026, es 2027: 1-ene para sociedades y 1-jul para autónomos (`CHN-75`).</t>
        </is>
      </c>
    </row>
    <row r="22" ht="56" customHeight="1">
      <c r="A22" s="13" t="n">
        <v>17</v>
      </c>
      <c r="B22" s="4" t="inlineStr">
        <is>
          <t>Climatización y deshumidificación</t>
        </is>
      </c>
      <c r="C22" s="4" t="inlineStr">
        <is>
          <t>Climatización del obrador con deshumidificación</t>
        </is>
      </c>
      <c r="D22" s="5" t="inlineStr">
        <is>
          <t>Sí</t>
        </is>
      </c>
      <c r="E22" s="4" t="inlineStr">
        <is>
          <t>supuesto</t>
        </is>
      </c>
      <c r="F22" t="inlineStr">
        <is>
          <t>sin IVA</t>
        </is>
      </c>
      <c r="G22" s="5" t="inlineStr">
        <is>
          <t>No</t>
        </is>
      </c>
      <c r="H22" s="14">
        <f>'Parámetros'!$B$9</f>
        <v>0.21</v>
      </c>
      <c r="I22" s="9" t="n">
        <v>7600</v>
      </c>
      <c r="J22" s="9" t="n">
        <v>7600</v>
      </c>
      <c r="K22" s="9" t="n">
        <v>7600</v>
      </c>
      <c r="L22" s="10">
        <f>IF(D22="No","",IFERROR(IF(G22="Sí",K22/(1+H22),K22),""))</f>
        <v>7600.0</v>
      </c>
      <c r="M22" s="10">
        <f>IF(L22="","",IFERROR(L22*H22,""))</f>
        <v>1596.0</v>
      </c>
      <c r="N22" s="10">
        <f>IF(L22="","",IFERROR(L22+M22,""))</f>
        <v>9196.0</v>
      </c>
      <c r="O22" s="4" t="inlineStr">
        <is>
          <t>Sin precio publicado: valor por defecto SUPUESTO</t>
        </is>
      </c>
      <c r="P22" s="4" t="inlineStr">
        <is>
          <t>SUPUESTO, no precio de ficha. SUPUESTO declarado, y es la partida que nadie presupuesta. El libro 1 NO calcula carga térmica (D33): no hay un solo coeficiente con fuente ni de transmitancia, ni por m³, ni de aportes, ni de renovaciones. Lo que hace es (a) un semáforo de coherencia entre la temperatura objetivo, la exterior de agosto de TU ciudad y la potencia frigorífica que te OFREZCA EL INSTALADOR, y (b) una ficha de preguntas para el instalador. PROHIBIDO el climatizador evaporativo: añade humedad, que es justo lo contrario de lo que necesita un obrador de chocolate.</t>
        </is>
      </c>
    </row>
    <row r="23" ht="56" customHeight="1">
      <c r="A23" s="13" t="n">
        <v>18</v>
      </c>
      <c r="B23" s="4" t="inlineStr">
        <is>
          <t>Mobiliario y tienda</t>
        </is>
      </c>
      <c r="C23" s="4" t="inlineStr">
        <is>
          <t>Chocolatera de 3 L para la variante de taza — Ugolini Delice 3</t>
        </is>
      </c>
      <c r="D23" s="5" t="inlineStr">
        <is>
          <t>No</t>
        </is>
      </c>
      <c r="E23" s="4" t="inlineStr">
        <is>
          <t>CHS-46a</t>
        </is>
      </c>
      <c r="F23" t="inlineStr">
        <is>
          <t>sin IVA</t>
        </is>
      </c>
      <c r="G23" s="5" t="inlineStr">
        <is>
          <t>No</t>
        </is>
      </c>
      <c r="H23" s="14">
        <f>'Parámetros'!$B$9</f>
        <v>0.21</v>
      </c>
      <c r="I23" s="9" t="n">
        <v>527</v>
      </c>
      <c r="J23" s="9" t="n">
        <v>527</v>
      </c>
      <c r="K23" s="9" t="n">
        <v>527</v>
      </c>
      <c r="L23" s="10">
        <f>IF(D23="No","",IFERROR(IF(G23="Sí",K23/(1+H23),K23),""))</f>
        <v/>
      </c>
      <c r="M23" s="10">
        <f>IF(L23="","",IFERROR(L23*H23,""))</f>
        <v/>
      </c>
      <c r="N23" s="10">
        <f>IF(L23="","",IFERROR(L23+M23,""))</f>
        <v/>
      </c>
      <c r="O23" s="4" t="inlineStr">
        <is>
          <t>Precio de ficha de distribuidor (CHS-46a)</t>
        </is>
      </c>
      <c r="P23" s="4" t="inlineStr">
        <is>
          <t>OPCIONAL: viene con «¿la compras?» en No. Base SIN IVA declarada literalmente por la ficha. Solo entra en el escenario de taza y churros, que es OTRO negocio (D1): la Ley 12/2012 los separa sola, porque su Anexo incluye el epígrafe 644.5 de bombones y caramelos y NO contiene ningún grupo de la agrupación 67, donde esta la chocolatería de taza (`CHN-49c`).</t>
        </is>
      </c>
    </row>
    <row r="24" ht="56" customHeight="1">
      <c r="A24" s="13" t="n">
        <v>19</v>
      </c>
      <c r="B24" s="4" t="inlineStr">
        <is>
          <t>Fianza y licencias</t>
        </is>
      </c>
      <c r="C24" s="4" t="inlineStr">
        <is>
          <t>Fianza de arrendamiento (2 meses)</t>
        </is>
      </c>
      <c r="D24" s="5" t="inlineStr">
        <is>
          <t>Sí</t>
        </is>
      </c>
      <c r="E24" s="4" t="inlineStr">
        <is>
          <t>supuesto</t>
        </is>
      </c>
      <c r="F24" t="inlineStr">
        <is>
          <t>sin IVA</t>
        </is>
      </c>
      <c r="G24" s="5" t="inlineStr">
        <is>
          <t>No</t>
        </is>
      </c>
      <c r="H24" s="14">
        <f>'Parámetros'!$B$11</f>
        <v>0.0</v>
      </c>
      <c r="I24" s="10">
        <f>IFERROR('Parámetros'!B12*'Parámetros'!B13,"")</f>
        <v>2600.0</v>
      </c>
      <c r="J24" s="10">
        <f>IFERROR('Parámetros'!B12*'Parámetros'!B13,"")</f>
        <v>2600.0</v>
      </c>
      <c r="K24" s="10">
        <f>IFERROR('Parámetros'!B12*'Parámetros'!B13,"")</f>
        <v>2600.0</v>
      </c>
      <c r="L24" s="10">
        <f>IF(D24="No","",IFERROR(IF(G24="Sí",K24/(1+H24),K24),""))</f>
        <v>2600.0</v>
      </c>
      <c r="M24" s="10">
        <f>IF(L24="","",IFERROR(L24*H24,""))</f>
        <v>0.0</v>
      </c>
      <c r="N24" s="10">
        <f>IF(L24="","",IFERROR(L24+M24,""))</f>
        <v>2600.0</v>
      </c>
      <c r="O24" s="4" t="inlineStr">
        <is>
          <t>Renta mensual x meses de fianza</t>
        </is>
      </c>
      <c r="P24" s="4" t="inlineStr">
        <is>
          <t>La fianza NO es un gasto: es un deposito que se recupera. Va en el CAPEX porque hay que tenerla el día de la firma, y por eso no se amortiza.</t>
        </is>
      </c>
    </row>
    <row r="25" ht="56" customHeight="1">
      <c r="A25" s="13" t="n">
        <v>20</v>
      </c>
      <c r="B25" s="4" t="inlineStr">
        <is>
          <t>Fianza y licencias</t>
        </is>
      </c>
      <c r="C25" s="4" t="inlineStr">
        <is>
          <t>Proyecto técnico visado</t>
        </is>
      </c>
      <c r="D25" s="5" t="inlineStr">
        <is>
          <t>Sí</t>
        </is>
      </c>
      <c r="E25" s="4" t="inlineStr">
        <is>
          <t>supuesto</t>
        </is>
      </c>
      <c r="F25" t="inlineStr">
        <is>
          <t>sin IVA</t>
        </is>
      </c>
      <c r="G25" s="5" t="inlineStr">
        <is>
          <t>No</t>
        </is>
      </c>
      <c r="H25" s="14">
        <f>'Parámetros'!$B$9</f>
        <v>0.21</v>
      </c>
      <c r="I25" s="9" t="n">
        <v>4500</v>
      </c>
      <c r="J25" s="9" t="n">
        <v>4500</v>
      </c>
      <c r="K25" s="9" t="n">
        <v>4500</v>
      </c>
      <c r="L25" s="10">
        <f>IF(D25="No","",IFERROR(IF(G25="Sí",K25/(1+H25),K25),""))</f>
        <v>4500.0</v>
      </c>
      <c r="M25" s="10">
        <f>IF(L25="","",IFERROR(L25*H25,""))</f>
        <v>945.0</v>
      </c>
      <c r="N25" s="10">
        <f>IF(L25="","",IFERROR(L25+M25,""))</f>
        <v>5445.0</v>
      </c>
      <c r="O25" s="4" t="inlineStr">
        <is>
          <t>SUPUESTO declarado: pídelo, no lo copies</t>
        </is>
      </c>
      <c r="P25" s="4" t="inlineStr">
        <is>
          <t>SUPUESTO declarado. `CHN-50` (coste de proyecto técnico) esta en EXCLUIDOS de la verificación legal: no hay fuente, y publicar una cifra de proyecto técnico como dato verificado esta prohibido (§5.1, 28).</t>
        </is>
      </c>
    </row>
    <row r="26" ht="56" customHeight="1">
      <c r="A26" s="13" t="n">
        <v>21</v>
      </c>
      <c r="B26" s="4" t="inlineStr">
        <is>
          <t>Fianza y licencias</t>
        </is>
      </c>
      <c r="C26" s="4" t="inlineStr">
        <is>
          <t>Tasas municipales</t>
        </is>
      </c>
      <c r="D26" s="5" t="inlineStr">
        <is>
          <t>Sí</t>
        </is>
      </c>
      <c r="E26" s="4" t="inlineStr">
        <is>
          <t>supuesto</t>
        </is>
      </c>
      <c r="F26" t="inlineStr">
        <is>
          <t>sin IVA</t>
        </is>
      </c>
      <c r="G26" s="5" t="inlineStr">
        <is>
          <t>No</t>
        </is>
      </c>
      <c r="H26" s="14">
        <f>'Parámetros'!$B$11</f>
        <v>0.0</v>
      </c>
      <c r="I26" s="9" t="n">
        <v>1200</v>
      </c>
      <c r="J26" s="9" t="n">
        <v>1200</v>
      </c>
      <c r="K26" s="9" t="n">
        <v>1200</v>
      </c>
      <c r="L26" s="10">
        <f>IF(D26="No","",IFERROR(IF(G26="Sí",K26/(1+H26),K26),""))</f>
        <v>1200.0</v>
      </c>
      <c r="M26" s="10">
        <f>IF(L26="","",IFERROR(L26*H26,""))</f>
        <v>0.0</v>
      </c>
      <c r="N26" s="10">
        <f>IF(L26="","",IFERROR(L26+M26,""))</f>
        <v>1200.0</v>
      </c>
      <c r="O26" s="4" t="inlineStr">
        <is>
          <t>SUPUESTO declarado: pídelo, no lo copies</t>
        </is>
      </c>
      <c r="P26" s="4" t="inlineStr">
        <is>
          <t>Las tasas municipales no llevan IVA y su importe cambia en cada ayuntamiento: es el número que hay que ir a buscar, no copiar. Y ojo: ningún ayuntamiento puede exigirte LICENCIA PREVIA de instalación, funcionamiento o actividad hasta 750 m² de superficie útil de exposición y venta, porque el epígrafe 644.5 esta en el Anexo de la Ley 12/2012 (`CHN-49`, `CHN-49b`). Decir que trámite pide Madrid o Barcelona esta PROHIBIDO: no se ha abierto ninguna ordenanza.</t>
        </is>
      </c>
    </row>
    <row r="27" ht="56" customHeight="1">
      <c r="A27" s="13" t="n">
        <v>22</v>
      </c>
      <c r="B27" s="4" t="inlineStr">
        <is>
          <t>Fianza y licencias</t>
        </is>
      </c>
      <c r="C27" s="4" t="inlineStr">
        <is>
          <t>Comunicación o declaración responsable al registro autonómico</t>
        </is>
      </c>
      <c r="D27" s="5" t="inlineStr">
        <is>
          <t>Sí</t>
        </is>
      </c>
      <c r="E27" s="4" t="inlineStr">
        <is>
          <t>CHN-39 + supuesto</t>
        </is>
      </c>
      <c r="F27" t="inlineStr">
        <is>
          <t>sin IVA</t>
        </is>
      </c>
      <c r="G27" s="5" t="inlineStr">
        <is>
          <t>No</t>
        </is>
      </c>
      <c r="H27" s="14">
        <f>'Parámetros'!$B$11</f>
        <v>0.0</v>
      </c>
      <c r="I27" s="9" t="n">
        <v>120</v>
      </c>
      <c r="J27" s="9" t="n">
        <v>120</v>
      </c>
      <c r="K27" s="9" t="n">
        <v>120</v>
      </c>
      <c r="L27" s="10">
        <f>IF(D27="No","",IFERROR(IF(G27="Sí",K27/(1+H27),K27),""))</f>
        <v>120.0</v>
      </c>
      <c r="M27" s="10">
        <f>IF(L27="","",IFERROR(L27*H27,""))</f>
        <v>0.0</v>
      </c>
      <c r="N27" s="10">
        <f>IF(L27="","",IFERROR(L27+M27,""))</f>
        <v>120.0</v>
      </c>
      <c r="O27" s="4" t="inlineStr">
        <is>
          <t>Importe publicado (CHN-39 + supuesto)</t>
        </is>
      </c>
      <c r="P27" s="4" t="inlineStr">
        <is>
          <t>NO es una licencia y NO habilita para abrir: es el trámite de información del minorista, que esta EXCLUIDO del RGSEAA (`CHN-39`). El importe es supuesto y en varias comunidades es gratuito; en la Comunitat Valenciana lleva tasa y es condición única y suficiente para iniciar la actividad, y en Madrid se presenta simultaneamente al inicio y no habilita (`CHN-43`).</t>
        </is>
      </c>
    </row>
    <row r="28" ht="56" customHeight="1">
      <c r="A28" s="13" t="n">
        <v>23</v>
      </c>
      <c r="B28" s="4" t="inlineStr">
        <is>
          <t>Fondo de maniobra</t>
        </is>
      </c>
      <c r="C28" s="4" t="inlineStr">
        <is>
          <t>Fondo de maniobra traído del libro 7 (EUR)</t>
        </is>
      </c>
      <c r="D28" s="5" t="inlineStr">
        <is>
          <t>Sí</t>
        </is>
      </c>
      <c r="E28" s="4" t="inlineStr">
        <is>
          <t>supuesto</t>
        </is>
      </c>
      <c r="F28" t="inlineStr">
        <is>
          <t>sin IVA</t>
        </is>
      </c>
      <c r="G28" s="5" t="inlineStr">
        <is>
          <t>No</t>
        </is>
      </c>
      <c r="H28" s="14">
        <f>'Parámetros'!$B$11</f>
        <v>0.0</v>
      </c>
      <c r="I28" s="10">
        <f>$L$51</f>
        <v>61273.02</v>
      </c>
      <c r="J28" s="10">
        <f>$L$51</f>
        <v>61273.02</v>
      </c>
      <c r="K28" s="10">
        <f>$L$51</f>
        <v>61273.02</v>
      </c>
      <c r="L28" s="10">
        <f>IF(D28="No","",IFERROR(IF(G28="Sí",K28/(1+H28),K28),""))</f>
        <v>61273.02</v>
      </c>
      <c r="M28" s="10">
        <f>IF(L28="","",IFERROR(L28*H28,""))</f>
        <v>0.0</v>
      </c>
      <c r="N28" s="10">
        <f>IF(L28="","",IFERROR(L28+M28,""))</f>
        <v>61273.02</v>
      </c>
      <c r="O28" s="4" t="inlineStr">
        <is>
          <t>LLEGA DEL LIBRO 7 (cruce 2 &lt;- 7): no se calcula aquí</t>
        </is>
      </c>
      <c r="P28" s="4" t="inlineStr">
        <is>
          <t>LLEGA YA CALCULADO DEL LIBRO 7 por celda verde con fila de cuadre (cruce 2 &lt;- 7). El libro 2 NO pide «meses de colchón»: los dos factores del fondo -los meses y los gastos fijos del año de crucero- viven en el libro 7. Es caja, no inversión, y por eso el «Resumen» publica DOS líneas: «CAPEX sin el fondo de maniobra» (la que viaja al libro 7) y «Del cual, fondo de maniobra».</t>
        </is>
      </c>
    </row>
    <row r="29"/>
    <row r="30">
      <c r="B30" s="3" t="inlineStr">
        <is>
          <t>Resumen por bloque (los NUEVE)</t>
        </is>
      </c>
    </row>
    <row r="31">
      <c r="C31" t="inlineStr">
        <is>
          <t>Obra y adecuación</t>
        </is>
      </c>
      <c r="L31" s="10">
        <f>SUMIF($B$6:$B$28,C31,L$6:L$28)</f>
        <v>28500.0</v>
      </c>
      <c r="M31" s="10">
        <f>SUMIF($B$6:$B$28,C31,M$6:M$28)</f>
        <v>5985.0</v>
      </c>
      <c r="N31" s="10">
        <f>SUMIF($B$6:$B$28,C31,N$6:N$28)</f>
        <v>34485.0</v>
      </c>
      <c r="O31" s="14">
        <f>IFERROR(L31/$L$40,"")</f>
        <v>0.18937837180715542</v>
      </c>
    </row>
    <row r="32">
      <c r="C32" t="inlineStr">
        <is>
          <t>Climatización y deshumidificación</t>
        </is>
      </c>
      <c r="L32" s="10">
        <f>SUMIF($B$6:$B$28,C32,L$6:L$28)</f>
        <v>7600.0</v>
      </c>
      <c r="M32" s="10">
        <f>SUMIF($B$6:$B$28,C32,M$6:M$28)</f>
        <v>1596.0</v>
      </c>
      <c r="N32" s="10">
        <f>SUMIF($B$6:$B$28,C32,N$6:N$28)</f>
        <v>9196.0</v>
      </c>
      <c r="O32" s="14">
        <f>IFERROR(L32/$L$40,"")</f>
        <v>0.05050089914857478</v>
      </c>
    </row>
    <row r="33">
      <c r="C33" t="inlineStr">
        <is>
          <t>Equipo de templado y moldeado</t>
        </is>
      </c>
      <c r="L33" s="10">
        <f>SUMIF($B$6:$B$28,C33,L$6:L$28)</f>
        <v>21060.0</v>
      </c>
      <c r="M33" s="10">
        <f>SUMIF($B$6:$B$28,C33,M$6:M$28)</f>
        <v>4422.599999999999</v>
      </c>
      <c r="N33" s="10">
        <f>SUMIF($B$6:$B$28,C33,N$6:N$28)</f>
        <v>25482.600000000002</v>
      </c>
      <c r="O33" s="14">
        <f>IFERROR(L33/$L$40,"")</f>
        <v>0.13994064948276116</v>
      </c>
    </row>
    <row r="34">
      <c r="C34" t="inlineStr">
        <is>
          <t>Frío (cámara, nevera de rellenos y vitrina)</t>
        </is>
      </c>
      <c r="L34" s="10">
        <f>SUMIF($B$6:$B$28,C34,L$6:L$28)</f>
        <v>10534.99</v>
      </c>
      <c r="M34" s="10">
        <f>SUMIF($B$6:$B$28,C34,M$6:M$28)</f>
        <v>2212.3478999999998</v>
      </c>
      <c r="N34" s="10">
        <f>SUMIF($B$6:$B$28,C34,N$6:N$28)</f>
        <v>12747.337899999999</v>
      </c>
      <c r="O34" s="14">
        <f>IFERROR(L34/$L$40,"")</f>
        <v>0.07000348256858471</v>
      </c>
    </row>
    <row r="35">
      <c r="C35" t="inlineStr">
        <is>
          <t>Mobiliario y tienda</t>
        </is>
      </c>
      <c r="L35" s="10">
        <f>SUMIF($B$6:$B$28,C35,L$6:L$28)</f>
        <v>6900.0</v>
      </c>
      <c r="M35" s="10">
        <f>SUMIF($B$6:$B$28,C35,M$6:M$28)</f>
        <v>1449.0</v>
      </c>
      <c r="N35" s="10">
        <f>SUMIF($B$6:$B$28,C35,N$6:N$28)</f>
        <v>8349.0</v>
      </c>
      <c r="O35" s="14">
        <f>IFERROR(L35/$L$40,"")</f>
        <v>0.04584950054278499</v>
      </c>
    </row>
    <row r="36">
      <c r="C36" t="inlineStr">
        <is>
          <t>Packaging y moldes</t>
        </is>
      </c>
      <c r="L36" s="10">
        <f>SUMIF($B$6:$B$28,C36,L$6:L$28)</f>
        <v>3004.36</v>
      </c>
      <c r="M36" s="10">
        <f>SUMIF($B$6:$B$28,C36,M$6:M$28)</f>
        <v>630.9156</v>
      </c>
      <c r="N36" s="10">
        <f>SUMIF($B$6:$B$28,C36,N$6:N$28)</f>
        <v>3635.2756</v>
      </c>
      <c r="O36" s="14">
        <f>IFERROR(L36/$L$40,"")</f>
        <v>0.0199635370218437</v>
      </c>
    </row>
    <row r="37">
      <c r="C37" t="inlineStr">
        <is>
          <t>TPV, informática y rótulo</t>
        </is>
      </c>
      <c r="L37" s="10">
        <f>SUMIF($B$6:$B$28,C37,L$6:L$28)</f>
        <v>3200.0</v>
      </c>
      <c r="M37" s="10">
        <f>SUMIF($B$6:$B$28,C37,M$6:M$28)</f>
        <v>672.0</v>
      </c>
      <c r="N37" s="10">
        <f>SUMIF($B$6:$B$28,C37,N$6:N$28)</f>
        <v>3872.0</v>
      </c>
      <c r="O37" s="14">
        <f>IFERROR(L37/$L$40,"")</f>
        <v>0.021263536483610432</v>
      </c>
    </row>
    <row r="38">
      <c r="C38" t="inlineStr">
        <is>
          <t>Fianza y licencias</t>
        </is>
      </c>
      <c r="L38" s="10">
        <f>SUMIF($B$6:$B$28,C38,L$6:L$28)</f>
        <v>8420.0</v>
      </c>
      <c r="M38" s="10">
        <f>SUMIF($B$6:$B$28,C38,M$6:M$28)</f>
        <v>945.0</v>
      </c>
      <c r="N38" s="10">
        <f>SUMIF($B$6:$B$28,C38,N$6:N$28)</f>
        <v>9365.0</v>
      </c>
      <c r="O38" s="14">
        <f>IFERROR(L38/$L$40,"")</f>
        <v>0.05594968037249995</v>
      </c>
    </row>
    <row r="39">
      <c r="C39" t="inlineStr">
        <is>
          <t>Fondo de maniobra</t>
        </is>
      </c>
      <c r="L39" s="10">
        <f>SUMIF($B$6:$B$28,C39,L$6:L$28)</f>
        <v>61273.02</v>
      </c>
      <c r="M39" s="10">
        <f>SUMIF($B$6:$B$28,C39,M$6:M$28)</f>
        <v>0.0</v>
      </c>
      <c r="N39" s="10">
        <f>SUMIF($B$6:$B$28,C39,N$6:N$28)</f>
        <v>61273.02</v>
      </c>
      <c r="O39" s="14">
        <f>IFERROR(L39/$L$40,"")</f>
        <v>0.40715034257218485</v>
      </c>
    </row>
    <row r="40">
      <c r="C40" s="15" t="inlineStr">
        <is>
          <t>CAPEX TOTAL (los nueve bloques)</t>
        </is>
      </c>
      <c r="L40" s="16">
        <f>SUM(L31:L39)</f>
        <v>150492.37</v>
      </c>
      <c r="M40" s="16">
        <f>SUM(M31:M39)</f>
        <v>17912.8635</v>
      </c>
      <c r="N40" s="16">
        <f>SUM(N31:N39)</f>
        <v>168405.2335</v>
      </c>
    </row>
    <row r="41">
      <c r="C41" t="inlineStr">
        <is>
          <t>Del cual, IVA que hay que adelantar</t>
        </is>
      </c>
      <c r="L41" s="10">
        <f>M40</f>
        <v>17912.8635</v>
      </c>
    </row>
    <row r="42">
      <c r="C42" t="inlineStr">
        <is>
          <t>Desembolso total con IVA</t>
        </is>
      </c>
      <c r="L42" s="17">
        <f>N40</f>
        <v>168405.2335</v>
      </c>
    </row>
    <row r="43"/>
    <row r="44" ht="62" customHeight="1">
      <c r="C44" s="18" t="inlineStr">
        <is>
          <t>CAPEX SIN el fondo de maniobra (la cifra que viaja al libro 7)</t>
        </is>
      </c>
      <c r="L44" s="16">
        <f>IFERROR(L40-L39,"")</f>
        <v>89219.35</v>
      </c>
      <c r="P44" s="4" t="inlineStr">
        <is>
          <t>ES ESTA LÍNEA, Y NO EL TOTAL, LA QUE VIAJA AL LIBRO 7 (cruce 7 &lt;- 2). El total incluye el bloque «fondo de maniobra», y el libro 7 vuelve a dotar el fondo con sus propios meses de colchón: llevarle el total entero lo contaría DOS VECES y publicaría dos inversiones totales distintas para la misma bombonería.</t>
        </is>
      </c>
    </row>
    <row r="45">
      <c r="C45" s="4" t="inlineStr">
        <is>
          <t>Del cual, fondo de maniobra (es caja, no inversión)</t>
        </is>
      </c>
      <c r="L45" s="10">
        <f>L39</f>
        <v>61273.02</v>
      </c>
    </row>
    <row r="46">
      <c r="C46" s="15" t="inlineStr">
        <is>
          <t>INVERSIÓN TOTAL (las dos líneas de arriba)</t>
        </is>
      </c>
      <c r="L46" s="16">
        <f>IFERROR(L44+L45,"")</f>
        <v>150492.37</v>
      </c>
    </row>
    <row r="47"/>
    <row r="48" ht="68" customHeight="1">
      <c r="C48" s="4" t="inlineStr">
        <is>
          <t>Subtotal COMPARABLE con un presupuesto de obra y equipamiento (seis bloques)</t>
        </is>
      </c>
      <c r="L48" s="17">
        <f>L31+L32+L33+L34+L35+L37</f>
        <v>77794.99</v>
      </c>
      <c r="P48" s="4" t="inlineStr">
        <is>
          <t>Obra y adecuación, climatización, equipo de templado y moldeado, frío, mobiliario y tienda, y TPV/rótulo. Fuera quedan ENTEROS «fianza y licencias» (un depósito y unas tasas), «packaging y moldes» (existencias) y el fondo de maniobra (caja): un depósito no se compara contra un presupuesto de obra. Y el bloque de fianza y licencias sale entero, no medio: partirlo para rescatar las licencias sería inventar un décimo bloque sin dato propio.</t>
        </is>
      </c>
    </row>
    <row r="49"/>
    <row r="50">
      <c r="B50" s="3" t="inlineStr">
        <is>
          <t>Cruce con el libro 7: el fondo de maniobra llega ya calculado</t>
        </is>
      </c>
    </row>
    <row r="51" ht="56" customHeight="1">
      <c r="C51" s="4" t="inlineStr">
        <is>
          <t>Trae aquí el fondo de maniobra de plan-financiero-3-anos-chocolateria.xlsx!Inversión Inicial!B16</t>
        </is>
      </c>
      <c r="L51" s="9" t="n">
        <v>61273.02</v>
      </c>
      <c r="P51" s="4" t="inlineStr">
        <is>
          <t>VALOR POR DEFECTO DECLARADO: seis meses de los gastos fijos de La Almendra en velocidad de crucero. Es un SUPUESTO, como los dos factores de los que sale. En cuanto tengas tu libro 7 relleno, copia aquí SU cifra: no la calcules otra vez.</t>
        </is>
      </c>
    </row>
    <row r="52">
      <c r="C52" s="4" t="inlineStr">
        <is>
          <t>Fondo de maniobra que está usando la fila del bloque</t>
        </is>
      </c>
      <c r="L52" s="10">
        <f>K28</f>
        <v>61273.02</v>
      </c>
    </row>
    <row r="53">
      <c r="C53" t="inlineStr">
        <is>
          <t>Diferencia</t>
        </is>
      </c>
      <c r="L53" s="10">
        <f>IFERROR(L52-L51,"")</f>
        <v>0.0</v>
      </c>
    </row>
    <row r="54" ht="68" customHeight="1">
      <c r="C54" s="15" t="inlineStr">
        <is>
          <t>CUADRE DEL FONDO DE MANIOBRA</t>
        </is>
      </c>
      <c r="L54" s="19" t="str">
        <f>IF(OR(L51="",L52=""),"",IF(ABS(L53)&lt;0.01,"CUADRA","NO CUADRA: alguien ha pisado la fila del bloque"))</f>
        <v>CUADRA</v>
      </c>
      <c r="P54" s="4" t="inlineStr">
        <is>
          <t>En toda la guía NO hay una sola fórmula que apunte a otro fichero: un enlace entre libros se rompe en cuanto alguien mueve una carpeta, y entonces el libro miente sin avisar. Lo que hay es esto: una celda verde con su valor por defecto y una fila que te dice, a la cara, si la fila del bloque y la cifra traída del libro 7 han dejado de decir lo mismo.</t>
        </is>
      </c>
    </row>
    <row r="55"/>
    <row r="56">
      <c r="B56" s="3" t="inlineStr">
        <is>
          <t>Los dos escenarios de dotación que se publican, con su etiqueta pegada</t>
        </is>
      </c>
    </row>
    <row r="57" ht="30" customHeight="1">
      <c r="C57" s="6" t="inlineStr">
        <is>
          <t>Escenario</t>
        </is>
      </c>
      <c r="I57" s="6" t="inlineStr">
        <is>
          <t>Mínimo publicado</t>
        </is>
      </c>
      <c r="J57" s="6" t="inlineStr">
        <is>
          <t>Máximo publicado</t>
        </is>
      </c>
      <c r="K57" s="6" t="inlineStr">
        <is>
          <t>Fuente</t>
        </is>
      </c>
      <c r="O57" s="6" t="inlineStr">
        <is>
          <t>Etiqueta</t>
        </is>
      </c>
      <c r="P57" s="6" t="inlineStr">
        <is>
          <t>Qué incluye</t>
        </is>
      </c>
    </row>
    <row r="58" ht="62" customHeight="1">
      <c r="C58" s="4" t="inlineStr">
        <is>
          <t>Escenario A: profesional de entrada</t>
        </is>
      </c>
      <c r="I58" s="10" t="n">
        <v>24000</v>
      </c>
      <c r="J58" s="10" t="n">
        <v>24300</v>
      </c>
      <c r="K58" t="inlineStr">
        <is>
          <t>CHS-47a</t>
        </is>
      </c>
      <c r="O58" s="4" t="inlineStr">
        <is>
          <t>BASE MIXTA de IVA, no es presupuesto de apertura</t>
        </is>
      </c>
      <c r="P58" s="4" t="inlineStr">
        <is>
          <t>Suma de las líneas con precio verificado: atemperadora Selmi One (`CHS-41a`) + puesta en marcha + enrobadora R200 (`CHS-42a`) + placa dosificadora (`CHS-42i`) + moldes en RANGO (`CHS-45a`) + temperador de baño maria (`CHS-41j`) + mantenedor «desde» (`CHS-41i`). Se publica como RANGO porque dos de sus sumandos no son números cerrados.</t>
        </is>
      </c>
    </row>
    <row r="59" ht="62" customHeight="1">
      <c r="C59" s="4" t="inlineStr">
        <is>
          <t>Escenario B: arranque mínimo viable</t>
        </is>
      </c>
      <c r="I59" s="10" t="n">
        <v>5700</v>
      </c>
      <c r="J59" s="10" t="n">
        <v>5900</v>
      </c>
      <c r="K59" t="inlineStr">
        <is>
          <t>CHS-47b</t>
        </is>
      </c>
      <c r="O59" s="4" t="inlineStr">
        <is>
          <t>BASE MIXTA de IVA, no es presupuesto de apertura</t>
        </is>
      </c>
      <c r="P59" s="4" t="inlineStr">
        <is>
          <t>5.670,69 a 5.894,25 euros aplicando a `CHS-47b` (5.740,29) el rango de moldes de D23a. El mantenedor es un «desde», así que el techo solo puede subir. El suelo de 5.500 euros que se publico primero estaba 170 euros por debajo de lo que produce el propio método.</t>
        </is>
      </c>
    </row>
    <row r="60">
      <c r="C60" t="inlineStr">
        <is>
          <t>Tu equipo de templado y moldeado, en base imponible</t>
        </is>
      </c>
      <c r="I60" s="10">
        <f>L33</f>
        <v>21060.0</v>
      </c>
    </row>
    <row r="61" ht="90" customHeight="1">
      <c r="C61" s="15" t="inlineStr">
        <is>
          <t>¿Se puede comparar con el escenario profesional de entrada?</t>
        </is>
      </c>
      <c r="I61" s="20" t="inlineStr">
        <is>
          <t>No comparable: tu cifra va en base imponible y el rango publicado es base MIXTA</t>
        </is>
      </c>
      <c r="P61" s="4" t="inlineStr">
        <is>
          <t>ES UNA POSICIÓN, NO UNA DESVIACIÓN, y por eso no hay ningún porcentaje en esta celda. Los dos escenarios publicados mezclan bases de IVA -seis líneas con base no declarada, una «sin impuestos» y otra con un indicio «/Neto» no confirmable-, así que restarlos de tu presupuesto o compararlos entre sí como si fueran cifras fiscales está prohibido en esta guía. Lo que sí se conserva es el hallazgo: entre el arranque mínimo y el profesional de entrada hay un FACTOR 4, y cualquier cifra de inversión publicada que no diga cuál de los dos describe no sirve para decidir nada.</t>
        </is>
      </c>
    </row>
    <row r="62"/>
    <row r="63"/>
    <row r="64">
      <c r="C64" s="3" t="inlineStr">
        <is>
          <t>Listas de validación (no las borres: las usan los desplegables)</t>
        </is>
      </c>
    </row>
    <row r="65">
      <c r="C65" s="15" t="inlineStr">
        <is>
          <t>¿La compras?</t>
        </is>
      </c>
      <c r="D65" s="15" t="inlineStr">
        <is>
          <t>¿Lleva IVA?</t>
        </is>
      </c>
    </row>
    <row r="66">
      <c r="C66" t="inlineStr">
        <is>
          <t>Sí</t>
        </is>
      </c>
      <c r="D66" t="inlineStr">
        <is>
          <t>Sí</t>
        </is>
      </c>
    </row>
    <row r="67">
      <c r="C67" t="inlineStr">
        <is>
          <t>No</t>
        </is>
      </c>
      <c r="D67" t="inlineStr">
        <is>
          <t>No</t>
        </is>
      </c>
    </row>
    <row r="68"/>
    <row r="69" ht="62" customHeight="1">
      <c r="C69" s="7" t="inlineStr">
        <is>
          <t>Mínimo y máximo son para TUS presupuestos: vienen sembrados con el mismo valor de partida salvo donde la fuente publica un rango -los moldes de policarbonato-, y en cuanto tengas dos ofertas de verdad se ve de un vistazo cuánto se mueve cada partida. El total sólo usa «tu importe». Y la columna «Base declarada por la fuente» no es decorativa: dice si el precio que has copiado de una ficha venía con IVA, sin él, o sin decirlo.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P3"/>
    <mergeCell ref="C69:P69"/>
  </mergeCells>
  <conditionalFormatting sqref="L54">
    <cfRule type="cellIs" priority="1" operator="equal" dxfId="0" stopIfTrue="1">
      <formula>"NO CUADRA: alguien ha pisado la fila del bloque"</formula>
    </cfRule>
    <cfRule type="cellIs" priority="2" operator="equal" dxfId="1" stopIfTrue="1">
      <formula>"CUADRA"</formula>
    </cfRule>
  </conditionalFormatting>
  <dataValidations count="2">
    <dataValidation sqref="D6 D7 D8 D9 D10 D11 D12 D13 D14 D15 D16 D17 D18 D19 D20 D21 D22 D23 D24 D25 D26 D27 D28" showDropDown="0" showInputMessage="0" showErrorMessage="1" allowBlank="0" errorTitle="¿La compras?" error="Elige «Sí» o «No» de la lista." type="list">
      <formula1>=$C$66:$C$67</formula1>
    </dataValidation>
    <dataValidation sqref="G6 G7 G8 G9 G10 G11 G12 G13 G14 G15 G16 G17 G18 G19 G20 G21 G22 G23 G24 G25 G26 G27 G28" showDropDown="0" showInputMessage="0" showErrorMessage="1" allowBlank="0" errorTitle="¿Tu precio lleva IVA?" error="Elige «Sí» o «No» de la lista." type="list">
      <formula1>=$D$66:$D$67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H59"/>
  <sheetViews>
    <sheetView workbookViewId="0">
      <pane ySplit="45" topLeftCell="A46" activePane="bottomLeft" state="frozen"/>
      <selection pane="bottomLeft" activeCell="A1" sqref="A1"/>
    </sheetView>
  </sheetViews>
  <sheetFormatPr baseColWidth="8" defaultRowHeight="15"/>
  <cols>
    <col width="5" customWidth="1" min="1" max="1"/>
    <col width="44" customWidth="1" min="2" max="2"/>
    <col width="20" customWidth="1" min="3" max="3"/>
    <col width="16" customWidth="1" min="4" max="4"/>
    <col width="16" customWidth="1" min="5" max="5"/>
    <col width="16" customWidth="1" min="6" max="6"/>
    <col width="16" customWidth="1" min="7" max="7"/>
    <col width="88" customWidth="1" min="8" max="8"/>
  </cols>
  <sheetData>
    <row r="1" ht="28" customHeight="1">
      <c r="A1" s="1" t="inlineStr">
        <is>
          <t>Variante del Formato</t>
        </is>
      </c>
    </row>
    <row r="2">
      <c r="A2" t="inlineStr">
        <is>
          <t>AI Chef Pro · aichef.pro — Cómo Montar una Chocolatería</t>
        </is>
      </c>
    </row>
    <row r="3" ht="26" customHeight="1">
      <c r="A3" s="7" t="inlineStr">
        <is>
          <t>Tu chocolatería puede no ser la del ejemplo. Tres variantes, y dos de ellas SIN cifras de maquinaria a propósito: no hay precio público verificado, y lo que se entrega es la lista de la compra y las preguntas.</t>
        </is>
      </c>
    </row>
    <row r="4"/>
    <row r="5">
      <c r="B5" s="3" t="inlineStr">
        <is>
          <t>Las tres variantes, y qué cambia en cada una</t>
        </is>
      </c>
    </row>
    <row r="6" ht="40" customHeight="1">
      <c r="B6" s="6" t="inlineStr">
        <is>
          <t>Variante</t>
        </is>
      </c>
      <c r="C6" s="6" t="inlineStr">
        <is>
          <t>Fuente</t>
        </is>
      </c>
      <c r="D6" s="6" t="inlineStr">
        <is>
          <t>¿Es la tuya?</t>
        </is>
      </c>
      <c r="E6" s="6" t="inlineStr">
        <is>
          <t>CAPEX extra cifrable</t>
        </is>
      </c>
      <c r="H6" s="6" t="inlineStr">
        <is>
          <t>Qué cambia, y qué NO se puede cifrar</t>
        </is>
      </c>
    </row>
    <row r="7" ht="56" customHeight="1">
      <c r="B7" s="4" t="inlineStr">
        <is>
          <t>Bombonería con obrador propio y tienda a calle (el caso de esta guía)</t>
        </is>
      </c>
      <c r="C7" t="inlineStr">
        <is>
          <t>CHS-03</t>
        </is>
      </c>
      <c r="D7" s="5" t="inlineStr">
        <is>
          <t>Sí</t>
        </is>
      </c>
      <c r="E7" s="10">
        <f>'CAPEX por Bloque'!L46</f>
        <v>150492.37</v>
      </c>
      <c r="H7" s="4" t="inlineStr">
        <is>
          <t>Es el eje del producto y el caso que calcula la hoja «CAPEX por Bloque» entera: 60-100 m² y 1-2 empleados. Las otras dos son columnas de escenario, no productos aparte.</t>
        </is>
      </c>
    </row>
    <row r="8" ht="120" customHeight="1">
      <c r="B8" s="4" t="inlineStr">
        <is>
          <t>Bean-to-bar: del grano a la tableta</t>
        </is>
      </c>
      <c r="C8" t="inlineStr">
        <is>
          <t>CHS-48 + CHS-51</t>
        </is>
      </c>
      <c r="D8" s="5" t="inlineStr">
        <is>
          <t>No</t>
        </is>
      </c>
      <c r="E8" t="inlineStr">
        <is>
          <t>Sin cifra</t>
        </is>
      </c>
      <c r="H8" s="4" t="inlineStr">
        <is>
          <t>SIN CIFRAS DE MAQUINARIA A PROPÓSITO: no existe precio público verificado del tren bean-to-bar, y lo que se entrega es la lista de la compra y las preguntas que hay que hacer. Inventar el precio sería justo el patrón que la casa prohíbe. · Y la variante SUBE DE VALOR por dos motivos legales: (1) si importas grano ERES OPERADOR a efectos del EUDR, con diligencia debida completa, declaración presentada previamente y registro cinco años (CHN-25), no operador posterior; (2) el TOSTADO te puede meter en el CAPCA, y la nota (2) de su Anexo sube de grupo C a B cuando la actividad se desarrolla a menos de 500 m de un NÚCLEO DE POBLACIÓN (CHN-47b), es decir, en ciudad SIEMPRE. Ojo: «cacao» y «chocolate» tienen 0 ocurrencias en el CAPCA, así que encajar el tostado de cacao en «café o similares» es INTERPRETACIÓN, no mención expresa (CHN-47).</t>
        </is>
      </c>
    </row>
    <row r="9" ht="120" customHeight="1">
      <c r="B9" s="4" t="inlineStr">
        <is>
          <t>Chocolatería de taza y churros</t>
        </is>
      </c>
      <c r="C9" t="inlineStr">
        <is>
          <t>CHS-46a + CHN-48 + CHN-49c</t>
        </is>
      </c>
      <c r="D9" s="5" t="inlineStr">
        <is>
          <t>No</t>
        </is>
      </c>
      <c r="E9" s="10" t="n">
        <v>527</v>
      </c>
      <c r="F9" t="inlineStr">
        <is>
          <t>Sólo la chocolatera</t>
        </is>
      </c>
      <c r="G9" t="inlineStr">
        <is>
          <t>sin IVA</t>
        </is>
      </c>
      <c r="H9" s="4" t="inlineStr">
        <is>
          <t>ES OTRO NEGOCIO, y la norma lo separa sola: el Anexo de la Ley 12/2012 incluye el epígrafe 644.5 «Comercio al por menor de bombones y caramelos» y NO contiene ningún grupo de la agrupación 67, donde está la chocolatería de taza (grupo 676). O sea que la bombonería se libra de la licencia previa hasta 750 m² y la chocolatería de taza no (CHN-49, CHN-49b, CHN-49c). · Lo que SÍ aporta: el chocolate convierte una ración de churros de 2,50 euros en 3,50-4 euros, un 40-60 % más de ticket (CHS-32), y el margen bruto del churro es del 85-90 % (CHS-31) - aunque un maestro churrero citado lo rebaja a «un poco más del 50 %», y los dos números se publican con su por qué, no se elige el más bonito. · Lo que cuesta: freidora, extracción de humos y la licencia que la bombonería se ahorra. Los precios de churrera, freidora y extracción NO están verificados (CHS-49).</t>
        </is>
      </c>
    </row>
    <row r="10"/>
    <row r="11">
      <c r="B11" s="3" t="inlineStr">
        <is>
          <t>Bean-to-bar: la lista de la compra, SIN precios inventados</t>
        </is>
      </c>
    </row>
    <row r="12" ht="72" customHeight="1">
      <c r="B12" s="7" t="inlineStr">
        <is>
          <t>NO HAY UNA SOLA CIFRA DE MAQUINARIA EN ESTE BLOQUE, Y ES A PROPÓSITO. Los catálogos existen y están verificados, pero los precios NO son públicos: se vende a presupuesto, o la tienda está fuera de la UE y el precio puesto en España depende del transporte y de la aduana. Inventarlos sería justo el patrón que esta casa prohíbe. Lo que sí se entrega es la lista de lo que hay que comprar y las cinco preguntas que hay que hacer antes de pedir un número.</t>
        </is>
      </c>
    </row>
    <row r="13" ht="30" customHeight="1">
      <c r="B13" s="6" t="inlineStr">
        <is>
          <t>Equipo del tren bean-to-bar</t>
        </is>
      </c>
      <c r="D13" s="6" t="inlineStr">
        <is>
          <t>¿Lo necesitas?</t>
        </is>
      </c>
      <c r="E13" s="6" t="inlineStr">
        <is>
          <t>¿Tienes presupuesto por escrito?</t>
        </is>
      </c>
      <c r="H13" s="6" t="inlineStr">
        <is>
          <t>Qué mirar</t>
        </is>
      </c>
    </row>
    <row r="14" ht="72" customHeight="1">
      <c r="B14" s="4" t="inlineStr">
        <is>
          <t>Tostador de grano</t>
        </is>
      </c>
      <c r="D14" s="5" t="inlineStr">
        <is>
          <t>Por decidir</t>
        </is>
      </c>
      <c r="E14" s="5" t="inlineStr">
        <is>
          <t>Por pedir</t>
        </is>
      </c>
      <c r="H14" s="4" t="inlineStr">
        <is>
          <t>El equipo que te puede meter en el CAPCA: la nota (2) de su Anexo sube de grupo C a B cuando la actividad se desarrolla a menos de 500 m de un núcleo de población, es decir, en ciudad SIEMPRE. Y ojo: «cacao» y «chocolate» tienen 0 ocurrencias en el CAPCA, así que encajar el tostado en «café o similares» es INTERPRETACIÓN, no mención expresa.</t>
        </is>
      </c>
    </row>
    <row r="15" ht="40" customHeight="1">
      <c r="B15" s="4" t="inlineStr">
        <is>
          <t>Bandeja de enfriado</t>
        </is>
      </c>
      <c r="D15" s="5" t="inlineStr">
        <is>
          <t>Por decidir</t>
        </is>
      </c>
      <c r="E15" s="5" t="inlineStr">
        <is>
          <t>Por pedir</t>
        </is>
      </c>
      <c r="H15" s="4" t="inlineStr"/>
    </row>
    <row r="16" ht="40" customHeight="1">
      <c r="B16" s="4" t="inlineStr">
        <is>
          <t>Descascarilladora</t>
        </is>
      </c>
      <c r="D16" s="5" t="inlineStr">
        <is>
          <t>Por decidir</t>
        </is>
      </c>
      <c r="E16" s="5" t="inlineStr">
        <is>
          <t>Por pedir</t>
        </is>
      </c>
      <c r="H16" s="4" t="inlineStr"/>
    </row>
    <row r="17" ht="72" customHeight="1">
      <c r="B17" s="4" t="inlineStr">
        <is>
          <t>Winnower (aventadora)</t>
        </is>
      </c>
      <c r="D17" s="5" t="inlineStr">
        <is>
          <t>Por decidir</t>
        </is>
      </c>
      <c r="E17" s="5" t="inlineStr">
        <is>
          <t>Por pedir</t>
        </is>
      </c>
      <c r="H17" s="4" t="inlineStr">
        <is>
          <t>Junto con el tostador, el equipo ruidoso de un obrador que por lo demás es silencioso. Pregunta los dB a un metro antes de firmar el alquiler.</t>
        </is>
      </c>
    </row>
    <row r="18" ht="72" customHeight="1">
      <c r="B18" s="4" t="inlineStr">
        <is>
          <t>Melanger o refinadora de piedra</t>
        </is>
      </c>
      <c r="D18" s="5" t="inlineStr">
        <is>
          <t>Por decidir</t>
        </is>
      </c>
      <c r="E18" s="5" t="inlineStr">
        <is>
          <t>Por pedir</t>
        </is>
      </c>
      <c r="H18" s="4" t="inlineStr">
        <is>
          <t>Trabaja durante días seguidos: su consumo es un gasto fijo del libro 7, no una compra.</t>
        </is>
      </c>
    </row>
    <row r="19" ht="40" customHeight="1">
      <c r="B19" s="4" t="inlineStr">
        <is>
          <t>Concha</t>
        </is>
      </c>
      <c r="D19" s="5" t="inlineStr">
        <is>
          <t>Por decidir</t>
        </is>
      </c>
      <c r="E19" s="5" t="inlineStr">
        <is>
          <t>Por pedir</t>
        </is>
      </c>
      <c r="H19" s="4" t="inlineStr"/>
    </row>
    <row r="20" ht="40" customHeight="1">
      <c r="B20" s="4" t="inlineStr">
        <is>
          <t>Prensa de manteca (solo si separas manteca)</t>
        </is>
      </c>
      <c r="D20" s="5" t="inlineStr">
        <is>
          <t>Por decidir</t>
        </is>
      </c>
      <c r="E20" s="5" t="inlineStr">
        <is>
          <t>Por pedir</t>
        </is>
      </c>
      <c r="H20" s="4" t="inlineStr"/>
    </row>
    <row r="21" ht="40" customHeight="1">
      <c r="B21" s="4" t="inlineStr">
        <is>
          <t>Tamizadora</t>
        </is>
      </c>
      <c r="D21" s="5" t="inlineStr">
        <is>
          <t>Por decidir</t>
        </is>
      </c>
      <c r="E21" s="5" t="inlineStr">
        <is>
          <t>Por pedir</t>
        </is>
      </c>
      <c r="H21" s="4" t="inlineStr"/>
    </row>
    <row r="22" ht="40" customHeight="1">
      <c r="B22" s="4" t="inlineStr">
        <is>
          <t>Balanza de precisión para la formulación</t>
        </is>
      </c>
      <c r="D22" s="5" t="inlineStr">
        <is>
          <t>Por decidir</t>
        </is>
      </c>
      <c r="E22" s="5" t="inlineStr">
        <is>
          <t>Por pedir</t>
        </is>
      </c>
      <c r="H22" s="4" t="inlineStr"/>
    </row>
    <row r="23"/>
    <row r="24">
      <c r="B24" s="3" t="inlineStr">
        <is>
          <t>Las cinco preguntas al proveedor de bean-to-bar</t>
        </is>
      </c>
    </row>
    <row r="25" ht="52" customHeight="1">
      <c r="B25" s="4" t="inlineStr">
        <is>
          <t>Precio de la máquina puesta en Espana, con transporte, aduana y puesta en marcha desglosados: los catálogos existen y están verificados, pero los precios NO son publicos (venta a presupuesto o tienda fuera de la UE).</t>
        </is>
      </c>
      <c r="E25" s="5" t="inlineStr">
        <is>
          <t>Por pedir</t>
        </is>
      </c>
    </row>
    <row r="26" ht="52" customHeight="1">
      <c r="B26" s="4" t="inlineStr">
        <is>
          <t>Plazo de entrega real y quien hace el mantenimiento en Espana.</t>
        </is>
      </c>
      <c r="E26" s="5" t="inlineStr">
        <is>
          <t>Por pedir</t>
        </is>
      </c>
    </row>
    <row r="27" ht="52" customHeight="1">
      <c r="B27" s="4" t="inlineStr">
        <is>
          <t>Potencia eléctrica y si necesita trifasica.</t>
        </is>
      </c>
      <c r="E27" s="5" t="inlineStr">
        <is>
          <t>Por pedir</t>
        </is>
      </c>
    </row>
    <row r="28" ht="52" customHeight="1">
      <c r="B28" s="4" t="inlineStr">
        <is>
          <t>Ruido en dB a un metro: el tostador y el winnower son los dos equipos ruidosos de un obrador que por lo demás es silencioso.</t>
        </is>
      </c>
      <c r="E28" s="5" t="inlineStr">
        <is>
          <t>Por pedir</t>
        </is>
      </c>
    </row>
    <row r="29" ht="52" customHeight="1">
      <c r="B29" s="4" t="inlineStr">
        <is>
          <t>Rendimiento en kg de grano por hora y merma de cascarilla.</t>
        </is>
      </c>
      <c r="E29" s="5" t="inlineStr">
        <is>
          <t>Por pedir</t>
        </is>
      </c>
    </row>
    <row r="30"/>
    <row r="31">
      <c r="B31" t="inlineStr">
        <is>
          <t>Equipos del tren que dices necesitar</t>
        </is>
      </c>
      <c r="E31" s="13">
        <f>COUNTIF(D14:D22,"Sí")</f>
        <v>0.0</v>
      </c>
    </row>
    <row r="32">
      <c r="B32" t="inlineStr">
        <is>
          <t>Respuestas que ya tienes por escrito (equipos y preguntas)</t>
        </is>
      </c>
      <c r="E32" s="13">
        <f>COUNTIF(E14:E22,"Sí")+COUNTIF(E25:E29,"Sí")</f>
        <v>0.0</v>
      </c>
    </row>
    <row r="33">
      <c r="B33" s="15" t="inlineStr">
        <is>
          <t>VEREDICTO DEL BEAN-TO-BAR</t>
        </is>
      </c>
      <c r="E33" s="19" t="str">
        <f>IF(E31=0,"No es tu variante: no hay nada que presupuestar",IF(E32=0,"No tienes ni un precio: no puedes presupuestar esto todavía","Tienes presupuestos: llévalos al CAPEX como partidas"))</f>
        <v>No es tu variante: no hay nada que presupuestar</v>
      </c>
    </row>
    <row r="34"/>
    <row r="35">
      <c r="B35" s="3" t="inlineStr">
        <is>
          <t>Chocolatería de taza y churros: lo único cifrable y lo que no</t>
        </is>
      </c>
    </row>
    <row r="36" ht="30" customHeight="1">
      <c r="B36" s="6" t="inlineStr">
        <is>
          <t>Equipo</t>
        </is>
      </c>
      <c r="C36" s="6" t="inlineStr">
        <is>
          <t>Fuente</t>
        </is>
      </c>
      <c r="D36" s="6" t="inlineStr">
        <is>
          <t>¿Lo necesitas?</t>
        </is>
      </c>
      <c r="E36" s="6" t="inlineStr">
        <is>
          <t>Precio</t>
        </is>
      </c>
      <c r="F36" s="6" t="inlineStr">
        <is>
          <t>Base de IVA</t>
        </is>
      </c>
      <c r="H36" s="6" t="inlineStr">
        <is>
          <t>Qué mirar</t>
        </is>
      </c>
    </row>
    <row r="37" ht="52" customHeight="1">
      <c r="B37" s="4" t="inlineStr">
        <is>
          <t>Chocolatera Ugolini Delice 3 (3 L)</t>
        </is>
      </c>
      <c r="C37" t="inlineStr">
        <is>
          <t>CHS-46a</t>
        </is>
      </c>
      <c r="D37" s="5" t="inlineStr">
        <is>
          <t>Por decidir</t>
        </is>
      </c>
      <c r="E37" s="9" t="n">
        <v>527</v>
      </c>
      <c r="F37" t="inlineStr">
        <is>
          <t>sin IVA</t>
        </is>
      </c>
      <c r="H37" s="4" t="inlineStr">
        <is>
          <t>Base SIN IVA declarada literalmente por la ficha. Es el ÚNICO equipo de esta variante con precio verificado, y por eso es el único que lleva número.</t>
        </is>
      </c>
    </row>
    <row r="38" ht="44" customHeight="1">
      <c r="B38" s="4" t="inlineStr">
        <is>
          <t>Churrera</t>
        </is>
      </c>
      <c r="C38" t="inlineStr">
        <is>
          <t>CHS-49 (sin precio verificado)</t>
        </is>
      </c>
      <c r="D38" s="5" t="inlineStr">
        <is>
          <t>Por decidir</t>
        </is>
      </c>
      <c r="E38" t="inlineStr">
        <is>
          <t>Sin cifra</t>
        </is>
      </c>
      <c r="H38" s="4" t="inlineStr">
        <is>
          <t>SIN PRECIO VERIFICADO: no se publica ninguna cifra. Presupuéstalo y llévalo al CAPEX como partida propia.</t>
        </is>
      </c>
    </row>
    <row r="39" ht="44" customHeight="1">
      <c r="B39" s="4" t="inlineStr">
        <is>
          <t>Freidora</t>
        </is>
      </c>
      <c r="C39" t="inlineStr">
        <is>
          <t>CHS-49 (sin precio verificado)</t>
        </is>
      </c>
      <c r="D39" s="5" t="inlineStr">
        <is>
          <t>Por decidir</t>
        </is>
      </c>
      <c r="E39" t="inlineStr">
        <is>
          <t>Sin cifra</t>
        </is>
      </c>
      <c r="H39" s="4" t="inlineStr">
        <is>
          <t>SIN PRECIO VERIFICADO: no se publica ninguna cifra. Presupuéstalo y llévalo al CAPEX como partida propia.</t>
        </is>
      </c>
    </row>
    <row r="40" ht="44" customHeight="1">
      <c r="B40" s="4" t="inlineStr">
        <is>
          <t>Extracción de humos</t>
        </is>
      </c>
      <c r="C40" t="inlineStr">
        <is>
          <t>CHS-49 (sin precio verificado)</t>
        </is>
      </c>
      <c r="D40" s="5" t="inlineStr">
        <is>
          <t>Por decidir</t>
        </is>
      </c>
      <c r="E40" t="inlineStr">
        <is>
          <t>Sin cifra</t>
        </is>
      </c>
      <c r="H40" s="4" t="inlineStr">
        <is>
          <t>SIN PRECIO VERIFICADO: no se publica ninguna cifra. Presupuéstalo y llévalo al CAPEX como partida propia.</t>
        </is>
      </c>
    </row>
    <row r="41" ht="44" customHeight="1">
      <c r="B41" s="4" t="inlineStr">
        <is>
          <t>Campana y conducto a cubierta</t>
        </is>
      </c>
      <c r="C41" t="inlineStr">
        <is>
          <t>CHS-49 (sin precio verificado)</t>
        </is>
      </c>
      <c r="D41" s="5" t="inlineStr">
        <is>
          <t>Por decidir</t>
        </is>
      </c>
      <c r="E41" t="inlineStr">
        <is>
          <t>Sin cifra</t>
        </is>
      </c>
      <c r="H41" s="4" t="inlineStr">
        <is>
          <t>SIN PRECIO VERIFICADO: no se publica ninguna cifra. Presupuéstalo y llévalo al CAPEX como partida propia.</t>
        </is>
      </c>
    </row>
    <row r="42" ht="56" customHeight="1">
      <c r="B42" s="15" t="inlineStr">
        <is>
          <t>Obligación extra de esta variante</t>
        </is>
      </c>
      <c r="C42" s="4" t="inlineStr">
        <is>
          <t>Si hay freidora de gas, inspección periódica obligatoria de la instalación receptora CADA CINCO AÑOS, que en instalaciones de hasta 70 kW incluye los aparatos y comprueba la ventilación y el volumen mínimo del local (`CHN-48`).</t>
        </is>
      </c>
    </row>
    <row r="43"/>
    <row r="44">
      <c r="B44" s="3" t="inlineStr">
        <is>
          <t>Franquicia frente a independiente: orden de magnitud publicado, nunca dato auditado</t>
        </is>
      </c>
    </row>
    <row r="45" ht="40" customHeight="1">
      <c r="B45" s="6" t="inlineStr">
        <is>
          <t>Marca</t>
        </is>
      </c>
      <c r="C45" s="6" t="inlineStr">
        <is>
          <t>Formato</t>
        </is>
      </c>
      <c r="D45" s="6" t="inlineStr">
        <is>
          <t>Inversión desde</t>
        </is>
      </c>
      <c r="E45" s="6" t="inlineStr">
        <is>
          <t>Canon</t>
        </is>
      </c>
      <c r="F45" s="6" t="inlineStr">
        <is>
          <t>m² mínimos</t>
        </is>
      </c>
      <c r="G45" s="6" t="inlineStr">
        <is>
          <t>Fuente y fecha</t>
        </is>
      </c>
      <c r="H45" s="6" t="inlineStr">
        <is>
          <t>Etiqueta y nota</t>
        </is>
      </c>
    </row>
    <row r="46" ht="96" customHeight="1">
      <c r="B46" t="inlineStr">
        <is>
          <t>Chok</t>
        </is>
      </c>
      <c r="C46" s="4" t="inlineStr">
        <is>
          <t>casual bakery + casual chocolate boutique</t>
        </is>
      </c>
      <c r="D46" s="10" t="n">
        <v>100000</v>
      </c>
      <c r="E46" s="10" t="n">
        <v>30000</v>
      </c>
      <c r="F46" s="13" t="n">
        <v>55</v>
      </c>
      <c r="G46" t="inlineStr">
        <is>
          <t>CHS-58 · 12-09-2026</t>
        </is>
      </c>
      <c r="H46" s="4" t="inlineStr">
        <is>
          <t>orden de magnitud publicado por el portal de franquicias, no dato auditado — El local mas pequeño de todo el research: 55 m². Prueba que el formato chocolate-boutique cabe donde una pastelería no. Barcelona, 2012.</t>
        </is>
      </c>
    </row>
    <row r="47" ht="96" customHeight="1">
      <c r="B47" t="inlineStr">
        <is>
          <t>Maestro Churrero</t>
        </is>
      </c>
      <c r="C47" s="4" t="inlineStr">
        <is>
          <t>churreria-chocolateria (variante de taza)</t>
        </is>
      </c>
      <c r="D47" t="inlineStr">
        <is>
          <t>Sin cifra con id</t>
        </is>
      </c>
      <c r="E47" t="inlineStr">
        <is>
          <t>Sin cifra con id</t>
        </is>
      </c>
      <c r="F47" t="inlineStr"/>
      <c r="G47" t="inlineStr">
        <is>
          <t>sin id verificado</t>
        </is>
      </c>
      <c r="H47" s="4" t="inlineStr">
        <is>
          <t>HUECO DECLARADO: no hay ficha con id en el JSON común — HUECO DELIBERADO. La SPEC menciona esta franquicia en D11 como segunda ficha admitida, pero al censar el JSON común el 12-09-2026 NO existe ninguna entrada `CHS-*` con sus cifras: la única ficha que la roza es `CHS-31`, que solo publica el margen bruto del churro. La regla de la casa es que ninguna cifra con pretensión de dato real entra sin id, así que aquí va la fila con la marca y SIN números. Si alguien quiere publicarlos, primero hay que crear su ficha con URL y fecha.</t>
        </is>
      </c>
    </row>
    <row r="48">
      <c r="B48" s="15" t="inlineStr">
        <is>
          <t>Tu inversión total como independiente</t>
        </is>
      </c>
      <c r="D48" s="17">
        <f>'CAPEX por Bloque'!L46</f>
        <v>150492.37</v>
      </c>
    </row>
    <row r="49" ht="68" customHeight="1">
      <c r="B49" s="4" t="inlineStr">
        <is>
          <t>Diferencia con la inversión «desde» de la franquicia con ficha</t>
        </is>
      </c>
      <c r="D49" s="10">
        <f>IFERROR(D48-D46,"")</f>
        <v>50492.369999999995</v>
      </c>
      <c r="H49" s="4" t="inlineStr">
        <is>
          <t>La diferencia se lee CON LA ETIQUETA DELANTE: los 100.000 € de la franquicia son lo que publica un portal de franquicias, no una cuenta auditada, y encima no incluyen el royalty mensual ni la compra obligada a central, que son gasto recurrente y no inversión. La columna existe para que compares, no para recomendar.</t>
        </is>
      </c>
    </row>
    <row r="50"/>
    <row r="51" ht="56" customHeight="1">
      <c r="B51" s="7" t="inlineStr">
        <is>
          <t>Canon mas royalty mas compra obligada a central: una franquicia es cuatro o cinco veces la inversión del formato independiente de `CHS-03`. La columna existe para que el lector compare, no para recomendar. Y toda cifra va con su etiqueta: es lo que publica un portal de franquicias, no una cuenta auditada.</t>
        </is>
      </c>
    </row>
    <row r="52"/>
    <row r="53">
      <c r="B53" s="3" t="inlineStr">
        <is>
          <t>Listas de validación (no las borres: las usan los desplegables)</t>
        </is>
      </c>
    </row>
    <row r="54">
      <c r="B54" s="15" t="inlineStr">
        <is>
          <t>¿Lo necesitas?</t>
        </is>
      </c>
      <c r="C54" s="15" t="inlineStr">
        <is>
          <t>¿Por escrito?</t>
        </is>
      </c>
      <c r="D54" s="15" t="inlineStr">
        <is>
          <t>¿Es la tuya?</t>
        </is>
      </c>
    </row>
    <row r="55">
      <c r="B55" t="inlineStr">
        <is>
          <t>Sí</t>
        </is>
      </c>
      <c r="C55" t="inlineStr">
        <is>
          <t>Sí</t>
        </is>
      </c>
      <c r="D55" t="inlineStr">
        <is>
          <t>Sí</t>
        </is>
      </c>
    </row>
    <row r="56">
      <c r="B56" t="inlineStr">
        <is>
          <t>No</t>
        </is>
      </c>
      <c r="C56" t="inlineStr">
        <is>
          <t>No</t>
        </is>
      </c>
      <c r="D56" t="inlineStr">
        <is>
          <t>No</t>
        </is>
      </c>
    </row>
    <row r="57">
      <c r="B57" t="inlineStr">
        <is>
          <t>Por decidir</t>
        </is>
      </c>
      <c r="C57" t="inlineStr">
        <is>
          <t>Por pedir</t>
        </is>
      </c>
    </row>
    <row r="58"/>
    <row r="59" ht="80" customHeight="1">
      <c r="B59" s="7" t="inlineStr">
        <is>
          <t>LA VARIANTE DE TAZA Y CHURROS ES OTRO NEGOCIO, Y LA NORMA LO SEPARA SOLA. El Anexo de la Ley 12/2012 incluye el epígrafe 644.5 «Comercio al por menor de bombones y caramelos» y NO contiene ningún grupo de la agrupación 67, donde está la chocolatería de taza: la bombonería se libra de la licencia previa hasta 750 m² y la de taza no. Lo que sí aporta la taza es ticket: el chocolate convierte una ración de churros de 2,50 € en 3,50-4 €. Lo que cuesta es freidora, extracción de humos y la licencia que la bombonería se ahorra.</t>
        </is>
      </c>
    </row>
  </sheetData>
  <sheetProtection selectLockedCells="0" selectUnlockedCells="0" sheet="1" objects="0" insertRows="0" insertHyperlinks="1" autoFilter="1" scenarios="0" formatColumns="0" deleteColumns="1" insertColumns="1" pivotTables="1" deleteRows="1" formatCells="1" formatRows="0" sort="0"/>
  <mergeCells count="10">
    <mergeCell ref="B51:H51"/>
    <mergeCell ref="B59:H59"/>
    <mergeCell ref="B25:C25"/>
    <mergeCell ref="B12:H12"/>
    <mergeCell ref="B28:C28"/>
    <mergeCell ref="B26:C26"/>
    <mergeCell ref="B27:C27"/>
    <mergeCell ref="B29:C29"/>
    <mergeCell ref="A3:H3"/>
    <mergeCell ref="C42:H42"/>
  </mergeCells>
  <conditionalFormatting sqref="E33">
    <cfRule type="cellIs" priority="1" operator="equal" dxfId="2" stopIfTrue="1">
      <formula>"No tienes ni un precio: no puedes presupuestar esto todavía"</formula>
    </cfRule>
    <cfRule type="cellIs" priority="2" operator="equal" dxfId="3" stopIfTrue="1">
      <formula>"No es tu variante: no hay nada que presupuestar"</formula>
    </cfRule>
    <cfRule type="cellIs" priority="3" operator="equal" dxfId="1" stopIfTrue="1">
      <formula>"Tienes presupuestos: llévalos al CAPEX como partidas"</formula>
    </cfRule>
  </conditionalFormatting>
  <dataValidations count="3">
    <dataValidation sqref="D14 D15 D16 D17 D18 D19 D20 D21 D22 D37 D38 D39 D40 D41" showDropDown="0" showInputMessage="0" showErrorMessage="1" allowBlank="0" errorTitle="¿Lo necesitas?" error="Elige «Sí», «No» o «Por decidir» de la lista." type="list">
      <formula1>=$B$55:$B$57</formula1>
    </dataValidation>
    <dataValidation sqref="E14 E15 E16 E17 E18 E19 E20 E21 E22 E25 E26 E27 E28 E29" showDropDown="0" showInputMessage="0" showErrorMessage="1" allowBlank="0" errorTitle="¿Por escrito?" error="Elige «Sí», «No» o «Por pedir» de la lista." type="list">
      <formula1>=$C$55:$C$57</formula1>
    </dataValidation>
    <dataValidation sqref="D7 D8 D9" showDropDown="0" showInputMessage="0" showErrorMessage="1" allowBlank="0" errorTitle="¿Es la tuya?" error="Elige «Sí» o «No» de la lista." type="list">
      <formula1>=$D$55:$D$56</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42"/>
  <sheetViews>
    <sheetView workbookViewId="0">
      <pane ySplit="25" topLeftCell="A26" activePane="bottomLeft" state="frozen"/>
      <selection pane="bottomLeft" activeCell="A1" sqref="A1"/>
    </sheetView>
  </sheetViews>
  <sheetFormatPr baseColWidth="8" defaultRowHeight="15"/>
  <cols>
    <col width="54" customWidth="1" min="1" max="1"/>
    <col width="26" customWidth="1" min="2" max="2"/>
    <col width="18" customWidth="1" min="3" max="3"/>
    <col width="14" customWidth="1" min="4" max="4"/>
    <col width="16" customWidth="1" min="5" max="5"/>
    <col width="15" customWidth="1" min="6" max="6"/>
    <col width="16" customWidth="1" min="7" max="7"/>
    <col width="18" customWidth="1" min="8" max="8"/>
    <col width="14" customWidth="1" min="9" max="9"/>
    <col width="82" customWidth="1" min="10" max="10"/>
  </cols>
  <sheetData>
    <row r="1" ht="28" customHeight="1">
      <c r="A1" s="1" t="inlineStr">
        <is>
          <t>Traspaso Contra Obra Nueva</t>
        </is>
      </c>
    </row>
    <row r="2">
      <c r="A2" t="inlineStr">
        <is>
          <t>AI Chef Pro · aichef.pro — Cómo Montar una Chocolatería</t>
        </is>
      </c>
    </row>
    <row r="3" ht="26" customHeight="1">
      <c r="A3" s="7" t="inlineStr">
        <is>
          <t>El precio de un traspaso no es lo que cuesta un traspaso: la renta de los años del contrato pesa más que el precio.</t>
        </is>
      </c>
    </row>
    <row r="4"/>
    <row r="5">
      <c r="A5" s="3" t="inlineStr">
        <is>
          <t>El local que estás mirando (traspaso)</t>
        </is>
      </c>
    </row>
    <row r="6" ht="56" customHeight="1">
      <c r="A6" s="4" t="inlineStr">
        <is>
          <t>Precio de traspaso que te piden</t>
        </is>
      </c>
      <c r="B6" t="inlineStr">
        <is>
          <t>CHS-38a</t>
        </is>
      </c>
      <c r="C6" s="9" t="n">
        <v>26000</v>
      </c>
      <c r="J6" s="4" t="inlineStr">
        <is>
          <t>Sembrado con el caso más informativo del censo: 26.000 € por 90 m² de pastelería-bombonería CON OBRADOR EQUIPADO y 40 años de clientela, en El Prat de Llobregat. Es un precio PEDIDO en un anuncio, no un precio pagado.</t>
        </is>
      </c>
    </row>
    <row r="7" ht="56" customHeight="1">
      <c r="A7" s="4" t="inlineStr">
        <is>
          <t>Inversión de adecuación que aún tendrías que hacer</t>
        </is>
      </c>
      <c r="B7" t="inlineStr">
        <is>
          <t>supuesto</t>
        </is>
      </c>
      <c r="C7" s="9" t="n">
        <v>18000</v>
      </c>
      <c r="J7" s="4" t="inlineStr">
        <is>
          <t>Un traspaso casi nunca se abre tal cual. En chocolate hay una partida que casi seguro falta: la CLIMATIZACIÓN con deshumidificación del obrador. Una pastelería traspasada tiene hornos, no clima de 18-20 °C. Míralo con la ficha de visita del libro 1 en la mano.</t>
        </is>
      </c>
    </row>
    <row r="8" ht="56" customHeight="1">
      <c r="A8" s="4" t="inlineStr">
        <is>
          <t>Renta mensual del local traspasado</t>
        </is>
      </c>
      <c r="B8" t="inlineStr">
        <is>
          <t>CHS-38a</t>
        </is>
      </c>
      <c r="C8" s="9" t="n">
        <v>1100</v>
      </c>
      <c r="J8" s="4" t="inlineStr">
        <is>
          <t>La renta consta en tres de los ocho traspasos leídos. En los otros cinco el anuncio no la dice, que ya es un dato.</t>
        </is>
      </c>
    </row>
    <row r="9" ht="56" customHeight="1">
      <c r="A9" s="4" t="inlineStr">
        <is>
          <t>Meses parado hasta abrir con el traspaso</t>
        </is>
      </c>
      <c r="B9" t="inlineStr">
        <is>
          <t>supuesto</t>
        </is>
      </c>
      <c r="C9" s="12" t="n">
        <v>1</v>
      </c>
      <c r="J9" s="4" t="inlineStr">
        <is>
          <t>Pagas renta desde la firma y no facturas hasta que abres.</t>
        </is>
      </c>
    </row>
    <row r="10" ht="48" customHeight="1">
      <c r="A10" s="4" t="inlineStr">
        <is>
          <t>CAPEX comparable de la obra nueva (de «CAPEX por Bloque»)</t>
        </is>
      </c>
      <c r="C10" s="10">
        <f>'CAPEX por Bloque'!L48</f>
        <v>77794.99</v>
      </c>
      <c r="J10" s="4" t="inlineStr">
        <is>
          <t>Los seis bloques comparables: sin fianza, sin packaging y sin fondo de maniobra. Los dos lados de la comparación los necesitan igual, así que sumarlos a uno solo falsearía el resultado.</t>
        </is>
      </c>
    </row>
    <row r="11">
      <c r="A11" t="inlineStr">
        <is>
          <t>Renta mensual del local en obra nueva</t>
        </is>
      </c>
      <c r="C11" s="10">
        <f>'Parámetros'!B12</f>
        <v>1300.0</v>
      </c>
    </row>
    <row r="12" ht="44" customHeight="1">
      <c r="A12" t="inlineStr">
        <is>
          <t>Meses de obra sin facturar</t>
        </is>
      </c>
      <c r="B12" t="inlineStr">
        <is>
          <t>supuesto</t>
        </is>
      </c>
      <c r="C12" s="12" t="n">
        <v>4</v>
      </c>
      <c r="J12" s="4" t="inlineStr">
        <is>
          <t>Renta que pagas mientras el local está en obras. Es la partida que casi nadie mete y la que más se parece a una sorpresa.</t>
        </is>
      </c>
    </row>
    <row r="13">
      <c r="A13" t="inlineStr">
        <is>
          <t>Horizonte de comparación (años)</t>
        </is>
      </c>
      <c r="C13" s="13">
        <f>'Parámetros'!B14</f>
        <v>5.0</v>
      </c>
    </row>
    <row r="14">
      <c r="A14" s="3" t="inlineStr">
        <is>
          <t>La comparación</t>
        </is>
      </c>
    </row>
    <row r="15">
      <c r="A15" s="21" t="inlineStr">
        <is>
          <t>Coste del traspaso a lo largo del horizonte</t>
        </is>
      </c>
      <c r="C15" s="22">
        <f>IFERROR(C6+C7+C8*12*C13,"")</f>
        <v>110000.0</v>
      </c>
    </row>
    <row r="16">
      <c r="A16" s="21" t="inlineStr">
        <is>
          <t>Coste de la obra nueva a lo largo del horizonte</t>
        </is>
      </c>
      <c r="C16" s="22">
        <f>IFERROR(C10+C11*12*C13,"")</f>
        <v>155794.99</v>
      </c>
    </row>
    <row r="17">
      <c r="A17" s="21" t="inlineStr">
        <is>
          <t>Renta pagada sin facturar, traspaso</t>
        </is>
      </c>
      <c r="C17" s="22">
        <f>IFERROR(C8*C9,"")</f>
        <v>1100.0</v>
      </c>
    </row>
    <row r="18">
      <c r="A18" s="21" t="inlineStr">
        <is>
          <t>Renta pagada sin facturar, obra nueva</t>
        </is>
      </c>
      <c r="C18" s="22">
        <f>IFERROR(C11*C12,"")</f>
        <v>5200.0</v>
      </c>
    </row>
    <row r="19">
      <c r="A19" s="18" t="inlineStr">
        <is>
          <t>TOTAL del traspaso</t>
        </is>
      </c>
      <c r="C19" s="16">
        <f>IFERROR(C15+C17,"")</f>
        <v>111100.0</v>
      </c>
    </row>
    <row r="20">
      <c r="A20" s="18" t="inlineStr">
        <is>
          <t>TOTAL de la obra nueva</t>
        </is>
      </c>
      <c r="C20" s="16">
        <f>IFERROR(C16+C18,"")</f>
        <v>160994.99</v>
      </c>
    </row>
    <row r="21">
      <c r="A21" s="18" t="inlineStr">
        <is>
          <t>Diferencia (traspaso menos obra nueva)</t>
        </is>
      </c>
      <c r="C21" s="17">
        <f>IFERROR(C19-C20,"")</f>
        <v>-49894.98999999999</v>
      </c>
    </row>
    <row r="22" ht="62" customHeight="1">
      <c r="A22" s="15" t="inlineStr">
        <is>
          <t>VEREDICTO</t>
        </is>
      </c>
      <c r="C22" s="19" t="str">
        <f>IF(C21="","",IF(C21&lt;0,"Sale mejor el TRASPASO","Sale mejor la OBRA NUEVA"))</f>
        <v>Sale mejor el TRASPASO</v>
      </c>
      <c r="J22" s="4" t="inlineStr">
        <is>
          <t>El veredicto compara dinero, y el dinero no lo es todo: un traspaso te da una clientela y un local que ya funcionó, y te ata a una distribución de zonas que igual no admite marcha adelante ni permite climatizar el obrador. Pasa el local traspasado por la ficha de visita del libro 1 antes de hacerle caso a esta celda.</t>
        </is>
      </c>
    </row>
    <row r="23"/>
    <row r="24">
      <c r="A24" s="3" t="inlineStr">
        <is>
          <t>Ocho traspasos reales, para ver la horquilla. Son precios PEDIDOS, no pagados</t>
        </is>
      </c>
    </row>
    <row r="25" ht="30" customHeight="1">
      <c r="A25" s="6" t="inlineStr">
        <is>
          <t>Ciudad o zona</t>
        </is>
      </c>
      <c r="B25" s="6" t="inlineStr">
        <is>
          <t>Tipo de negocio</t>
        </is>
      </c>
      <c r="C25" s="6" t="inlineStr">
        <is>
          <t>m2</t>
        </is>
      </c>
      <c r="D25" s="6" t="inlineStr">
        <is>
          <t>Precio pedido</t>
        </is>
      </c>
      <c r="E25" s="6" t="inlineStr">
        <is>
          <t>Renta mensual</t>
        </is>
      </c>
      <c r="F25" s="6" t="inlineStr">
        <is>
          <t>€ por m²</t>
        </is>
      </c>
      <c r="G25" s="6" t="inlineStr">
        <is>
          <t>Coste en el horizonte</t>
        </is>
      </c>
      <c r="H25" s="6" t="inlineStr">
        <is>
          <t>Fuente</t>
        </is>
      </c>
      <c r="I25" s="6" t="inlineStr">
        <is>
          <t>¿Mismo formato?</t>
        </is>
      </c>
    </row>
    <row r="26" ht="32" customHeight="1">
      <c r="A26" t="inlineStr">
        <is>
          <t>El Prat de Llobregat (Barcelona)</t>
        </is>
      </c>
      <c r="B26" s="4" t="inlineStr">
        <is>
          <t>Pastelería-bombonería con obrador (40+ años)</t>
        </is>
      </c>
      <c r="C26" s="13" t="n">
        <v>90</v>
      </c>
      <c r="D26" s="10" t="n">
        <v>26000</v>
      </c>
      <c r="E26" s="10" t="n">
        <v>1100</v>
      </c>
      <c r="F26" s="10">
        <f>IF(AND(ISNUMBER(C26),ISNUMBER(D26)),IFERROR(D26/C26,""),"")</f>
        <v>288.8888888888889</v>
      </c>
      <c r="G26" s="10">
        <f>IF(AND(ISNUMBER(D26),ISNUMBER(E26)),IFERROR(D26+E26*12*$C$13,""),"")</f>
        <v>92000.0</v>
      </c>
      <c r="H26" t="inlineStr">
        <is>
          <t>CHS-38a</t>
        </is>
      </c>
      <c r="I26" t="inlineStr">
        <is>
          <t>Sí</t>
        </is>
      </c>
    </row>
    <row r="27" ht="32" customHeight="1">
      <c r="A27" t="inlineStr">
        <is>
          <t>Reus (Tarragona)</t>
        </is>
      </c>
      <c r="B27" s="4" t="inlineStr">
        <is>
          <t>Pastelería-bombonería historica (34 años)</t>
        </is>
      </c>
      <c r="C27" s="13" t="n">
        <v>300</v>
      </c>
      <c r="D27" s="10" t="n">
        <v>73000</v>
      </c>
      <c r="F27" s="10">
        <f>IF(AND(ISNUMBER(C27),ISNUMBER(D27)),IFERROR(D27/C27,""),"")</f>
        <v>243.33333333333334</v>
      </c>
      <c r="G27" s="10">
        <f>IF(AND(ISNUMBER(D27),ISNUMBER(E27)),IFERROR(D27+E27*12*$C$13,""),"")</f>
        <v/>
      </c>
      <c r="H27" t="inlineStr">
        <is>
          <t>CHS-38b</t>
        </is>
      </c>
      <c r="I27" t="inlineStr">
        <is>
          <t>Sí</t>
        </is>
      </c>
    </row>
    <row r="28" ht="32" customHeight="1">
      <c r="A28" t="inlineStr">
        <is>
          <t>Barcelona (Sagrada Familia)</t>
        </is>
      </c>
      <c r="B28" s="4" t="inlineStr">
        <is>
          <t>Pastelería-bombonería con obrador a la vista</t>
        </is>
      </c>
      <c r="C28" s="13" t="n">
        <v>180</v>
      </c>
      <c r="D28" s="10" t="n">
        <v>140000</v>
      </c>
      <c r="E28" s="10" t="n">
        <v>2200</v>
      </c>
      <c r="F28" s="10">
        <f>IF(AND(ISNUMBER(C28),ISNUMBER(D28)),IFERROR(D28/C28,""),"")</f>
        <v>777.7777777777778</v>
      </c>
      <c r="G28" s="10">
        <f>IF(AND(ISNUMBER(D28),ISNUMBER(E28)),IFERROR(D28+E28*12*$C$13,""),"")</f>
        <v>272000.0</v>
      </c>
      <c r="H28" t="inlineStr">
        <is>
          <t>CHS-38c</t>
        </is>
      </c>
      <c r="I28" t="inlineStr">
        <is>
          <t>Sí</t>
        </is>
      </c>
    </row>
    <row r="29" ht="32" customHeight="1">
      <c r="A29" t="inlineStr">
        <is>
          <t>Valencia (Abastos)</t>
        </is>
      </c>
      <c r="B29" s="4" t="inlineStr">
        <is>
          <t>Pastelería con obrador profesional</t>
        </is>
      </c>
      <c r="C29" s="13" t="n">
        <v>100</v>
      </c>
      <c r="D29" s="10" t="n">
        <v>180000</v>
      </c>
      <c r="F29" s="10">
        <f>IF(AND(ISNUMBER(C29),ISNUMBER(D29)),IFERROR(D29/C29,""),"")</f>
        <v>1800.0</v>
      </c>
      <c r="G29" s="10">
        <f>IF(AND(ISNUMBER(D29),ISNUMBER(E29)),IFERROR(D29+E29*12*$C$13,""),"")</f>
        <v/>
      </c>
      <c r="H29" t="inlineStr">
        <is>
          <t>CHS-38d</t>
        </is>
      </c>
      <c r="I29" t="inlineStr">
        <is>
          <t>Sí</t>
        </is>
      </c>
    </row>
    <row r="30" ht="32" customHeight="1">
      <c r="A30" t="inlineStr">
        <is>
          <t>Lliçà d'Amunt (Barcelona)</t>
        </is>
      </c>
      <c r="B30" s="4" t="inlineStr">
        <is>
          <t>Obrador de pastelería y panadería</t>
        </is>
      </c>
      <c r="C30" s="13" t="n">
        <v>400</v>
      </c>
      <c r="D30" s="10" t="n">
        <v>210000</v>
      </c>
      <c r="F30" s="10">
        <f>IF(AND(ISNUMBER(C30),ISNUMBER(D30)),IFERROR(D30/C30,""),"")</f>
        <v>525.0</v>
      </c>
      <c r="G30" s="10">
        <f>IF(AND(ISNUMBER(D30),ISNUMBER(E30)),IFERROR(D30+E30*12*$C$13,""),"")</f>
        <v/>
      </c>
      <c r="H30" t="inlineStr">
        <is>
          <t>CHS-38e</t>
        </is>
      </c>
      <c r="I30" t="inlineStr">
        <is>
          <t>Sí</t>
        </is>
      </c>
    </row>
    <row r="31" ht="32" customHeight="1">
      <c r="A31" t="inlineStr">
        <is>
          <t>Elche (Alicante)</t>
        </is>
      </c>
      <c r="B31" s="4" t="inlineStr">
        <is>
          <t>Churrería-chocolatería</t>
        </is>
      </c>
      <c r="C31" s="13" t="n">
        <v>75</v>
      </c>
      <c r="D31" t="inlineStr"/>
      <c r="F31" s="10">
        <f>IF(AND(ISNUMBER(C31),ISNUMBER(D31)),IFERROR(D31/C31,""),"")</f>
        <v/>
      </c>
      <c r="G31" s="10">
        <f>IF(AND(ISNUMBER(D31),ISNUMBER(E31)),IFERROR(D31+E31*12*$C$13,""),"")</f>
        <v/>
      </c>
      <c r="H31" t="inlineStr">
        <is>
          <t>CHS-37a</t>
        </is>
      </c>
      <c r="I31" t="inlineStr">
        <is>
          <t>No</t>
        </is>
      </c>
    </row>
    <row r="32" ht="32" customHeight="1">
      <c r="A32" t="inlineStr">
        <is>
          <t>Madrid (Vallecas)</t>
        </is>
      </c>
      <c r="B32" s="4" t="inlineStr">
        <is>
          <t>Churrería-chocolatería</t>
        </is>
      </c>
      <c r="C32" s="13" t="n">
        <v>74</v>
      </c>
      <c r="D32" s="10" t="n">
        <v>88500</v>
      </c>
      <c r="E32" s="10" t="n">
        <v>910</v>
      </c>
      <c r="F32" s="10">
        <f>IF(AND(ISNUMBER(C32),ISNUMBER(D32)),IFERROR(D32/C32,""),"")</f>
        <v>1195.945945945946</v>
      </c>
      <c r="G32" s="10">
        <f>IF(AND(ISNUMBER(D32),ISNUMBER(E32)),IFERROR(D32+E32*12*$C$13,""),"")</f>
        <v>143100.0</v>
      </c>
      <c r="H32" t="inlineStr">
        <is>
          <t>CHS-37b</t>
        </is>
      </c>
      <c r="I32" t="inlineStr">
        <is>
          <t>No</t>
        </is>
      </c>
    </row>
    <row r="33" ht="32" customHeight="1">
      <c r="A33" t="inlineStr">
        <is>
          <t>Mataró (Barcelona)</t>
        </is>
      </c>
      <c r="B33" s="4" t="inlineStr">
        <is>
          <t>Churrería-chocolatería</t>
        </is>
      </c>
      <c r="C33" s="13" t="n">
        <v>118</v>
      </c>
      <c r="D33" s="10" t="n">
        <v>58000</v>
      </c>
      <c r="F33" s="10">
        <f>IF(AND(ISNUMBER(C33),ISNUMBER(D33)),IFERROR(D33/C33,""),"")</f>
        <v>491.52542372881356</v>
      </c>
      <c r="G33" s="10">
        <f>IF(AND(ISNUMBER(D33),ISNUMBER(E33)),IFERROR(D33+E33*12*$C$13,""),"")</f>
        <v/>
      </c>
      <c r="H33" t="inlineStr">
        <is>
          <t>CHS-37c</t>
        </is>
      </c>
      <c r="I33" t="inlineStr">
        <is>
          <t>No</t>
        </is>
      </c>
    </row>
    <row r="34">
      <c r="A34" s="15" t="inlineStr">
        <is>
          <t>Traspasos con renta publicada</t>
        </is>
      </c>
      <c r="D34" s="13">
        <f>COUNT(E26:E33)</f>
        <v>3.0</v>
      </c>
    </row>
    <row r="35">
      <c r="A35" t="inlineStr">
        <is>
          <t>Precio pedido más bajo</t>
        </is>
      </c>
      <c r="D35" s="10">
        <f>IFERROR(MIN(D26:D33),"")</f>
        <v>26000.0</v>
      </c>
    </row>
    <row r="36">
      <c r="A36" t="inlineStr">
        <is>
          <t>Precio pedido más alto</t>
        </is>
      </c>
      <c r="D36" s="10">
        <f>IFERROR(MAX(D26:D33),"")</f>
        <v>210000.0</v>
      </c>
    </row>
    <row r="37">
      <c r="A37" t="inlineStr">
        <is>
          <t>Precio pedido medio</t>
        </is>
      </c>
      <c r="D37" s="10">
        <f>IFERROR(AVERAGE(D26:D33),"")</f>
        <v>110785.71428571429</v>
      </c>
    </row>
    <row r="38">
      <c r="A38" t="inlineStr">
        <is>
          <t>El que te piden, sobre la media</t>
        </is>
      </c>
      <c r="D38" s="14">
        <f>IFERROR(C6/D37-1,"")</f>
        <v>-0.7653127014829142</v>
      </c>
    </row>
    <row r="39"/>
    <row r="40" ht="62" customHeight="1">
      <c r="A40" s="7" t="inlineStr">
        <is>
          <t>Cinco traspasos de pasteleria-bomboneria leídos el 12-09-2026 en portales de anuncios (`CHS-38a` a `CHS-38e`), mas los tres de churreria-chocolateria de `TRASPASOS_VARIANTE_TAZA`, que son de OTRO formato. El rango publicado va de 26.000 a 210.000 euros (`CHS-39`) y la renta observada de 910 a 2.200 euros/mes. Traspasar puede salir mas barato que montar de cero, y esa es la comparación a cinco años que hace el libro 2. Pero son precios PEDIDOS, no pagados.</t>
        </is>
      </c>
    </row>
    <row r="41"/>
    <row r="42" ht="68" customHeight="1">
      <c r="A42" s="7" t="inlineStr">
        <is>
          <t>Y lo que ninguno de los ocho trae: la cuenta de resultados. Un traspaso se valora por lo que gana el negocio, no por lo que pide el anuncio. Pide los modelos 303 y 390 de los tres últimos años y el resumen de la Seguridad Social de la plantilla; si no te los enseñan, ya sabes lo que estás comprando. Y en chocolate, una pregunta más: qué clima tiene el obrador hoy. Un obrador de pastelería traspasado no viene climatizado a 18-20 °C, y esa partida no está en el precio del anuncio.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42:J42"/>
    <mergeCell ref="A40:J40"/>
    <mergeCell ref="A3:J3"/>
  </mergeCells>
  <conditionalFormatting sqref="C22">
    <cfRule type="cellIs" priority="1" operator="equal" dxfId="1" stopIfTrue="1">
      <formula>"Sale mejor el TRASPASO"</formula>
    </cfRule>
    <cfRule type="cellIs" priority="2" operator="equal" dxfId="2" stopIfTrue="1">
      <formula>"Sale mejor la OBRA NUEVA"</formula>
    </cfRule>
  </conditionalFormatting>
  <conditionalFormatting sqref="I26:I33">
    <cfRule type="cellIs" priority="3" operator="equal" dxfId="2" stopIfTrue="1">
      <formula>"No"</formula>
    </cfRule>
    <cfRule type="cellIs" priority="4" operator="equal" dxfId="1" stopIfTrue="1">
      <formula>"Sí"</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40"/>
  <sheetViews>
    <sheetView workbookViewId="0">
      <pane ySplit="5" topLeftCell="A6" activePane="bottomLeft" state="frozen"/>
      <selection pane="bottomLeft" activeCell="A1" sqref="A1"/>
    </sheetView>
  </sheetViews>
  <sheetFormatPr baseColWidth="8" defaultRowHeight="15"/>
  <cols>
    <col width="58" customWidth="1" min="1" max="1"/>
    <col width="18" customWidth="1" min="2" max="2"/>
    <col width="18" customWidth="1" min="3" max="3"/>
    <col width="16" customWidth="1" min="4" max="4"/>
    <col width="90" customWidth="1" min="5" max="5"/>
  </cols>
  <sheetData>
    <row r="1" ht="28" customHeight="1">
      <c r="A1" s="1" t="inlineStr">
        <is>
          <t>IVA y Tesorería del Arranque</t>
        </is>
      </c>
    </row>
    <row r="2">
      <c r="A2" t="inlineStr">
        <is>
          <t>AI Chef Pro · aichef.pro — Cómo Montar una Chocolatería</t>
        </is>
      </c>
    </row>
    <row r="3" ht="26" customHeight="1">
      <c r="A3" s="7" t="inlineStr">
        <is>
          <t>El IVA de la inversión sale de tu bolsillo meses antes de volver. Y abajo, el contador que dice si el impuesto al plástico te afecta o no: lo que decide es DÓNDE compras, no cuánto.</t>
        </is>
      </c>
    </row>
    <row r="4"/>
    <row r="5" ht="30" customHeight="1">
      <c r="A5" s="6" t="inlineStr">
        <is>
          <t>Bloque</t>
        </is>
      </c>
      <c r="B5" s="6" t="inlineStr">
        <is>
          <t>Base sin IVA</t>
        </is>
      </c>
      <c r="C5" s="6" t="inlineStr">
        <is>
          <t>IVA soportado</t>
        </is>
      </c>
      <c r="D5" s="6" t="inlineStr">
        <is>
          <t>Total con IVA</t>
        </is>
      </c>
    </row>
    <row r="6">
      <c r="A6" t="inlineStr">
        <is>
          <t>Obra y adecuación</t>
        </is>
      </c>
      <c r="B6" s="10">
        <f>'CAPEX por Bloque'!L31</f>
        <v>28500.0</v>
      </c>
      <c r="C6" s="10">
        <f>'CAPEX por Bloque'!M31</f>
        <v>5985.0</v>
      </c>
      <c r="D6" s="10">
        <f>'CAPEX por Bloque'!N31</f>
        <v>34485.0</v>
      </c>
    </row>
    <row r="7">
      <c r="A7" t="inlineStr">
        <is>
          <t>Climatización y deshumidificación</t>
        </is>
      </c>
      <c r="B7" s="10">
        <f>'CAPEX por Bloque'!L32</f>
        <v>7600.0</v>
      </c>
      <c r="C7" s="10">
        <f>'CAPEX por Bloque'!M32</f>
        <v>1596.0</v>
      </c>
      <c r="D7" s="10">
        <f>'CAPEX por Bloque'!N32</f>
        <v>9196.0</v>
      </c>
    </row>
    <row r="8">
      <c r="A8" t="inlineStr">
        <is>
          <t>Equipo de templado y moldeado</t>
        </is>
      </c>
      <c r="B8" s="10">
        <f>'CAPEX por Bloque'!L33</f>
        <v>21060.0</v>
      </c>
      <c r="C8" s="10">
        <f>'CAPEX por Bloque'!M33</f>
        <v>4422.599999999999</v>
      </c>
      <c r="D8" s="10">
        <f>'CAPEX por Bloque'!N33</f>
        <v>25482.600000000002</v>
      </c>
    </row>
    <row r="9">
      <c r="A9" t="inlineStr">
        <is>
          <t>Frío (cámara, nevera de rellenos y vitrina)</t>
        </is>
      </c>
      <c r="B9" s="10">
        <f>'CAPEX por Bloque'!L34</f>
        <v>10534.99</v>
      </c>
      <c r="C9" s="10">
        <f>'CAPEX por Bloque'!M34</f>
        <v>2212.3478999999998</v>
      </c>
      <c r="D9" s="10">
        <f>'CAPEX por Bloque'!N34</f>
        <v>12747.337899999999</v>
      </c>
    </row>
    <row r="10">
      <c r="A10" t="inlineStr">
        <is>
          <t>Mobiliario y tienda</t>
        </is>
      </c>
      <c r="B10" s="10">
        <f>'CAPEX por Bloque'!L35</f>
        <v>6900.0</v>
      </c>
      <c r="C10" s="10">
        <f>'CAPEX por Bloque'!M35</f>
        <v>1449.0</v>
      </c>
      <c r="D10" s="10">
        <f>'CAPEX por Bloque'!N35</f>
        <v>8349.0</v>
      </c>
    </row>
    <row r="11">
      <c r="A11" t="inlineStr">
        <is>
          <t>Packaging y moldes</t>
        </is>
      </c>
      <c r="B11" s="10">
        <f>'CAPEX por Bloque'!L36</f>
        <v>3004.36</v>
      </c>
      <c r="C11" s="10">
        <f>'CAPEX por Bloque'!M36</f>
        <v>630.9156</v>
      </c>
      <c r="D11" s="10">
        <f>'CAPEX por Bloque'!N36</f>
        <v>3635.2756</v>
      </c>
    </row>
    <row r="12">
      <c r="A12" t="inlineStr">
        <is>
          <t>TPV, informática y rótulo</t>
        </is>
      </c>
      <c r="B12" s="10">
        <f>'CAPEX por Bloque'!L37</f>
        <v>3200.0</v>
      </c>
      <c r="C12" s="10">
        <f>'CAPEX por Bloque'!M37</f>
        <v>672.0</v>
      </c>
      <c r="D12" s="10">
        <f>'CAPEX por Bloque'!N37</f>
        <v>3872.0</v>
      </c>
    </row>
    <row r="13">
      <c r="A13" t="inlineStr">
        <is>
          <t>Fianza y licencias</t>
        </is>
      </c>
      <c r="B13" s="10">
        <f>'CAPEX por Bloque'!L38</f>
        <v>8420.0</v>
      </c>
      <c r="C13" s="10">
        <f>'CAPEX por Bloque'!M38</f>
        <v>945.0</v>
      </c>
      <c r="D13" s="10">
        <f>'CAPEX por Bloque'!N38</f>
        <v>9365.0</v>
      </c>
    </row>
    <row r="14">
      <c r="A14" t="inlineStr">
        <is>
          <t>Fondo de maniobra</t>
        </is>
      </c>
      <c r="B14" s="10">
        <f>'CAPEX por Bloque'!L39</f>
        <v>61273.02</v>
      </c>
      <c r="C14" s="10">
        <f>'CAPEX por Bloque'!M39</f>
        <v>0.0</v>
      </c>
      <c r="D14" s="10">
        <f>'CAPEX por Bloque'!N39</f>
        <v>61273.02</v>
      </c>
    </row>
    <row r="15">
      <c r="A15" s="15" t="inlineStr">
        <is>
          <t>TOTAL</t>
        </is>
      </c>
      <c r="B15" s="16">
        <f>SUM(B6:B14)</f>
        <v>150492.37</v>
      </c>
      <c r="C15" s="16">
        <f>SUM(C6:C14)</f>
        <v>17912.8635</v>
      </c>
      <c r="D15" s="16">
        <f>SUM(D6:D14)</f>
        <v>168405.2335</v>
      </c>
    </row>
    <row r="16">
      <c r="A16" s="3" t="inlineStr">
        <is>
          <t>Cuándo vuelve ese IVA</t>
        </is>
      </c>
    </row>
    <row r="17">
      <c r="A17" t="inlineStr">
        <is>
          <t>Periodicidad de tu declaración (meses)</t>
        </is>
      </c>
      <c r="B17" s="13">
        <f>'Parámetros'!B15</f>
        <v>3.0</v>
      </c>
    </row>
    <row r="18">
      <c r="A18" t="inlineStr">
        <is>
          <t>Meses hasta recuperarlo</t>
        </is>
      </c>
      <c r="B18" s="13">
        <f>'Parámetros'!B16</f>
        <v>4.0</v>
      </c>
    </row>
    <row r="19" ht="74" customHeight="1">
      <c r="A19" s="15" t="inlineStr">
        <is>
          <t>IVA que tienes que adelantar</t>
        </is>
      </c>
      <c r="B19" s="16">
        <f>C15</f>
        <v>17912.8635</v>
      </c>
      <c r="E19" s="4" t="inlineStr">
        <is>
          <t>En régimen general lo normal NO es que Hacienda te lo devuelva: es que lo compenses contra el IVA que repercutes. O sea, que vuelve al ritmo al que factures, no en una fecha. Y el chocolate que vendes va al 10 %, mientras que el IVA que adelantas es del 21 %: la compensación tarda más de lo que parece. Si te inscribes en el registro de devolución mensual, la periodicidad pasa a 1 y la espera se acorta mucho.</t>
        </is>
      </c>
    </row>
    <row r="20"/>
    <row r="21">
      <c r="A21" s="3" t="inlineStr">
        <is>
          <t>La caja del día que abres</t>
        </is>
      </c>
    </row>
    <row r="22">
      <c r="A22" t="inlineStr">
        <is>
          <t>CAPEX sin IVA (los nueve bloques)</t>
        </is>
      </c>
      <c r="B22" s="10">
        <f>B15</f>
        <v>150492.37</v>
      </c>
    </row>
    <row r="23">
      <c r="A23" t="inlineStr">
        <is>
          <t>IVA soportado</t>
        </is>
      </c>
      <c r="B23" s="10">
        <f>C15</f>
        <v>17912.8635</v>
      </c>
    </row>
    <row r="24">
      <c r="A24" s="15" t="inlineStr">
        <is>
          <t>Desembolso total con IVA</t>
        </is>
      </c>
      <c r="B24" s="16">
        <f>D15</f>
        <v>168405.2335</v>
      </c>
    </row>
    <row r="25" ht="48" customHeight="1">
      <c r="A25" s="4" t="inlineStr">
        <is>
          <t>Del cual, fondo de maniobra (es caja, no inversión)</t>
        </is>
      </c>
      <c r="B25" s="10">
        <f>'CAPEX por Bloque'!L45</f>
        <v>61273.02</v>
      </c>
      <c r="E25" s="4" t="inlineStr">
        <is>
          <t>Llega del libro 7 ya calculado, con su fila de cuadre. Este libro NO lo recalcula: si lo hiciera, los dos publicarían dos inversiones totales distintas con el mismo nombre.</t>
        </is>
      </c>
    </row>
    <row r="26">
      <c r="A26" t="inlineStr">
        <is>
          <t>Financiación bancaria disponible</t>
        </is>
      </c>
      <c r="B26" s="10">
        <f>'Parámetros'!B17</f>
        <v>90300.0</v>
      </c>
    </row>
    <row r="27">
      <c r="A27" s="15" t="inlineStr">
        <is>
          <t>Aportación propia necesaria</t>
        </is>
      </c>
      <c r="B27" s="16">
        <f>IFERROR(B24-B26,"")</f>
        <v>78105.2335</v>
      </c>
    </row>
    <row r="28" ht="74" customHeight="1">
      <c r="A28" s="15" t="inlineStr">
        <is>
          <t>VEREDICTO DE LA CAJA</t>
        </is>
      </c>
      <c r="B28" s="19" t="str">
        <f>IF(B27="","",IF(B27&lt;=0,"La financiación cubre el desembolso","Necesitas aportación propia"))</f>
        <v>Necesitas aportación propia</v>
      </c>
      <c r="E28" s="4" t="inlineStr">
        <is>
          <t>Que necesites aportación propia no es una mala noticia: ningún banco financia el 100 % de una apertura, y el que lo hiciera te estaría dejando sin margen de maniobra. Lo que sí es mala noticia es descubrirlo el mes de la firma. Cuántos meses de gastos fijos cubre ese fondo te lo dice el libro 7, que es donde viven los gastos fijos: aquí no se recalcula.</t>
        </is>
      </c>
    </row>
    <row r="29"/>
    <row r="30"/>
    <row r="31">
      <c r="A31" s="3" t="inlineStr">
        <is>
          <t>Contador del impuesto al plástico: ¿te afecta o no?</t>
        </is>
      </c>
    </row>
    <row r="32" ht="62" customHeight="1">
      <c r="A32" s="4" t="inlineStr">
        <is>
          <t>Kg al mes de plástico no reciclado IMPORTADO o adquirido en otro país de la UE</t>
        </is>
      </c>
      <c r="B32" s="23">
        <f>'Parámetros'!B19</f>
        <v>3.2</v>
      </c>
      <c r="E32" s="4" t="inlineStr">
        <is>
          <t>LO QUE DECIDE ES DÓNDE COMPRAS Y QUÉ COMPRAS, NO CUÁNTO. El impuesto grava la fabricación, la importación y la adquisición intracomunitaria de envases no reutilizables que contengan plástico. Lo que compras en España a un proveedor español ya lo lleva repercutido en la factura: no cuenta aquí.</t>
        </is>
      </c>
    </row>
    <row r="33" ht="56" customHeight="1">
      <c r="A33" t="inlineStr">
        <is>
          <t>Umbral de la exención del art. 75.f)</t>
        </is>
      </c>
      <c r="B33" s="23">
        <f>'Parámetros'!B20</f>
        <v>5.0</v>
      </c>
      <c r="E33" s="4" t="inlineStr">
        <is>
          <t>La exención tiene DOS límites, no uno: sólo cubre la importación o adquisición intracomunitaria que no exceda de 5 kg en un mes, y sólo los envases del art. 68.1.a). NO exime la fabricación, ni los semielaborados, ni los cierres.</t>
        </is>
      </c>
    </row>
    <row r="34">
      <c r="A34" s="15" t="inlineStr">
        <is>
          <t>¿Superas el umbral?</t>
        </is>
      </c>
      <c r="B34" s="19" t="str">
        <f>IF(OR(B32="",B33=""),"",IF(B32&gt;B33,"SÍ: mira el registro territorial y la liquidación","No: por debajo de la exención del art. 75.f)"))</f>
        <v>No: por debajo de la exención del art. 75.f)</v>
      </c>
    </row>
    <row r="35">
      <c r="A35" t="inlineStr">
        <is>
          <t>Tipo del impuesto</t>
        </is>
      </c>
      <c r="B35" s="10">
        <f>'Parámetros'!B21</f>
        <v>0.45</v>
      </c>
    </row>
    <row r="36" ht="62" customHeight="1">
      <c r="A36" t="inlineStr">
        <is>
          <t>Coste anual estimado si estás por encima del umbral</t>
        </is>
      </c>
      <c r="B36" s="10">
        <f>IF(OR(B32="",B33=""),"",IF(B32&lt;=B33,"",IFERROR(B32*12*B35,"")))</f>
        <v/>
      </c>
      <c r="E36" s="4" t="inlineStr">
        <is>
          <t>Se queda en blanco mientras estés por debajo del umbral: un cero ahí se leería como «ya lo he calculado y sale cero», y lo que pasa es que no aplica. Cuando aplique, recuerda que el art. 82.3 obliga además a inscribirse en el Registro territorial, «salvo aquellos que se determine mediante Orden».</t>
        </is>
      </c>
    </row>
    <row r="37">
      <c r="A37" s="15" t="inlineStr">
        <is>
          <t>ALERTA DEL PLÁSTICO</t>
        </is>
      </c>
      <c r="B37" s="19" t="str">
        <f>IF(B32="","",IF(B32&gt;B33,"Revisa el impuesto al plástico con tu asesor","Sin alerta"))</f>
        <v>Sin alerta</v>
      </c>
    </row>
    <row r="38" ht="68" customHeight="1">
      <c r="A38" s="15" t="inlineStr">
        <is>
          <t>Y los moldes de policarbonato NO pagan</t>
        </is>
      </c>
      <c r="B38" t="inlineStr">
        <is>
          <t>No sujetos</t>
        </is>
      </c>
      <c r="E38" s="4" t="inlineStr">
        <is>
          <t>No están sujetos por el art. 73.d): pudiendo contener, no están diseñados para entregarse junto con la mercancía, y además el impuesto sólo grava envases NO reutilizables. Están prohibidas las dos frases fáciles, «el impuesto no te afecta si compras los envases» y su contraria «te afecta siempre»: lo que decide es dónde compras y qué compras.</t>
        </is>
      </c>
    </row>
    <row r="39"/>
    <row r="40" ht="48" customHeight="1">
      <c r="A40" s="7" t="inlineStr">
        <is>
          <t>Esta hoja NO explica el impuesto al plástico: emite la alerta cuando pasas el umbral. La explicación entera -qué es un envase a estos efectos, qué papel tiene tu proveedor y qué hay que registrar- está en el capítulo 13 de la guía, que es donde se lee.</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40:E40"/>
  </mergeCells>
  <conditionalFormatting sqref="B28">
    <cfRule type="cellIs" priority="1" operator="equal" dxfId="2" stopIfTrue="1">
      <formula>"Necesitas aportación propia"</formula>
    </cfRule>
    <cfRule type="cellIs" priority="2" operator="equal" dxfId="1" stopIfTrue="1">
      <formula>"La financiación cubre el desembolso"</formula>
    </cfRule>
  </conditionalFormatting>
  <conditionalFormatting sqref="B34">
    <cfRule type="cellIs" priority="3" operator="equal" dxfId="2" stopIfTrue="1">
      <formula>"SÍ: mira el registro territorial y la liquidación"</formula>
    </cfRule>
    <cfRule type="cellIs" priority="4" operator="equal" dxfId="1" stopIfTrue="1">
      <formula>"No: por debajo de la exención del art. 75.f)"</formula>
    </cfRule>
  </conditionalFormatting>
  <conditionalFormatting sqref="B37">
    <cfRule type="cellIs" priority="5" operator="equal" dxfId="2" stopIfTrue="1">
      <formula>"Revisa el impuesto al plástico con tu asesor"</formula>
    </cfRule>
    <cfRule type="cellIs" priority="6" operator="equal" dxfId="1" stopIfTrue="1">
      <formula>"Sin alerta"</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D27"/>
  <sheetViews>
    <sheetView workbookViewId="0">
      <pane ySplit="5" topLeftCell="A6" activePane="bottomLeft" state="frozen"/>
      <selection pane="bottomLeft" activeCell="A1" sqref="A1"/>
    </sheetView>
  </sheetViews>
  <sheetFormatPr baseColWidth="8" defaultRowHeight="15"/>
  <cols>
    <col width="60" customWidth="1" min="1" max="1"/>
    <col width="20" customWidth="1" min="2" max="2"/>
    <col width="24" customWidth="1" min="3" max="3"/>
    <col width="88" customWidth="1" min="4" max="4"/>
  </cols>
  <sheetData>
    <row r="1" ht="28" customHeight="1">
      <c r="A1" s="1" t="inlineStr">
        <is>
          <t>Resumen</t>
        </is>
      </c>
    </row>
    <row r="2">
      <c r="A2" t="inlineStr">
        <is>
          <t>AI Chef Pro · aichef.pro — Cómo Montar una Chocolatería</t>
        </is>
      </c>
    </row>
    <row r="3" ht="26" customHeight="1">
      <c r="A3" s="7" t="inlineStr">
        <is>
          <t>Las cifras que hay que llevar al banco. Todas calculadas desde las hojas anteriores; aquí no se teclea nada.</t>
        </is>
      </c>
    </row>
    <row r="4"/>
    <row r="5" ht="30" customHeight="1">
      <c r="A5" s="6" t="inlineStr">
        <is>
          <t>Cifra</t>
        </is>
      </c>
      <c r="B5" s="6" t="inlineStr">
        <is>
          <t>Valor</t>
        </is>
      </c>
      <c r="C5" s="6" t="inlineStr">
        <is>
          <t>De dónde sale</t>
        </is>
      </c>
      <c r="D5" s="6" t="inlineStr">
        <is>
          <t>Qué dice</t>
        </is>
      </c>
    </row>
    <row r="6" ht="52" customHeight="1">
      <c r="A6" s="4" t="inlineStr">
        <is>
          <t>Obra y adecuación</t>
        </is>
      </c>
      <c r="B6" s="10">
        <f>'Parámetros'!B8</f>
        <v>28500.0</v>
      </c>
      <c r="C6" t="inlineStr">
        <is>
          <t>Parámetros</t>
        </is>
      </c>
      <c r="D6" s="4" t="inlineStr">
        <is>
          <t>Metros por el precio por m². Es la única partida del CAPEX que no se teclea, y la que más se desvía en la ejecución: lo que no está en el proyecto se paga aparte.</t>
        </is>
      </c>
    </row>
    <row r="7" ht="52" customHeight="1">
      <c r="A7" s="4" t="inlineStr">
        <is>
          <t>CAPEX SIN el fondo de maniobra</t>
        </is>
      </c>
      <c r="B7" s="16">
        <f>'CAPEX por Bloque'!L44</f>
        <v>89219.35</v>
      </c>
      <c r="C7" t="inlineStr">
        <is>
          <t>CAPEX por Bloque</t>
        </is>
      </c>
      <c r="D7" s="4" t="inlineStr">
        <is>
          <t>LA CIFRA QUE VIAJA AL LIBRO 7. No es «el CAPEX total»: el total incluye el bloque «fondo de maniobra», y el libro 7 vuelve a dotar el fondo con sus propios meses de colchón.</t>
        </is>
      </c>
    </row>
    <row r="8" ht="52" customHeight="1">
      <c r="A8" s="4" t="inlineStr">
        <is>
          <t>Del cual, fondo de maniobra (es caja, no inversión)</t>
        </is>
      </c>
      <c r="B8" s="10">
        <f>'CAPEX por Bloque'!L45</f>
        <v>61273.02</v>
      </c>
      <c r="C8" t="inlineStr">
        <is>
          <t>CAPEX por Bloque</t>
        </is>
      </c>
      <c r="D8" s="4" t="inlineStr">
        <is>
          <t>Llega del libro 7 ya calculado, en celda verde y con fila de cuadre. Es caja, no una compra: no se consume como el resto de partidas. Pero hay que APORTARLA o FINANCIARLA igual que a ellas, y por eso está dentro del total que se lleva al banco.</t>
        </is>
      </c>
    </row>
    <row r="9" ht="52" customHeight="1">
      <c r="A9" s="4" t="inlineStr">
        <is>
          <t>INVERSIÓN TOTAL (las dos líneas de arriba)</t>
        </is>
      </c>
      <c r="B9" s="16">
        <f>'CAPEX por Bloque'!L46</f>
        <v>150492.37</v>
      </c>
      <c r="C9" t="inlineStr">
        <is>
          <t>CAPEX por Bloque</t>
        </is>
      </c>
      <c r="D9" s="4" t="inlineStr">
        <is>
          <t>La suma de las dos. Sale IDÉNTICA a la del libro 7 por construcción, porque el fondo se calcula UNA sola vez y en un solo sitio.</t>
        </is>
      </c>
    </row>
    <row r="10" ht="52" customHeight="1">
      <c r="A10" s="4" t="inlineStr">
        <is>
          <t>IVA soportado</t>
        </is>
      </c>
      <c r="B10" s="10">
        <f>'CAPEX por Bloque'!M40</f>
        <v>17912.8635</v>
      </c>
      <c r="C10" t="inlineStr">
        <is>
          <t>CAPEX por Bloque</t>
        </is>
      </c>
      <c r="D10" s="4" t="inlineStr">
        <is>
          <t>Dinero tuyo que adelantas y que vuelve al ritmo al que factures. Adelantas al 21 % y repercutes al 10 %.</t>
        </is>
      </c>
    </row>
    <row r="11" ht="52" customHeight="1">
      <c r="A11" s="4" t="inlineStr">
        <is>
          <t>Desembolso total con IVA</t>
        </is>
      </c>
      <c r="B11" s="10">
        <f>'CAPEX por Bloque'!N40</f>
        <v>168405.2335</v>
      </c>
      <c r="C11" t="inlineStr">
        <is>
          <t>CAPEX por Bloque</t>
        </is>
      </c>
      <c r="D11" s="4" t="inlineStr">
        <is>
          <t>Lo que sale de la cuenta. Es el número de la conversación con el banco.</t>
        </is>
      </c>
    </row>
    <row r="12" ht="52" customHeight="1">
      <c r="A12" s="4" t="inlineStr">
        <is>
          <t>Subtotal comparable con un presupuesto de obra y equipamiento</t>
        </is>
      </c>
      <c r="B12" s="10">
        <f>'CAPEX por Bloque'!L48</f>
        <v>77794.99</v>
      </c>
      <c r="C12" t="inlineStr">
        <is>
          <t>CAPEX por Bloque</t>
        </is>
      </c>
      <c r="D12" s="4" t="inlineStr">
        <is>
          <t>Seis bloques. Sin fianza, sin packaging y sin fondo de maniobra: un depósito, unas existencias y una caja no se comparan contra un presupuesto de obra.</t>
        </is>
      </c>
    </row>
    <row r="13" ht="52" customHeight="1">
      <c r="A13" s="4" t="inlineStr">
        <is>
          <t>Climatización y deshumidificación</t>
        </is>
      </c>
      <c r="B13" s="10">
        <f>'CAPEX por Bloque'!L32</f>
        <v>7600.0</v>
      </c>
      <c r="C13" t="inlineStr">
        <is>
          <t>CAPEX por Bloque</t>
        </is>
      </c>
      <c r="D13" s="4" t="inlineStr">
        <is>
          <t>LA PARTIDA QUE NADIE PRESUPUESTA, y en chocolate no es confort: es la que decide si la cobertura cristaliza. Su dimensionado se contrasta en el libro 1.</t>
        </is>
      </c>
    </row>
    <row r="14" ht="52" customHeight="1">
      <c r="A14" s="4" t="inlineStr">
        <is>
          <t>Equipo de templado y moldeado</t>
        </is>
      </c>
      <c r="B14" s="10">
        <f>'CAPEX por Bloque'!L33</f>
        <v>21060.0</v>
      </c>
      <c r="C14" t="inlineStr">
        <is>
          <t>CAPEX por Bloque</t>
        </is>
      </c>
      <c r="D14" s="4" t="inlineStr">
        <is>
          <t>Sin los opcionales, que vienen marcados «No». Es el bloque que se compara con el escenario profesional de entrada.</t>
        </is>
      </c>
    </row>
    <row r="15" ht="52" customHeight="1">
      <c r="A15" s="4" t="inlineStr">
        <is>
          <t>Frío (cámara, nevera de rellenos y vitrina)</t>
        </is>
      </c>
      <c r="B15" s="10">
        <f>'CAPEX por Bloque'!L34</f>
        <v>10534.99</v>
      </c>
      <c r="C15" t="inlineStr">
        <is>
          <t>CAPEX por Bloque</t>
        </is>
      </c>
      <c r="D15" s="4" t="inlineStr">
        <is>
          <t>Tres equipos con tres temperaturas distintas. Sólo la vitrina tiene precio verificado; los otros dos son supuestos declarados.</t>
        </is>
      </c>
    </row>
    <row r="16" ht="52" customHeight="1">
      <c r="A16" s="4" t="inlineStr">
        <is>
          <t>Cuadre del fondo de maniobra con el libro 7</t>
        </is>
      </c>
      <c r="B16" t="str">
        <f>'CAPEX por Bloque'!L54</f>
        <v>CUADRA</v>
      </c>
      <c r="C16" t="inlineStr">
        <is>
          <t>CAPEX por Bloque</t>
        </is>
      </c>
      <c r="D16" s="4" t="inlineStr">
        <is>
          <t>Si dice que no cuadra, alguien ha pisado la fila del bloque: arréglalo antes de enseñarle el plan a nadie.</t>
        </is>
      </c>
    </row>
    <row r="17" ht="52" customHeight="1">
      <c r="A17" s="4" t="inlineStr">
        <is>
          <t>Aportación propia necesaria</t>
        </is>
      </c>
      <c r="B17" s="10">
        <f>'IVA y Tesorería'!B27</f>
        <v>78105.2335</v>
      </c>
      <c r="C17" t="inlineStr">
        <is>
          <t>IVA y Tesorería</t>
        </is>
      </c>
      <c r="D17" s="4" t="inlineStr">
        <is>
          <t>Desembolso menos financiación bancaria.</t>
        </is>
      </c>
    </row>
    <row r="18" ht="52" customHeight="1">
      <c r="A18" s="4" t="inlineStr">
        <is>
          <t>Veredicto de la caja</t>
        </is>
      </c>
      <c r="B18" t="str">
        <f>'IVA y Tesorería'!B28</f>
        <v>Necesitas aportación propia</v>
      </c>
      <c r="C18" t="inlineStr">
        <is>
          <t>IVA y Tesorería</t>
        </is>
      </c>
      <c r="D18" s="4" t="inlineStr">
        <is>
          <t>Si la financiación cubre el desembolso o hace falta poner dinero.</t>
        </is>
      </c>
    </row>
    <row r="19" ht="52" customHeight="1">
      <c r="A19" s="4" t="inlineStr">
        <is>
          <t>Alerta del impuesto al plástico</t>
        </is>
      </c>
      <c r="B19" t="str">
        <f>'IVA y Tesorería'!B37</f>
        <v>Sin alerta</v>
      </c>
      <c r="C19" t="inlineStr">
        <is>
          <t>IVA y Tesorería</t>
        </is>
      </c>
      <c r="D19" s="4" t="inlineStr">
        <is>
          <t>Salta sólo si importas o compras en otro país de la UE más de 5 kg al mes de plástico no reciclado en envases.</t>
        </is>
      </c>
    </row>
    <row r="20" ht="52" customHeight="1">
      <c r="A20" s="4" t="inlineStr">
        <is>
          <t>Coste del traspaso en el horizonte</t>
        </is>
      </c>
      <c r="B20" s="10">
        <f>'Traspaso vs Obra Nueva'!C19</f>
        <v>111100.0</v>
      </c>
      <c r="C20" t="inlineStr">
        <is>
          <t>Traspaso vs Obra Nueva</t>
        </is>
      </c>
      <c r="D20" s="4" t="inlineStr">
        <is>
          <t>Precio pedido, adecuación y renta de todos los años, más los meses parado.</t>
        </is>
      </c>
    </row>
    <row r="21" ht="52" customHeight="1">
      <c r="A21" s="4" t="inlineStr">
        <is>
          <t>Coste de la obra nueva en el horizonte</t>
        </is>
      </c>
      <c r="B21" s="10">
        <f>'Traspaso vs Obra Nueva'!C20</f>
        <v>160994.99</v>
      </c>
      <c r="C21" t="inlineStr">
        <is>
          <t>Traspaso vs Obra Nueva</t>
        </is>
      </c>
      <c r="D21" s="4" t="inlineStr">
        <is>
          <t>CAPEX comparable y renta de todos los años, más los meses de obra.</t>
        </is>
      </c>
    </row>
    <row r="22" ht="52" customHeight="1">
      <c r="A22" s="4" t="inlineStr">
        <is>
          <t>Traspaso o obra nueva</t>
        </is>
      </c>
      <c r="B22" t="str">
        <f>'Traspaso vs Obra Nueva'!C22</f>
        <v>Sale mejor el TRASPASO</v>
      </c>
      <c r="C22" t="inlineStr">
        <is>
          <t>Traspaso vs Obra Nueva</t>
        </is>
      </c>
      <c r="D22" s="4" t="inlineStr">
        <is>
          <t>Compara dinero. La distribución del local, la clientela y si el obrador se puede climatizar no salen en esta celda.</t>
        </is>
      </c>
    </row>
    <row r="23" ht="52" customHeight="1">
      <c r="A23" s="4" t="inlineStr">
        <is>
          <t>Inmovilizado amortizable</t>
        </is>
      </c>
      <c r="B23" s="10">
        <f>'CAPEX por Bloque'!L44-'CAPEX por Bloque'!L36-'CAPEX por Bloque'!L24</f>
        <v>83614.99</v>
      </c>
      <c r="C23" t="inlineStr">
        <is>
          <t>CAPEX por Bloque</t>
        </is>
      </c>
      <c r="D23" s="4" t="inlineStr">
        <is>
          <t>CAPEX sin el fondo de maniobra, menos la fianza (es un depósito: se recupera, no se amortiza) y menos «packaging y moldes» (son existencias, no inmovilizado). Es la base que el libro 7 trae en su celda verde: compárala con la suya para comprobar que los dos libros dicen lo mismo.</t>
        </is>
      </c>
    </row>
    <row r="24"/>
    <row r="25" ht="44" customHeight="1">
      <c r="A25" s="7" t="inlineStr">
        <is>
          <t>Si alguna de estas cifras no te cuadra, no la cambies aquí: esta hoja no tiene ni una celda editable. Vuelve a la hoja donde nace y cambia el parámetro o el importe. Es lo que evita que un resumen y su origen digan cosas distintas.</t>
        </is>
      </c>
    </row>
    <row r="26"/>
    <row r="27" ht="80" customHeight="1">
      <c r="A27" s="7" t="inlineStr">
        <is>
          <t>LAS DOS PRIMERAS LÍNEAS DE DINERO SON DOS Y NO UNA A PROPÓSITO. «CAPEX sin el fondo de maniobra» es lo que le llevas al libro 7 y lo que se parece a lo que el sector llama «inversión de apertura»; el fondo de maniobra es caja, no inversión, y lo dota el libro 7 con sus meses de colchón y sus gastos fijos. La suma de las dos es la inversión total, y sale idéntica en los dos libros porque el fondo se calcula UNA vez. Publicar un único «CAPEX total» y pedir además el fondo en el otro libro es el error que hace que un mismo negocio aparezca con dos inversiones distintas en el mismo pack.</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D3"/>
    <mergeCell ref="A25:D25"/>
    <mergeCell ref="A27:D27"/>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 inversión inicial (CAPEX)</dc:title>
  <dc:subject xmlns:dc="http://purl.org/dc/elements/1.1/">Cómo Montar una Chocolatería · Versión 1.0 · septiembre 2026</dc:subject>
  <dcterms:created xmlns:dcterms="http://purl.org/dc/terms/" xmlns:xsi="http://www.w3.org/2001/XMLSchema-instance" xsi:type="dcterms:W3CDTF">2026-09-19T12:14:57Z</dcterms:created>
  <dcterms:modified xmlns:dcterms="http://purl.org/dc/terms/" xmlns:xsi="http://www.w3.org/2001/XMLSchema-instance" xsi:type="dcterms:W3CDTF">2026-09-19T12:14:57Z</dcterms:modified>
  <cp:lastModifiedBy>AI Chef Pro</cp:lastModifiedBy>
</cp:coreProperties>
</file>