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Equipamiento" sheetId="2" state="visible" r:id="rId2"/>
    <sheet xmlns:r="http://schemas.openxmlformats.org/officeDocument/2006/relationships" name="Variante del Formato" sheetId="3" state="visible" r:id="rId3"/>
    <sheet xmlns:r="http://schemas.openxmlformats.org/officeDocument/2006/relationships" name="Proveedores y EUDR" sheetId="4" state="visible" r:id="rId4"/>
    <sheet xmlns:r="http://schemas.openxmlformats.org/officeDocument/2006/relationships" name="Clientes a los que Suministras" sheetId="5" state="visible" r:id="rId5"/>
    <sheet xmlns:r="http://schemas.openxmlformats.org/officeDocument/2006/relationships" name="Contador" sheetId="6" state="visible" r:id="rId6"/>
  </sheets>
  <definedNames>
    <definedName name="_xlnm.Print_Area" localSheetId="0">'Instrucciones'!$A$1:$C$38</definedName>
    <definedName name="_xlnm.Print_Titles" localSheetId="1">'Equipamiento'!$14:$14</definedName>
    <definedName name="_xlnm.Print_Area" localSheetId="1">'Equipamiento'!$A$1:$AA$74</definedName>
    <definedName name="_xlnm.Print_Area" localSheetId="2">'Variante del Formato'!$A$1:$F$54</definedName>
    <definedName name="_xlnm.Print_Titles" localSheetId="3">'Proveedores y EUDR'!$6:$6</definedName>
    <definedName name="_xlnm.Print_Area" localSheetId="3">'Proveedores y EUDR'!$A$1:$P$43</definedName>
    <definedName name="_xlnm.Print_Titles" localSheetId="4">'Clientes a los que Suministras'!$9:$9</definedName>
    <definedName name="_xlnm.Print_Area" localSheetId="4">'Clientes a los que Suministras'!$A$1:$J$42</definedName>
    <definedName name="_xlnm.Print_Area" localSheetId="5">'Contador'!$A$1:$D$40</definedName>
  </definedNames>
  <calcPr calcId="124519" fullCalcOnLoad="1"/>
</workbook>
</file>

<file path=xl/styles.xml><?xml version="1.0" encoding="utf-8"?>
<styleSheet xmlns="http://schemas.openxmlformats.org/spreadsheetml/2006/main">
  <numFmts count="4">
    <numFmt numFmtId="164" formatCode="0.0%"/>
    <numFmt numFmtId="165" formatCode="#,##0.00 €"/>
    <numFmt numFmtId="166" formatCode="yyyy-mm-dd"/>
    <numFmt numFmtId="167" formatCode="dd/mm/yyyy"/>
  </numFmts>
  <fonts count="8">
    <font>
      <name val="Calibri"/>
      <family val="2"/>
      <color theme="1"/>
      <sz val="11"/>
      <scheme val="minor"/>
    </font>
    <font>
      <b val="1"/>
      <color rgb="00FFD700"/>
      <sz val="16"/>
    </font>
    <font>
      <sz val="9"/>
    </font>
    <font>
      <i val="1"/>
      <sz val="9"/>
    </font>
    <font>
      <b val="1"/>
      <color theme="1"/>
      <sz val="11"/>
    </font>
    <font>
      <b val="1"/>
      <sz val="12"/>
    </font>
    <font>
      <b val="1"/>
      <color rgb="00FFFFFF"/>
      <sz val="10"/>
    </font>
    <font>
      <b val="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0" borderId="0" pivotButton="0" quotePrefix="0" xfId="0"/>
    <xf numFmtId="0" fontId="3" fillId="0" borderId="0" applyAlignment="1" pivotButton="0" quotePrefix="0" xfId="0">
      <alignment horizontal="general" vertical="top" wrapText="1"/>
    </xf>
    <xf numFmtId="0" fontId="0" fillId="2" borderId="0" applyProtection="1" pivotButton="0" quotePrefix="0" xfId="0">
      <protection locked="0" hidden="0"/>
    </xf>
    <xf numFmtId="0" fontId="6" fillId="3" borderId="0" applyAlignment="1" pivotButton="0" quotePrefix="0" xfId="0">
      <alignment horizontal="center" vertical="center" wrapText="1"/>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4" fillId="0" borderId="0" pivotButton="0" quotePrefix="0" xfId="0"/>
    <xf numFmtId="164" fontId="0" fillId="2" borderId="0" applyProtection="1" pivotButton="0" quotePrefix="0" xfId="0">
      <protection locked="0" hidden="0"/>
    </xf>
    <xf numFmtId="3" fontId="0" fillId="2" borderId="0" applyProtection="1" pivotButton="0" quotePrefix="0" xfId="0">
      <protection locked="0" hidden="0"/>
    </xf>
    <xf numFmtId="0" fontId="0" fillId="2" borderId="0" applyAlignment="1" applyProtection="1" pivotButton="0" quotePrefix="0" xfId="0">
      <alignment horizontal="center" vertical="top"/>
      <protection locked="0" hidden="0"/>
    </xf>
    <xf numFmtId="3" fontId="0" fillId="0" borderId="0" applyAlignment="1" pivotButton="0" quotePrefix="0" xfId="0">
      <alignment horizontal="center" vertical="top"/>
    </xf>
    <xf numFmtId="0" fontId="0" fillId="0" borderId="0" applyAlignment="1" pivotButton="0" quotePrefix="0" xfId="0">
      <alignment horizontal="center" vertical="top"/>
    </xf>
    <xf numFmtId="165" fontId="0" fillId="0" borderId="0" pivotButton="0" quotePrefix="0" xfId="0"/>
    <xf numFmtId="164" fontId="0" fillId="0" borderId="0" pivotButton="0" quotePrefix="0" xfId="0"/>
    <xf numFmtId="165" fontId="0" fillId="2" borderId="0" applyProtection="1" pivotButton="0" quotePrefix="0" xfId="0">
      <protection locked="0" hidden="0"/>
    </xf>
    <xf numFmtId="3" fontId="0" fillId="2" borderId="0" applyAlignment="1" applyProtection="1" pivotButton="0" quotePrefix="0" xfId="0">
      <alignment horizontal="center" vertical="top"/>
      <protection locked="0" hidden="0"/>
    </xf>
    <xf numFmtId="3" fontId="0" fillId="0" borderId="0" pivotButton="0" quotePrefix="0" xfId="0"/>
    <xf numFmtId="3" fontId="4" fillId="4" borderId="0" pivotButton="0" quotePrefix="0" xfId="0"/>
    <xf numFmtId="165" fontId="4" fillId="4" borderId="0" pivotButton="0" quotePrefix="0" xfId="0"/>
    <xf numFmtId="164" fontId="4" fillId="4" borderId="0" pivotButton="0" quotePrefix="0" xfId="0"/>
    <xf numFmtId="0" fontId="7" fillId="4" borderId="0" pivotButton="0" quotePrefix="0" xfId="0"/>
    <xf numFmtId="0" fontId="4" fillId="4" borderId="0" pivotButton="0" quotePrefix="0" xfId="0"/>
    <xf numFmtId="0" fontId="0" fillId="0" borderId="0" applyAlignment="1" pivotButton="0" quotePrefix="0" xfId="0">
      <alignment vertical="top" wrapText="1"/>
    </xf>
    <xf numFmtId="3" fontId="7" fillId="4" borderId="0" pivotButton="0" quotePrefix="0" xfId="0"/>
    <xf numFmtId="0" fontId="3" fillId="4" borderId="0" applyAlignment="1" pivotButton="0" quotePrefix="0" xfId="0">
      <alignment horizontal="general" vertical="top" wrapText="1"/>
    </xf>
    <xf numFmtId="167" fontId="0" fillId="2" borderId="0" applyProtection="1" pivotButton="0" quotePrefix="0" xfId="0">
      <protection locked="0" hidden="0"/>
    </xf>
    <xf numFmtId="0" fontId="7" fillId="4" borderId="0" applyAlignment="1" pivotButton="0" quotePrefix="0" xfId="0">
      <alignment vertical="top" wrapText="1"/>
    </xf>
    <xf numFmtId="4" fontId="4" fillId="4" borderId="0" pivotButton="0" quotePrefix="0" xfId="0"/>
    <xf numFmtId="0" fontId="0" fillId="2" borderId="0" applyAlignment="1" applyProtection="1" pivotButton="0" quotePrefix="0" xfId="0">
      <alignment horizontal="general" vertical="top" wrapText="1"/>
      <protection locked="0" hidden="0"/>
    </xf>
    <xf numFmtId="167" fontId="0" fillId="0" borderId="0" pivotButton="0" quotePrefix="0" xfId="0"/>
    <xf numFmtId="167" fontId="4" fillId="4" borderId="0" pivotButton="0" quotePrefix="0" xfId="0"/>
    <xf numFmtId="0" fontId="4" fillId="4" borderId="0" applyAlignment="1" pivotButton="0" quotePrefix="0" xfId="0">
      <alignment vertical="top" wrapText="1"/>
    </xf>
    <xf numFmtId="3" fontId="4" fillId="0" borderId="0" pivotButton="0" quotePrefix="0" xfId="0"/>
    <xf numFmtId="164" fontId="4" fillId="0" borderId="0" pivotButton="0" quotePrefix="0" xfId="0"/>
    <xf numFmtId="165" fontId="4" fillId="0"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AI Chef Pro</author>
  </authors>
  <commentList>
    <comment ref="I15" authorId="0" shapeId="0">
      <text>
        <t>Atemperadoras — Selmi One (12 kg (55 kg/h)) (CHS-41a) · Fuente: Utilcentre, S.L. (distribuidor Selmi/Pavoni en España) · Consultada el 2026-09-12 · https://www.utilcentre.com/temperadora-selmi-one-12kg.html</t>
      </text>
    </comment>
    <comment ref="I16" authorId="0" shapeId="0">
      <text>
        <t>Atemperadoras — Selmi One (12 kg (55 kg/h)) (CHS-41a) · Fuente: Utilcentre, S.L. (distribuidor Selmi/Pavoni en España) · Consultada el 2026-09-12 · https://www.utilcentre.com/temperadora-selmi-one-12kg.html</t>
      </text>
    </comment>
    <comment ref="I17" authorId="0" shapeId="0">
      <text>
        <t>Enrobadoras, bañadoras y dosificación — Enrobadora Selmi R200 Legend (CHS-42a) · Fuente: Utilcentre, S.L. · Consultada el 2026-09-12 · https://www.utilcentre.com/maquinaria-chocolate.html</t>
      </text>
    </comment>
    <comment ref="I18" authorId="0" shapeId="0">
      <text>
        <t>Enrobadoras, bañadoras y dosificación — Placa dosificadora (CHS-42i) · Fuente: Utilcentre, S.L. · Consultada el 2026-09-12 · https://www.utilcentre.com/maquinaria-chocolate.html</t>
      </text>
    </comment>
    <comment ref="I19" authorId="0" shapeId="0">
      <text>
        <t>Atemperadoras — Temperador baño maría digital (22 L) (CHS-41j) · Fuente: Utilcentre, S.L. (distribuidor Selmi/Pavoni en España) · Consultada el 2026-09-12 · https://www.utilcentre.com/maquinaria/chocolate/temperadoras.html</t>
      </text>
    </comment>
    <comment ref="I20" authorId="0" shapeId="0">
      <text>
        <t>Atemperadoras — Mantenedor 1 cubeta digital (—) (CHS-41i) · Fuente: Utilcentre, S.L. (distribuidor Selmi/Pavoni en España) · Consultada el 2026-09-12 · https://www.utilcentre.com/maquinaria/chocolate/temperadoras.html</t>
      </text>
    </comment>
    <comment ref="I21" authorId="0" shapeId="0">
      <text>
        <t>Atemperadoras — Pavoni MINITEMPER (4,5 L (3 kg)) (CHS-41h) · Fuente: Utilcentre, S.L. (distribuidor Selmi/Pavoni en España) · Consultada el 2026-09-12 · https://www.utilcentre.com/maquinaria/chocolate/temperadoras.html</t>
      </text>
    </comment>
    <comment ref="I22" authorId="0" shapeId="0">
      <text>
        <t>Atemperadoras — Pavoni MINITEMPER (4,5 L (3 kg)) (CHS-41h) · Fuente: Utilcentre, S.L. (distribuidor Selmi/Pavoni en España) · Consultada el 2026-09-12 · https://www.utilcentre.com/maquinaria/chocolate/temperadoras.html</t>
      </text>
    </comment>
    <comment ref="I23" authorId="0" shapeId="0">
      <text>
        <t>Vitrina de tienda — refrigeración específica para chocolate (+14/+17 °C) (CHS-43) · Fuente: Equipo H · Consultada el 2026-09-12 · https://www.equipoh.com/vitrinas-expositoras/vitrina-expositora-refrigerada-para-chocolate-docriluc-wb-6-6-r-2824.html</t>
      </text>
    </comment>
    <comment ref="I26" authorId="0" shapeId="0">
      <text>
        <t>Moldes, chocolateras y pequeño material — Moldes de policarbonato Chocolate World (CHS-45a) · Fuente: RestorHome · Consultada el 2026-09-12 · https://www.restorhome.es/471-moldes-bomboneria-Chocolate-World</t>
      </text>
    </comment>
    <comment ref="C27" authorId="0" shapeId="0">
      <text>
        <t>Verificado el 12-09-2026 · Real Decreto 1055/2022 (BOE-A-2022-22690), arts. 2.e), 2.f), 2.j), 15.1 y 28.1 · https://www.boe.es/buscar/act.php?id=BOE-A-2022-22690</t>
      </text>
    </comment>
    <comment ref="C30" authorId="0" shapeId="0">
      <text>
        <t>Verificado el 12-09-2026 · Real Decreto 100/2011, de 28 de enero, por el que se actualiza el catálogo de actividades potencialmente contaminadoras de la atmósfera (BOE-A-2011-1643), texto consolidado · «Última modificación: 23 de diciembre de 2017» · https://www.boe.es/buscar/act.php?id=BOE-A-2011-1643</t>
      </text>
    </comment>
    <comment ref="C31" authorId="0" shapeId="0">
      <text>
        <t>Verificado el 12-09-2026 · Real Decreto 919/2006 (BOE-A-2006-15345), ITC-ICG 07, apartados 3.3 y 4.1 · «Última modificación: 03-09-2025» · https://www.boe.es/buscar/act.php?id=BOE-A-2006-15345</t>
      </text>
    </comment>
    <comment ref="I31" authorId="0" shapeId="0">
      <text>
        <t>Moldes, chocolateras y pequeño material — Chocolatera Ugolini Delice 3 (3 L) (CHS-46a) · Fuente: Equipo H · Consultada el 2026-09-12 · https://www.equipoh.com/chocolateras-196</t>
      </text>
    </comment>
  </commentList>
</comments>
</file>

<file path=xl/comments/comment2.xml><?xml version="1.0" encoding="utf-8"?>
<comments xmlns="http://schemas.openxmlformats.org/spreadsheetml/2006/main">
  <authors>
    <author>AI Chef Pro</author>
  </authors>
  <commentList>
    <comment ref="C7"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691, 75... · https://www.boe.es/buscar/act.php?id=BOE-A-2012-15595</t>
      </text>
    </comment>
    <comment ref="C30" authorId="0" shapeId="0">
      <text>
        <t>Verificado el 12-09-2026 · Reglamento (UE) 2023/1115 del Parlamento Europeo y del Consejo, de 31 de mayo de 2023 (EUDR) · texto consolidado CELEX:02023R1115-20251226 (versión 26-12-2025, 002.001) (El art. 3 exige tres condiciones acumulativas: libres de deforestación, producidos conforme a la legislación del país de produc... · https://eur-lex.europa.eu/legal-content/ES/TXT/HTML/?uri=CELEX:02023R1115-20251226</t>
      </text>
    </comment>
    <comment ref="C34" authorId="0" shapeId="0">
      <text>
        <t>Moldes, chocolateras y pequeño material — Chocolatera Ugolini Delice 3 (3 L) (CHS-46a) · Fuente: Equipo H · Consultada el 2026-09-12 · https://www.equipoh.com/chocolateras-196</t>
      </text>
    </comment>
    <comment ref="C40" authorId="0" shapeId="0">
      <text>
        <t>Verificado el 12-09-2026 · Real Decreto 919/2006 (BOE-A-2006-15345), ITC-ICG 07, apartados 3.3 y 4.1 · «Última modificación: 03-09-2025» · https://www.boe.es/buscar/act.php?id=BOE-A-2006-15345</t>
      </text>
    </comment>
  </commentList>
</comments>
</file>

<file path=xl/comments/comment3.xml><?xml version="1.0" encoding="utf-8"?>
<comments xmlns="http://schemas.openxmlformats.org/spreadsheetml/2006/main">
  <authors>
    <author>AI Chef Pro</author>
  </authors>
  <commentList>
    <comment ref="G6"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 ref="I6" authorId="0" shapeId="0">
      <text>
        <t>Verificado el 12-09-2026 · Reglamento (UE) 2023/1115 del Parlamento Europeo y del Consejo, de 31 de mayo de 2023 (EUDR) · texto consolidado CELEX:02023R1115-20251226 (versión 26-12-2025, 002.001) · https://eur-lex.europa.eu/legal-content/ES/TXT/HTML/?uri=CELEX:02023R1115-20251226</t>
      </text>
    </comment>
    <comment ref="K6" authorId="0" shapeId="0">
      <text>
        <t>Verificado el 12-09-2026 · Reglamento (UE) 2023/915 de la Comisión, de 25 de abril de 2023, relativo a los límites máximos de determinados contaminantes en los alimentos · texto consolidado CELEX:02023R09... (Anexo I, puntos 5.1.4 y 5.1.5.) · https://eur-lex.europa.eu/legal-content/ES/TXT/HTML/?uri=CELEX:02023R0915-20250101</t>
      </text>
    </comment>
    <comment ref="F26"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List>
</comments>
</file>

<file path=xl/comments/comment4.xml><?xml version="1.0" encoding="utf-8"?>
<comments xmlns="http://schemas.openxmlformats.org/spreadsheetml/2006/main">
  <authors>
    <author>AI Chef Pro</author>
  </authors>
  <commentList>
    <comment ref="C6"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 ref="E26"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 ref="E27" authorId="0" shapeId="0">
      <text>
        <t>Verificado el 12-09-2026 · Real Decreto 1021/2022 (BOE-A-2022-21681), art. 3 · https://www.boe.es/buscar/act.php?id=BOE-A-2022-21681</t>
      </text>
    </comment>
    <comment ref="A38" authorId="0" shapeId="0">
      <text>
        <t>Verificado el 12-09-2026 · Real Decreto 1021/2022 (BOE-A-2022-21681), arts. 2.2.a), 3.1 y 4.3 (16 (CHN-90) y por la lectura directa del art. 4.3 (CHN-88).) · https://www.boe.es/buscar/act.php?id=BOE-A-2022-21681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fitToPage="1"/>
  </sheetPr>
  <dimension ref="A1:C37"/>
  <sheetViews>
    <sheetView workbookViewId="0">
      <pane ySplit="23" topLeftCell="A24" activePane="bottomLeft" state="frozen"/>
      <selection pane="bottomLeft" activeCell="A1" sqref="A1"/>
    </sheetView>
  </sheetViews>
  <sheetFormatPr baseColWidth="8" defaultRowHeight="15"/>
  <cols>
    <col width="44" customWidth="1" min="1" max="1"/>
    <col width="44" customWidth="1" min="2" max="2"/>
    <col width="44" customWidth="1" min="3" max="3"/>
  </cols>
  <sheetData>
    <row r="1" ht="26" customHeight="1">
      <c r="A1" s="1" t="inlineStr">
        <is>
          <t>Checklist de equipamiento y proveedores de cacao</t>
        </is>
      </c>
    </row>
    <row r="2">
      <c r="A2" s="2" t="inlineStr">
        <is>
          <t>AI Chef Pro · aichef.pro — Cómo Montar una Chocolatería</t>
        </is>
      </c>
    </row>
    <row r="3">
      <c r="A3" s="3" t="inlineStr">
        <is>
          <t>Para qué sirve: saber qué compras, a quién, a qué precio real, con qué plazo, con qué papeles — y a quién le vendes.</t>
        </is>
      </c>
    </row>
    <row r="4"/>
    <row r="5">
      <c r="A5" s="4" t="inlineStr">
        <is>
          <t>Instrucciones de uso</t>
        </is>
      </c>
    </row>
    <row r="6" ht="64" customHeight="1">
      <c r="A6" s="5" t="inlineStr">
        <is>
          <t>1. Hoja «Equipamiento»: las diecisiete líneas de la dotación, con su precio de referencia y SU BASE FISCAL. Marca el estado, escribe el precio real que negocies (siempre SIN IVA), el proveedor y el plazo que te comprometan por escrito. La hoja te dice cuánto te desvías de la referencia, qué línea marca el plazo crítico y si llegas a la apertura.</t>
        </is>
      </c>
    </row>
    <row r="7" ht="64" customHeight="1">
      <c r="A7" s="5" t="inlineStr">
        <is>
          <t>2. Hoja «Variante del Formato»: si te planteas bean-to-bar o chocolatería de taza y churros. El bean-to-bar va SIN CIFRAS DE MAQUINARIA a propósito -no existe precio público verificado-: lo que hay es la lista de la compra y las cinco preguntas que hay que hacerle al fabricante, con casilla para apuntar quién te ha contestado.</t>
        </is>
      </c>
    </row>
    <row r="8" ht="64" customHeight="1">
      <c r="A8" s="5" t="inlineStr">
        <is>
          <t>3. Hoja «Proveedores y EUDR»: los seis proveedores con URL comprobada, y el árbol que decide qué papeles le tocan a cada uno. Pregúntale a cada proveedor si es operador, operador posterior o comerciante: el número de referencia de su declaración de diligencia debida SÓLO se le pide al primero. Y en las dos últimas columnas, los boletines de cadmio y de HAP.</t>
        </is>
      </c>
    </row>
    <row r="9" ht="64" customHeight="1">
      <c r="A9" s="5" t="inlineStr">
        <is>
          <t>4. Hoja «Clientes a los que Suministras»: la otra mitad del mismo artículo, la que casi nadie conoce. Si vendes a hostelería, a empresas o a otra tienda, tienes que registrar a quién le has vendido qué, y conservar ese registro cinco años. La hoja calcula la fecha hasta la que hay que guardarlo.</t>
        </is>
      </c>
    </row>
    <row r="10" ht="64" customHeight="1">
      <c r="A10" s="5" t="inlineStr">
        <is>
          <t>5. Hoja «Contador»: el avance de la compra en una pantalla, con el presupuesto, lo que llevas gastado y cuántos papeles te faltan.</t>
        </is>
      </c>
    </row>
    <row r="11"/>
    <row r="12">
      <c r="A12" s="6" t="inlineStr">
        <is>
          <t>Celdas verdes = campos editables</t>
        </is>
      </c>
    </row>
    <row r="13"/>
    <row r="14">
      <c r="A14" s="4" t="inlineStr">
        <is>
          <t>Lo que conviene saber antes de empezar</t>
        </is>
      </c>
    </row>
    <row r="15" ht="76" customHeight="1">
      <c r="A15" s="5" t="inlineStr">
        <is>
          <t>LA COLUMNA QUE NO TRAE NINGÚN CHECKLIST DEL MERCADO ES «¿LLEVA IVA?». Seis de las diecisiete líneas vienen de fichas de distribuidor que NO declaran su base fiscal: aquí se tratan como base imponible y se marcan como «no declarada», que es lo honesto. Si mezclas precios con IVA y sin IVA en la misma columna, tu inversión sale un 21 % desviada y no lo ves hasta que llega la primera factura.</t>
        </is>
      </c>
    </row>
    <row r="16" ht="76" customHeight="1">
      <c r="A16" s="5" t="inlineStr">
        <is>
          <t>LOS PLAZOS DE ENTREGA SON SUPUESTOS: ningún distribuidor los publica. Sustitúyelos por el que te comprometan POR ESCRITO en el presupuesto. Son la columna que de verdad mueve la fecha de apertura, y por eso el cronograma del libro «checklist-legal-licencias-y-cacao» te pide que traigas aquí el plazo crítico y te avisa si tu ruta crítica es más corta que él.</t>
        </is>
      </c>
    </row>
    <row r="17" ht="76" customHeight="1">
      <c r="A17" s="5" t="inlineStr">
        <is>
          <t>NO SE PUBLICAN LOS PROVEEDORES SIN VERIFICAR. El research recogió muchos más; aquí entran los seis con URL comprobada el 12 de septiembre de 2026. Un directorio con un enlace roto vale menos que uno corto.</t>
        </is>
      </c>
    </row>
    <row r="18" ht="76" customHeight="1">
      <c r="A18" s="5" t="inlineStr">
        <is>
          <t>EL NÚMERO DE LA DDS NO SE LE PIDE A TODO EL MUNDO. El art. 5.3.a) del reglamento de deforestación obliga a guardar los datos de todos tus proveedores, pero los números de referencia de las declaraciones de diligencia debida «únicamente en el caso de que su proveedor sea un operador». Pedírselo a un comerciante es pedirle algo que no tiene.</t>
        </is>
      </c>
    </row>
    <row r="19" ht="76" customHeight="1">
      <c r="A19" s="5" t="inlineStr">
        <is>
          <t>Y LA OTRA MITAD DEL ARTÍCULO OBLIGA A REGISTRAR A TUS CLIENTES. El mismo 5.3, letra b), habla de los operadores posteriores y comerciantes «a los que hayan suministrado los productos pertinentes». Si sirves a la cafetería de al lado, a una empresa o a una tienda gourmet, esa tabla te toca. Se conserva cinco años.</t>
        </is>
      </c>
    </row>
    <row r="20" ht="76" customHeight="1">
      <c r="A20" s="5" t="inlineStr">
        <is>
          <t>ESTE LIBRO NO CALCULA TU INVERSIÓN. Eso lo hace «calculadora-capex-chocolateria.xlsx». Aquí el CAPEX del libro 2 entra como CELDA VERDE que tú copias, con su valor por defecto declarado: en toda la guía no hay una sola fórmula que apunte a otro fichero.</t>
        </is>
      </c>
    </row>
    <row r="21"/>
    <row r="22">
      <c r="A22" s="4" t="inlineStr">
        <is>
          <t>Qué hace este libro y qué hace otro (para no teclear dos veces)</t>
        </is>
      </c>
    </row>
    <row r="23" ht="26" customHeight="1">
      <c r="A23" s="7" t="inlineStr">
        <is>
          <t>Producto o libro</t>
        </is>
      </c>
      <c r="B23" s="7" t="inlineStr">
        <is>
          <t>Qué aporta</t>
        </is>
      </c>
      <c r="C23" s="7" t="inlineStr">
        <is>
          <t>Qué NO hace este libro</t>
        </is>
      </c>
    </row>
    <row r="24" ht="64" customHeight="1">
      <c r="A24" s="8" t="inlineStr">
        <is>
          <t>kit-tareas-chocolateria (12 €)</t>
        </is>
      </c>
      <c r="B24" s="9" t="inlineStr">
        <is>
          <t>Las curvas de templado, las fichas de moldeado y el calendario anual de campañas, ya construidos.</t>
        </is>
      </c>
      <c r="C24" s="9" t="inlineStr">
        <is>
          <t>Este libro decide el obrador que vas a COMPRAR; el kit organiza el que ya tienes montado. Ninguna de sus once plantillas sustituye a esta hoja.</t>
        </is>
      </c>
    </row>
    <row r="25" ht="64" customHeight="1">
      <c r="A25" s="8" t="inlineStr">
        <is>
          <t>calculadora-capex-chocolateria.xlsx (libro 2 de esta guía)</t>
        </is>
      </c>
      <c r="B25" s="9" t="inlineStr">
        <is>
          <t>Los euros de la apertura ordenados en nueve bloques, con su IVA soportado y su calendario de tesorería.</t>
        </is>
      </c>
      <c r="C25" s="9" t="inlineStr">
        <is>
          <t>Aquí se anota lo que de verdad pagas, línea a línea, y se compara con lo que aquel libro presupuestó. La comparación viaja por celda verde, nunca por fórmula entre ficheros.</t>
        </is>
      </c>
    </row>
    <row r="26" ht="64" customHeight="1">
      <c r="A26" s="8" t="inlineStr">
        <is>
          <t>checklist-legal-licencias-y-cacao.xlsx (libro 8 de esta guía)</t>
        </is>
      </c>
      <c r="B26" s="9" t="inlineStr">
        <is>
          <t>El expediente legal, el árbol del EUDR completo y el cronograma de apertura con su ruta crítica.</t>
        </is>
      </c>
      <c r="C26" s="9" t="inlineStr">
        <is>
          <t>Aquí sólo se resuelve el papel EUDR de cada PROVEEDOR y el registro de tus CLIENTES. Tu propio papel en la cadena lo decide el libro 8.</t>
        </is>
      </c>
    </row>
    <row r="27" ht="64" customHeight="1">
      <c r="A27" s="8" t="inlineStr">
        <is>
          <t>sensibilidad-al-precio-del-cacao.xlsx (libro 3 de esta guía)</t>
        </is>
      </c>
      <c r="B27" s="9" t="inlineStr">
        <is>
          <t>El precio de la cobertura y qué pasa cuando el cacao sube.</t>
        </is>
      </c>
      <c r="C27" s="9" t="inlineStr">
        <is>
          <t>Este libro compra MÁQUINAS, no materia prima. El pedido mínimo de cada proveedor sí está aquí, porque es dinero parado en el almacén.</t>
        </is>
      </c>
    </row>
    <row r="28"/>
    <row r="29">
      <c r="A29" s="4" t="inlineStr">
        <is>
          <t>Cada cuánto se usa este libro</t>
        </is>
      </c>
    </row>
    <row r="30" ht="76" customHeight="1">
      <c r="A30" s="5" t="inlineStr">
        <is>
          <t>Cadencia: la hoja «Equipamiento», UNA VEZ A LA SEMANA desde que pides el primer presupuesto hasta que se instala la última máquina. La de proveedores, cada vez que des de alta a uno nuevo, y entera una vez al año para refrescar los papeles del EUDR. La de clientes, CADA VEZ QUE SIRVAS A UNO NUEVO: es un registro, no un listado comercial, y se conserva cinco años.</t>
        </is>
      </c>
    </row>
    <row r="31"/>
    <row r="32" ht="40" customHeight="1">
      <c r="A32" s="5" t="inlineStr">
        <is>
          <t>Frontera con el Kit de Tareas Chocolatería (12 €): si ya lo tienes, sus plantillas organizan el obrador montado. Este libro es el de la COMPRA, y no repite ninguna de ellas.</t>
        </is>
      </c>
    </row>
    <row r="33"/>
    <row r="34" ht="28" customHeight="1">
      <c r="A34" s="5" t="inlineStr">
        <is>
          <t>Para editar la estructura o una celda que no esté en verde: Revisar &gt; Desproteger hoja (no tiene contraseña).</t>
        </is>
      </c>
    </row>
    <row r="35"/>
    <row r="36">
      <c r="A36" s="9" t="inlineStr">
        <is>
          <t>Diseñado por John Guerrero — chef y consultor gastronómico desde 2010, en cocina desde los 17 años.</t>
        </is>
      </c>
    </row>
    <row r="37">
      <c r="A37"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6:C6"/>
    <mergeCell ref="A10:C10"/>
    <mergeCell ref="A16:C16"/>
    <mergeCell ref="A32:C32"/>
    <mergeCell ref="A17:C17"/>
    <mergeCell ref="A9:C9"/>
    <mergeCell ref="A7:C7"/>
    <mergeCell ref="A18:C18"/>
    <mergeCell ref="A30:C30"/>
    <mergeCell ref="A34:C34"/>
    <mergeCell ref="A36:C36"/>
    <mergeCell ref="A8:C8"/>
    <mergeCell ref="A19:C19"/>
    <mergeCell ref="A37:C37"/>
    <mergeCell ref="A20:C20"/>
    <mergeCell ref="A15:C15"/>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A73"/>
  <sheetViews>
    <sheetView workbookViewId="0">
      <pane xSplit="2" ySplit="14" topLeftCell="C15" activePane="bottomRight" state="frozen"/>
      <selection pane="topRight"/>
      <selection pane="bottomLeft"/>
      <selection pane="bottomRight" activeCell="A1" sqref="A1"/>
    </sheetView>
  </sheetViews>
  <sheetFormatPr baseColWidth="8" defaultRowHeight="15"/>
  <cols>
    <col width="15" customWidth="1" min="1" max="1"/>
    <col width="5" customWidth="1" min="2" max="2"/>
    <col width="46" customWidth="1" min="3" max="3"/>
    <col width="13" customWidth="1" min="4" max="4"/>
    <col width="24" customWidth="1" min="5" max="5"/>
    <col width="12" customWidth="1" min="6" max="6"/>
    <col width="26" customWidth="1" min="7" max="7"/>
    <col width="11" customWidth="1" min="8" max="8"/>
    <col width="15" customWidth="1" min="9" max="9"/>
    <col width="13" customWidth="1" min="10" max="10"/>
    <col width="11" customWidth="1" min="11" max="11"/>
    <col width="16" customWidth="1" min="12" max="12"/>
    <col width="13" customWidth="1" min="13" max="13"/>
    <col width="13" customWidth="1" min="14" max="14"/>
    <col width="17" customWidth="1" min="15" max="15"/>
    <col width="13" customWidth="1" min="16" max="16"/>
    <col width="26" customWidth="1" min="17" max="17"/>
    <col width="12" customWidth="1" min="18" max="18"/>
    <col width="14" customWidth="1" min="19" max="19"/>
    <col width="13" customWidth="1" min="20" max="20"/>
    <col width="13" customWidth="1" min="21" max="21"/>
    <col width="13" customWidth="1" min="22" max="22"/>
    <col width="13" customWidth="1" min="23" max="23"/>
    <col width="14" customWidth="1" min="24" max="24"/>
    <col width="28" customWidth="1" min="25" max="25"/>
    <col width="22" customWidth="1" min="26" max="26"/>
    <col width="78" customWidth="1" min="27" max="27"/>
  </cols>
  <sheetData>
    <row r="1" ht="28" customHeight="1">
      <c r="A1" s="1" t="inlineStr">
        <is>
          <t>Equipamiento, Línea a Línea</t>
        </is>
      </c>
    </row>
    <row r="2">
      <c r="A2" t="inlineStr">
        <is>
          <t>AI Chef Pro · aichef.pro — Cómo Montar una Chocolatería</t>
        </is>
      </c>
    </row>
    <row r="3" ht="26" customHeight="1">
      <c r="A3" s="5" t="inlineStr">
        <is>
          <t>Diecisiete líneas. Los precios con id `CHS-*` salen de fichas de distribuidor leídas el 12-09-2026; el resto son supuestos declarados. Cada uno con SU base fiscal: mezclarlas desvía la inversión un 21 %.</t>
        </is>
      </c>
    </row>
    <row r="4"/>
    <row r="5">
      <c r="A5" s="4" t="inlineStr">
        <is>
          <t>Parámetros de esta hoja</t>
        </is>
      </c>
    </row>
    <row r="6" ht="20" customHeight="1">
      <c r="A6" s="7" t="inlineStr">
        <is>
          <t>Parámetro</t>
        </is>
      </c>
      <c r="C6" s="7" t="inlineStr">
        <is>
          <t>Valor</t>
        </is>
      </c>
      <c r="D6" s="7" t="inlineStr">
        <is>
          <t>Nota</t>
        </is>
      </c>
    </row>
    <row r="7" ht="26" customHeight="1">
      <c r="A7" s="10" t="inlineStr">
        <is>
          <t>Tipo de IVA general (%)</t>
        </is>
      </c>
      <c r="C7" s="11" t="n">
        <v>0.21</v>
      </c>
      <c r="D7" s="5" t="inlineStr">
        <is>
          <t>La maquinaria, el mobiliario y el packaging van al tipo general: no hay tipo reducido para el equipamiento de un obrador. Cámbialo aquí y se recalcula toda la columna K.</t>
        </is>
      </c>
    </row>
    <row r="8" ht="26" customHeight="1">
      <c r="A8" s="10" t="inlineStr">
        <is>
          <t>Horquilla del precio de referencia (±%)</t>
        </is>
      </c>
      <c r="C8" s="11" t="n">
        <v>0.25</v>
      </c>
      <c r="D8" s="5" t="inlineStr">
        <is>
          <t>SUPUESTO. Con cuánta amplitud quieres ver el mínimo y el máximo alrededor del precio de referencia. El 25 % es la banda entre lo que pide una ficha web y lo que se cierra con tres presupuestos. Las líneas que se publican COMO RANGO no la usan: llevan el suyo.</t>
        </is>
      </c>
    </row>
    <row r="9" ht="26" customHeight="1">
      <c r="A9" s="10" t="inlineStr">
        <is>
          <t>Umbral de desviación admitida (%)</t>
        </is>
      </c>
      <c r="C9" s="11" t="n">
        <v>0.1</v>
      </c>
      <c r="D9" s="5" t="inlineStr">
        <is>
          <t>SUPUESTO. Por encima de esta desviación contra el CAPEX del libro 2, la fila de CUADRE se pone en rojo: o has comprado de más, o el plan financiero está calculado con una inversión que ya no es la tuya.</t>
        </is>
      </c>
    </row>
    <row r="10" ht="26" customHeight="1">
      <c r="A10" s="10" t="inlineStr">
        <is>
          <t>Semanas que faltan hasta la apertura prevista</t>
        </is>
      </c>
      <c r="C10" s="12" t="n">
        <v>36</v>
      </c>
      <c r="D10" s="5" t="inlineStr">
        <is>
          <t>SUPUESTO. Cuenta desde hoy hasta la fecha que tienes en la cabeza. El cronograma completo, con la ruta crítica del papeleo y de la obra, lo calcula la hoja «Cronograma y Ruta Crítica» del libro 8.</t>
        </is>
      </c>
    </row>
    <row r="11" ht="26" customHeight="1">
      <c r="A11" s="10" t="inlineStr">
        <is>
          <t>Margen de seguridad entre la entrega y la apertura (semanas)</t>
        </is>
      </c>
      <c r="C11" s="12" t="n">
        <v>3</v>
      </c>
      <c r="D11" s="5" t="inlineStr">
        <is>
          <t>SUPUESTO. Lo que necesitas entre que llega la máquina y que abres: montaje, conexión, puesta en marcha y las pruebas de templado. Con menos de dos semanas, el primer ajuste de curva te pilla con la tienda abierta.</t>
        </is>
      </c>
    </row>
    <row r="12"/>
    <row r="13">
      <c r="A13" s="4" t="inlineStr">
        <is>
          <t>La dotación completa, línea a línea</t>
        </is>
      </c>
    </row>
    <row r="14" ht="50" customHeight="1">
      <c r="A14" s="7" t="inlineStr">
        <is>
          <t>Estado</t>
        </is>
      </c>
      <c r="B14" s="7" t="inlineStr">
        <is>
          <t>Nº</t>
        </is>
      </c>
      <c r="C14" s="7" t="inlineStr">
        <is>
          <t>Partida</t>
        </is>
      </c>
      <c r="D14" s="7" t="inlineStr">
        <is>
          <t>Marca</t>
        </is>
      </c>
      <c r="E14" s="7" t="inlineStr">
        <is>
          <t>Modelo</t>
        </is>
      </c>
      <c r="F14" s="7" t="inlineStr">
        <is>
          <t>Categoría</t>
        </is>
      </c>
      <c r="G14" s="7" t="inlineStr">
        <is>
          <t>Bloque de CAPEX</t>
        </is>
      </c>
      <c r="H14" s="7" t="inlineStr">
        <is>
          <t>Prioridad</t>
        </is>
      </c>
      <c r="I14" s="7" t="inlineStr">
        <is>
          <t>Precio de referencia (€)</t>
        </is>
      </c>
      <c r="J14" s="7" t="inlineStr">
        <is>
          <t>¿Lleva IVA?</t>
        </is>
      </c>
      <c r="K14" s="7" t="inlineStr">
        <is>
          <t>Tipo de IVA (%)</t>
        </is>
      </c>
      <c r="L14" s="7" t="inlineStr">
        <is>
          <t>Precio de referencia SIN IVA (€)</t>
        </is>
      </c>
      <c r="M14" s="7" t="inlineStr">
        <is>
          <t>Mínimo (€)</t>
        </is>
      </c>
      <c r="N14" s="7" t="inlineStr">
        <is>
          <t>Máximo (€)</t>
        </is>
      </c>
      <c r="O14" s="7" t="inlineStr">
        <is>
          <t>Precio real negociado (€, sin IVA)</t>
        </is>
      </c>
      <c r="P14" s="7" t="inlineStr">
        <is>
          <t>Desviación sobre la referencia (%)</t>
        </is>
      </c>
      <c r="Q14" s="7" t="inlineStr">
        <is>
          <t>Proveedor</t>
        </is>
      </c>
      <c r="R14" s="7" t="inlineStr">
        <is>
          <t>Plazo de entrega (semanas)</t>
        </is>
      </c>
      <c r="S14" s="7" t="inlineStr">
        <is>
          <t>Margen hasta la apertura (semanas)</t>
        </is>
      </c>
      <c r="T14" s="7" t="inlineStr">
        <is>
          <t>Aux · mínimo publicado del rango</t>
        </is>
      </c>
      <c r="U14" s="7" t="inlineStr">
        <is>
          <t>Aux · máximo publicado del rango</t>
        </is>
      </c>
      <c r="V14" s="7" t="inlineStr">
        <is>
          <t>Aux · plazo de las líneas críticas</t>
        </is>
      </c>
      <c r="W14" s="7" t="inlineStr">
        <is>
          <t>Aux · ¿el plazo se pasa? (1 = sí)</t>
        </is>
      </c>
      <c r="X14" s="7" t="inlineStr">
        <is>
          <t>Aux · real del bloque de templado</t>
        </is>
      </c>
      <c r="Y14" s="7" t="inlineStr">
        <is>
          <t>Cómo se publica el precio</t>
        </is>
      </c>
      <c r="Z14" s="7" t="inlineStr">
        <is>
          <t>Fuente del precio</t>
        </is>
      </c>
      <c r="AA14" s="7" t="inlineStr">
        <is>
          <t>Nota</t>
        </is>
      </c>
    </row>
    <row r="15" ht="40" customHeight="1">
      <c r="A15" s="13" t="inlineStr">
        <is>
          <t>Pendiente</t>
        </is>
      </c>
      <c r="B15" s="14" t="n">
        <v>1</v>
      </c>
      <c r="C15" s="9" t="inlineStr">
        <is>
          <t>Atemperadora continua de sobremesa, 12 kg (55 kg/h)</t>
        </is>
      </c>
      <c r="D15" t="inlineStr">
        <is>
          <t>Selmi</t>
        </is>
      </c>
      <c r="E15" t="inlineStr">
        <is>
          <t>One</t>
        </is>
      </c>
      <c r="F15" t="inlineStr">
        <is>
          <t>Templado</t>
        </is>
      </c>
      <c r="G15" t="inlineStr">
        <is>
          <t>Equipo de templado y moldeado</t>
        </is>
      </c>
      <c r="H15" s="15" t="inlineStr">
        <is>
          <t>Crítico</t>
        </is>
      </c>
      <c r="I15" s="16" t="n">
        <v>8500</v>
      </c>
      <c r="J15" s="15" t="inlineStr">
        <is>
          <t>no declarada</t>
        </is>
      </c>
      <c r="K15" s="17">
        <f>$C$7</f>
        <v>0.21</v>
      </c>
      <c r="L15" s="16">
        <f>IFERROR(IF($I15="","",IF($J15=$E$62,$I15/(1+$K15),$I15)),"")</f>
        <v>8500.0</v>
      </c>
      <c r="M15" s="16">
        <f>IF($L15="","",IF($T15&gt;0,$T15,$L15*(1-$C$8)))</f>
        <v>6375.0</v>
      </c>
      <c r="N15" s="16">
        <f>IF($L15="","",IF($U15&gt;0,$U15,$L15*(1+$C$8)))</f>
        <v>10625.0</v>
      </c>
      <c r="O15" s="18" t="n">
        <v>8500</v>
      </c>
      <c r="P15" s="17">
        <f>IFERROR(IF(OR($O15="",$L15=""),"",$O15/$L15-1),"")</f>
        <v>0.0</v>
      </c>
      <c r="Q15" s="6" t="inlineStr">
        <is>
          <t>Selmi</t>
        </is>
      </c>
      <c r="R15" s="19" t="n">
        <v>10</v>
      </c>
      <c r="S15" s="20">
        <f>IFERROR(IF(OR($R15="",$C$10="",$C$11=""),"",$C$10-$R15-$C$11),"")</f>
        <v>23.0</v>
      </c>
      <c r="T15" s="16" t="n">
        <v>0</v>
      </c>
      <c r="U15" s="16" t="n">
        <v>0</v>
      </c>
      <c r="V15" s="20">
        <f>IF($H15=$C$61,$R15,"")</f>
        <v>10.0</v>
      </c>
      <c r="W15" s="20">
        <f>IF($S15="","",IF($S15&lt;0,1,0))</f>
        <v>0.0</v>
      </c>
      <c r="X15" s="16">
        <f>IF(AND($G15=$G$15,$H15=$C$61),$O15,"")</f>
        <v>8500.0</v>
      </c>
      <c r="Y15" s="9" t="inlineStr">
        <is>
          <t>Precio cerrado</t>
        </is>
      </c>
      <c r="Z15" t="inlineStr">
        <is>
          <t>CHS-41a</t>
        </is>
      </c>
      <c r="AA15" s="9" t="inlineStr">
        <is>
          <t>El corazon del obrador y la decision 2 del bonus 2. Base de IVA NO declarada: la ficha trae el indicio «/Neto» en la linea de embalaje, que no es confirmable. La escalera completa va de esta a la Cento EX de 100 kg (`CHS-41g`), y la eleccion la decide los kg/semana que salga en la hoja de capacidad del libro 1.</t>
        </is>
      </c>
    </row>
    <row r="16" ht="40" customHeight="1">
      <c r="A16" s="13" t="inlineStr">
        <is>
          <t>Pendiente</t>
        </is>
      </c>
      <c r="B16" s="14" t="n">
        <v>2</v>
      </c>
      <c r="C16" s="9" t="inlineStr">
        <is>
          <t>Embalaje, transporte y puesta en marcha de la atemperadora</t>
        </is>
      </c>
      <c r="D16" t="inlineStr">
        <is>
          <t>Selmi</t>
        </is>
      </c>
      <c r="E16" t="inlineStr">
        <is>
          <t>servicio</t>
        </is>
      </c>
      <c r="F16" t="inlineStr">
        <is>
          <t>Templado</t>
        </is>
      </c>
      <c r="G16" t="inlineStr">
        <is>
          <t>Equipo de templado y moldeado</t>
        </is>
      </c>
      <c r="H16" s="15" t="inlineStr">
        <is>
          <t>Crítico</t>
        </is>
      </c>
      <c r="I16" s="16" t="n">
        <v>1045</v>
      </c>
      <c r="J16" s="15" t="inlineStr">
        <is>
          <t>no declarada</t>
        </is>
      </c>
      <c r="K16" s="17">
        <f>$C$7</f>
        <v>0.21</v>
      </c>
      <c r="L16" s="16">
        <f>IFERROR(IF($I16="","",IF($J16=$E$62,$I16/(1+$K16),$I16)),"")</f>
        <v>1045.0</v>
      </c>
      <c r="M16" s="16">
        <f>IF($L16="","",IF($T16&gt;0,$T16,$L16*(1-$C$8)))</f>
        <v>783.75</v>
      </c>
      <c r="N16" s="16">
        <f>IF($L16="","",IF($U16&gt;0,$U16,$L16*(1+$C$8)))</f>
        <v>1306.25</v>
      </c>
      <c r="O16" s="18" t="n">
        <v>1045</v>
      </c>
      <c r="P16" s="17">
        <f>IFERROR(IF(OR($O16="",$L16=""),"",$O16/$L16-1),"")</f>
        <v>0.0</v>
      </c>
      <c r="Q16" s="6" t="inlineStr">
        <is>
          <t>Selmi</t>
        </is>
      </c>
      <c r="R16" s="19" t="n">
        <v>10</v>
      </c>
      <c r="S16" s="20">
        <f>IFERROR(IF(OR($R16="",$C$10="",$C$11=""),"",$C$10-$R16-$C$11),"")</f>
        <v>23.0</v>
      </c>
      <c r="T16" s="16" t="n">
        <v>0</v>
      </c>
      <c r="U16" s="16" t="n">
        <v>0</v>
      </c>
      <c r="V16" s="20">
        <f>IF($H16=$C$61,$R16,"")</f>
        <v>10.0</v>
      </c>
      <c r="W16" s="20">
        <f>IF($S16="","",IF($S16&lt;0,1,0))</f>
        <v>0.0</v>
      </c>
      <c r="X16" s="16">
        <f>IF(AND($G16=$G$15,$H16=$C$61),$O16,"")</f>
        <v>1045.0</v>
      </c>
      <c r="Y16" s="9" t="inlineStr">
        <is>
          <t>Precio cerrado</t>
        </is>
      </c>
      <c r="Z16" t="inlineStr">
        <is>
          <t>CHS-41a</t>
        </is>
      </c>
      <c r="AA16" s="9" t="inlineStr">
        <is>
          <t>La linea que nadie presupuesta: es el 12 % del precio de la maquina. La ficha la marca «Neto», que es un INDICIO de base sin IVA, no una declaracion: por eso va como «no declarada».</t>
        </is>
      </c>
    </row>
    <row r="17" ht="40" customHeight="1">
      <c r="A17" s="13" t="inlineStr">
        <is>
          <t>Pendiente</t>
        </is>
      </c>
      <c r="B17" s="14" t="n">
        <v>3</v>
      </c>
      <c r="C17" s="9" t="inlineStr">
        <is>
          <t>Enrobadora de banda, 200 mm</t>
        </is>
      </c>
      <c r="D17" t="inlineStr">
        <is>
          <t>Selmi</t>
        </is>
      </c>
      <c r="E17" t="inlineStr">
        <is>
          <t>R200 Legend</t>
        </is>
      </c>
      <c r="F17" t="inlineStr">
        <is>
          <t>Moldeado</t>
        </is>
      </c>
      <c r="G17" t="inlineStr">
        <is>
          <t>Equipo de templado y moldeado</t>
        </is>
      </c>
      <c r="H17" s="15" t="inlineStr">
        <is>
          <t>Crítico</t>
        </is>
      </c>
      <c r="I17" s="16" t="n">
        <v>6800</v>
      </c>
      <c r="J17" s="15" t="inlineStr">
        <is>
          <t>no declarada</t>
        </is>
      </c>
      <c r="K17" s="17">
        <f>$C$7</f>
        <v>0.21</v>
      </c>
      <c r="L17" s="16">
        <f>IFERROR(IF($I17="","",IF($J17=$E$62,$I17/(1+$K17),$I17)),"")</f>
        <v>6800.0</v>
      </c>
      <c r="M17" s="16">
        <f>IF($L17="","",IF($T17&gt;0,$T17,$L17*(1-$C$8)))</f>
        <v>5100.0</v>
      </c>
      <c r="N17" s="16">
        <f>IF($L17="","",IF($U17&gt;0,$U17,$L17*(1+$C$8)))</f>
        <v>8500.0</v>
      </c>
      <c r="O17" s="18" t="n">
        <v>6800</v>
      </c>
      <c r="P17" s="17">
        <f>IFERROR(IF(OR($O17="",$L17=""),"",$O17/$L17-1),"")</f>
        <v>0.0</v>
      </c>
      <c r="Q17" s="6" t="inlineStr">
        <is>
          <t>Selmi</t>
        </is>
      </c>
      <c r="R17" s="19" t="n">
        <v>10</v>
      </c>
      <c r="S17" s="20">
        <f>IFERROR(IF(OR($R17="",$C$10="",$C$11=""),"",$C$10-$R17-$C$11),"")</f>
        <v>23.0</v>
      </c>
      <c r="T17" s="16" t="n">
        <v>0</v>
      </c>
      <c r="U17" s="16" t="n">
        <v>0</v>
      </c>
      <c r="V17" s="20">
        <f>IF($H17=$C$61,$R17,"")</f>
        <v>10.0</v>
      </c>
      <c r="W17" s="20">
        <f>IF($S17="","",IF($S17&lt;0,1,0))</f>
        <v>0.0</v>
      </c>
      <c r="X17" s="16">
        <f>IF(AND($G17=$G$15,$H17=$C$61),$O17,"")</f>
        <v>6800.0</v>
      </c>
      <c r="Y17" s="9" t="inlineStr">
        <is>
          <t>Precio cerrado</t>
        </is>
      </c>
      <c r="Z17" t="inlineStr">
        <is>
          <t>CHS-42a</t>
        </is>
      </c>
      <c r="AA17" s="9" t="inlineStr">
        <is>
          <t>Base de IVA NO declarada por la ficha del distribuidor.</t>
        </is>
      </c>
    </row>
    <row r="18" ht="40" customHeight="1">
      <c r="A18" s="13" t="inlineStr">
        <is>
          <t>Pendiente</t>
        </is>
      </c>
      <c r="B18" s="14" t="n">
        <v>4</v>
      </c>
      <c r="C18" s="9" t="inlineStr">
        <is>
          <t>Placa dosificadora de rellenos</t>
        </is>
      </c>
      <c r="D18" t="inlineStr">
        <is>
          <t>Selmi</t>
        </is>
      </c>
      <c r="E18" t="inlineStr">
        <is>
          <t>placa dosificadora</t>
        </is>
      </c>
      <c r="F18" t="inlineStr">
        <is>
          <t>Moldeado</t>
        </is>
      </c>
      <c r="G18" t="inlineStr">
        <is>
          <t>Equipo de templado y moldeado</t>
        </is>
      </c>
      <c r="H18" s="15" t="inlineStr">
        <is>
          <t>Crítico</t>
        </is>
      </c>
      <c r="I18" s="16" t="n">
        <v>1495</v>
      </c>
      <c r="J18" s="15" t="inlineStr">
        <is>
          <t>no declarada</t>
        </is>
      </c>
      <c r="K18" s="17">
        <f>$C$7</f>
        <v>0.21</v>
      </c>
      <c r="L18" s="16">
        <f>IFERROR(IF($I18="","",IF($J18=$E$62,$I18/(1+$K18),$I18)),"")</f>
        <v>1495.0</v>
      </c>
      <c r="M18" s="16">
        <f>IF($L18="","",IF($T18&gt;0,$T18,$L18*(1-$C$8)))</f>
        <v>1121.25</v>
      </c>
      <c r="N18" s="16">
        <f>IF($L18="","",IF($U18&gt;0,$U18,$L18*(1+$C$8)))</f>
        <v>1868.75</v>
      </c>
      <c r="O18" s="18" t="n">
        <v>1495</v>
      </c>
      <c r="P18" s="17">
        <f>IFERROR(IF(OR($O18="",$L18=""),"",$O18/$L18-1),"")</f>
        <v>0.0</v>
      </c>
      <c r="Q18" s="6" t="inlineStr">
        <is>
          <t>Selmi</t>
        </is>
      </c>
      <c r="R18" s="19" t="n">
        <v>8</v>
      </c>
      <c r="S18" s="20">
        <f>IFERROR(IF(OR($R18="",$C$10="",$C$11=""),"",$C$10-$R18-$C$11),"")</f>
        <v>25.0</v>
      </c>
      <c r="T18" s="16" t="n">
        <v>0</v>
      </c>
      <c r="U18" s="16" t="n">
        <v>0</v>
      </c>
      <c r="V18" s="20">
        <f>IF($H18=$C$61,$R18,"")</f>
        <v>8.0</v>
      </c>
      <c r="W18" s="20">
        <f>IF($S18="","",IF($S18&lt;0,1,0))</f>
        <v>0.0</v>
      </c>
      <c r="X18" s="16">
        <f>IF(AND($G18=$G$15,$H18=$C$61),$O18,"")</f>
        <v>1495.0</v>
      </c>
      <c r="Y18" s="9" t="inlineStr">
        <is>
          <t>Precio cerrado</t>
        </is>
      </c>
      <c r="Z18" t="inlineStr">
        <is>
          <t>CHS-42i</t>
        </is>
      </c>
      <c r="AA18" s="9" t="inlineStr">
        <is>
          <t>Base de IVA NO declarada por la ficha del distribuidor.</t>
        </is>
      </c>
    </row>
    <row r="19" ht="40" customHeight="1">
      <c r="A19" s="13" t="inlineStr">
        <is>
          <t>Pendiente</t>
        </is>
      </c>
      <c r="B19" s="14" t="n">
        <v>5</v>
      </c>
      <c r="C19" s="9" t="inlineStr">
        <is>
          <t>Temperador de bano maria digital, 22 L</t>
        </is>
      </c>
      <c r="D19" t="inlineStr">
        <is>
          <t>Utilcentre</t>
        </is>
      </c>
      <c r="E19" t="inlineStr">
        <is>
          <t>bano maria digital 22 L</t>
        </is>
      </c>
      <c r="F19" t="inlineStr">
        <is>
          <t>Templado</t>
        </is>
      </c>
      <c r="G19" t="inlineStr">
        <is>
          <t>Equipo de templado y moldeado</t>
        </is>
      </c>
      <c r="H19" s="15" t="inlineStr">
        <is>
          <t>Crítico</t>
        </is>
      </c>
      <c r="I19" s="16" t="n">
        <v>2650</v>
      </c>
      <c r="J19" s="15" t="inlineStr">
        <is>
          <t>no declarada</t>
        </is>
      </c>
      <c r="K19" s="17">
        <f>$C$7</f>
        <v>0.21</v>
      </c>
      <c r="L19" s="16">
        <f>IFERROR(IF($I19="","",IF($J19=$E$62,$I19/(1+$K19),$I19)),"")</f>
        <v>2650.0</v>
      </c>
      <c r="M19" s="16">
        <f>IF($L19="","",IF($T19&gt;0,$T19,$L19*(1-$C$8)))</f>
        <v>1987.5</v>
      </c>
      <c r="N19" s="16">
        <f>IF($L19="","",IF($U19&gt;0,$U19,$L19*(1+$C$8)))</f>
        <v>3312.5</v>
      </c>
      <c r="O19" s="18" t="n">
        <v>2650</v>
      </c>
      <c r="P19" s="17">
        <f>IFERROR(IF(OR($O19="",$L19=""),"",$O19/$L19-1),"")</f>
        <v>0.0</v>
      </c>
      <c r="Q19" s="6" t="inlineStr">
        <is>
          <t>Utilcentre</t>
        </is>
      </c>
      <c r="R19" s="19" t="n">
        <v>6</v>
      </c>
      <c r="S19" s="20">
        <f>IFERROR(IF(OR($R19="",$C$10="",$C$11=""),"",$C$10-$R19-$C$11),"")</f>
        <v>27.0</v>
      </c>
      <c r="T19" s="16" t="n">
        <v>0</v>
      </c>
      <c r="U19" s="16" t="n">
        <v>0</v>
      </c>
      <c r="V19" s="20">
        <f>IF($H19=$C$61,$R19,"")</f>
        <v>6.0</v>
      </c>
      <c r="W19" s="20">
        <f>IF($S19="","",IF($S19&lt;0,1,0))</f>
        <v>0.0</v>
      </c>
      <c r="X19" s="16">
        <f>IF(AND($G19=$G$15,$H19=$C$61),$O19,"")</f>
        <v>2650.0</v>
      </c>
      <c r="Y19" s="9" t="inlineStr">
        <is>
          <t>Precio cerrado</t>
        </is>
      </c>
      <c r="Z19" t="inlineStr">
        <is>
          <t>CHS-41j</t>
        </is>
      </c>
      <c r="AA19" s="9" t="inlineStr">
        <is>
          <t>Segunda linea de templado: sin ella no se trabajan dos coberturas a la vez.</t>
        </is>
      </c>
    </row>
    <row r="20" ht="40" customHeight="1">
      <c r="A20" s="13" t="inlineStr">
        <is>
          <t>Pendiente</t>
        </is>
      </c>
      <c r="B20" s="14" t="n">
        <v>6</v>
      </c>
      <c r="C20" s="9" t="inlineStr">
        <is>
          <t>Mantenedor de 1 cubeta, digital</t>
        </is>
      </c>
      <c r="D20" t="inlineStr">
        <is>
          <t>Utilcentre</t>
        </is>
      </c>
      <c r="E20" t="inlineStr">
        <is>
          <t>mantenedor 1 cubeta digital</t>
        </is>
      </c>
      <c r="F20" t="inlineStr">
        <is>
          <t>Templado</t>
        </is>
      </c>
      <c r="G20" t="inlineStr">
        <is>
          <t>Equipo de templado y moldeado</t>
        </is>
      </c>
      <c r="H20" s="15" t="inlineStr">
        <is>
          <t>Crítico</t>
        </is>
      </c>
      <c r="I20" s="16" t="n">
        <v>570</v>
      </c>
      <c r="J20" s="15" t="inlineStr">
        <is>
          <t>no declarada</t>
        </is>
      </c>
      <c r="K20" s="17">
        <f>$C$7</f>
        <v>0.21</v>
      </c>
      <c r="L20" s="16">
        <f>IFERROR(IF($I20="","",IF($J20=$E$62,$I20/(1+$K20),$I20)),"")</f>
        <v>570.0</v>
      </c>
      <c r="M20" s="16">
        <f>IF($L20="","",IF($T20&gt;0,$T20,$L20*(1-$C$8)))</f>
        <v>427.5</v>
      </c>
      <c r="N20" s="16">
        <f>IF($L20="","",IF($U20&gt;0,$U20,$L20*(1+$C$8)))</f>
        <v>712.5</v>
      </c>
      <c r="O20" s="18" t="n">
        <v>570</v>
      </c>
      <c r="P20" s="17">
        <f>IFERROR(IF(OR($O20="",$L20=""),"",$O20/$L20-1),"")</f>
        <v>0.0</v>
      </c>
      <c r="Q20" s="6" t="inlineStr">
        <is>
          <t>Utilcentre</t>
        </is>
      </c>
      <c r="R20" s="19" t="n">
        <v>5</v>
      </c>
      <c r="S20" s="20">
        <f>IFERROR(IF(OR($R20="",$C$10="",$C$11=""),"",$C$10-$R20-$C$11),"")</f>
        <v>28.0</v>
      </c>
      <c r="T20" s="16" t="n">
        <v>0</v>
      </c>
      <c r="U20" s="16" t="n">
        <v>0</v>
      </c>
      <c r="V20" s="20">
        <f>IF($H20=$C$61,$R20,"")</f>
        <v>5.0</v>
      </c>
      <c r="W20" s="20">
        <f>IF($S20="","",IF($S20&lt;0,1,0))</f>
        <v>0.0</v>
      </c>
      <c r="X20" s="16">
        <f>IF(AND($G20=$G$15,$H20=$C$61),$O20,"")</f>
        <v>570.0</v>
      </c>
      <c r="Y20" s="9" t="inlineStr">
        <is>
          <t>DESDE: suelo comercial, presupuestar</t>
        </is>
      </c>
      <c r="Z20" t="inlineStr">
        <is>
          <t>CHS-41i</t>
        </is>
      </c>
      <c r="AA20" s="9" t="inlineStr">
        <is>
          <t>ES UN «DESDE», NO UN PRECIO (D23b): la ficha publica «desde 570,00 euros» y eso es un SUELO comercial, no el precio de la unidad que vas a comprar. Se presupuesta. Publicarlo como precio cerrado esta prohibido, y el techo del escenario B solo puede subir por su culpa.</t>
        </is>
      </c>
    </row>
    <row r="21" ht="40" customHeight="1">
      <c r="A21" s="13" t="inlineStr">
        <is>
          <t>Pendiente</t>
        </is>
      </c>
      <c r="B21" s="14" t="n">
        <v>7</v>
      </c>
      <c r="C21" s="9" t="inlineStr">
        <is>
          <t>Atemperadora de arranque, 4,5 L (unos 3 kg)</t>
        </is>
      </c>
      <c r="D21" t="inlineStr">
        <is>
          <t>Pavoni</t>
        </is>
      </c>
      <c r="E21" t="inlineStr">
        <is>
          <t>MINITEMPER</t>
        </is>
      </c>
      <c r="F21" t="inlineStr">
        <is>
          <t>Templado</t>
        </is>
      </c>
      <c r="G21" t="inlineStr">
        <is>
          <t>Equipo de templado y moldeado</t>
        </is>
      </c>
      <c r="H21" s="15" t="inlineStr">
        <is>
          <t>Opcional</t>
        </is>
      </c>
      <c r="I21" s="16" t="n">
        <v>1960</v>
      </c>
      <c r="J21" s="15" t="inlineStr">
        <is>
          <t>no declarada</t>
        </is>
      </c>
      <c r="K21" s="17">
        <f>$C$7</f>
        <v>0.21</v>
      </c>
      <c r="L21" s="16">
        <f>IFERROR(IF($I21="","",IF($J21=$E$62,$I21/(1+$K21),$I21)),"")</f>
        <v>1960.0</v>
      </c>
      <c r="M21" s="16">
        <f>IF($L21="","",IF($T21&gt;0,$T21,$L21*(1-$C$8)))</f>
        <v>1470.0</v>
      </c>
      <c r="N21" s="16">
        <f>IF($L21="","",IF($U21&gt;0,$U21,$L21*(1+$C$8)))</f>
        <v>2450.0</v>
      </c>
      <c r="O21" s="18" t="n">
        <v>1960</v>
      </c>
      <c r="P21" s="17">
        <f>IFERROR(IF(OR($O21="",$L21=""),"",$O21/$L21-1),"")</f>
        <v>0.0</v>
      </c>
      <c r="Q21" s="6" t="inlineStr">
        <is>
          <t>Pavoni</t>
        </is>
      </c>
      <c r="R21" s="19" t="n">
        <v>4</v>
      </c>
      <c r="S21" s="20">
        <f>IFERROR(IF(OR($R21="",$C$10="",$C$11=""),"",$C$10-$R21-$C$11),"")</f>
        <v>29.0</v>
      </c>
      <c r="T21" s="16" t="n">
        <v>0</v>
      </c>
      <c r="U21" s="16" t="n">
        <v>0</v>
      </c>
      <c r="V21" s="20">
        <f>IF($H21=$C$61,$R21,"")</f>
        <v/>
      </c>
      <c r="W21" s="20">
        <f>IF($S21="","",IF($S21&lt;0,1,0))</f>
        <v>0.0</v>
      </c>
      <c r="X21" s="16">
        <f>IF(AND($G21=$G$15,$H21=$C$61),$O21,"")</f>
        <v/>
      </c>
      <c r="Y21" s="9" t="inlineStr">
        <is>
          <t>Precio cerrado</t>
        </is>
      </c>
      <c r="Z21" t="inlineStr">
        <is>
          <t>CHS-41h</t>
        </is>
      </c>
      <c r="AA21" s="9" t="inlineStr">
        <is>
          <t>NO esta en la dotacion de La Almendra: es la maquina del ESCENARIO B, el arranque minimo, y aparece para que el lector vea la escalera. Cubeta adicional, 165,30 euros (`CHS-41h`).</t>
        </is>
      </c>
    </row>
    <row r="22" ht="40" customHeight="1">
      <c r="A22" s="13" t="inlineStr">
        <is>
          <t>Pendiente</t>
        </is>
      </c>
      <c r="B22" s="14" t="n">
        <v>8</v>
      </c>
      <c r="C22" s="9" t="inlineStr">
        <is>
          <t>Cubeta adicional para la atemperadora de arranque</t>
        </is>
      </c>
      <c r="D22" t="inlineStr">
        <is>
          <t>Pavoni</t>
        </is>
      </c>
      <c r="E22" t="inlineStr">
        <is>
          <t>cubeta MINITEMPER</t>
        </is>
      </c>
      <c r="F22" t="inlineStr">
        <is>
          <t>Templado</t>
        </is>
      </c>
      <c r="G22" t="inlineStr">
        <is>
          <t>Equipo de templado y moldeado</t>
        </is>
      </c>
      <c r="H22" s="15" t="inlineStr">
        <is>
          <t>Opcional</t>
        </is>
      </c>
      <c r="I22" s="16" t="n">
        <v>165.3</v>
      </c>
      <c r="J22" s="15" t="inlineStr">
        <is>
          <t>no declarada</t>
        </is>
      </c>
      <c r="K22" s="17">
        <f>$C$7</f>
        <v>0.21</v>
      </c>
      <c r="L22" s="16">
        <f>IFERROR(IF($I22="","",IF($J22=$E$62,$I22/(1+$K22),$I22)),"")</f>
        <v>165.3</v>
      </c>
      <c r="M22" s="16">
        <f>IF($L22="","",IF($T22&gt;0,$T22,$L22*(1-$C$8)))</f>
        <v>123.97500000000001</v>
      </c>
      <c r="N22" s="16">
        <f>IF($L22="","",IF($U22&gt;0,$U22,$L22*(1+$C$8)))</f>
        <v>206.625</v>
      </c>
      <c r="O22" s="18" t="n">
        <v>165.3</v>
      </c>
      <c r="P22" s="17">
        <f>IFERROR(IF(OR($O22="",$L22=""),"",$O22/$L22-1),"")</f>
        <v>0.0</v>
      </c>
      <c r="Q22" s="6" t="inlineStr">
        <is>
          <t>Pavoni</t>
        </is>
      </c>
      <c r="R22" s="19" t="n">
        <v>4</v>
      </c>
      <c r="S22" s="20">
        <f>IFERROR(IF(OR($R22="",$C$10="",$C$11=""),"",$C$10-$R22-$C$11),"")</f>
        <v>29.0</v>
      </c>
      <c r="T22" s="16" t="n">
        <v>0</v>
      </c>
      <c r="U22" s="16" t="n">
        <v>0</v>
      </c>
      <c r="V22" s="20">
        <f>IF($H22=$C$61,$R22,"")</f>
        <v/>
      </c>
      <c r="W22" s="20">
        <f>IF($S22="","",IF($S22&lt;0,1,0))</f>
        <v>0.0</v>
      </c>
      <c r="X22" s="16">
        <f>IF(AND($G22=$G$15,$H22=$C$61),$O22,"")</f>
        <v/>
      </c>
      <c r="Y22" s="9" t="inlineStr">
        <is>
          <t>Precio cerrado</t>
        </is>
      </c>
      <c r="Z22" t="inlineStr">
        <is>
          <t>CHS-41h</t>
        </is>
      </c>
      <c r="AA22" s="9" t="inlineStr">
        <is>
          <t>Accesorio del escenario B.</t>
        </is>
      </c>
    </row>
    <row r="23" ht="40" customHeight="1">
      <c r="A23" s="13" t="inlineStr">
        <is>
          <t>Pendiente</t>
        </is>
      </c>
      <c r="B23" s="14" t="n">
        <v>9</v>
      </c>
      <c r="C23" s="9" t="inlineStr">
        <is>
          <t>Vitrina refrigerada especifica para chocolate</t>
        </is>
      </c>
      <c r="D23" t="inlineStr">
        <is>
          <t>Docriluc</t>
        </is>
      </c>
      <c r="E23" t="inlineStr">
        <is>
          <t>WB-6-6-R</t>
        </is>
      </c>
      <c r="F23" t="inlineStr">
        <is>
          <t>Frio</t>
        </is>
      </c>
      <c r="G23" t="inlineStr">
        <is>
          <t>Frio</t>
        </is>
      </c>
      <c r="H23" s="15" t="inlineStr">
        <is>
          <t>Crítico</t>
        </is>
      </c>
      <c r="I23" s="16" t="n">
        <v>2684.99</v>
      </c>
      <c r="J23" s="15" t="inlineStr">
        <is>
          <t>sin IVA</t>
        </is>
      </c>
      <c r="K23" s="17">
        <f>$C$7</f>
        <v>0.21</v>
      </c>
      <c r="L23" s="16">
        <f>IFERROR(IF($I23="","",IF($J23=$E$62,$I23/(1+$K23),$I23)),"")</f>
        <v>2684.99</v>
      </c>
      <c r="M23" s="16">
        <f>IF($L23="","",IF($T23&gt;0,$T23,$L23*(1-$C$8)))</f>
        <v>2013.7424999999998</v>
      </c>
      <c r="N23" s="16">
        <f>IF($L23="","",IF($U23&gt;0,$U23,$L23*(1+$C$8)))</f>
        <v>3356.2374999999997</v>
      </c>
      <c r="O23" s="18" t="n">
        <v>2684.99</v>
      </c>
      <c r="P23" s="17">
        <f>IFERROR(IF(OR($O23="",$L23=""),"",$O23/$L23-1),"")</f>
        <v>0.0</v>
      </c>
      <c r="Q23" s="6" t="inlineStr">
        <is>
          <t>Docriluc</t>
        </is>
      </c>
      <c r="R23" s="19" t="n">
        <v>7</v>
      </c>
      <c r="S23" s="20">
        <f>IFERROR(IF(OR($R23="",$C$10="",$C$11=""),"",$C$10-$R23-$C$11),"")</f>
        <v>26.0</v>
      </c>
      <c r="T23" s="16" t="n">
        <v>0</v>
      </c>
      <c r="U23" s="16" t="n">
        <v>0</v>
      </c>
      <c r="V23" s="20">
        <f>IF($H23=$C$61,$R23,"")</f>
        <v>7.0</v>
      </c>
      <c r="W23" s="20">
        <f>IF($S23="","",IF($S23&lt;0,1,0))</f>
        <v>0.0</v>
      </c>
      <c r="X23" s="16">
        <f>IF(AND($G23=$G$15,$H23=$C$61),$O23,"")</f>
        <v/>
      </c>
      <c r="Y23" s="9" t="inlineStr">
        <is>
          <t>Precio cerrado</t>
        </is>
      </c>
      <c r="Z23" t="inlineStr">
        <is>
          <t>CHS-43</t>
        </is>
      </c>
      <c r="AA23" s="9" t="inlineStr">
        <is>
          <t>600x730x1380 mm. RANGO DE TRABAJO DEL EQUIPO: +14 a +17 grados C, con base SIN IVA declarada literalmente por la ficha. NO son los +2/+4 grados C de una vitrina de pasteleria, que arruina el bombon por condensacion, sugar bloom y perdida de brillo. El OBJETIVO OPERATIVO es otra cosa y lo pone el kit: 16-18 grados C y menos del 55 % de humedad. El semaforo del libro 5 solo avisa por encima de 20 grados C, y queda PROHIBIDO uno que ponga en rojo los 16-18 del propio kit. Precio de oferta (antes 3.487,00 euros): esta FECHADO el 12-09-2026 y puede caducar.</t>
        </is>
      </c>
    </row>
    <row r="24" ht="40" customHeight="1">
      <c r="A24" s="13" t="inlineStr">
        <is>
          <t>Pendiente</t>
        </is>
      </c>
      <c r="B24" s="14" t="n">
        <v>10</v>
      </c>
      <c r="C24" s="9" t="inlineStr">
        <is>
          <t>Camara climatizada de chocolate, unos 6 m2</t>
        </is>
      </c>
      <c r="D24" t="inlineStr"/>
      <c r="E24" t="inlineStr"/>
      <c r="F24" t="inlineStr">
        <is>
          <t>Frio</t>
        </is>
      </c>
      <c r="G24" t="inlineStr">
        <is>
          <t>Frio</t>
        </is>
      </c>
      <c r="H24" s="15" t="inlineStr">
        <is>
          <t>Crítico</t>
        </is>
      </c>
      <c r="I24" s="16" t="n">
        <v>6400</v>
      </c>
      <c r="J24" s="15" t="inlineStr">
        <is>
          <t>sin IVA</t>
        </is>
      </c>
      <c r="K24" s="17">
        <f>$C$7</f>
        <v>0.21</v>
      </c>
      <c r="L24" s="16">
        <f>IFERROR(IF($I24="","",IF($J24=$E$62,$I24/(1+$K24),$I24)),"")</f>
        <v>6400.0</v>
      </c>
      <c r="M24" s="16">
        <f>IF($L24="","",IF($T24&gt;0,$T24,$L24*(1-$C$8)))</f>
        <v>4800.0</v>
      </c>
      <c r="N24" s="16">
        <f>IF($L24="","",IF($U24&gt;0,$U24,$L24*(1+$C$8)))</f>
        <v>8000.0</v>
      </c>
      <c r="O24" s="18" t="n">
        <v>6400</v>
      </c>
      <c r="P24" s="17">
        <f>IFERROR(IF(OR($O24="",$L24=""),"",$O24/$L24-1),"")</f>
        <v>0.0</v>
      </c>
      <c r="Q24" s="6" t="inlineStr">
        <is>
          <t>Pendiente: pide tres presupuestos</t>
        </is>
      </c>
      <c r="R24" s="19" t="n">
        <v>8</v>
      </c>
      <c r="S24" s="20">
        <f>IFERROR(IF(OR($R24="",$C$10="",$C$11=""),"",$C$10-$R24-$C$11),"")</f>
        <v>25.0</v>
      </c>
      <c r="T24" s="16" t="n">
        <v>0</v>
      </c>
      <c r="U24" s="16" t="n">
        <v>0</v>
      </c>
      <c r="V24" s="20">
        <f>IF($H24=$C$61,$R24,"")</f>
        <v>8.0</v>
      </c>
      <c r="W24" s="20">
        <f>IF($S24="","",IF($S24&lt;0,1,0))</f>
        <v>0.0</v>
      </c>
      <c r="X24" s="16">
        <f>IF(AND($G24=$G$15,$H24=$C$61),$O24,"")</f>
        <v/>
      </c>
      <c r="Y24" s="9" t="inlineStr">
        <is>
          <t>SUPUESTO declarado</t>
        </is>
      </c>
      <c r="Z24" t="inlineStr">
        <is>
          <t>supuesto</t>
        </is>
      </c>
      <c r="AA24" s="9" t="inlineStr">
        <is>
          <t>SUPUESTO declarado: ninguna fuente del research publica el precio de una camara de chocolate. Celda verde con valor por defecto. No es una nevera: trabaja a 15-18 grados C y 50-60 % de humedad, y ese control de HUMEDAD es lo que la encarece frente a una camara de pasteleria.</t>
        </is>
      </c>
    </row>
    <row r="25" ht="40" customHeight="1">
      <c r="A25" s="13" t="inlineStr">
        <is>
          <t>Pendiente</t>
        </is>
      </c>
      <c r="B25" s="14" t="n">
        <v>11</v>
      </c>
      <c r="C25" s="9" t="inlineStr">
        <is>
          <t>Nevera de rellenos y ganaches</t>
        </is>
      </c>
      <c r="D25" t="inlineStr"/>
      <c r="E25" t="inlineStr"/>
      <c r="F25" t="inlineStr">
        <is>
          <t>Frio</t>
        </is>
      </c>
      <c r="G25" t="inlineStr">
        <is>
          <t>Frio</t>
        </is>
      </c>
      <c r="H25" s="15" t="inlineStr">
        <is>
          <t>Crítico</t>
        </is>
      </c>
      <c r="I25" s="16" t="n">
        <v>1450</v>
      </c>
      <c r="J25" s="15" t="inlineStr">
        <is>
          <t>sin IVA</t>
        </is>
      </c>
      <c r="K25" s="17">
        <f>$C$7</f>
        <v>0.21</v>
      </c>
      <c r="L25" s="16">
        <f>IFERROR(IF($I25="","",IF($J25=$E$62,$I25/(1+$K25),$I25)),"")</f>
        <v>1450.0</v>
      </c>
      <c r="M25" s="16">
        <f>IF($L25="","",IF($T25&gt;0,$T25,$L25*(1-$C$8)))</f>
        <v>1087.5</v>
      </c>
      <c r="N25" s="16">
        <f>IF($L25="","",IF($U25&gt;0,$U25,$L25*(1+$C$8)))</f>
        <v>1812.5</v>
      </c>
      <c r="O25" s="18" t="n">
        <v>1450</v>
      </c>
      <c r="P25" s="17">
        <f>IFERROR(IF(OR($O25="",$L25=""),"",$O25/$L25-1),"")</f>
        <v>0.0</v>
      </c>
      <c r="Q25" s="6" t="inlineStr">
        <is>
          <t>Pendiente: pide tres presupuestos</t>
        </is>
      </c>
      <c r="R25" s="19" t="n">
        <v>5</v>
      </c>
      <c r="S25" s="20">
        <f>IFERROR(IF(OR($R25="",$C$10="",$C$11=""),"",$C$10-$R25-$C$11),"")</f>
        <v>28.0</v>
      </c>
      <c r="T25" s="16" t="n">
        <v>0</v>
      </c>
      <c r="U25" s="16" t="n">
        <v>0</v>
      </c>
      <c r="V25" s="20">
        <f>IF($H25=$C$61,$R25,"")</f>
        <v>5.0</v>
      </c>
      <c r="W25" s="20">
        <f>IF($S25="","",IF($S25&lt;0,1,0))</f>
        <v>0.0</v>
      </c>
      <c r="X25" s="16">
        <f>IF(AND($G25=$G$15,$H25=$C$61),$O25,"")</f>
        <v/>
      </c>
      <c r="Y25" s="9" t="inlineStr">
        <is>
          <t>SUPUESTO declarado</t>
        </is>
      </c>
      <c r="Z25" t="inlineStr">
        <is>
          <t>supuesto</t>
        </is>
      </c>
      <c r="AA25" s="9" t="inlineStr">
        <is>
          <t>SUPUESTO. Es la del RELLENO, a 0-4 grados C, no la del bombon acabado. Confundirlas es el error de metodo que la SPEC persigue.</t>
        </is>
      </c>
    </row>
    <row r="26" ht="40" customHeight="1">
      <c r="A26" s="13" t="inlineStr">
        <is>
          <t>Pendiente</t>
        </is>
      </c>
      <c r="B26" s="14" t="n">
        <v>12</v>
      </c>
      <c r="C26" s="9" t="inlineStr">
        <is>
          <t>Moldes de policarbonato para bomboneria (24 unidades)</t>
        </is>
      </c>
      <c r="D26" t="inlineStr">
        <is>
          <t>Chocolate World</t>
        </is>
      </c>
      <c r="E26" t="inlineStr">
        <is>
          <t>varios (CF0246, CW12064, CW1000L07)</t>
        </is>
      </c>
      <c r="F26" t="inlineStr">
        <is>
          <t>Moldes</t>
        </is>
      </c>
      <c r="G26" t="inlineStr">
        <is>
          <t>Packaging y moldes</t>
        </is>
      </c>
      <c r="H26" s="15" t="inlineStr">
        <is>
          <t>Crítico</t>
        </is>
      </c>
      <c r="I26" s="16" t="n">
        <v>804.36</v>
      </c>
      <c r="J26" s="15" t="inlineStr">
        <is>
          <t>no declarada</t>
        </is>
      </c>
      <c r="K26" s="17">
        <f>$C$7</f>
        <v>0.21</v>
      </c>
      <c r="L26" s="16">
        <f>IFERROR(IF($I26="","",IF($J26=$E$62,$I26/(1+$K26),$I26)),"")</f>
        <v>804.36</v>
      </c>
      <c r="M26" s="16">
        <f>IF($L26="","",IF($T26&gt;0,$T26,$L26*(1-$C$8)))</f>
        <v>580.8</v>
      </c>
      <c r="N26" s="16">
        <f>IF($L26="","",IF($U26&gt;0,$U26,$L26*(1+$C$8)))</f>
        <v>1027.92</v>
      </c>
      <c r="O26" s="18" t="n">
        <v>804.36</v>
      </c>
      <c r="P26" s="17">
        <f>IFERROR(IF(OR($O26="",$L26=""),"",$O26/$L26-1),"")</f>
        <v>0.0</v>
      </c>
      <c r="Q26" s="6" t="inlineStr">
        <is>
          <t>Chocolate World</t>
        </is>
      </c>
      <c r="R26" s="19" t="n">
        <v>4</v>
      </c>
      <c r="S26" s="20">
        <f>IFERROR(IF(OR($R26="",$C$10="",$C$11=""),"",$C$10-$R26-$C$11),"")</f>
        <v>29.0</v>
      </c>
      <c r="T26" s="16" t="n">
        <v>580.8</v>
      </c>
      <c r="U26" s="16" t="n">
        <v>1027.92</v>
      </c>
      <c r="V26" s="20">
        <f>IF($H26=$C$61,$R26,"")</f>
        <v>4.0</v>
      </c>
      <c r="W26" s="20">
        <f>IF($S26="","",IF($S26&lt;0,1,0))</f>
        <v>0.0</v>
      </c>
      <c r="X26" s="16">
        <f>IF(AND($G26=$G$15,$H26=$C$61),$O26,"")</f>
        <v/>
      </c>
      <c r="Y26" s="9" t="inlineStr">
        <is>
          <t>RANGO publicado (no es un precio)</t>
        </is>
      </c>
      <c r="Z26" t="inlineStr">
        <is>
          <t>CHS-45a</t>
        </is>
      </c>
      <c r="AA26" s="9" t="inlineStr">
        <is>
          <t>SE PUBLICA COMO RANGO (D23a). El unico dato medido es 24,20-42,83 euros/ud (`CHS-45a`): 24 moldes valen entre 580,80 y 1.027,92 euros. El valor por defecto (804,36) es el punto medio del rango, y es SUPUESTO. Escribir una multiplicacion con un precio unitario elegido a ojo esta prohibido. Y los moldes de policarbonato NO pagan el impuesto al plastico: no estan sujetos por el art. 73.d) de la Ley 7/2022 (`CHN-62c`), porque no se entregan junto con la mercancia.</t>
        </is>
      </c>
    </row>
    <row r="27" ht="40" customHeight="1">
      <c r="A27" s="13" t="inlineStr">
        <is>
          <t>Pendiente</t>
        </is>
      </c>
      <c r="B27" s="14" t="n">
        <v>13</v>
      </c>
      <c r="C27" s="9" t="inlineStr">
        <is>
          <t>Primer pedido de packaging: cajas, estuches, cintas y etiquetas</t>
        </is>
      </c>
      <c r="D27" t="inlineStr"/>
      <c r="E27" t="inlineStr"/>
      <c r="F27" t="inlineStr">
        <is>
          <t>Packaging</t>
        </is>
      </c>
      <c r="G27" t="inlineStr">
        <is>
          <t>Packaging y moldes</t>
        </is>
      </c>
      <c r="H27" s="15" t="inlineStr">
        <is>
          <t>Crítico</t>
        </is>
      </c>
      <c r="I27" s="16" t="n">
        <v>2200</v>
      </c>
      <c r="J27" s="15" t="inlineStr">
        <is>
          <t>sin IVA</t>
        </is>
      </c>
      <c r="K27" s="17">
        <f>$C$7</f>
        <v>0.21</v>
      </c>
      <c r="L27" s="16">
        <f>IFERROR(IF($I27="","",IF($J27=$E$62,$I27/(1+$K27),$I27)),"")</f>
        <v>2200.0</v>
      </c>
      <c r="M27" s="16">
        <f>IF($L27="","",IF($T27&gt;0,$T27,$L27*(1-$C$8)))</f>
        <v>1650.0</v>
      </c>
      <c r="N27" s="16">
        <f>IF($L27="","",IF($U27&gt;0,$U27,$L27*(1+$C$8)))</f>
        <v>2750.0</v>
      </c>
      <c r="O27" s="18" t="n">
        <v>2200</v>
      </c>
      <c r="P27" s="17">
        <f>IFERROR(IF(OR($O27="",$L27=""),"",$O27/$L27-1),"")</f>
        <v>0.0</v>
      </c>
      <c r="Q27" s="6" t="inlineStr">
        <is>
          <t>Pendiente: pide tres presupuestos</t>
        </is>
      </c>
      <c r="R27" s="19" t="n">
        <v>5</v>
      </c>
      <c r="S27" s="20">
        <f>IFERROR(IF(OR($R27="",$C$10="",$C$11=""),"",$C$10-$R27-$C$11),"")</f>
        <v>28.0</v>
      </c>
      <c r="T27" s="16" t="n">
        <v>0</v>
      </c>
      <c r="U27" s="16" t="n">
        <v>0</v>
      </c>
      <c r="V27" s="20">
        <f>IF($H27=$C$61,$R27,"")</f>
        <v>5.0</v>
      </c>
      <c r="W27" s="20">
        <f>IF($S27="","",IF($S27&lt;0,1,0))</f>
        <v>0.0</v>
      </c>
      <c r="X27" s="16">
        <f>IF(AND($G27=$G$15,$H27=$C$61),$O27,"")</f>
        <v/>
      </c>
      <c r="Y27" s="9" t="inlineStr">
        <is>
          <t>SUPUESTO declarado</t>
        </is>
      </c>
      <c r="Z27" t="inlineStr">
        <is>
          <t>supuesto</t>
        </is>
      </c>
      <c r="AA27" s="9" t="inlineStr">
        <is>
          <t>SUPUESTO: la web del proveedor de packaging verificado devolvio HTTP 403 y no publica precio (`CHS-54`). En bomboneria la caja ES el producto en campana, y el personalizado obliga a pedidos grandes: es dinero parado en el almacen. Si lo compras fuera de Espana, mira el contador de plastico del libro 2 (`PLASTICO`).</t>
        </is>
      </c>
    </row>
    <row r="28" ht="40" customHeight="1">
      <c r="A28" s="13" t="inlineStr">
        <is>
          <t>Pendiente</t>
        </is>
      </c>
      <c r="B28" s="14" t="n">
        <v>14</v>
      </c>
      <c r="C28" s="9" t="inlineStr">
        <is>
          <t>Mobiliario de tienda, mostrador y estanteria</t>
        </is>
      </c>
      <c r="D28" t="inlineStr"/>
      <c r="E28" t="inlineStr"/>
      <c r="F28" t="inlineStr">
        <is>
          <t>Tienda</t>
        </is>
      </c>
      <c r="G28" t="inlineStr">
        <is>
          <t>Mobiliario y tienda</t>
        </is>
      </c>
      <c r="H28" s="15" t="inlineStr">
        <is>
          <t>Crítico</t>
        </is>
      </c>
      <c r="I28" s="16" t="n">
        <v>6900</v>
      </c>
      <c r="J28" s="15" t="inlineStr">
        <is>
          <t>sin IVA</t>
        </is>
      </c>
      <c r="K28" s="17">
        <f>$C$7</f>
        <v>0.21</v>
      </c>
      <c r="L28" s="16">
        <f>IFERROR(IF($I28="","",IF($J28=$E$62,$I28/(1+$K28),$I28)),"")</f>
        <v>6900.0</v>
      </c>
      <c r="M28" s="16">
        <f>IF($L28="","",IF($T28&gt;0,$T28,$L28*(1-$C$8)))</f>
        <v>5175.0</v>
      </c>
      <c r="N28" s="16">
        <f>IF($L28="","",IF($U28&gt;0,$U28,$L28*(1+$C$8)))</f>
        <v>8625.0</v>
      </c>
      <c r="O28" s="18" t="n">
        <v>6900</v>
      </c>
      <c r="P28" s="17">
        <f>IFERROR(IF(OR($O28="",$L28=""),"",$O28/$L28-1),"")</f>
        <v>0.0</v>
      </c>
      <c r="Q28" s="6" t="inlineStr">
        <is>
          <t>Pendiente: pide tres presupuestos</t>
        </is>
      </c>
      <c r="R28" s="19" t="n">
        <v>6</v>
      </c>
      <c r="S28" s="20">
        <f>IFERROR(IF(OR($R28="",$C$10="",$C$11=""),"",$C$10-$R28-$C$11),"")</f>
        <v>27.0</v>
      </c>
      <c r="T28" s="16" t="n">
        <v>0</v>
      </c>
      <c r="U28" s="16" t="n">
        <v>0</v>
      </c>
      <c r="V28" s="20">
        <f>IF($H28=$C$61,$R28,"")</f>
        <v>6.0</v>
      </c>
      <c r="W28" s="20">
        <f>IF($S28="","",IF($S28&lt;0,1,0))</f>
        <v>0.0</v>
      </c>
      <c r="X28" s="16">
        <f>IF(AND($G28=$G$15,$H28=$C$61),$O28,"")</f>
        <v/>
      </c>
      <c r="Y28" s="9" t="inlineStr">
        <is>
          <t>SUPUESTO declarado</t>
        </is>
      </c>
      <c r="Z28" t="inlineStr">
        <is>
          <t>supuesto</t>
        </is>
      </c>
      <c r="AA28" s="9" t="inlineStr">
        <is>
          <t>SUPUESTO declarado. Celda verde con valor por defecto.</t>
        </is>
      </c>
    </row>
    <row r="29" ht="40" customHeight="1">
      <c r="A29" s="13" t="inlineStr">
        <is>
          <t>Pendiente</t>
        </is>
      </c>
      <c r="B29" s="14" t="n">
        <v>15</v>
      </c>
      <c r="C29" s="9" t="inlineStr">
        <is>
          <t>TPV, ordenador, impresora de etiquetas y rotulo</t>
        </is>
      </c>
      <c r="D29" t="inlineStr"/>
      <c r="E29" t="inlineStr"/>
      <c r="F29" t="inlineStr">
        <is>
          <t>Tienda</t>
        </is>
      </c>
      <c r="G29" t="inlineStr">
        <is>
          <t>TPV, informatica y rotulo</t>
        </is>
      </c>
      <c r="H29" s="15" t="inlineStr">
        <is>
          <t>Crítico</t>
        </is>
      </c>
      <c r="I29" s="16" t="n">
        <v>3200</v>
      </c>
      <c r="J29" s="15" t="inlineStr">
        <is>
          <t>sin IVA</t>
        </is>
      </c>
      <c r="K29" s="17">
        <f>$C$7</f>
        <v>0.21</v>
      </c>
      <c r="L29" s="16">
        <f>IFERROR(IF($I29="","",IF($J29=$E$62,$I29/(1+$K29),$I29)),"")</f>
        <v>3200.0</v>
      </c>
      <c r="M29" s="16">
        <f>IF($L29="","",IF($T29&gt;0,$T29,$L29*(1-$C$8)))</f>
        <v>2400.0</v>
      </c>
      <c r="N29" s="16">
        <f>IF($L29="","",IF($U29&gt;0,$U29,$L29*(1+$C$8)))</f>
        <v>4000.0</v>
      </c>
      <c r="O29" s="18" t="n">
        <v>3200</v>
      </c>
      <c r="P29" s="17">
        <f>IFERROR(IF(OR($O29="",$L29=""),"",$O29/$L29-1),"")</f>
        <v>0.0</v>
      </c>
      <c r="Q29" s="6" t="inlineStr">
        <is>
          <t>Pendiente: pide tres presupuestos</t>
        </is>
      </c>
      <c r="R29" s="19" t="n">
        <v>4</v>
      </c>
      <c r="S29" s="20">
        <f>IFERROR(IF(OR($R29="",$C$10="",$C$11=""),"",$C$10-$R29-$C$11),"")</f>
        <v>29.0</v>
      </c>
      <c r="T29" s="16" t="n">
        <v>0</v>
      </c>
      <c r="U29" s="16" t="n">
        <v>0</v>
      </c>
      <c r="V29" s="20">
        <f>IF($H29=$C$61,$R29,"")</f>
        <v>4.0</v>
      </c>
      <c r="W29" s="20">
        <f>IF($S29="","",IF($S29&lt;0,1,0))</f>
        <v>0.0</v>
      </c>
      <c r="X29" s="16">
        <f>IF(AND($G29=$G$15,$H29=$C$61),$O29,"")</f>
        <v/>
      </c>
      <c r="Y29" s="9" t="inlineStr">
        <is>
          <t>SUPUESTO declarado</t>
        </is>
      </c>
      <c r="Z29" t="inlineStr">
        <is>
          <t>supuesto</t>
        </is>
      </c>
      <c r="AA29" s="9" t="inlineStr">
        <is>
          <t>SUPUESTO. La impresora de etiquetas deja de ser opcional en cuanto una sola referencia sale envasada con etiqueta (D47). Y Verifactu no es 2026, es 2027: 1-ene para sociedades y 1-jul para autonomos (`CHN-75`).</t>
        </is>
      </c>
    </row>
    <row r="30" ht="40" customHeight="1">
      <c r="A30" s="13" t="inlineStr">
        <is>
          <t>Pendiente</t>
        </is>
      </c>
      <c r="B30" s="14" t="n">
        <v>16</v>
      </c>
      <c r="C30" s="9" t="inlineStr">
        <is>
          <t>Climatizacion del obrador con deshumidificacion</t>
        </is>
      </c>
      <c r="D30" t="inlineStr"/>
      <c r="E30" t="inlineStr"/>
      <c r="F30" t="inlineStr">
        <is>
          <t>Clima</t>
        </is>
      </c>
      <c r="G30" t="inlineStr">
        <is>
          <t>Climatizacion y deshumidificacion</t>
        </is>
      </c>
      <c r="H30" s="15" t="inlineStr">
        <is>
          <t>Crítico</t>
        </is>
      </c>
      <c r="I30" s="16" t="n">
        <v>7600</v>
      </c>
      <c r="J30" s="15" t="inlineStr">
        <is>
          <t>sin IVA</t>
        </is>
      </c>
      <c r="K30" s="17">
        <f>$C$7</f>
        <v>0.21</v>
      </c>
      <c r="L30" s="16">
        <f>IFERROR(IF($I30="","",IF($J30=$E$62,$I30/(1+$K30),$I30)),"")</f>
        <v>7600.0</v>
      </c>
      <c r="M30" s="16">
        <f>IF($L30="","",IF($T30&gt;0,$T30,$L30*(1-$C$8)))</f>
        <v>5700.0</v>
      </c>
      <c r="N30" s="16">
        <f>IF($L30="","",IF($U30&gt;0,$U30,$L30*(1+$C$8)))</f>
        <v>9500.0</v>
      </c>
      <c r="O30" s="18" t="n">
        <v>7600</v>
      </c>
      <c r="P30" s="17">
        <f>IFERROR(IF(OR($O30="",$L30=""),"",$O30/$L30-1),"")</f>
        <v>0.0</v>
      </c>
      <c r="Q30" s="6" t="inlineStr">
        <is>
          <t>Pendiente: pide tres presupuestos</t>
        </is>
      </c>
      <c r="R30" s="19" t="n">
        <v>9</v>
      </c>
      <c r="S30" s="20">
        <f>IFERROR(IF(OR($R30="",$C$10="",$C$11=""),"",$C$10-$R30-$C$11),"")</f>
        <v>24.0</v>
      </c>
      <c r="T30" s="16" t="n">
        <v>0</v>
      </c>
      <c r="U30" s="16" t="n">
        <v>0</v>
      </c>
      <c r="V30" s="20">
        <f>IF($H30=$C$61,$R30,"")</f>
        <v>9.0</v>
      </c>
      <c r="W30" s="20">
        <f>IF($S30="","",IF($S30&lt;0,1,0))</f>
        <v>0.0</v>
      </c>
      <c r="X30" s="16">
        <f>IF(AND($G30=$G$15,$H30=$C$61),$O30,"")</f>
        <v/>
      </c>
      <c r="Y30" s="9" t="inlineStr">
        <is>
          <t>SUPUESTO declarado</t>
        </is>
      </c>
      <c r="Z30" t="inlineStr">
        <is>
          <t>supuesto</t>
        </is>
      </c>
      <c r="AA30" s="9" t="inlineStr">
        <is>
          <t>SUPUESTO declarado, y es la partida que nadie presupuesta. El libro 1 NO calcula carga termica (D33): no hay un solo coeficiente con fuente ni de transmitancia, ni por m3, ni de aportes, ni de renovaciones. Lo que hace es (a) un semaforo de coherencia entre la temperatura objetivo, la exterior de agosto de TU ciudad y la potencia frigorifica que te OFREZCA EL INSTALADOR, y (b) una ficha de preguntas para el instalador. PROHIBIDO el climatizador evaporativo: anade humedad, que es justo lo contrario de lo que necesita un obrador de chocolate.</t>
        </is>
      </c>
    </row>
    <row r="31" ht="40" customHeight="1">
      <c r="A31" s="13" t="inlineStr">
        <is>
          <t>Pendiente</t>
        </is>
      </c>
      <c r="B31" s="14" t="n">
        <v>17</v>
      </c>
      <c r="C31" s="9" t="inlineStr">
        <is>
          <t>Chocolatera de 3 L para la variante de taza</t>
        </is>
      </c>
      <c r="D31" t="inlineStr">
        <is>
          <t>Ugolini</t>
        </is>
      </c>
      <c r="E31" t="inlineStr">
        <is>
          <t>Delice 3</t>
        </is>
      </c>
      <c r="F31" t="inlineStr">
        <is>
          <t>Taza</t>
        </is>
      </c>
      <c r="G31" t="inlineStr">
        <is>
          <t>Mobiliario y tienda</t>
        </is>
      </c>
      <c r="H31" s="15" t="inlineStr">
        <is>
          <t>Opcional</t>
        </is>
      </c>
      <c r="I31" s="16" t="n">
        <v>527</v>
      </c>
      <c r="J31" s="15" t="inlineStr">
        <is>
          <t>sin IVA</t>
        </is>
      </c>
      <c r="K31" s="17">
        <f>$C$7</f>
        <v>0.21</v>
      </c>
      <c r="L31" s="16">
        <f>IFERROR(IF($I31="","",IF($J31=$E$62,$I31/(1+$K31),$I31)),"")</f>
        <v>527.0</v>
      </c>
      <c r="M31" s="16">
        <f>IF($L31="","",IF($T31&gt;0,$T31,$L31*(1-$C$8)))</f>
        <v>395.25</v>
      </c>
      <c r="N31" s="16">
        <f>IF($L31="","",IF($U31&gt;0,$U31,$L31*(1+$C$8)))</f>
        <v>658.75</v>
      </c>
      <c r="O31" s="18" t="n">
        <v>527</v>
      </c>
      <c r="P31" s="17">
        <f>IFERROR(IF(OR($O31="",$L31=""),"",$O31/$L31-1),"")</f>
        <v>0.0</v>
      </c>
      <c r="Q31" s="6" t="inlineStr">
        <is>
          <t>Ugolini</t>
        </is>
      </c>
      <c r="R31" s="19" t="n">
        <v>4</v>
      </c>
      <c r="S31" s="20">
        <f>IFERROR(IF(OR($R31="",$C$10="",$C$11=""),"",$C$10-$R31-$C$11),"")</f>
        <v>29.0</v>
      </c>
      <c r="T31" s="16" t="n">
        <v>0</v>
      </c>
      <c r="U31" s="16" t="n">
        <v>0</v>
      </c>
      <c r="V31" s="20">
        <f>IF($H31=$C$61,$R31,"")</f>
        <v/>
      </c>
      <c r="W31" s="20">
        <f>IF($S31="","",IF($S31&lt;0,1,0))</f>
        <v>0.0</v>
      </c>
      <c r="X31" s="16">
        <f>IF(AND($G31=$G$15,$H31=$C$61),$O31,"")</f>
        <v/>
      </c>
      <c r="Y31" s="9" t="inlineStr">
        <is>
          <t>Precio cerrado</t>
        </is>
      </c>
      <c r="Z31" t="inlineStr">
        <is>
          <t>CHS-46a</t>
        </is>
      </c>
      <c r="AA31" s="9" t="inlineStr">
        <is>
          <t>Base SIN IVA declarada literalmente por la ficha. Solo entra en el escenario de taza y churros, que es OTRO negocio (D1): la Ley 12/2012 los separa sola, porque su Anexo incluye el epigrafe 644.5 de bombones y caramelos y NO contiene ningun grupo de la agrupacion 67, donde esta la chocolateria de taza (`CHN-49c`).</t>
        </is>
      </c>
    </row>
    <row r="32"/>
    <row r="33">
      <c r="A33" s="4" t="inlineStr">
        <is>
          <t>Resumen de la compra</t>
        </is>
      </c>
    </row>
    <row r="34" ht="26" customHeight="1">
      <c r="A34" s="8" t="inlineStr">
        <is>
          <t>Líneas del checklist</t>
        </is>
      </c>
      <c r="I34" s="21">
        <f>COUNTIF($C$15:$C$31,"&lt;&gt;")</f>
        <v>17.0</v>
      </c>
      <c r="K34" s="5" t="inlineStr">
        <is>
          <t>Las diecisiete líneas de la dotación tipo de una bombonería con obrador, opcionales incluidas.</t>
        </is>
      </c>
    </row>
    <row r="35" ht="26" customHeight="1">
      <c r="A35" s="8" t="inlineStr">
        <is>
          <t>Total de referencia sin IVA, sólo líneas críticas (€)</t>
        </is>
      </c>
      <c r="I35" s="22">
        <f>SUMPRODUCT(--($H$15:$H$31=$C$61),$L$15:$L$31)</f>
        <v>52299.35</v>
      </c>
      <c r="K35" s="5" t="inlineStr">
        <is>
          <t>Lo que cuesta lo que no puedes dejar de comprar, a precio de referencia y en base imponible.</t>
        </is>
      </c>
    </row>
    <row r="36" ht="26" customHeight="1">
      <c r="A36" s="8" t="inlineStr">
        <is>
          <t>Total de referencia sin IVA, todas las líneas (€)</t>
        </is>
      </c>
      <c r="I36" s="22">
        <f>SUM($L$15:$L$31)</f>
        <v>54951.65</v>
      </c>
      <c r="K36" s="5" t="inlineStr">
        <is>
          <t>Con la atemperadora de arranque, su cubeta y la chocolatera de la variante de taza dentro, que son opcionales según el formato.</t>
        </is>
      </c>
    </row>
    <row r="37" ht="26" customHeight="1">
      <c r="A37" s="8" t="inlineStr">
        <is>
          <t>Total real negociado sin IVA, sólo líneas críticas (€)</t>
        </is>
      </c>
      <c r="I37" s="22">
        <f>SUMPRODUCT(--($H$15:$H$31=$C$61),$O$15:$O$31)</f>
        <v>52299.35</v>
      </c>
      <c r="K37" s="5" t="inlineStr">
        <is>
          <t>Lo mismo con TUS precios: es el número que se lleva al libro 2.</t>
        </is>
      </c>
    </row>
    <row r="38" ht="26" customHeight="1">
      <c r="A38" s="8" t="inlineStr">
        <is>
          <t>Total real negociado sin IVA, todas las líneas (€)</t>
        </is>
      </c>
      <c r="I38" s="22">
        <f>SUM($O$15:$O$31)</f>
        <v>54951.65</v>
      </c>
      <c r="K38" s="5" t="inlineStr">
        <is>
          <t>La base imponible de toda tu compra de equipamiento.</t>
        </is>
      </c>
    </row>
    <row r="39" ht="26" customHeight="1">
      <c r="A39" s="8" t="inlineStr">
        <is>
          <t>Lo que has ganado (o perdido) negociando (€)</t>
        </is>
      </c>
      <c r="I39" s="22">
        <f>IFERROR($I$38-$I$36,"")</f>
        <v>0.0</v>
      </c>
      <c r="K39" s="5" t="inlineStr">
        <is>
          <t>Negativo = has comprado por debajo del precio de referencia. Es el único sitio del paquete donde se mide lo que vale pedir tres presupuestos.</t>
        </is>
      </c>
    </row>
    <row r="40" ht="26" customHeight="1">
      <c r="A40" s="8" t="inlineStr">
        <is>
          <t>IVA soportado sobre el precio real (€)</t>
        </is>
      </c>
      <c r="I40" s="22">
        <f>SUMPRODUCT($O$15:$O$31,$K$15:$K$31)</f>
        <v>11539.8465</v>
      </c>
      <c r="K40" s="5" t="inlineStr">
        <is>
          <t>Se recupera vía declaraciones, pero hay que ADELANTARLO el día que pagas la máquina. La hoja «IVA y Tesorería» del libro 2 dice cuándo vuelve.</t>
        </is>
      </c>
    </row>
    <row r="41" ht="26" customHeight="1">
      <c r="A41" s="8" t="inlineStr">
        <is>
          <t>Desembolso real con IVA (€)</t>
        </is>
      </c>
      <c r="I41" s="22">
        <f>IFERROR($I$38+$I$40,"")</f>
        <v>66491.49650000001</v>
      </c>
      <c r="K41" s="5" t="inlineStr">
        <is>
          <t>Lo que sale de la cuenta corriente.</t>
        </is>
      </c>
    </row>
    <row r="42" ht="26" customHeight="1">
      <c r="A42" s="8" t="inlineStr">
        <is>
          <t>Líneas que sólo pueden publicarse COMO RANGO</t>
        </is>
      </c>
      <c r="I42" s="21">
        <f>COUNTIF($Y$15:$Y$31,"RANGO publicado (no es un precio)")</f>
        <v>1.0</v>
      </c>
      <c r="K42" s="5" t="inlineStr">
        <is>
          <t>Los moldes de policarbonato: el dato medido es 24,20 a 42,83 euros por unidad, y elegir un punto dentro de ese rango sería inventarse un precio. Su mínimo y su máximo van en las columnas T y U y mandan sobre la horquilla.</t>
        </is>
      </c>
    </row>
    <row r="43" ht="26" customHeight="1">
      <c r="A43" s="8" t="inlineStr">
        <is>
          <t>Líneas que son un «desde» y hay que presupuestar</t>
        </is>
      </c>
      <c r="I43" s="21">
        <f>COUNTIF($Y$15:$Y$31,"DESDE: suelo comercial, presupuestar")</f>
        <v>1.0</v>
      </c>
      <c r="K43" s="5" t="inlineStr">
        <is>
          <t>El mantenedor se publica «desde 570,00 euros»: es un suelo comercial, no el precio de la unidad que vas a comprar. Su techo sólo puede subir.</t>
        </is>
      </c>
    </row>
    <row r="44"/>
    <row r="45">
      <c r="A45" s="4" t="inlineStr">
        <is>
          <t>Cruce con el libro 2: la desviación contra el CAPEX presupuestado</t>
        </is>
      </c>
    </row>
    <row r="46" ht="26" customHeight="1">
      <c r="A46" s="8" t="inlineStr">
        <is>
          <t>Trae aquí la base sin IVA del bloque «Equipo de templado y moldeado» de calculadora-capex-chocolateria.xlsx!CAPEX por Bloque!L33</t>
        </is>
      </c>
      <c r="I46" s="18" t="n">
        <v>21060</v>
      </c>
      <c r="K46" s="5" t="inlineStr">
        <is>
          <t>VALOR POR DEFECTO DECLARADO: el bloque de templado y moldeado de La Almendra en base imponible, que es lo que suman sus seis líneas críticas. En cuanto tengas tu libro 2 relleno, copia aquí SU cifra: no la calcules otra vez. No hay ninguna fórmula que apunte a otro fichero.</t>
        </is>
      </c>
    </row>
    <row r="47" ht="26" customHeight="1">
      <c r="A47" s="8" t="inlineStr">
        <is>
          <t>Lo que suman tus líneas críticas de ese mismo bloque (€)</t>
        </is>
      </c>
      <c r="I47" s="22">
        <f>IFERROR(SUM($X$15:$X$31),"")</f>
        <v>21060.0</v>
      </c>
      <c r="K47" s="5" t="inlineStr">
        <is>
          <t>Se calcula sobre la columna auxiliar X, que sólo recoge las líneas CRÍTICAS cuyo bloque de CAPEX es el de templado y moldeado: comparar críticas contra críticas es lo único que da una desviación que significa algo.</t>
        </is>
      </c>
    </row>
    <row r="48" ht="26" customHeight="1">
      <c r="A48" s="8" t="inlineStr">
        <is>
          <t>Desviación contra el libro 2 (€)</t>
        </is>
      </c>
      <c r="I48" s="22">
        <f>IFERROR(IF($I$46="","",$I$47-$I$46),"")</f>
        <v>0.0</v>
      </c>
      <c r="K48" s="5" t="inlineStr">
        <is>
          <t>Positivo = estás comprando más caro de lo que había presupuestado el plan.</t>
        </is>
      </c>
    </row>
    <row r="49" ht="26" customHeight="1">
      <c r="A49" s="8" t="inlineStr">
        <is>
          <t>Desviación contra el libro 2 (%)</t>
        </is>
      </c>
      <c r="I49" s="23">
        <f>IFERROR(IF($I$46="","",$I$47/$I$46-1),"")</f>
        <v>0.0</v>
      </c>
      <c r="K49" s="5" t="inlineStr">
        <is>
          <t>Se compara con el umbral que has fijado arriba.</t>
        </is>
      </c>
    </row>
    <row r="50" ht="40" customHeight="1">
      <c r="A50" s="10" t="inlineStr">
        <is>
          <t>CUADRE CONTRA EL CAPEX DEL LIBRO 2</t>
        </is>
      </c>
      <c r="I50" s="24" t="str">
        <f>IF($I$49="","",IF(ABS($I$49)&gt;$C$9,"NO CUADRA: rehaz el CAPEX del libro 2 con estos precios","CUADRA con el CAPEX del libro 2"))</f>
        <v>CUADRA con el CAPEX del libro 2</v>
      </c>
      <c r="K50" s="5" t="inlineStr">
        <is>
          <t>El plan financiero del libro 7 se calcula sobre el CAPEX del libro 2. Si esto se sale del umbral hay que rehacer los dos, no cambiar este número: es la diferencia entre un presupuesto y una lista de deseos.</t>
        </is>
      </c>
    </row>
    <row r="51"/>
    <row r="52">
      <c r="A52" s="4" t="inlineStr">
        <is>
          <t>El plazo crítico, que es lo que de verdad mueve tu fecha de apertura</t>
        </is>
      </c>
    </row>
    <row r="53" ht="26" customHeight="1">
      <c r="A53" s="8" t="inlineStr">
        <is>
          <t>Plazo crítico de entrega (semanas)</t>
        </is>
      </c>
      <c r="I53" s="21">
        <f>IFERROR(MAX($V$15:$V$31),"")</f>
        <v>10.0</v>
      </c>
      <c r="K53" s="5" t="inlineStr">
        <is>
          <t>El plazo más largo de las líneas CRÍTICAS. Las opcionales no cuentan: si la atemperadora de arranque tarda un mes y no la necesitas para abrir, no puede mover tu fecha. ESTA ES LA CELDA QUE SE COPIA EN EL CRONOGRAMA DEL LIBRO 8.</t>
        </is>
      </c>
    </row>
    <row r="54" ht="26" customHeight="1">
      <c r="A54" s="8" t="inlineStr">
        <is>
          <t>Línea que marca el plazo crítico</t>
        </is>
      </c>
      <c r="I54" s="25" t="str">
        <f>IFERROR(INDEX($C$15:$C$31,MATCH($I$53,$V$15:$V$31,0)),"")</f>
        <v>Atemperadora continua de sobremesa, 12 kg (55 kg/h)</v>
      </c>
      <c r="K54" s="5" t="inlineStr">
        <is>
          <t>Ésta es la primera que hay que pedir, aunque sea de las últimas que vayas a instalar.</t>
        </is>
      </c>
    </row>
    <row r="55" ht="26" customHeight="1">
      <c r="A55" s="8" t="inlineStr">
        <is>
          <t>Margen del plazo crítico (semanas)</t>
        </is>
      </c>
      <c r="I55" s="21">
        <f>IFERROR(IF(OR($C$10="",$I$53=""),"",$C$10-$I$53-$C$11),"")</f>
        <v>23.0</v>
      </c>
      <c r="K55" s="5" t="inlineStr">
        <is>
          <t>Semanas que te sobran entre pedir hoy el equipo de mayor plazo y abrir con el margen de seguridad dentro.</t>
        </is>
      </c>
    </row>
    <row r="56" ht="26" customHeight="1">
      <c r="A56" s="8" t="inlineStr">
        <is>
          <t>Veredicto del plazo</t>
        </is>
      </c>
      <c r="I56" s="25" t="str">
        <f>IFERROR(IF($I$55="","",IF($I$55&lt;0,"El equipo de mayor plazo mueve la apertura: pídelo hoy o retrasa la fecha","Llegas con margen, pero pide primero el de mayor plazo")),"")</f>
        <v>Llegas con margen, pero pide primero el de mayor plazo</v>
      </c>
      <c r="K56" s="5" t="inlineStr">
        <is>
          <t>Un obrador no abre porque falte una máquina, y la que falta casi siempre es la que se pidió la última.</t>
        </is>
      </c>
    </row>
    <row r="57" ht="26" customHeight="1">
      <c r="A57" s="8" t="inlineStr">
        <is>
          <t>Líneas cuyo plazo se pasa de la apertura</t>
        </is>
      </c>
      <c r="I57" s="21">
        <f>IFERROR(SUM($W$15:$W$31),"")</f>
        <v>0.0</v>
      </c>
      <c r="K57" s="5" t="inlineStr">
        <is>
          <t>Cuenta también las opcionales: si la pides, tiene que llegar.</t>
        </is>
      </c>
    </row>
    <row r="58"/>
    <row r="59">
      <c r="A59" s="4" t="inlineStr">
        <is>
          <t>Listas (origen de los desplegables)</t>
        </is>
      </c>
    </row>
    <row r="60" ht="20" customHeight="1">
      <c r="A60" s="7" t="inlineStr">
        <is>
          <t>Estado</t>
        </is>
      </c>
      <c r="C60" s="7" t="inlineStr">
        <is>
          <t>Prioridad</t>
        </is>
      </c>
      <c r="E60" s="7" t="inlineStr">
        <is>
          <t>Base del precio</t>
        </is>
      </c>
    </row>
    <row r="61">
      <c r="A61" t="inlineStr">
        <is>
          <t>Pendiente</t>
        </is>
      </c>
      <c r="C61" t="inlineStr">
        <is>
          <t>Crítico</t>
        </is>
      </c>
      <c r="E61" t="inlineStr">
        <is>
          <t>sin IVA</t>
        </is>
      </c>
    </row>
    <row r="62">
      <c r="A62" t="inlineStr">
        <is>
          <t>Presupuestado</t>
        </is>
      </c>
      <c r="C62" t="inlineStr">
        <is>
          <t>Opcional</t>
        </is>
      </c>
      <c r="E62" t="inlineStr">
        <is>
          <t>con IVA</t>
        </is>
      </c>
    </row>
    <row r="63">
      <c r="A63" t="inlineStr">
        <is>
          <t>Pedido</t>
        </is>
      </c>
      <c r="E63" t="inlineStr">
        <is>
          <t>no declarada</t>
        </is>
      </c>
    </row>
    <row r="64">
      <c r="A64" t="inlineStr">
        <is>
          <t>Recibido</t>
        </is>
      </c>
    </row>
    <row r="65">
      <c r="A65" t="inlineStr">
        <is>
          <t>Instalado</t>
        </is>
      </c>
    </row>
    <row r="66">
      <c r="A66" t="inlineStr">
        <is>
          <t>N/A</t>
        </is>
      </c>
    </row>
    <row r="67"/>
    <row r="68" ht="44" customHeight="1">
      <c r="A68" s="5" t="inlineStr">
        <is>
          <t>CRÍTICO quiere decir «sin esto no abres», y es la lista que calcula el plazo crítico. OPCIONAL quiere decir «depende del formato»: la atemperadora de arranque y su cubeta (son la alternativa barata a la continua, no un complemento) y la chocolatera de la variante de taza. No hay un nivel intermedio a propósito: en una apertura, «recomendado» siempre acaba comprándose.</t>
        </is>
      </c>
    </row>
    <row r="69" ht="44" customHeight="1">
      <c r="A69" s="5" t="inlineStr">
        <is>
          <t>SEIS LÍNEAS TRAEN LA BASE FISCAL «NO DECLARADA»: el distribuidor no dice si su precio lleva IVA. Se tratan como base imponible y se marcan. La ficha de la atemperadora trae el indicio «Neto» en la línea de embalaje, que es un indicio, no una declaración. Pregúntalo por escrito antes de firmar: es un 21 % de la partida más cara del obrador.</t>
        </is>
      </c>
    </row>
    <row r="70" ht="32" customHeight="1">
      <c r="A70" s="5" t="inlineStr">
        <is>
          <t>Los precios verificados llevan su id de fuente en la columna Z y su ficha completa en el comentario de la celda del precio. Están fechados el 12-09-2026 y pueden caducar: un catálogo de maquinaria se revisa un par de veces al año.</t>
        </is>
      </c>
    </row>
    <row r="71"/>
    <row r="72">
      <c r="A72" s="9" t="inlineStr">
        <is>
          <t>Diseñado por John Guerrero — chef y consultor gastronómico desde 2010, en cocina desde los 17 años.</t>
        </is>
      </c>
    </row>
    <row r="73">
      <c r="A73"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58">
    <mergeCell ref="A50:H50"/>
    <mergeCell ref="K47:AA47"/>
    <mergeCell ref="A9:B9"/>
    <mergeCell ref="K49:AA49"/>
    <mergeCell ref="K34:AA34"/>
    <mergeCell ref="K46:AA46"/>
    <mergeCell ref="A53:H53"/>
    <mergeCell ref="K39:AA39"/>
    <mergeCell ref="A40:H40"/>
    <mergeCell ref="K57:AA57"/>
    <mergeCell ref="K53:AA53"/>
    <mergeCell ref="A3:AA3"/>
    <mergeCell ref="A7:B7"/>
    <mergeCell ref="A73:F73"/>
    <mergeCell ref="A47:H47"/>
    <mergeCell ref="A49:H49"/>
    <mergeCell ref="K48:AA48"/>
    <mergeCell ref="A37:H37"/>
    <mergeCell ref="K41:AA41"/>
    <mergeCell ref="A68:AA68"/>
    <mergeCell ref="A70:AA70"/>
    <mergeCell ref="K42:AA42"/>
    <mergeCell ref="K54:AA54"/>
    <mergeCell ref="K37:AA37"/>
    <mergeCell ref="A55:H55"/>
    <mergeCell ref="K56:AA56"/>
    <mergeCell ref="D6:AA6"/>
    <mergeCell ref="A34:H34"/>
    <mergeCell ref="A46:H46"/>
    <mergeCell ref="A48:H48"/>
    <mergeCell ref="K50:AA50"/>
    <mergeCell ref="A8:B8"/>
    <mergeCell ref="A42:H42"/>
    <mergeCell ref="A54:H54"/>
    <mergeCell ref="A43:H43"/>
    <mergeCell ref="D9:AA9"/>
    <mergeCell ref="A6:B6"/>
    <mergeCell ref="K38:AA38"/>
    <mergeCell ref="A39:H39"/>
    <mergeCell ref="K43:AA43"/>
    <mergeCell ref="A57:H57"/>
    <mergeCell ref="K40:AA40"/>
    <mergeCell ref="D10:AA10"/>
    <mergeCell ref="A69:AA69"/>
    <mergeCell ref="K36:AA36"/>
    <mergeCell ref="D8:AA8"/>
    <mergeCell ref="A11:B11"/>
    <mergeCell ref="D11:AA11"/>
    <mergeCell ref="A36:H36"/>
    <mergeCell ref="A72:F72"/>
    <mergeCell ref="A38:H38"/>
    <mergeCell ref="A35:H35"/>
    <mergeCell ref="K55:AA55"/>
    <mergeCell ref="D7:AA7"/>
    <mergeCell ref="A56:H56"/>
    <mergeCell ref="A10:B10"/>
    <mergeCell ref="A41:H41"/>
    <mergeCell ref="K35:AA35"/>
  </mergeCells>
  <conditionalFormatting sqref="I50">
    <cfRule type="cellIs" priority="1" operator="equal" dxfId="0" stopIfTrue="1">
      <formula>"NO CUADRA: rehaz el CAPEX del libro 2 con estos precios"</formula>
    </cfRule>
    <cfRule type="cellIs" priority="2" operator="equal" dxfId="1" stopIfTrue="1">
      <formula>"CUADRA con el CAPEX del libro 2"</formula>
    </cfRule>
  </conditionalFormatting>
  <conditionalFormatting sqref="A15:A31">
    <cfRule type="cellIs" priority="3" operator="equal" dxfId="1" stopIfTrue="1">
      <formula>"Completado"</formula>
    </cfRule>
    <cfRule type="cellIs" priority="4" operator="equal" dxfId="1" stopIfTrue="1">
      <formula>"Instalado"</formula>
    </cfRule>
    <cfRule type="cellIs" priority="5" operator="equal" dxfId="2" stopIfTrue="1">
      <formula>"Recibido"</formula>
    </cfRule>
    <cfRule type="cellIs" priority="6" operator="equal" dxfId="2" stopIfTrue="1">
      <formula>"En Curso"</formula>
    </cfRule>
    <cfRule type="cellIs" priority="7" operator="equal" dxfId="2" stopIfTrue="1">
      <formula>"En Proceso"</formula>
    </cfRule>
    <cfRule type="cellIs" priority="8" operator="equal" dxfId="2" stopIfTrue="1">
      <formula>"Pedido"</formula>
    </cfRule>
    <cfRule type="cellIs" priority="9" operator="equal" dxfId="3" stopIfTrue="1">
      <formula>"Pendiente"</formula>
    </cfRule>
  </conditionalFormatting>
  <conditionalFormatting sqref="S15:S31">
    <cfRule type="expression" priority="10" dxfId="0" stopIfTrue="1">
      <formula>=AND(ISNUMBER($S15),$S15&lt;0)</formula>
    </cfRule>
  </conditionalFormatting>
  <conditionalFormatting sqref="P15:P31">
    <cfRule type="expression" priority="11" dxfId="0" stopIfTrue="1">
      <formula>=AND(ISNUMBER($P15),$P15&gt;$C$9)</formula>
    </cfRule>
  </conditionalFormatting>
  <conditionalFormatting sqref="I55">
    <cfRule type="expression" priority="12" dxfId="0" stopIfTrue="1">
      <formula>=AND(ISNUMBER($I$55),$I$55&lt;0)</formula>
    </cfRule>
  </conditionalFormatting>
  <conditionalFormatting sqref="I49">
    <cfRule type="expression" priority="13" dxfId="0" stopIfTrue="1">
      <formula>=AND(ISNUMBER($I$49),ABS($I$49)&gt;$C$9)</formula>
    </cfRule>
  </conditionalFormatting>
  <dataValidations count="6">
    <dataValidation sqref="A15 A16 A17 A18 A19 A20 A21 A22 A23 A24 A25 A26 A27 A28 A29 A30 A31" showDropDown="0" showInputMessage="0" showErrorMessage="1" allowBlank="0" errorTitle="Estado no válido" error="Elige un estado de la lista del pie de la hoja: Pendiente, Presupuestado, Pedido, Recibido, Instalado o N/A." type="list">
      <formula1>$A$61:$A$66</formula1>
    </dataValidation>
    <dataValidation sqref="O15 O16 O17 O18 O19 O20 O21 O22 O23 O24 O25 O26 O27 O28 O29 O30 O31" showDropDown="0" showInputMessage="0" showErrorMessage="1" allowBlank="1" errorTitle="Precio negociado" error="Escribe el precio SIN IVA, en euros." type="decimal" operator="greaterThanOrEqual">
      <formula1>0</formula1>
    </dataValidation>
    <dataValidation sqref="R15 R16 R17 R18 R19 R20 R21 R22 R23 R24 R25 R26 R27 R28 R29 R30 R31" showDropDown="0" showInputMessage="0" showErrorMessage="1" allowBlank="1" errorTitle="Plazo de entrega" error="Escribe el plazo en SEMANAS (0 a 104)." type="decimal" operator="between">
      <formula1>0</formula1>
      <formula2>104</formula2>
    </dataValidation>
    <dataValidation sqref="C7 C8 C9"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C10 C11" showDropDown="0" showInputMessage="0" showErrorMessage="1" allowBlank="1" errorTitle="Semanas" error="Escribe un número de semanas (0 a 104)." type="decimal" operator="between">
      <formula1>0</formula1>
      <formula2>104</formula2>
    </dataValidation>
    <dataValidation sqref="I46" showDropDown="0" showInputMessage="0" showErrorMessage="1" allowBlank="1" errorTitle="CAPEX del libro 2" error="Escribe la base SIN IVA del bloque, en euros."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F53"/>
  <sheetViews>
    <sheetView workbookViewId="0">
      <pane ySplit="3" topLeftCell="A4" activePane="bottomLeft" state="frozen"/>
      <selection pane="bottomLeft" activeCell="A1" sqref="A1"/>
    </sheetView>
  </sheetViews>
  <sheetFormatPr baseColWidth="8" defaultRowHeight="15"/>
  <cols>
    <col width="6" customWidth="1" min="1" max="1"/>
    <col width="50" customWidth="1" min="2" max="2"/>
    <col width="20" customWidth="1" min="3" max="3"/>
    <col width="20" customWidth="1" min="4" max="4"/>
    <col width="18" customWidth="1" min="5" max="5"/>
    <col width="88" customWidth="1" min="6" max="6"/>
  </cols>
  <sheetData>
    <row r="1" ht="28" customHeight="1">
      <c r="A1" s="1" t="inlineStr">
        <is>
          <t>Variante del Formato: Bean-to-bar o Taza y Churros</t>
        </is>
      </c>
    </row>
    <row r="2">
      <c r="A2" t="inlineStr">
        <is>
          <t>AI Chef Pro · aichef.pro — Cómo Montar una Chocolatería</t>
        </is>
      </c>
    </row>
    <row r="3" ht="26" customHeight="1">
      <c r="A3" s="5" t="inlineStr">
        <is>
          <t>Dos caminos que NO son este producto y se deciden aquí. El bean-to-bar va SIN CIFRAS DE MAQUINARIA a propósito: no hay precio público verificado, y lo que se entrega es la lista de la compra y las preguntas que hay que hacer.</t>
        </is>
      </c>
    </row>
    <row r="4"/>
    <row r="5">
      <c r="A5" s="4" t="inlineStr">
        <is>
          <t>Tu formato</t>
        </is>
      </c>
    </row>
    <row r="6">
      <c r="A6" s="10" t="inlineStr">
        <is>
          <t>¿Qué vas a montar?</t>
        </is>
      </c>
      <c r="C6" s="6" t="inlineStr">
        <is>
          <t>Bombonería (el caso del libro)</t>
        </is>
      </c>
      <c r="D6" s="5" t="inlineStr">
        <is>
          <t>El libro 2 calcula el CAPEX de cada variante. Aquí sólo se resuelve QUÉ hay que comprar y QUÉ hay que preguntar.</t>
        </is>
      </c>
    </row>
    <row r="7" ht="34" customHeight="1">
      <c r="A7" s="10" t="inlineStr">
        <is>
          <t>Lo primero que cambia</t>
        </is>
      </c>
      <c r="C7" s="26" t="str">
        <f>IFERROR(IF($C$6=$A$45,"Si importas grano ERES OPERADOR a efectos del EUDR: diligencia debida completa y declaración presentada ANTES de introducir en el mercado",IF($C$6=$A$46,"La chocolatería de taza NO está en el Anexo de la Ley 12/2012: el amparo frente a la licencia previa de actividad NO te cubre","Bombonería: el epígrafe 644.5 SÍ está en ese Anexo, hasta 750 metros cuadrados")),"")</f>
        <v>Bombonería: el epígrafe 644.5 SÍ está en ese Anexo, hasta 750 metros cuadrados</v>
      </c>
    </row>
    <row r="8"/>
    <row r="9">
      <c r="A9" s="4" t="inlineStr">
        <is>
          <t>BEAN-TO-BAR: la lista de la compra, SIN precios (D2)</t>
        </is>
      </c>
    </row>
    <row r="10" ht="30" customHeight="1">
      <c r="A10" s="7" t="inlineStr">
        <is>
          <t>Nº</t>
        </is>
      </c>
      <c r="B10" s="7" t="inlineStr">
        <is>
          <t>Equipo del tren bean-to-bar</t>
        </is>
      </c>
      <c r="C10" s="7" t="inlineStr">
        <is>
          <t>¿Lo necesitas?</t>
        </is>
      </c>
      <c r="D10" s="7" t="inlineStr">
        <is>
          <t>¿Tienes precio por escrito?</t>
        </is>
      </c>
      <c r="E10" s="7" t="inlineStr">
        <is>
          <t>Plazo prometido (semanas)</t>
        </is>
      </c>
      <c r="F10" s="7" t="inlineStr">
        <is>
          <t>Notas</t>
        </is>
      </c>
    </row>
    <row r="11">
      <c r="A11" s="14" t="n">
        <v>1</v>
      </c>
      <c r="B11" s="9" t="inlineStr">
        <is>
          <t>Tostador de grano</t>
        </is>
      </c>
      <c r="C11" s="13" t="inlineStr">
        <is>
          <t>No</t>
        </is>
      </c>
      <c r="D11" s="13" t="inlineStr">
        <is>
          <t>No</t>
        </is>
      </c>
      <c r="E11" s="19" t="n">
        <v>0</v>
      </c>
      <c r="F11" s="9" t="inlineStr"/>
    </row>
    <row r="12">
      <c r="A12" s="14" t="n">
        <v>2</v>
      </c>
      <c r="B12" s="9" t="inlineStr">
        <is>
          <t>Bandeja de enfriado</t>
        </is>
      </c>
      <c r="C12" s="13" t="inlineStr">
        <is>
          <t>No</t>
        </is>
      </c>
      <c r="D12" s="13" t="inlineStr">
        <is>
          <t>No</t>
        </is>
      </c>
      <c r="E12" s="19" t="n">
        <v>0</v>
      </c>
      <c r="F12" s="9" t="inlineStr"/>
    </row>
    <row r="13">
      <c r="A13" s="14" t="n">
        <v>3</v>
      </c>
      <c r="B13" s="9" t="inlineStr">
        <is>
          <t>Descascarilladora</t>
        </is>
      </c>
      <c r="C13" s="13" t="inlineStr">
        <is>
          <t>No</t>
        </is>
      </c>
      <c r="D13" s="13" t="inlineStr">
        <is>
          <t>No</t>
        </is>
      </c>
      <c r="E13" s="19" t="n">
        <v>0</v>
      </c>
      <c r="F13" s="9" t="inlineStr"/>
    </row>
    <row r="14">
      <c r="A14" s="14" t="n">
        <v>4</v>
      </c>
      <c r="B14" s="9" t="inlineStr">
        <is>
          <t>Winnower (aventadora)</t>
        </is>
      </c>
      <c r="C14" s="13" t="inlineStr">
        <is>
          <t>No</t>
        </is>
      </c>
      <c r="D14" s="13" t="inlineStr">
        <is>
          <t>No</t>
        </is>
      </c>
      <c r="E14" s="19" t="n">
        <v>0</v>
      </c>
      <c r="F14" s="9" t="inlineStr"/>
    </row>
    <row r="15">
      <c r="A15" s="14" t="n">
        <v>5</v>
      </c>
      <c r="B15" s="9" t="inlineStr">
        <is>
          <t>Melanger o refinadora de piedra</t>
        </is>
      </c>
      <c r="C15" s="13" t="inlineStr">
        <is>
          <t>No</t>
        </is>
      </c>
      <c r="D15" s="13" t="inlineStr">
        <is>
          <t>No</t>
        </is>
      </c>
      <c r="E15" s="19" t="n">
        <v>0</v>
      </c>
      <c r="F15" s="9" t="inlineStr"/>
    </row>
    <row r="16">
      <c r="A16" s="14" t="n">
        <v>6</v>
      </c>
      <c r="B16" s="9" t="inlineStr">
        <is>
          <t>Concha</t>
        </is>
      </c>
      <c r="C16" s="13" t="inlineStr">
        <is>
          <t>No</t>
        </is>
      </c>
      <c r="D16" s="13" t="inlineStr">
        <is>
          <t>No</t>
        </is>
      </c>
      <c r="E16" s="19" t="n">
        <v>0</v>
      </c>
      <c r="F16" s="9" t="inlineStr"/>
    </row>
    <row r="17">
      <c r="A17" s="14" t="n">
        <v>7</v>
      </c>
      <c r="B17" s="9" t="inlineStr">
        <is>
          <t>Prensa de manteca (solo si separas manteca)</t>
        </is>
      </c>
      <c r="C17" s="13" t="inlineStr">
        <is>
          <t>No</t>
        </is>
      </c>
      <c r="D17" s="13" t="inlineStr">
        <is>
          <t>No</t>
        </is>
      </c>
      <c r="E17" s="19" t="n">
        <v>0</v>
      </c>
      <c r="F17" s="9" t="inlineStr"/>
    </row>
    <row r="18">
      <c r="A18" s="14" t="n">
        <v>8</v>
      </c>
      <c r="B18" s="9" t="inlineStr">
        <is>
          <t>Tamizadora</t>
        </is>
      </c>
      <c r="C18" s="13" t="inlineStr">
        <is>
          <t>No</t>
        </is>
      </c>
      <c r="D18" s="13" t="inlineStr">
        <is>
          <t>No</t>
        </is>
      </c>
      <c r="E18" s="19" t="n">
        <v>0</v>
      </c>
      <c r="F18" s="9" t="inlineStr"/>
    </row>
    <row r="19">
      <c r="A19" s="14" t="n">
        <v>9</v>
      </c>
      <c r="B19" s="9" t="inlineStr">
        <is>
          <t>Balanza de precision para la formulacion</t>
        </is>
      </c>
      <c r="C19" s="13" t="inlineStr">
        <is>
          <t>No</t>
        </is>
      </c>
      <c r="D19" s="13" t="inlineStr">
        <is>
          <t>No</t>
        </is>
      </c>
      <c r="E19" s="19" t="n">
        <v>0</v>
      </c>
      <c r="F19" s="9" t="inlineStr"/>
    </row>
    <row r="20">
      <c r="A20" s="24" t="n"/>
      <c r="B20" s="24" t="inlineStr">
        <is>
          <t>Equipos que dices necesitar</t>
        </is>
      </c>
      <c r="C20" s="27">
        <f>IFERROR(COUNTIF(C11:C19,"Sí"),"")</f>
        <v>0.0</v>
      </c>
      <c r="D20" s="27">
        <f>IFERROR(COUNTIF(D11:D19,"Sí"),"")</f>
        <v>0.0</v>
      </c>
      <c r="E20" s="27">
        <f>IFERROR(MAX(E11:E19),"")</f>
        <v>0.0</v>
      </c>
      <c r="F20" s="28" t="inlineStr">
        <is>
          <t>Equipos que necesitas · con precio por escrito · plazo más largo prometido. Mientras las dos primeras cifras no coincidan, no tienes un presupuesto: tienes una intención.</t>
        </is>
      </c>
    </row>
    <row r="21"/>
    <row r="22">
      <c r="A22" s="4" t="inlineStr">
        <is>
          <t>Las cinco preguntas que hay que hacerle al fabricante</t>
        </is>
      </c>
    </row>
    <row r="23" ht="30" customHeight="1">
      <c r="A23" s="7" t="inlineStr">
        <is>
          <t>Nº</t>
        </is>
      </c>
      <c r="B23" s="7" t="inlineStr">
        <is>
          <t>Pregunta</t>
        </is>
      </c>
      <c r="C23" s="7" t="inlineStr">
        <is>
          <t>¿Te la han contestado?</t>
        </is>
      </c>
      <c r="D23" s="7" t="inlineStr">
        <is>
          <t>Quién te contestó</t>
        </is>
      </c>
      <c r="E23" s="7" t="inlineStr">
        <is>
          <t>Fecha</t>
        </is>
      </c>
      <c r="F23" s="7" t="inlineStr">
        <is>
          <t>Por qué importa</t>
        </is>
      </c>
    </row>
    <row r="24" ht="40" customHeight="1">
      <c r="A24" s="14" t="n">
        <v>1</v>
      </c>
      <c r="B24" s="9" t="inlineStr">
        <is>
          <t>Precio de la maquina puesta en Espana, con transporte, aduana y puesta en marcha desglosados: los catalogos existen y estan verificados, pero los precios NO son publicos (venta a presupuesto o tienda fuera de la UE).</t>
        </is>
      </c>
      <c r="C24" s="13" t="inlineStr">
        <is>
          <t>No</t>
        </is>
      </c>
      <c r="D24" s="6" t="inlineStr">
        <is>
          <t>Pendiente</t>
        </is>
      </c>
      <c r="E24" s="29" t="n">
        <v>46277</v>
      </c>
      <c r="F24" s="9" t="inlineStr"/>
    </row>
    <row r="25" ht="40" customHeight="1">
      <c r="A25" s="14" t="n">
        <v>2</v>
      </c>
      <c r="B25" s="9" t="inlineStr">
        <is>
          <t>Plazo de entrega real y quien hace el mantenimiento en Espana.</t>
        </is>
      </c>
      <c r="C25" s="13" t="inlineStr">
        <is>
          <t>No</t>
        </is>
      </c>
      <c r="D25" s="6" t="inlineStr">
        <is>
          <t>Pendiente</t>
        </is>
      </c>
      <c r="E25" s="29" t="n">
        <v>46277</v>
      </c>
      <c r="F25" s="9" t="inlineStr"/>
    </row>
    <row r="26" ht="40" customHeight="1">
      <c r="A26" s="14" t="n">
        <v>3</v>
      </c>
      <c r="B26" s="9" t="inlineStr">
        <is>
          <t>Potencia electrica y si necesita trifasica.</t>
        </is>
      </c>
      <c r="C26" s="13" t="inlineStr">
        <is>
          <t>No</t>
        </is>
      </c>
      <c r="D26" s="6" t="inlineStr">
        <is>
          <t>Pendiente</t>
        </is>
      </c>
      <c r="E26" s="29" t="n">
        <v>46277</v>
      </c>
      <c r="F26" s="9" t="inlineStr"/>
    </row>
    <row r="27" ht="40" customHeight="1">
      <c r="A27" s="14" t="n">
        <v>4</v>
      </c>
      <c r="B27" s="9" t="inlineStr">
        <is>
          <t>Ruido en dB a un metro: el tostador y el winnower son los dos equipos ruidosos de un obrador que por lo demas es silencioso.</t>
        </is>
      </c>
      <c r="C27" s="13" t="inlineStr">
        <is>
          <t>No</t>
        </is>
      </c>
      <c r="D27" s="6" t="inlineStr">
        <is>
          <t>Pendiente</t>
        </is>
      </c>
      <c r="E27" s="29" t="n">
        <v>46277</v>
      </c>
      <c r="F27" s="9" t="inlineStr"/>
    </row>
    <row r="28" ht="40" customHeight="1">
      <c r="A28" s="14" t="n">
        <v>5</v>
      </c>
      <c r="B28" s="9" t="inlineStr">
        <is>
          <t>Rendimiento en kg de grano por hora y merma de cascarilla.</t>
        </is>
      </c>
      <c r="C28" s="13" t="inlineStr">
        <is>
          <t>No</t>
        </is>
      </c>
      <c r="D28" s="6" t="inlineStr">
        <is>
          <t>Pendiente</t>
        </is>
      </c>
      <c r="E28" s="29" t="n">
        <v>46277</v>
      </c>
      <c r="F28" s="9" t="inlineStr"/>
    </row>
    <row r="29">
      <c r="A29" s="24" t="n"/>
      <c r="B29" s="24" t="inlineStr">
        <is>
          <t>Preguntas contestadas POR ESCRITO</t>
        </is>
      </c>
      <c r="C29" s="27">
        <f>IFERROR(COUNTIF(C24:C28,"Sí"),"")</f>
        <v>0.0</v>
      </c>
      <c r="D29" s="24" t="n"/>
      <c r="E29" s="24" t="n"/>
      <c r="F29" s="24" t="n"/>
    </row>
    <row r="30" ht="34" customHeight="1">
      <c r="B30" s="10" t="inlineStr">
        <is>
          <t>VEREDICTO DEL BEAN-TO-BAR</t>
        </is>
      </c>
      <c r="C30" s="30" t="str">
        <f>IFERROR(IF($C$6&lt;&gt;$A$45,"No es tu variante: no hay nada que presupuestar",IF(AND($C$20&gt;0,$D$20=$C$20,$C$29=5),"Ya puedes presupuestarlo: tienes precio y respuesta de todo lo que necesitas","Te faltan precios por escrito o respuestas: no cierres el CAPEX del bean-to-bar todavía")),"")</f>
        <v>No es tu variante: no hay nada que presupuestar</v>
      </c>
    </row>
    <row r="31"/>
    <row r="32">
      <c r="A32" s="4" t="inlineStr">
        <is>
          <t>TAZA Y CHURROS: lo único con precio verificado, y lo que no lo tiene</t>
        </is>
      </c>
    </row>
    <row r="33" ht="26" customHeight="1">
      <c r="A33" s="7" t="inlineStr">
        <is>
          <t>Nº</t>
        </is>
      </c>
      <c r="B33" s="7" t="inlineStr">
        <is>
          <t>Equipo</t>
        </is>
      </c>
      <c r="C33" s="7" t="inlineStr">
        <is>
          <t>Precio (€, sin IVA)</t>
        </is>
      </c>
      <c r="D33" s="7" t="inlineStr">
        <is>
          <t>¿Lo necesitas?</t>
        </is>
      </c>
      <c r="E33" s="7" t="inlineStr">
        <is>
          <t>Fuente</t>
        </is>
      </c>
      <c r="F33" s="7" t="inlineStr">
        <is>
          <t>Notas</t>
        </is>
      </c>
    </row>
    <row r="34">
      <c r="A34" s="14" t="n">
        <v>1</v>
      </c>
      <c r="B34" s="9" t="inlineStr">
        <is>
          <t>Chocolatera Ugolini Delice 3 (3 L)</t>
        </is>
      </c>
      <c r="C34" s="16" t="n">
        <v>527</v>
      </c>
      <c r="D34" s="13" t="inlineStr">
        <is>
          <t>No</t>
        </is>
      </c>
      <c r="E34" t="inlineStr">
        <is>
          <t>CHS-46a</t>
        </is>
      </c>
      <c r="F34" s="9" t="inlineStr">
        <is>
          <t>Base sin IVA declarada por la ficha. Es la única línea de esta variante con precio público verificado.</t>
        </is>
      </c>
    </row>
    <row r="35" ht="30" customHeight="1">
      <c r="A35" s="14" t="n">
        <v>2</v>
      </c>
      <c r="B35" s="9" t="inlineStr">
        <is>
          <t>Churrera</t>
        </is>
      </c>
      <c r="C35" t="inlineStr"/>
      <c r="D35" s="13" t="inlineStr">
        <is>
          <t>No</t>
        </is>
      </c>
      <c r="E35" t="inlineStr">
        <is>
          <t>CHS-49 (sin verificar)</t>
        </is>
      </c>
      <c r="F35" s="9" t="inlineStr">
        <is>
          <t>SIN PRECIO: los precios de churrera, freidora y extracción no están verificados. Presupuéstalo, no lo estimes.</t>
        </is>
      </c>
    </row>
    <row r="36" ht="30" customHeight="1">
      <c r="A36" s="14" t="n">
        <v>3</v>
      </c>
      <c r="B36" s="9" t="inlineStr">
        <is>
          <t>Freidora</t>
        </is>
      </c>
      <c r="C36" t="inlineStr"/>
      <c r="D36" s="13" t="inlineStr">
        <is>
          <t>No</t>
        </is>
      </c>
      <c r="E36" t="inlineStr">
        <is>
          <t>CHS-49 (sin verificar)</t>
        </is>
      </c>
      <c r="F36" s="9" t="inlineStr">
        <is>
          <t>SIN PRECIO: los precios de churrera, freidora y extracción no están verificados. Presupuéstalo, no lo estimes.</t>
        </is>
      </c>
    </row>
    <row r="37" ht="30" customHeight="1">
      <c r="A37" s="14" t="n">
        <v>4</v>
      </c>
      <c r="B37" s="9" t="inlineStr">
        <is>
          <t>Extraccion de humos</t>
        </is>
      </c>
      <c r="C37" t="inlineStr"/>
      <c r="D37" s="13" t="inlineStr">
        <is>
          <t>No</t>
        </is>
      </c>
      <c r="E37" t="inlineStr">
        <is>
          <t>CHS-49 (sin verificar)</t>
        </is>
      </c>
      <c r="F37" s="9" t="inlineStr">
        <is>
          <t>SIN PRECIO: los precios de churrera, freidora y extracción no están verificados. Presupuéstalo, no lo estimes.</t>
        </is>
      </c>
    </row>
    <row r="38" ht="30" customHeight="1">
      <c r="A38" s="14" t="n">
        <v>5</v>
      </c>
      <c r="B38" s="9" t="inlineStr">
        <is>
          <t>Campana y conducto a cubierta</t>
        </is>
      </c>
      <c r="C38" t="inlineStr"/>
      <c r="D38" s="13" t="inlineStr">
        <is>
          <t>No</t>
        </is>
      </c>
      <c r="E38" t="inlineStr">
        <is>
          <t>CHS-49 (sin verificar)</t>
        </is>
      </c>
      <c r="F38" s="9" t="inlineStr">
        <is>
          <t>SIN PRECIO: los precios de churrera, freidora y extracción no están verificados. Presupuéstalo, no lo estimes.</t>
        </is>
      </c>
    </row>
    <row r="39">
      <c r="A39" s="24" t="n"/>
      <c r="B39" s="24" t="inlineStr">
        <is>
          <t>Equipos de la variante que necesitas</t>
        </is>
      </c>
      <c r="C39" s="27">
        <f>IFERROR(COUNTIF(D34:D38,"Sí"),"")</f>
        <v>0.0</v>
      </c>
      <c r="D39" s="24" t="n"/>
      <c r="E39" s="24" t="n"/>
      <c r="F39" s="24" t="n"/>
    </row>
    <row r="40" ht="46" customHeight="1">
      <c r="B40" s="10" t="inlineStr">
        <is>
          <t>LO QUE TE OBLIGA ADEMÁS</t>
        </is>
      </c>
      <c r="C40" s="30" t="str">
        <f>IFERROR(IF($C$6&lt;&gt;$A$46,"No es tu variante","Si hay freidora de gas, inspeccion periodica obligatoria de la instalacion receptora CADA CINCO ANOS, que en instalaciones de hasta 70 kW incluye los aparatos y comprueba la ventilacion y el volumen minimo del local "),"")</f>
        <v>No es tu variante</v>
      </c>
    </row>
    <row r="41"/>
    <row r="42">
      <c r="A42" s="4" t="inlineStr">
        <is>
          <t>Listas de validación (no las borres: las usan los desplegables)</t>
        </is>
      </c>
    </row>
    <row r="43">
      <c r="A43" s="10" t="inlineStr">
        <is>
          <t>Variante</t>
        </is>
      </c>
      <c r="B43" s="10" t="inlineStr">
        <is>
          <t>Sí o No</t>
        </is>
      </c>
    </row>
    <row r="44">
      <c r="A44" t="inlineStr">
        <is>
          <t>Bombonería (el caso del libro)</t>
        </is>
      </c>
      <c r="B44" t="inlineStr">
        <is>
          <t>Sí</t>
        </is>
      </c>
    </row>
    <row r="45">
      <c r="A45" t="inlineStr">
        <is>
          <t>Bombonería + bean-to-bar</t>
        </is>
      </c>
      <c r="B45" t="inlineStr">
        <is>
          <t>No</t>
        </is>
      </c>
    </row>
    <row r="46">
      <c r="A46" t="inlineStr">
        <is>
          <t>Bombonería + taza y churros</t>
        </is>
      </c>
    </row>
    <row r="47"/>
    <row r="48" ht="48" customHeight="1">
      <c r="A48" s="5" t="inlineStr">
        <is>
          <t>POR QUÉ EL BEAN-TO-BAR VA SIN CIFRAS: no existe precio público verificado del tren completo. Los catálogos existen y están comprobados, pero la venta es a presupuesto o desde tiendas fuera de la Unión. Inventar aquí un número sería justo el patrón que esta casa prohíbe, y en una máquina de tostar el error se paga con la aduana dentro.</t>
        </is>
      </c>
    </row>
    <row r="49" ht="56" customHeight="1">
      <c r="A49" s="5" t="inlineStr">
        <is>
          <t>Y sube de valor por dos motivos legales: si importas grano eres OPERADOR a efectos del reglamento de deforestación -diligencia debida completa, declaración presentada previamente y registro durante cinco años-, y el TOSTADO te puede meter en el catálogo de actividades potencialmente contaminadoras de la atmósfera, cuya nota (2) sube de grupo C a B cuando la actividad está a menos de 500 metros de un núcleo de población: en ciudad, siempre.</t>
        </is>
      </c>
    </row>
    <row r="50" ht="40" customHeight="1">
      <c r="A50" s="5" t="inlineStr">
        <is>
          <t>Ojo con el encaje: «cacao» y «chocolate» tienen CERO ocurrencias en ese catálogo, así que meter el tostado de cacao en «café o similares» es una INTERPRETACIÓN, no una mención expresa. Pregúntalo en tu comunidad antes de comprar el tostador.</t>
        </is>
      </c>
    </row>
    <row r="51"/>
    <row r="52">
      <c r="A52" s="9" t="inlineStr">
        <is>
          <t>Diseñado por John Guerrero — chef y consultor gastronómico desde 2010, en cocina desde los 17 años.</t>
        </is>
      </c>
    </row>
    <row r="53">
      <c r="A53"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2">
    <mergeCell ref="A48:F48"/>
    <mergeCell ref="A50:F50"/>
    <mergeCell ref="A7:B7"/>
    <mergeCell ref="C40:F40"/>
    <mergeCell ref="D6:F6"/>
    <mergeCell ref="C7:F7"/>
    <mergeCell ref="A3:F3"/>
    <mergeCell ref="A53:C53"/>
    <mergeCell ref="A6:B6"/>
    <mergeCell ref="A49:F49"/>
    <mergeCell ref="A52:C52"/>
    <mergeCell ref="C30:F30"/>
  </mergeCells>
  <dataValidations count="3">
    <dataValidation sqref="C6" showDropDown="0" showInputMessage="0" showErrorMessage="1" allowBlank="0" errorTitle="Elige una variante" error="Elige una de las tres opciones de la lista del pie de la hoja." type="list">
      <formula1>=$A$44:$A$46</formula1>
    </dataValidation>
    <dataValidation sqref="C11 C12 C13 C14 C15 C16 C17 C18 C19 C24 C25 C26 C27 C28 D11 D12 D13 D14 D15 D16 D17 D18 D19 D34 D35 D36 D37 D38" showDropDown="0" showInputMessage="0" showErrorMessage="1" allowBlank="0" errorTitle="Marca Sí o No" error="Elige «Sí» o «No» de la lista del pie de la hoja." type="list">
      <formula1>=$B$44:$B$45</formula1>
    </dataValidation>
    <dataValidation sqref="E11 E12 E13 E14 E15 E16 E17 E18 E19" showDropDown="0" showInputMessage="0" showErrorMessage="1" allowBlank="1" errorTitle="Plazo prometido" error="Escribe el plazo en SEMANAS (0 a 104)." type="decimal" operator="between">
      <formula1>0</formula1>
      <formula2>104</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P42"/>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4" customWidth="1" min="3" max="3"/>
    <col width="46" customWidth="1" min="4" max="4"/>
    <col width="10" customWidth="1" min="5" max="5"/>
    <col width="13" customWidth="1" min="6" max="6"/>
    <col width="20" customWidth="1" min="7" max="7"/>
    <col width="15" customWidth="1" min="8" max="8"/>
    <col width="24" customWidth="1" min="9" max="9"/>
    <col width="14" customWidth="1" min="10" max="10"/>
    <col width="14" customWidth="1" min="11" max="11"/>
    <col width="15" customWidth="1" min="12" max="12"/>
    <col width="12" customWidth="1" min="13" max="13"/>
    <col width="54" customWidth="1" min="14" max="14"/>
    <col width="46" customWidth="1" min="15" max="15"/>
    <col width="78" customWidth="1" min="16" max="16"/>
  </cols>
  <sheetData>
    <row r="1" ht="28" customHeight="1">
      <c r="A1" s="1" t="inlineStr">
        <is>
          <t>Proveedores: Operador, Operador Posterior o Comerciante</t>
        </is>
      </c>
    </row>
    <row r="2">
      <c r="A2" t="inlineStr">
        <is>
          <t>AI Chef Pro · aichef.pro — Cómo Montar una Chocolatería</t>
        </is>
      </c>
    </row>
    <row r="3" ht="26" customHeight="1">
      <c r="A3" s="5" t="inlineStr">
        <is>
          <t>Los seis con URL comprobada el 12-09-2026. La columna que decide es la G: el número de referencia de la declaración de diligencia debida SÓLO se le pide a un operador. Pedírselo a un comerciante es pedirle algo que no tiene.</t>
        </is>
      </c>
    </row>
    <row r="4"/>
    <row r="5">
      <c r="A5" s="4" t="inlineStr">
        <is>
          <t>Los seis proveedores verificados</t>
        </is>
      </c>
    </row>
    <row r="6" ht="52" customHeight="1">
      <c r="A6" s="7" t="inlineStr">
        <is>
          <t>Nº</t>
        </is>
      </c>
      <c r="B6" s="7" t="inlineStr">
        <is>
          <t>Proveedor</t>
        </is>
      </c>
      <c r="C6" s="7" t="inlineStr">
        <is>
          <t>Qué te vende</t>
        </is>
      </c>
      <c r="D6" s="7" t="inlineStr">
        <is>
          <t>URL</t>
        </is>
      </c>
      <c r="E6" s="7" t="inlineStr">
        <is>
          <t>Id</t>
        </is>
      </c>
      <c r="F6" s="7" t="inlineStr">
        <is>
          <t>¿Trabajas con él?</t>
        </is>
      </c>
      <c r="G6" s="7" t="inlineStr">
        <is>
          <t>¿Operador, operador posterior o comerciante?</t>
        </is>
      </c>
      <c r="H6" s="7" t="inlineStr">
        <is>
          <t>¿Te ha dado el nº de su DDS?</t>
        </is>
      </c>
      <c r="I6" s="7" t="inlineStr">
        <is>
          <t>Nº de referencia de la DDS</t>
        </is>
      </c>
      <c r="J6" s="7" t="inlineStr">
        <is>
          <t>¿Boletín de cadmio?</t>
        </is>
      </c>
      <c r="K6" s="7" t="inlineStr">
        <is>
          <t>¿Boletín de HAP?</t>
        </is>
      </c>
      <c r="L6" s="7" t="inlineStr">
        <is>
          <t>Pedido mínimo (€)</t>
        </is>
      </c>
      <c r="M6" s="7" t="inlineStr">
        <is>
          <t>Plazo (días)</t>
        </is>
      </c>
      <c r="N6" s="7" t="inlineStr">
        <is>
          <t>Qué papeles le tocan a ÉL</t>
        </is>
      </c>
      <c r="O6" s="7" t="inlineStr">
        <is>
          <t>Semáforo de documentación</t>
        </is>
      </c>
      <c r="P6" s="7" t="inlineStr">
        <is>
          <t>Por qué está en la lista</t>
        </is>
      </c>
    </row>
    <row r="7" ht="60" customHeight="1">
      <c r="A7" s="14" t="n">
        <v>1</v>
      </c>
      <c r="B7" s="9" t="inlineStr">
        <is>
          <t>Callebaut / Barry Callebaut Iberica</t>
        </is>
      </c>
      <c r="C7" s="9" t="inlineStr">
        <is>
          <t>Coberturas y chocolate profesional</t>
        </is>
      </c>
      <c r="D7" t="inlineStr">
        <is>
          <t>https://www.callebaut.com/es-ES/</t>
        </is>
      </c>
      <c r="E7" s="15" t="inlineStr">
        <is>
          <t>CHS-50</t>
        </is>
      </c>
      <c r="F7" s="13" t="inlineStr">
        <is>
          <t>No</t>
        </is>
      </c>
      <c r="G7" s="6" t="inlineStr">
        <is>
          <t>No lo sé</t>
        </is>
      </c>
      <c r="H7" s="13" t="inlineStr">
        <is>
          <t>No lo sé</t>
        </is>
      </c>
      <c r="I7" s="6" t="inlineStr">
        <is>
          <t>Pendiente de pedir</t>
        </is>
      </c>
      <c r="J7" s="13" t="inlineStr">
        <is>
          <t>No lo sé</t>
        </is>
      </c>
      <c r="K7" s="13" t="inlineStr">
        <is>
          <t>No lo sé</t>
        </is>
      </c>
      <c r="L7" s="18" t="n">
        <v>250</v>
      </c>
      <c r="M7" s="19" t="n">
        <v>7</v>
      </c>
      <c r="N7" s="26" t="str">
        <f>IFERROR(IF($G7="","",IF($G7=$A$30,"Sus datos Y el nº de referencia de su DDS (art. 5.3.a)",IF($G7="No aplica: no vende producto del Anexo I","No le pidas papeles EUDR: no vende producto del Anexo I",IF($G7="No lo sé","Pregúntaselo por escrito antes de comprar: de su respuesta depende qué papeles pedirle","Sus datos, su dirección y el producto: el nº de DDS NO se le pide por el art. 5.3.a)")))),"")</f>
        <v>Pregúntaselo por escrito antes de comprar: de su respuesta depende qué papeles pedirle</v>
      </c>
      <c r="O7" s="26" t="str">
        <f>IFERROR(IF($G7="","",IF($G7=$A$30,IF(AND($H7="Sí",$I7&lt;&gt;"Pendiente de pedir"),"Completa: tienes su nº de DDS","FALTA el nº de referencia de su DDS"),IF($G7="No aplica: no vende producto del Anexo I","No aplica: fuera del ámbito EUDR",IF($G7="No lo sé","Pregúntaselo por escrito antes de comprar",IF(OR($J7="No",$K7="No"),"Pídele los boletines de cadmio y de HAP","Completa para su papel en la cadena"))))),"")</f>
        <v>Pregúntaselo por escrito antes de comprar</v>
      </c>
      <c r="P7" s="9" t="inlineStr">
        <is>
          <t>Mayor grupo del sector con presencia industrial en Espana. De aqui sale la referencia de precio del juego de datos (`CHS-28a`): Callebaut 811, bloque de 5 kg a 125,08 euros CON IVA, o sea 25,02 euros/kg.</t>
        </is>
      </c>
    </row>
    <row r="8" ht="60" customHeight="1">
      <c r="A8" s="14" t="n">
        <v>2</v>
      </c>
      <c r="B8" s="9" t="inlineStr">
        <is>
          <t>Asociacion Chocolate Bean to Bar Espana</t>
        </is>
      </c>
      <c r="C8" s="9" t="inlineStr">
        <is>
          <t>Grano de cacao para bean-to-bar</t>
        </is>
      </c>
      <c r="D8" t="inlineStr">
        <is>
          <t>https://www.chocolatebeantobar.com/asociados/</t>
        </is>
      </c>
      <c r="E8" s="15" t="inlineStr">
        <is>
          <t>CHS-51</t>
        </is>
      </c>
      <c r="F8" s="13" t="inlineStr">
        <is>
          <t>No</t>
        </is>
      </c>
      <c r="G8" s="6" t="inlineStr">
        <is>
          <t>No lo sé</t>
        </is>
      </c>
      <c r="H8" s="13" t="inlineStr">
        <is>
          <t>No lo sé</t>
        </is>
      </c>
      <c r="I8" s="6" t="inlineStr">
        <is>
          <t>Pendiente de pedir</t>
        </is>
      </c>
      <c r="J8" s="13" t="inlineStr">
        <is>
          <t>No lo sé</t>
        </is>
      </c>
      <c r="K8" s="13" t="inlineStr">
        <is>
          <t>No lo sé</t>
        </is>
      </c>
      <c r="L8" s="18" t="n">
        <v>250</v>
      </c>
      <c r="M8" s="19" t="n">
        <v>7</v>
      </c>
      <c r="N8" s="26" t="str">
        <f>IFERROR(IF($G8="","",IF($G8=$A$30,"Sus datos Y el nº de referencia de su DDS (art. 5.3.a)",IF($G8="No aplica: no vende producto del Anexo I","No le pidas papeles EUDR: no vende producto del Anexo I",IF($G8="No lo sé","Pregúntaselo por escrito antes de comprar: de su respuesta depende qué papeles pedirle","Sus datos, su dirección y el producto: el nº de DDS NO se le pide por el art. 5.3.a)")))),"")</f>
        <v>Pregúntaselo por escrito antes de comprar: de su respuesta depende qué papeles pedirle</v>
      </c>
      <c r="O8" s="26" t="str">
        <f>IFERROR(IF($G8="","",IF($G8=$A$30,IF(AND($H8="Sí",$I8&lt;&gt;"Pendiente de pedir"),"Completa: tienes su nº de DDS","FALTA el nº de referencia de su DDS"),IF($G8="No aplica: no vende producto del Anexo I","No aplica: fuera del ámbito EUDR",IF($G8="No lo sé","Pregúntaselo por escrito antes de comprar",IF(OR($J8="No",$K8="No"),"Pídele los boletines de cadmio y de HAP","Completa para su papel en la cadena"))))),"")</f>
        <v>Pregúntaselo por escrito antes de comprar</v>
      </c>
      <c r="P8" s="9" t="inlineStr">
        <is>
          <t>La via fiable para el grano: su listado publico permite identificar a los makers y a los importadores. Se publica como «MAS DE 40 MIEMBROS», nunca con una cifra cerrada (`N-18` prohibe «45 miembros»). Ojo: las webs individuales de los proveedores de grano NO se abrieron, asi que no se publica ninguna.</t>
        </is>
      </c>
    </row>
    <row r="9" ht="60" customHeight="1">
      <c r="A9" s="14" t="n">
        <v>3</v>
      </c>
      <c r="B9" s="9" t="inlineStr">
        <is>
          <t>Utilcentre</t>
        </is>
      </c>
      <c r="C9" s="9" t="inlineStr">
        <is>
          <t>Maquinaria de chocolate (distribuidor Selmi y Pavoni)</t>
        </is>
      </c>
      <c r="D9" t="inlineStr">
        <is>
          <t>https://www.utilcentre.com/maquinaria-chocolate.html</t>
        </is>
      </c>
      <c r="E9" s="15" t="inlineStr">
        <is>
          <t>CHS-52</t>
        </is>
      </c>
      <c r="F9" s="13" t="inlineStr">
        <is>
          <t>No</t>
        </is>
      </c>
      <c r="G9" s="6" t="inlineStr">
        <is>
          <t>No aplica: no vende producto del Anexo I</t>
        </is>
      </c>
      <c r="H9" s="13" t="inlineStr">
        <is>
          <t>No lo sé</t>
        </is>
      </c>
      <c r="I9" s="6" t="inlineStr">
        <is>
          <t>Pendiente de pedir</t>
        </is>
      </c>
      <c r="J9" s="13" t="inlineStr">
        <is>
          <t>No lo sé</t>
        </is>
      </c>
      <c r="K9" s="13" t="inlineStr">
        <is>
          <t>No lo sé</t>
        </is>
      </c>
      <c r="L9" s="18" t="n">
        <v>250</v>
      </c>
      <c r="M9" s="19" t="n">
        <v>7</v>
      </c>
      <c r="N9" s="26" t="str">
        <f>IFERROR(IF($G9="","",IF($G9=$A$30,"Sus datos Y el nº de referencia de su DDS (art. 5.3.a)",IF($G9="No aplica: no vende producto del Anexo I","No le pidas papeles EUDR: no vende producto del Anexo I",IF($G9="No lo sé","Pregúntaselo por escrito antes de comprar: de su respuesta depende qué papeles pedirle","Sus datos, su dirección y el producto: el nº de DDS NO se le pide por el art. 5.3.a)")))),"")</f>
        <v>No le pidas papeles EUDR: no vende producto del Anexo I</v>
      </c>
      <c r="O9" s="26" t="str">
        <f>IFERROR(IF($G9="","",IF($G9=$A$30,IF(AND($H9="Sí",$I9&lt;&gt;"Pendiente de pedir"),"Completa: tienes su nº de DDS","FALTA el nº de referencia de su DDS"),IF($G9="No aplica: no vende producto del Anexo I","No aplica: fuera del ámbito EUDR",IF($G9="No lo sé","Pregúntaselo por escrito antes de comprar",IF(OR($J9="No",$K9="No"),"Pídele los boletines de cadmio y de HAP","Completa para su papel en la cadena"))))),"")</f>
        <v>No aplica: fuera del ámbito EUDR</v>
      </c>
      <c r="P9" s="9" t="inlineStr">
        <is>
          <t>Precios publicos, y es de donde salen `CHS-41a` a `CHS-41j` y `CHS-42a` a `CHS-42j`. Base de IVA NO declarada en casi todas sus fichas: es exactamente la trampa que explica el cap. 08.</t>
        </is>
      </c>
    </row>
    <row r="10" ht="60" customHeight="1">
      <c r="A10" s="14" t="n">
        <v>4</v>
      </c>
      <c r="B10" s="9" t="inlineStr">
        <is>
          <t>RestorHome</t>
        </is>
      </c>
      <c r="C10" s="9" t="inlineStr">
        <is>
          <t>Moldes de bomboneria y utensilios</t>
        </is>
      </c>
      <c r="D10" t="inlineStr">
        <is>
          <t>https://www.restorhome.es/471-moldes-bomboneria-Chocolate-World</t>
        </is>
      </c>
      <c r="E10" s="15" t="inlineStr">
        <is>
          <t>CHS-53</t>
        </is>
      </c>
      <c r="F10" s="13" t="inlineStr">
        <is>
          <t>No</t>
        </is>
      </c>
      <c r="G10" s="6" t="inlineStr">
        <is>
          <t>No lo sé</t>
        </is>
      </c>
      <c r="H10" s="13" t="inlineStr">
        <is>
          <t>No lo sé</t>
        </is>
      </c>
      <c r="I10" s="6" t="inlineStr">
        <is>
          <t>Pendiente de pedir</t>
        </is>
      </c>
      <c r="J10" s="13" t="inlineStr">
        <is>
          <t>No lo sé</t>
        </is>
      </c>
      <c r="K10" s="13" t="inlineStr">
        <is>
          <t>No lo sé</t>
        </is>
      </c>
      <c r="L10" s="18" t="n">
        <v>250</v>
      </c>
      <c r="M10" s="19" t="n">
        <v>7</v>
      </c>
      <c r="N10" s="26" t="str">
        <f>IFERROR(IF($G10="","",IF($G10=$A$30,"Sus datos Y el nº de referencia de su DDS (art. 5.3.a)",IF($G10="No aplica: no vende producto del Anexo I","No le pidas papeles EUDR: no vende producto del Anexo I",IF($G10="No lo sé","Pregúntaselo por escrito antes de comprar: de su respuesta depende qué papeles pedirle","Sus datos, su dirección y el producto: el nº de DDS NO se le pide por el art. 5.3.a)")))),"")</f>
        <v>Pregúntaselo por escrito antes de comprar: de su respuesta depende qué papeles pedirle</v>
      </c>
      <c r="O10" s="26" t="str">
        <f>IFERROR(IF($G10="","",IF($G10=$A$30,IF(AND($H10="Sí",$I10&lt;&gt;"Pendiente de pedir"),"Completa: tienes su nº de DDS","FALTA el nº de referencia de su DDS"),IF($G10="No aplica: no vende producto del Anexo I","No aplica: fuera del ámbito EUDR",IF($G10="No lo sé","Pregúntaselo por escrito antes de comprar",IF(OR($J10="No",$K10="No"),"Pídele los boletines de cadmio y de HAP","Completa para su papel en la cadena"))))),"")</f>
        <v>Pregúntaselo por escrito antes de comprar</v>
      </c>
      <c r="P10" s="9" t="inlineStr">
        <is>
          <t>Moldes Chocolate World, Pavoni y Martellato. De aqui sale el rango de 24,20-42,83 euros/ud (`CHS-45a`) que el juego de datos publica COMO RANGO.</t>
        </is>
      </c>
    </row>
    <row r="11" ht="60" customHeight="1">
      <c r="A11" s="14" t="n">
        <v>5</v>
      </c>
      <c r="B11" s="9" t="inlineStr">
        <is>
          <t>SelfPackaging</t>
        </is>
      </c>
      <c r="C11" s="9" t="inlineStr">
        <is>
          <t>Packaging: cajas y estuches para bombones</t>
        </is>
      </c>
      <c r="D11" t="inlineStr">
        <is>
          <t>https://selfpackaging.es/90-cajas-para-bombones</t>
        </is>
      </c>
      <c r="E11" s="15" t="inlineStr">
        <is>
          <t>CHS-54</t>
        </is>
      </c>
      <c r="F11" s="13" t="inlineStr">
        <is>
          <t>No</t>
        </is>
      </c>
      <c r="G11" s="6" t="inlineStr">
        <is>
          <t>No aplica: no vende producto del Anexo I</t>
        </is>
      </c>
      <c r="H11" s="13" t="inlineStr">
        <is>
          <t>No lo sé</t>
        </is>
      </c>
      <c r="I11" s="6" t="inlineStr">
        <is>
          <t>Pendiente de pedir</t>
        </is>
      </c>
      <c r="J11" s="13" t="inlineStr">
        <is>
          <t>No lo sé</t>
        </is>
      </c>
      <c r="K11" s="13" t="inlineStr">
        <is>
          <t>No lo sé</t>
        </is>
      </c>
      <c r="L11" s="18" t="n">
        <v>250</v>
      </c>
      <c r="M11" s="19" t="n">
        <v>7</v>
      </c>
      <c r="N11" s="26" t="str">
        <f>IFERROR(IF($G11="","",IF($G11=$A$30,"Sus datos Y el nº de referencia de su DDS (art. 5.3.a)",IF($G11="No aplica: no vende producto del Anexo I","No le pidas papeles EUDR: no vende producto del Anexo I",IF($G11="No lo sé","Pregúntaselo por escrito antes de comprar: de su respuesta depende qué papeles pedirle","Sus datos, su dirección y el producto: el nº de DDS NO se le pide por el art. 5.3.a)")))),"")</f>
        <v>No le pidas papeles EUDR: no vende producto del Anexo I</v>
      </c>
      <c r="O11" s="26" t="str">
        <f>IFERROR(IF($G11="","",IF($G11=$A$30,IF(AND($H11="Sí",$I11&lt;&gt;"Pendiente de pedir"),"Completa: tienes su nº de DDS","FALTA el nº de referencia de su DDS"),IF($G11="No aplica: no vende producto del Anexo I","No aplica: fuera del ámbito EUDR",IF($G11="No lo sé","Pregúntaselo por escrito antes de comprar",IF(OR($J11="No",$K11="No"),"Pídele los boletines de cadmio y de HAP","Completa para su papel en la cadena"))))),"")</f>
        <v>No aplica: fuera del ámbito EUDR</v>
      </c>
      <c r="P11" s="9" t="inlineStr">
        <is>
          <t>Personalizacion con logo desde pocas unidades. Su web devolvio HTTP 403 al intentar leer precios, asi que el packaging del CAPEX es SUPUESTO.</t>
        </is>
      </c>
    </row>
    <row r="12" ht="60" customHeight="1">
      <c r="A12" s="14" t="n">
        <v>6</v>
      </c>
      <c r="B12" s="9" t="inlineStr">
        <is>
          <t>Gift Campaign</t>
        </is>
      </c>
      <c r="C12" s="9" t="inlineStr">
        <is>
          <t>Regalo corporativo B2B</t>
        </is>
      </c>
      <c r="D12" t="inlineStr">
        <is>
          <t>https://www.giftcampaign.es/dulces-personalizados/chocolates.html</t>
        </is>
      </c>
      <c r="E12" s="15" t="inlineStr">
        <is>
          <t>CHS-55</t>
        </is>
      </c>
      <c r="F12" s="13" t="inlineStr">
        <is>
          <t>No</t>
        </is>
      </c>
      <c r="G12" s="6" t="inlineStr">
        <is>
          <t>No aplica: no vende producto del Anexo I</t>
        </is>
      </c>
      <c r="H12" s="13" t="inlineStr">
        <is>
          <t>No lo sé</t>
        </is>
      </c>
      <c r="I12" s="6" t="inlineStr">
        <is>
          <t>Pendiente de pedir</t>
        </is>
      </c>
      <c r="J12" s="13" t="inlineStr">
        <is>
          <t>No lo sé</t>
        </is>
      </c>
      <c r="K12" s="13" t="inlineStr">
        <is>
          <t>No lo sé</t>
        </is>
      </c>
      <c r="L12" s="18" t="n">
        <v>250</v>
      </c>
      <c r="M12" s="19" t="n">
        <v>7</v>
      </c>
      <c r="N12" s="26" t="str">
        <f>IFERROR(IF($G12="","",IF($G12=$A$30,"Sus datos Y el nº de referencia de su DDS (art. 5.3.a)",IF($G12="No aplica: no vende producto del Anexo I","No le pidas papeles EUDR: no vende producto del Anexo I",IF($G12="No lo sé","Pregúntaselo por escrito antes de comprar: de su respuesta depende qué papeles pedirle","Sus datos, su dirección y el producto: el nº de DDS NO se le pide por el art. 5.3.a)")))),"")</f>
        <v>No le pidas papeles EUDR: no vende producto del Anexo I</v>
      </c>
      <c r="O12" s="26" t="str">
        <f>IFERROR(IF($G12="","",IF($G12=$A$30,IF(AND($H12="Sí",$I12&lt;&gt;"Pendiente de pedir"),"Completa: tienes su nº de DDS","FALTA el nº de referencia de su DDS"),IF($G12="No aplica: no vende producto del Anexo I","No aplica: fuera del ámbito EUDR",IF($G12="No lo sé","Pregúntaselo por escrito antes de comprar",IF(OR($J12="No",$K12="No"),"Pídele los boletines de cadmio y de HAP","Completa para su papel en la cadena"))))),"")</f>
        <v>No aplica: fuera del ámbito EUDR</v>
      </c>
      <c r="P12" s="9" t="inlineStr">
        <is>
          <t>Dos reglas operativas verificadas del canal corporativo: plazo de entrega de 14-16 dias desde la aprobacion de la muestra virtual, y minimos de fabricacion de 10 a 25 cajas. El plazo es lo que decide si aceptas un pedido de empresa en diciembre.</t>
        </is>
      </c>
    </row>
    <row r="13"/>
    <row r="14">
      <c r="A14" s="4" t="inlineStr">
        <is>
          <t>Resumen de la cartera de proveedores</t>
        </is>
      </c>
    </row>
    <row r="15" ht="26" customHeight="1">
      <c r="A15" s="8" t="inlineStr">
        <is>
          <t>Proveedores publicados en esta hoja</t>
        </is>
      </c>
      <c r="F15" s="21">
        <f>COUNTIF($B$7:$B$12,"&lt;&gt;")</f>
        <v>6.0</v>
      </c>
      <c r="H15" s="5" t="inlineStr">
        <is>
          <t>Seis verificados con URL el 12-09-2026. Los que el research recogió sin verificar no entran.</t>
        </is>
      </c>
    </row>
    <row r="16" ht="26" customHeight="1">
      <c r="A16" s="8" t="inlineStr">
        <is>
          <t>Proveedores con los que ya trabajas</t>
        </is>
      </c>
      <c r="F16" s="21">
        <f>COUNTIF($F$7:$F$12,"Sí")</f>
        <v>0.0</v>
      </c>
      <c r="H16" s="5" t="inlineStr">
        <is>
          <t>Empieza por dos o tres: abrir ficha en seis proveedores a la vez es una semana de papeleo y ningún descuento.</t>
        </is>
      </c>
    </row>
    <row r="17" ht="26" customHeight="1">
      <c r="A17" s="8" t="inlineStr">
        <is>
          <t>De ellos, OPERADORES (primera comercialización o exportación)</t>
        </is>
      </c>
      <c r="F17" s="21">
        <f>COUNTIF($G$7:$G$12,"operador")</f>
        <v>0.0</v>
      </c>
      <c r="H17" s="5" t="inlineStr">
        <is>
          <t>A éstos, y sólo a éstos, hay que pedirles el número de referencia de su declaración de diligencia debida.</t>
        </is>
      </c>
    </row>
    <row r="18" ht="26" customHeight="1">
      <c r="A18" s="8" t="inlineStr">
        <is>
          <t>De ellos, operadores posteriores</t>
        </is>
      </c>
      <c r="F18" s="21">
        <f>COUNTIF($G$7:$G$12,"operador posterior")</f>
        <v>0.0</v>
      </c>
      <c r="H18" s="5" t="inlineStr">
        <is>
          <t>Introducen en el mercado productos elaborados con otros YA amparados por una declaración. Es lo que normalmente será tu proveedor de cobertura.</t>
        </is>
      </c>
    </row>
    <row r="19" ht="26" customHeight="1">
      <c r="A19" s="8" t="inlineStr">
        <is>
          <t>De ellos, comerciantes</t>
        </is>
      </c>
      <c r="F19" s="21">
        <f>COUNTIF($G$7:$G$12,"comerciante")</f>
        <v>0.0</v>
      </c>
      <c r="H19" s="5" t="inlineStr">
        <is>
          <t>Ni introducen ni exportan: comercian dentro.</t>
        </is>
      </c>
    </row>
    <row r="20" ht="26" customHeight="1">
      <c r="A20" s="8" t="inlineStr">
        <is>
          <t>Proveedores a los que todavía no les has preguntado</t>
        </is>
      </c>
      <c r="F20" s="21">
        <f>IFERROR($F$15-($F$17+$F$18+$F$19),"")</f>
        <v>6.0</v>
      </c>
      <c r="H20" s="5" t="inlineStr">
        <is>
          <t>Mientras esta cifra no sea cero, no sabes qué papeles te faltan. Es una pregunta de dos líneas en un correo.</t>
        </is>
      </c>
    </row>
    <row r="21" ht="26" customHeight="1">
      <c r="A21" s="8" t="inlineStr">
        <is>
          <t>Operadores que todavía no te han dado su nº de DDS</t>
        </is>
      </c>
      <c r="F21" s="21">
        <f>SUMPRODUCT(--($G$7:$G$12="operador"),--($I$7:$I$12="Pendiente de pedir"))</f>
        <v>0.0</v>
      </c>
      <c r="H21" s="5" t="inlineStr">
        <is>
          <t>Sólo cuenta a los operadores: a los demás no se les pide, y un semáforo que se lo exigiera suspendería a proveedores que cumplen.</t>
        </is>
      </c>
    </row>
    <row r="22" ht="26" customHeight="1">
      <c r="A22" s="8" t="inlineStr">
        <is>
          <t>Proveedores que NO te dan boletín de cadmio</t>
        </is>
      </c>
      <c r="F22" s="21">
        <f>COUNTIF($J$7:$J$12,"No")</f>
        <v>0.0</v>
      </c>
      <c r="H22" s="5" t="inlineStr">
        <is>
          <t>El boletín del proveedor es la primera línea de defensa: la analítica propia es la segunda. La hoja «Cadmio y Analíticas» del libro 8 decide si te hace falta y con qué frecuencia.</t>
        </is>
      </c>
    </row>
    <row r="23" ht="26" customHeight="1">
      <c r="A23" s="8" t="inlineStr">
        <is>
          <t>Proveedores que NO te dan boletín de HAP</t>
        </is>
      </c>
      <c r="F23" s="21">
        <f>COUNTIF($K$7:$K$12,"No")</f>
        <v>0.0</v>
      </c>
      <c r="H23" s="5" t="inlineStr">
        <is>
          <t>Los hidrocarburos aromáticos policíclicos aparecen en el grano y en la fibra de cacao, no en la cobertura terminada: pídeselo sobre todo a quien te venda grano.</t>
        </is>
      </c>
    </row>
    <row r="24" ht="26" customHeight="1">
      <c r="A24" s="8" t="inlineStr">
        <is>
          <t>Pedido mínimo acumulado si pides a todos a la vez (€)</t>
        </is>
      </c>
      <c r="F24" s="22">
        <f>SUM($L$7:$L$12)</f>
        <v>1500.0</v>
      </c>
      <c r="H24" s="5" t="inlineStr">
        <is>
          <t>Es dinero parado en el almacén el día que menos caja tienes. Los pedidos mínimos que vienen puestos son SUPUESTOS: te los confirma cada comercial.</t>
        </is>
      </c>
    </row>
    <row r="25" ht="26" customHeight="1">
      <c r="A25" s="8" t="inlineStr">
        <is>
          <t>Plazo medio de entrega comprometido (días)</t>
        </is>
      </c>
      <c r="F25" s="31">
        <f>IFERROR(AVERAGE($M$7:$M$12),"")</f>
        <v>7.0</v>
      </c>
      <c r="H25" s="5" t="inlineStr">
        <is>
          <t>Con qué antelación tienes que pedir. La antelación de compra por campaña la calcula «campanas-y-valle-del-ano.xlsx».</t>
        </is>
      </c>
    </row>
    <row r="26" ht="40" customHeight="1">
      <c r="A26" s="8" t="inlineStr">
        <is>
          <t>VEREDICTO DE LA DOCUMENTACIÓN</t>
        </is>
      </c>
      <c r="F26" s="30" t="str">
        <f>IFERROR(IF($F$20&gt;0,"Te faltan proveedores por clasificar: pregúntales su papel en la cadena",IF($F$21&gt;0,"Te falta el nº de DDS de algún OPERADOR: sin él no puedes acreditar tu diligencia debida","Documentación coherente con tu papel en la cadena")),"")</f>
        <v>Te faltan proveedores por clasificar: pregúntales su papel en la cadena</v>
      </c>
      <c r="H26" s="5" t="inlineStr"/>
    </row>
    <row r="27"/>
    <row r="28">
      <c r="A28" s="4" t="inlineStr">
        <is>
          <t>Listas de validación (no las borres: las usan los desplegables)</t>
        </is>
      </c>
    </row>
    <row r="29">
      <c r="A29" s="10" t="inlineStr">
        <is>
          <t>Papel en la cadena</t>
        </is>
      </c>
      <c r="B29" s="10" t="inlineStr">
        <is>
          <t>Sí, No o No lo sé</t>
        </is>
      </c>
    </row>
    <row r="30">
      <c r="A30" t="inlineStr">
        <is>
          <t>operador</t>
        </is>
      </c>
      <c r="B30" t="inlineStr">
        <is>
          <t>Sí</t>
        </is>
      </c>
    </row>
    <row r="31">
      <c r="A31" t="inlineStr">
        <is>
          <t>operador posterior</t>
        </is>
      </c>
      <c r="B31" t="inlineStr">
        <is>
          <t>No</t>
        </is>
      </c>
    </row>
    <row r="32">
      <c r="A32" t="inlineStr">
        <is>
          <t>comerciante</t>
        </is>
      </c>
      <c r="B32" t="inlineStr">
        <is>
          <t>No lo sé</t>
        </is>
      </c>
    </row>
    <row r="33">
      <c r="A33" t="inlineStr">
        <is>
          <t>No lo sé</t>
        </is>
      </c>
    </row>
    <row r="34">
      <c r="A34" t="inlineStr">
        <is>
          <t>No aplica: no vende producto del Anexo I</t>
        </is>
      </c>
    </row>
    <row r="35"/>
    <row r="36" ht="48" customHeight="1">
      <c r="A36" s="5" t="inlineStr">
        <is>
          <t>Seis proveedores con URL comprobada el 12-09-2026. El research recogio muchos mas sin verificar y NO se publican. La columna «papel EUDR» va VACIA: la rellena el lector preguntando, y el numero de DDS solo se pide en la rama «operador» (D48). Directorio del grupo: hosply.pro, y su TLS se comprueba ANTES de enlazarlo desde el cap. 13 (precedente: ingredientsindex.pro tiene el certificado roto y 62 posts del blog enlazan a un aviso de seguridad).</t>
        </is>
      </c>
    </row>
    <row r="37" ht="76" customHeight="1">
      <c r="A37" s="5" t="inlineStr">
        <is>
          <t>REDACCION OBLIGATORIA, y el paso es INFERENCIA DECLARADA, no nivel A: «si tu cobertura llega ya comercializada en la UE y amparada por una declaracion de diligencia debida, eres operador posterior (art. 2.15 ter) y el aplazamiento del art. 38.3 -que es para operadores- no te alcanza: tu fecha es el 30 de diciembre de 2026. Si tu cobertura NO esta amparada (compra anterior al EUDR, proveedor que no lo acredita), la calificacion deja de ser automatica y hay que revisarla». Estan PROHIBIDAS «siempre eres operador posterior» y «tu fecha es el 30-12-2026 pase lo que pase». Y la exclusion de los operadores posteriores del punto 15 se PARAFRASEA, no se entrecomilla: consta en la nota de `CHN-22`, no entre las 81 citas del gate de literalidad. Verificado a 12-09-2026: comprueba el estado del EUDR antes de comprar cacao.</t>
        </is>
      </c>
    </row>
    <row r="38" ht="28" customHeight="1">
      <c r="A38" s="5" t="inlineStr">
        <is>
          <t>Directorio HORECA del grupo, con su certificado comprobado antes de publicarlo: https://hosply.pro/?utm_source=guia-chocolateria-obrador&amp;utm_medium=producto&amp;utm_campaign=cap13-proveedores</t>
        </is>
      </c>
    </row>
    <row r="39" ht="40" customHeight="1">
      <c r="A39" s="5" t="inlineStr">
        <is>
          <t>Los pedidos mínimos, los plazos y la respuesta del papel en la cadena que vienen rellenos son SUPUESTOS para que la hoja funcione desde el primer minuto: no son las condiciones de estas empresas ni su clasificación real. Cada una te dará las suyas.</t>
        </is>
      </c>
    </row>
    <row r="40"/>
    <row r="41">
      <c r="A41" s="9" t="inlineStr">
        <is>
          <t>Diseñado por John Guerrero — chef y consultor gastronómico desde 2010, en cocina desde los 17 años.</t>
        </is>
      </c>
    </row>
    <row r="42">
      <c r="A42"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32">
    <mergeCell ref="A39:P39"/>
    <mergeCell ref="H22:P22"/>
    <mergeCell ref="A24:E24"/>
    <mergeCell ref="A20:E20"/>
    <mergeCell ref="A36:P36"/>
    <mergeCell ref="H18:P18"/>
    <mergeCell ref="A38:P38"/>
    <mergeCell ref="H24:P24"/>
    <mergeCell ref="A25:E25"/>
    <mergeCell ref="H26:P26"/>
    <mergeCell ref="A21:E21"/>
    <mergeCell ref="H21:P21"/>
    <mergeCell ref="A41:C41"/>
    <mergeCell ref="A18:E18"/>
    <mergeCell ref="H15:P15"/>
    <mergeCell ref="H17:P17"/>
    <mergeCell ref="A23:E23"/>
    <mergeCell ref="H16:P16"/>
    <mergeCell ref="A22:E22"/>
    <mergeCell ref="H25:P25"/>
    <mergeCell ref="H20:P20"/>
    <mergeCell ref="A16:E16"/>
    <mergeCell ref="F26:G26"/>
    <mergeCell ref="A42:C42"/>
    <mergeCell ref="A19:E19"/>
    <mergeCell ref="H19:P19"/>
    <mergeCell ref="A3:P3"/>
    <mergeCell ref="A37:P37"/>
    <mergeCell ref="A26:E26"/>
    <mergeCell ref="A15:E15"/>
    <mergeCell ref="A17:E17"/>
    <mergeCell ref="H23:P23"/>
  </mergeCells>
  <conditionalFormatting sqref="F20">
    <cfRule type="expression" priority="1" dxfId="2" stopIfTrue="1">
      <formula>=AND(ISNUMBER($F$20),$F$20&gt;0)</formula>
    </cfRule>
  </conditionalFormatting>
  <conditionalFormatting sqref="F21">
    <cfRule type="expression" priority="2" dxfId="0" stopIfTrue="1">
      <formula>=AND(ISNUMBER($F$21),$F$21&gt;0)</formula>
    </cfRule>
  </conditionalFormatting>
  <conditionalFormatting sqref="F22">
    <cfRule type="expression" priority="3" dxfId="2" stopIfTrue="1">
      <formula>=AND(ISNUMBER($F$22),$F$22&gt;0)</formula>
    </cfRule>
  </conditionalFormatting>
  <dataValidations count="4">
    <dataValidation sqref="G7 G8 G9 G10 G11 G12" showDropDown="0" showInputMessage="0" showErrorMessage="1" allowBlank="0" errorTitle="Elige el papel en la cadena" error="Operador, operador posterior o comerciante si te vende producto del Anexo I; «No lo sé» mientras no se lo hayas preguntado, y «No aplica» si ni siquiera te vende un producto pertinente (maquinaria, moldes, packaging, regalo corporativo). La diferencia decide qué papeles pedirle." type="list">
      <formula1>=$A$30:$A$34</formula1>
    </dataValidation>
    <dataValidation sqref="F7 F8 F9 F10 F11 F12 H7 H8 H9 H10 H11 H12 J7 J8 J9 J10 J11 J12 K7 K8 K9 K10 K11 K12" showDropDown="0" showInputMessage="0" showErrorMessage="1" allowBlank="0" errorTitle="Marca Sí, No o No lo sé" error="Elige una de las tres opciones de la lista del pie." type="list">
      <formula1>=$B$30:$B$32</formula1>
    </dataValidation>
    <dataValidation sqref="L7 L8 L9 L10 L11 L12" showDropDown="0" showInputMessage="0" showErrorMessage="1" allowBlank="1" errorTitle="Pedido mínimo" error="Escribe el pedido mínimo en euros, sin IVA." type="decimal" operator="greaterThanOrEqual">
      <formula1>0</formula1>
    </dataValidation>
    <dataValidation sqref="M7 M8 M9 M10 M11 M12" showDropDown="0" showInputMessage="0" showErrorMessage="1" allowBlank="1" errorTitle="Plazo" error="Escribe el plazo de entrega en días (0 a 180)." type="decimal" operator="between">
      <formula1>0</formula1>
      <formula2>180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41"/>
  <sheetViews>
    <sheetView workbookViewId="0">
      <pane xSplit="2" ySplit="9" topLeftCell="C10"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6" customWidth="1" min="3" max="3"/>
    <col width="26" customWidth="1" min="4" max="4"/>
    <col width="30" customWidth="1" min="5" max="5"/>
    <col width="44" customWidth="1" min="6" max="6"/>
    <col width="15" customWidth="1" min="7" max="7"/>
    <col width="17" customWidth="1" min="8" max="8"/>
    <col width="17" customWidth="1" min="9" max="9"/>
    <col width="62" customWidth="1" min="10" max="10"/>
  </cols>
  <sheetData>
    <row r="1" ht="28" customHeight="1">
      <c r="A1" s="1" t="inlineStr">
        <is>
          <t>Clientes a los que Suministras: El Registro del Art. 5.3.b)</t>
        </is>
      </c>
    </row>
    <row r="2">
      <c r="A2" t="inlineStr">
        <is>
          <t>AI Chef Pro · aichef.pro — Cómo Montar una Chocolatería</t>
        </is>
      </c>
    </row>
    <row r="3" ht="26" customHeight="1">
      <c r="A3" s="5" t="inlineStr">
        <is>
          <t>La tabla que no existe en ningún otro libro del catálogo. El mismo artículo que te hace guardar los datos de tus proveedores te obliga a registrar a los operadores posteriores y comerciantes A LOS QUE TÚ HAS SUMINISTRADO. Se conserva cinco años.</t>
        </is>
      </c>
    </row>
    <row r="4"/>
    <row r="5">
      <c r="A5" s="4" t="inlineStr">
        <is>
          <t>Parámetro de esta hoja</t>
        </is>
      </c>
    </row>
    <row r="6">
      <c r="A6" s="10" t="inlineStr">
        <is>
          <t>Años que hay que conservar el registro</t>
        </is>
      </c>
      <c r="C6" s="19" t="n">
        <v>5</v>
      </c>
      <c r="D6" s="5" t="inlineStr">
        <is>
          <t>Cinco años, y de ahí sale la columna «Conservar hasta». Está en celda verde porque es un parámetro normativo: si cambia, se cambia aquí y no en once fórmulas.</t>
        </is>
      </c>
    </row>
    <row r="7"/>
    <row r="8">
      <c r="A8" s="4" t="inlineStr">
        <is>
          <t>A quién le has suministrado, qué y cuándo</t>
        </is>
      </c>
    </row>
    <row r="9" ht="36" customHeight="1">
      <c r="A9" s="7" t="inlineStr">
        <is>
          <t>Nº</t>
        </is>
      </c>
      <c r="B9" s="7" t="inlineStr">
        <is>
          <t>Nombre del cliente</t>
        </is>
      </c>
      <c r="C9" s="7" t="inlineStr">
        <is>
          <t>Dirección o población</t>
        </is>
      </c>
      <c r="D9" s="7" t="inlineStr">
        <is>
          <t>Tipo</t>
        </is>
      </c>
      <c r="E9" s="7" t="inlineStr">
        <is>
          <t>Canal</t>
        </is>
      </c>
      <c r="F9" s="7" t="inlineStr">
        <is>
          <t>Producto suministrado</t>
        </is>
      </c>
      <c r="G9" s="7" t="inlineStr">
        <is>
          <t>Primer suministro</t>
        </is>
      </c>
      <c r="H9" s="7" t="inlineStr">
        <is>
          <t>¿Inscrito en el RGSEAA?</t>
        </is>
      </c>
      <c r="I9" s="7" t="inlineStr">
        <is>
          <t>Conservar hasta</t>
        </is>
      </c>
      <c r="J9" s="7" t="inlineStr">
        <is>
          <t>Notas</t>
        </is>
      </c>
    </row>
    <row r="10" ht="32" customHeight="1">
      <c r="A10" s="14" t="n">
        <v>1</v>
      </c>
      <c r="B10" s="6" t="inlineStr">
        <is>
          <t>Cafeteria El Mirador</t>
        </is>
      </c>
      <c r="C10" s="6" t="inlineStr">
        <is>
          <t>Ciudad de ejemplo</t>
        </is>
      </c>
      <c r="D10" s="6" t="inlineStr">
        <is>
          <t>Hostelería</t>
        </is>
      </c>
      <c r="E10" s="6" t="inlineStr">
        <is>
          <t>B2B a hostelería</t>
        </is>
      </c>
      <c r="F10" s="32" t="inlineStr">
        <is>
          <t>Bombones de coleccion a granel y tabletas</t>
        </is>
      </c>
      <c r="G10" s="29" t="n">
        <v>46277</v>
      </c>
      <c r="H10" s="13" t="inlineStr">
        <is>
          <t>No lo sé</t>
        </is>
      </c>
      <c r="I10" s="33">
        <f>IFERROR(IF($B10="(libre: escribe aquí tu cliente)","",DATE(YEAR($G10)+$C$6,MONTH($G10),DAY($G10))),"")</f>
        <v>48103.0</v>
      </c>
      <c r="J10" s="9" t="inlineStr">
        <is>
          <t>Cliente de EJEMPLO declarado: sustitúyelo por el tuyo. Lo que no es un ejemplo es la obligación de tener esta tabla.</t>
        </is>
      </c>
    </row>
    <row r="11" ht="32" customHeight="1">
      <c r="A11" s="14" t="n">
        <v>2</v>
      </c>
      <c r="B11" s="6" t="inlineStr">
        <is>
          <t>Hotel Plaza Mayor (A&amp;B)</t>
        </is>
      </c>
      <c r="C11" s="6" t="inlineStr">
        <is>
          <t>Ciudad de ejemplo</t>
        </is>
      </c>
      <c r="D11" s="6" t="inlineStr">
        <is>
          <t>Hostelería</t>
        </is>
      </c>
      <c r="E11" s="6" t="inlineStr">
        <is>
          <t>B2B a hostelería</t>
        </is>
      </c>
      <c r="F11" s="32" t="inlineStr">
        <is>
          <t>Bombon de cortesia de habitacion y cajas de 12</t>
        </is>
      </c>
      <c r="G11" s="29" t="n">
        <v>46277</v>
      </c>
      <c r="H11" s="13" t="inlineStr">
        <is>
          <t>No lo sé</t>
        </is>
      </c>
      <c r="I11" s="33">
        <f>IFERROR(IF($B11="(libre: escribe aquí tu cliente)","",DATE(YEAR($G11)+$C$6,MONTH($G11),DAY($G11))),"")</f>
        <v>48103.0</v>
      </c>
      <c r="J11" s="9" t="inlineStr">
        <is>
          <t>Cliente de EJEMPLO declarado: sustitúyelo por el tuyo. Lo que no es un ejemplo es la obligación de tener esta tabla.</t>
        </is>
      </c>
    </row>
    <row r="12" ht="32" customHeight="1">
      <c r="A12" s="14" t="n">
        <v>3</v>
      </c>
      <c r="B12" s="6" t="inlineStr">
        <is>
          <t>Industrias Nogal, S.L.</t>
        </is>
      </c>
      <c r="C12" s="6" t="inlineStr">
        <is>
          <t>Ciudad de ejemplo</t>
        </is>
      </c>
      <c r="D12" s="6" t="inlineStr">
        <is>
          <t>Empresa</t>
        </is>
      </c>
      <c r="E12" s="6" t="inlineStr">
        <is>
          <t>Regalo corporativo</t>
        </is>
      </c>
      <c r="F12" s="32" t="inlineStr">
        <is>
          <t>Estuche corporativo personalizado de 24 bombones</t>
        </is>
      </c>
      <c r="G12" s="29" t="n">
        <v>46277</v>
      </c>
      <c r="H12" s="13" t="inlineStr">
        <is>
          <t>No lo sé</t>
        </is>
      </c>
      <c r="I12" s="33">
        <f>IFERROR(IF($B12="(libre: escribe aquí tu cliente)","",DATE(YEAR($G12)+$C$6,MONTH($G12),DAY($G12))),"")</f>
        <v>48103.0</v>
      </c>
      <c r="J12" s="9" t="inlineStr">
        <is>
          <t>Cliente de EJEMPLO declarado: sustitúyelo por el tuyo. Lo que no es un ejemplo es la obligación de tener esta tabla.</t>
        </is>
      </c>
    </row>
    <row r="13" ht="32" customHeight="1">
      <c r="A13" s="14" t="n">
        <v>4</v>
      </c>
      <c r="B13" s="6" t="inlineStr">
        <is>
          <t>Tienda gourmet La Despensa</t>
        </is>
      </c>
      <c r="C13" s="6" t="inlineStr">
        <is>
          <t>Ciudad de ejemplo</t>
        </is>
      </c>
      <c r="D13" s="6" t="inlineStr">
        <is>
          <t>Minorista de distinta titularidad</t>
        </is>
      </c>
      <c r="E13" s="6" t="inlineStr">
        <is>
          <t>Minorista de distinta titularidad</t>
        </is>
      </c>
      <c r="F13" s="32" t="inlineStr">
        <is>
          <t>Tabletas de origen y almendras banadas</t>
        </is>
      </c>
      <c r="G13" s="29" t="n">
        <v>46277</v>
      </c>
      <c r="H13" s="13" t="inlineStr">
        <is>
          <t>No lo sé</t>
        </is>
      </c>
      <c r="I13" s="33">
        <f>IFERROR(IF($B13="(libre: escribe aquí tu cliente)","",DATE(YEAR($G13)+$C$6,MONTH($G13),DAY($G13))),"")</f>
        <v>48103.0</v>
      </c>
      <c r="J13" s="9" t="inlineStr">
        <is>
          <t>Cliente de EJEMPLO declarado: sustitúyelo por el tuyo. Lo que no es un ejemplo es la obligación de tener esta tabla.</t>
        </is>
      </c>
    </row>
    <row r="14" ht="32" customHeight="1">
      <c r="A14" s="14" t="n">
        <v>5</v>
      </c>
      <c r="B14" s="6" t="inlineStr">
        <is>
          <t>(libre: escribe aquí tu cliente)</t>
        </is>
      </c>
      <c r="C14" s="6" t="inlineStr">
        <is>
          <t>Pendiente</t>
        </is>
      </c>
      <c r="D14" s="6" t="inlineStr">
        <is>
          <t>Consumidor final</t>
        </is>
      </c>
      <c r="E14" s="6" t="inlineStr">
        <is>
          <t>Otro</t>
        </is>
      </c>
      <c r="F14" s="32" t="inlineStr">
        <is>
          <t>Pendiente</t>
        </is>
      </c>
      <c r="G14" s="29" t="n">
        <v>46277</v>
      </c>
      <c r="H14" s="13" t="inlineStr">
        <is>
          <t>No lo sé</t>
        </is>
      </c>
      <c r="I14" s="33">
        <f>IFERROR(IF($B14="(libre: escribe aquí tu cliente)","",DATE(YEAR($G14)+$C$6,MONTH($G14),DAY($G14))),"")</f>
        <v/>
      </c>
      <c r="J14" s="9" t="inlineStr">
        <is>
          <t>Fila libre: escribe aquí tu cliente.</t>
        </is>
      </c>
    </row>
    <row r="15" ht="32" customHeight="1">
      <c r="A15" s="14" t="n">
        <v>6</v>
      </c>
      <c r="B15" s="6" t="inlineStr">
        <is>
          <t>(libre: escribe aquí tu cliente)</t>
        </is>
      </c>
      <c r="C15" s="6" t="inlineStr">
        <is>
          <t>Pendiente</t>
        </is>
      </c>
      <c r="D15" s="6" t="inlineStr">
        <is>
          <t>Consumidor final</t>
        </is>
      </c>
      <c r="E15" s="6" t="inlineStr">
        <is>
          <t>Otro</t>
        </is>
      </c>
      <c r="F15" s="32" t="inlineStr">
        <is>
          <t>Pendiente</t>
        </is>
      </c>
      <c r="G15" s="29" t="n">
        <v>46277</v>
      </c>
      <c r="H15" s="13" t="inlineStr">
        <is>
          <t>No lo sé</t>
        </is>
      </c>
      <c r="I15" s="33">
        <f>IFERROR(IF($B15="(libre: escribe aquí tu cliente)","",DATE(YEAR($G15)+$C$6,MONTH($G15),DAY($G15))),"")</f>
        <v/>
      </c>
      <c r="J15" s="9" t="inlineStr">
        <is>
          <t>Fila libre: escribe aquí tu cliente.</t>
        </is>
      </c>
    </row>
    <row r="16" ht="32" customHeight="1">
      <c r="A16" s="14" t="n">
        <v>7</v>
      </c>
      <c r="B16" s="6" t="inlineStr">
        <is>
          <t>(libre: escribe aquí tu cliente)</t>
        </is>
      </c>
      <c r="C16" s="6" t="inlineStr">
        <is>
          <t>Pendiente</t>
        </is>
      </c>
      <c r="D16" s="6" t="inlineStr">
        <is>
          <t>Consumidor final</t>
        </is>
      </c>
      <c r="E16" s="6" t="inlineStr">
        <is>
          <t>Otro</t>
        </is>
      </c>
      <c r="F16" s="32" t="inlineStr">
        <is>
          <t>Pendiente</t>
        </is>
      </c>
      <c r="G16" s="29" t="n">
        <v>46277</v>
      </c>
      <c r="H16" s="13" t="inlineStr">
        <is>
          <t>No lo sé</t>
        </is>
      </c>
      <c r="I16" s="33">
        <f>IFERROR(IF($B16="(libre: escribe aquí tu cliente)","",DATE(YEAR($G16)+$C$6,MONTH($G16),DAY($G16))),"")</f>
        <v/>
      </c>
      <c r="J16" s="9" t="inlineStr">
        <is>
          <t>Fila libre: escribe aquí tu cliente.</t>
        </is>
      </c>
    </row>
    <row r="17" ht="32" customHeight="1">
      <c r="A17" s="14" t="n">
        <v>8</v>
      </c>
      <c r="B17" s="6" t="inlineStr">
        <is>
          <t>(libre: escribe aquí tu cliente)</t>
        </is>
      </c>
      <c r="C17" s="6" t="inlineStr">
        <is>
          <t>Pendiente</t>
        </is>
      </c>
      <c r="D17" s="6" t="inlineStr">
        <is>
          <t>Consumidor final</t>
        </is>
      </c>
      <c r="E17" s="6" t="inlineStr">
        <is>
          <t>Otro</t>
        </is>
      </c>
      <c r="F17" s="32" t="inlineStr">
        <is>
          <t>Pendiente</t>
        </is>
      </c>
      <c r="G17" s="29" t="n">
        <v>46277</v>
      </c>
      <c r="H17" s="13" t="inlineStr">
        <is>
          <t>No lo sé</t>
        </is>
      </c>
      <c r="I17" s="33">
        <f>IFERROR(IF($B17="(libre: escribe aquí tu cliente)","",DATE(YEAR($G17)+$C$6,MONTH($G17),DAY($G17))),"")</f>
        <v/>
      </c>
      <c r="J17" s="9" t="inlineStr">
        <is>
          <t>Fila libre: escribe aquí tu cliente.</t>
        </is>
      </c>
    </row>
    <row r="18"/>
    <row r="19">
      <c r="A19" s="4" t="inlineStr">
        <is>
          <t>Resumen del registro</t>
        </is>
      </c>
    </row>
    <row r="20" ht="26" customHeight="1">
      <c r="A20" s="8" t="inlineStr">
        <is>
          <t>Clientes registrados</t>
        </is>
      </c>
      <c r="E20" s="21">
        <f>SUMPRODUCT(--($B$10:$B$17&lt;&gt;"(libre: escribe aquí tu cliente)"))</f>
        <v>4.0</v>
      </c>
      <c r="G20" s="5" t="inlineStr">
        <is>
          <t>Las filas libres no cuentan: cuentan las que tienen nombre.</t>
        </is>
      </c>
    </row>
    <row r="21" ht="26" customHeight="1">
      <c r="A21" s="8" t="inlineStr">
        <is>
          <t>De ellos, B2B de hostelería</t>
        </is>
      </c>
      <c r="E21" s="21">
        <f>SUMPRODUCT(--($B$10:$B$17&lt;&gt;"(libre: escribe aquí tu cliente)"),--($E$10:$E$17="B2B a hostelería"))</f>
        <v>2.0</v>
      </c>
      <c r="G21" s="5" t="inlineStr">
        <is>
          <t>Cafeterías, hoteles y restaurantes. Es el canal que puede meterte en el art. 3 del RD 1021/2022.</t>
        </is>
      </c>
    </row>
    <row r="22" ht="26" customHeight="1">
      <c r="A22" s="8" t="inlineStr">
        <is>
          <t>De ellos, regalo corporativo</t>
        </is>
      </c>
      <c r="E22" s="21">
        <f>SUMPRODUCT(--($B$10:$B$17&lt;&gt;"(libre: escribe aquí tu cliente)"),--($E$10:$E$17="Regalo corporativo"))</f>
        <v>1.0</v>
      </c>
      <c r="G22" s="5" t="inlineStr">
        <is>
          <t>El canal de diciembre. Su plazo verificado es de 14 días desde la aprobación de la muestra, con mínimos de 10 a 25 cajas.</t>
        </is>
      </c>
    </row>
    <row r="23" ht="26" customHeight="1">
      <c r="A23" s="8" t="inlineStr">
        <is>
          <t>De ellos, minoristas de DISTINTA titularidad</t>
        </is>
      </c>
      <c r="E23" s="21">
        <f>SUMPRODUCT(--($B$10:$B$17&lt;&gt;"(libre: escribe aquí tu cliente)"),--($D$10:$D$17="Minorista de distinta titularidad"))</f>
        <v>1.0</v>
      </c>
      <c r="G23" s="5" t="inlineStr">
        <is>
          <t>Se cuenta por el TIPO de cliente, no por el canal: a una tienda gourmet se le puede servir por la misma ruta que a una cafetería y sigue siendo un minorista de distinta titularidad. Éstos son los que abren la puerta del art. 3, y si tienes al menos uno la hoja «Suministro a Otros Minoristas» del libro 8 te toca entera.</t>
        </is>
      </c>
    </row>
    <row r="24" ht="26" customHeight="1">
      <c r="A24" s="8" t="inlineStr">
        <is>
          <t>Clientes inscritos en el RGSEAA</t>
        </is>
      </c>
      <c r="E24" s="21">
        <f>SUMPRODUCT(--($B$10:$B$17&lt;&gt;"(libre: escribe aquí tu cliente)"),--($H$10:$H$17="Sí"))</f>
        <v>0.0</v>
      </c>
      <c r="G24" s="5" t="inlineStr">
        <is>
          <t>BASTA UNO para romper el requisito de «restringido» del art. 3, y los tres requisitos son acumulativos. Es la casilla más cara de esta hoja.</t>
        </is>
      </c>
    </row>
    <row r="25" ht="26" customHeight="1">
      <c r="A25" s="8" t="inlineStr">
        <is>
          <t>Fecha hasta la que hay que conservar el registro</t>
        </is>
      </c>
      <c r="E25" s="34">
        <f>IFERROR(MAX($I$10:$I$17),"")</f>
        <v>48103.0</v>
      </c>
      <c r="G25" s="5" t="inlineStr">
        <is>
          <t>La del suministro más reciente más los años del parámetro. Hasta esa fecha, esta tabla es un documento, no una lista de contactos.</t>
        </is>
      </c>
    </row>
    <row r="26" ht="40" customHeight="1">
      <c r="A26" s="8" t="inlineStr">
        <is>
          <t>VEREDICTO DEL REGISTRO</t>
        </is>
      </c>
      <c r="E26" s="30" t="str">
        <f>IFERROR(IF($E$20=0,"Todavía no suministras a nadie: el art. 5.3.b) no te pide nada","Tienes que conservar este registro, con nombre, dirección y producto, durante los años del parámetro"),"")</f>
        <v>Tienes que conservar este registro, con nombre, dirección y producto, durante los años del parámetro</v>
      </c>
      <c r="G26" s="5" t="inlineStr"/>
    </row>
    <row r="27" ht="44" customHeight="1">
      <c r="A27" s="8" t="inlineStr">
        <is>
          <t>Y lo que además te cambia de régimen SANITARIO</t>
        </is>
      </c>
      <c r="E27" s="35" t="str">
        <f>IFERROR(IF($E$23=0,"Ninguno de tus clientes es un minorista de distinta titularidad: el art. 3 del RD 1021/2022 no te aplica",IF($E$24&gt;0,"Tienes un cliente inscrito en el RGSEAA: pierdes «restringido» y el art. 3 deja de ampararte","Suministras a otros minoristas: resuelve los TRES semáforos del art. 3 en el libro 8")),"")</f>
        <v>Suministras a otros minoristas: resuelve los TRES semáforos del art. 3 en el libro 8</v>
      </c>
      <c r="G27" s="5" t="inlineStr"/>
    </row>
    <row r="28"/>
    <row r="29">
      <c r="A29" s="4" t="inlineStr">
        <is>
          <t>Listas de validación (no las borres: las usan los desplegables)</t>
        </is>
      </c>
    </row>
    <row r="30">
      <c r="A30" s="10" t="inlineStr">
        <is>
          <t>Canal</t>
        </is>
      </c>
      <c r="B30" s="10" t="inlineStr">
        <is>
          <t>Tipo de cliente</t>
        </is>
      </c>
      <c r="C30" s="10" t="inlineStr">
        <is>
          <t>Sí, No o No lo sé</t>
        </is>
      </c>
    </row>
    <row r="31">
      <c r="A31" t="inlineStr">
        <is>
          <t>B2B a hostelería</t>
        </is>
      </c>
      <c r="B31" t="inlineStr">
        <is>
          <t>Hostelería</t>
        </is>
      </c>
      <c r="C31" t="inlineStr">
        <is>
          <t>Sí</t>
        </is>
      </c>
    </row>
    <row r="32">
      <c r="A32" t="inlineStr">
        <is>
          <t>Regalo corporativo</t>
        </is>
      </c>
      <c r="B32" t="inlineStr">
        <is>
          <t>Empresa</t>
        </is>
      </c>
      <c r="C32" t="inlineStr">
        <is>
          <t>No</t>
        </is>
      </c>
    </row>
    <row r="33">
      <c r="A33" t="inlineStr">
        <is>
          <t>Minorista de distinta titularidad</t>
        </is>
      </c>
      <c r="B33" t="inlineStr">
        <is>
          <t>Minorista de distinta titularidad</t>
        </is>
      </c>
      <c r="C33" t="inlineStr">
        <is>
          <t>No lo sé</t>
        </is>
      </c>
    </row>
    <row r="34">
      <c r="A34" t="inlineStr">
        <is>
          <t>Otro</t>
        </is>
      </c>
      <c r="B34" t="inlineStr">
        <is>
          <t>Consumidor final</t>
        </is>
      </c>
    </row>
    <row r="35"/>
    <row r="36" ht="76" customHeight="1">
      <c r="A36" s="5" t="inlineStr">
        <is>
          <t>CUATRO CLIENTES FICTICIOS DECLARADOS, para que la tabla del libro 9 tenga forma. Lo que NO es ficticio es la obligacion: registrar a quien suministras (art. 5.3.b) del EUDR, `CHN-24`) y conservarlo cinco anos. Escribir «basta con registrar a tus proveedores» esta PROHIBIDO (§5.1, prohibicion 3).
Y el cuarto cliente es el que cambia tu regimen sanitario: «Tienda gourmet La Despensa» es un MINORISTA DE DISTINTA TITULARIDAD, asi que activa el art. 3 del RD 1021/2022 (`CHN-41`). Basta con que UNO de tus clientes este inscrito en el RGSEAA para romper el requisito de «restringido», y los tres requisitos son ACUMULATIVOS.</t>
        </is>
      </c>
    </row>
    <row r="37" ht="48" customHeight="1">
      <c r="A37" s="5" t="inlineStr">
        <is>
          <t>ESTA TABLA CIERRA EL CÍRCULO CON LA HOJA «Checklist Legal» DEL LIBRO 8: los canales que se salen de la nota del epígrafe 644.5 -online con envío, B2B a hostelería y regalo corporativo- son justo los que hay que registrar aquí. Un mismo cliente puede costarte una pregunta al asesor fiscal y una línea en este registro.</t>
        </is>
      </c>
    </row>
    <row r="38" ht="44" customHeight="1">
      <c r="A38" s="5" t="inlineStr">
        <is>
          <t>Vender online AL CONSUMIDOR FINAL no entra aquí: esto es el registro de los operadores posteriores y comerciantes a los que suministras, no el de tus compradores particulares. Y vender online a toda España tampoco rompe por sí solo el requisito de «localizado» del art. 3, que habla del suministro a otros minoristas.</t>
        </is>
      </c>
    </row>
    <row r="39"/>
    <row r="40">
      <c r="A40" s="9" t="inlineStr">
        <is>
          <t>Diseñado por John Guerrero — chef y consultor gastronómico desde 2010, en cocina desde los 17 años.</t>
        </is>
      </c>
    </row>
    <row r="41">
      <c r="A41"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6">
    <mergeCell ref="A21:D21"/>
    <mergeCell ref="G25:J25"/>
    <mergeCell ref="G20:J20"/>
    <mergeCell ref="A3:J3"/>
    <mergeCell ref="A37:J37"/>
    <mergeCell ref="A23:D23"/>
    <mergeCell ref="G21:J21"/>
    <mergeCell ref="A36:J36"/>
    <mergeCell ref="G23:J23"/>
    <mergeCell ref="A38:J38"/>
    <mergeCell ref="A22:D22"/>
    <mergeCell ref="G22:J22"/>
    <mergeCell ref="A41:C41"/>
    <mergeCell ref="A40:C40"/>
    <mergeCell ref="A26:D26"/>
    <mergeCell ref="G26:J26"/>
    <mergeCell ref="E26:F26"/>
    <mergeCell ref="E27:F27"/>
    <mergeCell ref="A6:B6"/>
    <mergeCell ref="D6:J6"/>
    <mergeCell ref="G27:J27"/>
    <mergeCell ref="A27:D27"/>
    <mergeCell ref="A24:D24"/>
    <mergeCell ref="A20:D20"/>
    <mergeCell ref="G24:J24"/>
    <mergeCell ref="A25:D25"/>
  </mergeCells>
  <conditionalFormatting sqref="E24">
    <cfRule type="expression" priority="1" dxfId="0" stopIfTrue="1">
      <formula>=AND(ISNUMBER($E$24),$E$24&gt;0)</formula>
    </cfRule>
  </conditionalFormatting>
  <dataValidations count="4">
    <dataValidation sqref="E10 E11 E12 E13 E14 E15 E16 E17" showDropDown="0" showInputMessage="0" showErrorMessage="1" allowBlank="0" errorTitle="Elige el canal" error="Elige el canal de la lista del pie de la hoja." type="list">
      <formula1>=$A$31:$A$34</formula1>
    </dataValidation>
    <dataValidation sqref="D10 D11 D12 D13 D14 D15 D16 D17" showDropDown="0" showInputMessage="0" showErrorMessage="1" allowBlank="0" errorTitle="Elige el tipo de cliente" error="Elige el tipo de la lista del pie de la hoja. «Minorista de distinta titularidad» es el que te mete en el art. 3 del RD 1021/2022." type="list">
      <formula1>=$B$31:$B$34</formula1>
    </dataValidation>
    <dataValidation sqref="H10 H11 H12 H13 H14 H15 H16 H17" showDropDown="0" showInputMessage="0" showErrorMessage="1" allowBlank="0" errorTitle="Marca Sí, No o No lo sé" error="Elige una de las tres opciones de la lista del pie." type="list">
      <formula1>=$C$31:$C$33</formula1>
    </dataValidation>
    <dataValidation sqref="G10 G11 G12 G13 G14 G15 G16 G17"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D39"/>
  <sheetViews>
    <sheetView workbookViewId="0">
      <pane ySplit="24" topLeftCell="A25" activePane="bottomLeft" state="frozen"/>
      <selection pane="bottomLeft" activeCell="A1" sqref="A1"/>
    </sheetView>
  </sheetViews>
  <sheetFormatPr baseColWidth="8" defaultRowHeight="15"/>
  <cols>
    <col width="58" customWidth="1" min="1" max="1"/>
    <col width="18" customWidth="1" min="2" max="2"/>
    <col width="18" customWidth="1" min="3" max="3"/>
    <col width="86" customWidth="1" min="4" max="4"/>
  </cols>
  <sheetData>
    <row r="1" ht="28" customHeight="1">
      <c r="A1" s="1" t="inlineStr">
        <is>
          <t>Contador: Cómo Va la Compra</t>
        </is>
      </c>
    </row>
    <row r="2">
      <c r="A2" t="inlineStr">
        <is>
          <t>AI Chef Pro · aichef.pro — Cómo Montar una Chocolatería</t>
        </is>
      </c>
    </row>
    <row r="3" ht="26" customHeight="1">
      <c r="A3" s="5" t="inlineStr">
        <is>
          <t>Todo lo que hay aquí sale de las hojas anteriores. No se teclea nada en esta pantalla.</t>
        </is>
      </c>
    </row>
    <row r="4"/>
    <row r="5">
      <c r="A5" s="4" t="inlineStr">
        <is>
          <t>Avance del equipamiento</t>
        </is>
      </c>
    </row>
    <row r="6" ht="20" customHeight="1">
      <c r="A6" s="7" t="inlineStr">
        <is>
          <t>Concepto</t>
        </is>
      </c>
      <c r="B6" s="7" t="inlineStr">
        <is>
          <t>Valor</t>
        </is>
      </c>
      <c r="C6" s="7" t="inlineStr"/>
      <c r="D6" s="7" t="inlineStr">
        <is>
          <t>Notas</t>
        </is>
      </c>
    </row>
    <row r="7">
      <c r="A7" s="9" t="inlineStr">
        <is>
          <t>Líneas de equipamiento</t>
        </is>
      </c>
      <c r="B7" s="20">
        <f>'Equipamiento'!I34</f>
        <v>17.0</v>
      </c>
      <c r="D7" s="5" t="inlineStr">
        <is>
          <t>Las diecisiete de la dotación, opcionales incluidas.</t>
        </is>
      </c>
    </row>
    <row r="8">
      <c r="A8" s="9" t="inlineStr">
        <is>
          <t>Líneas marcadas como N/A</t>
        </is>
      </c>
      <c r="B8" s="20">
        <f>IFERROR(COUNTIF('Equipamiento'!$A$15:$A$31,"N/A"),"")</f>
        <v>0.0</v>
      </c>
      <c r="D8" s="5" t="inlineStr">
        <is>
          <t>Las que has decidido que no te tocan.</t>
        </is>
      </c>
    </row>
    <row r="9">
      <c r="A9" s="8" t="inlineStr">
        <is>
          <t>Líneas que de verdad vas a comprar</t>
        </is>
      </c>
      <c r="B9" s="36">
        <f>IFERROR(B7-B8,"")</f>
        <v>17.0</v>
      </c>
      <c r="D9" s="5" t="inlineStr">
        <is>
          <t>Es el denominador del avance: lo que no vas a comprar no puede contar como pendiente.</t>
        </is>
      </c>
    </row>
    <row r="10">
      <c r="A10" s="9" t="inlineStr">
        <is>
          <t>Líneas en estado «Instalado»</t>
        </is>
      </c>
      <c r="B10" s="20">
        <f>IFERROR(COUNTIF('Equipamiento'!$A$15:$A$31,"Instalado"),"")</f>
        <v>0.0</v>
      </c>
    </row>
    <row r="11">
      <c r="A11" s="9" t="inlineStr">
        <is>
          <t>Líneas en estado «Recibido»</t>
        </is>
      </c>
      <c r="B11" s="20">
        <f>IFERROR(COUNTIF('Equipamiento'!$A$15:$A$31,"Recibido"),"")</f>
        <v>0.0</v>
      </c>
    </row>
    <row r="12">
      <c r="A12" s="9" t="inlineStr">
        <is>
          <t>Líneas en estado «Pedido»</t>
        </is>
      </c>
      <c r="B12" s="20">
        <f>IFERROR(COUNTIF('Equipamiento'!$A$15:$A$31,"Pedido"),"")</f>
        <v>0.0</v>
      </c>
    </row>
    <row r="13">
      <c r="A13" s="9" t="inlineStr">
        <is>
          <t>Líneas en estado «Presupuestado»</t>
        </is>
      </c>
      <c r="B13" s="20">
        <f>IFERROR(COUNTIF('Equipamiento'!$A$15:$A$31,"Presupuestado"),"")</f>
        <v>0.0</v>
      </c>
    </row>
    <row r="14">
      <c r="A14" s="9" t="inlineStr">
        <is>
          <t>Líneas en estado «Pendiente»</t>
        </is>
      </c>
      <c r="B14" s="20">
        <f>IFERROR(COUNTIF('Equipamiento'!$A$15:$A$31,"Pendiente"),"")</f>
        <v>17.0</v>
      </c>
    </row>
    <row r="15">
      <c r="A15" s="8" t="inlineStr">
        <is>
          <t>Avance de la compra (%)</t>
        </is>
      </c>
      <c r="B15" s="37">
        <f>IFERROR(IF(B9=0,"",B10/B9),"")</f>
        <v>0.0</v>
      </c>
      <c r="D15" s="5" t="inlineStr">
        <is>
          <t>Sólo cuenta «Instalado»: una máquina pedida y no montada no produce ni un bombón.</t>
        </is>
      </c>
    </row>
    <row r="16"/>
    <row r="17">
      <c r="A17" s="4" t="inlineStr">
        <is>
          <t>El dinero</t>
        </is>
      </c>
    </row>
    <row r="18" ht="20" customHeight="1">
      <c r="A18" s="7" t="inlineStr">
        <is>
          <t>Concepto</t>
        </is>
      </c>
      <c r="B18" s="7" t="inlineStr">
        <is>
          <t>Importe</t>
        </is>
      </c>
      <c r="C18" s="7" t="inlineStr"/>
      <c r="D18" s="7" t="inlineStr">
        <is>
          <t>Notas</t>
        </is>
      </c>
    </row>
    <row r="19">
      <c r="A19" s="9" t="inlineStr">
        <is>
          <t>Presupuesto de referencia sin IVA, todas las líneas (€)</t>
        </is>
      </c>
      <c r="B19" s="16">
        <f>'Equipamiento'!I36</f>
        <v>54951.65</v>
      </c>
    </row>
    <row r="20">
      <c r="A20" s="9" t="inlineStr">
        <is>
          <t>Compromiso real negociado sin IVA (€)</t>
        </is>
      </c>
      <c r="B20" s="16">
        <f>'Equipamiento'!I38</f>
        <v>54951.65</v>
      </c>
    </row>
    <row r="21">
      <c r="A21" s="8" t="inlineStr">
        <is>
          <t>Diferencia (real menos referencia, €)</t>
        </is>
      </c>
      <c r="B21" s="38">
        <f>IFERROR(B20-B19,"")</f>
        <v>0.0</v>
      </c>
      <c r="D21" s="5" t="inlineStr">
        <is>
          <t>Negativo es buena noticia: has negociado por debajo de la referencia.</t>
        </is>
      </c>
    </row>
    <row r="22"/>
    <row r="23">
      <c r="A23" s="4" t="inlineStr">
        <is>
          <t>Los papeles</t>
        </is>
      </c>
    </row>
    <row r="24" ht="20" customHeight="1">
      <c r="A24" s="7" t="inlineStr">
        <is>
          <t>Concepto</t>
        </is>
      </c>
      <c r="B24" s="7" t="inlineStr">
        <is>
          <t>Valor</t>
        </is>
      </c>
      <c r="C24" s="7" t="inlineStr"/>
      <c r="D24" s="7" t="inlineStr">
        <is>
          <t>Notas</t>
        </is>
      </c>
    </row>
    <row r="25">
      <c r="A25" s="9" t="inlineStr">
        <is>
          <t>Proveedores publicados</t>
        </is>
      </c>
      <c r="B25" s="20">
        <f>'Proveedores y EUDR'!F15</f>
        <v>6.0</v>
      </c>
    </row>
    <row r="26">
      <c r="A26" s="9" t="inlineStr">
        <is>
          <t>Proveedores sin clasificar en la cadena EUDR</t>
        </is>
      </c>
      <c r="B26" s="20">
        <f>'Proveedores y EUDR'!F20</f>
        <v>6.0</v>
      </c>
      <c r="D26" s="5" t="inlineStr">
        <is>
          <t>Una pregunta de dos líneas en un correo.</t>
        </is>
      </c>
    </row>
    <row r="27">
      <c r="A27" s="9" t="inlineStr">
        <is>
          <t>Operadores que te deben su nº de DDS</t>
        </is>
      </c>
      <c r="B27" s="20">
        <f>'Proveedores y EUDR'!F21</f>
        <v>0.0</v>
      </c>
      <c r="D27" s="5" t="inlineStr">
        <is>
          <t>Sólo los operadores: a los demás no se les pide.</t>
        </is>
      </c>
    </row>
    <row r="28">
      <c r="A28" s="9" t="inlineStr">
        <is>
          <t>Clientes registrados (art. 5.3.b)</t>
        </is>
      </c>
      <c r="B28" s="20">
        <f>'Clientes a los que Suministras'!E20</f>
        <v>4.0</v>
      </c>
    </row>
    <row r="29">
      <c r="A29" s="9" t="inlineStr">
        <is>
          <t>Clientes inscritos en el RGSEAA</t>
        </is>
      </c>
      <c r="B29" s="20">
        <f>'Clientes a los que Suministras'!E24</f>
        <v>0.0</v>
      </c>
      <c r="D29" s="5" t="inlineStr">
        <is>
          <t>Basta uno para perder «restringido» en el art. 3.</t>
        </is>
      </c>
    </row>
    <row r="30"/>
    <row r="31">
      <c r="A31" s="4" t="inlineStr">
        <is>
          <t>Lo que falta para abrir</t>
        </is>
      </c>
    </row>
    <row r="32" ht="40" customHeight="1">
      <c r="A32" s="10" t="inlineStr">
        <is>
          <t>VEREDICTO</t>
        </is>
      </c>
      <c r="B32" s="30" t="str">
        <f>IFERROR(IF(B15&lt;1,"Todavía te falta equipo por instalar: mira la columna del plazo crítico antes de fijar la fecha",IF(B27&gt;0,"El equipo está, pero te faltan papeles del EUDR","Equipo instalado y papeles coherentes: la fecha ya no depende de la maquinaria")),"")</f>
        <v>Todavía te falta equipo por instalar: mira la columna del plazo crítico antes de fijar la fecha</v>
      </c>
    </row>
    <row r="33"/>
    <row r="34" ht="48" customHeight="1">
      <c r="A34" s="5" t="inlineStr">
        <is>
          <t>El plazo crítico de entrega -la celda «Plazo crítico de entrega (semanas)» de la hoja «Equipamiento»- es el dato que se copia en el cronograma del libro «checklist-legal-licencias-y-cacao.xlsx». Si tu ruta crítica de papeleo es más corta que ese plazo, la fecha de apertura la manda la maquinaria, no el ayuntamiento.</t>
        </is>
      </c>
    </row>
    <row r="35" ht="32" customHeight="1">
      <c r="A35" s="5" t="inlineStr">
        <is>
          <t>Y al revés: si el plazo crítico baja porque encuentras la máquina en stock, la fecha vuelve a mandarla el papeleo. Los dos libros hay que mirarlos juntos una vez por semana.</t>
        </is>
      </c>
    </row>
    <row r="36"/>
    <row r="37"/>
    <row r="38">
      <c r="A38" s="9" t="inlineStr">
        <is>
          <t>Diseñado por John Guerrero — chef y consultor gastronómico desde 2010, en cocina desde los 17 años.</t>
        </is>
      </c>
    </row>
    <row r="39">
      <c r="A39"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6">
    <mergeCell ref="A3:D3"/>
    <mergeCell ref="A38:C38"/>
    <mergeCell ref="A35:D35"/>
    <mergeCell ref="B32:D32"/>
    <mergeCell ref="A39:C39"/>
    <mergeCell ref="A34:D34"/>
  </mergeCells>
  <conditionalFormatting sqref="B15">
    <cfRule type="expression" priority="1" dxfId="2" stopIfTrue="1">
      <formula>=AND(ISNUMBER($B$15),$B$15&lt;1)</formula>
    </cfRule>
  </conditionalFormatting>
  <conditionalFormatting sqref="B21">
    <cfRule type="expression" priority="2" dxfId="0" stopIfTrue="1">
      <formula>=AND(ISNUMBER($B$21),$B$21&gt;0)</formula>
    </cfRule>
  </conditionalFormatting>
  <conditionalFormatting sqref="B26">
    <cfRule type="expression" priority="3" dxfId="2" stopIfTrue="1">
      <formula>=AND(ISNUMBER($B$26),$B$26&gt;0)</formula>
    </cfRule>
  </conditionalFormatting>
  <conditionalFormatting sqref="B27">
    <cfRule type="expression" priority="4" dxfId="0" stopIfTrue="1">
      <formula>=AND(ISNUMBER($B$27),$B$27&gt;0)</formula>
    </cfRule>
  </conditionalFormatting>
  <conditionalFormatting sqref="B29">
    <cfRule type="expression" priority="5" dxfId="0" stopIfTrue="1">
      <formula>=AND(ISNUMBER($B$29),$B$29&gt;0)</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de equipamiento y proveedores de cacao</dc:title>
  <dc:subject xmlns:dc="http://purl.org/dc/elements/1.1/">Cómo Montar una Chocolatería · Versión 1.0 · septiembre 2026</dc:subject>
  <dcterms:created xmlns:dcterms="http://purl.org/dc/terms/" xmlns:xsi="http://www.w3.org/2001/XMLSchema-instance" xsi:type="dcterms:W3CDTF">2026-09-12T19:50:51Z</dcterms:created>
  <dcterms:modified xmlns:dcterms="http://purl.org/dc/terms/" xmlns:xsi="http://www.w3.org/2001/XMLSchema-instance" xsi:type="dcterms:W3CDTF">2026-09-12T19:50:52Z</dcterms:modified>
  <cp:lastModifiedBy>AI Chef Pro</cp:lastModifiedBy>
</cp:coreProperties>
</file>