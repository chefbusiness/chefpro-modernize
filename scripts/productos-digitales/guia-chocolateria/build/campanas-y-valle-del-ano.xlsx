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lendario de Campañas" sheetId="3" state="visible" r:id="rId3"/>
    <sheet xmlns:r="http://schemas.openxmlformats.org/officeDocument/2006/relationships" name="Peso sobre el Año" sheetId="4" state="visible" r:id="rId4"/>
    <sheet xmlns:r="http://schemas.openxmlformats.org/officeDocument/2006/relationships" name="Capacidad vs Demanda del Pico" sheetId="5" state="visible" r:id="rId5"/>
    <sheet xmlns:r="http://schemas.openxmlformats.org/officeDocument/2006/relationships" name="Refuerzo y Tesorería" sheetId="6" state="visible" r:id="rId6"/>
    <sheet xmlns:r="http://schemas.openxmlformats.org/officeDocument/2006/relationships" name="El Valle de Agosto" sheetId="7" state="visible" r:id="rId7"/>
  </sheets>
  <definedNames>
    <definedName name="_xlnm.Print_Titles" localSheetId="2">'Calendario de Campañas'!$6:$6</definedName>
    <definedName name="_xlnm.Print_Titles" localSheetId="3">'Peso sobre el Año'!$6:$6</definedName>
    <definedName name="_xlnm.Print_Titles" localSheetId="4">'Capacidad vs Demanda del Pico'!$11:$11</definedName>
    <definedName name="_xlnm.Print_Titles" localSheetId="5">'Refuerzo y Tesorería'!$6:$6</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
  </numFmts>
  <fonts count="11">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8"/>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164" fontId="0" fillId="2" borderId="0" applyProtection="1" pivotButton="0" quotePrefix="0" xfId="0">
      <protection locked="0" hidden="0"/>
    </xf>
    <xf numFmtId="0" fontId="8" fillId="0" borderId="0" pivotButton="0" quotePrefix="0" xfId="0"/>
    <xf numFmtId="0" fontId="8" fillId="0" borderId="0" applyAlignment="1" pivotButton="0" quotePrefix="0" xfId="0">
      <alignment horizontal="general" vertical="top" wrapText="1"/>
    </xf>
    <xf numFmtId="3" fontId="0" fillId="2" borderId="0" applyProtection="1" pivotButton="0" quotePrefix="0" xfId="0">
      <protection locked="0" hidden="0"/>
    </xf>
    <xf numFmtId="165" fontId="0" fillId="2" borderId="0" applyProtection="1" pivotButton="0" quotePrefix="0" xfId="0">
      <protection locked="0" hidden="0"/>
    </xf>
    <xf numFmtId="164" fontId="1" fillId="4" borderId="0" pivotButton="0" quotePrefix="0" xfId="0"/>
    <xf numFmtId="166" fontId="0" fillId="2" borderId="0" applyProtection="1" pivotButton="0" quotePrefix="0" xfId="0">
      <protection locked="0" hidden="0"/>
    </xf>
    <xf numFmtId="165" fontId="0" fillId="0" borderId="0" pivotButton="0" quotePrefix="0" xfId="0"/>
    <xf numFmtId="3" fontId="0" fillId="0" borderId="0" pivotButton="0" quotePrefix="0" xfId="0"/>
    <xf numFmtId="164" fontId="0" fillId="0" borderId="0" pivotButton="0" quotePrefix="0" xfId="0"/>
    <xf numFmtId="0" fontId="9" fillId="0" borderId="0" applyAlignment="1" pivotButton="0" quotePrefix="0" xfId="0">
      <alignment horizontal="general" vertical="top" wrapText="1"/>
    </xf>
    <xf numFmtId="0" fontId="1" fillId="0" borderId="0" pivotButton="0" quotePrefix="0" xfId="0"/>
    <xf numFmtId="3" fontId="1" fillId="0" borderId="0" pivotButton="0" quotePrefix="0" xfId="0"/>
    <xf numFmtId="164" fontId="1" fillId="0" borderId="0" pivotButton="0" quotePrefix="0" xfId="0"/>
    <xf numFmtId="4" fontId="0" fillId="2" borderId="0" applyProtection="1" pivotButton="0" quotePrefix="0" xfId="0">
      <protection locked="0" hidden="0"/>
    </xf>
    <xf numFmtId="166" fontId="0" fillId="0" borderId="0" pivotButton="0" quotePrefix="0" xfId="0"/>
    <xf numFmtId="4" fontId="0" fillId="0" borderId="0" pivotButton="0" quotePrefix="0" xfId="0"/>
    <xf numFmtId="4" fontId="1" fillId="0" borderId="0" pivotButton="0" quotePrefix="0" xfId="0"/>
    <xf numFmtId="166" fontId="1" fillId="0" borderId="0" pivotButton="0" quotePrefix="0" xfId="0"/>
    <xf numFmtId="4" fontId="1" fillId="4" borderId="0" pivotButton="0" quotePrefix="0" xfId="0"/>
    <xf numFmtId="166" fontId="1" fillId="4" borderId="0" pivotButton="0" quotePrefix="0" xfId="0"/>
    <xf numFmtId="0" fontId="1" fillId="4" borderId="0" pivotButton="0" quotePrefix="0" xfId="0"/>
    <xf numFmtId="3" fontId="1" fillId="4" borderId="0" pivotButton="0" quotePrefix="0" xfId="0"/>
    <xf numFmtId="0" fontId="10" fillId="0"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B16" authorId="0" shapeId="0">
      <text>
        <t>Verificado el 12-09-2026 · Ley 37/1992, de 28 de diciembre, del Impuesto sobre el Valor Añadido (BOE-A-1992-28740), texto consolidado · «Última modificación: 28 de febrero de 2026» (Art. 91.Dos.1.1.º (las siete letras: pan común, harinas panificables, leches, quesos, huevos, frutas/verduras/hortalizas/legumbres/tubérc...) · https://www.boe.es/buscar/act.php?id=BOE-A-1992-28740</t>
      </text>
    </comment>
    <comment ref="B19" authorId="0" shapeId="0">
      <text>
        <t>Verificado el 12-09-2026 · Revisión salarial 2026 del convenio 28001025011981 · BOCM núm. 50, de 28-02-2026 (BOCM-20260228-2) · https://www.bocm.es/boletin/CM_Orden_BOCM/2026/02/28/BOCM-20260228-2.PDF</t>
      </text>
    </comment>
    <comment ref="B20" authorId="0" shapeId="0">
      <text>
        <t>Verificado el 12-09-2026 · Revisión salarial 2026 del convenio 28001025011981 · BOCM núm. 50, de 28-02-2026 (BOCM-20260228-2) · https://www.bocm.es/boletin/CM_Orden_BOCM/2026/02/28/BOCM-20260228-2.PDF</t>
      </text>
    </comment>
  </commentList>
</comments>
</file>

<file path=xl/comments/comment2.xml><?xml version="1.0" encoding="utf-8"?>
<comments xmlns="http://schemas.openxmlformats.org/spreadsheetml/2006/main">
  <authors>
    <author>AI Chef Pro</author>
  </authors>
  <commentList>
    <comment ref="B37" authorId="0" shapeId="0">
      <text>
        <t>CHS-34: Estacionalidad — los tres picos del año · fiabilidad media · https://financialfood.es/las-ventas-de-chocolates-y-dulces-pueden-llegar-a-duplicar-el-promedio-anual-en-san-valentin/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90" customWidth="1" min="1" max="1"/>
  </cols>
  <sheetData>
    <row r="1">
      <c r="A1" s="1" t="inlineStr">
        <is>
          <t>Campañas y Valle del Año</t>
        </is>
      </c>
    </row>
    <row r="2">
      <c r="A2" s="2" t="inlineStr">
        <is>
          <t>AI Chef Pro · aichef.pro — Cómo Montar una Chocolatería</t>
        </is>
      </c>
    </row>
    <row r="3">
      <c r="A3" s="3" t="inlineStr">
        <is>
          <t>Para qué sirve: saber si aguantas Navidad antes de que llegue, y de qué vives en julio y en agosto.</t>
        </is>
      </c>
    </row>
    <row r="4"/>
    <row r="5">
      <c r="A5" s="4" t="inlineStr">
        <is>
          <t>Instrucciones de uso</t>
        </is>
      </c>
    </row>
    <row r="6" ht="72" customHeight="1">
      <c r="A6" s="5" t="inlineStr">
        <is>
          <t>1. Hoja «Parámetros». Lo primero son las ventas del año y las piezas de OBRADOR que salen un día normal, que no son lo mismo que las ventas: una caja de 35 bombones es UNA venta y treinta y seis bombones de obrador. Después, el coste por hora del refuerzo, que se calcula con el bruto de tu convenio, las pagas y la Seguridad Social.</t>
        </is>
      </c>
    </row>
    <row r="7" ht="72" customHeight="1">
      <c r="A7" s="5" t="inlineStr">
        <is>
          <t>2. Hoja «Calendario de Campañas». Las doce filas son las del BONUS-02-calendario-anual-tareas.xlsx del Kit de Tareas Chocolatería: las fechas, las acciones clave y los productos destacados están copiados de ahí y no se tocan. Lo que rellenas tú son las unidades del producto estrella un día normal y un día de pico, su PVP y los días que dura la campaña. De ahí salen los euros.</t>
        </is>
      </c>
    </row>
    <row r="8" ht="72" customHeight="1">
      <c r="A8" s="5" t="inlineStr">
        <is>
          <t>3. Hoja «Peso sobre el Año». Doce coeficientes que reparten las ventas del año, más el peso de cada campaña. Los coeficientes son supuestos y su forma la dicta el calendario del kit: diciembre arriba, agosto abajo y siete meses «Alta». Sustitúyelos por los tuyos en cuanto tengas un año de TPV.</t>
        </is>
      </c>
    </row>
    <row r="9" ht="72" customHeight="1">
      <c r="A9" s="5" t="inlineStr">
        <is>
          <t>4. Hoja «Capacidad vs Demanda del Pico». Arriba va la capacidad diaria del obrador, que se COPIA a mano de la hoja «Cuello de Botella» del libro 1: no hay ninguna fórmula entre ficheros, y por eso hay una fila de CUADRE que avisa si las dos cifras se separan. Debajo, mes a mes, si aguantas.</t>
        </is>
      </c>
    </row>
    <row r="10" ht="72" customHeight="1">
      <c r="A10" s="5" t="inlineStr">
        <is>
          <t>5. Hoja «Refuerzo y Tesorería». Personas de refuerzo, horas, antelación de compra de moldes y de packaging, y el dinero que eso deja parado. El resultado incremental de cada campaña es lo que de verdad te deja, ya descontado el refuerzo y el coste de tener el dinero quieto.</t>
        </is>
      </c>
    </row>
    <row r="11" ht="72" customHeight="1">
      <c r="A11" s="5" t="inlineStr">
        <is>
          <t>6. Hoja «El Valle de Agosto». Un mes «Baja» de doce. Lo que para es el obrador, no la caja: la tienda abre para el turista. La hoja calcula la caída del margen al cambiar el mix -menos ganache fresca, más tableta y producto estable- y pone los gastos fijos contra una facturación menor pero NO nula.</t>
        </is>
      </c>
    </row>
    <row r="12"/>
    <row r="13">
      <c r="A13" s="6" t="inlineStr">
        <is>
          <t>Celdas verdes = campos editables</t>
        </is>
      </c>
    </row>
    <row r="14"/>
    <row r="15">
      <c r="A15" s="4" t="inlineStr">
        <is>
          <t>Lo que conviene saber antes de empezar</t>
        </is>
      </c>
    </row>
    <row r="16" ht="86" customHeight="1">
      <c r="A16" s="5" t="inlineStr">
        <is>
          <t>EL CALENDARIO NO ES DE ESTE LIBRO, Y NO SE REESCRIBE. Las fechas, las acciones clave y los productos destacados de los doce meses son los del BONUS-02-calendario-anual-tareas.xlsx del Kit de Tareas Chocolatería (12 €). Aquí están copiados para que las filas tengan nombre y para que los euros cuelguen de algo, no para sustituirlo: si tienes el kit, trabaja con él al lado.</t>
        </is>
      </c>
    </row>
    <row r="17" ht="86" customHeight="1">
      <c r="A17" s="5" t="inlineStr">
        <is>
          <t>LAS COMUNIONES SON CAMPAÑA PROPIA, NO LA COLA DE PASCUA. Lo que las distingue no es el producto: es que el cliente encarga con seis semanas de antelación un detalle de mesa personalizado, así que el obrador trabaja contra pedido firme y con señal -merma cero y tesorería a favor-. Y es la única campaña que reparte su carga en TRES meses (abril, mayo y junio) en vez de concentrarla en una semana.</t>
        </is>
      </c>
    </row>
    <row r="18" ht="86" customHeight="1">
      <c r="A18" s="5" t="inlineStr">
        <is>
          <t>EL VALLE ES AGOSTO, Y ES UN MES DE DOCE. El calendario del kit tiene SIETE meses «Alta», CUATRO «Media» y UNO «Baja», y el único «Baja» es agosto. Junio y julio son «Media»: en junio empieza a cambiar el catálogo y en julio entra el turista. Contar un «valle de tres meses» contradice al calendario que la propia casa publica y te hace presupuestar un agujero que no existe.</t>
        </is>
      </c>
    </row>
    <row r="19" ht="86" customHeight="1">
      <c r="A19" s="5" t="inlineStr">
        <is>
          <t>Y LO QUE PARA EN AGOSTO ES EL OBRADOR, NO LA CAJA. El literal del kit es «la tienda abre para el turista aunque el obrador pare». Se para por tres motivos que el propio kit nombra: mantenimiento profundo, vacaciones escalonadas y el cierre del pedido de coberturas de Navidad. La facturación de agosto es MENOR, no nula, y por eso la hoja pone los gastos fijos contra lo que sí entra.</t>
        </is>
      </c>
    </row>
    <row r="20" ht="86" customHeight="1">
      <c r="A20" s="5" t="inlineStr">
        <is>
          <t>LOS ENVÍOS SON OTRA COSA, Y SE PARAN DE JUNIO A SEPTIEMBRE. Esa parada es de CANAL ONLINE: el chocolate no viaja en verano sin cadena de frío, y los operadores del sector apagan los envíos a mediados de junio. El mostrador sigue vivo los cuatro meses, y en julio y agosto con turista. Meter los dos en el mismo saco es lo que produce el falso valle largo.</t>
        </is>
      </c>
    </row>
    <row r="21" ht="86" customHeight="1">
      <c r="A21" s="5" t="inlineStr">
        <is>
          <t>EL PICO SE MIDE EN BOMBONES DE OBRADOR, NO EN TICKETS. Una caja de 35 bombones es UNA venta y TREINTA Y SEIS bombones de obrador: los 35 bombones más el montaje de la caja. Si mides Navidad en unidades vendidas, el pico parece pequeño y cabe; medido en bombones de obrador, normalmente no cabe, y ésa es justo la decisión que hay que tomar en octubre y no en diciembre.</t>
        </is>
      </c>
    </row>
    <row r="22" ht="86" customHeight="1">
      <c r="A22" s="5" t="inlineStr">
        <is>
          <t>LO QUE SE PUEDE ADELANTAR LO MANDA LA VIDA ÚTIL, NO LAS GANAS. La tableta y la figura aguantan meses; una caja de bombones de ganache fresca, entre diez y quince días según el propio kit. Por eso cada campaña tiene su columna de días de adelanto y no un número único: adelantar producción de ganache es tirar dinero con una semana de diferencia.</t>
        </is>
      </c>
    </row>
    <row r="23" ht="86" customHeight="1">
      <c r="A23" s="5" t="inlineStr">
        <is>
          <t>LA CAPACIDAD DEL OBRADOR SE COPIA A MANO DEL LIBRO 1, Y ESO ES A PROPÓSITO. Ningún libro de este pack tiene una fórmula que apunte a otro fichero: si el otro no está abierto, o le cambias el nombre, o lo mueves de carpeta, la fórmula se rompe y el número desaparece sin avisar. Lo que sí hay es una fila de CUADRE que compara lo que has traído con lo que aquel libro publica y avisa si se han separado.</t>
        </is>
      </c>
    </row>
    <row r="24"/>
    <row r="25" ht="62" customHeight="1">
      <c r="A25" s="5" t="inlineStr">
        <is>
          <t>Cada cuánto se usa este libro: el «Calendario de Campañas» y el «Peso sobre el Año», UNA VEZ AL AÑO, en enero, cuando cierras Reyes y tienes los números frescos. «Capacidad vs Demanda» y «Refuerzo y Tesorería», UNA VEZ POR CAMPAÑA y con la antelación que diga la propia hoja: para Navidad, doce semanas antes de los moldes y catorce de packaging, es decir en septiembre. «El Valle de Agosto», en mayo, que es cuando todavía se puede decidir qué se produce y qué se compra hecho.</t>
        </is>
      </c>
    </row>
    <row r="26"/>
    <row r="27" ht="30" customHeight="1">
      <c r="A27" s="5" t="inlineStr">
        <is>
          <t>Para editar la estructura o una celda que no esté en verde: Revisar &gt; Desproteger hoja (no tiene contraseña).</t>
        </is>
      </c>
    </row>
    <row r="28"/>
    <row r="29">
      <c r="A29" s="5" t="inlineStr">
        <is>
          <t>Diseñado por John Guerrero — chef y consultor gastronómico desde 2010, en cocina desde los 17 años.</t>
        </is>
      </c>
    </row>
    <row r="30">
      <c r="A30"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54" customWidth="1" min="1" max="1"/>
    <col width="16" customWidth="1" min="2" max="2"/>
    <col width="16" customWidth="1" min="3" max="3"/>
    <col width="22" customWidth="1" min="4" max="4"/>
    <col width="88" customWidth="1" min="5" max="5"/>
  </cols>
  <sheetData>
    <row r="1">
      <c r="A1" s="1" t="inlineStr">
        <is>
          <t>Parámetros</t>
        </is>
      </c>
    </row>
    <row r="2">
      <c r="A2" s="2" t="inlineStr">
        <is>
          <t>AI Chef Pro · aichef.pro — Cómo Montar una Chocolatería</t>
        </is>
      </c>
    </row>
    <row r="3">
      <c r="A3" s="3" t="inlineStr">
        <is>
          <t>Ninguna fórmula de este libro lleva un número dentro: ni los días de la semana, ni los del año, ni el tipo de interés. Todo está aquí y todo se puede cambiar.</t>
        </is>
      </c>
    </row>
    <row r="4"/>
    <row r="5">
      <c r="A5" s="4" t="inlineStr">
        <is>
          <t>Volumen, precio y margen</t>
        </is>
      </c>
    </row>
    <row r="6" ht="26" customHeight="1">
      <c r="A6" s="8" t="inlineStr">
        <is>
          <t>Parámetro</t>
        </is>
      </c>
      <c r="B6" s="8" t="inlineStr">
        <is>
          <t>Valor</t>
        </is>
      </c>
      <c r="C6" s="8" t="inlineStr">
        <is>
          <t>Unidad</t>
        </is>
      </c>
      <c r="D6" s="8" t="inlineStr">
        <is>
          <t>De dónde sale</t>
        </is>
      </c>
      <c r="E6" s="8" t="inlineStr">
        <is>
          <t>Nota</t>
        </is>
      </c>
    </row>
    <row r="7" ht="44" customHeight="1">
      <c r="A7" s="5" t="inlineStr">
        <is>
          <t>Ventas anuales sin IVA en velocidad de crucero</t>
        </is>
      </c>
      <c r="B7" s="9" t="n">
        <v>199087.94</v>
      </c>
      <c r="C7" t="inlineStr">
        <is>
          <t>EUR/año</t>
        </is>
      </c>
      <c r="D7" s="10" t="inlineStr">
        <is>
          <t>supuesto</t>
        </is>
      </c>
      <c r="E7" s="11" t="inlineStr">
        <is>
          <t>Sale de la carta y del tráfico supuesto de La Almendra: clientes al día por piezas por ticket por PVP medio ponderado. NO es un dato del sector -no existe ticket medio publicado de chocolatería- y se sustituye por el de tu plan financiero.</t>
        </is>
      </c>
    </row>
    <row r="8" ht="44" customHeight="1">
      <c r="A8" s="5" t="inlineStr">
        <is>
          <t>Clientes al día en velocidad de crucero</t>
        </is>
      </c>
      <c r="B8" s="12" t="n">
        <v>67</v>
      </c>
      <c r="C8" t="inlineStr">
        <is>
          <t>clientes/día</t>
        </is>
      </c>
      <c r="D8" s="10" t="inlineStr">
        <is>
          <t>supuesto</t>
        </is>
      </c>
      <c r="E8" s="11" t="inlineStr">
        <is>
          <t>Mídelo con tu TPV en dos semanas y cámbialo.</t>
        </is>
      </c>
    </row>
    <row r="9" ht="44" customHeight="1">
      <c r="A9" s="5" t="inlineStr">
        <is>
          <t>Piezas de VENTA al día en velocidad de crucero</t>
        </is>
      </c>
      <c r="B9" s="13" t="n">
        <v>93.8</v>
      </c>
      <c r="C9" t="inlineStr">
        <is>
          <t>ventas/día</t>
        </is>
      </c>
      <c r="D9" s="10" t="inlineStr">
        <is>
          <t>supuesto</t>
        </is>
      </c>
      <c r="E9" s="11" t="inlineStr">
        <is>
          <t>Clientes al día por piezas por ticket. Una caja cuenta como UNA.</t>
        </is>
      </c>
    </row>
    <row r="10" ht="44" customHeight="1">
      <c r="A10" s="5" t="inlineStr">
        <is>
          <t>Días de apertura al año</t>
        </is>
      </c>
      <c r="B10" s="12" t="n">
        <v>304</v>
      </c>
      <c r="C10" t="inlineStr">
        <is>
          <t>días</t>
        </is>
      </c>
      <c r="D10" s="10" t="inlineStr">
        <is>
          <t>supuesto</t>
        </is>
      </c>
      <c r="E10" s="11" t="inlineStr">
        <is>
          <t>6 dias por semana x 52 semanas = 312, menos 8 dias de cierre por festivos = 304. En agosto la TIENDA NO CIERRA: lo que para es el obrador (D36, y el literal del kit dice «la tienda abre para el turista aunque el obrador pare»). Una bomboneria de menos de 300 m2 tiene libertad horaria por el art. 5.2 de la Ley 1/2004, no por el 5.1 (`CHN-77`).</t>
        </is>
      </c>
    </row>
    <row r="11" ht="44" customHeight="1">
      <c r="A11" s="5" t="inlineStr">
        <is>
          <t>Ticket medio sin IVA</t>
        </is>
      </c>
      <c r="B11" s="14">
        <f>IFERROR('Parámetros'!$B$7/('Parámetros'!$B$8*'Parámetros'!$B$10),"")</f>
        <v>9.774545365278868</v>
      </c>
      <c r="C11" t="inlineStr">
        <is>
          <t>EUR/ticket</t>
        </is>
      </c>
      <c r="D11" s="10" t="inlineStr">
        <is>
          <t>calculado</t>
        </is>
      </c>
      <c r="E11" s="11" t="inlineStr">
        <is>
          <t>Ventas del año entre clientes al día por días de apertura. No se teclea: si lo tecleas y encima pones las ventas, se pueden contradecir.</t>
        </is>
      </c>
    </row>
    <row r="12" ht="44" customHeight="1">
      <c r="A12" s="5" t="inlineStr">
        <is>
          <t>Bombones al día que salen del obrador en velocidad de crucero</t>
        </is>
      </c>
      <c r="B12" s="12" t="n">
        <v>472</v>
      </c>
      <c r="C12" t="inlineStr">
        <is>
          <t>piezas/día</t>
        </is>
      </c>
      <c r="D12" s="10" t="inlineStr">
        <is>
          <t>supuesto</t>
        </is>
      </c>
      <c r="E12" s="11" t="inlineStr">
        <is>
          <t>NO es lo mismo que las ventas: una caja de 35 bombones es UNA venta y treinta y seis bombones de obrador. Es la MISMA magnitud que el libro 1 publica como «Bombones al día objetivo» (471,81), y por eso se mide en bombones y no en tickets: comparar la capacidad con los tickets es lo que hace creer que Navidad cabe.</t>
        </is>
      </c>
    </row>
    <row r="13" ht="44" customHeight="1">
      <c r="A13" s="5" t="inlineStr">
        <is>
          <t>Horas de obrador al día en jornada normal</t>
        </is>
      </c>
      <c r="B13" s="13" t="n">
        <v>8</v>
      </c>
      <c r="C13" t="inlineStr">
        <is>
          <t>horas</t>
        </is>
      </c>
      <c r="D13" s="10" t="inlineStr">
        <is>
          <t>supuesto</t>
        </is>
      </c>
      <c r="E13" s="11" t="inlineStr">
        <is>
          <t>Horas de reloj que el obrador está en marcha un día cualquiera, no horas de apertura de la tienda.</t>
        </is>
      </c>
    </row>
    <row r="14" ht="44" customHeight="1">
      <c r="A14" s="5" t="inlineStr">
        <is>
          <t>Margen bruto medio con el mix de todo el año</t>
        </is>
      </c>
      <c r="B14" s="15" t="n">
        <v>0.7478</v>
      </c>
      <c r="C14" t="inlineStr">
        <is>
          <t>sobre ventas</t>
        </is>
      </c>
      <c r="D14" s="10" t="inlineStr">
        <is>
          <t>supuesto</t>
        </is>
      </c>
      <c r="E14" s="11" t="inlineStr">
        <is>
          <t>En el ejemplo sale de la carta de La Almendra (libro 4, hoja «Mix y Ticket Medio»), y aquí es una celda verde: este libro no tiene la carta dentro y no puede recalcularlo.</t>
        </is>
      </c>
    </row>
    <row r="15" ht="44" customHeight="1">
      <c r="A15" s="5" t="inlineStr">
        <is>
          <t>Margen bruto medio con el mix de julio y agosto</t>
        </is>
      </c>
      <c r="B15" s="15" t="n">
        <v>0.7422</v>
      </c>
      <c r="C15" t="inlineStr">
        <is>
          <t>sobre ventas</t>
        </is>
      </c>
      <c r="D15" s="10" t="inlineStr">
        <is>
          <t>supuesto</t>
        </is>
      </c>
      <c r="E15" s="11" t="inlineStr">
        <is>
          <t>Menos ganache fresca y más tableta y producto estable -literal del kit-. El margen NO sube por vender tableta: la tableta lleva más chocolate por pieza y menos manos, y en este ejemplo el mix de verano deja algo MENOS de margen. Comprueba el tuyo antes de darlo por bueno.</t>
        </is>
      </c>
    </row>
    <row r="16" ht="44" customHeight="1">
      <c r="A16" s="5" t="inlineStr">
        <is>
          <t>IVA del chocolate</t>
        </is>
      </c>
      <c r="B16" s="15" t="n">
        <v>0.1</v>
      </c>
      <c r="C16" t="inlineStr">
        <is>
          <t>sobre base</t>
        </is>
      </c>
      <c r="D16" s="10" t="inlineStr">
        <is>
          <t>CHN-71</t>
        </is>
      </c>
      <c r="E16" s="11" t="inlineStr">
        <is>
          <t>El chocolate va al 10 % POR EXCLUSIÓN: la lista del 4 % es cerrada y no lo nombra, y tampoco está entre las dos exclusiones del 10 %. Se usa aquí para pasar la facturación de campaña, que se escribe CON IVA porque es precio de mostrador, a base imponible.</t>
        </is>
      </c>
    </row>
    <row r="17"/>
    <row r="18">
      <c r="A18" s="4" t="inlineStr">
        <is>
          <t>Coste del refuerzo (convenio de Madrid, marcado EJEMPLO)</t>
        </is>
      </c>
    </row>
    <row r="19" ht="44" customHeight="1">
      <c r="A19" s="5" t="inlineStr">
        <is>
          <t>Bruto mensual del grupo de convenio del refuerzo</t>
        </is>
      </c>
      <c r="B19" s="9" t="n">
        <v>1192.42</v>
      </c>
      <c r="C19" t="inlineStr">
        <is>
          <t>EUR/mes</t>
        </is>
      </c>
      <c r="D19" s="10" t="inlineStr">
        <is>
          <t>CHN-65b</t>
        </is>
      </c>
      <c r="E19" s="11" t="inlineStr">
        <is>
          <t>Grupo 5, «Personal de apoyo», del convenio de la Comunidad de Madrid (código 28001025011981, denominación oficial en REGCON «CONFITERIAS PASTELERIAS Y REPOSTERIA (COMERCIO E INDUSTRIA)»). Es un EJEMPLO: sustitúyelo por el de TU convenio. Y ojo: está PROBADO que no existe un convenio estatal del chocolate.</t>
        </is>
      </c>
    </row>
    <row r="20" ht="44" customHeight="1">
      <c r="A20" s="5" t="inlineStr">
        <is>
          <t>Pagas del convenio al año</t>
        </is>
      </c>
      <c r="B20" s="12" t="n">
        <v>15</v>
      </c>
      <c r="C20" t="inlineStr">
        <is>
          <t>pagas</t>
        </is>
      </c>
      <c r="D20" s="10" t="inlineStr">
        <is>
          <t>CHN-65b</t>
        </is>
      </c>
      <c r="E20" s="11" t="inlineStr">
        <is>
          <t>El convenio de Madrid paga 15, no 14: cambia el coste mes a mes.</t>
        </is>
      </c>
    </row>
    <row r="21" ht="44" customHeight="1">
      <c r="A21" s="5" t="inlineStr">
        <is>
          <t>Seguridad Social a cargo de la empresa</t>
        </is>
      </c>
      <c r="B21" s="15" t="n">
        <v>0.33</v>
      </c>
      <c r="C21" t="inlineStr">
        <is>
          <t>sobre bruto</t>
        </is>
      </c>
      <c r="D21" s="10" t="inlineStr">
        <is>
          <t>motor.PARAMETROS</t>
        </is>
      </c>
      <c r="E21" s="11" t="inlineStr">
        <is>
          <t>Contingencias comunes, desempleo, FOGASA y formación. Un refuerzo de campaña cuesta un tercio más de lo que pone su nómina.</t>
        </is>
      </c>
    </row>
    <row r="22" ht="44" customHeight="1">
      <c r="A22" s="5" t="inlineStr">
        <is>
          <t>Horas anuales de contrato a jornada completa</t>
        </is>
      </c>
      <c r="B22" s="12" t="n">
        <v>1780</v>
      </c>
      <c r="C22" t="inlineStr">
        <is>
          <t>horas/año</t>
        </is>
      </c>
      <c r="D22" s="10" t="inlineStr">
        <is>
          <t>supuesto</t>
        </is>
      </c>
      <c r="E22" s="11" t="inlineStr">
        <is>
          <t>40 horas por 52 semanas son 2.080, menos vacaciones y festivos.</t>
        </is>
      </c>
    </row>
    <row r="23" ht="44" customHeight="1">
      <c r="A23" s="5" t="inlineStr">
        <is>
          <t>Coste por hora PAGADA del refuerzo</t>
        </is>
      </c>
      <c r="B23" s="14">
        <f>IFERROR('Parámetros'!$B$19*'Parámetros'!$B$20*(1+'Parámetros'!$B$21)/'Parámetros'!$B$22,"")</f>
        <v>13.364482584269666</v>
      </c>
      <c r="C23" t="inlineStr">
        <is>
          <t>EUR/hora</t>
        </is>
      </c>
      <c r="D23" s="10" t="inlineStr">
        <is>
          <t>calculado</t>
        </is>
      </c>
      <c r="E23" s="11" t="inlineStr">
        <is>
          <t>Bruto mensual por pagas por (1 más Seguridad Social), entre las horas anuales de contrato. NO es el «coste de la hora de obrador» del libro 4, que se calcula sobre horas PRODUCTIVAS y sobre otros grupos: las dos son correctas y miden denominadores distintos.</t>
        </is>
      </c>
    </row>
    <row r="24"/>
    <row r="25">
      <c r="A25" s="4" t="inlineStr">
        <is>
          <t>Dinero, umbrales y calendario</t>
        </is>
      </c>
    </row>
    <row r="26" ht="44" customHeight="1">
      <c r="A26" s="5" t="inlineStr">
        <is>
          <t>Tipo de interés anual del circulante</t>
        </is>
      </c>
      <c r="B26" s="15" t="n">
        <v>0.062</v>
      </c>
      <c r="C26" t="inlineStr">
        <is>
          <t>anual</t>
        </is>
      </c>
      <c r="D26" s="10" t="inlineStr">
        <is>
          <t>supuesto</t>
        </is>
      </c>
      <c r="E26" s="11" t="inlineStr">
        <is>
          <t>Coste del dinero parado en moldes y packaging de temporada. Si financias la compra con póliza, pon el tipo de tu póliza; si la pagas de tu caja, pon lo que te costaría pedirla.</t>
        </is>
      </c>
    </row>
    <row r="27" ht="44" customHeight="1">
      <c r="A27" s="5" t="inlineStr">
        <is>
          <t>Gastos fijos mensuales</t>
        </is>
      </c>
      <c r="B27" s="9" t="n">
        <v>10212.17</v>
      </c>
      <c r="C27" t="inlineStr">
        <is>
          <t>EUR/mes</t>
        </is>
      </c>
      <c r="D27" s="10" t="inlineStr">
        <is>
          <t>supuesto</t>
        </is>
      </c>
      <c r="E27" s="11" t="inlineStr">
        <is>
          <t>Los del año de crucero, con personal, autónomos, alquiler, suministros, amortización y financieros dentro. Es la cifra contra la que se mide agosto, y por eso es una celda verde: el que manda es tu plan financiero.</t>
        </is>
      </c>
    </row>
    <row r="28" ht="44" customHeight="1">
      <c r="A28" s="5" t="inlineStr">
        <is>
          <t>Umbral para marcar una campaña como grande</t>
        </is>
      </c>
      <c r="B28" s="15" t="n">
        <v>0.08</v>
      </c>
      <c r="C28" t="inlineStr">
        <is>
          <t>de las ventas del año</t>
        </is>
      </c>
      <c r="D28" s="10" t="inlineStr">
        <is>
          <t>supuesto</t>
        </is>
      </c>
      <c r="E28" s="11" t="inlineStr">
        <is>
          <t>Criterio de la casa, no del sector. Por encima de este peso, la campaña deja de ser una fecha y pasa a ser una decisión de compra, de personal y de tesorería.</t>
        </is>
      </c>
    </row>
    <row r="29" ht="44" customHeight="1">
      <c r="A29" s="5" t="inlineStr">
        <is>
          <t>Tolerancia de las filas de CUADRE</t>
        </is>
      </c>
      <c r="B29" s="15" t="n">
        <v>0.02</v>
      </c>
      <c r="C29" t="inlineStr">
        <is>
          <t>desviación</t>
        </is>
      </c>
      <c r="D29" s="10" t="inlineStr">
        <is>
          <t>supuesto</t>
        </is>
      </c>
      <c r="E29" s="11" t="inlineStr">
        <is>
          <t>Por encima de esta desviación, la fila de CUADRE avisa de que lo que has traído de otro libro ya no es lo que aquel publica.</t>
        </is>
      </c>
    </row>
    <row r="30" ht="44" customHeight="1">
      <c r="A30" s="5" t="inlineStr">
        <is>
          <t>Días por semana</t>
        </is>
      </c>
      <c r="B30" s="12" t="n">
        <v>7</v>
      </c>
      <c r="C30" t="inlineStr">
        <is>
          <t>días</t>
        </is>
      </c>
      <c r="D30" s="10" t="inlineStr">
        <is>
          <t>calendario</t>
        </is>
      </c>
      <c r="E30" s="11" t="inlineStr">
        <is>
          <t>Vive aquí porque las antelaciones de compra se cuentan en SEMANAS y el coste financiero en días: ninguna fórmula del libro lleva un número dentro.</t>
        </is>
      </c>
    </row>
    <row r="31" ht="44" customHeight="1">
      <c r="A31" s="5" t="inlineStr">
        <is>
          <t>Días del año para el coste financiero</t>
        </is>
      </c>
      <c r="B31" s="12" t="n">
        <v>365</v>
      </c>
      <c r="C31" t="inlineStr">
        <is>
          <t>días</t>
        </is>
      </c>
      <c r="D31" s="10" t="inlineStr">
        <is>
          <t>convención</t>
        </is>
      </c>
      <c r="E31" s="11" t="inlineStr">
        <is>
          <t>Base de cálculo del interés del circulante. Tu banco puede usar 360: cámbialo aquí y todo el libro se recalcula.</t>
        </is>
      </c>
    </row>
    <row r="32"/>
    <row r="33">
      <c r="A3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S23"/>
  <sheetViews>
    <sheetView workbookViewId="0">
      <selection activeCell="A1" sqref="A1"/>
    </sheetView>
  </sheetViews>
  <sheetFormatPr baseColWidth="8" defaultRowHeight="15"/>
  <cols>
    <col width="12" customWidth="1" min="1" max="1"/>
    <col width="13" customWidth="1" min="2" max="2"/>
    <col width="30" customWidth="1" min="3" max="3"/>
    <col width="12" customWidth="1" min="4" max="4"/>
    <col width="40" customWidth="1" min="5" max="5"/>
    <col width="13" customWidth="1" min="6" max="6"/>
    <col width="13" customWidth="1" min="7" max="7"/>
    <col width="13" customWidth="1" min="8" max="8"/>
    <col width="13" customWidth="1" min="9" max="9"/>
    <col width="12" customWidth="1" min="10" max="10"/>
    <col width="11" customWidth="1" min="11" max="11"/>
    <col width="14" customWidth="1" min="12" max="12"/>
    <col width="14" customWidth="1" min="13" max="13"/>
    <col width="14" customWidth="1" min="14" max="14"/>
    <col width="14" customWidth="1" min="15" max="15"/>
    <col width="13" customWidth="1" min="16" max="16"/>
    <col width="72" customWidth="1" min="17" max="17"/>
    <col width="40" customWidth="1" min="18" max="18"/>
    <col width="66" customWidth="1" min="19" max="19"/>
  </cols>
  <sheetData>
    <row r="1">
      <c r="A1" s="1" t="inlineStr">
        <is>
          <t>Calendario de Campañas</t>
        </is>
      </c>
    </row>
    <row r="2">
      <c r="A2" s="2" t="inlineStr">
        <is>
          <t>AI Chef Pro · aichef.pro — Cómo Montar una Chocolatería</t>
        </is>
      </c>
    </row>
    <row r="3">
      <c r="A3" s="3" t="inlineStr">
        <is>
          <t>Las FECHAS, las acciones clave y los productos destacados son del BONUS-02-calendario-anual-tareas.xlsx del Kit de Tareas Chocolatería, copiados fila a fila y SIN reescribir. Esta hoja pone los EUROS.</t>
        </is>
      </c>
    </row>
    <row r="4"/>
    <row r="5"/>
    <row r="6" ht="74" customHeight="1">
      <c r="A6" s="8" t="inlineStr">
        <is>
          <t>Mes</t>
        </is>
      </c>
      <c r="B6" s="8" t="inlineStr">
        <is>
          <t>Temporada que declara el kit</t>
        </is>
      </c>
      <c r="C6" s="8" t="inlineStr">
        <is>
          <t>Campaña</t>
        </is>
      </c>
      <c r="D6" s="8" t="inlineStr">
        <is>
          <t>¿Campaña propia?</t>
        </is>
      </c>
      <c r="E6" s="8" t="inlineStr">
        <is>
          <t>Producto estrella</t>
        </is>
      </c>
      <c r="F6" s="8" t="inlineStr">
        <is>
          <t>Bombones de obrador por unidad</t>
        </is>
      </c>
      <c r="G6" s="8" t="inlineStr">
        <is>
          <t>Unidades al día fuera de campaña</t>
        </is>
      </c>
      <c r="H6" s="8" t="inlineStr">
        <is>
          <t>Unidades al día en el pico</t>
        </is>
      </c>
      <c r="I6" s="8" t="inlineStr">
        <is>
          <t>PVP de campaña con IVA (EUR)</t>
        </is>
      </c>
      <c r="J6" s="8" t="inlineStr">
        <is>
          <t>Días de campaña</t>
        </is>
      </c>
      <c r="K6" s="8" t="inlineStr">
        <is>
          <t>Factor del pico</t>
        </is>
      </c>
      <c r="L6" s="8" t="inlineStr">
        <is>
          <t>Unidades incrementales de la campaña</t>
        </is>
      </c>
      <c r="M6" s="8" t="inlineStr">
        <is>
          <t>Facturación de la campaña con IVA (EUR)</t>
        </is>
      </c>
      <c r="N6" s="8" t="inlineStr">
        <is>
          <t>Facturación de la campaña sin IVA (EUR)</t>
        </is>
      </c>
      <c r="O6" s="8" t="inlineStr">
        <is>
          <t>Facturación INCREMENTAL sin IVA (EUR)</t>
        </is>
      </c>
      <c r="P6" s="8" t="inlineStr">
        <is>
          <t>Días de adelanto que admite</t>
        </is>
      </c>
      <c r="Q6" s="8" t="inlineStr">
        <is>
          <t>Acciones clave que publica el kit</t>
        </is>
      </c>
      <c r="R6" s="8" t="inlineStr">
        <is>
          <t>Productos destacados que publica el kit</t>
        </is>
      </c>
      <c r="S6" s="8" t="inlineStr">
        <is>
          <t>Nota</t>
        </is>
      </c>
    </row>
    <row r="7" ht="78" customHeight="1">
      <c r="A7" t="inlineStr">
        <is>
          <t>Enero</t>
        </is>
      </c>
      <c r="B7" t="inlineStr">
        <is>
          <t>Media</t>
        </is>
      </c>
      <c r="C7" s="5" t="inlineStr">
        <is>
          <t>Reyes</t>
        </is>
      </c>
      <c r="D7" t="inlineStr">
        <is>
          <t>No</t>
        </is>
      </c>
      <c r="E7" s="5" t="inlineStr">
        <is>
          <t>TF4 - Turron de chocolate con almendra, 250 g</t>
        </is>
      </c>
      <c r="F7" s="12" t="n">
        <v>1</v>
      </c>
      <c r="G7" s="12" t="n">
        <v>0</v>
      </c>
      <c r="H7" s="12" t="n">
        <v>40</v>
      </c>
      <c r="I7" s="9" t="n">
        <v>18.5</v>
      </c>
      <c r="J7" s="12" t="n">
        <v>5</v>
      </c>
      <c r="K7" s="16">
        <f>IFERROR(H7/G7,"")</f>
        <v/>
      </c>
      <c r="L7" s="17">
        <f>IFERROR((H7-G7)*J7,"")</f>
        <v>200.0</v>
      </c>
      <c r="M7" s="18">
        <f>IFERROR(H7*J7*I7,"")</f>
        <v>3700.0</v>
      </c>
      <c r="N7" s="18">
        <f>IFERROR(M7/(1+'Parámetros'!$B$16),"")</f>
        <v>3363.6363636363635</v>
      </c>
      <c r="O7" s="18">
        <f>IFERROR(L7*I7/(1+'Parámetros'!$B$16),"")</f>
        <v>3363.6363636363635</v>
      </c>
      <c r="P7" s="12" t="n">
        <v>20</v>
      </c>
      <c r="Q7" s="19" t="inlineStr">
        <is>
          <t>Reyes (6): liquidar turron y figuras de Navidad · rebajas post-Navidad · lanzar la coleccion de invierno · planificar San Valentin</t>
        </is>
      </c>
      <c r="R7" s="19" t="inlineStr">
        <is>
          <t>Trufas, bombones especiados, chocolate caliente</t>
        </is>
      </c>
      <c r="S7" s="11" t="inlineStr">
        <is>
          <t>Fecha menor: cierra la produccion de Navidad y liquida el stock. Lo que se produce para Reyes ya esta hecho en diciembre.</t>
        </is>
      </c>
    </row>
    <row r="8" ht="78" customHeight="1">
      <c r="A8" t="inlineStr">
        <is>
          <t>Febrero</t>
        </is>
      </c>
      <c r="B8" t="inlineStr">
        <is>
          <t>Alta</t>
        </is>
      </c>
      <c r="C8" s="5" t="inlineStr">
        <is>
          <t>San Valentin</t>
        </is>
      </c>
      <c r="D8" t="inlineStr">
        <is>
          <t>Sí</t>
        </is>
      </c>
      <c r="E8" s="5" t="inlineStr">
        <is>
          <t>CJ1 - Caja surtida de 12 bombones</t>
        </is>
      </c>
      <c r="F8" s="12" t="n">
        <v>13</v>
      </c>
      <c r="G8" s="12" t="n">
        <v>8</v>
      </c>
      <c r="H8" s="12" t="n">
        <v>55</v>
      </c>
      <c r="I8" s="9" t="n">
        <v>20</v>
      </c>
      <c r="J8" s="12" t="n">
        <v>6</v>
      </c>
      <c r="K8" s="16">
        <f>IFERROR(H8/G8,"")</f>
        <v>6.875</v>
      </c>
      <c r="L8" s="17">
        <f>IFERROR((H8-G8)*J8,"")</f>
        <v>282.0</v>
      </c>
      <c r="M8" s="18">
        <f>IFERROR(H8*J8*I8,"")</f>
        <v>6600.0</v>
      </c>
      <c r="N8" s="18">
        <f>IFERROR(M8/(1+'Parámetros'!$B$16),"")</f>
        <v>5999.999999999999</v>
      </c>
      <c r="O8" s="18">
        <f>IFERROR(L8*I8/(1+'Parámetros'!$B$16),"")</f>
        <v>5127.272727272727</v>
      </c>
      <c r="P8" s="12" t="n">
        <v>8</v>
      </c>
      <c r="Q8" s="19" t="inlineStr">
        <is>
          <t>San Valentin (14): corazones y edicion limitada · fecha limite de encargos el dia 10 · entregas expres los dias 13 y 14</t>
        </is>
      </c>
      <c r="R8" s="19" t="inlineStr">
        <is>
          <t>Corazones, bombones premium, tabletas personalizadas</t>
        </is>
      </c>
      <c r="S8" s="11" t="inlineStr">
        <is>
          <t>El pico de regalo. `CHS-34` mide que las ventas de chocolates y dulces pueden DUPLICAR el promedio anual en San Valentin, y que hay companias que hacen en ese solo evento hasta el 10 % de su venta anual: ese 10 % es de una compania concreta, no una regla del sector. La fecha limite de encargos la publica el propio kit: el dia 10.</t>
        </is>
      </c>
    </row>
    <row r="9" ht="78" customHeight="1">
      <c r="A9" t="inlineStr">
        <is>
          <t>Marzo</t>
        </is>
      </c>
      <c r="B9" t="inlineStr">
        <is>
          <t>Alta</t>
        </is>
      </c>
      <c r="C9" s="5" t="inlineStr">
        <is>
          <t>Dia del Padre</t>
        </is>
      </c>
      <c r="D9" t="inlineStr">
        <is>
          <t>No</t>
        </is>
      </c>
      <c r="E9" s="5" t="inlineStr">
        <is>
          <t>CJ1 - Caja surtida de 12 bombones</t>
        </is>
      </c>
      <c r="F9" s="12" t="n">
        <v>13</v>
      </c>
      <c r="G9" s="12" t="n">
        <v>8</v>
      </c>
      <c r="H9" s="12" t="n">
        <v>26</v>
      </c>
      <c r="I9" s="9" t="n">
        <v>20</v>
      </c>
      <c r="J9" s="12" t="n">
        <v>4</v>
      </c>
      <c r="K9" s="16">
        <f>IFERROR(H9/G9,"")</f>
        <v>3.25</v>
      </c>
      <c r="L9" s="17">
        <f>IFERROR((H9-G9)*J9,"")</f>
        <v>72.0</v>
      </c>
      <c r="M9" s="18">
        <f>IFERROR(H9*J9*I9,"")</f>
        <v>2080.0</v>
      </c>
      <c r="N9" s="18">
        <f>IFERROR(M9/(1+'Parámetros'!$B$16),"")</f>
        <v>1890.9090909090908</v>
      </c>
      <c r="O9" s="18">
        <f>IFERROR(L9*I9/(1+'Parámetros'!$B$16),"")</f>
        <v>1309.090909090909</v>
      </c>
      <c r="P9" s="12" t="n">
        <v>8</v>
      </c>
      <c r="Q9" s="19" t="inlineStr">
        <is>
          <t>Dia del Padre (19) · preparacion de Pascua (fecha movil) · talleres infantiles de Semana Santa</t>
        </is>
      </c>
      <c r="R9" s="19" t="inlineStr">
        <is>
          <t>Figuras, huevos, monas de chocolate</t>
        </is>
      </c>
      <c r="S9" s="11" t="inlineStr">
        <is>
          <t>Fecha menor, y el mes en el que ya hay que estar produciendo Pascua. Los talleres infantiles de Semana Santa son la primera vez del ano en que la sala factura por hora en vez de por bombon.</t>
        </is>
      </c>
    </row>
    <row r="10" ht="78" customHeight="1">
      <c r="A10" t="inlineStr">
        <is>
          <t>Abril</t>
        </is>
      </c>
      <c r="B10" t="inlineStr">
        <is>
          <t>Alta</t>
        </is>
      </c>
      <c r="C10" s="5" t="inlineStr">
        <is>
          <t>Pascua</t>
        </is>
      </c>
      <c r="D10" t="inlineStr">
        <is>
          <t>Sí</t>
        </is>
      </c>
      <c r="E10" s="5" t="inlineStr">
        <is>
          <t>TF1 - Huevo de Pascua de chocolate con leche, 250 g</t>
        </is>
      </c>
      <c r="F10" s="12" t="n">
        <v>1</v>
      </c>
      <c r="G10" s="12" t="n">
        <v>2</v>
      </c>
      <c r="H10" s="12" t="n">
        <v>30</v>
      </c>
      <c r="I10" s="9" t="n">
        <v>18.5</v>
      </c>
      <c r="J10" s="12" t="n">
        <v>10</v>
      </c>
      <c r="K10" s="16">
        <f>IFERROR(H10/G10,"")</f>
        <v>15.0</v>
      </c>
      <c r="L10" s="17">
        <f>IFERROR((H10-G10)*J10,"")</f>
        <v>280.0</v>
      </c>
      <c r="M10" s="18">
        <f>IFERROR(H10*J10*I10,"")</f>
        <v>5550.0</v>
      </c>
      <c r="N10" s="18">
        <f>IFERROR(M10/(1+'Parámetros'!$B$16),"")</f>
        <v>5045.454545454545</v>
      </c>
      <c r="O10" s="18">
        <f>IFERROR(L10*I10/(1+'Parámetros'!$B$16),"")</f>
        <v>4709.090909090909</v>
      </c>
      <c r="P10" s="12" t="n">
        <v>20</v>
      </c>
      <c r="Q10" s="19" t="inlineStr">
        <is>
          <t>Semana Santa y Pascua: monas y huevos · arrancan las COMUNIONES (abril-junio): detalles de mesa, figuras y cajas personalizadas</t>
        </is>
      </c>
      <c r="R10" s="19" t="inlineStr">
        <is>
          <t>Huevos, conejos, bombones florales</t>
        </is>
      </c>
      <c r="S10" s="11" t="inlineStr">
        <is>
          <t>Campana de FIGURA Y MOLDE: la compra de moldes va MUY por delante, y es tesoreria inmovilizada que el libro 6 cuantifica. Fecha movil: si la Pascua cae pronto, marzo se come parte de abril.</t>
        </is>
      </c>
    </row>
    <row r="11" ht="78" customHeight="1">
      <c r="A11" t="inlineStr">
        <is>
          <t>Mayo</t>
        </is>
      </c>
      <c r="B11" t="inlineStr">
        <is>
          <t>Alta</t>
        </is>
      </c>
      <c r="C11" s="5" t="inlineStr">
        <is>
          <t>COMUNIONES (pico) y Dia de la Madre</t>
        </is>
      </c>
      <c r="D11" t="inlineStr">
        <is>
          <t>Sí</t>
        </is>
      </c>
      <c r="E11" s="5" t="inlineStr">
        <is>
          <t>CJ4 - Estuche corporativo personalizado de 24 bombones</t>
        </is>
      </c>
      <c r="F11" s="12" t="n">
        <v>25</v>
      </c>
      <c r="G11" s="12" t="n">
        <v>1</v>
      </c>
      <c r="H11" s="12" t="n">
        <v>14</v>
      </c>
      <c r="I11" s="9" t="n">
        <v>34</v>
      </c>
      <c r="J11" s="12" t="n">
        <v>14</v>
      </c>
      <c r="K11" s="16">
        <f>IFERROR(H11/G11,"")</f>
        <v>14.0</v>
      </c>
      <c r="L11" s="17">
        <f>IFERROR((H11-G11)*J11,"")</f>
        <v>182.0</v>
      </c>
      <c r="M11" s="18">
        <f>IFERROR(H11*J11*I11,"")</f>
        <v>6664.0</v>
      </c>
      <c r="N11" s="18">
        <f>IFERROR(M11/(1+'Parámetros'!$B$16),"")</f>
        <v>6058.181818181818</v>
      </c>
      <c r="O11" s="18">
        <f>IFERROR(L11*I11/(1+'Parámetros'!$B$16),"")</f>
        <v>5625.454545454545</v>
      </c>
      <c r="P11" s="12" t="n">
        <v>8</v>
      </c>
      <c r="Q11" s="19" t="inlineStr">
        <is>
          <t>Dia de la Madre (1.er domingo) · pico de COMUNIONES · edicion regalo premium</t>
        </is>
      </c>
      <c r="R11" s="19" t="inlineStr">
        <is>
          <t>Bombones premium, cestas regalo, tabletas grabadas</t>
        </is>
      </c>
      <c r="S11" s="11" t="inlineStr">
        <is>
          <t>El pico de las comuniones, y el mes con mas dias de campana del primer semestre. El packaging personalizado va con MAS antelacion que los moldes: es lo contrario de Pascua.</t>
        </is>
      </c>
    </row>
    <row r="12" ht="78" customHeight="1">
      <c r="A12" t="inlineStr">
        <is>
          <t>Junio</t>
        </is>
      </c>
      <c r="B12" t="inlineStr">
        <is>
          <t>Media</t>
        </is>
      </c>
      <c r="C12" s="5" t="inlineStr">
        <is>
          <t>COMUNIONES (ultimas)</t>
        </is>
      </c>
      <c r="D12" t="inlineStr">
        <is>
          <t>Sí</t>
        </is>
      </c>
      <c r="E12" s="5" t="inlineStr">
        <is>
          <t>CJ2 - Caja surtida de 20 bombones</t>
        </is>
      </c>
      <c r="F12" s="12" t="n">
        <v>21</v>
      </c>
      <c r="G12" s="12" t="n">
        <v>1</v>
      </c>
      <c r="H12" s="12" t="n">
        <v>9</v>
      </c>
      <c r="I12" s="9" t="n">
        <v>28</v>
      </c>
      <c r="J12" s="12" t="n">
        <v>8</v>
      </c>
      <c r="K12" s="16">
        <f>IFERROR(H12/G12,"")</f>
        <v>9.0</v>
      </c>
      <c r="L12" s="17">
        <f>IFERROR((H12-G12)*J12,"")</f>
        <v>64.0</v>
      </c>
      <c r="M12" s="18">
        <f>IFERROR(H12*J12*I12,"")</f>
        <v>2016.0</v>
      </c>
      <c r="N12" s="18">
        <f>IFERROR(M12/(1+'Parámetros'!$B$16),"")</f>
        <v>1832.7272727272725</v>
      </c>
      <c r="O12" s="18">
        <f>IFERROR(L12*I12/(1+'Parámetros'!$B$16),"")</f>
        <v>1629.090909090909</v>
      </c>
      <c r="P12" s="12" t="n">
        <v>8</v>
      </c>
      <c r="Q12" s="19" t="inlineStr">
        <is>
          <t>Ultimas comuniones · inicio del verano: adaptar catalogo (menos ganache fresca, mas tableta y producto estable)</t>
        </is>
      </c>
      <c r="R12" s="19" t="inlineStr">
        <is>
          <t>Tabletas con fruta, bombones en camara</t>
        </is>
      </c>
      <c r="S12" s="11" t="inlineStr">
        <is>
          <t>El mes de apertura de La Almendra (1 de junio): «Media», con seis meses de rodaje por delante hasta Navidad. Y el mes en el que el catalogo EMPIEZA a cambiar, literal del kit: «menos ganache fresca, mas tableta y producto estable». Aqui arranca tambien la parada de ENVIOS, que es de canal online, no de mostrador.</t>
        </is>
      </c>
    </row>
    <row r="13" ht="78" customHeight="1">
      <c r="A13" t="inlineStr">
        <is>
          <t>Julio</t>
        </is>
      </c>
      <c r="B13" t="inlineStr">
        <is>
          <t>Media</t>
        </is>
      </c>
      <c r="C13" s="5" t="inlineStr">
        <is>
          <t>Temporada turistica</t>
        </is>
      </c>
      <c r="D13" t="inlineStr">
        <is>
          <t>No</t>
        </is>
      </c>
      <c r="E13" s="5" t="inlineStr">
        <is>
          <t>TF5 - Almendras marcona banadas en chocolate, bolsa de 150 g</t>
        </is>
      </c>
      <c r="F13" s="12" t="n">
        <v>1</v>
      </c>
      <c r="G13" s="12" t="n">
        <v>6</v>
      </c>
      <c r="H13" s="12" t="n">
        <v>18</v>
      </c>
      <c r="I13" s="9" t="n">
        <v>7.4</v>
      </c>
      <c r="J13" s="12" t="n">
        <v>26</v>
      </c>
      <c r="K13" s="16">
        <f>IFERROR(H13/G13,"")</f>
        <v>3.0</v>
      </c>
      <c r="L13" s="17">
        <f>IFERROR((H13-G13)*J13,"")</f>
        <v>312.0</v>
      </c>
      <c r="M13" s="18">
        <f>IFERROR(H13*J13*I13,"")</f>
        <v>3463.2000000000003</v>
      </c>
      <c r="N13" s="18">
        <f>IFERROR(M13/(1+'Parámetros'!$B$16),"")</f>
        <v>3148.3636363636365</v>
      </c>
      <c r="O13" s="18">
        <f>IFERROR(L13*I13/(1+'Parámetros'!$B$16),"")</f>
        <v>2098.909090909091</v>
      </c>
      <c r="P13" s="12" t="n">
        <v>20</v>
      </c>
      <c r="Q13" s="19" t="inlineStr">
        <is>
          <t>Temporada turistica: packs souvenir y colaboraciones locales · vigilar a diario la temperatura de tienda y vitrina</t>
        </is>
      </c>
      <c r="R13" s="19" t="inlineStr">
        <is>
          <t>Tabletas souvenir, bombones regionales</t>
        </is>
      </c>
      <c r="S13" s="11" t="inlineStr">
        <is>
          <t>El turista no compra ganache: compra souvenir que viaja. Por eso julio ya usa el MIX DE VERANO, y por eso el kit manda vigilar A DIARIO la temperatura de tienda y vitrina.</t>
        </is>
      </c>
    </row>
    <row r="14" ht="78" customHeight="1">
      <c r="A14" t="inlineStr">
        <is>
          <t>Agosto</t>
        </is>
      </c>
      <c r="B14" t="inlineStr">
        <is>
          <t>Baja</t>
        </is>
      </c>
      <c r="C14" s="5" t="inlineStr">
        <is>
          <t>Valle del obrador</t>
        </is>
      </c>
      <c r="D14" t="inlineStr">
        <is>
          <t>No</t>
        </is>
      </c>
      <c r="E14" s="5" t="inlineStr">
        <is>
          <t>TB1 - Tableta de chocolate negro de origen 70 %, 100 g</t>
        </is>
      </c>
      <c r="F14" s="12" t="n">
        <v>1</v>
      </c>
      <c r="G14" s="12" t="n">
        <v>5</v>
      </c>
      <c r="H14" s="12" t="n">
        <v>9</v>
      </c>
      <c r="I14" s="9" t="n">
        <v>6.9</v>
      </c>
      <c r="J14" s="12" t="n">
        <v>26</v>
      </c>
      <c r="K14" s="16">
        <f>IFERROR(H14/G14,"")</f>
        <v>1.8</v>
      </c>
      <c r="L14" s="17">
        <f>IFERROR((H14-G14)*J14,"")</f>
        <v>104.0</v>
      </c>
      <c r="M14" s="18">
        <f>IFERROR(H14*J14*I14,"")</f>
        <v>1614.6000000000001</v>
      </c>
      <c r="N14" s="18">
        <f>IFERROR(M14/(1+'Parámetros'!$B$16),"")</f>
        <v>1467.8181818181818</v>
      </c>
      <c r="O14" s="18">
        <f>IFERROR(L14*I14/(1+'Parámetros'!$B$16),"")</f>
        <v>652.3636363636364</v>
      </c>
      <c r="P14" s="12" t="n">
        <v>20</v>
      </c>
      <c r="Q14" s="19" t="inlineStr">
        <is>
          <t>Asuncion (15): festivo nacional, la tienda abre para el turista aunque el obrador pare · mantenimiento profundo · vacaciones escalonadas · cerrar el pedido de coberturas de Navidad</t>
        </is>
      </c>
      <c r="R14" s="19" t="inlineStr">
        <is>
          <t>Produccion reducida, planificacion Q4</t>
        </is>
      </c>
      <c r="S14" s="11" t="inlineStr">
        <is>
          <t>EL UNICO MES «BAJA» DE LOS DOCE. Lo que para es el OBRADOR, no la caja: el literal del kit es «la tienda abre para el turista aunque el obrador pare». Y es el mes en el que se CIERRA EL PEDIDO DE COBERTURAS DE NAVIDAD, que es la decision de tesoreria mas grande del ano.</t>
        </is>
      </c>
    </row>
    <row r="15" ht="78" customHeight="1">
      <c r="A15" t="inlineStr">
        <is>
          <t>Septiembre</t>
        </is>
      </c>
      <c r="B15" t="inlineStr">
        <is>
          <t>Media</t>
        </is>
      </c>
      <c r="C15" s="5" t="inlineStr">
        <is>
          <t>Apertura de agenda corporativa</t>
        </is>
      </c>
      <c r="D15" t="inlineStr">
        <is>
          <t>No</t>
        </is>
      </c>
      <c r="E15" s="5" t="inlineStr">
        <is>
          <t>CJ4 - Estuche corporativo personalizado de 24 bombones</t>
        </is>
      </c>
      <c r="F15" s="12" t="n">
        <v>25</v>
      </c>
      <c r="G15" s="12" t="n">
        <v>1</v>
      </c>
      <c r="H15" s="12" t="n">
        <v>4</v>
      </c>
      <c r="I15" s="9" t="n">
        <v>34</v>
      </c>
      <c r="J15" s="12" t="n">
        <v>20</v>
      </c>
      <c r="K15" s="16">
        <f>IFERROR(H15/G15,"")</f>
        <v>4.0</v>
      </c>
      <c r="L15" s="17">
        <f>IFERROR((H15-G15)*J15,"")</f>
        <v>60.0</v>
      </c>
      <c r="M15" s="18">
        <f>IFERROR(H15*J15*I15,"")</f>
        <v>2720.0</v>
      </c>
      <c r="N15" s="18">
        <f>IFERROR(M15/(1+'Parámetros'!$B$16),"")</f>
        <v>2472.7272727272725</v>
      </c>
      <c r="O15" s="18">
        <f>IFERROR(L15*I15/(1+'Parámetros'!$B$16),"")</f>
        <v>1854.5454545454545</v>
      </c>
      <c r="P15" s="12" t="n">
        <v>8</v>
      </c>
      <c r="Q15" s="19" t="inlineStr">
        <is>
          <t>Vuelta a la rutina · coleccion de otono · ferias gastronomicas · abrir la agenda de pedidos corporativos de Navidad</t>
        </is>
      </c>
      <c r="R15" s="19" t="inlineStr">
        <is>
          <t>Bombones de frutos secos, praline, especiados</t>
        </is>
      </c>
      <c r="S15" s="11" t="inlineStr">
        <is>
          <t>El mes que decide diciembre: aqui se abre la agenda corporativa, y el plazo minimo de un pedido de empresa es de 14 dias desde la aprobacion de la muestra (`CHS-55`). Vender un estuche corporativo el 15 de diciembre no es una venta: es una promesa que no se puede cumplir.</t>
        </is>
      </c>
    </row>
    <row r="16" ht="78" customHeight="1">
      <c r="A16" t="inlineStr">
        <is>
          <t>Octubre</t>
        </is>
      </c>
      <c r="B16" t="inlineStr">
        <is>
          <t>Alta</t>
        </is>
      </c>
      <c r="C16" s="5" t="inlineStr">
        <is>
          <t>Halloween</t>
        </is>
      </c>
      <c r="D16" t="inlineStr">
        <is>
          <t>Sí</t>
        </is>
      </c>
      <c r="E16" s="5" t="inlineStr">
        <is>
          <t>BC5 - Trufa de chocolate negro al cacao</t>
        </is>
      </c>
      <c r="F16" s="12" t="n">
        <v>1</v>
      </c>
      <c r="G16" s="12" t="n">
        <v>1</v>
      </c>
      <c r="H16" s="12" t="n">
        <v>12</v>
      </c>
      <c r="I16" s="9" t="n">
        <v>18.5</v>
      </c>
      <c r="J16" s="12" t="n">
        <v>6</v>
      </c>
      <c r="K16" s="16">
        <f>IFERROR(H16/G16,"")</f>
        <v>12.0</v>
      </c>
      <c r="L16" s="17">
        <f>IFERROR((H16-G16)*J16,"")</f>
        <v>66.0</v>
      </c>
      <c r="M16" s="18">
        <f>IFERROR(H16*J16*I16,"")</f>
        <v>1332.0</v>
      </c>
      <c r="N16" s="18">
        <f>IFERROR(M16/(1+'Parámetros'!$B$16),"")</f>
        <v>1210.9090909090908</v>
      </c>
      <c r="O16" s="18">
        <f>IFERROR(L16*I16/(1+'Parámetros'!$B$16),"")</f>
        <v>1110.0</v>
      </c>
      <c r="P16" s="12" t="n">
        <v>20</v>
      </c>
      <c r="Q16" s="19" t="inlineStr">
        <is>
          <t>Halloween (31): figuras y bombones de temporada · produccion navidena a pleno · publicar el catalogo de Navidad</t>
        </is>
      </c>
      <c r="R16" s="19" t="inlineStr">
        <is>
          <t>Figuras Halloween, bombones calabaza, tabletas oscuras</t>
        </is>
      </c>
      <c r="S16" s="11" t="inlineStr">
        <is>
          <t>Arranque de la temporada alta. Lo importante de octubre NO es Halloween: es que la produccion de Navidad ya va a pleno y se PAGA aqui, para cobrarse en diciembre. Ese desfase es lo que el libro 7 pone en la tesoreria mes a mes.</t>
        </is>
      </c>
    </row>
    <row r="17" ht="78" customHeight="1">
      <c r="A17" t="inlineStr">
        <is>
          <t>Noviembre</t>
        </is>
      </c>
      <c r="B17" t="inlineStr">
        <is>
          <t>Alta</t>
        </is>
      </c>
      <c r="C17" s="5" t="inlineStr">
        <is>
          <t>Todos los Santos y Black Friday</t>
        </is>
      </c>
      <c r="D17" t="inlineStr">
        <is>
          <t>Sí</t>
        </is>
      </c>
      <c r="E17" s="5" t="inlineStr">
        <is>
          <t>TF3 - Hueso de santo banado en chocolate</t>
        </is>
      </c>
      <c r="F17" s="12" t="n">
        <v>1</v>
      </c>
      <c r="G17" s="12" t="n">
        <v>0</v>
      </c>
      <c r="H17" s="12" t="n">
        <v>90</v>
      </c>
      <c r="I17" s="9" t="n">
        <v>1.6</v>
      </c>
      <c r="J17" s="12" t="n">
        <v>5</v>
      </c>
      <c r="K17" s="16">
        <f>IFERROR(H17/G17,"")</f>
        <v/>
      </c>
      <c r="L17" s="17">
        <f>IFERROR((H17-G17)*J17,"")</f>
        <v>450.0</v>
      </c>
      <c r="M17" s="18">
        <f>IFERROR(H17*J17*I17,"")</f>
        <v>720.0</v>
      </c>
      <c r="N17" s="18">
        <f>IFERROR(M17/(1+'Parámetros'!$B$16),"")</f>
        <v>654.5454545454545</v>
      </c>
      <c r="O17" s="18">
        <f>IFERROR(L17*I17/(1+'Parámetros'!$B$16),"")</f>
        <v>654.5454545454545</v>
      </c>
      <c r="P17" s="12" t="n">
        <v>3</v>
      </c>
      <c r="Q17" s="19" t="inlineStr">
        <is>
          <t>Todos los Santos (1): panellets y huesos de santo banados · Black Friday (ultimo viernes) · preventa de Navidad · turrones y cestas</t>
        </is>
      </c>
      <c r="R17" s="19" t="inlineStr">
        <is>
          <t>Panellets y huesos de santo banados, turrones, cestas corporativas, figuras navidenas</t>
        </is>
      </c>
      <c r="S17" s="11" t="inlineStr">
        <is>
          <t>Dos campanas en un mes y ninguna se parece: Todos los Santos es produccion de obrador a pieza pequena (los huesos de santo, TF3, la unica referencia con huevo), y Black Friday es canal ONLINE con descuento. Ojo con el descuento: subir en noviembre para «rebajar» en diciembre NO cumple la regla de los 30 dias del art. 20 de la Ley 7/1996 en la redaccion del RDL 24/2021 (`CHN-76`) - que NO es el art. 20 del TRLGDCU.</t>
        </is>
      </c>
    </row>
    <row r="18" ht="78" customHeight="1">
      <c r="A18" t="inlineStr">
        <is>
          <t>Diciembre</t>
        </is>
      </c>
      <c r="B18" t="inlineStr">
        <is>
          <t>Alta</t>
        </is>
      </c>
      <c r="C18" s="5" t="inlineStr">
        <is>
          <t>Navidad</t>
        </is>
      </c>
      <c r="D18" t="inlineStr">
        <is>
          <t>Sí</t>
        </is>
      </c>
      <c r="E18" s="5" t="inlineStr">
        <is>
          <t>CJ3 - Caja surtida de 35 bombones</t>
        </is>
      </c>
      <c r="F18" s="12" t="n">
        <v>36</v>
      </c>
      <c r="G18" s="12" t="n">
        <v>2</v>
      </c>
      <c r="H18" s="12" t="n">
        <v>22</v>
      </c>
      <c r="I18" s="9" t="n">
        <v>45</v>
      </c>
      <c r="J18" s="12" t="n">
        <v>22</v>
      </c>
      <c r="K18" s="16">
        <f>IFERROR(H18/G18,"")</f>
        <v>11.0</v>
      </c>
      <c r="L18" s="17">
        <f>IFERROR((H18-G18)*J18,"")</f>
        <v>440.0</v>
      </c>
      <c r="M18" s="18">
        <f>IFERROR(H18*J18*I18,"")</f>
        <v>21780.0</v>
      </c>
      <c r="N18" s="18">
        <f>IFERROR(M18/(1+'Parámetros'!$B$16),"")</f>
        <v>19800.0</v>
      </c>
      <c r="O18" s="18">
        <f>IFERROR(L18*I18/(1+'Parámetros'!$B$16),"")</f>
        <v>18000.0</v>
      </c>
      <c r="P18" s="12" t="n">
        <v>8</v>
      </c>
      <c r="Q18" s="19" t="inlineStr">
        <is>
          <t>NAVIDAD, maxima produccion · puente de la Constitucion y la Inmaculada (6-8): fin de semana largo de maxima venta en tienda · fecha limite de encargos y horarios especiales del 24 y el 31</t>
        </is>
      </c>
      <c r="R18" s="19" t="inlineStr">
        <is>
          <t>Turrones, figuras, bombones navidenos, cestas</t>
        </is>
      </c>
      <c r="S18" s="11" t="inlineStr">
        <is>
          <t>LA CAMPANA MAYOR, y la que decide el ano. Su pedido corporativo se cierra en octubre y su limite de produccion lo calcula el libro 7 HACIA ATRAS desde la capacidad del libro 1 (cruce 7 &lt;- 1 de `CRUCES`). La fecha limite de encargos y los horarios del 24 y el 31 los publica el propio kit.</t>
        </is>
      </c>
    </row>
    <row r="19">
      <c r="A19" s="20" t="inlineStr">
        <is>
          <t>TOTAL del año</t>
        </is>
      </c>
      <c r="J19" s="21">
        <f>SUM(J7:J18)</f>
        <v>152.0</v>
      </c>
      <c r="L19" s="21">
        <f>SUM(L7:L18)</f>
        <v>2512.0</v>
      </c>
      <c r="M19" s="22">
        <f>SUM(M7:M18)</f>
        <v>58239.8</v>
      </c>
      <c r="N19" s="22">
        <f>SUM(N7:N18)</f>
        <v>52945.27272727272</v>
      </c>
      <c r="O19" s="22">
        <f>SUM(O7:O18)</f>
        <v>46134.0</v>
      </c>
    </row>
    <row r="20"/>
    <row r="21" ht="58" customHeight="1">
      <c r="A21" s="11" t="inlineStr">
        <is>
          <t>La campaña de COMUNIONES (abril, mayo y junio) es la única que reparte su carga en tres meses en vez de concentrarla en una semana, y es campaña PROPIA, no la cola de Pascua: lo que la distingue es que se encarga con seis semanas de antelación un detalle de mesa personalizado, con señal. El obrador trabaja contra pedido firme: merma cero y tesorería a favor.</t>
        </is>
      </c>
    </row>
    <row r="22"/>
    <row r="23">
      <c r="A2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41"/>
  <sheetViews>
    <sheetView workbookViewId="0">
      <selection activeCell="A1" sqref="A1"/>
    </sheetView>
  </sheetViews>
  <sheetFormatPr baseColWidth="8" defaultRowHeight="15"/>
  <cols>
    <col width="34" customWidth="1" min="1" max="1"/>
    <col width="14" customWidth="1" min="2" max="2"/>
    <col width="14" customWidth="1" min="3" max="3"/>
    <col width="13" customWidth="1" min="4" max="4"/>
    <col width="15" customWidth="1" min="5" max="5"/>
    <col width="12" customWidth="1" min="6" max="6"/>
    <col width="14" customWidth="1" min="7" max="7"/>
    <col width="12" customWidth="1" min="8" max="8"/>
    <col width="76" customWidth="1" min="9" max="9"/>
  </cols>
  <sheetData>
    <row r="1">
      <c r="A1" s="1" t="inlineStr">
        <is>
          <t>Peso Sobre el Año</t>
        </is>
      </c>
    </row>
    <row r="2">
      <c r="A2" s="2" t="inlineStr">
        <is>
          <t>AI Chef Pro · aichef.pro — Cómo Montar una Chocolatería</t>
        </is>
      </c>
    </row>
    <row r="3">
      <c r="A3" s="3" t="inlineStr">
        <is>
          <t>Doce coeficientes que reparten las ventas del año. Son SUPUESTOS -no existe reparto mensual publicado de chocolatería- y su forma la dicta el calendario del kit: diciembre arriba, agosto abajo.</t>
        </is>
      </c>
    </row>
    <row r="4"/>
    <row r="5"/>
    <row r="6" ht="48" customHeight="1">
      <c r="A6" s="8" t="inlineStr">
        <is>
          <t>Mes</t>
        </is>
      </c>
      <c r="B6" s="8" t="inlineStr">
        <is>
          <t>Temporada que declara el kit</t>
        </is>
      </c>
      <c r="C6" s="8" t="inlineStr">
        <is>
          <t>Coeficiente de estacionalidad</t>
        </is>
      </c>
      <c r="D6" s="8" t="inlineStr">
        <is>
          <t>Días de apertura del mes</t>
        </is>
      </c>
      <c r="E6" s="8" t="inlineStr">
        <is>
          <t>Ventas del mes sin IVA (EUR)</t>
        </is>
      </c>
      <c r="F6" s="8" t="inlineStr">
        <is>
          <t>Peso sobre el año</t>
        </is>
      </c>
      <c r="G6" s="8" t="inlineStr">
        <is>
          <t>Ventas por día de apertura (EUR)</t>
        </is>
      </c>
      <c r="H6" s="8" t="inlineStr">
        <is>
          <t>Veces un día medio</t>
        </is>
      </c>
      <c r="I6" s="8" t="inlineStr">
        <is>
          <t>Nota</t>
        </is>
      </c>
    </row>
    <row r="7" ht="22" customHeight="1">
      <c r="A7" t="inlineStr">
        <is>
          <t>Enero</t>
        </is>
      </c>
      <c r="B7" t="inlineStr">
        <is>
          <t>Media</t>
        </is>
      </c>
      <c r="C7" s="23" t="n">
        <v>0.92</v>
      </c>
      <c r="D7" s="12" t="n">
        <v>26</v>
      </c>
      <c r="E7" s="18">
        <f>IFERROR('Parámetros'!$B$7*C7/12,"")</f>
        <v>15263.408733333335</v>
      </c>
      <c r="F7" s="24">
        <f>IFERROR(E7/'Parámetros'!$B$7,"")</f>
        <v>0.07666666666666667</v>
      </c>
      <c r="G7" s="18">
        <f>IFERROR(E7/D7,"")</f>
        <v>587.0541820512822</v>
      </c>
      <c r="H7" s="25">
        <f>IFERROR(G7*'Parámetros'!$B$10/'Parámetros'!$B$7,"")</f>
        <v>0.8964102564102565</v>
      </c>
    </row>
    <row r="8" ht="22" customHeight="1">
      <c r="A8" t="inlineStr">
        <is>
          <t>Febrero</t>
        </is>
      </c>
      <c r="B8" t="inlineStr">
        <is>
          <t>Alta</t>
        </is>
      </c>
      <c r="C8" s="23" t="n">
        <v>1.12</v>
      </c>
      <c r="D8" s="12" t="n">
        <v>24</v>
      </c>
      <c r="E8" s="18">
        <f>IFERROR('Parámetros'!$B$7*C8/12,"")</f>
        <v>18581.54106666667</v>
      </c>
      <c r="F8" s="24">
        <f>IFERROR(E8/'Parámetros'!$B$7,"")</f>
        <v>0.09333333333333334</v>
      </c>
      <c r="G8" s="18">
        <f>IFERROR(E8/D8,"")</f>
        <v>774.2308777777779</v>
      </c>
      <c r="H8" s="25">
        <f>IFERROR(G8*'Parámetros'!$B$10/'Parámetros'!$B$7,"")</f>
        <v>1.1822222222222225</v>
      </c>
    </row>
    <row r="9" ht="22" customHeight="1">
      <c r="A9" t="inlineStr">
        <is>
          <t>Marzo</t>
        </is>
      </c>
      <c r="B9" t="inlineStr">
        <is>
          <t>Alta</t>
        </is>
      </c>
      <c r="C9" s="23" t="n">
        <v>1.02</v>
      </c>
      <c r="D9" s="12" t="n">
        <v>26</v>
      </c>
      <c r="E9" s="18">
        <f>IFERROR('Parámetros'!$B$7*C9/12,"")</f>
        <v>16922.4749</v>
      </c>
      <c r="F9" s="24">
        <f>IFERROR(E9/'Parámetros'!$B$7,"")</f>
        <v>0.085</v>
      </c>
      <c r="G9" s="18">
        <f>IFERROR(E9/D9,"")</f>
        <v>650.8644192307693</v>
      </c>
      <c r="H9" s="25">
        <f>IFERROR(G9*'Parámetros'!$B$10/'Parámetros'!$B$7,"")</f>
        <v>0.9938461538461539</v>
      </c>
    </row>
    <row r="10" ht="22" customHeight="1">
      <c r="A10" t="inlineStr">
        <is>
          <t>Abril</t>
        </is>
      </c>
      <c r="B10" t="inlineStr">
        <is>
          <t>Alta</t>
        </is>
      </c>
      <c r="C10" s="23" t="n">
        <v>1.08</v>
      </c>
      <c r="D10" s="12" t="n">
        <v>25</v>
      </c>
      <c r="E10" s="18">
        <f>IFERROR('Parámetros'!$B$7*C10/12,"")</f>
        <v>17917.9146</v>
      </c>
      <c r="F10" s="24">
        <f>IFERROR(E10/'Parámetros'!$B$7,"")</f>
        <v>0.09</v>
      </c>
      <c r="G10" s="18">
        <f>IFERROR(E10/D10,"")</f>
        <v>716.716584</v>
      </c>
      <c r="H10" s="25">
        <f>IFERROR(G10*'Parámetros'!$B$10/'Parámetros'!$B$7,"")</f>
        <v>1.0944</v>
      </c>
    </row>
    <row r="11" ht="22" customHeight="1">
      <c r="A11" t="inlineStr">
        <is>
          <t>Mayo</t>
        </is>
      </c>
      <c r="B11" t="inlineStr">
        <is>
          <t>Alta</t>
        </is>
      </c>
      <c r="C11" s="23" t="n">
        <v>1.1</v>
      </c>
      <c r="D11" s="12" t="n">
        <v>26</v>
      </c>
      <c r="E11" s="18">
        <f>IFERROR('Parámetros'!$B$7*C11/12,"")</f>
        <v>18249.727833333334</v>
      </c>
      <c r="F11" s="24">
        <f>IFERROR(E11/'Parámetros'!$B$7,"")</f>
        <v>0.09166666666666667</v>
      </c>
      <c r="G11" s="18">
        <f>IFERROR(E11/D11,"")</f>
        <v>701.912608974359</v>
      </c>
      <c r="H11" s="25">
        <f>IFERROR(G11*'Parámetros'!$B$10/'Parámetros'!$B$7,"")</f>
        <v>1.071794871794872</v>
      </c>
    </row>
    <row r="12" ht="22" customHeight="1">
      <c r="A12" t="inlineStr">
        <is>
          <t>Junio</t>
        </is>
      </c>
      <c r="B12" t="inlineStr">
        <is>
          <t>Media</t>
        </is>
      </c>
      <c r="C12" s="23" t="n">
        <v>0.92</v>
      </c>
      <c r="D12" s="12" t="n">
        <v>25</v>
      </c>
      <c r="E12" s="18">
        <f>IFERROR('Parámetros'!$B$7*C12/12,"")</f>
        <v>15263.408733333335</v>
      </c>
      <c r="F12" s="24">
        <f>IFERROR(E12/'Parámetros'!$B$7,"")</f>
        <v>0.07666666666666667</v>
      </c>
      <c r="G12" s="18">
        <f>IFERROR(E12/D12,"")</f>
        <v>610.5363493333334</v>
      </c>
      <c r="H12" s="25">
        <f>IFERROR(G12*'Parámetros'!$B$10/'Parámetros'!$B$7,"")</f>
        <v>0.9322666666666668</v>
      </c>
    </row>
    <row r="13" ht="22" customHeight="1">
      <c r="A13" t="inlineStr">
        <is>
          <t>Julio</t>
        </is>
      </c>
      <c r="B13" t="inlineStr">
        <is>
          <t>Media</t>
        </is>
      </c>
      <c r="C13" s="23" t="n">
        <v>0.82</v>
      </c>
      <c r="D13" s="12" t="n">
        <v>27</v>
      </c>
      <c r="E13" s="18">
        <f>IFERROR('Parámetros'!$B$7*C13/12,"")</f>
        <v>13604.342566666666</v>
      </c>
      <c r="F13" s="24">
        <f>IFERROR(E13/'Parámetros'!$B$7,"")</f>
        <v>0.06833333333333333</v>
      </c>
      <c r="G13" s="18">
        <f>IFERROR(E13/D13,"")</f>
        <v>503.86453950617283</v>
      </c>
      <c r="H13" s="25">
        <f>IFERROR(G13*'Parámetros'!$B$10/'Parámetros'!$B$7,"")</f>
        <v>0.7693827160493827</v>
      </c>
    </row>
    <row r="14" ht="34" customHeight="1">
      <c r="A14" t="inlineStr">
        <is>
          <t>Agosto</t>
        </is>
      </c>
      <c r="B14" t="inlineStr">
        <is>
          <t>Baja</t>
        </is>
      </c>
      <c r="C14" s="23" t="n">
        <v>0.6</v>
      </c>
      <c r="D14" s="12" t="n">
        <v>26</v>
      </c>
      <c r="E14" s="18">
        <f>IFERROR('Parámetros'!$B$7*C14/12,"")</f>
        <v>9954.396999999999</v>
      </c>
      <c r="F14" s="24">
        <f>IFERROR(E14/'Parámetros'!$B$7,"")</f>
        <v>0.049999999999999996</v>
      </c>
      <c r="G14" s="18">
        <f>IFERROR(E14/D14,"")</f>
        <v>382.861423076923</v>
      </c>
      <c r="H14" s="25">
        <f>IFERROR(G14*'Parámetros'!$B$10/'Parámetros'!$B$7,"")</f>
        <v>0.5846153846153845</v>
      </c>
      <c r="I14" s="11" t="inlineStr">
        <is>
          <t>El único mes «Baja» de los doce. Agosto NO vale cero: la tienda abre para el turista y lo que para es el obrador.</t>
        </is>
      </c>
    </row>
    <row r="15" ht="22" customHeight="1">
      <c r="A15" t="inlineStr">
        <is>
          <t>Septiembre</t>
        </is>
      </c>
      <c r="B15" t="inlineStr">
        <is>
          <t>Media</t>
        </is>
      </c>
      <c r="C15" s="23" t="n">
        <v>0.86</v>
      </c>
      <c r="D15" s="12" t="n">
        <v>25</v>
      </c>
      <c r="E15" s="18">
        <f>IFERROR('Parámetros'!$B$7*C15/12,"")</f>
        <v>14267.969033333333</v>
      </c>
      <c r="F15" s="24">
        <f>IFERROR(E15/'Parámetros'!$B$7,"")</f>
        <v>0.07166666666666667</v>
      </c>
      <c r="G15" s="18">
        <f>IFERROR(E15/D15,"")</f>
        <v>570.7187613333333</v>
      </c>
      <c r="H15" s="25">
        <f>IFERROR(G15*'Parámetros'!$B$10/'Parámetros'!$B$7,"")</f>
        <v>0.8714666666666667</v>
      </c>
    </row>
    <row r="16" ht="22" customHeight="1">
      <c r="A16" t="inlineStr">
        <is>
          <t>Octubre</t>
        </is>
      </c>
      <c r="B16" t="inlineStr">
        <is>
          <t>Alta</t>
        </is>
      </c>
      <c r="C16" s="23" t="n">
        <v>1.02</v>
      </c>
      <c r="D16" s="12" t="n">
        <v>26</v>
      </c>
      <c r="E16" s="18">
        <f>IFERROR('Parámetros'!$B$7*C16/12,"")</f>
        <v>16922.4749</v>
      </c>
      <c r="F16" s="24">
        <f>IFERROR(E16/'Parámetros'!$B$7,"")</f>
        <v>0.085</v>
      </c>
      <c r="G16" s="18">
        <f>IFERROR(E16/D16,"")</f>
        <v>650.8644192307693</v>
      </c>
      <c r="H16" s="25">
        <f>IFERROR(G16*'Parámetros'!$B$10/'Parámetros'!$B$7,"")</f>
        <v>0.9938461538461539</v>
      </c>
    </row>
    <row r="17" ht="22" customHeight="1">
      <c r="A17" t="inlineStr">
        <is>
          <t>Noviembre</t>
        </is>
      </c>
      <c r="B17" t="inlineStr">
        <is>
          <t>Alta</t>
        </is>
      </c>
      <c r="C17" s="23" t="n">
        <v>1.1</v>
      </c>
      <c r="D17" s="12" t="n">
        <v>25</v>
      </c>
      <c r="E17" s="18">
        <f>IFERROR('Parámetros'!$B$7*C17/12,"")</f>
        <v>18249.727833333334</v>
      </c>
      <c r="F17" s="24">
        <f>IFERROR(E17/'Parámetros'!$B$7,"")</f>
        <v>0.09166666666666667</v>
      </c>
      <c r="G17" s="18">
        <f>IFERROR(E17/D17,"")</f>
        <v>729.9891133333334</v>
      </c>
      <c r="H17" s="25">
        <f>IFERROR(G17*'Parámetros'!$B$10/'Parámetros'!$B$7,"")</f>
        <v>1.114666666666667</v>
      </c>
    </row>
    <row r="18" ht="22" customHeight="1">
      <c r="A18" t="inlineStr">
        <is>
          <t>Diciembre</t>
        </is>
      </c>
      <c r="B18" t="inlineStr">
        <is>
          <t>Alta</t>
        </is>
      </c>
      <c r="C18" s="23" t="n">
        <v>1.44</v>
      </c>
      <c r="D18" s="12" t="n">
        <v>23</v>
      </c>
      <c r="E18" s="18">
        <f>IFERROR('Parámetros'!$B$7*C18/12,"")</f>
        <v>23890.5528</v>
      </c>
      <c r="F18" s="24">
        <f>IFERROR(E18/'Parámetros'!$B$7,"")</f>
        <v>0.12000000000000001</v>
      </c>
      <c r="G18" s="18">
        <f>IFERROR(E18/D18,"")</f>
        <v>1038.7196869565219</v>
      </c>
      <c r="H18" s="25">
        <f>IFERROR(G18*'Parámetros'!$B$10/'Parámetros'!$B$7,"")</f>
        <v>1.5860869565217393</v>
      </c>
    </row>
    <row r="19">
      <c r="A19" s="20" t="inlineStr">
        <is>
          <t>TOTAL del año</t>
        </is>
      </c>
      <c r="C19" s="26">
        <f>SUM(C7:C18)</f>
        <v>11.999999999999998</v>
      </c>
      <c r="D19" s="21">
        <f>SUM(D7:D18)</f>
        <v>304.0</v>
      </c>
      <c r="E19" s="22">
        <f>SUM(E7:E18)</f>
        <v>199087.94</v>
      </c>
      <c r="F19" s="27">
        <f>SUM(F7:F18)</f>
        <v>1.0</v>
      </c>
    </row>
    <row r="20"/>
    <row r="21">
      <c r="A21" s="4" t="inlineStr">
        <is>
          <t>Lo que pesa cada campaña sobre el año</t>
        </is>
      </c>
    </row>
    <row r="22" ht="44" customHeight="1">
      <c r="A22" s="8" t="inlineStr">
        <is>
          <t>Campaña</t>
        </is>
      </c>
      <c r="B22" s="8" t="inlineStr">
        <is>
          <t>Mes</t>
        </is>
      </c>
      <c r="C22" s="8" t="inlineStr">
        <is>
          <t>Facturación de la campaña sin IVA (EUR)</t>
        </is>
      </c>
      <c r="D22" s="8" t="inlineStr">
        <is>
          <t>Peso sobre las ventas del año</t>
        </is>
      </c>
      <c r="E22" s="8" t="inlineStr">
        <is>
          <t>Facturación INCREMENTAL sin IVA (EUR)</t>
        </is>
      </c>
      <c r="F22" s="8" t="inlineStr">
        <is>
          <t>Peso incremental sobre el año</t>
        </is>
      </c>
      <c r="G22" s="8" t="inlineStr">
        <is>
          <t>¿Campaña grande?</t>
        </is>
      </c>
      <c r="H22" s="8" t="inlineStr">
        <is>
          <t>Nota</t>
        </is>
      </c>
    </row>
    <row r="23" ht="24" customHeight="1">
      <c r="A23" s="5" t="inlineStr">
        <is>
          <t>Reyes</t>
        </is>
      </c>
      <c r="B23" t="inlineStr">
        <is>
          <t>Enero</t>
        </is>
      </c>
      <c r="C23" s="18">
        <f>'Calendario de Campañas'!N7</f>
        <v>3363.6363636363635</v>
      </c>
      <c r="D23" s="24">
        <f>IFERROR(C23/'Parámetros'!$B$7,"")</f>
        <v>0.01689522913159061</v>
      </c>
      <c r="E23" s="18">
        <f>'Calendario de Campañas'!O7</f>
        <v>3363.6363636363635</v>
      </c>
      <c r="F23" s="24">
        <f>IFERROR(E23/'Parámetros'!$B$7,"")</f>
        <v>0.01689522913159061</v>
      </c>
      <c r="G23" t="str">
        <f>IF(NOT(ISNUMBER(D23)),"",IF(D23&gt;='Parámetros'!$B$28,"Sí","No"))</f>
        <v>No</v>
      </c>
    </row>
    <row r="24" ht="24" customHeight="1">
      <c r="A24" s="5" t="inlineStr">
        <is>
          <t>San Valentin</t>
        </is>
      </c>
      <c r="B24" t="inlineStr">
        <is>
          <t>Febrero</t>
        </is>
      </c>
      <c r="C24" s="18">
        <f>'Calendario de Campañas'!N8</f>
        <v>5999.999999999999</v>
      </c>
      <c r="D24" s="24">
        <f>IFERROR(C24/'Parámetros'!$B$7,"")</f>
        <v>0.030137435748242708</v>
      </c>
      <c r="E24" s="18">
        <f>'Calendario de Campañas'!O8</f>
        <v>5127.272727272727</v>
      </c>
      <c r="F24" s="24">
        <f>IFERROR(E24/'Parámetros'!$B$7,"")</f>
        <v>0.025753808730316498</v>
      </c>
      <c r="G24" t="str">
        <f>IF(NOT(ISNUMBER(D24)),"",IF(D24&gt;='Parámetros'!$B$28,"Sí","No"))</f>
        <v>No</v>
      </c>
    </row>
    <row r="25" ht="24" customHeight="1">
      <c r="A25" s="5" t="inlineStr">
        <is>
          <t>Dia del Padre</t>
        </is>
      </c>
      <c r="B25" t="inlineStr">
        <is>
          <t>Marzo</t>
        </is>
      </c>
      <c r="C25" s="18">
        <f>'Calendario de Campañas'!N9</f>
        <v>1890.9090909090908</v>
      </c>
      <c r="D25" s="24">
        <f>IFERROR(C25/'Parámetros'!$B$7,"")</f>
        <v>0.009497858538840127</v>
      </c>
      <c r="E25" s="18">
        <f>'Calendario de Campañas'!O9</f>
        <v>1309.090909090909</v>
      </c>
      <c r="F25" s="24">
        <f>IFERROR(E25/'Parámetros'!$B$7,"")</f>
        <v>0.006575440526889319</v>
      </c>
      <c r="G25" t="str">
        <f>IF(NOT(ISNUMBER(D25)),"",IF(D25&gt;='Parámetros'!$B$28,"Sí","No"))</f>
        <v>No</v>
      </c>
    </row>
    <row r="26" ht="24" customHeight="1">
      <c r="A26" s="5" t="inlineStr">
        <is>
          <t>Pascua</t>
        </is>
      </c>
      <c r="B26" t="inlineStr">
        <is>
          <t>Abril</t>
        </is>
      </c>
      <c r="C26" s="18">
        <f>'Calendario de Campañas'!N10</f>
        <v>5045.454545454545</v>
      </c>
      <c r="D26" s="24">
        <f>IFERROR(C26/'Parámetros'!$B$7,"")</f>
        <v>0.025342843697385913</v>
      </c>
      <c r="E26" s="18">
        <f>'Calendario de Campañas'!O10</f>
        <v>4709.090909090909</v>
      </c>
      <c r="F26" s="24">
        <f>IFERROR(E26/'Parámetros'!$B$7,"")</f>
        <v>0.023653320784226856</v>
      </c>
      <c r="G26" t="str">
        <f>IF(NOT(ISNUMBER(D26)),"",IF(D26&gt;='Parámetros'!$B$28,"Sí","No"))</f>
        <v>No</v>
      </c>
    </row>
    <row r="27" ht="24" customHeight="1">
      <c r="A27" s="5" t="inlineStr">
        <is>
          <t>COMUNIONES (pico) y Dia de la Madre</t>
        </is>
      </c>
      <c r="B27" t="inlineStr">
        <is>
          <t>Mayo</t>
        </is>
      </c>
      <c r="C27" s="18">
        <f>'Calendario de Campañas'!N11</f>
        <v>6058.181818181818</v>
      </c>
      <c r="D27" s="24">
        <f>IFERROR(C27/'Parámetros'!$B$7,"")</f>
        <v>0.030429677549437793</v>
      </c>
      <c r="E27" s="18">
        <f>'Calendario de Campañas'!O11</f>
        <v>5625.454545454545</v>
      </c>
      <c r="F27" s="24">
        <f>IFERROR(E27/'Parámetros'!$B$7,"")</f>
        <v>0.028256129153049377</v>
      </c>
      <c r="G27" t="str">
        <f>IF(NOT(ISNUMBER(D27)),"",IF(D27&gt;='Parámetros'!$B$28,"Sí","No"))</f>
        <v>No</v>
      </c>
    </row>
    <row r="28" ht="24" customHeight="1">
      <c r="A28" s="5" t="inlineStr">
        <is>
          <t>COMUNIONES (ultimas)</t>
        </is>
      </c>
      <c r="B28" t="inlineStr">
        <is>
          <t>Junio</t>
        </is>
      </c>
      <c r="C28" s="18">
        <f>'Calendario de Campañas'!N12</f>
        <v>1832.7272727272725</v>
      </c>
      <c r="D28" s="24">
        <f>IFERROR(C28/'Parámetros'!$B$7,"")</f>
        <v>0.009205616737645046</v>
      </c>
      <c r="E28" s="18">
        <f>'Calendario de Campañas'!O12</f>
        <v>1629.090909090909</v>
      </c>
      <c r="F28" s="24">
        <f>IFERROR(E28/'Parámetros'!$B$7,"")</f>
        <v>0.008182770433462263</v>
      </c>
      <c r="G28" t="str">
        <f>IF(NOT(ISNUMBER(D28)),"",IF(D28&gt;='Parámetros'!$B$28,"Sí","No"))</f>
        <v>No</v>
      </c>
    </row>
    <row r="29" ht="24" customHeight="1">
      <c r="A29" s="5" t="inlineStr">
        <is>
          <t>Temporada turistica</t>
        </is>
      </c>
      <c r="B29" t="inlineStr">
        <is>
          <t>Julio</t>
        </is>
      </c>
      <c r="C29" s="18">
        <f>'Calendario de Campañas'!N13</f>
        <v>3148.3636363636365</v>
      </c>
      <c r="D29" s="24">
        <f>IFERROR(C29/'Parámetros'!$B$7,"")</f>
        <v>0.015813934467168812</v>
      </c>
      <c r="E29" s="18">
        <f>'Calendario de Campañas'!O13</f>
        <v>2098.909090909091</v>
      </c>
      <c r="F29" s="24">
        <f>IFERROR(E29/'Parámetros'!$B$7,"")</f>
        <v>0.010542622978112542</v>
      </c>
      <c r="G29" t="str">
        <f>IF(NOT(ISNUMBER(D29)),"",IF(D29&gt;='Parámetros'!$B$28,"Sí","No"))</f>
        <v>No</v>
      </c>
    </row>
    <row r="30" ht="24" customHeight="1">
      <c r="A30" s="5" t="inlineStr">
        <is>
          <t>Valle del obrador</t>
        </is>
      </c>
      <c r="B30" t="inlineStr">
        <is>
          <t>Agosto</t>
        </is>
      </c>
      <c r="C30" s="18">
        <f>'Calendario de Campañas'!N14</f>
        <v>1467.8181818181818</v>
      </c>
      <c r="D30" s="24">
        <f>IFERROR(C30/'Parámetros'!$B$7,"")</f>
        <v>0.0073727126907746484</v>
      </c>
      <c r="E30" s="18">
        <f>'Calendario de Campañas'!O14</f>
        <v>652.3636363636364</v>
      </c>
      <c r="F30" s="24">
        <f>IFERROR(E30/'Parámetros'!$B$7,"")</f>
        <v>0.003276761195899844</v>
      </c>
      <c r="G30" t="str">
        <f>IF(NOT(ISNUMBER(D30)),"",IF(D30&gt;='Parámetros'!$B$28,"Sí","No"))</f>
        <v>No</v>
      </c>
    </row>
    <row r="31" ht="24" customHeight="1">
      <c r="A31" s="5" t="inlineStr">
        <is>
          <t>Apertura de agenda corporativa</t>
        </is>
      </c>
      <c r="B31" t="inlineStr">
        <is>
          <t>Septiembre</t>
        </is>
      </c>
      <c r="C31" s="18">
        <f>'Calendario de Campañas'!N15</f>
        <v>2472.7272727272725</v>
      </c>
      <c r="D31" s="24">
        <f>IFERROR(C31/'Parámetros'!$B$7,"")</f>
        <v>0.012420276550790935</v>
      </c>
      <c r="E31" s="18">
        <f>'Calendario de Campañas'!O15</f>
        <v>1854.5454545454545</v>
      </c>
      <c r="F31" s="24">
        <f>IFERROR(E31/'Parámetros'!$B$7,"")</f>
        <v>0.009315207413093201</v>
      </c>
      <c r="G31" t="str">
        <f>IF(NOT(ISNUMBER(D31)),"",IF(D31&gt;='Parámetros'!$B$28,"Sí","No"))</f>
        <v>No</v>
      </c>
    </row>
    <row r="32" ht="24" customHeight="1">
      <c r="A32" s="5" t="inlineStr">
        <is>
          <t>Halloween</t>
        </is>
      </c>
      <c r="B32" t="inlineStr">
        <is>
          <t>Octubre</t>
        </is>
      </c>
      <c r="C32" s="18">
        <f>'Calendario de Campañas'!N16</f>
        <v>1210.9090909090908</v>
      </c>
      <c r="D32" s="24">
        <f>IFERROR(C32/'Parámetros'!$B$7,"")</f>
        <v>0.006082282487372619</v>
      </c>
      <c r="E32" s="18">
        <f>'Calendario de Campañas'!O16</f>
        <v>1110.0</v>
      </c>
      <c r="F32" s="24">
        <f>IFERROR(E32/'Parámetros'!$B$7,"")</f>
        <v>0.005575425613424901</v>
      </c>
      <c r="G32" t="str">
        <f>IF(NOT(ISNUMBER(D32)),"",IF(D32&gt;='Parámetros'!$B$28,"Sí","No"))</f>
        <v>No</v>
      </c>
    </row>
    <row r="33" ht="24" customHeight="1">
      <c r="A33" s="5" t="inlineStr">
        <is>
          <t>Todos los Santos y Black Friday</t>
        </is>
      </c>
      <c r="B33" t="inlineStr">
        <is>
          <t>Noviembre</t>
        </is>
      </c>
      <c r="C33" s="18">
        <f>'Calendario de Campañas'!N17</f>
        <v>654.5454545454545</v>
      </c>
      <c r="D33" s="24">
        <f>IFERROR(C33/'Parámetros'!$B$7,"")</f>
        <v>0.0032877202634446594</v>
      </c>
      <c r="E33" s="18">
        <f>'Calendario de Campañas'!O17</f>
        <v>654.5454545454545</v>
      </c>
      <c r="F33" s="24">
        <f>IFERROR(E33/'Parámetros'!$B$7,"")</f>
        <v>0.0032877202634446594</v>
      </c>
      <c r="G33" t="str">
        <f>IF(NOT(ISNUMBER(D33)),"",IF(D33&gt;='Parámetros'!$B$28,"Sí","No"))</f>
        <v>No</v>
      </c>
    </row>
    <row r="34" ht="24" customHeight="1">
      <c r="A34" s="5" t="inlineStr">
        <is>
          <t>Navidad</t>
        </is>
      </c>
      <c r="B34" t="inlineStr">
        <is>
          <t>Diciembre</t>
        </is>
      </c>
      <c r="C34" s="18">
        <f>'Calendario de Campañas'!N18</f>
        <v>19800.0</v>
      </c>
      <c r="D34" s="24">
        <f>IFERROR(C34/'Parámetros'!$B$7,"")</f>
        <v>0.09945353796920095</v>
      </c>
      <c r="E34" s="18">
        <f>'Calendario de Campañas'!O18</f>
        <v>18000.0</v>
      </c>
      <c r="F34" s="24">
        <f>IFERROR(E34/'Parámetros'!$B$7,"")</f>
        <v>0.09041230724472814</v>
      </c>
      <c r="G34" t="str">
        <f>IF(NOT(ISNUMBER(D34)),"",IF(D34&gt;='Parámetros'!$B$28,"Sí","No"))</f>
        <v>Sí</v>
      </c>
    </row>
    <row r="35">
      <c r="A35" s="20" t="inlineStr">
        <is>
          <t>TOTAL de las doce campañas</t>
        </is>
      </c>
      <c r="C35" s="22">
        <f>SUM(C23:C34)</f>
        <v>52945.27272727272</v>
      </c>
      <c r="D35" s="27">
        <f>SUM(D23:D34)</f>
        <v>0.2659391258318948</v>
      </c>
      <c r="E35" s="22">
        <f>SUM(E23:E34)</f>
        <v>46134.0</v>
      </c>
      <c r="F35" s="27">
        <f>SUM(F23:F34)</f>
        <v>0.23172674346823818</v>
      </c>
    </row>
    <row r="36"/>
    <row r="37" ht="58" customHeight="1">
      <c r="A37" s="5" t="inlineStr">
        <is>
          <t>Contraste publicado: hasta el 10 % de la venta anual en un solo evento</t>
        </is>
      </c>
      <c r="B37" s="24" t="n">
        <v>0.1</v>
      </c>
      <c r="C37" s="11" t="inlineStr">
        <is>
          <t>Es el caso EXTREMO de una compañía concreta, no una regla del sector: la fuente dice que las ventas de chocolates y dulces pueden llegar a duplicar el promedio anual en San Valentín y que hay compañías que hacen en ese solo evento hasta el 10 % de su venta anual. Sirve para saber si tu reparto es plausible, no para copiarlo.</t>
        </is>
      </c>
    </row>
    <row r="38"/>
    <row r="39" ht="50" customHeight="1">
      <c r="A39" s="11" t="inlineStr">
        <is>
          <t>La suma de las doce campañas NO tiene que dar el 100 % del año: una campaña es lo que se vende del producto estrella en sus días, y el resto del año se vende carta. Lo que sí tiene que cuadrar es que las unidades de campaña quepan dentro de las unidades del año, y eso lo comprueba la hoja «El Valle de Agosto».</t>
        </is>
      </c>
    </row>
    <row r="40"/>
    <row r="41">
      <c r="A41"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O31"/>
  <sheetViews>
    <sheetView workbookViewId="0">
      <selection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3" customWidth="1" min="7" max="7"/>
    <col width="13" customWidth="1" min="8" max="8"/>
    <col width="12" customWidth="1" min="9" max="9"/>
    <col width="13" customWidth="1" min="10" max="10"/>
    <col width="13" customWidth="1" min="11" max="11"/>
    <col width="14" customWidth="1" min="12" max="12"/>
    <col width="14" customWidth="1" min="13" max="13"/>
    <col width="14" customWidth="1" min="14" max="14"/>
    <col width="70" customWidth="1" min="15" max="15"/>
  </cols>
  <sheetData>
    <row r="1">
      <c r="A1" s="1" t="inlineStr">
        <is>
          <t>Capacidad vs Demanda del Pico</t>
        </is>
      </c>
    </row>
    <row r="2">
      <c r="A2" s="2" t="inlineStr">
        <is>
          <t>AI Chef Pro · aichef.pro — Cómo Montar una Chocolatería</t>
        </is>
      </c>
    </row>
    <row r="3">
      <c r="A3" s="3" t="inlineStr">
        <is>
          <t>Todo se mide en BOMBONES DE OBRADOR: una caja de 35 bombones es una venta y treinta y seis piezas de obrador. Medir el pico en tickets es lo que hace creer que Navidad cabe.</t>
        </is>
      </c>
    </row>
    <row r="4"/>
    <row r="5" ht="30" customHeight="1">
      <c r="A5" s="4" t="inlineStr">
        <is>
          <t>Capacidad diaria del obrador: trae aquí la cifra de capacidad-obrador-y-clima.xlsx!Cuello de Botella!B7</t>
        </is>
      </c>
    </row>
    <row r="6" ht="78" customHeight="1">
      <c r="A6" s="5" t="inlineStr">
        <is>
          <t>Capacidad del obrador en jornada normal (bombones de obrador/día)</t>
        </is>
      </c>
      <c r="B6" s="12" t="n">
        <v>512</v>
      </c>
      <c r="C6" t="inlineStr">
        <is>
          <t>piezas/día</t>
        </is>
      </c>
      <c r="D6" s="10" t="inlineStr">
        <is>
          <t>libro 1</t>
        </is>
      </c>
      <c r="E6" s="11" t="inlineStr">
        <is>
          <t>COPIA a mano el resultado de la hoja «Cuello de Botella» del libro «capacidad-obrador-y-clima.xlsx» de este mismo pack: la casilla de piezas al día que permite el equipo que limita. NO hay ninguna fórmula entre ficheros -si la hubiera, se rompería al mover o renombrar el otro libro-. El valor por defecto son los 512 bombones al día que ese libro publica hoy en «Bombones al día que permite el conjunto», con el puesto de envasado y montaje de cajas como equipo que limita. Si cambias de atemperadora, de moldes o de puesto de envasado, vuelve a copiarlo.</t>
        </is>
      </c>
    </row>
    <row r="7" ht="48" customHeight="1">
      <c r="A7" s="5" t="inlineStr">
        <is>
          <t>Cifra que publica hoy esa hoja del libro 1</t>
        </is>
      </c>
      <c r="B7" s="12" t="n">
        <v>512</v>
      </c>
      <c r="C7" t="inlineStr">
        <is>
          <t>piezas/día</t>
        </is>
      </c>
      <c r="E7" s="11" t="inlineStr">
        <is>
          <t>Anota aquí lo que ves en el libro 1 la última vez que lo abriste. Si arriba tecleas otra cosa -porque has comprado otra máquina, o porque te lo dijo el instalador-, la fila de CUADRE te avisa en vez de dejar las dos cifras separadas en silencio.</t>
        </is>
      </c>
    </row>
    <row r="8">
      <c r="A8" t="inlineStr">
        <is>
          <t>Desviación entre las dos</t>
        </is>
      </c>
      <c r="B8" s="24">
        <f>IFERROR(ABS(B6-B7)/B7,"")</f>
        <v>0.0</v>
      </c>
    </row>
    <row r="9">
      <c r="A9" s="20" t="inlineStr">
        <is>
          <t>CUADRE: la capacidad que usas frente a la que publica el libro 1</t>
        </is>
      </c>
      <c r="B9" s="20" t="str">
        <f>IF(NOT(ISNUMBER(B8)),"",IF(B8&lt;='Parámetros'!$B$29,"CUADRA","REVISA: la capacidad que estás usando no es la que calcula el libro 1"))</f>
        <v>CUADRA</v>
      </c>
    </row>
    <row r="10"/>
    <row r="11" ht="76" customHeight="1">
      <c r="A11" s="8" t="inlineStr">
        <is>
          <t>Mes</t>
        </is>
      </c>
      <c r="B11" s="8" t="inlineStr">
        <is>
          <t>Campaña</t>
        </is>
      </c>
      <c r="C11" s="8" t="inlineStr">
        <is>
          <t>Bombones de obrador de base al día</t>
        </is>
      </c>
      <c r="D11" s="8" t="inlineStr">
        <is>
          <t>Unidades extra del producto estrella al día</t>
        </is>
      </c>
      <c r="E11" s="8" t="inlineStr">
        <is>
          <t>Bombones de obrador extra al día</t>
        </is>
      </c>
      <c r="F11" s="8" t="inlineStr">
        <is>
          <t>DEMANDA de bombones de obrador al día</t>
        </is>
      </c>
      <c r="G11" s="8" t="inlineStr">
        <is>
          <t>Capacidad al día</t>
        </is>
      </c>
      <c r="H11" s="8" t="inlineStr">
        <is>
          <t>Déficit diario</t>
        </is>
      </c>
      <c r="I11" s="8" t="inlineStr">
        <is>
          <t>¿Aguanta el obrador?</t>
        </is>
      </c>
      <c r="J11" s="8" t="inlineStr">
        <is>
          <t>Horas de obrador que harían falta</t>
        </is>
      </c>
      <c r="K11" s="8" t="inlineStr">
        <is>
          <t>Excedente de un día normal</t>
        </is>
      </c>
      <c r="L11" s="8" t="inlineStr">
        <is>
          <t>Piezas adelantables antes de la campaña</t>
        </is>
      </c>
      <c r="M11" s="8" t="inlineStr">
        <is>
          <t>Déficit de la campaña tras adelantar</t>
        </is>
      </c>
      <c r="N11" s="8" t="inlineStr">
        <is>
          <t>Bombones de obrador extra en toda la campaña</t>
        </is>
      </c>
      <c r="O11" s="8" t="inlineStr">
        <is>
          <t>Nota</t>
        </is>
      </c>
    </row>
    <row r="12" ht="58" customHeight="1">
      <c r="A12" t="inlineStr">
        <is>
          <t>Enero</t>
        </is>
      </c>
      <c r="B12" s="5" t="inlineStr">
        <is>
          <t>Reyes</t>
        </is>
      </c>
      <c r="C12" s="17">
        <f>IFERROR('Parámetros'!$B$12*'Peso sobre el Año'!C7,"")</f>
        <v>434.24</v>
      </c>
      <c r="D12" s="17">
        <f>IFERROR('Calendario de Campañas'!H7-'Calendario de Campañas'!G7,"")</f>
        <v>40.0</v>
      </c>
      <c r="E12" s="17">
        <f>IFERROR(D12*'Calendario de Campañas'!F7,"")</f>
        <v>40.0</v>
      </c>
      <c r="F12" s="21">
        <f>IFERROR(C12+E12,"")</f>
        <v>474.24</v>
      </c>
      <c r="G12" s="17">
        <f>B6</f>
        <v>512.0</v>
      </c>
      <c r="H12" s="17">
        <f>IF(OR(NOT(ISNUMBER(F12)),NOT(ISNUMBER(G12))),"",MAX(0,F12-G12))</f>
        <v>0.0</v>
      </c>
      <c r="I12" s="20" t="str">
        <f>IF(NOT(ISNUMBER(H12)),"",IF(H12&lt;=0,"Sí","No"))</f>
        <v>Sí</v>
      </c>
      <c r="J12" s="16">
        <f>IFERROR(F12*'Parámetros'!$B$13/G12,"")</f>
        <v>7.41</v>
      </c>
      <c r="K12" s="17">
        <f>IF(OR(NOT(ISNUMBER(G12)),NOT(ISNUMBER(C12))),"",MAX(0,G12-C12))</f>
        <v>77.75999999999999</v>
      </c>
      <c r="L12" s="17">
        <f>IFERROR(K12*'Calendario de Campañas'!P7,"")</f>
        <v>1555.1999999999998</v>
      </c>
      <c r="M12" s="21">
        <f>IF(OR(NOT(ISNUMBER(H12)),NOT(ISNUMBER(L12))),"",MAX(0,H12*'Calendario de Campañas'!J7-L12))</f>
        <v>0.0</v>
      </c>
      <c r="N12" s="17">
        <f>IFERROR(E12*'Calendario de Campañas'!J7,"")</f>
        <v>200.0</v>
      </c>
      <c r="O12" s="11" t="inlineStr">
        <is>
          <t>Las tres palancas, y van en este orden: adelantar producción de lo que aguanta, alargar la jornada de máquina y, sólo después, contratar refuerzo. La columna de piezas adelantables usa los días de adelanto que admite el producto estrella de cada campaña, que los manda la vida útil, no las ganas.</t>
        </is>
      </c>
    </row>
    <row r="13" ht="26" customHeight="1">
      <c r="A13" t="inlineStr">
        <is>
          <t>Febrero</t>
        </is>
      </c>
      <c r="B13" s="5" t="inlineStr">
        <is>
          <t>San Valentin</t>
        </is>
      </c>
      <c r="C13" s="17">
        <f>IFERROR('Parámetros'!$B$12*'Peso sobre el Año'!C8,"")</f>
        <v>528.6400000000001</v>
      </c>
      <c r="D13" s="17">
        <f>IFERROR('Calendario de Campañas'!H8-'Calendario de Campañas'!G8,"")</f>
        <v>47.0</v>
      </c>
      <c r="E13" s="17">
        <f>IFERROR(D13*'Calendario de Campañas'!F8,"")</f>
        <v>611.0</v>
      </c>
      <c r="F13" s="21">
        <f>IFERROR(C13+E13,"")</f>
        <v>1139.64</v>
      </c>
      <c r="G13" s="17">
        <f>B6</f>
        <v>512.0</v>
      </c>
      <c r="H13" s="17">
        <f>IF(OR(NOT(ISNUMBER(F13)),NOT(ISNUMBER(G13))),"",MAX(0,F13-G13))</f>
        <v>627.6400000000001</v>
      </c>
      <c r="I13" s="20" t="str">
        <f>IF(NOT(ISNUMBER(H13)),"",IF(H13&lt;=0,"Sí","No"))</f>
        <v>No</v>
      </c>
      <c r="J13" s="16">
        <f>IFERROR(F13*'Parámetros'!$B$13/G13,"")</f>
        <v>17.806875</v>
      </c>
      <c r="K13" s="17">
        <f>IF(OR(NOT(ISNUMBER(G13)),NOT(ISNUMBER(C13))),"",MAX(0,G13-C13))</f>
        <v>0.0</v>
      </c>
      <c r="L13" s="17">
        <f>IFERROR(K13*'Calendario de Campañas'!P8,"")</f>
        <v>0.0</v>
      </c>
      <c r="M13" s="21">
        <f>IF(OR(NOT(ISNUMBER(H13)),NOT(ISNUMBER(L13))),"",MAX(0,H13*'Calendario de Campañas'!J8-L13))</f>
        <v>3765.8400000000006</v>
      </c>
      <c r="N13" s="17">
        <f>IFERROR(E13*'Calendario de Campañas'!J8,"")</f>
        <v>3666.0</v>
      </c>
    </row>
    <row r="14" ht="26" customHeight="1">
      <c r="A14" t="inlineStr">
        <is>
          <t>Marzo</t>
        </is>
      </c>
      <c r="B14" s="5" t="inlineStr">
        <is>
          <t>Dia del Padre</t>
        </is>
      </c>
      <c r="C14" s="17">
        <f>IFERROR('Parámetros'!$B$12*'Peso sobre el Año'!C9,"")</f>
        <v>481.44</v>
      </c>
      <c r="D14" s="17">
        <f>IFERROR('Calendario de Campañas'!H9-'Calendario de Campañas'!G9,"")</f>
        <v>18.0</v>
      </c>
      <c r="E14" s="17">
        <f>IFERROR(D14*'Calendario de Campañas'!F9,"")</f>
        <v>234.0</v>
      </c>
      <c r="F14" s="21">
        <f>IFERROR(C14+E14,"")</f>
        <v>715.44</v>
      </c>
      <c r="G14" s="17">
        <f>B6</f>
        <v>512.0</v>
      </c>
      <c r="H14" s="17">
        <f>IF(OR(NOT(ISNUMBER(F14)),NOT(ISNUMBER(G14))),"",MAX(0,F14-G14))</f>
        <v>203.44000000000005</v>
      </c>
      <c r="I14" s="20" t="str">
        <f>IF(NOT(ISNUMBER(H14)),"",IF(H14&lt;=0,"Sí","No"))</f>
        <v>No</v>
      </c>
      <c r="J14" s="16">
        <f>IFERROR(F14*'Parámetros'!$B$13/G14,"")</f>
        <v>11.17875</v>
      </c>
      <c r="K14" s="17">
        <f>IF(OR(NOT(ISNUMBER(G14)),NOT(ISNUMBER(C14))),"",MAX(0,G14-C14))</f>
        <v>30.560000000000002</v>
      </c>
      <c r="L14" s="17">
        <f>IFERROR(K14*'Calendario de Campañas'!P9,"")</f>
        <v>244.48000000000002</v>
      </c>
      <c r="M14" s="21">
        <f>IF(OR(NOT(ISNUMBER(H14)),NOT(ISNUMBER(L14))),"",MAX(0,H14*'Calendario de Campañas'!J9-L14))</f>
        <v>569.2800000000002</v>
      </c>
      <c r="N14" s="17">
        <f>IFERROR(E14*'Calendario de Campañas'!J9,"")</f>
        <v>936.0</v>
      </c>
    </row>
    <row r="15" ht="26" customHeight="1">
      <c r="A15" t="inlineStr">
        <is>
          <t>Abril</t>
        </is>
      </c>
      <c r="B15" s="5" t="inlineStr">
        <is>
          <t>Pascua</t>
        </is>
      </c>
      <c r="C15" s="17">
        <f>IFERROR('Parámetros'!$B$12*'Peso sobre el Año'!C10,"")</f>
        <v>509.76000000000005</v>
      </c>
      <c r="D15" s="17">
        <f>IFERROR('Calendario de Campañas'!H10-'Calendario de Campañas'!G10,"")</f>
        <v>28.0</v>
      </c>
      <c r="E15" s="17">
        <f>IFERROR(D15*'Calendario de Campañas'!F10,"")</f>
        <v>28.0</v>
      </c>
      <c r="F15" s="21">
        <f>IFERROR(C15+E15,"")</f>
        <v>537.76</v>
      </c>
      <c r="G15" s="17">
        <f>B6</f>
        <v>512.0</v>
      </c>
      <c r="H15" s="17">
        <f>IF(OR(NOT(ISNUMBER(F15)),NOT(ISNUMBER(G15))),"",MAX(0,F15-G15))</f>
        <v>25.75999999999999</v>
      </c>
      <c r="I15" s="20" t="str">
        <f>IF(NOT(ISNUMBER(H15)),"",IF(H15&lt;=0,"Sí","No"))</f>
        <v>No</v>
      </c>
      <c r="J15" s="16">
        <f>IFERROR(F15*'Parámetros'!$B$13/G15,"")</f>
        <v>8.4025</v>
      </c>
      <c r="K15" s="17">
        <f>IF(OR(NOT(ISNUMBER(G15)),NOT(ISNUMBER(C15))),"",MAX(0,G15-C15))</f>
        <v>2.2399999999999523</v>
      </c>
      <c r="L15" s="17">
        <f>IFERROR(K15*'Calendario de Campañas'!P10,"")</f>
        <v>44.799999999999045</v>
      </c>
      <c r="M15" s="21">
        <f>IF(OR(NOT(ISNUMBER(H15)),NOT(ISNUMBER(L15))),"",MAX(0,H15*'Calendario de Campañas'!J10-L15))</f>
        <v>212.80000000000086</v>
      </c>
      <c r="N15" s="17">
        <f>IFERROR(E15*'Calendario de Campañas'!J10,"")</f>
        <v>280.0</v>
      </c>
    </row>
    <row r="16" ht="26" customHeight="1">
      <c r="A16" t="inlineStr">
        <is>
          <t>Mayo</t>
        </is>
      </c>
      <c r="B16" s="5" t="inlineStr">
        <is>
          <t>COMUNIONES (pico) y Dia de la Madre</t>
        </is>
      </c>
      <c r="C16" s="17">
        <f>IFERROR('Parámetros'!$B$12*'Peso sobre el Año'!C11,"")</f>
        <v>519.2</v>
      </c>
      <c r="D16" s="17">
        <f>IFERROR('Calendario de Campañas'!H11-'Calendario de Campañas'!G11,"")</f>
        <v>13.0</v>
      </c>
      <c r="E16" s="17">
        <f>IFERROR(D16*'Calendario de Campañas'!F11,"")</f>
        <v>325.0</v>
      </c>
      <c r="F16" s="21">
        <f>IFERROR(C16+E16,"")</f>
        <v>844.2</v>
      </c>
      <c r="G16" s="17">
        <f>B6</f>
        <v>512.0</v>
      </c>
      <c r="H16" s="17">
        <f>IF(OR(NOT(ISNUMBER(F16)),NOT(ISNUMBER(G16))),"",MAX(0,F16-G16))</f>
        <v>332.20000000000005</v>
      </c>
      <c r="I16" s="20" t="str">
        <f>IF(NOT(ISNUMBER(H16)),"",IF(H16&lt;=0,"Sí","No"))</f>
        <v>No</v>
      </c>
      <c r="J16" s="16">
        <f>IFERROR(F16*'Parámetros'!$B$13/G16,"")</f>
        <v>13.190625</v>
      </c>
      <c r="K16" s="17">
        <f>IF(OR(NOT(ISNUMBER(G16)),NOT(ISNUMBER(C16))),"",MAX(0,G16-C16))</f>
        <v>0.0</v>
      </c>
      <c r="L16" s="17">
        <f>IFERROR(K16*'Calendario de Campañas'!P11,"")</f>
        <v>0.0</v>
      </c>
      <c r="M16" s="21">
        <f>IF(OR(NOT(ISNUMBER(H16)),NOT(ISNUMBER(L16))),"",MAX(0,H16*'Calendario de Campañas'!J11-L16))</f>
        <v>4650.800000000001</v>
      </c>
      <c r="N16" s="17">
        <f>IFERROR(E16*'Calendario de Campañas'!J11,"")</f>
        <v>4550.0</v>
      </c>
    </row>
    <row r="17" ht="26" customHeight="1">
      <c r="A17" t="inlineStr">
        <is>
          <t>Junio</t>
        </is>
      </c>
      <c r="B17" s="5" t="inlineStr">
        <is>
          <t>COMUNIONES (ultimas)</t>
        </is>
      </c>
      <c r="C17" s="17">
        <f>IFERROR('Parámetros'!$B$12*'Peso sobre el Año'!C12,"")</f>
        <v>434.24</v>
      </c>
      <c r="D17" s="17">
        <f>IFERROR('Calendario de Campañas'!H12-'Calendario de Campañas'!G12,"")</f>
        <v>8.0</v>
      </c>
      <c r="E17" s="17">
        <f>IFERROR(D17*'Calendario de Campañas'!F12,"")</f>
        <v>168.0</v>
      </c>
      <c r="F17" s="21">
        <f>IFERROR(C17+E17,"")</f>
        <v>602.24</v>
      </c>
      <c r="G17" s="17">
        <f>B6</f>
        <v>512.0</v>
      </c>
      <c r="H17" s="17">
        <f>IF(OR(NOT(ISNUMBER(F17)),NOT(ISNUMBER(G17))),"",MAX(0,F17-G17))</f>
        <v>90.24000000000001</v>
      </c>
      <c r="I17" s="20" t="str">
        <f>IF(NOT(ISNUMBER(H17)),"",IF(H17&lt;=0,"Sí","No"))</f>
        <v>No</v>
      </c>
      <c r="J17" s="16">
        <f>IFERROR(F17*'Parámetros'!$B$13/G17,"")</f>
        <v>9.41</v>
      </c>
      <c r="K17" s="17">
        <f>IF(OR(NOT(ISNUMBER(G17)),NOT(ISNUMBER(C17))),"",MAX(0,G17-C17))</f>
        <v>77.75999999999999</v>
      </c>
      <c r="L17" s="17">
        <f>IFERROR(K17*'Calendario de Campañas'!P12,"")</f>
        <v>622.0799999999999</v>
      </c>
      <c r="M17" s="21">
        <f>IF(OR(NOT(ISNUMBER(H17)),NOT(ISNUMBER(L17))),"",MAX(0,H17*'Calendario de Campañas'!J12-L17))</f>
        <v>99.84000000000015</v>
      </c>
      <c r="N17" s="17">
        <f>IFERROR(E17*'Calendario de Campañas'!J12,"")</f>
        <v>1344.0</v>
      </c>
    </row>
    <row r="18" ht="26" customHeight="1">
      <c r="A18" t="inlineStr">
        <is>
          <t>Julio</t>
        </is>
      </c>
      <c r="B18" s="5" t="inlineStr">
        <is>
          <t>Temporada turistica</t>
        </is>
      </c>
      <c r="C18" s="17">
        <f>IFERROR('Parámetros'!$B$12*'Peso sobre el Año'!C13,"")</f>
        <v>387.03999999999996</v>
      </c>
      <c r="D18" s="17">
        <f>IFERROR('Calendario de Campañas'!H13-'Calendario de Campañas'!G13,"")</f>
        <v>12.0</v>
      </c>
      <c r="E18" s="17">
        <f>IFERROR(D18*'Calendario de Campañas'!F13,"")</f>
        <v>12.0</v>
      </c>
      <c r="F18" s="21">
        <f>IFERROR(C18+E18,"")</f>
        <v>399.03999999999996</v>
      </c>
      <c r="G18" s="17">
        <f>B6</f>
        <v>512.0</v>
      </c>
      <c r="H18" s="17">
        <f>IF(OR(NOT(ISNUMBER(F18)),NOT(ISNUMBER(G18))),"",MAX(0,F18-G18))</f>
        <v>0.0</v>
      </c>
      <c r="I18" s="20" t="str">
        <f>IF(NOT(ISNUMBER(H18)),"",IF(H18&lt;=0,"Sí","No"))</f>
        <v>Sí</v>
      </c>
      <c r="J18" s="16">
        <f>IFERROR(F18*'Parámetros'!$B$13/G18,"")</f>
        <v>6.234999999999999</v>
      </c>
      <c r="K18" s="17">
        <f>IF(OR(NOT(ISNUMBER(G18)),NOT(ISNUMBER(C18))),"",MAX(0,G18-C18))</f>
        <v>124.96000000000004</v>
      </c>
      <c r="L18" s="17">
        <f>IFERROR(K18*'Calendario de Campañas'!P13,"")</f>
        <v>2499.2000000000007</v>
      </c>
      <c r="M18" s="21">
        <f>IF(OR(NOT(ISNUMBER(H18)),NOT(ISNUMBER(L18))),"",MAX(0,H18*'Calendario de Campañas'!J13-L18))</f>
        <v>0.0</v>
      </c>
      <c r="N18" s="17">
        <f>IFERROR(E18*'Calendario de Campañas'!J13,"")</f>
        <v>312.0</v>
      </c>
    </row>
    <row r="19" ht="26" customHeight="1">
      <c r="A19" t="inlineStr">
        <is>
          <t>Agosto</t>
        </is>
      </c>
      <c r="B19" s="5" t="inlineStr">
        <is>
          <t>Valle del obrador</t>
        </is>
      </c>
      <c r="C19" s="17">
        <f>IFERROR('Parámetros'!$B$12*'Peso sobre el Año'!C14,"")</f>
        <v>283.2</v>
      </c>
      <c r="D19" s="17">
        <f>IFERROR('Calendario de Campañas'!H14-'Calendario de Campañas'!G14,"")</f>
        <v>4.0</v>
      </c>
      <c r="E19" s="17">
        <f>IFERROR(D19*'Calendario de Campañas'!F14,"")</f>
        <v>4.0</v>
      </c>
      <c r="F19" s="21">
        <f>IFERROR(C19+E19,"")</f>
        <v>287.2</v>
      </c>
      <c r="G19" s="17">
        <f>B6</f>
        <v>512.0</v>
      </c>
      <c r="H19" s="17">
        <f>IF(OR(NOT(ISNUMBER(F19)),NOT(ISNUMBER(G19))),"",MAX(0,F19-G19))</f>
        <v>0.0</v>
      </c>
      <c r="I19" s="20" t="str">
        <f>IF(NOT(ISNUMBER(H19)),"",IF(H19&lt;=0,"Sí","No"))</f>
        <v>Sí</v>
      </c>
      <c r="J19" s="16">
        <f>IFERROR(F19*'Parámetros'!$B$13/G19,"")</f>
        <v>4.4875</v>
      </c>
      <c r="K19" s="17">
        <f>IF(OR(NOT(ISNUMBER(G19)),NOT(ISNUMBER(C19))),"",MAX(0,G19-C19))</f>
        <v>228.8</v>
      </c>
      <c r="L19" s="17">
        <f>IFERROR(K19*'Calendario de Campañas'!P14,"")</f>
        <v>4576.0</v>
      </c>
      <c r="M19" s="21">
        <f>IF(OR(NOT(ISNUMBER(H19)),NOT(ISNUMBER(L19))),"",MAX(0,H19*'Calendario de Campañas'!J14-L19))</f>
        <v>0.0</v>
      </c>
      <c r="N19" s="17">
        <f>IFERROR(E19*'Calendario de Campañas'!J14,"")</f>
        <v>104.0</v>
      </c>
    </row>
    <row r="20" ht="26" customHeight="1">
      <c r="A20" t="inlineStr">
        <is>
          <t>Septiembre</t>
        </is>
      </c>
      <c r="B20" s="5" t="inlineStr">
        <is>
          <t>Apertura de agenda corporativa</t>
        </is>
      </c>
      <c r="C20" s="17">
        <f>IFERROR('Parámetros'!$B$12*'Peso sobre el Año'!C15,"")</f>
        <v>405.92</v>
      </c>
      <c r="D20" s="17">
        <f>IFERROR('Calendario de Campañas'!H15-'Calendario de Campañas'!G15,"")</f>
        <v>3.0</v>
      </c>
      <c r="E20" s="17">
        <f>IFERROR(D20*'Calendario de Campañas'!F15,"")</f>
        <v>75.0</v>
      </c>
      <c r="F20" s="21">
        <f>IFERROR(C20+E20,"")</f>
        <v>480.92</v>
      </c>
      <c r="G20" s="17">
        <f>B6</f>
        <v>512.0</v>
      </c>
      <c r="H20" s="17">
        <f>IF(OR(NOT(ISNUMBER(F20)),NOT(ISNUMBER(G20))),"",MAX(0,F20-G20))</f>
        <v>0.0</v>
      </c>
      <c r="I20" s="20" t="str">
        <f>IF(NOT(ISNUMBER(H20)),"",IF(H20&lt;=0,"Sí","No"))</f>
        <v>Sí</v>
      </c>
      <c r="J20" s="16">
        <f>IFERROR(F20*'Parámetros'!$B$13/G20,"")</f>
        <v>7.514375</v>
      </c>
      <c r="K20" s="17">
        <f>IF(OR(NOT(ISNUMBER(G20)),NOT(ISNUMBER(C20))),"",MAX(0,G20-C20))</f>
        <v>106.07999999999998</v>
      </c>
      <c r="L20" s="17">
        <f>IFERROR(K20*'Calendario de Campañas'!P15,"")</f>
        <v>848.6399999999999</v>
      </c>
      <c r="M20" s="21">
        <f>IF(OR(NOT(ISNUMBER(H20)),NOT(ISNUMBER(L20))),"",MAX(0,H20*'Calendario de Campañas'!J15-L20))</f>
        <v>0.0</v>
      </c>
      <c r="N20" s="17">
        <f>IFERROR(E20*'Calendario de Campañas'!J15,"")</f>
        <v>1500.0</v>
      </c>
    </row>
    <row r="21" ht="26" customHeight="1">
      <c r="A21" t="inlineStr">
        <is>
          <t>Octubre</t>
        </is>
      </c>
      <c r="B21" s="5" t="inlineStr">
        <is>
          <t>Halloween</t>
        </is>
      </c>
      <c r="C21" s="17">
        <f>IFERROR('Parámetros'!$B$12*'Peso sobre el Año'!C16,"")</f>
        <v>481.44</v>
      </c>
      <c r="D21" s="17">
        <f>IFERROR('Calendario de Campañas'!H16-'Calendario de Campañas'!G16,"")</f>
        <v>11.0</v>
      </c>
      <c r="E21" s="17">
        <f>IFERROR(D21*'Calendario de Campañas'!F16,"")</f>
        <v>11.0</v>
      </c>
      <c r="F21" s="21">
        <f>IFERROR(C21+E21,"")</f>
        <v>492.44</v>
      </c>
      <c r="G21" s="17">
        <f>B6</f>
        <v>512.0</v>
      </c>
      <c r="H21" s="17">
        <f>IF(OR(NOT(ISNUMBER(F21)),NOT(ISNUMBER(G21))),"",MAX(0,F21-G21))</f>
        <v>0.0</v>
      </c>
      <c r="I21" s="20" t="str">
        <f>IF(NOT(ISNUMBER(H21)),"",IF(H21&lt;=0,"Sí","No"))</f>
        <v>Sí</v>
      </c>
      <c r="J21" s="16">
        <f>IFERROR(F21*'Parámetros'!$B$13/G21,"")</f>
        <v>7.694375</v>
      </c>
      <c r="K21" s="17">
        <f>IF(OR(NOT(ISNUMBER(G21)),NOT(ISNUMBER(C21))),"",MAX(0,G21-C21))</f>
        <v>30.560000000000002</v>
      </c>
      <c r="L21" s="17">
        <f>IFERROR(K21*'Calendario de Campañas'!P16,"")</f>
        <v>611.2</v>
      </c>
      <c r="M21" s="21">
        <f>IF(OR(NOT(ISNUMBER(H21)),NOT(ISNUMBER(L21))),"",MAX(0,H21*'Calendario de Campañas'!J16-L21))</f>
        <v>0.0</v>
      </c>
      <c r="N21" s="17">
        <f>IFERROR(E21*'Calendario de Campañas'!J16,"")</f>
        <v>66.0</v>
      </c>
    </row>
    <row r="22" ht="26" customHeight="1">
      <c r="A22" t="inlineStr">
        <is>
          <t>Noviembre</t>
        </is>
      </c>
      <c r="B22" s="5" t="inlineStr">
        <is>
          <t>Todos los Santos y Black Friday</t>
        </is>
      </c>
      <c r="C22" s="17">
        <f>IFERROR('Parámetros'!$B$12*'Peso sobre el Año'!C17,"")</f>
        <v>519.2</v>
      </c>
      <c r="D22" s="17">
        <f>IFERROR('Calendario de Campañas'!H17-'Calendario de Campañas'!G17,"")</f>
        <v>90.0</v>
      </c>
      <c r="E22" s="17">
        <f>IFERROR(D22*'Calendario de Campañas'!F17,"")</f>
        <v>90.0</v>
      </c>
      <c r="F22" s="21">
        <f>IFERROR(C22+E22,"")</f>
        <v>609.2</v>
      </c>
      <c r="G22" s="17">
        <f>B6</f>
        <v>512.0</v>
      </c>
      <c r="H22" s="17">
        <f>IF(OR(NOT(ISNUMBER(F22)),NOT(ISNUMBER(G22))),"",MAX(0,F22-G22))</f>
        <v>97.20000000000005</v>
      </c>
      <c r="I22" s="20" t="str">
        <f>IF(NOT(ISNUMBER(H22)),"",IF(H22&lt;=0,"Sí","No"))</f>
        <v>No</v>
      </c>
      <c r="J22" s="16">
        <f>IFERROR(F22*'Parámetros'!$B$13/G22,"")</f>
        <v>9.51875</v>
      </c>
      <c r="K22" s="17">
        <f>IF(OR(NOT(ISNUMBER(G22)),NOT(ISNUMBER(C22))),"",MAX(0,G22-C22))</f>
        <v>0.0</v>
      </c>
      <c r="L22" s="17">
        <f>IFERROR(K22*'Calendario de Campañas'!P17,"")</f>
        <v>0.0</v>
      </c>
      <c r="M22" s="21">
        <f>IF(OR(NOT(ISNUMBER(H22)),NOT(ISNUMBER(L22))),"",MAX(0,H22*'Calendario de Campañas'!J17-L22))</f>
        <v>486.0000000000002</v>
      </c>
      <c r="N22" s="17">
        <f>IFERROR(E22*'Calendario de Campañas'!J17,"")</f>
        <v>450.0</v>
      </c>
    </row>
    <row r="23" ht="26" customHeight="1">
      <c r="A23" t="inlineStr">
        <is>
          <t>Diciembre</t>
        </is>
      </c>
      <c r="B23" s="5" t="inlineStr">
        <is>
          <t>Navidad</t>
        </is>
      </c>
      <c r="C23" s="17">
        <f>IFERROR('Parámetros'!$B$12*'Peso sobre el Año'!C18,"")</f>
        <v>679.68</v>
      </c>
      <c r="D23" s="17">
        <f>IFERROR('Calendario de Campañas'!H18-'Calendario de Campañas'!G18,"")</f>
        <v>20.0</v>
      </c>
      <c r="E23" s="17">
        <f>IFERROR(D23*'Calendario de Campañas'!F18,"")</f>
        <v>720.0</v>
      </c>
      <c r="F23" s="21">
        <f>IFERROR(C23+E23,"")</f>
        <v>1399.6799999999998</v>
      </c>
      <c r="G23" s="17">
        <f>B6</f>
        <v>512.0</v>
      </c>
      <c r="H23" s="17">
        <f>IF(OR(NOT(ISNUMBER(F23)),NOT(ISNUMBER(G23))),"",MAX(0,F23-G23))</f>
        <v>887.6799999999998</v>
      </c>
      <c r="I23" s="20" t="str">
        <f>IF(NOT(ISNUMBER(H23)),"",IF(H23&lt;=0,"Sí","No"))</f>
        <v>No</v>
      </c>
      <c r="J23" s="16">
        <f>IFERROR(F23*'Parámetros'!$B$13/G23,"")</f>
        <v>21.869999999999997</v>
      </c>
      <c r="K23" s="17">
        <f>IF(OR(NOT(ISNUMBER(G23)),NOT(ISNUMBER(C23))),"",MAX(0,G23-C23))</f>
        <v>0.0</v>
      </c>
      <c r="L23" s="17">
        <f>IFERROR(K23*'Calendario de Campañas'!P18,"")</f>
        <v>0.0</v>
      </c>
      <c r="M23" s="21">
        <f>IF(OR(NOT(ISNUMBER(H23)),NOT(ISNUMBER(L23))),"",MAX(0,H23*'Calendario de Campañas'!J18-L23))</f>
        <v>19528.959999999995</v>
      </c>
      <c r="N23" s="17">
        <f>IFERROR(E23*'Calendario de Campañas'!J18,"")</f>
        <v>15840.0</v>
      </c>
    </row>
    <row r="24">
      <c r="A24" s="20" t="inlineStr">
        <is>
          <t>TOTAL del año</t>
        </is>
      </c>
      <c r="N24" s="21">
        <f>SUM(N12:N23)</f>
        <v>29248.0</v>
      </c>
    </row>
    <row r="25"/>
    <row r="26">
      <c r="A26" t="inlineStr">
        <is>
          <t>Campañas que NO aguanta el obrador</t>
        </is>
      </c>
      <c r="B26" s="21">
        <f>COUNTIF(I12:I23,"No")</f>
        <v>7.0</v>
      </c>
    </row>
    <row r="27">
      <c r="A27" t="inlineStr">
        <is>
          <t>Campañas con déficit incluso después de adelantar</t>
        </is>
      </c>
      <c r="B27" s="21">
        <f>COUNTIF(M12:M23,"&gt;0")</f>
        <v>7.0</v>
      </c>
    </row>
    <row r="28"/>
    <row r="29" ht="50" customHeight="1">
      <c r="A29" s="11" t="inlineStr">
        <is>
          <t>Un «No» aquí no significa que no puedas hacer la campaña: significa que ese día, con ese equipo y esa plantilla, no cabe. Mira la columna de al lado -piezas adelantables- antes de contratar a nadie: adelantar tableta y figura es gratis y contratar no lo es.</t>
        </is>
      </c>
    </row>
    <row r="30"/>
    <row r="31">
      <c r="A31"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8">
    <cfRule type="expression" priority="1" dxfId="0" stopIfTrue="1">
      <formula>=AND(ISNUMBER($B8),$B8&gt;'Parámetros'!$B$29)</formula>
    </cfRule>
  </conditionalFormatting>
  <conditionalFormatting sqref="I12:I23">
    <cfRule type="cellIs" priority="2" operator="equal" dxfId="0" stopIfTrue="1">
      <formula>"No"</formula>
    </cfRule>
    <cfRule type="cellIs" priority="3" operator="equal" dxfId="1" stopIfTrue="1">
      <formula>"Sí"</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23"/>
  <sheetViews>
    <sheetView workbookViewId="0">
      <selection activeCell="A1" sqref="A1"/>
    </sheetView>
  </sheetViews>
  <sheetFormatPr baseColWidth="8" defaultRowHeight="15"/>
  <cols>
    <col width="14" customWidth="1" min="1" max="1"/>
    <col width="30" customWidth="1" min="2" max="2"/>
    <col width="12" customWidth="1" min="3" max="3"/>
    <col width="12" customWidth="1" min="4" max="4"/>
    <col width="13" customWidth="1" min="5" max="5"/>
    <col width="13" customWidth="1" min="6" max="6"/>
    <col width="14" customWidth="1" min="7" max="7"/>
    <col width="13" customWidth="1" min="8" max="8"/>
    <col width="14" customWidth="1" min="9" max="9"/>
    <col width="14" customWidth="1" min="10" max="10"/>
    <col width="13" customWidth="1" min="11" max="11"/>
    <col width="14" customWidth="1" min="12" max="12"/>
    <col width="15" customWidth="1" min="13" max="13"/>
    <col width="15" customWidth="1" min="14" max="14"/>
    <col width="26" customWidth="1" min="15" max="15"/>
    <col width="66" customWidth="1" min="16" max="16"/>
  </cols>
  <sheetData>
    <row r="1">
      <c r="A1" s="1" t="inlineStr">
        <is>
          <t>Refuerzo y Tesorería</t>
        </is>
      </c>
    </row>
    <row r="2">
      <c r="A2" s="2" t="inlineStr">
        <is>
          <t>AI Chef Pro · aichef.pro — Cómo Montar una Chocolatería</t>
        </is>
      </c>
    </row>
    <row r="3">
      <c r="A3" s="3" t="inlineStr">
        <is>
          <t>Una campaña no cuesta sólo las horas del refuerzo: cuesta también el dinero que dejas parado en moldes y en packaging semanas antes de vender nada.</t>
        </is>
      </c>
    </row>
    <row r="4"/>
    <row r="5"/>
    <row r="6" ht="76" customHeight="1">
      <c r="A6" s="8" t="inlineStr">
        <is>
          <t>Mes</t>
        </is>
      </c>
      <c r="B6" s="8" t="inlineStr">
        <is>
          <t>Campaña</t>
        </is>
      </c>
      <c r="C6" s="8" t="inlineStr">
        <is>
          <t>Personas de refuerzo</t>
        </is>
      </c>
      <c r="D6" s="8" t="inlineStr">
        <is>
          <t>Horas por persona</t>
        </is>
      </c>
      <c r="E6" s="8" t="inlineStr">
        <is>
          <t>Coste del refuerzo (EUR)</t>
        </is>
      </c>
      <c r="F6" s="8" t="inlineStr">
        <is>
          <t>Antelación de los moldes (semanas)</t>
        </is>
      </c>
      <c r="G6" s="8" t="inlineStr">
        <is>
          <t>Inversión en moldes de temporada (EUR)</t>
        </is>
      </c>
      <c r="H6" s="8" t="inlineStr">
        <is>
          <t>Antelación del packaging (semanas)</t>
        </is>
      </c>
      <c r="I6" s="8" t="inlineStr">
        <is>
          <t>Inversión en packaging de temporada (EUR)</t>
        </is>
      </c>
      <c r="J6" s="8" t="inlineStr">
        <is>
          <t>Tesorería inmovilizada (EUR)</t>
        </is>
      </c>
      <c r="K6" s="8" t="inlineStr">
        <is>
          <t>Días con el dinero parado</t>
        </is>
      </c>
      <c r="L6" s="8" t="inlineStr">
        <is>
          <t>Coste financiero del inmovilizado (EUR)</t>
        </is>
      </c>
      <c r="M6" s="8" t="inlineStr">
        <is>
          <t>Margen bruto de la facturación incremental (EUR)</t>
        </is>
      </c>
      <c r="N6" s="8" t="inlineStr">
        <is>
          <t>RESULTADO INCREMENTAL (EUR)</t>
        </is>
      </c>
      <c r="O6" s="8" t="inlineStr">
        <is>
          <t>Veredicto</t>
        </is>
      </c>
      <c r="P6" s="8" t="inlineStr">
        <is>
          <t>Nota</t>
        </is>
      </c>
    </row>
    <row r="7" ht="46" customHeight="1">
      <c r="A7" t="inlineStr">
        <is>
          <t>Enero</t>
        </is>
      </c>
      <c r="B7" s="5" t="inlineStr">
        <is>
          <t>Reyes</t>
        </is>
      </c>
      <c r="C7" s="12" t="n">
        <v>0</v>
      </c>
      <c r="D7" s="12" t="n">
        <v>0</v>
      </c>
      <c r="E7" s="18">
        <f>IFERROR(C7*D7*'Parámetros'!$B$23,"")</f>
        <v>0.0</v>
      </c>
      <c r="F7" s="12" t="n">
        <v>0</v>
      </c>
      <c r="G7" s="9" t="n">
        <v>0</v>
      </c>
      <c r="H7" s="12" t="n">
        <v>0</v>
      </c>
      <c r="I7" s="9" t="n">
        <v>120</v>
      </c>
      <c r="J7" s="18">
        <f>IFERROR(G7+I7,"")</f>
        <v>120.0</v>
      </c>
      <c r="K7" s="17">
        <f>IF(OR(NOT(ISNUMBER(F7)),NOT(ISNUMBER(H7))),"",MAX(F7,H7)*'Parámetros'!$B$30)</f>
        <v>0.0</v>
      </c>
      <c r="L7" s="18">
        <f>IFERROR(J7*'Parámetros'!$B$26*K7/'Parámetros'!$B$31,"")</f>
        <v>0.0</v>
      </c>
      <c r="M7" s="18">
        <f>IFERROR('Calendario de Campañas'!O7*'Parámetros'!$B$14,"")</f>
        <v>2515.327272727273</v>
      </c>
      <c r="N7" s="22">
        <f>IFERROR(M7-E7-L7,"")</f>
        <v>2515.327272727273</v>
      </c>
      <c r="O7" t="str">
        <f>IF(NOT(ISNUMBER(N7)),"",IF(N7&gt;=0,"La campaña deja dinero","La campaña cuesta más de lo que deja"))</f>
        <v>La campaña deja dinero</v>
      </c>
      <c r="P7" s="11" t="inlineStr">
        <is>
          <t>Cero personas de refuerzo y cero euros es un cero REAL: esa campaña se cubre con la plantilla que ya tienes.</t>
        </is>
      </c>
    </row>
    <row r="8" ht="46" customHeight="1">
      <c r="A8" t="inlineStr">
        <is>
          <t>Febrero</t>
        </is>
      </c>
      <c r="B8" s="5" t="inlineStr">
        <is>
          <t>San Valentin</t>
        </is>
      </c>
      <c r="C8" s="12" t="n">
        <v>1</v>
      </c>
      <c r="D8" s="12" t="n">
        <v>30</v>
      </c>
      <c r="E8" s="18">
        <f>IFERROR(C8*D8*'Parámetros'!$B$23,"")</f>
        <v>400.93447752809</v>
      </c>
      <c r="F8" s="12" t="n">
        <v>8</v>
      </c>
      <c r="G8" s="9" t="n">
        <v>280</v>
      </c>
      <c r="H8" s="12" t="n">
        <v>6</v>
      </c>
      <c r="I8" s="9" t="n">
        <v>420</v>
      </c>
      <c r="J8" s="18">
        <f>IFERROR(G8+I8,"")</f>
        <v>700.0</v>
      </c>
      <c r="K8" s="17">
        <f>IF(OR(NOT(ISNUMBER(F8)),NOT(ISNUMBER(H8))),"",MAX(F8,H8)*'Parámetros'!$B$30)</f>
        <v>56.0</v>
      </c>
      <c r="L8" s="18">
        <f>IFERROR(J8*'Parámetros'!$B$26*K8/'Parámetros'!$B$31,"")</f>
        <v>6.658630136986302</v>
      </c>
      <c r="M8" s="18">
        <f>IFERROR('Calendario de Campañas'!O8*'Parámetros'!$B$14,"")</f>
        <v>3834.1745454545453</v>
      </c>
      <c r="N8" s="22">
        <f>IFERROR(M8-E8-L8,"")</f>
        <v>3426.581437789469</v>
      </c>
      <c r="O8" t="str">
        <f>IF(NOT(ISNUMBER(N8)),"",IF(N8&gt;=0,"La campaña deja dinero","La campaña cuesta más de lo que deja"))</f>
        <v>La campaña deja dinero</v>
      </c>
      <c r="P8" s="11" t="inlineStr">
        <is>
          <t>Con refuerzo contratado: recuerda que el coste de empresa es un tercio más que el bruto de la nómina.</t>
        </is>
      </c>
    </row>
    <row r="9" ht="46" customHeight="1">
      <c r="A9" t="inlineStr">
        <is>
          <t>Marzo</t>
        </is>
      </c>
      <c r="B9" s="5" t="inlineStr">
        <is>
          <t>Dia del Padre</t>
        </is>
      </c>
      <c r="C9" s="12" t="n">
        <v>0</v>
      </c>
      <c r="D9" s="12" t="n">
        <v>0</v>
      </c>
      <c r="E9" s="18">
        <f>IFERROR(C9*D9*'Parámetros'!$B$23,"")</f>
        <v>0.0</v>
      </c>
      <c r="F9" s="12" t="n">
        <v>6</v>
      </c>
      <c r="G9" s="9" t="n">
        <v>0</v>
      </c>
      <c r="H9" s="12" t="n">
        <v>4</v>
      </c>
      <c r="I9" s="9" t="n">
        <v>180</v>
      </c>
      <c r="J9" s="18">
        <f>IFERROR(G9+I9,"")</f>
        <v>180.0</v>
      </c>
      <c r="K9" s="17">
        <f>IF(OR(NOT(ISNUMBER(F9)),NOT(ISNUMBER(H9))),"",MAX(F9,H9)*'Parámetros'!$B$30)</f>
        <v>42.0</v>
      </c>
      <c r="L9" s="18">
        <f>IFERROR(J9*'Parámetros'!$B$26*K9/'Parámetros'!$B$31,"")</f>
        <v>1.2841643835616439</v>
      </c>
      <c r="M9" s="18">
        <f>IFERROR('Calendario de Campañas'!O9*'Parámetros'!$B$14,"")</f>
        <v>978.9381818181818</v>
      </c>
      <c r="N9" s="22">
        <f>IFERROR(M9-E9-L9,"")</f>
        <v>977.6540174346201</v>
      </c>
      <c r="O9" t="str">
        <f>IF(NOT(ISNUMBER(N9)),"",IF(N9&gt;=0,"La campaña deja dinero","La campaña cuesta más de lo que deja"))</f>
        <v>La campaña deja dinero</v>
      </c>
      <c r="P9" s="11" t="inlineStr">
        <is>
          <t>Cero personas de refuerzo y cero euros es un cero REAL: esa campaña se cubre con la plantilla que ya tienes.</t>
        </is>
      </c>
    </row>
    <row r="10" ht="46" customHeight="1">
      <c r="A10" t="inlineStr">
        <is>
          <t>Abril</t>
        </is>
      </c>
      <c r="B10" s="5" t="inlineStr">
        <is>
          <t>Pascua</t>
        </is>
      </c>
      <c r="C10" s="12" t="n">
        <v>1</v>
      </c>
      <c r="D10" s="12" t="n">
        <v>40</v>
      </c>
      <c r="E10" s="18">
        <f>IFERROR(C10*D10*'Parámetros'!$B$23,"")</f>
        <v>534.5793033707866</v>
      </c>
      <c r="F10" s="12" t="n">
        <v>10</v>
      </c>
      <c r="G10" s="9" t="n">
        <v>520</v>
      </c>
      <c r="H10" s="12" t="n">
        <v>6</v>
      </c>
      <c r="I10" s="9" t="n">
        <v>380</v>
      </c>
      <c r="J10" s="18">
        <f>IFERROR(G10+I10,"")</f>
        <v>900.0</v>
      </c>
      <c r="K10" s="17">
        <f>IF(OR(NOT(ISNUMBER(F10)),NOT(ISNUMBER(H10))),"",MAX(F10,H10)*'Parámetros'!$B$30)</f>
        <v>70.0</v>
      </c>
      <c r="L10" s="18">
        <f>IFERROR(J10*'Parámetros'!$B$26*K10/'Parámetros'!$B$31,"")</f>
        <v>10.7013698630137</v>
      </c>
      <c r="M10" s="18">
        <f>IFERROR('Calendario de Campañas'!O10*'Parámetros'!$B$14,"")</f>
        <v>3521.458181818182</v>
      </c>
      <c r="N10" s="22">
        <f>IFERROR(M10-E10-L10,"")</f>
        <v>2976.177508584382</v>
      </c>
      <c r="O10" t="str">
        <f>IF(NOT(ISNUMBER(N10)),"",IF(N10&gt;=0,"La campaña deja dinero","La campaña cuesta más de lo que deja"))</f>
        <v>La campaña deja dinero</v>
      </c>
      <c r="P10" s="11" t="inlineStr">
        <is>
          <t>Con refuerzo contratado: recuerda que el coste de empresa es un tercio más que el bruto de la nómina.</t>
        </is>
      </c>
    </row>
    <row r="11" ht="46" customHeight="1">
      <c r="A11" t="inlineStr">
        <is>
          <t>Mayo</t>
        </is>
      </c>
      <c r="B11" s="5" t="inlineStr">
        <is>
          <t>COMUNIONES (pico) y Dia de la Madre</t>
        </is>
      </c>
      <c r="C11" s="12" t="n">
        <v>1</v>
      </c>
      <c r="D11" s="12" t="n">
        <v>50</v>
      </c>
      <c r="E11" s="18">
        <f>IFERROR(C11*D11*'Parámetros'!$B$23,"")</f>
        <v>668.2241292134834</v>
      </c>
      <c r="F11" s="12" t="n">
        <v>8</v>
      </c>
      <c r="G11" s="9" t="n">
        <v>240</v>
      </c>
      <c r="H11" s="12" t="n">
        <v>10</v>
      </c>
      <c r="I11" s="9" t="n">
        <v>560</v>
      </c>
      <c r="J11" s="18">
        <f>IFERROR(G11+I11,"")</f>
        <v>800.0</v>
      </c>
      <c r="K11" s="17">
        <f>IF(OR(NOT(ISNUMBER(F11)),NOT(ISNUMBER(H11))),"",MAX(F11,H11)*'Parámetros'!$B$30)</f>
        <v>70.0</v>
      </c>
      <c r="L11" s="18">
        <f>IFERROR(J11*'Parámetros'!$B$26*K11/'Parámetros'!$B$31,"")</f>
        <v>9.512328767123288</v>
      </c>
      <c r="M11" s="18">
        <f>IFERROR('Calendario de Campañas'!O11*'Parámetros'!$B$14,"")</f>
        <v>4206.714909090909</v>
      </c>
      <c r="N11" s="22">
        <f>IFERROR(M11-E11-L11,"")</f>
        <v>3528.9784511103026</v>
      </c>
      <c r="O11" t="str">
        <f>IF(NOT(ISNUMBER(N11)),"",IF(N11&gt;=0,"La campaña deja dinero","La campaña cuesta más de lo que deja"))</f>
        <v>La campaña deja dinero</v>
      </c>
      <c r="P11" s="11" t="inlineStr">
        <is>
          <t>Con refuerzo contratado: recuerda que el coste de empresa es un tercio más que el bruto de la nómina.</t>
        </is>
      </c>
    </row>
    <row r="12" ht="46" customHeight="1">
      <c r="A12" t="inlineStr">
        <is>
          <t>Junio</t>
        </is>
      </c>
      <c r="B12" s="5" t="inlineStr">
        <is>
          <t>COMUNIONES (ultimas)</t>
        </is>
      </c>
      <c r="C12" s="12" t="n">
        <v>0</v>
      </c>
      <c r="D12" s="12" t="n">
        <v>0</v>
      </c>
      <c r="E12" s="18">
        <f>IFERROR(C12*D12*'Parámetros'!$B$23,"")</f>
        <v>0.0</v>
      </c>
      <c r="F12" s="12" t="n">
        <v>6</v>
      </c>
      <c r="G12" s="9" t="n">
        <v>0</v>
      </c>
      <c r="H12" s="12" t="n">
        <v>8</v>
      </c>
      <c r="I12" s="9" t="n">
        <v>260</v>
      </c>
      <c r="J12" s="18">
        <f>IFERROR(G12+I12,"")</f>
        <v>260.0</v>
      </c>
      <c r="K12" s="17">
        <f>IF(OR(NOT(ISNUMBER(F12)),NOT(ISNUMBER(H12))),"",MAX(F12,H12)*'Parámetros'!$B$30)</f>
        <v>56.0</v>
      </c>
      <c r="L12" s="18">
        <f>IFERROR(J12*'Parámetros'!$B$26*K12/'Parámetros'!$B$31,"")</f>
        <v>2.473205479452055</v>
      </c>
      <c r="M12" s="18">
        <f>IFERROR('Calendario de Campañas'!O12*'Parámetros'!$B$14,"")</f>
        <v>1218.2341818181817</v>
      </c>
      <c r="N12" s="22">
        <f>IFERROR(M12-E12-L12,"")</f>
        <v>1215.7609763387297</v>
      </c>
      <c r="O12" t="str">
        <f>IF(NOT(ISNUMBER(N12)),"",IF(N12&gt;=0,"La campaña deja dinero","La campaña cuesta más de lo que deja"))</f>
        <v>La campaña deja dinero</v>
      </c>
      <c r="P12" s="11" t="inlineStr">
        <is>
          <t>Cero personas de refuerzo y cero euros es un cero REAL: esa campaña se cubre con la plantilla que ya tienes.</t>
        </is>
      </c>
    </row>
    <row r="13" ht="46" customHeight="1">
      <c r="A13" t="inlineStr">
        <is>
          <t>Julio</t>
        </is>
      </c>
      <c r="B13" s="5" t="inlineStr">
        <is>
          <t>Temporada turistica</t>
        </is>
      </c>
      <c r="C13" s="12" t="n">
        <v>0</v>
      </c>
      <c r="D13" s="12" t="n">
        <v>0</v>
      </c>
      <c r="E13" s="18">
        <f>IFERROR(C13*D13*'Parámetros'!$B$23,"")</f>
        <v>0.0</v>
      </c>
      <c r="F13" s="12" t="n">
        <v>0</v>
      </c>
      <c r="G13" s="9" t="n">
        <v>0</v>
      </c>
      <c r="H13" s="12" t="n">
        <v>4</v>
      </c>
      <c r="I13" s="9" t="n">
        <v>220</v>
      </c>
      <c r="J13" s="18">
        <f>IFERROR(G13+I13,"")</f>
        <v>220.0</v>
      </c>
      <c r="K13" s="17">
        <f>IF(OR(NOT(ISNUMBER(F13)),NOT(ISNUMBER(H13))),"",MAX(F13,H13)*'Parámetros'!$B$30)</f>
        <v>28.0</v>
      </c>
      <c r="L13" s="18">
        <f>IFERROR(J13*'Parámetros'!$B$26*K13/'Parámetros'!$B$31,"")</f>
        <v>1.0463561643835617</v>
      </c>
      <c r="M13" s="18">
        <f>IFERROR('Calendario de Campañas'!O13*'Parámetros'!$B$14,"")</f>
        <v>1569.5642181818182</v>
      </c>
      <c r="N13" s="22">
        <f>IFERROR(M13-E13-L13,"")</f>
        <v>1568.5178620174347</v>
      </c>
      <c r="O13" t="str">
        <f>IF(NOT(ISNUMBER(N13)),"",IF(N13&gt;=0,"La campaña deja dinero","La campaña cuesta más de lo que deja"))</f>
        <v>La campaña deja dinero</v>
      </c>
      <c r="P13" s="11" t="inlineStr">
        <is>
          <t>Cero personas de refuerzo y cero euros es un cero REAL: esa campaña se cubre con la plantilla que ya tienes.</t>
        </is>
      </c>
    </row>
    <row r="14" ht="46" customHeight="1">
      <c r="A14" t="inlineStr">
        <is>
          <t>Agosto</t>
        </is>
      </c>
      <c r="B14" s="5" t="inlineStr">
        <is>
          <t>Valle del obrador</t>
        </is>
      </c>
      <c r="C14" s="12" t="n">
        <v>0</v>
      </c>
      <c r="D14" s="12" t="n">
        <v>0</v>
      </c>
      <c r="E14" s="18">
        <f>IFERROR(C14*D14*'Parámetros'!$B$23,"")</f>
        <v>0.0</v>
      </c>
      <c r="F14" s="12" t="n">
        <v>0</v>
      </c>
      <c r="G14" s="9" t="n">
        <v>0</v>
      </c>
      <c r="H14" s="12" t="n">
        <v>0</v>
      </c>
      <c r="I14" s="9" t="n">
        <v>0</v>
      </c>
      <c r="J14" s="18">
        <f>IFERROR(G14+I14,"")</f>
        <v>0.0</v>
      </c>
      <c r="K14" s="17">
        <f>IF(OR(NOT(ISNUMBER(F14)),NOT(ISNUMBER(H14))),"",MAX(F14,H14)*'Parámetros'!$B$30)</f>
        <v>0.0</v>
      </c>
      <c r="L14" s="18">
        <f>IFERROR(J14*'Parámetros'!$B$26*K14/'Parámetros'!$B$31,"")</f>
        <v>0.0</v>
      </c>
      <c r="M14" s="18">
        <f>IFERROR('Calendario de Campañas'!O14*'Parámetros'!$B$14,"")</f>
        <v>487.8375272727273</v>
      </c>
      <c r="N14" s="22">
        <f>IFERROR(M14-E14-L14,"")</f>
        <v>487.8375272727273</v>
      </c>
      <c r="O14" t="str">
        <f>IF(NOT(ISNUMBER(N14)),"",IF(N14&gt;=0,"La campaña deja dinero","La campaña cuesta más de lo que deja"))</f>
        <v>La campaña deja dinero</v>
      </c>
      <c r="P14" s="11" t="inlineStr">
        <is>
          <t>Cero personas de refuerzo y cero euros es un cero REAL: esa campaña se cubre con la plantilla que ya tienes.</t>
        </is>
      </c>
    </row>
    <row r="15" ht="46" customHeight="1">
      <c r="A15" t="inlineStr">
        <is>
          <t>Septiembre</t>
        </is>
      </c>
      <c r="B15" s="5" t="inlineStr">
        <is>
          <t>Apertura de agenda corporativa</t>
        </is>
      </c>
      <c r="C15" s="12" t="n">
        <v>0</v>
      </c>
      <c r="D15" s="12" t="n">
        <v>0</v>
      </c>
      <c r="E15" s="18">
        <f>IFERROR(C15*D15*'Parámetros'!$B$23,"")</f>
        <v>0.0</v>
      </c>
      <c r="F15" s="12" t="n">
        <v>0</v>
      </c>
      <c r="G15" s="9" t="n">
        <v>0</v>
      </c>
      <c r="H15" s="12" t="n">
        <v>12</v>
      </c>
      <c r="I15" s="9" t="n">
        <v>340</v>
      </c>
      <c r="J15" s="18">
        <f>IFERROR(G15+I15,"")</f>
        <v>340.0</v>
      </c>
      <c r="K15" s="17">
        <f>IF(OR(NOT(ISNUMBER(F15)),NOT(ISNUMBER(H15))),"",MAX(F15,H15)*'Parámetros'!$B$30)</f>
        <v>84.0</v>
      </c>
      <c r="L15" s="18">
        <f>IFERROR(J15*'Parámetros'!$B$26*K15/'Parámetros'!$B$31,"")</f>
        <v>4.8512876712328765</v>
      </c>
      <c r="M15" s="18">
        <f>IFERROR('Calendario de Campañas'!O15*'Parámetros'!$B$14,"")</f>
        <v>1386.8290909090908</v>
      </c>
      <c r="N15" s="22">
        <f>IFERROR(M15-E15-L15,"")</f>
        <v>1381.9778032378579</v>
      </c>
      <c r="O15" t="str">
        <f>IF(NOT(ISNUMBER(N15)),"",IF(N15&gt;=0,"La campaña deja dinero","La campaña cuesta más de lo que deja"))</f>
        <v>La campaña deja dinero</v>
      </c>
      <c r="P15" s="11" t="inlineStr">
        <is>
          <t>Cero personas de refuerzo y cero euros es un cero REAL: esa campaña se cubre con la plantilla que ya tienes.</t>
        </is>
      </c>
    </row>
    <row r="16" ht="46" customHeight="1">
      <c r="A16" t="inlineStr">
        <is>
          <t>Octubre</t>
        </is>
      </c>
      <c r="B16" s="5" t="inlineStr">
        <is>
          <t>Halloween</t>
        </is>
      </c>
      <c r="C16" s="12" t="n">
        <v>0</v>
      </c>
      <c r="D16" s="12" t="n">
        <v>0</v>
      </c>
      <c r="E16" s="18">
        <f>IFERROR(C16*D16*'Parámetros'!$B$23,"")</f>
        <v>0.0</v>
      </c>
      <c r="F16" s="12" t="n">
        <v>8</v>
      </c>
      <c r="G16" s="9" t="n">
        <v>180</v>
      </c>
      <c r="H16" s="12" t="n">
        <v>6</v>
      </c>
      <c r="I16" s="9" t="n">
        <v>200</v>
      </c>
      <c r="J16" s="18">
        <f>IFERROR(G16+I16,"")</f>
        <v>380.0</v>
      </c>
      <c r="K16" s="17">
        <f>IF(OR(NOT(ISNUMBER(F16)),NOT(ISNUMBER(H16))),"",MAX(F16,H16)*'Parámetros'!$B$30)</f>
        <v>56.0</v>
      </c>
      <c r="L16" s="18">
        <f>IFERROR(J16*'Parámetros'!$B$26*K16/'Parámetros'!$B$31,"")</f>
        <v>3.614684931506849</v>
      </c>
      <c r="M16" s="18">
        <f>IFERROR('Calendario de Campañas'!O16*'Parámetros'!$B$14,"")</f>
        <v>830.058</v>
      </c>
      <c r="N16" s="22">
        <f>IFERROR(M16-E16-L16,"")</f>
        <v>826.4433150684931</v>
      </c>
      <c r="O16" t="str">
        <f>IF(NOT(ISNUMBER(N16)),"",IF(N16&gt;=0,"La campaña deja dinero","La campaña cuesta más de lo que deja"))</f>
        <v>La campaña deja dinero</v>
      </c>
      <c r="P16" s="11" t="inlineStr">
        <is>
          <t>Cero personas de refuerzo y cero euros es un cero REAL: esa campaña se cubre con la plantilla que ya tienes.</t>
        </is>
      </c>
    </row>
    <row r="17" ht="46" customHeight="1">
      <c r="A17" t="inlineStr">
        <is>
          <t>Noviembre</t>
        </is>
      </c>
      <c r="B17" s="5" t="inlineStr">
        <is>
          <t>Todos los Santos y Black Friday</t>
        </is>
      </c>
      <c r="C17" s="12" t="n">
        <v>1</v>
      </c>
      <c r="D17" s="12" t="n">
        <v>25</v>
      </c>
      <c r="E17" s="18">
        <f>IFERROR(C17*D17*'Parámetros'!$B$23,"")</f>
        <v>334.1120646067417</v>
      </c>
      <c r="F17" s="12" t="n">
        <v>4</v>
      </c>
      <c r="G17" s="9" t="n">
        <v>140</v>
      </c>
      <c r="H17" s="12" t="n">
        <v>8</v>
      </c>
      <c r="I17" s="9" t="n">
        <v>380</v>
      </c>
      <c r="J17" s="18">
        <f>IFERROR(G17+I17,"")</f>
        <v>520.0</v>
      </c>
      <c r="K17" s="17">
        <f>IF(OR(NOT(ISNUMBER(F17)),NOT(ISNUMBER(H17))),"",MAX(F17,H17)*'Parámetros'!$B$30)</f>
        <v>56.0</v>
      </c>
      <c r="L17" s="18">
        <f>IFERROR(J17*'Parámetros'!$B$26*K17/'Parámetros'!$B$31,"")</f>
        <v>4.94641095890411</v>
      </c>
      <c r="M17" s="18">
        <f>IFERROR('Calendario de Campañas'!O17*'Parámetros'!$B$14,"")</f>
        <v>489.4690909090909</v>
      </c>
      <c r="N17" s="22">
        <f>IFERROR(M17-E17-L17,"")</f>
        <v>150.4106153434451</v>
      </c>
      <c r="O17" t="str">
        <f>IF(NOT(ISNUMBER(N17)),"",IF(N17&gt;=0,"La campaña deja dinero","La campaña cuesta más de lo que deja"))</f>
        <v>La campaña deja dinero</v>
      </c>
      <c r="P17" s="11" t="inlineStr">
        <is>
          <t>Con refuerzo contratado: recuerda que el coste de empresa es un tercio más que el bruto de la nómina.</t>
        </is>
      </c>
    </row>
    <row r="18" ht="46" customHeight="1">
      <c r="A18" t="inlineStr">
        <is>
          <t>Diciembre</t>
        </is>
      </c>
      <c r="B18" s="5" t="inlineStr">
        <is>
          <t>Navidad</t>
        </is>
      </c>
      <c r="C18" s="12" t="n">
        <v>2</v>
      </c>
      <c r="D18" s="12" t="n">
        <v>70</v>
      </c>
      <c r="E18" s="18">
        <f>IFERROR(C18*D18*'Parámetros'!$B$23,"")</f>
        <v>1871.0275617977532</v>
      </c>
      <c r="F18" s="12" t="n">
        <v>12</v>
      </c>
      <c r="G18" s="9" t="n">
        <v>450</v>
      </c>
      <c r="H18" s="12" t="n">
        <v>14</v>
      </c>
      <c r="I18" s="9" t="n">
        <v>980</v>
      </c>
      <c r="J18" s="18">
        <f>IFERROR(G18+I18,"")</f>
        <v>1430.0</v>
      </c>
      <c r="K18" s="17">
        <f>IF(OR(NOT(ISNUMBER(F18)),NOT(ISNUMBER(H18))),"",MAX(F18,H18)*'Parámetros'!$B$30)</f>
        <v>98.0</v>
      </c>
      <c r="L18" s="18">
        <f>IFERROR(J18*'Parámetros'!$B$26*K18/'Parámetros'!$B$31,"")</f>
        <v>23.80460273972603</v>
      </c>
      <c r="M18" s="18">
        <f>IFERROR('Calendario de Campañas'!O18*'Parámetros'!$B$14,"")</f>
        <v>13460.4</v>
      </c>
      <c r="N18" s="22">
        <f>IFERROR(M18-E18-L18,"")</f>
        <v>11565.56783546252</v>
      </c>
      <c r="O18" t="str">
        <f>IF(NOT(ISNUMBER(N18)),"",IF(N18&gt;=0,"La campaña deja dinero","La campaña cuesta más de lo que deja"))</f>
        <v>La campaña deja dinero</v>
      </c>
      <c r="P18" s="11" t="inlineStr">
        <is>
          <t>Las inversiones en moldes y en packaging son CIFRAS DE CAMPAÑA y supuestos declarados, no un número de moldes por un precio: un molde de policarbonato vale entre 24,20 y 42,83 EUR y elegir un punto de ese rango para multiplicarlo es inventarse un presupuesto.</t>
        </is>
      </c>
    </row>
    <row r="19">
      <c r="A19" s="20" t="inlineStr">
        <is>
          <t>TOTAL del año</t>
        </is>
      </c>
      <c r="E19" s="22">
        <f>SUM(E7:E18)</f>
        <v>3808.877536516855</v>
      </c>
      <c r="G19" s="22">
        <f>SUM(G7:G18)</f>
        <v>1810.0</v>
      </c>
      <c r="I19" s="22">
        <f>SUM(I7:I18)</f>
        <v>4040.0</v>
      </c>
      <c r="J19" s="22">
        <f>SUM(J7:J18)</f>
        <v>5850.0</v>
      </c>
      <c r="L19" s="22">
        <f>SUM(L7:L18)</f>
        <v>68.89304109589041</v>
      </c>
      <c r="M19" s="22">
        <f>SUM(M7:M18)</f>
        <v>34499.0052</v>
      </c>
      <c r="N19" s="22">
        <f>SUM(N7:N18)</f>
        <v>30621.234622387252</v>
      </c>
    </row>
    <row r="20"/>
    <row r="21" ht="58" customHeight="1">
      <c r="A21" s="11" t="inlineStr">
        <is>
          <t>El resultado incremental es lo que la campaña te deja POR ENCIMA de lo que habrías vendido igual: por eso se calcula sobre la facturación incremental y no sobre la total. Una campaña que sale negativa no es siempre una campaña que retirar -Navidad trae clientes que vuelven en enero-, pero sí es una campaña que hay que rehacer: menos referencias, menos moldes nuevos o más precio.</t>
        </is>
      </c>
    </row>
    <row r="22"/>
    <row r="23">
      <c r="A2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N7:N18">
    <cfRule type="expression" priority="1" dxfId="0" stopIfTrue="1">
      <formula>=AND(ISNUMBER($N7),$N7&lt;0)</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56" customWidth="1" min="1" max="1"/>
    <col width="18" customWidth="1" min="2" max="2"/>
    <col width="16" customWidth="1" min="3" max="3"/>
    <col width="20" customWidth="1" min="4" max="4"/>
    <col width="92" customWidth="1" min="5" max="5"/>
  </cols>
  <sheetData>
    <row r="1">
      <c r="A1" s="1" t="inlineStr">
        <is>
          <t>El Valle de Agosto</t>
        </is>
      </c>
    </row>
    <row r="2">
      <c r="A2" s="2" t="inlineStr">
        <is>
          <t>AI Chef Pro · aichef.pro — Cómo Montar una Chocolatería</t>
        </is>
      </c>
    </row>
    <row r="3">
      <c r="A3" s="3" t="inlineStr">
        <is>
          <t>Un mes «Baja» de doce, y lo que para es el OBRADOR, no la caja: literal del kit, «la tienda abre para el turista aunque el obrador pare».</t>
        </is>
      </c>
    </row>
    <row r="4"/>
    <row r="5" ht="26" customHeight="1">
      <c r="A5" s="8" t="inlineStr">
        <is>
          <t>Concepto</t>
        </is>
      </c>
      <c r="B5" s="8" t="inlineStr">
        <is>
          <t>Valor</t>
        </is>
      </c>
      <c r="C5" s="8" t="inlineStr">
        <is>
          <t>Unidad</t>
        </is>
      </c>
      <c r="D5" s="8" t="inlineStr">
        <is>
          <t>De dónde sale</t>
        </is>
      </c>
      <c r="E5" s="8" t="inlineStr">
        <is>
          <t>Nota</t>
        </is>
      </c>
    </row>
    <row r="6" ht="42" customHeight="1">
      <c r="A6" s="5" t="inlineStr">
        <is>
          <t>Mes del valle según el calendario del kit</t>
        </is>
      </c>
      <c r="B6" t="inlineStr">
        <is>
          <t>Agosto</t>
        </is>
      </c>
      <c r="C6" t="inlineStr">
        <is>
          <t>mes</t>
        </is>
      </c>
      <c r="D6" s="10" t="inlineStr">
        <is>
          <t>BONUS-02!Calendario</t>
        </is>
      </c>
      <c r="E6" s="11" t="inlineStr">
        <is>
          <t>Es AGOSTO, y es uno de los doce. Junio y julio son «Media»: en junio empieza a cambiar el catálogo y en julio entra el turista.</t>
        </is>
      </c>
    </row>
    <row r="7" ht="42" customHeight="1">
      <c r="A7" s="5" t="inlineStr">
        <is>
          <t>Meses en temporada «Baja» de los doce</t>
        </is>
      </c>
      <c r="B7" s="17" t="n">
        <v>1</v>
      </c>
      <c r="C7" t="inlineStr">
        <is>
          <t>meses</t>
        </is>
      </c>
      <c r="D7" s="10" t="inlineStr">
        <is>
          <t>BONUS-02!Calendario</t>
        </is>
      </c>
      <c r="E7" s="11" t="inlineStr">
        <is>
          <t>Siete «Alta», cuatro «Media» y UNO «Baja». Hablar de un valle de tres meses contradice el calendario que la propia casa publica.</t>
        </is>
      </c>
    </row>
    <row r="8" ht="42" customHeight="1">
      <c r="A8" s="5" t="inlineStr">
        <is>
          <t>¿Paras el obrador en agosto?</t>
        </is>
      </c>
      <c r="B8" s="6" t="inlineStr">
        <is>
          <t>Sí</t>
        </is>
      </c>
      <c r="C8" t="inlineStr">
        <is>
          <t>sí/no</t>
        </is>
      </c>
      <c r="D8" s="10" t="inlineStr">
        <is>
          <t>decisión tuya</t>
        </is>
      </c>
      <c r="E8" s="11" t="inlineStr">
        <is>
          <t>En el ejemplo, sí: mantenimiento profundo, vacaciones escalonadas y cierre del pedido de coberturas de Navidad, que son los tres motivos que nombra el propio kit.</t>
        </is>
      </c>
    </row>
    <row r="9" ht="42" customHeight="1">
      <c r="A9" s="5" t="inlineStr">
        <is>
          <t>¿Paras los envíos?</t>
        </is>
      </c>
      <c r="B9" s="6" t="inlineStr">
        <is>
          <t>Sí</t>
        </is>
      </c>
      <c r="C9" t="inlineStr">
        <is>
          <t>sí/no</t>
        </is>
      </c>
      <c r="D9" s="10" t="inlineStr">
        <is>
          <t>decisión tuya</t>
        </is>
      </c>
      <c r="E9" s="11" t="inlineStr">
        <is>
          <t>Es una decisión de CANAL ONLINE, no de mostrador: el chocolate no viaja en verano sin cadena de frío.</t>
        </is>
      </c>
    </row>
    <row r="10" ht="42" customHeight="1">
      <c r="A10" s="5" t="inlineStr">
        <is>
          <t>Meses con los envíos parados</t>
        </is>
      </c>
      <c r="B10" t="inlineStr">
        <is>
          <t>de junio a septiembre</t>
        </is>
      </c>
      <c r="C10" t="inlineStr">
        <is>
          <t>meses</t>
        </is>
      </c>
      <c r="D10" s="10" t="inlineStr">
        <is>
          <t>supuesto sobre dato de canal online</t>
        </is>
      </c>
      <c r="E10" s="11" t="inlineStr">
        <is>
          <t>De junio a septiembre. El mostrador sigue vivo los cuatro meses, y en julio y agosto con turista.</t>
        </is>
      </c>
    </row>
    <row r="11" ht="42" customHeight="1">
      <c r="A11" s="5" t="inlineStr">
        <is>
          <t>Ventas de agosto sin IVA</t>
        </is>
      </c>
      <c r="B11" s="14">
        <f>'Peso sobre el Año'!E14</f>
        <v>9954.396999999999</v>
      </c>
      <c r="C11" t="inlineStr">
        <is>
          <t>EUR</t>
        </is>
      </c>
      <c r="D11" s="10" t="inlineStr">
        <is>
          <t>calculado</t>
        </is>
      </c>
      <c r="E11" s="11" t="inlineStr">
        <is>
          <t>Sale del coeficiente de estacionalidad de agosto. NO es cero: la tienda abre.</t>
        </is>
      </c>
    </row>
    <row r="12" ht="42" customHeight="1">
      <c r="A12" s="5" t="inlineStr">
        <is>
          <t>Ventas de un mes medio sin IVA</t>
        </is>
      </c>
      <c r="B12" s="14">
        <f>IFERROR('Parámetros'!$B$7/12,"")</f>
        <v>16590.661666666667</v>
      </c>
      <c r="C12" t="inlineStr">
        <is>
          <t>EUR</t>
        </is>
      </c>
      <c r="D12" s="10" t="inlineStr">
        <is>
          <t>calculado</t>
        </is>
      </c>
      <c r="E12" s="11" t="inlineStr">
        <is>
          <t>Las ventas del año entre doce.</t>
        </is>
      </c>
    </row>
    <row r="13" ht="42" customHeight="1">
      <c r="A13" s="5" t="inlineStr">
        <is>
          <t>Agosto frente a un mes medio</t>
        </is>
      </c>
      <c r="B13" s="28">
        <f>IFERROR(B11/B12,"")</f>
        <v>0.6</v>
      </c>
      <c r="C13" t="inlineStr">
        <is>
          <t>veces</t>
        </is>
      </c>
      <c r="D13" s="10" t="inlineStr">
        <is>
          <t>calculado</t>
        </is>
      </c>
      <c r="E13" s="11" t="inlineStr">
        <is>
          <t>Cuánto factura agosto por cada euro de un mes normal.</t>
        </is>
      </c>
    </row>
    <row r="14" ht="42" customHeight="1">
      <c r="A14" s="5" t="inlineStr">
        <is>
          <t>Margen bruto con el mix de todo el año</t>
        </is>
      </c>
      <c r="B14" s="29">
        <f>'Parámetros'!$B$14</f>
        <v>0.7478</v>
      </c>
      <c r="C14" t="inlineStr">
        <is>
          <t>sobre ventas</t>
        </is>
      </c>
      <c r="D14" s="10" t="inlineStr">
        <is>
          <t>Parámetros</t>
        </is>
      </c>
      <c r="E14" s="11" t="inlineStr">
        <is>
          <t>El de la carta completa.</t>
        </is>
      </c>
    </row>
    <row r="15" ht="42" customHeight="1">
      <c r="A15" s="5" t="inlineStr">
        <is>
          <t>Margen bruto con el mix de julio y agosto</t>
        </is>
      </c>
      <c r="B15" s="29">
        <f>'Parámetros'!$B$15</f>
        <v>0.7422</v>
      </c>
      <c r="C15" t="inlineStr">
        <is>
          <t>sobre ventas</t>
        </is>
      </c>
      <c r="D15" s="10" t="inlineStr">
        <is>
          <t>Parámetros</t>
        </is>
      </c>
      <c r="E15" s="11" t="inlineStr">
        <is>
          <t>Menos ganache fresca, más tableta y producto estable: literal del kit para junio.</t>
        </is>
      </c>
    </row>
    <row r="16" ht="42" customHeight="1">
      <c r="A16" s="5" t="inlineStr">
        <is>
          <t>Caída del margen al cambiar el mix</t>
        </is>
      </c>
      <c r="B16" s="29">
        <f>IFERROR(B15-B14,"")</f>
        <v>-0.005600000000000049</v>
      </c>
      <c r="C16" t="inlineStr">
        <is>
          <t>puntos</t>
        </is>
      </c>
      <c r="D16" s="10" t="inlineStr">
        <is>
          <t>calculado</t>
        </is>
      </c>
      <c r="E16" s="11" t="inlineStr">
        <is>
          <t>Sale en NEGATIVO si el mix de verano deja menos margen, que es lo que pasa en este ejemplo: la tableta lleva más chocolate por pieza y menos manos. Vender producto estable en agosto es una decisión de CADUCIDAD, no de margen, y conviene saberlo antes de tomarla.</t>
        </is>
      </c>
    </row>
    <row r="17" ht="42" customHeight="1">
      <c r="A17" s="5" t="inlineStr">
        <is>
          <t>Margen bruto de agosto en euros</t>
        </is>
      </c>
      <c r="B17" s="14">
        <f>IFERROR(B11*B15,"")</f>
        <v>7388.153453399999</v>
      </c>
      <c r="C17" t="inlineStr">
        <is>
          <t>EUR</t>
        </is>
      </c>
      <c r="D17" s="10" t="inlineStr">
        <is>
          <t>calculado</t>
        </is>
      </c>
      <c r="E17" s="11" t="inlineStr">
        <is>
          <t>Ventas de agosto por el margen del mix de verano.</t>
        </is>
      </c>
    </row>
    <row r="18" ht="42" customHeight="1">
      <c r="A18" s="5" t="inlineStr">
        <is>
          <t>Margen bruto de un mes medio en euros</t>
        </is>
      </c>
      <c r="B18" s="14">
        <f>IFERROR(B12*B14,"")</f>
        <v>12406.496794333334</v>
      </c>
      <c r="C18" t="inlineStr">
        <is>
          <t>EUR</t>
        </is>
      </c>
      <c r="D18" s="10" t="inlineStr">
        <is>
          <t>calculado</t>
        </is>
      </c>
      <c r="E18" s="11" t="inlineStr">
        <is>
          <t>Ventas de un mes medio por el margen del año.</t>
        </is>
      </c>
    </row>
    <row r="19" ht="42" customHeight="1">
      <c r="A19" s="5" t="inlineStr">
        <is>
          <t>Gastos fijos del mes</t>
        </is>
      </c>
      <c r="B19" s="14">
        <f>'Parámetros'!$B$27</f>
        <v>10212.17</v>
      </c>
      <c r="C19" t="inlineStr">
        <is>
          <t>EUR</t>
        </is>
      </c>
      <c r="D19" s="10" t="inlineStr">
        <is>
          <t>Parámetros</t>
        </is>
      </c>
      <c r="E19" s="11" t="inlineStr">
        <is>
          <t>Siguen corriendo enteros: el alquiler, el préstamo, los seguros y los tres equipos de frío, que en agosto trabajan más que nunca.</t>
        </is>
      </c>
    </row>
    <row r="20" ht="42" customHeight="1">
      <c r="A20" s="5" t="inlineStr">
        <is>
          <t>RESULTADO DE AGOSTO</t>
        </is>
      </c>
      <c r="B20" s="14">
        <f>IFERROR(B17-B19,"")</f>
        <v>-2824.0165466000008</v>
      </c>
      <c r="C20" t="inlineStr">
        <is>
          <t>EUR</t>
        </is>
      </c>
      <c r="D20" s="10" t="inlineStr">
        <is>
          <t>calculado</t>
        </is>
      </c>
      <c r="E20" s="11" t="inlineStr">
        <is>
          <t>Margen bruto de agosto menos los gastos fijos del mes. Es la cifra que hay que mirar en mayo, no en agosto.</t>
        </is>
      </c>
    </row>
    <row r="21" ht="42" customHeight="1">
      <c r="A21" s="5" t="inlineStr">
        <is>
          <t>Resultado de un mes medio</t>
        </is>
      </c>
      <c r="B21" s="14">
        <f>IFERROR(B18-B19,"")</f>
        <v>2194.326794333334</v>
      </c>
      <c r="C21" t="inlineStr">
        <is>
          <t>EUR</t>
        </is>
      </c>
      <c r="D21" s="10" t="inlineStr">
        <is>
          <t>calculado</t>
        </is>
      </c>
      <c r="E21" s="11" t="inlineStr">
        <is>
          <t>Para comparar.</t>
        </is>
      </c>
    </row>
    <row r="22" ht="42" customHeight="1">
      <c r="A22" s="5" t="inlineStr">
        <is>
          <t>Lo que te cuesta agosto frente a un mes medio</t>
        </is>
      </c>
      <c r="B22" s="14">
        <f>IFERROR(B20-B21,"")</f>
        <v>-5018.343340933335</v>
      </c>
      <c r="C22" t="inlineStr">
        <is>
          <t>EUR</t>
        </is>
      </c>
      <c r="D22" s="10" t="inlineStr">
        <is>
          <t>calculado</t>
        </is>
      </c>
      <c r="E22" s="11" t="inlineStr">
        <is>
          <t>Ésta es la cifra que hay que tener provisionada, y es la razón por la que el ejemplo abre el 1 de junio: así el valle cae dentro del arranque, cuando todavía sale barato.</t>
        </is>
      </c>
    </row>
    <row r="23" ht="42" customHeight="1">
      <c r="A23" s="5" t="inlineStr">
        <is>
          <t>Veredicto de agosto</t>
        </is>
      </c>
      <c r="B23" s="30" t="str">
        <f>IF(NOT(ISNUMBER(B20)),"",IF(B20&gt;=0,"Agosto se paga solo","Agosto da pérdida: provisiónala, no cierres la tienda"))</f>
        <v>Agosto da pérdida: provisiónala, no cierres la tienda</v>
      </c>
      <c r="C23" t="inlineStr"/>
      <c r="D23" s="10" t="inlineStr">
        <is>
          <t>calculado</t>
        </is>
      </c>
      <c r="E23" s="11" t="inlineStr">
        <is>
          <t>Un agosto en negativo NO es un motivo para cerrar: es un motivo para provisionarlo. Cerrar la tienda en el mes en el que el turista pasa por delante sería cambiar una pérdida pequeña por una grande.</t>
        </is>
      </c>
    </row>
    <row r="24"/>
    <row r="25">
      <c r="A25" s="4" t="inlineStr">
        <is>
          <t>Comprobación interna: las unidades de campaña frente a las del año</t>
        </is>
      </c>
    </row>
    <row r="26" ht="42" customHeight="1">
      <c r="A26" s="5" t="inlineStr">
        <is>
          <t>Bombones de obrador extra que suman las doce campañas</t>
        </is>
      </c>
      <c r="B26" s="31">
        <f>'Capacidad vs Demanda del Pico'!N24</f>
        <v>29248.0</v>
      </c>
      <c r="C26" t="inlineStr">
        <is>
          <t>piezas/año</t>
        </is>
      </c>
      <c r="D26" s="10" t="inlineStr">
        <is>
          <t>Capacidad vs Demanda</t>
        </is>
      </c>
      <c r="E26" s="11" t="inlineStr">
        <is>
          <t>Son las bombones de obrador que las campañas añaden a lo que se produce un día normal.</t>
        </is>
      </c>
    </row>
    <row r="27" ht="42" customHeight="1">
      <c r="A27" s="5" t="inlineStr">
        <is>
          <t>Bombones de obrador al año en velocidad de crucero</t>
        </is>
      </c>
      <c r="B27" s="31">
        <f>IFERROR('Parámetros'!$B$12*'Parámetros'!$B$10,"")</f>
        <v>143488.0</v>
      </c>
      <c r="C27" t="inlineStr">
        <is>
          <t>piezas/año</t>
        </is>
      </c>
      <c r="D27" s="10" t="inlineStr">
        <is>
          <t>Parámetros</t>
        </is>
      </c>
      <c r="E27" s="11" t="inlineStr">
        <is>
          <t>Bombones de obrador al día por días de apertura.</t>
        </is>
      </c>
    </row>
    <row r="28" ht="42" customHeight="1">
      <c r="A28" s="5" t="inlineStr">
        <is>
          <t>Las campañas sobre la producción del año</t>
        </is>
      </c>
      <c r="B28" s="29">
        <f>IFERROR(B26/B27,"")</f>
        <v>0.20383586083853703</v>
      </c>
      <c r="C28" t="inlineStr">
        <is>
          <t>sobre el año</t>
        </is>
      </c>
      <c r="D28" s="10" t="inlineStr">
        <is>
          <t>calculado</t>
        </is>
      </c>
      <c r="E28" s="11" t="inlineStr">
        <is>
          <t>Cuánto añaden las campañas a un año de producción.</t>
        </is>
      </c>
    </row>
    <row r="29" ht="42" customHeight="1">
      <c r="A29" s="5" t="inlineStr">
        <is>
          <t>CUADRE INTERNO (no es un cruce entre libros): ¿caben las campañas dentro del año?</t>
        </is>
      </c>
      <c r="B29" s="30" t="str">
        <f>IF(NOT(ISNUMBER(B28)),"",IF(B28&lt;=1,"CUADRA: las campañas caben dentro del año","REVISA: las campañas suman más producción que todo un año"))</f>
        <v>CUADRA: las campañas caben dentro del año</v>
      </c>
      <c r="C29" t="inlineStr"/>
      <c r="D29" s="10" t="inlineStr">
        <is>
          <t>calculado</t>
        </is>
      </c>
      <c r="E29" s="11" t="inlineStr">
        <is>
          <t>Si las campañas añaden más producción que la de un año entero, o el calendario está inflado o las unidades de pico están mal medidas. No es un cruce con otro fichero: es una comprobación de este libro consigo mismo.</t>
        </is>
      </c>
    </row>
    <row r="30"/>
    <row r="31" ht="62" customHeight="1">
      <c r="A31" s="11" t="inlineStr">
        <is>
          <t>Lo que el kit dice, literal, de los tres meses de verano: junio, «adaptar catálogo (menos ganache fresca, más tableta y producto estable)»; julio, «temporada turística: packs souvenir y colaboraciones locales»; agosto, «la tienda abre para el turista aunque el obrador pare». Tres meses, tres cosas distintas, y sólo uno de ellos es «Baja».</t>
        </is>
      </c>
    </row>
    <row r="32"/>
    <row r="33" ht="58" customHeight="1">
      <c r="A33" s="11" t="inlineStr">
        <is>
          <t>Y la línea que sí funciona en agosto son los TALLERES: no dependen del precio del cacao, no necesitan obrador y ocupan la sala en el mes en el que la sala está vacía. Su economía -euros por hora de sala dando taller frente a euros por hora de la misma sala vendiendo- la calcula el plan financiero del pack, no este libro.</t>
        </is>
      </c>
    </row>
    <row r="34"/>
    <row r="35"/>
    <row r="36"/>
    <row r="37">
      <c r="A37" s="32" t="inlineStr">
        <is>
          <t>Listas de validación (no las borres: las usan los desplegables)</t>
        </is>
      </c>
    </row>
    <row r="38">
      <c r="A38" s="20" t="inlineStr">
        <is>
          <t>Sí o no</t>
        </is>
      </c>
    </row>
    <row r="39">
      <c r="A39" t="inlineStr">
        <is>
          <t>Sí</t>
        </is>
      </c>
    </row>
    <row r="40">
      <c r="A40" t="inlineStr">
        <is>
          <t>No</t>
        </is>
      </c>
    </row>
    <row r="41"/>
    <row r="42"/>
    <row r="43">
      <c r="A4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28">
    <cfRule type="expression" priority="1" dxfId="0" stopIfTrue="1">
      <formula>=AND(ISNUMBER($B$28),$B$28&gt;1)</formula>
    </cfRule>
  </conditionalFormatting>
  <dataValidations count="1">
    <dataValidation sqref="B8 B9" showDropDown="0" showInputMessage="0" showErrorMessage="1" allowBlank="0" errorTitle="Responde sí o no" error="Escribe «Sí» o «No», que es lo que entiende la hoja." type="list">
      <formula1>=$A$39:$A$40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Campañas y Valle del Año</dc:title>
  <dc:subject xmlns:dc="http://purl.org/dc/elements/1.1/">Cómo Montar una Chocolatería · Versión 1.0 · septiembre 2026</dc:subject>
  <dcterms:created xmlns:dcterms="http://purl.org/dc/terms/" xmlns:xsi="http://www.w3.org/2001/XMLSchema-instance" xsi:type="dcterms:W3CDTF">2026-09-12T19:48:26Z</dcterms:created>
  <dcterms:modified xmlns:dcterms="http://purl.org/dc/terms/" xmlns:xsi="http://www.w3.org/2001/XMLSchema-instance" xsi:type="dcterms:W3CDTF">2026-09-12T19:48:26Z</dcterms:modified>
  <cp:lastModifiedBy>AI Chef Pro</cp:lastModifiedBy>
</cp:coreProperties>
</file>