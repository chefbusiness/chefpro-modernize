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icha" sheetId="2" state="visible" r:id="rId2"/>
    <sheet xmlns:r="http://schemas.openxmlformats.org/officeDocument/2006/relationships" name="Albarán e IVA soportado" sheetId="3" state="visible" r:id="rId3"/>
  </sheets>
  <definedNames>
    <definedName name="_xlnm._FilterDatabase" localSheetId="1" hidden="1">'Ficha'!$A$9:$L$29</definedName>
    <definedName name="_xlnm.Print_Titles" localSheetId="1">'Ficha'!$9:$9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#,##0.00 €"/>
  </numFmts>
  <fonts count="8">
    <font>
      <name val="Calibri"/>
      <family val="2"/>
      <color theme="1"/>
      <sz val="11"/>
      <scheme val="minor"/>
    </font>
    <font>
      <b val="1"/>
      <color theme="1"/>
      <sz val="11"/>
    </font>
    <font>
      <b val="1"/>
      <sz val="16"/>
    </font>
    <font>
      <color rgb="00595959"/>
      <sz val="10"/>
    </font>
    <font>
      <b val="1"/>
      <color rgb="00FFFFFF"/>
      <sz val="10"/>
    </font>
    <font>
      <b val="1"/>
      <sz val="11"/>
    </font>
    <font>
      <b val="1"/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D2D2D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2" borderId="0" applyAlignment="1" applyProtection="1" pivotButton="0" quotePrefix="0" xfId="0">
      <alignment horizontal="general" vertical="top" wrapText="1"/>
      <protection locked="0" hidden="0"/>
    </xf>
    <xf numFmtId="0" fontId="1" fillId="0" borderId="0" pivotButton="0" quotePrefix="0" xfId="0"/>
    <xf numFmtId="0" fontId="0" fillId="2" borderId="0" applyProtection="1" pivotButton="0" quotePrefix="0" xfId="0">
      <protection locked="0" hidden="0"/>
    </xf>
    <xf numFmtId="3" fontId="0" fillId="2" borderId="0" applyProtection="1" pivotButton="0" quotePrefix="0" xfId="0">
      <protection locked="0" hidden="0"/>
    </xf>
    <xf numFmtId="164" fontId="0" fillId="2" borderId="0" applyProtection="1" pivotButton="0" quotePrefix="0" xfId="0">
      <protection locked="0" hidden="0"/>
    </xf>
    <xf numFmtId="0" fontId="4" fillId="3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top"/>
    </xf>
    <xf numFmtId="0" fontId="0" fillId="2" borderId="0" applyAlignment="1" applyProtection="1" pivotButton="0" quotePrefix="0" xfId="0">
      <alignment horizontal="center" vertical="top"/>
      <protection locked="0" hidden="0"/>
    </xf>
    <xf numFmtId="165" fontId="0" fillId="2" borderId="0" applyProtection="1" pivotButton="0" quotePrefix="0" xfId="0">
      <protection locked="0" hidden="0"/>
    </xf>
    <xf numFmtId="166" fontId="0" fillId="2" borderId="0" applyProtection="1" pivotButton="0" quotePrefix="0" xfId="0">
      <protection locked="0" hidden="0"/>
    </xf>
    <xf numFmtId="165" fontId="0" fillId="0" borderId="0" pivotButton="0" quotePrefix="0" xfId="0"/>
    <xf numFmtId="166" fontId="0" fillId="0" borderId="0" pivotButton="0" quotePrefix="0" xfId="0"/>
    <xf numFmtId="0" fontId="5" fillId="4" borderId="0" pivotButton="0" quotePrefix="0" xfId="0"/>
    <xf numFmtId="166" fontId="1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0" fontId="6" fillId="4" borderId="0" pivotButton="0" quotePrefix="0" xfId="0"/>
    <xf numFmtId="166" fontId="6" fillId="4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7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Ficha de Escandallo Base</t>
        </is>
      </c>
    </row>
    <row r="2">
      <c r="A2" s="2" t="inlineStr">
        <is>
          <t>AI Chef Pro · aichef.pro — Guía Food Cost + Ingeniería de Menú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Escribe arriba el nombre del plato, la familia, las raciones que salen de la ficha y tu food cost objetivo.</t>
        </is>
      </c>
    </row>
    <row r="6">
      <c r="A6" s="4" t="inlineStr">
        <is>
          <t>2. Rellena una línea por ingrediente: cantidad NETA por ración (la que se sirve), precio de compra sin IVA y merma en tanto por uno (0,12 = 12 %).</t>
        </is>
      </c>
    </row>
    <row r="7">
      <c r="A7" s="4" t="inlineStr">
        <is>
          <t>3. El libro calcula la cantidad BRUTA que hay que comprar con la fórmula cantidad neta / (1 - merma), y de ahí el coste de cada línea.</t>
        </is>
      </c>
    </row>
    <row r="8">
      <c r="A8" s="4" t="inlineStr">
        <is>
          <t>4. La columna «IVA de compra (%)» es informativa: el IVA soportado se deduce en el modelo 303, así que no entra en el coste ni en el food cost. La hoja «Albarán e IVA soportado» trae los tres tipos (4 %, 10 %, 21 %) con qué producto lleva cada uno y un albarán de ejemplo con los tres tipos mezclados.</t>
        </is>
      </c>
    </row>
    <row r="9">
      <c r="A9" s="4" t="inlineStr">
        <is>
          <t>5. En el bloque RESUMEN tienes el coste por ración, el PVP objetivo sin IVA y con IVA, y el food cost real del precio que hoy tienes en la carta.</t>
        </is>
      </c>
    </row>
    <row r="10">
      <c r="A10" s="4" t="inlineStr">
        <is>
          <t>6. Si el food cost real sale en rojo, tu precio actual está por encima del objetivo: sube el precio, baja el coste o revisa el gramaje.</t>
        </is>
      </c>
    </row>
    <row r="11">
      <c r="A11" s="4" t="inlineStr">
        <is>
          <t>7. Duplica la hoja «Ficha» (clic derecho en la pestaña, Mover o copiar, Crear una copia) para tener una ficha por plato.</t>
        </is>
      </c>
    </row>
    <row r="12"/>
    <row r="13">
      <c r="A13" s="5" t="inlineStr">
        <is>
          <t>Celdas verdes = campos editables</t>
        </is>
      </c>
    </row>
    <row r="14">
      <c r="A14" s="4" t="inlineStr">
        <is>
          <t>El tipo de IVA de este libro es el de SALA: 10 % para la comida y la bebida consumidas en el local, alcohol incluido (art. 91.Uno.2.2.º de la Ley 37/1992). Para llevar y en delivery el tipo depende del producto: cámbialo en la celda verde «Tipo de IVA de restauración (%)».</t>
        </is>
      </c>
    </row>
    <row r="15">
      <c r="A15" s="4" t="inlineStr">
        <is>
          <t>Para editar la estructura o una celda que no esté en verde, desprotege la hoja (sin contraseña).</t>
        </is>
      </c>
    </row>
    <row r="16">
      <c r="A16" s="4" t="inlineStr">
        <is>
          <t>Diseñado por John Guerrero — chef y consultor gastronómico desde 2010 · johnguerrero.es</t>
        </is>
      </c>
    </row>
    <row r="17">
      <c r="A17" s="4" t="inlineStr">
        <is>
          <t>Versión 1.0 · septiembre 2026 · aichef.pro/guia-food-cost-ingenieria-menu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51" right="0.51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15" customWidth="1" min="4" max="4"/>
    <col width="15" customWidth="1" min="5" max="5"/>
    <col width="11" customWidth="1" min="6" max="6"/>
    <col width="13" customWidth="1" min="7" max="7"/>
    <col width="15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>
      <c r="A1" s="1" t="inlineStr">
        <is>
          <t>Ficha de Escandallo Base</t>
        </is>
      </c>
    </row>
    <row r="2">
      <c r="A2" s="2" t="inlineStr">
        <is>
          <t>AI Chef Pro · aichef.pro — Guía Food Cost + Ingeniería de Menú</t>
        </is>
      </c>
    </row>
    <row r="3"/>
    <row r="4">
      <c r="B4" s="6" t="inlineStr">
        <is>
          <t>Nombre del plato</t>
        </is>
      </c>
      <c r="D4" s="7" t="inlineStr">
        <is>
          <t>Solomillo de cerdo ibérico con puré de boniato</t>
        </is>
      </c>
      <c r="E4" s="7" t="n"/>
      <c r="F4" s="7" t="n"/>
      <c r="G4" s="7" t="n"/>
    </row>
    <row r="5">
      <c r="B5" s="6" t="inlineStr">
        <is>
          <t>Familia de carta</t>
        </is>
      </c>
      <c r="D5" s="7" t="inlineStr">
        <is>
          <t>Principales</t>
        </is>
      </c>
    </row>
    <row r="6">
      <c r="B6" s="6" t="inlineStr">
        <is>
          <t>Raciones que salen de esta ficha</t>
        </is>
      </c>
      <c r="D6" s="8" t="n">
        <v>1</v>
      </c>
    </row>
    <row r="7">
      <c r="B7" s="6" t="inlineStr">
        <is>
          <t>Food cost objetivo (%)</t>
        </is>
      </c>
      <c r="D7" s="9" t="n">
        <v>0.3</v>
      </c>
      <c r="H7" s="4" t="inlineStr">
        <is>
          <t>El objetivo de la casa del ejemplo. Cámbialo y se recalculan el PVP objetivo y el semáforo.</t>
        </is>
      </c>
    </row>
    <row r="8"/>
    <row r="9" ht="32" customHeight="1">
      <c r="A9" s="10" t="inlineStr">
        <is>
          <t>#</t>
        </is>
      </c>
      <c r="B9" s="10" t="inlineStr">
        <is>
          <t>Ingrediente</t>
        </is>
      </c>
      <c r="C9" s="10" t="inlineStr">
        <is>
          <t>Unidad</t>
        </is>
      </c>
      <c r="D9" s="10" t="inlineStr">
        <is>
          <t>Cantidad NETA por ración</t>
        </is>
      </c>
      <c r="E9" s="10" t="inlineStr">
        <is>
          <t>Precio/Ud sin IVA (€)</t>
        </is>
      </c>
      <c r="F9" s="10" t="inlineStr">
        <is>
          <t>Merma (%)</t>
        </is>
      </c>
      <c r="G9" s="10" t="inlineStr">
        <is>
          <t>IVA de compra (%)</t>
        </is>
      </c>
      <c r="H9" s="10" t="inlineStr">
        <is>
          <t>Cantidad BRUTA a comprar</t>
        </is>
      </c>
      <c r="I9" s="10" t="inlineStr">
        <is>
          <t>Coste sin IVA (€)</t>
        </is>
      </c>
      <c r="J9" s="10" t="inlineStr">
        <is>
          <t>IVA soportado (€)</t>
        </is>
      </c>
      <c r="K9" s="10" t="inlineStr">
        <is>
          <t>Coste con IVA (€)</t>
        </is>
      </c>
      <c r="L9" s="10" t="inlineStr">
        <is>
          <t>Notas</t>
        </is>
      </c>
    </row>
    <row r="10">
      <c r="A10" s="11" t="n">
        <v>1</v>
      </c>
      <c r="B10" s="7" t="inlineStr">
        <is>
          <t>Solomillo de cerdo ibérico</t>
        </is>
      </c>
      <c r="C10" s="12" t="inlineStr">
        <is>
          <t>kg</t>
        </is>
      </c>
      <c r="D10" s="13" t="n">
        <v>0.22</v>
      </c>
      <c r="E10" s="14" t="n">
        <v>15.8</v>
      </c>
      <c r="F10" s="9" t="n">
        <v>0.12</v>
      </c>
      <c r="G10" s="9" t="n">
        <v>0.1</v>
      </c>
      <c r="H10" s="15">
        <f>IFERROR(IF(OR($D10="",$F10&gt;=1),"",$D10/(1-$F10)),"")</f>
        <v>0.25</v>
      </c>
      <c r="I10" s="16">
        <f>IFERROR(IF(OR($H10="",$E10=""),"",$H10*$E10),"")</f>
        <v>3.95</v>
      </c>
      <c r="J10" s="16">
        <f>IFERROR(IF(OR($I10="",$G10=""),"",$I10*$G10),"")</f>
        <v>0.395</v>
      </c>
      <c r="K10" s="16">
        <f>IFERROR(IF($I10="","",$I10+IF($J10="",0,$J10)),"")</f>
        <v>4.345000000000001</v>
      </c>
      <c r="L10" s="7" t="n"/>
    </row>
    <row r="11">
      <c r="A11" s="11" t="n">
        <v>2</v>
      </c>
      <c r="B11" s="7" t="inlineStr">
        <is>
          <t>Panceta ibérica (crujiente)</t>
        </is>
      </c>
      <c r="C11" s="12" t="inlineStr">
        <is>
          <t>kg</t>
        </is>
      </c>
      <c r="D11" s="13" t="n">
        <v>0.03</v>
      </c>
      <c r="E11" s="14" t="n">
        <v>11.5</v>
      </c>
      <c r="F11" s="9" t="n">
        <v>0.05</v>
      </c>
      <c r="G11" s="9" t="n">
        <v>0.1</v>
      </c>
      <c r="H11" s="15">
        <f>IFERROR(IF(OR($D11="",$F11&gt;=1),"",$D11/(1-$F11)),"")</f>
        <v>0.031578947368421054</v>
      </c>
      <c r="I11" s="16">
        <f>IFERROR(IF(OR($H11="",$E11=""),"",$H11*$E11),"")</f>
        <v>0.3631578947368421</v>
      </c>
      <c r="J11" s="16">
        <f>IFERROR(IF(OR($I11="",$G11=""),"",$I11*$G11),"")</f>
        <v>0.03631578947368421</v>
      </c>
      <c r="K11" s="16">
        <f>IFERROR(IF($I11="","",$I11+IF($J11="",0,$J11)),"")</f>
        <v>0.3994736842105263</v>
      </c>
      <c r="L11" s="7" t="n"/>
    </row>
    <row r="12">
      <c r="A12" s="11" t="n">
        <v>3</v>
      </c>
      <c r="B12" s="7" t="inlineStr">
        <is>
          <t>Boniato</t>
        </is>
      </c>
      <c r="C12" s="12" t="inlineStr">
        <is>
          <t>kg</t>
        </is>
      </c>
      <c r="D12" s="13" t="n">
        <v>0.18</v>
      </c>
      <c r="E12" s="14" t="n">
        <v>1.6</v>
      </c>
      <c r="F12" s="9" t="n">
        <v>0.18</v>
      </c>
      <c r="G12" s="9" t="n">
        <v>0.04</v>
      </c>
      <c r="H12" s="15">
        <f>IFERROR(IF(OR($D12="",$F12&gt;=1),"",$D12/(1-$F12)),"")</f>
        <v>0.2195121951219512</v>
      </c>
      <c r="I12" s="16">
        <f>IFERROR(IF(OR($H12="",$E12=""),"",$H12*$E12),"")</f>
        <v>0.35121951219512193</v>
      </c>
      <c r="J12" s="16">
        <f>IFERROR(IF(OR($I12="",$G12=""),"",$I12*$G12),"")</f>
        <v>0.014048780487804877</v>
      </c>
      <c r="K12" s="16">
        <f>IFERROR(IF($I12="","",$I12+IF($J12="",0,$J12)),"")</f>
        <v>0.3652682926829268</v>
      </c>
      <c r="L12" s="7" t="n"/>
    </row>
    <row r="13">
      <c r="A13" s="11" t="n">
        <v>4</v>
      </c>
      <c r="B13" s="7" t="inlineStr">
        <is>
          <t>Mantequilla</t>
        </is>
      </c>
      <c r="C13" s="12" t="inlineStr">
        <is>
          <t>kg</t>
        </is>
      </c>
      <c r="D13" s="13" t="n">
        <v>0.015</v>
      </c>
      <c r="E13" s="14" t="n">
        <v>8.9</v>
      </c>
      <c r="F13" s="9" t="n">
        <v>0</v>
      </c>
      <c r="G13" s="9" t="n">
        <v>0.1</v>
      </c>
      <c r="H13" s="15">
        <f>IFERROR(IF(OR($D13="",$F13&gt;=1),"",$D13/(1-$F13)),"")</f>
        <v>0.015</v>
      </c>
      <c r="I13" s="16">
        <f>IFERROR(IF(OR($H13="",$E13=""),"",$H13*$E13),"")</f>
        <v>0.1335</v>
      </c>
      <c r="J13" s="16">
        <f>IFERROR(IF(OR($I13="",$G13=""),"",$I13*$G13),"")</f>
        <v>0.01335</v>
      </c>
      <c r="K13" s="16">
        <f>IFERROR(IF($I13="","",$I13+IF($J13="",0,$J13)),"")</f>
        <v>0.14685</v>
      </c>
      <c r="L13" s="7" t="n"/>
    </row>
    <row r="14">
      <c r="A14" s="11" t="n">
        <v>5</v>
      </c>
      <c r="B14" s="7" t="inlineStr">
        <is>
          <t>Nata 35 % M.G.</t>
        </is>
      </c>
      <c r="C14" s="12" t="inlineStr">
        <is>
          <t>L</t>
        </is>
      </c>
      <c r="D14" s="13" t="n">
        <v>0.03</v>
      </c>
      <c r="E14" s="14" t="n">
        <v>3.4</v>
      </c>
      <c r="F14" s="9" t="n">
        <v>0</v>
      </c>
      <c r="G14" s="9" t="n">
        <v>0.1</v>
      </c>
      <c r="H14" s="15">
        <f>IFERROR(IF(OR($D14="",$F14&gt;=1),"",$D14/(1-$F14)),"")</f>
        <v>0.03</v>
      </c>
      <c r="I14" s="16">
        <f>IFERROR(IF(OR($H14="",$E14=""),"",$H14*$E14),"")</f>
        <v>0.102</v>
      </c>
      <c r="J14" s="16">
        <f>IFERROR(IF(OR($I14="",$G14=""),"",$I14*$G14),"")</f>
        <v>0.0102</v>
      </c>
      <c r="K14" s="16">
        <f>IFERROR(IF($I14="","",$I14+IF($J14="",0,$J14)),"")</f>
        <v>0.1122</v>
      </c>
      <c r="L14" s="7" t="n"/>
    </row>
    <row r="15">
      <c r="A15" s="11" t="n">
        <v>6</v>
      </c>
      <c r="B15" s="7" t="inlineStr">
        <is>
          <t>Cebolla</t>
        </is>
      </c>
      <c r="C15" s="12" t="inlineStr">
        <is>
          <t>kg</t>
        </is>
      </c>
      <c r="D15" s="13" t="n">
        <v>0.04</v>
      </c>
      <c r="E15" s="14" t="n">
        <v>0.95</v>
      </c>
      <c r="F15" s="9" t="n">
        <v>0.12</v>
      </c>
      <c r="G15" s="9" t="n">
        <v>0.04</v>
      </c>
      <c r="H15" s="15">
        <f>IFERROR(IF(OR($D15="",$F15&gt;=1),"",$D15/(1-$F15)),"")</f>
        <v>0.045454545454545456</v>
      </c>
      <c r="I15" s="16">
        <f>IFERROR(IF(OR($H15="",$E15=""),"",$H15*$E15),"")</f>
        <v>0.04318181818181818</v>
      </c>
      <c r="J15" s="16">
        <f>IFERROR(IF(OR($I15="",$G15=""),"",$I15*$G15),"")</f>
        <v>0.0017272727272727272</v>
      </c>
      <c r="K15" s="16">
        <f>IFERROR(IF($I15="","",$I15+IF($J15="",0,$J15)),"")</f>
        <v>0.04490909090909091</v>
      </c>
      <c r="L15" s="7" t="n"/>
    </row>
    <row r="16">
      <c r="A16" s="11" t="n">
        <v>7</v>
      </c>
      <c r="B16" s="7" t="inlineStr">
        <is>
          <t>Vino Pedro Ximénez (para la salsa)</t>
        </is>
      </c>
      <c r="C16" s="12" t="inlineStr">
        <is>
          <t>L</t>
        </is>
      </c>
      <c r="D16" s="13" t="n">
        <v>0.03</v>
      </c>
      <c r="E16" s="14" t="n">
        <v>9.800000000000001</v>
      </c>
      <c r="F16" s="9" t="n">
        <v>0</v>
      </c>
      <c r="G16" s="9" t="n">
        <v>0.21</v>
      </c>
      <c r="H16" s="15">
        <f>IFERROR(IF(OR($D16="",$F16&gt;=1),"",$D16/(1-$F16)),"")</f>
        <v>0.03</v>
      </c>
      <c r="I16" s="16">
        <f>IFERROR(IF(OR($H16="",$E16=""),"",$H16*$E16),"")</f>
        <v>0.294</v>
      </c>
      <c r="J16" s="16">
        <f>IFERROR(IF(OR($I16="",$G16=""),"",$I16*$G16),"")</f>
        <v>0.061739999999999996</v>
      </c>
      <c r="K16" s="16">
        <f>IFERROR(IF($I16="","",$I16+IF($J16="",0,$J16)),"")</f>
        <v>0.35574</v>
      </c>
      <c r="L16" s="7" t="n"/>
    </row>
    <row r="17">
      <c r="A17" s="11" t="n">
        <v>8</v>
      </c>
      <c r="B17" s="7" t="inlineStr">
        <is>
          <t>Caldo de carne</t>
        </is>
      </c>
      <c r="C17" s="12" t="inlineStr">
        <is>
          <t>L</t>
        </is>
      </c>
      <c r="D17" s="13" t="n">
        <v>0.06</v>
      </c>
      <c r="E17" s="14" t="n">
        <v>2.2</v>
      </c>
      <c r="F17" s="9" t="n">
        <v>0</v>
      </c>
      <c r="G17" s="9" t="n">
        <v>0.1</v>
      </c>
      <c r="H17" s="15">
        <f>IFERROR(IF(OR($D17="",$F17&gt;=1),"",$D17/(1-$F17)),"")</f>
        <v>0.06</v>
      </c>
      <c r="I17" s="16">
        <f>IFERROR(IF(OR($H17="",$E17=""),"",$H17*$E17),"")</f>
        <v>0.132</v>
      </c>
      <c r="J17" s="16">
        <f>IFERROR(IF(OR($I17="",$G17=""),"",$I17*$G17),"")</f>
        <v>0.013200000000000002</v>
      </c>
      <c r="K17" s="16">
        <f>IFERROR(IF($I17="","",$I17+IF($J17="",0,$J17)),"")</f>
        <v>0.1452</v>
      </c>
      <c r="L17" s="7" t="n"/>
    </row>
    <row r="18">
      <c r="A18" s="11" t="n">
        <v>9</v>
      </c>
      <c r="B18" s="7" t="inlineStr">
        <is>
          <t>Aceite de oliva virgen extra</t>
        </is>
      </c>
      <c r="C18" s="12" t="inlineStr">
        <is>
          <t>L</t>
        </is>
      </c>
      <c r="D18" s="13" t="n">
        <v>0.015</v>
      </c>
      <c r="E18" s="14" t="n">
        <v>7.2</v>
      </c>
      <c r="F18" s="9" t="n">
        <v>0</v>
      </c>
      <c r="G18" s="9" t="n">
        <v>0.04</v>
      </c>
      <c r="H18" s="15">
        <f>IFERROR(IF(OR($D18="",$F18&gt;=1),"",$D18/(1-$F18)),"")</f>
        <v>0.015</v>
      </c>
      <c r="I18" s="16">
        <f>IFERROR(IF(OR($H18="",$E18=""),"",$H18*$E18),"")</f>
        <v>0.108</v>
      </c>
      <c r="J18" s="16">
        <f>IFERROR(IF(OR($I18="",$G18=""),"",$I18*$G18),"")</f>
        <v>0.00432</v>
      </c>
      <c r="K18" s="16">
        <f>IFERROR(IF($I18="","",$I18+IF($J18="",0,$J18)),"")</f>
        <v>0.11232</v>
      </c>
      <c r="L18" s="7" t="n"/>
    </row>
    <row r="19">
      <c r="A19" s="11" t="n">
        <v>10</v>
      </c>
      <c r="B19" s="7" t="inlineStr">
        <is>
          <t>Brotes de rúcula</t>
        </is>
      </c>
      <c r="C19" s="12" t="inlineStr">
        <is>
          <t>kg</t>
        </is>
      </c>
      <c r="D19" s="13" t="n">
        <v>0.01</v>
      </c>
      <c r="E19" s="14" t="n">
        <v>12</v>
      </c>
      <c r="F19" s="9" t="n">
        <v>0.1</v>
      </c>
      <c r="G19" s="9" t="n">
        <v>0.04</v>
      </c>
      <c r="H19" s="15">
        <f>IFERROR(IF(OR($D19="",$F19&gt;=1),"",$D19/(1-$F19)),"")</f>
        <v>0.011111111111111112</v>
      </c>
      <c r="I19" s="16">
        <f>IFERROR(IF(OR($H19="",$E19=""),"",$H19*$E19),"")</f>
        <v>0.13333333333333333</v>
      </c>
      <c r="J19" s="16">
        <f>IFERROR(IF(OR($I19="",$G19=""),"",$I19*$G19),"")</f>
        <v>0.005333333333333333</v>
      </c>
      <c r="K19" s="16">
        <f>IFERROR(IF($I19="","",$I19+IF($J19="",0,$J19)),"")</f>
        <v>0.13866666666666666</v>
      </c>
      <c r="L19" s="7" t="n"/>
    </row>
    <row r="20">
      <c r="A20" s="11" t="n">
        <v>11</v>
      </c>
      <c r="B20" s="7" t="inlineStr">
        <is>
          <t>Sal, pimienta, tomillo y pimentón (prorrateo)</t>
        </is>
      </c>
      <c r="C20" s="12" t="inlineStr">
        <is>
          <t>kg</t>
        </is>
      </c>
      <c r="D20" s="13" t="n">
        <v>0.01</v>
      </c>
      <c r="E20" s="14" t="n">
        <v>6</v>
      </c>
      <c r="F20" s="9" t="n">
        <v>0</v>
      </c>
      <c r="G20" s="9" t="n">
        <v>0.1</v>
      </c>
      <c r="H20" s="15">
        <f>IFERROR(IF(OR($D20="",$F20&gt;=1),"",$D20/(1-$F20)),"")</f>
        <v>0.01</v>
      </c>
      <c r="I20" s="16">
        <f>IFERROR(IF(OR($H20="",$E20=""),"",$H20*$E20),"")</f>
        <v>0.06</v>
      </c>
      <c r="J20" s="16">
        <f>IFERROR(IF(OR($I20="",$G20=""),"",$I20*$G20),"")</f>
        <v>0.006</v>
      </c>
      <c r="K20" s="16">
        <f>IFERROR(IF($I20="","",$I20+IF($J20="",0,$J20)),"")</f>
        <v>0.066</v>
      </c>
      <c r="L20" s="7" t="n"/>
    </row>
    <row r="21">
      <c r="A21" s="11" t="n">
        <v>12</v>
      </c>
      <c r="B21" s="7" t="n"/>
      <c r="C21" s="7" t="n"/>
      <c r="D21" s="13" t="n"/>
      <c r="E21" s="14" t="n"/>
      <c r="F21" s="9" t="n"/>
      <c r="G21" s="9" t="n"/>
      <c r="H21" s="15">
        <f>IFERROR(IF(OR($D21="",$F21&gt;=1),"",$D21/(1-$F21)),"")</f>
        <v/>
      </c>
      <c r="I21" s="16">
        <f>IFERROR(IF(OR($H21="",$E21=""),"",$H21*$E21),"")</f>
        <v/>
      </c>
      <c r="J21" s="16">
        <f>IFERROR(IF(OR($I21="",$G21=""),"",$I21*$G21),"")</f>
        <v/>
      </c>
      <c r="K21" s="16">
        <f>IFERROR(IF($I21="","",$I21+IF($J21="",0,$J21)),"")</f>
        <v/>
      </c>
      <c r="L21" s="7" t="n"/>
    </row>
    <row r="22">
      <c r="A22" s="11" t="n">
        <v>13</v>
      </c>
      <c r="B22" s="7" t="n"/>
      <c r="C22" s="7" t="n"/>
      <c r="D22" s="13" t="n"/>
      <c r="E22" s="14" t="n"/>
      <c r="F22" s="9" t="n"/>
      <c r="G22" s="9" t="n"/>
      <c r="H22" s="15">
        <f>IFERROR(IF(OR($D22="",$F22&gt;=1),"",$D22/(1-$F22)),"")</f>
        <v/>
      </c>
      <c r="I22" s="16">
        <f>IFERROR(IF(OR($H22="",$E22=""),"",$H22*$E22),"")</f>
        <v/>
      </c>
      <c r="J22" s="16">
        <f>IFERROR(IF(OR($I22="",$G22=""),"",$I22*$G22),"")</f>
        <v/>
      </c>
      <c r="K22" s="16">
        <f>IFERROR(IF($I22="","",$I22+IF($J22="",0,$J22)),"")</f>
        <v/>
      </c>
      <c r="L22" s="7" t="n"/>
    </row>
    <row r="23">
      <c r="A23" s="11" t="n">
        <v>14</v>
      </c>
      <c r="B23" s="7" t="n"/>
      <c r="C23" s="7" t="n"/>
      <c r="D23" s="13" t="n"/>
      <c r="E23" s="14" t="n"/>
      <c r="F23" s="9" t="n"/>
      <c r="G23" s="9" t="n"/>
      <c r="H23" s="15">
        <f>IFERROR(IF(OR($D23="",$F23&gt;=1),"",$D23/(1-$F23)),"")</f>
        <v/>
      </c>
      <c r="I23" s="16">
        <f>IFERROR(IF(OR($H23="",$E23=""),"",$H23*$E23),"")</f>
        <v/>
      </c>
      <c r="J23" s="16">
        <f>IFERROR(IF(OR($I23="",$G23=""),"",$I23*$G23),"")</f>
        <v/>
      </c>
      <c r="K23" s="16">
        <f>IFERROR(IF($I23="","",$I23+IF($J23="",0,$J23)),"")</f>
        <v/>
      </c>
      <c r="L23" s="7" t="n"/>
    </row>
    <row r="24">
      <c r="A24" s="11" t="n">
        <v>15</v>
      </c>
      <c r="B24" s="7" t="n"/>
      <c r="C24" s="7" t="n"/>
      <c r="D24" s="13" t="n"/>
      <c r="E24" s="14" t="n"/>
      <c r="F24" s="9" t="n"/>
      <c r="G24" s="9" t="n"/>
      <c r="H24" s="15">
        <f>IFERROR(IF(OR($D24="",$F24&gt;=1),"",$D24/(1-$F24)),"")</f>
        <v/>
      </c>
      <c r="I24" s="16">
        <f>IFERROR(IF(OR($H24="",$E24=""),"",$H24*$E24),"")</f>
        <v/>
      </c>
      <c r="J24" s="16">
        <f>IFERROR(IF(OR($I24="",$G24=""),"",$I24*$G24),"")</f>
        <v/>
      </c>
      <c r="K24" s="16">
        <f>IFERROR(IF($I24="","",$I24+IF($J24="",0,$J24)),"")</f>
        <v/>
      </c>
      <c r="L24" s="7" t="n"/>
    </row>
    <row r="25">
      <c r="A25" s="11" t="n">
        <v>16</v>
      </c>
      <c r="B25" s="7" t="n"/>
      <c r="C25" s="7" t="n"/>
      <c r="D25" s="13" t="n"/>
      <c r="E25" s="14" t="n"/>
      <c r="F25" s="9" t="n"/>
      <c r="G25" s="9" t="n"/>
      <c r="H25" s="15">
        <f>IFERROR(IF(OR($D25="",$F25&gt;=1),"",$D25/(1-$F25)),"")</f>
        <v/>
      </c>
      <c r="I25" s="16">
        <f>IFERROR(IF(OR($H25="",$E25=""),"",$H25*$E25),"")</f>
        <v/>
      </c>
      <c r="J25" s="16">
        <f>IFERROR(IF(OR($I25="",$G25=""),"",$I25*$G25),"")</f>
        <v/>
      </c>
      <c r="K25" s="16">
        <f>IFERROR(IF($I25="","",$I25+IF($J25="",0,$J25)),"")</f>
        <v/>
      </c>
      <c r="L25" s="7" t="n"/>
    </row>
    <row r="26">
      <c r="A26" s="11" t="n">
        <v>17</v>
      </c>
      <c r="B26" s="7" t="n"/>
      <c r="C26" s="7" t="n"/>
      <c r="D26" s="13" t="n"/>
      <c r="E26" s="14" t="n"/>
      <c r="F26" s="9" t="n"/>
      <c r="G26" s="9" t="n"/>
      <c r="H26" s="15">
        <f>IFERROR(IF(OR($D26="",$F26&gt;=1),"",$D26/(1-$F26)),"")</f>
        <v/>
      </c>
      <c r="I26" s="16">
        <f>IFERROR(IF(OR($H26="",$E26=""),"",$H26*$E26),"")</f>
        <v/>
      </c>
      <c r="J26" s="16">
        <f>IFERROR(IF(OR($I26="",$G26=""),"",$I26*$G26),"")</f>
        <v/>
      </c>
      <c r="K26" s="16">
        <f>IFERROR(IF($I26="","",$I26+IF($J26="",0,$J26)),"")</f>
        <v/>
      </c>
      <c r="L26" s="7" t="n"/>
    </row>
    <row r="27">
      <c r="A27" s="11" t="n">
        <v>18</v>
      </c>
      <c r="B27" s="7" t="n"/>
      <c r="C27" s="7" t="n"/>
      <c r="D27" s="13" t="n"/>
      <c r="E27" s="14" t="n"/>
      <c r="F27" s="9" t="n"/>
      <c r="G27" s="9" t="n"/>
      <c r="H27" s="15">
        <f>IFERROR(IF(OR($D27="",$F27&gt;=1),"",$D27/(1-$F27)),"")</f>
        <v/>
      </c>
      <c r="I27" s="16">
        <f>IFERROR(IF(OR($H27="",$E27=""),"",$H27*$E27),"")</f>
        <v/>
      </c>
      <c r="J27" s="16">
        <f>IFERROR(IF(OR($I27="",$G27=""),"",$I27*$G27),"")</f>
        <v/>
      </c>
      <c r="K27" s="16">
        <f>IFERROR(IF($I27="","",$I27+IF($J27="",0,$J27)),"")</f>
        <v/>
      </c>
      <c r="L27" s="7" t="n"/>
    </row>
    <row r="28">
      <c r="A28" s="11" t="n">
        <v>19</v>
      </c>
      <c r="B28" s="7" t="n"/>
      <c r="C28" s="7" t="n"/>
      <c r="D28" s="13" t="n"/>
      <c r="E28" s="14" t="n"/>
      <c r="F28" s="9" t="n"/>
      <c r="G28" s="9" t="n"/>
      <c r="H28" s="15">
        <f>IFERROR(IF(OR($D28="",$F28&gt;=1),"",$D28/(1-$F28)),"")</f>
        <v/>
      </c>
      <c r="I28" s="16">
        <f>IFERROR(IF(OR($H28="",$E28=""),"",$H28*$E28),"")</f>
        <v/>
      </c>
      <c r="J28" s="16">
        <f>IFERROR(IF(OR($I28="",$G28=""),"",$I28*$G28),"")</f>
        <v/>
      </c>
      <c r="K28" s="16">
        <f>IFERROR(IF($I28="","",$I28+IF($J28="",0,$J28)),"")</f>
        <v/>
      </c>
      <c r="L28" s="7" t="n"/>
    </row>
    <row r="29">
      <c r="A29" s="11" t="n">
        <v>20</v>
      </c>
      <c r="B29" s="7" t="n"/>
      <c r="C29" s="7" t="n"/>
      <c r="D29" s="13" t="n"/>
      <c r="E29" s="14" t="n"/>
      <c r="F29" s="9" t="n"/>
      <c r="G29" s="9" t="n"/>
      <c r="H29" s="15">
        <f>IFERROR(IF(OR($D29="",$F29&gt;=1),"",$D29/(1-$F29)),"")</f>
        <v/>
      </c>
      <c r="I29" s="16">
        <f>IFERROR(IF(OR($H29="",$E29=""),"",$H29*$E29),"")</f>
        <v/>
      </c>
      <c r="J29" s="16">
        <f>IFERROR(IF(OR($I29="",$G29=""),"",$I29*$G29),"")</f>
        <v/>
      </c>
      <c r="K29" s="16">
        <f>IFERROR(IF($I29="","",$I29+IF($J29="",0,$J29)),"")</f>
        <v/>
      </c>
      <c r="L29" s="7" t="n"/>
    </row>
    <row r="30"/>
    <row r="31">
      <c r="B31" s="17" t="inlineStr">
        <is>
          <t>RESUMEN — lo calcula el libro</t>
        </is>
      </c>
      <c r="C31" s="17" t="n"/>
      <c r="D31" s="17" t="n"/>
      <c r="E31" s="17" t="n"/>
      <c r="F31" s="17" t="n"/>
      <c r="G31" s="17" t="n"/>
    </row>
    <row r="32">
      <c r="B32" s="6" t="inlineStr">
        <is>
          <t>COSTE TOTAL DE LA FICHA, sin IVA (€)</t>
        </is>
      </c>
      <c r="E32" s="18">
        <f>IF(COUNTIF($I$10:$I$29,"&gt;0")=0,"",SUM($I$10:$I$29))</f>
        <v>5.670392558447115</v>
      </c>
    </row>
    <row r="33">
      <c r="B33" s="6" t="inlineStr">
        <is>
          <t>Coste por ración, sin IVA (€)</t>
        </is>
      </c>
      <c r="E33" s="18">
        <f>IFERROR(IF(OR($E$32="",$D$6="",$D$6=0),"",$E$32/$D$6),"")</f>
        <v>5.670392558447115</v>
      </c>
    </row>
    <row r="34">
      <c r="B34" t="inlineStr">
        <is>
          <t>PVP objetivo sin IVA (€) = coste por ración ÷ food cost objetivo</t>
        </is>
      </c>
      <c r="E34" s="16">
        <f>IFERROR(IF(OR($E$33="",$D$7="",$D$7=0),"",$E$33/$D$7),"")</f>
        <v>18.90130852815705</v>
      </c>
    </row>
    <row r="35">
      <c r="B35" t="inlineStr">
        <is>
          <t>Tipo de IVA de restauración (%)</t>
        </is>
      </c>
      <c r="E35" s="9" t="n">
        <v>0.1</v>
      </c>
      <c r="H35" s="4" t="inlineStr">
        <is>
          <t>10 % en restauración, INCLUIDA la bebida alcohólica servida en sala: el art. 91.Uno.2.2 de la Ley del IVA grava a ese tipo los servicios de hostelería y «el suministro de comidas y bebidas para consumir en el acto», y no excluye el alcohol. Cámbialo aquí y se recalcula todo el libro.</t>
        </is>
      </c>
    </row>
    <row r="36">
      <c r="B36" t="inlineStr">
        <is>
          <t>PVP objetivo CON IVA (€) — el que se imprime en la carta</t>
        </is>
      </c>
      <c r="E36" s="16">
        <f>IFERROR(IF($E$34="","",$E$34*(1+$E$35)),"")</f>
        <v>20.791439380972754</v>
      </c>
    </row>
    <row r="37">
      <c r="B37" s="6" t="inlineStr">
        <is>
          <t>PVP ACTUAL en carta, sin IVA (€)</t>
        </is>
      </c>
      <c r="E37" s="14" t="n">
        <v>17.3</v>
      </c>
      <c r="H37" s="4" t="inlineStr">
        <is>
          <t>El precio que hoy tienes en la carta, quitándole el IVA. Es lo que compara el food cost REAL de abajo.</t>
        </is>
      </c>
    </row>
    <row r="38">
      <c r="B38" t="inlineStr">
        <is>
          <t>PVP actual CON IVA (€)</t>
        </is>
      </c>
      <c r="E38" s="16">
        <f>IFERROR(IF($E$37="","",$E$37*(1+$E$35)),"")</f>
        <v>19.03</v>
      </c>
    </row>
    <row r="39">
      <c r="B39" s="6" t="inlineStr">
        <is>
          <t>Food cost REAL con el PVP actual (%)</t>
        </is>
      </c>
      <c r="E39" s="19">
        <f>IFERROR(IF(OR($E$33="",$E$37="",$E$37=0),"",$E$33/$E$37),"")</f>
        <v>0.327768355979602</v>
      </c>
      <c r="H39" s="4" t="inlineStr">
        <is>
          <t>Verde si está en el objetivo de D7; rojo si lo supera.</t>
        </is>
      </c>
    </row>
    <row r="40">
      <c r="B40" s="6" t="inlineStr">
        <is>
          <t>Margen de contribución con el PVP actual (€)</t>
        </is>
      </c>
      <c r="E40" s="18">
        <f>IFERROR(IF(OR($E$33="",$E$37=""),"",$E$37-$E$33),"")</f>
        <v>11.629607441552885</v>
      </c>
    </row>
    <row r="41">
      <c r="B41" t="inlineStr">
        <is>
          <t>Diferencia entre el PVP objetivo y el actual (€)</t>
        </is>
      </c>
      <c r="E41" s="16">
        <f>IFERROR(IF(OR($E$34="",$E$37=""),"",$E$34-$E$37),"")</f>
        <v>1.6013085281570483</v>
      </c>
    </row>
    <row r="42">
      <c r="B42" t="inlineStr">
        <is>
          <t>Subida necesaria sobre el PVP actual para llegar al objetivo (%)</t>
        </is>
      </c>
      <c r="E42" s="20">
        <f>IFERROR(IF(OR($E$34="",$E$37="",$E$37=0),"",$E$34/$E$37-1),"")</f>
        <v>0.0925611865986733</v>
      </c>
    </row>
    <row r="43"/>
    <row r="44">
      <c r="B44" s="17" t="inlineStr">
        <is>
          <t>IVA SOPORTADO — solo tesorería, NO es coste</t>
        </is>
      </c>
      <c r="C44" s="17" t="n"/>
      <c r="D44" s="17" t="n"/>
      <c r="E44" s="17" t="n"/>
      <c r="F44" s="17" t="n"/>
      <c r="G44" s="17" t="n"/>
    </row>
    <row r="45">
      <c r="B45" t="inlineStr">
        <is>
          <t>IVA soportado total de la ficha (€)</t>
        </is>
      </c>
      <c r="E45" s="16">
        <f>IF(COUNTIF($J$10:$J$29,"&gt;0")=0,"",SUM($J$10:$J$29))</f>
        <v>0.561235176022095</v>
      </c>
    </row>
    <row r="46">
      <c r="B46" s="6" t="inlineStr">
        <is>
          <t>Coste con IVA soportado (solo tesorería) (€)</t>
        </is>
      </c>
      <c r="E46" s="18">
        <f>IF(COUNTIF($K$10:$K$29,"&gt;0")=0,"",SUM($K$10:$K$29))</f>
        <v>6.23162773446921</v>
      </c>
      <c r="H46" s="4" t="inlineStr">
        <is>
          <t>Lo que sale de la cuenta el día que pagas el albarán. El IVA soportado se deduce en el modelo 303: es tesorería, no coste, y por eso NO entra en el food cost.</t>
        </is>
      </c>
    </row>
    <row r="47">
      <c r="B47" t="inlineStr">
        <is>
          <t>Food cost si contases el IVA como coste (%) — NO se hace así</t>
        </is>
      </c>
      <c r="E47" s="20">
        <f>IFERROR(IF(OR($E$46="",$D$6="",$D$6=0,$E$37="",$E$37=0),"",($E$46/$D$6)/$E$37),"")</f>
        <v>0.3602096956340584</v>
      </c>
      <c r="H47" s="4" t="inlineStr">
        <is>
          <t>Está aquí para que veas el error: contar el IVA soportado como coste infla el food cost y te empuja a subir precios que no hacen falta.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autoFilter ref="A9:L29"/>
  <mergeCells count="1">
    <mergeCell ref="D4:G4"/>
  </mergeCells>
  <conditionalFormatting sqref="E39">
    <cfRule type="expression" priority="1" dxfId="0" stopIfTrue="1">
      <formula>=AND(ISNUMBER($E$39),$E$39&gt;$D$7)</formula>
    </cfRule>
    <cfRule type="expression" priority="2" dxfId="1" stopIfTrue="1">
      <formula>=AND(ISNUMBER($E$39),$E$39&lt;=$D$7)</formula>
    </cfRule>
  </conditionalFormatting>
  <dataValidations count="10">
    <dataValidation sqref="C10 C11 C12 C13 C14 C15 C16 C17 C18 C19 C20 C21 C22 C23 C24 C25 C26 C27 C28 C29" showDropDown="0" showInputMessage="0" showErrorMessage="1" allowBlank="1" errorTitle="Unidad no válida" error="Elige un valor de la lista: kg, L, ud, g, cl, ración, docena" type="list">
      <formula1>"kg,L,ud,g,cl,ración,docena"</formula1>
    </dataValidation>
    <dataValidation sqref="D5" showDropDown="0" showInputMessage="0" showErrorMessage="1" allowBlank="1" errorTitle="Familia no válida" error="Elige un valor de la lista: Entrantes, Principales, Postres, Menú, Bebidas" type="list">
      <formula1>"Entrantes,Principales,Postres,Menú,Bebidas"</formula1>
    </dataValidation>
    <dataValidation sqref="D10 D11 D12 D13 D14 D15 D16 D17 D18 D19 D20 D21 D22 D23 D24 D25 D26 D27 D28 D29" showDropDown="0" showInputMessage="1" showErrorMessage="1" allowBlank="1" errorTitle="Cantidad neta" error="Escribe un número mayor o igual que 0." promptTitle="Cantidad neta" prompt="La cantidad que se SIRVE en el plato, ya limpia y en la unidad de compra (0,220 kg)." type="decimal" operator="greaterThanOrEqual">
      <formula1>0</formula1>
    </dataValidation>
    <dataValidation sqref="E10 E11 E12 E13 E14 E15 E16 E17 E18 E19 E20 E21 E22 E23 E24 E25 E26 E27 E28 E29" showDropDown="0" showInputMessage="1" showErrorMessage="1" allowBlank="1" errorTitle="Precio de compra" error="Escribe un número mayor o igual que 0." promptTitle="Precio de compra" prompt="Precio por unidad de compra SIN IVA, el de tu albarán." type="decimal" operator="greaterThanOrEqual">
      <formula1>0</formula1>
    </dataValidation>
    <dataValidation sqref="F10 F11 F12 F13 F14 F15 F16 F17 F18 F19 F20 F21 F22 F23 F24 F25 F26 F27 F28 F29" showDropDown="0" showInputMessage="1" showErrorMessage="1" allowBlank="1" errorTitle="Merma (%)" error="Escribe un porcentaje entre 0 y 0,95 (0,20 = 20 %)." promptTitle="Merma (%)" prompt="Se escribe en tanto por uno: 0,20 = 20 %. Tope 0,95 porque la merma entra en el coste como neta/(1-merma)." type="decimal" operator="between">
      <formula1>0</formula1>
      <formula2>0.95</formula2>
    </dataValidation>
    <dataValidation sqref="G10 G11 G12 G13 G14 G15 G16 G17 G18 G19 G20 G21 G22 G23 G24 G25 G26 G27 G28 G29" showDropDown="0" showInputMessage="0" showErrorMessage="1" allowBlank="1" errorTitle="IVA de compra no válido" error="El IVA soportado en España sólo tiene tres tipos: 4 %, 10 % o 21 % (hoja «Albarán e IVA soportado»). Es informativo: se deduce en el 303 y no entra en el coste." type="list">
      <formula1>"0.04,0.1,0.21"</formula1>
    </dataValidation>
    <dataValidation sqref="D6" showDropDown="0" showInputMessage="1" showErrorMessage="1" allowBlank="1" errorTitle="Raciones" error="Escribe un número mayor o igual que 1." promptTitle="Raciones" prompt="Cuántas raciones salen de las cantidades de esta ficha." type="decimal" operator="greaterThanOrEqual">
      <formula1>1</formula1>
    </dataValidation>
    <dataValidation sqref="D7" showDropDown="0" showInputMessage="1" showErrorMessage="1" allowBlank="1" errorTitle="Food cost objetivo" error="Escribe un porcentaje entre 0 y 1 (0,20 = 20 %)." promptTitle="Food cost objetivo" prompt="Se escribe en tanto por uno: 0,30 = 30 %." type="decimal" operator="between">
      <formula1>0</formula1>
      <formula2>1.0</formula2>
    </dataValidation>
    <dataValidation sqref="E35" showDropDown="0" showInputMessage="1" showErrorMessage="1" allowBlank="1" errorTitle="Tipo de IVA" error="Escribe un porcentaje entre 0 y 0,21 (0,20 = 20 %)." promptTitle="Tipo de IVA" prompt="Tipo de IVA repercutido del canal. 0,10 en sala." type="decimal" operator="between">
      <formula1>0</formula1>
      <formula2>0.21</formula2>
    </dataValidation>
    <dataValidation sqref="E37" showDropDown="0" showInputMessage="1" showErrorMessage="1" allowBlank="1" errorTitle="PVP actual" error="Escribe un número mayor o igual que 0." promptTitle="PVP actual" prompt="El precio de tu carta SIN IVA." type="decimal" operator="greaterThanOrEqual">
      <formula1>0</formula1>
    </dataValidation>
  </dataValidations>
  <pageMargins left="0.51" right="0.51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0" customWidth="1" min="4" max="4"/>
    <col width="15" customWidth="1" min="5" max="5"/>
    <col width="15" customWidth="1" min="6" max="6"/>
    <col width="12" customWidth="1" min="7" max="7"/>
    <col width="13" customWidth="1" min="8" max="8"/>
    <col width="14" customWidth="1" min="9" max="9"/>
  </cols>
  <sheetData>
    <row r="1">
      <c r="A1" s="1" t="inlineStr">
        <is>
          <t>Ficha de Escandallo Base</t>
        </is>
      </c>
    </row>
    <row r="2">
      <c r="A2" s="2" t="inlineStr">
        <is>
          <t>AI Chef Pro · aichef.pro — Guía Food Cost + Ingeniería de Menú</t>
        </is>
      </c>
    </row>
    <row r="3">
      <c r="A3" s="17" t="inlineStr">
        <is>
          <t>LOS TRES TIPOS DE IVA SOPORTADO EN COMPRAS</t>
        </is>
      </c>
      <c r="B3" s="17" t="n"/>
      <c r="C3" s="17" t="n"/>
      <c r="D3" s="17" t="n"/>
    </row>
    <row r="4" ht="32" customHeight="1">
      <c r="A4" s="10" t="inlineStr">
        <is>
          <t>Tipo de IVA soportado</t>
        </is>
      </c>
      <c r="B4" s="10" t="inlineStr">
        <is>
          <t>Qué compra lleva este tipo</t>
        </is>
      </c>
    </row>
    <row r="5" ht="44" customHeight="1">
      <c r="A5" s="9" t="n">
        <v>0.04</v>
      </c>
      <c r="B5" s="4" t="inlineStr">
        <is>
          <t>Pan común, harinas panificables, leche, quesos, huevos, frutas, verduras, hortalizas, legumbres, tubérculos, cereales y aceites de oliva (art. 91.Dos.1.1.º; el aceite de oliva desde el 1-ene-2025 por el RDL 4/2024).</t>
        </is>
      </c>
    </row>
    <row r="6" ht="44" customHeight="1">
      <c r="A6" s="9" t="n">
        <v>0.1</v>
      </c>
      <c r="B6" s="4" t="inlineStr">
        <is>
          <t>Resto de alimentos y bebidas no alcohólicas sin azúcares añadidos: carnes, pescados, conservas, aceites de semillas, agua (art. 91.Uno.1.1.º).</t>
        </is>
      </c>
    </row>
    <row r="7" ht="44" customHeight="1">
      <c r="A7" s="9" t="n">
        <v>0.21</v>
      </c>
      <c r="B7" s="4" t="inlineStr">
        <is>
          <t>Bebidas alcohólicas; refrescos, zumos y gaseosas con azúcares o edulcorantes añadidos; y todo lo no alimentario: packaging, menaje, productos de limpieza (art. 90).</t>
        </is>
      </c>
    </row>
    <row r="8">
      <c r="A8" s="4" t="inlineStr">
        <is>
          <t>Fuente: Ley 37/1992 del IVA, texto consolidado: https://www.boe.es/buscar/act.php?id=BOE-A-1992-28740</t>
        </is>
      </c>
    </row>
    <row r="9"/>
    <row r="10" ht="32" customHeight="1">
      <c r="A10" s="10" t="inlineStr">
        <is>
          <t>#</t>
        </is>
      </c>
      <c r="B10" s="10" t="inlineStr">
        <is>
          <t>Producto</t>
        </is>
      </c>
      <c r="C10" s="10" t="inlineStr">
        <is>
          <t>Cantidad</t>
        </is>
      </c>
      <c r="D10" s="10" t="inlineStr">
        <is>
          <t>Unidad</t>
        </is>
      </c>
      <c r="E10" s="10" t="inlineStr">
        <is>
          <t>Precio/Ud sin IVA (€)</t>
        </is>
      </c>
      <c r="F10" s="10" t="inlineStr">
        <is>
          <t>Base imponible (€)</t>
        </is>
      </c>
      <c r="G10" s="10" t="inlineStr">
        <is>
          <t>Tipo de IVA (%)</t>
        </is>
      </c>
      <c r="H10" s="10" t="inlineStr">
        <is>
          <t>Cuota de IVA (€)</t>
        </is>
      </c>
      <c r="I10" s="10" t="inlineStr">
        <is>
          <t>Total con IVA (€)</t>
        </is>
      </c>
    </row>
    <row r="11">
      <c r="A11" s="11" t="n">
        <v>1</v>
      </c>
      <c r="B11" s="7" t="inlineStr">
        <is>
          <t>Solomillo de cerdo ibérico</t>
        </is>
      </c>
      <c r="C11" s="13" t="n">
        <v>12</v>
      </c>
      <c r="D11" s="7" t="inlineStr">
        <is>
          <t>kg</t>
        </is>
      </c>
      <c r="E11" s="14" t="n">
        <v>15.8</v>
      </c>
      <c r="F11" s="16">
        <f>IFERROR(IF(OR($C11="",$E11=""),"",$C11*$E11),"")</f>
        <v>189.60000000000002</v>
      </c>
      <c r="G11" s="9" t="n">
        <v>0.1</v>
      </c>
      <c r="H11" s="16">
        <f>IFERROR(IF(OR($F11="",$G11=""),"",$F11*$G11),"")</f>
        <v>18.960000000000004</v>
      </c>
      <c r="I11" s="16">
        <f>IFERROR(IF($F11="","",$F11+IF($H11="",0,$H11)),"")</f>
        <v>208.56000000000003</v>
      </c>
    </row>
    <row r="12">
      <c r="A12" s="11" t="n">
        <v>2</v>
      </c>
      <c r="B12" s="7" t="inlineStr">
        <is>
          <t>Tomate rosa</t>
        </is>
      </c>
      <c r="C12" s="13" t="n">
        <v>20</v>
      </c>
      <c r="D12" s="7" t="inlineStr">
        <is>
          <t>kg</t>
        </is>
      </c>
      <c r="E12" s="14" t="n">
        <v>3.8</v>
      </c>
      <c r="F12" s="16">
        <f>IFERROR(IF(OR($C12="",$E12=""),"",$C12*$E12),"")</f>
        <v>76.0</v>
      </c>
      <c r="G12" s="9" t="n">
        <v>0.04</v>
      </c>
      <c r="H12" s="16">
        <f>IFERROR(IF(OR($F12="",$G12=""),"",$F12*$G12),"")</f>
        <v>3.04</v>
      </c>
      <c r="I12" s="16">
        <f>IFERROR(IF($F12="","",$F12+IF($H12="",0,$H12)),"")</f>
        <v>79.04</v>
      </c>
    </row>
    <row r="13">
      <c r="A13" s="11" t="n">
        <v>3</v>
      </c>
      <c r="B13" s="7" t="inlineStr">
        <is>
          <t>Aceite de oliva virgen extra</t>
        </is>
      </c>
      <c r="C13" s="13" t="n">
        <v>25</v>
      </c>
      <c r="D13" s="7" t="inlineStr">
        <is>
          <t>L</t>
        </is>
      </c>
      <c r="E13" s="14" t="n">
        <v>7.2</v>
      </c>
      <c r="F13" s="16">
        <f>IFERROR(IF(OR($C13="",$E13=""),"",$C13*$E13),"")</f>
        <v>180.0</v>
      </c>
      <c r="G13" s="9" t="n">
        <v>0.04</v>
      </c>
      <c r="H13" s="16">
        <f>IFERROR(IF(OR($F13="",$G13=""),"",$F13*$G13),"")</f>
        <v>7.2</v>
      </c>
      <c r="I13" s="16">
        <f>IFERROR(IF($F13="","",$F13+IF($H13="",0,$H13)),"")</f>
        <v>187.2</v>
      </c>
    </row>
    <row r="14">
      <c r="A14" s="11" t="n">
        <v>4</v>
      </c>
      <c r="B14" s="7" t="inlineStr">
        <is>
          <t>Queso curado de oveja</t>
        </is>
      </c>
      <c r="C14" s="13" t="n">
        <v>4</v>
      </c>
      <c r="D14" s="7" t="inlineStr">
        <is>
          <t>kg</t>
        </is>
      </c>
      <c r="E14" s="14" t="n">
        <v>18.5</v>
      </c>
      <c r="F14" s="16">
        <f>IFERROR(IF(OR($C14="",$E14=""),"",$C14*$E14),"")</f>
        <v>74.0</v>
      </c>
      <c r="G14" s="9" t="n">
        <v>0.04</v>
      </c>
      <c r="H14" s="16">
        <f>IFERROR(IF(OR($F14="",$G14=""),"",$F14*$G14),"")</f>
        <v>2.96</v>
      </c>
      <c r="I14" s="16">
        <f>IFERROR(IF($F14="","",$F14+IF($H14="",0,$H14)),"")</f>
        <v>76.96</v>
      </c>
    </row>
    <row r="15">
      <c r="A15" s="11" t="n">
        <v>5</v>
      </c>
      <c r="B15" s="7" t="inlineStr">
        <is>
          <t>Vino tinto crianza (botella)</t>
        </is>
      </c>
      <c r="C15" s="13" t="n">
        <v>24</v>
      </c>
      <c r="D15" s="7" t="inlineStr">
        <is>
          <t>ud</t>
        </is>
      </c>
      <c r="E15" s="14" t="n">
        <v>6.1</v>
      </c>
      <c r="F15" s="16">
        <f>IFERROR(IF(OR($C15="",$E15=""),"",$C15*$E15),"")</f>
        <v>146.39999999999998</v>
      </c>
      <c r="G15" s="9" t="n">
        <v>0.21</v>
      </c>
      <c r="H15" s="16">
        <f>IFERROR(IF(OR($F15="",$G15=""),"",$F15*$G15),"")</f>
        <v>30.743999999999993</v>
      </c>
      <c r="I15" s="16">
        <f>IFERROR(IF($F15="","",$F15+IF($H15="",0,$H15)),"")</f>
        <v>177.14399999999998</v>
      </c>
    </row>
    <row r="16">
      <c r="A16" s="11" t="n">
        <v>6</v>
      </c>
      <c r="B16" s="7" t="inlineStr">
        <is>
          <t>Refresco de cola (lata)</t>
        </is>
      </c>
      <c r="C16" s="13" t="n">
        <v>48</v>
      </c>
      <c r="D16" s="7" t="inlineStr">
        <is>
          <t>ud</t>
        </is>
      </c>
      <c r="E16" s="14" t="n">
        <v>0.55</v>
      </c>
      <c r="F16" s="16">
        <f>IFERROR(IF(OR($C16="",$E16=""),"",$C16*$E16),"")</f>
        <v>26.400000000000002</v>
      </c>
      <c r="G16" s="9" t="n">
        <v>0.21</v>
      </c>
      <c r="H16" s="16">
        <f>IFERROR(IF(OR($F16="",$G16=""),"",$F16*$G16),"")</f>
        <v>5.5440000000000005</v>
      </c>
      <c r="I16" s="16">
        <f>IFERROR(IF($F16="","",$F16+IF($H16="",0,$H16)),"")</f>
        <v>31.944000000000003</v>
      </c>
    </row>
    <row r="17">
      <c r="A17" s="11" t="n">
        <v>7</v>
      </c>
      <c r="B17" s="7" t="inlineStr">
        <is>
          <t>Envases para llevar (caja)</t>
        </is>
      </c>
      <c r="C17" s="13" t="n">
        <v>2</v>
      </c>
      <c r="D17" s="7" t="inlineStr">
        <is>
          <t>ud</t>
        </is>
      </c>
      <c r="E17" s="14" t="n">
        <v>38</v>
      </c>
      <c r="F17" s="16">
        <f>IFERROR(IF(OR($C17="",$E17=""),"",$C17*$E17),"")</f>
        <v>76.0</v>
      </c>
      <c r="G17" s="9" t="n">
        <v>0.21</v>
      </c>
      <c r="H17" s="16">
        <f>IFERROR(IF(OR($F17="",$G17=""),"",$F17*$G17),"")</f>
        <v>15.959999999999999</v>
      </c>
      <c r="I17" s="16">
        <f>IFERROR(IF($F17="","",$F17+IF($H17="",0,$H17)),"")</f>
        <v>91.96</v>
      </c>
    </row>
    <row r="18">
      <c r="A18" s="21" t="n"/>
      <c r="B18" s="21" t="inlineStr">
        <is>
          <t>TOTAL ALBARÁN</t>
        </is>
      </c>
      <c r="C18" s="21" t="n"/>
      <c r="D18" s="21" t="n"/>
      <c r="E18" s="21" t="n"/>
      <c r="F18" s="22">
        <f>IF(COUNT(F11:F17)=0,"",SUM(F11:F17))</f>
        <v>768.4</v>
      </c>
      <c r="G18" s="21" t="n"/>
      <c r="H18" s="22">
        <f>IF(COUNT(H11:H17)=0,"",SUM(H11:H17))</f>
        <v>84.40799999999999</v>
      </c>
      <c r="I18" s="22">
        <f>IF(COUNT(I11:I17)=0,"",SUM(I11:I17))</f>
        <v>852.808</v>
      </c>
    </row>
    <row r="19"/>
    <row r="20">
      <c r="B20" s="4" t="inlineStr">
        <is>
          <t>El mismo albarán trae los tres tipos a la vez: aceite de oliva, tomate y queso curado al 4 %; solomillo al 10 %; vino y envases al 21 %. Cuadra la columna «Tipo de IVA (%)» de tu ficha con esta tabla antes de escandallar.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dataValidations count="4">
    <dataValidation sqref="A5 A6 A7" showDropDown="0" showInputMessage="0" showErrorMessage="1" allowBlank="1" errorTitle="IVA soportado no válido" error="Elige un valor de la lista: 0.04, 0.1, 0.21" type="list">
      <formula1>"0.04,0.1,0.21"</formula1>
    </dataValidation>
    <dataValidation sqref="G11 G12 G13 G14 G15 G16 G17" showDropDown="0" showInputMessage="0" showErrorMessage="1" allowBlank="1" errorTitle="IVA de compra no válido" error="Elige un valor de la lista: 0.04, 0.1, 0.21" type="list">
      <formula1>"0.04,0.1,0.21"</formula1>
    </dataValidation>
    <dataValidation sqref="C11 C12 C13 C14 C15 C16 C17" showDropDown="0" showInputMessage="0" showErrorMessage="1" allowBlank="1" errorTitle="Cantidad" error="Escribe un número mayor o igual que 0." type="decimal" operator="greaterThanOrEqual">
      <formula1>0</formula1>
    </dataValidation>
    <dataValidation sqref="E11 E12 E13 E14 E15 E16 E17" showDropDown="0" showInputMessage="0" showErrorMessage="1" allowBlank="1" errorTitle="Precio de compra" error="Escribe un número mayor o igual que 0." type="decimal" operator="greaterThanOrEqual">
      <formula1>0</formula1>
    </dataValidation>
  </dataValidations>
  <pageMargins left="0.51" right="0.51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Ficha de Escandallo Base</dc:title>
  <dc:subject xmlns:dc="http://purl.org/dc/elements/1.1/">Guía Food Cost + Ingeniería de Menú · Versión 1.0 · septiembre 2026</dc:subject>
  <dcterms:created xmlns:dcterms="http://purl.org/dc/terms/" xmlns:xsi="http://www.w3.org/2001/XMLSchema-instance" xsi:type="dcterms:W3CDTF">2026-09-03T21:49:57Z</dcterms:created>
  <dcterms:modified xmlns:dcterms="http://purl.org/dc/terms/" xmlns:xsi="http://www.w3.org/2001/XMLSchema-instance" xsi:type="dcterms:W3CDTF">2026-09-03T21:49:57Z</dcterms:modified>
  <cp:lastModifiedBy>AI Chef Pro</cp:lastModifiedBy>
</cp:coreProperties>
</file>