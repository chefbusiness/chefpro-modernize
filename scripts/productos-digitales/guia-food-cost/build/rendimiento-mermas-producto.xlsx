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st de Rendimiento" sheetId="2" state="visible" r:id="rId2"/>
    <sheet xmlns:r="http://schemas.openxmlformats.org/officeDocument/2006/relationships" name="Merma de Cocción" sheetId="3" state="visible" r:id="rId3"/>
    <sheet xmlns:r="http://schemas.openxmlformats.org/officeDocument/2006/relationships" name="Mi Tabla de Mermas" sheetId="4" state="visible" r:id="rId4"/>
  </sheets>
  <definedNames>
    <definedName name="_xlnm._FilterDatabase" localSheetId="1" hidden="1">'Test de Rendimiento'!$A$5:$P$20</definedName>
    <definedName name="_xlnm.Print_Titles" localSheetId="1">'Test de Rendimiento'!$5:$5</definedName>
    <definedName name="_xlnm._FilterDatabase" localSheetId="2" hidden="1">'Merma de Cocción'!$A$5:$L$15</definedName>
    <definedName name="_xlnm.Print_Titles" localSheetId="2">'Merma de Cocción'!$5:$5</definedName>
    <definedName name="_xlnm._FilterDatabase" localSheetId="3" hidden="1">'Mi Tabla de Mermas'!$A$5:$J$23</definedName>
    <definedName name="_xlnm.Print_Titles" localSheetId="3">'Mi Tabla de Mermas'!$5:$5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0 €"/>
    <numFmt numFmtId="166" formatCode="0.0%"/>
  </numFmts>
  <fonts count="7">
    <font>
      <name val="Calibri"/>
      <family val="2"/>
      <color theme="1"/>
      <sz val="11"/>
      <scheme val="minor"/>
    </font>
    <font>
      <b val="1"/>
      <color theme="1"/>
      <sz val="11"/>
    </font>
    <font>
      <b val="1"/>
      <sz val="16"/>
    </font>
    <font>
      <color rgb="00595959"/>
      <sz val="10"/>
    </font>
    <font>
      <b val="1"/>
      <color rgb="00FFFFFF"/>
      <sz val="10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8F5E9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1" fillId="0" borderId="0" pivotButton="0" quotePrefix="0" xfId="0"/>
    <xf numFmtId="0" fontId="0" fillId="3" borderId="0" applyAlignment="1" applyProtection="1" pivotButton="0" quotePrefix="0" xfId="0">
      <alignment horizontal="general" vertical="top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top"/>
    </xf>
    <xf numFmtId="0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4" borderId="0" pivotButton="0" quotePrefix="0" xfId="0"/>
    <xf numFmtId="3" fontId="0" fillId="0" borderId="0" pivotButton="0" quotePrefix="0" xfId="0"/>
    <xf numFmtId="166" fontId="1" fillId="0" borderId="0" pivotButton="0" quotePrefix="0" xfId="0"/>
    <xf numFmtId="0" fontId="0" fillId="3" borderId="0" applyAlignment="1" applyProtection="1" pivotButton="0" quotePrefix="0" xfId="0">
      <alignment horizontal="center" vertical="top"/>
      <protection locked="0" hidden="0"/>
    </xf>
    <xf numFmtId="166" fontId="0" fillId="3" borderId="0" applyProtection="1" pivotButton="0" quotePrefix="0" xfId="0">
      <protection locked="0" hidden="0"/>
    </xf>
    <xf numFmtId="3" fontId="1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9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Rendimiento, Mermas y Coste Neto del Producto</t>
        </is>
      </c>
    </row>
    <row r="2">
      <c r="A2" s="2" t="inlineStr">
        <is>
          <t>AI Chef Pro · aichef.pro — Guía Food Cost + Ingeniería de Menú</t>
        </is>
      </c>
    </row>
    <row r="3"/>
    <row r="4">
      <c r="A4" s="3" t="inlineStr">
        <is>
          <t>Instrucciones de uso</t>
        </is>
      </c>
    </row>
    <row r="5">
      <c r="A5" s="4" t="inlineStr">
        <is>
          <t>1. Hoja «Test de Rendimiento»: pesa el producto entero, límpialo, pesa lo que queda y pesa aparte los subproductos que sí vas a usar.</t>
        </is>
      </c>
    </row>
    <row r="6">
      <c r="A6" s="4" t="inlineStr">
        <is>
          <t>2. El libro te da el rendimiento, la merma, el factor de corrección y el coste NETO por kg limpio, con y sin aprovechar los subproductos.</t>
        </is>
      </c>
    </row>
    <row r="7">
      <c r="A7" s="4" t="inlineStr">
        <is>
          <t>3. Compara ese coste neto con el precio del albarán: la diferencia es lo que de verdad te cuesta el kilo que sale al pase.</t>
        </is>
      </c>
    </row>
    <row r="8">
      <c r="A8" s="4" t="inlineStr">
        <is>
          <t>4. Hoja «Merma de Cocción»: pesa la pieza cruda y ya cocinada y reposada; sale el coste por kg del producto terminado.</t>
        </is>
      </c>
    </row>
    <row r="9">
      <c r="A9" s="4" t="inlineStr">
        <is>
          <t>5. Hoja «Mi Tabla de Mermas»: escribe tu merma medida y la columna «Merma que usas» cambia sola de la referencia a la tuya.</t>
        </is>
      </c>
    </row>
    <row r="10">
      <c r="A10" s="4" t="inlineStr">
        <is>
          <t>6. Lleva la merma de la columna «Merma que usas» a la columna «Merma (%)» de ficha-escandallo-base.xlsx: ahí es donde se convierte en dinero.</t>
        </is>
      </c>
    </row>
    <row r="11"/>
    <row r="12">
      <c r="A12" s="5" t="inlineStr">
        <is>
          <t>De dónde salen las mermas de referencia</t>
        </is>
      </c>
    </row>
    <row r="13">
      <c r="A13" s="4" t="inlineStr">
        <is>
          <t>Tabla orientativa de uso profesional (agregado de tablas de mermas de cocina profesional y del post «Qué son las mermas en cocina» de aichef.pro/blog). No es una tabla oficial: mide la tuya con el test de rendimiento.</t>
        </is>
      </c>
    </row>
    <row r="14"/>
    <row r="15">
      <c r="A15" s="6" t="inlineStr">
        <is>
          <t>Celdas verdes = campos editables</t>
        </is>
      </c>
    </row>
    <row r="16">
      <c r="A16" s="4" t="inlineStr">
        <is>
          <t>Todos los precios de este libro van SIN IVA, igual que en el resto del pack: el IVA soportado de las compras se deduce en el modelo 303, así que es tesorería y no coste.</t>
        </is>
      </c>
    </row>
    <row r="17">
      <c r="A17" s="4" t="inlineStr">
        <is>
          <t>Para editar la estructura o una celda que no esté en verde, desprotege la hoja (sin contraseña).</t>
        </is>
      </c>
    </row>
    <row r="18">
      <c r="A18" s="4" t="inlineStr">
        <is>
          <t>Diseñado por John Guerrero — chef y consultor gastronómico desde 2010 · johnguerrero.es</t>
        </is>
      </c>
    </row>
    <row r="19">
      <c r="A19" s="4" t="inlineStr">
        <is>
          <t>Versión 1.0 · septiembre 2026 · aichef.pro/guia-food-cost-ingenieria-menu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1" right="0.51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1" customWidth="1" min="9" max="9"/>
    <col width="13" customWidth="1" min="10" max="10"/>
    <col width="13" customWidth="1" min="11" max="11"/>
    <col width="13" customWidth="1" min="12" max="12"/>
    <col width="15" customWidth="1" min="13" max="13"/>
    <col width="15" customWidth="1" min="14" max="14"/>
    <col width="14" customWidth="1" min="15" max="15"/>
    <col width="14" customWidth="1" min="16" max="16"/>
  </cols>
  <sheetData>
    <row r="1">
      <c r="A1" s="1" t="inlineStr">
        <is>
          <t>Rendimiento, Mermas y Coste Neto del Producto</t>
        </is>
      </c>
    </row>
    <row r="2">
      <c r="A2" s="2" t="inlineStr">
        <is>
          <t>AI Chef Pro · aichef.pro — Guía Food Cost + Ingeniería de Menú</t>
        </is>
      </c>
    </row>
    <row r="3">
      <c r="B3" s="4" t="inlineStr">
        <is>
          <t>Pesa el producto entero, límpialo, pesa lo que queda y pesa aparte lo que sí vas a usar (espinas, cabezas, carcasas, recortes).</t>
        </is>
      </c>
    </row>
    <row r="4"/>
    <row r="5" ht="42" customHeight="1">
      <c r="A5" s="7" t="inlineStr">
        <is>
          <t>#</t>
        </is>
      </c>
      <c r="B5" s="7" t="inlineStr">
        <is>
          <t>Producto</t>
        </is>
      </c>
      <c r="C5" s="7" t="inlineStr">
        <is>
          <t>Peso bruto (kg)</t>
        </is>
      </c>
      <c r="D5" s="7" t="inlineStr">
        <is>
          <t>Precio/kg bruto sin IVA (€)</t>
        </is>
      </c>
      <c r="E5" s="7" t="inlineStr">
        <is>
          <t>Peso limpio (kg)</t>
        </is>
      </c>
      <c r="F5" s="7" t="inlineStr">
        <is>
          <t>Subproductos aprovechables (kg)</t>
        </is>
      </c>
      <c r="G5" s="7" t="inlineStr">
        <is>
          <t>Valor de uso del subproducto (€/kg)</t>
        </is>
      </c>
      <c r="H5" s="7" t="inlineStr">
        <is>
          <t>Rendimiento (%)</t>
        </is>
      </c>
      <c r="I5" s="7" t="inlineStr">
        <is>
          <t>Merma (%)</t>
        </is>
      </c>
      <c r="J5" s="7" t="inlineStr">
        <is>
          <t>Factor de corrección (1/rendimiento)</t>
        </is>
      </c>
      <c r="K5" s="7" t="inlineStr">
        <is>
          <t>Coste de compra (€)</t>
        </is>
      </c>
      <c r="L5" s="7" t="inlineStr">
        <is>
          <t>Valor de los subproductos (€)</t>
        </is>
      </c>
      <c r="M5" s="7" t="inlineStr">
        <is>
          <t>Coste neto €/kg limpio SIN aprovechar</t>
        </is>
      </c>
      <c r="N5" s="7" t="inlineStr">
        <is>
          <t>Coste neto €/kg limpio APROVECHANDO</t>
        </is>
      </c>
      <c r="O5" s="7" t="inlineStr">
        <is>
          <t>Ahorro por aprovechar (€/kg)</t>
        </is>
      </c>
      <c r="P5" s="7" t="inlineStr">
        <is>
          <t>Sobrecoste sobre el precio bruto (€/kg)</t>
        </is>
      </c>
    </row>
    <row r="6">
      <c r="A6" s="8" t="n">
        <v>1</v>
      </c>
      <c r="B6" s="9" t="inlineStr">
        <is>
          <t>Lubina entera (1,2 kg)</t>
        </is>
      </c>
      <c r="C6" s="10" t="n">
        <v>1.2</v>
      </c>
      <c r="D6" s="11" t="n">
        <v>14.9</v>
      </c>
      <c r="E6" s="10" t="n">
        <v>0.62</v>
      </c>
      <c r="F6" s="10" t="n">
        <v>0.3</v>
      </c>
      <c r="G6" s="11" t="n">
        <v>2.5</v>
      </c>
      <c r="H6" s="12">
        <f>IFERROR(IF(OR($C6="",$E6="",$C6=0),"",$E6/$C6),"")</f>
        <v>0.5166666666666667</v>
      </c>
      <c r="I6" s="12">
        <f>IFERROR(IF($H6="","",1-$H6),"")</f>
        <v>0.4833333333333333</v>
      </c>
      <c r="J6" s="13">
        <f>IFERROR(IF(OR($H6="",$H6=0),"",1/$H6),"")</f>
        <v>1.9354838709677418</v>
      </c>
      <c r="K6" s="14">
        <f>IFERROR(IF(OR($C6="",$D6=""),"",$C6*$D6),"")</f>
        <v>17.88</v>
      </c>
      <c r="L6" s="14">
        <f>IFERROR(IF(OR($F6="",$G6=""),"",$F6*$G6),"")</f>
        <v>0.75</v>
      </c>
      <c r="M6" s="14">
        <f>IFERROR(IF(OR($K6="",$E6="",$E6=0),"",$K6/$E6),"")</f>
        <v>28.838709677419352</v>
      </c>
      <c r="N6" s="14">
        <f>IFERROR(IF(OR($K6="",$E6="",$E6=0),"",($K6-IF($L6="",0,$L6))/$E6),"")</f>
        <v>27.629032258064516</v>
      </c>
      <c r="O6" s="14">
        <f>IFERROR(IF(OR($M6="",$N6=""),"",$M6-$N6),"")</f>
        <v>1.2096774193548363</v>
      </c>
      <c r="P6" s="14">
        <f>IFERROR(IF(OR($N6="",$D6=""),"",$N6-$D6),"")</f>
        <v>12.729032258064516</v>
      </c>
    </row>
    <row r="7">
      <c r="A7" s="8" t="n">
        <v>2</v>
      </c>
      <c r="B7" s="9" t="inlineStr">
        <is>
          <t>Merluza entera</t>
        </is>
      </c>
      <c r="C7" s="10" t="n">
        <v>2.4</v>
      </c>
      <c r="D7" s="11" t="n">
        <v>11.8</v>
      </c>
      <c r="E7" s="10" t="n">
        <v>1.3</v>
      </c>
      <c r="F7" s="10" t="n">
        <v>0.55</v>
      </c>
      <c r="G7" s="11" t="n">
        <v>2.5</v>
      </c>
      <c r="H7" s="12">
        <f>IFERROR(IF(OR($C7="",$E7="",$C7=0),"",$E7/$C7),"")</f>
        <v>0.5416666666666667</v>
      </c>
      <c r="I7" s="12">
        <f>IFERROR(IF($H7="","",1-$H7),"")</f>
        <v>0.45833333333333326</v>
      </c>
      <c r="J7" s="13">
        <f>IFERROR(IF(OR($H7="",$H7=0),"",1/$H7),"")</f>
        <v>1.8461538461538458</v>
      </c>
      <c r="K7" s="14">
        <f>IFERROR(IF(OR($C7="",$D7=""),"",$C7*$D7),"")</f>
        <v>28.32</v>
      </c>
      <c r="L7" s="14">
        <f>IFERROR(IF(OR($F7="",$G7=""),"",$F7*$G7),"")</f>
        <v>1.375</v>
      </c>
      <c r="M7" s="14">
        <f>IFERROR(IF(OR($K7="",$E7="",$E7=0),"",$K7/$E7),"")</f>
        <v>21.784615384615385</v>
      </c>
      <c r="N7" s="14">
        <f>IFERROR(IF(OR($K7="",$E7="",$E7=0),"",($K7-IF($L7="",0,$L7))/$E7),"")</f>
        <v>20.726923076923075</v>
      </c>
      <c r="O7" s="14">
        <f>IFERROR(IF(OR($M7="",$N7=""),"",$M7-$N7),"")</f>
        <v>1.0576923076923102</v>
      </c>
      <c r="P7" s="14">
        <f>IFERROR(IF(OR($N7="",$D7=""),"",$N7-$D7),"")</f>
        <v>8.926923076923075</v>
      </c>
    </row>
    <row r="8">
      <c r="A8" s="8" t="n">
        <v>3</v>
      </c>
      <c r="B8" s="9" t="inlineStr">
        <is>
          <t>Solomillo de vacuno (pieza)</t>
        </is>
      </c>
      <c r="C8" s="10" t="n">
        <v>2.1</v>
      </c>
      <c r="D8" s="11" t="n">
        <v>26.5</v>
      </c>
      <c r="E8" s="10" t="n">
        <v>1.85</v>
      </c>
      <c r="F8" s="10" t="n">
        <v>0.12</v>
      </c>
      <c r="G8" s="11" t="n">
        <v>6</v>
      </c>
      <c r="H8" s="12">
        <f>IFERROR(IF(OR($C8="",$E8="",$C8=0),"",$E8/$C8),"")</f>
        <v>0.8809523809523809</v>
      </c>
      <c r="I8" s="12">
        <f>IFERROR(IF($H8="","",1-$H8),"")</f>
        <v>0.11904761904761907</v>
      </c>
      <c r="J8" s="13">
        <f>IFERROR(IF(OR($H8="",$H8=0),"",1/$H8),"")</f>
        <v>1.135135135135135</v>
      </c>
      <c r="K8" s="14">
        <f>IFERROR(IF(OR($C8="",$D8=""),"",$C8*$D8),"")</f>
        <v>55.650000000000006</v>
      </c>
      <c r="L8" s="14">
        <f>IFERROR(IF(OR($F8="",$G8=""),"",$F8*$G8),"")</f>
        <v>0.72</v>
      </c>
      <c r="M8" s="14">
        <f>IFERROR(IF(OR($K8="",$E8="",$E8=0),"",$K8/$E8),"")</f>
        <v>30.081081081081084</v>
      </c>
      <c r="N8" s="14">
        <f>IFERROR(IF(OR($K8="",$E8="",$E8=0),"",($K8-IF($L8="",0,$L8))/$E8),"")</f>
        <v>29.691891891891895</v>
      </c>
      <c r="O8" s="14">
        <f>IFERROR(IF(OR($M8="",$N8=""),"",$M8-$N8),"")</f>
        <v>0.38918918918918877</v>
      </c>
      <c r="P8" s="14">
        <f>IFERROR(IF(OR($N8="",$D8=""),"",$N8-$D8),"")</f>
        <v>3.1918918918918955</v>
      </c>
    </row>
    <row r="9">
      <c r="A9" s="8" t="n">
        <v>4</v>
      </c>
      <c r="B9" s="9" t="inlineStr">
        <is>
          <t>Pollo de corral entero</t>
        </is>
      </c>
      <c r="C9" s="10" t="n">
        <v>2.2</v>
      </c>
      <c r="D9" s="11" t="n">
        <v>5.4</v>
      </c>
      <c r="E9" s="10" t="n">
        <v>1.5</v>
      </c>
      <c r="F9" s="10" t="n">
        <v>0.45</v>
      </c>
      <c r="G9" s="11" t="n">
        <v>1.8</v>
      </c>
      <c r="H9" s="12">
        <f>IFERROR(IF(OR($C9="",$E9="",$C9=0),"",$E9/$C9),"")</f>
        <v>0.6818181818181818</v>
      </c>
      <c r="I9" s="12">
        <f>IFERROR(IF($H9="","",1-$H9),"")</f>
        <v>0.31818181818181823</v>
      </c>
      <c r="J9" s="13">
        <f>IFERROR(IF(OR($H9="",$H9=0),"",1/$H9),"")</f>
        <v>1.4666666666666668</v>
      </c>
      <c r="K9" s="14">
        <f>IFERROR(IF(OR($C9="",$D9=""),"",$C9*$D9),"")</f>
        <v>11.880000000000003</v>
      </c>
      <c r="L9" s="14">
        <f>IFERROR(IF(OR($F9="",$G9=""),"",$F9*$G9),"")</f>
        <v>0.81</v>
      </c>
      <c r="M9" s="14">
        <f>IFERROR(IF(OR($K9="",$E9="",$E9=0),"",$K9/$E9),"")</f>
        <v>7.920000000000002</v>
      </c>
      <c r="N9" s="14">
        <f>IFERROR(IF(OR($K9="",$E9="",$E9=0),"",($K9-IF($L9="",0,$L9))/$E9),"")</f>
        <v>7.380000000000002</v>
      </c>
      <c r="O9" s="14">
        <f>IFERROR(IF(OR($M9="",$N9=""),"",$M9-$N9),"")</f>
        <v>0.54</v>
      </c>
      <c r="P9" s="14">
        <f>IFERROR(IF(OR($N9="",$D9=""),"",$N9-$D9),"")</f>
        <v>1.9800000000000013</v>
      </c>
    </row>
    <row r="10">
      <c r="A10" s="8" t="n">
        <v>5</v>
      </c>
      <c r="B10" s="9" t="inlineStr">
        <is>
          <t>Cordero (paletilla)</t>
        </is>
      </c>
      <c r="C10" s="10" t="n">
        <v>1.6</v>
      </c>
      <c r="D10" s="11" t="n">
        <v>13.2</v>
      </c>
      <c r="E10" s="10" t="n">
        <v>1.35</v>
      </c>
      <c r="F10" s="10" t="n">
        <v>0</v>
      </c>
      <c r="G10" s="11" t="n">
        <v>0</v>
      </c>
      <c r="H10" s="12">
        <f>IFERROR(IF(OR($C10="",$E10="",$C10=0),"",$E10/$C10),"")</f>
        <v>0.84375</v>
      </c>
      <c r="I10" s="12">
        <f>IFERROR(IF($H10="","",1-$H10),"")</f>
        <v>0.15625</v>
      </c>
      <c r="J10" s="13">
        <f>IFERROR(IF(OR($H10="",$H10=0),"",1/$H10),"")</f>
        <v>1.1851851851851851</v>
      </c>
      <c r="K10" s="14">
        <f>IFERROR(IF(OR($C10="",$D10=""),"",$C10*$D10),"")</f>
        <v>21.12</v>
      </c>
      <c r="L10" s="14">
        <f>IFERROR(IF(OR($F10="",$G10=""),"",$F10*$G10),"")</f>
        <v>0.0</v>
      </c>
      <c r="M10" s="14">
        <f>IFERROR(IF(OR($K10="",$E10="",$E10=0),"",$K10/$E10),"")</f>
        <v>15.644444444444444</v>
      </c>
      <c r="N10" s="14">
        <f>IFERROR(IF(OR($K10="",$E10="",$E10=0),"",($K10-IF($L10="",0,$L10))/$E10),"")</f>
        <v>15.644444444444444</v>
      </c>
      <c r="O10" s="14">
        <f>IFERROR(IF(OR($M10="",$N10=""),"",$M10-$N10),"")</f>
        <v>0.0</v>
      </c>
      <c r="P10" s="14">
        <f>IFERROR(IF(OR($N10="",$D10=""),"",$N10-$D10),"")</f>
        <v>2.4444444444444446</v>
      </c>
    </row>
    <row r="11">
      <c r="A11" s="8" t="n">
        <v>6</v>
      </c>
      <c r="B11" s="9" t="inlineStr">
        <is>
          <t>Tomate rosa</t>
        </is>
      </c>
      <c r="C11" s="10" t="n">
        <v>5</v>
      </c>
      <c r="D11" s="11" t="n">
        <v>3.8</v>
      </c>
      <c r="E11" s="10" t="n">
        <v>4.4</v>
      </c>
      <c r="F11" s="10" t="n">
        <v>0</v>
      </c>
      <c r="G11" s="11" t="n">
        <v>0</v>
      </c>
      <c r="H11" s="12">
        <f>IFERROR(IF(OR($C11="",$E11="",$C11=0),"",$E11/$C11),"")</f>
        <v>0.8800000000000001</v>
      </c>
      <c r="I11" s="12">
        <f>IFERROR(IF($H11="","",1-$H11),"")</f>
        <v>0.11999999999999988</v>
      </c>
      <c r="J11" s="13">
        <f>IFERROR(IF(OR($H11="",$H11=0),"",1/$H11),"")</f>
        <v>1.1363636363636362</v>
      </c>
      <c r="K11" s="14">
        <f>IFERROR(IF(OR($C11="",$D11=""),"",$C11*$D11),"")</f>
        <v>19.0</v>
      </c>
      <c r="L11" s="14">
        <f>IFERROR(IF(OR($F11="",$G11=""),"",$F11*$G11),"")</f>
        <v>0.0</v>
      </c>
      <c r="M11" s="14">
        <f>IFERROR(IF(OR($K11="",$E11="",$E11=0),"",$K11/$E11),"")</f>
        <v>4.3181818181818175</v>
      </c>
      <c r="N11" s="14">
        <f>IFERROR(IF(OR($K11="",$E11="",$E11=0),"",($K11-IF($L11="",0,$L11))/$E11),"")</f>
        <v>4.3181818181818175</v>
      </c>
      <c r="O11" s="14">
        <f>IFERROR(IF(OR($M11="",$N11=""),"",$M11-$N11),"")</f>
        <v>0.0</v>
      </c>
      <c r="P11" s="14">
        <f>IFERROR(IF(OR($N11="",$D11=""),"",$N11-$D11),"")</f>
        <v>0.5181818181818176</v>
      </c>
    </row>
    <row r="12">
      <c r="A12" s="8" t="n">
        <v>7</v>
      </c>
      <c r="B12" s="9" t="inlineStr">
        <is>
          <t>Alcachofa</t>
        </is>
      </c>
      <c r="C12" s="10" t="n">
        <v>5</v>
      </c>
      <c r="D12" s="11" t="n">
        <v>2.9</v>
      </c>
      <c r="E12" s="10" t="n">
        <v>1.9</v>
      </c>
      <c r="F12" s="10" t="n">
        <v>0</v>
      </c>
      <c r="G12" s="11" t="n">
        <v>0</v>
      </c>
      <c r="H12" s="12">
        <f>IFERROR(IF(OR($C12="",$E12="",$C12=0),"",$E12/$C12),"")</f>
        <v>0.38</v>
      </c>
      <c r="I12" s="12">
        <f>IFERROR(IF($H12="","",1-$H12),"")</f>
        <v>0.62</v>
      </c>
      <c r="J12" s="13">
        <f>IFERROR(IF(OR($H12="",$H12=0),"",1/$H12),"")</f>
        <v>2.6315789473684212</v>
      </c>
      <c r="K12" s="14">
        <f>IFERROR(IF(OR($C12="",$D12=""),"",$C12*$D12),"")</f>
        <v>14.5</v>
      </c>
      <c r="L12" s="14">
        <f>IFERROR(IF(OR($F12="",$G12=""),"",$F12*$G12),"")</f>
        <v>0.0</v>
      </c>
      <c r="M12" s="14">
        <f>IFERROR(IF(OR($K12="",$E12="",$E12=0),"",$K12/$E12),"")</f>
        <v>7.631578947368421</v>
      </c>
      <c r="N12" s="14">
        <f>IFERROR(IF(OR($K12="",$E12="",$E12=0),"",($K12-IF($L12="",0,$L12))/$E12),"")</f>
        <v>7.631578947368421</v>
      </c>
      <c r="O12" s="14">
        <f>IFERROR(IF(OR($M12="",$N12=""),"",$M12-$N12),"")</f>
        <v>0.0</v>
      </c>
      <c r="P12" s="14">
        <f>IFERROR(IF(OR($N12="",$D12=""),"",$N12-$D12),"")</f>
        <v>4.731578947368421</v>
      </c>
    </row>
    <row r="13">
      <c r="A13" s="8" t="n">
        <v>8</v>
      </c>
      <c r="B13" s="9" t="inlineStr">
        <is>
          <t>Boniato</t>
        </is>
      </c>
      <c r="C13" s="10" t="n">
        <v>5</v>
      </c>
      <c r="D13" s="11" t="n">
        <v>1.6</v>
      </c>
      <c r="E13" s="10" t="n">
        <v>4.1</v>
      </c>
      <c r="F13" s="10" t="n">
        <v>0</v>
      </c>
      <c r="G13" s="11" t="n">
        <v>0</v>
      </c>
      <c r="H13" s="12">
        <f>IFERROR(IF(OR($C13="",$E13="",$C13=0),"",$E13/$C13),"")</f>
        <v>0.82</v>
      </c>
      <c r="I13" s="12">
        <f>IFERROR(IF($H13="","",1-$H13),"")</f>
        <v>0.18000000000000005</v>
      </c>
      <c r="J13" s="13">
        <f>IFERROR(IF(OR($H13="",$H13=0),"",1/$H13),"")</f>
        <v>1.2195121951219512</v>
      </c>
      <c r="K13" s="14">
        <f>IFERROR(IF(OR($C13="",$D13=""),"",$C13*$D13),"")</f>
        <v>8.0</v>
      </c>
      <c r="L13" s="14">
        <f>IFERROR(IF(OR($F13="",$G13=""),"",$F13*$G13),"")</f>
        <v>0.0</v>
      </c>
      <c r="M13" s="14">
        <f>IFERROR(IF(OR($K13="",$E13="",$E13=0),"",$K13/$E13),"")</f>
        <v>1.9512195121951221</v>
      </c>
      <c r="N13" s="14">
        <f>IFERROR(IF(OR($K13="",$E13="",$E13=0),"",($K13-IF($L13="",0,$L13))/$E13),"")</f>
        <v>1.9512195121951221</v>
      </c>
      <c r="O13" s="14">
        <f>IFERROR(IF(OR($M13="",$N13=""),"",$M13-$N13),"")</f>
        <v>0.0</v>
      </c>
      <c r="P13" s="14">
        <f>IFERROR(IF(OR($N13="",$D13=""),"",$N13-$D13),"")</f>
        <v>0.35121951219512204</v>
      </c>
    </row>
    <row r="14">
      <c r="A14" s="8" t="n">
        <v>9</v>
      </c>
      <c r="B14" s="9" t="inlineStr">
        <is>
          <t>Mejillón (con concha)</t>
        </is>
      </c>
      <c r="C14" s="10" t="n">
        <v>5</v>
      </c>
      <c r="D14" s="11" t="n">
        <v>2.6</v>
      </c>
      <c r="E14" s="10" t="n">
        <v>1</v>
      </c>
      <c r="F14" s="10" t="n">
        <v>0</v>
      </c>
      <c r="G14" s="11" t="n">
        <v>0</v>
      </c>
      <c r="H14" s="12">
        <f>IFERROR(IF(OR($C14="",$E14="",$C14=0),"",$E14/$C14),"")</f>
        <v>0.2</v>
      </c>
      <c r="I14" s="12">
        <f>IFERROR(IF($H14="","",1-$H14),"")</f>
        <v>0.8</v>
      </c>
      <c r="J14" s="13">
        <f>IFERROR(IF(OR($H14="",$H14=0),"",1/$H14),"")</f>
        <v>5.0</v>
      </c>
      <c r="K14" s="14">
        <f>IFERROR(IF(OR($C14="",$D14=""),"",$C14*$D14),"")</f>
        <v>13.0</v>
      </c>
      <c r="L14" s="14">
        <f>IFERROR(IF(OR($F14="",$G14=""),"",$F14*$G14),"")</f>
        <v>0.0</v>
      </c>
      <c r="M14" s="14">
        <f>IFERROR(IF(OR($K14="",$E14="",$E14=0),"",$K14/$E14),"")</f>
        <v>13.0</v>
      </c>
      <c r="N14" s="14">
        <f>IFERROR(IF(OR($K14="",$E14="",$E14=0),"",($K14-IF($L14="",0,$L14))/$E14),"")</f>
        <v>13.0</v>
      </c>
      <c r="O14" s="14">
        <f>IFERROR(IF(OR($M14="",$N14=""),"",$M14-$N14),"")</f>
        <v>0.0</v>
      </c>
      <c r="P14" s="14">
        <f>IFERROR(IF(OR($N14="",$D14=""),"",$N14-$D14),"")</f>
        <v>10.4</v>
      </c>
    </row>
    <row r="15">
      <c r="A15" s="8" t="n">
        <v>10</v>
      </c>
      <c r="B15" s="9" t="inlineStr">
        <is>
          <t>Gamba blanca (entera)</t>
        </is>
      </c>
      <c r="C15" s="10" t="n">
        <v>2</v>
      </c>
      <c r="D15" s="11" t="n">
        <v>24</v>
      </c>
      <c r="E15" s="10" t="n">
        <v>1.05</v>
      </c>
      <c r="F15" s="10" t="n">
        <v>0.5</v>
      </c>
      <c r="G15" s="11" t="n">
        <v>3</v>
      </c>
      <c r="H15" s="12">
        <f>IFERROR(IF(OR($C15="",$E15="",$C15=0),"",$E15/$C15),"")</f>
        <v>0.525</v>
      </c>
      <c r="I15" s="12">
        <f>IFERROR(IF($H15="","",1-$H15),"")</f>
        <v>0.475</v>
      </c>
      <c r="J15" s="13">
        <f>IFERROR(IF(OR($H15="",$H15=0),"",1/$H15),"")</f>
        <v>1.9047619047619047</v>
      </c>
      <c r="K15" s="14">
        <f>IFERROR(IF(OR($C15="",$D15=""),"",$C15*$D15),"")</f>
        <v>48.0</v>
      </c>
      <c r="L15" s="14">
        <f>IFERROR(IF(OR($F15="",$G15=""),"",$F15*$G15),"")</f>
        <v>1.5</v>
      </c>
      <c r="M15" s="14">
        <f>IFERROR(IF(OR($K15="",$E15="",$E15=0),"",$K15/$E15),"")</f>
        <v>45.714285714285715</v>
      </c>
      <c r="N15" s="14">
        <f>IFERROR(IF(OR($K15="",$E15="",$E15=0),"",($K15-IF($L15="",0,$L15))/$E15),"")</f>
        <v>44.285714285714285</v>
      </c>
      <c r="O15" s="14">
        <f>IFERROR(IF(OR($M15="",$N15=""),"",$M15-$N15),"")</f>
        <v>1.4285714285714306</v>
      </c>
      <c r="P15" s="14">
        <f>IFERROR(IF(OR($N15="",$D15=""),"",$N15-$D15),"")</f>
        <v>20.285714285714285</v>
      </c>
    </row>
    <row r="16">
      <c r="A16" s="8" t="n">
        <v>11</v>
      </c>
      <c r="B16" s="9" t="n"/>
      <c r="C16" s="10" t="n"/>
      <c r="D16" s="11" t="n"/>
      <c r="E16" s="10" t="n"/>
      <c r="F16" s="10" t="n"/>
      <c r="G16" s="11" t="n"/>
      <c r="H16" s="12">
        <f>IFERROR(IF(OR($C16="",$E16="",$C16=0),"",$E16/$C16),"")</f>
        <v/>
      </c>
      <c r="I16" s="12">
        <f>IFERROR(IF($H16="","",1-$H16),"")</f>
        <v/>
      </c>
      <c r="J16" s="13">
        <f>IFERROR(IF(OR($H16="",$H16=0),"",1/$H16),"")</f>
        <v/>
      </c>
      <c r="K16" s="14">
        <f>IFERROR(IF(OR($C16="",$D16=""),"",$C16*$D16),"")</f>
        <v/>
      </c>
      <c r="L16" s="14">
        <f>IFERROR(IF(OR($F16="",$G16=""),"",$F16*$G16),"")</f>
        <v/>
      </c>
      <c r="M16" s="14">
        <f>IFERROR(IF(OR($K16="",$E16="",$E16=0),"",$K16/$E16),"")</f>
        <v/>
      </c>
      <c r="N16" s="14">
        <f>IFERROR(IF(OR($K16="",$E16="",$E16=0),"",($K16-IF($L16="",0,$L16))/$E16),"")</f>
        <v/>
      </c>
      <c r="O16" s="14">
        <f>IFERROR(IF(OR($M16="",$N16=""),"",$M16-$N16),"")</f>
        <v/>
      </c>
      <c r="P16" s="14">
        <f>IFERROR(IF(OR($N16="",$D16=""),"",$N16-$D16),"")</f>
        <v/>
      </c>
    </row>
    <row r="17">
      <c r="A17" s="8" t="n">
        <v>12</v>
      </c>
      <c r="B17" s="9" t="n"/>
      <c r="C17" s="10" t="n"/>
      <c r="D17" s="11" t="n"/>
      <c r="E17" s="10" t="n"/>
      <c r="F17" s="10" t="n"/>
      <c r="G17" s="11" t="n"/>
      <c r="H17" s="12">
        <f>IFERROR(IF(OR($C17="",$E17="",$C17=0),"",$E17/$C17),"")</f>
        <v/>
      </c>
      <c r="I17" s="12">
        <f>IFERROR(IF($H17="","",1-$H17),"")</f>
        <v/>
      </c>
      <c r="J17" s="13">
        <f>IFERROR(IF(OR($H17="",$H17=0),"",1/$H17),"")</f>
        <v/>
      </c>
      <c r="K17" s="14">
        <f>IFERROR(IF(OR($C17="",$D17=""),"",$C17*$D17),"")</f>
        <v/>
      </c>
      <c r="L17" s="14">
        <f>IFERROR(IF(OR($F17="",$G17=""),"",$F17*$G17),"")</f>
        <v/>
      </c>
      <c r="M17" s="14">
        <f>IFERROR(IF(OR($K17="",$E17="",$E17=0),"",$K17/$E17),"")</f>
        <v/>
      </c>
      <c r="N17" s="14">
        <f>IFERROR(IF(OR($K17="",$E17="",$E17=0),"",($K17-IF($L17="",0,$L17))/$E17),"")</f>
        <v/>
      </c>
      <c r="O17" s="14">
        <f>IFERROR(IF(OR($M17="",$N17=""),"",$M17-$N17),"")</f>
        <v/>
      </c>
      <c r="P17" s="14">
        <f>IFERROR(IF(OR($N17="",$D17=""),"",$N17-$D17),"")</f>
        <v/>
      </c>
    </row>
    <row r="18">
      <c r="A18" s="8" t="n">
        <v>13</v>
      </c>
      <c r="B18" s="9" t="n"/>
      <c r="C18" s="10" t="n"/>
      <c r="D18" s="11" t="n"/>
      <c r="E18" s="10" t="n"/>
      <c r="F18" s="10" t="n"/>
      <c r="G18" s="11" t="n"/>
      <c r="H18" s="12">
        <f>IFERROR(IF(OR($C18="",$E18="",$C18=0),"",$E18/$C18),"")</f>
        <v/>
      </c>
      <c r="I18" s="12">
        <f>IFERROR(IF($H18="","",1-$H18),"")</f>
        <v/>
      </c>
      <c r="J18" s="13">
        <f>IFERROR(IF(OR($H18="",$H18=0),"",1/$H18),"")</f>
        <v/>
      </c>
      <c r="K18" s="14">
        <f>IFERROR(IF(OR($C18="",$D18=""),"",$C18*$D18),"")</f>
        <v/>
      </c>
      <c r="L18" s="14">
        <f>IFERROR(IF(OR($F18="",$G18=""),"",$F18*$G18),"")</f>
        <v/>
      </c>
      <c r="M18" s="14">
        <f>IFERROR(IF(OR($K18="",$E18="",$E18=0),"",$K18/$E18),"")</f>
        <v/>
      </c>
      <c r="N18" s="14">
        <f>IFERROR(IF(OR($K18="",$E18="",$E18=0),"",($K18-IF($L18="",0,$L18))/$E18),"")</f>
        <v/>
      </c>
      <c r="O18" s="14">
        <f>IFERROR(IF(OR($M18="",$N18=""),"",$M18-$N18),"")</f>
        <v/>
      </c>
      <c r="P18" s="14">
        <f>IFERROR(IF(OR($N18="",$D18=""),"",$N18-$D18),"")</f>
        <v/>
      </c>
    </row>
    <row r="19">
      <c r="A19" s="8" t="n">
        <v>14</v>
      </c>
      <c r="B19" s="9" t="n"/>
      <c r="C19" s="10" t="n"/>
      <c r="D19" s="11" t="n"/>
      <c r="E19" s="10" t="n"/>
      <c r="F19" s="10" t="n"/>
      <c r="G19" s="11" t="n"/>
      <c r="H19" s="12">
        <f>IFERROR(IF(OR($C19="",$E19="",$C19=0),"",$E19/$C19),"")</f>
        <v/>
      </c>
      <c r="I19" s="12">
        <f>IFERROR(IF($H19="","",1-$H19),"")</f>
        <v/>
      </c>
      <c r="J19" s="13">
        <f>IFERROR(IF(OR($H19="",$H19=0),"",1/$H19),"")</f>
        <v/>
      </c>
      <c r="K19" s="14">
        <f>IFERROR(IF(OR($C19="",$D19=""),"",$C19*$D19),"")</f>
        <v/>
      </c>
      <c r="L19" s="14">
        <f>IFERROR(IF(OR($F19="",$G19=""),"",$F19*$G19),"")</f>
        <v/>
      </c>
      <c r="M19" s="14">
        <f>IFERROR(IF(OR($K19="",$E19="",$E19=0),"",$K19/$E19),"")</f>
        <v/>
      </c>
      <c r="N19" s="14">
        <f>IFERROR(IF(OR($K19="",$E19="",$E19=0),"",($K19-IF($L19="",0,$L19))/$E19),"")</f>
        <v/>
      </c>
      <c r="O19" s="14">
        <f>IFERROR(IF(OR($M19="",$N19=""),"",$M19-$N19),"")</f>
        <v/>
      </c>
      <c r="P19" s="14">
        <f>IFERROR(IF(OR($N19="",$D19=""),"",$N19-$D19),"")</f>
        <v/>
      </c>
    </row>
    <row r="20">
      <c r="A20" s="8" t="n">
        <v>15</v>
      </c>
      <c r="B20" s="9" t="n"/>
      <c r="C20" s="10" t="n"/>
      <c r="D20" s="11" t="n"/>
      <c r="E20" s="10" t="n"/>
      <c r="F20" s="10" t="n"/>
      <c r="G20" s="11" t="n"/>
      <c r="H20" s="12">
        <f>IFERROR(IF(OR($C20="",$E20="",$C20=0),"",$E20/$C20),"")</f>
        <v/>
      </c>
      <c r="I20" s="12">
        <f>IFERROR(IF($H20="","",1-$H20),"")</f>
        <v/>
      </c>
      <c r="J20" s="13">
        <f>IFERROR(IF(OR($H20="",$H20=0),"",1/$H20),"")</f>
        <v/>
      </c>
      <c r="K20" s="14">
        <f>IFERROR(IF(OR($C20="",$D20=""),"",$C20*$D20),"")</f>
        <v/>
      </c>
      <c r="L20" s="14">
        <f>IFERROR(IF(OR($F20="",$G20=""),"",$F20*$G20),"")</f>
        <v/>
      </c>
      <c r="M20" s="14">
        <f>IFERROR(IF(OR($K20="",$E20="",$E20=0),"",$K20/$E20),"")</f>
        <v/>
      </c>
      <c r="N20" s="14">
        <f>IFERROR(IF(OR($K20="",$E20="",$E20=0),"",($K20-IF($L20="",0,$L20))/$E20),"")</f>
        <v/>
      </c>
      <c r="O20" s="14">
        <f>IFERROR(IF(OR($M20="",$N20=""),"",$M20-$N20),"")</f>
        <v/>
      </c>
      <c r="P20" s="14">
        <f>IFERROR(IF(OR($N20="",$D20=""),"",$N20-$D20),"")</f>
        <v/>
      </c>
    </row>
    <row r="21"/>
    <row r="22">
      <c r="B22" s="15" t="inlineStr">
        <is>
          <t>RESUMEN — lo calcula el libro</t>
        </is>
      </c>
      <c r="C22" s="15" t="n"/>
      <c r="D22" s="15" t="n"/>
      <c r="E22" s="15" t="n"/>
      <c r="F22" s="15" t="n"/>
      <c r="G22" s="15" t="n"/>
      <c r="H22" s="15" t="n"/>
    </row>
    <row r="23">
      <c r="B23" t="inlineStr">
        <is>
          <t>Productos medidos (n.º)</t>
        </is>
      </c>
      <c r="E23" s="16">
        <f>IF(COUNTIF($E$6:$E$20,"&gt;0")=0,"",COUNTIF($E$6:$E$20,"&gt;0"))</f>
        <v>10.0</v>
      </c>
    </row>
    <row r="24">
      <c r="B24" t="inlineStr">
        <is>
          <t>Peso bruto total comprado (kg)</t>
        </is>
      </c>
      <c r="E24" s="13">
        <f>IF(COUNTIF($C$6:$C$20,"&gt;0")=0,"",SUM($C$6:$C$20))</f>
        <v>31.5</v>
      </c>
    </row>
    <row r="25">
      <c r="B25" t="inlineStr">
        <is>
          <t>Peso limpio total (kg)</t>
        </is>
      </c>
      <c r="E25" s="13">
        <f>IF(COUNTIF($E$6:$E$20,"&gt;0")=0,"",SUM($E$6:$E$20))</f>
        <v>19.07</v>
      </c>
    </row>
    <row r="26">
      <c r="B26" s="5" t="inlineStr">
        <is>
          <t>Rendimiento medio ponderado (%)</t>
        </is>
      </c>
      <c r="E26" s="17">
        <f>IFERROR(IF(SUM($C$6:$C$20)=0,"",SUM($E$6:$E$20)/SUM($C$6:$C$20)),"")</f>
        <v>0.6053968253968254</v>
      </c>
    </row>
    <row r="27">
      <c r="B27" s="5" t="inlineStr">
        <is>
          <t>Merma media ponderada (%)</t>
        </is>
      </c>
      <c r="E27" s="17">
        <f>IFERROR(IF($E$26="","",1-$E$26),"")</f>
        <v>0.3946031746031746</v>
      </c>
    </row>
    <row r="28">
      <c r="B28" t="inlineStr">
        <is>
          <t>Coste total de compra (€)</t>
        </is>
      </c>
      <c r="E28" s="14">
        <f>IF(COUNTIF($K$6:$K$20,"&gt;0")=0,"",SUM($K$6:$K$20))</f>
        <v>237.35000000000002</v>
      </c>
    </row>
    <row r="29">
      <c r="B29" t="inlineStr">
        <is>
          <t>Valor de uso de los subproductos aprovechables (€)</t>
        </is>
      </c>
      <c r="E29" s="14">
        <f>IF(COUNTIF($L$6:$L$20,"&gt;0")=0,"",SUM($L$6:$L$20))</f>
        <v>5.154999999999999</v>
      </c>
    </row>
    <row r="30">
      <c r="B30" t="inlineStr">
        <is>
          <t>Ahorro medio por aprovechar los subproductos (€/kg limpio)</t>
        </is>
      </c>
      <c r="E30" s="14">
        <f>IFERROR(IF(OR($E$29="",$E$25="",$E$25=0),"",$E$29/$E$25),"")</f>
        <v>0.2703198741478762</v>
      </c>
      <c r="I30" s="4" t="inlineStr">
        <is>
          <t>Si este ahorro no compensa las horas de despiece, compra el producto ya limpio y quédate con el rendimiento del proveedor.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5:P20"/>
  <dataValidations count="5">
    <dataValidation sqref="C6 C7 C8 C9 C10 C11 C12 C13 C14 C15 C16 C17 C18 C19 C20" showDropDown="0" showInputMessage="1" showErrorMessage="1" allowBlank="1" errorTitle="Peso bruto" error="Escribe un número mayor o igual que 0." promptTitle="Peso bruto" prompt="El peso del producto tal y como llega, en kg." type="decimal" operator="greaterThanOrEqual">
      <formula1>0</formula1>
    </dataValidation>
    <dataValidation sqref="E6 E7 E8 E9 E10 E11 E12 E13 E14 E15 E16 E17 E18 E19 E20" showDropDown="0" showInputMessage="1" showErrorMessage="1" allowBlank="1" errorTitle="Peso limpio" error="Escribe un número mayor o igual que 0." promptTitle="Peso limpio" prompt="Lo que queda listo para porcionar, en kg." type="decimal" operator="greaterThanOrEqual">
      <formula1>0</formula1>
    </dataValidation>
    <dataValidation sqref="F6 F7 F8 F9 F10 F11 F12 F13 F14 F15 F16 F17 F18 F19 F20" showDropDown="0" showInputMessage="1" showErrorMessage="1" allowBlank="1" errorTitle="Subproductos" error="Escribe un número mayor o igual que 0." promptTitle="Subproductos" prompt="Kilos aprovechables: espinas, cabezas, carcasas, recortes." type="decimal" operator="greaterThanOrEqual">
      <formula1>0</formula1>
    </dataValidation>
    <dataValidation sqref="D6 D7 D8 D9 D10 D11 D12 D13 D14 D15 D16 D17 D18 D19 D20" showDropDown="0" showInputMessage="1" showErrorMessage="1" allowBlank="1" errorTitle="Precio de compra" error="Escribe un número mayor o igual que 0." promptTitle="Precio de compra" prompt="Precio por kg BRUTO sin IVA, el del albarán." type="decimal" operator="greaterThanOrEqual">
      <formula1>0</formula1>
    </dataValidation>
    <dataValidation sqref="G6 G7 G8 G9 G10 G11 G12 G13 G14 G15 G16 G17 G18 G19 G20" showDropDown="0" showInputMessage="1" showErrorMessage="1" allowBlank="1" errorTitle="Valor del subproducto" error="Escribe un número mayor o igual que 0." promptTitle="Valor del subproducto" prompt="Lo que te costaría comprar ese subproducto hecho (un fumet, un caldo): es su valor de uso." type="decimal" operator="greaterThanOrEqual">
      <formula1>0</formula1>
    </dataValidation>
  </dataValidations>
  <pageMargins left="0.51" right="0.51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5" customWidth="1" min="10" max="10"/>
    <col width="14" customWidth="1" min="11" max="11"/>
    <col width="30" customWidth="1" min="12" max="12"/>
  </cols>
  <sheetData>
    <row r="1">
      <c r="A1" s="1" t="inlineStr">
        <is>
          <t>Merma de Cocción</t>
        </is>
      </c>
    </row>
    <row r="2">
      <c r="A2" s="2" t="inlineStr">
        <is>
          <t>AI Chef Pro · aichef.pro — Guía Food Cost + Ingeniería de Menú</t>
        </is>
      </c>
    </row>
    <row r="3">
      <c r="B3" s="4" t="inlineStr">
        <is>
          <t>Pesa la pieza cruda y vuelve a pesarla al salir de la cocción, ya reposada. La pérdida de cocción no se ve en el albarán y sí en el plato.</t>
        </is>
      </c>
    </row>
    <row r="4"/>
    <row r="5" ht="42" customHeight="1">
      <c r="A5" s="7" t="inlineStr">
        <is>
          <t>#</t>
        </is>
      </c>
      <c r="B5" s="7" t="inlineStr">
        <is>
          <t>Elaboración</t>
        </is>
      </c>
      <c r="C5" s="7" t="inlineStr">
        <is>
          <t>Técnica</t>
        </is>
      </c>
      <c r="D5" s="7" t="inlineStr">
        <is>
          <t>Peso crudo (kg)</t>
        </is>
      </c>
      <c r="E5" s="7" t="inlineStr">
        <is>
          <t>Peso cocinado (kg)</t>
        </is>
      </c>
      <c r="F5" s="7" t="inlineStr">
        <is>
          <t>Rendimiento de cocción (%)</t>
        </is>
      </c>
      <c r="G5" s="7" t="inlineStr">
        <is>
          <t>Pérdida por cocción (%)</t>
        </is>
      </c>
      <c r="H5" s="7" t="inlineStr">
        <is>
          <t>Factor de cocción (1/rendimiento)</t>
        </is>
      </c>
      <c r="I5" s="7" t="inlineStr">
        <is>
          <t>Coste/kg del producto crudo (€)</t>
        </is>
      </c>
      <c r="J5" s="7" t="inlineStr">
        <is>
          <t>Coste/kg del producto ya cocinado (€)</t>
        </is>
      </c>
      <c r="K5" s="7" t="inlineStr">
        <is>
          <t>Sobrecoste por la cocción (€/kg)</t>
        </is>
      </c>
      <c r="L5" s="7" t="inlineStr">
        <is>
          <t>Notas</t>
        </is>
      </c>
    </row>
    <row r="6">
      <c r="A6" s="8" t="n">
        <v>1</v>
      </c>
      <c r="B6" s="9" t="inlineStr">
        <is>
          <t>Solomillo de cerdo a la plancha</t>
        </is>
      </c>
      <c r="C6" s="18" t="inlineStr">
        <is>
          <t>Plancha</t>
        </is>
      </c>
      <c r="D6" s="10" t="n">
        <v>0.25</v>
      </c>
      <c r="E6" s="10" t="n">
        <v>0.195</v>
      </c>
      <c r="F6" s="12">
        <f>IFERROR(IF(OR($D6="",$E6="",$D6=0),"",$E6/$D6),"")</f>
        <v>0.78</v>
      </c>
      <c r="G6" s="12">
        <f>IFERROR(IF($F6="","",1-$F6),"")</f>
        <v>0.21999999999999997</v>
      </c>
      <c r="H6" s="13">
        <f>IFERROR(IF(OR($F6="",$F6=0),"",1/$F6),"")</f>
        <v>1.282051282051282</v>
      </c>
      <c r="I6" s="11" t="n">
        <v>17.95</v>
      </c>
      <c r="J6" s="14">
        <f>IFERROR(IF(OR($I6="",$F6="",$F6=0),"",$I6/$F6),"")</f>
        <v>23.01282051282051</v>
      </c>
      <c r="K6" s="14">
        <f>IFERROR(IF(OR($J6="",$I6=""),"",$J6-$I6),"")</f>
        <v>5.062820512820512</v>
      </c>
      <c r="L6" s="9" t="n"/>
      <c r="M6" s="4" t="inlineStr">
        <is>
          <t>Escribe en la columna I el coste por kg del producto crudo. Si el producto pasa antes por despiece, usa el «Coste neto €/kg limpio APROVECHANDO» de la hoja «Test de Rendimiento».</t>
        </is>
      </c>
    </row>
    <row r="7">
      <c r="A7" s="8" t="n">
        <v>2</v>
      </c>
      <c r="B7" s="9" t="inlineStr">
        <is>
          <t>Pollo de corral al horno</t>
        </is>
      </c>
      <c r="C7" s="18" t="inlineStr">
        <is>
          <t>Horno</t>
        </is>
      </c>
      <c r="D7" s="10" t="n">
        <v>1.5</v>
      </c>
      <c r="E7" s="10" t="n">
        <v>1.08</v>
      </c>
      <c r="F7" s="12">
        <f>IFERROR(IF(OR($D7="",$E7="",$D7=0),"",$E7/$D7),"")</f>
        <v>0.7200000000000001</v>
      </c>
      <c r="G7" s="12">
        <f>IFERROR(IF($F7="","",1-$F7),"")</f>
        <v>0.2799999999999999</v>
      </c>
      <c r="H7" s="13">
        <f>IFERROR(IF(OR($F7="",$F7=0),"",1/$F7),"")</f>
        <v>1.3888888888888886</v>
      </c>
      <c r="I7" s="11" t="n">
        <v>5.4</v>
      </c>
      <c r="J7" s="14">
        <f>IFERROR(IF(OR($I7="",$F7="",$F7=0),"",$I7/$F7),"")</f>
        <v>7.5</v>
      </c>
      <c r="K7" s="14">
        <f>IFERROR(IF(OR($J7="",$I7=""),"",$J7-$I7),"")</f>
        <v>2.0999999999999996</v>
      </c>
      <c r="L7" s="9" t="n"/>
    </row>
    <row r="8">
      <c r="A8" s="8" t="n">
        <v>3</v>
      </c>
      <c r="B8" s="9" t="inlineStr">
        <is>
          <t>Bacalao confitado</t>
        </is>
      </c>
      <c r="C8" s="18" t="inlineStr">
        <is>
          <t>Confitado</t>
        </is>
      </c>
      <c r="D8" s="10" t="n">
        <v>0.2</v>
      </c>
      <c r="E8" s="10" t="n">
        <v>0.176</v>
      </c>
      <c r="F8" s="12">
        <f>IFERROR(IF(OR($D8="",$E8="",$D8=0),"",$E8/$D8),"")</f>
        <v>0.8799999999999999</v>
      </c>
      <c r="G8" s="12">
        <f>IFERROR(IF($F8="","",1-$F8),"")</f>
        <v>0.1200000000000001</v>
      </c>
      <c r="H8" s="13">
        <f>IFERROR(IF(OR($F8="",$F8=0),"",1/$F8),"")</f>
        <v>1.1363636363636365</v>
      </c>
      <c r="I8" s="11" t="n">
        <v>14.9</v>
      </c>
      <c r="J8" s="14">
        <f>IFERROR(IF(OR($I8="",$F8="",$F8=0),"",$I8/$F8),"")</f>
        <v>16.931818181818183</v>
      </c>
      <c r="K8" s="14">
        <f>IFERROR(IF(OR($J8="",$I8=""),"",$J8-$I8),"")</f>
        <v>2.031818181818183</v>
      </c>
      <c r="L8" s="9" t="n"/>
    </row>
    <row r="9">
      <c r="A9" s="8" t="n">
        <v>4</v>
      </c>
      <c r="B9" s="9" t="inlineStr">
        <is>
          <t>Secreto ibérico a la brasa</t>
        </is>
      </c>
      <c r="C9" s="18" t="inlineStr">
        <is>
          <t>Brasa</t>
        </is>
      </c>
      <c r="D9" s="10" t="n">
        <v>0.3</v>
      </c>
      <c r="E9" s="10" t="n">
        <v>0.222</v>
      </c>
      <c r="F9" s="12">
        <f>IFERROR(IF(OR($D9="",$E9="",$D9=0),"",$E9/$D9),"")</f>
        <v>0.74</v>
      </c>
      <c r="G9" s="12">
        <f>IFERROR(IF($F9="","",1-$F9),"")</f>
        <v>0.26</v>
      </c>
      <c r="H9" s="13">
        <f>IFERROR(IF(OR($F9="",$F9=0),"",1/$F9),"")</f>
        <v>1.3513513513513513</v>
      </c>
      <c r="I9" s="11" t="n">
        <v>16.5</v>
      </c>
      <c r="J9" s="14">
        <f>IFERROR(IF(OR($I9="",$F9="",$F9=0),"",$I9/$F9),"")</f>
        <v>22.2972972972973</v>
      </c>
      <c r="K9" s="14">
        <f>IFERROR(IF(OR($J9="",$I9=""),"",$J9-$I9),"")</f>
        <v>5.797297297297298</v>
      </c>
      <c r="L9" s="9" t="n"/>
    </row>
    <row r="10">
      <c r="A10" s="8" t="n">
        <v>5</v>
      </c>
      <c r="B10" s="9" t="inlineStr">
        <is>
          <t>Verduras asadas</t>
        </is>
      </c>
      <c r="C10" s="18" t="inlineStr">
        <is>
          <t>Horno</t>
        </is>
      </c>
      <c r="D10" s="10" t="n">
        <v>1</v>
      </c>
      <c r="E10" s="10" t="n">
        <v>0.6899999999999999</v>
      </c>
      <c r="F10" s="12">
        <f>IFERROR(IF(OR($D10="",$E10="",$D10=0),"",$E10/$D10),"")</f>
        <v>0.69</v>
      </c>
      <c r="G10" s="12">
        <f>IFERROR(IF($F10="","",1-$F10),"")</f>
        <v>0.31000000000000005</v>
      </c>
      <c r="H10" s="13">
        <f>IFERROR(IF(OR($F10="",$F10=0),"",1/$F10),"")</f>
        <v>1.4492753623188408</v>
      </c>
      <c r="I10" s="11" t="n">
        <v>2.2</v>
      </c>
      <c r="J10" s="14">
        <f>IFERROR(IF(OR($I10="",$F10="",$F10=0),"",$I10/$F10),"")</f>
        <v>3.1884057971014497</v>
      </c>
      <c r="K10" s="14">
        <f>IFERROR(IF(OR($J10="",$I10=""),"",$J10-$I10),"")</f>
        <v>0.9884057971014495</v>
      </c>
      <c r="L10" s="9" t="n"/>
    </row>
    <row r="11">
      <c r="A11" s="8" t="n">
        <v>6</v>
      </c>
      <c r="B11" s="9" t="n"/>
      <c r="C11" s="9" t="n"/>
      <c r="D11" s="10" t="n"/>
      <c r="E11" s="10" t="n"/>
      <c r="F11" s="12">
        <f>IFERROR(IF(OR($D11="",$E11="",$D11=0),"",$E11/$D11),"")</f>
        <v/>
      </c>
      <c r="G11" s="12">
        <f>IFERROR(IF($F11="","",1-$F11),"")</f>
        <v/>
      </c>
      <c r="H11" s="13">
        <f>IFERROR(IF(OR($F11="",$F11=0),"",1/$F11),"")</f>
        <v/>
      </c>
      <c r="I11" s="11" t="n"/>
      <c r="J11" s="14">
        <f>IFERROR(IF(OR($I11="",$F11="",$F11=0),"",$I11/$F11),"")</f>
        <v/>
      </c>
      <c r="K11" s="14">
        <f>IFERROR(IF(OR($J11="",$I11=""),"",$J11-$I11),"")</f>
        <v/>
      </c>
      <c r="L11" s="9" t="n"/>
    </row>
    <row r="12">
      <c r="A12" s="8" t="n">
        <v>7</v>
      </c>
      <c r="B12" s="9" t="n"/>
      <c r="C12" s="9" t="n"/>
      <c r="D12" s="10" t="n"/>
      <c r="E12" s="10" t="n"/>
      <c r="F12" s="12">
        <f>IFERROR(IF(OR($D12="",$E12="",$D12=0),"",$E12/$D12),"")</f>
        <v/>
      </c>
      <c r="G12" s="12">
        <f>IFERROR(IF($F12="","",1-$F12),"")</f>
        <v/>
      </c>
      <c r="H12" s="13">
        <f>IFERROR(IF(OR($F12="",$F12=0),"",1/$F12),"")</f>
        <v/>
      </c>
      <c r="I12" s="11" t="n"/>
      <c r="J12" s="14">
        <f>IFERROR(IF(OR($I12="",$F12="",$F12=0),"",$I12/$F12),"")</f>
        <v/>
      </c>
      <c r="K12" s="14">
        <f>IFERROR(IF(OR($J12="",$I12=""),"",$J12-$I12),"")</f>
        <v/>
      </c>
      <c r="L12" s="9" t="n"/>
    </row>
    <row r="13">
      <c r="A13" s="8" t="n">
        <v>8</v>
      </c>
      <c r="B13" s="9" t="n"/>
      <c r="C13" s="9" t="n"/>
      <c r="D13" s="10" t="n"/>
      <c r="E13" s="10" t="n"/>
      <c r="F13" s="12">
        <f>IFERROR(IF(OR($D13="",$E13="",$D13=0),"",$E13/$D13),"")</f>
        <v/>
      </c>
      <c r="G13" s="12">
        <f>IFERROR(IF($F13="","",1-$F13),"")</f>
        <v/>
      </c>
      <c r="H13" s="13">
        <f>IFERROR(IF(OR($F13="",$F13=0),"",1/$F13),"")</f>
        <v/>
      </c>
      <c r="I13" s="11" t="n"/>
      <c r="J13" s="14">
        <f>IFERROR(IF(OR($I13="",$F13="",$F13=0),"",$I13/$F13),"")</f>
        <v/>
      </c>
      <c r="K13" s="14">
        <f>IFERROR(IF(OR($J13="",$I13=""),"",$J13-$I13),"")</f>
        <v/>
      </c>
      <c r="L13" s="9" t="n"/>
    </row>
    <row r="14">
      <c r="A14" s="8" t="n">
        <v>9</v>
      </c>
      <c r="B14" s="9" t="n"/>
      <c r="C14" s="9" t="n"/>
      <c r="D14" s="10" t="n"/>
      <c r="E14" s="10" t="n"/>
      <c r="F14" s="12">
        <f>IFERROR(IF(OR($D14="",$E14="",$D14=0),"",$E14/$D14),"")</f>
        <v/>
      </c>
      <c r="G14" s="12">
        <f>IFERROR(IF($F14="","",1-$F14),"")</f>
        <v/>
      </c>
      <c r="H14" s="13">
        <f>IFERROR(IF(OR($F14="",$F14=0),"",1/$F14),"")</f>
        <v/>
      </c>
      <c r="I14" s="11" t="n"/>
      <c r="J14" s="14">
        <f>IFERROR(IF(OR($I14="",$F14="",$F14=0),"",$I14/$F14),"")</f>
        <v/>
      </c>
      <c r="K14" s="14">
        <f>IFERROR(IF(OR($J14="",$I14=""),"",$J14-$I14),"")</f>
        <v/>
      </c>
      <c r="L14" s="9" t="n"/>
    </row>
    <row r="15">
      <c r="A15" s="8" t="n">
        <v>10</v>
      </c>
      <c r="B15" s="9" t="n"/>
      <c r="C15" s="9" t="n"/>
      <c r="D15" s="10" t="n"/>
      <c r="E15" s="10" t="n"/>
      <c r="F15" s="12">
        <f>IFERROR(IF(OR($D15="",$E15="",$D15=0),"",$E15/$D15),"")</f>
        <v/>
      </c>
      <c r="G15" s="12">
        <f>IFERROR(IF($F15="","",1-$F15),"")</f>
        <v/>
      </c>
      <c r="H15" s="13">
        <f>IFERROR(IF(OR($F15="",$F15=0),"",1/$F15),"")</f>
        <v/>
      </c>
      <c r="I15" s="11" t="n"/>
      <c r="J15" s="14">
        <f>IFERROR(IF(OR($I15="",$F15="",$F15=0),"",$I15/$F15),"")</f>
        <v/>
      </c>
      <c r="K15" s="14">
        <f>IFERROR(IF(OR($J15="",$I15=""),"",$J15-$I15),"")</f>
        <v/>
      </c>
      <c r="L15" s="9" t="n"/>
    </row>
    <row r="16"/>
    <row r="17">
      <c r="B17" s="15" t="inlineStr">
        <is>
          <t>RESUMEN — lo calcula el libro</t>
        </is>
      </c>
      <c r="C17" s="15" t="n"/>
      <c r="D17" s="15" t="n"/>
      <c r="E17" s="15" t="n"/>
      <c r="F17" s="15" t="n"/>
      <c r="G17" s="15" t="n"/>
      <c r="H17" s="15" t="n"/>
    </row>
    <row r="18">
      <c r="B18" s="5" t="inlineStr">
        <is>
          <t>Rendimiento medio de cocción ponderado (%)</t>
        </is>
      </c>
      <c r="E18" s="17">
        <f>IFERROR(IF(SUM($D$6:$D$15)=0,"",SUM($E$6:$E$15)/SUM($D$6:$D$15)),"")</f>
        <v>0.7270769230769231</v>
      </c>
    </row>
    <row r="19">
      <c r="B19" s="5" t="inlineStr">
        <is>
          <t>Pérdida media por cocción (%)</t>
        </is>
      </c>
      <c r="E19" s="17">
        <f>IFERROR(IF($E$18="","",1-$E$18),"")</f>
        <v>0.27292307692307693</v>
      </c>
    </row>
    <row r="20">
      <c r="B20" t="inlineStr">
        <is>
          <t>Pruebas de cocción registradas (n.º)</t>
        </is>
      </c>
      <c r="E20" s="16">
        <f>IF(COUNTIF($E$6:$E$15,"&gt;0")=0,"",COUNTIF($E$6:$E$15,"&gt;0"))</f>
        <v>5.0</v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5:L15"/>
  <dataValidations count="4">
    <dataValidation sqref="C6 C7 C8 C9 C10 C11 C12 C13 C14 C15" showDropDown="0" showInputMessage="0" showErrorMessage="1" allowBlank="1" errorTitle="Técnica no válida" error="Elige un valor de la lista: Plancha, Horno, Brasa, Confitado, Hervido, Vapor, Fritura, Guisado, Baja temperatura" type="list">
      <formula1>"Plancha,Horno,Brasa,Confitado,Hervido,Vapor,Fritura,Guisado,Baja temperatura"</formula1>
    </dataValidation>
    <dataValidation sqref="D6 D7 D8 D9 D10 D11 D12 D13 D14 D15" showDropDown="0" showInputMessage="1" showErrorMessage="1" allowBlank="1" errorTitle="Peso crudo" error="Escribe un número mayor o igual que 0." promptTitle="Peso crudo" prompt="Peso antes de cocinar, en kg." type="decimal" operator="greaterThanOrEqual">
      <formula1>0</formula1>
    </dataValidation>
    <dataValidation sqref="E6 E7 E8 E9 E10 E11 E12 E13 E14 E15" showDropDown="0" showInputMessage="1" showErrorMessage="1" allowBlank="1" errorTitle="Peso cocinado" error="Escribe un número mayor o igual que 0." promptTitle="Peso cocinado" prompt="Peso después de cocinar y reposar, en kg." type="decimal" operator="greaterThanOrEqual">
      <formula1>0</formula1>
    </dataValidation>
    <dataValidation sqref="I6 I7 I8 I9 I10 I11 I12 I13 I14 I15" showDropDown="0" showInputMessage="1" showErrorMessage="1" allowBlank="1" errorTitle="Coste del producto crudo" error="Escribe un número mayor o igual que 0." promptTitle="Coste del producto crudo" prompt="Coste por kg del producto crudo, sin IVA." type="decimal" operator="greaterThanOrEqual">
      <formula1>0</formula1>
    </dataValidation>
  </dataValidations>
  <pageMargins left="0.51" right="0.51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20" customWidth="1" min="8" max="8"/>
    <col width="15" customWidth="1" min="9" max="9"/>
    <col width="40" customWidth="1" min="10" max="10"/>
  </cols>
  <sheetData>
    <row r="1">
      <c r="A1" s="1" t="inlineStr">
        <is>
          <t>Mi Tabla de Mermas</t>
        </is>
      </c>
    </row>
    <row r="2">
      <c r="A2" s="2" t="inlineStr">
        <is>
          <t>AI Chef Pro · aichef.pro — Guía Food Cost + Ingeniería de Menú</t>
        </is>
      </c>
    </row>
    <row r="3">
      <c r="B3" s="4" t="inlineStr">
        <is>
          <t>La referencia solo es el punto de partida. En cuanto escribes tu merma medida, el libro deja de usar la referencia y usa la tuya.</t>
        </is>
      </c>
    </row>
    <row r="4"/>
    <row r="5" ht="42" customHeight="1">
      <c r="A5" s="7" t="inlineStr">
        <is>
          <t>#</t>
        </is>
      </c>
      <c r="B5" s="7" t="inlineStr">
        <is>
          <t>Categoría de producto</t>
        </is>
      </c>
      <c r="C5" s="7" t="inlineStr">
        <is>
          <t>Merma de referencia mínima (%)</t>
        </is>
      </c>
      <c r="D5" s="7" t="inlineStr">
        <is>
          <t>Merma de referencia máxima (%)</t>
        </is>
      </c>
      <c r="E5" s="7" t="inlineStr">
        <is>
          <t>Merma de referencia media (%)</t>
        </is>
      </c>
      <c r="F5" s="7" t="inlineStr">
        <is>
          <t>Tu merma medida (%)</t>
        </is>
      </c>
      <c r="G5" s="7" t="inlineStr">
        <is>
          <t>Merma que usas (%)</t>
        </is>
      </c>
      <c r="H5" s="7" t="inlineStr">
        <is>
          <t>De dónde sale el dato</t>
        </is>
      </c>
      <c r="I5" s="7" t="inlineStr">
        <is>
          <t>Diferencia con la referencia (puntos)</t>
        </is>
      </c>
      <c r="J5" s="7" t="inlineStr">
        <is>
          <t>Nota</t>
        </is>
      </c>
    </row>
    <row r="6">
      <c r="A6" s="8" t="n">
        <v>1</v>
      </c>
      <c r="B6" s="9" t="inlineStr">
        <is>
          <t>Carnes (piezas con hueso/grasa)</t>
        </is>
      </c>
      <c r="C6" s="19" t="n">
        <v>0.15</v>
      </c>
      <c r="D6" s="19" t="n">
        <v>0.3</v>
      </c>
      <c r="E6" s="12">
        <f>IFERROR(IF(OR($C6="",$D6=""),"",($C6+$D6)/2),"")</f>
        <v>0.22499999999999998</v>
      </c>
      <c r="F6" s="19" t="n"/>
      <c r="G6" s="17">
        <f>IF(ISNUMBER($F6),$F6,IF($E6="","",$E6))</f>
        <v>0.22499999999999998</v>
      </c>
      <c r="H6" t="str">
        <f>IF(ISNUMBER($F6),"Tu medición",IF($E6="","","Referencia orientativa"))</f>
        <v>Referencia orientativa</v>
      </c>
      <c r="I6" s="12">
        <f>IF(ISNUMBER($F6),IF($E6="","",$F6-$E6),"")</f>
        <v/>
      </c>
      <c r="J6" s="6" t="inlineStr">
        <is>
          <t>Rendimiento 70‑85 %</t>
        </is>
      </c>
    </row>
    <row r="7">
      <c r="A7" s="8" t="n">
        <v>2</v>
      </c>
      <c r="B7" s="9" t="inlineStr">
        <is>
          <t>Solomillo de vacuno (limpieza)</t>
        </is>
      </c>
      <c r="C7" s="19" t="n">
        <v>0.1</v>
      </c>
      <c r="D7" s="19" t="n">
        <v>0.15</v>
      </c>
      <c r="E7" s="12">
        <f>IFERROR(IF(OR($C7="",$D7=""),"",($C7+$D7)/2),"")</f>
        <v>0.125</v>
      </c>
      <c r="F7" s="19" t="n">
        <v>0.119</v>
      </c>
      <c r="G7" s="17">
        <f>IF(ISNUMBER($F7),$F7,IF($E7="","",$E7))</f>
        <v>0.119</v>
      </c>
      <c r="H7" t="str">
        <f>IF(ISNUMBER($F7),"Tu medición",IF($E7="","","Referencia orientativa"))</f>
        <v>Tu medición</v>
      </c>
      <c r="I7" s="12">
        <f>IF(ISNUMBER($F7),IF($E7="","",$F7-$E7),"")</f>
        <v>-0.006000000000000005</v>
      </c>
      <c r="J7" s="9" t="n"/>
    </row>
    <row r="8">
      <c r="A8" s="8" t="n">
        <v>3</v>
      </c>
      <c r="B8" s="9" t="inlineStr">
        <is>
          <t>Pescado entero</t>
        </is>
      </c>
      <c r="C8" s="19" t="n">
        <v>0.45</v>
      </c>
      <c r="D8" s="19" t="n">
        <v>0.55</v>
      </c>
      <c r="E8" s="12">
        <f>IFERROR(IF(OR($C8="",$D8=""),"",($C8+$D8)/2),"")</f>
        <v>0.5</v>
      </c>
      <c r="F8" s="19" t="n">
        <v>0.4833</v>
      </c>
      <c r="G8" s="17">
        <f>IF(ISNUMBER($F8),$F8,IF($E8="","",$E8))</f>
        <v>0.4833</v>
      </c>
      <c r="H8" t="str">
        <f>IF(ISNUMBER($F8),"Tu medición",IF($E8="","","Referencia orientativa"))</f>
        <v>Tu medición</v>
      </c>
      <c r="I8" s="12">
        <f>IF(ISNUMBER($F8),IF($E8="","",$F8-$E8),"")</f>
        <v>-0.016699999999999993</v>
      </c>
      <c r="J8" s="6" t="inlineStr">
        <is>
          <t>Cabeza y espinas aprovechables en fumet</t>
        </is>
      </c>
    </row>
    <row r="9">
      <c r="A9" s="8" t="n">
        <v>4</v>
      </c>
      <c r="B9" s="9" t="inlineStr">
        <is>
          <t>Pescado en lomos/filetes</t>
        </is>
      </c>
      <c r="C9" s="19" t="n">
        <v>0.05</v>
      </c>
      <c r="D9" s="19" t="n">
        <v>0.12</v>
      </c>
      <c r="E9" s="12">
        <f>IFERROR(IF(OR($C9="",$D9=""),"",($C9+$D9)/2),"")</f>
        <v>0.08499999999999999</v>
      </c>
      <c r="F9" s="19" t="n"/>
      <c r="G9" s="17">
        <f>IF(ISNUMBER($F9),$F9,IF($E9="","",$E9))</f>
        <v>0.08499999999999999</v>
      </c>
      <c r="H9" t="str">
        <f>IF(ISNUMBER($F9),"Tu medición",IF($E9="","","Referencia orientativa"))</f>
        <v>Referencia orientativa</v>
      </c>
      <c r="I9" s="12">
        <f>IF(ISNUMBER($F9),IF($E9="","",$F9-$E9),"")</f>
        <v/>
      </c>
      <c r="J9" s="6" t="inlineStr">
        <is>
          <t>Piel y recortes</t>
        </is>
      </c>
    </row>
    <row r="10">
      <c r="A10" s="8" t="n">
        <v>5</v>
      </c>
      <c r="B10" s="9" t="inlineStr">
        <is>
          <t>Verduras de hoja</t>
        </is>
      </c>
      <c r="C10" s="19" t="n">
        <v>0.1</v>
      </c>
      <c r="D10" s="19" t="n">
        <v>0.15</v>
      </c>
      <c r="E10" s="12">
        <f>IFERROR(IF(OR($C10="",$D10=""),"",($C10+$D10)/2),"")</f>
        <v>0.125</v>
      </c>
      <c r="F10" s="19" t="n"/>
      <c r="G10" s="17">
        <f>IF(ISNUMBER($F10),$F10,IF($E10="","",$E10))</f>
        <v>0.125</v>
      </c>
      <c r="H10" t="str">
        <f>IF(ISNUMBER($F10),"Tu medición",IF($E10="","","Referencia orientativa"))</f>
        <v>Referencia orientativa</v>
      </c>
      <c r="I10" s="12">
        <f>IF(ISNUMBER($F10),IF($E10="","",$F10-$E10),"")</f>
        <v/>
      </c>
      <c r="J10" s="9" t="n"/>
    </row>
    <row r="11">
      <c r="A11" s="8" t="n">
        <v>6</v>
      </c>
      <c r="B11" s="9" t="inlineStr">
        <is>
          <t>Verduras y hortalizas (general)</t>
        </is>
      </c>
      <c r="C11" s="19" t="n">
        <v>0.1</v>
      </c>
      <c r="D11" s="19" t="n">
        <v>0.25</v>
      </c>
      <c r="E11" s="12">
        <f>IFERROR(IF(OR($C11="",$D11=""),"",($C11+$D11)/2),"")</f>
        <v>0.175</v>
      </c>
      <c r="F11" s="19" t="n"/>
      <c r="G11" s="17">
        <f>IF(ISNUMBER($F11),$F11,IF($E11="","",$E11))</f>
        <v>0.175</v>
      </c>
      <c r="H11" t="str">
        <f>IF(ISNUMBER($F11),"Tu medición",IF($E11="","","Referencia orientativa"))</f>
        <v>Referencia orientativa</v>
      </c>
      <c r="I11" s="12">
        <f>IF(ISNUMBER($F11),IF($E11="","",$F11-$E11),"")</f>
        <v/>
      </c>
      <c r="J11" s="6" t="inlineStr">
        <is>
          <t>Rendimiento 75‑90 %</t>
        </is>
      </c>
    </row>
    <row r="12">
      <c r="A12" s="8" t="n">
        <v>7</v>
      </c>
      <c r="B12" s="9" t="inlineStr">
        <is>
          <t>Alcachofa</t>
        </is>
      </c>
      <c r="C12" s="19" t="n">
        <v>0.55</v>
      </c>
      <c r="D12" s="19" t="n">
        <v>0.65</v>
      </c>
      <c r="E12" s="12">
        <f>IFERROR(IF(OR($C12="",$D12=""),"",($C12+$D12)/2),"")</f>
        <v>0.6000000000000001</v>
      </c>
      <c r="F12" s="19" t="n">
        <v>0.62</v>
      </c>
      <c r="G12" s="17">
        <f>IF(ISNUMBER($F12),$F12,IF($E12="","",$E12))</f>
        <v>0.62</v>
      </c>
      <c r="H12" t="str">
        <f>IF(ISNUMBER($F12),"Tu medición",IF($E12="","","Referencia orientativa"))</f>
        <v>Tu medición</v>
      </c>
      <c r="I12" s="12">
        <f>IF(ISNUMBER($F12),IF($E12="","",$F12-$E12),"")</f>
        <v>0.019999999999999907</v>
      </c>
      <c r="J12" s="6" t="inlineStr">
        <is>
          <t>Se queda el corazón</t>
        </is>
      </c>
    </row>
    <row r="13">
      <c r="A13" s="8" t="n">
        <v>8</v>
      </c>
      <c r="B13" s="9" t="inlineStr">
        <is>
          <t>Mejillones, caracoles, callos</t>
        </is>
      </c>
      <c r="C13" s="19" t="n">
        <v>0.8</v>
      </c>
      <c r="D13" s="19" t="n">
        <v>0.85</v>
      </c>
      <c r="E13" s="12">
        <f>IFERROR(IF(OR($C13="",$D13=""),"",($C13+$D13)/2),"")</f>
        <v>0.825</v>
      </c>
      <c r="F13" s="19" t="n">
        <v>0.8</v>
      </c>
      <c r="G13" s="17">
        <f>IF(ISNUMBER($F13),$F13,IF($E13="","",$E13))</f>
        <v>0.8</v>
      </c>
      <c r="H13" t="str">
        <f>IF(ISNUMBER($F13),"Tu medición",IF($E13="","","Referencia orientativa"))</f>
        <v>Tu medición</v>
      </c>
      <c r="I13" s="12">
        <f>IF(ISNUMBER($F13),IF($E13="","",$F13-$E13),"")</f>
        <v>-0.02499999999999991</v>
      </c>
      <c r="J13" s="6" t="inlineStr">
        <is>
          <t>Rendimiento 15‑20 %</t>
        </is>
      </c>
    </row>
    <row r="14">
      <c r="A14" s="8" t="n">
        <v>9</v>
      </c>
      <c r="B14" s="9" t="inlineStr">
        <is>
          <t>Marisco entero (gamba, cigala)</t>
        </is>
      </c>
      <c r="C14" s="19" t="n">
        <v>0.45</v>
      </c>
      <c r="D14" s="19" t="n">
        <v>0.55</v>
      </c>
      <c r="E14" s="12">
        <f>IFERROR(IF(OR($C14="",$D14=""),"",($C14+$D14)/2),"")</f>
        <v>0.5</v>
      </c>
      <c r="F14" s="19" t="n">
        <v>0.475</v>
      </c>
      <c r="G14" s="17">
        <f>IF(ISNUMBER($F14),$F14,IF($E14="","",$E14))</f>
        <v>0.475</v>
      </c>
      <c r="H14" t="str">
        <f>IF(ISNUMBER($F14),"Tu medición",IF($E14="","","Referencia orientativa"))</f>
        <v>Tu medición</v>
      </c>
      <c r="I14" s="12">
        <f>IF(ISNUMBER($F14),IF($E14="","",$F14-$E14),"")</f>
        <v>-0.025000000000000022</v>
      </c>
      <c r="J14" s="6" t="inlineStr">
        <is>
          <t>Cabezas y cáscaras aprovechables en fondo</t>
        </is>
      </c>
    </row>
    <row r="15">
      <c r="A15" s="8" t="n">
        <v>10</v>
      </c>
      <c r="B15" s="9" t="inlineStr">
        <is>
          <t>Fruta</t>
        </is>
      </c>
      <c r="C15" s="19" t="n">
        <v>0.15</v>
      </c>
      <c r="D15" s="19" t="n">
        <v>0.3</v>
      </c>
      <c r="E15" s="12">
        <f>IFERROR(IF(OR($C15="",$D15=""),"",($C15+$D15)/2),"")</f>
        <v>0.22499999999999998</v>
      </c>
      <c r="F15" s="19" t="n"/>
      <c r="G15" s="17">
        <f>IF(ISNUMBER($F15),$F15,IF($E15="","",$E15))</f>
        <v>0.22499999999999998</v>
      </c>
      <c r="H15" t="str">
        <f>IF(ISNUMBER($F15),"Tu medición",IF($E15="","","Referencia orientativa"))</f>
        <v>Referencia orientativa</v>
      </c>
      <c r="I15" s="12">
        <f>IF(ISNUMBER($F15),IF($E15="","",$F15-$E15),"")</f>
        <v/>
      </c>
      <c r="J15" s="6" t="inlineStr">
        <is>
          <t>Piel, hueso, corazón</t>
        </is>
      </c>
    </row>
    <row r="16">
      <c r="A16" s="8" t="n">
        <v>11</v>
      </c>
      <c r="B16" s="9" t="inlineStr">
        <is>
          <t>Aves enteras</t>
        </is>
      </c>
      <c r="C16" s="19" t="n">
        <v>0.28</v>
      </c>
      <c r="D16" s="19" t="n">
        <v>0.35</v>
      </c>
      <c r="E16" s="12">
        <f>IFERROR(IF(OR($C16="",$D16=""),"",($C16+$D16)/2),"")</f>
        <v>0.315</v>
      </c>
      <c r="F16" s="19" t="n">
        <v>0.3182</v>
      </c>
      <c r="G16" s="17">
        <f>IF(ISNUMBER($F16),$F16,IF($E16="","",$E16))</f>
        <v>0.3182</v>
      </c>
      <c r="H16" t="str">
        <f>IF(ISNUMBER($F16),"Tu medición",IF($E16="","","Referencia orientativa"))</f>
        <v>Tu medición</v>
      </c>
      <c r="I16" s="12">
        <f>IF(ISNUMBER($F16),IF($E16="","",$F16-$E16),"")</f>
        <v>0.0031999999999999806</v>
      </c>
      <c r="J16" s="6" t="inlineStr">
        <is>
          <t>Carcasa aprovechable en caldo</t>
        </is>
      </c>
    </row>
    <row r="17">
      <c r="A17" s="8" t="n">
        <v>12</v>
      </c>
      <c r="B17" s="9" t="inlineStr">
        <is>
          <t>Quesos, embutidos (corteza/piel)</t>
        </is>
      </c>
      <c r="C17" s="19" t="n">
        <v>0.03</v>
      </c>
      <c r="D17" s="19" t="n">
        <v>0.08</v>
      </c>
      <c r="E17" s="12">
        <f>IFERROR(IF(OR($C17="",$D17=""),"",($C17+$D17)/2),"")</f>
        <v>0.055</v>
      </c>
      <c r="F17" s="19" t="n"/>
      <c r="G17" s="17">
        <f>IF(ISNUMBER($F17),$F17,IF($E17="","",$E17))</f>
        <v>0.055</v>
      </c>
      <c r="H17" t="str">
        <f>IF(ISNUMBER($F17),"Tu medición",IF($E17="","","Referencia orientativa"))</f>
        <v>Referencia orientativa</v>
      </c>
      <c r="I17" s="12">
        <f>IF(ISNUMBER($F17),IF($E17="","",$F17-$E17),"")</f>
        <v/>
      </c>
      <c r="J17" s="9" t="n"/>
    </row>
    <row r="18">
      <c r="A18" s="8" t="n">
        <v>13</v>
      </c>
      <c r="B18" s="9" t="n"/>
      <c r="C18" s="19" t="n"/>
      <c r="D18" s="19" t="n"/>
      <c r="E18" s="12">
        <f>IFERROR(IF(OR($C18="",$D18=""),"",($C18+$D18)/2),"")</f>
        <v/>
      </c>
      <c r="F18" s="19" t="n"/>
      <c r="G18" s="17">
        <f>IF(ISNUMBER($F18),$F18,IF($E18="","",$E18))</f>
        <v/>
      </c>
      <c r="H18">
        <f>IF(ISNUMBER($F18),"Tu medición",IF($E18="","","Referencia orientativa"))</f>
        <v/>
      </c>
      <c r="I18" s="12">
        <f>IF(ISNUMBER($F18),IF($E18="","",$F18-$E18),"")</f>
        <v/>
      </c>
      <c r="J18" s="9" t="n"/>
    </row>
    <row r="19">
      <c r="A19" s="8" t="n">
        <v>14</v>
      </c>
      <c r="B19" s="9" t="n"/>
      <c r="C19" s="19" t="n"/>
      <c r="D19" s="19" t="n"/>
      <c r="E19" s="12">
        <f>IFERROR(IF(OR($C19="",$D19=""),"",($C19+$D19)/2),"")</f>
        <v/>
      </c>
      <c r="F19" s="19" t="n"/>
      <c r="G19" s="17">
        <f>IF(ISNUMBER($F19),$F19,IF($E19="","",$E19))</f>
        <v/>
      </c>
      <c r="H19">
        <f>IF(ISNUMBER($F19),"Tu medición",IF($E19="","","Referencia orientativa"))</f>
        <v/>
      </c>
      <c r="I19" s="12">
        <f>IF(ISNUMBER($F19),IF($E19="","",$F19-$E19),"")</f>
        <v/>
      </c>
      <c r="J19" s="9" t="n"/>
    </row>
    <row r="20">
      <c r="A20" s="8" t="n">
        <v>15</v>
      </c>
      <c r="B20" s="9" t="n"/>
      <c r="C20" s="19" t="n"/>
      <c r="D20" s="19" t="n"/>
      <c r="E20" s="12">
        <f>IFERROR(IF(OR($C20="",$D20=""),"",($C20+$D20)/2),"")</f>
        <v/>
      </c>
      <c r="F20" s="19" t="n"/>
      <c r="G20" s="17">
        <f>IF(ISNUMBER($F20),$F20,IF($E20="","",$E20))</f>
        <v/>
      </c>
      <c r="H20">
        <f>IF(ISNUMBER($F20),"Tu medición",IF($E20="","","Referencia orientativa"))</f>
        <v/>
      </c>
      <c r="I20" s="12">
        <f>IF(ISNUMBER($F20),IF($E20="","",$F20-$E20),"")</f>
        <v/>
      </c>
      <c r="J20" s="9" t="n"/>
    </row>
    <row r="21">
      <c r="A21" s="8" t="n">
        <v>16</v>
      </c>
      <c r="B21" s="9" t="n"/>
      <c r="C21" s="19" t="n"/>
      <c r="D21" s="19" t="n"/>
      <c r="E21" s="12">
        <f>IFERROR(IF(OR($C21="",$D21=""),"",($C21+$D21)/2),"")</f>
        <v/>
      </c>
      <c r="F21" s="19" t="n"/>
      <c r="G21" s="17">
        <f>IF(ISNUMBER($F21),$F21,IF($E21="","",$E21))</f>
        <v/>
      </c>
      <c r="H21">
        <f>IF(ISNUMBER($F21),"Tu medición",IF($E21="","","Referencia orientativa"))</f>
        <v/>
      </c>
      <c r="I21" s="12">
        <f>IF(ISNUMBER($F21),IF($E21="","",$F21-$E21),"")</f>
        <v/>
      </c>
      <c r="J21" s="9" t="n"/>
    </row>
    <row r="22">
      <c r="A22" s="8" t="n">
        <v>17</v>
      </c>
      <c r="B22" s="9" t="n"/>
      <c r="C22" s="19" t="n"/>
      <c r="D22" s="19" t="n"/>
      <c r="E22" s="12">
        <f>IFERROR(IF(OR($C22="",$D22=""),"",($C22+$D22)/2),"")</f>
        <v/>
      </c>
      <c r="F22" s="19" t="n"/>
      <c r="G22" s="17">
        <f>IF(ISNUMBER($F22),$F22,IF($E22="","",$E22))</f>
        <v/>
      </c>
      <c r="H22">
        <f>IF(ISNUMBER($F22),"Tu medición",IF($E22="","","Referencia orientativa"))</f>
        <v/>
      </c>
      <c r="I22" s="12">
        <f>IF(ISNUMBER($F22),IF($E22="","",$F22-$E22),"")</f>
        <v/>
      </c>
      <c r="J22" s="9" t="n"/>
    </row>
    <row r="23">
      <c r="A23" s="8" t="n">
        <v>18</v>
      </c>
      <c r="B23" s="9" t="n"/>
      <c r="C23" s="19" t="n"/>
      <c r="D23" s="19" t="n"/>
      <c r="E23" s="12">
        <f>IFERROR(IF(OR($C23="",$D23=""),"",($C23+$D23)/2),"")</f>
        <v/>
      </c>
      <c r="F23" s="19" t="n"/>
      <c r="G23" s="17">
        <f>IF(ISNUMBER($F23),$F23,IF($E23="","",$E23))</f>
        <v/>
      </c>
      <c r="H23">
        <f>IF(ISNUMBER($F23),"Tu medición",IF($E23="","","Referencia orientativa"))</f>
        <v/>
      </c>
      <c r="I23" s="12">
        <f>IF(ISNUMBER($F23),IF($E23="","",$F23-$E23),"")</f>
        <v/>
      </c>
      <c r="J23" s="9" t="n"/>
    </row>
    <row r="24"/>
    <row r="25">
      <c r="B25" s="15" t="inlineStr">
        <is>
          <t>RESUMEN — lo calcula el libro</t>
        </is>
      </c>
      <c r="C25" s="15" t="n"/>
      <c r="D25" s="15" t="n"/>
      <c r="E25" s="15" t="n"/>
      <c r="F25" s="15" t="n"/>
      <c r="G25" s="15" t="n"/>
      <c r="H25" s="15" t="n"/>
    </row>
    <row r="26">
      <c r="B26" s="5" t="inlineStr">
        <is>
          <t>Categorías con medición propia (n.º)</t>
        </is>
      </c>
      <c r="E26" s="20">
        <f>COUNTIF($H$6:$H$23,"Tu medición")</f>
        <v>6.0</v>
      </c>
    </row>
    <row r="27">
      <c r="B27" t="inlineStr">
        <is>
          <t>Categorías que aún usan la referencia (n.º)</t>
        </is>
      </c>
      <c r="E27" s="16">
        <f>COUNTIF($H$6:$H$23,"Referencia orientativa")</f>
        <v>6.0</v>
      </c>
    </row>
    <row r="28">
      <c r="B28" t="inlineStr">
        <is>
          <t>Desviación media de tus mediciones sobre la referencia (puntos)</t>
        </is>
      </c>
      <c r="E28" s="12">
        <f>IFERROR(IF(COUNTIF($H$6:$H$23,"Tu medición")=0,"",SUM($I$6:$I$23)/COUNTIF($H$6:$H$23,"Tu medición")),"")</f>
        <v>-0.008250000000000007</v>
      </c>
      <c r="J28" s="4" t="inlineStr">
        <is>
          <t>Si tu merma está sistemáticamente por encima de la referencia, el problema no es la tabla: es el despiece, el proveedor o el calibre que te sirven.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autoFilter ref="A5:J23"/>
  <conditionalFormatting sqref="H6:H23">
    <cfRule type="cellIs" priority="1" operator="equal" dxfId="0" stopIfTrue="1">
      <formula>"Tu medición"</formula>
    </cfRule>
    <cfRule type="cellIs" priority="2" operator="equal" dxfId="1" stopIfTrue="1">
      <formula>"Referencia orientativa"</formula>
    </cfRule>
  </conditionalFormatting>
  <dataValidations count="3">
    <dataValidation sqref="C6 C7 C8 C9 C10 C11 C12 C13 C14 C15 C16 C17 C18 C19 C20 C21 C22 C23" showDropDown="0" showInputMessage="1" showErrorMessage="1" allowBlank="1" errorTitle="Merma de referencia mínima" error="Escribe un porcentaje entre 0 y 0,95 (0,20 = 20 %)." promptTitle="Merma de referencia mínima" prompt="Se escribe en tanto por uno: 0,20 = 20 %. Tope 0,95 porque la merma entra en el coste como neta/(1-merma)." type="decimal" operator="between">
      <formula1>0</formula1>
      <formula2>0.95</formula2>
    </dataValidation>
    <dataValidation sqref="D6 D7 D8 D9 D10 D11 D12 D13 D14 D15 D16 D17 D18 D19 D20 D21 D22 D23" showDropDown="0" showInputMessage="1" showErrorMessage="1" allowBlank="1" errorTitle="Merma de referencia máxima" error="Escribe un porcentaje entre 0 y 0,95 (0,20 = 20 %)." promptTitle="Merma de referencia máxima" prompt="Se escribe en tanto por uno: 0,20 = 20 %. Tope 0,95 porque la merma entra en el coste como neta/(1-merma)." type="decimal" operator="between">
      <formula1>0</formula1>
      <formula2>0.95</formula2>
    </dataValidation>
    <dataValidation sqref="F6 F7 F8 F9 F10 F11 F12 F13 F14 F15 F16 F17 F18 F19 F20 F21 F22 F23" showDropDown="0" showInputMessage="1" showErrorMessage="1" allowBlank="1" errorTitle="Tu merma medida" error="Escribe un porcentaje entre 0 y 0,95 (0,20 = 20 %)." promptTitle="Tu merma medida" prompt="Se escribe en tanto por uno: 0,20 = 20 %. Tope 0,95 porque la merma entra en el coste como neta/(1-merma)." type="decimal" operator="between">
      <formula1>0</formula1>
      <formula2>0.95</formula2>
    </dataValidation>
  </dataValidations>
  <pageMargins left="0.51" right="0.51" top="0.55" bottom="0.55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Rendimiento, Mermas y Coste Neto del Producto</dc:title>
  <dc:subject xmlns:dc="http://purl.org/dc/elements/1.1/">Guía Food Cost + Ingeniería de Menú · Versión 1.0 · septiembre 2026</dc:subject>
  <dcterms:created xmlns:dcterms="http://purl.org/dc/terms/" xmlns:xsi="http://www.w3.org/2001/XMLSchema-instance" xsi:type="dcterms:W3CDTF">2026-09-03T21:53:58Z</dcterms:created>
  <dcterms:modified xmlns:dcterms="http://purl.org/dc/terms/" xmlns:xsi="http://www.w3.org/2001/XMLSchema-instance" xsi:type="dcterms:W3CDTF">2026-09-03T21:53:58Z</dcterms:modified>
  <cp:lastModifiedBy>AI Chef Pro</cp:lastModifiedBy>
</cp:coreProperties>
</file>