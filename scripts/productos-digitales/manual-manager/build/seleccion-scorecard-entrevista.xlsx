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Scorecard" sheetId="2" state="visible" r:id="rId2"/>
    <sheet xmlns:r="http://schemas.openxmlformats.org/officeDocument/2006/relationships" name="Comparativa de Candidatos" sheetId="3" state="visible" r:id="rId3"/>
    <sheet xmlns:r="http://schemas.openxmlformats.org/officeDocument/2006/relationships" name="Preguntas por Competencia" sheetId="4" state="visible" r:id="rId4"/>
  </sheets>
  <definedNames>
    <definedName name="_xlnm.Print_Titles" localSheetId="1">'Scorecard'!$11:$11</definedName>
    <definedName name="_xlnm.Print_Titles" localSheetId="3">'Preguntas por Competencia'!$8:$8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theme="1"/>
      <sz val="11"/>
    </font>
    <font>
      <b val="1"/>
      <color rgb="00FFD700"/>
      <sz val="16"/>
    </font>
    <font>
      <color rgb="00888888"/>
      <sz val="10"/>
    </font>
    <font>
      <b val="1"/>
      <color rgb="00FFD700"/>
      <sz val="12"/>
    </font>
    <font>
      <b val="1"/>
      <color rgb="00FFFFFF"/>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
      <patternFill patternType="solid">
        <fgColor rgb="00F2F2F2"/>
      </patternFill>
    </fill>
  </fills>
  <borders count="1">
    <border>
      <left/>
      <right/>
      <top/>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4" fontId="0" fillId="2" borderId="0" applyProtection="1" pivotButton="0" quotePrefix="0" xfId="0">
      <protection locked="0" hidden="0"/>
    </xf>
    <xf numFmtId="0" fontId="5" fillId="3" borderId="0" applyAlignment="1" pivotButton="0" quotePrefix="0" xfId="0">
      <alignment horizontal="center" vertical="center" wrapText="1"/>
    </xf>
    <xf numFmtId="0" fontId="1" fillId="0" borderId="0" pivotButton="0" quotePrefix="0" xfId="0"/>
    <xf numFmtId="0" fontId="1" fillId="2" borderId="0" applyProtection="1" pivotButton="0" quotePrefix="0" xfId="0">
      <protection locked="0" hidden="0"/>
    </xf>
    <xf numFmtId="3" fontId="0" fillId="0" borderId="0" pivotButton="0" quotePrefix="0" xfId="0"/>
    <xf numFmtId="0" fontId="0" fillId="2" borderId="0" applyAlignment="1" applyProtection="1" pivotButton="0" quotePrefix="0" xfId="0">
      <alignment horizontal="general" vertical="top" wrapText="1"/>
      <protection locked="0" hidden="0"/>
    </xf>
    <xf numFmtId="3" fontId="0" fillId="2" borderId="0" applyProtection="1" pivotButton="0" quotePrefix="0" xfId="0">
      <protection locked="0" hidden="0"/>
    </xf>
    <xf numFmtId="4" fontId="1" fillId="4" borderId="0" pivotButton="0" quotePrefix="0" xfId="0"/>
    <xf numFmtId="4" fontId="0" fillId="0" borderId="0" pivotButton="0" quotePrefix="0" xfId="0"/>
    <xf numFmtId="4" fontId="0" fillId="5" borderId="0" pivotButton="0" quotePrefix="0" xfId="0"/>
    <xf numFmtId="0" fontId="0" fillId="5" borderId="0" pivotButton="0" quotePrefix="0" xfId="0"/>
    <xf numFmtId="3" fontId="0" fillId="5" borderId="0" pivotButton="0" quotePrefix="0" xfId="0"/>
    <xf numFmtId="4" fontId="1" fillId="0" borderId="0" pivotButton="0" quotePrefix="0" xfId="0"/>
    <xf numFmtId="3" fontId="1" fillId="0" borderId="0" pivotButton="0" quotePrefix="0" xfId="0"/>
    <xf numFmtId="0" fontId="1" fillId="4" borderId="0" pivotButton="0" quotePrefix="0" xfId="0"/>
    <xf numFmtId="164" fontId="0" fillId="0" borderId="0" pivotButton="0" quotePrefix="0" xfId="0"/>
  </cellXfs>
  <cellStyles count="1">
    <cellStyle name="Normal" xfId="0" builtinId="0" hidden="0"/>
  </cellStyles>
  <dxfs count="2">
    <dxf>
      <font>
        <b val="1"/>
        <color rgb="00006100"/>
      </font>
      <fill>
        <patternFill patternType="solid">
          <fgColor rgb="00C6EFCE"/>
          <bgColor rgb="00C6EFCE"/>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8" customWidth="1" min="1" max="1"/>
  </cols>
  <sheetData>
    <row r="1">
      <c r="A1" s="1" t="inlineStr">
        <is>
          <t>Selección: Scorecard y Entrevista Estructurada</t>
        </is>
      </c>
    </row>
    <row r="2">
      <c r="A2" s="2" t="inlineStr">
        <is>
          <t>AI Chef Pro · aichef.pro — Manual del Manager de Restaurante</t>
        </is>
      </c>
    </row>
    <row r="3"/>
    <row r="4">
      <c r="A4" s="3" t="inlineStr">
        <is>
          <t>Instrucciones de uso</t>
        </is>
      </c>
    </row>
    <row r="5">
      <c r="A5" s="4" t="inlineStr">
        <is>
          <t>1. Antes de ver a nadie, escribe en «Scorecard» el puesto y las ocho competencias que de verdad importan para ESE puesto, con su peso de 1 a 3. Definir el criterio después de conocer a los candidatos es la forma más fina de engañarse a uno mismo.</t>
        </is>
      </c>
    </row>
    <row r="6">
      <c r="A6" s="4" t="inlineStr">
        <is>
          <t>2. Fija el umbral de recomendación (celda verde). Es la media ponderada por debajo de la cual no contratas, por muy simpática que haya sido la conversación.</t>
        </is>
      </c>
    </row>
    <row r="7">
      <c r="A7" s="4" t="inlineStr">
        <is>
          <t>3. Pon el nombre de cada candidato en la fila de nombres y puntúa de 1 a 5 en cada competencia, con la escala que tienes arriba a la vista.</t>
        </is>
      </c>
    </row>
    <row r="8">
      <c r="A8" s="4" t="inlineStr">
        <is>
          <t>4. Si una competencia NO la valoraste, deja la celda VACÍA. Vacío es «no valorada» y su peso sale del cálculo. Un 0 significa otra cosa: que la persona no tiene esa competencia. No son lo mismo y el libro los trata distinto.</t>
        </is>
      </c>
    </row>
    <row r="9">
      <c r="A9" s="4" t="inlineStr">
        <is>
          <t>5. La media ponderada, la media simple, el ranking y la recomendación se calculan solos y se ven juntos en «Comparativa de Candidatos».</t>
        </is>
      </c>
    </row>
    <row r="10">
      <c r="A10" s="4" t="inlineStr">
        <is>
          <t>6. Usa «Preguntas por Competencia» durante la entrevista: tres preguntas por competencia, en el mismo orden para todo el mundo. Anota la respuesta en la columna verde y puntúa ahí mismo.</t>
        </is>
      </c>
    </row>
    <row r="11">
      <c r="A11" s="4" t="inlineStr">
        <is>
          <t>7. Guarda el libro relleno. Si mañana alguien pregunta por qué se contrató a esa persona, la respuesta está escrita y con fecha.</t>
        </is>
      </c>
    </row>
    <row r="12"/>
    <row r="13">
      <c r="A13" s="5" t="inlineStr">
        <is>
          <t>Celdas verdes = campos editables</t>
        </is>
      </c>
    </row>
    <row r="14"/>
    <row r="15">
      <c r="A15" s="4" t="inlineStr">
        <is>
          <t>LO QUE NO SE PUEDE PREGUNTAR está en la primera pantalla de la hoja de preguntas: art. 9.5 de la Ley 15/2022. Léelo antes de la primera entrevista, no después de la primera denuncia.</t>
        </is>
      </c>
    </row>
    <row r="16"/>
    <row r="17">
      <c r="A17" s="4" t="inlineStr">
        <is>
          <t>La entrevista estructurada no es un interrogatorio: es hacerle a todo el mundo las mismas preguntas para poder comparar. Lo que cambia entre candidatos son las respuestas, no las preguntas.</t>
        </is>
      </c>
    </row>
    <row r="18"/>
    <row r="19">
      <c r="A19" s="4" t="inlineStr">
        <is>
          <t>El peso de cada competencia es TUYO. En un restaurante de carta con servicio en mesa pesa el aguante de un servicio de 75 cubiertos; en un local de barra pesará otra cosa. Cambia los pesos antes de puntuar, nunca después.</t>
        </is>
      </c>
    </row>
    <row r="20"/>
    <row r="21">
      <c r="A21" s="4" t="inlineStr">
        <is>
          <t>Los cuatro candidatos sembrados son un EJEMPLO del proceso modelado del pack (camarero o camarera de sala). Bórralos y pon los tuyos.</t>
        </is>
      </c>
    </row>
    <row r="22"/>
    <row r="23">
      <c r="A23" s="4" t="inlineStr">
        <is>
          <t>Dos candidatos pueden empatar. El libro lo dice sin maquillarlo: el ranking les da el mismo puesto, igual que haría una clasificación deportiva. Si tienes que elegir, mira la columna de observaciones y las competencias de peso 3.</t>
        </is>
      </c>
    </row>
    <row r="24"/>
    <row r="25">
      <c r="A25" s="4" t="inlineStr">
        <is>
          <t>Cuando cierres el proceso, el paso siguiente es el onboarding: el Kit de Gestión de Personal trae la hoja de acogida de los primeros 30 días.</t>
        </is>
      </c>
    </row>
    <row r="26"/>
    <row r="27">
      <c r="A27" s="4" t="inlineStr">
        <is>
          <t>LO QUE LA LEY NO TE DEJA PREGUNTAR. El art. 9.5 de la Ley 15/2022, de 12 de julio, integral para la igualdad de trato y la no discriminación, dice que el empleador no podrá preguntar sobre las condiciones de salud del aspirante al puesto. Ninguna de las 24 preguntas de esta hoja toca salud, embarazo, planes de maternidad o paternidad, cargas familiares, situación de pareja, religión, origen ni orientación sexual. No es una recomendación de estilo: es lo que separa una entrevista de una infracción. Verificado el 04-09-2026 · Ley 15/2022, art. 9.5 · https://www.boe.es/buscar/act.php?id=BOE-A-2022-11589</t>
        </is>
      </c>
    </row>
    <row r="28"/>
    <row r="29">
      <c r="A29" s="4" t="inlineStr">
        <is>
          <t>Para editar la estructura o una celda que no esté en verde: Revisar, Desproteger hoja (no tiene contraseña).</t>
        </is>
      </c>
    </row>
    <row r="30">
      <c r="A30" s="4" t="inlineStr">
        <is>
          <t>Diseñado por John Guerrero — chef y consultor gastronómico desde 2010 · johnguerrero.es</t>
        </is>
      </c>
    </row>
    <row r="31">
      <c r="A31"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30"/>
  <sheetViews>
    <sheetView workbookViewId="0">
      <selection activeCell="A1" sqref="A1"/>
    </sheetView>
  </sheetViews>
  <sheetFormatPr baseColWidth="8" defaultRowHeight="15"/>
  <cols>
    <col width="5" customWidth="1" min="1" max="1"/>
    <col width="54" customWidth="1" min="2" max="2"/>
    <col width="10" customWidth="1" min="3" max="3"/>
    <col width="15" customWidth="1" min="4" max="4"/>
    <col width="15" customWidth="1" min="5" max="5"/>
    <col width="15" customWidth="1" min="6" max="6"/>
    <col width="15" customWidth="1" min="7" max="7"/>
    <col width="46" customWidth="1" min="8" max="8"/>
    <col width="60" customWidth="1" min="9" max="9"/>
  </cols>
  <sheetData>
    <row r="1">
      <c r="A1" s="1" t="inlineStr">
        <is>
          <t>Scorecard — el mismo criterio para todos los candidatos</t>
        </is>
      </c>
    </row>
    <row r="2">
      <c r="A2" s="2" t="inlineStr">
        <is>
          <t>AI Chef Pro · aichef.pro — Manual del Manager de Restaurante</t>
        </is>
      </c>
    </row>
    <row r="3">
      <c r="A3" s="3" t="inlineStr">
        <is>
          <t>EL PUESTO — celdas verdes</t>
        </is>
      </c>
    </row>
    <row r="4">
      <c r="B4" t="inlineStr">
        <is>
          <t>Puesto</t>
        </is>
      </c>
      <c r="D4" s="5" t="inlineStr">
        <is>
          <t>Camarero/a de sala</t>
        </is>
      </c>
    </row>
    <row r="5">
      <c r="B5" t="inlineStr">
        <is>
          <t>Encuadre en el ALEH VI</t>
        </is>
      </c>
      <c r="D5" s="5" t="inlineStr">
        <is>
          <t>Área 3ª · Grupo II</t>
        </is>
      </c>
      <c r="I5" s="4" t="inlineStr">
        <is>
          <t>El ALEH VI ordena la hostelería en SEIS áreas funcionales y TRES grupos profesionales. «Encargado», «director» o «gerente» son denominaciones de uso, no categorías del convenio: quien lleva el local se clasifica por las funciones que hace. Verificado el 04-09-2026 · ALEH VI (BOE-A-2023-6344, con la modificación BOE-A-2026-18630) · https://www.boe.es/buscar/doc.php?id=BOE-A-2023-6344</t>
        </is>
      </c>
    </row>
    <row r="6">
      <c r="B6" t="inlineStr">
        <is>
          <t>Jornada</t>
        </is>
      </c>
      <c r="D6" s="5" t="inlineStr">
        <is>
          <t>40 h/semana, turno partido</t>
        </is>
      </c>
    </row>
    <row r="7">
      <c r="B7" t="inlineStr">
        <is>
          <t>Umbral de recomendación (media ponderada, 1-5)</t>
        </is>
      </c>
      <c r="D7" s="6" t="n">
        <v>3.5</v>
      </c>
      <c r="I7" s="4" t="inlineStr">
        <is>
          <t>Por debajo de esta media ponderada, el libro dice «No alcanza el umbral». Súbelo o bájalo según lo que puedas permitirte esperar, pero fíjalo ANTES de entrevistar.</t>
        </is>
      </c>
    </row>
    <row r="8">
      <c r="B8" t="inlineStr">
        <is>
          <t>Escala de puntuación</t>
        </is>
      </c>
      <c r="D8" s="4" t="inlineStr">
        <is>
          <t>1 = No lo ha hecho nunca o no lo demuestra · 2 = Lo ha hecho poco y con apoyo · 3 = Lo hace de forma autónoma en lo básico · 4 = Lo hace bien y resuelve situaciones difíciles · 5 = Lo hace muy bien y puede enseñárselo a otro</t>
        </is>
      </c>
    </row>
    <row r="9"/>
    <row r="10">
      <c r="A10" s="3" t="inlineStr">
        <is>
          <t>SCORECARD — puntúa de 1 a 5; deja VACÍO lo que no valoraste</t>
        </is>
      </c>
    </row>
    <row r="11" ht="38" customHeight="1">
      <c r="A11" s="7" t="inlineStr">
        <is>
          <t>#</t>
        </is>
      </c>
      <c r="B11" s="7" t="inlineStr">
        <is>
          <t>Competencia</t>
        </is>
      </c>
      <c r="C11" s="7" t="inlineStr">
        <is>
          <t>Peso (1-3)</t>
        </is>
      </c>
      <c r="D11" s="7" t="inlineStr">
        <is>
          <t>Candidato 1</t>
        </is>
      </c>
      <c r="E11" s="7" t="inlineStr">
        <is>
          <t>Candidato 2</t>
        </is>
      </c>
      <c r="F11" s="7" t="inlineStr">
        <is>
          <t>Candidato 3</t>
        </is>
      </c>
      <c r="G11" s="7" t="inlineStr">
        <is>
          <t>Candidato 4</t>
        </is>
      </c>
      <c r="H11" s="7" t="inlineStr">
        <is>
          <t>Observaciones</t>
        </is>
      </c>
      <c r="I11" s="7" t="inlineStr">
        <is>
          <t>Notas</t>
        </is>
      </c>
    </row>
    <row r="12">
      <c r="B12" s="8" t="inlineStr">
        <is>
          <t>Nombre del candidato</t>
        </is>
      </c>
      <c r="D12" s="9" t="inlineStr">
        <is>
          <t>Candidata A</t>
        </is>
      </c>
      <c r="E12" s="9" t="inlineStr">
        <is>
          <t>Candidato B</t>
        </is>
      </c>
      <c r="F12" s="9" t="inlineStr">
        <is>
          <t>Candidata C</t>
        </is>
      </c>
      <c r="G12" s="9" t="inlineStr">
        <is>
          <t>Candidato D</t>
        </is>
      </c>
    </row>
    <row r="13">
      <c r="A13" s="10" t="n">
        <v>1</v>
      </c>
      <c r="B13" s="11" t="inlineStr">
        <is>
          <t>Experiencia en sala de carta con servicio en mesa</t>
        </is>
      </c>
      <c r="C13" s="12" t="n">
        <v>3</v>
      </c>
      <c r="D13" s="12" t="n">
        <v>4</v>
      </c>
      <c r="E13" s="12" t="n">
        <v>5</v>
      </c>
      <c r="F13" s="12" t="n">
        <v>3</v>
      </c>
      <c r="G13" s="12" t="n">
        <v>2</v>
      </c>
      <c r="H13" s="5" t="n"/>
    </row>
    <row r="14">
      <c r="A14" s="10" t="n">
        <v>2</v>
      </c>
      <c r="B14" s="11" t="inlineStr">
        <is>
          <t>Ritmo y aguante en un servicio de 75 cubiertos</t>
        </is>
      </c>
      <c r="C14" s="12" t="n">
        <v>3</v>
      </c>
      <c r="D14" s="12" t="n">
        <v>4</v>
      </c>
      <c r="E14" s="12" t="n">
        <v>4</v>
      </c>
      <c r="F14" s="12" t="n">
        <v>3</v>
      </c>
      <c r="G14" s="12" t="n">
        <v>4</v>
      </c>
      <c r="H14" s="5" t="n"/>
    </row>
    <row r="15">
      <c r="A15" s="10" t="n">
        <v>3</v>
      </c>
      <c r="B15" s="11" t="inlineStr">
        <is>
          <t>Trato con el cliente y gestión de una queja</t>
        </is>
      </c>
      <c r="C15" s="12" t="n">
        <v>3</v>
      </c>
      <c r="D15" s="12" t="n">
        <v>5</v>
      </c>
      <c r="E15" s="12" t="n">
        <v>3</v>
      </c>
      <c r="F15" s="12" t="n">
        <v>4</v>
      </c>
      <c r="G15" s="12" t="n">
        <v>3</v>
      </c>
      <c r="H15" s="5" t="n"/>
    </row>
    <row r="16">
      <c r="A16" s="10" t="n">
        <v>4</v>
      </c>
      <c r="B16" s="11" t="inlineStr">
        <is>
          <t>Coordinación con cocina</t>
        </is>
      </c>
      <c r="C16" s="12" t="n">
        <v>2</v>
      </c>
      <c r="D16" s="12" t="n">
        <v>4</v>
      </c>
      <c r="E16" s="12" t="n">
        <v>3</v>
      </c>
      <c r="F16" s="12" t="n">
        <v>4</v>
      </c>
      <c r="G16" s="12" t="n">
        <v>3</v>
      </c>
      <c r="H16" s="5" t="n"/>
    </row>
    <row r="17">
      <c r="A17" s="10" t="n">
        <v>5</v>
      </c>
      <c r="B17" s="11" t="inlineStr">
        <is>
          <t>Manejo de TPV, comanda y cobro</t>
        </is>
      </c>
      <c r="C17" s="12" t="n">
        <v>2</v>
      </c>
      <c r="D17" s="12" t="n">
        <v>3</v>
      </c>
      <c r="E17" s="12" t="n">
        <v>5</v>
      </c>
      <c r="F17" s="12" t="n">
        <v>3</v>
      </c>
      <c r="G17" s="12" t="n">
        <v>4</v>
      </c>
      <c r="H17" s="5" t="n"/>
    </row>
    <row r="18">
      <c r="A18" s="10" t="n">
        <v>6</v>
      </c>
      <c r="B18" s="11" t="inlineStr">
        <is>
          <t>Conocimiento de alérgenos y de la carta</t>
        </is>
      </c>
      <c r="C18" s="12" t="n">
        <v>2</v>
      </c>
      <c r="D18" s="12" t="n">
        <v>3</v>
      </c>
      <c r="E18" s="12" t="n">
        <v>4</v>
      </c>
      <c r="F18" s="12" t="n">
        <v>2</v>
      </c>
      <c r="G18" s="12" t="n">
        <v>2</v>
      </c>
      <c r="H18" s="5" t="n"/>
    </row>
    <row r="19">
      <c r="A19" s="10" t="n">
        <v>7</v>
      </c>
      <c r="B19" s="11" t="inlineStr">
        <is>
          <t>Idiomas de sala (inglés y francés)</t>
        </is>
      </c>
      <c r="C19" s="12" t="n">
        <v>1</v>
      </c>
      <c r="D19" s="12" t="n">
        <v>4</v>
      </c>
      <c r="E19" s="12" t="n"/>
      <c r="F19" s="12" t="n">
        <v>3</v>
      </c>
      <c r="G19" s="12" t="n">
        <v>2</v>
      </c>
      <c r="H19" s="5" t="n"/>
    </row>
    <row r="20">
      <c r="A20" s="10" t="n">
        <v>8</v>
      </c>
      <c r="B20" s="11" t="inlineStr">
        <is>
          <t>Disponibilidad para turno partido y fines de semana</t>
        </is>
      </c>
      <c r="C20" s="12" t="n">
        <v>2</v>
      </c>
      <c r="D20" s="12" t="n">
        <v>5</v>
      </c>
      <c r="E20" s="12" t="n">
        <v>4</v>
      </c>
      <c r="F20" s="12" t="n">
        <v>3</v>
      </c>
      <c r="G20" s="12" t="n">
        <v>5</v>
      </c>
      <c r="H20" s="5" t="n"/>
    </row>
    <row r="21">
      <c r="A21" s="3" t="inlineStr">
        <is>
          <t>RESULTADO — lo calcula el libro</t>
        </is>
      </c>
    </row>
    <row r="22">
      <c r="B22" t="inlineStr">
        <is>
          <t>Competencias valoradas</t>
        </is>
      </c>
      <c r="D22" s="10">
        <f>SUMPRODUCT(--ISNUMBER(D$13:D$20))</f>
        <v>8.0</v>
      </c>
      <c r="E22" s="10">
        <f>SUMPRODUCT(--ISNUMBER(E$13:E$20))</f>
        <v>7.0</v>
      </c>
      <c r="F22" s="10">
        <f>SUMPRODUCT(--ISNUMBER(F$13:F$20))</f>
        <v>8.0</v>
      </c>
      <c r="G22" s="10">
        <f>SUMPRODUCT(--ISNUMBER(G$13:G$20))</f>
        <v>8.0</v>
      </c>
    </row>
    <row r="23">
      <c r="B23" t="inlineStr">
        <is>
          <t>Peso valorado</t>
        </is>
      </c>
      <c r="D23" s="10">
        <f>SUMPRODUCT($C$13:$C$20,--ISNUMBER(D$13:D$20))</f>
        <v>18.0</v>
      </c>
      <c r="E23" s="10">
        <f>SUMPRODUCT($C$13:$C$20,--ISNUMBER(E$13:E$20))</f>
        <v>17.0</v>
      </c>
      <c r="F23" s="10">
        <f>SUMPRODUCT($C$13:$C$20,--ISNUMBER(F$13:F$20))</f>
        <v>18.0</v>
      </c>
      <c r="G23" s="10">
        <f>SUMPRODUCT($C$13:$C$20,--ISNUMBER(G$13:G$20))</f>
        <v>18.0</v>
      </c>
    </row>
    <row r="24">
      <c r="B24" t="inlineStr">
        <is>
          <t>Suma de peso por puntuación</t>
        </is>
      </c>
      <c r="D24" s="10">
        <f>IFERROR(SUMPRODUCT($C$13:$C$20,D$13:D$20),"")</f>
        <v>73.0</v>
      </c>
      <c r="E24" s="10">
        <f>IFERROR(SUMPRODUCT($C$13:$C$20,E$13:E$20),"")</f>
        <v>68.0</v>
      </c>
      <c r="F24" s="10">
        <f>IFERROR(SUMPRODUCT($C$13:$C$20,F$13:F$20),"")</f>
        <v>57.0</v>
      </c>
      <c r="G24" s="10">
        <f>IFERROR(SUMPRODUCT($C$13:$C$20,G$13:G$20),"")</f>
        <v>57.0</v>
      </c>
    </row>
    <row r="25">
      <c r="B25" s="8" t="inlineStr">
        <is>
          <t>MEDIA PONDERADA (1-5)</t>
        </is>
      </c>
      <c r="D25" s="13">
        <f>IFERROR(IF(D$23=0,"",D$24/D$23),"")</f>
        <v>4.055555555555555</v>
      </c>
      <c r="E25" s="13">
        <f>IFERROR(IF(E$23=0,"",E$24/E$23),"")</f>
        <v>4.0</v>
      </c>
      <c r="F25" s="13">
        <f>IFERROR(IF(F$23=0,"",F$24/F$23),"")</f>
        <v>3.1666666666666665</v>
      </c>
      <c r="G25" s="13">
        <f>IFERROR(IF(G$23=0,"",G$24/G$23),"")</f>
        <v>3.1666666666666665</v>
      </c>
    </row>
    <row r="26">
      <c r="B26" t="inlineStr">
        <is>
          <t>Media simple (1-5)</t>
        </is>
      </c>
      <c r="D26" s="14">
        <f>IFERROR(IF(D$22=0,"",AVERAGE(D$13:D$20)),"")</f>
        <v>4.0</v>
      </c>
      <c r="E26" s="14">
        <f>IFERROR(IF(E$22=0,"",AVERAGE(E$13:E$20)),"")</f>
        <v>4.0</v>
      </c>
      <c r="F26" s="14">
        <f>IFERROR(IF(F$22=0,"",AVERAGE(F$13:F$20)),"")</f>
        <v>3.125</v>
      </c>
      <c r="G26" s="14">
        <f>IFERROR(IF(G$22=0,"",AVERAGE(G$13:G$20)),"")</f>
        <v>3.125</v>
      </c>
    </row>
    <row r="27">
      <c r="B27" s="8" t="inlineStr">
        <is>
          <t>Recomendación</t>
        </is>
      </c>
      <c r="D27" s="8" t="str">
        <f>IFERROR(IF(OR(D$25="",$D$7=""),"",IF(D$25&gt;=$D$7,"Recomendado","No alcanza el umbral")),"")</f>
        <v>Recomendado</v>
      </c>
      <c r="E27" s="8" t="str">
        <f>IFERROR(IF(OR(E$25="",$D$7=""),"",IF(E$25&gt;=$D$7,"Recomendado","No alcanza el umbral")),"")</f>
        <v>Recomendado</v>
      </c>
      <c r="F27" s="8" t="str">
        <f>IFERROR(IF(OR(F$25="",$D$7=""),"",IF(F$25&gt;=$D$7,"Recomendado","No alcanza el umbral")),"")</f>
        <v>No alcanza el umbral</v>
      </c>
      <c r="G27" s="8" t="str">
        <f>IFERROR(IF(OR(G$25="",$D$7=""),"",IF(G$25&gt;=$D$7,"Recomendado","No alcanza el umbral")),"")</f>
        <v>No alcanza el umbral</v>
      </c>
    </row>
    <row r="28"/>
    <row r="29">
      <c r="B29" s="4" t="inlineStr">
        <is>
          <t>La media ponderada usa SOLO las competencias valoradas: mira la fila «Peso valorado». Si un candidato la tiene más baja que los demás, es que se le valoró menos, y compararlo con el resto es comparar dos cosas distintas.</t>
        </is>
      </c>
    </row>
    <row r="30">
      <c r="B30" s="4" t="inlineStr">
        <is>
          <t>La media simple está ahí para contrastar: cuando la ponderada y la simple se separan mucho, el candidato es fuerte justo en lo que más pesa, o al revés.</t>
        </is>
      </c>
    </row>
  </sheetData>
  <sheetProtection selectLockedCells="0" selectUnlockedCells="0" sheet="1" objects="0" insertRows="0" insertHyperlinks="1" autoFilter="1" scenarios="0" formatColumns="0" deleteColumns="1" insertColumns="1" pivotTables="1" deleteRows="1" formatCells="1" formatRows="0" sort="0"/>
  <conditionalFormatting sqref="D27:G27">
    <cfRule type="cellIs" priority="1" operator="equal" dxfId="0" stopIfTrue="1">
      <formula>"Recomendado"</formula>
    </cfRule>
    <cfRule type="cellIs" priority="2" operator="equal" dxfId="1" stopIfTrue="1">
      <formula>"No alcanza el umbral"</formula>
    </cfRule>
  </conditionalFormatting>
  <conditionalFormatting sqref="D25:G25">
    <cfRule type="expression" priority="3" dxfId="1" stopIfTrue="1">
      <formula>=AND(ISNUMBER(D$25),D$25&lt;$D$7)</formula>
    </cfRule>
  </conditionalFormatting>
  <dataValidations count="3">
    <dataValidation sqref="D7" showDropDown="0" showInputMessage="0" showErrorMessage="1" allowBlank="1" errorTitle="Umbral (1-5)" error="Escribe la media ponderada mínima para recomendar a un candidato, entre 1 y 5." type="decimal" operator="between">
      <formula1>1</formula1>
      <formula2>5</formula2>
    </dataValidation>
    <dataValidation sqref="C13 C14 C15 C16 C17 C18 C19 C20" showDropDown="0" showInputMessage="0" showErrorMessage="1" allowBlank="1" errorTitle="Peso (1-3)" error="1 conviene, 2 importa, 3 es imprescindible para el puesto." type="decimal" operator="between">
      <formula1>1</formula1>
      <formula2>3</formula2>
    </dataValidation>
    <dataValidation sqref="D13 D14 D15 D16 D17 D18 D19 D20 E13 E14 E15 E16 E17 E18 E19 E20 F13 F14 F15 F16 F17 F18 F19 F20 G13 G14 G15 G16 G17 G18 G19 G20" showDropDown="0" showInputMessage="0" showErrorMessage="1" allowBlank="1" errorTitle="Puntuación (1-5)" error="Puntúa de 1 a 5 con la escala de arriba. Si no valoraste esa competencia, deja la celda VACÍA: su peso sale del cálculo." type="decimal" operator="between">
      <formula1>1</formula1>
      <formula2>5</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22"/>
  <sheetViews>
    <sheetView workbookViewId="0">
      <selection activeCell="A1" sqref="A1"/>
    </sheetView>
  </sheetViews>
  <sheetFormatPr baseColWidth="8" defaultRowHeight="15"/>
  <cols>
    <col width="5" customWidth="1" min="1" max="1"/>
    <col width="34" customWidth="1" min="2" max="2"/>
    <col width="15" customWidth="1" min="3" max="3"/>
    <col width="14" customWidth="1" min="4" max="4"/>
    <col width="14" customWidth="1" min="5" max="5"/>
    <col width="13" customWidth="1" min="6" max="6"/>
    <col width="13" customWidth="1" min="7" max="7"/>
    <col width="22" customWidth="1" min="8" max="8"/>
    <col width="52" customWidth="1" min="9" max="9"/>
  </cols>
  <sheetData>
    <row r="1">
      <c r="A1" s="1" t="inlineStr">
        <is>
          <t>Comparativa — quién va primero y por cuánto</t>
        </is>
      </c>
    </row>
    <row r="2">
      <c r="A2" s="2" t="inlineStr">
        <is>
          <t>AI Chef Pro · aichef.pro — Manual del Manager de Restaurante</t>
        </is>
      </c>
    </row>
    <row r="3">
      <c r="A3" s="3" t="inlineStr">
        <is>
          <t>PARÁMETROS EN VIGOR — se leen de la hoja «Scorecard»; cámbialos allí, no aquí</t>
        </is>
      </c>
    </row>
    <row r="4">
      <c r="B4" t="inlineStr">
        <is>
          <t>Umbral de recomendación (media ponderada, 1-5)</t>
        </is>
      </c>
      <c r="D4" s="15">
        <f>IF(Scorecard!$D$7="","",Scorecard!$D$7)</f>
        <v>3.5</v>
      </c>
    </row>
    <row r="5">
      <c r="B5" t="inlineStr">
        <is>
          <t>Puesto</t>
        </is>
      </c>
      <c r="D5" s="16" t="str">
        <f>IF(Scorecard!$D$4="","",Scorecard!$D$4)</f>
        <v>Camarero/a de sala</v>
      </c>
    </row>
    <row r="6">
      <c r="B6" t="inlineStr">
        <is>
          <t>Competencias del scorecard</t>
        </is>
      </c>
      <c r="D6" s="17">
        <f>COUNTIF(Scorecard!$B$13:$B$20,"&lt;&gt;")</f>
        <v>8.0</v>
      </c>
    </row>
    <row r="7"/>
    <row r="8" ht="38" customHeight="1">
      <c r="A8" s="7" t="inlineStr">
        <is>
          <t>#</t>
        </is>
      </c>
      <c r="B8" s="7" t="inlineStr">
        <is>
          <t>Candidato</t>
        </is>
      </c>
      <c r="C8" s="7" t="inlineStr">
        <is>
          <t>Media ponderada</t>
        </is>
      </c>
      <c r="D8" s="7" t="inlineStr">
        <is>
          <t>Media simple</t>
        </is>
      </c>
      <c r="E8" s="7" t="inlineStr">
        <is>
          <t>Competencias valoradas</t>
        </is>
      </c>
      <c r="F8" s="7" t="inlineStr">
        <is>
          <t>Peso valorado</t>
        </is>
      </c>
      <c r="G8" s="7" t="inlineStr">
        <is>
          <t>Puesto en el ranking</t>
        </is>
      </c>
      <c r="H8" s="7" t="inlineStr">
        <is>
          <t>Recomendación</t>
        </is>
      </c>
      <c r="I8" s="7" t="inlineStr">
        <is>
          <t>Notas</t>
        </is>
      </c>
    </row>
    <row r="9">
      <c r="A9" s="10" t="n">
        <v>1</v>
      </c>
      <c r="B9" t="str">
        <f>IF(Scorecard!D$12="","",Scorecard!D$12)</f>
        <v>Candidata A</v>
      </c>
      <c r="C9" s="18">
        <f>IFERROR(IF(Scorecard!D$25="","",Scorecard!D$25),"")</f>
        <v>4.055555555555555</v>
      </c>
      <c r="D9" s="14">
        <f>IFERROR(IF(Scorecard!D$26="","",Scorecard!D$26),"")</f>
        <v>4.0</v>
      </c>
      <c r="E9" s="10">
        <f>IFERROR(Scorecard!D$22,"")</f>
        <v>8.0</v>
      </c>
      <c r="F9" s="10">
        <f>IFERROR(Scorecard!D$23,"")</f>
        <v>18.0</v>
      </c>
      <c r="G9" s="19">
        <f>IFERROR(IF(NOT(ISNUMBER($C9)),"",SUMPRODUCT(--ISNUMBER($C$9:$C$12),--($C$9:$C$12&gt;$C9))+1),"")</f>
        <v>1.0</v>
      </c>
      <c r="H9" s="8" t="str">
        <f>IFERROR(IF(OR($C9="",$D$4=""),"",IF($C9&gt;=$D$4,"Recomendado","No alcanza el umbral")),"")</f>
        <v>Recomendado</v>
      </c>
      <c r="I9" s="5" t="n"/>
    </row>
    <row r="10">
      <c r="A10" s="10" t="n">
        <v>2</v>
      </c>
      <c r="B10" t="str">
        <f>IF(Scorecard!E$12="","",Scorecard!E$12)</f>
        <v>Candidato B</v>
      </c>
      <c r="C10" s="18">
        <f>IFERROR(IF(Scorecard!E$25="","",Scorecard!E$25),"")</f>
        <v>4.0</v>
      </c>
      <c r="D10" s="14">
        <f>IFERROR(IF(Scorecard!E$26="","",Scorecard!E$26),"")</f>
        <v>4.0</v>
      </c>
      <c r="E10" s="10">
        <f>IFERROR(Scorecard!E$22,"")</f>
        <v>7.0</v>
      </c>
      <c r="F10" s="10">
        <f>IFERROR(Scorecard!E$23,"")</f>
        <v>17.0</v>
      </c>
      <c r="G10" s="19">
        <f>IFERROR(IF(NOT(ISNUMBER($C10)),"",SUMPRODUCT(--ISNUMBER($C$9:$C$12),--($C$9:$C$12&gt;$C10))+1),"")</f>
        <v>2.0</v>
      </c>
      <c r="H10" s="8" t="str">
        <f>IFERROR(IF(OR($C10="",$D$4=""),"",IF($C10&gt;=$D$4,"Recomendado","No alcanza el umbral")),"")</f>
        <v>Recomendado</v>
      </c>
      <c r="I10" s="5" t="n"/>
    </row>
    <row r="11">
      <c r="A11" s="10" t="n">
        <v>3</v>
      </c>
      <c r="B11" t="str">
        <f>IF(Scorecard!F$12="","",Scorecard!F$12)</f>
        <v>Candidata C</v>
      </c>
      <c r="C11" s="18">
        <f>IFERROR(IF(Scorecard!F$25="","",Scorecard!F$25),"")</f>
        <v>3.1666666666666665</v>
      </c>
      <c r="D11" s="14">
        <f>IFERROR(IF(Scorecard!F$26="","",Scorecard!F$26),"")</f>
        <v>3.125</v>
      </c>
      <c r="E11" s="10">
        <f>IFERROR(Scorecard!F$22,"")</f>
        <v>8.0</v>
      </c>
      <c r="F11" s="10">
        <f>IFERROR(Scorecard!F$23,"")</f>
        <v>18.0</v>
      </c>
      <c r="G11" s="19">
        <f>IFERROR(IF(NOT(ISNUMBER($C11)),"",SUMPRODUCT(--ISNUMBER($C$9:$C$12),--($C$9:$C$12&gt;$C11))+1),"")</f>
        <v>3.0</v>
      </c>
      <c r="H11" s="8" t="str">
        <f>IFERROR(IF(OR($C11="",$D$4=""),"",IF($C11&gt;=$D$4,"Recomendado","No alcanza el umbral")),"")</f>
        <v>No alcanza el umbral</v>
      </c>
      <c r="I11" s="5" t="n"/>
    </row>
    <row r="12">
      <c r="A12" s="10" t="n">
        <v>4</v>
      </c>
      <c r="B12" t="str">
        <f>IF(Scorecard!G$12="","",Scorecard!G$12)</f>
        <v>Candidato D</v>
      </c>
      <c r="C12" s="18">
        <f>IFERROR(IF(Scorecard!G$25="","",Scorecard!G$25),"")</f>
        <v>3.1666666666666665</v>
      </c>
      <c r="D12" s="14">
        <f>IFERROR(IF(Scorecard!G$26="","",Scorecard!G$26),"")</f>
        <v>3.125</v>
      </c>
      <c r="E12" s="10">
        <f>IFERROR(Scorecard!G$22,"")</f>
        <v>8.0</v>
      </c>
      <c r="F12" s="10">
        <f>IFERROR(Scorecard!G$23,"")</f>
        <v>18.0</v>
      </c>
      <c r="G12" s="19">
        <f>IFERROR(IF(NOT(ISNUMBER($C12)),"",SUMPRODUCT(--ISNUMBER($C$9:$C$12),--($C$9:$C$12&gt;$C12))+1),"")</f>
        <v>3.0</v>
      </c>
      <c r="H12" s="8" t="str">
        <f>IFERROR(IF(OR($C12="",$D$4=""),"",IF($C12&gt;=$D$4,"Recomendado","No alcanza el umbral")),"")</f>
        <v>No alcanza el umbral</v>
      </c>
      <c r="I12" s="5" t="n"/>
    </row>
    <row r="13">
      <c r="A13" s="3" t="inlineStr">
        <is>
          <t>LECTURA — lo calcula el libro</t>
        </is>
      </c>
    </row>
    <row r="14">
      <c r="B14" t="inlineStr">
        <is>
          <t>Candidatos evaluados</t>
        </is>
      </c>
      <c r="D14" s="10">
        <f>COUNTIF($B$9:$B$12,"&lt;&gt;")</f>
        <v>4.0</v>
      </c>
    </row>
    <row r="15">
      <c r="B15" s="8" t="inlineStr">
        <is>
          <t>MEJOR CANDIDATO</t>
        </is>
      </c>
      <c r="D15" s="20" t="str">
        <f>IFERROR(INDEX($B$9:$B$12,MATCH(MAX($C$9:$C$12),$C$9:$C$12,0)),"")</f>
        <v>Candidata A</v>
      </c>
    </row>
    <row r="16">
      <c r="B16" t="inlineStr">
        <is>
          <t>Mejor media ponderada</t>
        </is>
      </c>
      <c r="D16" s="14">
        <f>IFERROR(MAX($C$9:$C$12),"")</f>
        <v>4.055555555555555</v>
      </c>
    </row>
    <row r="17">
      <c r="B17" t="inlineStr">
        <is>
          <t>Distancia entre el primero y el segundo</t>
        </is>
      </c>
      <c r="D17" s="14">
        <f>IFERROR(LARGE($C$9:$C$12,1)-LARGE($C$9:$C$12,2),"")</f>
        <v>0.05555555555555536</v>
      </c>
    </row>
    <row r="18">
      <c r="B18" t="inlineStr">
        <is>
          <t>Candidatos que alcanzan el umbral</t>
        </is>
      </c>
      <c r="D18" s="10">
        <f>COUNTIF($H$9:$H$12,"Recomendado")</f>
        <v>2.0</v>
      </c>
    </row>
    <row r="19">
      <c r="B19" t="inlineStr">
        <is>
          <t>Candidatos por debajo del umbral</t>
        </is>
      </c>
      <c r="D19" s="10">
        <f>COUNTIF($H$9:$H$12,"No alcanza el umbral")</f>
        <v>2.0</v>
      </c>
    </row>
    <row r="20"/>
    <row r="21">
      <c r="B21" s="4" t="inlineStr">
        <is>
          <t>Si la distancia entre el primero y el segundo es pequeña, el scorecard no ha decidido por ti: decide tú, y escribe en las notas por qué.</t>
        </is>
      </c>
    </row>
    <row r="22">
      <c r="B22" s="4" t="inlineStr">
        <is>
          <t>Si NADIE alcanza el umbral, la respuesta correcta es no contratar y volver a publicar la oferta. Contratar por debajo del criterio propio se paga en el servicio y en la rotación.</t>
        </is>
      </c>
    </row>
  </sheetData>
  <sheetProtection selectLockedCells="0" selectUnlockedCells="0" sheet="1" objects="0" insertRows="0" insertHyperlinks="1" autoFilter="1" scenarios="0" formatColumns="0" deleteColumns="1" insertColumns="1" pivotTables="1" deleteRows="1" formatCells="1" formatRows="0" sort="0"/>
  <conditionalFormatting sqref="H9:H12">
    <cfRule type="cellIs" priority="1" operator="equal" dxfId="0" stopIfTrue="1">
      <formula>"Recomendado"</formula>
    </cfRule>
    <cfRule type="cellIs" priority="2" operator="equal" dxfId="1" stopIfTrue="1">
      <formula>"No alcanza el umbral"</formula>
    </cfRule>
  </conditionalFormatting>
  <conditionalFormatting sqref="C9:C12">
    <cfRule type="expression" priority="3" dxfId="1" stopIfTrue="1">
      <formula>=AND(ISNUMBER($C9),$C9&lt;$D$4)</formula>
    </cfRule>
  </conditionalFormatting>
  <conditionalFormatting sqref="G9:G12">
    <cfRule type="expression" priority="4" dxfId="0" stopIfTrue="1">
      <formula>=AND(ISNUMBER($G9),$G9=1)</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4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78" customWidth="1" min="3" max="3"/>
    <col width="52" customWidth="1" min="4" max="4"/>
    <col width="13" customWidth="1" min="5" max="5"/>
    <col width="20" customWidth="1" min="6" max="6"/>
  </cols>
  <sheetData>
    <row r="1">
      <c r="A1" s="1" t="inlineStr">
        <is>
          <t>Preguntas por competencia — las mismas para todos</t>
        </is>
      </c>
    </row>
    <row r="2">
      <c r="A2" s="2" t="inlineStr">
        <is>
          <t>AI Chef Pro · aichef.pro — Manual del Manager de Restaurante</t>
        </is>
      </c>
    </row>
    <row r="3"/>
    <row r="4">
      <c r="A4" s="3" t="inlineStr">
        <is>
          <t>ANTES DE LA PRIMERA PREGUNTA</t>
        </is>
      </c>
    </row>
    <row r="5" ht="58" customHeight="1">
      <c r="A5" s="4" t="inlineStr">
        <is>
          <t>LO QUE LA LEY NO TE DEJA PREGUNTAR. El art. 9.5 de la Ley 15/2022, de 12 de julio, integral para la igualdad de trato y la no discriminación, dice que el empleador no podrá preguntar sobre las condiciones de salud del aspirante al puesto. Ninguna de las 24 preguntas de esta hoja toca salud, embarazo, planes de maternidad o paternidad, cargas familiares, situación de pareja, religión, origen ni orientación sexual. No es una recomendación de estilo: es lo que separa una entrevista de una infracción. Verificado el 04-09-2026 · Ley 15/2022, art. 9.5 · https://www.boe.es/buscar/act.php?id=BOE-A-2022-11589</t>
        </is>
      </c>
    </row>
    <row r="6" ht="30" customHeight="1">
      <c r="A6" s="4" t="inlineStr">
        <is>
          <t>Todas las preguntas son de CONDUCTA («cuéntame una vez que...»), no de opinión. Se pregunta por lo que la persona ya ha hecho, que es lo que mejor predice lo que hará en tu servicio. Anota la respuesta en el momento: a la tercera entrevista del día ya no te acuerdas de quién dijo qué.</t>
        </is>
      </c>
    </row>
    <row r="7"/>
    <row r="8" ht="38" customHeight="1">
      <c r="A8" s="7" t="inlineStr">
        <is>
          <t>#</t>
        </is>
      </c>
      <c r="B8" s="7" t="inlineStr">
        <is>
          <t>Competencia</t>
        </is>
      </c>
      <c r="C8" s="7" t="inlineStr">
        <is>
          <t>Pregunta</t>
        </is>
      </c>
      <c r="D8" s="7" t="inlineStr">
        <is>
          <t>Respuesta y notas</t>
        </is>
      </c>
      <c r="E8" s="7" t="inlineStr">
        <is>
          <t>Puntuación (1-5)</t>
        </is>
      </c>
      <c r="F8" s="7" t="inlineStr">
        <is>
          <t>Candidato</t>
        </is>
      </c>
    </row>
    <row r="9">
      <c r="A9" s="10" t="n">
        <v>1</v>
      </c>
      <c r="B9" s="4" t="inlineStr">
        <is>
          <t>Experiencia en sala de carta con servicio en mesa</t>
        </is>
      </c>
      <c r="C9" s="4" t="inlineStr">
        <is>
          <t>Descríbeme el servicio de un viernes noche en tu último trabajo: cuántas mesas llevabas y con qué apoyo.</t>
        </is>
      </c>
      <c r="D9" s="5" t="n"/>
      <c r="E9" s="12" t="n"/>
      <c r="F9" s="11" t="inlineStr">
        <is>
          <t>Escribe aquí a quién estás entrevistando y guarda una copia del libro por candidato.</t>
        </is>
      </c>
    </row>
    <row r="10">
      <c r="A10" s="10" t="n">
        <v>2</v>
      </c>
      <c r="B10" s="4" t="inlineStr">
        <is>
          <t>Experiencia en sala de carta con servicio en mesa</t>
        </is>
      </c>
      <c r="C10" s="4" t="inlineStr">
        <is>
          <t>Cuéntame cómo levantabas y montabas un rango entre servicio y servicio.</t>
        </is>
      </c>
      <c r="D10" s="5" t="n"/>
      <c r="E10" s="12" t="n"/>
    </row>
    <row r="11">
      <c r="A11" s="10" t="n">
        <v>3</v>
      </c>
      <c r="B11" s="4" t="inlineStr">
        <is>
          <t>Experiencia en sala de carta con servicio en mesa</t>
        </is>
      </c>
      <c r="C11" s="4" t="inlineStr">
        <is>
          <t>¿Qué parte del servicio se te da peor y qué haces para compensarlo?</t>
        </is>
      </c>
      <c r="D11" s="5" t="n"/>
      <c r="E11" s="12" t="n"/>
    </row>
    <row r="12">
      <c r="A12" s="10" t="n">
        <v>4</v>
      </c>
      <c r="B12" s="4" t="inlineStr">
        <is>
          <t>Ritmo y aguante en un servicio de 75 cubiertos</t>
        </is>
      </c>
      <c r="C12" s="4" t="inlineStr">
        <is>
          <t>Cuéntame el servicio más cargado que hayas hecho: qué pasó y cómo acabó.</t>
        </is>
      </c>
      <c r="D12" s="5" t="n"/>
      <c r="E12" s="12" t="n"/>
    </row>
    <row r="13">
      <c r="A13" s="10" t="n">
        <v>5</v>
      </c>
      <c r="B13" s="4" t="inlineStr">
        <is>
          <t>Ritmo y aguante en un servicio de 75 cubiertos</t>
        </is>
      </c>
      <c r="C13" s="4" t="inlineStr">
        <is>
          <t>Cuando entran cuatro mesas a la vez, ¿en qué orden atiendes y por qué?</t>
        </is>
      </c>
      <c r="D13" s="5" t="n"/>
      <c r="E13" s="12" t="n"/>
    </row>
    <row r="14">
      <c r="A14" s="10" t="n">
        <v>6</v>
      </c>
      <c r="B14" s="4" t="inlineStr">
        <is>
          <t>Ritmo y aguante en un servicio de 75 cubiertos</t>
        </is>
      </c>
      <c r="C14" s="4" t="inlineStr">
        <is>
          <t>Dime una vez que te quedaste atrás en el servicio. ¿Cómo lo recuperaste?</t>
        </is>
      </c>
      <c r="D14" s="5" t="n"/>
      <c r="E14" s="12" t="n"/>
    </row>
    <row r="15">
      <c r="A15" s="10" t="n">
        <v>7</v>
      </c>
      <c r="B15" s="4" t="inlineStr">
        <is>
          <t>Trato con el cliente y gestión de una queja</t>
        </is>
      </c>
      <c r="C15" s="4" t="inlineStr">
        <is>
          <t>Cuéntame la última queja seria que atendiste y qué dijiste exactamente.</t>
        </is>
      </c>
      <c r="D15" s="5" t="n"/>
      <c r="E15" s="12" t="n"/>
    </row>
    <row r="16">
      <c r="A16" s="10" t="n">
        <v>8</v>
      </c>
      <c r="B16" s="4" t="inlineStr">
        <is>
          <t>Trato con el cliente y gestión de una queja</t>
        </is>
      </c>
      <c r="C16" s="4" t="inlineStr">
        <is>
          <t>Un cliente dice que el plato está frío y tú sabes que salió bien. ¿Qué haces?</t>
        </is>
      </c>
      <c r="D16" s="5" t="n"/>
      <c r="E16" s="12" t="n"/>
    </row>
    <row r="17">
      <c r="A17" s="10" t="n">
        <v>9</v>
      </c>
      <c r="B17" s="4" t="inlineStr">
        <is>
          <t>Trato con el cliente y gestión de una queja</t>
        </is>
      </c>
      <c r="C17" s="4" t="inlineStr">
        <is>
          <t>¿Qué haces cuando un cliente pide la hoja de reclamaciones?</t>
        </is>
      </c>
      <c r="D17" s="5" t="n"/>
      <c r="E17" s="12" t="n"/>
    </row>
    <row r="18">
      <c r="A18" s="10" t="n">
        <v>10</v>
      </c>
      <c r="B18" s="4" t="inlineStr">
        <is>
          <t>Coordinación con cocina</t>
        </is>
      </c>
      <c r="C18" s="4" t="inlineStr">
        <is>
          <t>Cuéntame un choque que hayas tenido con cocina y cómo se resolvió.</t>
        </is>
      </c>
      <c r="D18" s="5" t="n"/>
      <c r="E18" s="12" t="n"/>
    </row>
    <row r="19">
      <c r="A19" s="10" t="n">
        <v>11</v>
      </c>
      <c r="B19" s="4" t="inlineStr">
        <is>
          <t>Coordinación con cocina</t>
        </is>
      </c>
      <c r="C19" s="4" t="inlineStr">
        <is>
          <t>¿Cómo cantas una modificación de plato para que no se pierda en el pase?</t>
        </is>
      </c>
      <c r="D19" s="5" t="n"/>
      <c r="E19" s="12" t="n"/>
    </row>
    <row r="20">
      <c r="A20" s="10" t="n">
        <v>12</v>
      </c>
      <c r="B20" s="4" t="inlineStr">
        <is>
          <t>Coordinación con cocina</t>
        </is>
      </c>
      <c r="C20" s="4" t="inlineStr">
        <is>
          <t>¿Qué información necesitas del jefe de cocina antes de empezar el servicio?</t>
        </is>
      </c>
      <c r="D20" s="5" t="n"/>
      <c r="E20" s="12" t="n"/>
    </row>
    <row r="21">
      <c r="A21" s="10" t="n">
        <v>13</v>
      </c>
      <c r="B21" s="4" t="inlineStr">
        <is>
          <t>Manejo de TPV, comanda y cobro</t>
        </is>
      </c>
      <c r="C21" s="4" t="inlineStr">
        <is>
          <t>¿Con qué TPV has trabajado y qué sabes hacer sin ayuda?</t>
        </is>
      </c>
      <c r="D21" s="5" t="n"/>
      <c r="E21" s="12" t="n"/>
    </row>
    <row r="22">
      <c r="A22" s="10" t="n">
        <v>14</v>
      </c>
      <c r="B22" s="4" t="inlineStr">
        <is>
          <t>Manejo de TPV, comanda y cobro</t>
        </is>
      </c>
      <c r="C22" s="4" t="inlineStr">
        <is>
          <t>Cuéntame cómo dividirías una cuenta de una mesa de ocho con tres formas de pago.</t>
        </is>
      </c>
      <c r="D22" s="5" t="n"/>
      <c r="E22" s="12" t="n"/>
    </row>
    <row r="23">
      <c r="A23" s="10" t="n">
        <v>15</v>
      </c>
      <c r="B23" s="4" t="inlineStr">
        <is>
          <t>Manejo de TPV, comanda y cobro</t>
        </is>
      </c>
      <c r="C23" s="4" t="inlineStr">
        <is>
          <t>¿Qué haces si al cerrar la caja falta dinero?</t>
        </is>
      </c>
      <c r="D23" s="5" t="n"/>
      <c r="E23" s="12" t="n"/>
    </row>
    <row r="24">
      <c r="A24" s="10" t="n">
        <v>16</v>
      </c>
      <c r="B24" s="4" t="inlineStr">
        <is>
          <t>Conocimiento de alérgenos y de la carta</t>
        </is>
      </c>
      <c r="C24" s="4" t="inlineStr">
        <is>
          <t>¿Qué le dices a un cliente que pregunta si un plato lleva gluten?</t>
        </is>
      </c>
      <c r="D24" s="5" t="n"/>
      <c r="E24" s="12" t="n"/>
    </row>
    <row r="25">
      <c r="A25" s="10" t="n">
        <v>17</v>
      </c>
      <c r="B25" s="4" t="inlineStr">
        <is>
          <t>Conocimiento de alérgenos y de la carta</t>
        </is>
      </c>
      <c r="C25" s="4" t="inlineStr">
        <is>
          <t>¿Por qué no basta con el cartel de «consulte al personal»?</t>
        </is>
      </c>
      <c r="D25" s="5" t="n"/>
      <c r="E25" s="12" t="n"/>
    </row>
    <row r="26">
      <c r="A26" s="10" t="n">
        <v>18</v>
      </c>
      <c r="B26" s="4" t="inlineStr">
        <is>
          <t>Conocimiento de alérgenos y de la carta</t>
        </is>
      </c>
      <c r="C26" s="4" t="inlineStr">
        <is>
          <t>Descríbeme cómo aprendes una carta nueva de veinte platos.</t>
        </is>
      </c>
      <c r="D26" s="5" t="n"/>
      <c r="E26" s="12" t="n"/>
    </row>
    <row r="27">
      <c r="A27" s="10" t="n">
        <v>19</v>
      </c>
      <c r="B27" s="4" t="inlineStr">
        <is>
          <t>Idiomas de sala (inglés y francés)</t>
        </is>
      </c>
      <c r="C27" s="4" t="inlineStr">
        <is>
          <t>Explícame en inglés dos platos de nuestra carta.</t>
        </is>
      </c>
      <c r="D27" s="5" t="n"/>
      <c r="E27" s="12" t="n"/>
    </row>
    <row r="28">
      <c r="A28" s="10" t="n">
        <v>20</v>
      </c>
      <c r="B28" s="4" t="inlineStr">
        <is>
          <t>Idiomas de sala (inglés y francés)</t>
        </is>
      </c>
      <c r="C28" s="4" t="inlineStr">
        <is>
          <t>¿Cómo te desenvuelves si la mesa habla francés y tú no?</t>
        </is>
      </c>
      <c r="D28" s="5" t="n"/>
      <c r="E28" s="12" t="n"/>
    </row>
    <row r="29">
      <c r="A29" s="10" t="n">
        <v>21</v>
      </c>
      <c r="B29" s="4" t="inlineStr">
        <is>
          <t>Idiomas de sala (inglés y francés)</t>
        </is>
      </c>
      <c r="C29" s="4" t="inlineStr">
        <is>
          <t>¿Qué vocabulario de sala manejas en otros idiomas?</t>
        </is>
      </c>
      <c r="D29" s="5" t="n"/>
      <c r="E29" s="12" t="n"/>
    </row>
    <row r="30">
      <c r="A30" s="10" t="n">
        <v>22</v>
      </c>
      <c r="B30" s="4" t="inlineStr">
        <is>
          <t>Disponibilidad para turno partido y fines de semana</t>
        </is>
      </c>
      <c r="C30" s="4" t="inlineStr">
        <is>
          <t>Nuestro horario es de martes a domingo, turno partido. ¿Encaja con lo que buscas?</t>
        </is>
      </c>
      <c r="D30" s="5" t="n"/>
      <c r="E30" s="12" t="n"/>
    </row>
    <row r="31">
      <c r="A31" s="10" t="n">
        <v>23</v>
      </c>
      <c r="B31" s="4" t="inlineStr">
        <is>
          <t>Disponibilidad para turno partido y fines de semana</t>
        </is>
      </c>
      <c r="C31" s="4" t="inlineStr">
        <is>
          <t>¿Qué te hizo dejar el último puesto?</t>
        </is>
      </c>
      <c r="D31" s="5" t="n"/>
      <c r="E31" s="12" t="n"/>
    </row>
    <row r="32">
      <c r="A32" s="10" t="n">
        <v>24</v>
      </c>
      <c r="B32" s="4" t="inlineStr">
        <is>
          <t>Disponibilidad para turno partido y fines de semana</t>
        </is>
      </c>
      <c r="C32" s="4" t="inlineStr">
        <is>
          <t>¿Qué esperas de este trabajo dentro de un año?</t>
        </is>
      </c>
      <c r="D32" s="5" t="n"/>
      <c r="E32" s="12" t="n"/>
    </row>
    <row r="33">
      <c r="A33" s="3" t="inlineStr">
        <is>
          <t>RESUMEN DE LA ENTREVISTA — lo calcula el libro</t>
        </is>
      </c>
    </row>
    <row r="34">
      <c r="B34" t="inlineStr">
        <is>
          <t>Preguntas del guion</t>
        </is>
      </c>
      <c r="E34" s="10">
        <f>COUNTIF($C$9:$C$32,"&lt;&gt;")</f>
        <v>24.0</v>
      </c>
    </row>
    <row r="35">
      <c r="B35" t="inlineStr">
        <is>
          <t>Preguntas puntuadas</t>
        </is>
      </c>
      <c r="E35" s="10">
        <f>SUMPRODUCT(--ISNUMBER($E$9:$E$32))</f>
        <v>0.0</v>
      </c>
    </row>
    <row r="36">
      <c r="B36" s="8" t="inlineStr">
        <is>
          <t>Media de las respuestas puntuadas (1-5)</t>
        </is>
      </c>
      <c r="E36" s="13">
        <f>IFERROR(IF($E$35=0,"",AVERAGE($E$9:$E$32)),"")</f>
        <v/>
      </c>
    </row>
    <row r="37">
      <c r="B37" t="inlineStr">
        <is>
          <t>Cobertura del guion (%)</t>
        </is>
      </c>
      <c r="E37" s="21">
        <f>IFERROR(IF($E$34=0,"",$E$35/$E$34),"")</f>
        <v>0.0</v>
      </c>
    </row>
    <row r="38"/>
    <row r="39">
      <c r="B39" s="4" t="inlineStr">
        <is>
          <t>Esta media NO sustituye a la del scorecard: son 24 respuestas sin ponderar. El scorecard es el que decide, porque pesa cada competencia según lo que importa en tu casa.</t>
        </is>
      </c>
    </row>
    <row r="40">
      <c r="B40" s="4" t="inlineStr">
        <is>
          <t>Si una pregunta no te sirve, cámbiala. Lo que no se puede cambiar es hacer preguntas distintas a cada candidato: entonces no estás comparando, estás eligiendo por simpatía.</t>
        </is>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E9 E10 E11 E12 E13 E14 E15 E16 E17 E18 E19 E20 E21 E22 E23 E24 E25 E26 E27 E28 E29 E30 E31 E32" showDropDown="0" showInputMessage="0" showErrorMessage="1" allowBlank="1" errorTitle="Puntuación (1-5)" error="Puntúa la respuesta de 1 a 5. Déjala vacía si no hiciste esa pregunta." type="decimal" operator="between">
      <formula1>1</formula1>
      <formula2>5</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Selección: Scorecard y Entrevista Estructurada</dc:title>
  <dc:subject xmlns:dc="http://purl.org/dc/elements/1.1/">Manual del Manager de Restaurante · v1.0 · septiembre 2026</dc:subject>
  <dcterms:created xmlns:dcterms="http://purl.org/dc/terms/" xmlns:xsi="http://www.w3.org/2001/XMLSchema-instance" xsi:type="dcterms:W3CDTF">2026-09-04T20:56:01Z</dcterms:created>
  <dcterms:modified xmlns:dcterms="http://purl.org/dc/terms/" xmlns:xsi="http://www.w3.org/2001/XMLSchema-instance" xsi:type="dcterms:W3CDTF">2026-09-04T20:56:01Z</dcterms:modified>
  <cp:lastModifiedBy>AI Chef Pro</cp:lastModifiedBy>
</cp:coreProperties>
</file>