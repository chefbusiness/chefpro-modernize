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atriz" sheetId="2" state="visible" r:id="rId2"/>
    <sheet xmlns:r="http://schemas.openxmlformats.org/officeDocument/2006/relationships" name="Plan de Cross-Training" sheetId="3" state="visible" r:id="rId3"/>
    <sheet xmlns:r="http://schemas.openxmlformats.org/officeDocument/2006/relationships" name="Cobertura por Estación" sheetId="4" state="visible" r:id="rId4"/>
    <sheet xmlns:r="http://schemas.openxmlformats.org/officeDocument/2006/relationships" name="Coste de una Baja" sheetId="5" state="visible" r:id="rId5"/>
  </sheets>
  <definedNames>
    <definedName name="_xlnm.Print_Titles" localSheetId="1">'Matriz'!$17:$17</definedName>
    <definedName name="_xlnm.Print_Titles" localSheetId="2">'Plan de Cross-Training'!$9:$9</definedName>
    <definedName name="_xlnm.Print_Titles" localSheetId="3">'Cobertura por Estación'!$11:$11</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0 €"/>
  </numFmts>
  <fonts count="7">
    <font>
      <name val="Calibri"/>
      <family val="2"/>
      <color theme="1"/>
      <sz val="11"/>
      <scheme val="minor"/>
    </font>
    <font>
      <b val="1"/>
      <color rgb="00FFD700"/>
      <sz val="16"/>
    </font>
    <font>
      <i val="1"/>
      <sz val="9"/>
    </font>
    <font>
      <b val="1"/>
      <color theme="1"/>
      <sz val="11"/>
    </font>
    <font>
      <b val="1"/>
      <sz val="12"/>
    </font>
    <font>
      <b val="1"/>
      <color rgb="00FFFFFF"/>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3" fontId="3" fillId="0" borderId="0" applyAlignment="1" pivotButton="0" quotePrefix="0" xfId="0">
      <alignment horizontal="center" vertical="top"/>
    </xf>
    <xf numFmtId="0" fontId="0" fillId="3" borderId="0" pivotButton="0" quotePrefix="0" xfId="0"/>
    <xf numFmtId="3" fontId="0" fillId="2" borderId="0" applyProtection="1" pivotButton="0" quotePrefix="0" xfId="0">
      <protection locked="0" hidden="0"/>
    </xf>
    <xf numFmtId="0" fontId="3" fillId="2" borderId="0" applyAlignment="1" applyProtection="1" pivotButton="0" quotePrefix="0" xfId="0">
      <alignment horizontal="center" vertical="center" wrapText="1"/>
      <protection locked="0" hidden="0"/>
    </xf>
    <xf numFmtId="0" fontId="0" fillId="2" borderId="0" applyAlignment="1" applyProtection="1" pivotButton="0" quotePrefix="0" xfId="0">
      <alignment horizontal="center" vertical="top"/>
      <protection locked="0" hidden="0"/>
    </xf>
    <xf numFmtId="3" fontId="0" fillId="2" borderId="0" applyAlignment="1" applyProtection="1" pivotButton="0" quotePrefix="0" xfId="0">
      <alignment horizontal="center" vertical="top"/>
      <protection locked="0" hidden="0"/>
    </xf>
    <xf numFmtId="3" fontId="0" fillId="2" borderId="0" applyAlignment="1" applyProtection="1" pivotButton="0" quotePrefix="0" xfId="0">
      <alignment horizontal="center"/>
      <protection locked="0" hidden="0"/>
    </xf>
    <xf numFmtId="3" fontId="0" fillId="0" borderId="0" pivotButton="0" quotePrefix="0" xfId="0"/>
    <xf numFmtId="165" fontId="0" fillId="2" borderId="0" applyProtection="1" pivotButton="0" quotePrefix="0" xfId="0">
      <protection locked="0" hidden="0"/>
    </xf>
    <xf numFmtId="3" fontId="0" fillId="0" borderId="0" applyAlignment="1" pivotButton="0" quotePrefix="0" xfId="0">
      <alignment horizontal="center" vertical="top"/>
    </xf>
    <xf numFmtId="3" fontId="0" fillId="4" borderId="0" pivotButton="0" quotePrefix="0" xfId="0"/>
    <xf numFmtId="166" fontId="0" fillId="4" borderId="0" pivotButton="0" quotePrefix="0" xfId="0"/>
    <xf numFmtId="166" fontId="0" fillId="0" borderId="0" pivotButton="0" quotePrefix="0" xfId="0"/>
    <xf numFmtId="167" fontId="0" fillId="2" borderId="0" applyProtection="1" pivotButton="0" quotePrefix="0" xfId="0">
      <protection locked="0" hidden="0"/>
    </xf>
    <xf numFmtId="0" fontId="3" fillId="0" borderId="0" pivotButton="0" quotePrefix="0" xfId="0"/>
    <xf numFmtId="167" fontId="3" fillId="0" borderId="0" pivotButton="0" quotePrefix="0" xfId="0"/>
    <xf numFmtId="0" fontId="6" fillId="5" borderId="0" pivotButton="0" quotePrefix="0" xfId="0"/>
    <xf numFmtId="167" fontId="6" fillId="5" borderId="0" pivotButton="0" quotePrefix="0" xfId="0"/>
    <xf numFmtId="166" fontId="0" fillId="2" borderId="0" applyProtection="1" pivotButton="0" quotePrefix="0" xfId="0">
      <protection locked="0" hidden="0"/>
    </xf>
    <xf numFmtId="167"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5"/>
  <cols>
    <col width="110" customWidth="1" min="1" max="1"/>
  </cols>
  <sheetData>
    <row r="1" ht="30" customHeight="1">
      <c r="A1" s="1" t="inlineStr">
        <is>
          <t>Matriz de formación y polivalencia</t>
        </is>
      </c>
    </row>
    <row r="2">
      <c r="A2" t="inlineStr">
        <is>
          <t>AI Chef Pro · aichef.pro — Manual del Manager de Restaurante</t>
        </is>
      </c>
    </row>
    <row r="3">
      <c r="A3" s="2" t="inlineStr">
        <is>
          <t>Para qué sirve: saber quién cubre una baja, dónde hay una sola persona que sepa hacer algo y cuánto cuesta perderla.</t>
        </is>
      </c>
    </row>
    <row r="4"/>
    <row r="5">
      <c r="A5" s="3" t="inlineStr">
        <is>
          <t>Instrucciones de uso</t>
        </is>
      </c>
    </row>
    <row r="6" ht="30" customHeight="1">
      <c r="A6" s="4" t="inlineStr">
        <is>
          <t>1. Hoja «Matriz»: escribe a tu gente en las filas y tus estaciones en la fila verde de cabecera. Vienen sembradas 12 personas y 6 estaciones; caben 30 personas y 12 estaciones sin tocar nada.</t>
        </is>
      </c>
    </row>
    <row r="7" ht="30" customHeight="1">
      <c r="A7" s="4" t="inlineStr">
        <is>
          <t>2. Puntúa cada cruce de 0 a 3 con el desplegable. La leyenda está arriba: 0 no formado, 1 formado pero necesita supervisión, 2 autónomo, 3 puede formar a otra persona.</t>
        </is>
      </c>
    </row>
    <row r="8" ht="30" customHeight="1">
      <c r="A8" s="4" t="inlineStr">
        <is>
          <t>3. Puntúa quién SOSTIENE la estación en un servicio lleno, no quién ha estado alguna vez. Es el error que vacía de sentido toda la matriz: si todos salen a 2, la matriz no avisa de nada.</t>
        </is>
      </c>
    </row>
    <row r="9" ht="30" customHeight="1">
      <c r="A9" s="4" t="inlineStr">
        <is>
          <t>4. Hoja «Cobertura por Estación»: te dice cuántas personas sostienen cada estación y te enciende la alerta cuando sólo hay una. Ése es tu riesgo real: el día que esa persona se pone mala, cierras esa partida.</t>
        </is>
      </c>
    </row>
    <row r="10" ht="30" customHeight="1">
      <c r="A10" s="4" t="inlineStr">
        <is>
          <t>5. Hoja «Plan de Cross-Training»: una fila por acción de formación. Quién, qué estación, de qué nivel a qué nivel, quién le enseña y para cuándo. El libro calcula los días que faltan y avisa de lo vencido.</t>
        </is>
      </c>
    </row>
    <row r="11" ht="30" customHeight="1">
      <c r="A11" s="4" t="inlineStr">
        <is>
          <t>6. Hoja «Coste de una Baja»: pon TUS horas y TUS costes por hora. Ninguna de las cifras que trae es una referencia de mercado; son un ejemplo para que veas el orden de magnitud y lo rehagas con tus números.</t>
        </is>
      </c>
    </row>
    <row r="12" ht="30" customHeight="1">
      <c r="A12" s="4" t="inlineStr">
        <is>
          <t>7. Revisa la matriz una vez al trimestre, no cuando ya tienes el problema encima. Una estación pasa de cubierta a descubierta con una sola baja.</t>
        </is>
      </c>
    </row>
    <row r="13"/>
    <row r="14">
      <c r="A14" s="5" t="inlineStr">
        <is>
          <t>Celdas verdes = campos editables</t>
        </is>
      </c>
    </row>
    <row r="15"/>
    <row r="16">
      <c r="A16" s="3" t="inlineStr">
        <is>
          <t>Lo que conviene saber antes de empezar</t>
        </is>
      </c>
    </row>
    <row r="17" ht="44" customHeight="1">
      <c r="A17" s="4" t="inlineStr">
        <is>
          <t>Qué mide un nivel 2: que esa persona puede llevar la estación ELLA SOLA en un servicio normal, sin que nadie la esté corrigiendo. Un nivel 1 no cubre un servicio, y contarlo como si lo cubriera es exactamente lo que hace que la alerta de esta hoja no salte cuando debería.</t>
        </is>
      </c>
    </row>
    <row r="18" ht="44" customHeight="1">
      <c r="A18" s="4" t="inlineStr">
        <is>
          <t>Punto único de fallo: una estación que sólo sostiene una persona. No es un problema de esa persona, es un problema de organización, y se arregla formando a alguien más con el plan de cross-training de este mismo libro.</t>
        </is>
      </c>
    </row>
    <row r="19" ht="44" customHeight="1">
      <c r="A19" s="4" t="inlineStr">
        <is>
          <t>El nivel mínimo para dar una estación por cubierta, el nivel al que se puede enseñar y el umbral de riesgo son celdas verdes de la hoja «Matriz». Si en tu casa hacen falta dos personas por estación, cámbialo ahí y las alertas se recalculan.</t>
        </is>
      </c>
    </row>
    <row r="20" ht="44" customHeight="1">
      <c r="A20" s="4" t="inlineStr">
        <is>
          <t>Los nombres de las estaciones son celdas verdes de la fila de cabecera de la matriz. Cámbialos por los tuyos: la hoja de cobertura los lee de ahí, no hay que tocar ninguna fórmula.</t>
        </is>
      </c>
    </row>
    <row r="21" ht="44" customHeight="1">
      <c r="A21" s="4" t="inlineStr">
        <is>
          <t>La hoja «Coste de una Baja» separa a propósito dos cosas que no se suman igual: el COSTE DIRECTO (horas de selección y de formación, que sí son gasto) y la VENTA que se deja de hacer mientras el equipo no está a pleno rendimiento, que no es un gasto contable. El total junta las dos porque es lo que le duele al negocio, pero no se apunta como coste en la cuenta de resultados.</t>
        </is>
      </c>
    </row>
    <row r="22" ht="44" customHeight="1">
      <c r="A22" s="4" t="inlineStr">
        <is>
          <t>Esta matriz no evalúa a nadie ni sirve para decidir un despido: mide qué sabe hacer el equipo y dónde hay que formar. La evaluación del desempeño es otra herramienta y otra conversación.</t>
        </is>
      </c>
    </row>
    <row r="23"/>
    <row r="24">
      <c r="A24" t="inlineStr">
        <is>
          <t>Para editar la estructura o una celda que no esté en verde, desprotege la hoja (sin contraseña).</t>
        </is>
      </c>
    </row>
    <row r="25">
      <c r="A25" t="inlineStr">
        <is>
          <t>Ruta en Excel: Revisar &gt; Desproteger hoja. La protección no tiene contraseña; sirve para no pisar una fórmula sin querer.</t>
        </is>
      </c>
    </row>
    <row r="26"/>
    <row r="27">
      <c r="A27" t="inlineStr">
        <is>
          <t>Diseñado por John Guerrero — chef y consultor gastronómico desde 2010 · johnguerrero.es</t>
        </is>
      </c>
    </row>
    <row r="28">
      <c r="A28"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47"/>
  <sheetViews>
    <sheetView workbookViewId="0">
      <pane xSplit="4" ySplit="17" topLeftCell="E18"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34" customWidth="1" min="3" max="3"/>
    <col width="22"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4" customWidth="1" min="17" max="17"/>
    <col width="14" customWidth="1" min="18" max="18"/>
  </cols>
  <sheetData>
    <row r="1" ht="30" customHeight="1">
      <c r="A1" s="1" t="inlineStr">
        <is>
          <t>Matriz de polivalencia</t>
        </is>
      </c>
    </row>
    <row r="2">
      <c r="A2" t="inlineStr">
        <is>
          <t>AI Chef Pro · aichef.pro — Manual del Manager de Restaurante</t>
        </is>
      </c>
    </row>
    <row r="3">
      <c r="A3" s="2" t="inlineStr">
        <is>
          <t>Puntúa quién puede SOSTENER la estación en un servicio lleno, no quién ha estado alguna vez.</t>
        </is>
      </c>
    </row>
    <row r="4"/>
    <row r="5" ht="20" customHeight="1">
      <c r="A5" s="6" t="inlineStr">
        <is>
          <t>Nivel</t>
        </is>
      </c>
      <c r="B5" s="6" t="inlineStr">
        <is>
          <t>Qué significa</t>
        </is>
      </c>
    </row>
    <row r="6">
      <c r="A6" s="7" t="n">
        <v>0</v>
      </c>
      <c r="B6" t="inlineStr">
        <is>
          <t>No formado</t>
        </is>
      </c>
    </row>
    <row r="7">
      <c r="A7" s="7" t="n">
        <v>1</v>
      </c>
      <c r="B7" t="inlineStr">
        <is>
          <t>Formado, necesita supervisión</t>
        </is>
      </c>
    </row>
    <row r="8">
      <c r="A8" s="7" t="n">
        <v>2</v>
      </c>
      <c r="B8" t="inlineStr">
        <is>
          <t>Autónomo: puede llevar la estación en un servicio</t>
        </is>
      </c>
    </row>
    <row r="9">
      <c r="A9" s="7" t="n">
        <v>3</v>
      </c>
      <c r="B9" t="inlineStr">
        <is>
          <t>Puede formar a otra persona</t>
        </is>
      </c>
    </row>
    <row r="10"/>
    <row r="11" ht="20" customHeight="1">
      <c r="A11" s="6" t="inlineStr">
        <is>
          <t>Parámetro</t>
        </is>
      </c>
      <c r="B11" s="6" t="inlineStr">
        <is>
          <t>Valor</t>
        </is>
      </c>
      <c r="C11" s="8" t="n"/>
    </row>
    <row r="12">
      <c r="A12" t="inlineStr">
        <is>
          <t>Nivel mínimo para dar una estación por cubierta</t>
        </is>
      </c>
      <c r="B12" s="9" t="n">
        <v>2</v>
      </c>
    </row>
    <row r="13">
      <c r="A13" t="inlineStr">
        <is>
          <t>Nivel a partir del cual se puede enseñar la estación</t>
        </is>
      </c>
      <c r="B13" s="9" t="n">
        <v>3</v>
      </c>
    </row>
    <row r="14">
      <c r="A14" t="inlineStr">
        <is>
          <t>Punto único de fallo: personas o menos por estación</t>
        </is>
      </c>
      <c r="B14" s="9" t="n">
        <v>1</v>
      </c>
    </row>
    <row r="15">
      <c r="A15" t="inlineStr">
        <is>
          <t>Los tres son celdas verdes: ninguna de estas cifras vive dentro de una fórmula. Si en tu casa una estación no está cubierta hasta que hay dos personas, sube el umbral de riesgo a 2.</t>
        </is>
      </c>
    </row>
    <row r="16"/>
    <row r="17" ht="56" customHeight="1">
      <c r="A17" s="6" t="inlineStr">
        <is>
          <t>Id</t>
        </is>
      </c>
      <c r="B17" s="6" t="inlineStr">
        <is>
          <t>Nombre</t>
        </is>
      </c>
      <c r="C17" s="6" t="inlineStr">
        <is>
          <t>Puesto</t>
        </is>
      </c>
      <c r="D17" s="6" t="inlineStr">
        <is>
          <t>Estación principal</t>
        </is>
      </c>
      <c r="E17" s="10" t="inlineStr">
        <is>
          <t>Pase y caliente</t>
        </is>
      </c>
      <c r="F17" s="10" t="inlineStr">
        <is>
          <t>Fríos y entrantes</t>
        </is>
      </c>
      <c r="G17" s="10" t="inlineStr">
        <is>
          <t>Postres y panadería</t>
        </is>
      </c>
      <c r="H17" s="10" t="inlineStr">
        <is>
          <t>Barra y bebidas</t>
        </is>
      </c>
      <c r="I17" s="10" t="inlineStr">
        <is>
          <t>Sala y servicio</t>
        </is>
      </c>
      <c r="J17" s="10" t="inlineStr">
        <is>
          <t>Caja y cierre</t>
        </is>
      </c>
      <c r="K17" s="10" t="n"/>
      <c r="L17" s="10" t="n"/>
      <c r="M17" s="10" t="n"/>
      <c r="N17" s="10" t="n"/>
      <c r="O17" s="10" t="n"/>
      <c r="P17" s="10" t="n"/>
      <c r="Q17" s="6" t="inlineStr">
        <is>
          <t>Estaciones que puede sostener</t>
        </is>
      </c>
      <c r="R17" s="6" t="inlineStr">
        <is>
          <t>Estaciones que puede enseñar</t>
        </is>
      </c>
    </row>
    <row r="18">
      <c r="A18" s="11" t="inlineStr">
        <is>
          <t>P01</t>
        </is>
      </c>
      <c r="B18" s="5" t="inlineStr">
        <is>
          <t>Marta L.</t>
        </is>
      </c>
      <c r="C18" s="5" t="inlineStr">
        <is>
          <t>Gerente / encargada general (manager)</t>
        </is>
      </c>
      <c r="D18" s="5" t="inlineStr">
        <is>
          <t>Caja y cierre</t>
        </is>
      </c>
      <c r="E18" s="12" t="n">
        <v>1</v>
      </c>
      <c r="F18" s="12" t="n">
        <v>0</v>
      </c>
      <c r="G18" s="12" t="n">
        <v>0</v>
      </c>
      <c r="H18" s="12" t="n">
        <v>2</v>
      </c>
      <c r="I18" s="12" t="n">
        <v>3</v>
      </c>
      <c r="J18" s="12" t="n">
        <v>3</v>
      </c>
      <c r="K18" s="13" t="n"/>
      <c r="L18" s="13" t="n"/>
      <c r="M18" s="13" t="n"/>
      <c r="N18" s="13" t="n"/>
      <c r="O18" s="13" t="n"/>
      <c r="P18" s="13" t="n"/>
      <c r="Q18" s="14">
        <f>IF(OR($A18="",ISNUMBER($B$12)=FALSE),"",COUNTIFS($E18:$P18,"&gt;="&amp;$B$12))</f>
        <v>3.0</v>
      </c>
      <c r="R18" s="14">
        <f>IF(OR($A18="",ISNUMBER($B$13)=FALSE),"",COUNTIFS($E18:$P18,"&gt;="&amp;$B$13))</f>
        <v>2.0</v>
      </c>
    </row>
    <row r="19">
      <c r="A19" s="11" t="inlineStr">
        <is>
          <t>P02</t>
        </is>
      </c>
      <c r="B19" s="5" t="inlineStr">
        <is>
          <t>Iván R.</t>
        </is>
      </c>
      <c r="C19" s="5" t="inlineStr">
        <is>
          <t>Jefe de cocina</t>
        </is>
      </c>
      <c r="D19" s="5" t="inlineStr">
        <is>
          <t>Pase y caliente</t>
        </is>
      </c>
      <c r="E19" s="12" t="n">
        <v>3</v>
      </c>
      <c r="F19" s="12" t="n">
        <v>1</v>
      </c>
      <c r="G19" s="12" t="n">
        <v>2</v>
      </c>
      <c r="H19" s="12" t="n">
        <v>0</v>
      </c>
      <c r="I19" s="12" t="n">
        <v>0</v>
      </c>
      <c r="J19" s="12" t="n">
        <v>1</v>
      </c>
      <c r="K19" s="13" t="n"/>
      <c r="L19" s="13" t="n"/>
      <c r="M19" s="13" t="n"/>
      <c r="N19" s="13" t="n"/>
      <c r="O19" s="13" t="n"/>
      <c r="P19" s="13" t="n"/>
      <c r="Q19" s="14">
        <f>IF(OR($A19="",ISNUMBER($B$12)=FALSE),"",COUNTIFS($E19:$P19,"&gt;="&amp;$B$12))</f>
        <v>2.0</v>
      </c>
      <c r="R19" s="14">
        <f>IF(OR($A19="",ISNUMBER($B$13)=FALSE),"",COUNTIFS($E19:$P19,"&gt;="&amp;$B$13))</f>
        <v>1.0</v>
      </c>
    </row>
    <row r="20">
      <c r="A20" s="11" t="inlineStr">
        <is>
          <t>P03</t>
        </is>
      </c>
      <c r="B20" s="5" t="inlineStr">
        <is>
          <t>Nuria C.</t>
        </is>
      </c>
      <c r="C20" s="5" t="inlineStr">
        <is>
          <t>Jefa de sala</t>
        </is>
      </c>
      <c r="D20" s="5" t="inlineStr">
        <is>
          <t>Sala y servicio</t>
        </is>
      </c>
      <c r="E20" s="12" t="n">
        <v>0</v>
      </c>
      <c r="F20" s="12" t="n">
        <v>0</v>
      </c>
      <c r="G20" s="12" t="n">
        <v>1</v>
      </c>
      <c r="H20" s="12" t="n">
        <v>3</v>
      </c>
      <c r="I20" s="12" t="n">
        <v>3</v>
      </c>
      <c r="J20" s="12" t="n">
        <v>3</v>
      </c>
      <c r="K20" s="13" t="n"/>
      <c r="L20" s="13" t="n"/>
      <c r="M20" s="13" t="n"/>
      <c r="N20" s="13" t="n"/>
      <c r="O20" s="13" t="n"/>
      <c r="P20" s="13" t="n"/>
      <c r="Q20" s="14">
        <f>IF(OR($A20="",ISNUMBER($B$12)=FALSE),"",COUNTIFS($E20:$P20,"&gt;="&amp;$B$12))</f>
        <v>3.0</v>
      </c>
      <c r="R20" s="14">
        <f>IF(OR($A20="",ISNUMBER($B$13)=FALSE),"",COUNTIFS($E20:$P20,"&gt;="&amp;$B$13))</f>
        <v>3.0</v>
      </c>
    </row>
    <row r="21">
      <c r="A21" s="11" t="inlineStr">
        <is>
          <t>P04</t>
        </is>
      </c>
      <c r="B21" s="5" t="inlineStr">
        <is>
          <t>Diego M.</t>
        </is>
      </c>
      <c r="C21" s="5" t="inlineStr">
        <is>
          <t>Cocinero (partida caliente)</t>
        </is>
      </c>
      <c r="D21" s="5" t="inlineStr">
        <is>
          <t>Pase y caliente</t>
        </is>
      </c>
      <c r="E21" s="12" t="n">
        <v>3</v>
      </c>
      <c r="F21" s="12" t="n">
        <v>1</v>
      </c>
      <c r="G21" s="12" t="n">
        <v>1</v>
      </c>
      <c r="H21" s="12" t="n">
        <v>0</v>
      </c>
      <c r="I21" s="12" t="n">
        <v>0</v>
      </c>
      <c r="J21" s="12" t="n">
        <v>0</v>
      </c>
      <c r="K21" s="13" t="n"/>
      <c r="L21" s="13" t="n"/>
      <c r="M21" s="13" t="n"/>
      <c r="N21" s="13" t="n"/>
      <c r="O21" s="13" t="n"/>
      <c r="P21" s="13" t="n"/>
      <c r="Q21" s="14">
        <f>IF(OR($A21="",ISNUMBER($B$12)=FALSE),"",COUNTIFS($E21:$P21,"&gt;="&amp;$B$12))</f>
        <v>1.0</v>
      </c>
      <c r="R21" s="14">
        <f>IF(OR($A21="",ISNUMBER($B$13)=FALSE),"",COUNTIFS($E21:$P21,"&gt;="&amp;$B$13))</f>
        <v>1.0</v>
      </c>
    </row>
    <row r="22">
      <c r="A22" s="11" t="inlineStr">
        <is>
          <t>P05</t>
        </is>
      </c>
      <c r="B22" s="5" t="inlineStr">
        <is>
          <t>Laura S.</t>
        </is>
      </c>
      <c r="C22" s="5" t="inlineStr">
        <is>
          <t>Cocinera (partida fría)</t>
        </is>
      </c>
      <c r="D22" s="5" t="inlineStr">
        <is>
          <t>Fríos y entrantes</t>
        </is>
      </c>
      <c r="E22" s="12" t="n">
        <v>2</v>
      </c>
      <c r="F22" s="12" t="n">
        <v>3</v>
      </c>
      <c r="G22" s="12" t="n">
        <v>2</v>
      </c>
      <c r="H22" s="12" t="n">
        <v>0</v>
      </c>
      <c r="I22" s="12" t="n">
        <v>0</v>
      </c>
      <c r="J22" s="12" t="n">
        <v>0</v>
      </c>
      <c r="K22" s="13" t="n"/>
      <c r="L22" s="13" t="n"/>
      <c r="M22" s="13" t="n"/>
      <c r="N22" s="13" t="n"/>
      <c r="O22" s="13" t="n"/>
      <c r="P22" s="13" t="n"/>
      <c r="Q22" s="14">
        <f>IF(OR($A22="",ISNUMBER($B$12)=FALSE),"",COUNTIFS($E22:$P22,"&gt;="&amp;$B$12))</f>
        <v>3.0</v>
      </c>
      <c r="R22" s="14">
        <f>IF(OR($A22="",ISNUMBER($B$13)=FALSE),"",COUNTIFS($E22:$P22,"&gt;="&amp;$B$13))</f>
        <v>1.0</v>
      </c>
    </row>
    <row r="23">
      <c r="A23" s="11" t="inlineStr">
        <is>
          <t>P06</t>
        </is>
      </c>
      <c r="B23" s="5" t="inlineStr">
        <is>
          <t>Omar B.</t>
        </is>
      </c>
      <c r="C23" s="5" t="inlineStr">
        <is>
          <t>Ayudante de cocina</t>
        </is>
      </c>
      <c r="D23" s="5" t="inlineStr">
        <is>
          <t>Pase y caliente</t>
        </is>
      </c>
      <c r="E23" s="12" t="n">
        <v>2</v>
      </c>
      <c r="F23" s="12" t="n">
        <v>1</v>
      </c>
      <c r="G23" s="12" t="n">
        <v>1</v>
      </c>
      <c r="H23" s="12" t="n">
        <v>0</v>
      </c>
      <c r="I23" s="12" t="n">
        <v>0</v>
      </c>
      <c r="J23" s="12" t="n">
        <v>0</v>
      </c>
      <c r="K23" s="13" t="n"/>
      <c r="L23" s="13" t="n"/>
      <c r="M23" s="13" t="n"/>
      <c r="N23" s="13" t="n"/>
      <c r="O23" s="13" t="n"/>
      <c r="P23" s="13" t="n"/>
      <c r="Q23" s="14">
        <f>IF(OR($A23="",ISNUMBER($B$12)=FALSE),"",COUNTIFS($E23:$P23,"&gt;="&amp;$B$12))</f>
        <v>1.0</v>
      </c>
      <c r="R23" s="14">
        <f>IF(OR($A23="",ISNUMBER($B$13)=FALSE),"",COUNTIFS($E23:$P23,"&gt;="&amp;$B$13))</f>
        <v>0.0</v>
      </c>
    </row>
    <row r="24">
      <c r="A24" s="11" t="inlineStr">
        <is>
          <t>P07</t>
        </is>
      </c>
      <c r="B24" s="5" t="inlineStr">
        <is>
          <t>Rocío F.</t>
        </is>
      </c>
      <c r="C24" s="5" t="inlineStr">
        <is>
          <t>Ayudante de cocina y postres</t>
        </is>
      </c>
      <c r="D24" s="5" t="inlineStr">
        <is>
          <t>Postres y panadería</t>
        </is>
      </c>
      <c r="E24" s="12" t="n">
        <v>1</v>
      </c>
      <c r="F24" s="12" t="n">
        <v>1</v>
      </c>
      <c r="G24" s="12" t="n">
        <v>3</v>
      </c>
      <c r="H24" s="12" t="n">
        <v>0</v>
      </c>
      <c r="I24" s="12" t="n">
        <v>0</v>
      </c>
      <c r="J24" s="12" t="n">
        <v>0</v>
      </c>
      <c r="K24" s="13" t="n"/>
      <c r="L24" s="13" t="n"/>
      <c r="M24" s="13" t="n"/>
      <c r="N24" s="13" t="n"/>
      <c r="O24" s="13" t="n"/>
      <c r="P24" s="13" t="n"/>
      <c r="Q24" s="14">
        <f>IF(OR($A24="",ISNUMBER($B$12)=FALSE),"",COUNTIFS($E24:$P24,"&gt;="&amp;$B$12))</f>
        <v>1.0</v>
      </c>
      <c r="R24" s="14">
        <f>IF(OR($A24="",ISNUMBER($B$13)=FALSE),"",COUNTIFS($E24:$P24,"&gt;="&amp;$B$13))</f>
        <v>1.0</v>
      </c>
    </row>
    <row r="25">
      <c r="A25" s="11" t="inlineStr">
        <is>
          <t>P08</t>
        </is>
      </c>
      <c r="B25" s="5" t="inlineStr">
        <is>
          <t>Carlos V.</t>
        </is>
      </c>
      <c r="C25" s="5" t="inlineStr">
        <is>
          <t>Camarero, jefe de rango</t>
        </is>
      </c>
      <c r="D25" s="5" t="inlineStr">
        <is>
          <t>Sala y servicio</t>
        </is>
      </c>
      <c r="E25" s="12" t="n">
        <v>0</v>
      </c>
      <c r="F25" s="12" t="n">
        <v>0</v>
      </c>
      <c r="G25" s="12" t="n">
        <v>0</v>
      </c>
      <c r="H25" s="12" t="n">
        <v>2</v>
      </c>
      <c r="I25" s="12" t="n">
        <v>3</v>
      </c>
      <c r="J25" s="12" t="n">
        <v>2</v>
      </c>
      <c r="K25" s="13" t="n"/>
      <c r="L25" s="13" t="n"/>
      <c r="M25" s="13" t="n"/>
      <c r="N25" s="13" t="n"/>
      <c r="O25" s="13" t="n"/>
      <c r="P25" s="13" t="n"/>
      <c r="Q25" s="14">
        <f>IF(OR($A25="",ISNUMBER($B$12)=FALSE),"",COUNTIFS($E25:$P25,"&gt;="&amp;$B$12))</f>
        <v>3.0</v>
      </c>
      <c r="R25" s="14">
        <f>IF(OR($A25="",ISNUMBER($B$13)=FALSE),"",COUNTIFS($E25:$P25,"&gt;="&amp;$B$13))</f>
        <v>1.0</v>
      </c>
    </row>
    <row r="26">
      <c r="A26" s="11" t="inlineStr">
        <is>
          <t>P09</t>
        </is>
      </c>
      <c r="B26" s="5" t="inlineStr">
        <is>
          <t>Elena T.</t>
        </is>
      </c>
      <c r="C26" s="5" t="inlineStr">
        <is>
          <t>Camarera</t>
        </is>
      </c>
      <c r="D26" s="5" t="inlineStr">
        <is>
          <t>Barra y bebidas</t>
        </is>
      </c>
      <c r="E26" s="12" t="n">
        <v>0</v>
      </c>
      <c r="F26" s="12" t="n">
        <v>0</v>
      </c>
      <c r="G26" s="12" t="n">
        <v>0</v>
      </c>
      <c r="H26" s="12" t="n">
        <v>3</v>
      </c>
      <c r="I26" s="12" t="n">
        <v>3</v>
      </c>
      <c r="J26" s="12" t="n">
        <v>1</v>
      </c>
      <c r="K26" s="13" t="n"/>
      <c r="L26" s="13" t="n"/>
      <c r="M26" s="13" t="n"/>
      <c r="N26" s="13" t="n"/>
      <c r="O26" s="13" t="n"/>
      <c r="P26" s="13" t="n"/>
      <c r="Q26" s="14">
        <f>IF(OR($A26="",ISNUMBER($B$12)=FALSE),"",COUNTIFS($E26:$P26,"&gt;="&amp;$B$12))</f>
        <v>2.0</v>
      </c>
      <c r="R26" s="14">
        <f>IF(OR($A26="",ISNUMBER($B$13)=FALSE),"",COUNTIFS($E26:$P26,"&gt;="&amp;$B$13))</f>
        <v>2.0</v>
      </c>
    </row>
    <row r="27">
      <c r="A27" s="11" t="inlineStr">
        <is>
          <t>P10</t>
        </is>
      </c>
      <c r="B27" s="5" t="inlineStr">
        <is>
          <t>Youssef A.</t>
        </is>
      </c>
      <c r="C27" s="5" t="inlineStr">
        <is>
          <t>Camarero</t>
        </is>
      </c>
      <c r="D27" s="5" t="inlineStr">
        <is>
          <t>Sala y servicio</t>
        </is>
      </c>
      <c r="E27" s="12" t="n">
        <v>0</v>
      </c>
      <c r="F27" s="12" t="n">
        <v>0</v>
      </c>
      <c r="G27" s="12" t="n">
        <v>0</v>
      </c>
      <c r="H27" s="12" t="n">
        <v>1</v>
      </c>
      <c r="I27" s="12" t="n">
        <v>2</v>
      </c>
      <c r="J27" s="12" t="n">
        <v>1</v>
      </c>
      <c r="K27" s="13" t="n"/>
      <c r="L27" s="13" t="n"/>
      <c r="M27" s="13" t="n"/>
      <c r="N27" s="13" t="n"/>
      <c r="O27" s="13" t="n"/>
      <c r="P27" s="13" t="n"/>
      <c r="Q27" s="14">
        <f>IF(OR($A27="",ISNUMBER($B$12)=FALSE),"",COUNTIFS($E27:$P27,"&gt;="&amp;$B$12))</f>
        <v>1.0</v>
      </c>
      <c r="R27" s="14">
        <f>IF(OR($A27="",ISNUMBER($B$13)=FALSE),"",COUNTIFS($E27:$P27,"&gt;="&amp;$B$13))</f>
        <v>0.0</v>
      </c>
    </row>
    <row r="28">
      <c r="A28" s="11" t="inlineStr">
        <is>
          <t>P11</t>
        </is>
      </c>
      <c r="B28" s="5" t="inlineStr">
        <is>
          <t>Paula G.</t>
        </is>
      </c>
      <c r="C28" s="5" t="inlineStr">
        <is>
          <t>Ayudante de camarera</t>
        </is>
      </c>
      <c r="D28" s="5" t="inlineStr">
        <is>
          <t>Barra y bebidas</t>
        </is>
      </c>
      <c r="E28" s="12" t="n">
        <v>0</v>
      </c>
      <c r="F28" s="12" t="n">
        <v>0</v>
      </c>
      <c r="G28" s="12" t="n">
        <v>0</v>
      </c>
      <c r="H28" s="12" t="n">
        <v>1</v>
      </c>
      <c r="I28" s="12" t="n">
        <v>1</v>
      </c>
      <c r="J28" s="12" t="n">
        <v>0</v>
      </c>
      <c r="K28" s="13" t="n"/>
      <c r="L28" s="13" t="n"/>
      <c r="M28" s="13" t="n"/>
      <c r="N28" s="13" t="n"/>
      <c r="O28" s="13" t="n"/>
      <c r="P28" s="13" t="n"/>
      <c r="Q28" s="14">
        <f>IF(OR($A28="",ISNUMBER($B$12)=FALSE),"",COUNTIFS($E28:$P28,"&gt;="&amp;$B$12))</f>
        <v>0.0</v>
      </c>
      <c r="R28" s="14">
        <f>IF(OR($A28="",ISNUMBER($B$13)=FALSE),"",COUNTIFS($E28:$P28,"&gt;="&amp;$B$13))</f>
        <v>0.0</v>
      </c>
    </row>
    <row r="29">
      <c r="A29" s="11" t="inlineStr">
        <is>
          <t>P12</t>
        </is>
      </c>
      <c r="B29" s="5" t="inlineStr">
        <is>
          <t>Andrés P.</t>
        </is>
      </c>
      <c r="C29" s="5" t="inlineStr">
        <is>
          <t>Friegaplatos y office</t>
        </is>
      </c>
      <c r="D29" s="5" t="inlineStr">
        <is>
          <t>Pase y caliente</t>
        </is>
      </c>
      <c r="E29" s="12" t="n">
        <v>1</v>
      </c>
      <c r="F29" s="12" t="n">
        <v>0</v>
      </c>
      <c r="G29" s="12" t="n">
        <v>0</v>
      </c>
      <c r="H29" s="12" t="n">
        <v>0</v>
      </c>
      <c r="I29" s="12" t="n">
        <v>0</v>
      </c>
      <c r="J29" s="12" t="n">
        <v>0</v>
      </c>
      <c r="K29" s="13" t="n"/>
      <c r="L29" s="13" t="n"/>
      <c r="M29" s="13" t="n"/>
      <c r="N29" s="13" t="n"/>
      <c r="O29" s="13" t="n"/>
      <c r="P29" s="13" t="n"/>
      <c r="Q29" s="14">
        <f>IF(OR($A29="",ISNUMBER($B$12)=FALSE),"",COUNTIFS($E29:$P29,"&gt;="&amp;$B$12))</f>
        <v>0.0</v>
      </c>
      <c r="R29" s="14">
        <f>IF(OR($A29="",ISNUMBER($B$13)=FALSE),"",COUNTIFS($E29:$P29,"&gt;="&amp;$B$13))</f>
        <v>0.0</v>
      </c>
    </row>
    <row r="30">
      <c r="A30" s="5" t="n"/>
      <c r="B30" s="5" t="n"/>
      <c r="C30" s="5" t="n"/>
      <c r="D30" s="5" t="n"/>
      <c r="E30" s="13" t="n"/>
      <c r="F30" s="13" t="n"/>
      <c r="G30" s="13" t="n"/>
      <c r="H30" s="13" t="n"/>
      <c r="I30" s="13" t="n"/>
      <c r="J30" s="13" t="n"/>
      <c r="K30" s="13" t="n"/>
      <c r="L30" s="13" t="n"/>
      <c r="M30" s="13" t="n"/>
      <c r="N30" s="13" t="n"/>
      <c r="O30" s="13" t="n"/>
      <c r="P30" s="13" t="n"/>
      <c r="Q30" s="14">
        <f>IF(OR($A30="",ISNUMBER($B$12)=FALSE),"",COUNTIFS($E30:$P30,"&gt;="&amp;$B$12))</f>
        <v/>
      </c>
      <c r="R30" s="14">
        <f>IF(OR($A30="",ISNUMBER($B$13)=FALSE),"",COUNTIFS($E30:$P30,"&gt;="&amp;$B$13))</f>
        <v/>
      </c>
    </row>
    <row r="31">
      <c r="A31" s="5" t="n"/>
      <c r="B31" s="5" t="n"/>
      <c r="C31" s="5" t="n"/>
      <c r="D31" s="5" t="n"/>
      <c r="E31" s="13" t="n"/>
      <c r="F31" s="13" t="n"/>
      <c r="G31" s="13" t="n"/>
      <c r="H31" s="13" t="n"/>
      <c r="I31" s="13" t="n"/>
      <c r="J31" s="13" t="n"/>
      <c r="K31" s="13" t="n"/>
      <c r="L31" s="13" t="n"/>
      <c r="M31" s="13" t="n"/>
      <c r="N31" s="13" t="n"/>
      <c r="O31" s="13" t="n"/>
      <c r="P31" s="13" t="n"/>
      <c r="Q31" s="14">
        <f>IF(OR($A31="",ISNUMBER($B$12)=FALSE),"",COUNTIFS($E31:$P31,"&gt;="&amp;$B$12))</f>
        <v/>
      </c>
      <c r="R31" s="14">
        <f>IF(OR($A31="",ISNUMBER($B$13)=FALSE),"",COUNTIFS($E31:$P31,"&gt;="&amp;$B$13))</f>
        <v/>
      </c>
    </row>
    <row r="32">
      <c r="A32" s="5" t="n"/>
      <c r="B32" s="5" t="n"/>
      <c r="C32" s="5" t="n"/>
      <c r="D32" s="5" t="n"/>
      <c r="E32" s="13" t="n"/>
      <c r="F32" s="13" t="n"/>
      <c r="G32" s="13" t="n"/>
      <c r="H32" s="13" t="n"/>
      <c r="I32" s="13" t="n"/>
      <c r="J32" s="13" t="n"/>
      <c r="K32" s="13" t="n"/>
      <c r="L32" s="13" t="n"/>
      <c r="M32" s="13" t="n"/>
      <c r="N32" s="13" t="n"/>
      <c r="O32" s="13" t="n"/>
      <c r="P32" s="13" t="n"/>
      <c r="Q32" s="14">
        <f>IF(OR($A32="",ISNUMBER($B$12)=FALSE),"",COUNTIFS($E32:$P32,"&gt;="&amp;$B$12))</f>
        <v/>
      </c>
      <c r="R32" s="14">
        <f>IF(OR($A32="",ISNUMBER($B$13)=FALSE),"",COUNTIFS($E32:$P32,"&gt;="&amp;$B$13))</f>
        <v/>
      </c>
    </row>
    <row r="33">
      <c r="A33" s="5" t="n"/>
      <c r="B33" s="5" t="n"/>
      <c r="C33" s="5" t="n"/>
      <c r="D33" s="5" t="n"/>
      <c r="E33" s="13" t="n"/>
      <c r="F33" s="13" t="n"/>
      <c r="G33" s="13" t="n"/>
      <c r="H33" s="13" t="n"/>
      <c r="I33" s="13" t="n"/>
      <c r="J33" s="13" t="n"/>
      <c r="K33" s="13" t="n"/>
      <c r="L33" s="13" t="n"/>
      <c r="M33" s="13" t="n"/>
      <c r="N33" s="13" t="n"/>
      <c r="O33" s="13" t="n"/>
      <c r="P33" s="13" t="n"/>
      <c r="Q33" s="14">
        <f>IF(OR($A33="",ISNUMBER($B$12)=FALSE),"",COUNTIFS($E33:$P33,"&gt;="&amp;$B$12))</f>
        <v/>
      </c>
      <c r="R33" s="14">
        <f>IF(OR($A33="",ISNUMBER($B$13)=FALSE),"",COUNTIFS($E33:$P33,"&gt;="&amp;$B$13))</f>
        <v/>
      </c>
    </row>
    <row r="34">
      <c r="A34" s="5" t="n"/>
      <c r="B34" s="5" t="n"/>
      <c r="C34" s="5" t="n"/>
      <c r="D34" s="5" t="n"/>
      <c r="E34" s="13" t="n"/>
      <c r="F34" s="13" t="n"/>
      <c r="G34" s="13" t="n"/>
      <c r="H34" s="13" t="n"/>
      <c r="I34" s="13" t="n"/>
      <c r="J34" s="13" t="n"/>
      <c r="K34" s="13" t="n"/>
      <c r="L34" s="13" t="n"/>
      <c r="M34" s="13" t="n"/>
      <c r="N34" s="13" t="n"/>
      <c r="O34" s="13" t="n"/>
      <c r="P34" s="13" t="n"/>
      <c r="Q34" s="14">
        <f>IF(OR($A34="",ISNUMBER($B$12)=FALSE),"",COUNTIFS($E34:$P34,"&gt;="&amp;$B$12))</f>
        <v/>
      </c>
      <c r="R34" s="14">
        <f>IF(OR($A34="",ISNUMBER($B$13)=FALSE),"",COUNTIFS($E34:$P34,"&gt;="&amp;$B$13))</f>
        <v/>
      </c>
    </row>
    <row r="35">
      <c r="A35" s="5" t="n"/>
      <c r="B35" s="5" t="n"/>
      <c r="C35" s="5" t="n"/>
      <c r="D35" s="5" t="n"/>
      <c r="E35" s="13" t="n"/>
      <c r="F35" s="13" t="n"/>
      <c r="G35" s="13" t="n"/>
      <c r="H35" s="13" t="n"/>
      <c r="I35" s="13" t="n"/>
      <c r="J35" s="13" t="n"/>
      <c r="K35" s="13" t="n"/>
      <c r="L35" s="13" t="n"/>
      <c r="M35" s="13" t="n"/>
      <c r="N35" s="13" t="n"/>
      <c r="O35" s="13" t="n"/>
      <c r="P35" s="13" t="n"/>
      <c r="Q35" s="14">
        <f>IF(OR($A35="",ISNUMBER($B$12)=FALSE),"",COUNTIFS($E35:$P35,"&gt;="&amp;$B$12))</f>
        <v/>
      </c>
      <c r="R35" s="14">
        <f>IF(OR($A35="",ISNUMBER($B$13)=FALSE),"",COUNTIFS($E35:$P35,"&gt;="&amp;$B$13))</f>
        <v/>
      </c>
    </row>
    <row r="36">
      <c r="A36" s="5" t="n"/>
      <c r="B36" s="5" t="n"/>
      <c r="C36" s="5" t="n"/>
      <c r="D36" s="5" t="n"/>
      <c r="E36" s="13" t="n"/>
      <c r="F36" s="13" t="n"/>
      <c r="G36" s="13" t="n"/>
      <c r="H36" s="13" t="n"/>
      <c r="I36" s="13" t="n"/>
      <c r="J36" s="13" t="n"/>
      <c r="K36" s="13" t="n"/>
      <c r="L36" s="13" t="n"/>
      <c r="M36" s="13" t="n"/>
      <c r="N36" s="13" t="n"/>
      <c r="O36" s="13" t="n"/>
      <c r="P36" s="13" t="n"/>
      <c r="Q36" s="14">
        <f>IF(OR($A36="",ISNUMBER($B$12)=FALSE),"",COUNTIFS($E36:$P36,"&gt;="&amp;$B$12))</f>
        <v/>
      </c>
      <c r="R36" s="14">
        <f>IF(OR($A36="",ISNUMBER($B$13)=FALSE),"",COUNTIFS($E36:$P36,"&gt;="&amp;$B$13))</f>
        <v/>
      </c>
    </row>
    <row r="37">
      <c r="A37" s="5" t="n"/>
      <c r="B37" s="5" t="n"/>
      <c r="C37" s="5" t="n"/>
      <c r="D37" s="5" t="n"/>
      <c r="E37" s="13" t="n"/>
      <c r="F37" s="13" t="n"/>
      <c r="G37" s="13" t="n"/>
      <c r="H37" s="13" t="n"/>
      <c r="I37" s="13" t="n"/>
      <c r="J37" s="13" t="n"/>
      <c r="K37" s="13" t="n"/>
      <c r="L37" s="13" t="n"/>
      <c r="M37" s="13" t="n"/>
      <c r="N37" s="13" t="n"/>
      <c r="O37" s="13" t="n"/>
      <c r="P37" s="13" t="n"/>
      <c r="Q37" s="14">
        <f>IF(OR($A37="",ISNUMBER($B$12)=FALSE),"",COUNTIFS($E37:$P37,"&gt;="&amp;$B$12))</f>
        <v/>
      </c>
      <c r="R37" s="14">
        <f>IF(OR($A37="",ISNUMBER($B$13)=FALSE),"",COUNTIFS($E37:$P37,"&gt;="&amp;$B$13))</f>
        <v/>
      </c>
    </row>
    <row r="38">
      <c r="A38" s="5" t="n"/>
      <c r="B38" s="5" t="n"/>
      <c r="C38" s="5" t="n"/>
      <c r="D38" s="5" t="n"/>
      <c r="E38" s="13" t="n"/>
      <c r="F38" s="13" t="n"/>
      <c r="G38" s="13" t="n"/>
      <c r="H38" s="13" t="n"/>
      <c r="I38" s="13" t="n"/>
      <c r="J38" s="13" t="n"/>
      <c r="K38" s="13" t="n"/>
      <c r="L38" s="13" t="n"/>
      <c r="M38" s="13" t="n"/>
      <c r="N38" s="13" t="n"/>
      <c r="O38" s="13" t="n"/>
      <c r="P38" s="13" t="n"/>
      <c r="Q38" s="14">
        <f>IF(OR($A38="",ISNUMBER($B$12)=FALSE),"",COUNTIFS($E38:$P38,"&gt;="&amp;$B$12))</f>
        <v/>
      </c>
      <c r="R38" s="14">
        <f>IF(OR($A38="",ISNUMBER($B$13)=FALSE),"",COUNTIFS($E38:$P38,"&gt;="&amp;$B$13))</f>
        <v/>
      </c>
    </row>
    <row r="39">
      <c r="A39" s="5" t="n"/>
      <c r="B39" s="5" t="n"/>
      <c r="C39" s="5" t="n"/>
      <c r="D39" s="5" t="n"/>
      <c r="E39" s="13" t="n"/>
      <c r="F39" s="13" t="n"/>
      <c r="G39" s="13" t="n"/>
      <c r="H39" s="13" t="n"/>
      <c r="I39" s="13" t="n"/>
      <c r="J39" s="13" t="n"/>
      <c r="K39" s="13" t="n"/>
      <c r="L39" s="13" t="n"/>
      <c r="M39" s="13" t="n"/>
      <c r="N39" s="13" t="n"/>
      <c r="O39" s="13" t="n"/>
      <c r="P39" s="13" t="n"/>
      <c r="Q39" s="14">
        <f>IF(OR($A39="",ISNUMBER($B$12)=FALSE),"",COUNTIFS($E39:$P39,"&gt;="&amp;$B$12))</f>
        <v/>
      </c>
      <c r="R39" s="14">
        <f>IF(OR($A39="",ISNUMBER($B$13)=FALSE),"",COUNTIFS($E39:$P39,"&gt;="&amp;$B$13))</f>
        <v/>
      </c>
    </row>
    <row r="40">
      <c r="A40" s="5" t="n"/>
      <c r="B40" s="5" t="n"/>
      <c r="C40" s="5" t="n"/>
      <c r="D40" s="5" t="n"/>
      <c r="E40" s="13" t="n"/>
      <c r="F40" s="13" t="n"/>
      <c r="G40" s="13" t="n"/>
      <c r="H40" s="13" t="n"/>
      <c r="I40" s="13" t="n"/>
      <c r="J40" s="13" t="n"/>
      <c r="K40" s="13" t="n"/>
      <c r="L40" s="13" t="n"/>
      <c r="M40" s="13" t="n"/>
      <c r="N40" s="13" t="n"/>
      <c r="O40" s="13" t="n"/>
      <c r="P40" s="13" t="n"/>
      <c r="Q40" s="14">
        <f>IF(OR($A40="",ISNUMBER($B$12)=FALSE),"",COUNTIFS($E40:$P40,"&gt;="&amp;$B$12))</f>
        <v/>
      </c>
      <c r="R40" s="14">
        <f>IF(OR($A40="",ISNUMBER($B$13)=FALSE),"",COUNTIFS($E40:$P40,"&gt;="&amp;$B$13))</f>
        <v/>
      </c>
    </row>
    <row r="41">
      <c r="A41" s="5" t="n"/>
      <c r="B41" s="5" t="n"/>
      <c r="C41" s="5" t="n"/>
      <c r="D41" s="5" t="n"/>
      <c r="E41" s="13" t="n"/>
      <c r="F41" s="13" t="n"/>
      <c r="G41" s="13" t="n"/>
      <c r="H41" s="13" t="n"/>
      <c r="I41" s="13" t="n"/>
      <c r="J41" s="13" t="n"/>
      <c r="K41" s="13" t="n"/>
      <c r="L41" s="13" t="n"/>
      <c r="M41" s="13" t="n"/>
      <c r="N41" s="13" t="n"/>
      <c r="O41" s="13" t="n"/>
      <c r="P41" s="13" t="n"/>
      <c r="Q41" s="14">
        <f>IF(OR($A41="",ISNUMBER($B$12)=FALSE),"",COUNTIFS($E41:$P41,"&gt;="&amp;$B$12))</f>
        <v/>
      </c>
      <c r="R41" s="14">
        <f>IF(OR($A41="",ISNUMBER($B$13)=FALSE),"",COUNTIFS($E41:$P41,"&gt;="&amp;$B$13))</f>
        <v/>
      </c>
    </row>
    <row r="42">
      <c r="A42" s="5" t="n"/>
      <c r="B42" s="5" t="n"/>
      <c r="C42" s="5" t="n"/>
      <c r="D42" s="5" t="n"/>
      <c r="E42" s="13" t="n"/>
      <c r="F42" s="13" t="n"/>
      <c r="G42" s="13" t="n"/>
      <c r="H42" s="13" t="n"/>
      <c r="I42" s="13" t="n"/>
      <c r="J42" s="13" t="n"/>
      <c r="K42" s="13" t="n"/>
      <c r="L42" s="13" t="n"/>
      <c r="M42" s="13" t="n"/>
      <c r="N42" s="13" t="n"/>
      <c r="O42" s="13" t="n"/>
      <c r="P42" s="13" t="n"/>
      <c r="Q42" s="14">
        <f>IF(OR($A42="",ISNUMBER($B$12)=FALSE),"",COUNTIFS($E42:$P42,"&gt;="&amp;$B$12))</f>
        <v/>
      </c>
      <c r="R42" s="14">
        <f>IF(OR($A42="",ISNUMBER($B$13)=FALSE),"",COUNTIFS($E42:$P42,"&gt;="&amp;$B$13))</f>
        <v/>
      </c>
    </row>
    <row r="43">
      <c r="A43" s="5" t="n"/>
      <c r="B43" s="5" t="n"/>
      <c r="C43" s="5" t="n"/>
      <c r="D43" s="5" t="n"/>
      <c r="E43" s="13" t="n"/>
      <c r="F43" s="13" t="n"/>
      <c r="G43" s="13" t="n"/>
      <c r="H43" s="13" t="n"/>
      <c r="I43" s="13" t="n"/>
      <c r="J43" s="13" t="n"/>
      <c r="K43" s="13" t="n"/>
      <c r="L43" s="13" t="n"/>
      <c r="M43" s="13" t="n"/>
      <c r="N43" s="13" t="n"/>
      <c r="O43" s="13" t="n"/>
      <c r="P43" s="13" t="n"/>
      <c r="Q43" s="14">
        <f>IF(OR($A43="",ISNUMBER($B$12)=FALSE),"",COUNTIFS($E43:$P43,"&gt;="&amp;$B$12))</f>
        <v/>
      </c>
      <c r="R43" s="14">
        <f>IF(OR($A43="",ISNUMBER($B$13)=FALSE),"",COUNTIFS($E43:$P43,"&gt;="&amp;$B$13))</f>
        <v/>
      </c>
    </row>
    <row r="44">
      <c r="A44" s="5" t="n"/>
      <c r="B44" s="5" t="n"/>
      <c r="C44" s="5" t="n"/>
      <c r="D44" s="5" t="n"/>
      <c r="E44" s="13" t="n"/>
      <c r="F44" s="13" t="n"/>
      <c r="G44" s="13" t="n"/>
      <c r="H44" s="13" t="n"/>
      <c r="I44" s="13" t="n"/>
      <c r="J44" s="13" t="n"/>
      <c r="K44" s="13" t="n"/>
      <c r="L44" s="13" t="n"/>
      <c r="M44" s="13" t="n"/>
      <c r="N44" s="13" t="n"/>
      <c r="O44" s="13" t="n"/>
      <c r="P44" s="13" t="n"/>
      <c r="Q44" s="14">
        <f>IF(OR($A44="",ISNUMBER($B$12)=FALSE),"",COUNTIFS($E44:$P44,"&gt;="&amp;$B$12))</f>
        <v/>
      </c>
      <c r="R44" s="14">
        <f>IF(OR($A44="",ISNUMBER($B$13)=FALSE),"",COUNTIFS($E44:$P44,"&gt;="&amp;$B$13))</f>
        <v/>
      </c>
    </row>
    <row r="45">
      <c r="A45" s="5" t="n"/>
      <c r="B45" s="5" t="n"/>
      <c r="C45" s="5" t="n"/>
      <c r="D45" s="5" t="n"/>
      <c r="E45" s="13" t="n"/>
      <c r="F45" s="13" t="n"/>
      <c r="G45" s="13" t="n"/>
      <c r="H45" s="13" t="n"/>
      <c r="I45" s="13" t="n"/>
      <c r="J45" s="13" t="n"/>
      <c r="K45" s="13" t="n"/>
      <c r="L45" s="13" t="n"/>
      <c r="M45" s="13" t="n"/>
      <c r="N45" s="13" t="n"/>
      <c r="O45" s="13" t="n"/>
      <c r="P45" s="13" t="n"/>
      <c r="Q45" s="14">
        <f>IF(OR($A45="",ISNUMBER($B$12)=FALSE),"",COUNTIFS($E45:$P45,"&gt;="&amp;$B$12))</f>
        <v/>
      </c>
      <c r="R45" s="14">
        <f>IF(OR($A45="",ISNUMBER($B$13)=FALSE),"",COUNTIFS($E45:$P45,"&gt;="&amp;$B$13))</f>
        <v/>
      </c>
    </row>
    <row r="46">
      <c r="A46" s="5" t="n"/>
      <c r="B46" s="5" t="n"/>
      <c r="C46" s="5" t="n"/>
      <c r="D46" s="5" t="n"/>
      <c r="E46" s="13" t="n"/>
      <c r="F46" s="13" t="n"/>
      <c r="G46" s="13" t="n"/>
      <c r="H46" s="13" t="n"/>
      <c r="I46" s="13" t="n"/>
      <c r="J46" s="13" t="n"/>
      <c r="K46" s="13" t="n"/>
      <c r="L46" s="13" t="n"/>
      <c r="M46" s="13" t="n"/>
      <c r="N46" s="13" t="n"/>
      <c r="O46" s="13" t="n"/>
      <c r="P46" s="13" t="n"/>
      <c r="Q46" s="14">
        <f>IF(OR($A46="",ISNUMBER($B$12)=FALSE),"",COUNTIFS($E46:$P46,"&gt;="&amp;$B$12))</f>
        <v/>
      </c>
      <c r="R46" s="14">
        <f>IF(OR($A46="",ISNUMBER($B$13)=FALSE),"",COUNTIFS($E46:$P46,"&gt;="&amp;$B$13))</f>
        <v/>
      </c>
    </row>
    <row r="47">
      <c r="A47" s="5" t="n"/>
      <c r="B47" s="5" t="n"/>
      <c r="C47" s="5" t="n"/>
      <c r="D47" s="5" t="n"/>
      <c r="E47" s="13" t="n"/>
      <c r="F47" s="13" t="n"/>
      <c r="G47" s="13" t="n"/>
      <c r="H47" s="13" t="n"/>
      <c r="I47" s="13" t="n"/>
      <c r="J47" s="13" t="n"/>
      <c r="K47" s="13" t="n"/>
      <c r="L47" s="13" t="n"/>
      <c r="M47" s="13" t="n"/>
      <c r="N47" s="13" t="n"/>
      <c r="O47" s="13" t="n"/>
      <c r="P47" s="13" t="n"/>
      <c r="Q47" s="14">
        <f>IF(OR($A47="",ISNUMBER($B$12)=FALSE),"",COUNTIFS($E47:$P47,"&gt;="&amp;$B$12))</f>
        <v/>
      </c>
      <c r="R47" s="14">
        <f>IF(OR($A47="",ISNUMBER($B$13)=FALSE),"",COUNTIFS($E47:$P47,"&gt;="&amp;$B$13))</f>
        <v/>
      </c>
    </row>
  </sheetData>
  <sheetProtection selectLockedCells="0" selectUnlockedCells="0" sheet="1" objects="0" insertRows="0" insertHyperlinks="1" autoFilter="1" scenarios="0" formatColumns="0" deleteColumns="1" insertColumns="1" pivotTables="1" deleteRows="1" formatCells="1" formatRows="0" sort="0"/>
  <mergeCells count="6">
    <mergeCell ref="B5:D5"/>
    <mergeCell ref="B6:D6"/>
    <mergeCell ref="C11:D11"/>
    <mergeCell ref="B8:D8"/>
    <mergeCell ref="B7:D7"/>
    <mergeCell ref="B9:D9"/>
  </mergeCells>
  <conditionalFormatting sqref="E18:P47">
    <cfRule type="expression" priority="1" dxfId="0" stopIfTrue="1">
      <formula>=AND(ISNUMBER(E18),ISNUMBER($B$12),E18&gt;=$B$12)</formula>
    </cfRule>
    <cfRule type="expression" priority="2" dxfId="1" stopIfTrue="1">
      <formula>=AND(ISNUMBER(E18),ISNUMBER($B$12),E18&gt;0,E18&lt;$B$12)</formula>
    </cfRule>
  </conditionalFormatting>
  <dataValidations count="3">
    <dataValidation sqref="E18 E19 E20 E21 E22 E23 E24 E25 E26 E27 E28 E29 E30 E31 E32 E33 E34 E35 E36 E37 E38 E39 E40 E41 E42 E43 E44 E45 E46 E47 F18 F19 F20 F21 F22 F23 F24 F25 F26 F27 F28 F29 F30 F31 F32 F33 F34 F35 F36 F37 F38 F39 F40 F41 F42 F43 F44 F45 F46 F47 G18 G19 G20 G21 G22 G23 G24 G25 G26 G27 G28 G29 G30 G31 G32 G33 G34 G35 G36 G37 G38 G39 G40 G41 G42 G43 G44 G45 G46 G47 H18 H19 H20 H21 H22 H23 H24 H25 H26 H27 H28 H29 H30 H31 H32 H33 H34 H35 H36 H37 H38 H39 H40 H41 H42 H43 H44 H45 H46 H47 I18 I19 I20 I21 I22 I23 I24 I25 I26 I27 I28 I29 I30 I31 I32 I33 I34 I35 I36 I37 I38 I39 I40 I41 I42 I43 I44 I45 I46 I47 J18 J19 J20 J21 J22 J23 J24 J25 J26 J27 J28 J29 J30 J31 J32 J33 J34 J35 J36 J37 J38 J39 J40 J41 J42 J43 J44 J45 J46 J47 K18 K19 K20 K21 K22 K23 K24 K25 K26 K27 K28 K29 K30 K31 K32 K33 K34 K35 K36 K37 K38 K39 K40 K41 K42 K43 K44 K45 K46 K47 L18 L19 L20 L21 L22 L23 L24 L25 L26 L27 L28 L29 L30 L31 L32 L33 L34 L35 L36 L37 L38 L39 L40 L41 L42 L43 L44 L45 L46 L47 M18 M19 M20 M21 M22 M23 M24 M25 M26 M27 M28 M29 M30 M31 M32 M33 M34 M35 M36 M37 M38 M39 M40 M41 M42 M43 M44 M45 M46 M47 N18 N19 N20 N21 N22 N23 N24 N25 N26 N27 N28 N29 N30 N31 N32 N33 N34 N35 N36 N37 N38 N39 N40 N41 N42 N43 N44 N45 N46 N47 O18 O19 O20 O21 O22 O23 O24 O25 O26 O27 O28 O29 O30 O31 O32 O33 O34 O35 O36 O37 O38 O39 O40 O41 O42 O43 O44 O45 O46 O47 P18 P19 P20 P21 P22 P23 P24 P25 P26 P27 P28 P29 P30 P31 P32 P33 P34 P35 P36 P37 P38 P39 P40 P41 P42 P43 P44 P45 P46 P47" showDropDown="0" showInputMessage="0" showErrorMessage="1" allowBlank="1" errorTitle="Nivel de 0 a 3" error="El nivel va de 0 a 3. Mira la leyenda de arriba." type="list">
      <formula1>"0,1,2,3"</formula1>
    </dataValidation>
    <dataValidation sqref="B12 B13 B14" showDropDown="0" showInputMessage="0" showErrorMessage="1" allowBlank="1" errorTitle="Nivel de 0 a 3" error="Elige un valor de la lista: 0, 1, 2, 3" type="list">
      <formula1>"0,1,2,3"</formula1>
    </dataValidation>
    <dataValidation sqref="B14" showDropDown="0" showInputMessage="0" showErrorMessage="1" allowBlank="1" errorTitle="Personas" error="Escribe un valor entre 0 y 30." type="decimal" operator="between">
      <formula1>0</formula1>
      <formula2>30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38"/>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0" customWidth="1" min="3" max="3"/>
    <col width="24" customWidth="1" min="4" max="4"/>
    <col width="12" customWidth="1" min="5" max="5"/>
    <col width="12" customWidth="1" min="6" max="6"/>
    <col width="22" customWidth="1" min="7" max="7"/>
    <col width="14" customWidth="1" min="8" max="8"/>
    <col width="14" customWidth="1" min="9" max="9"/>
    <col width="13" customWidth="1" min="10" max="10"/>
    <col width="14" customWidth="1" min="11" max="11"/>
    <col width="18" customWidth="1" min="12" max="12"/>
  </cols>
  <sheetData>
    <row r="1" ht="30" customHeight="1">
      <c r="A1" s="1" t="inlineStr">
        <is>
          <t>Plan de cross-training</t>
        </is>
      </c>
    </row>
    <row r="2">
      <c r="A2" t="inlineStr">
        <is>
          <t>AI Chef Pro · aichef.pro — Manual del Manager de Restaurante</t>
        </is>
      </c>
    </row>
    <row r="3">
      <c r="A3" s="2" t="inlineStr">
        <is>
          <t>Una fila por acción de formación: quién, qué estación, de qué nivel a qué nivel, quién le enseña y para cuándo.</t>
        </is>
      </c>
    </row>
    <row r="4"/>
    <row r="5">
      <c r="A5" t="inlineStr">
        <is>
          <t>Fecha de corte (desde cuándo se cuentan los días)</t>
        </is>
      </c>
      <c r="C5" s="15" t="n">
        <v>46269</v>
      </c>
    </row>
    <row r="6">
      <c r="A6" t="inlineStr">
        <is>
          <t>Avisar cuando falten estos días o menos</t>
        </is>
      </c>
      <c r="C6" s="9" t="n">
        <v>30</v>
      </c>
    </row>
    <row r="7">
      <c r="A7" t="inlineStr">
        <is>
          <t>Las dos son celdas verdes. La fecha de corte no se toma del reloj a propósito: así el libro enseña siempre lo mismo cada vez que se abre y no cambia de color solo.</t>
        </is>
      </c>
    </row>
    <row r="8"/>
    <row r="9" ht="56" customHeight="1">
      <c r="A9" s="6" t="inlineStr">
        <is>
          <t>#</t>
        </is>
      </c>
      <c r="B9" s="6" t="inlineStr">
        <is>
          <t>Id del empleado</t>
        </is>
      </c>
      <c r="C9" s="6" t="inlineStr">
        <is>
          <t>Nombre</t>
        </is>
      </c>
      <c r="D9" s="6" t="inlineStr">
        <is>
          <t>Estación objetivo</t>
        </is>
      </c>
      <c r="E9" s="6" t="inlineStr">
        <is>
          <t>Nivel actual</t>
        </is>
      </c>
      <c r="F9" s="6" t="inlineStr">
        <is>
          <t>Nivel objetivo</t>
        </is>
      </c>
      <c r="G9" s="6" t="inlineStr">
        <is>
          <t>Quién le enseña</t>
        </is>
      </c>
      <c r="H9" s="6" t="inlineStr">
        <is>
          <t>Fecha objetivo</t>
        </is>
      </c>
      <c r="I9" s="6" t="inlineStr">
        <is>
          <t>Estado</t>
        </is>
      </c>
      <c r="J9" s="6" t="inlineStr">
        <is>
          <t>Niveles que faltan</t>
        </is>
      </c>
      <c r="K9" s="6" t="inlineStr">
        <is>
          <t>Días hasta la fecha</t>
        </is>
      </c>
      <c r="L9" s="6" t="inlineStr">
        <is>
          <t>Situación del plazo</t>
        </is>
      </c>
    </row>
    <row r="10">
      <c r="A10" s="16" t="n">
        <v>1</v>
      </c>
      <c r="B10" s="11" t="inlineStr">
        <is>
          <t>P06</t>
        </is>
      </c>
      <c r="C10" s="5" t="inlineStr">
        <is>
          <t>Omar B.</t>
        </is>
      </c>
      <c r="D10" s="5" t="inlineStr">
        <is>
          <t>Fríos y entrantes</t>
        </is>
      </c>
      <c r="E10" s="12" t="n">
        <v>1</v>
      </c>
      <c r="F10" s="12" t="n">
        <v>2</v>
      </c>
      <c r="G10" s="5" t="inlineStr">
        <is>
          <t>Laura S.</t>
        </is>
      </c>
      <c r="H10" s="15" t="n">
        <v>46310</v>
      </c>
      <c r="I10" s="11" t="inlineStr">
        <is>
          <t>En curso</t>
        </is>
      </c>
      <c r="J10" s="14">
        <f>IFERROR(IF(OR($E10="",$F10=""),"",$F10-$E10),"")</f>
        <v>1.0</v>
      </c>
      <c r="K10" s="14">
        <f>IFERROR(IF(OR($H10="",$C$5=""),"",$H10-$C$5),"")</f>
        <v>41.0</v>
      </c>
      <c r="L10" t="str">
        <f>IF($K10="","",IF($I10="Completado","Completado",IF($I10="Descartado","Descartado",IF($K10&lt;0,"Vencido",IF(AND(ISNUMBER($C$6),$K10&lt;=$C$6),"Vence pronto","En plazo")))))</f>
        <v>En plazo</v>
      </c>
    </row>
    <row r="11">
      <c r="A11" s="16" t="n">
        <v>2</v>
      </c>
      <c r="B11" s="11" t="inlineStr">
        <is>
          <t>P04</t>
        </is>
      </c>
      <c r="C11" s="5" t="inlineStr">
        <is>
          <t>Diego M.</t>
        </is>
      </c>
      <c r="D11" s="5" t="inlineStr">
        <is>
          <t>Fríos y entrantes</t>
        </is>
      </c>
      <c r="E11" s="12" t="n">
        <v>1</v>
      </c>
      <c r="F11" s="12" t="n">
        <v>2</v>
      </c>
      <c r="G11" s="5" t="inlineStr">
        <is>
          <t>Laura S.</t>
        </is>
      </c>
      <c r="H11" s="15" t="n">
        <v>46356</v>
      </c>
      <c r="I11" s="11" t="inlineStr">
        <is>
          <t>Planificado</t>
        </is>
      </c>
      <c r="J11" s="14">
        <f>IFERROR(IF(OR($E11="",$F11=""),"",$F11-$E11),"")</f>
        <v>1.0</v>
      </c>
      <c r="K11" s="14">
        <f>IFERROR(IF(OR($H11="",$C$5=""),"",$H11-$C$5),"")</f>
        <v>87.0</v>
      </c>
      <c r="L11" t="str">
        <f>IF($K11="","",IF($I11="Completado","Completado",IF($I11="Descartado","Descartado",IF($K11&lt;0,"Vencido",IF(AND(ISNUMBER($C$6),$K11&lt;=$C$6),"Vence pronto","En plazo")))))</f>
        <v>En plazo</v>
      </c>
    </row>
    <row r="12">
      <c r="A12" s="16" t="n">
        <v>3</v>
      </c>
      <c r="B12" s="11" t="inlineStr">
        <is>
          <t>P02</t>
        </is>
      </c>
      <c r="C12" s="5" t="inlineStr">
        <is>
          <t>Iván R.</t>
        </is>
      </c>
      <c r="D12" s="5" t="inlineStr">
        <is>
          <t>Fríos y entrantes</t>
        </is>
      </c>
      <c r="E12" s="12" t="n">
        <v>1</v>
      </c>
      <c r="F12" s="12" t="n">
        <v>3</v>
      </c>
      <c r="G12" s="5" t="inlineStr">
        <is>
          <t>Laura S.</t>
        </is>
      </c>
      <c r="H12" s="15" t="n">
        <v>46371</v>
      </c>
      <c r="I12" s="11" t="inlineStr">
        <is>
          <t>Planificado</t>
        </is>
      </c>
      <c r="J12" s="14">
        <f>IFERROR(IF(OR($E12="",$F12=""),"",$F12-$E12),"")</f>
        <v>2.0</v>
      </c>
      <c r="K12" s="14">
        <f>IFERROR(IF(OR($H12="",$C$5=""),"",$H12-$C$5),"")</f>
        <v>102.0</v>
      </c>
      <c r="L12" t="str">
        <f>IF($K12="","",IF($I12="Completado","Completado",IF($I12="Descartado","Descartado",IF($K12&lt;0,"Vencido",IF(AND(ISNUMBER($C$6),$K12&lt;=$C$6),"Vence pronto","En plazo")))))</f>
        <v>En plazo</v>
      </c>
    </row>
    <row r="13">
      <c r="A13" s="16" t="n">
        <v>4</v>
      </c>
      <c r="B13" s="11" t="inlineStr">
        <is>
          <t>P10</t>
        </is>
      </c>
      <c r="C13" s="5" t="inlineStr">
        <is>
          <t>Youssef A.</t>
        </is>
      </c>
      <c r="D13" s="5" t="inlineStr">
        <is>
          <t>Barra y bebidas</t>
        </is>
      </c>
      <c r="E13" s="12" t="n">
        <v>1</v>
      </c>
      <c r="F13" s="12" t="n">
        <v>2</v>
      </c>
      <c r="G13" s="5" t="inlineStr">
        <is>
          <t>Elena T.</t>
        </is>
      </c>
      <c r="H13" s="15" t="n">
        <v>46326</v>
      </c>
      <c r="I13" s="11" t="inlineStr">
        <is>
          <t>En curso</t>
        </is>
      </c>
      <c r="J13" s="14">
        <f>IFERROR(IF(OR($E13="",$F13=""),"",$F13-$E13),"")</f>
        <v>1.0</v>
      </c>
      <c r="K13" s="14">
        <f>IFERROR(IF(OR($H13="",$C$5=""),"",$H13-$C$5),"")</f>
        <v>57.0</v>
      </c>
      <c r="L13" t="str">
        <f>IF($K13="","",IF($I13="Completado","Completado",IF($I13="Descartado","Descartado",IF($K13&lt;0,"Vencido",IF(AND(ISNUMBER($C$6),$K13&lt;=$C$6),"Vence pronto","En plazo")))))</f>
        <v>En plazo</v>
      </c>
    </row>
    <row r="14">
      <c r="A14" s="16" t="n">
        <v>5</v>
      </c>
      <c r="B14" s="11" t="inlineStr">
        <is>
          <t>P11</t>
        </is>
      </c>
      <c r="C14" s="5" t="inlineStr">
        <is>
          <t>Paula G.</t>
        </is>
      </c>
      <c r="D14" s="5" t="inlineStr">
        <is>
          <t>Sala y servicio</t>
        </is>
      </c>
      <c r="E14" s="12" t="n">
        <v>1</v>
      </c>
      <c r="F14" s="12" t="n">
        <v>2</v>
      </c>
      <c r="G14" s="5" t="inlineStr">
        <is>
          <t>Nuria C.</t>
        </is>
      </c>
      <c r="H14" s="15" t="n">
        <v>46341</v>
      </c>
      <c r="I14" s="11" t="inlineStr">
        <is>
          <t>Planificado</t>
        </is>
      </c>
      <c r="J14" s="14">
        <f>IFERROR(IF(OR($E14="",$F14=""),"",$F14-$E14),"")</f>
        <v>1.0</v>
      </c>
      <c r="K14" s="14">
        <f>IFERROR(IF(OR($H14="",$C$5=""),"",$H14-$C$5),"")</f>
        <v>72.0</v>
      </c>
      <c r="L14" t="str">
        <f>IF($K14="","",IF($I14="Completado","Completado",IF($I14="Descartado","Descartado",IF($K14&lt;0,"Vencido",IF(AND(ISNUMBER($C$6),$K14&lt;=$C$6),"Vence pronto","En plazo")))))</f>
        <v>En plazo</v>
      </c>
    </row>
    <row r="15">
      <c r="A15" s="16" t="n">
        <v>6</v>
      </c>
      <c r="B15" s="11" t="inlineStr">
        <is>
          <t>P08</t>
        </is>
      </c>
      <c r="C15" s="5" t="inlineStr">
        <is>
          <t>Carlos V.</t>
        </is>
      </c>
      <c r="D15" s="5" t="inlineStr">
        <is>
          <t>Caja y cierre</t>
        </is>
      </c>
      <c r="E15" s="12" t="n">
        <v>2</v>
      </c>
      <c r="F15" s="12" t="n">
        <v>3</v>
      </c>
      <c r="G15" s="5" t="inlineStr">
        <is>
          <t>Marta L.</t>
        </is>
      </c>
      <c r="H15" s="15" t="n">
        <v>46315</v>
      </c>
      <c r="I15" s="11" t="inlineStr">
        <is>
          <t>En curso</t>
        </is>
      </c>
      <c r="J15" s="14">
        <f>IFERROR(IF(OR($E15="",$F15=""),"",$F15-$E15),"")</f>
        <v>1.0</v>
      </c>
      <c r="K15" s="14">
        <f>IFERROR(IF(OR($H15="",$C$5=""),"",$H15-$C$5),"")</f>
        <v>46.0</v>
      </c>
      <c r="L15" t="str">
        <f>IF($K15="","",IF($I15="Completado","Completado",IF($I15="Descartado","Descartado",IF($K15&lt;0,"Vencido",IF(AND(ISNUMBER($C$6),$K15&lt;=$C$6),"Vence pronto","En plazo")))))</f>
        <v>En plazo</v>
      </c>
    </row>
    <row r="16">
      <c r="A16" s="16" t="n">
        <v>7</v>
      </c>
      <c r="B16" s="11" t="inlineStr">
        <is>
          <t>P12</t>
        </is>
      </c>
      <c r="C16" s="5" t="inlineStr">
        <is>
          <t>Andrés P.</t>
        </is>
      </c>
      <c r="D16" s="5" t="inlineStr">
        <is>
          <t>Pase y caliente</t>
        </is>
      </c>
      <c r="E16" s="12" t="n">
        <v>1</v>
      </c>
      <c r="F16" s="12" t="n">
        <v>2</v>
      </c>
      <c r="G16" s="5" t="inlineStr">
        <is>
          <t>Diego M.</t>
        </is>
      </c>
      <c r="H16" s="15" t="n">
        <v>46418</v>
      </c>
      <c r="I16" s="11" t="inlineStr">
        <is>
          <t>Planificado</t>
        </is>
      </c>
      <c r="J16" s="14">
        <f>IFERROR(IF(OR($E16="",$F16=""),"",$F16-$E16),"")</f>
        <v>1.0</v>
      </c>
      <c r="K16" s="14">
        <f>IFERROR(IF(OR($H16="",$C$5=""),"",$H16-$C$5),"")</f>
        <v>149.0</v>
      </c>
      <c r="L16" t="str">
        <f>IF($K16="","",IF($I16="Completado","Completado",IF($I16="Descartado","Descartado",IF($K16&lt;0,"Vencido",IF(AND(ISNUMBER($C$6),$K16&lt;=$C$6),"Vence pronto","En plazo")))))</f>
        <v>En plazo</v>
      </c>
    </row>
    <row r="17">
      <c r="A17" s="16" t="n">
        <v>8</v>
      </c>
      <c r="B17" s="11" t="inlineStr">
        <is>
          <t>P07</t>
        </is>
      </c>
      <c r="C17" s="5" t="inlineStr">
        <is>
          <t>Rocío F.</t>
        </is>
      </c>
      <c r="D17" s="5" t="inlineStr">
        <is>
          <t>Pase y caliente</t>
        </is>
      </c>
      <c r="E17" s="12" t="n">
        <v>1</v>
      </c>
      <c r="F17" s="12" t="n">
        <v>2</v>
      </c>
      <c r="G17" s="5" t="inlineStr">
        <is>
          <t>Iván R.</t>
        </is>
      </c>
      <c r="H17" s="15" t="n">
        <v>46446</v>
      </c>
      <c r="I17" s="11" t="inlineStr">
        <is>
          <t>Planificado</t>
        </is>
      </c>
      <c r="J17" s="14">
        <f>IFERROR(IF(OR($E17="",$F17=""),"",$F17-$E17),"")</f>
        <v>1.0</v>
      </c>
      <c r="K17" s="14">
        <f>IFERROR(IF(OR($H17="",$C$5=""),"",$H17-$C$5),"")</f>
        <v>177.0</v>
      </c>
      <c r="L17" t="str">
        <f>IF($K17="","",IF($I17="Completado","Completado",IF($I17="Descartado","Descartado",IF($K17&lt;0,"Vencido",IF(AND(ISNUMBER($C$6),$K17&lt;=$C$6),"Vence pronto","En plazo")))))</f>
        <v>En plazo</v>
      </c>
    </row>
    <row r="18">
      <c r="A18" s="16" t="n">
        <v>9</v>
      </c>
      <c r="B18" s="5" t="n"/>
      <c r="C18" s="5" t="n"/>
      <c r="D18" s="5" t="n"/>
      <c r="E18" s="9" t="n"/>
      <c r="F18" s="9" t="n"/>
      <c r="G18" s="5" t="n"/>
      <c r="H18" s="15" t="n"/>
      <c r="I18" s="5" t="n"/>
      <c r="J18" s="14">
        <f>IFERROR(IF(OR($E18="",$F18=""),"",$F18-$E18),"")</f>
        <v/>
      </c>
      <c r="K18" s="14">
        <f>IFERROR(IF(OR($H18="",$C$5=""),"",$H18-$C$5),"")</f>
        <v/>
      </c>
      <c r="L18">
        <f>IF($K18="","",IF($I18="Completado","Completado",IF($I18="Descartado","Descartado",IF($K18&lt;0,"Vencido",IF(AND(ISNUMBER($C$6),$K18&lt;=$C$6),"Vence pronto","En plazo")))))</f>
        <v/>
      </c>
    </row>
    <row r="19">
      <c r="A19" s="16" t="n">
        <v>10</v>
      </c>
      <c r="B19" s="5" t="n"/>
      <c r="C19" s="5" t="n"/>
      <c r="D19" s="5" t="n"/>
      <c r="E19" s="9" t="n"/>
      <c r="F19" s="9" t="n"/>
      <c r="G19" s="5" t="n"/>
      <c r="H19" s="15" t="n"/>
      <c r="I19" s="5" t="n"/>
      <c r="J19" s="14">
        <f>IFERROR(IF(OR($E19="",$F19=""),"",$F19-$E19),"")</f>
        <v/>
      </c>
      <c r="K19" s="14">
        <f>IFERROR(IF(OR($H19="",$C$5=""),"",$H19-$C$5),"")</f>
        <v/>
      </c>
      <c r="L19">
        <f>IF($K19="","",IF($I19="Completado","Completado",IF($I19="Descartado","Descartado",IF($K19&lt;0,"Vencido",IF(AND(ISNUMBER($C$6),$K19&lt;=$C$6),"Vence pronto","En plazo")))))</f>
        <v/>
      </c>
    </row>
    <row r="20">
      <c r="A20" s="16" t="n">
        <v>11</v>
      </c>
      <c r="B20" s="5" t="n"/>
      <c r="C20" s="5" t="n"/>
      <c r="D20" s="5" t="n"/>
      <c r="E20" s="9" t="n"/>
      <c r="F20" s="9" t="n"/>
      <c r="G20" s="5" t="n"/>
      <c r="H20" s="15" t="n"/>
      <c r="I20" s="5" t="n"/>
      <c r="J20" s="14">
        <f>IFERROR(IF(OR($E20="",$F20=""),"",$F20-$E20),"")</f>
        <v/>
      </c>
      <c r="K20" s="14">
        <f>IFERROR(IF(OR($H20="",$C$5=""),"",$H20-$C$5),"")</f>
        <v/>
      </c>
      <c r="L20">
        <f>IF($K20="","",IF($I20="Completado","Completado",IF($I20="Descartado","Descartado",IF($K20&lt;0,"Vencido",IF(AND(ISNUMBER($C$6),$K20&lt;=$C$6),"Vence pronto","En plazo")))))</f>
        <v/>
      </c>
    </row>
    <row r="21">
      <c r="A21" s="16" t="n">
        <v>12</v>
      </c>
      <c r="B21" s="5" t="n"/>
      <c r="C21" s="5" t="n"/>
      <c r="D21" s="5" t="n"/>
      <c r="E21" s="9" t="n"/>
      <c r="F21" s="9" t="n"/>
      <c r="G21" s="5" t="n"/>
      <c r="H21" s="15" t="n"/>
      <c r="I21" s="5" t="n"/>
      <c r="J21" s="14">
        <f>IFERROR(IF(OR($E21="",$F21=""),"",$F21-$E21),"")</f>
        <v/>
      </c>
      <c r="K21" s="14">
        <f>IFERROR(IF(OR($H21="",$C$5=""),"",$H21-$C$5),"")</f>
        <v/>
      </c>
      <c r="L21">
        <f>IF($K21="","",IF($I21="Completado","Completado",IF($I21="Descartado","Descartado",IF($K21&lt;0,"Vencido",IF(AND(ISNUMBER($C$6),$K21&lt;=$C$6),"Vence pronto","En plazo")))))</f>
        <v/>
      </c>
    </row>
    <row r="22">
      <c r="A22" s="16" t="n">
        <v>13</v>
      </c>
      <c r="B22" s="5" t="n"/>
      <c r="C22" s="5" t="n"/>
      <c r="D22" s="5" t="n"/>
      <c r="E22" s="9" t="n"/>
      <c r="F22" s="9" t="n"/>
      <c r="G22" s="5" t="n"/>
      <c r="H22" s="15" t="n"/>
      <c r="I22" s="5" t="n"/>
      <c r="J22" s="14">
        <f>IFERROR(IF(OR($E22="",$F22=""),"",$F22-$E22),"")</f>
        <v/>
      </c>
      <c r="K22" s="14">
        <f>IFERROR(IF(OR($H22="",$C$5=""),"",$H22-$C$5),"")</f>
        <v/>
      </c>
      <c r="L22">
        <f>IF($K22="","",IF($I22="Completado","Completado",IF($I22="Descartado","Descartado",IF($K22&lt;0,"Vencido",IF(AND(ISNUMBER($C$6),$K22&lt;=$C$6),"Vence pronto","En plazo")))))</f>
        <v/>
      </c>
    </row>
    <row r="23">
      <c r="A23" s="16" t="n">
        <v>14</v>
      </c>
      <c r="B23" s="5" t="n"/>
      <c r="C23" s="5" t="n"/>
      <c r="D23" s="5" t="n"/>
      <c r="E23" s="9" t="n"/>
      <c r="F23" s="9" t="n"/>
      <c r="G23" s="5" t="n"/>
      <c r="H23" s="15" t="n"/>
      <c r="I23" s="5" t="n"/>
      <c r="J23" s="14">
        <f>IFERROR(IF(OR($E23="",$F23=""),"",$F23-$E23),"")</f>
        <v/>
      </c>
      <c r="K23" s="14">
        <f>IFERROR(IF(OR($H23="",$C$5=""),"",$H23-$C$5),"")</f>
        <v/>
      </c>
      <c r="L23">
        <f>IF($K23="","",IF($I23="Completado","Completado",IF($I23="Descartado","Descartado",IF($K23&lt;0,"Vencido",IF(AND(ISNUMBER($C$6),$K23&lt;=$C$6),"Vence pronto","En plazo")))))</f>
        <v/>
      </c>
    </row>
    <row r="24">
      <c r="A24" s="16" t="n">
        <v>15</v>
      </c>
      <c r="B24" s="5" t="n"/>
      <c r="C24" s="5" t="n"/>
      <c r="D24" s="5" t="n"/>
      <c r="E24" s="9" t="n"/>
      <c r="F24" s="9" t="n"/>
      <c r="G24" s="5" t="n"/>
      <c r="H24" s="15" t="n"/>
      <c r="I24" s="5" t="n"/>
      <c r="J24" s="14">
        <f>IFERROR(IF(OR($E24="",$F24=""),"",$F24-$E24),"")</f>
        <v/>
      </c>
      <c r="K24" s="14">
        <f>IFERROR(IF(OR($H24="",$C$5=""),"",$H24-$C$5),"")</f>
        <v/>
      </c>
      <c r="L24">
        <f>IF($K24="","",IF($I24="Completado","Completado",IF($I24="Descartado","Descartado",IF($K24&lt;0,"Vencido",IF(AND(ISNUMBER($C$6),$K24&lt;=$C$6),"Vence pronto","En plazo")))))</f>
        <v/>
      </c>
    </row>
    <row r="25">
      <c r="A25" s="16" t="n">
        <v>16</v>
      </c>
      <c r="B25" s="5" t="n"/>
      <c r="C25" s="5" t="n"/>
      <c r="D25" s="5" t="n"/>
      <c r="E25" s="9" t="n"/>
      <c r="F25" s="9" t="n"/>
      <c r="G25" s="5" t="n"/>
      <c r="H25" s="15" t="n"/>
      <c r="I25" s="5" t="n"/>
      <c r="J25" s="14">
        <f>IFERROR(IF(OR($E25="",$F25=""),"",$F25-$E25),"")</f>
        <v/>
      </c>
      <c r="K25" s="14">
        <f>IFERROR(IF(OR($H25="",$C$5=""),"",$H25-$C$5),"")</f>
        <v/>
      </c>
      <c r="L25">
        <f>IF($K25="","",IF($I25="Completado","Completado",IF($I25="Descartado","Descartado",IF($K25&lt;0,"Vencido",IF(AND(ISNUMBER($C$6),$K25&lt;=$C$6),"Vence pronto","En plazo")))))</f>
        <v/>
      </c>
    </row>
    <row r="26">
      <c r="A26" s="16" t="n">
        <v>17</v>
      </c>
      <c r="B26" s="5" t="n"/>
      <c r="C26" s="5" t="n"/>
      <c r="D26" s="5" t="n"/>
      <c r="E26" s="9" t="n"/>
      <c r="F26" s="9" t="n"/>
      <c r="G26" s="5" t="n"/>
      <c r="H26" s="15" t="n"/>
      <c r="I26" s="5" t="n"/>
      <c r="J26" s="14">
        <f>IFERROR(IF(OR($E26="",$F26=""),"",$F26-$E26),"")</f>
        <v/>
      </c>
      <c r="K26" s="14">
        <f>IFERROR(IF(OR($H26="",$C$5=""),"",$H26-$C$5),"")</f>
        <v/>
      </c>
      <c r="L26">
        <f>IF($K26="","",IF($I26="Completado","Completado",IF($I26="Descartado","Descartado",IF($K26&lt;0,"Vencido",IF(AND(ISNUMBER($C$6),$K26&lt;=$C$6),"Vence pronto","En plazo")))))</f>
        <v/>
      </c>
    </row>
    <row r="27">
      <c r="A27" s="16" t="n">
        <v>18</v>
      </c>
      <c r="B27" s="5" t="n"/>
      <c r="C27" s="5" t="n"/>
      <c r="D27" s="5" t="n"/>
      <c r="E27" s="9" t="n"/>
      <c r="F27" s="9" t="n"/>
      <c r="G27" s="5" t="n"/>
      <c r="H27" s="15" t="n"/>
      <c r="I27" s="5" t="n"/>
      <c r="J27" s="14">
        <f>IFERROR(IF(OR($E27="",$F27=""),"",$F27-$E27),"")</f>
        <v/>
      </c>
      <c r="K27" s="14">
        <f>IFERROR(IF(OR($H27="",$C$5=""),"",$H27-$C$5),"")</f>
        <v/>
      </c>
      <c r="L27">
        <f>IF($K27="","",IF($I27="Completado","Completado",IF($I27="Descartado","Descartado",IF($K27&lt;0,"Vencido",IF(AND(ISNUMBER($C$6),$K27&lt;=$C$6),"Vence pronto","En plazo")))))</f>
        <v/>
      </c>
    </row>
    <row r="28">
      <c r="A28" s="16" t="n">
        <v>19</v>
      </c>
      <c r="B28" s="5" t="n"/>
      <c r="C28" s="5" t="n"/>
      <c r="D28" s="5" t="n"/>
      <c r="E28" s="9" t="n"/>
      <c r="F28" s="9" t="n"/>
      <c r="G28" s="5" t="n"/>
      <c r="H28" s="15" t="n"/>
      <c r="I28" s="5" t="n"/>
      <c r="J28" s="14">
        <f>IFERROR(IF(OR($E28="",$F28=""),"",$F28-$E28),"")</f>
        <v/>
      </c>
      <c r="K28" s="14">
        <f>IFERROR(IF(OR($H28="",$C$5=""),"",$H28-$C$5),"")</f>
        <v/>
      </c>
      <c r="L28">
        <f>IF($K28="","",IF($I28="Completado","Completado",IF($I28="Descartado","Descartado",IF($K28&lt;0,"Vencido",IF(AND(ISNUMBER($C$6),$K28&lt;=$C$6),"Vence pronto","En plazo")))))</f>
        <v/>
      </c>
    </row>
    <row r="29">
      <c r="A29" s="16" t="n">
        <v>20</v>
      </c>
      <c r="B29" s="5" t="n"/>
      <c r="C29" s="5" t="n"/>
      <c r="D29" s="5" t="n"/>
      <c r="E29" s="9" t="n"/>
      <c r="F29" s="9" t="n"/>
      <c r="G29" s="5" t="n"/>
      <c r="H29" s="15" t="n"/>
      <c r="I29" s="5" t="n"/>
      <c r="J29" s="14">
        <f>IFERROR(IF(OR($E29="",$F29=""),"",$F29-$E29),"")</f>
        <v/>
      </c>
      <c r="K29" s="14">
        <f>IFERROR(IF(OR($H29="",$C$5=""),"",$H29-$C$5),"")</f>
        <v/>
      </c>
      <c r="L29">
        <f>IF($K29="","",IF($I29="Completado","Completado",IF($I29="Descartado","Descartado",IF($K29&lt;0,"Vencido",IF(AND(ISNUMBER($C$6),$K29&lt;=$C$6),"Vence pronto","En plazo")))))</f>
        <v/>
      </c>
    </row>
    <row r="30"/>
    <row r="31">
      <c r="A31" s="3" t="inlineStr">
        <is>
          <t>RESUMEN DEL PLAN</t>
        </is>
      </c>
    </row>
    <row r="32">
      <c r="A32" t="inlineStr">
        <is>
          <t>Acciones registradas</t>
        </is>
      </c>
      <c r="C32" s="17">
        <f>COUNTIF($B$10:$B$29,"&lt;&gt;")</f>
        <v>8.0</v>
      </c>
    </row>
    <row r="33">
      <c r="A33" t="inlineStr">
        <is>
          <t>Completadas</t>
        </is>
      </c>
      <c r="C33" s="17">
        <f>COUNTIF($I$10:$I$29,"Completado")</f>
        <v>0.0</v>
      </c>
    </row>
    <row r="34">
      <c r="A34" t="inlineStr">
        <is>
          <t>En curso</t>
        </is>
      </c>
      <c r="C34" s="17">
        <f>COUNTIF($I$10:$I$29,"En curso")</f>
        <v>3.0</v>
      </c>
    </row>
    <row r="35">
      <c r="A35" t="inlineStr">
        <is>
          <t>Planificadas</t>
        </is>
      </c>
      <c r="C35" s="17">
        <f>COUNTIF($I$10:$I$29,"Planificado")</f>
        <v>5.0</v>
      </c>
    </row>
    <row r="36">
      <c r="A36" t="inlineStr">
        <is>
          <t>Vencidas</t>
        </is>
      </c>
      <c r="C36" s="17">
        <f>COUNTIF($L$10:$L$29,"Vencido")</f>
        <v>0.0</v>
      </c>
    </row>
    <row r="37">
      <c r="A37" t="inlineStr">
        <is>
          <t>Que vencen pronto</t>
        </is>
      </c>
      <c r="C37" s="17">
        <f>COUNTIF($L$10:$L$29,"Vence pronto")</f>
        <v>0.0</v>
      </c>
    </row>
    <row r="38">
      <c r="A38" t="inlineStr">
        <is>
          <t>Acciones completadas (%)</t>
        </is>
      </c>
      <c r="C38" s="18">
        <f>IFERROR(IF(OR($C$32="",$C$32=0),"",$C$33/$C$32),"")</f>
        <v>0.0</v>
      </c>
    </row>
  </sheetData>
  <sheetProtection selectLockedCells="0" selectUnlockedCells="0" sheet="1" objects="0" insertRows="0" insertHyperlinks="1" autoFilter="1" scenarios="0" formatColumns="0" deleteColumns="1" insertColumns="1" pivotTables="1" deleteRows="1" formatCells="1" formatRows="0" sort="0"/>
  <conditionalFormatting sqref="L10:L29">
    <cfRule type="cellIs" priority="1" operator="equal" dxfId="2" stopIfTrue="1">
      <formula>"Vencido"</formula>
    </cfRule>
    <cfRule type="cellIs" priority="2" operator="equal" dxfId="1" stopIfTrue="1">
      <formula>"Vence pronto"</formula>
    </cfRule>
    <cfRule type="cellIs" priority="3" operator="equal" dxfId="0" stopIfTrue="1">
      <formula>"En plazo"</formula>
    </cfRule>
    <cfRule type="cellIs" priority="4" operator="equal" dxfId="0" stopIfTrue="1">
      <formula>"Completado"</formula>
    </cfRule>
    <cfRule type="cellIs" priority="5" operator="equal" dxfId="3" stopIfTrue="1">
      <formula>"Descartado"</formula>
    </cfRule>
  </conditionalFormatting>
  <conditionalFormatting sqref="I10:I29">
    <cfRule type="cellIs" priority="6" operator="equal" dxfId="0" stopIfTrue="1">
      <formula>"Completado"</formula>
    </cfRule>
    <cfRule type="cellIs" priority="7" operator="equal" dxfId="1" stopIfTrue="1">
      <formula>"En curso"</formula>
    </cfRule>
    <cfRule type="cellIs" priority="8" operator="equal" dxfId="3" stopIfTrue="1">
      <formula>"Descartado"</formula>
    </cfRule>
  </conditionalFormatting>
  <dataValidations count="4">
    <dataValidation sqref="E10 E11 E12 E13 E14 E15 E16 E17 E18 E19 E20 E21 E22 E23 E24 E25 E26 E27 E28 E29 F10 F11 F12 F13 F14 F15 F16 F17 F18 F19 F20 F21 F22 F23 F24 F25 F26 F27 F28 F29" showDropDown="0" showInputMessage="0" showErrorMessage="1" allowBlank="1" errorTitle="Nivel de 0 a 3" error="Elige un valor de la lista: 0, 1, 2, 3" type="list">
      <formula1>"0,1,2,3"</formula1>
    </dataValidation>
    <dataValidation sqref="I10 I11 I12 I13 I14 I15 I16 I17 I18 I19 I20 I21 I22 I23 I24 I25 I26 I27 I28 I29" showDropDown="0" showInputMessage="0" showErrorMessage="1" allowBlank="1" errorTitle="Estado de la acción" error="Elige un valor de la lista: Planificado, En curso, Completado, Descartado" type="list">
      <formula1>"Planificado,En curso,Completado,Descartado"</formula1>
    </dataValidation>
    <dataValidation sqref="C5 H10 H11 H12 H13 H14 H15 H16 H17 H18 H19 H20 H21 H22 H23 H24 H25 H26 H27 H28 H29"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Días de aviso" error="Escribe un valor entre 0 y 365." type="decimal" operator="between">
      <formula1>0</formula1>
      <formula2>365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3"/>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4" customWidth="1" min="5" max="5"/>
    <col width="62" customWidth="1" min="6" max="6"/>
  </cols>
  <sheetData>
    <row r="1" ht="30" customHeight="1">
      <c r="A1" s="1" t="inlineStr">
        <is>
          <t>Cobertura por estación</t>
        </is>
      </c>
    </row>
    <row r="2">
      <c r="A2" t="inlineStr">
        <is>
          <t>AI Chef Pro · aichef.pro — Manual del Manager de Restaurante</t>
        </is>
      </c>
    </row>
    <row r="3">
      <c r="A3" s="2" t="inlineStr">
        <is>
          <t>Se calcula sola desde la hoja «Matriz». Si una estación tiene una sola persona que la sostenga, aquí se enciende.</t>
        </is>
      </c>
    </row>
    <row r="4"/>
    <row r="5">
      <c r="A5" s="3" t="inlineStr">
        <is>
          <t>PARÁMETROS EN VIGOR — se leen de la hoja «Matriz»; cámbialos allí, no aquí</t>
        </is>
      </c>
    </row>
    <row r="6">
      <c r="A6" t="inlineStr">
        <is>
          <t>Nivel mínimo para dar una estación por cubierta</t>
        </is>
      </c>
      <c r="C6" s="17">
        <f>IF(Matriz!$B$12="","",Matriz!$B$12)</f>
        <v>2.0</v>
      </c>
    </row>
    <row r="7">
      <c r="A7" t="inlineStr">
        <is>
          <t>Nivel a partir del cual se puede enseñar</t>
        </is>
      </c>
      <c r="C7" s="17">
        <f>IF(Matriz!$B$13="","",Matriz!$B$13)</f>
        <v>3.0</v>
      </c>
    </row>
    <row r="8">
      <c r="A8" t="inlineStr">
        <is>
          <t>Punto único de fallo: personas o menos</t>
        </is>
      </c>
      <c r="C8" s="17">
        <f>IF(Matriz!$B$14="","",Matriz!$B$14)</f>
        <v>1.0</v>
      </c>
    </row>
    <row r="9">
      <c r="A9" t="inlineStr">
        <is>
          <t>Se copian aquí porque el formato condicional no puede leer otra hoja: los colores de esta tabla necesitan tener el umbral al lado.</t>
        </is>
      </c>
    </row>
    <row r="10"/>
    <row r="11" ht="56" customHeight="1">
      <c r="A11" s="6" t="inlineStr">
        <is>
          <t>Estación</t>
        </is>
      </c>
      <c r="B11" s="6" t="inlineStr">
        <is>
          <t>Personas que la sostienen</t>
        </is>
      </c>
      <c r="C11" s="6" t="inlineStr">
        <is>
          <t>Personas que pueden enseñarla</t>
        </is>
      </c>
      <c r="D11" s="6" t="inlineStr">
        <is>
          <t>Personas en la matriz</t>
        </is>
      </c>
      <c r="E11" s="6" t="inlineStr">
        <is>
          <t>Cobertura (%)</t>
        </is>
      </c>
      <c r="F11" s="6" t="inlineStr">
        <is>
          <t>Alerta</t>
        </is>
      </c>
    </row>
    <row r="12">
      <c r="A12" t="str">
        <f>IF(Matriz!E$17="","",Matriz!E$17)</f>
        <v>Pase y caliente</v>
      </c>
      <c r="B12" s="14">
        <f>IF(OR($A12="",ISNUMBER($C$6)=FALSE),"",COUNTIFS(Matriz!$E$18:$E$47,"&gt;="&amp;$C$6))</f>
        <v>4.0</v>
      </c>
      <c r="C12" s="14">
        <f>IF(OR($A12="",ISNUMBER($C$7)=FALSE),"",COUNTIFS(Matriz!$E$18:$E$47,"&gt;="&amp;$C$7))</f>
        <v>2.0</v>
      </c>
      <c r="D12" s="14">
        <f>IF($A12="","",COUNTIF(Matriz!$A$18:$A$47,"&lt;&gt;"))</f>
        <v>12.0</v>
      </c>
      <c r="E12" s="19">
        <f>IFERROR(IF(OR($B12="",$D12="",$D12=0),"",$B12/$D12),"")</f>
        <v>0.3333333333333333</v>
      </c>
      <c r="F12" t="str">
        <f>IF($B12="","",IF($B12=0,"RIESGO: nadie puede sostener esta estación",IF($B12=1,"RIESGO: punto único de fallo, solo 1 persona puede sostener esta estación",IF(AND(ISNUMBER($C$8),$B12&lt;=$C$8),"Cobertura por debajo del umbral","Cobertura suficiente"))))</f>
        <v>Cobertura suficiente</v>
      </c>
    </row>
    <row r="13">
      <c r="A13" t="str">
        <f>IF(Matriz!F$17="","",Matriz!F$17)</f>
        <v>Fríos y entrantes</v>
      </c>
      <c r="B13" s="14">
        <f>IF(OR($A13="",ISNUMBER($C$6)=FALSE),"",COUNTIFS(Matriz!$F$18:$F$47,"&gt;="&amp;$C$6))</f>
        <v>1.0</v>
      </c>
      <c r="C13" s="14">
        <f>IF(OR($A13="",ISNUMBER($C$7)=FALSE),"",COUNTIFS(Matriz!$F$18:$F$47,"&gt;="&amp;$C$7))</f>
        <v>1.0</v>
      </c>
      <c r="D13" s="14">
        <f>IF($A13="","",COUNTIF(Matriz!$A$18:$A$47,"&lt;&gt;"))</f>
        <v>12.0</v>
      </c>
      <c r="E13" s="19">
        <f>IFERROR(IF(OR($B13="",$D13="",$D13=0),"",$B13/$D13),"")</f>
        <v>0.08333333333333333</v>
      </c>
      <c r="F13" t="str">
        <f>IF($B13="","",IF($B13=0,"RIESGO: nadie puede sostener esta estación",IF($B13=1,"RIESGO: punto único de fallo, solo 1 persona puede sostener esta estación",IF(AND(ISNUMBER($C$8),$B13&lt;=$C$8),"Cobertura por debajo del umbral","Cobertura suficiente"))))</f>
        <v>RIESGO: punto único de fallo, solo 1 persona puede sostener esta estación</v>
      </c>
    </row>
    <row r="14">
      <c r="A14" t="str">
        <f>IF(Matriz!G$17="","",Matriz!G$17)</f>
        <v>Postres y panadería</v>
      </c>
      <c r="B14" s="14">
        <f>IF(OR($A14="",ISNUMBER($C$6)=FALSE),"",COUNTIFS(Matriz!$G$18:$G$47,"&gt;="&amp;$C$6))</f>
        <v>3.0</v>
      </c>
      <c r="C14" s="14">
        <f>IF(OR($A14="",ISNUMBER($C$7)=FALSE),"",COUNTIFS(Matriz!$G$18:$G$47,"&gt;="&amp;$C$7))</f>
        <v>1.0</v>
      </c>
      <c r="D14" s="14">
        <f>IF($A14="","",COUNTIF(Matriz!$A$18:$A$47,"&lt;&gt;"))</f>
        <v>12.0</v>
      </c>
      <c r="E14" s="19">
        <f>IFERROR(IF(OR($B14="",$D14="",$D14=0),"",$B14/$D14),"")</f>
        <v>0.25</v>
      </c>
      <c r="F14" t="str">
        <f>IF($B14="","",IF($B14=0,"RIESGO: nadie puede sostener esta estación",IF($B14=1,"RIESGO: punto único de fallo, solo 1 persona puede sostener esta estación",IF(AND(ISNUMBER($C$8),$B14&lt;=$C$8),"Cobertura por debajo del umbral","Cobertura suficiente"))))</f>
        <v>Cobertura suficiente</v>
      </c>
    </row>
    <row r="15">
      <c r="A15" t="str">
        <f>IF(Matriz!H$17="","",Matriz!H$17)</f>
        <v>Barra y bebidas</v>
      </c>
      <c r="B15" s="14">
        <f>IF(OR($A15="",ISNUMBER($C$6)=FALSE),"",COUNTIFS(Matriz!$H$18:$H$47,"&gt;="&amp;$C$6))</f>
        <v>4.0</v>
      </c>
      <c r="C15" s="14">
        <f>IF(OR($A15="",ISNUMBER($C$7)=FALSE),"",COUNTIFS(Matriz!$H$18:$H$47,"&gt;="&amp;$C$7))</f>
        <v>2.0</v>
      </c>
      <c r="D15" s="14">
        <f>IF($A15="","",COUNTIF(Matriz!$A$18:$A$47,"&lt;&gt;"))</f>
        <v>12.0</v>
      </c>
      <c r="E15" s="19">
        <f>IFERROR(IF(OR($B15="",$D15="",$D15=0),"",$B15/$D15),"")</f>
        <v>0.3333333333333333</v>
      </c>
      <c r="F15" t="str">
        <f>IF($B15="","",IF($B15=0,"RIESGO: nadie puede sostener esta estación",IF($B15=1,"RIESGO: punto único de fallo, solo 1 persona puede sostener esta estación",IF(AND(ISNUMBER($C$8),$B15&lt;=$C$8),"Cobertura por debajo del umbral","Cobertura suficiente"))))</f>
        <v>Cobertura suficiente</v>
      </c>
    </row>
    <row r="16">
      <c r="A16" t="str">
        <f>IF(Matriz!I$17="","",Matriz!I$17)</f>
        <v>Sala y servicio</v>
      </c>
      <c r="B16" s="14">
        <f>IF(OR($A16="",ISNUMBER($C$6)=FALSE),"",COUNTIFS(Matriz!$I$18:$I$47,"&gt;="&amp;$C$6))</f>
        <v>5.0</v>
      </c>
      <c r="C16" s="14">
        <f>IF(OR($A16="",ISNUMBER($C$7)=FALSE),"",COUNTIFS(Matriz!$I$18:$I$47,"&gt;="&amp;$C$7))</f>
        <v>4.0</v>
      </c>
      <c r="D16" s="14">
        <f>IF($A16="","",COUNTIF(Matriz!$A$18:$A$47,"&lt;&gt;"))</f>
        <v>12.0</v>
      </c>
      <c r="E16" s="19">
        <f>IFERROR(IF(OR($B16="",$D16="",$D16=0),"",$B16/$D16),"")</f>
        <v>0.4166666666666667</v>
      </c>
      <c r="F16" t="str">
        <f>IF($B16="","",IF($B16=0,"RIESGO: nadie puede sostener esta estación",IF($B16=1,"RIESGO: punto único de fallo, solo 1 persona puede sostener esta estación",IF(AND(ISNUMBER($C$8),$B16&lt;=$C$8),"Cobertura por debajo del umbral","Cobertura suficiente"))))</f>
        <v>Cobertura suficiente</v>
      </c>
    </row>
    <row r="17">
      <c r="A17" t="str">
        <f>IF(Matriz!J$17="","",Matriz!J$17)</f>
        <v>Caja y cierre</v>
      </c>
      <c r="B17" s="14">
        <f>IF(OR($A17="",ISNUMBER($C$6)=FALSE),"",COUNTIFS(Matriz!$J$18:$J$47,"&gt;="&amp;$C$6))</f>
        <v>3.0</v>
      </c>
      <c r="C17" s="14">
        <f>IF(OR($A17="",ISNUMBER($C$7)=FALSE),"",COUNTIFS(Matriz!$J$18:$J$47,"&gt;="&amp;$C$7))</f>
        <v>2.0</v>
      </c>
      <c r="D17" s="14">
        <f>IF($A17="","",COUNTIF(Matriz!$A$18:$A$47,"&lt;&gt;"))</f>
        <v>12.0</v>
      </c>
      <c r="E17" s="19">
        <f>IFERROR(IF(OR($B17="",$D17="",$D17=0),"",$B17/$D17),"")</f>
        <v>0.25</v>
      </c>
      <c r="F17" t="str">
        <f>IF($B17="","",IF($B17=0,"RIESGO: nadie puede sostener esta estación",IF($B17=1,"RIESGO: punto único de fallo, solo 1 persona puede sostener esta estación",IF(AND(ISNUMBER($C$8),$B17&lt;=$C$8),"Cobertura por debajo del umbral","Cobertura suficiente"))))</f>
        <v>Cobertura suficiente</v>
      </c>
    </row>
    <row r="18">
      <c r="A18">
        <f>IF(Matriz!K$17="","",Matriz!K$17)</f>
        <v/>
      </c>
      <c r="B18" s="14">
        <f>IF(OR($A18="",ISNUMBER($C$6)=FALSE),"",COUNTIFS(Matriz!$K$18:$K$47,"&gt;="&amp;$C$6))</f>
        <v/>
      </c>
      <c r="C18" s="14">
        <f>IF(OR($A18="",ISNUMBER($C$7)=FALSE),"",COUNTIFS(Matriz!$K$18:$K$47,"&gt;="&amp;$C$7))</f>
        <v/>
      </c>
      <c r="D18" s="14">
        <f>IF($A18="","",COUNTIF(Matriz!$A$18:$A$47,"&lt;&gt;"))</f>
        <v/>
      </c>
      <c r="E18" s="19">
        <f>IFERROR(IF(OR($B18="",$D18="",$D18=0),"",$B18/$D18),"")</f>
        <v/>
      </c>
      <c r="F18">
        <f>IF($B18="","",IF($B18=0,"RIESGO: nadie puede sostener esta estación",IF($B18=1,"RIESGO: punto único de fallo, solo 1 persona puede sostener esta estación",IF(AND(ISNUMBER($C$8),$B18&lt;=$C$8),"Cobertura por debajo del umbral","Cobertura suficiente"))))</f>
        <v/>
      </c>
    </row>
    <row r="19">
      <c r="A19">
        <f>IF(Matriz!L$17="","",Matriz!L$17)</f>
        <v/>
      </c>
      <c r="B19" s="14">
        <f>IF(OR($A19="",ISNUMBER($C$6)=FALSE),"",COUNTIFS(Matriz!$L$18:$L$47,"&gt;="&amp;$C$6))</f>
        <v/>
      </c>
      <c r="C19" s="14">
        <f>IF(OR($A19="",ISNUMBER($C$7)=FALSE),"",COUNTIFS(Matriz!$L$18:$L$47,"&gt;="&amp;$C$7))</f>
        <v/>
      </c>
      <c r="D19" s="14">
        <f>IF($A19="","",COUNTIF(Matriz!$A$18:$A$47,"&lt;&gt;"))</f>
        <v/>
      </c>
      <c r="E19" s="19">
        <f>IFERROR(IF(OR($B19="",$D19="",$D19=0),"",$B19/$D19),"")</f>
        <v/>
      </c>
      <c r="F19">
        <f>IF($B19="","",IF($B19=0,"RIESGO: nadie puede sostener esta estación",IF($B19=1,"RIESGO: punto único de fallo, solo 1 persona puede sostener esta estación",IF(AND(ISNUMBER($C$8),$B19&lt;=$C$8),"Cobertura por debajo del umbral","Cobertura suficiente"))))</f>
        <v/>
      </c>
    </row>
    <row r="20">
      <c r="A20">
        <f>IF(Matriz!M$17="","",Matriz!M$17)</f>
        <v/>
      </c>
      <c r="B20" s="14">
        <f>IF(OR($A20="",ISNUMBER($C$6)=FALSE),"",COUNTIFS(Matriz!$M$18:$M$47,"&gt;="&amp;$C$6))</f>
        <v/>
      </c>
      <c r="C20" s="14">
        <f>IF(OR($A20="",ISNUMBER($C$7)=FALSE),"",COUNTIFS(Matriz!$M$18:$M$47,"&gt;="&amp;$C$7))</f>
        <v/>
      </c>
      <c r="D20" s="14">
        <f>IF($A20="","",COUNTIF(Matriz!$A$18:$A$47,"&lt;&gt;"))</f>
        <v/>
      </c>
      <c r="E20" s="19">
        <f>IFERROR(IF(OR($B20="",$D20="",$D20=0),"",$B20/$D20),"")</f>
        <v/>
      </c>
      <c r="F20">
        <f>IF($B20="","",IF($B20=0,"RIESGO: nadie puede sostener esta estación",IF($B20=1,"RIESGO: punto único de fallo, solo 1 persona puede sostener esta estación",IF(AND(ISNUMBER($C$8),$B20&lt;=$C$8),"Cobertura por debajo del umbral","Cobertura suficiente"))))</f>
        <v/>
      </c>
    </row>
    <row r="21">
      <c r="A21">
        <f>IF(Matriz!N$17="","",Matriz!N$17)</f>
        <v/>
      </c>
      <c r="B21" s="14">
        <f>IF(OR($A21="",ISNUMBER($C$6)=FALSE),"",COUNTIFS(Matriz!$N$18:$N$47,"&gt;="&amp;$C$6))</f>
        <v/>
      </c>
      <c r="C21" s="14">
        <f>IF(OR($A21="",ISNUMBER($C$7)=FALSE),"",COUNTIFS(Matriz!$N$18:$N$47,"&gt;="&amp;$C$7))</f>
        <v/>
      </c>
      <c r="D21" s="14">
        <f>IF($A21="","",COUNTIF(Matriz!$A$18:$A$47,"&lt;&gt;"))</f>
        <v/>
      </c>
      <c r="E21" s="19">
        <f>IFERROR(IF(OR($B21="",$D21="",$D21=0),"",$B21/$D21),"")</f>
        <v/>
      </c>
      <c r="F21">
        <f>IF($B21="","",IF($B21=0,"RIESGO: nadie puede sostener esta estación",IF($B21=1,"RIESGO: punto único de fallo, solo 1 persona puede sostener esta estación",IF(AND(ISNUMBER($C$8),$B21&lt;=$C$8),"Cobertura por debajo del umbral","Cobertura suficiente"))))</f>
        <v/>
      </c>
    </row>
    <row r="22">
      <c r="A22">
        <f>IF(Matriz!O$17="","",Matriz!O$17)</f>
        <v/>
      </c>
      <c r="B22" s="14">
        <f>IF(OR($A22="",ISNUMBER($C$6)=FALSE),"",COUNTIFS(Matriz!$O$18:$O$47,"&gt;="&amp;$C$6))</f>
        <v/>
      </c>
      <c r="C22" s="14">
        <f>IF(OR($A22="",ISNUMBER($C$7)=FALSE),"",COUNTIFS(Matriz!$O$18:$O$47,"&gt;="&amp;$C$7))</f>
        <v/>
      </c>
      <c r="D22" s="14">
        <f>IF($A22="","",COUNTIF(Matriz!$A$18:$A$47,"&lt;&gt;"))</f>
        <v/>
      </c>
      <c r="E22" s="19">
        <f>IFERROR(IF(OR($B22="",$D22="",$D22=0),"",$B22/$D22),"")</f>
        <v/>
      </c>
      <c r="F22">
        <f>IF($B22="","",IF($B22=0,"RIESGO: nadie puede sostener esta estación",IF($B22=1,"RIESGO: punto único de fallo, solo 1 persona puede sostener esta estación",IF(AND(ISNUMBER($C$8),$B22&lt;=$C$8),"Cobertura por debajo del umbral","Cobertura suficiente"))))</f>
        <v/>
      </c>
    </row>
    <row r="23">
      <c r="A23">
        <f>IF(Matriz!P$17="","",Matriz!P$17)</f>
        <v/>
      </c>
      <c r="B23" s="14">
        <f>IF(OR($A23="",ISNUMBER($C$6)=FALSE),"",COUNTIFS(Matriz!$P$18:$P$47,"&gt;="&amp;$C$6))</f>
        <v/>
      </c>
      <c r="C23" s="14">
        <f>IF(OR($A23="",ISNUMBER($C$7)=FALSE),"",COUNTIFS(Matriz!$P$18:$P$47,"&gt;="&amp;$C$7))</f>
        <v/>
      </c>
      <c r="D23" s="14">
        <f>IF($A23="","",COUNTIF(Matriz!$A$18:$A$47,"&lt;&gt;"))</f>
        <v/>
      </c>
      <c r="E23" s="19">
        <f>IFERROR(IF(OR($B23="",$D23="",$D23=0),"",$B23/$D23),"")</f>
        <v/>
      </c>
      <c r="F23">
        <f>IF($B23="","",IF($B23=0,"RIESGO: nadie puede sostener esta estación",IF($B23=1,"RIESGO: punto único de fallo, solo 1 persona puede sostener esta estación",IF(AND(ISNUMBER($C$8),$B23&lt;=$C$8),"Cobertura por debajo del umbral","Cobertura suficiente"))))</f>
        <v/>
      </c>
    </row>
    <row r="24"/>
    <row r="25">
      <c r="A25" s="3" t="inlineStr">
        <is>
          <t>RESUMEN</t>
        </is>
      </c>
    </row>
    <row r="26">
      <c r="A26" t="inlineStr">
        <is>
          <t>Estaciones registradas</t>
        </is>
      </c>
      <c r="C26" s="17">
        <f>COUNTIF($A$12:$A$23,"&lt;&gt;")</f>
        <v>6.0</v>
      </c>
    </row>
    <row r="27">
      <c r="A27" t="inlineStr">
        <is>
          <t>Personas registradas en la matriz</t>
        </is>
      </c>
      <c r="C27" s="17">
        <f>COUNTIF(Matriz!$A$18:$A$47,"&lt;&gt;")</f>
        <v>12.0</v>
      </c>
    </row>
    <row r="28">
      <c r="A28" t="inlineStr">
        <is>
          <t>Estaciones en riesgo (en el umbral o por debajo)</t>
        </is>
      </c>
      <c r="C28" s="17">
        <f>IF(ISNUMBER($C$8)=FALSE,"",SUMPRODUCT(--(ISNUMBER($B$12:$B$23)),--($B$12:$B$23&lt;=$C$8)))</f>
        <v>1.0</v>
      </c>
    </row>
    <row r="29">
      <c r="A29" t="inlineStr">
        <is>
          <t>Personas que sostienen la estación mejor cubierta</t>
        </is>
      </c>
      <c r="C29" s="17">
        <f>IF(COUNT($B$12:$B$23)=0,"",MAX($B$12:$B$23))</f>
        <v>5.0</v>
      </c>
    </row>
    <row r="30">
      <c r="A30" t="inlineStr">
        <is>
          <t>Personas que sostienen la estación peor cubierta</t>
        </is>
      </c>
      <c r="C30" s="17">
        <f>IF(COUNT($B$12:$B$23)=0,"",MIN($B$12:$B$23))</f>
        <v>1.0</v>
      </c>
    </row>
    <row r="31">
      <c r="A31" t="inlineStr">
        <is>
          <t>Estaciones en riesgo (%)</t>
        </is>
      </c>
      <c r="C31" s="18">
        <f>IFERROR(IF(OR($C$26="",$C$26=0,$C$28=""),"",$C$28/$C$26),"")</f>
        <v>0.16666666666666666</v>
      </c>
    </row>
    <row r="32"/>
    <row r="33">
      <c r="A33" t="inlineStr">
        <is>
          <t>Una estación en riesgo no se arregla contratando: se arregla formando. Llévala a la hoja «Plan de Cross-Training» con nombre, responsable y fecha.</t>
        </is>
      </c>
    </row>
  </sheetData>
  <sheetProtection selectLockedCells="0" selectUnlockedCells="0" sheet="1" objects="0" insertRows="0" insertHyperlinks="1" autoFilter="1" scenarios="0" formatColumns="0" deleteColumns="1" insertColumns="1" pivotTables="1" deleteRows="1" formatCells="1" formatRows="0" sort="0"/>
  <conditionalFormatting sqref="F12:F23">
    <cfRule type="cellIs" priority="1" operator="equal" dxfId="2" stopIfTrue="1">
      <formula>"RIESGO: nadie puede sostener esta estación"</formula>
    </cfRule>
    <cfRule type="cellIs" priority="2" operator="equal" dxfId="2" stopIfTrue="1">
      <formula>"RIESGO: punto único de fallo, solo 1 persona puede sostener esta estación"</formula>
    </cfRule>
    <cfRule type="cellIs" priority="3" operator="equal" dxfId="1" stopIfTrue="1">
      <formula>"Cobertura por debajo del umbral"</formula>
    </cfRule>
    <cfRule type="cellIs" priority="4" operator="equal" dxfId="0" stopIfTrue="1">
      <formula>"Cobertura suficiente"</formula>
    </cfRule>
  </conditionalFormatting>
  <conditionalFormatting sqref="B12:B23">
    <cfRule type="expression" priority="5" dxfId="2" stopIfTrue="1">
      <formula>=AND(ISNUMBER($B12),ISNUMBER($C$8),$B12&lt;=$C$8)</formula>
    </cfRule>
    <cfRule type="expression" priority="6" dxfId="0" stopIfTrue="1">
      <formula>=AND(ISNUMBER($B12),ISNUMBER($C$8),$B12&gt;$C$8)</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32"/>
  <sheetViews>
    <sheetView workbookViewId="0">
      <selection activeCell="A1" sqref="A1"/>
    </sheetView>
  </sheetViews>
  <sheetFormatPr baseColWidth="8" defaultRowHeight="15"/>
  <cols>
    <col width="54" customWidth="1" min="1" max="1"/>
    <col width="18" customWidth="1" min="2" max="2"/>
    <col width="66" customWidth="1" min="3" max="3"/>
  </cols>
  <sheetData>
    <row r="1" ht="30" customHeight="1">
      <c r="A1" s="1" t="inlineStr">
        <is>
          <t>Coste de una baja</t>
        </is>
      </c>
    </row>
    <row r="2">
      <c r="A2" t="inlineStr">
        <is>
          <t>AI Chef Pro · aichef.pro — Manual del Manager de Restaurante</t>
        </is>
      </c>
    </row>
    <row r="3">
      <c r="A3" s="2" t="inlineStr">
        <is>
          <t>Todas las cifras son de ejemplo y todas son editables: aquí no hay ni una referencia de mercado. Pon las tuyas.</t>
        </is>
      </c>
    </row>
    <row r="4">
      <c r="A4" s="3" t="inlineStr">
        <is>
          <t>A. COSTE DIRECTO DE CUBRIR LA BAJA</t>
        </is>
      </c>
    </row>
    <row r="5" ht="20" customHeight="1">
      <c r="A5" s="6" t="inlineStr">
        <is>
          <t>Concepto</t>
        </is>
      </c>
      <c r="B5" s="6" t="inlineStr">
        <is>
          <t>Valor</t>
        </is>
      </c>
      <c r="C5" s="6" t="inlineStr">
        <is>
          <t>Nota</t>
        </is>
      </c>
    </row>
    <row r="6" ht="30" customHeight="1">
      <c r="A6" t="inlineStr">
        <is>
          <t>Horas dedicadas a seleccionar y contratar</t>
        </is>
      </c>
      <c r="B6" s="9" t="n">
        <v>12</v>
      </c>
      <c r="C6" s="4" t="inlineStr">
        <is>
          <t>Publicar la oferta, cribar, entrevistar y hacer el alta.</t>
        </is>
      </c>
    </row>
    <row r="7" ht="30" customHeight="1">
      <c r="A7" t="inlineStr">
        <is>
          <t>Coste por hora de quien selecciona</t>
        </is>
      </c>
      <c r="B7" s="20" t="n">
        <v>22</v>
      </c>
      <c r="C7" s="4" t="inlineStr">
        <is>
          <t>Coste-empresa por hora de quien dedica ese tiempo, no su salario bruto por hora.</t>
        </is>
      </c>
    </row>
    <row r="8">
      <c r="A8" s="21" t="inlineStr">
        <is>
          <t>Coste de la selección</t>
        </is>
      </c>
      <c r="B8" s="22">
        <f>IFERROR(IF(OR($B$6="",$B$7=""),"",$B$6*$B$7),"")</f>
        <v>264.0</v>
      </c>
    </row>
    <row r="9" ht="30" customHeight="1">
      <c r="A9" t="inlineStr">
        <is>
          <t>Horas que dedica quien enseña</t>
        </is>
      </c>
      <c r="B9" s="9" t="n">
        <v>25</v>
      </c>
      <c r="C9" s="4" t="inlineStr">
        <is>
          <t>Horas en las que el formador está enseñando en vez de produciendo.</t>
        </is>
      </c>
    </row>
    <row r="10">
      <c r="A10" t="inlineStr">
        <is>
          <t>Coste por hora de quien enseña</t>
        </is>
      </c>
      <c r="B10" s="20" t="n">
        <v>18</v>
      </c>
    </row>
    <row r="11">
      <c r="A11" s="21" t="inlineStr">
        <is>
          <t>Coste de las horas de quien enseña</t>
        </is>
      </c>
      <c r="B11" s="22">
        <f>IFERROR(IF(OR($B$9="",$B$10=""),"",$B$9*$B$10),"")</f>
        <v>450.0</v>
      </c>
    </row>
    <row r="12" ht="30" customHeight="1">
      <c r="A12" t="inlineStr">
        <is>
          <t>Horas de formación de la persona nueva</t>
        </is>
      </c>
      <c r="B12" s="9" t="n">
        <v>40</v>
      </c>
      <c r="C12" s="4" t="inlineStr">
        <is>
          <t>Horas pagadas en las que todavía no rinde como el puesto pide.</t>
        </is>
      </c>
    </row>
    <row r="13">
      <c r="A13" t="inlineStr">
        <is>
          <t>Coste por hora de la persona nueva</t>
        </is>
      </c>
      <c r="B13" s="20" t="n">
        <v>12</v>
      </c>
    </row>
    <row r="14">
      <c r="A14" s="21" t="inlineStr">
        <is>
          <t>Coste de las horas de la persona nueva</t>
        </is>
      </c>
      <c r="B14" s="22">
        <f>IFERROR(IF(OR($B$12="",$B$13=""),"",$B$12*$B$13),"")</f>
        <v>480.0</v>
      </c>
    </row>
    <row r="15">
      <c r="A15" s="23" t="inlineStr">
        <is>
          <t>TOTAL COSTE DIRECTO (A)</t>
        </is>
      </c>
      <c r="B15" s="24">
        <f>IF(COUNT($B$8,$B$11,$B$14)=0,"",SUM($B$8,$B$11,$B$14))</f>
        <v>1194.0</v>
      </c>
    </row>
    <row r="16"/>
    <row r="17">
      <c r="A17" s="3" t="inlineStr">
        <is>
          <t>B. VENTA QUE SE DEJA DE HACER MIENTRAS EL EQUIPO NO ESTÁ A PLENO RENDIMIENTO</t>
        </is>
      </c>
    </row>
    <row r="18" ht="20" customHeight="1">
      <c r="A18" s="6" t="inlineStr">
        <is>
          <t>Concepto</t>
        </is>
      </c>
      <c r="B18" s="6" t="inlineStr">
        <is>
          <t>Valor</t>
        </is>
      </c>
      <c r="C18" s="6" t="inlineStr">
        <is>
          <t>Nota</t>
        </is>
      </c>
    </row>
    <row r="19" ht="30" customHeight="1">
      <c r="A19" t="inlineStr">
        <is>
          <t>Días hasta que el equipo vuelve a su ritmo</t>
        </is>
      </c>
      <c r="B19" s="9" t="n">
        <v>30</v>
      </c>
      <c r="C19" s="4" t="inlineStr">
        <is>
          <t>Desde que se va la persona hasta que la nueva rinde como el puesto pide.</t>
        </is>
      </c>
    </row>
    <row r="20" ht="30" customHeight="1">
      <c r="A20" t="inlineStr">
        <is>
          <t>Caída estimada del rendimiento (%)</t>
        </is>
      </c>
      <c r="B20" s="25" t="n">
        <v>0.35</v>
      </c>
      <c r="C20" s="4" t="inlineStr">
        <is>
          <t>Cuánto rinde de menos el conjunto del turno durante esos días.</t>
        </is>
      </c>
    </row>
    <row r="21" ht="30" customHeight="1">
      <c r="A21" t="inlineStr">
        <is>
          <t>Venta media de un día</t>
        </is>
      </c>
      <c r="B21" s="20" t="n">
        <v>3370</v>
      </c>
      <c r="C21" s="4" t="inlineStr">
        <is>
          <t>Sin IVA. En el ejemplo es la venta anual dividida entre los 364 días de las 52 semanas.</t>
        </is>
      </c>
    </row>
    <row r="22">
      <c r="A22" s="23" t="inlineStr">
        <is>
          <t>VENTA ESTIMADA QUE NO SE HACE (B)</t>
        </is>
      </c>
      <c r="B22" s="24">
        <f>IFERROR(IF(OR($B$19="",$B$20="",$B$21=""),"",$B$19*$B$20*$B$21),"")</f>
        <v>35385.0</v>
      </c>
    </row>
    <row r="23"/>
    <row r="24">
      <c r="A24" s="3" t="inlineStr">
        <is>
          <t>C. IMPACTO ESTIMADO DE LA BAJA</t>
        </is>
      </c>
    </row>
    <row r="25" ht="20" customHeight="1">
      <c r="A25" s="6" t="inlineStr">
        <is>
          <t>Concepto</t>
        </is>
      </c>
      <c r="B25" s="6" t="inlineStr">
        <is>
          <t>Valor</t>
        </is>
      </c>
      <c r="C25" s="6" t="inlineStr">
        <is>
          <t>Nota</t>
        </is>
      </c>
    </row>
    <row r="26">
      <c r="A26" t="inlineStr">
        <is>
          <t>Coste directo (A)</t>
        </is>
      </c>
      <c r="B26" s="26">
        <f>IF($B$15="","",$B$15)</f>
        <v>1194.0</v>
      </c>
    </row>
    <row r="27">
      <c r="A27" t="inlineStr">
        <is>
          <t>Venta que no se hace (B)</t>
        </is>
      </c>
      <c r="B27" s="26">
        <f>IF($B$22="","",$B$22)</f>
        <v>35385.0</v>
      </c>
    </row>
    <row r="28">
      <c r="A28" s="23" t="inlineStr">
        <is>
          <t>IMPACTO ESTIMADO TOTAL (A + B)</t>
        </is>
      </c>
      <c r="B28" s="24">
        <f>IF(COUNT($B$26,$B$27)=0,"",SUM($B$26,$B$27))</f>
        <v>36579.0</v>
      </c>
    </row>
    <row r="29"/>
    <row r="30" ht="44" customHeight="1">
      <c r="A30" s="4" t="inlineStr">
        <is>
          <t>A y B no son la misma clase de número. A es gasto: sale de tu cuenta. B es venta que no entra, y por eso no se apunta como coste en la cuenta de resultados. Se suman aquí porque juntas son lo que le cuesta al negocio perder a una persona, que es la cifra que justifica dedicar horas a formar antes de necesitarlo.</t>
        </is>
      </c>
    </row>
    <row r="31"/>
    <row r="32" ht="30" customHeight="1">
      <c r="A32" s="4" t="inlineStr">
        <is>
          <t>Ninguna de estas nueve cifras es una referencia del sector: son un ejemplo. El dato bueno es el tuyo, y sale de tus nóminas, de tu registro de jornada y de tu TPV.</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0:C30"/>
    <mergeCell ref="A32:C32"/>
  </mergeCells>
  <dataValidations count="3">
    <dataValidation sqref="B6 B9 B12 B19" showDropDown="0" showInputMessage="0" showErrorMessage="1" allowBlank="1" errorTitle="Horas o días" error="Escribe un número mayor o igual que 0." type="decimal" operator="greaterThanOrEqual">
      <formula1>0</formula1>
    </dataValidation>
    <dataValidation sqref="B7 B10 B13 B21" showDropDown="0" showInputMessage="0" showErrorMessage="1" allowBlank="1" errorTitle="Importe (€)" error="Escribe un número mayor o igual que 0." type="decimal" operator="greaterThanOrEqual">
      <formula1>0</formula1>
    </dataValidation>
    <dataValidation sqref="B20" showDropDown="0" showInputMessage="1" showErrorMessage="1" allowBlank="1" errorTitle="Porcentaje" error="Escribe un porcentaje entre 0 y 1 (0,20 = 20 %)." promptTitle="Porcentaje" prompt="Se escribe en tanto por uno: 0,35 = 35 %." type="decimal" operator="between">
      <formula1>0</formula1>
      <formula2>1.0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Matriz de formación y polivalencia</dc:title>
  <dc:subject xmlns:dc="http://purl.org/dc/elements/1.1/">Manual del Manager de Restaurante · v1.0</dc:subject>
  <dcterms:created xmlns:dcterms="http://purl.org/dc/terms/" xmlns:xsi="http://www.w3.org/2001/XMLSchema-instance" xsi:type="dcterms:W3CDTF">2026-09-04T20:55:04Z</dcterms:created>
  <dcterms:modified xmlns:dcterms="http://purl.org/dc/terms/" xmlns:xsi="http://www.w3.org/2001/XMLSchema-instance" xsi:type="dcterms:W3CDTF">2026-09-04T20:55:05Z</dcterms:modified>
  <cp:lastModifiedBy>AI Chef Pro</cp:lastModifiedBy>
</cp:coreProperties>
</file>