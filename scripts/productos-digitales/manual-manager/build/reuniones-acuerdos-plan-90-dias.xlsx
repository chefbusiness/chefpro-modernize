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lendario de Reuniones" sheetId="2" state="visible" r:id="rId2"/>
    <sheet xmlns:r="http://schemas.openxmlformats.org/officeDocument/2006/relationships" name="Guion de Reunión Semanal" sheetId="3" state="visible" r:id="rId3"/>
    <sheet xmlns:r="http://schemas.openxmlformats.org/officeDocument/2006/relationships" name="Uno-a-uno" sheetId="4" state="visible" r:id="rId4"/>
    <sheet xmlns:r="http://schemas.openxmlformats.org/officeDocument/2006/relationships" name="Actas y Acuerdos" sheetId="5" state="visible" r:id="rId5"/>
    <sheet xmlns:r="http://schemas.openxmlformats.org/officeDocument/2006/relationships" name="Plan 90 Días" sheetId="6" state="visible" r:id="rId6"/>
  </sheets>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0.0%"/>
    <numFmt numFmtId="167" formatCode="#,##0.0"/>
    <numFmt numFmtId="168" formatCode="#,##0.00 €"/>
  </numFmts>
  <fonts count="8">
    <font>
      <name val="Calibri"/>
      <family val="2"/>
      <color theme="1"/>
      <sz val="11"/>
      <scheme val="minor"/>
    </font>
    <font>
      <b val="1"/>
      <color theme="1"/>
      <sz val="11"/>
    </font>
    <font>
      <b val="1"/>
      <color rgb="00FFD700"/>
      <sz val="16"/>
    </font>
    <font>
      <color rgb="00888888"/>
      <sz val="10"/>
    </font>
    <font>
      <b val="1"/>
      <color rgb="00FFD700"/>
      <sz val="12"/>
    </font>
    <font>
      <color rgb="00888888"/>
      <sz val="9"/>
    </font>
    <font>
      <b val="1"/>
      <color rgb="00FFFFFF"/>
    </font>
    <font>
      <b val="1"/>
      <color rgb="001565C0"/>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5">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applyAlignment="1" pivotButton="0" quotePrefix="0" xfId="0">
      <alignment horizontal="general" vertical="top" wrapText="1"/>
    </xf>
    <xf numFmtId="0" fontId="6" fillId="3" borderId="0" applyAlignment="1" pivotButton="0" quotePrefix="0" xfId="0">
      <alignment horizontal="center" vertical="center" wrapText="1"/>
    </xf>
    <xf numFmtId="3" fontId="0" fillId="0" borderId="0" pivotButton="0" quotePrefix="0" xfId="0"/>
    <xf numFmtId="165"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wrapText="1"/>
      <protection locked="0" hidden="0"/>
    </xf>
    <xf numFmtId="3" fontId="0" fillId="2" borderId="0" applyAlignment="1" applyProtection="1" pivotButton="0" quotePrefix="0" xfId="0">
      <alignment vertical="top" wrapText="1"/>
      <protection locked="0" hidden="0"/>
    </xf>
    <xf numFmtId="0" fontId="1" fillId="0" borderId="0" pivotButton="0" quotePrefix="0" xfId="0"/>
    <xf numFmtId="166" fontId="1" fillId="0" borderId="0" pivotButton="0" quotePrefix="0" xfId="0"/>
    <xf numFmtId="0" fontId="1" fillId="4" borderId="0" pivotButton="0" quotePrefix="0" xfId="0"/>
    <xf numFmtId="3" fontId="1" fillId="4" borderId="0" pivotButton="0" quotePrefix="0" xfId="0"/>
    <xf numFmtId="167" fontId="0" fillId="0" borderId="0" pivotButton="0" quotePrefix="0" xfId="0"/>
    <xf numFmtId="166" fontId="0" fillId="2" borderId="0" applyProtection="1" pivotButton="0" quotePrefix="0" xfId="0">
      <protection locked="0" hidden="0"/>
    </xf>
    <xf numFmtId="0" fontId="1" fillId="2" borderId="0" applyAlignment="1" applyProtection="1" pivotButton="0" quotePrefix="0" xfId="0">
      <alignment vertical="top" wrapText="1"/>
      <protection locked="0" hidden="0"/>
    </xf>
    <xf numFmtId="0" fontId="0" fillId="0" borderId="0" applyAlignment="1" pivotButton="0" quotePrefix="0" xfId="0">
      <alignment vertical="top" wrapText="1"/>
    </xf>
    <xf numFmtId="3" fontId="0" fillId="2" borderId="0" applyProtection="1" pivotButton="0" quotePrefix="0" xfId="0">
      <protection locked="0" hidden="0"/>
    </xf>
    <xf numFmtId="3" fontId="1" fillId="0" borderId="0" pivotButton="0" quotePrefix="0" xfId="0"/>
    <xf numFmtId="0" fontId="1" fillId="0" borderId="0" applyAlignment="1" pivotButton="0" quotePrefix="0" xfId="0">
      <alignment vertical="top" wrapText="1"/>
    </xf>
    <xf numFmtId="166" fontId="1" fillId="4" borderId="0" pivotButton="0" quotePrefix="0" xfId="0"/>
    <xf numFmtId="165" fontId="0" fillId="2" borderId="0" applyProtection="1" pivotButton="0" quotePrefix="0" xfId="0">
      <protection locked="0" hidden="0"/>
    </xf>
    <xf numFmtId="165" fontId="1" fillId="0" borderId="0" pivotButton="0" quotePrefix="0" xfId="0"/>
    <xf numFmtId="3" fontId="0" fillId="0" borderId="0" applyAlignment="1" pivotButton="0" quotePrefix="0" xfId="0">
      <alignment vertical="top" wrapText="1"/>
    </xf>
    <xf numFmtId="166" fontId="0" fillId="0" borderId="0" pivotButton="0" quotePrefix="0" xfId="0"/>
    <xf numFmtId="0" fontId="5" fillId="0" borderId="0" pivotButton="0" quotePrefix="0" xfId="0"/>
    <xf numFmtId="165" fontId="0" fillId="0" borderId="0" applyAlignment="1" pivotButton="0" quotePrefix="0" xfId="0">
      <alignment vertical="top" wrapText="1"/>
    </xf>
    <xf numFmtId="168" fontId="0" fillId="2" borderId="0" applyAlignment="1" applyProtection="1" pivotButton="0" quotePrefix="0" xfId="0">
      <alignment vertical="top" wrapText="1"/>
      <protection locked="0" hidden="0"/>
    </xf>
    <xf numFmtId="168" fontId="7" fillId="0" borderId="0" applyAlignment="1" pivotButton="0" quotePrefix="0" xfId="0">
      <alignment vertical="top" wrapText="1"/>
    </xf>
    <xf numFmtId="168" fontId="1" fillId="4" borderId="0" pivotButton="0" quotePrefix="0" xfId="0"/>
    <xf numFmtId="168" fontId="0" fillId="0" borderId="0" pivotButton="0" quotePrefix="0" xfId="0"/>
    <xf numFmtId="165" fontId="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595959"/>
      </font>
      <fill>
        <patternFill patternType="solid">
          <fgColor rgb="00F2F2F2"/>
          <bgColor rgb="00F2F2F2"/>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2"/>
  <sheetViews>
    <sheetView workbookViewId="0">
      <selection activeCell="A1" sqref="A1"/>
    </sheetView>
  </sheetViews>
  <sheetFormatPr baseColWidth="8" defaultRowHeight="15"/>
  <cols>
    <col width="118" customWidth="1" min="1" max="1"/>
  </cols>
  <sheetData>
    <row r="1">
      <c r="A1" s="1" t="inlineStr">
        <is>
          <t>Reuniones, Acuerdos y Plan de 90 Días</t>
        </is>
      </c>
    </row>
    <row r="2">
      <c r="A2" s="2" t="inlineStr">
        <is>
          <t>AI Chef Pro · aichef.pro — Manual del Manager de Restaurante</t>
        </is>
      </c>
    </row>
    <row r="3"/>
    <row r="4">
      <c r="A4" s="3" t="inlineStr">
        <is>
          <t>Instrucciones de uso</t>
        </is>
      </c>
    </row>
    <row r="5">
      <c r="A5" s="4" t="inlineStr">
        <is>
          <t>1. «Calendario de Reuniones» es tu trimestre: una semanal de equipo cada dos semanas, una mensual de resultados y un uno-a-uno al mes. Ponlas en el calendario ANTES de que empiece el trimestre; si no tienen fecha, no se celebran.</t>
        </is>
      </c>
    </row>
    <row r="6">
      <c r="A6" s="4" t="inlineStr">
        <is>
          <t>2. «Guion de Reunión Semanal» son siete puntos y treinta minutos. Los minutos son celdas verdes: si los cambias, el libro te dice si te has pasado del objetivo. Una reunión de equipo que dura una hora deja de celebrarse en tres semanas.</t>
        </is>
      </c>
    </row>
    <row r="7">
      <c r="A7" s="4" t="inlineStr">
        <is>
          <t>3. «Uno-a-uno» trae las seis preguntas y el registro de las doce personas del equipo. Ninguna pregunta toca la salud, la familia ni la vida privada: además de ser mala conversación, preguntar por la salud en una entrevista está prohibido por el art. 9.5 de la Ley 15/2022.</t>
        </is>
      </c>
    </row>
    <row r="8">
      <c r="A8" s="4" t="inlineStr">
        <is>
          <t>4. «Actas y Acuerdos» es la hoja que hace que las reuniones sirvan de algo. Cada acuerdo lleva responsable y fecha de seguimiento; la columna «Situación» te dice sola cuáles están vencidos, cuáles vencen esta semana y cuáles se cerraron fuera de plazo.</t>
        </is>
      </c>
    </row>
    <row r="9">
      <c r="A9" s="4" t="inlineStr">
        <is>
          <t>5. Empieza SIEMPRE la reunión semanal por los acuerdos abiertos de la anterior. Es el punto 4 del guion y es el que convierte la conversación en trabajo.</t>
        </is>
      </c>
    </row>
    <row r="10">
      <c r="A10" s="4" t="inlineStr">
        <is>
          <t>6. «Plan 90 Días» recoge las veinte decisiones del trimestre que salen de las siete herramientas del pack. Escribe el área, de qué libro sale, la decisión, el responsable y la semana (1-13): la fecha objetivo la calcula el libro desde la fecha de inicio del plan.</t>
        </is>
      </c>
    </row>
    <row r="11">
      <c r="A11" s="4" t="inlineStr">
        <is>
          <t>7. Estima el impacto en euros al mes de cada decisión. No hace falta precisión: hace falta orden de magnitud para saber por dónde empezar y para poder enseñarle al propietario qué has movido en un trimestre.</t>
        </is>
      </c>
    </row>
    <row r="12">
      <c r="A12" s="4" t="inlineStr">
        <is>
          <t>8. Si quieres ver los vencimientos «desde» otro día, escribe esa fecha en la celda verde de simulación de «Actas y Acuerdos». Vacía = hoy.</t>
        </is>
      </c>
    </row>
    <row r="13"/>
    <row r="14">
      <c r="A14" s="5" t="inlineStr">
        <is>
          <t>Celdas verdes = campos editables</t>
        </is>
      </c>
    </row>
    <row r="15"/>
    <row r="16">
      <c r="A16" s="4" t="inlineStr">
        <is>
          <t>ESTA HOJA «PLAN 90 DÍAS» NO ES EL PLAN DE 90 DÍAS DE LA GUÍA FOOD COST. Aquel plan decide qué pasa con cada PLATO de la carta: escandallar, resubir, reformular, retirar. Éste ordena lo que sale de las SIETE herramientas de este manual —personas, servicio, operaciones, cumplimiento y finanzas— por área, semana y responsable. Se usan EN PARALELO y no se sustituyen: si tienes los dos, el de la carta te dice qué platos tocar y éste te dice quién lo hace y cuándo. No los fundas en uno: acabarías con una lista de treinta cosas sin dueño.</t>
        </is>
      </c>
    </row>
    <row r="17"/>
    <row r="18">
      <c r="A18" s="4" t="inlineStr">
        <is>
          <t>ESTE LIBRO NO TRAE GUION DE BRIEFING DE SERVICIO. El briefing es DIARIO, dura cinco minutos y ya lo tienes en el Kit de Tareas y en el Kit de Gestión de Personal. Lo que casi nadie cubre —y es lo que está aquí— son las otras tres cadencias: la semanal de equipo, la mensual de resultados y el uno-a-uno.</t>
        </is>
      </c>
    </row>
    <row r="19"/>
    <row r="20">
      <c r="A20" s="4" t="inlineStr">
        <is>
          <t>LOS KPI NO ESTÁN AQUÍ: están en «cuadro-de-mando-semanal-manager.xlsx». Duplicar el cuadro de mando en la hoja de actas produce dos versiones del mismo número y, a las tres semanas, discusiones sobre cuál es la buena.</t>
        </is>
      </c>
    </row>
    <row r="21"/>
    <row r="22">
      <c r="A22" s="4" t="inlineStr">
        <is>
          <t>UN ACUERDO SIN RESPONSABLE Y SIN FECHA NO ES UN ACUERDO: ES UNA OPINIÓN. Por eso las dos columnas están en verde y por eso la «Situación» se queda vacía si falta la fecha de seguimiento. Si en una reunión no sale ningún acuerdo con dueño, la reunión no ha terminado.</t>
        </is>
      </c>
    </row>
    <row r="23"/>
    <row r="24">
      <c r="A24" s="4" t="inlineStr">
        <is>
          <t>LA COLUMNA «FECHA DE CIERRE REAL» ESTÁ VACÍA A PROPÓSITO. Anótala cuando cierres cada acuerdo y el libro te dirá qué porcentaje se cerró DENTRO del plazo, que es un dato bastante más incómodo (y más útil) que el porcentaje de cerrados. Mientras no anotes ninguna fecha, ese porcentaje devuelve vacío: «sin dato» no es «cero».</t>
        </is>
      </c>
    </row>
    <row r="25"/>
    <row r="26">
      <c r="A26" s="4" t="inlineStr">
        <is>
          <t>EL IMPACTO EN EUROS DEL PLAN ES UNA ESTIMACIÓN TUYA, no un cálculo del libro. La suma sirve para priorizar y para defender el trabajo delante del propietario, no para presupuestar.</t>
        </is>
      </c>
    </row>
    <row r="27"/>
    <row r="28">
      <c r="A28" s="4" t="inlineStr">
        <is>
          <t>LOS DATOS SEMBRADOS SON UN EJEMPLO MODELADO (el restaurante «La Encina», el mismo del resto del pack): doce reuniones de un trimestre cerrado, veinticinco acuerdos —cuatro de ellos vencidos— y veinte decisiones que salen de las otras seis herramientas. Bórralos y pon los tuyos.</t>
        </is>
      </c>
    </row>
    <row r="29"/>
    <row r="30">
      <c r="A30" s="4" t="inlineStr">
        <is>
          <t>Para editar la estructura o una celda que no esté en verde, desprotege la hoja (sin contraseña).</t>
        </is>
      </c>
    </row>
    <row r="31">
      <c r="A31" s="4" t="inlineStr">
        <is>
          <t>Diseñado por John Guerrero — chef y consultor gastronómico desde 2010 · johnguerrero.es</t>
        </is>
      </c>
    </row>
    <row r="32">
      <c r="A32"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24" customWidth="1" min="3" max="3"/>
    <col width="12" customWidth="1" min="4" max="4"/>
    <col width="26" customWidth="1" min="5" max="5"/>
    <col width="12" customWidth="1" min="6" max="6"/>
    <col width="20" customWidth="1" min="7" max="7"/>
    <col width="14" customWidth="1" min="8" max="8"/>
    <col width="52" customWidth="1" min="9" max="9"/>
  </cols>
  <sheetData>
    <row r="1">
      <c r="A1" s="1" t="inlineStr">
        <is>
          <t>Calendario de reuniones — las tres cadencias del trimestre</t>
        </is>
      </c>
    </row>
    <row r="2">
      <c r="A2" s="2" t="inlineStr">
        <is>
          <t>AI Chef Pro · aichef.pro — Manual del Manager de Restaurante</t>
        </is>
      </c>
    </row>
    <row r="3">
      <c r="E3" s="6" t="inlineStr">
        <is>
          <t>Semanal de equipo, mensual de resultados y uno-a-uno. El briefing diario no está aquí: es otra cadencia y está en el Kit de Tareas.</t>
        </is>
      </c>
    </row>
    <row r="4"/>
    <row r="5" ht="40" customHeight="1">
      <c r="A5" s="7" t="inlineStr">
        <is>
          <t>#</t>
        </is>
      </c>
      <c r="B5" s="7" t="inlineStr">
        <is>
          <t>Fecha</t>
        </is>
      </c>
      <c r="C5" s="7" t="inlineStr">
        <is>
          <t>Tipo de reunión</t>
        </is>
      </c>
      <c r="D5" s="7" t="inlineStr">
        <is>
          <t>Cadencia</t>
        </is>
      </c>
      <c r="E5" s="7" t="inlineStr">
        <is>
          <t>Asistentes</t>
        </is>
      </c>
      <c r="F5" s="7" t="inlineStr">
        <is>
          <t>Duración (min)</t>
        </is>
      </c>
      <c r="G5" s="7" t="inlineStr">
        <is>
          <t>Responsable</t>
        </is>
      </c>
      <c r="H5" s="7" t="inlineStr">
        <is>
          <t>Estado</t>
        </is>
      </c>
      <c r="I5" s="7" t="inlineStr">
        <is>
          <t>Notas</t>
        </is>
      </c>
    </row>
    <row r="6" ht="26" customHeight="1">
      <c r="A6" s="8" t="n">
        <v>1</v>
      </c>
      <c r="B6" s="9" t="n">
        <v>46174</v>
      </c>
      <c r="C6" s="10" t="inlineStr">
        <is>
          <t>Mensual de resultados</t>
        </is>
      </c>
      <c r="D6" s="10" t="inlineStr">
        <is>
          <t>Mensual</t>
        </is>
      </c>
      <c r="E6" s="10" t="inlineStr">
        <is>
          <t>P01, P02, P03</t>
        </is>
      </c>
      <c r="F6" s="11" t="n">
        <v>60</v>
      </c>
      <c r="G6" s="10" t="inlineStr">
        <is>
          <t>P01 · Marta L.</t>
        </is>
      </c>
      <c r="H6" s="10" t="inlineStr">
        <is>
          <t>Celebrada</t>
        </is>
      </c>
      <c r="I6" s="10" t="n"/>
    </row>
    <row r="7" ht="26" customHeight="1">
      <c r="A7" s="8" t="n">
        <v>2</v>
      </c>
      <c r="B7" s="9" t="n">
        <v>46181</v>
      </c>
      <c r="C7" s="10" t="inlineStr">
        <is>
          <t>Semanal de equipo</t>
        </is>
      </c>
      <c r="D7" s="10" t="inlineStr">
        <is>
          <t>Semanal</t>
        </is>
      </c>
      <c r="E7" s="10" t="inlineStr">
        <is>
          <t>Todo el equipo</t>
        </is>
      </c>
      <c r="F7" s="11" t="n">
        <v>30</v>
      </c>
      <c r="G7" s="10" t="inlineStr">
        <is>
          <t>P01 · Marta L.</t>
        </is>
      </c>
      <c r="H7" s="10" t="inlineStr">
        <is>
          <t>Celebrada</t>
        </is>
      </c>
      <c r="I7" s="10" t="n"/>
    </row>
    <row r="8" ht="26" customHeight="1">
      <c r="A8" s="8" t="n">
        <v>3</v>
      </c>
      <c r="B8" s="9" t="n">
        <v>46188</v>
      </c>
      <c r="C8" s="10" t="inlineStr">
        <is>
          <t>Uno-a-uno</t>
        </is>
      </c>
      <c r="D8" s="10" t="inlineStr">
        <is>
          <t>Mensual</t>
        </is>
      </c>
      <c r="E8" s="10" t="inlineStr">
        <is>
          <t>P01 y P08</t>
        </is>
      </c>
      <c r="F8" s="11" t="n">
        <v>30</v>
      </c>
      <c r="G8" s="10" t="inlineStr">
        <is>
          <t>P01 · Marta L.</t>
        </is>
      </c>
      <c r="H8" s="10" t="inlineStr">
        <is>
          <t>Celebrada</t>
        </is>
      </c>
      <c r="I8" s="10" t="n"/>
    </row>
    <row r="9" ht="26" customHeight="1">
      <c r="A9" s="8" t="n">
        <v>4</v>
      </c>
      <c r="B9" s="9" t="n">
        <v>46195</v>
      </c>
      <c r="C9" s="10" t="inlineStr">
        <is>
          <t>Semanal de equipo</t>
        </is>
      </c>
      <c r="D9" s="10" t="inlineStr">
        <is>
          <t>Semanal</t>
        </is>
      </c>
      <c r="E9" s="10" t="inlineStr">
        <is>
          <t>Todo el equipo</t>
        </is>
      </c>
      <c r="F9" s="11" t="n">
        <v>30</v>
      </c>
      <c r="G9" s="10" t="inlineStr">
        <is>
          <t>P01 · Marta L.</t>
        </is>
      </c>
      <c r="H9" s="10" t="inlineStr">
        <is>
          <t>Celebrada</t>
        </is>
      </c>
      <c r="I9" s="10" t="n"/>
    </row>
    <row r="10" ht="26" customHeight="1">
      <c r="A10" s="8" t="n">
        <v>5</v>
      </c>
      <c r="B10" s="9" t="n">
        <v>46209</v>
      </c>
      <c r="C10" s="10" t="inlineStr">
        <is>
          <t>Mensual de resultados</t>
        </is>
      </c>
      <c r="D10" s="10" t="inlineStr">
        <is>
          <t>Mensual</t>
        </is>
      </c>
      <c r="E10" s="10" t="inlineStr">
        <is>
          <t>P01, P02, P03</t>
        </is>
      </c>
      <c r="F10" s="11" t="n">
        <v>60</v>
      </c>
      <c r="G10" s="10" t="inlineStr">
        <is>
          <t>P01 · Marta L.</t>
        </is>
      </c>
      <c r="H10" s="10" t="inlineStr">
        <is>
          <t>Celebrada</t>
        </is>
      </c>
      <c r="I10" s="10" t="n"/>
    </row>
    <row r="11" ht="26" customHeight="1">
      <c r="A11" s="8" t="n">
        <v>6</v>
      </c>
      <c r="B11" s="9" t="n">
        <v>46216</v>
      </c>
      <c r="C11" s="10" t="inlineStr">
        <is>
          <t>Semanal de equipo</t>
        </is>
      </c>
      <c r="D11" s="10" t="inlineStr">
        <is>
          <t>Semanal</t>
        </is>
      </c>
      <c r="E11" s="10" t="inlineStr">
        <is>
          <t>Todo el equipo</t>
        </is>
      </c>
      <c r="F11" s="11" t="n">
        <v>30</v>
      </c>
      <c r="G11" s="10" t="inlineStr">
        <is>
          <t>P01 · Marta L.</t>
        </is>
      </c>
      <c r="H11" s="10" t="inlineStr">
        <is>
          <t>Celebrada</t>
        </is>
      </c>
      <c r="I11" s="10" t="n"/>
    </row>
    <row r="12" ht="26" customHeight="1">
      <c r="A12" s="8" t="n">
        <v>7</v>
      </c>
      <c r="B12" s="9" t="n">
        <v>46223</v>
      </c>
      <c r="C12" s="10" t="inlineStr">
        <is>
          <t>Uno-a-uno</t>
        </is>
      </c>
      <c r="D12" s="10" t="inlineStr">
        <is>
          <t>Mensual</t>
        </is>
      </c>
      <c r="E12" s="10" t="inlineStr">
        <is>
          <t>P01 y P05</t>
        </is>
      </c>
      <c r="F12" s="11" t="n">
        <v>30</v>
      </c>
      <c r="G12" s="10" t="inlineStr">
        <is>
          <t>P01 · Marta L.</t>
        </is>
      </c>
      <c r="H12" s="10" t="inlineStr">
        <is>
          <t>Celebrada</t>
        </is>
      </c>
      <c r="I12" s="10" t="n"/>
    </row>
    <row r="13" ht="26" customHeight="1">
      <c r="A13" s="8" t="n">
        <v>8</v>
      </c>
      <c r="B13" s="9" t="n">
        <v>46230</v>
      </c>
      <c r="C13" s="10" t="inlineStr">
        <is>
          <t>Semanal de equipo</t>
        </is>
      </c>
      <c r="D13" s="10" t="inlineStr">
        <is>
          <t>Semanal</t>
        </is>
      </c>
      <c r="E13" s="10" t="inlineStr">
        <is>
          <t>Todo el equipo</t>
        </is>
      </c>
      <c r="F13" s="11" t="n">
        <v>30</v>
      </c>
      <c r="G13" s="10" t="inlineStr">
        <is>
          <t>P01 · Marta L.</t>
        </is>
      </c>
      <c r="H13" s="10" t="inlineStr">
        <is>
          <t>Celebrada</t>
        </is>
      </c>
      <c r="I13" s="10" t="n"/>
    </row>
    <row r="14" ht="26" customHeight="1">
      <c r="A14" s="8" t="n">
        <v>9</v>
      </c>
      <c r="B14" s="9" t="n">
        <v>46237</v>
      </c>
      <c r="C14" s="10" t="inlineStr">
        <is>
          <t>Mensual de resultados</t>
        </is>
      </c>
      <c r="D14" s="10" t="inlineStr">
        <is>
          <t>Mensual</t>
        </is>
      </c>
      <c r="E14" s="10" t="inlineStr">
        <is>
          <t>P01, P02, P03</t>
        </is>
      </c>
      <c r="F14" s="11" t="n">
        <v>60</v>
      </c>
      <c r="G14" s="10" t="inlineStr">
        <is>
          <t>P01 · Marta L.</t>
        </is>
      </c>
      <c r="H14" s="10" t="inlineStr">
        <is>
          <t>Celebrada</t>
        </is>
      </c>
      <c r="I14" s="10" t="n"/>
    </row>
    <row r="15" ht="26" customHeight="1">
      <c r="A15" s="8" t="n">
        <v>10</v>
      </c>
      <c r="B15" s="9" t="n">
        <v>46244</v>
      </c>
      <c r="C15" s="10" t="inlineStr">
        <is>
          <t>Semanal de equipo</t>
        </is>
      </c>
      <c r="D15" s="10" t="inlineStr">
        <is>
          <t>Semanal</t>
        </is>
      </c>
      <c r="E15" s="10" t="inlineStr">
        <is>
          <t>Todo el equipo</t>
        </is>
      </c>
      <c r="F15" s="11" t="n">
        <v>30</v>
      </c>
      <c r="G15" s="10" t="inlineStr">
        <is>
          <t>P01 · Marta L.</t>
        </is>
      </c>
      <c r="H15" s="10" t="inlineStr">
        <is>
          <t>Celebrada</t>
        </is>
      </c>
      <c r="I15" s="10" t="n"/>
    </row>
    <row r="16" ht="26" customHeight="1">
      <c r="A16" s="8" t="n">
        <v>11</v>
      </c>
      <c r="B16" s="9" t="n">
        <v>46251</v>
      </c>
      <c r="C16" s="10" t="inlineStr">
        <is>
          <t>Uno-a-uno</t>
        </is>
      </c>
      <c r="D16" s="10" t="inlineStr">
        <is>
          <t>Mensual</t>
        </is>
      </c>
      <c r="E16" s="10" t="inlineStr">
        <is>
          <t>P01 y P09</t>
        </is>
      </c>
      <c r="F16" s="11" t="n">
        <v>30</v>
      </c>
      <c r="G16" s="10" t="inlineStr">
        <is>
          <t>P01 · Marta L.</t>
        </is>
      </c>
      <c r="H16" s="10" t="inlineStr">
        <is>
          <t>Celebrada</t>
        </is>
      </c>
      <c r="I16" s="10" t="n"/>
    </row>
    <row r="17" ht="26" customHeight="1">
      <c r="A17" s="8" t="n">
        <v>12</v>
      </c>
      <c r="B17" s="9" t="n">
        <v>46258</v>
      </c>
      <c r="C17" s="10" t="inlineStr">
        <is>
          <t>Semanal de equipo</t>
        </is>
      </c>
      <c r="D17" s="10" t="inlineStr">
        <is>
          <t>Semanal</t>
        </is>
      </c>
      <c r="E17" s="10" t="inlineStr">
        <is>
          <t>Todo el equipo</t>
        </is>
      </c>
      <c r="F17" s="11" t="n">
        <v>30</v>
      </c>
      <c r="G17" s="10" t="inlineStr">
        <is>
          <t>P01 · Marta L.</t>
        </is>
      </c>
      <c r="H17" s="10" t="inlineStr">
        <is>
          <t>Celebrada</t>
        </is>
      </c>
      <c r="I17" s="10" t="n"/>
    </row>
    <row r="18" ht="26" customHeight="1">
      <c r="A18" s="8" t="n">
        <v>13</v>
      </c>
      <c r="B18" s="9" t="n"/>
      <c r="C18" s="10" t="n"/>
      <c r="D18" s="10" t="n"/>
      <c r="E18" s="10" t="n"/>
      <c r="F18" s="11" t="n"/>
      <c r="G18" s="10" t="n"/>
      <c r="H18" s="10" t="n"/>
      <c r="I18" s="10" t="n"/>
    </row>
    <row r="19" ht="26" customHeight="1">
      <c r="A19" s="8" t="n">
        <v>14</v>
      </c>
      <c r="B19" s="9" t="n"/>
      <c r="C19" s="10" t="n"/>
      <c r="D19" s="10" t="n"/>
      <c r="E19" s="10" t="n"/>
      <c r="F19" s="11" t="n"/>
      <c r="G19" s="10" t="n"/>
      <c r="H19" s="10" t="n"/>
      <c r="I19" s="10" t="n"/>
    </row>
    <row r="20" ht="26" customHeight="1">
      <c r="A20" s="8" t="n">
        <v>15</v>
      </c>
      <c r="B20" s="9" t="n"/>
      <c r="C20" s="10" t="n"/>
      <c r="D20" s="10" t="n"/>
      <c r="E20" s="10" t="n"/>
      <c r="F20" s="11" t="n"/>
      <c r="G20" s="10" t="n"/>
      <c r="H20" s="10" t="n"/>
      <c r="I20" s="10" t="n"/>
    </row>
    <row r="21" ht="26" customHeight="1">
      <c r="A21" s="8" t="n">
        <v>16</v>
      </c>
      <c r="B21" s="9" t="n"/>
      <c r="C21" s="10" t="n"/>
      <c r="D21" s="10" t="n"/>
      <c r="E21" s="10" t="n"/>
      <c r="F21" s="11" t="n"/>
      <c r="G21" s="10" t="n"/>
      <c r="H21" s="10" t="n"/>
      <c r="I21" s="10" t="n"/>
    </row>
    <row r="22" ht="26" customHeight="1">
      <c r="A22" s="8" t="n">
        <v>17</v>
      </c>
      <c r="B22" s="9" t="n"/>
      <c r="C22" s="10" t="n"/>
      <c r="D22" s="10" t="n"/>
      <c r="E22" s="10" t="n"/>
      <c r="F22" s="11" t="n"/>
      <c r="G22" s="10" t="n"/>
      <c r="H22" s="10" t="n"/>
      <c r="I22" s="10" t="n"/>
    </row>
    <row r="23" ht="26" customHeight="1">
      <c r="A23" s="8" t="n">
        <v>18</v>
      </c>
      <c r="B23" s="9" t="n"/>
      <c r="C23" s="10" t="n"/>
      <c r="D23" s="10" t="n"/>
      <c r="E23" s="10" t="n"/>
      <c r="F23" s="11" t="n"/>
      <c r="G23" s="10" t="n"/>
      <c r="H23" s="10" t="n"/>
      <c r="I23" s="10" t="n"/>
    </row>
    <row r="24" ht="26" customHeight="1">
      <c r="A24" s="8" t="n">
        <v>19</v>
      </c>
      <c r="B24" s="9" t="n"/>
      <c r="C24" s="10" t="n"/>
      <c r="D24" s="10" t="n"/>
      <c r="E24" s="10" t="n"/>
      <c r="F24" s="11" t="n"/>
      <c r="G24" s="10" t="n"/>
      <c r="H24" s="10" t="n"/>
      <c r="I24" s="10" t="n"/>
    </row>
    <row r="25" ht="26" customHeight="1">
      <c r="A25" s="8" t="n">
        <v>20</v>
      </c>
      <c r="B25" s="9" t="n"/>
      <c r="C25" s="10" t="n"/>
      <c r="D25" s="10" t="n"/>
      <c r="E25" s="10" t="n"/>
      <c r="F25" s="11" t="n"/>
      <c r="G25" s="10" t="n"/>
      <c r="H25" s="10" t="n"/>
      <c r="I25" s="10" t="n"/>
    </row>
    <row r="26" ht="26" customHeight="1">
      <c r="A26" s="8" t="n">
        <v>21</v>
      </c>
      <c r="B26" s="9" t="n"/>
      <c r="C26" s="10" t="n"/>
      <c r="D26" s="10" t="n"/>
      <c r="E26" s="10" t="n"/>
      <c r="F26" s="11" t="n"/>
      <c r="G26" s="10" t="n"/>
      <c r="H26" s="10" t="n"/>
      <c r="I26" s="10" t="n"/>
    </row>
    <row r="27" ht="26" customHeight="1">
      <c r="A27" s="8" t="n">
        <v>22</v>
      </c>
      <c r="B27" s="9" t="n"/>
      <c r="C27" s="10" t="n"/>
      <c r="D27" s="10" t="n"/>
      <c r="E27" s="10" t="n"/>
      <c r="F27" s="11" t="n"/>
      <c r="G27" s="10" t="n"/>
      <c r="H27" s="10" t="n"/>
      <c r="I27" s="10" t="n"/>
    </row>
    <row r="28" ht="26" customHeight="1">
      <c r="A28" s="8" t="n">
        <v>23</v>
      </c>
      <c r="B28" s="9" t="n"/>
      <c r="C28" s="10" t="n"/>
      <c r="D28" s="10" t="n"/>
      <c r="E28" s="10" t="n"/>
      <c r="F28" s="11" t="n"/>
      <c r="G28" s="10" t="n"/>
      <c r="H28" s="10" t="n"/>
      <c r="I28" s="10" t="n"/>
    </row>
    <row r="29" ht="26" customHeight="1">
      <c r="A29" s="8" t="n">
        <v>24</v>
      </c>
      <c r="B29" s="9" t="n"/>
      <c r="C29" s="10" t="n"/>
      <c r="D29" s="10" t="n"/>
      <c r="E29" s="10" t="n"/>
      <c r="F29" s="11" t="n"/>
      <c r="G29" s="10" t="n"/>
      <c r="H29" s="10" t="n"/>
      <c r="I29" s="10" t="n"/>
    </row>
    <row r="30"/>
    <row r="31">
      <c r="A31" s="12" t="inlineStr">
        <is>
          <t>RESUMEN — lo calcula el libro</t>
        </is>
      </c>
    </row>
    <row r="32">
      <c r="B32" t="inlineStr">
        <is>
          <t>Reuniones registradas</t>
        </is>
      </c>
      <c r="D32" s="8">
        <f>COUNTIF($B$6:$B$29,"&lt;&gt;")</f>
        <v>12.0</v>
      </c>
    </row>
    <row r="33">
      <c r="B33" t="inlineStr">
        <is>
          <t>De tipo «Semanal de equipo»</t>
        </is>
      </c>
      <c r="D33" s="8">
        <f>COUNTIF($C$6:$C$29,"Semanal de equipo")</f>
        <v>6.0</v>
      </c>
    </row>
    <row r="34">
      <c r="B34" t="inlineStr">
        <is>
          <t>De tipo «Mensual de resultados»</t>
        </is>
      </c>
      <c r="D34" s="8">
        <f>COUNTIF($C$6:$C$29,"Mensual de resultados")</f>
        <v>3.0</v>
      </c>
    </row>
    <row r="35">
      <c r="B35" t="inlineStr">
        <is>
          <t>De tipo «Uno-a-uno»</t>
        </is>
      </c>
      <c r="D35" s="8">
        <f>COUNTIF($C$6:$C$29,"Uno-a-uno")</f>
        <v>3.0</v>
      </c>
    </row>
    <row r="36">
      <c r="B36" t="inlineStr">
        <is>
          <t>Celebradas</t>
        </is>
      </c>
      <c r="D36" s="8">
        <f>COUNTIF($H$6:$H$29,"Celebrada")</f>
        <v>12.0</v>
      </c>
    </row>
    <row r="37">
      <c r="B37" s="12" t="inlineStr">
        <is>
          <t>Celebradas (%)</t>
        </is>
      </c>
      <c r="D37" s="13">
        <f>IFERROR(IF($D$32=0,"",$D$36/$D$32),"")</f>
        <v>1.0</v>
      </c>
    </row>
    <row r="38">
      <c r="B38" s="14" t="inlineStr">
        <is>
          <t>MINUTOS DE REUNIÓN DEL TRIMESTRE</t>
        </is>
      </c>
      <c r="D38" s="15">
        <f>IFERROR(SUM($F$6:$F$29),"")</f>
        <v>450.0</v>
      </c>
    </row>
    <row r="39">
      <c r="B39" t="inlineStr">
        <is>
          <t>Duración media (min)</t>
        </is>
      </c>
      <c r="D39" s="16">
        <f>IFERROR(IF($D$32=0,"",$D$38/$D$32),"")</f>
        <v>37.5</v>
      </c>
    </row>
    <row r="40">
      <c r="B40" t="inlineStr">
        <is>
          <t>Horas de reunión del trimestre</t>
        </is>
      </c>
      <c r="D40" s="16">
        <f>IFERROR(IF($D$38="","",$D$38/60),"")</f>
        <v>7.5</v>
      </c>
    </row>
    <row r="41"/>
    <row r="42">
      <c r="B42" t="inlineStr">
        <is>
          <t>Objetivo de reuniones celebradas (%)</t>
        </is>
      </c>
      <c r="D42" s="17" t="n">
        <v>0.9</v>
      </c>
      <c r="F42" s="4" t="inlineStr">
        <is>
          <t>Por debajo de este porcentaje, la celda «Celebradas (%)» se pone en rojo. Una reunión que se cancela dos veces seguidas deja de existir.</t>
        </is>
      </c>
    </row>
  </sheetData>
  <sheetProtection selectLockedCells="0" selectUnlockedCells="0" sheet="1" objects="0" insertRows="0" insertHyperlinks="1" autoFilter="1" scenarios="0" formatColumns="0" deleteColumns="1" insertColumns="1" pivotTables="1" deleteRows="1" formatCells="1" formatRows="0" sort="0"/>
  <conditionalFormatting sqref="H6:H29">
    <cfRule type="cellIs" priority="1" operator="equal" dxfId="0" stopIfTrue="1">
      <formula>"Celebrada"</formula>
    </cfRule>
    <cfRule type="cellIs" priority="2" operator="equal" dxfId="1" stopIfTrue="1">
      <formula>"Prevista"</formula>
    </cfRule>
    <cfRule type="cellIs" priority="3" operator="equal" dxfId="2" stopIfTrue="1">
      <formula>"Aplazada"</formula>
    </cfRule>
    <cfRule type="cellIs" priority="4" operator="equal" dxfId="3" stopIfTrue="1">
      <formula>"Cancelada"</formula>
    </cfRule>
  </conditionalFormatting>
  <conditionalFormatting sqref="D37">
    <cfRule type="expression" priority="5" dxfId="3" stopIfTrue="1">
      <formula>=AND(ISNUMBER($D$37),$D$37&lt;$D$42)</formula>
    </cfRule>
  </conditionalFormatting>
  <dataValidations count="7">
    <dataValidation sqref="B6 B7 B8 B9 B10 B11 B12 B13 B14 B15 B16 B17 B18 B19 B20 B21 B22 B23 B24 B25 B26 B27 B28 B29" showDropDown="0" showInputMessage="0" showErrorMessage="1" allowBlank="1" errorTitle="Fecha no válida" error="Escribe una fecha (dd/mm/aaaa) entre 2020 y 2040." type="date" operator="between">
      <formula1>DATE(2020,1,1)</formula1>
      <formula2>DATE(2040,12,31)</formula2>
    </dataValidation>
    <dataValidation sqref="C6 C7 C8 C9 C10 C11 C12 C13 C14 C15 C16 C17 C18 C19 C20 C21 C22 C23 C24 C25 C26 C27 C28 C29" showDropDown="0" showInputMessage="0" showErrorMessage="1" allowBlank="1" errorTitle="Tipo de reunión" error="Elige un valor de la lista: Semanal de equipo, Mensual de resultados, Uno-a-uno" type="list">
      <formula1>"Semanal de equipo,Mensual de resultados,Uno-a-uno"</formula1>
    </dataValidation>
    <dataValidation sqref="D6 D7 D8 D9 D10 D11 D12 D13 D14 D15 D16 D17 D18 D19 D20 D21 D22 D23 D24 D25 D26 D27 D28 D29" showDropDown="0" showInputMessage="0" showErrorMessage="1" allowBlank="1" errorTitle="Cadencia" error="Elige un valor de la lista: Semanal, Mensual" type="list">
      <formula1>"Semanal,Mensual"</formula1>
    </dataValidation>
    <dataValidation sqref="G6 G7 G8 G9 G10 G11 G12 G13 G14 G15 G16 G17 G18 G19 G20 G21 G22 G23 G24 G25 G26 G27 G28 G29" showDropDown="0" showInputMessage="0" showErrorMessage="1" allowBlank="1" errorTitle="Responsable" error="Elige un valor de la lista: P01 · Marta L., P02 · Iván R., P03 · Nuria C., P04 · Diego M., P05 · Laura S., P06 · Omar B., P07 · Rocío F., P08 · Carlos V., P09 · Elena T., P10 · Youssef A., P11 · Paula G., P12 · Andrés P." type="list">
      <formula1>"P01 · Marta L.,P02 · Iván R.,P03 · Nuria C.,P04 · Diego M.,P05 · Laura S.,P06 · Omar B.,P07 · Rocío F.,P08 · Carlos V.,P09 · Elena T.,P10 · Youssef A.,P11 · Paula G.,P12 · Andrés P."</formula1>
    </dataValidation>
    <dataValidation sqref="H6 H7 H8 H9 H10 H11 H12 H13 H14 H15 H16 H17 H18 H19 H20 H21 H22 H23 H24 H25 H26 H27 H28 H29" showDropDown="0" showInputMessage="0" showErrorMessage="1" allowBlank="1" errorTitle="Estado de la reunión" error="Elige un valor de la lista: Prevista, Celebrada, Aplazada, Cancelada" type="list">
      <formula1>"Prevista,Celebrada,Aplazada,Cancelada"</formula1>
    </dataValidation>
    <dataValidation sqref="F6 F7 F8 F9 F10 F11 F12 F13 F14 F15 F16 F17 F18 F19 F20 F21 F22 F23 F24 F25 F26 F27 F28 F29" showDropDown="0" showInputMessage="0" showErrorMessage="1" allowBlank="1" errorTitle="Duración (min)" error="Escribe la duración en minutos (5-240)." type="decimal" operator="between">
      <formula1>5</formula1>
      <formula2>240</formula2>
    </dataValidation>
    <dataValidation sqref="D42" showDropDown="0" showInputMessage="1" showErrorMessage="1" allowBlank="1" errorTitle="Objetivo de celebradas" error="Escribe un porcentaje entre 0 y 1 (0,20 = 20 %)." promptTitle="Objetivo de celebradas" prompt="Se escribe en tanto por uno: 0,90 = 9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0" customWidth="1" min="3" max="3"/>
    <col width="34" customWidth="1" min="4" max="4"/>
    <col width="20" customWidth="1" min="5" max="5"/>
    <col width="62" customWidth="1" min="6" max="6"/>
    <col width="40" customWidth="1" min="7" max="7"/>
  </cols>
  <sheetData>
    <row r="1">
      <c r="A1" s="1" t="inlineStr">
        <is>
          <t>Guion de la reunión semanal — siete puntos, treinta minutos</t>
        </is>
      </c>
    </row>
    <row r="2">
      <c r="A2" s="2" t="inlineStr">
        <is>
          <t>AI Chef Pro · aichef.pro — Manual del Manager de Restaurante</t>
        </is>
      </c>
    </row>
    <row r="3">
      <c r="D3" s="6" t="inlineStr">
        <is>
          <t>El orden importa: los números primero y los acuerdos al final, para que nadie se marche antes de que se reparta el trabajo.</t>
        </is>
      </c>
    </row>
    <row r="4"/>
    <row r="5" ht="40" customHeight="1">
      <c r="A5" s="7" t="inlineStr">
        <is>
          <t>Orden</t>
        </is>
      </c>
      <c r="B5" s="7" t="inlineStr">
        <is>
          <t>Punto</t>
        </is>
      </c>
      <c r="C5" s="7" t="inlineStr">
        <is>
          <t>Minutos</t>
        </is>
      </c>
      <c r="D5" s="7" t="inlineStr">
        <is>
          <t>Herramienta de la que salen los datos</t>
        </is>
      </c>
      <c r="E5" s="7" t="inlineStr">
        <is>
          <t>Responsable</t>
        </is>
      </c>
      <c r="F5" s="7" t="inlineStr">
        <is>
          <t>Por qué está en el guion</t>
        </is>
      </c>
      <c r="G5" s="7" t="inlineStr">
        <is>
          <t>Notas</t>
        </is>
      </c>
    </row>
    <row r="6" ht="46" customHeight="1">
      <c r="A6" s="8" t="n">
        <v>1</v>
      </c>
      <c r="B6" s="18" t="inlineStr">
        <is>
          <t>Los números de la semana que cierra</t>
        </is>
      </c>
      <c r="C6" s="11" t="n">
        <v>5</v>
      </c>
      <c r="D6" s="10" t="inlineStr">
        <is>
          <t>Cuadro de mando semanal</t>
        </is>
      </c>
      <c r="E6" s="10" t="inlineStr">
        <is>
          <t>P01 · Marta L.</t>
        </is>
      </c>
      <c r="F6" s="19" t="inlineStr">
        <is>
          <t>Ventas, prime cost y cubiertos de la semana que cierra. Cinco minutos de números, no veinte: el detalle está en el cuadro de mando.</t>
        </is>
      </c>
      <c r="G6" s="10" t="n"/>
    </row>
    <row r="7" ht="46" customHeight="1">
      <c r="A7" s="8" t="n">
        <v>2</v>
      </c>
      <c r="B7" s="18" t="inlineStr">
        <is>
          <t>Qué hay detrás de cada semáforo en rojo</t>
        </is>
      </c>
      <c r="C7" s="11" t="n">
        <v>5</v>
      </c>
      <c r="D7" s="10" t="inlineStr">
        <is>
          <t>Cuadro de mando semanal</t>
        </is>
      </c>
      <c r="E7" s="10" t="inlineStr">
        <is>
          <t>P01 · Marta L.</t>
        </is>
      </c>
      <c r="F7" s="19" t="inlineStr">
        <is>
          <t>Un semáforo en rojo sin explicación se repite. Aquí se nombra la causa y se decide si hace falta un acuerdo.</t>
        </is>
      </c>
      <c r="G7" s="10" t="n"/>
    </row>
    <row r="8" ht="46" customHeight="1">
      <c r="A8" s="8" t="n">
        <v>3</v>
      </c>
      <c r="B8" s="18" t="inlineStr">
        <is>
          <t>Quejas y reseñas de la semana: qué se repite</t>
        </is>
      </c>
      <c r="C8" s="11" t="n">
        <v>4</v>
      </c>
      <c r="D8" s="10" t="inlineStr">
        <is>
          <t>Quejas, reclamaciones y reseñas</t>
        </is>
      </c>
      <c r="E8" s="10" t="inlineStr">
        <is>
          <t>P03 · Nuria C.</t>
        </is>
      </c>
      <c r="F8" s="19" t="inlineStr">
        <is>
          <t>Lo que se repite en las quejas y en las reseñas es un problema de PROCESO, no de la persona que estaba ese día.</t>
        </is>
      </c>
      <c r="G8" s="10" t="n"/>
    </row>
    <row r="9" ht="46" customHeight="1">
      <c r="A9" s="8" t="n">
        <v>4</v>
      </c>
      <c r="B9" s="18" t="inlineStr">
        <is>
          <t>Acuerdos de la semana anterior: cerrados y pendientes</t>
        </is>
      </c>
      <c r="C9" s="11" t="n">
        <v>4</v>
      </c>
      <c r="D9" s="10" t="inlineStr">
        <is>
          <t>Actas y Acuerdos</t>
        </is>
      </c>
      <c r="E9" s="10" t="inlineStr">
        <is>
          <t>P01 · Marta L.</t>
        </is>
      </c>
      <c r="F9" s="19" t="inlineStr">
        <is>
          <t>El punto que hace que la reunión sirva de algo: se leen los acuerdos abiertos de la semana pasada, uno por uno, con su responsable delante.</t>
        </is>
      </c>
      <c r="G9" s="10" t="n"/>
    </row>
    <row r="10" ht="46" customHeight="1">
      <c r="A10" s="8" t="n">
        <v>5</v>
      </c>
      <c r="B10" s="18" t="inlineStr">
        <is>
          <t>La semana que entra: reservas, eventos y cuadrante</t>
        </is>
      </c>
      <c r="C10" s="11" t="n">
        <v>5</v>
      </c>
      <c r="D10" s="10" t="inlineStr">
        <is>
          <t>Cuadrante (Kit de Gestión de Personal)</t>
        </is>
      </c>
      <c r="E10" s="10" t="inlineStr">
        <is>
          <t>P01 · Marta L.</t>
        </is>
      </c>
      <c r="F10" s="19" t="inlineStr">
        <is>
          <t>Reservas grandes, eventos, cambios de cuadrante y quién falta. Es la única parte de la reunión que mira hacia delante.</t>
        </is>
      </c>
      <c r="G10" s="10" t="n"/>
    </row>
    <row r="11" ht="46" customHeight="1">
      <c r="A11" s="8" t="n">
        <v>6</v>
      </c>
      <c r="B11" s="18" t="inlineStr">
        <is>
          <t>Un punto que trae el equipo, por turno rotatorio</t>
        </is>
      </c>
      <c r="C11" s="11" t="n">
        <v>4</v>
      </c>
      <c r="D11" s="10" t="inlineStr"/>
      <c r="E11" s="10" t="inlineStr">
        <is>
          <t>Turno rotatorio del equipo</t>
        </is>
      </c>
      <c r="F11" s="19" t="inlineStr">
        <is>
          <t>Un punto que trae el equipo, por turno rotatorio. Se anuncia en la reunión anterior para que venga preparado.</t>
        </is>
      </c>
      <c r="G11" s="10" t="n"/>
    </row>
    <row r="12" ht="46" customHeight="1">
      <c r="A12" s="8" t="n">
        <v>7</v>
      </c>
      <c r="B12" s="18" t="inlineStr">
        <is>
          <t>Acuerdos nuevos: qué, quién y para cuándo</t>
        </is>
      </c>
      <c r="C12" s="11" t="n">
        <v>3</v>
      </c>
      <c r="D12" s="10" t="inlineStr">
        <is>
          <t>Actas y Acuerdos</t>
        </is>
      </c>
      <c r="E12" s="10" t="inlineStr">
        <is>
          <t>P01 · Marta L.</t>
        </is>
      </c>
      <c r="F12" s="19" t="inlineStr">
        <is>
          <t>Qué, quién y para cuándo. Se escriben en la hoja «Actas y Acuerdos» antes de levantarse de la mesa, no después.</t>
        </is>
      </c>
      <c r="G12" s="10" t="n"/>
    </row>
    <row r="13" ht="46" customHeight="1">
      <c r="A13" s="8" t="n">
        <v>8</v>
      </c>
      <c r="B13" s="10" t="n"/>
      <c r="C13" s="11" t="n"/>
      <c r="D13" s="10" t="n"/>
      <c r="E13" s="10" t="n"/>
      <c r="F13" s="19" t="n"/>
      <c r="G13" s="10" t="n"/>
    </row>
    <row r="14" ht="46" customHeight="1">
      <c r="A14" s="8" t="n">
        <v>9</v>
      </c>
      <c r="B14" s="10" t="n"/>
      <c r="C14" s="11" t="n"/>
      <c r="D14" s="10" t="n"/>
      <c r="E14" s="10" t="n"/>
      <c r="F14" s="19" t="n"/>
      <c r="G14" s="10" t="n"/>
    </row>
    <row r="15" ht="46" customHeight="1">
      <c r="A15" s="8" t="n">
        <v>10</v>
      </c>
      <c r="B15" s="10" t="n"/>
      <c r="C15" s="11" t="n"/>
      <c r="D15" s="10" t="n"/>
      <c r="E15" s="10" t="n"/>
      <c r="F15" s="19" t="n"/>
      <c r="G15" s="10" t="n"/>
    </row>
    <row r="16"/>
    <row r="17">
      <c r="A17" s="12" t="inlineStr">
        <is>
          <t>RESUMEN — lo calcula el libro</t>
        </is>
      </c>
    </row>
    <row r="18">
      <c r="B18" t="inlineStr">
        <is>
          <t>Puntos del guion</t>
        </is>
      </c>
      <c r="D18" s="8">
        <f>COUNTIF($B$6:$B$15,"&lt;&gt;")</f>
        <v>7.0</v>
      </c>
    </row>
    <row r="19">
      <c r="B19" s="14" t="inlineStr">
        <is>
          <t>DURACIÓN TOTAL DEL GUION (min)</t>
        </is>
      </c>
      <c r="D19" s="15">
        <f>IFERROR(SUM($C$6:$C$15),"")</f>
        <v>30.0</v>
      </c>
    </row>
    <row r="20">
      <c r="B20" t="inlineStr">
        <is>
          <t>Duración objetivo de la reunión (min)</t>
        </is>
      </c>
      <c r="D20" s="20" t="n">
        <v>30</v>
      </c>
      <c r="F20" s="4" t="inlineStr">
        <is>
          <t>Si la suma de los minutos se pasa de aquí, la celda de abajo se pone en rojo. Treinta minutos de pie funcionan mejor que una hora sentados.</t>
        </is>
      </c>
    </row>
    <row r="21">
      <c r="B21" s="12" t="inlineStr">
        <is>
          <t>Diferencia con el objetivo (min)</t>
        </is>
      </c>
      <c r="D21" s="21">
        <f>IFERROR(IF(OR($D$19="",$D$20=""),"",$D$19-$D$20),"")</f>
        <v>0.0</v>
      </c>
    </row>
    <row r="22"/>
    <row r="23" ht="30" customHeight="1">
      <c r="B23" s="6" t="inlineStr">
        <is>
          <t>El punto 6 lo trae el equipo por turno rotatorio y se anuncia en la reunión anterior. Es lo único de esta lista que no controla el manager, y es lo primero que se cae cuando hay prisa: no lo dejes caer.</t>
        </is>
      </c>
    </row>
  </sheetData>
  <sheetProtection selectLockedCells="0" selectUnlockedCells="0" sheet="1" objects="0" insertRows="0" insertHyperlinks="1" autoFilter="1" scenarios="0" formatColumns="0" deleteColumns="1" insertColumns="1" pivotTables="1" deleteRows="1" formatCells="1" formatRows="0" sort="0"/>
  <conditionalFormatting sqref="D21">
    <cfRule type="expression" priority="1" dxfId="3" stopIfTrue="1">
      <formula>=AND(ISNUMBER($D$21),$D$21&gt;0)</formula>
    </cfRule>
  </conditionalFormatting>
  <dataValidations count="3">
    <dataValidation sqref="C6 C7 C8 C9 C10 C11 C12 C13 C14 C15" showDropDown="0" showInputMessage="0" showErrorMessage="1" allowBlank="1" errorTitle="Minutos" error="Escribe los minutos del punto (0-120)." type="decimal" operator="between">
      <formula1>0</formula1>
      <formula2>120</formula2>
    </dataValidation>
    <dataValidation sqref="E6 E7 E8 E9 E10 E11 E12 E13 E14 E15" showDropDown="0" showInputMessage="0" showErrorMessage="1" allowBlank="1" errorTitle="Responsable del punto" error="Elige un valor de la lista: P01 · Marta L., P02 · Iván R., P03 · Nuria C., P04 · Diego M., P05 · Laura S., P06 · Omar B., P07 · Rocío F., P08 · Carlos V., P09 · Elena T., P10 · Youssef A., P11 · Paula G., P12 · Andrés P., Turno rotatorio del equipo" type="list">
      <formula1>"P01 · Marta L.,P02 · Iván R.,P03 · Nuria C.,P04 · Diego M.,P05 · Laura S.,P06 · Omar B.,P07 · Rocío F.,P08 · Carlos V.,P09 · Elena T.,P10 · Youssef A.,P11 · Paula G.,P12 · Andrés P.,Turno rotatorio del equipo"</formula1>
    </dataValidation>
    <dataValidation sqref="D20" showDropDown="0" showInputMessage="0" showErrorMessage="1" allowBlank="1" errorTitle="Duración objetivo" error="Escribe la duración objetivo en minutos (5-240)." type="decimal" operator="between">
      <formula1>5</formula1>
      <formula2>240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34"/>
  <sheetViews>
    <sheetView workbookViewId="0">
      <selection activeCell="A1" sqref="A1"/>
    </sheetView>
  </sheetViews>
  <sheetFormatPr baseColWidth="8" defaultRowHeight="15"/>
  <cols>
    <col width="5" customWidth="1" min="1" max="1"/>
    <col width="20" customWidth="1" min="2" max="2"/>
    <col width="14" customWidth="1" min="3" max="3"/>
    <col width="44" customWidth="1" min="4" max="4"/>
    <col width="52" customWidth="1" min="5" max="5"/>
    <col width="14" customWidth="1" min="6" max="6"/>
    <col width="14" customWidth="1" min="7" max="7"/>
    <col width="40" customWidth="1" min="8" max="8"/>
  </cols>
  <sheetData>
    <row r="1">
      <c r="A1" s="1" t="inlineStr">
        <is>
          <t>Uno-a-uno — seis preguntas y el registro del equipo</t>
        </is>
      </c>
    </row>
    <row r="2">
      <c r="A2" s="2" t="inlineStr">
        <is>
          <t>AI Chef Pro · aichef.pro — Manual del Manager de Restaurante</t>
        </is>
      </c>
    </row>
    <row r="3">
      <c r="D3" s="6" t="inlineStr">
        <is>
          <t>Ninguna de las seis preguntas toca la salud, la familia ni la vida privada. No es sólo buena educación: preguntarlo está prohibido (art. 9.5 de la Ley 15/2022).</t>
        </is>
      </c>
    </row>
    <row r="4"/>
    <row r="5" ht="40" customHeight="1">
      <c r="A5" s="7" t="inlineStr">
        <is>
          <t>#</t>
        </is>
      </c>
      <c r="B5" s="7" t="inlineStr">
        <is>
          <t>Pregunta</t>
        </is>
      </c>
      <c r="C5" s="7" t="inlineStr">
        <is>
          <t>Para qué sirve</t>
        </is>
      </c>
      <c r="D5" s="7" t="inlineStr">
        <is>
          <t>Notas</t>
        </is>
      </c>
    </row>
    <row r="6" ht="34" customHeight="1">
      <c r="A6" s="8" t="n">
        <v>1</v>
      </c>
      <c r="B6" s="22" t="inlineStr">
        <is>
          <t>¿Qué te está saliendo bien desde la última vez que hablamos?</t>
        </is>
      </c>
      <c r="C6" s="19" t="inlineStr">
        <is>
          <t>Abre en positivo y saca a la luz lo que está funcionando y no se cuenta nunca.</t>
        </is>
      </c>
      <c r="D6" s="10" t="n"/>
    </row>
    <row r="7" ht="34" customHeight="1">
      <c r="A7" s="8" t="n">
        <v>2</v>
      </c>
      <c r="B7" s="22" t="inlineStr">
        <is>
          <t>¿Qué te está costando y qué necesitas de mí para desatascarlo?</t>
        </is>
      </c>
      <c r="C7" s="19" t="inlineStr">
        <is>
          <t>La pregunta más útil de las seis: convierte una queja en una petición concreta que tú puedes resolver.</t>
        </is>
      </c>
      <c r="D7" s="10" t="n"/>
    </row>
    <row r="8" ht="34" customHeight="1">
      <c r="A8" s="8" t="n">
        <v>3</v>
      </c>
      <c r="B8" s="22" t="inlineStr">
        <is>
          <t>¿Hay algo del servicio que tú harías de otra manera?</t>
        </is>
      </c>
      <c r="C8" s="19" t="inlineStr">
        <is>
          <t>El que está en la partida ve cosas que tú no ves desde la oficina. Aquí es donde salen.</t>
        </is>
      </c>
      <c r="D8" s="10" t="n"/>
    </row>
    <row r="9" ht="34" customHeight="1">
      <c r="A9" s="8" t="n">
        <v>4</v>
      </c>
      <c r="B9" s="22" t="inlineStr">
        <is>
          <t>¿Qué estación te gustaría aprender o dominar mejor?</t>
        </is>
      </c>
      <c r="C9" s="19" t="inlineStr">
        <is>
          <t>Es la que alimenta la matriz de formación y polivalencia: quién quiere aprender qué.</t>
        </is>
      </c>
      <c r="D9" s="10" t="n"/>
    </row>
    <row r="10" ht="34" customHeight="1">
      <c r="A10" s="8" t="n">
        <v>5</v>
      </c>
      <c r="B10" s="22" t="inlineStr">
        <is>
          <t>¿Hay algo que yo debería saber y que no te he preguntado?</t>
        </is>
      </c>
      <c r="C10" s="19" t="inlineStr">
        <is>
          <t>La pregunta abierta obligatoria. Deja el silencio: la respuesta suele llegar después de unos segundos.</t>
        </is>
      </c>
      <c r="D10" s="10" t="n"/>
    </row>
    <row r="11" ht="34" customHeight="1">
      <c r="A11" s="8" t="n">
        <v>6</v>
      </c>
      <c r="B11" s="22" t="inlineStr">
        <is>
          <t>¿Qué compromiso concreto nos llevamos cada uno de esta conversación?</t>
        </is>
      </c>
      <c r="C11" s="19" t="inlineStr">
        <is>
          <t>Cierra con un compromiso de cada lado. Lo que salga de aquí va a la hoja «Actas y Acuerdos», no a tu memoria.</t>
        </is>
      </c>
      <c r="D11" s="10" t="n"/>
    </row>
    <row r="12"/>
    <row r="13">
      <c r="A13" s="12" t="inlineStr">
        <is>
          <t>REGISTRO DE SESIONES — una fila por persona del equipo</t>
        </is>
      </c>
    </row>
    <row r="14" ht="40" customHeight="1">
      <c r="A14" s="7" t="inlineStr">
        <is>
          <t>#</t>
        </is>
      </c>
      <c r="B14" s="7" t="inlineStr">
        <is>
          <t>Empleado</t>
        </is>
      </c>
      <c r="C14" s="7" t="inlineStr">
        <is>
          <t>Fecha</t>
        </is>
      </c>
      <c r="D14" s="7" t="inlineStr">
        <is>
          <t>Tema principal</t>
        </is>
      </c>
      <c r="E14" s="7" t="inlineStr">
        <is>
          <t>Acuerdo</t>
        </is>
      </c>
      <c r="F14" s="7" t="inlineStr">
        <is>
          <t>Fecha de seguimiento</t>
        </is>
      </c>
      <c r="G14" s="7" t="inlineStr">
        <is>
          <t>Estado</t>
        </is>
      </c>
      <c r="H14" s="7" t="inlineStr">
        <is>
          <t>Notas</t>
        </is>
      </c>
    </row>
    <row r="15" ht="32" customHeight="1">
      <c r="A15" s="8" t="n">
        <v>1</v>
      </c>
      <c r="B15" s="10" t="inlineStr">
        <is>
          <t>P01 · Marta L.</t>
        </is>
      </c>
      <c r="C15" s="9" t="n"/>
      <c r="D15" s="10" t="n"/>
      <c r="E15" s="10" t="n"/>
      <c r="F15" s="9" t="n"/>
      <c r="G15" s="10" t="n"/>
      <c r="H15" s="10" t="n"/>
    </row>
    <row r="16" ht="32" customHeight="1">
      <c r="A16" s="8" t="n">
        <v>2</v>
      </c>
      <c r="B16" s="10" t="inlineStr">
        <is>
          <t>P02 · Iván R.</t>
        </is>
      </c>
      <c r="C16" s="9" t="n"/>
      <c r="D16" s="10" t="n"/>
      <c r="E16" s="10" t="n"/>
      <c r="F16" s="9" t="n"/>
      <c r="G16" s="10" t="n"/>
      <c r="H16" s="10" t="n"/>
    </row>
    <row r="17" ht="32" customHeight="1">
      <c r="A17" s="8" t="n">
        <v>3</v>
      </c>
      <c r="B17" s="10" t="inlineStr">
        <is>
          <t>P03 · Nuria C.</t>
        </is>
      </c>
      <c r="C17" s="9" t="n"/>
      <c r="D17" s="10" t="n"/>
      <c r="E17" s="10" t="n"/>
      <c r="F17" s="9" t="n"/>
      <c r="G17" s="10" t="n"/>
      <c r="H17" s="10" t="n"/>
    </row>
    <row r="18" ht="32" customHeight="1">
      <c r="A18" s="8" t="n">
        <v>4</v>
      </c>
      <c r="B18" s="10" t="inlineStr">
        <is>
          <t>P04 · Diego M.</t>
        </is>
      </c>
      <c r="C18" s="9" t="n"/>
      <c r="D18" s="10" t="n"/>
      <c r="E18" s="10" t="n"/>
      <c r="F18" s="9" t="n"/>
      <c r="G18" s="10" t="n"/>
      <c r="H18" s="10" t="n"/>
    </row>
    <row r="19" ht="32" customHeight="1">
      <c r="A19" s="8" t="n">
        <v>5</v>
      </c>
      <c r="B19" s="10" t="inlineStr">
        <is>
          <t>P05 · Laura S.</t>
        </is>
      </c>
      <c r="C19" s="9" t="n">
        <v>46223</v>
      </c>
      <c r="D19" s="10" t="inlineStr">
        <is>
          <t>Partida fría: es el único punto único de fallo del equipo</t>
        </is>
      </c>
      <c r="E19" s="10" t="inlineStr">
        <is>
          <t>Empezar el cross-training de P06 en la partida fría (acuerdo A15)</t>
        </is>
      </c>
      <c r="F19" s="9" t="n">
        <v>46310</v>
      </c>
      <c r="G19" s="10" t="inlineStr">
        <is>
          <t>En curso</t>
        </is>
      </c>
      <c r="H19" s="10" t="n"/>
    </row>
    <row r="20" ht="32" customHeight="1">
      <c r="A20" s="8" t="n">
        <v>6</v>
      </c>
      <c r="B20" s="10" t="inlineStr">
        <is>
          <t>P06 · Omar B.</t>
        </is>
      </c>
      <c r="C20" s="9" t="n"/>
      <c r="D20" s="10" t="n"/>
      <c r="E20" s="10" t="n"/>
      <c r="F20" s="9" t="n"/>
      <c r="G20" s="10" t="n"/>
      <c r="H20" s="10" t="n"/>
    </row>
    <row r="21" ht="32" customHeight="1">
      <c r="A21" s="8" t="n">
        <v>7</v>
      </c>
      <c r="B21" s="10" t="inlineStr">
        <is>
          <t>P07 · Rocío F.</t>
        </is>
      </c>
      <c r="C21" s="9" t="n"/>
      <c r="D21" s="10" t="n"/>
      <c r="E21" s="10" t="n"/>
      <c r="F21" s="9" t="n"/>
      <c r="G21" s="10" t="n"/>
      <c r="H21" s="10" t="n"/>
    </row>
    <row r="22" ht="32" customHeight="1">
      <c r="A22" s="8" t="n">
        <v>8</v>
      </c>
      <c r="B22" s="10" t="inlineStr">
        <is>
          <t>P08 · Carlos V.</t>
        </is>
      </c>
      <c r="C22" s="9" t="n">
        <v>46188</v>
      </c>
      <c r="D22" s="10" t="inlineStr">
        <is>
          <t>Reparto de responsabilidad en el cierre de caja</t>
        </is>
      </c>
      <c r="E22" s="10" t="inlineStr">
        <is>
          <t>Dar a P08 la firma del arqueo dos días por semana (acuerdo A07)</t>
        </is>
      </c>
      <c r="F22" s="9" t="n">
        <v>46204</v>
      </c>
      <c r="G22" s="10" t="inlineStr">
        <is>
          <t>Cerrado</t>
        </is>
      </c>
      <c r="H22" s="10" t="n"/>
    </row>
    <row r="23" ht="32" customHeight="1">
      <c r="A23" s="8" t="n">
        <v>9</v>
      </c>
      <c r="B23" s="10" t="inlineStr">
        <is>
          <t>P09 · Elena T.</t>
        </is>
      </c>
      <c r="C23" s="9" t="n">
        <v>46251</v>
      </c>
      <c r="D23" s="10" t="inlineStr">
        <is>
          <t>Ruta profesional hacia jefa de rango</t>
        </is>
      </c>
      <c r="E23" s="10" t="inlineStr">
        <is>
          <t>Definir la ruta de P09 hacia jefa de rango (acuerdo A24)</t>
        </is>
      </c>
      <c r="F23" s="9" t="n">
        <v>46265</v>
      </c>
      <c r="G23" s="10" t="inlineStr">
        <is>
          <t>Pendiente</t>
        </is>
      </c>
      <c r="H23" s="10" t="n"/>
    </row>
    <row r="24" ht="32" customHeight="1">
      <c r="A24" s="8" t="n">
        <v>10</v>
      </c>
      <c r="B24" s="10" t="inlineStr">
        <is>
          <t>P10 · Youssef A.</t>
        </is>
      </c>
      <c r="C24" s="9" t="n"/>
      <c r="D24" s="10" t="n"/>
      <c r="E24" s="10" t="n"/>
      <c r="F24" s="9" t="n"/>
      <c r="G24" s="10" t="n"/>
      <c r="H24" s="10" t="n"/>
    </row>
    <row r="25" ht="32" customHeight="1">
      <c r="A25" s="8" t="n">
        <v>11</v>
      </c>
      <c r="B25" s="10" t="inlineStr">
        <is>
          <t>P11 · Paula G.</t>
        </is>
      </c>
      <c r="C25" s="9" t="n"/>
      <c r="D25" s="10" t="n"/>
      <c r="E25" s="10" t="n"/>
      <c r="F25" s="9" t="n"/>
      <c r="G25" s="10" t="n"/>
      <c r="H25" s="10" t="n"/>
    </row>
    <row r="26" ht="32" customHeight="1">
      <c r="A26" s="8" t="n">
        <v>12</v>
      </c>
      <c r="B26" s="10" t="inlineStr">
        <is>
          <t>P12 · Andrés P.</t>
        </is>
      </c>
      <c r="C26" s="9" t="n"/>
      <c r="D26" s="10" t="n"/>
      <c r="E26" s="10" t="n"/>
      <c r="F26" s="9" t="n"/>
      <c r="G26" s="10" t="n"/>
      <c r="H26" s="10" t="n"/>
    </row>
    <row r="27" ht="32" customHeight="1"/>
    <row r="28"/>
    <row r="29">
      <c r="A29" s="12" t="inlineStr">
        <is>
          <t>RESUMEN — lo calcula el libro</t>
        </is>
      </c>
    </row>
    <row r="30">
      <c r="B30" t="inlineStr">
        <is>
          <t>Personas del equipo en el registro</t>
        </is>
      </c>
      <c r="D30" s="8">
        <f>COUNTIF($B$15:$B$27,"&lt;&gt;")</f>
        <v>12.0</v>
      </c>
    </row>
    <row r="31">
      <c r="B31" t="inlineStr">
        <is>
          <t>Sesiones con fecha anotada</t>
        </is>
      </c>
      <c r="D31" s="8">
        <f>COUNTIF($C$15:$C$27,"&lt;&gt;")</f>
        <v>3.0</v>
      </c>
    </row>
    <row r="32">
      <c r="B32" t="inlineStr">
        <is>
          <t>Personas sin uno-a-uno todavía</t>
        </is>
      </c>
      <c r="D32" s="8">
        <f>IFERROR(IF($D$30="","",$D$30-$D$31),"")</f>
        <v>9.0</v>
      </c>
    </row>
    <row r="33">
      <c r="B33" s="14" t="inlineStr">
        <is>
          <t>EQUIPO CON UNO-A-UNO HECHO (%)</t>
        </is>
      </c>
      <c r="D33" s="23">
        <f>IFERROR(IF($D$30=0,"",$D$31/$D$30),"")</f>
        <v>0.25</v>
      </c>
    </row>
    <row r="34">
      <c r="B34" t="inlineStr">
        <is>
          <t>Objetivo de cobertura del equipo (%)</t>
        </is>
      </c>
      <c r="D34" s="17" t="n">
        <v>1</v>
      </c>
      <c r="F34" s="4" t="inlineStr">
        <is>
          <t>La semana 8 del plan de 90 días dice «uno-a-uno con las doce personas del equipo, uno por semana». Ése es el objetivo.</t>
        </is>
      </c>
    </row>
  </sheetData>
  <sheetProtection selectLockedCells="0" selectUnlockedCells="0" sheet="1" objects="0" insertRows="0" insertHyperlinks="1" autoFilter="1" scenarios="0" formatColumns="0" deleteColumns="1" insertColumns="1" pivotTables="1" deleteRows="1" formatCells="1" formatRows="0" sort="0"/>
  <conditionalFormatting sqref="G15:G27">
    <cfRule type="cellIs" priority="1" operator="equal" dxfId="0" stopIfTrue="1">
      <formula>"Cerrado"</formula>
    </cfRule>
    <cfRule type="cellIs" priority="2" operator="equal" dxfId="2" stopIfTrue="1">
      <formula>"En curso"</formula>
    </cfRule>
    <cfRule type="cellIs" priority="3" operator="equal" dxfId="1" stopIfTrue="1">
      <formula>"Pendiente"</formula>
    </cfRule>
  </conditionalFormatting>
  <conditionalFormatting sqref="D33">
    <cfRule type="expression" priority="4" dxfId="3" stopIfTrue="1">
      <formula>=AND(ISNUMBER($D$33),$D$33&lt;$D$34)</formula>
    </cfRule>
  </conditionalFormatting>
  <dataValidations count="4">
    <dataValidation sqref="B15 B16 B17 B18 B19 B20 B21 B22 B23 B24 B25 B26" showDropDown="0" showInputMessage="0" showErrorMessage="1" allowBlank="1" errorTitle="Empleado" error="Elige un valor de la lista: P01 · Marta L., P02 · Iván R., P03 · Nuria C., P04 · Diego M., P05 · Laura S., P06 · Omar B., P07 · Rocío F., P08 · Carlos V., P09 · Elena T., P10 · Youssef A., P11 · Paula G., P12 · Andrés P." type="list">
      <formula1>"P01 · Marta L.,P02 · Iván R.,P03 · Nuria C.,P04 · Diego M.,P05 · Laura S.,P06 · Omar B.,P07 · Rocío F.,P08 · Carlos V.,P09 · Elena T.,P10 · Youssef A.,P11 · Paula G.,P12 · Andrés P."</formula1>
    </dataValidation>
    <dataValidation sqref="C15 C16 C17 C18 C19 C20 C21 C22 C23 C24 C25 C26 F15 F16 F17 F18 F19 F20 F21 F22 F23 F24 F25 F26" showDropDown="0" showInputMessage="0" showErrorMessage="1" allowBlank="1" errorTitle="Fecha no válida" error="Escribe una fecha (dd/mm/aaaa) entre 2020 y 2040." type="date" operator="between">
      <formula1>DATE(2020,1,1)</formula1>
      <formula2>DATE(2040,12,31)</formula2>
    </dataValidation>
    <dataValidation sqref="G15 G16 G17 G18 G19 G20 G21 G22 G23 G24 G25 G26" showDropDown="0" showInputMessage="0" showErrorMessage="1" allowBlank="1" errorTitle="Estado del acuerdo" error="Elige un valor de la lista: Pendiente, En curso, Cerrado" type="list">
      <formula1>"Pendiente,En curso,Cerrado"</formula1>
    </dataValidation>
    <dataValidation sqref="D34" showDropDown="0" showInputMessage="1" showErrorMessage="1" allowBlank="1" errorTitle="Objetivo de cobertura" error="Escribe un porcentaje entre 0 y 1 (0,20 = 20 %)." promptTitle="Objetivo de cobertura" prompt="Se escribe en tanto por uno: 1,00 = 10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73"/>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22" customWidth="1" min="3" max="3"/>
    <col width="54" customWidth="1" min="4" max="4"/>
    <col width="20" customWidth="1" min="5" max="5"/>
    <col width="14" customWidth="1" min="6" max="6"/>
    <col width="14" customWidth="1" min="7" max="7"/>
    <col width="14" customWidth="1" min="8" max="8"/>
    <col width="20" customWidth="1" min="9" max="9"/>
    <col width="12" customWidth="1" min="10" max="10"/>
    <col width="44" customWidth="1" min="11" max="11"/>
  </cols>
  <sheetData>
    <row r="1">
      <c r="A1" s="1" t="inlineStr">
        <is>
          <t>Actas y acuerdos — lo que la reunión deja escrito</t>
        </is>
      </c>
    </row>
    <row r="2">
      <c r="A2" s="2" t="inlineStr">
        <is>
          <t>AI Chef Pro · aichef.pro — Manual del Manager de Restaurante</t>
        </is>
      </c>
    </row>
    <row r="3">
      <c r="F3" s="6" t="inlineStr">
        <is>
          <t>Un acuerdo sin responsable y sin fecha no es un acuerdo: es una opinión. La columna «Situación» la calcula el libro.</t>
        </is>
      </c>
    </row>
    <row r="4">
      <c r="B4" t="inlineStr">
        <is>
          <t>Fecha para simular (déjala vacía y se usa la de hoy)</t>
        </is>
      </c>
      <c r="C4" s="24" t="n"/>
      <c r="D4" s="4" t="inlineStr">
        <is>
          <t>Escribe aquí una fecha para ver los vencimientos «desde» ese día. Vacía = hoy.</t>
        </is>
      </c>
    </row>
    <row r="5">
      <c r="B5" s="12" t="inlineStr">
        <is>
          <t>Hoy (fecha de referencia del libro)</t>
        </is>
      </c>
      <c r="C5" s="25">
        <f>IFERROR(IF($C$4="",TODAY(),$C$4),"")</f>
        <v>46269.0</v>
      </c>
      <c r="D5" s="4" t="inlineStr">
        <is>
          <t>Es la única celda de todo el libro que usa la fecha del sistema. La hoja «Plan 90 Días» la lee de aquí.</t>
        </is>
      </c>
    </row>
    <row r="6">
      <c r="B6" t="inlineStr">
        <is>
          <t>Días que cuentan como «vence esta semana»</t>
        </is>
      </c>
      <c r="C6" s="20" t="n">
        <v>7</v>
      </c>
    </row>
    <row r="7"/>
    <row r="8" ht="40" customHeight="1">
      <c r="A8" s="7" t="inlineStr">
        <is>
          <t>Id</t>
        </is>
      </c>
      <c r="B8" s="7" t="inlineStr">
        <is>
          <t>Fecha de la reunión</t>
        </is>
      </c>
      <c r="C8" s="7" t="inlineStr">
        <is>
          <t>Tipo de reunión</t>
        </is>
      </c>
      <c r="D8" s="7" t="inlineStr">
        <is>
          <t>Acuerdo o decisión</t>
        </is>
      </c>
      <c r="E8" s="7" t="inlineStr">
        <is>
          <t>Responsable</t>
        </is>
      </c>
      <c r="F8" s="7" t="inlineStr">
        <is>
          <t>Fecha de seguimiento</t>
        </is>
      </c>
      <c r="G8" s="7" t="inlineStr">
        <is>
          <t>Estado</t>
        </is>
      </c>
      <c r="H8" s="7" t="inlineStr">
        <is>
          <t>Fecha de cierre real</t>
        </is>
      </c>
      <c r="I8" s="7" t="inlineStr">
        <is>
          <t>Situación</t>
        </is>
      </c>
      <c r="J8" s="7" t="inlineStr">
        <is>
          <t>Días hasta el seguimiento</t>
        </is>
      </c>
      <c r="K8" s="7" t="inlineStr">
        <is>
          <t>Notas</t>
        </is>
      </c>
    </row>
    <row r="9" ht="30" customHeight="1">
      <c r="A9" t="inlineStr">
        <is>
          <t>A01</t>
        </is>
      </c>
      <c r="B9" s="9" t="n">
        <v>46174</v>
      </c>
      <c r="C9" s="10" t="inlineStr">
        <is>
          <t>Mensual de resultados</t>
        </is>
      </c>
      <c r="D9" s="10" t="inlineStr">
        <is>
          <t>Publicar el cuadrante de julio con 15 días de antelación</t>
        </is>
      </c>
      <c r="E9" s="10" t="inlineStr">
        <is>
          <t>P01 · Marta L.</t>
        </is>
      </c>
      <c r="F9" s="9" t="n">
        <v>46188</v>
      </c>
      <c r="G9" s="10" t="inlineStr">
        <is>
          <t>Cerrado</t>
        </is>
      </c>
      <c r="H9" s="9" t="n"/>
      <c r="I9" s="19" t="str">
        <f>IFERROR(IF($D9="","",IF($G9="Descartado","Descartado",IF($G9="Cerrado",IF($H9="","Cerrado",IF($H9&lt;=$F9,"Cerrado en plazo","Cerrado fuera de plazo")),IF($F9="","",IF($J9&lt;0,"VENCIDO",IF($J9&lt;=$C$6,"Vence esta semana","En plazo")))))),"")</f>
        <v>Cerrado</v>
      </c>
      <c r="J9" s="26">
        <f>IFERROR(IF(OR($F9="",$C$5=""),"",$F9-$C$5),"")</f>
        <v>-81.0</v>
      </c>
      <c r="K9" s="10" t="n"/>
    </row>
    <row r="10" ht="30" customHeight="1">
      <c r="A10" t="inlineStr">
        <is>
          <t>A02</t>
        </is>
      </c>
      <c r="B10" s="9" t="n">
        <v>46174</v>
      </c>
      <c r="C10" s="10" t="inlineStr">
        <is>
          <t>Mensual de resultados</t>
        </is>
      </c>
      <c r="D10" s="10" t="inlineStr">
        <is>
          <t>Revisar el escandallo de los cinco platos más vendidos</t>
        </is>
      </c>
      <c r="E10" s="10" t="inlineStr">
        <is>
          <t>P02 · Iván R.</t>
        </is>
      </c>
      <c r="F10" s="9" t="n">
        <v>46203</v>
      </c>
      <c r="G10" s="10" t="inlineStr">
        <is>
          <t>Cerrado</t>
        </is>
      </c>
      <c r="H10" s="9" t="n"/>
      <c r="I10" s="19" t="str">
        <f>IFERROR(IF($D10="","",IF($G10="Descartado","Descartado",IF($G10="Cerrado",IF($H10="","Cerrado",IF($H10&lt;=$F10,"Cerrado en plazo","Cerrado fuera de plazo")),IF($F10="","",IF($J10&lt;0,"VENCIDO",IF($J10&lt;=$C$6,"Vence esta semana","En plazo")))))),"")</f>
        <v>Cerrado</v>
      </c>
      <c r="J10" s="26">
        <f>IFERROR(IF(OR($F10="",$C$5=""),"",$F10-$C$5),"")</f>
        <v>-66.0</v>
      </c>
      <c r="K10" s="10" t="n"/>
    </row>
    <row r="11" ht="30" customHeight="1">
      <c r="A11" t="inlineStr">
        <is>
          <t>A03</t>
        </is>
      </c>
      <c r="B11" s="9" t="n">
        <v>46174</v>
      </c>
      <c r="C11" s="10" t="inlineStr">
        <is>
          <t>Mensual de resultados</t>
        </is>
      </c>
      <c r="D11" s="10" t="inlineStr">
        <is>
          <t>Cambiar el proveedor de pescado por rendimiento</t>
        </is>
      </c>
      <c r="E11" s="10" t="inlineStr">
        <is>
          <t>P02 · Iván R.</t>
        </is>
      </c>
      <c r="F11" s="9" t="n">
        <v>46218</v>
      </c>
      <c r="G11" s="10" t="inlineStr">
        <is>
          <t>Cerrado</t>
        </is>
      </c>
      <c r="H11" s="9" t="n"/>
      <c r="I11" s="19" t="str">
        <f>IFERROR(IF($D11="","",IF($G11="Descartado","Descartado",IF($G11="Cerrado",IF($H11="","Cerrado",IF($H11&lt;=$F11,"Cerrado en plazo","Cerrado fuera de plazo")),IF($F11="","",IF($J11&lt;0,"VENCIDO",IF($J11&lt;=$C$6,"Vence esta semana","En plazo")))))),"")</f>
        <v>Cerrado</v>
      </c>
      <c r="J11" s="26">
        <f>IFERROR(IF(OR($F11="",$C$5=""),"",$F11-$C$5),"")</f>
        <v>-51.0</v>
      </c>
      <c r="K11" s="10" t="n"/>
    </row>
    <row r="12" ht="30" customHeight="1">
      <c r="A12" t="inlineStr">
        <is>
          <t>A04</t>
        </is>
      </c>
      <c r="B12" s="9" t="n">
        <v>46181</v>
      </c>
      <c r="C12" s="10" t="inlineStr">
        <is>
          <t>Semanal de equipo</t>
        </is>
      </c>
      <c r="D12" s="10" t="inlineStr">
        <is>
          <t>Anotar la hora de comanda de todas las mesas del viernes</t>
        </is>
      </c>
      <c r="E12" s="10" t="inlineStr">
        <is>
          <t>P08 · Carlos V.</t>
        </is>
      </c>
      <c r="F12" s="9" t="n">
        <v>46192</v>
      </c>
      <c r="G12" s="10" t="inlineStr">
        <is>
          <t>Cerrado</t>
        </is>
      </c>
      <c r="H12" s="9" t="n"/>
      <c r="I12" s="19" t="str">
        <f>IFERROR(IF($D12="","",IF($G12="Descartado","Descartado",IF($G12="Cerrado",IF($H12="","Cerrado",IF($H12&lt;=$F12,"Cerrado en plazo","Cerrado fuera de plazo")),IF($F12="","",IF($J12&lt;0,"VENCIDO",IF($J12&lt;=$C$6,"Vence esta semana","En plazo")))))),"")</f>
        <v>Cerrado</v>
      </c>
      <c r="J12" s="26">
        <f>IFERROR(IF(OR($F12="",$C$5=""),"",$F12-$C$5),"")</f>
        <v>-77.0</v>
      </c>
      <c r="K12" s="10" t="n"/>
    </row>
    <row r="13" ht="30" customHeight="1">
      <c r="A13" t="inlineStr">
        <is>
          <t>A05</t>
        </is>
      </c>
      <c r="B13" s="9" t="n">
        <v>46181</v>
      </c>
      <c r="C13" s="10" t="inlineStr">
        <is>
          <t>Semanal de equipo</t>
        </is>
      </c>
      <c r="D13" s="10" t="inlineStr">
        <is>
          <t>Repasar con P11 el cobro dividido en el TPV</t>
        </is>
      </c>
      <c r="E13" s="10" t="inlineStr">
        <is>
          <t>P03 · Nuria C.</t>
        </is>
      </c>
      <c r="F13" s="9" t="n">
        <v>46195</v>
      </c>
      <c r="G13" s="10" t="inlineStr">
        <is>
          <t>Cerrado</t>
        </is>
      </c>
      <c r="H13" s="9" t="n"/>
      <c r="I13" s="19" t="str">
        <f>IFERROR(IF($D13="","",IF($G13="Descartado","Descartado",IF($G13="Cerrado",IF($H13="","Cerrado",IF($H13&lt;=$F13,"Cerrado en plazo","Cerrado fuera de plazo")),IF($F13="","",IF($J13&lt;0,"VENCIDO",IF($J13&lt;=$C$6,"Vence esta semana","En plazo")))))),"")</f>
        <v>Cerrado</v>
      </c>
      <c r="J13" s="26">
        <f>IFERROR(IF(OR($F13="",$C$5=""),"",$F13-$C$5),"")</f>
        <v>-74.0</v>
      </c>
      <c r="K13" s="10" t="n"/>
    </row>
    <row r="14" ht="30" customHeight="1">
      <c r="A14" t="inlineStr">
        <is>
          <t>A06</t>
        </is>
      </c>
      <c r="B14" s="9" t="n">
        <v>46188</v>
      </c>
      <c r="C14" s="10" t="inlineStr">
        <is>
          <t>Uno-a-uno</t>
        </is>
      </c>
      <c r="D14" s="10" t="inlineStr">
        <is>
          <t>Formar a P10 en barra hasta nivel 2</t>
        </is>
      </c>
      <c r="E14" s="10" t="inlineStr">
        <is>
          <t>P09 · Elena T.</t>
        </is>
      </c>
      <c r="F14" s="9" t="n">
        <v>46326</v>
      </c>
      <c r="G14" s="10" t="inlineStr">
        <is>
          <t>En curso</t>
        </is>
      </c>
      <c r="H14" s="9" t="n"/>
      <c r="I14" s="19" t="str">
        <f>IFERROR(IF($D14="","",IF($G14="Descartado","Descartado",IF($G14="Cerrado",IF($H14="","Cerrado",IF($H14&lt;=$F14,"Cerrado en plazo","Cerrado fuera de plazo")),IF($F14="","",IF($J14&lt;0,"VENCIDO",IF($J14&lt;=$C$6,"Vence esta semana","En plazo")))))),"")</f>
        <v>En plazo</v>
      </c>
      <c r="J14" s="26">
        <f>IFERROR(IF(OR($F14="",$C$5=""),"",$F14-$C$5),"")</f>
        <v>57.0</v>
      </c>
      <c r="K14" s="10" t="n"/>
    </row>
    <row r="15" ht="30" customHeight="1">
      <c r="A15" t="inlineStr">
        <is>
          <t>A07</t>
        </is>
      </c>
      <c r="B15" s="9" t="n">
        <v>46188</v>
      </c>
      <c r="C15" s="10" t="inlineStr">
        <is>
          <t>Uno-a-uno</t>
        </is>
      </c>
      <c r="D15" s="10" t="inlineStr">
        <is>
          <t>Dar a P08 la firma del arqueo dos días por semana</t>
        </is>
      </c>
      <c r="E15" s="10" t="inlineStr">
        <is>
          <t>P01 · Marta L.</t>
        </is>
      </c>
      <c r="F15" s="9" t="n">
        <v>46204</v>
      </c>
      <c r="G15" s="10" t="inlineStr">
        <is>
          <t>Cerrado</t>
        </is>
      </c>
      <c r="H15" s="9" t="n"/>
      <c r="I15" s="19" t="str">
        <f>IFERROR(IF($D15="","",IF($G15="Descartado","Descartado",IF($G15="Cerrado",IF($H15="","Cerrado",IF($H15&lt;=$F15,"Cerrado en plazo","Cerrado fuera de plazo")),IF($F15="","",IF($J15&lt;0,"VENCIDO",IF($J15&lt;=$C$6,"Vence esta semana","En plazo")))))),"")</f>
        <v>Cerrado</v>
      </c>
      <c r="J15" s="26">
        <f>IFERROR(IF(OR($F15="",$C$5=""),"",$F15-$C$5),"")</f>
        <v>-65.0</v>
      </c>
      <c r="K15" s="10" t="n"/>
    </row>
    <row r="16" ht="30" customHeight="1">
      <c r="A16" t="inlineStr">
        <is>
          <t>A08</t>
        </is>
      </c>
      <c r="B16" s="9" t="n">
        <v>46195</v>
      </c>
      <c r="C16" s="10" t="inlineStr">
        <is>
          <t>Semanal de equipo</t>
        </is>
      </c>
      <c r="D16" s="10" t="inlineStr">
        <is>
          <t>Pedir presupuesto de limpieza de conductos</t>
        </is>
      </c>
      <c r="E16" s="10" t="inlineStr">
        <is>
          <t>P01 · Marta L.</t>
        </is>
      </c>
      <c r="F16" s="9" t="n">
        <v>46213</v>
      </c>
      <c r="G16" s="10" t="inlineStr">
        <is>
          <t>Cerrado</t>
        </is>
      </c>
      <c r="H16" s="9" t="n"/>
      <c r="I16" s="19" t="str">
        <f>IFERROR(IF($D16="","",IF($G16="Descartado","Descartado",IF($G16="Cerrado",IF($H16="","Cerrado",IF($H16&lt;=$F16,"Cerrado en plazo","Cerrado fuera de plazo")),IF($F16="","",IF($J16&lt;0,"VENCIDO",IF($J16&lt;=$C$6,"Vence esta semana","En plazo")))))),"")</f>
        <v>Cerrado</v>
      </c>
      <c r="J16" s="26">
        <f>IFERROR(IF(OR($F16="",$C$5=""),"",$F16-$C$5),"")</f>
        <v>-56.0</v>
      </c>
      <c r="K16" s="10" t="n"/>
    </row>
    <row r="17" ht="30" customHeight="1">
      <c r="A17" t="inlineStr">
        <is>
          <t>A09</t>
        </is>
      </c>
      <c r="B17" s="9" t="n">
        <v>46195</v>
      </c>
      <c r="C17" s="10" t="inlineStr">
        <is>
          <t>Semanal de equipo</t>
        </is>
      </c>
      <c r="D17" s="10" t="inlineStr">
        <is>
          <t>Escribir el soporte de alérgenos de los platos nuevos</t>
        </is>
      </c>
      <c r="E17" s="10" t="inlineStr">
        <is>
          <t>P02 · Iván R.</t>
        </is>
      </c>
      <c r="F17" s="9" t="n">
        <v>46249</v>
      </c>
      <c r="G17" s="10" t="inlineStr">
        <is>
          <t>En curso</t>
        </is>
      </c>
      <c r="H17" s="9" t="n"/>
      <c r="I17" s="19" t="str">
        <f>IFERROR(IF($D17="","",IF($G17="Descartado","Descartado",IF($G17="Cerrado",IF($H17="","Cerrado",IF($H17&lt;=$F17,"Cerrado en plazo","Cerrado fuera de plazo")),IF($F17="","",IF($J17&lt;0,"VENCIDO",IF($J17&lt;=$C$6,"Vence esta semana","En plazo")))))),"")</f>
        <v>VENCIDO</v>
      </c>
      <c r="J17" s="26">
        <f>IFERROR(IF(OR($F17="",$C$5=""),"",$F17-$C$5),"")</f>
        <v>-20.0</v>
      </c>
      <c r="K17" s="10" t="n"/>
    </row>
    <row r="18" ht="30" customHeight="1">
      <c r="A18" t="inlineStr">
        <is>
          <t>A10</t>
        </is>
      </c>
      <c r="B18" s="9" t="n">
        <v>46209</v>
      </c>
      <c r="C18" s="10" t="inlineStr">
        <is>
          <t>Mensual de resultados</t>
        </is>
      </c>
      <c r="D18" s="10" t="inlineStr">
        <is>
          <t>Analizar los tiempos de pase de los viernes noche</t>
        </is>
      </c>
      <c r="E18" s="10" t="inlineStr">
        <is>
          <t>P02 · Iván R.</t>
        </is>
      </c>
      <c r="F18" s="9" t="n">
        <v>46234</v>
      </c>
      <c r="G18" s="10" t="inlineStr">
        <is>
          <t>Cerrado</t>
        </is>
      </c>
      <c r="H18" s="9" t="n"/>
      <c r="I18" s="19" t="str">
        <f>IFERROR(IF($D18="","",IF($G18="Descartado","Descartado",IF($G18="Cerrado",IF($H18="","Cerrado",IF($H18&lt;=$F18,"Cerrado en plazo","Cerrado fuera de plazo")),IF($F18="","",IF($J18&lt;0,"VENCIDO",IF($J18&lt;=$C$6,"Vence esta semana","En plazo")))))),"")</f>
        <v>Cerrado</v>
      </c>
      <c r="J18" s="26">
        <f>IFERROR(IF(OR($F18="",$C$5=""),"",$F18-$C$5),"")</f>
        <v>-35.0</v>
      </c>
      <c r="K18" s="10" t="n"/>
    </row>
    <row r="19" ht="30" customHeight="1">
      <c r="A19" t="inlineStr">
        <is>
          <t>A11</t>
        </is>
      </c>
      <c r="B19" s="9" t="n">
        <v>46209</v>
      </c>
      <c r="C19" s="10" t="inlineStr">
        <is>
          <t>Mensual de resultados</t>
        </is>
      </c>
      <c r="D19" s="10" t="inlineStr">
        <is>
          <t>Abrir una segunda plancha los viernes y sábados</t>
        </is>
      </c>
      <c r="E19" s="10" t="inlineStr">
        <is>
          <t>P02 · Iván R.</t>
        </is>
      </c>
      <c r="F19" s="9" t="n">
        <v>46227</v>
      </c>
      <c r="G19" s="10" t="inlineStr">
        <is>
          <t>Cerrado</t>
        </is>
      </c>
      <c r="H19" s="9" t="n"/>
      <c r="I19" s="19" t="str">
        <f>IFERROR(IF($D19="","",IF($G19="Descartado","Descartado",IF($G19="Cerrado",IF($H19="","Cerrado",IF($H19&lt;=$F19,"Cerrado en plazo","Cerrado fuera de plazo")),IF($F19="","",IF($J19&lt;0,"VENCIDO",IF($J19&lt;=$C$6,"Vence esta semana","En plazo")))))),"")</f>
        <v>Cerrado</v>
      </c>
      <c r="J19" s="26">
        <f>IFERROR(IF(OR($F19="",$C$5=""),"",$F19-$C$5),"")</f>
        <v>-42.0</v>
      </c>
      <c r="K19" s="10" t="n"/>
    </row>
    <row r="20" ht="30" customHeight="1">
      <c r="A20" t="inlineStr">
        <is>
          <t>A12</t>
        </is>
      </c>
      <c r="B20" s="9" t="n">
        <v>46209</v>
      </c>
      <c r="C20" s="10" t="inlineStr">
        <is>
          <t>Mensual de resultados</t>
        </is>
      </c>
      <c r="D20" s="10" t="inlineStr">
        <is>
          <t>Avisar del tiempo real de espera al sentar a la mesa</t>
        </is>
      </c>
      <c r="E20" s="10" t="inlineStr">
        <is>
          <t>P03 · Nuria C.</t>
        </is>
      </c>
      <c r="F20" s="9" t="n">
        <v>46220</v>
      </c>
      <c r="G20" s="10" t="inlineStr">
        <is>
          <t>Cerrado</t>
        </is>
      </c>
      <c r="H20" s="9" t="n"/>
      <c r="I20" s="19" t="str">
        <f>IFERROR(IF($D20="","",IF($G20="Descartado","Descartado",IF($G20="Cerrado",IF($H20="","Cerrado",IF($H20&lt;=$F20,"Cerrado en plazo","Cerrado fuera de plazo")),IF($F20="","",IF($J20&lt;0,"VENCIDO",IF($J20&lt;=$C$6,"Vence esta semana","En plazo")))))),"")</f>
        <v>Cerrado</v>
      </c>
      <c r="J20" s="26">
        <f>IFERROR(IF(OR($F20="",$C$5=""),"",$F20-$C$5),"")</f>
        <v>-49.0</v>
      </c>
      <c r="K20" s="10" t="n"/>
    </row>
    <row r="21" ht="30" customHeight="1">
      <c r="A21" t="inlineStr">
        <is>
          <t>A13</t>
        </is>
      </c>
      <c r="B21" s="9" t="n">
        <v>46216</v>
      </c>
      <c r="C21" s="10" t="inlineStr">
        <is>
          <t>Semanal de equipo</t>
        </is>
      </c>
      <c r="D21" s="10" t="inlineStr">
        <is>
          <t>Contestar todas las reseñas en menos de 48 horas</t>
        </is>
      </c>
      <c r="E21" s="10" t="inlineStr">
        <is>
          <t>P01 · Marta L.</t>
        </is>
      </c>
      <c r="F21" s="9" t="n">
        <v>46234</v>
      </c>
      <c r="G21" s="10" t="inlineStr">
        <is>
          <t>Cerrado</t>
        </is>
      </c>
      <c r="H21" s="9" t="n"/>
      <c r="I21" s="19" t="str">
        <f>IFERROR(IF($D21="","",IF($G21="Descartado","Descartado",IF($G21="Cerrado",IF($H21="","Cerrado",IF($H21&lt;=$F21,"Cerrado en plazo","Cerrado fuera de plazo")),IF($F21="","",IF($J21&lt;0,"VENCIDO",IF($J21&lt;=$C$6,"Vence esta semana","En plazo")))))),"")</f>
        <v>Cerrado</v>
      </c>
      <c r="J21" s="26">
        <f>IFERROR(IF(OR($F21="",$C$5=""),"",$F21-$C$5),"")</f>
        <v>-35.0</v>
      </c>
      <c r="K21" s="10" t="n"/>
    </row>
    <row r="22" ht="30" customHeight="1">
      <c r="A22" t="inlineStr">
        <is>
          <t>A14</t>
        </is>
      </c>
      <c r="B22" s="9" t="n">
        <v>46216</v>
      </c>
      <c r="C22" s="10" t="inlineStr">
        <is>
          <t>Semanal de equipo</t>
        </is>
      </c>
      <c r="D22" s="10" t="inlineStr">
        <is>
          <t>Confirmar por SMS las reservas de más de cuatro personas</t>
        </is>
      </c>
      <c r="E22" s="10" t="inlineStr">
        <is>
          <t>P03 · Nuria C.</t>
        </is>
      </c>
      <c r="F22" s="9" t="n">
        <v>46241</v>
      </c>
      <c r="G22" s="10" t="inlineStr">
        <is>
          <t>Cerrado</t>
        </is>
      </c>
      <c r="H22" s="9" t="n"/>
      <c r="I22" s="19" t="str">
        <f>IFERROR(IF($D22="","",IF($G22="Descartado","Descartado",IF($G22="Cerrado",IF($H22="","Cerrado",IF($H22&lt;=$F22,"Cerrado en plazo","Cerrado fuera de plazo")),IF($F22="","",IF($J22&lt;0,"VENCIDO",IF($J22&lt;=$C$6,"Vence esta semana","En plazo")))))),"")</f>
        <v>Cerrado</v>
      </c>
      <c r="J22" s="26">
        <f>IFERROR(IF(OR($F22="",$C$5=""),"",$F22-$C$5),"")</f>
        <v>-28.0</v>
      </c>
      <c r="K22" s="10" t="n"/>
    </row>
    <row r="23" ht="30" customHeight="1">
      <c r="A23" t="inlineStr">
        <is>
          <t>A15</t>
        </is>
      </c>
      <c r="B23" s="9" t="n">
        <v>46223</v>
      </c>
      <c r="C23" s="10" t="inlineStr">
        <is>
          <t>Uno-a-uno</t>
        </is>
      </c>
      <c r="D23" s="10" t="inlineStr">
        <is>
          <t>Empezar el cross-training de P06 en la partida fría</t>
        </is>
      </c>
      <c r="E23" s="10" t="inlineStr">
        <is>
          <t>P05 · Laura S.</t>
        </is>
      </c>
      <c r="F23" s="9" t="n">
        <v>46310</v>
      </c>
      <c r="G23" s="10" t="inlineStr">
        <is>
          <t>En curso</t>
        </is>
      </c>
      <c r="H23" s="9" t="n"/>
      <c r="I23" s="19" t="str">
        <f>IFERROR(IF($D23="","",IF($G23="Descartado","Descartado",IF($G23="Cerrado",IF($H23="","Cerrado",IF($H23&lt;=$F23,"Cerrado en plazo","Cerrado fuera de plazo")),IF($F23="","",IF($J23&lt;0,"VENCIDO",IF($J23&lt;=$C$6,"Vence esta semana","En plazo")))))),"")</f>
        <v>En plazo</v>
      </c>
      <c r="J23" s="26">
        <f>IFERROR(IF(OR($F23="",$C$5=""),"",$F23-$C$5),"")</f>
        <v>41.0</v>
      </c>
      <c r="K23" s="10" t="n"/>
    </row>
    <row r="24" ht="30" customHeight="1">
      <c r="A24" t="inlineStr">
        <is>
          <t>A16</t>
        </is>
      </c>
      <c r="B24" s="9" t="n">
        <v>46223</v>
      </c>
      <c r="C24" s="10" t="inlineStr">
        <is>
          <t>Uno-a-uno</t>
        </is>
      </c>
      <c r="D24" s="10" t="inlineStr">
        <is>
          <t>Preparar la ficha de evaluación de P05 para septiembre</t>
        </is>
      </c>
      <c r="E24" s="10" t="inlineStr">
        <is>
          <t>P01 · Marta L.</t>
        </is>
      </c>
      <c r="F24" s="9" t="n">
        <v>46280</v>
      </c>
      <c r="G24" s="10" t="inlineStr">
        <is>
          <t>Pendiente</t>
        </is>
      </c>
      <c r="H24" s="9" t="n"/>
      <c r="I24" s="19" t="str">
        <f>IFERROR(IF($D24="","",IF($G24="Descartado","Descartado",IF($G24="Cerrado",IF($H24="","Cerrado",IF($H24&lt;=$F24,"Cerrado en plazo","Cerrado fuera de plazo")),IF($F24="","",IF($J24&lt;0,"VENCIDO",IF($J24&lt;=$C$6,"Vence esta semana","En plazo")))))),"")</f>
        <v>En plazo</v>
      </c>
      <c r="J24" s="26">
        <f>IFERROR(IF(OR($F24="",$C$5=""),"",$F24-$C$5),"")</f>
        <v>11.0</v>
      </c>
      <c r="K24" s="10" t="n"/>
    </row>
    <row r="25" ht="30" customHeight="1">
      <c r="A25" t="inlineStr">
        <is>
          <t>A17</t>
        </is>
      </c>
      <c r="B25" s="9" t="n">
        <v>46230</v>
      </c>
      <c r="C25" s="10" t="inlineStr">
        <is>
          <t>Semanal de equipo</t>
        </is>
      </c>
      <c r="D25" s="10" t="inlineStr">
        <is>
          <t>Actualizar el cartel de la hoja de reclamaciones</t>
        </is>
      </c>
      <c r="E25" s="10" t="inlineStr">
        <is>
          <t>P01 · Marta L.</t>
        </is>
      </c>
      <c r="F25" s="9" t="n">
        <v>46244</v>
      </c>
      <c r="G25" s="10" t="inlineStr">
        <is>
          <t>Cerrado</t>
        </is>
      </c>
      <c r="H25" s="9" t="n"/>
      <c r="I25" s="19" t="str">
        <f>IFERROR(IF($D25="","",IF($G25="Descartado","Descartado",IF($G25="Cerrado",IF($H25="","Cerrado",IF($H25&lt;=$F25,"Cerrado en plazo","Cerrado fuera de plazo")),IF($F25="","",IF($J25&lt;0,"VENCIDO",IF($J25&lt;=$C$6,"Vence esta semana","En plazo")))))),"")</f>
        <v>Cerrado</v>
      </c>
      <c r="J25" s="26">
        <f>IFERROR(IF(OR($F25="",$C$5=""),"",$F25-$C$5),"")</f>
        <v>-25.0</v>
      </c>
      <c r="K25" s="10" t="n"/>
    </row>
    <row r="26" ht="30" customHeight="1">
      <c r="A26" t="inlineStr">
        <is>
          <t>A18</t>
        </is>
      </c>
      <c r="B26" s="9" t="n">
        <v>46230</v>
      </c>
      <c r="C26" s="10" t="inlineStr">
        <is>
          <t>Semanal de equipo</t>
        </is>
      </c>
      <c r="D26" s="10" t="inlineStr">
        <is>
          <t>Contestar por escrito la reclamación GI-2026-0463</t>
        </is>
      </c>
      <c r="E26" s="10" t="inlineStr">
        <is>
          <t>P01 · Marta L.</t>
        </is>
      </c>
      <c r="F26" s="9" t="n">
        <v>46259</v>
      </c>
      <c r="G26" s="10" t="inlineStr">
        <is>
          <t>Pendiente</t>
        </is>
      </c>
      <c r="H26" s="9" t="n"/>
      <c r="I26" s="19" t="str">
        <f>IFERROR(IF($D26="","",IF($G26="Descartado","Descartado",IF($G26="Cerrado",IF($H26="","Cerrado",IF($H26&lt;=$F26,"Cerrado en plazo","Cerrado fuera de plazo")),IF($F26="","",IF($J26&lt;0,"VENCIDO",IF($J26&lt;=$C$6,"Vence esta semana","En plazo")))))),"")</f>
        <v>VENCIDO</v>
      </c>
      <c r="J26" s="26">
        <f>IFERROR(IF(OR($F26="",$C$5=""),"",$F26-$C$5),"")</f>
        <v>-10.0</v>
      </c>
      <c r="K26" s="10" t="n"/>
    </row>
    <row r="27" ht="30" customHeight="1">
      <c r="A27" t="inlineStr">
        <is>
          <t>A19</t>
        </is>
      </c>
      <c r="B27" s="9" t="n">
        <v>46237</v>
      </c>
      <c r="C27" s="10" t="inlineStr">
        <is>
          <t>Mensual de resultados</t>
        </is>
      </c>
      <c r="D27" s="10" t="inlineStr">
        <is>
          <t>Renegociar el precio del solomillo con el proveedor</t>
        </is>
      </c>
      <c r="E27" s="10" t="inlineStr">
        <is>
          <t>P02 · Iván R.</t>
        </is>
      </c>
      <c r="F27" s="9" t="n">
        <v>46295</v>
      </c>
      <c r="G27" s="10" t="inlineStr">
        <is>
          <t>En curso</t>
        </is>
      </c>
      <c r="H27" s="9" t="n"/>
      <c r="I27" s="19" t="str">
        <f>IFERROR(IF($D27="","",IF($G27="Descartado","Descartado",IF($G27="Cerrado",IF($H27="","Cerrado",IF($H27&lt;=$F27,"Cerrado en plazo","Cerrado fuera de plazo")),IF($F27="","",IF($J27&lt;0,"VENCIDO",IF($J27&lt;=$C$6,"Vence esta semana","En plazo")))))),"")</f>
        <v>En plazo</v>
      </c>
      <c r="J27" s="26">
        <f>IFERROR(IF(OR($F27="",$C$5=""),"",$F27-$C$5),"")</f>
        <v>26.0</v>
      </c>
      <c r="K27" s="10" t="n"/>
    </row>
    <row r="28" ht="30" customHeight="1">
      <c r="A28" t="inlineStr">
        <is>
          <t>A20</t>
        </is>
      </c>
      <c r="B28" s="9" t="n">
        <v>46237</v>
      </c>
      <c r="C28" s="10" t="inlineStr">
        <is>
          <t>Mensual de resultados</t>
        </is>
      </c>
      <c r="D28" s="10" t="inlineStr">
        <is>
          <t>Revisar el retimbrado de los extintores</t>
        </is>
      </c>
      <c r="E28" s="10" t="inlineStr">
        <is>
          <t>P01 · Marta L.</t>
        </is>
      </c>
      <c r="F28" s="9" t="n">
        <v>46265</v>
      </c>
      <c r="G28" s="10" t="inlineStr">
        <is>
          <t>Pendiente</t>
        </is>
      </c>
      <c r="H28" s="9" t="n"/>
      <c r="I28" s="19" t="str">
        <f>IFERROR(IF($D28="","",IF($G28="Descartado","Descartado",IF($G28="Cerrado",IF($H28="","Cerrado",IF($H28&lt;=$F28,"Cerrado en plazo","Cerrado fuera de plazo")),IF($F28="","",IF($J28&lt;0,"VENCIDO",IF($J28&lt;=$C$6,"Vence esta semana","En plazo")))))),"")</f>
        <v>VENCIDO</v>
      </c>
      <c r="J28" s="26">
        <f>IFERROR(IF(OR($F28="",$C$5=""),"",$F28-$C$5),"")</f>
        <v>-4.0</v>
      </c>
      <c r="K28" s="10" t="n"/>
    </row>
    <row r="29" ht="30" customHeight="1">
      <c r="A29" t="inlineStr">
        <is>
          <t>A21</t>
        </is>
      </c>
      <c r="B29" s="9" t="n">
        <v>46237</v>
      </c>
      <c r="C29" s="10" t="inlineStr">
        <is>
          <t>Mensual de resultados</t>
        </is>
      </c>
      <c r="D29" s="10" t="inlineStr">
        <is>
          <t>Cerrar el plan de vacaciones de invierno</t>
        </is>
      </c>
      <c r="E29" s="10" t="inlineStr">
        <is>
          <t>P01 · Marta L.</t>
        </is>
      </c>
      <c r="F29" s="9" t="n">
        <v>46326</v>
      </c>
      <c r="G29" s="10" t="inlineStr">
        <is>
          <t>En curso</t>
        </is>
      </c>
      <c r="H29" s="9" t="n"/>
      <c r="I29" s="19" t="str">
        <f>IFERROR(IF($D29="","",IF($G29="Descartado","Descartado",IF($G29="Cerrado",IF($H29="","Cerrado",IF($H29&lt;=$F29,"Cerrado en plazo","Cerrado fuera de plazo")),IF($F29="","",IF($J29&lt;0,"VENCIDO",IF($J29&lt;=$C$6,"Vence esta semana","En plazo")))))),"")</f>
        <v>En plazo</v>
      </c>
      <c r="J29" s="26">
        <f>IFERROR(IF(OR($F29="",$C$5=""),"",$F29-$C$5),"")</f>
        <v>57.0</v>
      </c>
      <c r="K29" s="10" t="n"/>
    </row>
    <row r="30" ht="30" customHeight="1">
      <c r="A30" t="inlineStr">
        <is>
          <t>A22</t>
        </is>
      </c>
      <c r="B30" s="9" t="n">
        <v>46244</v>
      </c>
      <c r="C30" s="10" t="inlineStr">
        <is>
          <t>Semanal de equipo</t>
        </is>
      </c>
      <c r="D30" s="10" t="inlineStr">
        <is>
          <t>Repasar el orden de salida de platos por mesa</t>
        </is>
      </c>
      <c r="E30" s="10" t="inlineStr">
        <is>
          <t>P02 · Iván R.</t>
        </is>
      </c>
      <c r="F30" s="9" t="n">
        <v>46258</v>
      </c>
      <c r="G30" s="10" t="inlineStr">
        <is>
          <t>Cerrado</t>
        </is>
      </c>
      <c r="H30" s="9" t="n"/>
      <c r="I30" s="19" t="str">
        <f>IFERROR(IF($D30="","",IF($G30="Descartado","Descartado",IF($G30="Cerrado",IF($H30="","Cerrado",IF($H30&lt;=$F30,"Cerrado en plazo","Cerrado fuera de plazo")),IF($F30="","",IF($J30&lt;0,"VENCIDO",IF($J30&lt;=$C$6,"Vence esta semana","En plazo")))))),"")</f>
        <v>Cerrado</v>
      </c>
      <c r="J30" s="26">
        <f>IFERROR(IF(OR($F30="",$C$5=""),"",$F30-$C$5),"")</f>
        <v>-11.0</v>
      </c>
      <c r="K30" s="10" t="n"/>
    </row>
    <row r="31" ht="30" customHeight="1">
      <c r="A31" t="inlineStr">
        <is>
          <t>A23</t>
        </is>
      </c>
      <c r="B31" s="9" t="n">
        <v>46244</v>
      </c>
      <c r="C31" s="10" t="inlineStr">
        <is>
          <t>Semanal de equipo</t>
        </is>
      </c>
      <c r="D31" s="10" t="inlineStr">
        <is>
          <t>Bajar el volumen del hilo musical en el turno de cena</t>
        </is>
      </c>
      <c r="E31" s="10" t="inlineStr">
        <is>
          <t>P03 · Nuria C.</t>
        </is>
      </c>
      <c r="F31" s="9" t="n">
        <v>46255</v>
      </c>
      <c r="G31" s="10" t="inlineStr">
        <is>
          <t>Cerrado</t>
        </is>
      </c>
      <c r="H31" s="9" t="n"/>
      <c r="I31" s="19" t="str">
        <f>IFERROR(IF($D31="","",IF($G31="Descartado","Descartado",IF($G31="Cerrado",IF($H31="","Cerrado",IF($H31&lt;=$F31,"Cerrado en plazo","Cerrado fuera de plazo")),IF($F31="","",IF($J31&lt;0,"VENCIDO",IF($J31&lt;=$C$6,"Vence esta semana","En plazo")))))),"")</f>
        <v>Cerrado</v>
      </c>
      <c r="J31" s="26">
        <f>IFERROR(IF(OR($F31="",$C$5=""),"",$F31-$C$5),"")</f>
        <v>-14.0</v>
      </c>
      <c r="K31" s="10" t="n"/>
    </row>
    <row r="32" ht="30" customHeight="1">
      <c r="A32" t="inlineStr">
        <is>
          <t>A24</t>
        </is>
      </c>
      <c r="B32" s="9" t="n">
        <v>46251</v>
      </c>
      <c r="C32" s="10" t="inlineStr">
        <is>
          <t>Uno-a-uno</t>
        </is>
      </c>
      <c r="D32" s="10" t="inlineStr">
        <is>
          <t>Definir la ruta de P09 hacia jefa de rango</t>
        </is>
      </c>
      <c r="E32" s="10" t="inlineStr">
        <is>
          <t>P01 · Marta L.</t>
        </is>
      </c>
      <c r="F32" s="9" t="n">
        <v>46265</v>
      </c>
      <c r="G32" s="10" t="inlineStr">
        <is>
          <t>Pendiente</t>
        </is>
      </c>
      <c r="H32" s="9" t="n"/>
      <c r="I32" s="19" t="str">
        <f>IFERROR(IF($D32="","",IF($G32="Descartado","Descartado",IF($G32="Cerrado",IF($H32="","Cerrado",IF($H32&lt;=$F32,"Cerrado en plazo","Cerrado fuera de plazo")),IF($F32="","",IF($J32&lt;0,"VENCIDO",IF($J32&lt;=$C$6,"Vence esta semana","En plazo")))))),"")</f>
        <v>VENCIDO</v>
      </c>
      <c r="J32" s="26">
        <f>IFERROR(IF(OR($F32="",$C$5=""),"",$F32-$C$5),"")</f>
        <v>-4.0</v>
      </c>
      <c r="K32" s="10" t="n"/>
    </row>
    <row r="33" ht="30" customHeight="1">
      <c r="A33" t="inlineStr">
        <is>
          <t>A25</t>
        </is>
      </c>
      <c r="B33" s="9" t="n">
        <v>46258</v>
      </c>
      <c r="C33" s="10" t="inlineStr">
        <is>
          <t>Semanal de equipo</t>
        </is>
      </c>
      <c r="D33" s="10" t="inlineStr">
        <is>
          <t>Preparar el plan de 90 días con las siete herramientas</t>
        </is>
      </c>
      <c r="E33" s="10" t="inlineStr">
        <is>
          <t>P01 · Marta L.</t>
        </is>
      </c>
      <c r="F33" s="9" t="n">
        <v>46272</v>
      </c>
      <c r="G33" s="10" t="inlineStr">
        <is>
          <t>En curso</t>
        </is>
      </c>
      <c r="H33" s="9" t="n"/>
      <c r="I33" s="19" t="str">
        <f>IFERROR(IF($D33="","",IF($G33="Descartado","Descartado",IF($G33="Cerrado",IF($H33="","Cerrado",IF($H33&lt;=$F33,"Cerrado en plazo","Cerrado fuera de plazo")),IF($F33="","",IF($J33&lt;0,"VENCIDO",IF($J33&lt;=$C$6,"Vence esta semana","En plazo")))))),"")</f>
        <v>Vence esta semana</v>
      </c>
      <c r="J33" s="26">
        <f>IFERROR(IF(OR($F33="",$C$5=""),"",$F33-$C$5),"")</f>
        <v>3.0</v>
      </c>
      <c r="K33" s="10" t="n"/>
    </row>
    <row r="34" ht="30" customHeight="1">
      <c r="A34" t="inlineStr">
        <is>
          <t>A26</t>
        </is>
      </c>
      <c r="B34" s="9" t="n"/>
      <c r="C34" s="10" t="n"/>
      <c r="D34" s="10" t="n"/>
      <c r="E34" s="10" t="n"/>
      <c r="F34" s="9" t="n"/>
      <c r="G34" s="10" t="n"/>
      <c r="H34" s="9" t="n"/>
      <c r="I34" s="19">
        <f>IFERROR(IF($D34="","",IF($G34="Descartado","Descartado",IF($G34="Cerrado",IF($H34="","Cerrado",IF($H34&lt;=$F34,"Cerrado en plazo","Cerrado fuera de plazo")),IF($F34="","",IF($J34&lt;0,"VENCIDO",IF($J34&lt;=$C$6,"Vence esta semana","En plazo")))))),"")</f>
        <v/>
      </c>
      <c r="J34" s="26">
        <f>IFERROR(IF(OR($F34="",$C$5=""),"",$F34-$C$5),"")</f>
        <v/>
      </c>
      <c r="K34" s="10" t="n"/>
    </row>
    <row r="35" ht="30" customHeight="1">
      <c r="A35" t="inlineStr">
        <is>
          <t>A27</t>
        </is>
      </c>
      <c r="B35" s="9" t="n"/>
      <c r="C35" s="10" t="n"/>
      <c r="D35" s="10" t="n"/>
      <c r="E35" s="10" t="n"/>
      <c r="F35" s="9" t="n"/>
      <c r="G35" s="10" t="n"/>
      <c r="H35" s="9" t="n"/>
      <c r="I35" s="19">
        <f>IFERROR(IF($D35="","",IF($G35="Descartado","Descartado",IF($G35="Cerrado",IF($H35="","Cerrado",IF($H35&lt;=$F35,"Cerrado en plazo","Cerrado fuera de plazo")),IF($F35="","",IF($J35&lt;0,"VENCIDO",IF($J35&lt;=$C$6,"Vence esta semana","En plazo")))))),"")</f>
        <v/>
      </c>
      <c r="J35" s="26">
        <f>IFERROR(IF(OR($F35="",$C$5=""),"",$F35-$C$5),"")</f>
        <v/>
      </c>
      <c r="K35" s="10" t="n"/>
    </row>
    <row r="36" ht="30" customHeight="1">
      <c r="A36" t="inlineStr">
        <is>
          <t>A28</t>
        </is>
      </c>
      <c r="B36" s="9" t="n"/>
      <c r="C36" s="10" t="n"/>
      <c r="D36" s="10" t="n"/>
      <c r="E36" s="10" t="n"/>
      <c r="F36" s="9" t="n"/>
      <c r="G36" s="10" t="n"/>
      <c r="H36" s="9" t="n"/>
      <c r="I36" s="19">
        <f>IFERROR(IF($D36="","",IF($G36="Descartado","Descartado",IF($G36="Cerrado",IF($H36="","Cerrado",IF($H36&lt;=$F36,"Cerrado en plazo","Cerrado fuera de plazo")),IF($F36="","",IF($J36&lt;0,"VENCIDO",IF($J36&lt;=$C$6,"Vence esta semana","En plazo")))))),"")</f>
        <v/>
      </c>
      <c r="J36" s="26">
        <f>IFERROR(IF(OR($F36="",$C$5=""),"",$F36-$C$5),"")</f>
        <v/>
      </c>
      <c r="K36" s="10" t="n"/>
    </row>
    <row r="37" ht="30" customHeight="1">
      <c r="A37" t="inlineStr">
        <is>
          <t>A29</t>
        </is>
      </c>
      <c r="B37" s="9" t="n"/>
      <c r="C37" s="10" t="n"/>
      <c r="D37" s="10" t="n"/>
      <c r="E37" s="10" t="n"/>
      <c r="F37" s="9" t="n"/>
      <c r="G37" s="10" t="n"/>
      <c r="H37" s="9" t="n"/>
      <c r="I37" s="19">
        <f>IFERROR(IF($D37="","",IF($G37="Descartado","Descartado",IF($G37="Cerrado",IF($H37="","Cerrado",IF($H37&lt;=$F37,"Cerrado en plazo","Cerrado fuera de plazo")),IF($F37="","",IF($J37&lt;0,"VENCIDO",IF($J37&lt;=$C$6,"Vence esta semana","En plazo")))))),"")</f>
        <v/>
      </c>
      <c r="J37" s="26">
        <f>IFERROR(IF(OR($F37="",$C$5=""),"",$F37-$C$5),"")</f>
        <v/>
      </c>
      <c r="K37" s="10" t="n"/>
    </row>
    <row r="38" ht="30" customHeight="1">
      <c r="A38" t="inlineStr">
        <is>
          <t>A30</t>
        </is>
      </c>
      <c r="B38" s="9" t="n"/>
      <c r="C38" s="10" t="n"/>
      <c r="D38" s="10" t="n"/>
      <c r="E38" s="10" t="n"/>
      <c r="F38" s="9" t="n"/>
      <c r="G38" s="10" t="n"/>
      <c r="H38" s="9" t="n"/>
      <c r="I38" s="19">
        <f>IFERROR(IF($D38="","",IF($G38="Descartado","Descartado",IF($G38="Cerrado",IF($H38="","Cerrado",IF($H38&lt;=$F38,"Cerrado en plazo","Cerrado fuera de plazo")),IF($F38="","",IF($J38&lt;0,"VENCIDO",IF($J38&lt;=$C$6,"Vence esta semana","En plazo")))))),"")</f>
        <v/>
      </c>
      <c r="J38" s="26">
        <f>IFERROR(IF(OR($F38="",$C$5=""),"",$F38-$C$5),"")</f>
        <v/>
      </c>
      <c r="K38" s="10" t="n"/>
    </row>
    <row r="39" ht="30" customHeight="1">
      <c r="A39" t="inlineStr">
        <is>
          <t>A31</t>
        </is>
      </c>
      <c r="B39" s="9" t="n"/>
      <c r="C39" s="10" t="n"/>
      <c r="D39" s="10" t="n"/>
      <c r="E39" s="10" t="n"/>
      <c r="F39" s="9" t="n"/>
      <c r="G39" s="10" t="n"/>
      <c r="H39" s="9" t="n"/>
      <c r="I39" s="19">
        <f>IFERROR(IF($D39="","",IF($G39="Descartado","Descartado",IF($G39="Cerrado",IF($H39="","Cerrado",IF($H39&lt;=$F39,"Cerrado en plazo","Cerrado fuera de plazo")),IF($F39="","",IF($J39&lt;0,"VENCIDO",IF($J39&lt;=$C$6,"Vence esta semana","En plazo")))))),"")</f>
        <v/>
      </c>
      <c r="J39" s="26">
        <f>IFERROR(IF(OR($F39="",$C$5=""),"",$F39-$C$5),"")</f>
        <v/>
      </c>
      <c r="K39" s="10" t="n"/>
    </row>
    <row r="40" ht="30" customHeight="1">
      <c r="A40" t="inlineStr">
        <is>
          <t>A32</t>
        </is>
      </c>
      <c r="B40" s="9" t="n"/>
      <c r="C40" s="10" t="n"/>
      <c r="D40" s="10" t="n"/>
      <c r="E40" s="10" t="n"/>
      <c r="F40" s="9" t="n"/>
      <c r="G40" s="10" t="n"/>
      <c r="H40" s="9" t="n"/>
      <c r="I40" s="19">
        <f>IFERROR(IF($D40="","",IF($G40="Descartado","Descartado",IF($G40="Cerrado",IF($H40="","Cerrado",IF($H40&lt;=$F40,"Cerrado en plazo","Cerrado fuera de plazo")),IF($F40="","",IF($J40&lt;0,"VENCIDO",IF($J40&lt;=$C$6,"Vence esta semana","En plazo")))))),"")</f>
        <v/>
      </c>
      <c r="J40" s="26">
        <f>IFERROR(IF(OR($F40="",$C$5=""),"",$F40-$C$5),"")</f>
        <v/>
      </c>
      <c r="K40" s="10" t="n"/>
    </row>
    <row r="41" ht="30" customHeight="1">
      <c r="A41" t="inlineStr">
        <is>
          <t>A33</t>
        </is>
      </c>
      <c r="B41" s="9" t="n"/>
      <c r="C41" s="10" t="n"/>
      <c r="D41" s="10" t="n"/>
      <c r="E41" s="10" t="n"/>
      <c r="F41" s="9" t="n"/>
      <c r="G41" s="10" t="n"/>
      <c r="H41" s="9" t="n"/>
      <c r="I41" s="19">
        <f>IFERROR(IF($D41="","",IF($G41="Descartado","Descartado",IF($G41="Cerrado",IF($H41="","Cerrado",IF($H41&lt;=$F41,"Cerrado en plazo","Cerrado fuera de plazo")),IF($F41="","",IF($J41&lt;0,"VENCIDO",IF($J41&lt;=$C$6,"Vence esta semana","En plazo")))))),"")</f>
        <v/>
      </c>
      <c r="J41" s="26">
        <f>IFERROR(IF(OR($F41="",$C$5=""),"",$F41-$C$5),"")</f>
        <v/>
      </c>
      <c r="K41" s="10" t="n"/>
    </row>
    <row r="42" ht="30" customHeight="1">
      <c r="A42" t="inlineStr">
        <is>
          <t>A34</t>
        </is>
      </c>
      <c r="B42" s="9" t="n"/>
      <c r="C42" s="10" t="n"/>
      <c r="D42" s="10" t="n"/>
      <c r="E42" s="10" t="n"/>
      <c r="F42" s="9" t="n"/>
      <c r="G42" s="10" t="n"/>
      <c r="H42" s="9" t="n"/>
      <c r="I42" s="19">
        <f>IFERROR(IF($D42="","",IF($G42="Descartado","Descartado",IF($G42="Cerrado",IF($H42="","Cerrado",IF($H42&lt;=$F42,"Cerrado en plazo","Cerrado fuera de plazo")),IF($F42="","",IF($J42&lt;0,"VENCIDO",IF($J42&lt;=$C$6,"Vence esta semana","En plazo")))))),"")</f>
        <v/>
      </c>
      <c r="J42" s="26">
        <f>IFERROR(IF(OR($F42="",$C$5=""),"",$F42-$C$5),"")</f>
        <v/>
      </c>
      <c r="K42" s="10" t="n"/>
    </row>
    <row r="43" ht="30" customHeight="1">
      <c r="A43" t="inlineStr">
        <is>
          <t>A35</t>
        </is>
      </c>
      <c r="B43" s="9" t="n"/>
      <c r="C43" s="10" t="n"/>
      <c r="D43" s="10" t="n"/>
      <c r="E43" s="10" t="n"/>
      <c r="F43" s="9" t="n"/>
      <c r="G43" s="10" t="n"/>
      <c r="H43" s="9" t="n"/>
      <c r="I43" s="19">
        <f>IFERROR(IF($D43="","",IF($G43="Descartado","Descartado",IF($G43="Cerrado",IF($H43="","Cerrado",IF($H43&lt;=$F43,"Cerrado en plazo","Cerrado fuera de plazo")),IF($F43="","",IF($J43&lt;0,"VENCIDO",IF($J43&lt;=$C$6,"Vence esta semana","En plazo")))))),"")</f>
        <v/>
      </c>
      <c r="J43" s="26">
        <f>IFERROR(IF(OR($F43="",$C$5=""),"",$F43-$C$5),"")</f>
        <v/>
      </c>
      <c r="K43" s="10" t="n"/>
    </row>
    <row r="44"/>
    <row r="45">
      <c r="A45" s="12" t="inlineStr">
        <is>
          <t>RESUMEN — lo calcula el libro</t>
        </is>
      </c>
    </row>
    <row r="46">
      <c r="B46" t="inlineStr">
        <is>
          <t>Acuerdos registrados</t>
        </is>
      </c>
      <c r="D46" s="8">
        <f>COUNTIF($D$9:$D$43,"&lt;&gt;")</f>
        <v>25.0</v>
      </c>
    </row>
    <row r="47">
      <c r="B47" t="inlineStr">
        <is>
          <t>Cerrados</t>
        </is>
      </c>
      <c r="D47" s="8">
        <f>COUNTIF($G$9:$G$43,"Cerrado")</f>
        <v>15.0</v>
      </c>
    </row>
    <row r="48">
      <c r="B48" t="inlineStr">
        <is>
          <t>Descartados</t>
        </is>
      </c>
      <c r="D48" s="8">
        <f>COUNTIF($G$9:$G$43,"Descartado")</f>
        <v>0.0</v>
      </c>
    </row>
    <row r="49">
      <c r="B49" s="14" t="inlineStr">
        <is>
          <t>ACUERDOS ABIERTOS</t>
        </is>
      </c>
      <c r="D49" s="15">
        <f>IFERROR(IF($D$46="","",$D$46-$D$47-$D$48),"")</f>
        <v>10.0</v>
      </c>
    </row>
    <row r="50">
      <c r="B50" s="14" t="inlineStr">
        <is>
          <t>ACUERDOS VENCIDOS</t>
        </is>
      </c>
      <c r="D50" s="15">
        <f>COUNTIF($I$9:$I$43,"VENCIDO")</f>
        <v>4.0</v>
      </c>
    </row>
    <row r="51">
      <c r="B51" t="inlineStr">
        <is>
          <t>Vencen esta semana</t>
        </is>
      </c>
      <c r="D51" s="8">
        <f>COUNTIF($I$9:$I$43,"Vence esta semana")</f>
        <v>1.0</v>
      </c>
    </row>
    <row r="52">
      <c r="B52" s="12" t="inlineStr">
        <is>
          <t>Acuerdos cerrados (%)</t>
        </is>
      </c>
      <c r="D52" s="13">
        <f>IFERROR(IF($D$46=0,"",$D$47/$D$46),"")</f>
        <v>0.6</v>
      </c>
    </row>
    <row r="53">
      <c r="B53" t="inlineStr">
        <is>
          <t>Acuerdos en plazo (%)</t>
        </is>
      </c>
      <c r="D53" s="27">
        <f>IFERROR(IF($D$46=0,"",($D$46-$D$50)/$D$46),"")</f>
        <v>0.84</v>
      </c>
    </row>
    <row r="54">
      <c r="B54" t="inlineStr">
        <is>
          <t>Cerrados con fecha de cierre anotada</t>
        </is>
      </c>
      <c r="D54" s="8">
        <f>COUNTIF($H$9:$H$43,"&lt;&gt;")</f>
        <v>0.0</v>
      </c>
    </row>
    <row r="55">
      <c r="B55" s="12" t="inlineStr">
        <is>
          <t>Cerrados EN PLAZO (%)</t>
        </is>
      </c>
      <c r="D55" s="13">
        <f>IFERROR(IF($D$54=0,"",COUNTIF($I$9:$I$43,"Cerrado en plazo")/$D$54),"")</f>
        <v/>
      </c>
    </row>
    <row r="56">
      <c r="D56" s="28" t="inlineStr">
        <is>
          <t>Vacío mientras no anotes ninguna fecha de cierre real: «sin dato» no es «cero».</t>
        </is>
      </c>
    </row>
    <row r="57"/>
    <row r="58">
      <c r="B58" t="inlineStr">
        <is>
          <t>Objetivo de acuerdos en plazo (%)</t>
        </is>
      </c>
      <c r="D58" s="17" t="n">
        <v>0.9</v>
      </c>
      <c r="F58" s="4" t="inlineStr">
        <is>
          <t>Por debajo de este porcentaje la celda «Acuerdos en plazo (%)» se pone en rojo.</t>
        </is>
      </c>
    </row>
    <row r="59"/>
    <row r="60">
      <c r="A60" s="12" t="inlineStr">
        <is>
          <t>ACUERDOS POR RESPONSABLE — lo calcula el libro</t>
        </is>
      </c>
    </row>
    <row r="61" ht="32" customHeight="1">
      <c r="B61" s="7" t="inlineStr">
        <is>
          <t>Responsable</t>
        </is>
      </c>
      <c r="C61" s="7" t="inlineStr">
        <is>
          <t>Acuerdos</t>
        </is>
      </c>
      <c r="D61" s="7" t="inlineStr">
        <is>
          <t>Abiertos</t>
        </is>
      </c>
      <c r="E61" s="7" t="inlineStr">
        <is>
          <t>Vencidos</t>
        </is>
      </c>
    </row>
    <row r="62">
      <c r="B62" s="12" t="inlineStr">
        <is>
          <t>P01 · Marta L.</t>
        </is>
      </c>
      <c r="C62" s="8">
        <f>COUNTIF($E$9:$E$43,$B62)</f>
        <v>11.0</v>
      </c>
      <c r="D62" s="8">
        <f>IFERROR(SUMPRODUCT(--($E$9:$E$43=$B62),--($G$9:$G$43&lt;&gt;"Cerrado"),--($G$9:$G$43&lt;&gt;"Descartado"),--($G$9:$G$43&lt;&gt;"")),"")</f>
        <v>6.0</v>
      </c>
      <c r="E62" s="8">
        <f>IFERROR(SUMPRODUCT(--($E$9:$E$43=$B62),--($I$9:$I$43="VENCIDO")),"")</f>
        <v>3.0</v>
      </c>
    </row>
    <row r="63">
      <c r="B63" s="12" t="inlineStr">
        <is>
          <t>P02 · Iván R.</t>
        </is>
      </c>
      <c r="C63" s="8">
        <f>COUNTIF($E$9:$E$43,$B63)</f>
        <v>7.0</v>
      </c>
      <c r="D63" s="8">
        <f>IFERROR(SUMPRODUCT(--($E$9:$E$43=$B63),--($G$9:$G$43&lt;&gt;"Cerrado"),--($G$9:$G$43&lt;&gt;"Descartado"),--($G$9:$G$43&lt;&gt;"")),"")</f>
        <v>2.0</v>
      </c>
      <c r="E63" s="8">
        <f>IFERROR(SUMPRODUCT(--($E$9:$E$43=$B63),--($I$9:$I$43="VENCIDO")),"")</f>
        <v>1.0</v>
      </c>
    </row>
    <row r="64">
      <c r="B64" s="12" t="inlineStr">
        <is>
          <t>P03 · Nuria C.</t>
        </is>
      </c>
      <c r="C64" s="8">
        <f>COUNTIF($E$9:$E$43,$B64)</f>
        <v>4.0</v>
      </c>
      <c r="D64" s="8">
        <f>IFERROR(SUMPRODUCT(--($E$9:$E$43=$B64),--($G$9:$G$43&lt;&gt;"Cerrado"),--($G$9:$G$43&lt;&gt;"Descartado"),--($G$9:$G$43&lt;&gt;"")),"")</f>
        <v>0.0</v>
      </c>
      <c r="E64" s="8">
        <f>IFERROR(SUMPRODUCT(--($E$9:$E$43=$B64),--($I$9:$I$43="VENCIDO")),"")</f>
        <v>0.0</v>
      </c>
    </row>
    <row r="65">
      <c r="B65" s="12" t="inlineStr">
        <is>
          <t>P04 · Diego M.</t>
        </is>
      </c>
      <c r="C65" s="8">
        <f>COUNTIF($E$9:$E$43,$B65)</f>
        <v>0.0</v>
      </c>
      <c r="D65" s="8">
        <f>IFERROR(SUMPRODUCT(--($E$9:$E$43=$B65),--($G$9:$G$43&lt;&gt;"Cerrado"),--($G$9:$G$43&lt;&gt;"Descartado"),--($G$9:$G$43&lt;&gt;"")),"")</f>
        <v>0.0</v>
      </c>
      <c r="E65" s="8">
        <f>IFERROR(SUMPRODUCT(--($E$9:$E$43=$B65),--($I$9:$I$43="VENCIDO")),"")</f>
        <v>0.0</v>
      </c>
    </row>
    <row r="66">
      <c r="B66" s="12" t="inlineStr">
        <is>
          <t>P05 · Laura S.</t>
        </is>
      </c>
      <c r="C66" s="8">
        <f>COUNTIF($E$9:$E$43,$B66)</f>
        <v>1.0</v>
      </c>
      <c r="D66" s="8">
        <f>IFERROR(SUMPRODUCT(--($E$9:$E$43=$B66),--($G$9:$G$43&lt;&gt;"Cerrado"),--($G$9:$G$43&lt;&gt;"Descartado"),--($G$9:$G$43&lt;&gt;"")),"")</f>
        <v>1.0</v>
      </c>
      <c r="E66" s="8">
        <f>IFERROR(SUMPRODUCT(--($E$9:$E$43=$B66),--($I$9:$I$43="VENCIDO")),"")</f>
        <v>0.0</v>
      </c>
    </row>
    <row r="67">
      <c r="B67" s="12" t="inlineStr">
        <is>
          <t>P06 · Omar B.</t>
        </is>
      </c>
      <c r="C67" s="8">
        <f>COUNTIF($E$9:$E$43,$B67)</f>
        <v>0.0</v>
      </c>
      <c r="D67" s="8">
        <f>IFERROR(SUMPRODUCT(--($E$9:$E$43=$B67),--($G$9:$G$43&lt;&gt;"Cerrado"),--($G$9:$G$43&lt;&gt;"Descartado"),--($G$9:$G$43&lt;&gt;"")),"")</f>
        <v>0.0</v>
      </c>
      <c r="E67" s="8">
        <f>IFERROR(SUMPRODUCT(--($E$9:$E$43=$B67),--($I$9:$I$43="VENCIDO")),"")</f>
        <v>0.0</v>
      </c>
    </row>
    <row r="68">
      <c r="B68" s="12" t="inlineStr">
        <is>
          <t>P07 · Rocío F.</t>
        </is>
      </c>
      <c r="C68" s="8">
        <f>COUNTIF($E$9:$E$43,$B68)</f>
        <v>0.0</v>
      </c>
      <c r="D68" s="8">
        <f>IFERROR(SUMPRODUCT(--($E$9:$E$43=$B68),--($G$9:$G$43&lt;&gt;"Cerrado"),--($G$9:$G$43&lt;&gt;"Descartado"),--($G$9:$G$43&lt;&gt;"")),"")</f>
        <v>0.0</v>
      </c>
      <c r="E68" s="8">
        <f>IFERROR(SUMPRODUCT(--($E$9:$E$43=$B68),--($I$9:$I$43="VENCIDO")),"")</f>
        <v>0.0</v>
      </c>
    </row>
    <row r="69">
      <c r="B69" s="12" t="inlineStr">
        <is>
          <t>P08 · Carlos V.</t>
        </is>
      </c>
      <c r="C69" s="8">
        <f>COUNTIF($E$9:$E$43,$B69)</f>
        <v>1.0</v>
      </c>
      <c r="D69" s="8">
        <f>IFERROR(SUMPRODUCT(--($E$9:$E$43=$B69),--($G$9:$G$43&lt;&gt;"Cerrado"),--($G$9:$G$43&lt;&gt;"Descartado"),--($G$9:$G$43&lt;&gt;"")),"")</f>
        <v>0.0</v>
      </c>
      <c r="E69" s="8">
        <f>IFERROR(SUMPRODUCT(--($E$9:$E$43=$B69),--($I$9:$I$43="VENCIDO")),"")</f>
        <v>0.0</v>
      </c>
    </row>
    <row r="70">
      <c r="B70" s="12" t="inlineStr">
        <is>
          <t>P09 · Elena T.</t>
        </is>
      </c>
      <c r="C70" s="8">
        <f>COUNTIF($E$9:$E$43,$B70)</f>
        <v>1.0</v>
      </c>
      <c r="D70" s="8">
        <f>IFERROR(SUMPRODUCT(--($E$9:$E$43=$B70),--($G$9:$G$43&lt;&gt;"Cerrado"),--($G$9:$G$43&lt;&gt;"Descartado"),--($G$9:$G$43&lt;&gt;"")),"")</f>
        <v>1.0</v>
      </c>
      <c r="E70" s="8">
        <f>IFERROR(SUMPRODUCT(--($E$9:$E$43=$B70),--($I$9:$I$43="VENCIDO")),"")</f>
        <v>0.0</v>
      </c>
    </row>
    <row r="71">
      <c r="B71" s="12" t="inlineStr">
        <is>
          <t>P10 · Youssef A.</t>
        </is>
      </c>
      <c r="C71" s="8">
        <f>COUNTIF($E$9:$E$43,$B71)</f>
        <v>0.0</v>
      </c>
      <c r="D71" s="8">
        <f>IFERROR(SUMPRODUCT(--($E$9:$E$43=$B71),--($G$9:$G$43&lt;&gt;"Cerrado"),--($G$9:$G$43&lt;&gt;"Descartado"),--($G$9:$G$43&lt;&gt;"")),"")</f>
        <v>0.0</v>
      </c>
      <c r="E71" s="8">
        <f>IFERROR(SUMPRODUCT(--($E$9:$E$43=$B71),--($I$9:$I$43="VENCIDO")),"")</f>
        <v>0.0</v>
      </c>
    </row>
    <row r="72">
      <c r="B72" s="12" t="inlineStr">
        <is>
          <t>P11 · Paula G.</t>
        </is>
      </c>
      <c r="C72" s="8">
        <f>COUNTIF($E$9:$E$43,$B72)</f>
        <v>0.0</v>
      </c>
      <c r="D72" s="8">
        <f>IFERROR(SUMPRODUCT(--($E$9:$E$43=$B72),--($G$9:$G$43&lt;&gt;"Cerrado"),--($G$9:$G$43&lt;&gt;"Descartado"),--($G$9:$G$43&lt;&gt;"")),"")</f>
        <v>0.0</v>
      </c>
      <c r="E72" s="8">
        <f>IFERROR(SUMPRODUCT(--($E$9:$E$43=$B72),--($I$9:$I$43="VENCIDO")),"")</f>
        <v>0.0</v>
      </c>
    </row>
    <row r="73">
      <c r="B73" s="12" t="inlineStr">
        <is>
          <t>P12 · Andrés P.</t>
        </is>
      </c>
      <c r="C73" s="8">
        <f>COUNTIF($E$9:$E$43,$B73)</f>
        <v>0.0</v>
      </c>
      <c r="D73" s="8">
        <f>IFERROR(SUMPRODUCT(--($E$9:$E$43=$B73),--($G$9:$G$43&lt;&gt;"Cerrado"),--($G$9:$G$43&lt;&gt;"Descartado"),--($G$9:$G$43&lt;&gt;"")),"")</f>
        <v>0.0</v>
      </c>
      <c r="E73" s="8">
        <f>IFERROR(SUMPRODUCT(--($E$9:$E$43=$B73),--($I$9:$I$43="VENCIDO")),"")</f>
        <v>0.0</v>
      </c>
    </row>
  </sheetData>
  <sheetProtection selectLockedCells="0" selectUnlockedCells="0" sheet="1" objects="0" insertRows="0" insertHyperlinks="1" autoFilter="1" scenarios="0" formatColumns="0" deleteColumns="1" insertColumns="1" pivotTables="1" deleteRows="1" formatCells="1" formatRows="0" sort="0"/>
  <conditionalFormatting sqref="G9:G43">
    <cfRule type="cellIs" priority="1" operator="equal" dxfId="0" stopIfTrue="1">
      <formula>"Cerrado"</formula>
    </cfRule>
    <cfRule type="cellIs" priority="2" operator="equal" dxfId="2" stopIfTrue="1">
      <formula>"En curso"</formula>
    </cfRule>
    <cfRule type="cellIs" priority="3" operator="equal" dxfId="1" stopIfTrue="1">
      <formula>"Pendiente"</formula>
    </cfRule>
    <cfRule type="cellIs" priority="4" operator="equal" dxfId="1" stopIfTrue="1">
      <formula>"Descartado"</formula>
    </cfRule>
  </conditionalFormatting>
  <conditionalFormatting sqref="I9:I43">
    <cfRule type="cellIs" priority="5" operator="equal" dxfId="3" stopIfTrue="1">
      <formula>"VENCIDO"</formula>
    </cfRule>
    <cfRule type="cellIs" priority="6" operator="equal" dxfId="3" stopIfTrue="1">
      <formula>"Cerrado fuera de plazo"</formula>
    </cfRule>
    <cfRule type="cellIs" priority="7" operator="equal" dxfId="2" stopIfTrue="1">
      <formula>"Vence esta semana"</formula>
    </cfRule>
    <cfRule type="cellIs" priority="8" operator="equal" dxfId="0" stopIfTrue="1">
      <formula>"Cerrado en plazo"</formula>
    </cfRule>
    <cfRule type="cellIs" priority="9" operator="equal" dxfId="0" stopIfTrue="1">
      <formula>"Cerrado"</formula>
    </cfRule>
    <cfRule type="cellIs" priority="10" operator="equal" dxfId="1" stopIfTrue="1">
      <formula>"En plazo"</formula>
    </cfRule>
    <cfRule type="cellIs" priority="11" operator="equal" dxfId="1" stopIfTrue="1">
      <formula>"Descartado"</formula>
    </cfRule>
  </conditionalFormatting>
  <conditionalFormatting sqref="J9:J43">
    <cfRule type="expression" priority="12" dxfId="3" stopIfTrue="1">
      <formula>=AND(ISNUMBER($J9),$J9&lt;0)</formula>
    </cfRule>
  </conditionalFormatting>
  <conditionalFormatting sqref="D50">
    <cfRule type="expression" priority="13" dxfId="3" stopIfTrue="1">
      <formula>=AND(ISNUMBER($D$50),$D$50&gt;0)</formula>
    </cfRule>
  </conditionalFormatting>
  <conditionalFormatting sqref="D53">
    <cfRule type="expression" priority="14" dxfId="3" stopIfTrue="1">
      <formula>=AND(ISNUMBER($D$53),$D$53&lt;$D$58)</formula>
    </cfRule>
  </conditionalFormatting>
  <dataValidations count="7">
    <dataValidation sqref="C4" showDropDown="0" showInputMessage="0" showErrorMessage="1" allowBlank="1" errorTitle="Fecha no válida" error="Escribe una fecha (dd/mm/aaaa) entre 2020 y 2040." type="date" operator="between">
      <formula1>DATE(2020,1,1)</formula1>
      <formula2>DATE(2040,12,31)</formula2>
    </dataValidation>
    <dataValidation sqref="C6" showDropDown="0" showInputMessage="0" showErrorMessage="1" allowBlank="1" errorTitle="Ventana de aviso" error="Escribe cuántos días por delante quieres que el libro avise (1-60)." type="decimal" operator="between">
      <formula1>1</formula1>
      <formula2>60</formula2>
    </dataValidation>
    <dataValidation sqref="B9 B10 B11 B12 B13 B14 B15 B16 B17 B18 B19 B20 B21 B22 B23 B24 B25 B26 B27 B28 B29 B30 B31 B32 B33 B34 B35 B36 B37 B38 B39 B40 B41 B42 B43 F9 F10 F11 F12 F13 F14 F15 F16 F17 F18 F19 F20 F21 F22 F23 F24 F25 F26 F27 F28 F29 F30 F31 F32 F33 F34 F35 F36 F37 F38 F39 F40 F41 F42 F43 H9 H10 H11 H12 H13 H14 H15 H16 H17 H18 H19 H20 H21 H22 H23 H24 H25 H26 H27 H28 H29 H30 H31 H32 H33 H34 H35 H36 H37 H38 H39 H40 H41 H42 H43" showDropDown="0" showInputMessage="0" showErrorMessage="1" allowBlank="1" errorTitle="Fecha no válida" error="Escribe una fecha (dd/mm/aaaa) entre 2020 y 2040." type="date" operator="between">
      <formula1>DATE(2020,1,1)</formula1>
      <formula2>DATE(2040,12,31)</formula2>
    </dataValidation>
    <dataValidation sqref="C9 C10 C11 C12 C13 C14 C15 C16 C17 C18 C19 C20 C21 C22 C23 C24 C25 C26 C27 C28 C29 C30 C31 C32 C33 C34 C35 C36 C37 C38 C39 C40 C41 C42 C43" showDropDown="0" showInputMessage="0" showErrorMessage="1" allowBlank="1" errorTitle="Tipo de reunión" error="Elige un valor de la lista: Semanal de equipo, Mensual de resultados, Uno-a-uno" type="list">
      <formula1>"Semanal de equipo,Mensual de resultados,Uno-a-uno"</formula1>
    </dataValidation>
    <dataValidation sqref="E9 E10 E11 E12 E13 E14 E15 E16 E17 E18 E19 E20 E21 E22 E23 E24 E25 E26 E27 E28 E29 E30 E31 E32 E33 E34 E35 E36 E37 E38 E39 E40 E41 E42 E43" showDropDown="0" showInputMessage="0" showErrorMessage="1" allowBlank="1" errorTitle="Responsable" error="Elige un valor de la lista: P01 · Marta L., P02 · Iván R., P03 · Nuria C., P04 · Diego M., P05 · Laura S., P06 · Omar B., P07 · Rocío F., P08 · Carlos V., P09 · Elena T., P10 · Youssef A., P11 · Paula G., P12 · Andrés P." type="list">
      <formula1>"P01 · Marta L.,P02 · Iván R.,P03 · Nuria C.,P04 · Diego M.,P05 · Laura S.,P06 · Omar B.,P07 · Rocío F.,P08 · Carlos V.,P09 · Elena T.,P10 · Youssef A.,P11 · Paula G.,P12 · Andrés P."</formula1>
    </dataValidation>
    <dataValidation sqref="G9 G10 G11 G12 G13 G14 G15 G16 G17 G18 G19 G20 G21 G22 G23 G24 G25 G26 G27 G28 G29 G30 G31 G32 G33 G34 G35 G36 G37 G38 G39 G40 G41 G42 G43" showDropDown="0" showInputMessage="0" showErrorMessage="1" allowBlank="1" errorTitle="Estado del acuerdo" error="Elige un valor de la lista: Pendiente, En curso, Cerrado, Descartado" type="list">
      <formula1>"Pendiente,En curso,Cerrado,Descartado"</formula1>
    </dataValidation>
    <dataValidation sqref="D58" showDropDown="0" showInputMessage="1" showErrorMessage="1" allowBlank="1" errorTitle="Objetivo en plazo" error="Escribe un porcentaje entre 0 y 1 (0,20 = 20 %)." promptTitle="Objetivo en plazo" prompt="Se escribe en tanto por uno: 0,90 = 9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7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0" customWidth="1" min="3" max="3"/>
    <col width="56" customWidth="1" min="4" max="4"/>
    <col width="20" customWidth="1" min="5" max="5"/>
    <col width="10" customWidth="1" min="6" max="6"/>
    <col width="14" customWidth="1" min="7" max="7"/>
    <col width="14" customWidth="1" min="8" max="8"/>
    <col width="14" customWidth="1" min="9" max="9"/>
    <col width="14" customWidth="1" min="10" max="10"/>
    <col width="40" customWidth="1" min="11" max="11"/>
  </cols>
  <sheetData>
    <row r="1">
      <c r="A1" s="1" t="inlineStr">
        <is>
          <t>Plan de 90 días — lo que sale de las siete herramientas</t>
        </is>
      </c>
    </row>
    <row r="2">
      <c r="A2" s="2" t="inlineStr">
        <is>
          <t>AI Chef Pro · aichef.pro — Manual del Manager de Restaurante</t>
        </is>
      </c>
    </row>
    <row r="3">
      <c r="F3" s="6" t="inlineStr">
        <is>
          <t>NO es el plan de 90 días de la Guía Food Cost (aquel decide qué pasa con cada plato). Éste ordena lo que sale de este manual. Se usan en paralelo.</t>
        </is>
      </c>
    </row>
    <row r="4"/>
    <row r="5" ht="40" customHeight="1">
      <c r="A5" s="7" t="inlineStr">
        <is>
          <t>#</t>
        </is>
      </c>
      <c r="B5" s="7" t="inlineStr">
        <is>
          <t>Área</t>
        </is>
      </c>
      <c r="C5" s="7" t="inlineStr">
        <is>
          <t>Herramienta de origen</t>
        </is>
      </c>
      <c r="D5" s="7" t="inlineStr">
        <is>
          <t>Decisión</t>
        </is>
      </c>
      <c r="E5" s="7" t="inlineStr">
        <is>
          <t>Responsable</t>
        </is>
      </c>
      <c r="F5" s="7" t="inlineStr">
        <is>
          <t>Semana (1-13)</t>
        </is>
      </c>
      <c r="G5" s="7" t="inlineStr">
        <is>
          <t>Fecha objetivo</t>
        </is>
      </c>
      <c r="H5" s="7" t="inlineStr">
        <is>
          <t>Impacto estimado (€/mes)</t>
        </is>
      </c>
      <c r="I5" s="7" t="inlineStr">
        <is>
          <t>Estado</t>
        </is>
      </c>
      <c r="J5" s="7" t="inlineStr">
        <is>
          <t>Impacto ya conseguido (€/mes)</t>
        </is>
      </c>
      <c r="K5" s="7" t="inlineStr">
        <is>
          <t>Notas</t>
        </is>
      </c>
    </row>
    <row r="6" ht="34" customHeight="1">
      <c r="A6" s="8" t="n">
        <v>1</v>
      </c>
      <c r="B6" s="10" t="inlineStr">
        <is>
          <t>Personas</t>
        </is>
      </c>
      <c r="C6" s="10" t="inlineStr">
        <is>
          <t>Matriz de formación y polivalencia</t>
        </is>
      </c>
      <c r="D6" s="10" t="inlineStr">
        <is>
          <t>Llevar a P06 a nivel 2 en la partida fría: es el único punto único de fallo del equipo</t>
        </is>
      </c>
      <c r="E6" s="10" t="inlineStr">
        <is>
          <t>P05 · Laura S.</t>
        </is>
      </c>
      <c r="F6" s="11" t="n">
        <v>1</v>
      </c>
      <c r="G6" s="29">
        <f>IFERROR(IF(OR($F6="",$D$47=""),"",$D$47+7*($F6-1)),"")</f>
        <v>46272.0</v>
      </c>
      <c r="H6" s="30" t="n">
        <v>0</v>
      </c>
      <c r="I6" s="10" t="inlineStr">
        <is>
          <t>En curso</t>
        </is>
      </c>
      <c r="J6" s="31">
        <f>IFERROR(IF(OR($D6="",$H6=""),"",IF($I6="Cerrada",$H6,0)),"")</f>
        <v>0.0</v>
      </c>
      <c r="K6" s="10" t="n"/>
    </row>
    <row r="7" ht="34" customHeight="1">
      <c r="A7" s="8" t="n">
        <v>2</v>
      </c>
      <c r="B7" s="10" t="inlineStr">
        <is>
          <t>Finanzas</t>
        </is>
      </c>
      <c r="C7" s="10" t="inlineStr">
        <is>
          <t>Cuadro de mando semanal</t>
        </is>
      </c>
      <c r="D7" s="10" t="inlineStr">
        <is>
          <t>Cerrar el cuadro todos los lunes antes de las 12:00 y publicar el semáforo</t>
        </is>
      </c>
      <c r="E7" s="10" t="inlineStr">
        <is>
          <t>P01 · Marta L.</t>
        </is>
      </c>
      <c r="F7" s="11" t="n">
        <v>1</v>
      </c>
      <c r="G7" s="29">
        <f>IFERROR(IF(OR($F7="",$D$47=""),"",$D$47+7*($F7-1)),"")</f>
        <v>46272.0</v>
      </c>
      <c r="H7" s="30" t="n">
        <v>0</v>
      </c>
      <c r="I7" s="10" t="inlineStr">
        <is>
          <t>En curso</t>
        </is>
      </c>
      <c r="J7" s="31">
        <f>IFERROR(IF(OR($D7="",$H7=""),"",IF($I7="Cerrada",$H7,0)),"")</f>
        <v>0.0</v>
      </c>
      <c r="K7" s="10" t="n"/>
    </row>
    <row r="8" ht="34" customHeight="1">
      <c r="A8" s="8" t="n">
        <v>3</v>
      </c>
      <c r="B8" s="10" t="inlineStr">
        <is>
          <t>Servicio</t>
        </is>
      </c>
      <c r="C8" s="10" t="inlineStr">
        <is>
          <t>Quejas, reclamaciones y reseñas</t>
        </is>
      </c>
      <c r="D8" s="10" t="inlineStr">
        <is>
          <t>Avisar del tiempo real de espera al sentar en todos los servicios de viernes y sábado</t>
        </is>
      </c>
      <c r="E8" s="10" t="inlineStr">
        <is>
          <t>P03 · Nuria C.</t>
        </is>
      </c>
      <c r="F8" s="11" t="n">
        <v>1</v>
      </c>
      <c r="G8" s="29">
        <f>IFERROR(IF(OR($F8="",$D$47=""),"",$D$47+7*($F8-1)),"")</f>
        <v>46272.0</v>
      </c>
      <c r="H8" s="30" t="n">
        <v>220</v>
      </c>
      <c r="I8" s="10" t="inlineStr">
        <is>
          <t>En curso</t>
        </is>
      </c>
      <c r="J8" s="31">
        <f>IFERROR(IF(OR($D8="",$H8=""),"",IF($I8="Cerrada",$H8,0)),"")</f>
        <v>0.0</v>
      </c>
      <c r="K8" s="10" t="n"/>
    </row>
    <row r="9" ht="34" customHeight="1">
      <c r="A9" s="8" t="n">
        <v>4</v>
      </c>
      <c r="B9" s="10" t="inlineStr">
        <is>
          <t>Cumplimiento</t>
        </is>
      </c>
      <c r="C9" s="10" t="inlineStr">
        <is>
          <t>Calendario de cumplimiento legal</t>
        </is>
      </c>
      <c r="D9" s="10" t="inlineStr">
        <is>
          <t>Contratar el retimbrado de los extintores, vencido desde mayo</t>
        </is>
      </c>
      <c r="E9" s="10" t="inlineStr">
        <is>
          <t>P01 · Marta L.</t>
        </is>
      </c>
      <c r="F9" s="11" t="n">
        <v>2</v>
      </c>
      <c r="G9" s="29">
        <f>IFERROR(IF(OR($F9="",$D$47=""),"",$D$47+7*($F9-1)),"")</f>
        <v>46279.0</v>
      </c>
      <c r="H9" s="30" t="n">
        <v>0</v>
      </c>
      <c r="I9" s="10" t="inlineStr">
        <is>
          <t>Pendiente</t>
        </is>
      </c>
      <c r="J9" s="31">
        <f>IFERROR(IF(OR($D9="",$H9=""),"",IF($I9="Cerrada",$H9,0)),"")</f>
        <v>0.0</v>
      </c>
      <c r="K9" s="10" t="n"/>
    </row>
    <row r="10" ht="34" customHeight="1">
      <c r="A10" s="8" t="n">
        <v>5</v>
      </c>
      <c r="B10" s="10" t="inlineStr">
        <is>
          <t>Cumplimiento</t>
        </is>
      </c>
      <c r="C10" s="10" t="inlineStr">
        <is>
          <t>Calendario de cumplimiento legal</t>
        </is>
      </c>
      <c r="D10" s="10" t="inlineStr">
        <is>
          <t>Contestar por escrito la reclamación GI-2026-0463 y revisar por qué se pasó el mes</t>
        </is>
      </c>
      <c r="E10" s="10" t="inlineStr">
        <is>
          <t>P01 · Marta L.</t>
        </is>
      </c>
      <c r="F10" s="11" t="n">
        <v>2</v>
      </c>
      <c r="G10" s="29">
        <f>IFERROR(IF(OR($F10="",$D$47=""),"",$D$47+7*($F10-1)),"")</f>
        <v>46279.0</v>
      </c>
      <c r="H10" s="30" t="n">
        <v>0</v>
      </c>
      <c r="I10" s="10" t="inlineStr">
        <is>
          <t>Pendiente</t>
        </is>
      </c>
      <c r="J10" s="31">
        <f>IFERROR(IF(OR($D10="",$H10=""),"",IF($I10="Cerrada",$H10,0)),"")</f>
        <v>0.0</v>
      </c>
      <c r="K10" s="10" t="n"/>
    </row>
    <row r="11" ht="34" customHeight="1">
      <c r="A11" s="8" t="n">
        <v>6</v>
      </c>
      <c r="B11" s="10" t="inlineStr">
        <is>
          <t>Servicio</t>
        </is>
      </c>
      <c r="C11" s="10" t="inlineStr">
        <is>
          <t>Auditoría interna de servicio</t>
        </is>
      </c>
      <c r="D11" s="10" t="inlineStr">
        <is>
          <t>Recuperar el área de aseos y limpieza, la única que empeora entre la visita 1 y la 3</t>
        </is>
      </c>
      <c r="E11" s="10" t="inlineStr">
        <is>
          <t>P03 · Nuria C.</t>
        </is>
      </c>
      <c r="F11" s="11" t="n">
        <v>2</v>
      </c>
      <c r="G11" s="29">
        <f>IFERROR(IF(OR($F11="",$D$47=""),"",$D$47+7*($F11-1)),"")</f>
        <v>46279.0</v>
      </c>
      <c r="H11" s="30" t="n">
        <v>0</v>
      </c>
      <c r="I11" s="10" t="inlineStr">
        <is>
          <t>Pendiente</t>
        </is>
      </c>
      <c r="J11" s="31">
        <f>IFERROR(IF(OR($D11="",$H11=""),"",IF($I11="Cerrada",$H11,0)),"")</f>
        <v>0.0</v>
      </c>
      <c r="K11" s="10" t="n"/>
    </row>
    <row r="12" ht="34" customHeight="1">
      <c r="A12" s="8" t="n">
        <v>7</v>
      </c>
      <c r="B12" s="10" t="inlineStr">
        <is>
          <t>Finanzas</t>
        </is>
      </c>
      <c r="C12" s="10" t="inlineStr">
        <is>
          <t>Cuadro de mando semanal</t>
        </is>
      </c>
      <c r="D12" s="10" t="inlineStr">
        <is>
          <t>Analizar las cuatro semanas fuera de objetivo del año y qué tuvieron en común</t>
        </is>
      </c>
      <c r="E12" s="10" t="inlineStr">
        <is>
          <t>P01 · Marta L.</t>
        </is>
      </c>
      <c r="F12" s="11" t="n">
        <v>3</v>
      </c>
      <c r="G12" s="29">
        <f>IFERROR(IF(OR($F12="",$D$47=""),"",$D$47+7*($F12-1)),"")</f>
        <v>46286.0</v>
      </c>
      <c r="H12" s="30" t="n">
        <v>0</v>
      </c>
      <c r="I12" s="10" t="inlineStr">
        <is>
          <t>Pendiente</t>
        </is>
      </c>
      <c r="J12" s="31">
        <f>IFERROR(IF(OR($D12="",$H12=""),"",IF($I12="Cerrada",$H12,0)),"")</f>
        <v>0.0</v>
      </c>
      <c r="K12" s="10" t="n"/>
    </row>
    <row r="13" ht="34" customHeight="1">
      <c r="A13" s="8" t="n">
        <v>8</v>
      </c>
      <c r="B13" s="10" t="inlineStr">
        <is>
          <t>Operaciones</t>
        </is>
      </c>
      <c r="C13" s="10" t="inlineStr">
        <is>
          <t>Cuadro de mando semanal</t>
        </is>
      </c>
      <c r="D13" s="10" t="inlineStr">
        <is>
          <t>Ajustar el pedido de la semana 33 y 35 tipo: en agosto se compró para una demanda que no llegó</t>
        </is>
      </c>
      <c r="E13" s="10" t="inlineStr">
        <is>
          <t>P02 · Iván R.</t>
        </is>
      </c>
      <c r="F13" s="11" t="n">
        <v>3</v>
      </c>
      <c r="G13" s="29">
        <f>IFERROR(IF(OR($F13="",$D$47=""),"",$D$47+7*($F13-1)),"")</f>
        <v>46286.0</v>
      </c>
      <c r="H13" s="30" t="n">
        <v>380</v>
      </c>
      <c r="I13" s="10" t="inlineStr">
        <is>
          <t>Pendiente</t>
        </is>
      </c>
      <c r="J13" s="31">
        <f>IFERROR(IF(OR($D13="",$H13=""),"",IF($I13="Cerrada",$H13,0)),"")</f>
        <v>0.0</v>
      </c>
      <c r="K13" s="10" t="n"/>
    </row>
    <row r="14" ht="34" customHeight="1">
      <c r="A14" s="8" t="n">
        <v>9</v>
      </c>
      <c r="B14" s="10" t="inlineStr">
        <is>
          <t>Personas</t>
        </is>
      </c>
      <c r="C14" s="10" t="inlineStr">
        <is>
          <t>Reuniones, acuerdos y plan de 90 días</t>
        </is>
      </c>
      <c r="D14" s="10" t="inlineStr">
        <is>
          <t>Cerrar los cuatro acuerdos vencidos antes de abrir ninguno nuevo</t>
        </is>
      </c>
      <c r="E14" s="10" t="inlineStr">
        <is>
          <t>P01 · Marta L.</t>
        </is>
      </c>
      <c r="F14" s="11" t="n">
        <v>3</v>
      </c>
      <c r="G14" s="29">
        <f>IFERROR(IF(OR($F14="",$D$47=""),"",$D$47+7*($F14-1)),"")</f>
        <v>46286.0</v>
      </c>
      <c r="H14" s="30" t="n">
        <v>0</v>
      </c>
      <c r="I14" s="10" t="inlineStr">
        <is>
          <t>Pendiente</t>
        </is>
      </c>
      <c r="J14" s="31">
        <f>IFERROR(IF(OR($D14="",$H14=""),"",IF($I14="Cerrada",$H14,0)),"")</f>
        <v>0.0</v>
      </c>
      <c r="K14" s="10" t="n"/>
    </row>
    <row r="15" ht="34" customHeight="1">
      <c r="A15" s="8" t="n">
        <v>10</v>
      </c>
      <c r="B15" s="10" t="inlineStr">
        <is>
          <t>Servicio</t>
        </is>
      </c>
      <c r="C15" s="10" t="inlineStr">
        <is>
          <t>Quejas, reclamaciones y reseñas</t>
        </is>
      </c>
      <c r="D15" s="10" t="inlineStr">
        <is>
          <t>Responder toda reseña en menos de 48 h, con un responsable nombrado</t>
        </is>
      </c>
      <c r="E15" s="10" t="inlineStr">
        <is>
          <t>P01 · Marta L.</t>
        </is>
      </c>
      <c r="F15" s="11" t="n">
        <v>4</v>
      </c>
      <c r="G15" s="29">
        <f>IFERROR(IF(OR($F15="",$D$47=""),"",$D$47+7*($F15-1)),"")</f>
        <v>46293.0</v>
      </c>
      <c r="H15" s="30" t="n">
        <v>0</v>
      </c>
      <c r="I15" s="10" t="inlineStr">
        <is>
          <t>Pendiente</t>
        </is>
      </c>
      <c r="J15" s="31">
        <f>IFERROR(IF(OR($D15="",$H15=""),"",IF($I15="Cerrada",$H15,0)),"")</f>
        <v>0.0</v>
      </c>
      <c r="K15" s="10" t="n"/>
    </row>
    <row r="16" ht="34" customHeight="1">
      <c r="A16" s="8" t="n">
        <v>11</v>
      </c>
      <c r="B16" s="10" t="inlineStr">
        <is>
          <t>Personas</t>
        </is>
      </c>
      <c r="C16" s="10" t="inlineStr">
        <is>
          <t>Scorecard de selección</t>
        </is>
      </c>
      <c r="D16" s="10" t="inlineStr">
        <is>
          <t>Cubrir la vacante de camarero/a con el scorecard y las 24 preguntas, sin entrevista libre</t>
        </is>
      </c>
      <c r="E16" s="10" t="inlineStr">
        <is>
          <t>P01 · Marta L.</t>
        </is>
      </c>
      <c r="F16" s="11" t="n">
        <v>4</v>
      </c>
      <c r="G16" s="29">
        <f>IFERROR(IF(OR($F16="",$D$47=""),"",$D$47+7*($F16-1)),"")</f>
        <v>46293.0</v>
      </c>
      <c r="H16" s="30" t="n">
        <v>0</v>
      </c>
      <c r="I16" s="10" t="inlineStr">
        <is>
          <t>Pendiente</t>
        </is>
      </c>
      <c r="J16" s="31">
        <f>IFERROR(IF(OR($D16="",$H16=""),"",IF($I16="Cerrada",$H16,0)),"")</f>
        <v>0.0</v>
      </c>
      <c r="K16" s="10" t="n"/>
    </row>
    <row r="17" ht="34" customHeight="1">
      <c r="A17" s="8" t="n">
        <v>12</v>
      </c>
      <c r="B17" s="10" t="inlineStr">
        <is>
          <t>Operaciones</t>
        </is>
      </c>
      <c r="C17" s="10" t="inlineStr">
        <is>
          <t>Auditoría interna de servicio</t>
        </is>
      </c>
      <c r="D17" s="10" t="inlineStr">
        <is>
          <t>Escribir el estándar de los diez puntos peor puntuados en la visita 3</t>
        </is>
      </c>
      <c r="E17" s="10" t="inlineStr">
        <is>
          <t>P03 · Nuria C.</t>
        </is>
      </c>
      <c r="F17" s="11" t="n">
        <v>5</v>
      </c>
      <c r="G17" s="29">
        <f>IFERROR(IF(OR($F17="",$D$47=""),"",$D$47+7*($F17-1)),"")</f>
        <v>46300.0</v>
      </c>
      <c r="H17" s="30" t="n">
        <v>0</v>
      </c>
      <c r="I17" s="10" t="inlineStr">
        <is>
          <t>Pendiente</t>
        </is>
      </c>
      <c r="J17" s="31">
        <f>IFERROR(IF(OR($D17="",$H17=""),"",IF($I17="Cerrada",$H17,0)),"")</f>
        <v>0.0</v>
      </c>
      <c r="K17" s="10" t="n"/>
    </row>
    <row r="18" ht="34" customHeight="1">
      <c r="A18" s="8" t="n">
        <v>13</v>
      </c>
      <c r="B18" s="10" t="inlineStr">
        <is>
          <t>Personas</t>
        </is>
      </c>
      <c r="C18" s="10" t="inlineStr">
        <is>
          <t>Matriz de formación y polivalencia</t>
        </is>
      </c>
      <c r="D18" s="10" t="inlineStr">
        <is>
          <t>Segunda persona a nivel 2 en la partida fría (P04) antes de la campaña de Navidad</t>
        </is>
      </c>
      <c r="E18" s="10" t="inlineStr">
        <is>
          <t>P05 · Laura S.</t>
        </is>
      </c>
      <c r="F18" s="11" t="n">
        <v>6</v>
      </c>
      <c r="G18" s="29">
        <f>IFERROR(IF(OR($F18="",$D$47=""),"",$D$47+7*($F18-1)),"")</f>
        <v>46307.0</v>
      </c>
      <c r="H18" s="30" t="n">
        <v>0</v>
      </c>
      <c r="I18" s="10" t="inlineStr">
        <is>
          <t>Pendiente</t>
        </is>
      </c>
      <c r="J18" s="31">
        <f>IFERROR(IF(OR($D18="",$H18=""),"",IF($I18="Cerrada",$H18,0)),"")</f>
        <v>0.0</v>
      </c>
      <c r="K18" s="10" t="n"/>
    </row>
    <row r="19" ht="34" customHeight="1">
      <c r="A19" s="8" t="n">
        <v>14</v>
      </c>
      <c r="B19" s="10" t="inlineStr">
        <is>
          <t>Finanzas</t>
        </is>
      </c>
      <c r="C19" s="10" t="inlineStr">
        <is>
          <t>Cuadro de mando semanal</t>
        </is>
      </c>
      <c r="D19" s="10" t="inlineStr">
        <is>
          <t>Revisar el precio de los cinco platos con peor margen de la carta</t>
        </is>
      </c>
      <c r="E19" s="10" t="inlineStr">
        <is>
          <t>P02 · Iván R.</t>
        </is>
      </c>
      <c r="F19" s="11" t="n">
        <v>6</v>
      </c>
      <c r="G19" s="29">
        <f>IFERROR(IF(OR($F19="",$D$47=""),"",$D$47+7*($F19-1)),"")</f>
        <v>46307.0</v>
      </c>
      <c r="H19" s="30" t="n">
        <v>640</v>
      </c>
      <c r="I19" s="10" t="inlineStr">
        <is>
          <t>Pendiente</t>
        </is>
      </c>
      <c r="J19" s="31">
        <f>IFERROR(IF(OR($D19="",$H19=""),"",IF($I19="Cerrada",$H19,0)),"")</f>
        <v>0.0</v>
      </c>
      <c r="K19" s="10" t="n"/>
    </row>
    <row r="20" ht="34" customHeight="1">
      <c r="A20" s="8" t="n">
        <v>15</v>
      </c>
      <c r="B20" s="10" t="inlineStr">
        <is>
          <t>Cumplimiento</t>
        </is>
      </c>
      <c r="C20" s="10" t="inlineStr">
        <is>
          <t>Calendario de cumplimiento legal</t>
        </is>
      </c>
      <c r="D20" s="10" t="inlineStr">
        <is>
          <t>Poner por escrito la política de desconexión digital y comunicarla al equipo</t>
        </is>
      </c>
      <c r="E20" s="10" t="inlineStr">
        <is>
          <t>P01 · Marta L.</t>
        </is>
      </c>
      <c r="F20" s="11" t="n">
        <v>7</v>
      </c>
      <c r="G20" s="29">
        <f>IFERROR(IF(OR($F20="",$D$47=""),"",$D$47+7*($F20-1)),"")</f>
        <v>46314.0</v>
      </c>
      <c r="H20" s="30" t="n">
        <v>0</v>
      </c>
      <c r="I20" s="10" t="inlineStr">
        <is>
          <t>Pendiente</t>
        </is>
      </c>
      <c r="J20" s="31">
        <f>IFERROR(IF(OR($D20="",$H20=""),"",IF($I20="Cerrada",$H20,0)),"")</f>
        <v>0.0</v>
      </c>
      <c r="K20" s="10" t="n"/>
    </row>
    <row r="21" ht="34" customHeight="1">
      <c r="A21" s="8" t="n">
        <v>16</v>
      </c>
      <c r="B21" s="10" t="inlineStr">
        <is>
          <t>Personas</t>
        </is>
      </c>
      <c r="C21" s="10" t="inlineStr">
        <is>
          <t>Reuniones, acuerdos y plan de 90 días</t>
        </is>
      </c>
      <c r="D21" s="10" t="inlineStr">
        <is>
          <t>Uno-a-uno con las doce personas del equipo, uno por semana</t>
        </is>
      </c>
      <c r="E21" s="10" t="inlineStr">
        <is>
          <t>P01 · Marta L.</t>
        </is>
      </c>
      <c r="F21" s="11" t="n">
        <v>8</v>
      </c>
      <c r="G21" s="29">
        <f>IFERROR(IF(OR($F21="",$D$47=""),"",$D$47+7*($F21-1)),"")</f>
        <v>46321.0</v>
      </c>
      <c r="H21" s="30" t="n">
        <v>0</v>
      </c>
      <c r="I21" s="10" t="inlineStr">
        <is>
          <t>Pendiente</t>
        </is>
      </c>
      <c r="J21" s="31">
        <f>IFERROR(IF(OR($D21="",$H21=""),"",IF($I21="Cerrada",$H21,0)),"")</f>
        <v>0.0</v>
      </c>
      <c r="K21" s="10" t="n"/>
    </row>
    <row r="22" ht="34" customHeight="1">
      <c r="A22" s="8" t="n">
        <v>17</v>
      </c>
      <c r="B22" s="10" t="inlineStr">
        <is>
          <t>Servicio</t>
        </is>
      </c>
      <c r="C22" s="10" t="inlineStr">
        <is>
          <t>Quejas, reclamaciones y reseñas</t>
        </is>
      </c>
      <c r="D22" s="10" t="inlineStr">
        <is>
          <t>Medir el tiempo de espera de la primera bebida en todas las mesas durante dos semanas</t>
        </is>
      </c>
      <c r="E22" s="10" t="inlineStr">
        <is>
          <t>P08 · Carlos V.</t>
        </is>
      </c>
      <c r="F22" s="11" t="n">
        <v>9</v>
      </c>
      <c r="G22" s="29">
        <f>IFERROR(IF(OR($F22="",$D$47=""),"",$D$47+7*($F22-1)),"")</f>
        <v>46328.0</v>
      </c>
      <c r="H22" s="30" t="n">
        <v>0</v>
      </c>
      <c r="I22" s="10" t="inlineStr">
        <is>
          <t>Pendiente</t>
        </is>
      </c>
      <c r="J22" s="31">
        <f>IFERROR(IF(OR($D22="",$H22=""),"",IF($I22="Cerrada",$H22,0)),"")</f>
        <v>0.0</v>
      </c>
      <c r="K22" s="10" t="n"/>
    </row>
    <row r="23" ht="34" customHeight="1">
      <c r="A23" s="8" t="n">
        <v>18</v>
      </c>
      <c r="B23" s="10" t="inlineStr">
        <is>
          <t>Operaciones</t>
        </is>
      </c>
      <c r="C23" s="10" t="inlineStr">
        <is>
          <t>Cuadro de mando semanal</t>
        </is>
      </c>
      <c r="D23" s="10" t="inlineStr">
        <is>
          <t>Cuadrar horas trabajadas y horas de apertura en las cuatro semanas de más venta</t>
        </is>
      </c>
      <c r="E23" s="10" t="inlineStr">
        <is>
          <t>P01 · Marta L.</t>
        </is>
      </c>
      <c r="F23" s="11" t="n">
        <v>10</v>
      </c>
      <c r="G23" s="29">
        <f>IFERROR(IF(OR($F23="",$D$47=""),"",$D$47+7*($F23-1)),"")</f>
        <v>46335.0</v>
      </c>
      <c r="H23" s="30" t="n">
        <v>520</v>
      </c>
      <c r="I23" s="10" t="inlineStr">
        <is>
          <t>Pendiente</t>
        </is>
      </c>
      <c r="J23" s="31">
        <f>IFERROR(IF(OR($D23="",$H23=""),"",IF($I23="Cerrada",$H23,0)),"")</f>
        <v>0.0</v>
      </c>
      <c r="K23" s="10" t="n"/>
    </row>
    <row r="24" ht="34" customHeight="1">
      <c r="A24" s="8" t="n">
        <v>19</v>
      </c>
      <c r="B24" s="10" t="inlineStr">
        <is>
          <t>Cumplimiento</t>
        </is>
      </c>
      <c r="C24" s="10" t="inlineStr">
        <is>
          <t>Calendario de cumplimiento legal</t>
        </is>
      </c>
      <c r="D24" s="10" t="inlineStr">
        <is>
          <t>Pedir por escrito al proveedor del TPV la fecha de su versión adaptada a Verifactu</t>
        </is>
      </c>
      <c r="E24" s="10" t="inlineStr">
        <is>
          <t>P01 · Marta L.</t>
        </is>
      </c>
      <c r="F24" s="11" t="n">
        <v>11</v>
      </c>
      <c r="G24" s="29">
        <f>IFERROR(IF(OR($F24="",$D$47=""),"",$D$47+7*($F24-1)),"")</f>
        <v>46342.0</v>
      </c>
      <c r="H24" s="30" t="n">
        <v>0</v>
      </c>
      <c r="I24" s="10" t="inlineStr">
        <is>
          <t>Pendiente</t>
        </is>
      </c>
      <c r="J24" s="31">
        <f>IFERROR(IF(OR($D24="",$H24=""),"",IF($I24="Cerrada",$H24,0)),"")</f>
        <v>0.0</v>
      </c>
      <c r="K24" s="10" t="n"/>
    </row>
    <row r="25" ht="34" customHeight="1">
      <c r="A25" s="8" t="n">
        <v>20</v>
      </c>
      <c r="B25" s="10" t="inlineStr">
        <is>
          <t>Finanzas</t>
        </is>
      </c>
      <c r="C25" s="10" t="inlineStr">
        <is>
          <t>Reuniones, acuerdos y plan de 90 días</t>
        </is>
      </c>
      <c r="D25" s="10" t="inlineStr">
        <is>
          <t>Presentar al propietario el mes 0 contra el mes 3 con el cuadro semanal delante</t>
        </is>
      </c>
      <c r="E25" s="10" t="inlineStr">
        <is>
          <t>P01 · Marta L.</t>
        </is>
      </c>
      <c r="F25" s="11" t="n">
        <v>13</v>
      </c>
      <c r="G25" s="29">
        <f>IFERROR(IF(OR($F25="",$D$47=""),"",$D$47+7*($F25-1)),"")</f>
        <v>46356.0</v>
      </c>
      <c r="H25" s="30" t="n">
        <v>0</v>
      </c>
      <c r="I25" s="10" t="inlineStr">
        <is>
          <t>Pendiente</t>
        </is>
      </c>
      <c r="J25" s="31">
        <f>IFERROR(IF(OR($D25="",$H25=""),"",IF($I25="Cerrada",$H25,0)),"")</f>
        <v>0.0</v>
      </c>
      <c r="K25" s="10" t="n"/>
    </row>
    <row r="26" ht="34" customHeight="1">
      <c r="A26" s="8" t="n">
        <v>21</v>
      </c>
      <c r="B26" s="10" t="n"/>
      <c r="C26" s="10" t="n"/>
      <c r="D26" s="10" t="n"/>
      <c r="E26" s="10" t="n"/>
      <c r="F26" s="11" t="n"/>
      <c r="G26" s="29">
        <f>IFERROR(IF(OR($F26="",$D$47=""),"",$D$47+7*($F26-1)),"")</f>
        <v/>
      </c>
      <c r="H26" s="30" t="n"/>
      <c r="I26" s="10" t="n"/>
      <c r="J26" s="31">
        <f>IFERROR(IF(OR($D26="",$H26=""),"",IF($I26="Cerrada",$H26,0)),"")</f>
        <v/>
      </c>
      <c r="K26" s="10" t="n"/>
    </row>
    <row r="27" ht="34" customHeight="1">
      <c r="A27" s="8" t="n">
        <v>22</v>
      </c>
      <c r="B27" s="10" t="n"/>
      <c r="C27" s="10" t="n"/>
      <c r="D27" s="10" t="n"/>
      <c r="E27" s="10" t="n"/>
      <c r="F27" s="11" t="n"/>
      <c r="G27" s="29">
        <f>IFERROR(IF(OR($F27="",$D$47=""),"",$D$47+7*($F27-1)),"")</f>
        <v/>
      </c>
      <c r="H27" s="30" t="n"/>
      <c r="I27" s="10" t="n"/>
      <c r="J27" s="31">
        <f>IFERROR(IF(OR($D27="",$H27=""),"",IF($I27="Cerrada",$H27,0)),"")</f>
        <v/>
      </c>
      <c r="K27" s="10" t="n"/>
    </row>
    <row r="28" ht="34" customHeight="1">
      <c r="A28" s="8" t="n">
        <v>23</v>
      </c>
      <c r="B28" s="10" t="n"/>
      <c r="C28" s="10" t="n"/>
      <c r="D28" s="10" t="n"/>
      <c r="E28" s="10" t="n"/>
      <c r="F28" s="11" t="n"/>
      <c r="G28" s="29">
        <f>IFERROR(IF(OR($F28="",$D$47=""),"",$D$47+7*($F28-1)),"")</f>
        <v/>
      </c>
      <c r="H28" s="30" t="n"/>
      <c r="I28" s="10" t="n"/>
      <c r="J28" s="31">
        <f>IFERROR(IF(OR($D28="",$H28=""),"",IF($I28="Cerrada",$H28,0)),"")</f>
        <v/>
      </c>
      <c r="K28" s="10" t="n"/>
    </row>
    <row r="29" ht="34" customHeight="1">
      <c r="A29" s="8" t="n">
        <v>24</v>
      </c>
      <c r="B29" s="10" t="n"/>
      <c r="C29" s="10" t="n"/>
      <c r="D29" s="10" t="n"/>
      <c r="E29" s="10" t="n"/>
      <c r="F29" s="11" t="n"/>
      <c r="G29" s="29">
        <f>IFERROR(IF(OR($F29="",$D$47=""),"",$D$47+7*($F29-1)),"")</f>
        <v/>
      </c>
      <c r="H29" s="30" t="n"/>
      <c r="I29" s="10" t="n"/>
      <c r="J29" s="31">
        <f>IFERROR(IF(OR($D29="",$H29=""),"",IF($I29="Cerrada",$H29,0)),"")</f>
        <v/>
      </c>
      <c r="K29" s="10" t="n"/>
    </row>
    <row r="30" ht="34" customHeight="1">
      <c r="A30" s="8" t="n">
        <v>25</v>
      </c>
      <c r="B30" s="10" t="n"/>
      <c r="C30" s="10" t="n"/>
      <c r="D30" s="10" t="n"/>
      <c r="E30" s="10" t="n"/>
      <c r="F30" s="11" t="n"/>
      <c r="G30" s="29">
        <f>IFERROR(IF(OR($F30="",$D$47=""),"",$D$47+7*($F30-1)),"")</f>
        <v/>
      </c>
      <c r="H30" s="30" t="n"/>
      <c r="I30" s="10" t="n"/>
      <c r="J30" s="31">
        <f>IFERROR(IF(OR($D30="",$H30=""),"",IF($I30="Cerrada",$H30,0)),"")</f>
        <v/>
      </c>
      <c r="K30" s="10" t="n"/>
    </row>
    <row r="31" ht="34" customHeight="1">
      <c r="A31" s="8" t="n">
        <v>26</v>
      </c>
      <c r="B31" s="10" t="n"/>
      <c r="C31" s="10" t="n"/>
      <c r="D31" s="10" t="n"/>
      <c r="E31" s="10" t="n"/>
      <c r="F31" s="11" t="n"/>
      <c r="G31" s="29">
        <f>IFERROR(IF(OR($F31="",$D$47=""),"",$D$47+7*($F31-1)),"")</f>
        <v/>
      </c>
      <c r="H31" s="30" t="n"/>
      <c r="I31" s="10" t="n"/>
      <c r="J31" s="31">
        <f>IFERROR(IF(OR($D31="",$H31=""),"",IF($I31="Cerrada",$H31,0)),"")</f>
        <v/>
      </c>
      <c r="K31" s="10" t="n"/>
    </row>
    <row r="32" ht="34" customHeight="1">
      <c r="A32" s="8" t="n">
        <v>27</v>
      </c>
      <c r="B32" s="10" t="n"/>
      <c r="C32" s="10" t="n"/>
      <c r="D32" s="10" t="n"/>
      <c r="E32" s="10" t="n"/>
      <c r="F32" s="11" t="n"/>
      <c r="G32" s="29">
        <f>IFERROR(IF(OR($F32="",$D$47=""),"",$D$47+7*($F32-1)),"")</f>
        <v/>
      </c>
      <c r="H32" s="30" t="n"/>
      <c r="I32" s="10" t="n"/>
      <c r="J32" s="31">
        <f>IFERROR(IF(OR($D32="",$H32=""),"",IF($I32="Cerrada",$H32,0)),"")</f>
        <v/>
      </c>
      <c r="K32" s="10" t="n"/>
    </row>
    <row r="33" ht="34" customHeight="1">
      <c r="A33" s="8" t="n">
        <v>28</v>
      </c>
      <c r="B33" s="10" t="n"/>
      <c r="C33" s="10" t="n"/>
      <c r="D33" s="10" t="n"/>
      <c r="E33" s="10" t="n"/>
      <c r="F33" s="11" t="n"/>
      <c r="G33" s="29">
        <f>IFERROR(IF(OR($F33="",$D$47=""),"",$D$47+7*($F33-1)),"")</f>
        <v/>
      </c>
      <c r="H33" s="30" t="n"/>
      <c r="I33" s="10" t="n"/>
      <c r="J33" s="31">
        <f>IFERROR(IF(OR($D33="",$H33=""),"",IF($I33="Cerrada",$H33,0)),"")</f>
        <v/>
      </c>
      <c r="K33" s="10" t="n"/>
    </row>
    <row r="34"/>
    <row r="35">
      <c r="A35" s="12" t="inlineStr">
        <is>
          <t>RESUMEN Y PARÁMETROS — lo calcula el libro</t>
        </is>
      </c>
    </row>
    <row r="36">
      <c r="B36" t="inlineStr">
        <is>
          <t>Decisiones registradas</t>
        </is>
      </c>
      <c r="D36" s="8">
        <f>COUNTIF($D$6:$D$33,"&lt;&gt;")</f>
        <v>20.0</v>
      </c>
    </row>
    <row r="37">
      <c r="B37" t="inlineStr">
        <is>
          <t>En curso</t>
        </is>
      </c>
      <c r="D37" s="8">
        <f>COUNTIF($I$6:$I$33,"En curso")</f>
        <v>3.0</v>
      </c>
    </row>
    <row r="38">
      <c r="B38" t="inlineStr">
        <is>
          <t>Pendientes</t>
        </is>
      </c>
      <c r="D38" s="8">
        <f>COUNTIF($I$6:$I$33,"Pendiente")</f>
        <v>17.0</v>
      </c>
    </row>
    <row r="39">
      <c r="B39" t="inlineStr">
        <is>
          <t>Descartadas</t>
        </is>
      </c>
      <c r="D39" s="8">
        <f>COUNTIF($I$6:$I$33,"Descartada")</f>
        <v>0.0</v>
      </c>
    </row>
    <row r="40">
      <c r="B40" t="inlineStr">
        <is>
          <t>Cerradas</t>
        </is>
      </c>
      <c r="D40" s="8">
        <f>COUNTIF($I$6:$I$33,"Cerrada")</f>
        <v>0.0</v>
      </c>
    </row>
    <row r="41">
      <c r="B41" s="12" t="inlineStr">
        <is>
          <t>Decisiones cerradas (%)</t>
        </is>
      </c>
      <c r="D41" s="13">
        <f>IFERROR(IF($D$36=0,"",$D$40/$D$36),"")</f>
        <v>0.0</v>
      </c>
    </row>
    <row r="42">
      <c r="B42" s="14" t="inlineStr">
        <is>
          <t>IMPACTO TOTAL ESTIMADO (€/mes)</t>
        </is>
      </c>
      <c r="D42" s="32">
        <f>IFERROR(SUM($H$6:$H$33),"")</f>
        <v>1760.0</v>
      </c>
    </row>
    <row r="43">
      <c r="B43" t="inlineStr">
        <is>
          <t>Impacto ya conseguido (€/mes)</t>
        </is>
      </c>
      <c r="D43" s="33">
        <f>IFERROR(SUM($J$6:$J$33),"")</f>
        <v>0.0</v>
      </c>
    </row>
    <row r="44">
      <c r="B44" t="inlineStr">
        <is>
          <t>Impacto pendiente (€/mes)</t>
        </is>
      </c>
      <c r="D44" s="33">
        <f>IFERROR(IF(OR($D$42="",$D$43=""),"",$D$42-$D$43),"")</f>
        <v>1760.0</v>
      </c>
    </row>
    <row r="45">
      <c r="B45" t="inlineStr">
        <is>
          <t>Impacto total estimado a 12 meses (€)</t>
        </is>
      </c>
      <c r="D45" s="33">
        <f>IFERROR(IF($D$42="","",$D$42*12),"")</f>
        <v>21120.0</v>
      </c>
    </row>
    <row r="46"/>
    <row r="47">
      <c r="B47" t="inlineStr">
        <is>
          <t>Fecha de inicio del plan (lunes de la semana 1)</t>
        </is>
      </c>
      <c r="D47" s="24" t="n">
        <v>46272</v>
      </c>
      <c r="F47" s="4" t="inlineStr">
        <is>
          <t>La semana 1 empieza este día. De aquí salen todas las fechas objetivo. Cámbiala por la tuya.</t>
        </is>
      </c>
    </row>
    <row r="48">
      <c r="B48" t="inlineStr">
        <is>
          <t>Semanas del plan</t>
        </is>
      </c>
      <c r="D48" s="20" t="n">
        <v>13</v>
      </c>
      <c r="F48" s="4" t="inlineStr">
        <is>
          <t>Trece semanas son noventa días. Si tu trimestre es otro, cámbialo.</t>
        </is>
      </c>
    </row>
    <row r="49">
      <c r="B49" t="inlineStr">
        <is>
          <t>Fecha de cierre del plan</t>
        </is>
      </c>
      <c r="D49" s="34">
        <f>IFERROR(IF(OR($D$47="",$D$48=""),"",$D$47+7*$D$48-1),"")</f>
        <v>46362.0</v>
      </c>
    </row>
    <row r="50">
      <c r="B50" t="inlineStr">
        <is>
          <t>Semana en curso del plan</t>
        </is>
      </c>
      <c r="D50" s="8">
        <f>IFERROR(IF(OR($D$47="",$D$48="",'Actas y Acuerdos'!$C$5=""),"",IF('Actas y Acuerdos'!$C$5&lt;$D$47,"",MIN($D$48,INT(('Actas y Acuerdos'!$C$5-$D$47)/7)+1))),"")</f>
        <v/>
      </c>
    </row>
    <row r="51">
      <c r="B51" s="12" t="inlineStr">
        <is>
          <t>Avance del calendario (%)</t>
        </is>
      </c>
      <c r="D51" s="13">
        <f>IFERROR(IF(OR($D$47="",$D$48="",'Actas y Acuerdos'!$C$5=""),"",MAX(0,MIN(1,('Actas y Acuerdos'!$C$5-$D$47)/($D$48*7)))),"")</f>
        <v>0.0</v>
      </c>
    </row>
    <row r="52">
      <c r="B52" t="inlineStr">
        <is>
          <t>Objetivo de decisiones cerradas a 90 días (%)</t>
        </is>
      </c>
      <c r="D52" s="17" t="n">
        <v>0.8</v>
      </c>
      <c r="F52" s="4" t="inlineStr">
        <is>
          <t>Qué parte de las decisiones te comprometes a cerrar en el trimestre. Si el porcentaje cerrado se queda por debajo, la celda se pone en rojo.</t>
        </is>
      </c>
    </row>
    <row r="53"/>
    <row r="54">
      <c r="A54" s="12" t="inlineStr">
        <is>
          <t>RESUMEN POR ÁREA — lo calcula el libro</t>
        </is>
      </c>
    </row>
    <row r="55" ht="32" customHeight="1">
      <c r="B55" s="7" t="inlineStr">
        <is>
          <t>Área</t>
        </is>
      </c>
      <c r="C55" s="7" t="inlineStr">
        <is>
          <t>Decisiones</t>
        </is>
      </c>
      <c r="D55" s="7" t="inlineStr">
        <is>
          <t>Impacto estimado (€/mes)</t>
        </is>
      </c>
      <c r="E55" s="7" t="inlineStr">
        <is>
          <t>Impacto conseguido (€/mes)</t>
        </is>
      </c>
    </row>
    <row r="56">
      <c r="B56" s="12" t="inlineStr">
        <is>
          <t>Personas</t>
        </is>
      </c>
      <c r="C56" s="8">
        <f>COUNTIF($B$6:$B$33,$B56)</f>
        <v>5.0</v>
      </c>
      <c r="D56" s="33">
        <f>IFERROR(SUMIF($B$6:$B$33,$B56,$H$6:$H$33),"")</f>
        <v>0.0</v>
      </c>
      <c r="E56" s="33">
        <f>IFERROR(SUMPRODUCT(--($B$6:$B$33=$B56),--($I$6:$I$33="Cerrada"),$H$6:$H$33),"")</f>
        <v>0.0</v>
      </c>
    </row>
    <row r="57">
      <c r="B57" s="12" t="inlineStr">
        <is>
          <t>Servicio</t>
        </is>
      </c>
      <c r="C57" s="8">
        <f>COUNTIF($B$6:$B$33,$B57)</f>
        <v>4.0</v>
      </c>
      <c r="D57" s="33">
        <f>IFERROR(SUMIF($B$6:$B$33,$B57,$H$6:$H$33),"")</f>
        <v>220.0</v>
      </c>
      <c r="E57" s="33">
        <f>IFERROR(SUMPRODUCT(--($B$6:$B$33=$B57),--($I$6:$I$33="Cerrada"),$H$6:$H$33),"")</f>
        <v>0.0</v>
      </c>
    </row>
    <row r="58">
      <c r="B58" s="12" t="inlineStr">
        <is>
          <t>Operaciones</t>
        </is>
      </c>
      <c r="C58" s="8">
        <f>COUNTIF($B$6:$B$33,$B58)</f>
        <v>3.0</v>
      </c>
      <c r="D58" s="33">
        <f>IFERROR(SUMIF($B$6:$B$33,$B58,$H$6:$H$33),"")</f>
        <v>900.0</v>
      </c>
      <c r="E58" s="33">
        <f>IFERROR(SUMPRODUCT(--($B$6:$B$33=$B58),--($I$6:$I$33="Cerrada"),$H$6:$H$33),"")</f>
        <v>0.0</v>
      </c>
    </row>
    <row r="59">
      <c r="B59" s="12" t="inlineStr">
        <is>
          <t>Cumplimiento</t>
        </is>
      </c>
      <c r="C59" s="8">
        <f>COUNTIF($B$6:$B$33,$B59)</f>
        <v>4.0</v>
      </c>
      <c r="D59" s="33">
        <f>IFERROR(SUMIF($B$6:$B$33,$B59,$H$6:$H$33),"")</f>
        <v>0.0</v>
      </c>
      <c r="E59" s="33">
        <f>IFERROR(SUMPRODUCT(--($B$6:$B$33=$B59),--($I$6:$I$33="Cerrada"),$H$6:$H$33),"")</f>
        <v>0.0</v>
      </c>
    </row>
    <row r="60">
      <c r="B60" s="12" t="inlineStr">
        <is>
          <t>Finanzas</t>
        </is>
      </c>
      <c r="C60" s="8">
        <f>COUNTIF($B$6:$B$33,$B60)</f>
        <v>4.0</v>
      </c>
      <c r="D60" s="33">
        <f>IFERROR(SUMIF($B$6:$B$33,$B60,$H$6:$H$33),"")</f>
        <v>640.0</v>
      </c>
      <c r="E60" s="33">
        <f>IFERROR(SUMPRODUCT(--($B$6:$B$33=$B60),--($I$6:$I$33="Cerrada"),$H$6:$H$33),"")</f>
        <v>0.0</v>
      </c>
    </row>
    <row r="61"/>
    <row r="62">
      <c r="A62" s="12" t="inlineStr">
        <is>
          <t>RESUMEN POR HERRAMIENTA DE ORIGEN — lo calcula el libro</t>
        </is>
      </c>
    </row>
    <row r="63" ht="32" customHeight="1">
      <c r="B63" s="7" t="inlineStr">
        <is>
          <t>Herramienta de origen</t>
        </is>
      </c>
      <c r="C63" s="7" t="inlineStr">
        <is>
          <t>Decisiones</t>
        </is>
      </c>
      <c r="D63" s="7" t="inlineStr">
        <is>
          <t>Impacto estimado (€/mes)</t>
        </is>
      </c>
      <c r="E63" s="7" t="inlineStr">
        <is>
          <t>Impacto conseguido (€/mes)</t>
        </is>
      </c>
    </row>
    <row r="64">
      <c r="B64" s="12" t="inlineStr">
        <is>
          <t>Cuadro de mando semanal</t>
        </is>
      </c>
      <c r="C64" s="8">
        <f>COUNTIF($C$6:$C$33,$B64)</f>
        <v>5.0</v>
      </c>
      <c r="D64" s="33">
        <f>IFERROR(SUMIF($C$6:$C$33,$B64,$H$6:$H$33),"")</f>
        <v>1540.0</v>
      </c>
      <c r="E64" s="33">
        <f>IFERROR(SUMPRODUCT(--($C$6:$C$33=$B64),--($I$6:$I$33="Cerrada"),$H$6:$H$33),"")</f>
        <v>0.0</v>
      </c>
    </row>
    <row r="65">
      <c r="B65" s="12" t="inlineStr">
        <is>
          <t>Matriz de formación y polivalencia</t>
        </is>
      </c>
      <c r="C65" s="8">
        <f>COUNTIF($C$6:$C$33,$B65)</f>
        <v>2.0</v>
      </c>
      <c r="D65" s="33">
        <f>IFERROR(SUMIF($C$6:$C$33,$B65,$H$6:$H$33),"")</f>
        <v>0.0</v>
      </c>
      <c r="E65" s="33">
        <f>IFERROR(SUMPRODUCT(--($C$6:$C$33=$B65),--($I$6:$I$33="Cerrada"),$H$6:$H$33),"")</f>
        <v>0.0</v>
      </c>
    </row>
    <row r="66">
      <c r="B66" s="12" t="inlineStr">
        <is>
          <t>Quejas, reclamaciones y reseñas</t>
        </is>
      </c>
      <c r="C66" s="8">
        <f>COUNTIF($C$6:$C$33,$B66)</f>
        <v>3.0</v>
      </c>
      <c r="D66" s="33">
        <f>IFERROR(SUMIF($C$6:$C$33,$B66,$H$6:$H$33),"")</f>
        <v>220.0</v>
      </c>
      <c r="E66" s="33">
        <f>IFERROR(SUMPRODUCT(--($C$6:$C$33=$B66),--($I$6:$I$33="Cerrada"),$H$6:$H$33),"")</f>
        <v>0.0</v>
      </c>
    </row>
    <row r="67">
      <c r="B67" s="12" t="inlineStr">
        <is>
          <t>Scorecard de selección</t>
        </is>
      </c>
      <c r="C67" s="8">
        <f>COUNTIF($C$6:$C$33,$B67)</f>
        <v>1.0</v>
      </c>
      <c r="D67" s="33">
        <f>IFERROR(SUMIF($C$6:$C$33,$B67,$H$6:$H$33),"")</f>
        <v>0.0</v>
      </c>
      <c r="E67" s="33">
        <f>IFERROR(SUMPRODUCT(--($C$6:$C$33=$B67),--($I$6:$I$33="Cerrada"),$H$6:$H$33),"")</f>
        <v>0.0</v>
      </c>
    </row>
    <row r="68">
      <c r="B68" s="12" t="inlineStr">
        <is>
          <t>Calendario de cumplimiento legal</t>
        </is>
      </c>
      <c r="C68" s="8">
        <f>COUNTIF($C$6:$C$33,$B68)</f>
        <v>4.0</v>
      </c>
      <c r="D68" s="33">
        <f>IFERROR(SUMIF($C$6:$C$33,$B68,$H$6:$H$33),"")</f>
        <v>0.0</v>
      </c>
      <c r="E68" s="33">
        <f>IFERROR(SUMPRODUCT(--($C$6:$C$33=$B68),--($I$6:$I$33="Cerrada"),$H$6:$H$33),"")</f>
        <v>0.0</v>
      </c>
    </row>
    <row r="69">
      <c r="B69" s="12" t="inlineStr">
        <is>
          <t>Reuniones, acuerdos y plan de 90 días</t>
        </is>
      </c>
      <c r="C69" s="8">
        <f>COUNTIF($C$6:$C$33,$B69)</f>
        <v>3.0</v>
      </c>
      <c r="D69" s="33">
        <f>IFERROR(SUMIF($C$6:$C$33,$B69,$H$6:$H$33),"")</f>
        <v>0.0</v>
      </c>
      <c r="E69" s="33">
        <f>IFERROR(SUMPRODUCT(--($C$6:$C$33=$B69),--($I$6:$I$33="Cerrada"),$H$6:$H$33),"")</f>
        <v>0.0</v>
      </c>
    </row>
    <row r="70">
      <c r="B70" s="12" t="inlineStr">
        <is>
          <t>Auditoría interna de servicio</t>
        </is>
      </c>
      <c r="C70" s="8">
        <f>COUNTIF($C$6:$C$33,$B70)</f>
        <v>2.0</v>
      </c>
      <c r="D70" s="33">
        <f>IFERROR(SUMIF($C$6:$C$33,$B70,$H$6:$H$33),"")</f>
        <v>0.0</v>
      </c>
      <c r="E70" s="33">
        <f>IFERROR(SUMPRODUCT(--($C$6:$C$33=$B70),--($I$6:$I$33="Cerrada"),$H$6:$H$33),"")</f>
        <v>0.0</v>
      </c>
    </row>
    <row r="71"/>
    <row r="72" ht="44" customHeight="1">
      <c r="B72" s="6" t="inlineStr">
        <is>
          <t>A los 90 días, vuelve a las siete herramientas con los datos nuevos: el cuadro de mando semanal te dirá si el prime cost se movió, la matriz si el punto único de fallo sigue ahí y el calendario legal si queda algo vencido. Y se abre el trimestre siguiente.</t>
        </is>
      </c>
    </row>
  </sheetData>
  <sheetProtection selectLockedCells="0" selectUnlockedCells="0" sheet="1" objects="0" insertRows="0" insertHyperlinks="1" autoFilter="1" scenarios="0" formatColumns="0" deleteColumns="1" insertColumns="1" pivotTables="1" deleteRows="1" formatCells="1" formatRows="0" sort="0"/>
  <conditionalFormatting sqref="I6:I33">
    <cfRule type="cellIs" priority="1" operator="equal" dxfId="0" stopIfTrue="1">
      <formula>"Cerrada"</formula>
    </cfRule>
    <cfRule type="cellIs" priority="2" operator="equal" dxfId="2" stopIfTrue="1">
      <formula>"En curso"</formula>
    </cfRule>
    <cfRule type="cellIs" priority="3" operator="equal" dxfId="1" stopIfTrue="1">
      <formula>"Pendiente"</formula>
    </cfRule>
    <cfRule type="cellIs" priority="4" operator="equal" dxfId="1" stopIfTrue="1">
      <formula>"Descartada"</formula>
    </cfRule>
  </conditionalFormatting>
  <conditionalFormatting sqref="D41">
    <cfRule type="expression" priority="5" dxfId="3" stopIfTrue="1">
      <formula>=AND(ISNUMBER($D$41),$D$41&lt;$D$52)</formula>
    </cfRule>
  </conditionalFormatting>
  <dataValidations count="9">
    <dataValidation sqref="B6 B7 B8 B9 B10 B11 B12 B13 B14 B15 B16 B17 B18 B19 B20 B21 B22 B23 B24 B25 B26 B27 B28 B29 B30 B31 B32 B33" showDropDown="0" showInputMessage="0" showErrorMessage="1" allowBlank="1" errorTitle="Área del plan" error="Elige un valor de la lista: Personas, Servicio, Operaciones, Cumplimiento, Finanzas" type="list">
      <formula1>"Personas,Servicio,Operaciones,Cumplimiento,Finanzas"</formula1>
    </dataValidation>
    <dataValidation sqref="E6 E7 E8 E9 E10 E11 E12 E13 E14 E15 E16 E17 E18 E19 E20 E21 E22 E23 E24 E25 E26 E27 E28 E29 E30 E31 E32 E33" showDropDown="0" showInputMessage="0" showErrorMessage="1" allowBlank="1" errorTitle="Responsable" error="Elige un valor de la lista: P01 · Marta L., P02 · Iván R., P03 · Nuria C., P04 · Diego M., P05 · Laura S., P06 · Omar B., P07 · Rocío F., P08 · Carlos V., P09 · Elena T., P10 · Youssef A., P11 · Paula G., P12 · Andrés P." type="list">
      <formula1>"P01 · Marta L.,P02 · Iván R.,P03 · Nuria C.,P04 · Diego M.,P05 · Laura S.,P06 · Omar B.,P07 · Rocío F.,P08 · Carlos V.,P09 · Elena T.,P10 · Youssef A.,P11 · Paula G.,P12 · Andrés P."</formula1>
    </dataValidation>
    <dataValidation sqref="I6 I7 I8 I9 I10 I11 I12 I13 I14 I15 I16 I17 I18 I19 I20 I21 I22 I23 I24 I25 I26 I27 I28 I29 I30 I31 I32 I33" showDropDown="0" showInputMessage="0" showErrorMessage="1" allowBlank="1" errorTitle="Estado de la decisión" error="Elige un valor de la lista: Pendiente, En curso, Cerrada, Descartada" type="list">
      <formula1>"Pendiente,En curso,Cerrada,Descartada"</formula1>
    </dataValidation>
    <dataValidation sqref="F6 F7 F8 F9 F10 F11 F12 F13 F14 F15 F16 F17 F18 F19 F20 F21 F22 F23 F24 F25 F26 F27 F28 F29 F30 F31 F32 F33" showDropDown="0" showInputMessage="0" showErrorMessage="1" allowBlank="1" errorTitle="Semana del plan" error="El plan tiene 13 semanas: escribe un número entre 1 y 13." type="decimal" operator="between">
      <formula1>1</formula1>
      <formula2>13</formula2>
    </dataValidation>
    <dataValidation sqref="H6 H7 H8 H9 H10 H11 H12 H13 H14 H15 H16 H17 H18 H19 H20 H21 H22 H23 H24 H25 H26 H27 H28 H29 H30 H31 H32 H33" showDropDown="0" showInputMessage="0" showErrorMessage="1" allowBlank="1" errorTitle="Impacto estimado" error="Escribe el impacto estimado en euros al mes (0 o más)." type="decimal" operator="greaterThanOrEqual">
      <formula1>0</formula1>
    </dataValidation>
    <dataValidation sqref="D47" showDropDown="0" showInputMessage="0" showErrorMessage="1" allowBlank="1" errorTitle="Fecha no válida" error="Escribe una fecha (dd/mm/aaaa) entre 2020 y 2040." type="date" operator="between">
      <formula1>DATE(2020,1,1)</formula1>
      <formula2>DATE(2040,12,31)</formula2>
    </dataValidation>
    <dataValidation sqref="D48" showDropDown="0" showInputMessage="0" showErrorMessage="1" allowBlank="1" errorTitle="Semanas del plan" error="Escribe cuántas semanas dura el plan (1-52)." type="decimal" operator="between">
      <formula1>1</formula1>
      <formula2>52</formula2>
    </dataValidation>
    <dataValidation sqref="D52" showDropDown="0" showInputMessage="1" showErrorMessage="1" allowBlank="1" errorTitle="Objetivo de cierre" error="Escribe un porcentaje entre 0 y 1 (0,20 = 20 %)." promptTitle="Objetivo de cierre" prompt="Se escribe en tanto por uno: 0,80 = 80 %." type="decimal" operator="between">
      <formula1>0</formula1>
      <formula2>1.0</formula2>
    </dataValidation>
    <dataValidation sqref="C6 C7 C8 C9 C10 C11 C12 C13 C14 C15 C16 C17 C18 C19 C20 C21 C22 C23 C24 C25 C26 C27 C28 C29 C30 C31 C32 C33" showDropDown="0" showInputMessage="0" showErrorMessage="1" allowBlank="1" errorTitle="Herramienta no válida" error="Elige una de las siete herramientas del pack (la lista está en el bloque «Resumen por herramienta de origen» de esta misma hoja)." type="list">
      <formula1>'Plan 90 Días'!$B$64:$B$70</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Reuniones, Acuerdos y Plan de 90 Días</dc:title>
  <dc:subject xmlns:dc="http://purl.org/dc/elements/1.1/">Manual del Manager de Restaurante · v1.0 · septiembre 2026</dc:subject>
  <dcterms:created xmlns:dcterms="http://purl.org/dc/terms/" xmlns:xsi="http://www.w3.org/2001/XMLSchema-instance" xsi:type="dcterms:W3CDTF">2026-09-04T21:04:55Z</dcterms:created>
  <dcterms:modified xmlns:dcterms="http://purl.org/dc/terms/" xmlns:xsi="http://www.w3.org/2001/XMLSchema-instance" xsi:type="dcterms:W3CDTF">2026-09-04T21:04:56Z</dcterms:modified>
  <cp:lastModifiedBy>AI Chef Pro</cp:lastModifiedBy>
</cp:coreProperties>
</file>