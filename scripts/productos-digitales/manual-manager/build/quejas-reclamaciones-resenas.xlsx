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Registro de Quejas" sheetId="3" state="visible" r:id="rId3"/>
    <sheet xmlns:r="http://schemas.openxmlformats.org/officeDocument/2006/relationships" name="Reclamaciones Formales" sheetId="4" state="visible" r:id="rId4"/>
    <sheet xmlns:r="http://schemas.openxmlformats.org/officeDocument/2006/relationships" name="Reseñas" sheetId="5" state="visible" r:id="rId5"/>
    <sheet xmlns:r="http://schemas.openxmlformats.org/officeDocument/2006/relationships" name="Resumen" sheetId="6" state="visible" r:id="rId6"/>
  </sheets>
  <definedNames>
    <definedName name="_xlnm.Print_Titles" localSheetId="2">'Registro de Quejas'!$4:$4</definedName>
    <definedName name="_xlnm.Print_Titles" localSheetId="3">'Reclamaciones Formales'!$4:$4</definedName>
    <definedName name="_xlnm.Print_Titles" localSheetId="4">'Reseñas'!$4:$4</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mmm yyyy"/>
    <numFmt numFmtId="167" formatCode="0.0%"/>
    <numFmt numFmtId="168" formatCode="#,##0.0"/>
  </numFmts>
  <fonts count="8">
    <font>
      <name val="Calibri"/>
      <family val="2"/>
      <color theme="1"/>
      <sz val="11"/>
      <scheme val="minor"/>
    </font>
    <font>
      <b val="1"/>
      <color theme="1"/>
      <sz val="11"/>
    </font>
    <font>
      <b val="1"/>
      <color rgb="00FFD700"/>
      <sz val="16"/>
    </font>
    <font>
      <color rgb="00888888"/>
      <sz val="10"/>
    </font>
    <font>
      <b val="1"/>
      <color rgb="00FFD700"/>
      <sz val="12"/>
    </font>
    <font>
      <b val="1"/>
      <color rgb="00FFFFFF"/>
    </font>
    <font>
      <color rgb="00888888"/>
      <sz val="9"/>
    </font>
    <font>
      <color theme="1"/>
      <sz val="1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8E1"/>
      </patternFill>
    </fill>
  </fills>
  <borders count="1">
    <border>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3" fontId="0" fillId="0" borderId="0" pivotButton="0" quotePrefix="0" xfId="0"/>
    <xf numFmtId="3" fontId="0" fillId="2" borderId="0" applyProtection="1" pivotButton="0" quotePrefix="0" xfId="0">
      <protection locked="0" hidden="0"/>
    </xf>
    <xf numFmtId="3" fontId="0" fillId="4" borderId="0" pivotButton="0" quotePrefix="0" xfId="0"/>
    <xf numFmtId="0" fontId="6" fillId="0" borderId="0" applyAlignment="1" pivotButton="0" quotePrefix="0" xfId="0">
      <alignment horizontal="general" vertical="top" wrapText="1"/>
    </xf>
    <xf numFmtId="165" fontId="0" fillId="2" borderId="0" applyProtection="1" pivotButton="0" quotePrefix="0" xfId="0">
      <protection locked="0" hidden="0"/>
    </xf>
    <xf numFmtId="0" fontId="0" fillId="2" borderId="0" applyAlignment="1" applyProtection="1" pivotButton="0" quotePrefix="0" xfId="0">
      <alignment horizontal="general" vertical="top" wrapText="1"/>
      <protection locked="0" hidden="0"/>
    </xf>
    <xf numFmtId="0" fontId="1" fillId="0" borderId="0" pivotButton="0" quotePrefix="0" xfId="0"/>
    <xf numFmtId="166" fontId="0" fillId="0" borderId="0" pivotButton="0" quotePrefix="0" xfId="0"/>
    <xf numFmtId="167" fontId="7" fillId="2" borderId="0" applyProtection="1" pivotButton="0" quotePrefix="0" xfId="0">
      <protection locked="0" hidden="0"/>
    </xf>
    <xf numFmtId="4" fontId="7" fillId="2" borderId="0" applyProtection="1" pivotButton="0" quotePrefix="0" xfId="0">
      <protection locked="0" hidden="0"/>
    </xf>
    <xf numFmtId="3" fontId="7" fillId="0" borderId="0" pivotButton="0" quotePrefix="0" xfId="0"/>
    <xf numFmtId="0" fontId="1" fillId="5" borderId="0" pivotButton="0" quotePrefix="0" xfId="0"/>
    <xf numFmtId="168" fontId="7" fillId="0" borderId="0" pivotButton="0" quotePrefix="0" xfId="0"/>
    <xf numFmtId="167" fontId="1" fillId="5" borderId="0" pivotButton="0" quotePrefix="0" xfId="0"/>
    <xf numFmtId="167" fontId="0" fillId="0" borderId="0" pivotButton="0" quotePrefix="0" xfId="0"/>
    <xf numFmtId="168" fontId="0" fillId="0" borderId="0" pivotButton="0" quotePrefix="0" xfId="0"/>
    <xf numFmtId="3" fontId="1" fillId="5" borderId="0" pivotButton="0" quotePrefix="0" xfId="0"/>
    <xf numFmtId="167" fontId="7" fillId="0" borderId="0" pivotButton="0" quotePrefix="0" xfId="0"/>
    <xf numFmtId="4" fontId="1" fillId="5" borderId="0" pivotButton="0" quotePrefix="0" xfId="0"/>
    <xf numFmtId="166" fontId="0" fillId="2" borderId="0" applyProtection="1" pivotButton="0" quotePrefix="0" xfId="0">
      <protection locked="0" hidden="0"/>
    </xf>
    <xf numFmtId="4"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8" customWidth="1" min="1" max="1"/>
  </cols>
  <sheetData>
    <row r="1">
      <c r="A1" s="1" t="inlineStr">
        <is>
          <t>Quejas, Reclamaciones Formales y Reseñas</t>
        </is>
      </c>
    </row>
    <row r="2">
      <c r="A2" s="2" t="inlineStr">
        <is>
          <t>AI Chef Pro · aichef.pro — Manual del Manager de Restaurante</t>
        </is>
      </c>
    </row>
    <row r="3"/>
    <row r="4">
      <c r="A4" s="3" t="inlineStr">
        <is>
          <t>Instrucciones de uso</t>
        </is>
      </c>
    </row>
    <row r="5">
      <c r="A5" s="4" t="inlineStr">
        <is>
          <t>1. Abre «Parámetros» y pon TU SLA: cuántas horas te das para cerrar una queja leve, una media y una grave. Es un compromiso de la casa, no una norma: por eso está en celda verde.</t>
        </is>
      </c>
    </row>
    <row r="6">
      <c r="A6" s="4" t="inlineStr">
        <is>
          <t>2. En la misma hoja, busca tu comunidad en la tabla de plazos legales. Sólo vienen sembradas Cataluña y Andalucía, que son las dos verificadas contra la norma. Si la tuya no está, escribe su plazo y su norma en la fila «Otras comunidades»: el libro la usará igual.</t>
        </is>
      </c>
    </row>
    <row r="7">
      <c r="A7" s="4" t="inlineStr">
        <is>
          <t>3. Registra cada queja en «Registro de Quejas» según ocurre. Fecha, canal, motivo de la lista, gravedad de 1 a 3, quién la atiende, qué se hizo y la fecha en que quedó cerrada. El libro calcula solo las horas que tardaste, el SLA que le tocaba y si lo cumpliste.</t>
        </is>
      </c>
    </row>
    <row r="8">
      <c r="A8" s="4" t="inlineStr">
        <is>
          <t>4. Una hoja OFICIAL de reclamaciones no es una queja: va a «Reclamaciones Formales», con su número, la comunidad y la fecha en que contestaste por escrito. El libro trae el plazo legal de esa comunidad y te dice si llegaste a tiempo.</t>
        </is>
      </c>
    </row>
    <row r="9">
      <c r="A9" s="4" t="inlineStr">
        <is>
          <t>5. Vuelca las reseñas en «Reseñas»: plataforma, fecha, estrellas, de qué va y si está respondida. El mes lo calcula el libro.</t>
        </is>
      </c>
    </row>
    <row r="10">
      <c r="A10" s="4" t="inlineStr">
        <is>
          <t>6. Lee «Resumen» una vez al mes. Ahí está lo que importa: cuál es el motivo que más se repite, cuánto tardas de media en cerrar, qué porcentaje de SLA cumples, si alguna reclamación se contestó fuera de plazo y cómo se mueve la media de estrellas mes a mes.</t>
        </is>
      </c>
    </row>
    <row r="11">
      <c r="A11" s="4" t="inlineStr">
        <is>
          <t>7. Si un motivo concentra las quejas, deja de tratarlo como incidentes sueltos: es un problema de proceso. Llévalo al plan de acción del libro de reuniones y ponle responsable y fecha.</t>
        </is>
      </c>
    </row>
    <row r="12"/>
    <row r="13">
      <c r="A13" s="5" t="inlineStr">
        <is>
          <t>Celdas verdes = campos editables</t>
        </is>
      </c>
    </row>
    <row r="14"/>
    <row r="15">
      <c r="A15" s="4" t="inlineStr">
        <is>
          <t>QUEJA, RECLAMACIÓN Y RESEÑA NO SON LO MISMO, y por eso son tres hojas. La queja se resuelve en sala y se mide contra el SLA que se pone la casa. La hoja oficial de reclamaciones es un procedimiento administrativo con un plazo de respuesta que fija tu comunidad autónoma. La reseña es pública, la lee quien todavía no ha venido, y se responde.</t>
        </is>
      </c>
    </row>
    <row r="16"/>
    <row r="17">
      <c r="A17" s="4" t="inlineStr">
        <is>
          <t>La hoja oficial de reclamaciones es competencia AUTONÓMICA: el modelo, el cartel obligatorio y el plazo de respuesta cambian de una comunidad a otra. Este libro sólo siembra las dos comunidades cuyo plazo se ha verificado contra la norma, con su fecha de verificación y su URL. Para el resto, la celda está vacía a propósito.</t>
        </is>
      </c>
    </row>
    <row r="18"/>
    <row r="19">
      <c r="A19" s="4" t="inlineStr">
        <is>
          <t>Los días que cuenta el libro son NATURALES. Cuando tu comunidad cuenta días HÁBILES, la columna «Se cuentan» lo dice y la comparación queda del lado seguro: te avisará antes de tiempo, nunca después. Para un expediente real, cuenta los hábiles de tu calendario.</t>
        </is>
      </c>
    </row>
    <row r="20"/>
    <row r="21">
      <c r="A21" s="4" t="inlineStr">
        <is>
          <t>Las 30 quejas, las 3 reclamaciones y las 40 reseñas sembradas son un EJEMPLO del restaurante modelado del pack. Bórralas y pon las tuyas: el libro sigue funcionando con las filas vacías.</t>
        </is>
      </c>
    </row>
    <row r="22"/>
    <row r="23">
      <c r="A23" s="4" t="inlineStr">
        <is>
          <t>El SLA es tuyo, no de la ley. Ponlo donde puedas cumplirlo: un SLA que incumples el 40 por ciento de las veces no mide nada.</t>
        </is>
      </c>
    </row>
    <row r="24"/>
    <row r="25">
      <c r="A25" s="4" t="inlineStr">
        <is>
          <t>Una gravedad 3 (riesgo sanitario, legal o reputacional) no se cierra sin respuesta escrita. Si además pide la hoja oficial, esa misma incidencia tiene que aparecer en las DOS hojas: en el registro de quejas y en el de reclamaciones formales.</t>
        </is>
      </c>
    </row>
    <row r="26"/>
    <row r="27">
      <c r="A27" s="4" t="inlineStr">
        <is>
          <t>Este libro NO sustituye al asesoramiento jurídico ni al expediente de consumo. Es el registro operativo que te permite llegar a ese expediente con las fechas puestas.</t>
        </is>
      </c>
    </row>
    <row r="28"/>
    <row r="29">
      <c r="A29" s="4" t="inlineStr">
        <is>
          <t>Para editar la estructura o una celda que no esté en verde: Revisar, Desproteger hoja (no tiene contraseña).</t>
        </is>
      </c>
    </row>
    <row r="30">
      <c r="A30" s="4" t="inlineStr">
        <is>
          <t>Diseñado por John Guerrero — chef y consultor gastronómico desde 2010 · johnguerrero.es</t>
        </is>
      </c>
    </row>
    <row r="31">
      <c r="A31"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41"/>
  <sheetViews>
    <sheetView workbookViewId="0">
      <selection activeCell="A1" sqref="A1"/>
    </sheetView>
  </sheetViews>
  <sheetFormatPr baseColWidth="8" defaultRowHeight="15"/>
  <cols>
    <col width="22" customWidth="1" min="1" max="1"/>
    <col width="18" customWidth="1" min="2" max="2"/>
    <col width="14" customWidth="1" min="3" max="3"/>
    <col width="12" customWidth="1" min="4" max="4"/>
    <col width="4" customWidth="1" min="5" max="5"/>
    <col width="90" customWidth="1" min="6" max="6"/>
  </cols>
  <sheetData>
    <row r="1">
      <c r="A1" s="1" t="inlineStr">
        <is>
          <t>Parámetros — el SLA es tuyo; el plazo legal, de tu comunidad</t>
        </is>
      </c>
    </row>
    <row r="2">
      <c r="A2" s="2" t="inlineStr">
        <is>
          <t>AI Chef Pro · aichef.pro — Manual del Manager de Restaurante</t>
        </is>
      </c>
    </row>
    <row r="3"/>
    <row r="4">
      <c r="A4" s="3" t="inlineStr">
        <is>
          <t>SLA DE LA CASA POR GRAVEDAD DE LA QUEJA</t>
        </is>
      </c>
    </row>
    <row r="5" ht="38" customHeight="1">
      <c r="A5" s="6" t="inlineStr">
        <is>
          <t>Gravedad (1-3)</t>
        </is>
      </c>
      <c r="B5" s="6" t="inlineStr">
        <is>
          <t>Qué significa</t>
        </is>
      </c>
      <c r="C5" s="6" t="inlineStr">
        <is>
          <t>SLA de cierre (horas)</t>
        </is>
      </c>
      <c r="D5" s="6" t="inlineStr"/>
      <c r="E5" s="6" t="inlineStr"/>
      <c r="F5" s="6" t="inlineStr">
        <is>
          <t>Notas y fuente</t>
        </is>
      </c>
    </row>
    <row r="6">
      <c r="A6" s="7" t="n">
        <v>1</v>
      </c>
      <c r="B6" s="4" t="inlineStr">
        <is>
          <t>Leve: molestia sin impacto en la experiencia</t>
        </is>
      </c>
      <c r="C6" s="8" t="n">
        <v>72</v>
      </c>
      <c r="F6" s="4" t="inlineStr">
        <is>
          <t>El SLA es un compromiso de la casa, no una obligación legal. La escala de gravedad es la del capítulo 17 del manual.</t>
        </is>
      </c>
    </row>
    <row r="7">
      <c r="A7" s="7" t="n">
        <v>2</v>
      </c>
      <c r="B7" s="4" t="inlineStr">
        <is>
          <t>Media: afecta a la experiencia de la mesa</t>
        </is>
      </c>
      <c r="C7" s="8" t="n">
        <v>48</v>
      </c>
    </row>
    <row r="8">
      <c r="A8" s="7" t="n">
        <v>3</v>
      </c>
      <c r="B8" s="4" t="inlineStr">
        <is>
          <t>Grave: riesgo sanitario, legal o reputacional</t>
        </is>
      </c>
      <c r="C8" s="8" t="n">
        <v>24</v>
      </c>
    </row>
    <row r="9"/>
    <row r="10">
      <c r="A10" s="3" t="inlineStr">
        <is>
          <t>CONSTANTE DE CÁLCULO</t>
        </is>
      </c>
    </row>
    <row r="11">
      <c r="A11" t="inlineStr">
        <is>
          <t>Horas que tiene un día</t>
        </is>
      </c>
      <c r="C11" s="9" t="n">
        <v>24</v>
      </c>
      <c r="F11" s="4" t="inlineStr">
        <is>
          <t>Excel resta fechas en DÍAS. Esta celda convierte esa resta en horas para poder compararla con el SLA. No es un parámetro de tu negocio: por eso no está en verde.</t>
        </is>
      </c>
    </row>
    <row r="12"/>
    <row r="13">
      <c r="A13" s="3" t="inlineStr">
        <is>
          <t>PLAZO LEGAL DE RESPUESTA A LA HOJA OFICIAL DE RECLAMACIONES, POR COMUNIDAD</t>
        </is>
      </c>
    </row>
    <row r="14" ht="38" customHeight="1">
      <c r="A14" s="6" t="inlineStr">
        <is>
          <t>Comunidad</t>
        </is>
      </c>
      <c r="B14" s="6" t="inlineStr">
        <is>
          <t>Plazo legal</t>
        </is>
      </c>
      <c r="C14" s="6" t="inlineStr">
        <is>
          <t>Días para el aviso</t>
        </is>
      </c>
      <c r="D14" s="6" t="inlineStr">
        <is>
          <t>Se cuentan</t>
        </is>
      </c>
      <c r="E14" s="6" t="inlineStr"/>
      <c r="F14" s="6" t="inlineStr">
        <is>
          <t>Norma, verificación y URL</t>
        </is>
      </c>
    </row>
    <row r="15">
      <c r="A15" t="inlineStr">
        <is>
          <t>Cataluña</t>
        </is>
      </c>
      <c r="B15" s="5" t="inlineStr">
        <is>
          <t>1 mes</t>
        </is>
      </c>
      <c r="C15" s="8" t="n">
        <v>30</v>
      </c>
      <c r="D15" s="5" t="inlineStr">
        <is>
          <t>Naturales</t>
        </is>
      </c>
      <c r="F15" s="4" t="inlineStr">
        <is>
          <t>Verificado el 04-09-2026 · Decret 121/2013 y Codi de consum de Cataluña (Llei 22/2010), art. 126-9: hay que contestar en el plazo máximo de 1 mes desde la presentación de la hoja · https://www.boe.es/buscar/act.php?id=BOE-A-2010-13115</t>
        </is>
      </c>
    </row>
    <row r="16">
      <c r="A16" t="inlineStr">
        <is>
          <t>Andalucía</t>
        </is>
      </c>
      <c r="B16" s="5" t="inlineStr">
        <is>
          <t>10 días hábiles</t>
        </is>
      </c>
      <c r="C16" s="8" t="n">
        <v>10</v>
      </c>
      <c r="D16" s="5" t="inlineStr">
        <is>
          <t>Hábiles</t>
        </is>
      </c>
      <c r="F16" s="4" t="inlineStr">
        <is>
          <t>Verificado el 04-09-2026 · Decreto 82/2022, arts. 4, 7 y 12: respuesta por escrito en 10 días hábiles, cartel de tamaño mínimo DIN-A4 con letra de 0,7 cm o más, y hoja electrónica obligatoria desde mayo de 2026 · https://www.juntadeandalucia.es/boja/2022/95/42</t>
        </is>
      </c>
    </row>
    <row r="17">
      <c r="A17" t="inlineStr">
        <is>
          <t>Otras comunidades</t>
        </is>
      </c>
      <c r="B17" s="5" t="inlineStr"/>
      <c r="C17" s="8" t="n"/>
      <c r="D17" s="5" t="inlineStr"/>
      <c r="F17" s="4" t="inlineStr">
        <is>
          <t>Consulta tu comunidad: la hoja oficial de reclamaciones es competencia AUTONÓMICA y el plazo cambia de una a otra. Escribe aquí el tuyo, con la norma que lo fija, y el libro lo usará en la hoja «Reclamaciones Formales».</t>
        </is>
      </c>
    </row>
    <row r="18"/>
    <row r="19">
      <c r="A19" s="3" t="inlineStr">
        <is>
          <t>MOTIVOS DE QUEJA (lista cerrada del registro)</t>
        </is>
      </c>
    </row>
    <row r="20" ht="26" customHeight="1">
      <c r="A20" s="6" t="inlineStr">
        <is>
          <t>Motivo</t>
        </is>
      </c>
      <c r="B20" s="6" t="inlineStr">
        <is>
          <t>Qué recoge</t>
        </is>
      </c>
    </row>
    <row r="21">
      <c r="A21" t="inlineStr">
        <is>
          <t>Espera excesiva</t>
        </is>
      </c>
      <c r="B21" s="4" t="inlineStr">
        <is>
          <t>Tiempo de espera para sentarse, para la comanda o para que salga el plato.</t>
        </is>
      </c>
      <c r="F21" s="4" t="inlineStr">
        <is>
          <t>La lista es cerrada A PROPÓSITO: si cada queja se escribe con palabras distintas, el resumen no puede contar cuál se repite, que es justo lo que hay que ver.</t>
        </is>
      </c>
    </row>
    <row r="22">
      <c r="A22" t="inlineStr">
        <is>
          <t>Plato frío o mal temperado</t>
        </is>
      </c>
      <c r="B22" s="4" t="inlineStr">
        <is>
          <t>Temperatura de servicio fuera del estándar de la ficha.</t>
        </is>
      </c>
    </row>
    <row r="23">
      <c r="A23" t="inlineStr">
        <is>
          <t>Error en la comanda</t>
        </is>
      </c>
      <c r="B23" s="4" t="inlineStr">
        <is>
          <t>Plato distinto del pedido, modificación perdida o guarnición cambiada.</t>
        </is>
      </c>
    </row>
    <row r="24">
      <c r="A24" t="inlineStr">
        <is>
          <t>Trato del personal</t>
        </is>
      </c>
      <c r="B24" s="4" t="inlineStr">
        <is>
          <t>Forma, tono o atención de una persona del equipo.</t>
        </is>
      </c>
    </row>
    <row r="25">
      <c r="A25" t="inlineStr">
        <is>
          <t>Cobro incorrecto</t>
        </is>
      </c>
      <c r="B25" s="4" t="inlineStr">
        <is>
          <t>Precio, cantidad o forma de pago mal aplicados.</t>
        </is>
      </c>
    </row>
    <row r="26">
      <c r="A26" t="inlineStr">
        <is>
          <t>Limpieza</t>
        </is>
      </c>
      <c r="B26" s="4" t="inlineStr">
        <is>
          <t>Sala, aseos, mantelería, cristalería o cubertería.</t>
        </is>
      </c>
    </row>
    <row r="27">
      <c r="A27" t="inlineStr">
        <is>
          <t>Reserva no encontrada</t>
        </is>
      </c>
      <c r="B27" s="4" t="inlineStr">
        <is>
          <t>La reserva no consta, o consta con otros datos.</t>
        </is>
      </c>
    </row>
    <row r="28">
      <c r="A28" t="inlineStr">
        <is>
          <t>Ruido</t>
        </is>
      </c>
      <c r="B28" s="4" t="inlineStr">
        <is>
          <t>Volumen de música, acústica de la sala o ruido de office.</t>
        </is>
      </c>
    </row>
    <row r="29">
      <c r="A29" t="inlineStr">
        <is>
          <t>Información de alérgenos</t>
        </is>
      </c>
      <c r="B29" s="4" t="inlineStr">
        <is>
          <t>Información incompleta, tardía o incorrecta sobre los 14 alérgenos.</t>
        </is>
      </c>
    </row>
    <row r="30">
      <c r="A30" t="inlineStr">
        <is>
          <t>Producto en mal estado</t>
        </is>
      </c>
      <c r="B30" s="4" t="inlineStr">
        <is>
          <t>Producto en mal estado o sospecha de incidente alimentario. Siempre gravedad 3.</t>
        </is>
      </c>
    </row>
    <row r="31"/>
    <row r="32">
      <c r="A32" s="3" t="inlineStr">
        <is>
          <t>CANALES DE ENTRADA</t>
        </is>
      </c>
    </row>
    <row r="33" ht="26" customHeight="1">
      <c r="A33" s="6" t="inlineStr">
        <is>
          <t>Canal</t>
        </is>
      </c>
    </row>
    <row r="34">
      <c r="A34" t="inlineStr">
        <is>
          <t>En sala</t>
        </is>
      </c>
    </row>
    <row r="35">
      <c r="A35" t="inlineStr">
        <is>
          <t>Teléfono</t>
        </is>
      </c>
    </row>
    <row r="36">
      <c r="A36" t="inlineStr">
        <is>
          <t>Correo electrónico</t>
        </is>
      </c>
    </row>
    <row r="37">
      <c r="A37" t="inlineStr">
        <is>
          <t>Reseña online</t>
        </is>
      </c>
    </row>
    <row r="38">
      <c r="A38" t="inlineStr">
        <is>
          <t>Redes sociales</t>
        </is>
      </c>
    </row>
    <row r="39">
      <c r="A39" t="inlineStr">
        <is>
          <t>Hoja de reclamaciones</t>
        </is>
      </c>
    </row>
    <row r="40"/>
    <row r="41">
      <c r="A41" s="4" t="inlineStr">
        <is>
          <t>La hoja oficial de reclamaciones es competencia AUTONÓMICA. Este libro sólo siembra los dos plazos verificados contra la norma el 04-09-2026. Antes de fiarte de cualquier otro dato, compruébalo en el boletín de tu comunidad.</t>
        </is>
      </c>
    </row>
  </sheetData>
  <sheetProtection selectLockedCells="0" selectUnlockedCells="0" sheet="1" objects="0" insertRows="0" insertHyperlinks="1" autoFilter="1" scenarios="0" formatColumns="0" deleteColumns="1" insertColumns="1" pivotTables="1" deleteRows="1" formatCells="1" formatRows="0" sort="0"/>
  <dataValidations count="3">
    <dataValidation sqref="C6 C7 C8" showDropDown="0" showInputMessage="0" showErrorMessage="1" allowBlank="1" errorTitle="SLA en horas" error="Escribe las horas de las que te quieres dar para cerrar una queja de esa gravedad (entre 1 y 720)." type="decimal" operator="between">
      <formula1>1</formula1>
      <formula2>720</formula2>
    </dataValidation>
    <dataValidation sqref="C15 C16 C17" showDropDown="0" showInputMessage="0" showErrorMessage="1" allowBlank="1" errorTitle="Plazo en días" error="Escribe el plazo de respuesta de tu comunidad en días (entre 1 y 365)." type="decimal" operator="between">
      <formula1>1</formula1>
      <formula2>365</formula2>
    </dataValidation>
    <dataValidation sqref="D15 D16 D17" showDropDown="0" showInputMessage="0" showErrorMessage="1" allowBlank="1" errorTitle="Se cuentan" error="Indica si tu comunidad cuenta días naturales o días hábiles." type="list">
      <formula1>"Naturales,Hábiles"</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5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8" customWidth="1" min="3" max="3"/>
    <col width="24" customWidth="1" min="4" max="4"/>
    <col width="10" customWidth="1" min="5" max="5"/>
    <col width="18" customWidth="1" min="6" max="6"/>
    <col width="54" customWidth="1" min="7" max="7"/>
    <col width="13" customWidth="1" min="8" max="8"/>
    <col width="12" customWidth="1" min="9" max="9"/>
    <col width="12" customWidth="1" min="10" max="10"/>
    <col width="12" customWidth="1" min="11" max="11"/>
    <col width="34" customWidth="1" min="12" max="12"/>
  </cols>
  <sheetData>
    <row r="1">
      <c r="A1" s="1" t="inlineStr">
        <is>
          <t>Registro de quejas — lo que se resuelve en sala</t>
        </is>
      </c>
    </row>
    <row r="2">
      <c r="A2" s="2" t="inlineStr">
        <is>
          <t>AI Chef Pro · aichef.pro — Manual del Manager de Restaurante</t>
        </is>
      </c>
    </row>
    <row r="3">
      <c r="G3" s="10" t="inlineStr">
        <is>
          <t>Las horas hasta el cierre, el SLA de esa gravedad y el cumplimiento los calcula el libro.</t>
        </is>
      </c>
    </row>
    <row r="4" ht="38" customHeight="1">
      <c r="A4" s="6" t="inlineStr">
        <is>
          <t>#</t>
        </is>
      </c>
      <c r="B4" s="6" t="inlineStr">
        <is>
          <t>Fecha de la queja</t>
        </is>
      </c>
      <c r="C4" s="6" t="inlineStr">
        <is>
          <t>Canal</t>
        </is>
      </c>
      <c r="D4" s="6" t="inlineStr">
        <is>
          <t>Motivo</t>
        </is>
      </c>
      <c r="E4" s="6" t="inlineStr">
        <is>
          <t>Gravedad (1-3)</t>
        </is>
      </c>
      <c r="F4" s="6" t="inlineStr">
        <is>
          <t>Responsable</t>
        </is>
      </c>
      <c r="G4" s="6" t="inlineStr">
        <is>
          <t>Acción tomada</t>
        </is>
      </c>
      <c r="H4" s="6" t="inlineStr">
        <is>
          <t>Fecha de cierre</t>
        </is>
      </c>
      <c r="I4" s="6" t="inlineStr">
        <is>
          <t>Horas hasta el cierre</t>
        </is>
      </c>
      <c r="J4" s="6" t="inlineStr">
        <is>
          <t>SLA de esa gravedad (horas)</t>
        </is>
      </c>
      <c r="K4" s="6" t="inlineStr">
        <is>
          <t>SLA cumplido</t>
        </is>
      </c>
      <c r="L4" s="6" t="inlineStr">
        <is>
          <t>Notas</t>
        </is>
      </c>
    </row>
    <row r="5">
      <c r="A5" s="7" t="n">
        <v>1</v>
      </c>
      <c r="B5" s="11" t="n">
        <v>46178</v>
      </c>
      <c r="C5" s="5" t="inlineStr">
        <is>
          <t>En sala</t>
        </is>
      </c>
      <c r="D5" s="5" t="inlineStr">
        <is>
          <t>Error en la comanda</t>
        </is>
      </c>
      <c r="E5" s="8" t="n">
        <v>1</v>
      </c>
      <c r="F5" s="5" t="inlineStr">
        <is>
          <t>P03 · Nuria C.</t>
        </is>
      </c>
      <c r="G5" s="12" t="inlineStr">
        <is>
          <t>Se rehace el plato y se invita al postre</t>
        </is>
      </c>
      <c r="H5" s="11" t="n">
        <v>46178</v>
      </c>
      <c r="I5" s="7">
        <f>IFERROR(IF(OR($B5="",$H5=""),"",($H5-$B5)*Parámetros!$C$11),"")</f>
        <v>0.0</v>
      </c>
      <c r="J5" s="7">
        <f>IFERROR(IF($E5="","",INDEX(Parámetros!$C$6:$C$8,MATCH($E5,Parámetros!$A$6:$A$8,0))),"")</f>
        <v>72.0</v>
      </c>
      <c r="K5" s="13" t="str">
        <f>IFERROR(IF(OR($I5="",$J5=""),"",IF($I5&lt;=$J5,"Sí","No")),"")</f>
        <v>Sí</v>
      </c>
      <c r="L5" s="5" t="n"/>
    </row>
    <row r="6">
      <c r="A6" s="7" t="n">
        <v>2</v>
      </c>
      <c r="B6" s="11" t="n">
        <v>46180</v>
      </c>
      <c r="C6" s="5" t="inlineStr">
        <is>
          <t>Reseña online</t>
        </is>
      </c>
      <c r="D6" s="5" t="inlineStr">
        <is>
          <t>Espera excesiva</t>
        </is>
      </c>
      <c r="E6" s="8" t="n">
        <v>2</v>
      </c>
      <c r="F6" s="5" t="inlineStr">
        <is>
          <t>P01 · Marta L.</t>
        </is>
      </c>
      <c r="G6" s="12" t="inlineStr">
        <is>
          <t>Respuesta pública y llamada al cliente</t>
        </is>
      </c>
      <c r="H6" s="11" t="n">
        <v>46181</v>
      </c>
      <c r="I6" s="7">
        <f>IFERROR(IF(OR($B6="",$H6=""),"",($H6-$B6)*Parámetros!$C$11),"")</f>
        <v>24.0</v>
      </c>
      <c r="J6" s="7">
        <f>IFERROR(IF($E6="","",INDEX(Parámetros!$C$6:$C$8,MATCH($E6,Parámetros!$A$6:$A$8,0))),"")</f>
        <v>48.0</v>
      </c>
      <c r="K6" s="13" t="str">
        <f>IFERROR(IF(OR($I6="",$J6=""),"",IF($I6&lt;=$J6,"Sí","No")),"")</f>
        <v>Sí</v>
      </c>
      <c r="L6" s="5" t="n"/>
    </row>
    <row r="7">
      <c r="A7" s="7" t="n">
        <v>3</v>
      </c>
      <c r="B7" s="11" t="n">
        <v>46184</v>
      </c>
      <c r="C7" s="5" t="inlineStr">
        <is>
          <t>En sala</t>
        </is>
      </c>
      <c r="D7" s="5" t="inlineStr">
        <is>
          <t>Plato frío o mal temperado</t>
        </is>
      </c>
      <c r="E7" s="8" t="n">
        <v>2</v>
      </c>
      <c r="F7" s="5" t="inlineStr">
        <is>
          <t>P02 · Iván R.</t>
        </is>
      </c>
      <c r="G7" s="12" t="inlineStr">
        <is>
          <t>Se repone el plato; revisión de la lámpara del pase</t>
        </is>
      </c>
      <c r="H7" s="11" t="n">
        <v>46184</v>
      </c>
      <c r="I7" s="7">
        <f>IFERROR(IF(OR($B7="",$H7=""),"",($H7-$B7)*Parámetros!$C$11),"")</f>
        <v>0.0</v>
      </c>
      <c r="J7" s="7">
        <f>IFERROR(IF($E7="","",INDEX(Parámetros!$C$6:$C$8,MATCH($E7,Parámetros!$A$6:$A$8,0))),"")</f>
        <v>48.0</v>
      </c>
      <c r="K7" s="13" t="str">
        <f>IFERROR(IF(OR($I7="",$J7=""),"",IF($I7&lt;=$J7,"Sí","No")),"")</f>
        <v>Sí</v>
      </c>
      <c r="L7" s="5" t="n"/>
    </row>
    <row r="8">
      <c r="A8" s="7" t="n">
        <v>4</v>
      </c>
      <c r="B8" s="11" t="n">
        <v>46186</v>
      </c>
      <c r="C8" s="5" t="inlineStr">
        <is>
          <t>Teléfono</t>
        </is>
      </c>
      <c r="D8" s="5" t="inlineStr">
        <is>
          <t>Reserva no encontrada</t>
        </is>
      </c>
      <c r="E8" s="8" t="n">
        <v>2</v>
      </c>
      <c r="F8" s="5" t="inlineStr">
        <is>
          <t>P03 · Nuria C.</t>
        </is>
      </c>
      <c r="G8" s="12" t="inlineStr">
        <is>
          <t>Se acomoda en terraza; revisión del cuaderno de reservas</t>
        </is>
      </c>
      <c r="H8" s="11" t="n">
        <v>46187</v>
      </c>
      <c r="I8" s="7">
        <f>IFERROR(IF(OR($B8="",$H8=""),"",($H8-$B8)*Parámetros!$C$11),"")</f>
        <v>24.0</v>
      </c>
      <c r="J8" s="7">
        <f>IFERROR(IF($E8="","",INDEX(Parámetros!$C$6:$C$8,MATCH($E8,Parámetros!$A$6:$A$8,0))),"")</f>
        <v>48.0</v>
      </c>
      <c r="K8" s="13" t="str">
        <f>IFERROR(IF(OR($I8="",$J8=""),"",IF($I8&lt;=$J8,"Sí","No")),"")</f>
        <v>Sí</v>
      </c>
      <c r="L8" s="5" t="n"/>
    </row>
    <row r="9">
      <c r="A9" s="7" t="n">
        <v>5</v>
      </c>
      <c r="B9" s="11" t="n">
        <v>46191</v>
      </c>
      <c r="C9" s="5" t="inlineStr">
        <is>
          <t>En sala</t>
        </is>
      </c>
      <c r="D9" s="5" t="inlineStr">
        <is>
          <t>Cobro incorrecto</t>
        </is>
      </c>
      <c r="E9" s="8" t="n">
        <v>2</v>
      </c>
      <c r="F9" s="5" t="inlineStr">
        <is>
          <t>P01 · Marta L.</t>
        </is>
      </c>
      <c r="G9" s="12" t="inlineStr">
        <is>
          <t>Devolución en el acto y revisión del cierre de caja</t>
        </is>
      </c>
      <c r="H9" s="11" t="n">
        <v>46191</v>
      </c>
      <c r="I9" s="7">
        <f>IFERROR(IF(OR($B9="",$H9=""),"",($H9-$B9)*Parámetros!$C$11),"")</f>
        <v>0.0</v>
      </c>
      <c r="J9" s="7">
        <f>IFERROR(IF($E9="","",INDEX(Parámetros!$C$6:$C$8,MATCH($E9,Parámetros!$A$6:$A$8,0))),"")</f>
        <v>48.0</v>
      </c>
      <c r="K9" s="13" t="str">
        <f>IFERROR(IF(OR($I9="",$J9=""),"",IF($I9&lt;=$J9,"Sí","No")),"")</f>
        <v>Sí</v>
      </c>
      <c r="L9" s="5" t="n"/>
    </row>
    <row r="10">
      <c r="A10" s="7" t="n">
        <v>6</v>
      </c>
      <c r="B10" s="11" t="n">
        <v>46193</v>
      </c>
      <c r="C10" s="5" t="inlineStr">
        <is>
          <t>En sala</t>
        </is>
      </c>
      <c r="D10" s="5" t="inlineStr">
        <is>
          <t>Espera excesiva</t>
        </is>
      </c>
      <c r="E10" s="8" t="n">
        <v>2</v>
      </c>
      <c r="F10" s="5" t="inlineStr">
        <is>
          <t>P03 · Nuria C.</t>
        </is>
      </c>
      <c r="G10" s="12" t="inlineStr">
        <is>
          <t>Disculpa y aperitivo; se apunta la hora de comanda</t>
        </is>
      </c>
      <c r="H10" s="11" t="n">
        <v>46194</v>
      </c>
      <c r="I10" s="7">
        <f>IFERROR(IF(OR($B10="",$H10=""),"",($H10-$B10)*Parámetros!$C$11),"")</f>
        <v>24.0</v>
      </c>
      <c r="J10" s="7">
        <f>IFERROR(IF($E10="","",INDEX(Parámetros!$C$6:$C$8,MATCH($E10,Parámetros!$A$6:$A$8,0))),"")</f>
        <v>48.0</v>
      </c>
      <c r="K10" s="13" t="str">
        <f>IFERROR(IF(OR($I10="",$J10=""),"",IF($I10&lt;=$J10,"Sí","No")),"")</f>
        <v>Sí</v>
      </c>
      <c r="L10" s="5" t="n"/>
    </row>
    <row r="11">
      <c r="A11" s="7" t="n">
        <v>7</v>
      </c>
      <c r="B11" s="11" t="n">
        <v>46198</v>
      </c>
      <c r="C11" s="5" t="inlineStr">
        <is>
          <t>Correo electrónico</t>
        </is>
      </c>
      <c r="D11" s="5" t="inlineStr">
        <is>
          <t>Trato del personal</t>
        </is>
      </c>
      <c r="E11" s="8" t="n">
        <v>3</v>
      </c>
      <c r="F11" s="5" t="inlineStr">
        <is>
          <t>P01 · Marta L.</t>
        </is>
      </c>
      <c r="G11" s="12" t="inlineStr">
        <is>
          <t>Reunión con la persona implicada y respuesta escrita</t>
        </is>
      </c>
      <c r="H11" s="11" t="n">
        <v>46200</v>
      </c>
      <c r="I11" s="7">
        <f>IFERROR(IF(OR($B11="",$H11=""),"",($H11-$B11)*Parámetros!$C$11),"")</f>
        <v>48.0</v>
      </c>
      <c r="J11" s="7">
        <f>IFERROR(IF($E11="","",INDEX(Parámetros!$C$6:$C$8,MATCH($E11,Parámetros!$A$6:$A$8,0))),"")</f>
        <v>24.0</v>
      </c>
      <c r="K11" s="13" t="str">
        <f>IFERROR(IF(OR($I11="",$J11=""),"",IF($I11&lt;=$J11,"Sí","No")),"")</f>
        <v>No</v>
      </c>
      <c r="L11" s="5" t="n"/>
    </row>
    <row r="12">
      <c r="A12" s="7" t="n">
        <v>8</v>
      </c>
      <c r="B12" s="11" t="n">
        <v>46201</v>
      </c>
      <c r="C12" s="5" t="inlineStr">
        <is>
          <t>En sala</t>
        </is>
      </c>
      <c r="D12" s="5" t="inlineStr">
        <is>
          <t>Limpieza</t>
        </is>
      </c>
      <c r="E12" s="8" t="n">
        <v>1</v>
      </c>
      <c r="F12" s="5" t="inlineStr">
        <is>
          <t>P03 · Nuria C.</t>
        </is>
      </c>
      <c r="G12" s="12" t="inlineStr">
        <is>
          <t>Refuerzo del repaso de aseos en el turno de tarde</t>
        </is>
      </c>
      <c r="H12" s="11" t="n">
        <v>46203</v>
      </c>
      <c r="I12" s="7">
        <f>IFERROR(IF(OR($B12="",$H12=""),"",($H12-$B12)*Parámetros!$C$11),"")</f>
        <v>48.0</v>
      </c>
      <c r="J12" s="7">
        <f>IFERROR(IF($E12="","",INDEX(Parámetros!$C$6:$C$8,MATCH($E12,Parámetros!$A$6:$A$8,0))),"")</f>
        <v>72.0</v>
      </c>
      <c r="K12" s="13" t="str">
        <f>IFERROR(IF(OR($I12="",$J12=""),"",IF($I12&lt;=$J12,"Sí","No")),"")</f>
        <v>Sí</v>
      </c>
      <c r="L12" s="5" t="n"/>
    </row>
    <row r="13">
      <c r="A13" s="7" t="n">
        <v>9</v>
      </c>
      <c r="B13" s="11" t="n">
        <v>46205</v>
      </c>
      <c r="C13" s="5" t="inlineStr">
        <is>
          <t>En sala</t>
        </is>
      </c>
      <c r="D13" s="5" t="inlineStr">
        <is>
          <t>Espera excesiva</t>
        </is>
      </c>
      <c r="E13" s="8" t="n">
        <v>2</v>
      </c>
      <c r="F13" s="5" t="inlineStr">
        <is>
          <t>P03 · Nuria C.</t>
        </is>
      </c>
      <c r="G13" s="12" t="inlineStr">
        <is>
          <t>Se avisa del tiempo real al sentar; aperitivo de cortesía</t>
        </is>
      </c>
      <c r="H13" s="11" t="n">
        <v>46206</v>
      </c>
      <c r="I13" s="7">
        <f>IFERROR(IF(OR($B13="",$H13=""),"",($H13-$B13)*Parámetros!$C$11),"")</f>
        <v>24.0</v>
      </c>
      <c r="J13" s="7">
        <f>IFERROR(IF($E13="","",INDEX(Parámetros!$C$6:$C$8,MATCH($E13,Parámetros!$A$6:$A$8,0))),"")</f>
        <v>48.0</v>
      </c>
      <c r="K13" s="13" t="str">
        <f>IFERROR(IF(OR($I13="",$J13=""),"",IF($I13&lt;=$J13,"Sí","No")),"")</f>
        <v>Sí</v>
      </c>
      <c r="L13" s="5" t="n"/>
    </row>
    <row r="14">
      <c r="A14" s="7" t="n">
        <v>10</v>
      </c>
      <c r="B14" s="11" t="n">
        <v>46206</v>
      </c>
      <c r="C14" s="5" t="inlineStr">
        <is>
          <t>Reseña online</t>
        </is>
      </c>
      <c r="D14" s="5" t="inlineStr">
        <is>
          <t>Espera excesiva</t>
        </is>
      </c>
      <c r="E14" s="8" t="n">
        <v>2</v>
      </c>
      <c r="F14" s="5" t="inlineStr">
        <is>
          <t>P01 · Marta L.</t>
        </is>
      </c>
      <c r="G14" s="12" t="inlineStr">
        <is>
          <t>Respuesta pública en 24 h</t>
        </is>
      </c>
      <c r="H14" s="11" t="n">
        <v>46207</v>
      </c>
      <c r="I14" s="7">
        <f>IFERROR(IF(OR($B14="",$H14=""),"",($H14-$B14)*Parámetros!$C$11),"")</f>
        <v>24.0</v>
      </c>
      <c r="J14" s="7">
        <f>IFERROR(IF($E14="","",INDEX(Parámetros!$C$6:$C$8,MATCH($E14,Parámetros!$A$6:$A$8,0))),"")</f>
        <v>48.0</v>
      </c>
      <c r="K14" s="13" t="str">
        <f>IFERROR(IF(OR($I14="",$J14=""),"",IF($I14&lt;=$J14,"Sí","No")),"")</f>
        <v>Sí</v>
      </c>
      <c r="L14" s="5" t="n"/>
    </row>
    <row r="15">
      <c r="A15" s="7" t="n">
        <v>11</v>
      </c>
      <c r="B15" s="11" t="n">
        <v>46207</v>
      </c>
      <c r="C15" s="5" t="inlineStr">
        <is>
          <t>En sala</t>
        </is>
      </c>
      <c r="D15" s="5" t="inlineStr">
        <is>
          <t>Error en la comanda</t>
        </is>
      </c>
      <c r="E15" s="8" t="n">
        <v>1</v>
      </c>
      <c r="F15" s="5" t="inlineStr">
        <is>
          <t>P08 · Carlos V.</t>
        </is>
      </c>
      <c r="G15" s="12" t="inlineStr">
        <is>
          <t>Se rehace el plato</t>
        </is>
      </c>
      <c r="H15" s="11" t="n">
        <v>46207</v>
      </c>
      <c r="I15" s="7">
        <f>IFERROR(IF(OR($B15="",$H15=""),"",($H15-$B15)*Parámetros!$C$11),"")</f>
        <v>0.0</v>
      </c>
      <c r="J15" s="7">
        <f>IFERROR(IF($E15="","",INDEX(Parámetros!$C$6:$C$8,MATCH($E15,Parámetros!$A$6:$A$8,0))),"")</f>
        <v>72.0</v>
      </c>
      <c r="K15" s="13" t="str">
        <f>IFERROR(IF(OR($I15="",$J15=""),"",IF($I15&lt;=$J15,"Sí","No")),"")</f>
        <v>Sí</v>
      </c>
      <c r="L15" s="5" t="n"/>
    </row>
    <row r="16">
      <c r="A16" s="7" t="n">
        <v>12</v>
      </c>
      <c r="B16" s="11" t="n">
        <v>46208</v>
      </c>
      <c r="C16" s="5" t="inlineStr">
        <is>
          <t>En sala</t>
        </is>
      </c>
      <c r="D16" s="5" t="inlineStr">
        <is>
          <t>Espera excesiva</t>
        </is>
      </c>
      <c r="E16" s="8" t="n">
        <v>3</v>
      </c>
      <c r="F16" s="5" t="inlineStr">
        <is>
          <t>P01 · Marta L.</t>
        </is>
      </c>
      <c r="G16" s="12" t="inlineStr">
        <is>
          <t>Se invita a la mesa; se abre el análisis de tiempos de pase</t>
        </is>
      </c>
      <c r="H16" s="11" t="n">
        <v>46209</v>
      </c>
      <c r="I16" s="7">
        <f>IFERROR(IF(OR($B16="",$H16=""),"",($H16-$B16)*Parámetros!$C$11),"")</f>
        <v>24.0</v>
      </c>
      <c r="J16" s="7">
        <f>IFERROR(IF($E16="","",INDEX(Parámetros!$C$6:$C$8,MATCH($E16,Parámetros!$A$6:$A$8,0))),"")</f>
        <v>24.0</v>
      </c>
      <c r="K16" s="13" t="str">
        <f>IFERROR(IF(OR($I16="",$J16=""),"",IF($I16&lt;=$J16,"Sí","No")),"")</f>
        <v>Sí</v>
      </c>
      <c r="L16" s="5" t="n"/>
    </row>
    <row r="17">
      <c r="A17" s="7" t="n">
        <v>13</v>
      </c>
      <c r="B17" s="11" t="n">
        <v>46212</v>
      </c>
      <c r="C17" s="5" t="inlineStr">
        <is>
          <t>Teléfono</t>
        </is>
      </c>
      <c r="D17" s="5" t="inlineStr">
        <is>
          <t>Ruido</t>
        </is>
      </c>
      <c r="E17" s="8" t="n">
        <v>1</v>
      </c>
      <c r="F17" s="5" t="inlineStr">
        <is>
          <t>P03 · Nuria C.</t>
        </is>
      </c>
      <c r="G17" s="12" t="inlineStr">
        <is>
          <t>Se reubica al cliente lejos de la barra en la próxima reserva</t>
        </is>
      </c>
      <c r="H17" s="11" t="n">
        <v>46214</v>
      </c>
      <c r="I17" s="7">
        <f>IFERROR(IF(OR($B17="",$H17=""),"",($H17-$B17)*Parámetros!$C$11),"")</f>
        <v>48.0</v>
      </c>
      <c r="J17" s="7">
        <f>IFERROR(IF($E17="","",INDEX(Parámetros!$C$6:$C$8,MATCH($E17,Parámetros!$A$6:$A$8,0))),"")</f>
        <v>72.0</v>
      </c>
      <c r="K17" s="13" t="str">
        <f>IFERROR(IF(OR($I17="",$J17=""),"",IF($I17&lt;=$J17,"Sí","No")),"")</f>
        <v>Sí</v>
      </c>
      <c r="L17" s="5" t="n"/>
    </row>
    <row r="18">
      <c r="A18" s="7" t="n">
        <v>14</v>
      </c>
      <c r="B18" s="11" t="n">
        <v>46213</v>
      </c>
      <c r="C18" s="5" t="inlineStr">
        <is>
          <t>En sala</t>
        </is>
      </c>
      <c r="D18" s="5" t="inlineStr">
        <is>
          <t>Espera excesiva</t>
        </is>
      </c>
      <c r="E18" s="8" t="n">
        <v>2</v>
      </c>
      <c r="F18" s="5" t="inlineStr">
        <is>
          <t>P03 · Nuria C.</t>
        </is>
      </c>
      <c r="G18" s="12" t="inlineStr">
        <is>
          <t>Se abre una segunda plancha en el pase los viernes</t>
        </is>
      </c>
      <c r="H18" s="11" t="n">
        <v>46215</v>
      </c>
      <c r="I18" s="7">
        <f>IFERROR(IF(OR($B18="",$H18=""),"",($H18-$B18)*Parámetros!$C$11),"")</f>
        <v>48.0</v>
      </c>
      <c r="J18" s="7">
        <f>IFERROR(IF($E18="","",INDEX(Parámetros!$C$6:$C$8,MATCH($E18,Parámetros!$A$6:$A$8,0))),"")</f>
        <v>48.0</v>
      </c>
      <c r="K18" s="13" t="str">
        <f>IFERROR(IF(OR($I18="",$J18=""),"",IF($I18&lt;=$J18,"Sí","No")),"")</f>
        <v>Sí</v>
      </c>
      <c r="L18" s="5" t="n"/>
    </row>
    <row r="19">
      <c r="A19" s="7" t="n">
        <v>15</v>
      </c>
      <c r="B19" s="11" t="n">
        <v>46214</v>
      </c>
      <c r="C19" s="5" t="inlineStr">
        <is>
          <t>Hoja de reclamaciones</t>
        </is>
      </c>
      <c r="D19" s="5" t="inlineStr">
        <is>
          <t>Espera excesiva</t>
        </is>
      </c>
      <c r="E19" s="8" t="n">
        <v>3</v>
      </c>
      <c r="F19" s="5" t="inlineStr">
        <is>
          <t>P01 · Marta L.</t>
        </is>
      </c>
      <c r="G19" s="12" t="inlineStr">
        <is>
          <t>Entrega de hoja oficial y respuesta escrita</t>
        </is>
      </c>
      <c r="H19" s="11" t="n">
        <v>46214</v>
      </c>
      <c r="I19" s="7">
        <f>IFERROR(IF(OR($B19="",$H19=""),"",($H19-$B19)*Parámetros!$C$11),"")</f>
        <v>0.0</v>
      </c>
      <c r="J19" s="7">
        <f>IFERROR(IF($E19="","",INDEX(Parámetros!$C$6:$C$8,MATCH($E19,Parámetros!$A$6:$A$8,0))),"")</f>
        <v>24.0</v>
      </c>
      <c r="K19" s="13" t="str">
        <f>IFERROR(IF(OR($I19="",$J19=""),"",IF($I19&lt;=$J19,"Sí","No")),"")</f>
        <v>Sí</v>
      </c>
      <c r="L19" s="5" t="n"/>
    </row>
    <row r="20">
      <c r="A20" s="7" t="n">
        <v>16</v>
      </c>
      <c r="B20" s="11" t="n">
        <v>46217</v>
      </c>
      <c r="C20" s="5" t="inlineStr">
        <is>
          <t>En sala</t>
        </is>
      </c>
      <c r="D20" s="5" t="inlineStr">
        <is>
          <t>Plato frío o mal temperado</t>
        </is>
      </c>
      <c r="E20" s="8" t="n">
        <v>2</v>
      </c>
      <c r="F20" s="5" t="inlineStr">
        <is>
          <t>P02 · Iván R.</t>
        </is>
      </c>
      <c r="G20" s="12" t="inlineStr">
        <is>
          <t>Se repone; revisión del orden de salida de la mesa</t>
        </is>
      </c>
      <c r="H20" s="11" t="n">
        <v>46218</v>
      </c>
      <c r="I20" s="7">
        <f>IFERROR(IF(OR($B20="",$H20=""),"",($H20-$B20)*Parámetros!$C$11),"")</f>
        <v>24.0</v>
      </c>
      <c r="J20" s="7">
        <f>IFERROR(IF($E20="","",INDEX(Parámetros!$C$6:$C$8,MATCH($E20,Parámetros!$A$6:$A$8,0))),"")</f>
        <v>48.0</v>
      </c>
      <c r="K20" s="13" t="str">
        <f>IFERROR(IF(OR($I20="",$J20=""),"",IF($I20&lt;=$J20,"Sí","No")),"")</f>
        <v>Sí</v>
      </c>
      <c r="L20" s="5" t="n"/>
    </row>
    <row r="21">
      <c r="A21" s="7" t="n">
        <v>17</v>
      </c>
      <c r="B21" s="11" t="n">
        <v>46219</v>
      </c>
      <c r="C21" s="5" t="inlineStr">
        <is>
          <t>Correo electrónico</t>
        </is>
      </c>
      <c r="D21" s="5" t="inlineStr">
        <is>
          <t>Información de alérgenos</t>
        </is>
      </c>
      <c r="E21" s="8" t="n">
        <v>3</v>
      </c>
      <c r="F21" s="5" t="inlineStr">
        <is>
          <t>P02 · Iván R.</t>
        </is>
      </c>
      <c r="G21" s="12" t="inlineStr">
        <is>
          <t>Se revisa la ficha del plato y el soporte escrito de alérgenos</t>
        </is>
      </c>
      <c r="H21" s="11" t="n">
        <v>46220</v>
      </c>
      <c r="I21" s="7">
        <f>IFERROR(IF(OR($B21="",$H21=""),"",($H21-$B21)*Parámetros!$C$11),"")</f>
        <v>24.0</v>
      </c>
      <c r="J21" s="7">
        <f>IFERROR(IF($E21="","",INDEX(Parámetros!$C$6:$C$8,MATCH($E21,Parámetros!$A$6:$A$8,0))),"")</f>
        <v>24.0</v>
      </c>
      <c r="K21" s="13" t="str">
        <f>IFERROR(IF(OR($I21="",$J21=""),"",IF($I21&lt;=$J21,"Sí","No")),"")</f>
        <v>Sí</v>
      </c>
      <c r="L21" s="5" t="n"/>
    </row>
    <row r="22">
      <c r="A22" s="7" t="n">
        <v>18</v>
      </c>
      <c r="B22" s="11" t="n">
        <v>46221</v>
      </c>
      <c r="C22" s="5" t="inlineStr">
        <is>
          <t>En sala</t>
        </is>
      </c>
      <c r="D22" s="5" t="inlineStr">
        <is>
          <t>Error en la comanda</t>
        </is>
      </c>
      <c r="E22" s="8" t="n">
        <v>1</v>
      </c>
      <c r="F22" s="5" t="inlineStr">
        <is>
          <t>P08 · Carlos V.</t>
        </is>
      </c>
      <c r="G22" s="12" t="inlineStr">
        <is>
          <t>Se rehace el plato</t>
        </is>
      </c>
      <c r="H22" s="11" t="n">
        <v>46221</v>
      </c>
      <c r="I22" s="7">
        <f>IFERROR(IF(OR($B22="",$H22=""),"",($H22-$B22)*Parámetros!$C$11),"")</f>
        <v>0.0</v>
      </c>
      <c r="J22" s="7">
        <f>IFERROR(IF($E22="","",INDEX(Parámetros!$C$6:$C$8,MATCH($E22,Parámetros!$A$6:$A$8,0))),"")</f>
        <v>72.0</v>
      </c>
      <c r="K22" s="13" t="str">
        <f>IFERROR(IF(OR($I22="",$J22=""),"",IF($I22&lt;=$J22,"Sí","No")),"")</f>
        <v>Sí</v>
      </c>
      <c r="L22" s="5" t="n"/>
    </row>
    <row r="23">
      <c r="A23" s="7" t="n">
        <v>19</v>
      </c>
      <c r="B23" s="11" t="n">
        <v>46222</v>
      </c>
      <c r="C23" s="5" t="inlineStr">
        <is>
          <t>Reseña online</t>
        </is>
      </c>
      <c r="D23" s="5" t="inlineStr">
        <is>
          <t>Espera excesiva</t>
        </is>
      </c>
      <c r="E23" s="8" t="n">
        <v>2</v>
      </c>
      <c r="F23" s="5" t="inlineStr">
        <is>
          <t>P01 · Marta L.</t>
        </is>
      </c>
      <c r="G23" s="12" t="inlineStr">
        <is>
          <t>Respuesta pública; se cita el cambio de organización del pase</t>
        </is>
      </c>
      <c r="H23" s="11" t="n">
        <v>46224</v>
      </c>
      <c r="I23" s="7">
        <f>IFERROR(IF(OR($B23="",$H23=""),"",($H23-$B23)*Parámetros!$C$11),"")</f>
        <v>48.0</v>
      </c>
      <c r="J23" s="7">
        <f>IFERROR(IF($E23="","",INDEX(Parámetros!$C$6:$C$8,MATCH($E23,Parámetros!$A$6:$A$8,0))),"")</f>
        <v>48.0</v>
      </c>
      <c r="K23" s="13" t="str">
        <f>IFERROR(IF(OR($I23="",$J23=""),"",IF($I23&lt;=$J23,"Sí","No")),"")</f>
        <v>Sí</v>
      </c>
      <c r="L23" s="5" t="n"/>
    </row>
    <row r="24">
      <c r="A24" s="7" t="n">
        <v>20</v>
      </c>
      <c r="B24" s="11" t="n">
        <v>46225</v>
      </c>
      <c r="C24" s="5" t="inlineStr">
        <is>
          <t>En sala</t>
        </is>
      </c>
      <c r="D24" s="5" t="inlineStr">
        <is>
          <t>Cobro incorrecto</t>
        </is>
      </c>
      <c r="E24" s="8" t="n">
        <v>2</v>
      </c>
      <c r="F24" s="5" t="inlineStr">
        <is>
          <t>P01 · Marta L.</t>
        </is>
      </c>
      <c r="G24" s="12" t="inlineStr">
        <is>
          <t>Devolución y revisión de los precios cargados en el TPV</t>
        </is>
      </c>
      <c r="H24" s="11" t="n">
        <v>46225</v>
      </c>
      <c r="I24" s="7">
        <f>IFERROR(IF(OR($B24="",$H24=""),"",($H24-$B24)*Parámetros!$C$11),"")</f>
        <v>0.0</v>
      </c>
      <c r="J24" s="7">
        <f>IFERROR(IF($E24="","",INDEX(Parámetros!$C$6:$C$8,MATCH($E24,Parámetros!$A$6:$A$8,0))),"")</f>
        <v>48.0</v>
      </c>
      <c r="K24" s="13" t="str">
        <f>IFERROR(IF(OR($I24="",$J24=""),"",IF($I24&lt;=$J24,"Sí","No")),"")</f>
        <v>Sí</v>
      </c>
      <c r="L24" s="5" t="n"/>
    </row>
    <row r="25">
      <c r="A25" s="7" t="n">
        <v>21</v>
      </c>
      <c r="B25" s="11" t="n">
        <v>46227</v>
      </c>
      <c r="C25" s="5" t="inlineStr">
        <is>
          <t>Redes sociales</t>
        </is>
      </c>
      <c r="D25" s="5" t="inlineStr">
        <is>
          <t>Trato del personal</t>
        </is>
      </c>
      <c r="E25" s="8" t="n">
        <v>2</v>
      </c>
      <c r="F25" s="5" t="inlineStr">
        <is>
          <t>P03 · Nuria C.</t>
        </is>
      </c>
      <c r="G25" s="12" t="inlineStr">
        <is>
          <t>Respuesta en privado y conversación con el equipo</t>
        </is>
      </c>
      <c r="H25" s="11" t="n">
        <v>46229</v>
      </c>
      <c r="I25" s="7">
        <f>IFERROR(IF(OR($B25="",$H25=""),"",($H25-$B25)*Parámetros!$C$11),"")</f>
        <v>48.0</v>
      </c>
      <c r="J25" s="7">
        <f>IFERROR(IF($E25="","",INDEX(Parámetros!$C$6:$C$8,MATCH($E25,Parámetros!$A$6:$A$8,0))),"")</f>
        <v>48.0</v>
      </c>
      <c r="K25" s="13" t="str">
        <f>IFERROR(IF(OR($I25="",$J25=""),"",IF($I25&lt;=$J25,"Sí","No")),"")</f>
        <v>Sí</v>
      </c>
      <c r="L25" s="5" t="n"/>
    </row>
    <row r="26">
      <c r="A26" s="7" t="n">
        <v>22</v>
      </c>
      <c r="B26" s="11" t="n">
        <v>46228</v>
      </c>
      <c r="C26" s="5" t="inlineStr">
        <is>
          <t>Hoja de reclamaciones</t>
        </is>
      </c>
      <c r="D26" s="5" t="inlineStr">
        <is>
          <t>Producto en mal estado</t>
        </is>
      </c>
      <c r="E26" s="8" t="n">
        <v>3</v>
      </c>
      <c r="F26" s="5" t="inlineStr">
        <is>
          <t>P02 · Iván R.</t>
        </is>
      </c>
      <c r="G26" s="12" t="inlineStr">
        <is>
          <t>Retirada del lote, revisión de trazabilidad y respuesta escrita</t>
        </is>
      </c>
      <c r="H26" s="11" t="n">
        <v>46230</v>
      </c>
      <c r="I26" s="7">
        <f>IFERROR(IF(OR($B26="",$H26=""),"",($H26-$B26)*Parámetros!$C$11),"")</f>
        <v>48.0</v>
      </c>
      <c r="J26" s="7">
        <f>IFERROR(IF($E26="","",INDEX(Parámetros!$C$6:$C$8,MATCH($E26,Parámetros!$A$6:$A$8,0))),"")</f>
        <v>24.0</v>
      </c>
      <c r="K26" s="13" t="str">
        <f>IFERROR(IF(OR($I26="",$J26=""),"",IF($I26&lt;=$J26,"Sí","No")),"")</f>
        <v>No</v>
      </c>
      <c r="L26" s="5" t="n"/>
    </row>
    <row r="27">
      <c r="A27" s="7" t="n">
        <v>23</v>
      </c>
      <c r="B27" s="11" t="n">
        <v>46233</v>
      </c>
      <c r="C27" s="5" t="inlineStr">
        <is>
          <t>En sala</t>
        </is>
      </c>
      <c r="D27" s="5" t="inlineStr">
        <is>
          <t>Limpieza</t>
        </is>
      </c>
      <c r="E27" s="8" t="n">
        <v>1</v>
      </c>
      <c r="F27" s="5" t="inlineStr">
        <is>
          <t>P03 · Nuria C.</t>
        </is>
      </c>
      <c r="G27" s="12" t="inlineStr">
        <is>
          <t>Cambio de la frecuencia de repaso de aseos en fin de semana</t>
        </is>
      </c>
      <c r="H27" s="11" t="n">
        <v>46236</v>
      </c>
      <c r="I27" s="7">
        <f>IFERROR(IF(OR($B27="",$H27=""),"",($H27-$B27)*Parámetros!$C$11),"")</f>
        <v>72.0</v>
      </c>
      <c r="J27" s="7">
        <f>IFERROR(IF($E27="","",INDEX(Parámetros!$C$6:$C$8,MATCH($E27,Parámetros!$A$6:$A$8,0))),"")</f>
        <v>72.0</v>
      </c>
      <c r="K27" s="13" t="str">
        <f>IFERROR(IF(OR($I27="",$J27=""),"",IF($I27&lt;=$J27,"Sí","No")),"")</f>
        <v>Sí</v>
      </c>
      <c r="L27" s="5" t="n"/>
    </row>
    <row r="28">
      <c r="A28" s="7" t="n">
        <v>24</v>
      </c>
      <c r="B28" s="11" t="n">
        <v>46235</v>
      </c>
      <c r="C28" s="5" t="inlineStr">
        <is>
          <t>En sala</t>
        </is>
      </c>
      <c r="D28" s="5" t="inlineStr">
        <is>
          <t>Espera excesiva</t>
        </is>
      </c>
      <c r="E28" s="8" t="n">
        <v>2</v>
      </c>
      <c r="F28" s="5" t="inlineStr">
        <is>
          <t>P03 · Nuria C.</t>
        </is>
      </c>
      <c r="G28" s="12" t="inlineStr">
        <is>
          <t>Nuevo orden de comandas por rangos</t>
        </is>
      </c>
      <c r="H28" s="11" t="n">
        <v>46236</v>
      </c>
      <c r="I28" s="7">
        <f>IFERROR(IF(OR($B28="",$H28=""),"",($H28-$B28)*Parámetros!$C$11),"")</f>
        <v>24.0</v>
      </c>
      <c r="J28" s="7">
        <f>IFERROR(IF($E28="","",INDEX(Parámetros!$C$6:$C$8,MATCH($E28,Parámetros!$A$6:$A$8,0))),"")</f>
        <v>48.0</v>
      </c>
      <c r="K28" s="13" t="str">
        <f>IFERROR(IF(OR($I28="",$J28=""),"",IF($I28&lt;=$J28,"Sí","No")),"")</f>
        <v>Sí</v>
      </c>
      <c r="L28" s="5" t="n"/>
    </row>
    <row r="29">
      <c r="A29" s="7" t="n">
        <v>25</v>
      </c>
      <c r="B29" s="11" t="n">
        <v>46240</v>
      </c>
      <c r="C29" s="5" t="inlineStr">
        <is>
          <t>Teléfono</t>
        </is>
      </c>
      <c r="D29" s="5" t="inlineStr">
        <is>
          <t>Reserva no encontrada</t>
        </is>
      </c>
      <c r="E29" s="8" t="n">
        <v>2</v>
      </c>
      <c r="F29" s="5" t="inlineStr">
        <is>
          <t>P03 · Nuria C.</t>
        </is>
      </c>
      <c r="G29" s="12" t="inlineStr">
        <is>
          <t>Se confirma por SMS toda reserva de más de 4 personas</t>
        </is>
      </c>
      <c r="H29" s="11" t="n">
        <v>46241</v>
      </c>
      <c r="I29" s="7">
        <f>IFERROR(IF(OR($B29="",$H29=""),"",($H29-$B29)*Parámetros!$C$11),"")</f>
        <v>24.0</v>
      </c>
      <c r="J29" s="7">
        <f>IFERROR(IF($E29="","",INDEX(Parámetros!$C$6:$C$8,MATCH($E29,Parámetros!$A$6:$A$8,0))),"")</f>
        <v>48.0</v>
      </c>
      <c r="K29" s="13" t="str">
        <f>IFERROR(IF(OR($I29="",$J29=""),"",IF($I29&lt;=$J29,"Sí","No")),"")</f>
        <v>Sí</v>
      </c>
      <c r="L29" s="5" t="n"/>
    </row>
    <row r="30">
      <c r="A30" s="7" t="n">
        <v>26</v>
      </c>
      <c r="B30" s="11" t="n">
        <v>46242</v>
      </c>
      <c r="C30" s="5" t="inlineStr">
        <is>
          <t>En sala</t>
        </is>
      </c>
      <c r="D30" s="5" t="inlineStr">
        <is>
          <t>Error en la comanda</t>
        </is>
      </c>
      <c r="E30" s="8" t="n">
        <v>1</v>
      </c>
      <c r="F30" s="5" t="inlineStr">
        <is>
          <t>P08 · Carlos V.</t>
        </is>
      </c>
      <c r="G30" s="12" t="inlineStr">
        <is>
          <t>Se rehace el plato; repaso del uso del TPV con P11</t>
        </is>
      </c>
      <c r="H30" s="11" t="n">
        <v>46242</v>
      </c>
      <c r="I30" s="7">
        <f>IFERROR(IF(OR($B30="",$H30=""),"",($H30-$B30)*Parámetros!$C$11),"")</f>
        <v>0.0</v>
      </c>
      <c r="J30" s="7">
        <f>IFERROR(IF($E30="","",INDEX(Parámetros!$C$6:$C$8,MATCH($E30,Parámetros!$A$6:$A$8,0))),"")</f>
        <v>72.0</v>
      </c>
      <c r="K30" s="13" t="str">
        <f>IFERROR(IF(OR($I30="",$J30=""),"",IF($I30&lt;=$J30,"Sí","No")),"")</f>
        <v>Sí</v>
      </c>
      <c r="L30" s="5" t="n"/>
    </row>
    <row r="31">
      <c r="A31" s="7" t="n">
        <v>27</v>
      </c>
      <c r="B31" s="11" t="n">
        <v>46247</v>
      </c>
      <c r="C31" s="5" t="inlineStr">
        <is>
          <t>Reseña online</t>
        </is>
      </c>
      <c r="D31" s="5" t="inlineStr">
        <is>
          <t>Trato del personal</t>
        </is>
      </c>
      <c r="E31" s="8" t="n">
        <v>1</v>
      </c>
      <c r="F31" s="5" t="inlineStr">
        <is>
          <t>P01 · Marta L.</t>
        </is>
      </c>
      <c r="G31" s="12" t="inlineStr">
        <is>
          <t>Respuesta pública y repaso del protocolo de despedida</t>
        </is>
      </c>
      <c r="H31" s="11" t="n">
        <v>46249</v>
      </c>
      <c r="I31" s="7">
        <f>IFERROR(IF(OR($B31="",$H31=""),"",($H31-$B31)*Parámetros!$C$11),"")</f>
        <v>48.0</v>
      </c>
      <c r="J31" s="7">
        <f>IFERROR(IF($E31="","",INDEX(Parámetros!$C$6:$C$8,MATCH($E31,Parámetros!$A$6:$A$8,0))),"")</f>
        <v>72.0</v>
      </c>
      <c r="K31" s="13" t="str">
        <f>IFERROR(IF(OR($I31="",$J31=""),"",IF($I31&lt;=$J31,"Sí","No")),"")</f>
        <v>Sí</v>
      </c>
      <c r="L31" s="5" t="n"/>
    </row>
    <row r="32">
      <c r="A32" s="7" t="n">
        <v>28</v>
      </c>
      <c r="B32" s="11" t="n">
        <v>46249</v>
      </c>
      <c r="C32" s="5" t="inlineStr">
        <is>
          <t>En sala</t>
        </is>
      </c>
      <c r="D32" s="5" t="inlineStr">
        <is>
          <t>Espera excesiva</t>
        </is>
      </c>
      <c r="E32" s="8" t="n">
        <v>2</v>
      </c>
      <c r="F32" s="5" t="inlineStr">
        <is>
          <t>P01 · Marta L.</t>
        </is>
      </c>
      <c r="G32" s="12" t="inlineStr">
        <is>
          <t>Se avisa del tiempo real al sentar</t>
        </is>
      </c>
      <c r="H32" s="11" t="n">
        <v>46250</v>
      </c>
      <c r="I32" s="7">
        <f>IFERROR(IF(OR($B32="",$H32=""),"",($H32-$B32)*Parámetros!$C$11),"")</f>
        <v>24.0</v>
      </c>
      <c r="J32" s="7">
        <f>IFERROR(IF($E32="","",INDEX(Parámetros!$C$6:$C$8,MATCH($E32,Parámetros!$A$6:$A$8,0))),"")</f>
        <v>48.0</v>
      </c>
      <c r="K32" s="13" t="str">
        <f>IFERROR(IF(OR($I32="",$J32=""),"",IF($I32&lt;=$J32,"Sí","No")),"")</f>
        <v>Sí</v>
      </c>
      <c r="L32" s="5" t="n"/>
    </row>
    <row r="33">
      <c r="A33" s="7" t="n">
        <v>29</v>
      </c>
      <c r="B33" s="11" t="n">
        <v>46254</v>
      </c>
      <c r="C33" s="5" t="inlineStr">
        <is>
          <t>En sala</t>
        </is>
      </c>
      <c r="D33" s="5" t="inlineStr">
        <is>
          <t>Ruido</t>
        </is>
      </c>
      <c r="E33" s="8" t="n">
        <v>1</v>
      </c>
      <c r="F33" s="5" t="inlineStr">
        <is>
          <t>P03 · Nuria C.</t>
        </is>
      </c>
      <c r="G33" s="12" t="inlineStr">
        <is>
          <t>Se baja el volumen del hilo musical en el turno de cena</t>
        </is>
      </c>
      <c r="H33" s="11" t="n">
        <v>46256</v>
      </c>
      <c r="I33" s="7">
        <f>IFERROR(IF(OR($B33="",$H33=""),"",($H33-$B33)*Parámetros!$C$11),"")</f>
        <v>48.0</v>
      </c>
      <c r="J33" s="7">
        <f>IFERROR(IF($E33="","",INDEX(Parámetros!$C$6:$C$8,MATCH($E33,Parámetros!$A$6:$A$8,0))),"")</f>
        <v>72.0</v>
      </c>
      <c r="K33" s="13" t="str">
        <f>IFERROR(IF(OR($I33="",$J33=""),"",IF($I33&lt;=$J33,"Sí","No")),"")</f>
        <v>Sí</v>
      </c>
      <c r="L33" s="5" t="n"/>
    </row>
    <row r="34">
      <c r="A34" s="7" t="n">
        <v>30</v>
      </c>
      <c r="B34" s="11" t="n">
        <v>46261</v>
      </c>
      <c r="C34" s="5" t="inlineStr">
        <is>
          <t>Correo electrónico</t>
        </is>
      </c>
      <c r="D34" s="5" t="inlineStr">
        <is>
          <t>Trato del personal</t>
        </is>
      </c>
      <c r="E34" s="8" t="n">
        <v>2</v>
      </c>
      <c r="F34" s="5" t="inlineStr">
        <is>
          <t>P01 · Marta L.</t>
        </is>
      </c>
      <c r="G34" s="12" t="inlineStr">
        <is>
          <t>Respuesta escrita y seguimiento en el uno-a-uno</t>
        </is>
      </c>
      <c r="H34" s="11" t="n">
        <v>46263</v>
      </c>
      <c r="I34" s="7">
        <f>IFERROR(IF(OR($B34="",$H34=""),"",($H34-$B34)*Parámetros!$C$11),"")</f>
        <v>48.0</v>
      </c>
      <c r="J34" s="7">
        <f>IFERROR(IF($E34="","",INDEX(Parámetros!$C$6:$C$8,MATCH($E34,Parámetros!$A$6:$A$8,0))),"")</f>
        <v>48.0</v>
      </c>
      <c r="K34" s="13" t="str">
        <f>IFERROR(IF(OR($I34="",$J34=""),"",IF($I34&lt;=$J34,"Sí","No")),"")</f>
        <v>Sí</v>
      </c>
      <c r="L34" s="5" t="n"/>
    </row>
    <row r="35">
      <c r="A35" s="7" t="n">
        <v>31</v>
      </c>
      <c r="B35" s="11" t="n"/>
      <c r="C35" s="5" t="n"/>
      <c r="D35" s="5" t="n"/>
      <c r="E35" s="8" t="n"/>
      <c r="F35" s="5" t="n"/>
      <c r="G35" s="5" t="n"/>
      <c r="H35" s="11" t="n"/>
      <c r="I35" s="7">
        <f>IFERROR(IF(OR($B35="",$H35=""),"",($H35-$B35)*Parámetros!$C$11),"")</f>
        <v/>
      </c>
      <c r="J35" s="7">
        <f>IFERROR(IF($E35="","",INDEX(Parámetros!$C$6:$C$8,MATCH($E35,Parámetros!$A$6:$A$8,0))),"")</f>
        <v/>
      </c>
      <c r="K35" s="13">
        <f>IFERROR(IF(OR($I35="",$J35=""),"",IF($I35&lt;=$J35,"Sí","No")),"")</f>
        <v/>
      </c>
      <c r="L35" s="5" t="n"/>
    </row>
    <row r="36">
      <c r="A36" s="7" t="n">
        <v>32</v>
      </c>
      <c r="B36" s="11" t="n"/>
      <c r="C36" s="5" t="n"/>
      <c r="D36" s="5" t="n"/>
      <c r="E36" s="8" t="n"/>
      <c r="F36" s="5" t="n"/>
      <c r="G36" s="5" t="n"/>
      <c r="H36" s="11" t="n"/>
      <c r="I36" s="7">
        <f>IFERROR(IF(OR($B36="",$H36=""),"",($H36-$B36)*Parámetros!$C$11),"")</f>
        <v/>
      </c>
      <c r="J36" s="7">
        <f>IFERROR(IF($E36="","",INDEX(Parámetros!$C$6:$C$8,MATCH($E36,Parámetros!$A$6:$A$8,0))),"")</f>
        <v/>
      </c>
      <c r="K36" s="13">
        <f>IFERROR(IF(OR($I36="",$J36=""),"",IF($I36&lt;=$J36,"Sí","No")),"")</f>
        <v/>
      </c>
      <c r="L36" s="5" t="n"/>
    </row>
    <row r="37">
      <c r="A37" s="7" t="n">
        <v>33</v>
      </c>
      <c r="B37" s="11" t="n"/>
      <c r="C37" s="5" t="n"/>
      <c r="D37" s="5" t="n"/>
      <c r="E37" s="8" t="n"/>
      <c r="F37" s="5" t="n"/>
      <c r="G37" s="5" t="n"/>
      <c r="H37" s="11" t="n"/>
      <c r="I37" s="7">
        <f>IFERROR(IF(OR($B37="",$H37=""),"",($H37-$B37)*Parámetros!$C$11),"")</f>
        <v/>
      </c>
      <c r="J37" s="7">
        <f>IFERROR(IF($E37="","",INDEX(Parámetros!$C$6:$C$8,MATCH($E37,Parámetros!$A$6:$A$8,0))),"")</f>
        <v/>
      </c>
      <c r="K37" s="13">
        <f>IFERROR(IF(OR($I37="",$J37=""),"",IF($I37&lt;=$J37,"Sí","No")),"")</f>
        <v/>
      </c>
      <c r="L37" s="5" t="n"/>
    </row>
    <row r="38">
      <c r="A38" s="7" t="n">
        <v>34</v>
      </c>
      <c r="B38" s="11" t="n"/>
      <c r="C38" s="5" t="n"/>
      <c r="D38" s="5" t="n"/>
      <c r="E38" s="8" t="n"/>
      <c r="F38" s="5" t="n"/>
      <c r="G38" s="5" t="n"/>
      <c r="H38" s="11" t="n"/>
      <c r="I38" s="7">
        <f>IFERROR(IF(OR($B38="",$H38=""),"",($H38-$B38)*Parámetros!$C$11),"")</f>
        <v/>
      </c>
      <c r="J38" s="7">
        <f>IFERROR(IF($E38="","",INDEX(Parámetros!$C$6:$C$8,MATCH($E38,Parámetros!$A$6:$A$8,0))),"")</f>
        <v/>
      </c>
      <c r="K38" s="13">
        <f>IFERROR(IF(OR($I38="",$J38=""),"",IF($I38&lt;=$J38,"Sí","No")),"")</f>
        <v/>
      </c>
      <c r="L38" s="5" t="n"/>
    </row>
    <row r="39">
      <c r="A39" s="7" t="n">
        <v>35</v>
      </c>
      <c r="B39" s="11" t="n"/>
      <c r="C39" s="5" t="n"/>
      <c r="D39" s="5" t="n"/>
      <c r="E39" s="8" t="n"/>
      <c r="F39" s="5" t="n"/>
      <c r="G39" s="5" t="n"/>
      <c r="H39" s="11" t="n"/>
      <c r="I39" s="7">
        <f>IFERROR(IF(OR($B39="",$H39=""),"",($H39-$B39)*Parámetros!$C$11),"")</f>
        <v/>
      </c>
      <c r="J39" s="7">
        <f>IFERROR(IF($E39="","",INDEX(Parámetros!$C$6:$C$8,MATCH($E39,Parámetros!$A$6:$A$8,0))),"")</f>
        <v/>
      </c>
      <c r="K39" s="13">
        <f>IFERROR(IF(OR($I39="",$J39=""),"",IF($I39&lt;=$J39,"Sí","No")),"")</f>
        <v/>
      </c>
      <c r="L39" s="5" t="n"/>
    </row>
    <row r="40">
      <c r="A40" s="7" t="n">
        <v>36</v>
      </c>
      <c r="B40" s="11" t="n"/>
      <c r="C40" s="5" t="n"/>
      <c r="D40" s="5" t="n"/>
      <c r="E40" s="8" t="n"/>
      <c r="F40" s="5" t="n"/>
      <c r="G40" s="5" t="n"/>
      <c r="H40" s="11" t="n"/>
      <c r="I40" s="7">
        <f>IFERROR(IF(OR($B40="",$H40=""),"",($H40-$B40)*Parámetros!$C$11),"")</f>
        <v/>
      </c>
      <c r="J40" s="7">
        <f>IFERROR(IF($E40="","",INDEX(Parámetros!$C$6:$C$8,MATCH($E40,Parámetros!$A$6:$A$8,0))),"")</f>
        <v/>
      </c>
      <c r="K40" s="13">
        <f>IFERROR(IF(OR($I40="",$J40=""),"",IF($I40&lt;=$J40,"Sí","No")),"")</f>
        <v/>
      </c>
      <c r="L40" s="5" t="n"/>
    </row>
    <row r="41">
      <c r="A41" s="7" t="n">
        <v>37</v>
      </c>
      <c r="B41" s="11" t="n"/>
      <c r="C41" s="5" t="n"/>
      <c r="D41" s="5" t="n"/>
      <c r="E41" s="8" t="n"/>
      <c r="F41" s="5" t="n"/>
      <c r="G41" s="5" t="n"/>
      <c r="H41" s="11" t="n"/>
      <c r="I41" s="7">
        <f>IFERROR(IF(OR($B41="",$H41=""),"",($H41-$B41)*Parámetros!$C$11),"")</f>
        <v/>
      </c>
      <c r="J41" s="7">
        <f>IFERROR(IF($E41="","",INDEX(Parámetros!$C$6:$C$8,MATCH($E41,Parámetros!$A$6:$A$8,0))),"")</f>
        <v/>
      </c>
      <c r="K41" s="13">
        <f>IFERROR(IF(OR($I41="",$J41=""),"",IF($I41&lt;=$J41,"Sí","No")),"")</f>
        <v/>
      </c>
      <c r="L41" s="5" t="n"/>
    </row>
    <row r="42">
      <c r="A42" s="7" t="n">
        <v>38</v>
      </c>
      <c r="B42" s="11" t="n"/>
      <c r="C42" s="5" t="n"/>
      <c r="D42" s="5" t="n"/>
      <c r="E42" s="8" t="n"/>
      <c r="F42" s="5" t="n"/>
      <c r="G42" s="5" t="n"/>
      <c r="H42" s="11" t="n"/>
      <c r="I42" s="7">
        <f>IFERROR(IF(OR($B42="",$H42=""),"",($H42-$B42)*Parámetros!$C$11),"")</f>
        <v/>
      </c>
      <c r="J42" s="7">
        <f>IFERROR(IF($E42="","",INDEX(Parámetros!$C$6:$C$8,MATCH($E42,Parámetros!$A$6:$A$8,0))),"")</f>
        <v/>
      </c>
      <c r="K42" s="13">
        <f>IFERROR(IF(OR($I42="",$J42=""),"",IF($I42&lt;=$J42,"Sí","No")),"")</f>
        <v/>
      </c>
      <c r="L42" s="5" t="n"/>
    </row>
    <row r="43">
      <c r="A43" s="7" t="n">
        <v>39</v>
      </c>
      <c r="B43" s="11" t="n"/>
      <c r="C43" s="5" t="n"/>
      <c r="D43" s="5" t="n"/>
      <c r="E43" s="8" t="n"/>
      <c r="F43" s="5" t="n"/>
      <c r="G43" s="5" t="n"/>
      <c r="H43" s="11" t="n"/>
      <c r="I43" s="7">
        <f>IFERROR(IF(OR($B43="",$H43=""),"",($H43-$B43)*Parámetros!$C$11),"")</f>
        <v/>
      </c>
      <c r="J43" s="7">
        <f>IFERROR(IF($E43="","",INDEX(Parámetros!$C$6:$C$8,MATCH($E43,Parámetros!$A$6:$A$8,0))),"")</f>
        <v/>
      </c>
      <c r="K43" s="13">
        <f>IFERROR(IF(OR($I43="",$J43=""),"",IF($I43&lt;=$J43,"Sí","No")),"")</f>
        <v/>
      </c>
      <c r="L43" s="5" t="n"/>
    </row>
    <row r="44">
      <c r="A44" s="7" t="n">
        <v>40</v>
      </c>
      <c r="B44" s="11" t="n"/>
      <c r="C44" s="5" t="n"/>
      <c r="D44" s="5" t="n"/>
      <c r="E44" s="8" t="n"/>
      <c r="F44" s="5" t="n"/>
      <c r="G44" s="5" t="n"/>
      <c r="H44" s="11" t="n"/>
      <c r="I44" s="7">
        <f>IFERROR(IF(OR($B44="",$H44=""),"",($H44-$B44)*Parámetros!$C$11),"")</f>
        <v/>
      </c>
      <c r="J44" s="7">
        <f>IFERROR(IF($E44="","",INDEX(Parámetros!$C$6:$C$8,MATCH($E44,Parámetros!$A$6:$A$8,0))),"")</f>
        <v/>
      </c>
      <c r="K44" s="13">
        <f>IFERROR(IF(OR($I44="",$J44=""),"",IF($I44&lt;=$J44,"Sí","No")),"")</f>
        <v/>
      </c>
      <c r="L44" s="5" t="n"/>
    </row>
    <row r="45">
      <c r="A45" s="7" t="n">
        <v>41</v>
      </c>
      <c r="B45" s="11" t="n"/>
      <c r="C45" s="5" t="n"/>
      <c r="D45" s="5" t="n"/>
      <c r="E45" s="8" t="n"/>
      <c r="F45" s="5" t="n"/>
      <c r="G45" s="5" t="n"/>
      <c r="H45" s="11" t="n"/>
      <c r="I45" s="7">
        <f>IFERROR(IF(OR($B45="",$H45=""),"",($H45-$B45)*Parámetros!$C$11),"")</f>
        <v/>
      </c>
      <c r="J45" s="7">
        <f>IFERROR(IF($E45="","",INDEX(Parámetros!$C$6:$C$8,MATCH($E45,Parámetros!$A$6:$A$8,0))),"")</f>
        <v/>
      </c>
      <c r="K45" s="13">
        <f>IFERROR(IF(OR($I45="",$J45=""),"",IF($I45&lt;=$J45,"Sí","No")),"")</f>
        <v/>
      </c>
      <c r="L45" s="5" t="n"/>
    </row>
    <row r="46">
      <c r="A46" s="7" t="n">
        <v>42</v>
      </c>
      <c r="B46" s="11" t="n"/>
      <c r="C46" s="5" t="n"/>
      <c r="D46" s="5" t="n"/>
      <c r="E46" s="8" t="n"/>
      <c r="F46" s="5" t="n"/>
      <c r="G46" s="5" t="n"/>
      <c r="H46" s="11" t="n"/>
      <c r="I46" s="7">
        <f>IFERROR(IF(OR($B46="",$H46=""),"",($H46-$B46)*Parámetros!$C$11),"")</f>
        <v/>
      </c>
      <c r="J46" s="7">
        <f>IFERROR(IF($E46="","",INDEX(Parámetros!$C$6:$C$8,MATCH($E46,Parámetros!$A$6:$A$8,0))),"")</f>
        <v/>
      </c>
      <c r="K46" s="13">
        <f>IFERROR(IF(OR($I46="",$J46=""),"",IF($I46&lt;=$J46,"Sí","No")),"")</f>
        <v/>
      </c>
      <c r="L46" s="5" t="n"/>
    </row>
    <row r="47">
      <c r="A47" s="7" t="n">
        <v>43</v>
      </c>
      <c r="B47" s="11" t="n"/>
      <c r="C47" s="5" t="n"/>
      <c r="D47" s="5" t="n"/>
      <c r="E47" s="8" t="n"/>
      <c r="F47" s="5" t="n"/>
      <c r="G47" s="5" t="n"/>
      <c r="H47" s="11" t="n"/>
      <c r="I47" s="7">
        <f>IFERROR(IF(OR($B47="",$H47=""),"",($H47-$B47)*Parámetros!$C$11),"")</f>
        <v/>
      </c>
      <c r="J47" s="7">
        <f>IFERROR(IF($E47="","",INDEX(Parámetros!$C$6:$C$8,MATCH($E47,Parámetros!$A$6:$A$8,0))),"")</f>
        <v/>
      </c>
      <c r="K47" s="13">
        <f>IFERROR(IF(OR($I47="",$J47=""),"",IF($I47&lt;=$J47,"Sí","No")),"")</f>
        <v/>
      </c>
      <c r="L47" s="5" t="n"/>
    </row>
    <row r="48">
      <c r="A48" s="7" t="n">
        <v>44</v>
      </c>
      <c r="B48" s="11" t="n"/>
      <c r="C48" s="5" t="n"/>
      <c r="D48" s="5" t="n"/>
      <c r="E48" s="8" t="n"/>
      <c r="F48" s="5" t="n"/>
      <c r="G48" s="5" t="n"/>
      <c r="H48" s="11" t="n"/>
      <c r="I48" s="7">
        <f>IFERROR(IF(OR($B48="",$H48=""),"",($H48-$B48)*Parámetros!$C$11),"")</f>
        <v/>
      </c>
      <c r="J48" s="7">
        <f>IFERROR(IF($E48="","",INDEX(Parámetros!$C$6:$C$8,MATCH($E48,Parámetros!$A$6:$A$8,0))),"")</f>
        <v/>
      </c>
      <c r="K48" s="13">
        <f>IFERROR(IF(OR($I48="",$J48=""),"",IF($I48&lt;=$J48,"Sí","No")),"")</f>
        <v/>
      </c>
      <c r="L48" s="5" t="n"/>
    </row>
    <row r="49">
      <c r="A49" s="7" t="n">
        <v>45</v>
      </c>
      <c r="B49" s="11" t="n"/>
      <c r="C49" s="5" t="n"/>
      <c r="D49" s="5" t="n"/>
      <c r="E49" s="8" t="n"/>
      <c r="F49" s="5" t="n"/>
      <c r="G49" s="5" t="n"/>
      <c r="H49" s="11" t="n"/>
      <c r="I49" s="7">
        <f>IFERROR(IF(OR($B49="",$H49=""),"",($H49-$B49)*Parámetros!$C$11),"")</f>
        <v/>
      </c>
      <c r="J49" s="7">
        <f>IFERROR(IF($E49="","",INDEX(Parámetros!$C$6:$C$8,MATCH($E49,Parámetros!$A$6:$A$8,0))),"")</f>
        <v/>
      </c>
      <c r="K49" s="13">
        <f>IFERROR(IF(OR($I49="",$J49=""),"",IF($I49&lt;=$J49,"Sí","No")),"")</f>
        <v/>
      </c>
      <c r="L49" s="5" t="n"/>
    </row>
    <row r="50">
      <c r="A50" s="7" t="n">
        <v>46</v>
      </c>
      <c r="B50" s="11" t="n"/>
      <c r="C50" s="5" t="n"/>
      <c r="D50" s="5" t="n"/>
      <c r="E50" s="8" t="n"/>
      <c r="F50" s="5" t="n"/>
      <c r="G50" s="5" t="n"/>
      <c r="H50" s="11" t="n"/>
      <c r="I50" s="7">
        <f>IFERROR(IF(OR($B50="",$H50=""),"",($H50-$B50)*Parámetros!$C$11),"")</f>
        <v/>
      </c>
      <c r="J50" s="7">
        <f>IFERROR(IF($E50="","",INDEX(Parámetros!$C$6:$C$8,MATCH($E50,Parámetros!$A$6:$A$8,0))),"")</f>
        <v/>
      </c>
      <c r="K50" s="13">
        <f>IFERROR(IF(OR($I50="",$J50=""),"",IF($I50&lt;=$J50,"Sí","No")),"")</f>
        <v/>
      </c>
      <c r="L50" s="5" t="n"/>
    </row>
    <row r="51">
      <c r="A51" s="7" t="n">
        <v>47</v>
      </c>
      <c r="B51" s="11" t="n"/>
      <c r="C51" s="5" t="n"/>
      <c r="D51" s="5" t="n"/>
      <c r="E51" s="8" t="n"/>
      <c r="F51" s="5" t="n"/>
      <c r="G51" s="5" t="n"/>
      <c r="H51" s="11" t="n"/>
      <c r="I51" s="7">
        <f>IFERROR(IF(OR($B51="",$H51=""),"",($H51-$B51)*Parámetros!$C$11),"")</f>
        <v/>
      </c>
      <c r="J51" s="7">
        <f>IFERROR(IF($E51="","",INDEX(Parámetros!$C$6:$C$8,MATCH($E51,Parámetros!$A$6:$A$8,0))),"")</f>
        <v/>
      </c>
      <c r="K51" s="13">
        <f>IFERROR(IF(OR($I51="",$J51=""),"",IF($I51&lt;=$J51,"Sí","No")),"")</f>
        <v/>
      </c>
      <c r="L51" s="5" t="n"/>
    </row>
    <row r="52">
      <c r="A52" s="7" t="n">
        <v>48</v>
      </c>
      <c r="B52" s="11" t="n"/>
      <c r="C52" s="5" t="n"/>
      <c r="D52" s="5" t="n"/>
      <c r="E52" s="8" t="n"/>
      <c r="F52" s="5" t="n"/>
      <c r="G52" s="5" t="n"/>
      <c r="H52" s="11" t="n"/>
      <c r="I52" s="7">
        <f>IFERROR(IF(OR($B52="",$H52=""),"",($H52-$B52)*Parámetros!$C$11),"")</f>
        <v/>
      </c>
      <c r="J52" s="7">
        <f>IFERROR(IF($E52="","",INDEX(Parámetros!$C$6:$C$8,MATCH($E52,Parámetros!$A$6:$A$8,0))),"")</f>
        <v/>
      </c>
      <c r="K52" s="13">
        <f>IFERROR(IF(OR($I52="",$J52=""),"",IF($I52&lt;=$J52,"Sí","No")),"")</f>
        <v/>
      </c>
      <c r="L52" s="5" t="n"/>
    </row>
    <row r="53">
      <c r="A53" s="7" t="n">
        <v>49</v>
      </c>
      <c r="B53" s="11" t="n"/>
      <c r="C53" s="5" t="n"/>
      <c r="D53" s="5" t="n"/>
      <c r="E53" s="8" t="n"/>
      <c r="F53" s="5" t="n"/>
      <c r="G53" s="5" t="n"/>
      <c r="H53" s="11" t="n"/>
      <c r="I53" s="7">
        <f>IFERROR(IF(OR($B53="",$H53=""),"",($H53-$B53)*Parámetros!$C$11),"")</f>
        <v/>
      </c>
      <c r="J53" s="7">
        <f>IFERROR(IF($E53="","",INDEX(Parámetros!$C$6:$C$8,MATCH($E53,Parámetros!$A$6:$A$8,0))),"")</f>
        <v/>
      </c>
      <c r="K53" s="13">
        <f>IFERROR(IF(OR($I53="",$J53=""),"",IF($I53&lt;=$J53,"Sí","No")),"")</f>
        <v/>
      </c>
      <c r="L53" s="5" t="n"/>
    </row>
    <row r="54">
      <c r="A54" s="7" t="n">
        <v>50</v>
      </c>
      <c r="B54" s="11" t="n"/>
      <c r="C54" s="5" t="n"/>
      <c r="D54" s="5" t="n"/>
      <c r="E54" s="8" t="n"/>
      <c r="F54" s="5" t="n"/>
      <c r="G54" s="5" t="n"/>
      <c r="H54" s="11" t="n"/>
      <c r="I54" s="7">
        <f>IFERROR(IF(OR($B54="",$H54=""),"",($H54-$B54)*Parámetros!$C$11),"")</f>
        <v/>
      </c>
      <c r="J54" s="7">
        <f>IFERROR(IF($E54="","",INDEX(Parámetros!$C$6:$C$8,MATCH($E54,Parámetros!$A$6:$A$8,0))),"")</f>
        <v/>
      </c>
      <c r="K54" s="13">
        <f>IFERROR(IF(OR($I54="",$J54=""),"",IF($I54&lt;=$J54,"Sí","No")),"")</f>
        <v/>
      </c>
      <c r="L54" s="5" t="n"/>
    </row>
    <row r="55"/>
    <row r="56">
      <c r="A56" s="4" t="inlineStr">
        <is>
          <t>Una queja sin fecha de cierre no cuenta como incumplida: cuenta como ABIERTA, y por eso su fila se queda vacía. Cierra la fecha cuando la incidencia esté resuelta de verdad.</t>
        </is>
      </c>
    </row>
  </sheetData>
  <sheetProtection selectLockedCells="0" selectUnlockedCells="0" sheet="1" objects="0" insertRows="0" insertHyperlinks="1" autoFilter="1" scenarios="0" formatColumns="0" deleteColumns="1" insertColumns="1" pivotTables="1" deleteRows="1" formatCells="1" formatRows="0" sort="0"/>
  <conditionalFormatting sqref="K5:K54">
    <cfRule type="cellIs" priority="1" operator="equal" dxfId="0" stopIfTrue="1">
      <formula>"Sí"</formula>
    </cfRule>
    <cfRule type="cellIs" priority="2" operator="equal" dxfId="1" stopIfTrue="1">
      <formula>"No"</formula>
    </cfRule>
  </conditionalFormatting>
  <dataValidations count="5">
    <dataValidation sqref="C5 C6 C7 C8 C9 C10 C11 C12 C13 C14 C15 C16 C17 C18 C19 C20 C21 C22 C23 C24 C25 C26 C27 C28 C29 C30 C31 C32 C33 C34 C35 C36 C37 C38 C39 C40 C41 C42 C43 C44 C45 C46 C47 C48 C49 C50 C51 C52 C53 C54" showDropDown="0" showInputMessage="0" showErrorMessage="1" allowBlank="1" errorTitle="Canal no válido" error="Elige un valor de la lista: En sala, Teléfono, Correo electrónico, Reseña online, Redes sociales, Hoja de reclamaciones" type="list">
      <formula1>"En sala,Teléfono,Correo electrónico,Reseña online,Redes sociales,Hoja de reclamaciones"</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1" allowBlank="1" errorTitle="Motivo no válido" error="Elige un valor de la lista: Espera excesiva, Plato frío o mal temperado, Error en la comanda, Trato del personal, Cobro incorrecto, Limpieza, Reserva no encontrada, Ruido, Información de alérgenos, Producto en mal estado" type="list">
      <formula1>"Espera excesiva,Plato frío o mal temperado,Error en la comanda,Trato del personal,Cobro incorrecto,Limpieza,Reserva no encontrada,Ruido,Información de alérgenos,Producto en mal estado"</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1" allowBlank="1" errorTitle="Responsable no válido" error="Elige a alguien de la plantilla. Si tu equipo es otro, desprotege la hoja y cambia la lista." type="list">
      <formula1>"P01 · Marta L.,P02 · Iván R.,P03 · Nuria C.,P04 · Diego M.,P05 · Laura S.,P06 · Omar B.,P07 · Rocío F.,P08 · Carlos V.,P09 · Elena T.,P10 · Youssef A.,P11 · Paula G.,P12 · Andrés P."</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Gravedad" error="1 leve, 2 media, 3 grave. La escala está en la hoja «Parámetros»." type="decimal" operator="between">
      <formula1>1</formula1>
      <formula2>3</formula2>
    </dataValidation>
    <dataValidation sqref="B5 B6 B7 B8 B9 B10 B11 B12 B13 B14 B15 B16 B17 B18 B19 B20 B21 B22 B23 B24 B25 B26 B27 B28 B29 B30 B31 B32 B33 B34 B35 B36 B37 B38 B39 B40 B41 B42 B43 B44 B45 B46 B47 B48 B49 B50 B51 B52 B53 B54 H5 H6 H7 H8 H9 H10 H11 H12 H13 H14 H15 H16 H17 H18 H19 H20 H21 H22 H23 H24 H25 H26 H27 H28 H29 H30 H31 H32 H33 H34 H35 H36 H37 H38 H39 H40 H41 H42 H43 H44 H45 H46 H47 H48 H49 H50 H51 H52 H53 H5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8" customWidth="1" min="3" max="3"/>
    <col width="20" customWidth="1" min="4" max="4"/>
    <col width="14" customWidth="1" min="5" max="5"/>
    <col width="12" customWidth="1" min="6" max="6"/>
    <col width="12" customWidth="1" min="7" max="7"/>
    <col width="12" customWidth="1" min="8" max="8"/>
    <col width="13" customWidth="1" min="9" max="9"/>
    <col width="60" customWidth="1" min="10" max="10"/>
  </cols>
  <sheetData>
    <row r="1">
      <c r="A1" s="1" t="inlineStr">
        <is>
          <t>Reclamaciones formales — la hoja oficial y su plazo legal</t>
        </is>
      </c>
    </row>
    <row r="2">
      <c r="A2" s="2" t="inlineStr">
        <is>
          <t>AI Chef Pro · aichef.pro — Manual del Manager de Restaurante</t>
        </is>
      </c>
    </row>
    <row r="3">
      <c r="F3" s="10" t="inlineStr">
        <is>
          <t>El plazo sale de la tabla de tu comunidad en «Parámetros». Los días que cuenta el libro son NATURALES.</t>
        </is>
      </c>
    </row>
    <row r="4" ht="38" customHeight="1">
      <c r="A4" s="6" t="inlineStr">
        <is>
          <t>#</t>
        </is>
      </c>
      <c r="B4" s="6" t="inlineStr">
        <is>
          <t>Fecha de entrega de la hoja</t>
        </is>
      </c>
      <c r="C4" s="6" t="inlineStr">
        <is>
          <t>Número de hoja</t>
        </is>
      </c>
      <c r="D4" s="6" t="inlineStr">
        <is>
          <t>Comunidad</t>
        </is>
      </c>
      <c r="E4" s="6" t="inlineStr">
        <is>
          <t>Fecha de respuesta por escrito</t>
        </is>
      </c>
      <c r="F4" s="6" t="inlineStr">
        <is>
          <t>Días naturales transcurridos</t>
        </is>
      </c>
      <c r="G4" s="6" t="inlineStr">
        <is>
          <t>Plazo de la comunidad (días)</t>
        </is>
      </c>
      <c r="H4" s="6" t="inlineStr">
        <is>
          <t>Se cuentan</t>
        </is>
      </c>
      <c r="I4" s="6" t="inlineStr">
        <is>
          <t>Dentro de plazo</t>
        </is>
      </c>
      <c r="J4" s="6" t="inlineStr">
        <is>
          <t>Objeto de la reclamación y respuesta</t>
        </is>
      </c>
    </row>
    <row r="5">
      <c r="A5" s="7" t="n">
        <v>1</v>
      </c>
      <c r="B5" s="11" t="n">
        <v>46214</v>
      </c>
      <c r="C5" s="5" t="inlineStr">
        <is>
          <t>GI-2026-0417</t>
        </is>
      </c>
      <c r="D5" s="5" t="inlineStr">
        <is>
          <t>Cataluña</t>
        </is>
      </c>
      <c r="E5" s="11" t="n">
        <v>46233</v>
      </c>
      <c r="F5" s="7">
        <f>IFERROR(IF(OR($B5="",$E5=""),"",$E5-$B5),"")</f>
        <v>19.0</v>
      </c>
      <c r="G5" s="7">
        <f>IFERROR(IF($D5="","",IF(INDEX(Parámetros!$C$15:$C$17,MATCH($D5,Parámetros!$A$15:$A$17,0))=0,"",INDEX(Parámetros!$C$15:$C$17,MATCH($D5,Parámetros!$A$15:$A$17,0)))),"")</f>
        <v>30.0</v>
      </c>
      <c r="H5" t="str">
        <f>IFERROR(IF($D5="","",IF(INDEX(Parámetros!$D$15:$D$17,MATCH($D5,Parámetros!$A$15:$A$17,0))=0,"",INDEX(Parámetros!$D$15:$D$17,MATCH($D5,Parámetros!$A$15:$A$17,0)))),"")</f>
        <v>Naturales</v>
      </c>
      <c r="I5" s="13" t="str">
        <f>IFERROR(IF(OR($F5="",$G5=""),"",IF($F5&lt;=$G5,"Sí","No")),"")</f>
        <v>Sí</v>
      </c>
      <c r="J5" s="5" t="n"/>
    </row>
    <row r="6">
      <c r="A6" s="7" t="n">
        <v>2</v>
      </c>
      <c r="B6" s="11" t="n">
        <v>46228</v>
      </c>
      <c r="C6" s="5" t="inlineStr">
        <is>
          <t>GI-2026-0463</t>
        </is>
      </c>
      <c r="D6" s="5" t="inlineStr">
        <is>
          <t>Cataluña</t>
        </is>
      </c>
      <c r="E6" s="11" t="n">
        <v>46267</v>
      </c>
      <c r="F6" s="7">
        <f>IFERROR(IF(OR($B6="",$E6=""),"",$E6-$B6),"")</f>
        <v>39.0</v>
      </c>
      <c r="G6" s="7">
        <f>IFERROR(IF($D6="","",IF(INDEX(Parámetros!$C$15:$C$17,MATCH($D6,Parámetros!$A$15:$A$17,0))=0,"",INDEX(Parámetros!$C$15:$C$17,MATCH($D6,Parámetros!$A$15:$A$17,0)))),"")</f>
        <v>30.0</v>
      </c>
      <c r="H6" t="str">
        <f>IFERROR(IF($D6="","",IF(INDEX(Parámetros!$D$15:$D$17,MATCH($D6,Parámetros!$A$15:$A$17,0))=0,"",INDEX(Parámetros!$D$15:$D$17,MATCH($D6,Parámetros!$A$15:$A$17,0)))),"")</f>
        <v>Naturales</v>
      </c>
      <c r="I6" s="13" t="str">
        <f>IFERROR(IF(OR($F6="",$G6=""),"",IF($F6&lt;=$G6,"Sí","No")),"")</f>
        <v>No</v>
      </c>
      <c r="J6" s="5" t="n"/>
    </row>
    <row r="7">
      <c r="A7" s="7" t="n">
        <v>3</v>
      </c>
      <c r="B7" s="11" t="n">
        <v>46248</v>
      </c>
      <c r="C7" s="5" t="inlineStr">
        <is>
          <t>GI-2026-0521</t>
        </is>
      </c>
      <c r="D7" s="5" t="inlineStr">
        <is>
          <t>Cataluña</t>
        </is>
      </c>
      <c r="E7" s="11" t="n">
        <v>46262</v>
      </c>
      <c r="F7" s="7">
        <f>IFERROR(IF(OR($B7="",$E7=""),"",$E7-$B7),"")</f>
        <v>14.0</v>
      </c>
      <c r="G7" s="7">
        <f>IFERROR(IF($D7="","",IF(INDEX(Parámetros!$C$15:$C$17,MATCH($D7,Parámetros!$A$15:$A$17,0))=0,"",INDEX(Parámetros!$C$15:$C$17,MATCH($D7,Parámetros!$A$15:$A$17,0)))),"")</f>
        <v>30.0</v>
      </c>
      <c r="H7" t="str">
        <f>IFERROR(IF($D7="","",IF(INDEX(Parámetros!$D$15:$D$17,MATCH($D7,Parámetros!$A$15:$A$17,0))=0,"",INDEX(Parámetros!$D$15:$D$17,MATCH($D7,Parámetros!$A$15:$A$17,0)))),"")</f>
        <v>Naturales</v>
      </c>
      <c r="I7" s="13" t="str">
        <f>IFERROR(IF(OR($F7="",$G7=""),"",IF($F7&lt;=$G7,"Sí","No")),"")</f>
        <v>Sí</v>
      </c>
      <c r="J7" s="5" t="n"/>
    </row>
    <row r="8">
      <c r="A8" s="7" t="n">
        <v>4</v>
      </c>
      <c r="B8" s="11" t="n"/>
      <c r="C8" s="5" t="n"/>
      <c r="D8" s="5" t="n"/>
      <c r="E8" s="11" t="n"/>
      <c r="F8" s="7">
        <f>IFERROR(IF(OR($B8="",$E8=""),"",$E8-$B8),"")</f>
        <v/>
      </c>
      <c r="G8" s="7">
        <f>IFERROR(IF($D8="","",IF(INDEX(Parámetros!$C$15:$C$17,MATCH($D8,Parámetros!$A$15:$A$17,0))=0,"",INDEX(Parámetros!$C$15:$C$17,MATCH($D8,Parámetros!$A$15:$A$17,0)))),"")</f>
        <v/>
      </c>
      <c r="H8">
        <f>IFERROR(IF($D8="","",IF(INDEX(Parámetros!$D$15:$D$17,MATCH($D8,Parámetros!$A$15:$A$17,0))=0,"",INDEX(Parámetros!$D$15:$D$17,MATCH($D8,Parámetros!$A$15:$A$17,0)))),"")</f>
        <v/>
      </c>
      <c r="I8" s="13">
        <f>IFERROR(IF(OR($F8="",$G8=""),"",IF($F8&lt;=$G8,"Sí","No")),"")</f>
        <v/>
      </c>
      <c r="J8" s="5" t="n"/>
    </row>
    <row r="9">
      <c r="A9" s="7" t="n">
        <v>5</v>
      </c>
      <c r="B9" s="11" t="n"/>
      <c r="C9" s="5" t="n"/>
      <c r="D9" s="5" t="n"/>
      <c r="E9" s="11" t="n"/>
      <c r="F9" s="7">
        <f>IFERROR(IF(OR($B9="",$E9=""),"",$E9-$B9),"")</f>
        <v/>
      </c>
      <c r="G9" s="7">
        <f>IFERROR(IF($D9="","",IF(INDEX(Parámetros!$C$15:$C$17,MATCH($D9,Parámetros!$A$15:$A$17,0))=0,"",INDEX(Parámetros!$C$15:$C$17,MATCH($D9,Parámetros!$A$15:$A$17,0)))),"")</f>
        <v/>
      </c>
      <c r="H9">
        <f>IFERROR(IF($D9="","",IF(INDEX(Parámetros!$D$15:$D$17,MATCH($D9,Parámetros!$A$15:$A$17,0))=0,"",INDEX(Parámetros!$D$15:$D$17,MATCH($D9,Parámetros!$A$15:$A$17,0)))),"")</f>
        <v/>
      </c>
      <c r="I9" s="13">
        <f>IFERROR(IF(OR($F9="",$G9=""),"",IF($F9&lt;=$G9,"Sí","No")),"")</f>
        <v/>
      </c>
      <c r="J9" s="5" t="n"/>
    </row>
    <row r="10">
      <c r="A10" s="7" t="n">
        <v>6</v>
      </c>
      <c r="B10" s="11" t="n"/>
      <c r="C10" s="5" t="n"/>
      <c r="D10" s="5" t="n"/>
      <c r="E10" s="11" t="n"/>
      <c r="F10" s="7">
        <f>IFERROR(IF(OR($B10="",$E10=""),"",$E10-$B10),"")</f>
        <v/>
      </c>
      <c r="G10" s="7">
        <f>IFERROR(IF($D10="","",IF(INDEX(Parámetros!$C$15:$C$17,MATCH($D10,Parámetros!$A$15:$A$17,0))=0,"",INDEX(Parámetros!$C$15:$C$17,MATCH($D10,Parámetros!$A$15:$A$17,0)))),"")</f>
        <v/>
      </c>
      <c r="H10">
        <f>IFERROR(IF($D10="","",IF(INDEX(Parámetros!$D$15:$D$17,MATCH($D10,Parámetros!$A$15:$A$17,0))=0,"",INDEX(Parámetros!$D$15:$D$17,MATCH($D10,Parámetros!$A$15:$A$17,0)))),"")</f>
        <v/>
      </c>
      <c r="I10" s="13">
        <f>IFERROR(IF(OR($F10="",$G10=""),"",IF($F10&lt;=$G10,"Sí","No")),"")</f>
        <v/>
      </c>
      <c r="J10" s="5" t="n"/>
    </row>
    <row r="11">
      <c r="A11" s="7" t="n">
        <v>7</v>
      </c>
      <c r="B11" s="11" t="n"/>
      <c r="C11" s="5" t="n"/>
      <c r="D11" s="5" t="n"/>
      <c r="E11" s="11" t="n"/>
      <c r="F11" s="7">
        <f>IFERROR(IF(OR($B11="",$E11=""),"",$E11-$B11),"")</f>
        <v/>
      </c>
      <c r="G11" s="7">
        <f>IFERROR(IF($D11="","",IF(INDEX(Parámetros!$C$15:$C$17,MATCH($D11,Parámetros!$A$15:$A$17,0))=0,"",INDEX(Parámetros!$C$15:$C$17,MATCH($D11,Parámetros!$A$15:$A$17,0)))),"")</f>
        <v/>
      </c>
      <c r="H11">
        <f>IFERROR(IF($D11="","",IF(INDEX(Parámetros!$D$15:$D$17,MATCH($D11,Parámetros!$A$15:$A$17,0))=0,"",INDEX(Parámetros!$D$15:$D$17,MATCH($D11,Parámetros!$A$15:$A$17,0)))),"")</f>
        <v/>
      </c>
      <c r="I11" s="13">
        <f>IFERROR(IF(OR($F11="",$G11=""),"",IF($F11&lt;=$G11,"Sí","No")),"")</f>
        <v/>
      </c>
      <c r="J11" s="5" t="n"/>
    </row>
    <row r="12">
      <c r="A12" s="7" t="n">
        <v>8</v>
      </c>
      <c r="B12" s="11" t="n"/>
      <c r="C12" s="5" t="n"/>
      <c r="D12" s="5" t="n"/>
      <c r="E12" s="11" t="n"/>
      <c r="F12" s="7">
        <f>IFERROR(IF(OR($B12="",$E12=""),"",$E12-$B12),"")</f>
        <v/>
      </c>
      <c r="G12" s="7">
        <f>IFERROR(IF($D12="","",IF(INDEX(Parámetros!$C$15:$C$17,MATCH($D12,Parámetros!$A$15:$A$17,0))=0,"",INDEX(Parámetros!$C$15:$C$17,MATCH($D12,Parámetros!$A$15:$A$17,0)))),"")</f>
        <v/>
      </c>
      <c r="H12">
        <f>IFERROR(IF($D12="","",IF(INDEX(Parámetros!$D$15:$D$17,MATCH($D12,Parámetros!$A$15:$A$17,0))=0,"",INDEX(Parámetros!$D$15:$D$17,MATCH($D12,Parámetros!$A$15:$A$17,0)))),"")</f>
        <v/>
      </c>
      <c r="I12" s="13">
        <f>IFERROR(IF(OR($F12="",$G12=""),"",IF($F12&lt;=$G12,"Sí","No")),"")</f>
        <v/>
      </c>
      <c r="J12" s="5" t="n"/>
    </row>
    <row r="13">
      <c r="A13" s="7" t="n">
        <v>9</v>
      </c>
      <c r="B13" s="11" t="n"/>
      <c r="C13" s="5" t="n"/>
      <c r="D13" s="5" t="n"/>
      <c r="E13" s="11" t="n"/>
      <c r="F13" s="7">
        <f>IFERROR(IF(OR($B13="",$E13=""),"",$E13-$B13),"")</f>
        <v/>
      </c>
      <c r="G13" s="7">
        <f>IFERROR(IF($D13="","",IF(INDEX(Parámetros!$C$15:$C$17,MATCH($D13,Parámetros!$A$15:$A$17,0))=0,"",INDEX(Parámetros!$C$15:$C$17,MATCH($D13,Parámetros!$A$15:$A$17,0)))),"")</f>
        <v/>
      </c>
      <c r="H13">
        <f>IFERROR(IF($D13="","",IF(INDEX(Parámetros!$D$15:$D$17,MATCH($D13,Parámetros!$A$15:$A$17,0))=0,"",INDEX(Parámetros!$D$15:$D$17,MATCH($D13,Parámetros!$A$15:$A$17,0)))),"")</f>
        <v/>
      </c>
      <c r="I13" s="13">
        <f>IFERROR(IF(OR($F13="",$G13=""),"",IF($F13&lt;=$G13,"Sí","No")),"")</f>
        <v/>
      </c>
      <c r="J13" s="5" t="n"/>
    </row>
    <row r="14">
      <c r="A14" s="7" t="n">
        <v>10</v>
      </c>
      <c r="B14" s="11" t="n"/>
      <c r="C14" s="5" t="n"/>
      <c r="D14" s="5" t="n"/>
      <c r="E14" s="11" t="n"/>
      <c r="F14" s="7">
        <f>IFERROR(IF(OR($B14="",$E14=""),"",$E14-$B14),"")</f>
        <v/>
      </c>
      <c r="G14" s="7">
        <f>IFERROR(IF($D14="","",IF(INDEX(Parámetros!$C$15:$C$17,MATCH($D14,Parámetros!$A$15:$A$17,0))=0,"",INDEX(Parámetros!$C$15:$C$17,MATCH($D14,Parámetros!$A$15:$A$17,0)))),"")</f>
        <v/>
      </c>
      <c r="H14">
        <f>IFERROR(IF($D14="","",IF(INDEX(Parámetros!$D$15:$D$17,MATCH($D14,Parámetros!$A$15:$A$17,0))=0,"",INDEX(Parámetros!$D$15:$D$17,MATCH($D14,Parámetros!$A$15:$A$17,0)))),"")</f>
        <v/>
      </c>
      <c r="I14" s="13">
        <f>IFERROR(IF(OR($F14="",$G14=""),"",IF($F14&lt;=$G14,"Sí","No")),"")</f>
        <v/>
      </c>
      <c r="J14" s="5" t="n"/>
    </row>
    <row r="15">
      <c r="A15" s="7" t="n">
        <v>11</v>
      </c>
      <c r="B15" s="11" t="n"/>
      <c r="C15" s="5" t="n"/>
      <c r="D15" s="5" t="n"/>
      <c r="E15" s="11" t="n"/>
      <c r="F15" s="7">
        <f>IFERROR(IF(OR($B15="",$E15=""),"",$E15-$B15),"")</f>
        <v/>
      </c>
      <c r="G15" s="7">
        <f>IFERROR(IF($D15="","",IF(INDEX(Parámetros!$C$15:$C$17,MATCH($D15,Parámetros!$A$15:$A$17,0))=0,"",INDEX(Parámetros!$C$15:$C$17,MATCH($D15,Parámetros!$A$15:$A$17,0)))),"")</f>
        <v/>
      </c>
      <c r="H15">
        <f>IFERROR(IF($D15="","",IF(INDEX(Parámetros!$D$15:$D$17,MATCH($D15,Parámetros!$A$15:$A$17,0))=0,"",INDEX(Parámetros!$D$15:$D$17,MATCH($D15,Parámetros!$A$15:$A$17,0)))),"")</f>
        <v/>
      </c>
      <c r="I15" s="13">
        <f>IFERROR(IF(OR($F15="",$G15=""),"",IF($F15&lt;=$G15,"Sí","No")),"")</f>
        <v/>
      </c>
      <c r="J15" s="5" t="n"/>
    </row>
    <row r="16">
      <c r="A16" s="7" t="n">
        <v>12</v>
      </c>
      <c r="B16" s="11" t="n"/>
      <c r="C16" s="5" t="n"/>
      <c r="D16" s="5" t="n"/>
      <c r="E16" s="11" t="n"/>
      <c r="F16" s="7">
        <f>IFERROR(IF(OR($B16="",$E16=""),"",$E16-$B16),"")</f>
        <v/>
      </c>
      <c r="G16" s="7">
        <f>IFERROR(IF($D16="","",IF(INDEX(Parámetros!$C$15:$C$17,MATCH($D16,Parámetros!$A$15:$A$17,0))=0,"",INDEX(Parámetros!$C$15:$C$17,MATCH($D16,Parámetros!$A$15:$A$17,0)))),"")</f>
        <v/>
      </c>
      <c r="H16">
        <f>IFERROR(IF($D16="","",IF(INDEX(Parámetros!$D$15:$D$17,MATCH($D16,Parámetros!$A$15:$A$17,0))=0,"",INDEX(Parámetros!$D$15:$D$17,MATCH($D16,Parámetros!$A$15:$A$17,0)))),"")</f>
        <v/>
      </c>
      <c r="I16" s="13">
        <f>IFERROR(IF(OR($F16="",$G16=""),"",IF($F16&lt;=$G16,"Sí","No")),"")</f>
        <v/>
      </c>
      <c r="J16" s="5" t="n"/>
    </row>
    <row r="17">
      <c r="A17" s="7" t="n">
        <v>13</v>
      </c>
      <c r="B17" s="11" t="n"/>
      <c r="C17" s="5" t="n"/>
      <c r="D17" s="5" t="n"/>
      <c r="E17" s="11" t="n"/>
      <c r="F17" s="7">
        <f>IFERROR(IF(OR($B17="",$E17=""),"",$E17-$B17),"")</f>
        <v/>
      </c>
      <c r="G17" s="7">
        <f>IFERROR(IF($D17="","",IF(INDEX(Parámetros!$C$15:$C$17,MATCH($D17,Parámetros!$A$15:$A$17,0))=0,"",INDEX(Parámetros!$C$15:$C$17,MATCH($D17,Parámetros!$A$15:$A$17,0)))),"")</f>
        <v/>
      </c>
      <c r="H17">
        <f>IFERROR(IF($D17="","",IF(INDEX(Parámetros!$D$15:$D$17,MATCH($D17,Parámetros!$A$15:$A$17,0))=0,"",INDEX(Parámetros!$D$15:$D$17,MATCH($D17,Parámetros!$A$15:$A$17,0)))),"")</f>
        <v/>
      </c>
      <c r="I17" s="13">
        <f>IFERROR(IF(OR($F17="",$G17=""),"",IF($F17&lt;=$G17,"Sí","No")),"")</f>
        <v/>
      </c>
      <c r="J17" s="5" t="n"/>
    </row>
    <row r="18">
      <c r="A18" s="7" t="n">
        <v>14</v>
      </c>
      <c r="B18" s="11" t="n"/>
      <c r="C18" s="5" t="n"/>
      <c r="D18" s="5" t="n"/>
      <c r="E18" s="11" t="n"/>
      <c r="F18" s="7">
        <f>IFERROR(IF(OR($B18="",$E18=""),"",$E18-$B18),"")</f>
        <v/>
      </c>
      <c r="G18" s="7">
        <f>IFERROR(IF($D18="","",IF(INDEX(Parámetros!$C$15:$C$17,MATCH($D18,Parámetros!$A$15:$A$17,0))=0,"",INDEX(Parámetros!$C$15:$C$17,MATCH($D18,Parámetros!$A$15:$A$17,0)))),"")</f>
        <v/>
      </c>
      <c r="H18">
        <f>IFERROR(IF($D18="","",IF(INDEX(Parámetros!$D$15:$D$17,MATCH($D18,Parámetros!$A$15:$A$17,0))=0,"",INDEX(Parámetros!$D$15:$D$17,MATCH($D18,Parámetros!$A$15:$A$17,0)))),"")</f>
        <v/>
      </c>
      <c r="I18" s="13">
        <f>IFERROR(IF(OR($F18="",$G18=""),"",IF($F18&lt;=$G18,"Sí","No")),"")</f>
        <v/>
      </c>
      <c r="J18" s="5" t="n"/>
    </row>
    <row r="19">
      <c r="A19" s="7" t="n">
        <v>15</v>
      </c>
      <c r="B19" s="11" t="n"/>
      <c r="C19" s="5" t="n"/>
      <c r="D19" s="5" t="n"/>
      <c r="E19" s="11" t="n"/>
      <c r="F19" s="7">
        <f>IFERROR(IF(OR($B19="",$E19=""),"",$E19-$B19),"")</f>
        <v/>
      </c>
      <c r="G19" s="7">
        <f>IFERROR(IF($D19="","",IF(INDEX(Parámetros!$C$15:$C$17,MATCH($D19,Parámetros!$A$15:$A$17,0))=0,"",INDEX(Parámetros!$C$15:$C$17,MATCH($D19,Parámetros!$A$15:$A$17,0)))),"")</f>
        <v/>
      </c>
      <c r="H19">
        <f>IFERROR(IF($D19="","",IF(INDEX(Parámetros!$D$15:$D$17,MATCH($D19,Parámetros!$A$15:$A$17,0))=0,"",INDEX(Parámetros!$D$15:$D$17,MATCH($D19,Parámetros!$A$15:$A$17,0)))),"")</f>
        <v/>
      </c>
      <c r="I19" s="13">
        <f>IFERROR(IF(OR($F19="",$G19=""),"",IF($F19&lt;=$G19,"Sí","No")),"")</f>
        <v/>
      </c>
      <c r="J19" s="5" t="n"/>
    </row>
    <row r="20">
      <c r="A20" s="7" t="n">
        <v>16</v>
      </c>
      <c r="B20" s="11" t="n"/>
      <c r="C20" s="5" t="n"/>
      <c r="D20" s="5" t="n"/>
      <c r="E20" s="11" t="n"/>
      <c r="F20" s="7">
        <f>IFERROR(IF(OR($B20="",$E20=""),"",$E20-$B20),"")</f>
        <v/>
      </c>
      <c r="G20" s="7">
        <f>IFERROR(IF($D20="","",IF(INDEX(Parámetros!$C$15:$C$17,MATCH($D20,Parámetros!$A$15:$A$17,0))=0,"",INDEX(Parámetros!$C$15:$C$17,MATCH($D20,Parámetros!$A$15:$A$17,0)))),"")</f>
        <v/>
      </c>
      <c r="H20">
        <f>IFERROR(IF($D20="","",IF(INDEX(Parámetros!$D$15:$D$17,MATCH($D20,Parámetros!$A$15:$A$17,0))=0,"",INDEX(Parámetros!$D$15:$D$17,MATCH($D20,Parámetros!$A$15:$A$17,0)))),"")</f>
        <v/>
      </c>
      <c r="I20" s="13">
        <f>IFERROR(IF(OR($F20="",$G20=""),"",IF($F20&lt;=$G20,"Sí","No")),"")</f>
        <v/>
      </c>
      <c r="J20" s="5" t="n"/>
    </row>
    <row r="21">
      <c r="A21" s="7" t="n">
        <v>17</v>
      </c>
      <c r="B21" s="11" t="n"/>
      <c r="C21" s="5" t="n"/>
      <c r="D21" s="5" t="n"/>
      <c r="E21" s="11" t="n"/>
      <c r="F21" s="7">
        <f>IFERROR(IF(OR($B21="",$E21=""),"",$E21-$B21),"")</f>
        <v/>
      </c>
      <c r="G21" s="7">
        <f>IFERROR(IF($D21="","",IF(INDEX(Parámetros!$C$15:$C$17,MATCH($D21,Parámetros!$A$15:$A$17,0))=0,"",INDEX(Parámetros!$C$15:$C$17,MATCH($D21,Parámetros!$A$15:$A$17,0)))),"")</f>
        <v/>
      </c>
      <c r="H21">
        <f>IFERROR(IF($D21="","",IF(INDEX(Parámetros!$D$15:$D$17,MATCH($D21,Parámetros!$A$15:$A$17,0))=0,"",INDEX(Parámetros!$D$15:$D$17,MATCH($D21,Parámetros!$A$15:$A$17,0)))),"")</f>
        <v/>
      </c>
      <c r="I21" s="13">
        <f>IFERROR(IF(OR($F21="",$G21=""),"",IF($F21&lt;=$G21,"Sí","No")),"")</f>
        <v/>
      </c>
      <c r="J21" s="5" t="n"/>
    </row>
    <row r="22">
      <c r="A22" s="7" t="n">
        <v>18</v>
      </c>
      <c r="B22" s="11" t="n"/>
      <c r="C22" s="5" t="n"/>
      <c r="D22" s="5" t="n"/>
      <c r="E22" s="11" t="n"/>
      <c r="F22" s="7">
        <f>IFERROR(IF(OR($B22="",$E22=""),"",$E22-$B22),"")</f>
        <v/>
      </c>
      <c r="G22" s="7">
        <f>IFERROR(IF($D22="","",IF(INDEX(Parámetros!$C$15:$C$17,MATCH($D22,Parámetros!$A$15:$A$17,0))=0,"",INDEX(Parámetros!$C$15:$C$17,MATCH($D22,Parámetros!$A$15:$A$17,0)))),"")</f>
        <v/>
      </c>
      <c r="H22">
        <f>IFERROR(IF($D22="","",IF(INDEX(Parámetros!$D$15:$D$17,MATCH($D22,Parámetros!$A$15:$A$17,0))=0,"",INDEX(Parámetros!$D$15:$D$17,MATCH($D22,Parámetros!$A$15:$A$17,0)))),"")</f>
        <v/>
      </c>
      <c r="I22" s="13">
        <f>IFERROR(IF(OR($F22="",$G22=""),"",IF($F22&lt;=$G22,"Sí","No")),"")</f>
        <v/>
      </c>
      <c r="J22" s="5" t="n"/>
    </row>
    <row r="23">
      <c r="A23" s="7" t="n">
        <v>19</v>
      </c>
      <c r="B23" s="11" t="n"/>
      <c r="C23" s="5" t="n"/>
      <c r="D23" s="5" t="n"/>
      <c r="E23" s="11" t="n"/>
      <c r="F23" s="7">
        <f>IFERROR(IF(OR($B23="",$E23=""),"",$E23-$B23),"")</f>
        <v/>
      </c>
      <c r="G23" s="7">
        <f>IFERROR(IF($D23="","",IF(INDEX(Parámetros!$C$15:$C$17,MATCH($D23,Parámetros!$A$15:$A$17,0))=0,"",INDEX(Parámetros!$C$15:$C$17,MATCH($D23,Parámetros!$A$15:$A$17,0)))),"")</f>
        <v/>
      </c>
      <c r="H23">
        <f>IFERROR(IF($D23="","",IF(INDEX(Parámetros!$D$15:$D$17,MATCH($D23,Parámetros!$A$15:$A$17,0))=0,"",INDEX(Parámetros!$D$15:$D$17,MATCH($D23,Parámetros!$A$15:$A$17,0)))),"")</f>
        <v/>
      </c>
      <c r="I23" s="13">
        <f>IFERROR(IF(OR($F23="",$G23=""),"",IF($F23&lt;=$G23,"Sí","No")),"")</f>
        <v/>
      </c>
      <c r="J23" s="5" t="n"/>
    </row>
    <row r="24">
      <c r="A24" s="7" t="n">
        <v>20</v>
      </c>
      <c r="B24" s="11" t="n"/>
      <c r="C24" s="5" t="n"/>
      <c r="D24" s="5" t="n"/>
      <c r="E24" s="11" t="n"/>
      <c r="F24" s="7">
        <f>IFERROR(IF(OR($B24="",$E24=""),"",$E24-$B24),"")</f>
        <v/>
      </c>
      <c r="G24" s="7">
        <f>IFERROR(IF($D24="","",IF(INDEX(Parámetros!$C$15:$C$17,MATCH($D24,Parámetros!$A$15:$A$17,0))=0,"",INDEX(Parámetros!$C$15:$C$17,MATCH($D24,Parámetros!$A$15:$A$17,0)))),"")</f>
        <v/>
      </c>
      <c r="H24">
        <f>IFERROR(IF($D24="","",IF(INDEX(Parámetros!$D$15:$D$17,MATCH($D24,Parámetros!$A$15:$A$17,0))=0,"",INDEX(Parámetros!$D$15:$D$17,MATCH($D24,Parámetros!$A$15:$A$17,0)))),"")</f>
        <v/>
      </c>
      <c r="I24" s="13">
        <f>IFERROR(IF(OR($F24="",$G24=""),"",IF($F24&lt;=$G24,"Sí","No")),"")</f>
        <v/>
      </c>
      <c r="J24" s="5" t="n"/>
    </row>
    <row r="25"/>
    <row r="26">
      <c r="A26" s="4" t="inlineStr">
        <is>
          <t>Entregar la hoja es obligatorio y gratuito, y negarse es una infracción de consumo. Lo que decide si llegas a tiempo es la RESPUESTA POR ESCRITO, no la conversación en sala.</t>
        </is>
      </c>
    </row>
    <row r="27">
      <c r="A27" s="4" t="inlineStr">
        <is>
          <t>Cuando la columna «Se cuentan» dice «Hábiles», el libro sigue comparando días naturales: te avisa antes, nunca después. Para el expediente, cuenta los hábiles de tu calendario.</t>
        </is>
      </c>
    </row>
  </sheetData>
  <sheetProtection selectLockedCells="0" selectUnlockedCells="0" sheet="1" objects="0" insertRows="0" insertHyperlinks="1" autoFilter="1" scenarios="0" formatColumns="0" deleteColumns="1" insertColumns="1" pivotTables="1" deleteRows="1" formatCells="1" formatRows="0" sort="0"/>
  <conditionalFormatting sqref="I5:I24">
    <cfRule type="cellIs" priority="1" operator="equal" dxfId="0" stopIfTrue="1">
      <formula>"Sí"</formula>
    </cfRule>
    <cfRule type="cellIs" priority="2" operator="equal" dxfId="1" stopIfTrue="1">
      <formula>"No"</formula>
    </cfRule>
  </conditionalFormatting>
  <dataValidations count="2">
    <dataValidation sqref="D5 D6 D7 D8 D9 D10 D11 D12 D13 D14 D15 D16 D17 D18 D19 D20 D21 D22 D23 D24" showDropDown="0" showInputMessage="0" showErrorMessage="1" allowBlank="1" errorTitle="Comunidad no válida" error="Elige tu comunidad. Si no está sembrada, usa «Otras comunidades» y escribe su plazo en la hoja «Parámetros»." type="list">
      <formula1>"Cataluña,Andalucía,Otras comunidades"</formula1>
    </dataValidation>
    <dataValidation sqref="B5 B6 B7 B8 B9 B10 B11 B12 B13 B14 B15 B16 B17 B18 B19 B20 B21 B22 B23 B24 E5 E6 E7 E8 E9 E10 E11 E12 E13 E14 E15 E16 E17 E18 E19 E20 E21 E22 E23 E2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3" customWidth="1" min="3" max="3"/>
    <col width="11" customWidth="1" min="4" max="4"/>
    <col width="16" customWidth="1" min="5" max="5"/>
    <col width="11" customWidth="1" min="6" max="6"/>
    <col width="13" customWidth="1" min="7" max="7"/>
    <col width="50" customWidth="1" min="8" max="8"/>
  </cols>
  <sheetData>
    <row r="1">
      <c r="A1" s="1" t="inlineStr">
        <is>
          <t>Reseñas — lo público, lo que lee quien todavía no ha venido</t>
        </is>
      </c>
    </row>
    <row r="2">
      <c r="A2" s="2" t="inlineStr">
        <is>
          <t>AI Chef Pro · aichef.pro — Manual del Manager de Restaurante</t>
        </is>
      </c>
    </row>
    <row r="3">
      <c r="F3" s="10" t="inlineStr">
        <is>
          <t>El mes lo calcula el libro desde la fecha: la hoja «Resumen» agrupa por él.</t>
        </is>
      </c>
    </row>
    <row r="4" ht="38" customHeight="1">
      <c r="A4" s="6" t="inlineStr">
        <is>
          <t>#</t>
        </is>
      </c>
      <c r="B4" s="6" t="inlineStr">
        <is>
          <t>Plataforma</t>
        </is>
      </c>
      <c r="C4" s="6" t="inlineStr">
        <is>
          <t>Fecha</t>
        </is>
      </c>
      <c r="D4" s="6" t="inlineStr">
        <is>
          <t>Estrellas (1-5)</t>
        </is>
      </c>
      <c r="E4" s="6" t="inlineStr">
        <is>
          <t>Tema</t>
        </is>
      </c>
      <c r="F4" s="6" t="inlineStr">
        <is>
          <t>Respondida</t>
        </is>
      </c>
      <c r="G4" s="6" t="inlineStr">
        <is>
          <t>Mes</t>
        </is>
      </c>
      <c r="H4" s="6" t="inlineStr">
        <is>
          <t>Notas</t>
        </is>
      </c>
    </row>
    <row r="5">
      <c r="A5" s="7" t="n">
        <v>1</v>
      </c>
      <c r="B5" s="5" t="inlineStr">
        <is>
          <t>Google</t>
        </is>
      </c>
      <c r="C5" s="11" t="n">
        <v>46084</v>
      </c>
      <c r="D5" s="8" t="n">
        <v>5</v>
      </c>
      <c r="E5" s="5" t="inlineStr">
        <is>
          <t>Comida</t>
        </is>
      </c>
      <c r="F5" s="5" t="inlineStr">
        <is>
          <t>Sí</t>
        </is>
      </c>
      <c r="G5" s="14">
        <f>IFERROR(IF($C5="","",DATE(YEAR($C5),MONTH($C5),1)),"")</f>
        <v>46082.0</v>
      </c>
      <c r="H5" s="5" t="n"/>
    </row>
    <row r="6">
      <c r="A6" s="7" t="n">
        <v>2</v>
      </c>
      <c r="B6" s="5" t="inlineStr">
        <is>
          <t>TripAdvisor</t>
        </is>
      </c>
      <c r="C6" s="11" t="n">
        <v>46088</v>
      </c>
      <c r="D6" s="8" t="n">
        <v>5</v>
      </c>
      <c r="E6" s="5" t="inlineStr">
        <is>
          <t>Servicio</t>
        </is>
      </c>
      <c r="F6" s="5" t="inlineStr">
        <is>
          <t>Sí</t>
        </is>
      </c>
      <c r="G6" s="14">
        <f>IFERROR(IF($C6="","",DATE(YEAR($C6),MONTH($C6),1)),"")</f>
        <v>46082.0</v>
      </c>
      <c r="H6" s="5" t="n"/>
    </row>
    <row r="7">
      <c r="A7" s="7" t="n">
        <v>3</v>
      </c>
      <c r="B7" s="5" t="inlineStr">
        <is>
          <t>Google</t>
        </is>
      </c>
      <c r="C7" s="11" t="n">
        <v>46093</v>
      </c>
      <c r="D7" s="8" t="n">
        <v>4</v>
      </c>
      <c r="E7" s="5" t="inlineStr">
        <is>
          <t>Ambiente</t>
        </is>
      </c>
      <c r="F7" s="5" t="inlineStr">
        <is>
          <t>Sí</t>
        </is>
      </c>
      <c r="G7" s="14">
        <f>IFERROR(IF($C7="","",DATE(YEAR($C7),MONTH($C7),1)),"")</f>
        <v>46082.0</v>
      </c>
      <c r="H7" s="5" t="n"/>
    </row>
    <row r="8">
      <c r="A8" s="7" t="n">
        <v>4</v>
      </c>
      <c r="B8" s="5" t="inlineStr">
        <is>
          <t>TheFork</t>
        </is>
      </c>
      <c r="C8" s="11" t="n">
        <v>46097</v>
      </c>
      <c r="D8" s="8" t="n">
        <v>4</v>
      </c>
      <c r="E8" s="5" t="inlineStr">
        <is>
          <t>Comida</t>
        </is>
      </c>
      <c r="F8" s="5" t="inlineStr">
        <is>
          <t>No</t>
        </is>
      </c>
      <c r="G8" s="14">
        <f>IFERROR(IF($C8="","",DATE(YEAR($C8),MONTH($C8),1)),"")</f>
        <v>46082.0</v>
      </c>
      <c r="H8" s="5" t="n"/>
    </row>
    <row r="9">
      <c r="A9" s="7" t="n">
        <v>5</v>
      </c>
      <c r="B9" s="5" t="inlineStr">
        <is>
          <t>Google</t>
        </is>
      </c>
      <c r="C9" s="11" t="n">
        <v>46102</v>
      </c>
      <c r="D9" s="8" t="n">
        <v>5</v>
      </c>
      <c r="E9" s="5" t="inlineStr">
        <is>
          <t>Comida</t>
        </is>
      </c>
      <c r="F9" s="5" t="inlineStr">
        <is>
          <t>Sí</t>
        </is>
      </c>
      <c r="G9" s="14">
        <f>IFERROR(IF($C9="","",DATE(YEAR($C9),MONTH($C9),1)),"")</f>
        <v>46082.0</v>
      </c>
      <c r="H9" s="5" t="n"/>
    </row>
    <row r="10">
      <c r="A10" s="7" t="n">
        <v>6</v>
      </c>
      <c r="B10" s="5" t="inlineStr">
        <is>
          <t>TripAdvisor</t>
        </is>
      </c>
      <c r="C10" s="11" t="n">
        <v>46106</v>
      </c>
      <c r="D10" s="8" t="n">
        <v>3</v>
      </c>
      <c r="E10" s="5" t="inlineStr">
        <is>
          <t>Espera</t>
        </is>
      </c>
      <c r="F10" s="5" t="inlineStr">
        <is>
          <t>Sí</t>
        </is>
      </c>
      <c r="G10" s="14">
        <f>IFERROR(IF($C10="","",DATE(YEAR($C10),MONTH($C10),1)),"")</f>
        <v>46082.0</v>
      </c>
      <c r="H10" s="5" t="n"/>
    </row>
    <row r="11">
      <c r="A11" s="7" t="n">
        <v>7</v>
      </c>
      <c r="B11" s="5" t="inlineStr">
        <is>
          <t>Google</t>
        </is>
      </c>
      <c r="C11" s="11" t="n">
        <v>46110</v>
      </c>
      <c r="D11" s="8" t="n">
        <v>4</v>
      </c>
      <c r="E11" s="5" t="inlineStr">
        <is>
          <t>Servicio</t>
        </is>
      </c>
      <c r="F11" s="5" t="inlineStr">
        <is>
          <t>No</t>
        </is>
      </c>
      <c r="G11" s="14">
        <f>IFERROR(IF($C11="","",DATE(YEAR($C11),MONTH($C11),1)),"")</f>
        <v>46082.0</v>
      </c>
      <c r="H11" s="5" t="n"/>
    </row>
    <row r="12">
      <c r="A12" s="7" t="n">
        <v>8</v>
      </c>
      <c r="B12" s="5" t="inlineStr">
        <is>
          <t>Google</t>
        </is>
      </c>
      <c r="C12" s="11" t="n">
        <v>46116</v>
      </c>
      <c r="D12" s="8" t="n">
        <v>5</v>
      </c>
      <c r="E12" s="5" t="inlineStr">
        <is>
          <t>Comida</t>
        </is>
      </c>
      <c r="F12" s="5" t="inlineStr">
        <is>
          <t>Sí</t>
        </is>
      </c>
      <c r="G12" s="14">
        <f>IFERROR(IF($C12="","",DATE(YEAR($C12),MONTH($C12),1)),"")</f>
        <v>46113.0</v>
      </c>
      <c r="H12" s="5" t="n"/>
    </row>
    <row r="13">
      <c r="A13" s="7" t="n">
        <v>9</v>
      </c>
      <c r="B13" s="5" t="inlineStr">
        <is>
          <t>TheFork</t>
        </is>
      </c>
      <c r="C13" s="11" t="n">
        <v>46121</v>
      </c>
      <c r="D13" s="8" t="n">
        <v>4</v>
      </c>
      <c r="E13" s="5" t="inlineStr">
        <is>
          <t>Reserva</t>
        </is>
      </c>
      <c r="F13" s="5" t="inlineStr">
        <is>
          <t>Sí</t>
        </is>
      </c>
      <c r="G13" s="14">
        <f>IFERROR(IF($C13="","",DATE(YEAR($C13),MONTH($C13),1)),"")</f>
        <v>46113.0</v>
      </c>
      <c r="H13" s="5" t="n"/>
    </row>
    <row r="14">
      <c r="A14" s="7" t="n">
        <v>10</v>
      </c>
      <c r="B14" s="5" t="inlineStr">
        <is>
          <t>Google</t>
        </is>
      </c>
      <c r="C14" s="11" t="n">
        <v>46126</v>
      </c>
      <c r="D14" s="8" t="n">
        <v>5</v>
      </c>
      <c r="E14" s="5" t="inlineStr">
        <is>
          <t>Servicio</t>
        </is>
      </c>
      <c r="F14" s="5" t="inlineStr">
        <is>
          <t>Sí</t>
        </is>
      </c>
      <c r="G14" s="14">
        <f>IFERROR(IF($C14="","",DATE(YEAR($C14),MONTH($C14),1)),"")</f>
        <v>46113.0</v>
      </c>
      <c r="H14" s="5" t="n"/>
    </row>
    <row r="15">
      <c r="A15" s="7" t="n">
        <v>11</v>
      </c>
      <c r="B15" s="5" t="inlineStr">
        <is>
          <t>Facebook</t>
        </is>
      </c>
      <c r="C15" s="11" t="n">
        <v>46130</v>
      </c>
      <c r="D15" s="8" t="n">
        <v>4</v>
      </c>
      <c r="E15" s="5" t="inlineStr">
        <is>
          <t>Ambiente</t>
        </is>
      </c>
      <c r="F15" s="5" t="inlineStr">
        <is>
          <t>No</t>
        </is>
      </c>
      <c r="G15" s="14">
        <f>IFERROR(IF($C15="","",DATE(YEAR($C15),MONTH($C15),1)),"")</f>
        <v>46113.0</v>
      </c>
      <c r="H15" s="5" t="n"/>
    </row>
    <row r="16">
      <c r="A16" s="7" t="n">
        <v>12</v>
      </c>
      <c r="B16" s="5" t="inlineStr">
        <is>
          <t>Google</t>
        </is>
      </c>
      <c r="C16" s="11" t="n">
        <v>46135</v>
      </c>
      <c r="D16" s="8" t="n">
        <v>5</v>
      </c>
      <c r="E16" s="5" t="inlineStr">
        <is>
          <t>Comida</t>
        </is>
      </c>
      <c r="F16" s="5" t="inlineStr">
        <is>
          <t>Sí</t>
        </is>
      </c>
      <c r="G16" s="14">
        <f>IFERROR(IF($C16="","",DATE(YEAR($C16),MONTH($C16),1)),"")</f>
        <v>46113.0</v>
      </c>
      <c r="H16" s="5" t="n"/>
    </row>
    <row r="17">
      <c r="A17" s="7" t="n">
        <v>13</v>
      </c>
      <c r="B17" s="5" t="inlineStr">
        <is>
          <t>TripAdvisor</t>
        </is>
      </c>
      <c r="C17" s="11" t="n">
        <v>46140</v>
      </c>
      <c r="D17" s="8" t="n">
        <v>3</v>
      </c>
      <c r="E17" s="5" t="inlineStr">
        <is>
          <t>Precio</t>
        </is>
      </c>
      <c r="F17" s="5" t="inlineStr">
        <is>
          <t>Sí</t>
        </is>
      </c>
      <c r="G17" s="14">
        <f>IFERROR(IF($C17="","",DATE(YEAR($C17),MONTH($C17),1)),"")</f>
        <v>46113.0</v>
      </c>
      <c r="H17" s="5" t="n"/>
    </row>
    <row r="18">
      <c r="A18" s="7" t="n">
        <v>14</v>
      </c>
      <c r="B18" s="5" t="inlineStr">
        <is>
          <t>Google</t>
        </is>
      </c>
      <c r="C18" s="11" t="n">
        <v>46144</v>
      </c>
      <c r="D18" s="8" t="n">
        <v>5</v>
      </c>
      <c r="E18" s="5" t="inlineStr">
        <is>
          <t>Comida</t>
        </is>
      </c>
      <c r="F18" s="5" t="inlineStr">
        <is>
          <t>Sí</t>
        </is>
      </c>
      <c r="G18" s="14">
        <f>IFERROR(IF($C18="","",DATE(YEAR($C18),MONTH($C18),1)),"")</f>
        <v>46143.0</v>
      </c>
      <c r="H18" s="5" t="n"/>
    </row>
    <row r="19">
      <c r="A19" s="7" t="n">
        <v>15</v>
      </c>
      <c r="B19" s="5" t="inlineStr">
        <is>
          <t>TheFork</t>
        </is>
      </c>
      <c r="C19" s="11" t="n">
        <v>46150</v>
      </c>
      <c r="D19" s="8" t="n">
        <v>4</v>
      </c>
      <c r="E19" s="5" t="inlineStr">
        <is>
          <t>Servicio</t>
        </is>
      </c>
      <c r="F19" s="5" t="inlineStr">
        <is>
          <t>Sí</t>
        </is>
      </c>
      <c r="G19" s="14">
        <f>IFERROR(IF($C19="","",DATE(YEAR($C19),MONTH($C19),1)),"")</f>
        <v>46143.0</v>
      </c>
      <c r="H19" s="5" t="n"/>
    </row>
    <row r="20">
      <c r="A20" s="7" t="n">
        <v>16</v>
      </c>
      <c r="B20" s="5" t="inlineStr">
        <is>
          <t>Google</t>
        </is>
      </c>
      <c r="C20" s="11" t="n">
        <v>46155</v>
      </c>
      <c r="D20" s="8" t="n">
        <v>4</v>
      </c>
      <c r="E20" s="5" t="inlineStr">
        <is>
          <t>Ambiente</t>
        </is>
      </c>
      <c r="F20" s="5" t="inlineStr">
        <is>
          <t>No</t>
        </is>
      </c>
      <c r="G20" s="14">
        <f>IFERROR(IF($C20="","",DATE(YEAR($C20),MONTH($C20),1)),"")</f>
        <v>46143.0</v>
      </c>
      <c r="H20" s="5" t="n"/>
    </row>
    <row r="21">
      <c r="A21" s="7" t="n">
        <v>17</v>
      </c>
      <c r="B21" s="5" t="inlineStr">
        <is>
          <t>TripAdvisor</t>
        </is>
      </c>
      <c r="C21" s="11" t="n">
        <v>46159</v>
      </c>
      <c r="D21" s="8" t="n">
        <v>5</v>
      </c>
      <c r="E21" s="5" t="inlineStr">
        <is>
          <t>Comida</t>
        </is>
      </c>
      <c r="F21" s="5" t="inlineStr">
        <is>
          <t>Sí</t>
        </is>
      </c>
      <c r="G21" s="14">
        <f>IFERROR(IF($C21="","",DATE(YEAR($C21),MONTH($C21),1)),"")</f>
        <v>46143.0</v>
      </c>
      <c r="H21" s="5" t="n"/>
    </row>
    <row r="22">
      <c r="A22" s="7" t="n">
        <v>18</v>
      </c>
      <c r="B22" s="5" t="inlineStr">
        <is>
          <t>Google</t>
        </is>
      </c>
      <c r="C22" s="11" t="n">
        <v>46163</v>
      </c>
      <c r="D22" s="8" t="n">
        <v>3</v>
      </c>
      <c r="E22" s="5" t="inlineStr">
        <is>
          <t>Espera</t>
        </is>
      </c>
      <c r="F22" s="5" t="inlineStr">
        <is>
          <t>Sí</t>
        </is>
      </c>
      <c r="G22" s="14">
        <f>IFERROR(IF($C22="","",DATE(YEAR($C22),MONTH($C22),1)),"")</f>
        <v>46143.0</v>
      </c>
      <c r="H22" s="5" t="n"/>
    </row>
    <row r="23">
      <c r="A23" s="7" t="n">
        <v>19</v>
      </c>
      <c r="B23" s="5" t="inlineStr">
        <is>
          <t>Facebook</t>
        </is>
      </c>
      <c r="C23" s="11" t="n">
        <v>46168</v>
      </c>
      <c r="D23" s="8" t="n">
        <v>5</v>
      </c>
      <c r="E23" s="5" t="inlineStr">
        <is>
          <t>Servicio</t>
        </is>
      </c>
      <c r="F23" s="5" t="inlineStr">
        <is>
          <t>No</t>
        </is>
      </c>
      <c r="G23" s="14">
        <f>IFERROR(IF($C23="","",DATE(YEAR($C23),MONTH($C23),1)),"")</f>
        <v>46143.0</v>
      </c>
      <c r="H23" s="5" t="n"/>
    </row>
    <row r="24">
      <c r="A24" s="7" t="n">
        <v>20</v>
      </c>
      <c r="B24" s="5" t="inlineStr">
        <is>
          <t>Google</t>
        </is>
      </c>
      <c r="C24" s="11" t="n">
        <v>46172</v>
      </c>
      <c r="D24" s="8" t="n">
        <v>4</v>
      </c>
      <c r="E24" s="5" t="inlineStr">
        <is>
          <t>Comida</t>
        </is>
      </c>
      <c r="F24" s="5" t="inlineStr">
        <is>
          <t>Sí</t>
        </is>
      </c>
      <c r="G24" s="14">
        <f>IFERROR(IF($C24="","",DATE(YEAR($C24),MONTH($C24),1)),"")</f>
        <v>46143.0</v>
      </c>
      <c r="H24" s="5" t="n"/>
    </row>
    <row r="25">
      <c r="A25" s="7" t="n">
        <v>21</v>
      </c>
      <c r="B25" s="5" t="inlineStr">
        <is>
          <t>Google</t>
        </is>
      </c>
      <c r="C25" s="11" t="n">
        <v>46177</v>
      </c>
      <c r="D25" s="8" t="n">
        <v>4</v>
      </c>
      <c r="E25" s="5" t="inlineStr">
        <is>
          <t>Servicio</t>
        </is>
      </c>
      <c r="F25" s="5" t="inlineStr">
        <is>
          <t>Sí</t>
        </is>
      </c>
      <c r="G25" s="14">
        <f>IFERROR(IF($C25="","",DATE(YEAR($C25),MONTH($C25),1)),"")</f>
        <v>46174.0</v>
      </c>
      <c r="H25" s="5" t="n"/>
    </row>
    <row r="26">
      <c r="A26" s="7" t="n">
        <v>22</v>
      </c>
      <c r="B26" s="5" t="inlineStr">
        <is>
          <t>TheFork</t>
        </is>
      </c>
      <c r="C26" s="11" t="n">
        <v>46183</v>
      </c>
      <c r="D26" s="8" t="n">
        <v>5</v>
      </c>
      <c r="E26" s="5" t="inlineStr">
        <is>
          <t>Comida</t>
        </is>
      </c>
      <c r="F26" s="5" t="inlineStr">
        <is>
          <t>Sí</t>
        </is>
      </c>
      <c r="G26" s="14">
        <f>IFERROR(IF($C26="","",DATE(YEAR($C26),MONTH($C26),1)),"")</f>
        <v>46174.0</v>
      </c>
      <c r="H26" s="5" t="n"/>
    </row>
    <row r="27">
      <c r="A27" s="7" t="n">
        <v>23</v>
      </c>
      <c r="B27" s="5" t="inlineStr">
        <is>
          <t>Google</t>
        </is>
      </c>
      <c r="C27" s="11" t="n">
        <v>46188</v>
      </c>
      <c r="D27" s="8" t="n">
        <v>4</v>
      </c>
      <c r="E27" s="5" t="inlineStr">
        <is>
          <t>Ambiente</t>
        </is>
      </c>
      <c r="F27" s="5" t="inlineStr">
        <is>
          <t>No</t>
        </is>
      </c>
      <c r="G27" s="14">
        <f>IFERROR(IF($C27="","",DATE(YEAR($C27),MONTH($C27),1)),"")</f>
        <v>46174.0</v>
      </c>
      <c r="H27" s="5" t="n"/>
    </row>
    <row r="28">
      <c r="A28" s="7" t="n">
        <v>24</v>
      </c>
      <c r="B28" s="5" t="inlineStr">
        <is>
          <t>TripAdvisor</t>
        </is>
      </c>
      <c r="C28" s="11" t="n">
        <v>46192</v>
      </c>
      <c r="D28" s="8" t="n">
        <v>3</v>
      </c>
      <c r="E28" s="5" t="inlineStr">
        <is>
          <t>Espera</t>
        </is>
      </c>
      <c r="F28" s="5" t="inlineStr">
        <is>
          <t>Sí</t>
        </is>
      </c>
      <c r="G28" s="14">
        <f>IFERROR(IF($C28="","",DATE(YEAR($C28),MONTH($C28),1)),"")</f>
        <v>46174.0</v>
      </c>
      <c r="H28" s="5" t="n"/>
    </row>
    <row r="29">
      <c r="A29" s="7" t="n">
        <v>25</v>
      </c>
      <c r="B29" s="5" t="inlineStr">
        <is>
          <t>Google</t>
        </is>
      </c>
      <c r="C29" s="11" t="n">
        <v>46197</v>
      </c>
      <c r="D29" s="8" t="n">
        <v>5</v>
      </c>
      <c r="E29" s="5" t="inlineStr">
        <is>
          <t>Comida</t>
        </is>
      </c>
      <c r="F29" s="5" t="inlineStr">
        <is>
          <t>Sí</t>
        </is>
      </c>
      <c r="G29" s="14">
        <f>IFERROR(IF($C29="","",DATE(YEAR($C29),MONTH($C29),1)),"")</f>
        <v>46174.0</v>
      </c>
      <c r="H29" s="5" t="n"/>
    </row>
    <row r="30">
      <c r="A30" s="7" t="n">
        <v>26</v>
      </c>
      <c r="B30" s="5" t="inlineStr">
        <is>
          <t>Google</t>
        </is>
      </c>
      <c r="C30" s="11" t="n">
        <v>46202</v>
      </c>
      <c r="D30" s="8" t="n">
        <v>4</v>
      </c>
      <c r="E30" s="5" t="inlineStr">
        <is>
          <t>Servicio</t>
        </is>
      </c>
      <c r="F30" s="5" t="inlineStr">
        <is>
          <t>No</t>
        </is>
      </c>
      <c r="G30" s="14">
        <f>IFERROR(IF($C30="","",DATE(YEAR($C30),MONTH($C30),1)),"")</f>
        <v>46174.0</v>
      </c>
      <c r="H30" s="5" t="n"/>
    </row>
    <row r="31">
      <c r="A31" s="7" t="n">
        <v>27</v>
      </c>
      <c r="B31" s="5" t="inlineStr">
        <is>
          <t>Google</t>
        </is>
      </c>
      <c r="C31" s="11" t="n">
        <v>46206</v>
      </c>
      <c r="D31" s="8" t="n">
        <v>3</v>
      </c>
      <c r="E31" s="5" t="inlineStr">
        <is>
          <t>Espera</t>
        </is>
      </c>
      <c r="F31" s="5" t="inlineStr">
        <is>
          <t>Sí</t>
        </is>
      </c>
      <c r="G31" s="14">
        <f>IFERROR(IF($C31="","",DATE(YEAR($C31),MONTH($C31),1)),"")</f>
        <v>46204.0</v>
      </c>
      <c r="H31" s="5" t="n"/>
    </row>
    <row r="32">
      <c r="A32" s="7" t="n">
        <v>28</v>
      </c>
      <c r="B32" s="5" t="inlineStr">
        <is>
          <t>TripAdvisor</t>
        </is>
      </c>
      <c r="C32" s="11" t="n">
        <v>46209</v>
      </c>
      <c r="D32" s="8" t="n">
        <v>2</v>
      </c>
      <c r="E32" s="5" t="inlineStr">
        <is>
          <t>Espera</t>
        </is>
      </c>
      <c r="F32" s="5" t="inlineStr">
        <is>
          <t>Sí</t>
        </is>
      </c>
      <c r="G32" s="14">
        <f>IFERROR(IF($C32="","",DATE(YEAR($C32),MONTH($C32),1)),"")</f>
        <v>46204.0</v>
      </c>
      <c r="H32" s="5" t="n"/>
    </row>
    <row r="33">
      <c r="A33" s="7" t="n">
        <v>29</v>
      </c>
      <c r="B33" s="5" t="inlineStr">
        <is>
          <t>Google</t>
        </is>
      </c>
      <c r="C33" s="11" t="n">
        <v>46213</v>
      </c>
      <c r="D33" s="8" t="n">
        <v>4</v>
      </c>
      <c r="E33" s="5" t="inlineStr">
        <is>
          <t>Comida</t>
        </is>
      </c>
      <c r="F33" s="5" t="inlineStr">
        <is>
          <t>Sí</t>
        </is>
      </c>
      <c r="G33" s="14">
        <f>IFERROR(IF($C33="","",DATE(YEAR($C33),MONTH($C33),1)),"")</f>
        <v>46204.0</v>
      </c>
      <c r="H33" s="5" t="n"/>
    </row>
    <row r="34">
      <c r="A34" s="7" t="n">
        <v>30</v>
      </c>
      <c r="B34" s="5" t="inlineStr">
        <is>
          <t>TheFork</t>
        </is>
      </c>
      <c r="C34" s="11" t="n">
        <v>46216</v>
      </c>
      <c r="D34" s="8" t="n">
        <v>3</v>
      </c>
      <c r="E34" s="5" t="inlineStr">
        <is>
          <t>Servicio</t>
        </is>
      </c>
      <c r="F34" s="5" t="inlineStr">
        <is>
          <t>No</t>
        </is>
      </c>
      <c r="G34" s="14">
        <f>IFERROR(IF($C34="","",DATE(YEAR($C34),MONTH($C34),1)),"")</f>
        <v>46204.0</v>
      </c>
      <c r="H34" s="5" t="n"/>
    </row>
    <row r="35">
      <c r="A35" s="7" t="n">
        <v>31</v>
      </c>
      <c r="B35" s="5" t="inlineStr">
        <is>
          <t>Google</t>
        </is>
      </c>
      <c r="C35" s="11" t="n">
        <v>46220</v>
      </c>
      <c r="D35" s="8" t="n">
        <v>5</v>
      </c>
      <c r="E35" s="5" t="inlineStr">
        <is>
          <t>Comida</t>
        </is>
      </c>
      <c r="F35" s="5" t="inlineStr">
        <is>
          <t>Sí</t>
        </is>
      </c>
      <c r="G35" s="14">
        <f>IFERROR(IF($C35="","",DATE(YEAR($C35),MONTH($C35),1)),"")</f>
        <v>46204.0</v>
      </c>
      <c r="H35" s="5" t="n"/>
    </row>
    <row r="36">
      <c r="A36" s="7" t="n">
        <v>32</v>
      </c>
      <c r="B36" s="5" t="inlineStr">
        <is>
          <t>Google</t>
        </is>
      </c>
      <c r="C36" s="11" t="n">
        <v>46223</v>
      </c>
      <c r="D36" s="8" t="n">
        <v>3</v>
      </c>
      <c r="E36" s="5" t="inlineStr">
        <is>
          <t>Espera</t>
        </is>
      </c>
      <c r="F36" s="5" t="inlineStr">
        <is>
          <t>Sí</t>
        </is>
      </c>
      <c r="G36" s="14">
        <f>IFERROR(IF($C36="","",DATE(YEAR($C36),MONTH($C36),1)),"")</f>
        <v>46204.0</v>
      </c>
      <c r="H36" s="5" t="n"/>
    </row>
    <row r="37">
      <c r="A37" s="7" t="n">
        <v>33</v>
      </c>
      <c r="B37" s="5" t="inlineStr">
        <is>
          <t>Facebook</t>
        </is>
      </c>
      <c r="C37" s="11" t="n">
        <v>46227</v>
      </c>
      <c r="D37" s="8" t="n">
        <v>4</v>
      </c>
      <c r="E37" s="5" t="inlineStr">
        <is>
          <t>Ambiente</t>
        </is>
      </c>
      <c r="F37" s="5" t="inlineStr">
        <is>
          <t>No</t>
        </is>
      </c>
      <c r="G37" s="14">
        <f>IFERROR(IF($C37="","",DATE(YEAR($C37),MONTH($C37),1)),"")</f>
        <v>46204.0</v>
      </c>
      <c r="H37" s="5" t="n"/>
    </row>
    <row r="38">
      <c r="A38" s="7" t="n">
        <v>34</v>
      </c>
      <c r="B38" s="5" t="inlineStr">
        <is>
          <t>TripAdvisor</t>
        </is>
      </c>
      <c r="C38" s="11" t="n">
        <v>46231</v>
      </c>
      <c r="D38" s="8" t="n">
        <v>2</v>
      </c>
      <c r="E38" s="5" t="inlineStr">
        <is>
          <t>Servicio</t>
        </is>
      </c>
      <c r="F38" s="5" t="inlineStr">
        <is>
          <t>Sí</t>
        </is>
      </c>
      <c r="G38" s="14">
        <f>IFERROR(IF($C38="","",DATE(YEAR($C38),MONTH($C38),1)),"")</f>
        <v>46204.0</v>
      </c>
      <c r="H38" s="5" t="n"/>
    </row>
    <row r="39">
      <c r="A39" s="7" t="n">
        <v>35</v>
      </c>
      <c r="B39" s="5" t="inlineStr">
        <is>
          <t>Google</t>
        </is>
      </c>
      <c r="C39" s="11" t="n">
        <v>46238</v>
      </c>
      <c r="D39" s="8" t="n">
        <v>5</v>
      </c>
      <c r="E39" s="5" t="inlineStr">
        <is>
          <t>Comida</t>
        </is>
      </c>
      <c r="F39" s="5" t="inlineStr">
        <is>
          <t>Sí</t>
        </is>
      </c>
      <c r="G39" s="14">
        <f>IFERROR(IF($C39="","",DATE(YEAR($C39),MONTH($C39),1)),"")</f>
        <v>46235.0</v>
      </c>
      <c r="H39" s="5" t="n"/>
    </row>
    <row r="40">
      <c r="A40" s="7" t="n">
        <v>36</v>
      </c>
      <c r="B40" s="5" t="inlineStr">
        <is>
          <t>TheFork</t>
        </is>
      </c>
      <c r="C40" s="11" t="n">
        <v>46243</v>
      </c>
      <c r="D40" s="8" t="n">
        <v>4</v>
      </c>
      <c r="E40" s="5" t="inlineStr">
        <is>
          <t>Servicio</t>
        </is>
      </c>
      <c r="F40" s="5" t="inlineStr">
        <is>
          <t>Sí</t>
        </is>
      </c>
      <c r="G40" s="14">
        <f>IFERROR(IF($C40="","",DATE(YEAR($C40),MONTH($C40),1)),"")</f>
        <v>46235.0</v>
      </c>
      <c r="H40" s="5" t="n"/>
    </row>
    <row r="41">
      <c r="A41" s="7" t="n">
        <v>37</v>
      </c>
      <c r="B41" s="5" t="inlineStr">
        <is>
          <t>Google</t>
        </is>
      </c>
      <c r="C41" s="11" t="n">
        <v>46248</v>
      </c>
      <c r="D41" s="8" t="n">
        <v>5</v>
      </c>
      <c r="E41" s="5" t="inlineStr">
        <is>
          <t>Comida</t>
        </is>
      </c>
      <c r="F41" s="5" t="inlineStr">
        <is>
          <t>Sí</t>
        </is>
      </c>
      <c r="G41" s="14">
        <f>IFERROR(IF($C41="","",DATE(YEAR($C41),MONTH($C41),1)),"")</f>
        <v>46235.0</v>
      </c>
      <c r="H41" s="5" t="n"/>
    </row>
    <row r="42">
      <c r="A42" s="7" t="n">
        <v>38</v>
      </c>
      <c r="B42" s="5" t="inlineStr">
        <is>
          <t>Google</t>
        </is>
      </c>
      <c r="C42" s="11" t="n">
        <v>46253</v>
      </c>
      <c r="D42" s="8" t="n">
        <v>4</v>
      </c>
      <c r="E42" s="5" t="inlineStr">
        <is>
          <t>Ambiente</t>
        </is>
      </c>
      <c r="F42" s="5" t="inlineStr">
        <is>
          <t>No</t>
        </is>
      </c>
      <c r="G42" s="14">
        <f>IFERROR(IF($C42="","",DATE(YEAR($C42),MONTH($C42),1)),"")</f>
        <v>46235.0</v>
      </c>
      <c r="H42" s="5" t="n"/>
    </row>
    <row r="43">
      <c r="A43" s="7" t="n">
        <v>39</v>
      </c>
      <c r="B43" s="5" t="inlineStr">
        <is>
          <t>TripAdvisor</t>
        </is>
      </c>
      <c r="C43" s="11" t="n">
        <v>46258</v>
      </c>
      <c r="D43" s="8" t="n">
        <v>3</v>
      </c>
      <c r="E43" s="5" t="inlineStr">
        <is>
          <t>Precio</t>
        </is>
      </c>
      <c r="F43" s="5" t="inlineStr">
        <is>
          <t>Sí</t>
        </is>
      </c>
      <c r="G43" s="14">
        <f>IFERROR(IF($C43="","",DATE(YEAR($C43),MONTH($C43),1)),"")</f>
        <v>46235.0</v>
      </c>
      <c r="H43" s="5" t="n"/>
    </row>
    <row r="44">
      <c r="A44" s="7" t="n">
        <v>40</v>
      </c>
      <c r="B44" s="5" t="inlineStr">
        <is>
          <t>Google</t>
        </is>
      </c>
      <c r="C44" s="11" t="n">
        <v>46263</v>
      </c>
      <c r="D44" s="8" t="n">
        <v>5</v>
      </c>
      <c r="E44" s="5" t="inlineStr">
        <is>
          <t>Servicio</t>
        </is>
      </c>
      <c r="F44" s="5" t="inlineStr">
        <is>
          <t>Sí</t>
        </is>
      </c>
      <c r="G44" s="14">
        <f>IFERROR(IF($C44="","",DATE(YEAR($C44),MONTH($C44),1)),"")</f>
        <v>46235.0</v>
      </c>
      <c r="H44" s="5" t="n"/>
    </row>
    <row r="45">
      <c r="A45" s="7" t="n">
        <v>41</v>
      </c>
      <c r="B45" s="5" t="n"/>
      <c r="C45" s="11" t="n"/>
      <c r="D45" s="8" t="n"/>
      <c r="E45" s="5" t="n"/>
      <c r="F45" s="5" t="n"/>
      <c r="G45" s="14">
        <f>IFERROR(IF($C45="","",DATE(YEAR($C45),MONTH($C45),1)),"")</f>
        <v/>
      </c>
      <c r="H45" s="5" t="n"/>
    </row>
    <row r="46">
      <c r="A46" s="7" t="n">
        <v>42</v>
      </c>
      <c r="B46" s="5" t="n"/>
      <c r="C46" s="11" t="n"/>
      <c r="D46" s="8" t="n"/>
      <c r="E46" s="5" t="n"/>
      <c r="F46" s="5" t="n"/>
      <c r="G46" s="14">
        <f>IFERROR(IF($C46="","",DATE(YEAR($C46),MONTH($C46),1)),"")</f>
        <v/>
      </c>
      <c r="H46" s="5" t="n"/>
    </row>
    <row r="47">
      <c r="A47" s="7" t="n">
        <v>43</v>
      </c>
      <c r="B47" s="5" t="n"/>
      <c r="C47" s="11" t="n"/>
      <c r="D47" s="8" t="n"/>
      <c r="E47" s="5" t="n"/>
      <c r="F47" s="5" t="n"/>
      <c r="G47" s="14">
        <f>IFERROR(IF($C47="","",DATE(YEAR($C47),MONTH($C47),1)),"")</f>
        <v/>
      </c>
      <c r="H47" s="5" t="n"/>
    </row>
    <row r="48">
      <c r="A48" s="7" t="n">
        <v>44</v>
      </c>
      <c r="B48" s="5" t="n"/>
      <c r="C48" s="11" t="n"/>
      <c r="D48" s="8" t="n"/>
      <c r="E48" s="5" t="n"/>
      <c r="F48" s="5" t="n"/>
      <c r="G48" s="14">
        <f>IFERROR(IF($C48="","",DATE(YEAR($C48),MONTH($C48),1)),"")</f>
        <v/>
      </c>
      <c r="H48" s="5" t="n"/>
    </row>
    <row r="49">
      <c r="A49" s="7" t="n">
        <v>45</v>
      </c>
      <c r="B49" s="5" t="n"/>
      <c r="C49" s="11" t="n"/>
      <c r="D49" s="8" t="n"/>
      <c r="E49" s="5" t="n"/>
      <c r="F49" s="5" t="n"/>
      <c r="G49" s="14">
        <f>IFERROR(IF($C49="","",DATE(YEAR($C49),MONTH($C49),1)),"")</f>
        <v/>
      </c>
      <c r="H49" s="5" t="n"/>
    </row>
    <row r="50">
      <c r="A50" s="7" t="n">
        <v>46</v>
      </c>
      <c r="B50" s="5" t="n"/>
      <c r="C50" s="11" t="n"/>
      <c r="D50" s="8" t="n"/>
      <c r="E50" s="5" t="n"/>
      <c r="F50" s="5" t="n"/>
      <c r="G50" s="14">
        <f>IFERROR(IF($C50="","",DATE(YEAR($C50),MONTH($C50),1)),"")</f>
        <v/>
      </c>
      <c r="H50" s="5" t="n"/>
    </row>
    <row r="51">
      <c r="A51" s="7" t="n">
        <v>47</v>
      </c>
      <c r="B51" s="5" t="n"/>
      <c r="C51" s="11" t="n"/>
      <c r="D51" s="8" t="n"/>
      <c r="E51" s="5" t="n"/>
      <c r="F51" s="5" t="n"/>
      <c r="G51" s="14">
        <f>IFERROR(IF($C51="","",DATE(YEAR($C51),MONTH($C51),1)),"")</f>
        <v/>
      </c>
      <c r="H51" s="5" t="n"/>
    </row>
    <row r="52">
      <c r="A52" s="7" t="n">
        <v>48</v>
      </c>
      <c r="B52" s="5" t="n"/>
      <c r="C52" s="11" t="n"/>
      <c r="D52" s="8" t="n"/>
      <c r="E52" s="5" t="n"/>
      <c r="F52" s="5" t="n"/>
      <c r="G52" s="14">
        <f>IFERROR(IF($C52="","",DATE(YEAR($C52),MONTH($C52),1)),"")</f>
        <v/>
      </c>
      <c r="H52" s="5" t="n"/>
    </row>
    <row r="53">
      <c r="A53" s="7" t="n">
        <v>49</v>
      </c>
      <c r="B53" s="5" t="n"/>
      <c r="C53" s="11" t="n"/>
      <c r="D53" s="8" t="n"/>
      <c r="E53" s="5" t="n"/>
      <c r="F53" s="5" t="n"/>
      <c r="G53" s="14">
        <f>IFERROR(IF($C53="","",DATE(YEAR($C53),MONTH($C53),1)),"")</f>
        <v/>
      </c>
      <c r="H53" s="5" t="n"/>
    </row>
    <row r="54">
      <c r="A54" s="7" t="n">
        <v>50</v>
      </c>
      <c r="B54" s="5" t="n"/>
      <c r="C54" s="11" t="n"/>
      <c r="D54" s="8" t="n"/>
      <c r="E54" s="5" t="n"/>
      <c r="F54" s="5" t="n"/>
      <c r="G54" s="14">
        <f>IFERROR(IF($C54="","",DATE(YEAR($C54),MONTH($C54),1)),"")</f>
        <v/>
      </c>
      <c r="H54" s="5" t="n"/>
    </row>
    <row r="55">
      <c r="A55" s="7" t="n">
        <v>51</v>
      </c>
      <c r="B55" s="5" t="n"/>
      <c r="C55" s="11" t="n"/>
      <c r="D55" s="8" t="n"/>
      <c r="E55" s="5" t="n"/>
      <c r="F55" s="5" t="n"/>
      <c r="G55" s="14">
        <f>IFERROR(IF($C55="","",DATE(YEAR($C55),MONTH($C55),1)),"")</f>
        <v/>
      </c>
      <c r="H55" s="5" t="n"/>
    </row>
    <row r="56">
      <c r="A56" s="7" t="n">
        <v>52</v>
      </c>
      <c r="B56" s="5" t="n"/>
      <c r="C56" s="11" t="n"/>
      <c r="D56" s="8" t="n"/>
      <c r="E56" s="5" t="n"/>
      <c r="F56" s="5" t="n"/>
      <c r="G56" s="14">
        <f>IFERROR(IF($C56="","",DATE(YEAR($C56),MONTH($C56),1)),"")</f>
        <v/>
      </c>
      <c r="H56" s="5" t="n"/>
    </row>
    <row r="57">
      <c r="A57" s="7" t="n">
        <v>53</v>
      </c>
      <c r="B57" s="5" t="n"/>
      <c r="C57" s="11" t="n"/>
      <c r="D57" s="8" t="n"/>
      <c r="E57" s="5" t="n"/>
      <c r="F57" s="5" t="n"/>
      <c r="G57" s="14">
        <f>IFERROR(IF($C57="","",DATE(YEAR($C57),MONTH($C57),1)),"")</f>
        <v/>
      </c>
      <c r="H57" s="5" t="n"/>
    </row>
    <row r="58">
      <c r="A58" s="7" t="n">
        <v>54</v>
      </c>
      <c r="B58" s="5" t="n"/>
      <c r="C58" s="11" t="n"/>
      <c r="D58" s="8" t="n"/>
      <c r="E58" s="5" t="n"/>
      <c r="F58" s="5" t="n"/>
      <c r="G58" s="14">
        <f>IFERROR(IF($C58="","",DATE(YEAR($C58),MONTH($C58),1)),"")</f>
        <v/>
      </c>
      <c r="H58" s="5" t="n"/>
    </row>
    <row r="59">
      <c r="A59" s="7" t="n">
        <v>55</v>
      </c>
      <c r="B59" s="5" t="n"/>
      <c r="C59" s="11" t="n"/>
      <c r="D59" s="8" t="n"/>
      <c r="E59" s="5" t="n"/>
      <c r="F59" s="5" t="n"/>
      <c r="G59" s="14">
        <f>IFERROR(IF($C59="","",DATE(YEAR($C59),MONTH($C59),1)),"")</f>
        <v/>
      </c>
      <c r="H59" s="5" t="n"/>
    </row>
    <row r="60">
      <c r="A60" s="7" t="n">
        <v>56</v>
      </c>
      <c r="B60" s="5" t="n"/>
      <c r="C60" s="11" t="n"/>
      <c r="D60" s="8" t="n"/>
      <c r="E60" s="5" t="n"/>
      <c r="F60" s="5" t="n"/>
      <c r="G60" s="14">
        <f>IFERROR(IF($C60="","",DATE(YEAR($C60),MONTH($C60),1)),"")</f>
        <v/>
      </c>
      <c r="H60" s="5" t="n"/>
    </row>
    <row r="61">
      <c r="A61" s="7" t="n">
        <v>57</v>
      </c>
      <c r="B61" s="5" t="n"/>
      <c r="C61" s="11" t="n"/>
      <c r="D61" s="8" t="n"/>
      <c r="E61" s="5" t="n"/>
      <c r="F61" s="5" t="n"/>
      <c r="G61" s="14">
        <f>IFERROR(IF($C61="","",DATE(YEAR($C61),MONTH($C61),1)),"")</f>
        <v/>
      </c>
      <c r="H61" s="5" t="n"/>
    </row>
    <row r="62">
      <c r="A62" s="7" t="n">
        <v>58</v>
      </c>
      <c r="B62" s="5" t="n"/>
      <c r="C62" s="11" t="n"/>
      <c r="D62" s="8" t="n"/>
      <c r="E62" s="5" t="n"/>
      <c r="F62" s="5" t="n"/>
      <c r="G62" s="14">
        <f>IFERROR(IF($C62="","",DATE(YEAR($C62),MONTH($C62),1)),"")</f>
        <v/>
      </c>
      <c r="H62" s="5" t="n"/>
    </row>
    <row r="63">
      <c r="A63" s="7" t="n">
        <v>59</v>
      </c>
      <c r="B63" s="5" t="n"/>
      <c r="C63" s="11" t="n"/>
      <c r="D63" s="8" t="n"/>
      <c r="E63" s="5" t="n"/>
      <c r="F63" s="5" t="n"/>
      <c r="G63" s="14">
        <f>IFERROR(IF($C63="","",DATE(YEAR($C63),MONTH($C63),1)),"")</f>
        <v/>
      </c>
      <c r="H63" s="5" t="n"/>
    </row>
    <row r="64">
      <c r="A64" s="7" t="n">
        <v>60</v>
      </c>
      <c r="B64" s="5" t="n"/>
      <c r="C64" s="11" t="n"/>
      <c r="D64" s="8" t="n"/>
      <c r="E64" s="5" t="n"/>
      <c r="F64" s="5" t="n"/>
      <c r="G64" s="14">
        <f>IFERROR(IF($C64="","",DATE(YEAR($C64),MONTH($C64),1)),"")</f>
        <v/>
      </c>
      <c r="H64" s="5" t="n"/>
    </row>
    <row r="65"/>
    <row r="66">
      <c r="A66" s="4" t="inlineStr">
        <is>
          <t>Responder una reseña mala no es discutir: es dejar escrito, para el que la lee después, qué pasó y qué has cambiado.</t>
        </is>
      </c>
    </row>
  </sheetData>
  <sheetProtection selectLockedCells="0" selectUnlockedCells="0" sheet="1" objects="0" insertRows="0" insertHyperlinks="1" autoFilter="1" scenarios="0" formatColumns="0" deleteColumns="1" insertColumns="1" pivotTables="1" deleteRows="1" formatCells="1" formatRows="0" sort="0"/>
  <conditionalFormatting sqref="F5:F64">
    <cfRule type="cellIs" priority="1" operator="equal" dxfId="0" stopIfTrue="1">
      <formula>"Sí"</formula>
    </cfRule>
    <cfRule type="cellIs" priority="2" operator="equal" dxfId="1" stopIfTrue="1">
      <formula>"No"</formula>
    </cfRule>
  </conditionalFormatting>
  <conditionalFormatting sqref="D5:D64">
    <cfRule type="expression" priority="3" dxfId="1" stopIfTrue="1">
      <formula>=AND(ISNUMBER($D5),$D5&lt;=2)</formula>
    </cfRule>
  </conditionalFormatting>
  <dataValidations count="5">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1" allowBlank="1" errorTitle="Plataforma no válida" error="Elige un valor de la lista: Google, TripAdvisor, TheFork, Facebook, Otra" type="list">
      <formula1>"Google,TripAdvisor,TheFork,Facebook,Otra"</formula1>
    </dataValidation>
    <dataValidation sqref="E5 E6 E7 E8 E9 E10 E11 E12 E13 E14 E15 E16 E17 E18 E19 E20 E21 E22 E23 E24 E25 E26 E27 E28 E29 E30 E31 E32 E33 E34 E35 E36 E37 E38 E39 E40 E41 E42 E43 E44 E45 E46 E47 E48 E49 E50 E51 E52 E53 E54 E55 E56 E57 E58 E59 E60 E61 E62 E63 E64" showDropDown="0" showInputMessage="0" showErrorMessage="1" allowBlank="1" errorTitle="Tema no válido" error="Elige un valor de la lista: Comida, Servicio, Ambiente, Espera, Precio, Reserva, Otro" type="list">
      <formula1>"Comida,Servicio,Ambiente,Espera,Precio,Reserva,Otro"</formula1>
    </dataValidation>
    <dataValidation sqref="F5 F6 F7 F8 F9 F10 F11 F12 F13 F14 F15 F16 F17 F18 F19 F20 F21 F22 F23 F24 F25 F26 F27 F28 F29 F30 F31 F32 F33 F34 F35 F36 F37 F38 F39 F40 F41 F42 F43 F44 F45 F46 F47 F48 F49 F50 F51 F52 F53 F54 F55 F56 F57 F58 F59 F60 F61 F62 F63 F64" showDropDown="0" showInputMessage="0" showErrorMessage="1" allowBlank="1" errorTitle="Marca Sí o No" error="Elige un valor de la lista: Sí, No" type="list">
      <formula1>"Sí,No"</formula1>
    </dataValidation>
    <dataValidation sqref="D5 D6 D7 D8 D9 D10 D11 D12 D13 D14 D15 D16 D17 D18 D19 D20 D21 D22 D23 D24 D25 D26 D27 D28 D29 D30 D31 D32 D33 D34 D35 D36 D37 D38 D39 D40 D41 D42 D43 D44 D45 D46 D47 D48 D49 D50 D51 D52 D53 D54 D55 D56 D57 D58 D59 D60 D61 D62 D63 D64" showDropDown="0" showInputMessage="0" showErrorMessage="1" allowBlank="1" errorTitle="Estrellas" error="Escribe las estrellas de la reseña, de 1 a 5." type="decimal" operator="between">
      <formula1>1</formula1>
      <formula2>5</formula2>
    </dataValidation>
    <dataValidation sqref="C5 C6 C7 C8 C9 C10 C11 C12 C13 C14 C15 C16 C17 C18 C19 C20 C21 C22 C23 C24 C25 C26 C27 C28 C29 C30 C31 C32 C33 C34 C35 C36 C37 C38 C39 C40 C41 C42 C43 C44 C45 C46 C47 C48 C49 C50 C51 C52 C53 C54 C55 C56 C57 C58 C59 C60 C61 C62 C63 C6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67"/>
  <sheetViews>
    <sheetView workbookViewId="0">
      <selection activeCell="A1" sqref="A1"/>
    </sheetView>
  </sheetViews>
  <sheetFormatPr baseColWidth="8" defaultRowHeight="15"/>
  <cols>
    <col width="40" customWidth="1" min="1" max="1"/>
    <col width="46" customWidth="1" min="2" max="2"/>
    <col width="14" customWidth="1" min="3" max="3"/>
    <col width="16" customWidth="1" min="4" max="4"/>
    <col width="14" customWidth="1" min="5" max="5"/>
    <col width="16" customWidth="1" min="6" max="6"/>
    <col width="16" customWidth="1" min="7" max="7"/>
    <col width="60" customWidth="1" min="8" max="8"/>
  </cols>
  <sheetData>
    <row r="1">
      <c r="A1" s="1" t="inlineStr">
        <is>
          <t>Resumen — dónde se repite el problema y si llegas a tiempo</t>
        </is>
      </c>
    </row>
    <row r="2">
      <c r="A2" s="2" t="inlineStr">
        <is>
          <t>AI Chef Pro · aichef.pro — Manual del Manager de Restaurante</t>
        </is>
      </c>
    </row>
    <row r="3"/>
    <row r="4">
      <c r="A4" s="3" t="inlineStr">
        <is>
          <t>OBJETIVOS DE LA CASA — celdas verdes</t>
        </is>
      </c>
    </row>
    <row r="5">
      <c r="A5" t="inlineStr">
        <is>
          <t>Objetivo de SLA cumplido (%)</t>
        </is>
      </c>
      <c r="D5" s="15" t="n">
        <v>0.9</v>
      </c>
      <c r="H5" s="4" t="inlineStr">
        <is>
          <t>Por debajo de este porcentaje, la celda de cumplimiento se pone en rojo.</t>
        </is>
      </c>
    </row>
    <row r="6">
      <c r="A6" t="inlineStr">
        <is>
          <t>Objetivo de reseñas respondidas (%)</t>
        </is>
      </c>
      <c r="D6" s="15" t="n">
        <v>0.9</v>
      </c>
      <c r="H6" s="4" t="inlineStr">
        <is>
          <t>Responder también las buenas: es lo que sostiene la media.</t>
        </is>
      </c>
    </row>
    <row r="7">
      <c r="A7" t="inlineStr">
        <is>
          <t>Objetivo de media de estrellas</t>
        </is>
      </c>
      <c r="D7" s="16" t="n">
        <v>4.3</v>
      </c>
      <c r="H7" s="4" t="inlineStr">
        <is>
          <t>Objetivo de la casa, no un dato de mercado.</t>
        </is>
      </c>
    </row>
    <row r="8">
      <c r="A8" t="inlineStr">
        <is>
          <t>Tolerancia para leer la variación entre meses (estrellas)</t>
        </is>
      </c>
      <c r="D8" s="16" t="n">
        <v>0.05</v>
      </c>
      <c r="H8" s="4" t="inlineStr">
        <is>
          <t>Por debajo de esta diferencia, el mes se lee como «Igual»: no toda oscilación es una tendencia.</t>
        </is>
      </c>
    </row>
    <row r="9"/>
    <row r="10">
      <c r="A10" s="3" t="inlineStr">
        <is>
          <t>QUEJAS — lo calcula el libro</t>
        </is>
      </c>
    </row>
    <row r="11">
      <c r="A11" t="inlineStr">
        <is>
          <t>Quejas registradas</t>
        </is>
      </c>
      <c r="D11" s="17">
        <f>COUNTIF('Registro de Quejas'!$B$5:$B$54,"&lt;&gt;")</f>
        <v>30.0</v>
      </c>
    </row>
    <row r="12">
      <c r="A12" t="inlineStr">
        <is>
          <t>Motivo más repetido</t>
        </is>
      </c>
      <c r="D12" s="18" t="str">
        <f>IFERROR(INDEX($A$22:$A$31,MATCH(MAX($C$22:$C$31),$C$22:$C$31,0)),"")</f>
        <v>Espera excesiva</v>
      </c>
    </row>
    <row r="13">
      <c r="A13" t="inlineStr">
        <is>
          <t>Quejas de ese motivo</t>
        </is>
      </c>
      <c r="D13" s="17">
        <f>IFERROR(MAX($C$22:$C$31),"")</f>
        <v>10.0</v>
      </c>
    </row>
    <row r="14">
      <c r="A14" t="inlineStr">
        <is>
          <t>Gravedad más repetida</t>
        </is>
      </c>
      <c r="D14" s="17">
        <f>IFERROR(INDEX($A$35:$A$37,MATCH(MAX($C$35:$C$37),$C$35:$C$37,0)),"")</f>
        <v>2.0</v>
      </c>
    </row>
    <row r="15">
      <c r="A15" t="inlineStr">
        <is>
          <t>Quejas de esa gravedad</t>
        </is>
      </c>
      <c r="D15" s="17">
        <f>IFERROR(MAX($C$35:$C$37),"")</f>
        <v>16.0</v>
      </c>
    </row>
    <row r="16">
      <c r="A16" t="inlineStr">
        <is>
          <t>Tiempo medio hasta el cierre (horas)</t>
        </is>
      </c>
      <c r="D16" s="19">
        <f>IFERROR(AVERAGEIFS('Registro de Quejas'!$I$5:$I$54,'Registro de Quejas'!$I$5:$I$54,"&gt;=0"),"")</f>
        <v>27.2</v>
      </c>
    </row>
    <row r="17">
      <c r="A17" t="inlineStr">
        <is>
          <t>Quejas cerradas dentro del SLA</t>
        </is>
      </c>
      <c r="D17" s="17">
        <f>COUNTIF('Registro de Quejas'!$K$5:$K$54,"Sí")</f>
        <v>28.0</v>
      </c>
    </row>
    <row r="18">
      <c r="A18" t="inlineStr">
        <is>
          <t>Quejas cerradas fuera del SLA</t>
        </is>
      </c>
      <c r="D18" s="17">
        <f>COUNTIF('Registro de Quejas'!$K$5:$K$54,"No")</f>
        <v>2.0</v>
      </c>
    </row>
    <row r="19">
      <c r="A19" t="inlineStr">
        <is>
          <t>SLA CUMPLIDO (%)</t>
        </is>
      </c>
      <c r="D19" s="20">
        <f>IFERROR(IF($D$17+$D$18=0,"",$D$17/($D$17+$D$18)),"")</f>
        <v>0.9333333333333333</v>
      </c>
    </row>
    <row r="20">
      <c r="A20" s="3" t="inlineStr">
        <is>
          <t>QUEJAS POR MOTIVO — el motivo que se repite es un problema de proceso</t>
        </is>
      </c>
    </row>
    <row r="21" ht="34" customHeight="1">
      <c r="A21" s="6" t="inlineStr">
        <is>
          <t>Motivo</t>
        </is>
      </c>
      <c r="B21" s="6" t="inlineStr"/>
      <c r="C21" s="6" t="inlineStr">
        <is>
          <t>Quejas</t>
        </is>
      </c>
      <c r="D21" s="6" t="inlineStr">
        <is>
          <t>Porcentaje del total</t>
        </is>
      </c>
      <c r="E21" s="6" t="inlineStr">
        <is>
          <t>Horas medias hasta el cierre</t>
        </is>
      </c>
      <c r="F21" s="6" t="inlineStr">
        <is>
          <t>Fuera del SLA</t>
        </is>
      </c>
      <c r="G21" s="6" t="inlineStr"/>
      <c r="H21" s="6" t="inlineStr"/>
    </row>
    <row r="22">
      <c r="A22" t="inlineStr">
        <is>
          <t>Espera excesiva</t>
        </is>
      </c>
      <c r="C22" s="7">
        <f>COUNTIF('Registro de Quejas'!$D$5:$D$54,$A22)</f>
        <v>10.0</v>
      </c>
      <c r="D22" s="21">
        <f>IFERROR(IF($D$11=0,"",$C22/$D$11),"")</f>
        <v>0.3333333333333333</v>
      </c>
      <c r="E22" s="22">
        <f>IFERROR(AVERAGEIFS('Registro de Quejas'!$I$5:$I$54,'Registro de Quejas'!$D$5:$D$54,$A22,'Registro de Quejas'!$I$5:$I$54,"&gt;=0"),"")</f>
        <v>26.4</v>
      </c>
      <c r="F22" s="7">
        <f>COUNTIFS('Registro de Quejas'!$D$5:$D$54,$A22,'Registro de Quejas'!$K$5:$K$54,"No")</f>
        <v>0.0</v>
      </c>
    </row>
    <row r="23">
      <c r="A23" t="inlineStr">
        <is>
          <t>Plato frío o mal temperado</t>
        </is>
      </c>
      <c r="C23" s="7">
        <f>COUNTIF('Registro de Quejas'!$D$5:$D$54,$A23)</f>
        <v>2.0</v>
      </c>
      <c r="D23" s="21">
        <f>IFERROR(IF($D$11=0,"",$C23/$D$11),"")</f>
        <v>0.06666666666666667</v>
      </c>
      <c r="E23" s="22">
        <f>IFERROR(AVERAGEIFS('Registro de Quejas'!$I$5:$I$54,'Registro de Quejas'!$D$5:$D$54,$A23,'Registro de Quejas'!$I$5:$I$54,"&gt;=0"),"")</f>
        <v>12.0</v>
      </c>
      <c r="F23" s="7">
        <f>COUNTIFS('Registro de Quejas'!$D$5:$D$54,$A23,'Registro de Quejas'!$K$5:$K$54,"No")</f>
        <v>0.0</v>
      </c>
    </row>
    <row r="24">
      <c r="A24" t="inlineStr">
        <is>
          <t>Error en la comanda</t>
        </is>
      </c>
      <c r="C24" s="7">
        <f>COUNTIF('Registro de Quejas'!$D$5:$D$54,$A24)</f>
        <v>4.0</v>
      </c>
      <c r="D24" s="21">
        <f>IFERROR(IF($D$11=0,"",$C24/$D$11),"")</f>
        <v>0.13333333333333333</v>
      </c>
      <c r="E24" s="22">
        <f>IFERROR(AVERAGEIFS('Registro de Quejas'!$I$5:$I$54,'Registro de Quejas'!$D$5:$D$54,$A24,'Registro de Quejas'!$I$5:$I$54,"&gt;=0"),"")</f>
        <v>0.0</v>
      </c>
      <c r="F24" s="7">
        <f>COUNTIFS('Registro de Quejas'!$D$5:$D$54,$A24,'Registro de Quejas'!$K$5:$K$54,"No")</f>
        <v>0.0</v>
      </c>
    </row>
    <row r="25">
      <c r="A25" t="inlineStr">
        <is>
          <t>Trato del personal</t>
        </is>
      </c>
      <c r="C25" s="7">
        <f>COUNTIF('Registro de Quejas'!$D$5:$D$54,$A25)</f>
        <v>4.0</v>
      </c>
      <c r="D25" s="21">
        <f>IFERROR(IF($D$11=0,"",$C25/$D$11),"")</f>
        <v>0.13333333333333333</v>
      </c>
      <c r="E25" s="22">
        <f>IFERROR(AVERAGEIFS('Registro de Quejas'!$I$5:$I$54,'Registro de Quejas'!$D$5:$D$54,$A25,'Registro de Quejas'!$I$5:$I$54,"&gt;=0"),"")</f>
        <v>48.0</v>
      </c>
      <c r="F25" s="7">
        <f>COUNTIFS('Registro de Quejas'!$D$5:$D$54,$A25,'Registro de Quejas'!$K$5:$K$54,"No")</f>
        <v>1.0</v>
      </c>
    </row>
    <row r="26">
      <c r="A26" t="inlineStr">
        <is>
          <t>Cobro incorrecto</t>
        </is>
      </c>
      <c r="C26" s="7">
        <f>COUNTIF('Registro de Quejas'!$D$5:$D$54,$A26)</f>
        <v>2.0</v>
      </c>
      <c r="D26" s="21">
        <f>IFERROR(IF($D$11=0,"",$C26/$D$11),"")</f>
        <v>0.06666666666666667</v>
      </c>
      <c r="E26" s="22">
        <f>IFERROR(AVERAGEIFS('Registro de Quejas'!$I$5:$I$54,'Registro de Quejas'!$D$5:$D$54,$A26,'Registro de Quejas'!$I$5:$I$54,"&gt;=0"),"")</f>
        <v>0.0</v>
      </c>
      <c r="F26" s="7">
        <f>COUNTIFS('Registro de Quejas'!$D$5:$D$54,$A26,'Registro de Quejas'!$K$5:$K$54,"No")</f>
        <v>0.0</v>
      </c>
    </row>
    <row r="27">
      <c r="A27" t="inlineStr">
        <is>
          <t>Limpieza</t>
        </is>
      </c>
      <c r="C27" s="7">
        <f>COUNTIF('Registro de Quejas'!$D$5:$D$54,$A27)</f>
        <v>2.0</v>
      </c>
      <c r="D27" s="21">
        <f>IFERROR(IF($D$11=0,"",$C27/$D$11),"")</f>
        <v>0.06666666666666667</v>
      </c>
      <c r="E27" s="22">
        <f>IFERROR(AVERAGEIFS('Registro de Quejas'!$I$5:$I$54,'Registro de Quejas'!$D$5:$D$54,$A27,'Registro de Quejas'!$I$5:$I$54,"&gt;=0"),"")</f>
        <v>60.0</v>
      </c>
      <c r="F27" s="7">
        <f>COUNTIFS('Registro de Quejas'!$D$5:$D$54,$A27,'Registro de Quejas'!$K$5:$K$54,"No")</f>
        <v>0.0</v>
      </c>
    </row>
    <row r="28">
      <c r="A28" t="inlineStr">
        <is>
          <t>Reserva no encontrada</t>
        </is>
      </c>
      <c r="C28" s="7">
        <f>COUNTIF('Registro de Quejas'!$D$5:$D$54,$A28)</f>
        <v>2.0</v>
      </c>
      <c r="D28" s="21">
        <f>IFERROR(IF($D$11=0,"",$C28/$D$11),"")</f>
        <v>0.06666666666666667</v>
      </c>
      <c r="E28" s="22">
        <f>IFERROR(AVERAGEIFS('Registro de Quejas'!$I$5:$I$54,'Registro de Quejas'!$D$5:$D$54,$A28,'Registro de Quejas'!$I$5:$I$54,"&gt;=0"),"")</f>
        <v>24.0</v>
      </c>
      <c r="F28" s="7">
        <f>COUNTIFS('Registro de Quejas'!$D$5:$D$54,$A28,'Registro de Quejas'!$K$5:$K$54,"No")</f>
        <v>0.0</v>
      </c>
    </row>
    <row r="29">
      <c r="A29" t="inlineStr">
        <is>
          <t>Ruido</t>
        </is>
      </c>
      <c r="C29" s="7">
        <f>COUNTIF('Registro de Quejas'!$D$5:$D$54,$A29)</f>
        <v>2.0</v>
      </c>
      <c r="D29" s="21">
        <f>IFERROR(IF($D$11=0,"",$C29/$D$11),"")</f>
        <v>0.06666666666666667</v>
      </c>
      <c r="E29" s="22">
        <f>IFERROR(AVERAGEIFS('Registro de Quejas'!$I$5:$I$54,'Registro de Quejas'!$D$5:$D$54,$A29,'Registro de Quejas'!$I$5:$I$54,"&gt;=0"),"")</f>
        <v>48.0</v>
      </c>
      <c r="F29" s="7">
        <f>COUNTIFS('Registro de Quejas'!$D$5:$D$54,$A29,'Registro de Quejas'!$K$5:$K$54,"No")</f>
        <v>0.0</v>
      </c>
    </row>
    <row r="30">
      <c r="A30" t="inlineStr">
        <is>
          <t>Información de alérgenos</t>
        </is>
      </c>
      <c r="C30" s="7">
        <f>COUNTIF('Registro de Quejas'!$D$5:$D$54,$A30)</f>
        <v>1.0</v>
      </c>
      <c r="D30" s="21">
        <f>IFERROR(IF($D$11=0,"",$C30/$D$11),"")</f>
        <v>0.03333333333333333</v>
      </c>
      <c r="E30" s="22">
        <f>IFERROR(AVERAGEIFS('Registro de Quejas'!$I$5:$I$54,'Registro de Quejas'!$D$5:$D$54,$A30,'Registro de Quejas'!$I$5:$I$54,"&gt;=0"),"")</f>
        <v>24.0</v>
      </c>
      <c r="F30" s="7">
        <f>COUNTIFS('Registro de Quejas'!$D$5:$D$54,$A30,'Registro de Quejas'!$K$5:$K$54,"No")</f>
        <v>0.0</v>
      </c>
    </row>
    <row r="31">
      <c r="A31" t="inlineStr">
        <is>
          <t>Producto en mal estado</t>
        </is>
      </c>
      <c r="C31" s="7">
        <f>COUNTIF('Registro de Quejas'!$D$5:$D$54,$A31)</f>
        <v>1.0</v>
      </c>
      <c r="D31" s="21">
        <f>IFERROR(IF($D$11=0,"",$C31/$D$11),"")</f>
        <v>0.03333333333333333</v>
      </c>
      <c r="E31" s="22">
        <f>IFERROR(AVERAGEIFS('Registro de Quejas'!$I$5:$I$54,'Registro de Quejas'!$D$5:$D$54,$A31,'Registro de Quejas'!$I$5:$I$54,"&gt;=0"),"")</f>
        <v>48.0</v>
      </c>
      <c r="F31" s="7">
        <f>COUNTIFS('Registro de Quejas'!$D$5:$D$54,$A31,'Registro de Quejas'!$K$5:$K$54,"No")</f>
        <v>1.0</v>
      </c>
    </row>
    <row r="32"/>
    <row r="33">
      <c r="A33" s="3" t="inlineStr">
        <is>
          <t>QUEJAS POR GRAVEDAD</t>
        </is>
      </c>
    </row>
    <row r="34" ht="34" customHeight="1">
      <c r="A34" s="6" t="inlineStr">
        <is>
          <t>Gravedad</t>
        </is>
      </c>
      <c r="B34" s="6" t="inlineStr">
        <is>
          <t>Qué significa</t>
        </is>
      </c>
      <c r="C34" s="6" t="inlineStr">
        <is>
          <t>Quejas</t>
        </is>
      </c>
      <c r="D34" s="6" t="inlineStr">
        <is>
          <t>SLA (horas)</t>
        </is>
      </c>
      <c r="E34" s="6" t="inlineStr">
        <is>
          <t>Horas medias hasta el cierre</t>
        </is>
      </c>
      <c r="F34" s="6" t="inlineStr">
        <is>
          <t>Dentro del SLA</t>
        </is>
      </c>
      <c r="G34" s="6" t="inlineStr">
        <is>
          <t>Cumplimiento (%)</t>
        </is>
      </c>
      <c r="H34" s="6" t="inlineStr"/>
    </row>
    <row r="35">
      <c r="A35" s="7" t="n">
        <v>1</v>
      </c>
      <c r="B35" s="4" t="inlineStr">
        <is>
          <t>Leve: molestia sin impacto en la experiencia</t>
        </is>
      </c>
      <c r="C35" s="7">
        <f>COUNTIF('Registro de Quejas'!$E$5:$E$54,$A35)</f>
        <v>9.0</v>
      </c>
      <c r="D35" s="7">
        <f>IFERROR(IF($A35="","",INDEX(Parámetros!$C$6:$C$8,MATCH($A35,Parámetros!$A$6:$A$8,0))),"")</f>
        <v>72.0</v>
      </c>
      <c r="E35" s="22">
        <f>IFERROR(AVERAGEIFS('Registro de Quejas'!$I$5:$I$54,'Registro de Quejas'!$E$5:$E$54,$A35,'Registro de Quejas'!$I$5:$I$54,"&gt;=0"),"")</f>
        <v>29.333333333333332</v>
      </c>
      <c r="F35" s="7">
        <f>COUNTIFS('Registro de Quejas'!$E$5:$E$54,$A35,'Registro de Quejas'!$K$5:$K$54,"Sí")</f>
        <v>9.0</v>
      </c>
      <c r="G35" s="21">
        <f>IFERROR(IF($C35=0,"",$F35/$C35),"")</f>
        <v>1.0</v>
      </c>
    </row>
    <row r="36">
      <c r="A36" s="7" t="n">
        <v>2</v>
      </c>
      <c r="B36" s="4" t="inlineStr">
        <is>
          <t>Media: afecta a la experiencia de la mesa</t>
        </is>
      </c>
      <c r="C36" s="7">
        <f>COUNTIF('Registro de Quejas'!$E$5:$E$54,$A36)</f>
        <v>16.0</v>
      </c>
      <c r="D36" s="7">
        <f>IFERROR(IF($A36="","",INDEX(Parámetros!$C$6:$C$8,MATCH($A36,Parámetros!$A$6:$A$8,0))),"")</f>
        <v>48.0</v>
      </c>
      <c r="E36" s="22">
        <f>IFERROR(AVERAGEIFS('Registro de Quejas'!$I$5:$I$54,'Registro de Quejas'!$E$5:$E$54,$A36,'Registro de Quejas'!$I$5:$I$54,"&gt;=0"),"")</f>
        <v>25.5</v>
      </c>
      <c r="F36" s="7">
        <f>COUNTIFS('Registro de Quejas'!$E$5:$E$54,$A36,'Registro de Quejas'!$K$5:$K$54,"Sí")</f>
        <v>16.0</v>
      </c>
      <c r="G36" s="21">
        <f>IFERROR(IF($C36=0,"",$F36/$C36),"")</f>
        <v>1.0</v>
      </c>
    </row>
    <row r="37">
      <c r="A37" s="7" t="n">
        <v>3</v>
      </c>
      <c r="B37" s="4" t="inlineStr">
        <is>
          <t>Grave: riesgo sanitario, legal o reputacional</t>
        </is>
      </c>
      <c r="C37" s="7">
        <f>COUNTIF('Registro de Quejas'!$E$5:$E$54,$A37)</f>
        <v>5.0</v>
      </c>
      <c r="D37" s="7">
        <f>IFERROR(IF($A37="","",INDEX(Parámetros!$C$6:$C$8,MATCH($A37,Parámetros!$A$6:$A$8,0))),"")</f>
        <v>24.0</v>
      </c>
      <c r="E37" s="22">
        <f>IFERROR(AVERAGEIFS('Registro de Quejas'!$I$5:$I$54,'Registro de Quejas'!$E$5:$E$54,$A37,'Registro de Quejas'!$I$5:$I$54,"&gt;=0"),"")</f>
        <v>28.8</v>
      </c>
      <c r="F37" s="7">
        <f>COUNTIFS('Registro de Quejas'!$E$5:$E$54,$A37,'Registro de Quejas'!$K$5:$K$54,"Sí")</f>
        <v>3.0</v>
      </c>
      <c r="G37" s="21">
        <f>IFERROR(IF($C37=0,"",$F37/$C37),"")</f>
        <v>0.6</v>
      </c>
    </row>
    <row r="38"/>
    <row r="39">
      <c r="A39" s="3" t="inlineStr">
        <is>
          <t>RECLAMACIONES FORMALES — el plazo lo fija tu comunidad</t>
        </is>
      </c>
    </row>
    <row r="40">
      <c r="A40" t="inlineStr">
        <is>
          <t>Reclamaciones registradas</t>
        </is>
      </c>
      <c r="D40" s="17">
        <f>COUNTIF('Reclamaciones Formales'!$B$5:$B$24,"&lt;&gt;")</f>
        <v>3.0</v>
      </c>
    </row>
    <row r="41">
      <c r="A41" t="inlineStr">
        <is>
          <t>Contestadas dentro de plazo</t>
        </is>
      </c>
      <c r="D41" s="17">
        <f>COUNTIF('Reclamaciones Formales'!$I$5:$I$24,"Sí")</f>
        <v>2.0</v>
      </c>
    </row>
    <row r="42">
      <c r="A42" t="inlineStr">
        <is>
          <t>CONTESTADAS FUERA DE PLAZO</t>
        </is>
      </c>
      <c r="D42" s="23">
        <f>COUNTIF('Reclamaciones Formales'!$I$5:$I$24,"No")</f>
        <v>1.0</v>
      </c>
    </row>
    <row r="43">
      <c r="A43" t="inlineStr">
        <is>
          <t>Contestadas dentro de plazo (%)</t>
        </is>
      </c>
      <c r="D43" s="24">
        <f>IFERROR(IF($D$41+$D$42=0,"",$D$41/($D$41+$D$42)),"")</f>
        <v>0.6666666666666666</v>
      </c>
    </row>
    <row r="44">
      <c r="A44" s="4" t="inlineStr">
        <is>
          <t>Una reclamación fuera de plazo no se arregla contestando después: se evita poniendo la fecha límite en el calendario el mismo día en que entregas la hoja.</t>
        </is>
      </c>
    </row>
    <row r="45">
      <c r="A45" s="3" t="inlineStr">
        <is>
          <t>RESEÑAS</t>
        </is>
      </c>
    </row>
    <row r="46">
      <c r="A46" t="inlineStr">
        <is>
          <t>Reseñas registradas</t>
        </is>
      </c>
      <c r="D46" s="17">
        <f>COUNTIF('Reseñas'!$C$5:$C$64,"&lt;&gt;")</f>
        <v>40.0</v>
      </c>
    </row>
    <row r="47">
      <c r="A47" t="inlineStr">
        <is>
          <t>Media de estrellas</t>
        </is>
      </c>
      <c r="D47" s="25">
        <f>IFERROR(AVERAGEIFS('Reseñas'!$D$5:$D$64,'Reseñas'!$D$5:$D$64,"&gt;=0"),"")</f>
        <v>4.075</v>
      </c>
    </row>
    <row r="48">
      <c r="A48" t="inlineStr">
        <is>
          <t>Reseñas respondidas</t>
        </is>
      </c>
      <c r="D48" s="17">
        <f>COUNTIF('Reseñas'!$F$5:$F$64,"Sí")</f>
        <v>30.0</v>
      </c>
    </row>
    <row r="49">
      <c r="A49" t="inlineStr">
        <is>
          <t>Reseñas respondidas (%)</t>
        </is>
      </c>
      <c r="D49" s="24">
        <f>IFERROR(IF($D$46=0,"",$D$48/$D$46),"")</f>
        <v>0.75</v>
      </c>
    </row>
    <row r="50"/>
    <row r="51">
      <c r="A51" s="3" t="inlineStr">
        <is>
          <t>RESEÑAS POR MES — aquí se ve la caída y la recuperación</t>
        </is>
      </c>
    </row>
    <row r="52" ht="34" customHeight="1">
      <c r="A52" s="6" t="inlineStr">
        <is>
          <t>Primer día del mes</t>
        </is>
      </c>
      <c r="B52" s="6" t="inlineStr"/>
      <c r="C52" s="6" t="inlineStr">
        <is>
          <t>Reseñas</t>
        </is>
      </c>
      <c r="D52" s="6" t="inlineStr">
        <is>
          <t>Media de estrellas</t>
        </is>
      </c>
      <c r="E52" s="6" t="inlineStr">
        <is>
          <t>Respondidas</t>
        </is>
      </c>
      <c r="F52" s="6" t="inlineStr">
        <is>
          <t>Respondidas (%)</t>
        </is>
      </c>
      <c r="G52" s="6" t="inlineStr">
        <is>
          <t>Lectura frente al mes anterior</t>
        </is>
      </c>
      <c r="H52" s="6" t="inlineStr"/>
    </row>
    <row r="53">
      <c r="A53" s="26" t="n">
        <v>46082</v>
      </c>
      <c r="C53" s="7">
        <f>IF($A53="","",IFERROR(COUNTIFS('Reseñas'!$C$5:$C$64,"&gt;="&amp;$A53,'Reseñas'!$C$5:$C$64,"&lt;"&amp;DATE(YEAR($A53),MONTH($A53)+1,1)),""))</f>
        <v>7.0</v>
      </c>
      <c r="D53" s="27">
        <f>IF($A53="","",IFERROR(AVERAGEIFS('Reseñas'!$D$5:$D$64,'Reseñas'!$C$5:$C$64,"&gt;="&amp;$A53,'Reseñas'!$C$5:$C$64,"&lt;"&amp;DATE(YEAR($A53),MONTH($A53)+1,1)),""))</f>
        <v>4.285714285714286</v>
      </c>
      <c r="E53" s="7">
        <f>IF($A53="","",IFERROR(COUNTIFS('Reseñas'!$C$5:$C$64,"&gt;="&amp;$A53,'Reseñas'!$C$5:$C$64,"&lt;"&amp;DATE(YEAR($A53),MONTH($A53)+1,1),'Reseñas'!$F$5:$F$64,"Sí"),""))</f>
        <v>5.0</v>
      </c>
      <c r="F53" s="21">
        <f>IFERROR(IF(OR($C53="",$C53=0),"",$E53/$C53),"")</f>
        <v>0.7142857142857143</v>
      </c>
      <c r="G53" t="inlineStr">
        <is>
          <t>Primera medición</t>
        </is>
      </c>
    </row>
    <row r="54">
      <c r="A54" s="26" t="n">
        <v>46113</v>
      </c>
      <c r="C54" s="7">
        <f>IF($A54="","",IFERROR(COUNTIFS('Reseñas'!$C$5:$C$64,"&gt;="&amp;$A54,'Reseñas'!$C$5:$C$64,"&lt;"&amp;DATE(YEAR($A54),MONTH($A54)+1,1)),""))</f>
        <v>6.0</v>
      </c>
      <c r="D54" s="27">
        <f>IF($A54="","",IFERROR(AVERAGEIFS('Reseñas'!$D$5:$D$64,'Reseñas'!$C$5:$C$64,"&gt;="&amp;$A54,'Reseñas'!$C$5:$C$64,"&lt;"&amp;DATE(YEAR($A54),MONTH($A54)+1,1)),""))</f>
        <v>4.333333333333333</v>
      </c>
      <c r="E54" s="7">
        <f>IF($A54="","",IFERROR(COUNTIFS('Reseñas'!$C$5:$C$64,"&gt;="&amp;$A54,'Reseñas'!$C$5:$C$64,"&lt;"&amp;DATE(YEAR($A54),MONTH($A54)+1,1),'Reseñas'!$F$5:$F$64,"Sí"),""))</f>
        <v>5.0</v>
      </c>
      <c r="F54" s="21">
        <f>IFERROR(IF(OR($C54="",$C54=0),"",$E54/$C54),"")</f>
        <v>0.8333333333333334</v>
      </c>
      <c r="G54" s="13" t="str">
        <f>IFERROR(IF(OR($D54="",$D53=""),"",IF($D54-$D53&gt;$D$8,"Mejora",IF($D53-$D54&gt;$D$8,"Empeora","Igual"))),"")</f>
        <v>Igual</v>
      </c>
    </row>
    <row r="55">
      <c r="A55" s="26" t="n">
        <v>46143</v>
      </c>
      <c r="C55" s="7">
        <f>IF($A55="","",IFERROR(COUNTIFS('Reseñas'!$C$5:$C$64,"&gt;="&amp;$A55,'Reseñas'!$C$5:$C$64,"&lt;"&amp;DATE(YEAR($A55),MONTH($A55)+1,1)),""))</f>
        <v>7.0</v>
      </c>
      <c r="D55" s="27">
        <f>IF($A55="","",IFERROR(AVERAGEIFS('Reseñas'!$D$5:$D$64,'Reseñas'!$C$5:$C$64,"&gt;="&amp;$A55,'Reseñas'!$C$5:$C$64,"&lt;"&amp;DATE(YEAR($A55),MONTH($A55)+1,1)),""))</f>
        <v>4.285714285714286</v>
      </c>
      <c r="E55" s="7">
        <f>IF($A55="","",IFERROR(COUNTIFS('Reseñas'!$C$5:$C$64,"&gt;="&amp;$A55,'Reseñas'!$C$5:$C$64,"&lt;"&amp;DATE(YEAR($A55),MONTH($A55)+1,1),'Reseñas'!$F$5:$F$64,"Sí"),""))</f>
        <v>5.0</v>
      </c>
      <c r="F55" s="21">
        <f>IFERROR(IF(OR($C55="",$C55=0),"",$E55/$C55),"")</f>
        <v>0.7142857142857143</v>
      </c>
      <c r="G55" s="13" t="str">
        <f>IFERROR(IF(OR($D55="",$D54=""),"",IF($D55-$D54&gt;$D$8,"Mejora",IF($D54-$D55&gt;$D$8,"Empeora","Igual"))),"")</f>
        <v>Igual</v>
      </c>
    </row>
    <row r="56">
      <c r="A56" s="26" t="n">
        <v>46174</v>
      </c>
      <c r="C56" s="7">
        <f>IF($A56="","",IFERROR(COUNTIFS('Reseñas'!$C$5:$C$64,"&gt;="&amp;$A56,'Reseñas'!$C$5:$C$64,"&lt;"&amp;DATE(YEAR($A56),MONTH($A56)+1,1)),""))</f>
        <v>6.0</v>
      </c>
      <c r="D56" s="27">
        <f>IF($A56="","",IFERROR(AVERAGEIFS('Reseñas'!$D$5:$D$64,'Reseñas'!$C$5:$C$64,"&gt;="&amp;$A56,'Reseñas'!$C$5:$C$64,"&lt;"&amp;DATE(YEAR($A56),MONTH($A56)+1,1)),""))</f>
        <v>4.166666666666667</v>
      </c>
      <c r="E56" s="7">
        <f>IF($A56="","",IFERROR(COUNTIFS('Reseñas'!$C$5:$C$64,"&gt;="&amp;$A56,'Reseñas'!$C$5:$C$64,"&lt;"&amp;DATE(YEAR($A56),MONTH($A56)+1,1),'Reseñas'!$F$5:$F$64,"Sí"),""))</f>
        <v>4.0</v>
      </c>
      <c r="F56" s="21">
        <f>IFERROR(IF(OR($C56="",$C56=0),"",$E56/$C56),"")</f>
        <v>0.6666666666666666</v>
      </c>
      <c r="G56" s="13" t="str">
        <f>IFERROR(IF(OR($D56="",$D55=""),"",IF($D56-$D55&gt;$D$8,"Mejora",IF($D55-$D56&gt;$D$8,"Empeora","Igual"))),"")</f>
        <v>Empeora</v>
      </c>
    </row>
    <row r="57">
      <c r="A57" s="26" t="n">
        <v>46204</v>
      </c>
      <c r="C57" s="7">
        <f>IF($A57="","",IFERROR(COUNTIFS('Reseñas'!$C$5:$C$64,"&gt;="&amp;$A57,'Reseñas'!$C$5:$C$64,"&lt;"&amp;DATE(YEAR($A57),MONTH($A57)+1,1)),""))</f>
        <v>8.0</v>
      </c>
      <c r="D57" s="27">
        <f>IF($A57="","",IFERROR(AVERAGEIFS('Reseñas'!$D$5:$D$64,'Reseñas'!$C$5:$C$64,"&gt;="&amp;$A57,'Reseñas'!$C$5:$C$64,"&lt;"&amp;DATE(YEAR($A57),MONTH($A57)+1,1)),""))</f>
        <v>3.25</v>
      </c>
      <c r="E57" s="7">
        <f>IF($A57="","",IFERROR(COUNTIFS('Reseñas'!$C$5:$C$64,"&gt;="&amp;$A57,'Reseñas'!$C$5:$C$64,"&lt;"&amp;DATE(YEAR($A57),MONTH($A57)+1,1),'Reseñas'!$F$5:$F$64,"Sí"),""))</f>
        <v>6.0</v>
      </c>
      <c r="F57" s="21">
        <f>IFERROR(IF(OR($C57="",$C57=0),"",$E57/$C57),"")</f>
        <v>0.75</v>
      </c>
      <c r="G57" s="13" t="str">
        <f>IFERROR(IF(OR($D57="",$D56=""),"",IF($D57-$D56&gt;$D$8,"Mejora",IF($D56-$D57&gt;$D$8,"Empeora","Igual"))),"")</f>
        <v>Empeora</v>
      </c>
    </row>
    <row r="58">
      <c r="A58" s="26" t="n">
        <v>46235</v>
      </c>
      <c r="C58" s="7">
        <f>IF($A58="","",IFERROR(COUNTIFS('Reseñas'!$C$5:$C$64,"&gt;="&amp;$A58,'Reseñas'!$C$5:$C$64,"&lt;"&amp;DATE(YEAR($A58),MONTH($A58)+1,1)),""))</f>
        <v>6.0</v>
      </c>
      <c r="D58" s="27">
        <f>IF($A58="","",IFERROR(AVERAGEIFS('Reseñas'!$D$5:$D$64,'Reseñas'!$C$5:$C$64,"&gt;="&amp;$A58,'Reseñas'!$C$5:$C$64,"&lt;"&amp;DATE(YEAR($A58),MONTH($A58)+1,1)),""))</f>
        <v>4.333333333333333</v>
      </c>
      <c r="E58" s="7">
        <f>IF($A58="","",IFERROR(COUNTIFS('Reseñas'!$C$5:$C$64,"&gt;="&amp;$A58,'Reseñas'!$C$5:$C$64,"&lt;"&amp;DATE(YEAR($A58),MONTH($A58)+1,1),'Reseñas'!$F$5:$F$64,"Sí"),""))</f>
        <v>5.0</v>
      </c>
      <c r="F58" s="21">
        <f>IFERROR(IF(OR($C58="",$C58=0),"",$E58/$C58),"")</f>
        <v>0.8333333333333334</v>
      </c>
      <c r="G58" s="13" t="str">
        <f>IFERROR(IF(OR($D58="",$D57=""),"",IF($D58-$D57&gt;$D$8,"Mejora",IF($D57-$D58&gt;$D$8,"Empeora","Igual"))),"")</f>
        <v>Mejora</v>
      </c>
    </row>
    <row r="59">
      <c r="A59" s="26" t="n"/>
      <c r="C59" s="7">
        <f>IF($A59="","",IFERROR(COUNTIFS('Reseñas'!$C$5:$C$64,"&gt;="&amp;$A59,'Reseñas'!$C$5:$C$64,"&lt;"&amp;DATE(YEAR($A59),MONTH($A59)+1,1)),""))</f>
        <v/>
      </c>
      <c r="D59" s="27">
        <f>IF($A59="","",IFERROR(AVERAGEIFS('Reseñas'!$D$5:$D$64,'Reseñas'!$C$5:$C$64,"&gt;="&amp;$A59,'Reseñas'!$C$5:$C$64,"&lt;"&amp;DATE(YEAR($A59),MONTH($A59)+1,1)),""))</f>
        <v/>
      </c>
      <c r="E59" s="7">
        <f>IF($A59="","",IFERROR(COUNTIFS('Reseñas'!$C$5:$C$64,"&gt;="&amp;$A59,'Reseñas'!$C$5:$C$64,"&lt;"&amp;DATE(YEAR($A59),MONTH($A59)+1,1),'Reseñas'!$F$5:$F$64,"Sí"),""))</f>
        <v/>
      </c>
      <c r="F59" s="21">
        <f>IFERROR(IF(OR($C59="",$C59=0),"",$E59/$C59),"")</f>
        <v/>
      </c>
      <c r="G59" s="13">
        <f>IFERROR(IF(OR($D59="",$D58=""),"",IF($D59-$D58&gt;$D$8,"Mejora",IF($D58-$D59&gt;$D$8,"Empeora","Igual"))),"")</f>
        <v/>
      </c>
    </row>
    <row r="60">
      <c r="A60" s="26" t="n"/>
      <c r="C60" s="7">
        <f>IF($A60="","",IFERROR(COUNTIFS('Reseñas'!$C$5:$C$64,"&gt;="&amp;$A60,'Reseñas'!$C$5:$C$64,"&lt;"&amp;DATE(YEAR($A60),MONTH($A60)+1,1)),""))</f>
        <v/>
      </c>
      <c r="D60" s="27">
        <f>IF($A60="","",IFERROR(AVERAGEIFS('Reseñas'!$D$5:$D$64,'Reseñas'!$C$5:$C$64,"&gt;="&amp;$A60,'Reseñas'!$C$5:$C$64,"&lt;"&amp;DATE(YEAR($A60),MONTH($A60)+1,1)),""))</f>
        <v/>
      </c>
      <c r="E60" s="7">
        <f>IF($A60="","",IFERROR(COUNTIFS('Reseñas'!$C$5:$C$64,"&gt;="&amp;$A60,'Reseñas'!$C$5:$C$64,"&lt;"&amp;DATE(YEAR($A60),MONTH($A60)+1,1),'Reseñas'!$F$5:$F$64,"Sí"),""))</f>
        <v/>
      </c>
      <c r="F60" s="21">
        <f>IFERROR(IF(OR($C60="",$C60=0),"",$E60/$C60),"")</f>
        <v/>
      </c>
      <c r="G60" s="13">
        <f>IFERROR(IF(OR($D60="",$D59=""),"",IF($D60-$D59&gt;$D$8,"Mejora",IF($D59-$D60&gt;$D$8,"Empeora","Igual"))),"")</f>
        <v/>
      </c>
    </row>
    <row r="61">
      <c r="A61" s="26" t="n"/>
      <c r="C61" s="7">
        <f>IF($A61="","",IFERROR(COUNTIFS('Reseñas'!$C$5:$C$64,"&gt;="&amp;$A61,'Reseñas'!$C$5:$C$64,"&lt;"&amp;DATE(YEAR($A61),MONTH($A61)+1,1)),""))</f>
        <v/>
      </c>
      <c r="D61" s="27">
        <f>IF($A61="","",IFERROR(AVERAGEIFS('Reseñas'!$D$5:$D$64,'Reseñas'!$C$5:$C$64,"&gt;="&amp;$A61,'Reseñas'!$C$5:$C$64,"&lt;"&amp;DATE(YEAR($A61),MONTH($A61)+1,1)),""))</f>
        <v/>
      </c>
      <c r="E61" s="7">
        <f>IF($A61="","",IFERROR(COUNTIFS('Reseñas'!$C$5:$C$64,"&gt;="&amp;$A61,'Reseñas'!$C$5:$C$64,"&lt;"&amp;DATE(YEAR($A61),MONTH($A61)+1,1),'Reseñas'!$F$5:$F$64,"Sí"),""))</f>
        <v/>
      </c>
      <c r="F61" s="21">
        <f>IFERROR(IF(OR($C61="",$C61=0),"",$E61/$C61),"")</f>
        <v/>
      </c>
      <c r="G61" s="13">
        <f>IFERROR(IF(OR($D61="",$D60=""),"",IF($D61-$D60&gt;$D$8,"Mejora",IF($D60-$D61&gt;$D$8,"Empeora","Igual"))),"")</f>
        <v/>
      </c>
    </row>
    <row r="62">
      <c r="A62" s="26" t="n"/>
      <c r="C62" s="7">
        <f>IF($A62="","",IFERROR(COUNTIFS('Reseñas'!$C$5:$C$64,"&gt;="&amp;$A62,'Reseñas'!$C$5:$C$64,"&lt;"&amp;DATE(YEAR($A62),MONTH($A62)+1,1)),""))</f>
        <v/>
      </c>
      <c r="D62" s="27">
        <f>IF($A62="","",IFERROR(AVERAGEIFS('Reseñas'!$D$5:$D$64,'Reseñas'!$C$5:$C$64,"&gt;="&amp;$A62,'Reseñas'!$C$5:$C$64,"&lt;"&amp;DATE(YEAR($A62),MONTH($A62)+1,1)),""))</f>
        <v/>
      </c>
      <c r="E62" s="7">
        <f>IF($A62="","",IFERROR(COUNTIFS('Reseñas'!$C$5:$C$64,"&gt;="&amp;$A62,'Reseñas'!$C$5:$C$64,"&lt;"&amp;DATE(YEAR($A62),MONTH($A62)+1,1),'Reseñas'!$F$5:$F$64,"Sí"),""))</f>
        <v/>
      </c>
      <c r="F62" s="21">
        <f>IFERROR(IF(OR($C62="",$C62=0),"",$E62/$C62),"")</f>
        <v/>
      </c>
      <c r="G62" s="13">
        <f>IFERROR(IF(OR($D62="",$D61=""),"",IF($D62-$D61&gt;$D$8,"Mejora",IF($D61-$D62&gt;$D$8,"Empeora","Igual"))),"")</f>
        <v/>
      </c>
    </row>
    <row r="63">
      <c r="A63" s="26" t="n"/>
      <c r="C63" s="7">
        <f>IF($A63="","",IFERROR(COUNTIFS('Reseñas'!$C$5:$C$64,"&gt;="&amp;$A63,'Reseñas'!$C$5:$C$64,"&lt;"&amp;DATE(YEAR($A63),MONTH($A63)+1,1)),""))</f>
        <v/>
      </c>
      <c r="D63" s="27">
        <f>IF($A63="","",IFERROR(AVERAGEIFS('Reseñas'!$D$5:$D$64,'Reseñas'!$C$5:$C$64,"&gt;="&amp;$A63,'Reseñas'!$C$5:$C$64,"&lt;"&amp;DATE(YEAR($A63),MONTH($A63)+1,1)),""))</f>
        <v/>
      </c>
      <c r="E63" s="7">
        <f>IF($A63="","",IFERROR(COUNTIFS('Reseñas'!$C$5:$C$64,"&gt;="&amp;$A63,'Reseñas'!$C$5:$C$64,"&lt;"&amp;DATE(YEAR($A63),MONTH($A63)+1,1),'Reseñas'!$F$5:$F$64,"Sí"),""))</f>
        <v/>
      </c>
      <c r="F63" s="21">
        <f>IFERROR(IF(OR($C63="",$C63=0),"",$E63/$C63),"")</f>
        <v/>
      </c>
      <c r="G63" s="13">
        <f>IFERROR(IF(OR($D63="",$D62=""),"",IF($D63-$D62&gt;$D$8,"Mejora",IF($D62-$D63&gt;$D$8,"Empeora","Igual"))),"")</f>
        <v/>
      </c>
    </row>
    <row r="64">
      <c r="A64" s="26" t="n"/>
      <c r="C64" s="7">
        <f>IF($A64="","",IFERROR(COUNTIFS('Reseñas'!$C$5:$C$64,"&gt;="&amp;$A64,'Reseñas'!$C$5:$C$64,"&lt;"&amp;DATE(YEAR($A64),MONTH($A64)+1,1)),""))</f>
        <v/>
      </c>
      <c r="D64" s="27">
        <f>IF($A64="","",IFERROR(AVERAGEIFS('Reseñas'!$D$5:$D$64,'Reseñas'!$C$5:$C$64,"&gt;="&amp;$A64,'Reseñas'!$C$5:$C$64,"&lt;"&amp;DATE(YEAR($A64),MONTH($A64)+1,1)),""))</f>
        <v/>
      </c>
      <c r="E64" s="7">
        <f>IF($A64="","",IFERROR(COUNTIFS('Reseñas'!$C$5:$C$64,"&gt;="&amp;$A64,'Reseñas'!$C$5:$C$64,"&lt;"&amp;DATE(YEAR($A64),MONTH($A64)+1,1),'Reseñas'!$F$5:$F$64,"Sí"),""))</f>
        <v/>
      </c>
      <c r="F64" s="21">
        <f>IFERROR(IF(OR($C64="",$C64=0),"",$E64/$C64),"")</f>
        <v/>
      </c>
      <c r="G64" s="13">
        <f>IFERROR(IF(OR($D64="",$D63=""),"",IF($D64-$D63&gt;$D$8,"Mejora",IF($D63-$D64&gt;$D$8,"Empeora","Igual"))),"")</f>
        <v/>
      </c>
    </row>
    <row r="65"/>
    <row r="66">
      <c r="A66" s="4" t="inlineStr">
        <is>
          <t>Cruza este bloque con la tabla de motivos: si el mes en que caen las estrellas es el mismo en que se concentran las quejas por un motivo, ya sabes qué arreglar.</t>
        </is>
      </c>
    </row>
    <row r="67">
      <c r="A67" s="4" t="inlineStr">
        <is>
          <t>Los meses vacíos no se cuentan: la fila se queda en blanco. Añade el primer día de cada mes nuevo en la columna verde.</t>
        </is>
      </c>
    </row>
  </sheetData>
  <sheetProtection selectLockedCells="0" selectUnlockedCells="0" sheet="1" objects="0" insertRows="0" insertHyperlinks="1" autoFilter="1" scenarios="0" formatColumns="0" deleteColumns="1" insertColumns="1" pivotTables="1" deleteRows="1" formatCells="1" formatRows="0" sort="0"/>
  <conditionalFormatting sqref="D19">
    <cfRule type="expression" priority="1" dxfId="1" stopIfTrue="1">
      <formula>=AND(ISNUMBER($D$19),$D$19&lt;$D$5)</formula>
    </cfRule>
  </conditionalFormatting>
  <conditionalFormatting sqref="C22:C31">
    <cfRule type="expression" priority="2" dxfId="2" stopIfTrue="1">
      <formula>=AND(ISNUMBER($C22),$C22=MAX($C$22:$C$31),$C22&gt;0)</formula>
    </cfRule>
  </conditionalFormatting>
  <conditionalFormatting sqref="G35:G37">
    <cfRule type="expression" priority="3" dxfId="1" stopIfTrue="1">
      <formula>=AND(ISNUMBER($G35),$G35&lt;$D$5)</formula>
    </cfRule>
  </conditionalFormatting>
  <conditionalFormatting sqref="D42">
    <cfRule type="expression" priority="4" dxfId="1" stopIfTrue="1">
      <formula>=AND(ISNUMBER($D$42),$D$42&gt;0)</formula>
    </cfRule>
  </conditionalFormatting>
  <conditionalFormatting sqref="D47">
    <cfRule type="expression" priority="5" dxfId="1" stopIfTrue="1">
      <formula>=AND(ISNUMBER($D$47),$D$47&lt;$D$7)</formula>
    </cfRule>
  </conditionalFormatting>
  <conditionalFormatting sqref="D49">
    <cfRule type="expression" priority="6" dxfId="1" stopIfTrue="1">
      <formula>=AND(ISNUMBER($D$49),$D$49&lt;$D$6)</formula>
    </cfRule>
  </conditionalFormatting>
  <conditionalFormatting sqref="G53:G64">
    <cfRule type="cellIs" priority="7" operator="equal" dxfId="0" stopIfTrue="1">
      <formula>"Mejora"</formula>
    </cfRule>
    <cfRule type="cellIs" priority="8" operator="equal" dxfId="1" stopIfTrue="1">
      <formula>"Empeora"</formula>
    </cfRule>
    <cfRule type="cellIs" priority="9" operator="equal" dxfId="3" stopIfTrue="1">
      <formula>"Igual"</formula>
    </cfRule>
  </conditionalFormatting>
  <conditionalFormatting sqref="D53:D64">
    <cfRule type="expression" priority="10" dxfId="1" stopIfTrue="1">
      <formula>=AND(ISNUMBER($D53),$D53&lt;$D$7)</formula>
    </cfRule>
  </conditionalFormatting>
  <dataValidations count="3">
    <dataValidation sqref="D5 D6" showDropDown="0" showInputMessage="1" showErrorMessage="1" allowBlank="1" errorTitle="Objetivo (%)" error="Escribe un porcentaje entre 0 y 1 (0,20 = 20 %)." promptTitle="Objetivo (%)" prompt="Se escribe en tanto por uno: 0,90 = 90 %." type="decimal" operator="between">
      <formula1>0</formula1>
      <formula2>1.0</formula2>
    </dataValidation>
    <dataValidation sqref="D7" showDropDown="0" showInputMessage="0" showErrorMessage="1" allowBlank="1" errorTitle="Media de estrellas" error="Escribe la media objetivo, de 1 a 5." type="decimal" operator="between">
      <formula1>1</formula1>
      <formula2>5</formula2>
    </dataValidation>
    <dataValidation sqref="D8" showDropDown="0" showInputMessage="0" showErrorMessage="1" allowBlank="1" errorTitle="Tolerancia" error="Escribe la diferencia mínima en estrellas para considerar que un mes mejora o empeora." type="decimal" operator="between">
      <formula1>0</formula1>
      <formula2>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Quejas, Reclamaciones Formales y Reseñas</dc:title>
  <dc:subject xmlns:dc="http://purl.org/dc/elements/1.1/">Manual del Manager de Restaurante · v1.0 · septiembre 2026</dc:subject>
  <dcterms:created xmlns:dcterms="http://purl.org/dc/terms/" xmlns:xsi="http://www.w3.org/2001/XMLSchema-instance" xsi:type="dcterms:W3CDTF">2026-09-04T20:51:51Z</dcterms:created>
  <dcterms:modified xmlns:dcterms="http://purl.org/dc/terms/" xmlns:xsi="http://www.w3.org/2001/XMLSchema-instance" xsi:type="dcterms:W3CDTF">2026-09-04T20:51:52Z</dcterms:modified>
  <cp:lastModifiedBy>AI Chef Pro</cp:lastModifiedBy>
</cp:coreProperties>
</file>