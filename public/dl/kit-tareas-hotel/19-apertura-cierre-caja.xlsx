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Apertura de Caja" sheetId="2" state="visible" r:id="rId2"/>
    <sheet name="Cierre de Caja" sheetId="3" state="visible" r:id="rId3"/>
    <sheet name="Registro Mensual" sheetId="4" state="visible" r:id="rId4"/>
  </sheets>
  <definedNames>
    <definedName localSheetId="0" name="_xlnm.Print_Area">'Instrucciones'!$A$1:$A$20</definedName>
    <definedName localSheetId="1" name="_xlnm.Print_Area">'Apertura de Caja'!$A$1:$F$18</definedName>
    <definedName localSheetId="2" name="_xlnm.Print_Area">'Cierre de Caja'!$A$1:$F$48</definedName>
    <definedName localSheetId="3" name="_xlnm.Print_Area">'Registro Mensual'!$A$1:$I$38</definedName>
  </definedNames>
  <calcPr calcId="124519" fullCalcOnLoad="1"/>
</workbook>
</file>

<file path=xl/styles.xml><?xml version="1.0" encoding="utf-8"?>
<styleSheet xmlns="http://schemas.openxmlformats.org/spreadsheetml/2006/main">
  <numFmts count="1">
    <numFmt formatCode="#,##0.00 €" numFmtId="164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D700"/>
      <sz val="12"/>
    </font>
    <font>
      <name val="Calibri"/>
      <color rgb="00FFFFFF"/>
      <sz val="11"/>
    </font>
    <font>
      <name val="Calibri"/>
      <b val="1"/>
      <color rgb="001A1A1A"/>
      <sz val="14"/>
    </font>
    <font>
      <name val="Calibri"/>
      <color rgb="001A1A1A"/>
      <sz val="10"/>
    </font>
    <font>
      <name val="Calibri"/>
      <b val="1"/>
      <color rgb="001A1A1A"/>
      <sz val="10"/>
    </font>
    <font>
      <name val="Calibri"/>
      <b val="1"/>
      <color rgb="00FFFFFF"/>
      <sz val="11"/>
    </font>
    <font>
      <name val="Calibri"/>
      <i val="1"/>
      <color rgb="00888888"/>
      <sz val="9"/>
    </font>
    <font>
      <name val="Calibri"/>
      <b val="1"/>
      <color rgb="001A1A1A"/>
      <sz val="13"/>
    </font>
    <font>
      <name val="Calibri"/>
      <b val="1"/>
      <color rgb="001A1A1A"/>
      <sz val="11"/>
    </font>
    <font>
      <name val="Calibri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FD700"/>
        <bgColor rgb="00FFD700"/>
      </patternFill>
    </fill>
    <fill>
      <patternFill patternType="solid">
        <fgColor rgb="00FFFFFF"/>
        <bgColor rgb="00FFFFFF"/>
      </patternFill>
    </fill>
    <fill>
      <patternFill patternType="solid">
        <fgColor rgb="002D2D2D"/>
        <bgColor rgb="002D2D2D"/>
      </patternFill>
    </fill>
    <fill>
      <patternFill patternType="solid">
        <fgColor rgb="00F5F5F5"/>
        <bgColor rgb="00F5F5F5"/>
      </patternFill>
    </fill>
  </fills>
  <borders count="5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borderId="0" fillId="0" fontId="0" numFmtId="0"/>
  </cellStyleXfs>
  <cellXfs count="25">
    <xf borderId="0" fillId="0" fontId="0" numFmtId="0" pivotButton="0" quotePrefix="0" xfId="0"/>
    <xf applyAlignment="1" borderId="0" fillId="2" fontId="1" numFmtId="0" pivotButton="0" quotePrefix="0" xfId="0">
      <alignment horizontal="center" vertical="center" wrapText="1"/>
    </xf>
    <xf applyAlignment="1" borderId="0" fillId="2" fontId="2" numFmtId="0" pivotButton="0" quotePrefix="0" xfId="0">
      <alignment horizontal="center" vertical="center" wrapText="1"/>
    </xf>
    <xf applyAlignment="1" borderId="0" fillId="2" fontId="3" numFmtId="0" pivotButton="0" quotePrefix="0" xfId="0">
      <alignment horizontal="center" vertical="center" wrapText="1"/>
    </xf>
    <xf applyAlignment="1" borderId="0" fillId="3" fontId="4" numFmtId="0" pivotButton="0" quotePrefix="0" xfId="0">
      <alignment horizontal="center" vertical="center" wrapText="1"/>
    </xf>
    <xf applyAlignment="1" borderId="0" fillId="4" fontId="5" numFmtId="0" pivotButton="0" quotePrefix="0" xfId="0">
      <alignment horizontal="left" vertical="center" wrapText="1"/>
    </xf>
    <xf applyAlignment="1" borderId="0" fillId="3" fontId="6" numFmtId="0" pivotButton="0" quotePrefix="0" xfId="0">
      <alignment horizontal="left" vertical="center" wrapText="1"/>
    </xf>
    <xf applyAlignment="1" borderId="1" fillId="5" fontId="7" numFmtId="0" pivotButton="0" quotePrefix="0" xfId="0">
      <alignment horizontal="center" vertical="center" wrapText="1"/>
    </xf>
    <xf applyAlignment="1" borderId="1" fillId="6" fontId="5" numFmtId="0" pivotButton="0" quotePrefix="0" xfId="0">
      <alignment horizontal="center" vertical="center" wrapText="1"/>
    </xf>
    <xf applyAlignment="1" borderId="1" fillId="6" fontId="5" numFmtId="0" pivotButton="0" quotePrefix="0" xfId="0">
      <alignment horizontal="left" vertical="center" wrapText="1"/>
    </xf>
    <xf applyAlignment="1" borderId="1" fillId="4" fontId="5" numFmtId="0" pivotButton="0" quotePrefix="0" xfId="0">
      <alignment horizontal="center" vertical="center" wrapText="1"/>
    </xf>
    <xf applyAlignment="1" borderId="1" fillId="4" fontId="5" numFmtId="0" pivotButton="0" quotePrefix="0" xfId="0">
      <alignment horizontal="left" vertical="center" wrapText="1"/>
    </xf>
    <xf applyAlignment="1" borderId="0" fillId="0" fontId="8" numFmtId="0" pivotButton="0" quotePrefix="0" xfId="0">
      <alignment horizontal="right" vertical="center" wrapText="1"/>
    </xf>
    <xf applyAlignment="1" borderId="0" fillId="3" fontId="9" numFmtId="0" pivotButton="0" quotePrefix="0" xfId="0">
      <alignment horizontal="center" vertical="center" wrapText="1"/>
    </xf>
    <xf applyAlignment="1" borderId="1" fillId="3" fontId="10" numFmtId="0" pivotButton="0" quotePrefix="0" xfId="0">
      <alignment horizontal="center" vertical="center" wrapText="1"/>
    </xf>
    <xf applyAlignment="1" borderId="1" fillId="6" fontId="6" numFmtId="0" pivotButton="0" quotePrefix="0" xfId="0">
      <alignment horizontal="center" vertical="center" wrapText="1"/>
    </xf>
    <xf applyAlignment="1" borderId="1" fillId="6" fontId="5" numFmtId="164" pivotButton="0" quotePrefix="0" xfId="0">
      <alignment horizontal="right" vertical="center" wrapText="1"/>
    </xf>
    <xf applyAlignment="1" borderId="1" fillId="4" fontId="6" numFmtId="0" pivotButton="0" quotePrefix="0" xfId="0">
      <alignment horizontal="center" vertical="center" wrapText="1"/>
    </xf>
    <xf applyAlignment="1" borderId="1" fillId="4" fontId="5" numFmtId="164" pivotButton="0" quotePrefix="0" xfId="0">
      <alignment horizontal="right" vertical="center" wrapText="1"/>
    </xf>
    <xf applyAlignment="1" borderId="1" fillId="2" fontId="7" numFmtId="0" pivotButton="0" quotePrefix="0" xfId="0">
      <alignment horizontal="center" vertical="center" wrapText="1"/>
    </xf>
    <xf borderId="4" fillId="0" fontId="0" numFmtId="0" pivotButton="0" quotePrefix="0" xfId="0"/>
    <xf applyAlignment="1" borderId="1" fillId="2" fontId="11" numFmtId="164" pivotButton="0" quotePrefix="0" xfId="0">
      <alignment horizontal="right" vertical="center" wrapText="1"/>
    </xf>
    <xf applyAlignment="1" borderId="1" fillId="3" fontId="6" numFmtId="0" pivotButton="0" quotePrefix="0" xfId="0">
      <alignment horizontal="left" vertical="center" wrapText="1"/>
    </xf>
    <xf applyAlignment="1" borderId="1" fillId="3" fontId="6" numFmtId="164" pivotButton="0" quotePrefix="0" xfId="0">
      <alignment horizontal="right" vertical="center" wrapText="1"/>
    </xf>
    <xf applyAlignment="1" borderId="1" fillId="2" fontId="7" numFmtId="164" pivotButton="0" quotePrefix="0" xfId="0">
      <alignment horizontal="right" vertical="center" wrapText="1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styles.xml" Type="http://schemas.openxmlformats.org/officeDocument/2006/relationships/styles" /><Relationship Id="rId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8"/>
  <cols>
    <col customWidth="1" max="1" min="1" width="80"/>
  </cols>
  <sheetData>
    <row customHeight="1" ht="40" r="1">
      <c r="A1" s="1" t="inlineStr">
        <is>
          <t>AI Chef Pro — aichef.pro</t>
        </is>
      </c>
    </row>
    <row customHeight="1" ht="30" r="2">
      <c r="A2" s="2" t="inlineStr">
        <is>
          <t>Kit de Tareas — Hotel Completo</t>
        </is>
      </c>
    </row>
    <row customHeight="1" ht="25" r="3">
      <c r="A3" s="3" t="inlineStr">
        <is>
          <t>Checklist de Apertura y Cierre de Caja</t>
        </is>
      </c>
    </row>
    <row customHeight="1" ht="35" r="5">
      <c r="A5" s="4" t="inlineStr">
        <is>
          <t>📋 Instrucciones de Uso</t>
        </is>
      </c>
    </row>
    <row customHeight="1" ht="22" r="6">
      <c r="A6" s="5" t="inlineStr">
        <is>
          <t>1. Este archivo contiene checklists profesionales para la apertura y cierre de tu negocio.</t>
        </is>
      </c>
    </row>
    <row customHeight="1" ht="22" r="7">
      <c r="A7" s="5" t="inlineStr">
        <is>
          <t>2. Imprime las hojas que necesites o úsalas en formato digital (tablet/ordenador).</t>
        </is>
      </c>
    </row>
    <row customHeight="1" ht="22" r="8">
      <c r="A8" s="5" t="inlineStr">
        <is>
          <t>3. Cada checklist incluye columnas para marcar tareas completadas, responsable, hora y notas.</t>
        </is>
      </c>
    </row>
    <row customHeight="1" ht="22" r="9">
      <c r="A9" s="5" t="inlineStr">
        <is>
          <t>4. Personaliza las tareas según las necesidades específicas de tu establecimiento.</t>
        </is>
      </c>
    </row>
    <row customHeight="1" ht="22" r="10">
      <c r="A10" s="5" t="inlineStr">
        <is>
          <t>5. Añade o elimina filas según tu operativa diaria.</t>
        </is>
      </c>
    </row>
    <row customHeight="1" ht="22" r="11">
      <c r="A11" s="5" t="inlineStr">
        <is>
          <t>6. Usa la validación de datos en la columna '✓ Completada' para marcar el estado.</t>
        </is>
      </c>
    </row>
    <row customHeight="1" ht="22" r="12">
      <c r="A12" s="5" t="inlineStr">
        <is>
          <t>7. Rellena la firma y fecha cada día para mantener el control.</t>
        </is>
      </c>
    </row>
    <row customHeight="1" ht="22" r="13">
      <c r="A13" s="5" t="inlineStr"/>
    </row>
    <row customHeight="1" ht="22" r="14">
      <c r="A14" s="5" t="inlineStr">
        <is>
          <t>💡 Consejo: Plastifica una copia impresa y usa rotuladores borrables para reutilizarla cada día.</t>
        </is>
      </c>
    </row>
    <row customHeight="1" ht="22" r="15">
      <c r="A15" s="5" t="inlineStr"/>
    </row>
    <row customHeight="1" ht="22" r="16">
      <c r="A16" s="5" t="inlineStr">
        <is>
          <t>© AI Chef Pro — aichef.pro</t>
        </is>
      </c>
    </row>
    <row customHeight="1" ht="22" r="17">
      <c r="A17" s="5" t="inlineStr">
        <is>
          <t>29 años de experiencia en alta hostelería · 15 años de consultoría gastronómica</t>
        </is>
      </c>
    </row>
    <row customHeight="1" ht="22" r="18">
      <c r="A18" s="5" t="inlineStr">
        <is>
          <t>Contacto: info@aichef.pro</t>
        </is>
      </c>
    </row>
  </sheetData>
  <mergeCells count="1">
    <mergeCell ref="A1"/>
  </mergeCells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50"/>
    <col customWidth="1" max="3" min="3" width="16"/>
    <col customWidth="1" max="4" min="4" width="14"/>
    <col customWidth="1" max="5" min="5" width="12"/>
    <col customWidth="1" max="6" min="6" width="25"/>
  </cols>
  <sheetData>
    <row customHeight="1" ht="40" r="1">
      <c r="A1" s="1" t="inlineStr">
        <is>
          <t>Apertura de Caja — Hotel Completo</t>
        </is>
      </c>
    </row>
    <row customHeight="1" ht="28" r="2">
      <c r="A2" s="6" t="inlineStr">
        <is>
          <t>Fecha: ____/____/________</t>
        </is>
      </c>
      <c r="D2" s="6" t="inlineStr">
        <is>
          <t>Responsable: _________________________</t>
        </is>
      </c>
    </row>
    <row customHeight="1" ht="8" r="3"/>
    <row customHeight="1" ht="28" r="4">
      <c r="A4" s="7" t="inlineStr">
        <is>
          <t>#</t>
        </is>
      </c>
      <c r="B4" s="7" t="inlineStr">
        <is>
          <t>Tarea</t>
        </is>
      </c>
      <c r="C4" s="7" t="inlineStr">
        <is>
          <t>Responsable</t>
        </is>
      </c>
      <c r="D4" s="7" t="inlineStr">
        <is>
          <t>✓ Completada</t>
        </is>
      </c>
      <c r="E4" s="7" t="inlineStr">
        <is>
          <t>Hora</t>
        </is>
      </c>
      <c r="F4" s="7" t="inlineStr">
        <is>
          <t>Notas</t>
        </is>
      </c>
    </row>
    <row customHeight="1" ht="24" r="5">
      <c r="A5" s="8" t="n">
        <v>1</v>
      </c>
      <c r="B5" s="9" t="inlineStr">
        <is>
          <t>Verificar fondo de caja del día anterior</t>
        </is>
      </c>
      <c r="C5" s="8" t="inlineStr"/>
      <c r="D5" s="8" t="inlineStr"/>
      <c r="E5" s="8" t="inlineStr"/>
      <c r="F5" s="8" t="inlineStr"/>
    </row>
    <row customHeight="1" ht="24" r="6">
      <c r="A6" s="10" t="n">
        <v>2</v>
      </c>
      <c r="B6" s="11" t="inlineStr">
        <is>
          <t>Contar fondo de caja inicial</t>
        </is>
      </c>
      <c r="C6" s="10" t="inlineStr"/>
      <c r="D6" s="10" t="inlineStr"/>
      <c r="E6" s="10" t="inlineStr"/>
      <c r="F6" s="10" t="inlineStr"/>
    </row>
    <row customHeight="1" ht="24" r="7">
      <c r="A7" s="8" t="n">
        <v>3</v>
      </c>
      <c r="B7" s="9" t="inlineStr">
        <is>
          <t>Registrar importe de fondo de caja en hoja</t>
        </is>
      </c>
      <c r="C7" s="8" t="inlineStr"/>
      <c r="D7" s="8" t="inlineStr"/>
      <c r="E7" s="8" t="inlineStr"/>
      <c r="F7" s="8" t="inlineStr"/>
    </row>
    <row customHeight="1" ht="24" r="8">
      <c r="A8" s="10" t="n">
        <v>4</v>
      </c>
      <c r="B8" s="11" t="inlineStr">
        <is>
          <t>Verificar cambio suficiente (monedas, billetes pequeños)</t>
        </is>
      </c>
      <c r="C8" s="10" t="inlineStr"/>
      <c r="D8" s="10" t="inlineStr"/>
      <c r="E8" s="10" t="inlineStr"/>
      <c r="F8" s="10" t="inlineStr"/>
    </row>
    <row customHeight="1" ht="24" r="9">
      <c r="A9" s="8" t="n">
        <v>5</v>
      </c>
      <c r="B9" s="9" t="inlineStr">
        <is>
          <t>Encender TPV / POS</t>
        </is>
      </c>
      <c r="C9" s="8" t="inlineStr"/>
      <c r="D9" s="8" t="inlineStr"/>
      <c r="E9" s="8" t="inlineStr"/>
      <c r="F9" s="8" t="inlineStr"/>
    </row>
    <row customHeight="1" ht="24" r="10">
      <c r="A10" s="10" t="n">
        <v>6</v>
      </c>
      <c r="B10" s="11" t="inlineStr">
        <is>
          <t>Imprimir X de apertura (informe de inicio)</t>
        </is>
      </c>
      <c r="C10" s="10" t="inlineStr"/>
      <c r="D10" s="10" t="inlineStr"/>
      <c r="E10" s="10" t="inlineStr"/>
      <c r="F10" s="10" t="inlineStr"/>
    </row>
    <row customHeight="1" ht="24" r="11">
      <c r="A11" s="8" t="n">
        <v>7</v>
      </c>
      <c r="B11" s="9" t="inlineStr">
        <is>
          <t>Comprobar rollo de papel de ticket</t>
        </is>
      </c>
      <c r="C11" s="8" t="inlineStr"/>
      <c r="D11" s="8" t="inlineStr"/>
      <c r="E11" s="8" t="inlineStr"/>
      <c r="F11" s="8" t="inlineStr"/>
    </row>
    <row customHeight="1" ht="24" r="12">
      <c r="A12" s="10" t="n">
        <v>8</v>
      </c>
      <c r="B12" s="11" t="inlineStr">
        <is>
          <t>Verificar datáfono operativo</t>
        </is>
      </c>
      <c r="C12" s="10" t="inlineStr"/>
      <c r="D12" s="10" t="inlineStr"/>
      <c r="E12" s="10" t="inlineStr"/>
      <c r="F12" s="10" t="inlineStr"/>
    </row>
    <row customHeight="1" ht="24" r="13">
      <c r="A13" s="8" t="n">
        <v>9</v>
      </c>
      <c r="B13" s="9" t="inlineStr">
        <is>
          <t>Verificar conexión de pasarela de pago</t>
        </is>
      </c>
      <c r="C13" s="8" t="inlineStr"/>
      <c r="D13" s="8" t="inlineStr"/>
      <c r="E13" s="8" t="inlineStr"/>
      <c r="F13" s="8" t="inlineStr"/>
    </row>
    <row customHeight="1" ht="24" r="14">
      <c r="A14" s="10" t="n">
        <v>10</v>
      </c>
      <c r="B14" s="11" t="inlineStr">
        <is>
          <t>Anotar incidencias del turno anterior</t>
        </is>
      </c>
      <c r="C14" s="10" t="inlineStr"/>
      <c r="D14" s="10" t="inlineStr"/>
      <c r="E14" s="10" t="inlineStr"/>
      <c r="F14" s="10" t="inlineStr"/>
    </row>
    <row customHeight="1" ht="24" r="15">
      <c r="A15" s="8" t="n">
        <v>11</v>
      </c>
      <c r="B15" s="9" t="inlineStr">
        <is>
          <t>Firma del responsable de apertura</t>
        </is>
      </c>
      <c r="C15" s="8" t="inlineStr"/>
      <c r="D15" s="8" t="inlineStr"/>
      <c r="E15" s="8" t="inlineStr"/>
      <c r="F15" s="8" t="inlineStr"/>
    </row>
    <row customHeight="1" ht="30" r="17">
      <c r="A17" s="6" t="inlineStr">
        <is>
          <t>Firma del responsable: _________________________     Hora: ________</t>
        </is>
      </c>
    </row>
    <row r="18">
      <c r="A18" s="12" t="inlineStr">
        <is>
          <t>© AI Chef Pro — aichef.pro</t>
        </is>
      </c>
    </row>
  </sheetData>
  <mergeCells count="5">
    <mergeCell ref="A18:F18"/>
    <mergeCell ref="A17:F17"/>
    <mergeCell ref="A2:C2"/>
    <mergeCell ref="A1:F1"/>
    <mergeCell ref="D2:F2"/>
  </mergeCells>
  <dataValidations count="1">
    <dataValidation allowBlank="1" error="Selecciona ✓, ✗ o —" errorTitle="Valor no válido" showDropDown="0" showErrorMessage="0" showInputMessage="0" sqref="D5 D6 D7 D8 D9 D10 D11 D12 D13 D14 D15" type="list">
      <formula1>"✓,✗,—"</formula1>
    </dataValidation>
  </dataValidations>
  <pageMargins bottom="1" footer="0.5" header="0.5" left="0.75" right="0.75" top="1"/>
  <pageSetup fitToHeight="0" fitToWidth="1" orientation="portrait" paperSize="9"/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50"/>
    <col customWidth="1" max="3" min="3" width="16"/>
    <col customWidth="1" max="4" min="4" width="14"/>
    <col customWidth="1" max="5" min="5" width="12"/>
    <col customWidth="1" max="6" min="6" width="25"/>
  </cols>
  <sheetData>
    <row customHeight="1" ht="40" r="1">
      <c r="A1" s="1" t="inlineStr">
        <is>
          <t>Cierre de Caja — Hotel Completo</t>
        </is>
      </c>
    </row>
    <row customHeight="1" ht="28" r="2">
      <c r="A2" s="6" t="inlineStr">
        <is>
          <t>Fecha: ____/____/________</t>
        </is>
      </c>
      <c r="D2" s="6" t="inlineStr">
        <is>
          <t>Responsable: _________________________</t>
        </is>
      </c>
    </row>
    <row customHeight="1" ht="8" r="3"/>
    <row customHeight="1" ht="28" r="4">
      <c r="A4" s="7" t="inlineStr">
        <is>
          <t>#</t>
        </is>
      </c>
      <c r="B4" s="7" t="inlineStr">
        <is>
          <t>Tarea</t>
        </is>
      </c>
      <c r="C4" s="7" t="inlineStr">
        <is>
          <t>Responsable</t>
        </is>
      </c>
      <c r="D4" s="7" t="inlineStr">
        <is>
          <t>✓ Completada</t>
        </is>
      </c>
      <c r="E4" s="7" t="inlineStr">
        <is>
          <t>Hora</t>
        </is>
      </c>
      <c r="F4" s="7" t="inlineStr">
        <is>
          <t>Notas</t>
        </is>
      </c>
    </row>
    <row customHeight="1" ht="24" r="5">
      <c r="A5" s="8" t="n">
        <v>1</v>
      </c>
      <c r="B5" s="9" t="inlineStr">
        <is>
          <t>Imprimir Z de cierre (informe final del día)</t>
        </is>
      </c>
      <c r="C5" s="8" t="inlineStr"/>
      <c r="D5" s="8" t="inlineStr"/>
      <c r="E5" s="8" t="inlineStr"/>
      <c r="F5" s="8" t="inlineStr"/>
    </row>
    <row customHeight="1" ht="24" r="6">
      <c r="A6" s="10" t="n">
        <v>2</v>
      </c>
      <c r="B6" s="11" t="inlineStr">
        <is>
          <t>Recuento de efectivo por denominación (ver tabla inferior)</t>
        </is>
      </c>
      <c r="C6" s="10" t="inlineStr"/>
      <c r="D6" s="10" t="inlineStr"/>
      <c r="E6" s="10" t="inlineStr"/>
      <c r="F6" s="10" t="inlineStr"/>
    </row>
    <row customHeight="1" ht="24" r="7">
      <c r="A7" s="8" t="n">
        <v>3</v>
      </c>
      <c r="B7" s="9" t="inlineStr">
        <is>
          <t>Calcular total efectivo</t>
        </is>
      </c>
      <c r="C7" s="8" t="inlineStr"/>
      <c r="D7" s="8" t="inlineStr"/>
      <c r="E7" s="8" t="inlineStr"/>
      <c r="F7" s="8" t="inlineStr"/>
    </row>
    <row customHeight="1" ht="24" r="8">
      <c r="A8" s="10" t="n">
        <v>4</v>
      </c>
      <c r="B8" s="11" t="inlineStr">
        <is>
          <t>Anotar total tarjetas (Visa/Mastercard)</t>
        </is>
      </c>
      <c r="C8" s="10" t="inlineStr"/>
      <c r="D8" s="10" t="inlineStr"/>
      <c r="E8" s="10" t="inlineStr"/>
      <c r="F8" s="10" t="inlineStr"/>
    </row>
    <row customHeight="1" ht="24" r="9">
      <c r="A9" s="8" t="n">
        <v>5</v>
      </c>
      <c r="B9" s="9" t="inlineStr">
        <is>
          <t>Anotar otros medios (Bizum, vales, invitaciones)</t>
        </is>
      </c>
      <c r="C9" s="8" t="inlineStr"/>
      <c r="D9" s="8" t="inlineStr"/>
      <c r="E9" s="8" t="inlineStr"/>
      <c r="F9" s="8" t="inlineStr"/>
    </row>
    <row customHeight="1" ht="24" r="10">
      <c r="A10" s="10" t="n">
        <v>6</v>
      </c>
      <c r="B10" s="11" t="inlineStr">
        <is>
          <t>Total facturado = efectivo + tarjetas + otros</t>
        </is>
      </c>
      <c r="C10" s="10" t="inlineStr"/>
      <c r="D10" s="10" t="inlineStr"/>
      <c r="E10" s="10" t="inlineStr"/>
      <c r="F10" s="10" t="inlineStr"/>
    </row>
    <row customHeight="1" ht="24" r="11">
      <c r="A11" s="8" t="n">
        <v>7</v>
      </c>
      <c r="B11" s="9" t="inlineStr">
        <is>
          <t>Comparar con Z del TPV → calcular diferencia/descuadre</t>
        </is>
      </c>
      <c r="C11" s="8" t="inlineStr"/>
      <c r="D11" s="8" t="inlineStr"/>
      <c r="E11" s="8" t="inlineStr"/>
      <c r="F11" s="8" t="inlineStr"/>
    </row>
    <row customHeight="1" ht="24" r="12">
      <c r="A12" s="10" t="n">
        <v>8</v>
      </c>
      <c r="B12" s="11" t="inlineStr">
        <is>
          <t>Registrar devoluciones del día</t>
        </is>
      </c>
      <c r="C12" s="10" t="inlineStr"/>
      <c r="D12" s="10" t="inlineStr"/>
      <c r="E12" s="10" t="inlineStr"/>
      <c r="F12" s="10" t="inlineStr"/>
    </row>
    <row customHeight="1" ht="24" r="13">
      <c r="A13" s="8" t="n">
        <v>9</v>
      </c>
      <c r="B13" s="9" t="inlineStr">
        <is>
          <t>Registrar anulaciones del día</t>
        </is>
      </c>
      <c r="C13" s="8" t="inlineStr"/>
      <c r="D13" s="8" t="inlineStr"/>
      <c r="E13" s="8" t="inlineStr"/>
      <c r="F13" s="8" t="inlineStr"/>
    </row>
    <row customHeight="1" ht="24" r="14">
      <c r="A14" s="10" t="n">
        <v>10</v>
      </c>
      <c r="B14" s="11" t="inlineStr">
        <is>
          <t>Separar fondo de caja para mañana</t>
        </is>
      </c>
      <c r="C14" s="10" t="inlineStr"/>
      <c r="D14" s="10" t="inlineStr"/>
      <c r="E14" s="10" t="inlineStr"/>
      <c r="F14" s="10" t="inlineStr"/>
    </row>
    <row customHeight="1" ht="24" r="15">
      <c r="A15" s="8" t="n">
        <v>11</v>
      </c>
      <c r="B15" s="9" t="inlineStr">
        <is>
          <t>Preparar depósito bancario / guardar en caja fuerte</t>
        </is>
      </c>
      <c r="C15" s="8" t="inlineStr"/>
      <c r="D15" s="8" t="inlineStr"/>
      <c r="E15" s="8" t="inlineStr"/>
      <c r="F15" s="8" t="inlineStr"/>
    </row>
    <row customHeight="1" ht="24" r="16">
      <c r="A16" s="10" t="n">
        <v>12</v>
      </c>
      <c r="B16" s="11" t="inlineStr">
        <is>
          <t>Firma del responsable de cierre</t>
        </is>
      </c>
      <c r="C16" s="10" t="inlineStr"/>
      <c r="D16" s="10" t="inlineStr"/>
      <c r="E16" s="10" t="inlineStr"/>
      <c r="F16" s="10" t="inlineStr"/>
    </row>
    <row customHeight="1" ht="32" r="18">
      <c r="A18" s="13" t="inlineStr">
        <is>
          <t>💰 Recuento de Efectivo por Denominación</t>
        </is>
      </c>
    </row>
    <row customHeight="1" ht="26" r="19">
      <c r="A19" s="7" t="inlineStr">
        <is>
          <t>Denominación</t>
        </is>
      </c>
      <c r="B19" s="7" t="inlineStr">
        <is>
          <t>Cantidad</t>
        </is>
      </c>
      <c r="C19" s="7" t="inlineStr">
        <is>
          <t>Subtotal (€)</t>
        </is>
      </c>
    </row>
    <row customHeight="1" ht="24" r="20">
      <c r="A20" s="14" t="inlineStr">
        <is>
          <t>BILLETES</t>
        </is>
      </c>
    </row>
    <row customHeight="1" ht="22" r="21">
      <c r="A21" s="15" t="inlineStr">
        <is>
          <t>500 €</t>
        </is>
      </c>
      <c r="B21" s="8" t="n">
        <v>0</v>
      </c>
      <c r="C21" s="16">
        <f>B21*500</f>
        <v/>
      </c>
    </row>
    <row customHeight="1" ht="22" r="22">
      <c r="A22" s="17" t="inlineStr">
        <is>
          <t>200 €</t>
        </is>
      </c>
      <c r="B22" s="10" t="n">
        <v>0</v>
      </c>
      <c r="C22" s="18">
        <f>B22*200</f>
        <v/>
      </c>
    </row>
    <row customHeight="1" ht="22" r="23">
      <c r="A23" s="15" t="inlineStr">
        <is>
          <t>100 €</t>
        </is>
      </c>
      <c r="B23" s="8" t="n">
        <v>0</v>
      </c>
      <c r="C23" s="16">
        <f>B23*100</f>
        <v/>
      </c>
    </row>
    <row customHeight="1" ht="22" r="24">
      <c r="A24" s="17" t="inlineStr">
        <is>
          <t>50 €</t>
        </is>
      </c>
      <c r="B24" s="10" t="n">
        <v>0</v>
      </c>
      <c r="C24" s="18">
        <f>B24*50</f>
        <v/>
      </c>
    </row>
    <row customHeight="1" ht="22" r="25">
      <c r="A25" s="15" t="inlineStr">
        <is>
          <t>20 €</t>
        </is>
      </c>
      <c r="B25" s="8" t="n">
        <v>0</v>
      </c>
      <c r="C25" s="16">
        <f>B25*20</f>
        <v/>
      </c>
    </row>
    <row customHeight="1" ht="22" r="26">
      <c r="A26" s="17" t="inlineStr">
        <is>
          <t>10 €</t>
        </is>
      </c>
      <c r="B26" s="10" t="n">
        <v>0</v>
      </c>
      <c r="C26" s="18">
        <f>B26*10</f>
        <v/>
      </c>
    </row>
    <row customHeight="1" ht="22" r="27">
      <c r="A27" s="15" t="inlineStr">
        <is>
          <t>5 €</t>
        </is>
      </c>
      <c r="B27" s="8" t="n">
        <v>0</v>
      </c>
      <c r="C27" s="16">
        <f>B27*5</f>
        <v/>
      </c>
    </row>
    <row customHeight="1" ht="24" r="28">
      <c r="A28" s="14" t="inlineStr">
        <is>
          <t>MONEDAS</t>
        </is>
      </c>
    </row>
    <row customHeight="1" ht="22" r="29">
      <c r="A29" s="15" t="inlineStr">
        <is>
          <t>2 €</t>
        </is>
      </c>
      <c r="B29" s="8" t="n">
        <v>0</v>
      </c>
      <c r="C29" s="16">
        <f>B29*2</f>
        <v/>
      </c>
    </row>
    <row customHeight="1" ht="22" r="30">
      <c r="A30" s="17" t="inlineStr">
        <is>
          <t>1 €</t>
        </is>
      </c>
      <c r="B30" s="10" t="n">
        <v>0</v>
      </c>
      <c r="C30" s="18">
        <f>B30*1</f>
        <v/>
      </c>
    </row>
    <row customHeight="1" ht="22" r="31">
      <c r="A31" s="15" t="inlineStr">
        <is>
          <t>0,50 €</t>
        </is>
      </c>
      <c r="B31" s="8" t="n">
        <v>0</v>
      </c>
      <c r="C31" s="16">
        <f>B31*0.5</f>
        <v/>
      </c>
    </row>
    <row customHeight="1" ht="22" r="32">
      <c r="A32" s="17" t="inlineStr">
        <is>
          <t>0,20 €</t>
        </is>
      </c>
      <c r="B32" s="10" t="n">
        <v>0</v>
      </c>
      <c r="C32" s="18">
        <f>B32*0.2</f>
        <v/>
      </c>
    </row>
    <row customHeight="1" ht="22" r="33">
      <c r="A33" s="15" t="inlineStr">
        <is>
          <t>0,10 €</t>
        </is>
      </c>
      <c r="B33" s="8" t="n">
        <v>0</v>
      </c>
      <c r="C33" s="16">
        <f>B33*0.1</f>
        <v/>
      </c>
    </row>
    <row customHeight="1" ht="22" r="34">
      <c r="A34" s="17" t="inlineStr">
        <is>
          <t>0,05 €</t>
        </is>
      </c>
      <c r="B34" s="10" t="n">
        <v>0</v>
      </c>
      <c r="C34" s="18">
        <f>B34*0.05</f>
        <v/>
      </c>
    </row>
    <row customHeight="1" ht="22" r="35">
      <c r="A35" s="15" t="inlineStr">
        <is>
          <t>0,01 €</t>
        </is>
      </c>
      <c r="B35" s="8" t="n">
        <v>0</v>
      </c>
      <c r="C35" s="16">
        <f>B35*0.01</f>
        <v/>
      </c>
    </row>
    <row customHeight="1" ht="28" r="36">
      <c r="A36" s="19" t="inlineStr">
        <is>
          <t>TOTAL EFECTIVO</t>
        </is>
      </c>
      <c r="B36" s="20" t="n"/>
      <c r="C36" s="21">
        <f>SUM(C21:C35)</f>
        <v/>
      </c>
    </row>
    <row customHeight="1" ht="30" r="38">
      <c r="A38" s="13" t="inlineStr">
        <is>
          <t>📊 Resumen de Cierre</t>
        </is>
      </c>
    </row>
    <row customHeight="1" ht="26" r="39">
      <c r="A39" s="7" t="inlineStr">
        <is>
          <t>Concepto</t>
        </is>
      </c>
      <c r="B39" s="7" t="inlineStr">
        <is>
          <t>Importe (€)</t>
        </is>
      </c>
    </row>
    <row customHeight="1" ht="24" r="40">
      <c r="A40" s="9" t="inlineStr">
        <is>
          <t>Total Efectivo</t>
        </is>
      </c>
      <c r="B40" s="16">
        <f>C36</f>
        <v/>
      </c>
    </row>
    <row customHeight="1" ht="24" r="41">
      <c r="A41" s="11" t="inlineStr">
        <is>
          <t>Total Tarjetas (Visa/MC)</t>
        </is>
      </c>
      <c r="B41" s="18" t="n">
        <v>0</v>
      </c>
    </row>
    <row customHeight="1" ht="24" r="42">
      <c r="A42" s="9" t="inlineStr">
        <is>
          <t>Total Otros (Bizum, Vales)</t>
        </is>
      </c>
      <c r="B42" s="16" t="n">
        <v>0</v>
      </c>
    </row>
    <row customHeight="1" ht="24" r="43">
      <c r="A43" s="22" t="inlineStr">
        <is>
          <t>TOTAL FACTURADO</t>
        </is>
      </c>
      <c r="B43" s="23">
        <f>B40+B41+B42</f>
        <v/>
      </c>
    </row>
    <row customHeight="1" ht="24" r="44">
      <c r="A44" s="9" t="inlineStr">
        <is>
          <t>Z del TPV</t>
        </is>
      </c>
      <c r="B44" s="16" t="n">
        <v>0</v>
      </c>
    </row>
    <row customHeight="1" ht="24" r="45">
      <c r="A45" s="22" t="inlineStr">
        <is>
          <t>DESCUADRE</t>
        </is>
      </c>
      <c r="B45" s="23">
        <f>B43-B44</f>
        <v/>
      </c>
    </row>
    <row customHeight="1" ht="30" r="47">
      <c r="A47" s="6" t="inlineStr">
        <is>
          <t>Firma del responsable: _________________________     Hora: ________</t>
        </is>
      </c>
    </row>
    <row r="48">
      <c r="A48" s="12" t="inlineStr">
        <is>
          <t>© AI Chef Pro — aichef.pro</t>
        </is>
      </c>
    </row>
  </sheetData>
  <mergeCells count="10">
    <mergeCell ref="A48:F48"/>
    <mergeCell ref="A38:C38"/>
    <mergeCell ref="A18:F18"/>
    <mergeCell ref="A47:F47"/>
    <mergeCell ref="A2:C2"/>
    <mergeCell ref="A20:C20"/>
    <mergeCell ref="A36:B36"/>
    <mergeCell ref="A1:F1"/>
    <mergeCell ref="D2:F2"/>
    <mergeCell ref="A28:C28"/>
  </mergeCells>
  <dataValidations count="1">
    <dataValidation allowBlank="1" error="Selecciona ✓, ✗ o —" errorTitle="Valor no válido" showDropDown="0" showErrorMessage="0" showInputMessage="0" sqref="D5 D6 D7 D8 D9 D10 D11 D12 D13 D14 D15 D16" type="list">
      <formula1>"✓,✗,—"</formula1>
    </dataValidation>
  </dataValidations>
  <pageMargins bottom="1" footer="0.5" header="0.5" left="0.75" right="0.75" top="1"/>
  <pageSetup fitToHeight="0" fitToWidth="1" orientation="portrait" paperSize="9"/>
</worksheet>
</file>

<file path=xl/worksheets/sheet4.xml><?xml version="1.0" encoding="utf-8"?>
<worksheet xmlns="http://schemas.openxmlformats.org/spreadsheetml/2006/main">
  <sheetPr>
    <tabColor rgb="00FFD700"/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customWidth="1" max="1" min="1" width="12"/>
    <col customWidth="1" max="2" min="2" width="16"/>
    <col customWidth="1" max="3" min="3" width="16"/>
    <col customWidth="1" max="4" min="4" width="16"/>
    <col customWidth="1" max="5" min="5" width="14"/>
    <col customWidth="1" max="6" min="6" width="16"/>
    <col customWidth="1" max="7" min="7" width="14"/>
    <col customWidth="1" max="8" min="8" width="14"/>
    <col customWidth="1" max="9" min="9" width="16"/>
  </cols>
  <sheetData>
    <row customHeight="1" ht="40" r="1">
      <c r="A1" s="1" t="inlineStr">
        <is>
          <t>Registro Mensual de Caja — Hotel Completo</t>
        </is>
      </c>
    </row>
    <row customHeight="1" ht="28" r="2">
      <c r="A2" s="6" t="inlineStr">
        <is>
          <t>Mes: ________________     Año: ________</t>
        </is>
      </c>
      <c r="F2" s="6" t="inlineStr">
        <is>
          <t>Responsable general: _________________________</t>
        </is>
      </c>
    </row>
    <row customHeight="1" ht="8" r="3"/>
    <row customHeight="1" ht="28" r="4">
      <c r="A4" s="7" t="inlineStr">
        <is>
          <t>Fecha</t>
        </is>
      </c>
      <c r="B4" s="7" t="inlineStr">
        <is>
          <t>Fondo Apertura</t>
        </is>
      </c>
      <c r="C4" s="7" t="inlineStr">
        <is>
          <t>Ventas Efectivo</t>
        </is>
      </c>
      <c r="D4" s="7" t="inlineStr">
        <is>
          <t>Ventas Tarjeta</t>
        </is>
      </c>
      <c r="E4" s="7" t="inlineStr">
        <is>
          <t>Ventas Otros</t>
        </is>
      </c>
      <c r="F4" s="7" t="inlineStr">
        <is>
          <t>Total Facturado</t>
        </is>
      </c>
      <c r="G4" s="7" t="inlineStr">
        <is>
          <t>Descuadre</t>
        </is>
      </c>
      <c r="H4" s="7" t="inlineStr">
        <is>
          <t>Depósito</t>
        </is>
      </c>
      <c r="I4" s="7" t="inlineStr">
        <is>
          <t>Responsable</t>
        </is>
      </c>
    </row>
    <row customHeight="1" ht="22" r="5">
      <c r="A5" s="15" t="n">
        <v>1</v>
      </c>
      <c r="B5" s="16" t="n">
        <v>0</v>
      </c>
      <c r="C5" s="16" t="n">
        <v>0</v>
      </c>
      <c r="D5" s="16" t="n">
        <v>0</v>
      </c>
      <c r="E5" s="16" t="n">
        <v>0</v>
      </c>
      <c r="F5" s="16">
        <f>C5+D5+E5</f>
        <v/>
      </c>
      <c r="G5" s="16" t="inlineStr"/>
      <c r="H5" s="16" t="n">
        <v>0</v>
      </c>
      <c r="I5" s="8" t="inlineStr"/>
    </row>
    <row customHeight="1" ht="22" r="6">
      <c r="A6" s="17" t="n">
        <v>2</v>
      </c>
      <c r="B6" s="18" t="n">
        <v>0</v>
      </c>
      <c r="C6" s="18" t="n">
        <v>0</v>
      </c>
      <c r="D6" s="18" t="n">
        <v>0</v>
      </c>
      <c r="E6" s="18" t="n">
        <v>0</v>
      </c>
      <c r="F6" s="18">
        <f>C6+D6+E6</f>
        <v/>
      </c>
      <c r="G6" s="18" t="inlineStr"/>
      <c r="H6" s="18" t="n">
        <v>0</v>
      </c>
      <c r="I6" s="10" t="inlineStr"/>
    </row>
    <row customHeight="1" ht="22" r="7">
      <c r="A7" s="15" t="n">
        <v>3</v>
      </c>
      <c r="B7" s="16" t="n">
        <v>0</v>
      </c>
      <c r="C7" s="16" t="n">
        <v>0</v>
      </c>
      <c r="D7" s="16" t="n">
        <v>0</v>
      </c>
      <c r="E7" s="16" t="n">
        <v>0</v>
      </c>
      <c r="F7" s="16">
        <f>C7+D7+E7</f>
        <v/>
      </c>
      <c r="G7" s="16" t="inlineStr"/>
      <c r="H7" s="16" t="n">
        <v>0</v>
      </c>
      <c r="I7" s="8" t="inlineStr"/>
    </row>
    <row customHeight="1" ht="22" r="8">
      <c r="A8" s="17" t="n">
        <v>4</v>
      </c>
      <c r="B8" s="18" t="n">
        <v>0</v>
      </c>
      <c r="C8" s="18" t="n">
        <v>0</v>
      </c>
      <c r="D8" s="18" t="n">
        <v>0</v>
      </c>
      <c r="E8" s="18" t="n">
        <v>0</v>
      </c>
      <c r="F8" s="18">
        <f>C8+D8+E8</f>
        <v/>
      </c>
      <c r="G8" s="18" t="inlineStr"/>
      <c r="H8" s="18" t="n">
        <v>0</v>
      </c>
      <c r="I8" s="10" t="inlineStr"/>
    </row>
    <row customHeight="1" ht="22" r="9">
      <c r="A9" s="15" t="n">
        <v>5</v>
      </c>
      <c r="B9" s="16" t="n">
        <v>0</v>
      </c>
      <c r="C9" s="16" t="n">
        <v>0</v>
      </c>
      <c r="D9" s="16" t="n">
        <v>0</v>
      </c>
      <c r="E9" s="16" t="n">
        <v>0</v>
      </c>
      <c r="F9" s="16">
        <f>C9+D9+E9</f>
        <v/>
      </c>
      <c r="G9" s="16" t="inlineStr"/>
      <c r="H9" s="16" t="n">
        <v>0</v>
      </c>
      <c r="I9" s="8" t="inlineStr"/>
    </row>
    <row customHeight="1" ht="22" r="10">
      <c r="A10" s="17" t="n">
        <v>6</v>
      </c>
      <c r="B10" s="18" t="n">
        <v>0</v>
      </c>
      <c r="C10" s="18" t="n">
        <v>0</v>
      </c>
      <c r="D10" s="18" t="n">
        <v>0</v>
      </c>
      <c r="E10" s="18" t="n">
        <v>0</v>
      </c>
      <c r="F10" s="18">
        <f>C10+D10+E10</f>
        <v/>
      </c>
      <c r="G10" s="18" t="inlineStr"/>
      <c r="H10" s="18" t="n">
        <v>0</v>
      </c>
      <c r="I10" s="10" t="inlineStr"/>
    </row>
    <row customHeight="1" ht="22" r="11">
      <c r="A11" s="15" t="n">
        <v>7</v>
      </c>
      <c r="B11" s="16" t="n">
        <v>0</v>
      </c>
      <c r="C11" s="16" t="n">
        <v>0</v>
      </c>
      <c r="D11" s="16" t="n">
        <v>0</v>
      </c>
      <c r="E11" s="16" t="n">
        <v>0</v>
      </c>
      <c r="F11" s="16">
        <f>C11+D11+E11</f>
        <v/>
      </c>
      <c r="G11" s="16" t="inlineStr"/>
      <c r="H11" s="16" t="n">
        <v>0</v>
      </c>
      <c r="I11" s="8" t="inlineStr"/>
    </row>
    <row customHeight="1" ht="22" r="12">
      <c r="A12" s="17" t="n">
        <v>8</v>
      </c>
      <c r="B12" s="18" t="n">
        <v>0</v>
      </c>
      <c r="C12" s="18" t="n">
        <v>0</v>
      </c>
      <c r="D12" s="18" t="n">
        <v>0</v>
      </c>
      <c r="E12" s="18" t="n">
        <v>0</v>
      </c>
      <c r="F12" s="18">
        <f>C12+D12+E12</f>
        <v/>
      </c>
      <c r="G12" s="18" t="inlineStr"/>
      <c r="H12" s="18" t="n">
        <v>0</v>
      </c>
      <c r="I12" s="10" t="inlineStr"/>
    </row>
    <row customHeight="1" ht="22" r="13">
      <c r="A13" s="15" t="n">
        <v>9</v>
      </c>
      <c r="B13" s="16" t="n">
        <v>0</v>
      </c>
      <c r="C13" s="16" t="n">
        <v>0</v>
      </c>
      <c r="D13" s="16" t="n">
        <v>0</v>
      </c>
      <c r="E13" s="16" t="n">
        <v>0</v>
      </c>
      <c r="F13" s="16">
        <f>C13+D13+E13</f>
        <v/>
      </c>
      <c r="G13" s="16" t="inlineStr"/>
      <c r="H13" s="16" t="n">
        <v>0</v>
      </c>
      <c r="I13" s="8" t="inlineStr"/>
    </row>
    <row customHeight="1" ht="22" r="14">
      <c r="A14" s="17" t="n">
        <v>10</v>
      </c>
      <c r="B14" s="18" t="n">
        <v>0</v>
      </c>
      <c r="C14" s="18" t="n">
        <v>0</v>
      </c>
      <c r="D14" s="18" t="n">
        <v>0</v>
      </c>
      <c r="E14" s="18" t="n">
        <v>0</v>
      </c>
      <c r="F14" s="18">
        <f>C14+D14+E14</f>
        <v/>
      </c>
      <c r="G14" s="18" t="inlineStr"/>
      <c r="H14" s="18" t="n">
        <v>0</v>
      </c>
      <c r="I14" s="10" t="inlineStr"/>
    </row>
    <row customHeight="1" ht="22" r="15">
      <c r="A15" s="15" t="n">
        <v>11</v>
      </c>
      <c r="B15" s="16" t="n">
        <v>0</v>
      </c>
      <c r="C15" s="16" t="n">
        <v>0</v>
      </c>
      <c r="D15" s="16" t="n">
        <v>0</v>
      </c>
      <c r="E15" s="16" t="n">
        <v>0</v>
      </c>
      <c r="F15" s="16">
        <f>C15+D15+E15</f>
        <v/>
      </c>
      <c r="G15" s="16" t="inlineStr"/>
      <c r="H15" s="16" t="n">
        <v>0</v>
      </c>
      <c r="I15" s="8" t="inlineStr"/>
    </row>
    <row customHeight="1" ht="22" r="16">
      <c r="A16" s="17" t="n">
        <v>12</v>
      </c>
      <c r="B16" s="18" t="n">
        <v>0</v>
      </c>
      <c r="C16" s="18" t="n">
        <v>0</v>
      </c>
      <c r="D16" s="18" t="n">
        <v>0</v>
      </c>
      <c r="E16" s="18" t="n">
        <v>0</v>
      </c>
      <c r="F16" s="18">
        <f>C16+D16+E16</f>
        <v/>
      </c>
      <c r="G16" s="18" t="inlineStr"/>
      <c r="H16" s="18" t="n">
        <v>0</v>
      </c>
      <c r="I16" s="10" t="inlineStr"/>
    </row>
    <row customHeight="1" ht="22" r="17">
      <c r="A17" s="15" t="n">
        <v>13</v>
      </c>
      <c r="B17" s="16" t="n">
        <v>0</v>
      </c>
      <c r="C17" s="16" t="n">
        <v>0</v>
      </c>
      <c r="D17" s="16" t="n">
        <v>0</v>
      </c>
      <c r="E17" s="16" t="n">
        <v>0</v>
      </c>
      <c r="F17" s="16">
        <f>C17+D17+E17</f>
        <v/>
      </c>
      <c r="G17" s="16" t="inlineStr"/>
      <c r="H17" s="16" t="n">
        <v>0</v>
      </c>
      <c r="I17" s="8" t="inlineStr"/>
    </row>
    <row customHeight="1" ht="22" r="18">
      <c r="A18" s="17" t="n">
        <v>14</v>
      </c>
      <c r="B18" s="18" t="n">
        <v>0</v>
      </c>
      <c r="C18" s="18" t="n">
        <v>0</v>
      </c>
      <c r="D18" s="18" t="n">
        <v>0</v>
      </c>
      <c r="E18" s="18" t="n">
        <v>0</v>
      </c>
      <c r="F18" s="18">
        <f>C18+D18+E18</f>
        <v/>
      </c>
      <c r="G18" s="18" t="inlineStr"/>
      <c r="H18" s="18" t="n">
        <v>0</v>
      </c>
      <c r="I18" s="10" t="inlineStr"/>
    </row>
    <row customHeight="1" ht="22" r="19">
      <c r="A19" s="15" t="n">
        <v>15</v>
      </c>
      <c r="B19" s="16" t="n">
        <v>0</v>
      </c>
      <c r="C19" s="16" t="n">
        <v>0</v>
      </c>
      <c r="D19" s="16" t="n">
        <v>0</v>
      </c>
      <c r="E19" s="16" t="n">
        <v>0</v>
      </c>
      <c r="F19" s="16">
        <f>C19+D19+E19</f>
        <v/>
      </c>
      <c r="G19" s="16" t="inlineStr"/>
      <c r="H19" s="16" t="n">
        <v>0</v>
      </c>
      <c r="I19" s="8" t="inlineStr"/>
    </row>
    <row customHeight="1" ht="22" r="20">
      <c r="A20" s="17" t="n">
        <v>16</v>
      </c>
      <c r="B20" s="18" t="n">
        <v>0</v>
      </c>
      <c r="C20" s="18" t="n">
        <v>0</v>
      </c>
      <c r="D20" s="18" t="n">
        <v>0</v>
      </c>
      <c r="E20" s="18" t="n">
        <v>0</v>
      </c>
      <c r="F20" s="18">
        <f>C20+D20+E20</f>
        <v/>
      </c>
      <c r="G20" s="18" t="inlineStr"/>
      <c r="H20" s="18" t="n">
        <v>0</v>
      </c>
      <c r="I20" s="10" t="inlineStr"/>
    </row>
    <row customHeight="1" ht="22" r="21">
      <c r="A21" s="15" t="n">
        <v>17</v>
      </c>
      <c r="B21" s="16" t="n">
        <v>0</v>
      </c>
      <c r="C21" s="16" t="n">
        <v>0</v>
      </c>
      <c r="D21" s="16" t="n">
        <v>0</v>
      </c>
      <c r="E21" s="16" t="n">
        <v>0</v>
      </c>
      <c r="F21" s="16">
        <f>C21+D21+E21</f>
        <v/>
      </c>
      <c r="G21" s="16" t="inlineStr"/>
      <c r="H21" s="16" t="n">
        <v>0</v>
      </c>
      <c r="I21" s="8" t="inlineStr"/>
    </row>
    <row customHeight="1" ht="22" r="22">
      <c r="A22" s="17" t="n">
        <v>18</v>
      </c>
      <c r="B22" s="18" t="n">
        <v>0</v>
      </c>
      <c r="C22" s="18" t="n">
        <v>0</v>
      </c>
      <c r="D22" s="18" t="n">
        <v>0</v>
      </c>
      <c r="E22" s="18" t="n">
        <v>0</v>
      </c>
      <c r="F22" s="18">
        <f>C22+D22+E22</f>
        <v/>
      </c>
      <c r="G22" s="18" t="inlineStr"/>
      <c r="H22" s="18" t="n">
        <v>0</v>
      </c>
      <c r="I22" s="10" t="inlineStr"/>
    </row>
    <row customHeight="1" ht="22" r="23">
      <c r="A23" s="15" t="n">
        <v>19</v>
      </c>
      <c r="B23" s="16" t="n">
        <v>0</v>
      </c>
      <c r="C23" s="16" t="n">
        <v>0</v>
      </c>
      <c r="D23" s="16" t="n">
        <v>0</v>
      </c>
      <c r="E23" s="16" t="n">
        <v>0</v>
      </c>
      <c r="F23" s="16">
        <f>C23+D23+E23</f>
        <v/>
      </c>
      <c r="G23" s="16" t="inlineStr"/>
      <c r="H23" s="16" t="n">
        <v>0</v>
      </c>
      <c r="I23" s="8" t="inlineStr"/>
    </row>
    <row customHeight="1" ht="22" r="24">
      <c r="A24" s="17" t="n">
        <v>20</v>
      </c>
      <c r="B24" s="18" t="n">
        <v>0</v>
      </c>
      <c r="C24" s="18" t="n">
        <v>0</v>
      </c>
      <c r="D24" s="18" t="n">
        <v>0</v>
      </c>
      <c r="E24" s="18" t="n">
        <v>0</v>
      </c>
      <c r="F24" s="18">
        <f>C24+D24+E24</f>
        <v/>
      </c>
      <c r="G24" s="18" t="inlineStr"/>
      <c r="H24" s="18" t="n">
        <v>0</v>
      </c>
      <c r="I24" s="10" t="inlineStr"/>
    </row>
    <row customHeight="1" ht="22" r="25">
      <c r="A25" s="15" t="n">
        <v>21</v>
      </c>
      <c r="B25" s="16" t="n">
        <v>0</v>
      </c>
      <c r="C25" s="16" t="n">
        <v>0</v>
      </c>
      <c r="D25" s="16" t="n">
        <v>0</v>
      </c>
      <c r="E25" s="16" t="n">
        <v>0</v>
      </c>
      <c r="F25" s="16">
        <f>C25+D25+E25</f>
        <v/>
      </c>
      <c r="G25" s="16" t="inlineStr"/>
      <c r="H25" s="16" t="n">
        <v>0</v>
      </c>
      <c r="I25" s="8" t="inlineStr"/>
    </row>
    <row customHeight="1" ht="22" r="26">
      <c r="A26" s="17" t="n">
        <v>22</v>
      </c>
      <c r="B26" s="18" t="n">
        <v>0</v>
      </c>
      <c r="C26" s="18" t="n">
        <v>0</v>
      </c>
      <c r="D26" s="18" t="n">
        <v>0</v>
      </c>
      <c r="E26" s="18" t="n">
        <v>0</v>
      </c>
      <c r="F26" s="18">
        <f>C26+D26+E26</f>
        <v/>
      </c>
      <c r="G26" s="18" t="inlineStr"/>
      <c r="H26" s="18" t="n">
        <v>0</v>
      </c>
      <c r="I26" s="10" t="inlineStr"/>
    </row>
    <row customHeight="1" ht="22" r="27">
      <c r="A27" s="15" t="n">
        <v>23</v>
      </c>
      <c r="B27" s="16" t="n">
        <v>0</v>
      </c>
      <c r="C27" s="16" t="n">
        <v>0</v>
      </c>
      <c r="D27" s="16" t="n">
        <v>0</v>
      </c>
      <c r="E27" s="16" t="n">
        <v>0</v>
      </c>
      <c r="F27" s="16">
        <f>C27+D27+E27</f>
        <v/>
      </c>
      <c r="G27" s="16" t="inlineStr"/>
      <c r="H27" s="16" t="n">
        <v>0</v>
      </c>
      <c r="I27" s="8" t="inlineStr"/>
    </row>
    <row customHeight="1" ht="22" r="28">
      <c r="A28" s="17" t="n">
        <v>24</v>
      </c>
      <c r="B28" s="18" t="n">
        <v>0</v>
      </c>
      <c r="C28" s="18" t="n">
        <v>0</v>
      </c>
      <c r="D28" s="18" t="n">
        <v>0</v>
      </c>
      <c r="E28" s="18" t="n">
        <v>0</v>
      </c>
      <c r="F28" s="18">
        <f>C28+D28+E28</f>
        <v/>
      </c>
      <c r="G28" s="18" t="inlineStr"/>
      <c r="H28" s="18" t="n">
        <v>0</v>
      </c>
      <c r="I28" s="10" t="inlineStr"/>
    </row>
    <row customHeight="1" ht="22" r="29">
      <c r="A29" s="15" t="n">
        <v>25</v>
      </c>
      <c r="B29" s="16" t="n">
        <v>0</v>
      </c>
      <c r="C29" s="16" t="n">
        <v>0</v>
      </c>
      <c r="D29" s="16" t="n">
        <v>0</v>
      </c>
      <c r="E29" s="16" t="n">
        <v>0</v>
      </c>
      <c r="F29" s="16">
        <f>C29+D29+E29</f>
        <v/>
      </c>
      <c r="G29" s="16" t="inlineStr"/>
      <c r="H29" s="16" t="n">
        <v>0</v>
      </c>
      <c r="I29" s="8" t="inlineStr"/>
    </row>
    <row customHeight="1" ht="22" r="30">
      <c r="A30" s="17" t="n">
        <v>26</v>
      </c>
      <c r="B30" s="18" t="n">
        <v>0</v>
      </c>
      <c r="C30" s="18" t="n">
        <v>0</v>
      </c>
      <c r="D30" s="18" t="n">
        <v>0</v>
      </c>
      <c r="E30" s="18" t="n">
        <v>0</v>
      </c>
      <c r="F30" s="18">
        <f>C30+D30+E30</f>
        <v/>
      </c>
      <c r="G30" s="18" t="inlineStr"/>
      <c r="H30" s="18" t="n">
        <v>0</v>
      </c>
      <c r="I30" s="10" t="inlineStr"/>
    </row>
    <row customHeight="1" ht="22" r="31">
      <c r="A31" s="15" t="n">
        <v>27</v>
      </c>
      <c r="B31" s="16" t="n">
        <v>0</v>
      </c>
      <c r="C31" s="16" t="n">
        <v>0</v>
      </c>
      <c r="D31" s="16" t="n">
        <v>0</v>
      </c>
      <c r="E31" s="16" t="n">
        <v>0</v>
      </c>
      <c r="F31" s="16">
        <f>C31+D31+E31</f>
        <v/>
      </c>
      <c r="G31" s="16" t="inlineStr"/>
      <c r="H31" s="16" t="n">
        <v>0</v>
      </c>
      <c r="I31" s="8" t="inlineStr"/>
    </row>
    <row customHeight="1" ht="22" r="32">
      <c r="A32" s="17" t="n">
        <v>28</v>
      </c>
      <c r="B32" s="18" t="n">
        <v>0</v>
      </c>
      <c r="C32" s="18" t="n">
        <v>0</v>
      </c>
      <c r="D32" s="18" t="n">
        <v>0</v>
      </c>
      <c r="E32" s="18" t="n">
        <v>0</v>
      </c>
      <c r="F32" s="18">
        <f>C32+D32+E32</f>
        <v/>
      </c>
      <c r="G32" s="18" t="inlineStr"/>
      <c r="H32" s="18" t="n">
        <v>0</v>
      </c>
      <c r="I32" s="10" t="inlineStr"/>
    </row>
    <row customHeight="1" ht="22" r="33">
      <c r="A33" s="15" t="n">
        <v>29</v>
      </c>
      <c r="B33" s="16" t="n">
        <v>0</v>
      </c>
      <c r="C33" s="16" t="n">
        <v>0</v>
      </c>
      <c r="D33" s="16" t="n">
        <v>0</v>
      </c>
      <c r="E33" s="16" t="n">
        <v>0</v>
      </c>
      <c r="F33" s="16">
        <f>C33+D33+E33</f>
        <v/>
      </c>
      <c r="G33" s="16" t="inlineStr"/>
      <c r="H33" s="16" t="n">
        <v>0</v>
      </c>
      <c r="I33" s="8" t="inlineStr"/>
    </row>
    <row customHeight="1" ht="22" r="34">
      <c r="A34" s="17" t="n">
        <v>30</v>
      </c>
      <c r="B34" s="18" t="n">
        <v>0</v>
      </c>
      <c r="C34" s="18" t="n">
        <v>0</v>
      </c>
      <c r="D34" s="18" t="n">
        <v>0</v>
      </c>
      <c r="E34" s="18" t="n">
        <v>0</v>
      </c>
      <c r="F34" s="18">
        <f>C34+D34+E34</f>
        <v/>
      </c>
      <c r="G34" s="18" t="inlineStr"/>
      <c r="H34" s="18" t="n">
        <v>0</v>
      </c>
      <c r="I34" s="10" t="inlineStr"/>
    </row>
    <row customHeight="1" ht="22" r="35">
      <c r="A35" s="15" t="n">
        <v>31</v>
      </c>
      <c r="B35" s="16" t="n">
        <v>0</v>
      </c>
      <c r="C35" s="16" t="n">
        <v>0</v>
      </c>
      <c r="D35" s="16" t="n">
        <v>0</v>
      </c>
      <c r="E35" s="16" t="n">
        <v>0</v>
      </c>
      <c r="F35" s="16">
        <f>C35+D35+E35</f>
        <v/>
      </c>
      <c r="G35" s="16" t="inlineStr"/>
      <c r="H35" s="16" t="n">
        <v>0</v>
      </c>
      <c r="I35" s="8" t="inlineStr"/>
    </row>
    <row customHeight="1" ht="28" r="36">
      <c r="A36" s="19" t="inlineStr">
        <is>
          <t>TOTALES</t>
        </is>
      </c>
      <c r="B36" s="24">
        <f>SUM(B5:B35)</f>
        <v/>
      </c>
      <c r="C36" s="24">
        <f>SUM(C5:C35)</f>
        <v/>
      </c>
      <c r="D36" s="24">
        <f>SUM(D5:D35)</f>
        <v/>
      </c>
      <c r="E36" s="24">
        <f>SUM(E5:E35)</f>
        <v/>
      </c>
      <c r="F36" s="24">
        <f>SUM(F5:F35)</f>
        <v/>
      </c>
      <c r="G36" s="24">
        <f>SUM(G5:G35)</f>
        <v/>
      </c>
      <c r="H36" s="24">
        <f>SUM(H5:H35)</f>
        <v/>
      </c>
      <c r="I36" s="19" t="inlineStr"/>
    </row>
    <row r="38">
      <c r="A38" s="12" t="inlineStr">
        <is>
          <t>© AI Chef Pro — aichef.pro</t>
        </is>
      </c>
    </row>
  </sheetData>
  <mergeCells count="4">
    <mergeCell ref="F2:I2"/>
    <mergeCell ref="A38:I38"/>
    <mergeCell ref="A1:I1"/>
    <mergeCell ref="A2:E2"/>
  </mergeCells>
  <pageMargins bottom="1" footer="0.5" header="0.5" left="0.75" right="0.75" top="1"/>
  <pageSetup fitToHeight="0" fitToWidth="1" orientation="landscape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2026-04-05T14:07:32Z</dcterms:created>
  <dcterms:modified xsi:type="dcterms:W3CDTF">2026-04-05T14:07:32Z</dcterms:modified>
</cp:coreProperties>
</file>