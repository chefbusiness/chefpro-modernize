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e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4" customWidth="1" min="3" max="3"/>
    <col width="12" customWidth="1" min="4" max="4"/>
    <col width="36" customWidth="1" min="5" max="5"/>
  </cols>
  <sheetData>
    <row r="1" ht="32" customHeight="1">
      <c r="A1" s="1" t="inlineStr">
        <is>
          <t>Calculadora Ticket Medio Panadería</t>
        </is>
      </c>
    </row>
    <row r="3">
      <c r="A3" s="2" t="inlineStr">
        <is>
          <t>Producto / categoría</t>
        </is>
      </c>
      <c r="B3" s="2" t="inlineStr">
        <is>
          <t>PVP €</t>
        </is>
      </c>
      <c r="C3" s="2" t="inlineStr">
        <is>
          <t>Mix % ventas</t>
        </is>
      </c>
      <c r="D3" s="2" t="inlineStr">
        <is>
          <t>Aporte €</t>
        </is>
      </c>
      <c r="E3" s="2" t="inlineStr">
        <is>
          <t>Notas</t>
        </is>
      </c>
    </row>
    <row r="4">
      <c r="A4" t="inlineStr">
        <is>
          <t>Baguette clásica</t>
        </is>
      </c>
      <c r="B4" t="n">
        <v>2.2</v>
      </c>
      <c r="C4" t="n">
        <v>22</v>
      </c>
      <c r="D4">
        <f>B4*C4/100</f>
        <v/>
      </c>
      <c r="E4" t="inlineStr">
        <is>
          <t>Producto ancla mostrador</t>
        </is>
      </c>
    </row>
    <row r="5">
      <c r="A5" t="inlineStr">
        <is>
          <t>Baguette tradition masa madre</t>
        </is>
      </c>
      <c r="B5" t="n">
        <v>3.5</v>
      </c>
      <c r="C5" t="n">
        <v>14</v>
      </c>
      <c r="D5">
        <f>B5*C5/100</f>
        <v/>
      </c>
      <c r="E5" t="inlineStr"/>
    </row>
    <row r="6">
      <c r="A6" t="inlineStr">
        <is>
          <t>Hogaza masa madre rústica (kg)</t>
        </is>
      </c>
      <c r="B6" t="n">
        <v>6.2</v>
      </c>
      <c r="C6" t="n">
        <v>12</v>
      </c>
      <c r="D6">
        <f>B6*C6/100</f>
        <v/>
      </c>
      <c r="E6" t="inlineStr">
        <is>
          <t>Premium boutique</t>
        </is>
      </c>
    </row>
    <row r="7">
      <c r="A7" t="inlineStr">
        <is>
          <t>Pan integral / espelta / centeno</t>
        </is>
      </c>
      <c r="B7" t="n">
        <v>7.5</v>
      </c>
      <c r="C7" t="n">
        <v>9</v>
      </c>
      <c r="D7">
        <f>B7*C7/100</f>
        <v/>
      </c>
      <c r="E7" t="inlineStr">
        <is>
          <t>Línea especiales</t>
        </is>
      </c>
    </row>
    <row r="8">
      <c r="A8" t="inlineStr">
        <is>
          <t>Pan de molde brioche</t>
        </is>
      </c>
      <c r="B8" t="n">
        <v>5.4</v>
      </c>
      <c r="C8" t="n">
        <v>5</v>
      </c>
      <c r="D8">
        <f>B8*C8/100</f>
        <v/>
      </c>
      <c r="E8" t="inlineStr"/>
    </row>
    <row r="9">
      <c r="A9" t="inlineStr">
        <is>
          <t>Pan sin gluten</t>
        </is>
      </c>
      <c r="B9" t="n">
        <v>7</v>
      </c>
      <c r="C9" t="n">
        <v>4</v>
      </c>
      <c r="D9">
        <f>B9*C9/100</f>
        <v/>
      </c>
      <c r="E9" t="inlineStr">
        <is>
          <t>Línea separada certificada</t>
        </is>
      </c>
    </row>
    <row r="10">
      <c r="A10" t="inlineStr">
        <is>
          <t>Croissant clásico</t>
        </is>
      </c>
      <c r="B10" t="n">
        <v>2.2</v>
      </c>
      <c r="C10" t="n">
        <v>11</v>
      </c>
      <c r="D10">
        <f>B10*C10/100</f>
        <v/>
      </c>
      <c r="E10" t="inlineStr">
        <is>
          <t>Bollería ancla</t>
        </is>
      </c>
    </row>
    <row r="11">
      <c r="A11" t="inlineStr">
        <is>
          <t>Croissant relleno + pain au chocolat</t>
        </is>
      </c>
      <c r="B11" t="n">
        <v>2.6</v>
      </c>
      <c r="C11" t="n">
        <v>8</v>
      </c>
      <c r="D11">
        <f>B11*C11/100</f>
        <v/>
      </c>
      <c r="E11" t="inlineStr"/>
    </row>
    <row r="12">
      <c r="A12" t="inlineStr">
        <is>
          <t>Bollería surtida (caracola, ensaimada, suizo)</t>
        </is>
      </c>
      <c r="B12" t="n">
        <v>1.9</v>
      </c>
      <c r="C12" t="n">
        <v>7</v>
      </c>
      <c r="D12">
        <f>B12*C12/100</f>
        <v/>
      </c>
      <c r="E12" t="inlineStr"/>
    </row>
    <row r="13">
      <c r="A13" t="inlineStr">
        <is>
          <t>Empanadillas / empanada gallega</t>
        </is>
      </c>
      <c r="B13" t="n">
        <v>2.8</v>
      </c>
      <c r="C13" t="n">
        <v>4</v>
      </c>
      <c r="D13">
        <f>B13*C13/100</f>
        <v/>
      </c>
      <c r="E13" t="inlineStr"/>
    </row>
    <row r="14">
      <c r="A14" t="inlineStr">
        <is>
          <t>Pastelería porción (tarta Santiago, manzana)</t>
        </is>
      </c>
      <c r="B14" t="n">
        <v>3.6</v>
      </c>
      <c r="C14" t="n">
        <v>3</v>
      </c>
      <c r="D14">
        <f>B14*C14/100</f>
        <v/>
      </c>
      <c r="E14" t="inlineStr">
        <is>
          <t>Mejora ticket fin de semana</t>
        </is>
      </c>
    </row>
    <row r="15">
      <c r="A15" t="inlineStr">
        <is>
          <t>Galletas + magdalena + bizcocho</t>
        </is>
      </c>
      <c r="B15" t="n">
        <v>2</v>
      </c>
      <c r="C15" t="n">
        <v>1</v>
      </c>
      <c r="D15">
        <f>B15*C15/100</f>
        <v/>
      </c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TICKET MEDIO PROYECTADO</t>
        </is>
      </c>
      <c r="B17" t="inlineStr"/>
      <c r="C17">
        <f>SUM(C4:C15)</f>
        <v/>
      </c>
      <c r="D17">
        <f>SUM(D4:D15)</f>
        <v/>
      </c>
      <c r="E17" t="inlineStr">
        <is>
          <t>5,80€ objetivo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2026-05-13T20:57:26Z</dcterms:created>
  <dcterms:modified xmlns:dcterms="http://purl.org/dc/terms/" xmlns:xsi="http://www.w3.org/2001/XMLSchema-instance" xsi:type="dcterms:W3CDTF">2026-05-13T20:57:26Z</dcterms:modified>
</cp:coreProperties>
</file>