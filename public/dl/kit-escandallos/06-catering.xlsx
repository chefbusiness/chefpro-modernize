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ocktail 50 pax" sheetId="2" state="visible" r:id="rId2"/>
    <sheet xmlns:r="http://schemas.openxmlformats.org/officeDocument/2006/relationships" name="Presupuesto" sheetId="3" state="visible" r:id="rId3"/>
  </sheets>
  <definedNames>
    <definedName name="_xlnm.Print_Area" localSheetId="1">'Cocktail 50 pax'!$A$1:$I$29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0.000"/>
    <numFmt numFmtId="166" formatCode="0.0%"/>
  </numFmts>
  <fonts count="18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color rgb="00888888"/>
      <sz val="11"/>
    </font>
    <font>
      <name val="Calibri"/>
      <i val="1"/>
      <color rgb="00888888"/>
      <sz val="10"/>
    </font>
    <font>
      <name val="Calibri"/>
      <b val="1"/>
      <color rgb="001A1A1A"/>
      <sz val="12"/>
    </font>
    <font>
      <name val="Calibri"/>
      <color rgb="00333333"/>
      <sz val="11"/>
    </font>
    <font>
      <name val="Calibri"/>
      <i val="1"/>
      <color rgb="00888888"/>
      <sz val="11"/>
    </font>
    <font>
      <name val="Calibri"/>
      <color rgb="00AAAAAA"/>
      <sz val="9"/>
    </font>
    <font>
      <name val="Calibri"/>
      <b val="1"/>
      <color rgb="00FFD700"/>
      <sz val="12"/>
    </font>
    <font>
      <name val="Calibri"/>
      <i val="1"/>
      <color rgb="00AAAAAA"/>
      <sz val="11"/>
    </font>
    <font>
      <name val="Calibri"/>
      <i val="1"/>
      <color rgb="00BBBBBB"/>
      <sz val="9"/>
    </font>
    <font>
      <name val="Calibri"/>
      <b val="1"/>
      <color rgb="00FFD700"/>
      <sz val="16"/>
    </font>
    <font>
      <name val="Calibri"/>
      <b val="1"/>
      <color rgb="00FFFFFF"/>
      <sz val="11"/>
    </font>
    <font>
      <name val="Calibri"/>
      <b val="1"/>
      <color rgb="00333333"/>
      <sz val="11"/>
    </font>
    <font>
      <name val="Calibri"/>
      <b val="1"/>
      <color rgb="001A1A1A"/>
      <sz val="13"/>
    </font>
    <font>
      <name val="Calibri"/>
      <b val="1"/>
      <sz val="13"/>
    </font>
    <font>
      <name val="Calibri"/>
      <b val="1"/>
      <sz val="11"/>
    </font>
    <font>
      <name val="Calibri"/>
      <b val="1"/>
      <sz val="14"/>
    </font>
  </fonts>
  <fills count="7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FFF8DC"/>
        <bgColor rgb="00FFF8DC"/>
      </patternFill>
    </fill>
    <fill>
      <patternFill patternType="solid">
        <fgColor rgb="00FFD700"/>
        <bgColor rgb="00FFD700"/>
      </patternFill>
    </fill>
  </fills>
  <borders count="15">
    <border>
      <left/>
      <right/>
      <top/>
      <bottom/>
      <diagonal/>
    </border>
    <border>
      <left style="medium">
        <color rgb="00FFD700"/>
      </left>
      <right style="medium">
        <color rgb="00FFD700"/>
      </right>
      <top style="medium">
        <color rgb="00FFD700"/>
      </top>
      <bottom style="medium">
        <color rgb="00FFD700"/>
      </bottom>
    </border>
    <border>
      <left style="medium">
        <color rgb="00FFD700"/>
      </left>
      <right style="thin">
        <color rgb="00E0E0E0"/>
      </right>
      <top style="medium">
        <color rgb="00FFD700"/>
      </top>
      <bottom style="thin">
        <color rgb="00E0E0E0"/>
      </bottom>
    </border>
    <border>
      <left style="thin">
        <color rgb="00E0E0E0"/>
      </left>
      <right style="medium">
        <color rgb="00FFD700"/>
      </right>
      <top style="medium">
        <color rgb="00FFD700"/>
      </top>
      <bottom style="thin">
        <color rgb="00E0E0E0"/>
      </bottom>
    </border>
    <border>
      <left style="medium">
        <color rgb="00FFD700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E0E0E0"/>
      </left>
      <right style="medium">
        <color rgb="00FFD700"/>
      </right>
      <top style="thin">
        <color rgb="00E0E0E0"/>
      </top>
      <bottom style="thin">
        <color rgb="00E0E0E0"/>
      </bottom>
    </border>
    <border>
      <left style="medium">
        <color rgb="00FFD700"/>
      </left>
      <right style="thin">
        <color rgb="00E0E0E0"/>
      </right>
      <top style="thin">
        <color rgb="00E0E0E0"/>
      </top>
      <bottom style="medium">
        <color rgb="00FFD700"/>
      </bottom>
    </border>
    <border>
      <left style="thin">
        <color rgb="00E0E0E0"/>
      </left>
      <right style="medium">
        <color rgb="00FFD700"/>
      </right>
      <top style="thin">
        <color rgb="00E0E0E0"/>
      </top>
      <bottom style="medium">
        <color rgb="00FFD700"/>
      </bottom>
    </border>
    <border>
      <left/>
      <right/>
      <top style="thin">
        <color rgb="00E0E0E0"/>
      </top>
      <bottom/>
      <diagonal/>
    </border>
    <border>
      <left style="medium">
        <color rgb="00FFD700"/>
      </left>
      <right/>
      <top/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/>
      <bottom/>
      <diagonal/>
    </border>
    <border>
      <left style="medium">
        <color rgb="00FFD700"/>
      </left>
      <right/>
      <top/>
      <bottom style="thin">
        <color rgb="00E0E0E0"/>
      </bottom>
      <diagonal/>
    </border>
    <border>
      <left/>
      <right style="thin">
        <color rgb="00E0E0E0"/>
      </right>
      <top/>
      <bottom style="thin">
        <color rgb="00E0E0E0"/>
      </bottom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2" fillId="3" borderId="14" applyAlignment="1" pivotButton="0" quotePrefix="0" xfId="0">
      <alignment horizontal="center" vertical="center" wrapText="1"/>
    </xf>
    <xf numFmtId="0" fontId="0" fillId="2" borderId="2" pivotButton="0" quotePrefix="0" xfId="0"/>
    <xf numFmtId="0" fontId="0" fillId="2" borderId="3" pivotButton="0" quotePrefix="0" xfId="0"/>
    <xf numFmtId="0" fontId="5" fillId="4" borderId="14" applyAlignment="1" pivotButton="0" quotePrefix="0" xfId="0">
      <alignment horizontal="left" vertical="center" wrapText="1"/>
    </xf>
    <xf numFmtId="0" fontId="5" fillId="4" borderId="14" applyAlignment="1" pivotButton="0" quotePrefix="0" xfId="0">
      <alignment horizontal="center" vertical="center" wrapText="1"/>
    </xf>
    <xf numFmtId="164" fontId="5" fillId="4" borderId="14" applyAlignment="1" pivotButton="0" quotePrefix="0" xfId="0">
      <alignment horizontal="right" vertical="center"/>
    </xf>
    <xf numFmtId="165" fontId="5" fillId="4" borderId="14" applyAlignment="1" pivotButton="0" quotePrefix="0" xfId="0">
      <alignment horizontal="right" vertical="center"/>
    </xf>
    <xf numFmtId="9" fontId="5" fillId="4" borderId="14" applyAlignment="1" pivotButton="0" quotePrefix="0" xfId="0">
      <alignment horizontal="center" vertical="center" wrapText="1"/>
    </xf>
    <xf numFmtId="165" fontId="13" fillId="0" borderId="14" applyAlignment="1" pivotButton="0" quotePrefix="0" xfId="0">
      <alignment horizontal="right" vertical="center"/>
    </xf>
    <xf numFmtId="164" fontId="13" fillId="0" borderId="14" applyAlignment="1" pivotButton="0" quotePrefix="0" xfId="0">
      <alignment horizontal="right" vertical="center"/>
    </xf>
    <xf numFmtId="0" fontId="0" fillId="2" borderId="4" pivotButton="0" quotePrefix="0" xfId="0"/>
    <xf numFmtId="0" fontId="0" fillId="2" borderId="5" pivotButton="0" quotePrefix="0" xfId="0"/>
    <xf numFmtId="0" fontId="9" fillId="2" borderId="4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2" borderId="6" pivotButton="0" quotePrefix="0" xfId="0"/>
    <xf numFmtId="0" fontId="0" fillId="2" borderId="7" pivotButton="0" quotePrefix="0" xfId="0"/>
    <xf numFmtId="0" fontId="0" fillId="4" borderId="14" pivotButton="0" quotePrefix="0" xfId="0"/>
    <xf numFmtId="9" fontId="0" fillId="4" borderId="14" pivotButton="0" quotePrefix="0" xfId="0"/>
    <xf numFmtId="165" fontId="0" fillId="0" borderId="14" pivotButton="0" quotePrefix="0" xfId="0"/>
    <xf numFmtId="164" fontId="0" fillId="0" borderId="14" pivotButton="0" quotePrefix="0" xfId="0"/>
    <xf numFmtId="0" fontId="10" fillId="0" borderId="0" applyAlignment="1" pivotButton="0" quotePrefix="0" xfId="0">
      <alignment horizontal="center" vertical="center" wrapText="1"/>
    </xf>
    <xf numFmtId="0" fontId="4" fillId="5" borderId="14" applyAlignment="1" pivotButton="0" quotePrefix="0" xfId="0">
      <alignment horizontal="right" vertical="center"/>
    </xf>
    <xf numFmtId="164" fontId="4" fillId="5" borderId="14" pivotButton="0" quotePrefix="0" xfId="0"/>
    <xf numFmtId="0" fontId="5" fillId="0" borderId="14" applyAlignment="1" pivotButton="0" quotePrefix="0" xfId="0">
      <alignment horizontal="right" vertical="center"/>
    </xf>
    <xf numFmtId="164" fontId="13" fillId="0" borderId="14" pivotButton="0" quotePrefix="0" xfId="0"/>
    <xf numFmtId="0" fontId="14" fillId="6" borderId="14" applyAlignment="1" pivotButton="0" quotePrefix="0" xfId="0">
      <alignment horizontal="right" vertical="center"/>
    </xf>
    <xf numFmtId="164" fontId="15" fillId="6" borderId="14" pivotButton="0" quotePrefix="0" xfId="0"/>
    <xf numFmtId="0" fontId="13" fillId="0" borderId="14" applyAlignment="1" pivotButton="0" quotePrefix="0" xfId="0">
      <alignment horizontal="right" vertical="center"/>
    </xf>
    <xf numFmtId="9" fontId="16" fillId="4" borderId="14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right" vertical="center"/>
    </xf>
    <xf numFmtId="164" fontId="4" fillId="0" borderId="14" pivotButton="0" quotePrefix="0" xfId="0"/>
    <xf numFmtId="0" fontId="4" fillId="6" borderId="14" applyAlignment="1" pivotButton="0" quotePrefix="0" xfId="0">
      <alignment horizontal="right" vertical="center"/>
    </xf>
    <xf numFmtId="164" fontId="17" fillId="6" borderId="14" pivotButton="0" quotePrefix="0" xfId="0"/>
    <xf numFmtId="166" fontId="13" fillId="0" borderId="14" pivotButton="0" quotePrefix="0" xfId="0"/>
    <xf numFmtId="0" fontId="1" fillId="0" borderId="0" pivotButton="0" quotePrefix="0" xfId="0"/>
    <xf numFmtId="0" fontId="12" fillId="3" borderId="14" pivotButton="0" quotePrefix="0" xfId="0"/>
    <xf numFmtId="0" fontId="0" fillId="0" borderId="14" pivotButton="0" quotePrefix="0" xfId="0"/>
    <xf numFmtId="1" fontId="0" fillId="4" borderId="14" pivotButton="0" quotePrefix="0" xfId="0"/>
    <xf numFmtId="164" fontId="0" fillId="4" borderId="14" pivotButton="0" quotePrefix="0" xfId="0"/>
    <xf numFmtId="0" fontId="4" fillId="6" borderId="1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2">
      <c r="B2" s="1" t="inlineStr">
        <is>
          <t>📋 Escandallo — Catering por Persona</t>
        </is>
      </c>
    </row>
    <row r="3">
      <c r="B3" s="2" t="inlineStr">
        <is>
          <t>Kit de Escandallos Pro — AI Chef Pro</t>
        </is>
      </c>
    </row>
    <row r="4">
      <c r="B4" s="3" t="inlineStr">
        <is>
          <t>www.aichef.pro</t>
        </is>
      </c>
    </row>
    <row r="6">
      <c r="B6" s="4" t="inlineStr">
        <is>
          <t>Cómo usar esta plantilla</t>
        </is>
      </c>
    </row>
    <row r="7">
      <c r="B7" s="5" t="inlineStr"/>
    </row>
    <row r="8">
      <c r="B8" s="6" t="inlineStr">
        <is>
          <t>▸ Cada pestaña calcula el coste POR PERSONA</t>
        </is>
      </c>
    </row>
    <row r="9">
      <c r="B9" s="6" t="inlineStr">
        <is>
          <t>▸ La pestaña 'Presupuesto' multiplica por número de comensales</t>
        </is>
      </c>
    </row>
    <row r="10">
      <c r="B10" s="6" t="inlineStr">
        <is>
          <t>▸ Incluye servicio, personal y logística como costes fijos</t>
        </is>
      </c>
    </row>
    <row r="11">
      <c r="B11" s="6" t="inlineStr">
        <is>
          <t>▸ Food cost objetivo en catering: 30-40%</t>
        </is>
      </c>
    </row>
    <row r="12">
      <c r="B12" s="5" t="inlineStr"/>
    </row>
    <row r="13">
      <c r="B13" s="7" t="inlineStr">
        <is>
          <t>— Kit de Escandallos Pro · AI Chef Pro · aichef.pro</t>
        </is>
      </c>
    </row>
    <row r="15">
      <c r="B15" s="8" t="inlineStr">
        <is>
          <t>© 2026 AI Chef Pro · Todos los derechos reservados</t>
        </is>
      </c>
    </row>
  </sheetData>
  <mergeCells count="1">
    <mergeCell ref="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/>
  </sheetPr>
  <dimension ref="A1:L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10" customWidth="1" min="7" max="7"/>
    <col width="14" customWidth="1" min="8" max="8"/>
    <col width="14" customWidth="1" min="9" max="9"/>
    <col width="3" customWidth="1" min="10" max="10"/>
    <col width="20" customWidth="1" min="11" max="11"/>
    <col width="20" customWidth="1" min="12" max="12"/>
  </cols>
  <sheetData>
    <row r="1">
      <c r="A1" s="9" t="inlineStr">
        <is>
          <t>Catering Cocktail — Coste por Persona</t>
        </is>
      </c>
    </row>
    <row r="2">
      <c r="A2" s="2" t="inlineStr">
        <is>
          <t>Introduce tus ingredientes y cantidades. Las celdas verdes son editables.</t>
        </is>
      </c>
    </row>
    <row r="3">
      <c r="K3" s="10" t="inlineStr">
        <is>
          <t>📷 Foto del Plato</t>
        </is>
      </c>
      <c r="L3" s="11" t="n"/>
    </row>
    <row r="4">
      <c r="A4" s="12" t="inlineStr">
        <is>
          <t>Ingrediente</t>
        </is>
      </c>
      <c r="B4" s="12" t="inlineStr">
        <is>
          <t>Categoría</t>
        </is>
      </c>
      <c r="C4" s="12" t="inlineStr">
        <is>
          <t>Ud. Compra</t>
        </is>
      </c>
      <c r="D4" s="12" t="inlineStr">
        <is>
          <t>Precio/Ud (€)</t>
        </is>
      </c>
      <c r="E4" s="12" t="inlineStr">
        <is>
          <t>Cantidad</t>
        </is>
      </c>
      <c r="F4" s="12" t="inlineStr">
        <is>
          <t>Ud. Uso</t>
        </is>
      </c>
      <c r="G4" s="12" t="inlineStr">
        <is>
          <t>Merma (%)</t>
        </is>
      </c>
      <c r="H4" s="12" t="inlineStr">
        <is>
          <t>Cant. Bruta</t>
        </is>
      </c>
      <c r="I4" s="12" t="inlineStr">
        <is>
          <t>Coste (€)</t>
        </is>
      </c>
      <c r="K4" s="13" t="n"/>
      <c r="L4" s="14" t="n"/>
    </row>
    <row r="5">
      <c r="A5" s="15" t="inlineStr">
        <is>
          <t>Jamón ibérico (loncheado)</t>
        </is>
      </c>
      <c r="B5" s="16" t="inlineStr">
        <is>
          <t>Carne roja</t>
        </is>
      </c>
      <c r="C5" s="16" t="inlineStr">
        <is>
          <t>kg</t>
        </is>
      </c>
      <c r="D5" s="17" t="n">
        <v>65</v>
      </c>
      <c r="E5" s="18" t="n">
        <v>0.04</v>
      </c>
      <c r="F5" s="16" t="inlineStr">
        <is>
          <t>kg</t>
        </is>
      </c>
      <c r="G5" s="19" t="n">
        <v>0.05</v>
      </c>
      <c r="H5" s="20">
        <f>E5/(1-G5)</f>
        <v/>
      </c>
      <c r="I5" s="21">
        <f>H5*D5</f>
        <v/>
      </c>
      <c r="K5" s="22" t="n"/>
      <c r="L5" s="23" t="n"/>
    </row>
    <row r="6">
      <c r="A6" s="15" t="inlineStr">
        <is>
          <t>Queso manchego curado</t>
        </is>
      </c>
      <c r="B6" s="16" t="inlineStr">
        <is>
          <t>Lácteos</t>
        </is>
      </c>
      <c r="C6" s="16" t="inlineStr">
        <is>
          <t>kg</t>
        </is>
      </c>
      <c r="D6" s="17" t="n">
        <v>16</v>
      </c>
      <c r="E6" s="18" t="n">
        <v>0.04</v>
      </c>
      <c r="F6" s="16" t="inlineStr">
        <is>
          <t>kg</t>
        </is>
      </c>
      <c r="G6" s="19" t="n">
        <v>0.1</v>
      </c>
      <c r="H6" s="20">
        <f>E6/(1-G6)</f>
        <v/>
      </c>
      <c r="I6" s="21">
        <f>H6*D6</f>
        <v/>
      </c>
      <c r="K6" s="22" t="n"/>
      <c r="L6" s="23" t="n"/>
    </row>
    <row r="7">
      <c r="A7" s="15" t="inlineStr">
        <is>
          <t>Salmón ahumado</t>
        </is>
      </c>
      <c r="B7" s="16" t="inlineStr">
        <is>
          <t>Pescado</t>
        </is>
      </c>
      <c r="C7" s="16" t="inlineStr">
        <is>
          <t>kg</t>
        </is>
      </c>
      <c r="D7" s="17" t="n">
        <v>35</v>
      </c>
      <c r="E7" s="18" t="n">
        <v>0.03</v>
      </c>
      <c r="F7" s="16" t="inlineStr">
        <is>
          <t>kg</t>
        </is>
      </c>
      <c r="G7" s="19" t="n">
        <v>0.1</v>
      </c>
      <c r="H7" s="20">
        <f>E7/(1-G7)</f>
        <v/>
      </c>
      <c r="I7" s="21">
        <f>H7*D7</f>
        <v/>
      </c>
      <c r="K7" s="22" t="n"/>
      <c r="L7" s="23" t="n"/>
    </row>
    <row r="8">
      <c r="A8" s="15" t="inlineStr">
        <is>
          <t>Langostino cocido</t>
        </is>
      </c>
      <c r="B8" s="16" t="inlineStr">
        <is>
          <t>Marisco</t>
        </is>
      </c>
      <c r="C8" s="16" t="inlineStr">
        <is>
          <t>kg</t>
        </is>
      </c>
      <c r="D8" s="17" t="n">
        <v>18</v>
      </c>
      <c r="E8" s="18" t="n">
        <v>0.05</v>
      </c>
      <c r="F8" s="16" t="inlineStr">
        <is>
          <t>kg</t>
        </is>
      </c>
      <c r="G8" s="19" t="n">
        <v>0.45</v>
      </c>
      <c r="H8" s="20">
        <f>E8/(1-G8)</f>
        <v/>
      </c>
      <c r="I8" s="21">
        <f>H8*D8</f>
        <v/>
      </c>
      <c r="K8" s="24" t="inlineStr">
        <is>
          <t>Arrastra aquí la foto
del plato terminado</t>
        </is>
      </c>
      <c r="L8" s="25" t="n"/>
    </row>
    <row r="9">
      <c r="A9" s="15" t="inlineStr">
        <is>
          <t>Croquetas (ud)</t>
        </is>
      </c>
      <c r="B9" s="16" t="inlineStr">
        <is>
          <t>Congelados</t>
        </is>
      </c>
      <c r="C9" s="16" t="inlineStr">
        <is>
          <t>ud</t>
        </is>
      </c>
      <c r="D9" s="17" t="n">
        <v>0.35</v>
      </c>
      <c r="E9" s="18" t="n">
        <v>3</v>
      </c>
      <c r="F9" s="16" t="inlineStr">
        <is>
          <t>ud</t>
        </is>
      </c>
      <c r="G9" s="19" t="n">
        <v>0.05</v>
      </c>
      <c r="H9" s="20">
        <f>E9/(1-G9)</f>
        <v/>
      </c>
      <c r="I9" s="21">
        <f>H9*D9</f>
        <v/>
      </c>
      <c r="K9" s="26" t="n"/>
      <c r="L9" s="27" t="n"/>
    </row>
    <row r="10">
      <c r="A10" s="15" t="inlineStr">
        <is>
          <t>Mini quiche (ud)</t>
        </is>
      </c>
      <c r="B10" s="16" t="inlineStr">
        <is>
          <t>Congelados</t>
        </is>
      </c>
      <c r="C10" s="16" t="inlineStr">
        <is>
          <t>ud</t>
        </is>
      </c>
      <c r="D10" s="17" t="n">
        <v>0.45</v>
      </c>
      <c r="E10" s="18" t="n">
        <v>2</v>
      </c>
      <c r="F10" s="16" t="inlineStr">
        <is>
          <t>ud</t>
        </is>
      </c>
      <c r="G10" s="19" t="n">
        <v>0.05</v>
      </c>
      <c r="H10" s="20">
        <f>E10/(1-G10)</f>
        <v/>
      </c>
      <c r="I10" s="21">
        <f>H10*D10</f>
        <v/>
      </c>
      <c r="K10" s="22" t="n"/>
      <c r="L10" s="23" t="n"/>
    </row>
    <row r="11">
      <c r="A11" s="15" t="inlineStr">
        <is>
          <t>Pan mini (ud)</t>
        </is>
      </c>
      <c r="B11" s="16" t="inlineStr">
        <is>
          <t>Pan/bollería</t>
        </is>
      </c>
      <c r="C11" s="16" t="inlineStr">
        <is>
          <t>ud</t>
        </is>
      </c>
      <c r="D11" s="17" t="n">
        <v>0.15</v>
      </c>
      <c r="E11" s="18" t="n">
        <v>3</v>
      </c>
      <c r="F11" s="16" t="inlineStr">
        <is>
          <t>ud</t>
        </is>
      </c>
      <c r="G11" s="19" t="n">
        <v>0.1</v>
      </c>
      <c r="H11" s="20">
        <f>E11/(1-G11)</f>
        <v/>
      </c>
      <c r="I11" s="21">
        <f>H11*D11</f>
        <v/>
      </c>
      <c r="K11" s="22" t="n"/>
      <c r="L11" s="23" t="n"/>
    </row>
    <row r="12">
      <c r="A12" s="15" t="inlineStr">
        <is>
          <t>Fruta variada</t>
        </is>
      </c>
      <c r="B12" s="16" t="inlineStr">
        <is>
          <t>Fruta</t>
        </is>
      </c>
      <c r="C12" s="16" t="inlineStr">
        <is>
          <t>kg</t>
        </is>
      </c>
      <c r="D12" s="17" t="n">
        <v>3.5</v>
      </c>
      <c r="E12" s="18" t="n">
        <v>0.06</v>
      </c>
      <c r="F12" s="16" t="inlineStr">
        <is>
          <t>kg</t>
        </is>
      </c>
      <c r="G12" s="19" t="n">
        <v>0.15</v>
      </c>
      <c r="H12" s="20">
        <f>E12/(1-G12)</f>
        <v/>
      </c>
      <c r="I12" s="21">
        <f>H12*D12</f>
        <v/>
      </c>
      <c r="K12" s="22" t="n"/>
      <c r="L12" s="23" t="n"/>
    </row>
    <row r="13">
      <c r="A13" s="15" t="inlineStr">
        <is>
          <t>Bebida (vino + agua)</t>
        </is>
      </c>
      <c r="B13" s="16" t="inlineStr">
        <is>
          <t>Bebidas/licores</t>
        </is>
      </c>
      <c r="C13" s="16" t="inlineStr">
        <is>
          <t>L</t>
        </is>
      </c>
      <c r="D13" s="17" t="n">
        <v>3</v>
      </c>
      <c r="E13" s="18" t="n">
        <v>0.35</v>
      </c>
      <c r="F13" s="16" t="inlineStr">
        <is>
          <t>L</t>
        </is>
      </c>
      <c r="G13" s="19" t="n">
        <v>0.05</v>
      </c>
      <c r="H13" s="20">
        <f>E13/(1-G13)</f>
        <v/>
      </c>
      <c r="I13" s="21">
        <f>H13*D13</f>
        <v/>
      </c>
      <c r="K13" s="22" t="n"/>
      <c r="L13" s="23" t="n"/>
    </row>
    <row r="14">
      <c r="A14" s="15" t="inlineStr">
        <is>
          <t>Café</t>
        </is>
      </c>
      <c r="B14" s="16" t="inlineStr">
        <is>
          <t>Bebidas/licores</t>
        </is>
      </c>
      <c r="C14" s="16" t="inlineStr">
        <is>
          <t>ud</t>
        </is>
      </c>
      <c r="D14" s="17" t="n">
        <v>0.2</v>
      </c>
      <c r="E14" s="18" t="n">
        <v>1</v>
      </c>
      <c r="F14" s="16" t="inlineStr">
        <is>
          <t>ud</t>
        </is>
      </c>
      <c r="G14" s="19" t="n">
        <v>0</v>
      </c>
      <c r="H14" s="20">
        <f>E14/(1-G14)</f>
        <v/>
      </c>
      <c r="I14" s="21">
        <f>H14*D14</f>
        <v/>
      </c>
      <c r="K14" s="28" t="n"/>
      <c r="L14" s="29" t="n"/>
    </row>
    <row r="15">
      <c r="A15" s="30" t="n"/>
      <c r="B15" s="30" t="n"/>
      <c r="C15" s="30" t="n"/>
      <c r="D15" s="30" t="n"/>
      <c r="E15" s="30" t="n"/>
      <c r="F15" s="30" t="n"/>
      <c r="G15" s="31" t="n"/>
      <c r="H15" s="32">
        <f>IF(E15="","",E15/(1-G15))</f>
        <v/>
      </c>
      <c r="I15" s="33">
        <f>IF(H15="","",H15*D15)</f>
        <v/>
      </c>
      <c r="K15" s="34" t="inlineStr">
        <is>
          <t>Insertar → Imagen → Desde archivo</t>
        </is>
      </c>
    </row>
    <row r="16">
      <c r="A16" s="30" t="n"/>
      <c r="B16" s="30" t="n"/>
      <c r="C16" s="30" t="n"/>
      <c r="D16" s="30" t="n"/>
      <c r="E16" s="30" t="n"/>
      <c r="F16" s="30" t="n"/>
      <c r="G16" s="31" t="n"/>
      <c r="H16" s="32">
        <f>IF(E16="","",E16/(1-G16))</f>
        <v/>
      </c>
      <c r="I16" s="33">
        <f>IF(H16="","",H16*D16)</f>
        <v/>
      </c>
    </row>
    <row r="17">
      <c r="A17" s="30" t="n"/>
      <c r="B17" s="30" t="n"/>
      <c r="C17" s="30" t="n"/>
      <c r="D17" s="30" t="n"/>
      <c r="E17" s="30" t="n"/>
      <c r="F17" s="30" t="n"/>
      <c r="G17" s="31" t="n"/>
      <c r="H17" s="32">
        <f>IF(E17="","",E17/(1-G17))</f>
        <v/>
      </c>
      <c r="I17" s="33">
        <f>IF(H17="","",H17*D17)</f>
        <v/>
      </c>
    </row>
    <row r="18">
      <c r="A18" s="30" t="n"/>
      <c r="B18" s="30" t="n"/>
      <c r="C18" s="30" t="n"/>
      <c r="D18" s="30" t="n"/>
      <c r="E18" s="30" t="n"/>
      <c r="F18" s="30" t="n"/>
      <c r="G18" s="31" t="n"/>
      <c r="H18" s="32">
        <f>IF(E18="","",E18/(1-G18))</f>
        <v/>
      </c>
      <c r="I18" s="33">
        <f>IF(H18="","",H18*D18)</f>
        <v/>
      </c>
    </row>
    <row r="19">
      <c r="A19" s="30" t="n"/>
      <c r="B19" s="30" t="n"/>
      <c r="C19" s="30" t="n"/>
      <c r="D19" s="30" t="n"/>
      <c r="E19" s="30" t="n"/>
      <c r="F19" s="30" t="n"/>
      <c r="G19" s="31" t="n"/>
      <c r="H19" s="32">
        <f>IF(E19="","",E19/(1-G19))</f>
        <v/>
      </c>
      <c r="I19" s="33">
        <f>IF(H19="","",H19*D19)</f>
        <v/>
      </c>
    </row>
    <row r="20"/>
    <row r="21">
      <c r="A21" s="35" t="inlineStr">
        <is>
          <t>COSTE TOTAL INGREDIENTES</t>
        </is>
      </c>
      <c r="I21" s="36">
        <f>SUM(I5:I19)</f>
        <v/>
      </c>
    </row>
    <row r="22">
      <c r="A22" s="37" t="inlineStr">
        <is>
          <t>Coste elaboración (%)</t>
        </is>
      </c>
      <c r="H22" s="19" t="n">
        <v>0.1</v>
      </c>
      <c r="I22" s="38">
        <f>I21*H22</f>
        <v/>
      </c>
    </row>
    <row r="23">
      <c r="A23" s="39" t="inlineStr">
        <is>
          <t>COSTE TOTAL DEL PLATO</t>
        </is>
      </c>
      <c r="I23" s="40">
        <f>I21+I22</f>
        <v/>
      </c>
    </row>
    <row r="24"/>
    <row r="25">
      <c r="A25" s="41" t="inlineStr">
        <is>
          <t>Food Cost objetivo (%)</t>
        </is>
      </c>
      <c r="H25" s="42" t="n">
        <v>0.35</v>
      </c>
    </row>
    <row r="26">
      <c r="A26" s="43" t="inlineStr">
        <is>
          <t>PVP SUGERIDO (sin IVA)</t>
        </is>
      </c>
      <c r="I26" s="44">
        <f>I23/H25</f>
        <v/>
      </c>
    </row>
    <row r="27">
      <c r="A27" s="45" t="inlineStr">
        <is>
          <t>PVP CON IVA (10% hostelería)</t>
        </is>
      </c>
      <c r="I27" s="46">
        <f>I26*1.10</f>
        <v/>
      </c>
    </row>
    <row r="28">
      <c r="A28" s="37" t="inlineStr">
        <is>
          <t>Margen bruto (€)</t>
        </is>
      </c>
      <c r="I28" s="38">
        <f>I26-I23</f>
        <v/>
      </c>
    </row>
    <row r="29">
      <c r="A29" s="37" t="inlineStr">
        <is>
          <t>Margen bruto (%)</t>
        </is>
      </c>
      <c r="I29" s="47">
        <f>I28/I26</f>
        <v/>
      </c>
    </row>
  </sheetData>
  <mergeCells count="13">
    <mergeCell ref="A26:H26"/>
    <mergeCell ref="A21:H21"/>
    <mergeCell ref="A2:I2"/>
    <mergeCell ref="A29:H29"/>
    <mergeCell ref="A22:G22"/>
    <mergeCell ref="K15:L15"/>
    <mergeCell ref="A1:I1"/>
    <mergeCell ref="A28:H28"/>
    <mergeCell ref="A25:G25"/>
    <mergeCell ref="A23:H23"/>
    <mergeCell ref="A27:H27"/>
    <mergeCell ref="K8:L9"/>
    <mergeCell ref="K3:L3"/>
  </mergeCells>
  <dataValidations count="2">
    <dataValidation sqref="B5 B6 B7 B8 B9 B10 B11 B12 B13 B14 B15 B16 B17 B18 B19" showDropDown="0" showInputMessage="0" showErrorMessage="0" allowBlank="1" errorTitle="Categoría inválida" error="Selecciona una categoría válida" type="list">
      <formula1>"Carne roja,Aves,Pescado,Marisco,Verdura hoja,Verdura raíz,Fruta,Lácteos,Secos/granos,Congelados,Pan/bollería,Huevos,Aceites/grasas,Especias/hierbas,Chocolate/cacao,Bebidas/licores"</formula1>
    </dataValidation>
    <dataValidation sqref="C5 C6 C7 C8 C9 C10 C11 C12 C13 C14 C15 C16 C17 C18 C19 F5 F6 F7 F8 F9 F10 F11 F12 F13 F14 F15 F16 F17 F18 F19" showDropDown="0" showInputMessage="0" showErrorMessage="0" allowBlank="1" type="list">
      <formula1>"kg,g,L,ml,cl,ud,docena,manojo,sobre,lata,botella"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FF4444"/>
    <outlinePr summaryBelow="1" summaryRight="1"/>
    <pageSetUpPr/>
  </sheetPr>
  <dimension ref="B2:C20"/>
  <sheetViews>
    <sheetView workbookViewId="0">
      <selection activeCell="A1" sqref="A1"/>
    </sheetView>
  </sheetViews>
  <sheetFormatPr baseColWidth="8" defaultRowHeight="15"/>
  <cols>
    <col width="40" customWidth="1" min="2" max="2"/>
    <col width="18" customWidth="1" min="3" max="3"/>
  </cols>
  <sheetData>
    <row r="2">
      <c r="B2" s="48" t="inlineStr">
        <is>
          <t>Presupuesto de Catering</t>
        </is>
      </c>
    </row>
    <row r="4">
      <c r="B4" s="49" t="inlineStr">
        <is>
          <t>Concepto</t>
        </is>
      </c>
      <c r="C4" s="49" t="inlineStr">
        <is>
          <t>Importe (€)</t>
        </is>
      </c>
    </row>
    <row r="5">
      <c r="B5" s="50" t="inlineStr">
        <is>
          <t>Número de comensales</t>
        </is>
      </c>
      <c r="C5" s="51" t="n">
        <v>50</v>
      </c>
    </row>
    <row r="6">
      <c r="B6" s="50" t="inlineStr">
        <is>
          <t>Coste alimentación por persona</t>
        </is>
      </c>
      <c r="C6" s="33">
        <f>'Cocktail 50 pax'!I17</f>
        <v/>
      </c>
    </row>
    <row r="7">
      <c r="B7" s="50" t="inlineStr">
        <is>
          <t>Coste total alimentación</t>
        </is>
      </c>
      <c r="C7" s="33">
        <f>C5*C6</f>
        <v/>
      </c>
    </row>
    <row r="8">
      <c r="B8" s="50" t="inlineStr">
        <is>
          <t>Personal de servicio (camareros)</t>
        </is>
      </c>
      <c r="C8" s="33">
        <f>C5*3.50</f>
        <v/>
      </c>
    </row>
    <row r="9">
      <c r="B9" s="50" t="inlineStr">
        <is>
          <t>Transporte y logística</t>
        </is>
      </c>
      <c r="C9" s="52" t="n">
        <v>150</v>
      </c>
    </row>
    <row r="10">
      <c r="B10" s="50" t="inlineStr">
        <is>
          <t>Material desechable / menaje</t>
        </is>
      </c>
      <c r="C10" s="33">
        <f>C5*1.20</f>
        <v/>
      </c>
    </row>
    <row r="11">
      <c r="B11" s="50" t="inlineStr">
        <is>
          <t>Montaje y desmontaje</t>
        </is>
      </c>
      <c r="C11" s="52" t="n">
        <v>200</v>
      </c>
    </row>
    <row r="13">
      <c r="B13" s="53" t="inlineStr">
        <is>
          <t>COSTE TOTAL EVENTO</t>
        </is>
      </c>
      <c r="C13" s="40">
        <f>SUM(C7:C11)</f>
        <v/>
      </c>
    </row>
    <row r="14">
      <c r="B14" s="50" t="inlineStr">
        <is>
          <t>Coste por persona</t>
        </is>
      </c>
      <c r="C14" s="33">
        <f>C13/C5</f>
        <v/>
      </c>
    </row>
    <row r="16">
      <c r="B16" s="50" t="inlineStr">
        <is>
          <t>Margen objetivo (%)</t>
        </is>
      </c>
      <c r="C16" s="31" t="n">
        <v>0.35</v>
      </c>
    </row>
    <row r="17">
      <c r="B17" s="53" t="inlineStr">
        <is>
          <t>PVP POR PERSONA (sin IVA)</t>
        </is>
      </c>
      <c r="C17" s="40">
        <f>C14/(1-C16)</f>
        <v/>
      </c>
    </row>
    <row r="18">
      <c r="B18" s="53" t="inlineStr">
        <is>
          <t>PVP POR PERSONA (con IVA 10%)</t>
        </is>
      </c>
      <c r="C18" s="40">
        <f>C17*1.10</f>
        <v/>
      </c>
    </row>
    <row r="20">
      <c r="B20" s="53" t="inlineStr">
        <is>
          <t>PRESUPUESTO TOTAL (con IVA)</t>
        </is>
      </c>
      <c r="C20" s="40">
        <f>C18*C5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2026-03-16T17:45:44Z</dcterms:created>
  <dcterms:modified xmlns:dcterms="http://purl.org/dc/terms/" xmlns:xsi="http://www.w3.org/2001/XMLSchema-instance" xsi:type="dcterms:W3CDTF">2026-03-16T17:45:44Z</dcterms:modified>
</cp:coreProperties>
</file>