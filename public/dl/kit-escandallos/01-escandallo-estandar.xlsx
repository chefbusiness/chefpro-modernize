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ndallo" sheetId="2" state="visible" r:id="rId2"/>
  </sheets>
  <definedNames>
    <definedName name="_xlnm.Print_Area" localSheetId="1">'Escandallo'!$A$1:$I$29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3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Estándar — Plato a la Carta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Ve a la pestaña 'Escandallo' para empezar</t>
        </is>
      </c>
    </row>
    <row r="9">
      <c r="B9" s="6" t="inlineStr">
        <is>
          <t>▸ Las celdas verdes son editables — introduce tus ingredientes y cantidades</t>
        </is>
      </c>
    </row>
    <row r="10">
      <c r="B10" s="6" t="inlineStr">
        <is>
          <t>▸ Las fórmulas se calculan automáticamente (coste, merma, PVP)</t>
        </is>
      </c>
    </row>
    <row r="11">
      <c r="B11" s="6" t="inlineStr">
        <is>
          <t>▸ La merma viene precargada por categoría de ingrediente (puedes ajustarla)</t>
        </is>
      </c>
    </row>
    <row r="12">
      <c r="B12" s="6" t="inlineStr">
        <is>
          <t>▸ El Food Cost objetivo por defecto es 30% — cámbialo según tu tipo de establecimiento</t>
        </is>
      </c>
    </row>
    <row r="13">
      <c r="B13" s="5" t="inlineStr"/>
    </row>
    <row r="14">
      <c r="B14" s="4" t="inlineStr">
        <is>
          <t>Columnas explicadas</t>
        </is>
      </c>
    </row>
    <row r="15">
      <c r="B15" s="5" t="inlineStr"/>
    </row>
    <row r="16">
      <c r="B16" s="6" t="inlineStr">
        <is>
          <t>▸ Ingrediente: nombre del producto</t>
        </is>
      </c>
    </row>
    <row r="17">
      <c r="B17" s="6" t="inlineStr">
        <is>
          <t>▸ Categoría: tipo de ingrediente (selecciona del desplegable)</t>
        </is>
      </c>
    </row>
    <row r="18">
      <c r="B18" s="6" t="inlineStr">
        <is>
          <t>▸ Ud. Compra: unidad en la que compras (kg, L, ud...)</t>
        </is>
      </c>
    </row>
    <row r="19">
      <c r="B19" s="6" t="inlineStr">
        <is>
          <t>▸ Precio/Ud: precio que pagas por esa unidad de compra</t>
        </is>
      </c>
    </row>
    <row r="20">
      <c r="B20" s="6" t="inlineStr">
        <is>
          <t>▸ Cantidad: cantidad que necesitas para el plato (en la unidad de uso)</t>
        </is>
      </c>
    </row>
    <row r="21">
      <c r="B21" s="6" t="inlineStr">
        <is>
          <t>▸ Ud. Uso: unidad en la que mides para el plato</t>
        </is>
      </c>
    </row>
    <row r="22">
      <c r="B22" s="6" t="inlineStr">
        <is>
          <t>▸ Merma (%): porcentaje de desperdicio (precargado, editable)</t>
        </is>
      </c>
    </row>
    <row r="23">
      <c r="B23" s="6" t="inlineStr">
        <is>
          <t>▸ Cant. Bruta: cantidad a comprar contando la merma (automático)</t>
        </is>
      </c>
    </row>
    <row r="24">
      <c r="B24" s="6" t="inlineStr">
        <is>
          <t>▸ Coste (€): coste real del ingrediente con merma incluida (automático)</t>
        </is>
      </c>
    </row>
    <row r="25">
      <c r="B25" s="5" t="inlineStr"/>
    </row>
    <row r="26">
      <c r="B26" s="4" t="inlineStr">
        <is>
          <t>Referencia de mermas estándar</t>
        </is>
      </c>
    </row>
    <row r="27">
      <c r="B27" s="5" t="inlineStr"/>
    </row>
    <row r="28">
      <c r="B28" s="6" t="inlineStr">
        <is>
          <t>▸ Carne roja: 20% | Aves: 25% | Pescado: 35% | Marisco: 45%</t>
        </is>
      </c>
    </row>
    <row r="29">
      <c r="B29" s="6" t="inlineStr">
        <is>
          <t>▸ Verdura hoja: 25% | Verdura raíz: 12% | Fruta: 15%</t>
        </is>
      </c>
    </row>
    <row r="30">
      <c r="B30" s="6" t="inlineStr">
        <is>
          <t>▸ Lácteos: 3% | Secos: 2% | Congelados: 7%</t>
        </is>
      </c>
    </row>
    <row r="31">
      <c r="B31" s="5" t="inlineStr"/>
    </row>
    <row r="32">
      <c r="B32" s="7" t="inlineStr">
        <is>
          <t>— Kit de Escandallos Pro · AI Chef Pro · aichef.pro</t>
        </is>
      </c>
    </row>
    <row r="34">
      <c r="B34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Escandallo — Solomillo con PX y Espárragos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Solomillo de ternera</t>
        </is>
      </c>
      <c r="B5" s="16" t="inlineStr">
        <is>
          <t>Carne roja</t>
        </is>
      </c>
      <c r="C5" s="16" t="inlineStr">
        <is>
          <t>kg</t>
        </is>
      </c>
      <c r="D5" s="17" t="n">
        <v>28.5</v>
      </c>
      <c r="E5" s="18" t="n">
        <v>0.2</v>
      </c>
      <c r="F5" s="16" t="inlineStr">
        <is>
          <t>kg</t>
        </is>
      </c>
      <c r="G5" s="19" t="n">
        <v>0.2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Patata agria</t>
        </is>
      </c>
      <c r="B6" s="16" t="inlineStr">
        <is>
          <t>Verdura raíz</t>
        </is>
      </c>
      <c r="C6" s="16" t="inlineStr">
        <is>
          <t>kg</t>
        </is>
      </c>
      <c r="D6" s="17" t="n">
        <v>1.8</v>
      </c>
      <c r="E6" s="18" t="n">
        <v>0.15</v>
      </c>
      <c r="F6" s="16" t="inlineStr">
        <is>
          <t>kg</t>
        </is>
      </c>
      <c r="G6" s="19" t="n">
        <v>0.12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Espárrago verde</t>
        </is>
      </c>
      <c r="B7" s="16" t="inlineStr">
        <is>
          <t>Verdura hoja</t>
        </is>
      </c>
      <c r="C7" s="16" t="inlineStr">
        <is>
          <t>kg</t>
        </is>
      </c>
      <c r="D7" s="17" t="n">
        <v>6.5</v>
      </c>
      <c r="E7" s="18" t="n">
        <v>0.08</v>
      </c>
      <c r="F7" s="16" t="inlineStr">
        <is>
          <t>kg</t>
        </is>
      </c>
      <c r="G7" s="19" t="n">
        <v>0.25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Mantequilla</t>
        </is>
      </c>
      <c r="B8" s="16" t="inlineStr">
        <is>
          <t>Lácteos</t>
        </is>
      </c>
      <c r="C8" s="16" t="inlineStr">
        <is>
          <t>kg</t>
        </is>
      </c>
      <c r="D8" s="17" t="n">
        <v>9</v>
      </c>
      <c r="E8" s="18" t="n">
        <v>0.03</v>
      </c>
      <c r="F8" s="16" t="inlineStr">
        <is>
          <t>kg</t>
        </is>
      </c>
      <c r="G8" s="19" t="n">
        <v>0.03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Vino Pedro Ximénez</t>
        </is>
      </c>
      <c r="B9" s="16" t="inlineStr">
        <is>
          <t>Bebidas/licores</t>
        </is>
      </c>
      <c r="C9" s="16" t="inlineStr">
        <is>
          <t>L</t>
        </is>
      </c>
      <c r="D9" s="17" t="n">
        <v>8.5</v>
      </c>
      <c r="E9" s="18" t="n">
        <v>0.05</v>
      </c>
      <c r="F9" s="16" t="inlineStr">
        <is>
          <t>L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Fondo oscuro de ternera</t>
        </is>
      </c>
      <c r="B10" s="16" t="inlineStr">
        <is>
          <t>Congelados</t>
        </is>
      </c>
      <c r="C10" s="16" t="inlineStr">
        <is>
          <t>L</t>
        </is>
      </c>
      <c r="D10" s="17" t="n">
        <v>12</v>
      </c>
      <c r="E10" s="18" t="n">
        <v>0.08</v>
      </c>
      <c r="F10" s="16" t="inlineStr">
        <is>
          <t>L</t>
        </is>
      </c>
      <c r="G10" s="19" t="n">
        <v>0.07000000000000001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Aceite de oliva virgen extra</t>
        </is>
      </c>
      <c r="B11" s="16" t="inlineStr">
        <is>
          <t>Aceites/grasas</t>
        </is>
      </c>
      <c r="C11" s="16" t="inlineStr">
        <is>
          <t>L</t>
        </is>
      </c>
      <c r="D11" s="17" t="n">
        <v>7.5</v>
      </c>
      <c r="E11" s="18" t="n">
        <v>0.03</v>
      </c>
      <c r="F11" s="16" t="inlineStr">
        <is>
          <t>L</t>
        </is>
      </c>
      <c r="G11" s="19" t="n">
        <v>0.03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Flor de sal</t>
        </is>
      </c>
      <c r="B12" s="16" t="inlineStr">
        <is>
          <t>Secos/granos</t>
        </is>
      </c>
      <c r="C12" s="16" t="inlineStr">
        <is>
          <t>kg</t>
        </is>
      </c>
      <c r="D12" s="17" t="n">
        <v>15</v>
      </c>
      <c r="E12" s="18" t="n">
        <v>0.003</v>
      </c>
      <c r="F12" s="16" t="inlineStr">
        <is>
          <t>kg</t>
        </is>
      </c>
      <c r="G12" s="19" t="n">
        <v>0.02</v>
      </c>
      <c r="H12" s="20">
        <f>E12/(1-G12)</f>
        <v/>
      </c>
      <c r="I12" s="21">
        <f>H12*D12</f>
        <v/>
      </c>
      <c r="K12" s="22" t="n"/>
      <c r="L12" s="23" t="n"/>
    </row>
    <row r="13">
      <c r="A13" s="15" t="inlineStr">
        <is>
          <t>Pimienta negra</t>
        </is>
      </c>
      <c r="B13" s="16" t="inlineStr">
        <is>
          <t>Especias/hierbas</t>
        </is>
      </c>
      <c r="C13" s="16" t="inlineStr">
        <is>
          <t>kg</t>
        </is>
      </c>
      <c r="D13" s="17" t="n">
        <v>25</v>
      </c>
      <c r="E13" s="18" t="n">
        <v>0.002</v>
      </c>
      <c r="F13" s="16" t="inlineStr">
        <is>
          <t>kg</t>
        </is>
      </c>
      <c r="G13" s="19" t="n">
        <v>0.2</v>
      </c>
      <c r="H13" s="20">
        <f>E13/(1-G13)</f>
        <v/>
      </c>
      <c r="I13" s="21">
        <f>H13*D13</f>
        <v/>
      </c>
      <c r="K13" s="22" t="n"/>
      <c r="L13" s="23" t="n"/>
    </row>
    <row r="14">
      <c r="A14" s="15" t="inlineStr">
        <is>
          <t>Microgreens decoración</t>
        </is>
      </c>
      <c r="B14" s="16" t="inlineStr">
        <is>
          <t>Verdura hoja</t>
        </is>
      </c>
      <c r="C14" s="16" t="inlineStr">
        <is>
          <t>ud</t>
        </is>
      </c>
      <c r="D14" s="17" t="n">
        <v>3.5</v>
      </c>
      <c r="E14" s="18" t="n">
        <v>1</v>
      </c>
      <c r="F14" s="16" t="inlineStr">
        <is>
          <t>ud</t>
        </is>
      </c>
      <c r="G14" s="19" t="n">
        <v>0.1</v>
      </c>
      <c r="H14" s="20">
        <f>E14/(1-G14)</f>
        <v/>
      </c>
      <c r="I14" s="21">
        <f>H14*D14</f>
        <v/>
      </c>
      <c r="K14" s="28" t="n"/>
      <c r="L14" s="29" t="n"/>
    </row>
    <row r="15">
      <c r="A15" s="30" t="n"/>
      <c r="B15" s="30" t="n"/>
      <c r="C15" s="30" t="n"/>
      <c r="D15" s="30" t="n"/>
      <c r="E15" s="30" t="n"/>
      <c r="F15" s="30" t="n"/>
      <c r="G15" s="31" t="n"/>
      <c r="H15" s="32">
        <f>IF(E15="","",E15/(1-G15))</f>
        <v/>
      </c>
      <c r="I15" s="33">
        <f>IF(H15="","",H15*D15)</f>
        <v/>
      </c>
      <c r="K15" s="34" t="inlineStr">
        <is>
          <t>Insertar → Imagen → Desde archivo</t>
        </is>
      </c>
    </row>
    <row r="16">
      <c r="A16" s="30" t="n"/>
      <c r="B16" s="30" t="n"/>
      <c r="C16" s="30" t="n"/>
      <c r="D16" s="30" t="n"/>
      <c r="E16" s="30" t="n"/>
      <c r="F16" s="30" t="n"/>
      <c r="G16" s="31" t="n"/>
      <c r="H16" s="32">
        <f>IF(E16="","",E16/(1-G16))</f>
        <v/>
      </c>
      <c r="I16" s="33">
        <f>IF(H16="","",H16*D16)</f>
        <v/>
      </c>
    </row>
    <row r="17">
      <c r="A17" s="30" t="n"/>
      <c r="B17" s="30" t="n"/>
      <c r="C17" s="30" t="n"/>
      <c r="D17" s="30" t="n"/>
      <c r="E17" s="30" t="n"/>
      <c r="F17" s="30" t="n"/>
      <c r="G17" s="31" t="n"/>
      <c r="H17" s="32">
        <f>IF(E17="","",E17/(1-G17))</f>
        <v/>
      </c>
      <c r="I17" s="33">
        <f>IF(H17="","",H17*D17)</f>
        <v/>
      </c>
    </row>
    <row r="18">
      <c r="A18" s="30" t="n"/>
      <c r="B18" s="30" t="n"/>
      <c r="C18" s="30" t="n"/>
      <c r="D18" s="30" t="n"/>
      <c r="E18" s="30" t="n"/>
      <c r="F18" s="30" t="n"/>
      <c r="G18" s="31" t="n"/>
      <c r="H18" s="32">
        <f>IF(E18="","",E18/(1-G18))</f>
        <v/>
      </c>
      <c r="I18" s="33">
        <f>IF(H18="","",H18*D18)</f>
        <v/>
      </c>
    </row>
    <row r="19">
      <c r="A19" s="30" t="n"/>
      <c r="B19" s="30" t="n"/>
      <c r="C19" s="30" t="n"/>
      <c r="D19" s="30" t="n"/>
      <c r="E19" s="30" t="n"/>
      <c r="F19" s="30" t="n"/>
      <c r="G19" s="31" t="n"/>
      <c r="H19" s="32">
        <f>IF(E19="","",E19/(1-G19))</f>
        <v/>
      </c>
      <c r="I19" s="33">
        <f>IF(H19="","",H19*D19)</f>
        <v/>
      </c>
    </row>
    <row r="21">
      <c r="A21" s="35" t="inlineStr">
        <is>
          <t>COSTE TOTAL INGREDIENTES</t>
        </is>
      </c>
      <c r="I21" s="36">
        <f>SUM(I5:I19)</f>
        <v/>
      </c>
    </row>
    <row r="22">
      <c r="A22" s="37" t="inlineStr">
        <is>
          <t>Coste elaboración (%)</t>
        </is>
      </c>
      <c r="H22" s="19" t="n">
        <v>0.1</v>
      </c>
      <c r="I22" s="38">
        <f>I21*H22</f>
        <v/>
      </c>
    </row>
    <row r="23">
      <c r="A23" s="39" t="inlineStr">
        <is>
          <t>COSTE TOTAL DEL PLATO</t>
        </is>
      </c>
      <c r="I23" s="40">
        <f>I21+I22</f>
        <v/>
      </c>
    </row>
    <row r="25">
      <c r="A25" s="41" t="inlineStr">
        <is>
          <t>Food Cost objetivo (%)</t>
        </is>
      </c>
      <c r="H25" s="42" t="n">
        <v>0.3</v>
      </c>
    </row>
    <row r="26">
      <c r="A26" s="43" t="inlineStr">
        <is>
          <t>PVP SUGERIDO (sin IVA)</t>
        </is>
      </c>
      <c r="I26" s="44">
        <f>I23/H25</f>
        <v/>
      </c>
    </row>
    <row r="27">
      <c r="A27" s="45" t="inlineStr">
        <is>
          <t>PVP CON IVA (10% hostelería)</t>
        </is>
      </c>
      <c r="I27" s="46">
        <f>I26*1.10</f>
        <v/>
      </c>
    </row>
    <row r="28">
      <c r="A28" s="37" t="inlineStr">
        <is>
          <t>Margen bruto (€)</t>
        </is>
      </c>
      <c r="I28" s="38">
        <f>I26-I23</f>
        <v/>
      </c>
    </row>
    <row r="29">
      <c r="A29" s="37" t="inlineStr">
        <is>
          <t>Margen bruto (%)</t>
        </is>
      </c>
      <c r="I29" s="47">
        <f>I28/I26</f>
        <v/>
      </c>
    </row>
  </sheetData>
  <mergeCells count="13">
    <mergeCell ref="A26:H26"/>
    <mergeCell ref="A21:H21"/>
    <mergeCell ref="A2:I2"/>
    <mergeCell ref="A29:H29"/>
    <mergeCell ref="A22:G22"/>
    <mergeCell ref="K15:L15"/>
    <mergeCell ref="A1:I1"/>
    <mergeCell ref="A28:H28"/>
    <mergeCell ref="A25:G25"/>
    <mergeCell ref="A23:H23"/>
    <mergeCell ref="A27:H27"/>
    <mergeCell ref="K8:L9"/>
    <mergeCell ref="K3:L3"/>
  </mergeCells>
  <dataValidations count="2">
    <dataValidation sqref="B5 B6 B7 B8 B9 B10 B11 B12 B13 B14 B15 B16 B17 B18 B19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C17 C18 C19 F5 F6 F7 F8 F9 F10 F11 F12 F13 F14 F15 F16 F17 F18 F19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2026-03-16T17:45:43Z</dcterms:created>
  <dcterms:modified xmlns:dcterms="http://purl.org/dc/terms/" xmlns:xsi="http://www.w3.org/2001/XMLSchema-instance" xsi:type="dcterms:W3CDTF">2026-03-16T17:45:43Z</dcterms:modified>
</cp:coreProperties>
</file>