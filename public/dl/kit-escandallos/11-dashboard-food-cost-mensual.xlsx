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€"/>
    <numFmt numFmtId="165" formatCode="0.0%"/>
    <numFmt numFmtId="166" formatCode="+0.0%;-0.0%"/>
  </numFmts>
  <fonts count="10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color rgb="00888888"/>
      <sz val="11"/>
    </font>
    <font>
      <name val="Calibri"/>
      <i val="1"/>
      <color rgb="00888888"/>
      <sz val="10"/>
    </font>
    <font>
      <name val="Calibri"/>
      <b val="1"/>
      <color rgb="001A1A1A"/>
      <sz val="12"/>
    </font>
    <font>
      <name val="Calibri"/>
      <color rgb="00333333"/>
      <sz val="11"/>
    </font>
    <font>
      <name val="Calibri"/>
      <i val="1"/>
      <color rgb="00888888"/>
      <sz val="11"/>
    </font>
    <font>
      <name val="Calibri"/>
      <color rgb="00AAAAAA"/>
      <sz val="9"/>
    </font>
    <font>
      <name val="Calibri"/>
      <b val="1"/>
      <color rgb="00FFFFFF"/>
      <sz val="11"/>
    </font>
    <font>
      <name val="Calibri"/>
      <b val="1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0" borderId="0" pivotButton="0" quotePrefix="0" xfId="0"/>
    <xf numFmtId="0" fontId="0" fillId="2" borderId="1" pivotButton="0" quotePrefix="0" xfId="0"/>
    <xf numFmtId="9" fontId="0" fillId="2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164" fontId="0" fillId="2" borderId="1" pivotButton="0" quotePrefix="0" xfId="0"/>
    <xf numFmtId="165" fontId="9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166" fontId="9" fillId="4" borderId="1" applyAlignment="1" pivotButton="0" quotePrefix="0" xfId="0">
      <alignment horizontal="center" vertical="center" wrapText="1"/>
    </xf>
    <xf numFmtId="0" fontId="5" fillId="5" borderId="1" pivotButton="0" quotePrefix="0" xfId="0"/>
    <xf numFmtId="165" fontId="9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166" fontId="9" fillId="5" borderId="1" applyAlignment="1" pivotButton="0" quotePrefix="0" xfId="0">
      <alignment horizontal="center" vertical="center" wrapText="1"/>
    </xf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Food Cost Mensual vs Objetivo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solidFill xmlns:a="http://schemas.openxmlformats.org/drawingml/2006/main">
              <a:srgbClr val="FFD700"/>
            </a:solidFill>
            <a:ln xmlns:a="http://schemas.openxmlformats.org/drawingml/2006/main">
              <a:prstDash val="solid"/>
            </a:ln>
          </spPr>
          <cat>
            <numRef>
              <f>'Dashboard'!$B$7:$B$18</f>
            </numRef>
          </cat>
          <val>
            <numRef>
              <f>'Dashboard'!$E$7:$E$18</f>
            </numRef>
          </val>
        </ser>
        <ser>
          <idx val="1"/>
          <order val="1"/>
          <tx>
            <strRef>
              <f>'Dashboard'!F6</f>
            </strRef>
          </tx>
          <spPr>
            <a:solidFill xmlns:a="http://schemas.openxmlformats.org/drawingml/2006/main">
              <a:srgbClr val="FF4444"/>
            </a:solidFill>
            <a:ln xmlns:a="http://schemas.openxmlformats.org/drawingml/2006/main">
              <a:prstDash val="solid"/>
            </a:ln>
          </spPr>
          <cat>
            <numRef>
              <f>'Dashboard'!$B$7:$B$18</f>
            </numRef>
          </cat>
          <val>
            <numRef>
              <f>'Dashboard'!$F$7:$F$18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Porcentaje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20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1" t="inlineStr">
        <is>
          <t>📋 Dashboard Food Cost Mensual</t>
        </is>
      </c>
    </row>
    <row r="3">
      <c r="B3" s="2" t="inlineStr">
        <is>
          <t>Kit de Escandallos Pro — AI Chef Pro</t>
        </is>
      </c>
    </row>
    <row r="4">
      <c r="B4" s="3" t="inlineStr">
        <is>
          <t>www.aichef.pro</t>
        </is>
      </c>
    </row>
    <row r="6">
      <c r="B6" s="4" t="inlineStr">
        <is>
          <t>Cómo usar esta plantilla</t>
        </is>
      </c>
    </row>
    <row r="7">
      <c r="B7" s="5" t="inlineStr"/>
    </row>
    <row r="8">
      <c r="B8" s="6" t="inlineStr">
        <is>
          <t>▸ Registra compras y ventas mensuales en la tabla</t>
        </is>
      </c>
    </row>
    <row r="9">
      <c r="B9" s="6" t="inlineStr">
        <is>
          <t>▸ El food cost % se calcula automáticamente</t>
        </is>
      </c>
    </row>
    <row r="10">
      <c r="B10" s="6" t="inlineStr">
        <is>
          <t>▸ El gráfico se actualiza con los datos introducidos</t>
        </is>
      </c>
    </row>
    <row r="11">
      <c r="B11" s="6" t="inlineStr">
        <is>
          <t>▸ Compara tu food cost real con el objetivo mes a mes</t>
        </is>
      </c>
    </row>
    <row r="12">
      <c r="B12" s="5" t="inlineStr"/>
    </row>
    <row r="13">
      <c r="B13" s="7" t="inlineStr">
        <is>
          <t>— Kit de Escandallos Pro · AI Chef Pro · aichef.pro</t>
        </is>
      </c>
    </row>
    <row r="15">
      <c r="B15" s="8" t="inlineStr">
        <is>
          <t>© 2026 AI Chef Pro · Todos los derechos reservados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B2:G19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2">
      <c r="B2" s="9" t="inlineStr">
        <is>
          <t>Dashboard Food Cost Mensual</t>
        </is>
      </c>
    </row>
    <row r="3">
      <c r="B3" s="2" t="inlineStr">
        <is>
          <t>Año:</t>
        </is>
      </c>
      <c r="C3" s="10" t="n">
        <v>2026</v>
      </c>
    </row>
    <row r="4">
      <c r="B4" s="2" t="inlineStr">
        <is>
          <t>Food Cost Objetivo (%):</t>
        </is>
      </c>
      <c r="C4" s="11" t="n">
        <v>0.3</v>
      </c>
    </row>
    <row r="6">
      <c r="B6" s="12" t="inlineStr">
        <is>
          <t>Mes</t>
        </is>
      </c>
      <c r="C6" s="12" t="inlineStr">
        <is>
          <t>Compras (€)</t>
        </is>
      </c>
      <c r="D6" s="12" t="inlineStr">
        <is>
          <t>Ventas (€)</t>
        </is>
      </c>
      <c r="E6" s="12" t="inlineStr">
        <is>
          <t>Food Cost %</t>
        </is>
      </c>
      <c r="F6" s="12" t="inlineStr">
        <is>
          <t>Objetivo %</t>
        </is>
      </c>
      <c r="G6" s="12" t="inlineStr">
        <is>
          <t>Diferencia</t>
        </is>
      </c>
    </row>
    <row r="7">
      <c r="B7" s="13" t="inlineStr">
        <is>
          <t>Enero</t>
        </is>
      </c>
      <c r="C7" s="14" t="n">
        <v>8500</v>
      </c>
      <c r="D7" s="14" t="n">
        <v>28000</v>
      </c>
      <c r="E7" s="15">
        <f>IF(D7=0,"",C7/D7)</f>
        <v/>
      </c>
      <c r="F7" s="16">
        <f>$C$4</f>
        <v/>
      </c>
      <c r="G7" s="17">
        <f>IF(E7="","",E7-F7)</f>
        <v/>
      </c>
    </row>
    <row r="8">
      <c r="B8" s="18" t="inlineStr">
        <is>
          <t>Febrero</t>
        </is>
      </c>
      <c r="C8" s="14" t="n">
        <v>7800</v>
      </c>
      <c r="D8" s="14" t="n">
        <v>26500</v>
      </c>
      <c r="E8" s="19">
        <f>IF(D8=0,"",C8/D8)</f>
        <v/>
      </c>
      <c r="F8" s="20">
        <f>$C$4</f>
        <v/>
      </c>
      <c r="G8" s="21">
        <f>IF(E8="","",E8-F8)</f>
        <v/>
      </c>
    </row>
    <row r="9">
      <c r="B9" s="13" t="inlineStr">
        <is>
          <t>Marzo</t>
        </is>
      </c>
      <c r="C9" s="14" t="n">
        <v>9200</v>
      </c>
      <c r="D9" s="14" t="n">
        <v>30000</v>
      </c>
      <c r="E9" s="15">
        <f>IF(D9=0,"",C9/D9)</f>
        <v/>
      </c>
      <c r="F9" s="16">
        <f>$C$4</f>
        <v/>
      </c>
      <c r="G9" s="17">
        <f>IF(E9="","",E9-F9)</f>
        <v/>
      </c>
    </row>
    <row r="10">
      <c r="B10" s="18" t="inlineStr">
        <is>
          <t>Abril</t>
        </is>
      </c>
      <c r="C10" s="14" t="n"/>
      <c r="D10" s="14" t="n"/>
      <c r="E10" s="19">
        <f>IF(D10=0,"",C10/D10)</f>
        <v/>
      </c>
      <c r="F10" s="20">
        <f>$C$4</f>
        <v/>
      </c>
      <c r="G10" s="21">
        <f>IF(E10="","",E10-F10)</f>
        <v/>
      </c>
    </row>
    <row r="11">
      <c r="B11" s="13" t="inlineStr">
        <is>
          <t>Mayo</t>
        </is>
      </c>
      <c r="C11" s="14" t="n"/>
      <c r="D11" s="14" t="n"/>
      <c r="E11" s="15">
        <f>IF(D11=0,"",C11/D11)</f>
        <v/>
      </c>
      <c r="F11" s="16">
        <f>$C$4</f>
        <v/>
      </c>
      <c r="G11" s="17">
        <f>IF(E11="","",E11-F11)</f>
        <v/>
      </c>
    </row>
    <row r="12">
      <c r="B12" s="18" t="inlineStr">
        <is>
          <t>Junio</t>
        </is>
      </c>
      <c r="C12" s="14" t="n"/>
      <c r="D12" s="14" t="n"/>
      <c r="E12" s="19">
        <f>IF(D12=0,"",C12/D12)</f>
        <v/>
      </c>
      <c r="F12" s="20">
        <f>$C$4</f>
        <v/>
      </c>
      <c r="G12" s="21">
        <f>IF(E12="","",E12-F12)</f>
        <v/>
      </c>
    </row>
    <row r="13">
      <c r="B13" s="13" t="inlineStr">
        <is>
          <t>Julio</t>
        </is>
      </c>
      <c r="C13" s="14" t="n"/>
      <c r="D13" s="14" t="n"/>
      <c r="E13" s="15">
        <f>IF(D13=0,"",C13/D13)</f>
        <v/>
      </c>
      <c r="F13" s="16">
        <f>$C$4</f>
        <v/>
      </c>
      <c r="G13" s="17">
        <f>IF(E13="","",E13-F13)</f>
        <v/>
      </c>
    </row>
    <row r="14">
      <c r="B14" s="18" t="inlineStr">
        <is>
          <t>Agosto</t>
        </is>
      </c>
      <c r="C14" s="14" t="n"/>
      <c r="D14" s="14" t="n"/>
      <c r="E14" s="19">
        <f>IF(D14=0,"",C14/D14)</f>
        <v/>
      </c>
      <c r="F14" s="20">
        <f>$C$4</f>
        <v/>
      </c>
      <c r="G14" s="21">
        <f>IF(E14="","",E14-F14)</f>
        <v/>
      </c>
    </row>
    <row r="15">
      <c r="B15" s="13" t="inlineStr">
        <is>
          <t>Septiembre</t>
        </is>
      </c>
      <c r="C15" s="14" t="n"/>
      <c r="D15" s="14" t="n"/>
      <c r="E15" s="15">
        <f>IF(D15=0,"",C15/D15)</f>
        <v/>
      </c>
      <c r="F15" s="16">
        <f>$C$4</f>
        <v/>
      </c>
      <c r="G15" s="17">
        <f>IF(E15="","",E15-F15)</f>
        <v/>
      </c>
    </row>
    <row r="16">
      <c r="B16" s="18" t="inlineStr">
        <is>
          <t>Octubre</t>
        </is>
      </c>
      <c r="C16" s="14" t="n"/>
      <c r="D16" s="14" t="n"/>
      <c r="E16" s="19">
        <f>IF(D16=0,"",C16/D16)</f>
        <v/>
      </c>
      <c r="F16" s="20">
        <f>$C$4</f>
        <v/>
      </c>
      <c r="G16" s="21">
        <f>IF(E16="","",E16-F16)</f>
        <v/>
      </c>
    </row>
    <row r="17">
      <c r="B17" s="13" t="inlineStr">
        <is>
          <t>Noviembre</t>
        </is>
      </c>
      <c r="C17" s="14" t="n"/>
      <c r="D17" s="14" t="n"/>
      <c r="E17" s="15">
        <f>IF(D17=0,"",C17/D17)</f>
        <v/>
      </c>
      <c r="F17" s="16">
        <f>$C$4</f>
        <v/>
      </c>
      <c r="G17" s="17">
        <f>IF(E17="","",E17-F17)</f>
        <v/>
      </c>
    </row>
    <row r="18">
      <c r="B18" s="18" t="inlineStr">
        <is>
          <t>Diciembre</t>
        </is>
      </c>
      <c r="C18" s="14" t="n"/>
      <c r="D18" s="14" t="n"/>
      <c r="E18" s="19">
        <f>IF(D18=0,"",C18/D18)</f>
        <v/>
      </c>
      <c r="F18" s="20">
        <f>$C$4</f>
        <v/>
      </c>
      <c r="G18" s="21">
        <f>IF(E18="","",E18-F18)</f>
        <v/>
      </c>
    </row>
    <row r="19">
      <c r="B19" s="22" t="inlineStr">
        <is>
          <t>TOTAL ANUAL</t>
        </is>
      </c>
      <c r="C19" s="23">
        <f>SUM(C7:C18)</f>
        <v/>
      </c>
      <c r="D19" s="23">
        <f>SUM(D7:D18)</f>
        <v/>
      </c>
      <c r="E19" s="24">
        <f>IF(D19=0,"",C19/D19)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2026-03-16T17:45:45Z</dcterms:created>
  <dcterms:modified xmlns:dcterms="http://purl.org/dc/terms/" xmlns:xsi="http://www.w3.org/2001/XMLSchema-instance" xsi:type="dcterms:W3CDTF">2026-03-16T17:45:45Z</dcterms:modified>
</cp:coreProperties>
</file>