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ermas Sema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%"/>
    <numFmt numFmtId="166" formatCode="+0.0%;-0.0%"/>
  </numFmts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FFFF"/>
      <sz val="11"/>
    </font>
    <font>
      <name val="Calibri"/>
      <b val="1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9" fontId="5" fillId="4" borderId="1" applyAlignment="1" pivotButton="0" quotePrefix="0" xfId="0">
      <alignment horizontal="center" vertical="center" wrapText="1"/>
    </xf>
    <xf numFmtId="164" fontId="0" fillId="2" borderId="1" pivotButton="0" quotePrefix="0" xfId="0"/>
    <xf numFmtId="165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5" borderId="1" pivotButton="0" quotePrefix="0" xfId="0"/>
    <xf numFmtId="9" fontId="5" fillId="5" borderId="1" applyAlignment="1" pivotButton="0" quotePrefix="0" xfId="0">
      <alignment horizontal="center" vertical="center" wrapText="1"/>
    </xf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Control de Mermas por Categoría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Registra las mermas reales de tu establecimiento semanalmente</t>
        </is>
      </c>
    </row>
    <row r="9">
      <c r="B9" s="6" t="inlineStr">
        <is>
          <t>▸ Compara con la merma estándar de la industria</t>
        </is>
      </c>
    </row>
    <row r="10">
      <c r="B10" s="6" t="inlineStr">
        <is>
          <t>▸ Identifica categorías donde pierdes más de lo normal</t>
        </is>
      </c>
    </row>
    <row r="11">
      <c r="B11" s="6" t="inlineStr">
        <is>
          <t>▸ La columna 'Diferencia' te muestra si estás por encima o por debajo</t>
        </is>
      </c>
    </row>
    <row r="12">
      <c r="B12" s="6" t="inlineStr">
        <is>
          <t>▸ Rojo = merma real superior al estándar (alerta)</t>
        </is>
      </c>
    </row>
    <row r="13">
      <c r="B13" s="6" t="inlineStr">
        <is>
          <t>▸ Verde = merma real igual o inferior al estándar (bien)</t>
        </is>
      </c>
    </row>
    <row r="14">
      <c r="B14" s="5" t="inlineStr"/>
    </row>
    <row r="15">
      <c r="B15" s="7" t="inlineStr">
        <is>
          <t>— Kit de Escandallos Pro · AI Chef Pro · aichef.pro</t>
        </is>
      </c>
    </row>
    <row r="17">
      <c r="B17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Control de Mermas — Registro Semanal</t>
        </is>
      </c>
    </row>
    <row r="2">
      <c r="A2" s="2" t="inlineStr">
        <is>
          <t>Semana del:</t>
        </is>
      </c>
      <c r="B2" s="10" t="n"/>
    </row>
    <row r="4">
      <c r="A4" s="11" t="inlineStr">
        <is>
          <t>Categoría</t>
        </is>
      </c>
      <c r="B4" s="11" t="inlineStr">
        <is>
          <t>Merma Estándar</t>
        </is>
      </c>
      <c r="C4" s="11" t="inlineStr">
        <is>
          <t>Compra Total (€)</t>
        </is>
      </c>
      <c r="D4" s="11" t="inlineStr">
        <is>
          <t>Merma Real (€)</t>
        </is>
      </c>
      <c r="E4" s="11" t="inlineStr">
        <is>
          <t>Merma Real (%)</t>
        </is>
      </c>
      <c r="F4" s="11" t="inlineStr">
        <is>
          <t>Diferencia (%)</t>
        </is>
      </c>
      <c r="G4" s="11" t="inlineStr">
        <is>
          <t>Estado</t>
        </is>
      </c>
      <c r="H4" s="11" t="inlineStr">
        <is>
          <t>Notas</t>
        </is>
      </c>
    </row>
    <row r="5">
      <c r="A5" s="12" t="inlineStr">
        <is>
          <t>Carne roja</t>
        </is>
      </c>
      <c r="B5" s="13" t="n">
        <v>0.2</v>
      </c>
      <c r="C5" s="14" t="n"/>
      <c r="D5" s="14" t="n"/>
      <c r="E5" s="15">
        <f>IF(C5=0,"",D5/C5)</f>
        <v/>
      </c>
      <c r="F5" s="16">
        <f>IF(E5="","",E5-B5)</f>
        <v/>
      </c>
      <c r="G5" s="17">
        <f>IF(E5="","",IF(E5&lt;=B5,"OK","ALERTA"))</f>
        <v/>
      </c>
      <c r="H5" s="10" t="n"/>
    </row>
    <row r="6">
      <c r="A6" s="18" t="inlineStr">
        <is>
          <t>Aves</t>
        </is>
      </c>
      <c r="B6" s="19" t="n">
        <v>0.25</v>
      </c>
      <c r="C6" s="14" t="n"/>
      <c r="D6" s="14" t="n"/>
      <c r="E6" s="15">
        <f>IF(C6=0,"",D6/C6)</f>
        <v/>
      </c>
      <c r="F6" s="16">
        <f>IF(E6="","",E6-B6)</f>
        <v/>
      </c>
      <c r="G6" s="17">
        <f>IF(E6="","",IF(E6&lt;=B6,"OK","ALERTA"))</f>
        <v/>
      </c>
      <c r="H6" s="10" t="n"/>
    </row>
    <row r="7">
      <c r="A7" s="12" t="inlineStr">
        <is>
          <t>Pescado</t>
        </is>
      </c>
      <c r="B7" s="13" t="n">
        <v>0.35</v>
      </c>
      <c r="C7" s="14" t="n"/>
      <c r="D7" s="14" t="n"/>
      <c r="E7" s="15">
        <f>IF(C7=0,"",D7/C7)</f>
        <v/>
      </c>
      <c r="F7" s="16">
        <f>IF(E7="","",E7-B7)</f>
        <v/>
      </c>
      <c r="G7" s="17">
        <f>IF(E7="","",IF(E7&lt;=B7,"OK","ALERTA"))</f>
        <v/>
      </c>
      <c r="H7" s="10" t="n"/>
    </row>
    <row r="8">
      <c r="A8" s="18" t="inlineStr">
        <is>
          <t>Marisco</t>
        </is>
      </c>
      <c r="B8" s="19" t="n">
        <v>0.45</v>
      </c>
      <c r="C8" s="14" t="n"/>
      <c r="D8" s="14" t="n"/>
      <c r="E8" s="15">
        <f>IF(C8=0,"",D8/C8)</f>
        <v/>
      </c>
      <c r="F8" s="16">
        <f>IF(E8="","",E8-B8)</f>
        <v/>
      </c>
      <c r="G8" s="17">
        <f>IF(E8="","",IF(E8&lt;=B8,"OK","ALERTA"))</f>
        <v/>
      </c>
      <c r="H8" s="10" t="n"/>
    </row>
    <row r="9">
      <c r="A9" s="12" t="inlineStr">
        <is>
          <t>Verdura hoja</t>
        </is>
      </c>
      <c r="B9" s="13" t="n">
        <v>0.25</v>
      </c>
      <c r="C9" s="14" t="n"/>
      <c r="D9" s="14" t="n"/>
      <c r="E9" s="15">
        <f>IF(C9=0,"",D9/C9)</f>
        <v/>
      </c>
      <c r="F9" s="16">
        <f>IF(E9="","",E9-B9)</f>
        <v/>
      </c>
      <c r="G9" s="17">
        <f>IF(E9="","",IF(E9&lt;=B9,"OK","ALERTA"))</f>
        <v/>
      </c>
      <c r="H9" s="10" t="n"/>
    </row>
    <row r="10">
      <c r="A10" s="18" t="inlineStr">
        <is>
          <t>Verdura raíz</t>
        </is>
      </c>
      <c r="B10" s="19" t="n">
        <v>0.12</v>
      </c>
      <c r="C10" s="14" t="n"/>
      <c r="D10" s="14" t="n"/>
      <c r="E10" s="15">
        <f>IF(C10=0,"",D10/C10)</f>
        <v/>
      </c>
      <c r="F10" s="16">
        <f>IF(E10="","",E10-B10)</f>
        <v/>
      </c>
      <c r="G10" s="17">
        <f>IF(E10="","",IF(E10&lt;=B10,"OK","ALERTA"))</f>
        <v/>
      </c>
      <c r="H10" s="10" t="n"/>
    </row>
    <row r="11">
      <c r="A11" s="12" t="inlineStr">
        <is>
          <t>Fruta</t>
        </is>
      </c>
      <c r="B11" s="13" t="n">
        <v>0.15</v>
      </c>
      <c r="C11" s="14" t="n"/>
      <c r="D11" s="14" t="n"/>
      <c r="E11" s="15">
        <f>IF(C11=0,"",D11/C11)</f>
        <v/>
      </c>
      <c r="F11" s="16">
        <f>IF(E11="","",E11-B11)</f>
        <v/>
      </c>
      <c r="G11" s="17">
        <f>IF(E11="","",IF(E11&lt;=B11,"OK","ALERTA"))</f>
        <v/>
      </c>
      <c r="H11" s="10" t="n"/>
    </row>
    <row r="12">
      <c r="A12" s="18" t="inlineStr">
        <is>
          <t>Lácteos</t>
        </is>
      </c>
      <c r="B12" s="19" t="n">
        <v>0.03</v>
      </c>
      <c r="C12" s="14" t="n"/>
      <c r="D12" s="14" t="n"/>
      <c r="E12" s="15">
        <f>IF(C12=0,"",D12/C12)</f>
        <v/>
      </c>
      <c r="F12" s="16">
        <f>IF(E12="","",E12-B12)</f>
        <v/>
      </c>
      <c r="G12" s="17">
        <f>IF(E12="","",IF(E12&lt;=B12,"OK","ALERTA"))</f>
        <v/>
      </c>
      <c r="H12" s="10" t="n"/>
    </row>
    <row r="13">
      <c r="A13" s="12" t="inlineStr">
        <is>
          <t>Secos/granos</t>
        </is>
      </c>
      <c r="B13" s="13" t="n">
        <v>0.02</v>
      </c>
      <c r="C13" s="14" t="n"/>
      <c r="D13" s="14" t="n"/>
      <c r="E13" s="15">
        <f>IF(C13=0,"",D13/C13)</f>
        <v/>
      </c>
      <c r="F13" s="16">
        <f>IF(E13="","",E13-B13)</f>
        <v/>
      </c>
      <c r="G13" s="17">
        <f>IF(E13="","",IF(E13&lt;=B13,"OK","ALERTA"))</f>
        <v/>
      </c>
      <c r="H13" s="10" t="n"/>
    </row>
    <row r="14">
      <c r="A14" s="18" t="inlineStr">
        <is>
          <t>Congelados</t>
        </is>
      </c>
      <c r="B14" s="19" t="n">
        <v>0.07000000000000001</v>
      </c>
      <c r="C14" s="14" t="n"/>
      <c r="D14" s="14" t="n"/>
      <c r="E14" s="15">
        <f>IF(C14=0,"",D14/C14)</f>
        <v/>
      </c>
      <c r="F14" s="16">
        <f>IF(E14="","",E14-B14)</f>
        <v/>
      </c>
      <c r="G14" s="17">
        <f>IF(E14="","",IF(E14&lt;=B14,"OK","ALERTA"))</f>
        <v/>
      </c>
      <c r="H14" s="10" t="n"/>
    </row>
    <row r="15">
      <c r="A15" s="12" t="inlineStr">
        <is>
          <t>Pan/bollería</t>
        </is>
      </c>
      <c r="B15" s="13" t="n">
        <v>0.1</v>
      </c>
      <c r="C15" s="14" t="n"/>
      <c r="D15" s="14" t="n"/>
      <c r="E15" s="15">
        <f>IF(C15=0,"",D15/C15)</f>
        <v/>
      </c>
      <c r="F15" s="16">
        <f>IF(E15="","",E15-B15)</f>
        <v/>
      </c>
      <c r="G15" s="17">
        <f>IF(E15="","",IF(E15&lt;=B15,"OK","ALERTA"))</f>
        <v/>
      </c>
      <c r="H15" s="10" t="n"/>
    </row>
    <row r="16">
      <c r="A16" s="18" t="inlineStr">
        <is>
          <t>Huevos</t>
        </is>
      </c>
      <c r="B16" s="19" t="n">
        <v>0.11</v>
      </c>
      <c r="C16" s="14" t="n"/>
      <c r="D16" s="14" t="n"/>
      <c r="E16" s="15">
        <f>IF(C16=0,"",D16/C16)</f>
        <v/>
      </c>
      <c r="F16" s="16">
        <f>IF(E16="","",E16-B16)</f>
        <v/>
      </c>
      <c r="G16" s="17">
        <f>IF(E16="","",IF(E16&lt;=B16,"OK","ALERTA"))</f>
        <v/>
      </c>
      <c r="H16" s="10" t="n"/>
    </row>
    <row r="17">
      <c r="A17" s="12" t="inlineStr">
        <is>
          <t>Aceites/grasas</t>
        </is>
      </c>
      <c r="B17" s="13" t="n">
        <v>0.03</v>
      </c>
      <c r="C17" s="14" t="n"/>
      <c r="D17" s="14" t="n"/>
      <c r="E17" s="15">
        <f>IF(C17=0,"",D17/C17)</f>
        <v/>
      </c>
      <c r="F17" s="16">
        <f>IF(E17="","",E17-B17)</f>
        <v/>
      </c>
      <c r="G17" s="17">
        <f>IF(E17="","",IF(E17&lt;=B17,"OK","ALERTA"))</f>
        <v/>
      </c>
      <c r="H17" s="10" t="n"/>
    </row>
    <row r="18">
      <c r="A18" s="18" t="inlineStr">
        <is>
          <t>Especias/hierbas</t>
        </is>
      </c>
      <c r="B18" s="19" t="n">
        <v>0.2</v>
      </c>
      <c r="C18" s="14" t="n"/>
      <c r="D18" s="14" t="n"/>
      <c r="E18" s="15">
        <f>IF(C18=0,"",D18/C18)</f>
        <v/>
      </c>
      <c r="F18" s="16">
        <f>IF(E18="","",E18-B18)</f>
        <v/>
      </c>
      <c r="G18" s="17">
        <f>IF(E18="","",IF(E18&lt;=B18,"OK","ALERTA"))</f>
        <v/>
      </c>
      <c r="H18" s="10" t="n"/>
    </row>
    <row r="19">
      <c r="A19" s="12" t="inlineStr">
        <is>
          <t>Chocolate/cacao</t>
        </is>
      </c>
      <c r="B19" s="13" t="n">
        <v>0.05</v>
      </c>
      <c r="C19" s="14" t="n"/>
      <c r="D19" s="14" t="n"/>
      <c r="E19" s="15">
        <f>IF(C19=0,"",D19/C19)</f>
        <v/>
      </c>
      <c r="F19" s="16">
        <f>IF(E19="","",E19-B19)</f>
        <v/>
      </c>
      <c r="G19" s="17">
        <f>IF(E19="","",IF(E19&lt;=B19,"OK","ALERTA"))</f>
        <v/>
      </c>
      <c r="H19" s="10" t="n"/>
    </row>
    <row r="20">
      <c r="A20" s="18" t="inlineStr">
        <is>
          <t>Bebidas/licores</t>
        </is>
      </c>
      <c r="B20" s="19" t="n">
        <v>0.02</v>
      </c>
      <c r="C20" s="14" t="n"/>
      <c r="D20" s="14" t="n"/>
      <c r="E20" s="15">
        <f>IF(C20=0,"",D20/C20)</f>
        <v/>
      </c>
      <c r="F20" s="16">
        <f>IF(E20="","",E20-B20)</f>
        <v/>
      </c>
      <c r="G20" s="17">
        <f>IF(E20="","",IF(E20&lt;=B20,"OK","ALERTA"))</f>
        <v/>
      </c>
      <c r="H20" s="10" t="n"/>
    </row>
    <row r="21">
      <c r="A21" s="20" t="inlineStr">
        <is>
          <t>TOTAL</t>
        </is>
      </c>
      <c r="C21" s="21">
        <f>SUM(C5:C20)</f>
        <v/>
      </c>
      <c r="D21" s="21">
        <f>SUM(D5:D20)</f>
        <v/>
      </c>
      <c r="E21" s="22">
        <f>IF(C21=0,"",D21/C21)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2026-03-16T17:45:44Z</dcterms:created>
  <dcterms:modified xmlns:dcterms="http://purl.org/dc/terms/" xmlns:xsi="http://www.w3.org/2001/XMLSchema-instance" xsi:type="dcterms:W3CDTF">2026-03-16T17:45:45Z</dcterms:modified>
</cp:coreProperties>
</file>