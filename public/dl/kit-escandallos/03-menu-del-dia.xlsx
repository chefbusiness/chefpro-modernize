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rimer Plato" sheetId="2" state="visible" r:id="rId2"/>
    <sheet name="Segundo Plato" sheetId="3" state="visible" r:id="rId3"/>
    <sheet name="Postre" sheetId="4" state="visible" r:id="rId4"/>
    <sheet name="Resumen Menú" sheetId="5" state="visible" r:id="rId5"/>
  </sheets>
  <definedNames>
    <definedName localSheetId="1" name="_xlnm.Print_Area">'Primer Plato'!$A$1:$I$26</definedName>
    <definedName localSheetId="2" name="_xlnm.Print_Area">'Segundo Plato'!$A$1:$I$25</definedName>
    <definedName localSheetId="3" name="_xlnm.Print_Area">'Postre'!$A$1:$I$24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formatCode="#,##0.00 €" numFmtId="164"/>
    <numFmt formatCode="0.000" numFmtId="165"/>
    <numFmt formatCode="0.0%" numFmtId="166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56">
    <xf borderId="0" fillId="0" fontId="0" numFmtId="0" pivotButton="0" quotePrefix="0" xfId="0"/>
    <xf applyAlignment="1" borderId="0" fillId="0" fontId="1" numFmtId="0" pivotButton="0" quotePrefix="0" xfId="0">
      <alignment horizontal="left" vertical="center" wrapText="1"/>
    </xf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borderId="0" fillId="0" fontId="7" numFmtId="0" pivotButton="0" quotePrefix="0" xfId="0"/>
    <xf applyAlignment="1" borderId="0" fillId="0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center" vertical="center" wrapText="1"/>
    </xf>
    <xf borderId="1" fillId="0" fontId="0" numFmtId="0" pivotButton="0" quotePrefix="0" xfId="0"/>
    <xf applyAlignment="1" borderId="14" fillId="3" fontId="12" numFmtId="0" pivotButton="0" quotePrefix="0" xfId="0">
      <alignment horizontal="center" vertical="center" wrapText="1"/>
    </xf>
    <xf borderId="2" fillId="2" fontId="0" numFmtId="0" pivotButton="0" quotePrefix="0" xfId="0"/>
    <xf borderId="3" fillId="2" fontId="0" numFmtId="0" pivotButton="0" quotePrefix="0" xfId="0"/>
    <xf applyAlignment="1" borderId="14" fillId="4" fontId="5" numFmtId="0" pivotButton="0" quotePrefix="0" xfId="0">
      <alignment horizontal="left" vertical="center" wrapText="1"/>
    </xf>
    <xf applyAlignment="1" borderId="14" fillId="4" fontId="5" numFmtId="0" pivotButton="0" quotePrefix="0" xfId="0">
      <alignment horizontal="center" vertical="center" wrapText="1"/>
    </xf>
    <xf applyAlignment="1" borderId="14" fillId="4" fontId="5" numFmtId="164" pivotButton="0" quotePrefix="0" xfId="0">
      <alignment horizontal="right" vertical="center"/>
    </xf>
    <xf applyAlignment="1" borderId="14" fillId="4" fontId="5" numFmtId="165" pivotButton="0" quotePrefix="0" xfId="0">
      <alignment horizontal="right" vertical="center"/>
    </xf>
    <xf applyAlignment="1" borderId="14" fillId="4" fontId="5" numFmtId="9" pivotButton="0" quotePrefix="0" xfId="0">
      <alignment horizontal="center" vertical="center" wrapText="1"/>
    </xf>
    <xf applyAlignment="1" borderId="14" fillId="0" fontId="13" numFmtId="165" pivotButton="0" quotePrefix="0" xfId="0">
      <alignment horizontal="right" vertical="center"/>
    </xf>
    <xf applyAlignment="1" borderId="14" fillId="0" fontId="13" numFmtId="164" pivotButton="0" quotePrefix="0" xfId="0">
      <alignment horizontal="right" vertical="center"/>
    </xf>
    <xf borderId="4" fillId="2" fontId="0" numFmtId="0" pivotButton="0" quotePrefix="0" xfId="0"/>
    <xf borderId="5" fillId="2" fontId="0" numFmtId="0" pivotButton="0" quotePrefix="0" xfId="0"/>
    <xf applyAlignment="1" borderId="4" fillId="2" fontId="9" numFmtId="0" pivotButton="0" quotePrefix="0" xfId="0">
      <alignment horizontal="center" vertical="center" wrapText="1"/>
    </xf>
    <xf borderId="10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borderId="14" fillId="4" fontId="0" numFmtId="0" pivotButton="0" quotePrefix="0" xfId="0"/>
    <xf borderId="14" fillId="4" fontId="0" numFmtId="9" pivotButton="0" quotePrefix="0" xfId="0"/>
    <xf borderId="14" fillId="0" fontId="0" numFmtId="165" pivotButton="0" quotePrefix="0" xfId="0"/>
    <xf borderId="14" fillId="0" fontId="0" numFmtId="164" pivotButton="0" quotePrefix="0" xfId="0"/>
    <xf borderId="6" fillId="2" fontId="0" numFmtId="0" pivotButton="0" quotePrefix="0" xfId="0"/>
    <xf borderId="7" fillId="2" fontId="0" numFmtId="0" pivotButton="0" quotePrefix="0" xfId="0"/>
    <xf applyAlignment="1" borderId="0" fillId="0" fontId="10" numFmtId="0" pivotButton="0" quotePrefix="0" xfId="0">
      <alignment horizontal="center" vertical="center" wrapText="1"/>
    </xf>
    <xf applyAlignment="1" borderId="14" fillId="5" fontId="4" numFmtId="0" pivotButton="0" quotePrefix="0" xfId="0">
      <alignment horizontal="right" vertical="center"/>
    </xf>
    <xf borderId="14" fillId="5" fontId="4" numFmtId="164" pivotButton="0" quotePrefix="0" xfId="0"/>
    <xf applyAlignment="1" borderId="14" fillId="0" fontId="5" numFmtId="0" pivotButton="0" quotePrefix="0" xfId="0">
      <alignment horizontal="right" vertical="center"/>
    </xf>
    <xf borderId="14" fillId="0" fontId="13" numFmtId="164" pivotButton="0" quotePrefix="0" xfId="0"/>
    <xf applyAlignment="1" borderId="14" fillId="6" fontId="14" numFmtId="0" pivotButton="0" quotePrefix="0" xfId="0">
      <alignment horizontal="right" vertical="center"/>
    </xf>
    <xf borderId="14" fillId="6" fontId="15" numFmtId="164" pivotButton="0" quotePrefix="0" xfId="0"/>
    <xf applyAlignment="1" borderId="14" fillId="0" fontId="13" numFmtId="0" pivotButton="0" quotePrefix="0" xfId="0">
      <alignment horizontal="right" vertical="center"/>
    </xf>
    <xf applyAlignment="1" borderId="14" fillId="4" fontId="16" numFmtId="9" pivotButton="0" quotePrefix="0" xfId="0">
      <alignment horizontal="center" vertical="center" wrapText="1"/>
    </xf>
    <xf applyAlignment="1" borderId="14" fillId="0" fontId="4" numFmtId="0" pivotButton="0" quotePrefix="0" xfId="0">
      <alignment horizontal="right" vertical="center"/>
    </xf>
    <xf borderId="14" fillId="0" fontId="4" numFmtId="164" pivotButton="0" quotePrefix="0" xfId="0"/>
    <xf applyAlignment="1" borderId="14" fillId="6" fontId="4" numFmtId="0" pivotButton="0" quotePrefix="0" xfId="0">
      <alignment horizontal="right" vertical="center"/>
    </xf>
    <xf borderId="14" fillId="6" fontId="17" numFmtId="164" pivotButton="0" quotePrefix="0" xfId="0"/>
    <xf borderId="14" fillId="0" fontId="13" numFmtId="166" pivotButton="0" quotePrefix="0" xfId="0"/>
    <xf borderId="0" fillId="0" fontId="1" numFmtId="0" pivotButton="0" quotePrefix="0" xfId="0"/>
    <xf borderId="14" fillId="3" fontId="12" numFmtId="0" pivotButton="0" quotePrefix="0" xfId="0"/>
    <xf borderId="14" fillId="0" fontId="5" numFmtId="0" pivotButton="0" quotePrefix="0" xfId="0"/>
    <xf borderId="14" fillId="4" fontId="5" numFmtId="164" pivotButton="0" quotePrefix="0" xfId="0"/>
    <xf borderId="14" fillId="6" fontId="4" numFmtId="0" pivotButton="0" quotePrefix="0" xfId="0"/>
    <xf borderId="14" fillId="0" fontId="16" numFmtId="0" pivotButton="0" quotePrefix="0" xfId="0"/>
    <xf borderId="14" fillId="0" fontId="4" numFmtId="0" pivotButton="0" quotePrefix="0" xfId="0"/>
    <xf borderId="14" fillId="6" fontId="17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📋 Escandallo — Menú del Día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Pestaña 'Primer Plato': escandallo del primer plato</t>
        </is>
      </c>
    </row>
    <row r="9">
      <c r="B9" s="6" t="inlineStr">
        <is>
          <t>▸ Pestaña 'Segundo Plato': escandallo del segundo plato</t>
        </is>
      </c>
    </row>
    <row r="10">
      <c r="B10" s="6" t="inlineStr">
        <is>
          <t>▸ Pestaña 'Postre': escandallo del postre</t>
        </is>
      </c>
    </row>
    <row r="11">
      <c r="B11" s="6" t="inlineStr">
        <is>
          <t>▸ Pestaña 'Resumen': coste total del menú + PVP sugerido</t>
        </is>
      </c>
    </row>
    <row r="12">
      <c r="B12" s="6" t="inlineStr">
        <is>
          <t>▸ Incluye pan, bebida y café como costes fijos</t>
        </is>
      </c>
    </row>
    <row r="13">
      <c r="B13" s="5" t="inlineStr"/>
    </row>
    <row r="14">
      <c r="B14" s="7" t="inlineStr">
        <is>
          <t>— Kit de Escandallos Pro · AI Chef Pro · aichef.pro</t>
        </is>
      </c>
    </row>
    <row r="16">
      <c r="B16" s="8" t="inlineStr">
        <is>
          <t>© 2026 AI Chef Pro · Todos los derechos reservados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Primer Plato — Ensalada Mediterránea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Lechuga variada</t>
        </is>
      </c>
      <c r="B5" s="16" t="inlineStr">
        <is>
          <t>Verdura hoja</t>
        </is>
      </c>
      <c r="C5" s="16" t="inlineStr">
        <is>
          <t>kg</t>
        </is>
      </c>
      <c r="D5" s="17" t="n">
        <v>3.5</v>
      </c>
      <c r="E5" s="18" t="n">
        <v>0.08</v>
      </c>
      <c r="F5" s="16" t="inlineStr">
        <is>
          <t>kg</t>
        </is>
      </c>
      <c r="G5" s="19" t="n">
        <v>0.25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Tomate pera</t>
        </is>
      </c>
      <c r="B6" s="16" t="inlineStr">
        <is>
          <t>Verdura hoja</t>
        </is>
      </c>
      <c r="C6" s="16" t="inlineStr">
        <is>
          <t>kg</t>
        </is>
      </c>
      <c r="D6" s="17" t="n">
        <v>2.8</v>
      </c>
      <c r="E6" s="18" t="n">
        <v>0.1</v>
      </c>
      <c r="F6" s="16" t="inlineStr">
        <is>
          <t>kg</t>
        </is>
      </c>
      <c r="G6" s="19" t="n">
        <v>0.1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Pepino</t>
        </is>
      </c>
      <c r="B7" s="16" t="inlineStr">
        <is>
          <t>Verdura raíz</t>
        </is>
      </c>
      <c r="C7" s="16" t="inlineStr">
        <is>
          <t>kg</t>
        </is>
      </c>
      <c r="D7" s="17" t="n">
        <v>1.5</v>
      </c>
      <c r="E7" s="18" t="n">
        <v>0.06</v>
      </c>
      <c r="F7" s="16" t="inlineStr">
        <is>
          <t>kg</t>
        </is>
      </c>
      <c r="G7" s="19" t="n">
        <v>0.12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Cebolla morada</t>
        </is>
      </c>
      <c r="B8" s="16" t="inlineStr">
        <is>
          <t>Verdura raíz</t>
        </is>
      </c>
      <c r="C8" s="16" t="inlineStr">
        <is>
          <t>kg</t>
        </is>
      </c>
      <c r="D8" s="17" t="n">
        <v>1.8</v>
      </c>
      <c r="E8" s="18" t="n">
        <v>0.03</v>
      </c>
      <c r="F8" s="16" t="inlineStr">
        <is>
          <t>kg</t>
        </is>
      </c>
      <c r="G8" s="19" t="n">
        <v>0.12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Aceitunas negras</t>
        </is>
      </c>
      <c r="B9" s="16" t="inlineStr">
        <is>
          <t>Congelados</t>
        </is>
      </c>
      <c r="C9" s="16" t="inlineStr">
        <is>
          <t>kg</t>
        </is>
      </c>
      <c r="D9" s="17" t="n">
        <v>5</v>
      </c>
      <c r="E9" s="18" t="n">
        <v>0.02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Queso feta</t>
        </is>
      </c>
      <c r="B10" s="16" t="inlineStr">
        <is>
          <t>Lácteos</t>
        </is>
      </c>
      <c r="C10" s="16" t="inlineStr">
        <is>
          <t>kg</t>
        </is>
      </c>
      <c r="D10" s="17" t="n">
        <v>12</v>
      </c>
      <c r="E10" s="18" t="n">
        <v>0.04</v>
      </c>
      <c r="F10" s="16" t="inlineStr">
        <is>
          <t>kg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AOVE</t>
        </is>
      </c>
      <c r="B11" s="16" t="inlineStr">
        <is>
          <t>Aceites/grasas</t>
        </is>
      </c>
      <c r="C11" s="16" t="inlineStr">
        <is>
          <t>L</t>
        </is>
      </c>
      <c r="D11" s="17" t="n">
        <v>7.5</v>
      </c>
      <c r="E11" s="18" t="n">
        <v>0.02</v>
      </c>
      <c r="F11" s="16" t="inlineStr">
        <is>
          <t>L</t>
        </is>
      </c>
      <c r="G11" s="19" t="n">
        <v>0.03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2">
      <c r="A22" s="41" t="inlineStr">
        <is>
          <t>Food Cost objetivo (%)</t>
        </is>
      </c>
      <c r="H22" s="42" t="n">
        <v>0.3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K15:L15"/>
    <mergeCell ref="A18:H18"/>
    <mergeCell ref="K8:L9"/>
    <mergeCell ref="A25:H25"/>
    <mergeCell ref="A2:I2"/>
    <mergeCell ref="A20:H20"/>
    <mergeCell ref="A26:H26"/>
    <mergeCell ref="A1:I1"/>
    <mergeCell ref="A24:H24"/>
    <mergeCell ref="K3:L3"/>
    <mergeCell ref="A19:G19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F5 F6 F7 F8 F9 F10 F11 F12 F13 F14 F15 F16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Segundo Plato — Pollo al Horno con Patatas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Contramuslo de pollo</t>
        </is>
      </c>
      <c r="B5" s="16" t="inlineStr">
        <is>
          <t>Aves</t>
        </is>
      </c>
      <c r="C5" s="16" t="inlineStr">
        <is>
          <t>kg</t>
        </is>
      </c>
      <c r="D5" s="17" t="n">
        <v>5.5</v>
      </c>
      <c r="E5" s="18" t="n">
        <v>0.25</v>
      </c>
      <c r="F5" s="16" t="inlineStr">
        <is>
          <t>kg</t>
        </is>
      </c>
      <c r="G5" s="19" t="n">
        <v>0.25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Patata</t>
        </is>
      </c>
      <c r="B6" s="16" t="inlineStr">
        <is>
          <t>Verdura raíz</t>
        </is>
      </c>
      <c r="C6" s="16" t="inlineStr">
        <is>
          <t>kg</t>
        </is>
      </c>
      <c r="D6" s="17" t="n">
        <v>1.2</v>
      </c>
      <c r="E6" s="18" t="n">
        <v>0.2</v>
      </c>
      <c r="F6" s="16" t="inlineStr">
        <is>
          <t>kg</t>
        </is>
      </c>
      <c r="G6" s="19" t="n">
        <v>0.12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Pimiento rojo</t>
        </is>
      </c>
      <c r="B7" s="16" t="inlineStr">
        <is>
          <t>Verdura hoja</t>
        </is>
      </c>
      <c r="C7" s="16" t="inlineStr">
        <is>
          <t>kg</t>
        </is>
      </c>
      <c r="D7" s="17" t="n">
        <v>3</v>
      </c>
      <c r="E7" s="18" t="n">
        <v>0.06</v>
      </c>
      <c r="F7" s="16" t="inlineStr">
        <is>
          <t>kg</t>
        </is>
      </c>
      <c r="G7" s="19" t="n">
        <v>0.15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Ajo</t>
        </is>
      </c>
      <c r="B8" s="16" t="inlineStr">
        <is>
          <t>Especias/hierbas</t>
        </is>
      </c>
      <c r="C8" s="16" t="inlineStr">
        <is>
          <t>kg</t>
        </is>
      </c>
      <c r="D8" s="17" t="n">
        <v>6</v>
      </c>
      <c r="E8" s="18" t="n">
        <v>0.01</v>
      </c>
      <c r="F8" s="16" t="inlineStr">
        <is>
          <t>kg</t>
        </is>
      </c>
      <c r="G8" s="19" t="n">
        <v>0.15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Romero</t>
        </is>
      </c>
      <c r="B9" s="16" t="inlineStr">
        <is>
          <t>Especias/hierbas</t>
        </is>
      </c>
      <c r="C9" s="16" t="inlineStr">
        <is>
          <t>manojo</t>
        </is>
      </c>
      <c r="D9" s="17" t="n">
        <v>1</v>
      </c>
      <c r="E9" s="18" t="n">
        <v>0.25</v>
      </c>
      <c r="F9" s="16" t="inlineStr">
        <is>
          <t>ud</t>
        </is>
      </c>
      <c r="G9" s="19" t="n">
        <v>0.2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AOVE</t>
        </is>
      </c>
      <c r="B10" s="16" t="inlineStr">
        <is>
          <t>Aceites/grasas</t>
        </is>
      </c>
      <c r="C10" s="16" t="inlineStr">
        <is>
          <t>L</t>
        </is>
      </c>
      <c r="D10" s="17" t="n">
        <v>7.5</v>
      </c>
      <c r="E10" s="18" t="n">
        <v>0.025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1">
      <c r="A21" s="41" t="inlineStr">
        <is>
          <t>Food Cost objetivo (%)</t>
        </is>
      </c>
      <c r="H21" s="42" t="n">
        <v>0.3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K15:L15"/>
    <mergeCell ref="K8:L9"/>
    <mergeCell ref="A25:H25"/>
    <mergeCell ref="A2:I2"/>
    <mergeCell ref="A17:H17"/>
    <mergeCell ref="A18:G18"/>
    <mergeCell ref="A22:H22"/>
    <mergeCell ref="A19:H19"/>
    <mergeCell ref="A1:I1"/>
    <mergeCell ref="A24:H24"/>
    <mergeCell ref="K3:L3"/>
    <mergeCell ref="A21:G21"/>
    <mergeCell ref="A23:H23"/>
  </mergeCells>
  <dataValidations count="2">
    <dataValidation allowBlank="1" error="Selecciona una categoría válida" errorTitle="Categoría inválida" showDropDown="0" showErrorMessage="0" showInputMessage="0" sqref="B5 B6 B7 B8 B9 B10 B11 B12 B13 B14 B15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F5 F6 F7 F8 F9 F10 F11 F12 F13 F14 F15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Postre — Flan Casero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Huevos</t>
        </is>
      </c>
      <c r="B5" s="16" t="inlineStr">
        <is>
          <t>Huevos</t>
        </is>
      </c>
      <c r="C5" s="16" t="inlineStr">
        <is>
          <t>docena</t>
        </is>
      </c>
      <c r="D5" s="17" t="n">
        <v>3.6</v>
      </c>
      <c r="E5" s="18" t="n">
        <v>0.25</v>
      </c>
      <c r="F5" s="16" t="inlineStr">
        <is>
          <t>ud</t>
        </is>
      </c>
      <c r="G5" s="19" t="n">
        <v>0.11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Leche entera</t>
        </is>
      </c>
      <c r="B6" s="16" t="inlineStr">
        <is>
          <t>Lácteos</t>
        </is>
      </c>
      <c r="C6" s="16" t="inlineStr">
        <is>
          <t>L</t>
        </is>
      </c>
      <c r="D6" s="17" t="n">
        <v>1.1</v>
      </c>
      <c r="E6" s="18" t="n">
        <v>0.15</v>
      </c>
      <c r="F6" s="16" t="inlineStr">
        <is>
          <t>L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Azúcar</t>
        </is>
      </c>
      <c r="B7" s="16" t="inlineStr">
        <is>
          <t>Secos/granos</t>
        </is>
      </c>
      <c r="C7" s="16" t="inlineStr">
        <is>
          <t>kg</t>
        </is>
      </c>
      <c r="D7" s="17" t="n">
        <v>1.2</v>
      </c>
      <c r="E7" s="18" t="n">
        <v>0.04</v>
      </c>
      <c r="F7" s="16" t="inlineStr">
        <is>
          <t>kg</t>
        </is>
      </c>
      <c r="G7" s="19" t="n">
        <v>0.02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Vainilla (extracto)</t>
        </is>
      </c>
      <c r="B8" s="16" t="inlineStr">
        <is>
          <t>Especias/hierbas</t>
        </is>
      </c>
      <c r="C8" s="16" t="inlineStr">
        <is>
          <t>L</t>
        </is>
      </c>
      <c r="D8" s="17" t="n">
        <v>35</v>
      </c>
      <c r="E8" s="18" t="n">
        <v>0.003</v>
      </c>
      <c r="F8" s="16" t="inlineStr">
        <is>
          <t>L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Caramelo líquido</t>
        </is>
      </c>
      <c r="B9" s="16" t="inlineStr">
        <is>
          <t>Secos/granos</t>
        </is>
      </c>
      <c r="C9" s="16" t="inlineStr">
        <is>
          <t>kg</t>
        </is>
      </c>
      <c r="D9" s="17" t="n">
        <v>4</v>
      </c>
      <c r="E9" s="18" t="n">
        <v>0.015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20:G20"/>
    <mergeCell ref="K15:L15"/>
    <mergeCell ref="A17:G17"/>
    <mergeCell ref="A18:H18"/>
    <mergeCell ref="K8:L9"/>
    <mergeCell ref="A16:H16"/>
    <mergeCell ref="A2:I2"/>
    <mergeCell ref="A22:H22"/>
    <mergeCell ref="A21:H21"/>
    <mergeCell ref="A1:I1"/>
    <mergeCell ref="A24:H24"/>
    <mergeCell ref="K3:L3"/>
    <mergeCell ref="A23:H23"/>
  </mergeCells>
  <dataValidations count="2">
    <dataValidation allowBlank="1" error="Selecciona una categoría válida" errorTitle="Categoría inválida" showDropDown="0" showErrorMessage="0" showInputMessage="0" sqref="B5 B6 B7 B8 B9 B10 B11 B12 B13 B14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F5 F6 F7 F8 F9 F10 F11 F12 F13 F14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customWidth="1" max="2" min="2" width="40"/>
    <col customWidth="1" max="3" min="3" width="18"/>
  </cols>
  <sheetData>
    <row r="2">
      <c r="B2" s="48" t="inlineStr">
        <is>
          <t>Resumen — Menú del Día</t>
        </is>
      </c>
    </row>
    <row r="4">
      <c r="B4" s="49" t="inlineStr">
        <is>
          <t>Concepto</t>
        </is>
      </c>
      <c r="C4" s="49" t="inlineStr">
        <is>
          <t>Coste (€)</t>
        </is>
      </c>
    </row>
    <row r="5">
      <c r="B5" s="50" t="inlineStr">
        <is>
          <t>Primer Plato</t>
        </is>
      </c>
      <c r="C5" s="38">
        <f>'Primer Plato'!I20</f>
        <v/>
      </c>
    </row>
    <row r="6">
      <c r="B6" s="50" t="inlineStr">
        <is>
          <t>Segundo Plato</t>
        </is>
      </c>
      <c r="C6" s="38">
        <f>'Segundo Plato'!I19</f>
        <v/>
      </c>
    </row>
    <row r="7">
      <c r="B7" s="50" t="inlineStr">
        <is>
          <t>Postre</t>
        </is>
      </c>
      <c r="C7" s="38">
        <f>'Postre'!I18</f>
        <v/>
      </c>
    </row>
    <row r="8">
      <c r="B8" s="50" t="inlineStr">
        <is>
          <t>Pan (por comensal)</t>
        </is>
      </c>
      <c r="C8" s="51" t="n">
        <v>0.15</v>
      </c>
    </row>
    <row r="9">
      <c r="B9" s="50" t="inlineStr">
        <is>
          <t>Bebida (agua/vino copa)</t>
        </is>
      </c>
      <c r="C9" s="51" t="n">
        <v>0.4</v>
      </c>
    </row>
    <row r="10">
      <c r="B10" s="50" t="inlineStr">
        <is>
          <t>Café</t>
        </is>
      </c>
      <c r="C10" s="51" t="n">
        <v>0.2</v>
      </c>
    </row>
    <row r="11">
      <c r="B11" s="52" t="inlineStr">
        <is>
          <t>COSTE TOTAL MENÚ DEL DÍA</t>
        </is>
      </c>
      <c r="C11" s="46">
        <f>SUM(C5:C10)</f>
        <v/>
      </c>
    </row>
    <row r="13">
      <c r="B13" s="53" t="inlineStr">
        <is>
          <t>Food Cost objetivo (%)</t>
        </is>
      </c>
      <c r="C13" s="29" t="n">
        <v>0.33</v>
      </c>
    </row>
    <row r="14">
      <c r="B14" s="54" t="inlineStr">
        <is>
          <t>PVP SUGERIDO MENÚ (sin IVA)</t>
        </is>
      </c>
      <c r="C14" s="44">
        <f>C11/C13</f>
        <v/>
      </c>
    </row>
    <row r="15">
      <c r="B15" s="55" t="inlineStr">
        <is>
          <t>PVP CON IVA (10%)</t>
        </is>
      </c>
      <c r="C15" s="46">
        <f>C14*1.10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2026-03-18T21:50:23Z</dcterms:created>
  <dcterms:modified xsi:type="dcterms:W3CDTF">2026-03-18T21:50:23Z</dcterms:modified>
</cp:coreProperties>
</file>