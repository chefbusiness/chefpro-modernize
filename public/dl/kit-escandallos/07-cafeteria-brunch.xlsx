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Tostada Aguacate" sheetId="2" state="visible" r:id="rId2"/>
    <sheet name="Açaí Bowl" sheetId="3" state="visible" r:id="rId3"/>
    <sheet name="Eggs Benedict" sheetId="4" state="visible" r:id="rId4"/>
  </sheets>
  <definedNames>
    <definedName localSheetId="1" name="_xlnm.Print_Area">'Tostada Aguacate'!$A$1:$I$26</definedName>
    <definedName localSheetId="2" name="_xlnm.Print_Area">'Açaí Bowl'!$A$1:$I$26</definedName>
    <definedName localSheetId="3" name="_xlnm.Print_Area">'Eggs Benedict'!$A$1:$I$25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formatCode="#,##0.00 €" numFmtId="164"/>
    <numFmt formatCode="0.000" numFmtId="165"/>
    <numFmt formatCode="0.0%" numFmtId="166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48">
    <xf borderId="0" fillId="0" fontId="0" numFmtId="0" pivotButton="0" quotePrefix="0" xfId="0"/>
    <xf applyAlignment="1" borderId="0" fillId="0" fontId="1" numFmtId="0" pivotButton="0" quotePrefix="0" xfId="0">
      <alignment horizontal="left" vertical="center" wrapText="1"/>
    </xf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0" fontId="5" numFmtId="0" pivotButton="0" quotePrefix="0" xfId="0">
      <alignment vertical="top" wrapText="1"/>
    </xf>
    <xf applyAlignment="1" borderId="0" fillId="0" fontId="6" numFmtId="0" pivotButton="0" quotePrefix="0" xfId="0">
      <alignment vertical="top" wrapText="1"/>
    </xf>
    <xf borderId="0" fillId="0" fontId="7" numFmtId="0" pivotButton="0" quotePrefix="0" xfId="0"/>
    <xf applyAlignment="1" borderId="0" fillId="0" fontId="11" numFmtId="0" pivotButton="0" quotePrefix="0" xfId="0">
      <alignment horizontal="left" vertical="center" wrapText="1"/>
    </xf>
    <xf applyAlignment="1" borderId="1" fillId="0" fontId="8" numFmtId="0" pivotButton="0" quotePrefix="0" xfId="0">
      <alignment horizontal="center" vertical="center" wrapText="1"/>
    </xf>
    <xf borderId="1" fillId="0" fontId="0" numFmtId="0" pivotButton="0" quotePrefix="0" xfId="0"/>
    <xf applyAlignment="1" borderId="14" fillId="3" fontId="12" numFmtId="0" pivotButton="0" quotePrefix="0" xfId="0">
      <alignment horizontal="center" vertical="center" wrapText="1"/>
    </xf>
    <xf borderId="2" fillId="2" fontId="0" numFmtId="0" pivotButton="0" quotePrefix="0" xfId="0"/>
    <xf borderId="3" fillId="2" fontId="0" numFmtId="0" pivotButton="0" quotePrefix="0" xfId="0"/>
    <xf applyAlignment="1" borderId="14" fillId="4" fontId="5" numFmtId="0" pivotButton="0" quotePrefix="0" xfId="0">
      <alignment horizontal="left" vertical="center" wrapText="1"/>
    </xf>
    <xf applyAlignment="1" borderId="14" fillId="4" fontId="5" numFmtId="0" pivotButton="0" quotePrefix="0" xfId="0">
      <alignment horizontal="center" vertical="center" wrapText="1"/>
    </xf>
    <xf applyAlignment="1" borderId="14" fillId="4" fontId="5" numFmtId="164" pivotButton="0" quotePrefix="0" xfId="0">
      <alignment horizontal="right" vertical="center"/>
    </xf>
    <xf applyAlignment="1" borderId="14" fillId="4" fontId="5" numFmtId="165" pivotButton="0" quotePrefix="0" xfId="0">
      <alignment horizontal="right" vertical="center"/>
    </xf>
    <xf applyAlignment="1" borderId="14" fillId="4" fontId="5" numFmtId="9" pivotButton="0" quotePrefix="0" xfId="0">
      <alignment horizontal="center" vertical="center" wrapText="1"/>
    </xf>
    <xf applyAlignment="1" borderId="14" fillId="0" fontId="13" numFmtId="165" pivotButton="0" quotePrefix="0" xfId="0">
      <alignment horizontal="right" vertical="center"/>
    </xf>
    <xf applyAlignment="1" borderId="14" fillId="0" fontId="13" numFmtId="164" pivotButton="0" quotePrefix="0" xfId="0">
      <alignment horizontal="right" vertical="center"/>
    </xf>
    <xf borderId="4" fillId="2" fontId="0" numFmtId="0" pivotButton="0" quotePrefix="0" xfId="0"/>
    <xf borderId="5" fillId="2" fontId="0" numFmtId="0" pivotButton="0" quotePrefix="0" xfId="0"/>
    <xf applyAlignment="1" borderId="4" fillId="2" fontId="9" numFmtId="0" pivotButton="0" quotePrefix="0" xfId="0">
      <alignment horizontal="center" vertical="center" wrapText="1"/>
    </xf>
    <xf borderId="10" fillId="0" fontId="0" numFmtId="0" pivotButton="0" quotePrefix="0" xfId="0"/>
    <xf borderId="12" fillId="0" fontId="0" numFmtId="0" pivotButton="0" quotePrefix="0" xfId="0"/>
    <xf borderId="13" fillId="0" fontId="0" numFmtId="0" pivotButton="0" quotePrefix="0" xfId="0"/>
    <xf borderId="14" fillId="4" fontId="0" numFmtId="0" pivotButton="0" quotePrefix="0" xfId="0"/>
    <xf borderId="14" fillId="4" fontId="0" numFmtId="9" pivotButton="0" quotePrefix="0" xfId="0"/>
    <xf borderId="14" fillId="0" fontId="0" numFmtId="165" pivotButton="0" quotePrefix="0" xfId="0"/>
    <xf borderId="14" fillId="0" fontId="0" numFmtId="164" pivotButton="0" quotePrefix="0" xfId="0"/>
    <xf borderId="6" fillId="2" fontId="0" numFmtId="0" pivotButton="0" quotePrefix="0" xfId="0"/>
    <xf borderId="7" fillId="2" fontId="0" numFmtId="0" pivotButton="0" quotePrefix="0" xfId="0"/>
    <xf applyAlignment="1" borderId="0" fillId="0" fontId="10" numFmtId="0" pivotButton="0" quotePrefix="0" xfId="0">
      <alignment horizontal="center" vertical="center" wrapText="1"/>
    </xf>
    <xf applyAlignment="1" borderId="14" fillId="5" fontId="4" numFmtId="0" pivotButton="0" quotePrefix="0" xfId="0">
      <alignment horizontal="right" vertical="center"/>
    </xf>
    <xf borderId="14" fillId="5" fontId="4" numFmtId="164" pivotButton="0" quotePrefix="0" xfId="0"/>
    <xf applyAlignment="1" borderId="14" fillId="0" fontId="5" numFmtId="0" pivotButton="0" quotePrefix="0" xfId="0">
      <alignment horizontal="right" vertical="center"/>
    </xf>
    <xf borderId="14" fillId="0" fontId="13" numFmtId="164" pivotButton="0" quotePrefix="0" xfId="0"/>
    <xf applyAlignment="1" borderId="14" fillId="6" fontId="14" numFmtId="0" pivotButton="0" quotePrefix="0" xfId="0">
      <alignment horizontal="right" vertical="center"/>
    </xf>
    <xf borderId="14" fillId="6" fontId="15" numFmtId="164" pivotButton="0" quotePrefix="0" xfId="0"/>
    <xf applyAlignment="1" borderId="14" fillId="0" fontId="13" numFmtId="0" pivotButton="0" quotePrefix="0" xfId="0">
      <alignment horizontal="right" vertical="center"/>
    </xf>
    <xf applyAlignment="1" borderId="14" fillId="4" fontId="16" numFmtId="9" pivotButton="0" quotePrefix="0" xfId="0">
      <alignment horizontal="center" vertical="center" wrapText="1"/>
    </xf>
    <xf applyAlignment="1" borderId="14" fillId="0" fontId="4" numFmtId="0" pivotButton="0" quotePrefix="0" xfId="0">
      <alignment horizontal="right" vertical="center"/>
    </xf>
    <xf borderId="14" fillId="0" fontId="4" numFmtId="164" pivotButton="0" quotePrefix="0" xfId="0"/>
    <xf applyAlignment="1" borderId="14" fillId="6" fontId="4" numFmtId="0" pivotButton="0" quotePrefix="0" xfId="0">
      <alignment horizontal="right" vertical="center"/>
    </xf>
    <xf borderId="14" fillId="6" fontId="17" numFmtId="164" pivotButton="0" quotePrefix="0" xfId="0"/>
    <xf borderId="14" fillId="0" fontId="13" numFmtId="166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📋 Escandallo — Cafetería y Brunch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3 recetas típicas de brunch/cafetería</t>
        </is>
      </c>
    </row>
    <row r="9">
      <c r="B9" s="6" t="inlineStr">
        <is>
          <t>▸ Food cost objetivo en cafetería: 25-30%</t>
        </is>
      </c>
    </row>
    <row r="10">
      <c r="B10" s="6" t="inlineStr">
        <is>
          <t>▸ Ideal para calcular precios de carta de brunch</t>
        </is>
      </c>
    </row>
    <row r="11">
      <c r="B11" s="5" t="inlineStr"/>
    </row>
    <row r="12">
      <c r="B12" s="7" t="inlineStr">
        <is>
          <t>— Kit de Escandallos Pro · AI Chef Pro · aichef.pro</t>
        </is>
      </c>
    </row>
    <row r="14">
      <c r="B14" s="8" t="inlineStr">
        <is>
          <t>© 2026 AI Chef Pro · Todos los derechos reservados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Tostada de Aguacate con Huevo Poché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Pan de masa madre</t>
        </is>
      </c>
      <c r="B5" s="16" t="inlineStr">
        <is>
          <t>Pan/bollería</t>
        </is>
      </c>
      <c r="C5" s="16" t="inlineStr">
        <is>
          <t>ud</t>
        </is>
      </c>
      <c r="D5" s="17" t="n">
        <v>0.6</v>
      </c>
      <c r="E5" s="18" t="n">
        <v>2</v>
      </c>
      <c r="F5" s="16" t="inlineStr">
        <is>
          <t>ud</t>
        </is>
      </c>
      <c r="G5" s="19" t="n">
        <v>0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Aguacate Hass</t>
        </is>
      </c>
      <c r="B6" s="16" t="inlineStr">
        <is>
          <t>Fruta</t>
        </is>
      </c>
      <c r="C6" s="16" t="inlineStr">
        <is>
          <t>ud</t>
        </is>
      </c>
      <c r="D6" s="17" t="n">
        <v>1.5</v>
      </c>
      <c r="E6" s="18" t="n">
        <v>1</v>
      </c>
      <c r="F6" s="16" t="inlineStr">
        <is>
          <t>ud</t>
        </is>
      </c>
      <c r="G6" s="19" t="n">
        <v>0.28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Huevo campero</t>
        </is>
      </c>
      <c r="B7" s="16" t="inlineStr">
        <is>
          <t>Huevos</t>
        </is>
      </c>
      <c r="C7" s="16" t="inlineStr">
        <is>
          <t>docena</t>
        </is>
      </c>
      <c r="D7" s="17" t="n">
        <v>4.2</v>
      </c>
      <c r="E7" s="18" t="n">
        <v>0.167</v>
      </c>
      <c r="F7" s="16" t="inlineStr">
        <is>
          <t>ud</t>
        </is>
      </c>
      <c r="G7" s="19" t="n">
        <v>0.11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Tomate cherry</t>
        </is>
      </c>
      <c r="B8" s="16" t="inlineStr">
        <is>
          <t>Verdura hoja</t>
        </is>
      </c>
      <c r="C8" s="16" t="inlineStr">
        <is>
          <t>kg</t>
        </is>
      </c>
      <c r="D8" s="17" t="n">
        <v>4</v>
      </c>
      <c r="E8" s="18" t="n">
        <v>0.04</v>
      </c>
      <c r="F8" s="16" t="inlineStr">
        <is>
          <t>kg</t>
        </is>
      </c>
      <c r="G8" s="19" t="n">
        <v>0.05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Semillas mix</t>
        </is>
      </c>
      <c r="B9" s="16" t="inlineStr">
        <is>
          <t>Secos/granos</t>
        </is>
      </c>
      <c r="C9" s="16" t="inlineStr">
        <is>
          <t>kg</t>
        </is>
      </c>
      <c r="D9" s="17" t="n">
        <v>10</v>
      </c>
      <c r="E9" s="18" t="n">
        <v>0.01</v>
      </c>
      <c r="F9" s="16" t="inlineStr">
        <is>
          <t>kg</t>
        </is>
      </c>
      <c r="G9" s="19" t="n">
        <v>0.02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AOVE</t>
        </is>
      </c>
      <c r="B10" s="16" t="inlineStr">
        <is>
          <t>Aceites/grasas</t>
        </is>
      </c>
      <c r="C10" s="16" t="inlineStr">
        <is>
          <t>L</t>
        </is>
      </c>
      <c r="D10" s="17" t="n">
        <v>7.5</v>
      </c>
      <c r="E10" s="18" t="n">
        <v>0.01</v>
      </c>
      <c r="F10" s="16" t="inlineStr">
        <is>
          <t>L</t>
        </is>
      </c>
      <c r="G10" s="19" t="n">
        <v>0.03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Sal en escamas</t>
        </is>
      </c>
      <c r="B11" s="16" t="inlineStr">
        <is>
          <t>Secos/granos</t>
        </is>
      </c>
      <c r="C11" s="16" t="inlineStr">
        <is>
          <t>kg</t>
        </is>
      </c>
      <c r="D11" s="17" t="n">
        <v>15</v>
      </c>
      <c r="E11" s="18" t="n">
        <v>0.002</v>
      </c>
      <c r="F11" s="16" t="inlineStr">
        <is>
          <t>kg</t>
        </is>
      </c>
      <c r="G11" s="19" t="n">
        <v>0.02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/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1"/>
    <row r="22">
      <c r="A22" s="41" t="inlineStr">
        <is>
          <t>Food Cost objetivo (%)</t>
        </is>
      </c>
      <c r="H22" s="42" t="n">
        <v>0.28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K15:L15"/>
    <mergeCell ref="A18:H18"/>
    <mergeCell ref="K8:L9"/>
    <mergeCell ref="A25:H25"/>
    <mergeCell ref="A2:I2"/>
    <mergeCell ref="A20:H20"/>
    <mergeCell ref="A26:H26"/>
    <mergeCell ref="A1:I1"/>
    <mergeCell ref="A24:H24"/>
    <mergeCell ref="K3:L3"/>
    <mergeCell ref="A19:G19"/>
    <mergeCell ref="A23:H23"/>
    <mergeCell ref="A22:G22"/>
  </mergeCells>
  <dataValidations count="2">
    <dataValidation allowBlank="1" error="Selecciona una categoría válida" errorTitle="Categoría inválida" showDropDown="0" showErrorMessage="0" showInputMessage="0" sqref="B5 B6 B7 B8 B9 B10 B11 B12 B13 B14 B15 B16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C16 F5 F6 F7 F8 F9 F10 F11 F12 F13 F14 F15 F16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Açaí Bowl con Granola y Fruta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Açaí congelado</t>
        </is>
      </c>
      <c r="B5" s="16" t="inlineStr">
        <is>
          <t>Congelados</t>
        </is>
      </c>
      <c r="C5" s="16" t="inlineStr">
        <is>
          <t>kg</t>
        </is>
      </c>
      <c r="D5" s="17" t="n">
        <v>22</v>
      </c>
      <c r="E5" s="18" t="n">
        <v>0.1</v>
      </c>
      <c r="F5" s="16" t="inlineStr">
        <is>
          <t>kg</t>
        </is>
      </c>
      <c r="G5" s="19" t="n">
        <v>0.07000000000000001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Plátano</t>
        </is>
      </c>
      <c r="B6" s="16" t="inlineStr">
        <is>
          <t>Fruta</t>
        </is>
      </c>
      <c r="C6" s="16" t="inlineStr">
        <is>
          <t>kg</t>
        </is>
      </c>
      <c r="D6" s="17" t="n">
        <v>1.5</v>
      </c>
      <c r="E6" s="18" t="n">
        <v>0.12</v>
      </c>
      <c r="F6" s="16" t="inlineStr">
        <is>
          <t>kg</t>
        </is>
      </c>
      <c r="G6" s="19" t="n">
        <v>0.25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Leche de avena</t>
        </is>
      </c>
      <c r="B7" s="16" t="inlineStr">
        <is>
          <t>Bebidas/licores</t>
        </is>
      </c>
      <c r="C7" s="16" t="inlineStr">
        <is>
          <t>L</t>
        </is>
      </c>
      <c r="D7" s="17" t="n">
        <v>2.5</v>
      </c>
      <c r="E7" s="18" t="n">
        <v>0.08</v>
      </c>
      <c r="F7" s="16" t="inlineStr">
        <is>
          <t>L</t>
        </is>
      </c>
      <c r="G7" s="19" t="n">
        <v>0.03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Granola artesanal</t>
        </is>
      </c>
      <c r="B8" s="16" t="inlineStr">
        <is>
          <t>Secos/granos</t>
        </is>
      </c>
      <c r="C8" s="16" t="inlineStr">
        <is>
          <t>kg</t>
        </is>
      </c>
      <c r="D8" s="17" t="n">
        <v>8</v>
      </c>
      <c r="E8" s="18" t="n">
        <v>0.04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Arándanos</t>
        </is>
      </c>
      <c r="B9" s="16" t="inlineStr">
        <is>
          <t>Fruta</t>
        </is>
      </c>
      <c r="C9" s="16" t="inlineStr">
        <is>
          <t>kg</t>
        </is>
      </c>
      <c r="D9" s="17" t="n">
        <v>12</v>
      </c>
      <c r="E9" s="18" t="n">
        <v>0.03</v>
      </c>
      <c r="F9" s="16" t="inlineStr">
        <is>
          <t>kg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Coco rallado</t>
        </is>
      </c>
      <c r="B10" s="16" t="inlineStr">
        <is>
          <t>Secos/granos</t>
        </is>
      </c>
      <c r="C10" s="16" t="inlineStr">
        <is>
          <t>kg</t>
        </is>
      </c>
      <c r="D10" s="17" t="n">
        <v>7</v>
      </c>
      <c r="E10" s="18" t="n">
        <v>0.01</v>
      </c>
      <c r="F10" s="16" t="inlineStr">
        <is>
          <t>kg</t>
        </is>
      </c>
      <c r="G10" s="19" t="n">
        <v>0.02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Miel</t>
        </is>
      </c>
      <c r="B11" s="16" t="inlineStr">
        <is>
          <t>Secos/granos</t>
        </is>
      </c>
      <c r="C11" s="16" t="inlineStr">
        <is>
          <t>kg</t>
        </is>
      </c>
      <c r="D11" s="17" t="n">
        <v>10</v>
      </c>
      <c r="E11" s="18" t="n">
        <v>0.015</v>
      </c>
      <c r="F11" s="16" t="inlineStr">
        <is>
          <t>kg</t>
        </is>
      </c>
      <c r="G11" s="19" t="n">
        <v>0.03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/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1"/>
    <row r="22">
      <c r="A22" s="41" t="inlineStr">
        <is>
          <t>Food Cost objetivo (%)</t>
        </is>
      </c>
      <c r="H22" s="42" t="n">
        <v>0.28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K15:L15"/>
    <mergeCell ref="A18:H18"/>
    <mergeCell ref="K8:L9"/>
    <mergeCell ref="A25:H25"/>
    <mergeCell ref="A2:I2"/>
    <mergeCell ref="A20:H20"/>
    <mergeCell ref="A26:H26"/>
    <mergeCell ref="A1:I1"/>
    <mergeCell ref="A24:H24"/>
    <mergeCell ref="K3:L3"/>
    <mergeCell ref="A19:G19"/>
    <mergeCell ref="A23:H23"/>
    <mergeCell ref="A22:G22"/>
  </mergeCells>
  <dataValidations count="2">
    <dataValidation allowBlank="1" error="Selecciona una categoría válida" errorTitle="Categoría inválida" showDropDown="0" showErrorMessage="0" showInputMessage="0" sqref="B5 B6 B7 B8 B9 B10 B11 B12 B13 B14 B15 B16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C16 F5 F6 F7 F8 F9 F10 F11 F12 F13 F14 F15 F16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5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Eggs Benedict con Salmón Ahumado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English muffin</t>
        </is>
      </c>
      <c r="B5" s="16" t="inlineStr">
        <is>
          <t>Pan/bollería</t>
        </is>
      </c>
      <c r="C5" s="16" t="inlineStr">
        <is>
          <t>ud</t>
        </is>
      </c>
      <c r="D5" s="17" t="n">
        <v>0.4</v>
      </c>
      <c r="E5" s="18" t="n">
        <v>2</v>
      </c>
      <c r="F5" s="16" t="inlineStr">
        <is>
          <t>ud</t>
        </is>
      </c>
      <c r="G5" s="19" t="n">
        <v>0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Huevo campero</t>
        </is>
      </c>
      <c r="B6" s="16" t="inlineStr">
        <is>
          <t>Huevos</t>
        </is>
      </c>
      <c r="C6" s="16" t="inlineStr">
        <is>
          <t>docena</t>
        </is>
      </c>
      <c r="D6" s="17" t="n">
        <v>4.2</v>
      </c>
      <c r="E6" s="18" t="n">
        <v>0.167</v>
      </c>
      <c r="F6" s="16" t="inlineStr">
        <is>
          <t>ud</t>
        </is>
      </c>
      <c r="G6" s="19" t="n">
        <v>0.11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Salmón ahumado</t>
        </is>
      </c>
      <c r="B7" s="16" t="inlineStr">
        <is>
          <t>Pescado</t>
        </is>
      </c>
      <c r="C7" s="16" t="inlineStr">
        <is>
          <t>kg</t>
        </is>
      </c>
      <c r="D7" s="17" t="n">
        <v>35</v>
      </c>
      <c r="E7" s="18" t="n">
        <v>0.06</v>
      </c>
      <c r="F7" s="16" t="inlineStr">
        <is>
          <t>kg</t>
        </is>
      </c>
      <c r="G7" s="19" t="n">
        <v>0.05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Mantequilla (hollandaise)</t>
        </is>
      </c>
      <c r="B8" s="16" t="inlineStr">
        <is>
          <t>Lácteos</t>
        </is>
      </c>
      <c r="C8" s="16" t="inlineStr">
        <is>
          <t>kg</t>
        </is>
      </c>
      <c r="D8" s="17" t="n">
        <v>9</v>
      </c>
      <c r="E8" s="18" t="n">
        <v>0.05</v>
      </c>
      <c r="F8" s="16" t="inlineStr">
        <is>
          <t>kg</t>
        </is>
      </c>
      <c r="G8" s="19" t="n">
        <v>0.03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Limón</t>
        </is>
      </c>
      <c r="B9" s="16" t="inlineStr">
        <is>
          <t>Fruta</t>
        </is>
      </c>
      <c r="C9" s="16" t="inlineStr">
        <is>
          <t>kg</t>
        </is>
      </c>
      <c r="D9" s="17" t="n">
        <v>2.5</v>
      </c>
      <c r="E9" s="18" t="n">
        <v>0.01</v>
      </c>
      <c r="F9" s="16" t="inlineStr">
        <is>
          <t>kg</t>
        </is>
      </c>
      <c r="G9" s="19" t="n">
        <v>0.28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Cebollino</t>
        </is>
      </c>
      <c r="B10" s="16" t="inlineStr">
        <is>
          <t>Especias/hierbas</t>
        </is>
      </c>
      <c r="C10" s="16" t="inlineStr">
        <is>
          <t>manojo</t>
        </is>
      </c>
      <c r="D10" s="17" t="n">
        <v>1.5</v>
      </c>
      <c r="E10" s="18" t="n">
        <v>0.25</v>
      </c>
      <c r="F10" s="16" t="inlineStr">
        <is>
          <t>ud</t>
        </is>
      </c>
      <c r="G10" s="19" t="n">
        <v>0.2</v>
      </c>
      <c r="H10" s="20">
        <f>E10/(1-G10)</f>
        <v/>
      </c>
      <c r="I10" s="21">
        <f>H10*D10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/>
    <row r="17">
      <c r="A17" s="35" t="inlineStr">
        <is>
          <t>COSTE TOTAL INGREDIENTES</t>
        </is>
      </c>
      <c r="I17" s="36">
        <f>SUM(I5:I15)</f>
        <v/>
      </c>
    </row>
    <row r="18">
      <c r="A18" s="37" t="inlineStr">
        <is>
          <t>Coste elaboración (%)</t>
        </is>
      </c>
      <c r="H18" s="19" t="n">
        <v>0.1</v>
      </c>
      <c r="I18" s="38">
        <f>I17*H18</f>
        <v/>
      </c>
    </row>
    <row r="19">
      <c r="A19" s="39" t="inlineStr">
        <is>
          <t>COSTE TOTAL DEL PLATO</t>
        </is>
      </c>
      <c r="I19" s="40">
        <f>I17+I18</f>
        <v/>
      </c>
    </row>
    <row r="20"/>
    <row r="21">
      <c r="A21" s="41" t="inlineStr">
        <is>
          <t>Food Cost objetivo (%)</t>
        </is>
      </c>
      <c r="H21" s="42" t="n">
        <v>0.28</v>
      </c>
    </row>
    <row r="22">
      <c r="A22" s="43" t="inlineStr">
        <is>
          <t>PVP SUGERIDO (sin IVA)</t>
        </is>
      </c>
      <c r="I22" s="44">
        <f>I19/H21</f>
        <v/>
      </c>
    </row>
    <row r="23">
      <c r="A23" s="45" t="inlineStr">
        <is>
          <t>PVP CON IVA (10% hostelería)</t>
        </is>
      </c>
      <c r="I23" s="46">
        <f>I22*1.10</f>
        <v/>
      </c>
    </row>
    <row r="24">
      <c r="A24" s="37" t="inlineStr">
        <is>
          <t>Margen bruto (€)</t>
        </is>
      </c>
      <c r="I24" s="38">
        <f>I22-I19</f>
        <v/>
      </c>
    </row>
    <row r="25">
      <c r="A25" s="37" t="inlineStr">
        <is>
          <t>Margen bruto (%)</t>
        </is>
      </c>
      <c r="I25" s="47">
        <f>I24/I22</f>
        <v/>
      </c>
    </row>
  </sheetData>
  <mergeCells count="13">
    <mergeCell ref="K15:L15"/>
    <mergeCell ref="K8:L9"/>
    <mergeCell ref="A25:H25"/>
    <mergeCell ref="A2:I2"/>
    <mergeCell ref="A17:H17"/>
    <mergeCell ref="A18:G18"/>
    <mergeCell ref="A22:H22"/>
    <mergeCell ref="A19:H19"/>
    <mergeCell ref="A1:I1"/>
    <mergeCell ref="A24:H24"/>
    <mergeCell ref="K3:L3"/>
    <mergeCell ref="A21:G21"/>
    <mergeCell ref="A23:H23"/>
  </mergeCells>
  <dataValidations count="2">
    <dataValidation allowBlank="1" error="Selecciona una categoría válida" errorTitle="Categoría inválida" showDropDown="0" showErrorMessage="0" showInputMessage="0" sqref="B5 B6 B7 B8 B9 B10 B11 B12 B13 B14 B15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F5 F6 F7 F8 F9 F10 F11 F12 F13 F14 F15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2026-03-18T21:50:24Z</dcterms:created>
  <dcterms:modified xsi:type="dcterms:W3CDTF">2026-03-18T21:50:24Z</dcterms:modified>
</cp:coreProperties>
</file>