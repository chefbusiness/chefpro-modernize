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in Tonic Premium" sheetId="2" state="visible" r:id="rId2"/>
    <sheet xmlns:r="http://schemas.openxmlformats.org/officeDocument/2006/relationships" name="Mojito Clásico" sheetId="3" state="visible" r:id="rId3"/>
    <sheet xmlns:r="http://schemas.openxmlformats.org/officeDocument/2006/relationships" name="Margarita" sheetId="4" state="visible" r:id="rId4"/>
    <sheet xmlns:r="http://schemas.openxmlformats.org/officeDocument/2006/relationships" name="Aperol Spritz" sheetId="5" state="visible" r:id="rId5"/>
  </sheets>
  <definedNames>
    <definedName name="_xlnm.Print_Area" localSheetId="1">'Gin Tonic Premium'!$A$1:$I$25</definedName>
    <definedName name="_xlnm.Print_Area" localSheetId="2">'Mojito Clásico'!$A$1:$I$25</definedName>
    <definedName name="_xlnm.Print_Area" localSheetId="3">'Margarita'!$A$1:$I$24</definedName>
    <definedName name="_xlnm.Print_Area" localSheetId="4">'Aperol Spritz'!$A$1:$I$24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— Cocktails y Bebidas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Cada pestaña es un cocktail diferente</t>
        </is>
      </c>
    </row>
    <row r="9">
      <c r="B9" s="6" t="inlineStr">
        <is>
          <t>▸ Las cantidades están en cl/ml (medidas de bar)</t>
        </is>
      </c>
    </row>
    <row r="10">
      <c r="B10" s="6" t="inlineStr">
        <is>
          <t>▸ La merma en bebidas es mínima (2-5%)</t>
        </is>
      </c>
    </row>
    <row r="11">
      <c r="B11" s="6" t="inlineStr">
        <is>
          <t>▸ El food cost objetivo en bar suele ser 18-25%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Gin Tonic Premium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Ginebra premium</t>
        </is>
      </c>
      <c r="B5" s="16" t="inlineStr">
        <is>
          <t>Bebidas/licores</t>
        </is>
      </c>
      <c r="C5" s="16" t="inlineStr">
        <is>
          <t>L</t>
        </is>
      </c>
      <c r="D5" s="17" t="n">
        <v>28</v>
      </c>
      <c r="E5" s="18" t="n">
        <v>0.05</v>
      </c>
      <c r="F5" s="16" t="inlineStr">
        <is>
          <t>cl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Tónica premium</t>
        </is>
      </c>
      <c r="B6" s="16" t="inlineStr">
        <is>
          <t>Bebidas/licores</t>
        </is>
      </c>
      <c r="C6" s="16" t="inlineStr">
        <is>
          <t>ud</t>
        </is>
      </c>
      <c r="D6" s="17" t="n">
        <v>1.5</v>
      </c>
      <c r="E6" s="18" t="n">
        <v>1</v>
      </c>
      <c r="F6" s="16" t="inlineStr">
        <is>
          <t>ud</t>
        </is>
      </c>
      <c r="G6" s="19" t="n">
        <v>0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Limón</t>
        </is>
      </c>
      <c r="B7" s="16" t="inlineStr">
        <is>
          <t>Fruta</t>
        </is>
      </c>
      <c r="C7" s="16" t="inlineStr">
        <is>
          <t>kg</t>
        </is>
      </c>
      <c r="D7" s="17" t="n">
        <v>2.5</v>
      </c>
      <c r="E7" s="18" t="n">
        <v>0.02</v>
      </c>
      <c r="F7" s="16" t="inlineStr">
        <is>
          <t>kg</t>
        </is>
      </c>
      <c r="G7" s="19" t="n">
        <v>0.2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Pepino</t>
        </is>
      </c>
      <c r="B8" s="16" t="inlineStr">
        <is>
          <t>Verdura raíz</t>
        </is>
      </c>
      <c r="C8" s="16" t="inlineStr">
        <is>
          <t>kg</t>
        </is>
      </c>
      <c r="D8" s="17" t="n">
        <v>1.5</v>
      </c>
      <c r="E8" s="18" t="n">
        <v>0.01</v>
      </c>
      <c r="F8" s="16" t="inlineStr">
        <is>
          <t>kg</t>
        </is>
      </c>
      <c r="G8" s="19" t="n">
        <v>0.12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Enebro (bayas)</t>
        </is>
      </c>
      <c r="B9" s="16" t="inlineStr">
        <is>
          <t>Especias/hierbas</t>
        </is>
      </c>
      <c r="C9" s="16" t="inlineStr">
        <is>
          <t>kg</t>
        </is>
      </c>
      <c r="D9" s="17" t="n">
        <v>30</v>
      </c>
      <c r="E9" s="18" t="n">
        <v>0.002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Hielo</t>
        </is>
      </c>
      <c r="B10" s="16" t="inlineStr">
        <is>
          <t>Congelados</t>
        </is>
      </c>
      <c r="C10" s="16" t="inlineStr">
        <is>
          <t>kg</t>
        </is>
      </c>
      <c r="D10" s="17" t="n">
        <v>0.5</v>
      </c>
      <c r="E10" s="18" t="n">
        <v>0.15</v>
      </c>
      <c r="F10" s="16" t="inlineStr">
        <is>
          <t>kg</t>
        </is>
      </c>
      <c r="G10" s="19" t="n">
        <v>0</v>
      </c>
      <c r="H10" s="20">
        <f>E10/(1-G10)</f>
        <v/>
      </c>
      <c r="I10" s="21">
        <f>H10*D10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/>
    <row r="17">
      <c r="A17" s="35" t="inlineStr">
        <is>
          <t>COSTE TOTAL INGREDIENTES</t>
        </is>
      </c>
      <c r="I17" s="36">
        <f>SUM(I5:I15)</f>
        <v/>
      </c>
    </row>
    <row r="18">
      <c r="A18" s="37" t="inlineStr">
        <is>
          <t>Coste elaboración (%)</t>
        </is>
      </c>
      <c r="H18" s="19" t="n">
        <v>0.1</v>
      </c>
      <c r="I18" s="38">
        <f>I17*H18</f>
        <v/>
      </c>
    </row>
    <row r="19">
      <c r="A19" s="39" t="inlineStr">
        <is>
          <t>COSTE TOTAL DEL PLATO</t>
        </is>
      </c>
      <c r="I19" s="40">
        <f>I17+I18</f>
        <v/>
      </c>
    </row>
    <row r="20"/>
    <row r="21">
      <c r="A21" s="41" t="inlineStr">
        <is>
          <t>Food Cost objetivo (%)</t>
        </is>
      </c>
      <c r="H21" s="42" t="n">
        <v>0.2</v>
      </c>
    </row>
    <row r="22">
      <c r="A22" s="43" t="inlineStr">
        <is>
          <t>PVP SUGERIDO (sin IVA)</t>
        </is>
      </c>
      <c r="I22" s="44">
        <f>I19/H21</f>
        <v/>
      </c>
    </row>
    <row r="23">
      <c r="A23" s="45" t="inlineStr">
        <is>
          <t>PVP CON IVA (10% hostelería)</t>
        </is>
      </c>
      <c r="I23" s="46">
        <f>I22*1.10</f>
        <v/>
      </c>
    </row>
    <row r="24">
      <c r="A24" s="37" t="inlineStr">
        <is>
          <t>Margen bruto (€)</t>
        </is>
      </c>
      <c r="I24" s="38">
        <f>I22-I19</f>
        <v/>
      </c>
    </row>
    <row r="25">
      <c r="A25" s="37" t="inlineStr">
        <is>
          <t>Margen bruto (%)</t>
        </is>
      </c>
      <c r="I25" s="47">
        <f>I24/I22</f>
        <v/>
      </c>
    </row>
  </sheetData>
  <mergeCells count="13">
    <mergeCell ref="A2:I2"/>
    <mergeCell ref="A18:G18"/>
    <mergeCell ref="A25:H25"/>
    <mergeCell ref="A21:G21"/>
    <mergeCell ref="A24:H24"/>
    <mergeCell ref="K15:L15"/>
    <mergeCell ref="A22:H22"/>
    <mergeCell ref="A1:I1"/>
    <mergeCell ref="A19:H19"/>
    <mergeCell ref="A23:H23"/>
    <mergeCell ref="K8:L9"/>
    <mergeCell ref="K3:L3"/>
    <mergeCell ref="A17:H17"/>
  </mergeCells>
  <dataValidations count="2">
    <dataValidation sqref="B5 B6 B7 B8 B9 B10 B11 B12 B13 B14 B15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F5 F6 F7 F8 F9 F10 F11 F12 F13 F14 F15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Mojito Clásico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Ron blanco</t>
        </is>
      </c>
      <c r="B5" s="16" t="inlineStr">
        <is>
          <t>Bebidas/licores</t>
        </is>
      </c>
      <c r="C5" s="16" t="inlineStr">
        <is>
          <t>L</t>
        </is>
      </c>
      <c r="D5" s="17" t="n">
        <v>15</v>
      </c>
      <c r="E5" s="18" t="n">
        <v>0.06</v>
      </c>
      <c r="F5" s="16" t="inlineStr">
        <is>
          <t>cl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Lima</t>
        </is>
      </c>
      <c r="B6" s="16" t="inlineStr">
        <is>
          <t>Fruta</t>
        </is>
      </c>
      <c r="C6" s="16" t="inlineStr">
        <is>
          <t>kg</t>
        </is>
      </c>
      <c r="D6" s="17" t="n">
        <v>4.5</v>
      </c>
      <c r="E6" s="18" t="n">
        <v>0.03</v>
      </c>
      <c r="F6" s="16" t="inlineStr">
        <is>
          <t>kg</t>
        </is>
      </c>
      <c r="G6" s="19" t="n">
        <v>0.2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Hierbabuena</t>
        </is>
      </c>
      <c r="B7" s="16" t="inlineStr">
        <is>
          <t>Especias/hierbas</t>
        </is>
      </c>
      <c r="C7" s="16" t="inlineStr">
        <is>
          <t>manojo</t>
        </is>
      </c>
      <c r="D7" s="17" t="n">
        <v>1.2</v>
      </c>
      <c r="E7" s="18" t="n">
        <v>0.5</v>
      </c>
      <c r="F7" s="16" t="inlineStr">
        <is>
          <t>ud</t>
        </is>
      </c>
      <c r="G7" s="19" t="n">
        <v>0.2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0.015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Soda/agua con gas</t>
        </is>
      </c>
      <c r="B9" s="16" t="inlineStr">
        <is>
          <t>Bebidas/licores</t>
        </is>
      </c>
      <c r="C9" s="16" t="inlineStr">
        <is>
          <t>L</t>
        </is>
      </c>
      <c r="D9" s="17" t="n">
        <v>0.8</v>
      </c>
      <c r="E9" s="18" t="n">
        <v>0.06</v>
      </c>
      <c r="F9" s="16" t="inlineStr">
        <is>
          <t>L</t>
        </is>
      </c>
      <c r="G9" s="19" t="n">
        <v>0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Hielo</t>
        </is>
      </c>
      <c r="B10" s="16" t="inlineStr">
        <is>
          <t>Congelados</t>
        </is>
      </c>
      <c r="C10" s="16" t="inlineStr">
        <is>
          <t>kg</t>
        </is>
      </c>
      <c r="D10" s="17" t="n">
        <v>0.5</v>
      </c>
      <c r="E10" s="18" t="n">
        <v>0.15</v>
      </c>
      <c r="F10" s="16" t="inlineStr">
        <is>
          <t>kg</t>
        </is>
      </c>
      <c r="G10" s="19" t="n">
        <v>0</v>
      </c>
      <c r="H10" s="20">
        <f>E10/(1-G10)</f>
        <v/>
      </c>
      <c r="I10" s="21">
        <f>H10*D10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/>
    <row r="17">
      <c r="A17" s="35" t="inlineStr">
        <is>
          <t>COSTE TOTAL INGREDIENTES</t>
        </is>
      </c>
      <c r="I17" s="36">
        <f>SUM(I5:I15)</f>
        <v/>
      </c>
    </row>
    <row r="18">
      <c r="A18" s="37" t="inlineStr">
        <is>
          <t>Coste elaboración (%)</t>
        </is>
      </c>
      <c r="H18" s="19" t="n">
        <v>0.1</v>
      </c>
      <c r="I18" s="38">
        <f>I17*H18</f>
        <v/>
      </c>
    </row>
    <row r="19">
      <c r="A19" s="39" t="inlineStr">
        <is>
          <t>COSTE TOTAL DEL PLATO</t>
        </is>
      </c>
      <c r="I19" s="40">
        <f>I17+I18</f>
        <v/>
      </c>
    </row>
    <row r="20"/>
    <row r="21">
      <c r="A21" s="41" t="inlineStr">
        <is>
          <t>Food Cost objetivo (%)</t>
        </is>
      </c>
      <c r="H21" s="42" t="n">
        <v>0.2</v>
      </c>
    </row>
    <row r="22">
      <c r="A22" s="43" t="inlineStr">
        <is>
          <t>PVP SUGERIDO (sin IVA)</t>
        </is>
      </c>
      <c r="I22" s="44">
        <f>I19/H21</f>
        <v/>
      </c>
    </row>
    <row r="23">
      <c r="A23" s="45" t="inlineStr">
        <is>
          <t>PVP CON IVA (10% hostelería)</t>
        </is>
      </c>
      <c r="I23" s="46">
        <f>I22*1.10</f>
        <v/>
      </c>
    </row>
    <row r="24">
      <c r="A24" s="37" t="inlineStr">
        <is>
          <t>Margen bruto (€)</t>
        </is>
      </c>
      <c r="I24" s="38">
        <f>I22-I19</f>
        <v/>
      </c>
    </row>
    <row r="25">
      <c r="A25" s="37" t="inlineStr">
        <is>
          <t>Margen bruto (%)</t>
        </is>
      </c>
      <c r="I25" s="47">
        <f>I24/I22</f>
        <v/>
      </c>
    </row>
  </sheetData>
  <mergeCells count="13">
    <mergeCell ref="A2:I2"/>
    <mergeCell ref="A18:G18"/>
    <mergeCell ref="A25:H25"/>
    <mergeCell ref="A21:G21"/>
    <mergeCell ref="A24:H24"/>
    <mergeCell ref="K15:L15"/>
    <mergeCell ref="A22:H22"/>
    <mergeCell ref="A1:I1"/>
    <mergeCell ref="A19:H19"/>
    <mergeCell ref="A23:H23"/>
    <mergeCell ref="K8:L9"/>
    <mergeCell ref="K3:L3"/>
    <mergeCell ref="A17:H17"/>
  </mergeCells>
  <dataValidations count="2">
    <dataValidation sqref="B5 B6 B7 B8 B9 B10 B11 B12 B13 B14 B15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F5 F6 F7 F8 F9 F10 F11 F12 F13 F14 F15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Margarita Clásica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Tequila reposado</t>
        </is>
      </c>
      <c r="B5" s="16" t="inlineStr">
        <is>
          <t>Bebidas/licores</t>
        </is>
      </c>
      <c r="C5" s="16" t="inlineStr">
        <is>
          <t>L</t>
        </is>
      </c>
      <c r="D5" s="17" t="n">
        <v>22</v>
      </c>
      <c r="E5" s="18" t="n">
        <v>0.05</v>
      </c>
      <c r="F5" s="16" t="inlineStr">
        <is>
          <t>cl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Triple Sec / Cointreau</t>
        </is>
      </c>
      <c r="B6" s="16" t="inlineStr">
        <is>
          <t>Bebidas/licores</t>
        </is>
      </c>
      <c r="C6" s="16" t="inlineStr">
        <is>
          <t>L</t>
        </is>
      </c>
      <c r="D6" s="17" t="n">
        <v>18</v>
      </c>
      <c r="E6" s="18" t="n">
        <v>0.025</v>
      </c>
      <c r="F6" s="16" t="inlineStr">
        <is>
          <t>cl</t>
        </is>
      </c>
      <c r="G6" s="19" t="n">
        <v>0.02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Lima (zumo)</t>
        </is>
      </c>
      <c r="B7" s="16" t="inlineStr">
        <is>
          <t>Fruta</t>
        </is>
      </c>
      <c r="C7" s="16" t="inlineStr">
        <is>
          <t>kg</t>
        </is>
      </c>
      <c r="D7" s="17" t="n">
        <v>4.5</v>
      </c>
      <c r="E7" s="18" t="n">
        <v>0.03</v>
      </c>
      <c r="F7" s="16" t="inlineStr">
        <is>
          <t>kg</t>
        </is>
      </c>
      <c r="G7" s="19" t="n">
        <v>0.5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Sal (para borde)</t>
        </is>
      </c>
      <c r="B8" s="16" t="inlineStr">
        <is>
          <t>Secos/granos</t>
        </is>
      </c>
      <c r="C8" s="16" t="inlineStr">
        <is>
          <t>kg</t>
        </is>
      </c>
      <c r="D8" s="17" t="n">
        <v>0.8</v>
      </c>
      <c r="E8" s="18" t="n">
        <v>0.005</v>
      </c>
      <c r="F8" s="16" t="inlineStr">
        <is>
          <t>kg</t>
        </is>
      </c>
      <c r="G8" s="19" t="n">
        <v>0.5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Hielo</t>
        </is>
      </c>
      <c r="B9" s="16" t="inlineStr">
        <is>
          <t>Congelados</t>
        </is>
      </c>
      <c r="C9" s="16" t="inlineStr">
        <is>
          <t>kg</t>
        </is>
      </c>
      <c r="D9" s="17" t="n">
        <v>0.5</v>
      </c>
      <c r="E9" s="18" t="n">
        <v>0.1</v>
      </c>
      <c r="F9" s="16" t="inlineStr">
        <is>
          <t>kg</t>
        </is>
      </c>
      <c r="G9" s="19" t="n">
        <v>0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19"/>
    <row r="20">
      <c r="A20" s="41" t="inlineStr">
        <is>
          <t>Food Cost objetivo (%)</t>
        </is>
      </c>
      <c r="H20" s="42" t="n">
        <v>0.2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Aperol Spritz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Aperol</t>
        </is>
      </c>
      <c r="B5" s="16" t="inlineStr">
        <is>
          <t>Bebidas/licores</t>
        </is>
      </c>
      <c r="C5" s="16" t="inlineStr">
        <is>
          <t>L</t>
        </is>
      </c>
      <c r="D5" s="17" t="n">
        <v>14</v>
      </c>
      <c r="E5" s="18" t="n">
        <v>0.06</v>
      </c>
      <c r="F5" s="16" t="inlineStr">
        <is>
          <t>cl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Prosecco</t>
        </is>
      </c>
      <c r="B6" s="16" t="inlineStr">
        <is>
          <t>Bebidas/licores</t>
        </is>
      </c>
      <c r="C6" s="16" t="inlineStr">
        <is>
          <t>L</t>
        </is>
      </c>
      <c r="D6" s="17" t="n">
        <v>8</v>
      </c>
      <c r="E6" s="18" t="n">
        <v>0.09</v>
      </c>
      <c r="F6" s="16" t="inlineStr">
        <is>
          <t>cl</t>
        </is>
      </c>
      <c r="G6" s="19" t="n">
        <v>0.05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Soda</t>
        </is>
      </c>
      <c r="B7" s="16" t="inlineStr">
        <is>
          <t>Bebidas/licores</t>
        </is>
      </c>
      <c r="C7" s="16" t="inlineStr">
        <is>
          <t>L</t>
        </is>
      </c>
      <c r="D7" s="17" t="n">
        <v>0.8</v>
      </c>
      <c r="E7" s="18" t="n">
        <v>0.03</v>
      </c>
      <c r="F7" s="16" t="inlineStr">
        <is>
          <t>cl</t>
        </is>
      </c>
      <c r="G7" s="19" t="n">
        <v>0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Naranja (rodaja)</t>
        </is>
      </c>
      <c r="B8" s="16" t="inlineStr">
        <is>
          <t>Fruta</t>
        </is>
      </c>
      <c r="C8" s="16" t="inlineStr">
        <is>
          <t>kg</t>
        </is>
      </c>
      <c r="D8" s="17" t="n">
        <v>2</v>
      </c>
      <c r="E8" s="18" t="n">
        <v>0.02</v>
      </c>
      <c r="F8" s="16" t="inlineStr">
        <is>
          <t>kg</t>
        </is>
      </c>
      <c r="G8" s="19" t="n">
        <v>0.25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Hielo</t>
        </is>
      </c>
      <c r="B9" s="16" t="inlineStr">
        <is>
          <t>Congelados</t>
        </is>
      </c>
      <c r="C9" s="16" t="inlineStr">
        <is>
          <t>kg</t>
        </is>
      </c>
      <c r="D9" s="17" t="n">
        <v>0.5</v>
      </c>
      <c r="E9" s="18" t="n">
        <v>0.15</v>
      </c>
      <c r="F9" s="16" t="inlineStr">
        <is>
          <t>kg</t>
        </is>
      </c>
      <c r="G9" s="19" t="n">
        <v>0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19"/>
    <row r="20">
      <c r="A20" s="41" t="inlineStr">
        <is>
          <t>Food Cost objetivo (%)</t>
        </is>
      </c>
      <c r="H20" s="42" t="n">
        <v>0.2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2026-03-16T17:45:44Z</dcterms:created>
  <dcterms:modified xmlns:dcterms="http://purl.org/dc/terms/" xmlns:xsi="http://www.w3.org/2001/XMLSchema-instance" xsi:type="dcterms:W3CDTF">2026-03-16T17:45:44Z</dcterms:modified>
</cp:coreProperties>
</file>