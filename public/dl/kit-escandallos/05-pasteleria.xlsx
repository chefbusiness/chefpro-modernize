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Tarta Chocolate" sheetId="2" state="visible" r:id="rId2"/>
    <sheet name="Croissants" sheetId="3" state="visible" r:id="rId3"/>
    <sheet name="Macarons" sheetId="4" state="visible" r:id="rId4"/>
  </sheets>
  <definedNames>
    <definedName localSheetId="1" name="_xlnm.Print_Area">'Tarta Chocolate'!$A$1:$I$27</definedName>
    <definedName localSheetId="2" name="_xlnm.Print_Area">'Croissants'!$A$1:$I$26</definedName>
    <definedName localSheetId="3" name="_xlnm.Print_Area">'Macarons'!$A$1:$I$26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formatCode="#,##0.00 €" numFmtId="164"/>
    <numFmt formatCode="0.000" numFmtId="165"/>
    <numFmt formatCode="0.0%" numFmtId="166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48">
    <xf borderId="0" fillId="0" fontId="0" numFmtId="0" pivotButton="0" quotePrefix="0" xfId="0"/>
    <xf applyAlignment="1" borderId="0" fillId="0" fontId="1" numFmtId="0" pivotButton="0" quotePrefix="0" xfId="0">
      <alignment horizontal="left" vertical="center" wrapText="1"/>
    </xf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  <xf applyAlignment="1" borderId="0" fillId="0" fontId="5" numFmtId="0" pivotButton="0" quotePrefix="0" xfId="0">
      <alignment vertical="top" wrapText="1"/>
    </xf>
    <xf applyAlignment="1" borderId="0" fillId="0" fontId="6" numFmtId="0" pivotButton="0" quotePrefix="0" xfId="0">
      <alignment vertical="top" wrapText="1"/>
    </xf>
    <xf borderId="0" fillId="0" fontId="7" numFmtId="0" pivotButton="0" quotePrefix="0" xfId="0"/>
    <xf applyAlignment="1" borderId="0" fillId="0" fontId="11" numFmtId="0" pivotButton="0" quotePrefix="0" xfId="0">
      <alignment horizontal="left" vertical="center" wrapText="1"/>
    </xf>
    <xf applyAlignment="1" borderId="1" fillId="0" fontId="8" numFmtId="0" pivotButton="0" quotePrefix="0" xfId="0">
      <alignment horizontal="center" vertical="center" wrapText="1"/>
    </xf>
    <xf borderId="1" fillId="0" fontId="0" numFmtId="0" pivotButton="0" quotePrefix="0" xfId="0"/>
    <xf applyAlignment="1" borderId="14" fillId="3" fontId="12" numFmtId="0" pivotButton="0" quotePrefix="0" xfId="0">
      <alignment horizontal="center" vertical="center" wrapText="1"/>
    </xf>
    <xf borderId="2" fillId="2" fontId="0" numFmtId="0" pivotButton="0" quotePrefix="0" xfId="0"/>
    <xf borderId="3" fillId="2" fontId="0" numFmtId="0" pivotButton="0" quotePrefix="0" xfId="0"/>
    <xf applyAlignment="1" borderId="14" fillId="4" fontId="5" numFmtId="0" pivotButton="0" quotePrefix="0" xfId="0">
      <alignment horizontal="left" vertical="center" wrapText="1"/>
    </xf>
    <xf applyAlignment="1" borderId="14" fillId="4" fontId="5" numFmtId="0" pivotButton="0" quotePrefix="0" xfId="0">
      <alignment horizontal="center" vertical="center" wrapText="1"/>
    </xf>
    <xf applyAlignment="1" borderId="14" fillId="4" fontId="5" numFmtId="164" pivotButton="0" quotePrefix="0" xfId="0">
      <alignment horizontal="right" vertical="center"/>
    </xf>
    <xf applyAlignment="1" borderId="14" fillId="4" fontId="5" numFmtId="165" pivotButton="0" quotePrefix="0" xfId="0">
      <alignment horizontal="right" vertical="center"/>
    </xf>
    <xf applyAlignment="1" borderId="14" fillId="4" fontId="5" numFmtId="9" pivotButton="0" quotePrefix="0" xfId="0">
      <alignment horizontal="center" vertical="center" wrapText="1"/>
    </xf>
    <xf applyAlignment="1" borderId="14" fillId="0" fontId="13" numFmtId="165" pivotButton="0" quotePrefix="0" xfId="0">
      <alignment horizontal="right" vertical="center"/>
    </xf>
    <xf applyAlignment="1" borderId="14" fillId="0" fontId="13" numFmtId="164" pivotButton="0" quotePrefix="0" xfId="0">
      <alignment horizontal="right" vertical="center"/>
    </xf>
    <xf borderId="4" fillId="2" fontId="0" numFmtId="0" pivotButton="0" quotePrefix="0" xfId="0"/>
    <xf borderId="5" fillId="2" fontId="0" numFmtId="0" pivotButton="0" quotePrefix="0" xfId="0"/>
    <xf applyAlignment="1" borderId="4" fillId="2" fontId="9" numFmtId="0" pivotButton="0" quotePrefix="0" xfId="0">
      <alignment horizontal="center" vertical="center" wrapText="1"/>
    </xf>
    <xf borderId="10" fillId="0" fontId="0" numFmtId="0" pivotButton="0" quotePrefix="0" xfId="0"/>
    <xf borderId="12" fillId="0" fontId="0" numFmtId="0" pivotButton="0" quotePrefix="0" xfId="0"/>
    <xf borderId="13" fillId="0" fontId="0" numFmtId="0" pivotButton="0" quotePrefix="0" xfId="0"/>
    <xf borderId="14" fillId="4" fontId="0" numFmtId="0" pivotButton="0" quotePrefix="0" xfId="0"/>
    <xf borderId="14" fillId="4" fontId="0" numFmtId="9" pivotButton="0" quotePrefix="0" xfId="0"/>
    <xf borderId="14" fillId="0" fontId="0" numFmtId="165" pivotButton="0" quotePrefix="0" xfId="0"/>
    <xf borderId="14" fillId="0" fontId="0" numFmtId="164" pivotButton="0" quotePrefix="0" xfId="0"/>
    <xf borderId="6" fillId="2" fontId="0" numFmtId="0" pivotButton="0" quotePrefix="0" xfId="0"/>
    <xf borderId="7" fillId="2" fontId="0" numFmtId="0" pivotButton="0" quotePrefix="0" xfId="0"/>
    <xf applyAlignment="1" borderId="0" fillId="0" fontId="10" numFmtId="0" pivotButton="0" quotePrefix="0" xfId="0">
      <alignment horizontal="center" vertical="center" wrapText="1"/>
    </xf>
    <xf applyAlignment="1" borderId="14" fillId="5" fontId="4" numFmtId="0" pivotButton="0" quotePrefix="0" xfId="0">
      <alignment horizontal="right" vertical="center"/>
    </xf>
    <xf borderId="14" fillId="5" fontId="4" numFmtId="164" pivotButton="0" quotePrefix="0" xfId="0"/>
    <xf applyAlignment="1" borderId="14" fillId="0" fontId="5" numFmtId="0" pivotButton="0" quotePrefix="0" xfId="0">
      <alignment horizontal="right" vertical="center"/>
    </xf>
    <xf borderId="14" fillId="0" fontId="13" numFmtId="164" pivotButton="0" quotePrefix="0" xfId="0"/>
    <xf applyAlignment="1" borderId="14" fillId="6" fontId="14" numFmtId="0" pivotButton="0" quotePrefix="0" xfId="0">
      <alignment horizontal="right" vertical="center"/>
    </xf>
    <xf borderId="14" fillId="6" fontId="15" numFmtId="164" pivotButton="0" quotePrefix="0" xfId="0"/>
    <xf applyAlignment="1" borderId="14" fillId="0" fontId="13" numFmtId="0" pivotButton="0" quotePrefix="0" xfId="0">
      <alignment horizontal="right" vertical="center"/>
    </xf>
    <xf applyAlignment="1" borderId="14" fillId="4" fontId="16" numFmtId="9" pivotButton="0" quotePrefix="0" xfId="0">
      <alignment horizontal="center" vertical="center" wrapText="1"/>
    </xf>
    <xf applyAlignment="1" borderId="14" fillId="0" fontId="4" numFmtId="0" pivotButton="0" quotePrefix="0" xfId="0">
      <alignment horizontal="right" vertical="center"/>
    </xf>
    <xf borderId="14" fillId="0" fontId="4" numFmtId="164" pivotButton="0" quotePrefix="0" xfId="0"/>
    <xf applyAlignment="1" borderId="14" fillId="6" fontId="4" numFmtId="0" pivotButton="0" quotePrefix="0" xfId="0">
      <alignment horizontal="right" vertical="center"/>
    </xf>
    <xf borderId="14" fillId="6" fontId="17" numFmtId="164" pivotButton="0" quotePrefix="0" xfId="0"/>
    <xf borderId="14" fillId="0" fontId="13" numFmtId="166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📋 Escandallo — Pastelería y Repostería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Incluye campo de 'Rendimiento' (unidades por receta)</t>
        </is>
      </c>
    </row>
    <row r="9">
      <c r="B9" s="6" t="inlineStr">
        <is>
          <t>▸ El coste se calcula por unidad producida</t>
        </is>
      </c>
    </row>
    <row r="10">
      <c r="B10" s="6" t="inlineStr">
        <is>
          <t>▸ Mermas de pastelería son generalmente más bajas</t>
        </is>
      </c>
    </row>
    <row r="11">
      <c r="B11" s="6" t="inlineStr">
        <is>
          <t>▸ Food cost objetivo en pastelería: 20-30%</t>
        </is>
      </c>
    </row>
    <row r="12">
      <c r="B12" s="5" t="inlineStr"/>
    </row>
    <row r="13">
      <c r="B13" s="7" t="inlineStr">
        <is>
          <t>— Kit de Escandallos Pro · AI Chef Pro · aichef.pro</t>
        </is>
      </c>
    </row>
    <row r="15">
      <c r="B15" s="8" t="inlineStr">
        <is>
          <t>© 2026 AI Chef Pro · Todos los derechos reservados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7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16"/>
    <col customWidth="1" max="3" min="3" width="12"/>
    <col customWidth="1" max="4" min="4" width="14"/>
    <col customWidth="1" max="5" min="5" width="12"/>
    <col customWidth="1" max="6" min="6" width="12"/>
    <col customWidth="1" max="7" min="7" width="10"/>
    <col customWidth="1" max="8" min="8" width="14"/>
    <col customWidth="1" max="9" min="9" width="14"/>
    <col customWidth="1" max="10" min="10" width="3"/>
    <col customWidth="1" max="11" min="11" width="20"/>
    <col customWidth="1" max="12" min="12" width="20"/>
  </cols>
  <sheetData>
    <row r="1">
      <c r="A1" s="9" t="inlineStr">
        <is>
          <t>Tarta de Chocolate 70% — 12 raciones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Chocolate negro 70%</t>
        </is>
      </c>
      <c r="B5" s="16" t="inlineStr">
        <is>
          <t>Chocolate/cacao</t>
        </is>
      </c>
      <c r="C5" s="16" t="inlineStr">
        <is>
          <t>kg</t>
        </is>
      </c>
      <c r="D5" s="17" t="n">
        <v>18</v>
      </c>
      <c r="E5" s="18" t="n">
        <v>0.4</v>
      </c>
      <c r="F5" s="16" t="inlineStr">
        <is>
          <t>kg</t>
        </is>
      </c>
      <c r="G5" s="19" t="n">
        <v>0.05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Mantequilla</t>
        </is>
      </c>
      <c r="B6" s="16" t="inlineStr">
        <is>
          <t>Lácteos</t>
        </is>
      </c>
      <c r="C6" s="16" t="inlineStr">
        <is>
          <t>kg</t>
        </is>
      </c>
      <c r="D6" s="17" t="n">
        <v>9</v>
      </c>
      <c r="E6" s="18" t="n">
        <v>0.25</v>
      </c>
      <c r="F6" s="16" t="inlineStr">
        <is>
          <t>kg</t>
        </is>
      </c>
      <c r="G6" s="19" t="n">
        <v>0.03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Huevos</t>
        </is>
      </c>
      <c r="B7" s="16" t="inlineStr">
        <is>
          <t>Huevos</t>
        </is>
      </c>
      <c r="C7" s="16" t="inlineStr">
        <is>
          <t>docena</t>
        </is>
      </c>
      <c r="D7" s="17" t="n">
        <v>3.6</v>
      </c>
      <c r="E7" s="18" t="n">
        <v>0.5</v>
      </c>
      <c r="F7" s="16" t="inlineStr">
        <is>
          <t>ud</t>
        </is>
      </c>
      <c r="G7" s="19" t="n">
        <v>0.11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Azúcar</t>
        </is>
      </c>
      <c r="B8" s="16" t="inlineStr">
        <is>
          <t>Secos/granos</t>
        </is>
      </c>
      <c r="C8" s="16" t="inlineStr">
        <is>
          <t>kg</t>
        </is>
      </c>
      <c r="D8" s="17" t="n">
        <v>1.2</v>
      </c>
      <c r="E8" s="18" t="n">
        <v>0.2</v>
      </c>
      <c r="F8" s="16" t="inlineStr">
        <is>
          <t>kg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Harina floja</t>
        </is>
      </c>
      <c r="B9" s="16" t="inlineStr">
        <is>
          <t>Secos/granos</t>
        </is>
      </c>
      <c r="C9" s="16" t="inlineStr">
        <is>
          <t>kg</t>
        </is>
      </c>
      <c r="D9" s="17" t="n">
        <v>0.9</v>
      </c>
      <c r="E9" s="18" t="n">
        <v>0.12</v>
      </c>
      <c r="F9" s="16" t="inlineStr">
        <is>
          <t>kg</t>
        </is>
      </c>
      <c r="G9" s="19" t="n">
        <v>0.02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Nata 35% MG</t>
        </is>
      </c>
      <c r="B10" s="16" t="inlineStr">
        <is>
          <t>Lácteos</t>
        </is>
      </c>
      <c r="C10" s="16" t="inlineStr">
        <is>
          <t>L</t>
        </is>
      </c>
      <c r="D10" s="17" t="n">
        <v>3.8</v>
      </c>
      <c r="E10" s="18" t="n">
        <v>0.2</v>
      </c>
      <c r="F10" s="16" t="inlineStr">
        <is>
          <t>L</t>
        </is>
      </c>
      <c r="G10" s="19" t="n">
        <v>0.03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Cacao en polvo</t>
        </is>
      </c>
      <c r="B11" s="16" t="inlineStr">
        <is>
          <t>Chocolate/cacao</t>
        </is>
      </c>
      <c r="C11" s="16" t="inlineStr">
        <is>
          <t>kg</t>
        </is>
      </c>
      <c r="D11" s="17" t="n">
        <v>12</v>
      </c>
      <c r="E11" s="18" t="n">
        <v>0.03</v>
      </c>
      <c r="F11" s="16" t="inlineStr">
        <is>
          <t>kg</t>
        </is>
      </c>
      <c r="G11" s="19" t="n">
        <v>0.05</v>
      </c>
      <c r="H11" s="20">
        <f>E11/(1-G11)</f>
        <v/>
      </c>
      <c r="I11" s="21">
        <f>H11*D11</f>
        <v/>
      </c>
      <c r="K11" s="22" t="n"/>
      <c r="L11" s="23" t="n"/>
    </row>
    <row r="12">
      <c r="A12" s="15" t="inlineStr">
        <is>
          <t>Sal</t>
        </is>
      </c>
      <c r="B12" s="16" t="inlineStr">
        <is>
          <t>Secos/granos</t>
        </is>
      </c>
      <c r="C12" s="16" t="inlineStr">
        <is>
          <t>kg</t>
        </is>
      </c>
      <c r="D12" s="17" t="n">
        <v>0.6</v>
      </c>
      <c r="E12" s="18" t="n">
        <v>0.003</v>
      </c>
      <c r="F12" s="16" t="inlineStr">
        <is>
          <t>kg</t>
        </is>
      </c>
      <c r="G12" s="19" t="n">
        <v>0.02</v>
      </c>
      <c r="H12" s="20">
        <f>E12/(1-G12)</f>
        <v/>
      </c>
      <c r="I12" s="21">
        <f>H12*D12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>
      <c r="A17" s="28" t="n"/>
      <c r="B17" s="28" t="n"/>
      <c r="C17" s="28" t="n"/>
      <c r="D17" s="28" t="n"/>
      <c r="E17" s="28" t="n"/>
      <c r="F17" s="28" t="n"/>
      <c r="G17" s="29" t="n"/>
      <c r="H17" s="30">
        <f>IF(E17="","",E17/(1-G17))</f>
        <v/>
      </c>
      <c r="I17" s="31">
        <f>IF(H17="","",H17*D17)</f>
        <v/>
      </c>
    </row>
    <row r="18"/>
    <row r="19">
      <c r="A19" s="35" t="inlineStr">
        <is>
          <t>COSTE TOTAL INGREDIENTES</t>
        </is>
      </c>
      <c r="I19" s="36">
        <f>SUM(I5:I17)</f>
        <v/>
      </c>
    </row>
    <row r="20">
      <c r="A20" s="37" t="inlineStr">
        <is>
          <t>Coste elaboración (%)</t>
        </is>
      </c>
      <c r="H20" s="19" t="n">
        <v>0.1</v>
      </c>
      <c r="I20" s="38">
        <f>I19*H20</f>
        <v/>
      </c>
    </row>
    <row r="21">
      <c r="A21" s="39" t="inlineStr">
        <is>
          <t>COSTE TOTAL DEL PLATO</t>
        </is>
      </c>
      <c r="I21" s="40">
        <f>I19+I20</f>
        <v/>
      </c>
    </row>
    <row r="22"/>
    <row r="23">
      <c r="A23" s="41" t="inlineStr">
        <is>
          <t>Food Cost objetivo (%)</t>
        </is>
      </c>
      <c r="H23" s="42" t="n">
        <v>0.25</v>
      </c>
    </row>
    <row r="24">
      <c r="A24" s="43" t="inlineStr">
        <is>
          <t>PVP SUGERIDO (sin IVA)</t>
        </is>
      </c>
      <c r="I24" s="44">
        <f>I21/H23</f>
        <v/>
      </c>
    </row>
    <row r="25">
      <c r="A25" s="45" t="inlineStr">
        <is>
          <t>PVP CON IVA (10% hostelería)</t>
        </is>
      </c>
      <c r="I25" s="46">
        <f>I24*1.10</f>
        <v/>
      </c>
    </row>
    <row r="26">
      <c r="A26" s="37" t="inlineStr">
        <is>
          <t>Margen bruto (€)</t>
        </is>
      </c>
      <c r="I26" s="38">
        <f>I24-I21</f>
        <v/>
      </c>
    </row>
    <row r="27">
      <c r="A27" s="37" t="inlineStr">
        <is>
          <t>Margen bruto (%)</t>
        </is>
      </c>
      <c r="I27" s="47">
        <f>I26/I24</f>
        <v/>
      </c>
    </row>
  </sheetData>
  <mergeCells count="13">
    <mergeCell ref="A20:G20"/>
    <mergeCell ref="K15:L15"/>
    <mergeCell ref="K8:L9"/>
    <mergeCell ref="A2:I2"/>
    <mergeCell ref="A26:H26"/>
    <mergeCell ref="A23:G23"/>
    <mergeCell ref="A19:H19"/>
    <mergeCell ref="A1:I1"/>
    <mergeCell ref="A21:H21"/>
    <mergeCell ref="A24:H24"/>
    <mergeCell ref="A27:H27"/>
    <mergeCell ref="K3:L3"/>
    <mergeCell ref="A25:H25"/>
  </mergeCells>
  <dataValidations count="2">
    <dataValidation allowBlank="1" error="Selecciona una categoría válida" errorTitle="Categoría inválida" showDropDown="0" showErrorMessage="0" showInputMessage="0" sqref="B5 B6 B7 B8 B9 B10 B11 B12 B13 B14 B15 B16 B17" type="list">
      <formula1>"Carne roja,Aves,Pescado,Marisco,Verdura hoja,Verdura raíz,Fruta,Lácteos,Secos/granos,Congelados,Pan/bollería,Huevos,Aceites/grasas,Especias/hierbas,Chocolate/cacao,Bebidas/licores"</formula1>
    </dataValidation>
    <dataValidation allowBlank="1" showDropDown="0" showErrorMessage="0" showInputMessage="0" sqref="C5 C6 C7 C8 C9 C10 C11 C12 C13 C14 C15 C16 C17 F5 F6 F7 F8 F9 F10 F11 F12 F13 F14 F15 F16 F17" type="list">
      <formula1>"kg,g,L,ml,cl,ud,docena,manojo,sobre,lata,botella"</formula1>
    </dataValidation>
  </dataValidations>
  <pageMargins bottom="1" footer="0.5" header="0.5" left="0.75" right="0.75" top="1"/>
  <pageSetup fitToHeight="0" fitToWidth="1" orientation="landscape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16"/>
    <col customWidth="1" max="3" min="3" width="12"/>
    <col customWidth="1" max="4" min="4" width="14"/>
    <col customWidth="1" max="5" min="5" width="12"/>
    <col customWidth="1" max="6" min="6" width="12"/>
    <col customWidth="1" max="7" min="7" width="10"/>
    <col customWidth="1" max="8" min="8" width="14"/>
    <col customWidth="1" max="9" min="9" width="14"/>
    <col customWidth="1" max="10" min="10" width="3"/>
    <col customWidth="1" max="11" min="11" width="20"/>
    <col customWidth="1" max="12" min="12" width="20"/>
  </cols>
  <sheetData>
    <row r="1">
      <c r="A1" s="9" t="inlineStr">
        <is>
          <t>Croissants de Mantequilla — 20 unidades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Harina de fuerza</t>
        </is>
      </c>
      <c r="B5" s="16" t="inlineStr">
        <is>
          <t>Secos/granos</t>
        </is>
      </c>
      <c r="C5" s="16" t="inlineStr">
        <is>
          <t>kg</t>
        </is>
      </c>
      <c r="D5" s="17" t="n">
        <v>1.1</v>
      </c>
      <c r="E5" s="18" t="n">
        <v>0.5</v>
      </c>
      <c r="F5" s="16" t="inlineStr">
        <is>
          <t>kg</t>
        </is>
      </c>
      <c r="G5" s="19" t="n">
        <v>0.02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Mantequilla seca (82% MG)</t>
        </is>
      </c>
      <c r="B6" s="16" t="inlineStr">
        <is>
          <t>Lácteos</t>
        </is>
      </c>
      <c r="C6" s="16" t="inlineStr">
        <is>
          <t>kg</t>
        </is>
      </c>
      <c r="D6" s="17" t="n">
        <v>12</v>
      </c>
      <c r="E6" s="18" t="n">
        <v>0.28</v>
      </c>
      <c r="F6" s="16" t="inlineStr">
        <is>
          <t>kg</t>
        </is>
      </c>
      <c r="G6" s="19" t="n">
        <v>0.03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Leche entera</t>
        </is>
      </c>
      <c r="B7" s="16" t="inlineStr">
        <is>
          <t>Lácteos</t>
        </is>
      </c>
      <c r="C7" s="16" t="inlineStr">
        <is>
          <t>L</t>
        </is>
      </c>
      <c r="D7" s="17" t="n">
        <v>1.1</v>
      </c>
      <c r="E7" s="18" t="n">
        <v>0.15</v>
      </c>
      <c r="F7" s="16" t="inlineStr">
        <is>
          <t>L</t>
        </is>
      </c>
      <c r="G7" s="19" t="n">
        <v>0.03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Azúcar</t>
        </is>
      </c>
      <c r="B8" s="16" t="inlineStr">
        <is>
          <t>Secos/granos</t>
        </is>
      </c>
      <c r="C8" s="16" t="inlineStr">
        <is>
          <t>kg</t>
        </is>
      </c>
      <c r="D8" s="17" t="n">
        <v>1.2</v>
      </c>
      <c r="E8" s="18" t="n">
        <v>0.06</v>
      </c>
      <c r="F8" s="16" t="inlineStr">
        <is>
          <t>kg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Levadura fresca</t>
        </is>
      </c>
      <c r="B9" s="16" t="inlineStr">
        <is>
          <t>Lácteos</t>
        </is>
      </c>
      <c r="C9" s="16" t="inlineStr">
        <is>
          <t>kg</t>
        </is>
      </c>
      <c r="D9" s="17" t="n">
        <v>5</v>
      </c>
      <c r="E9" s="18" t="n">
        <v>0.02</v>
      </c>
      <c r="F9" s="16" t="inlineStr">
        <is>
          <t>kg</t>
        </is>
      </c>
      <c r="G9" s="19" t="n">
        <v>0.05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Sal</t>
        </is>
      </c>
      <c r="B10" s="16" t="inlineStr">
        <is>
          <t>Secos/granos</t>
        </is>
      </c>
      <c r="C10" s="16" t="inlineStr">
        <is>
          <t>kg</t>
        </is>
      </c>
      <c r="D10" s="17" t="n">
        <v>0.6</v>
      </c>
      <c r="E10" s="18" t="n">
        <v>0.01</v>
      </c>
      <c r="F10" s="16" t="inlineStr">
        <is>
          <t>kg</t>
        </is>
      </c>
      <c r="G10" s="19" t="n">
        <v>0.02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Huevo (para pintar)</t>
        </is>
      </c>
      <c r="B11" s="16" t="inlineStr">
        <is>
          <t>Huevos</t>
        </is>
      </c>
      <c r="C11" s="16" t="inlineStr">
        <is>
          <t>docena</t>
        </is>
      </c>
      <c r="D11" s="17" t="n">
        <v>3.6</v>
      </c>
      <c r="E11" s="18" t="n">
        <v>0.083</v>
      </c>
      <c r="F11" s="16" t="inlineStr">
        <is>
          <t>ud</t>
        </is>
      </c>
      <c r="G11" s="19" t="n">
        <v>0.11</v>
      </c>
      <c r="H11" s="20">
        <f>E11/(1-G11)</f>
        <v/>
      </c>
      <c r="I11" s="21">
        <f>H11*D11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/>
    <row r="18">
      <c r="A18" s="35" t="inlineStr">
        <is>
          <t>COSTE TOTAL INGREDIENTES</t>
        </is>
      </c>
      <c r="I18" s="36">
        <f>SUM(I5:I16)</f>
        <v/>
      </c>
    </row>
    <row r="19">
      <c r="A19" s="37" t="inlineStr">
        <is>
          <t>Coste elaboración (%)</t>
        </is>
      </c>
      <c r="H19" s="19" t="n">
        <v>0.1</v>
      </c>
      <c r="I19" s="38">
        <f>I18*H19</f>
        <v/>
      </c>
    </row>
    <row r="20">
      <c r="A20" s="39" t="inlineStr">
        <is>
          <t>COSTE TOTAL DEL PLATO</t>
        </is>
      </c>
      <c r="I20" s="40">
        <f>I18+I19</f>
        <v/>
      </c>
    </row>
    <row r="21"/>
    <row r="22">
      <c r="A22" s="41" t="inlineStr">
        <is>
          <t>Food Cost objetivo (%)</t>
        </is>
      </c>
      <c r="H22" s="42" t="n">
        <v>0.25</v>
      </c>
    </row>
    <row r="23">
      <c r="A23" s="43" t="inlineStr">
        <is>
          <t>PVP SUGERIDO (sin IVA)</t>
        </is>
      </c>
      <c r="I23" s="44">
        <f>I20/H22</f>
        <v/>
      </c>
    </row>
    <row r="24">
      <c r="A24" s="45" t="inlineStr">
        <is>
          <t>PVP CON IVA (10% hostelería)</t>
        </is>
      </c>
      <c r="I24" s="46">
        <f>I23*1.10</f>
        <v/>
      </c>
    </row>
    <row r="25">
      <c r="A25" s="37" t="inlineStr">
        <is>
          <t>Margen bruto (€)</t>
        </is>
      </c>
      <c r="I25" s="38">
        <f>I23-I20</f>
        <v/>
      </c>
    </row>
    <row r="26">
      <c r="A26" s="37" t="inlineStr">
        <is>
          <t>Margen bruto (%)</t>
        </is>
      </c>
      <c r="I26" s="47">
        <f>I25/I23</f>
        <v/>
      </c>
    </row>
  </sheetData>
  <mergeCells count="13">
    <mergeCell ref="K15:L15"/>
    <mergeCell ref="A18:H18"/>
    <mergeCell ref="K8:L9"/>
    <mergeCell ref="A25:H25"/>
    <mergeCell ref="A2:I2"/>
    <mergeCell ref="A20:H20"/>
    <mergeCell ref="A26:H26"/>
    <mergeCell ref="A1:I1"/>
    <mergeCell ref="A24:H24"/>
    <mergeCell ref="K3:L3"/>
    <mergeCell ref="A19:G19"/>
    <mergeCell ref="A23:H23"/>
    <mergeCell ref="A22:G22"/>
  </mergeCells>
  <dataValidations count="2">
    <dataValidation allowBlank="1" error="Selecciona una categoría válida" errorTitle="Categoría inválida" showDropDown="0" showErrorMessage="0" showInputMessage="0" sqref="B5 B6 B7 B8 B9 B10 B11 B12 B13 B14 B15 B16" type="list">
      <formula1>"Carne roja,Aves,Pescado,Marisco,Verdura hoja,Verdura raíz,Fruta,Lácteos,Secos/granos,Congelados,Pan/bollería,Huevos,Aceites/grasas,Especias/hierbas,Chocolate/cacao,Bebidas/licores"</formula1>
    </dataValidation>
    <dataValidation allowBlank="1" showDropDown="0" showErrorMessage="0" showInputMessage="0" sqref="C5 C6 C7 C8 C9 C10 C11 C12 C13 C14 C15 C16 F5 F6 F7 F8 F9 F10 F11 F12 F13 F14 F15 F16" type="list">
      <formula1>"kg,g,L,ml,cl,ud,docena,manojo,sobre,lata,botella"</formula1>
    </dataValidation>
  </dataValidations>
  <pageMargins bottom="1" footer="0.5" header="0.5" left="0.75" right="0.75" top="1"/>
  <pageSetup fitToHeight="0" fitToWidth="1" orientation="landscape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25"/>
    <col customWidth="1" max="2" min="2" width="16"/>
    <col customWidth="1" max="3" min="3" width="12"/>
    <col customWidth="1" max="4" min="4" width="14"/>
    <col customWidth="1" max="5" min="5" width="12"/>
    <col customWidth="1" max="6" min="6" width="12"/>
    <col customWidth="1" max="7" min="7" width="10"/>
    <col customWidth="1" max="8" min="8" width="14"/>
    <col customWidth="1" max="9" min="9" width="14"/>
    <col customWidth="1" max="10" min="10" width="3"/>
    <col customWidth="1" max="11" min="11" width="20"/>
    <col customWidth="1" max="12" min="12" width="20"/>
  </cols>
  <sheetData>
    <row r="1">
      <c r="A1" s="9" t="inlineStr">
        <is>
          <t>Macarons de Frambuesa — 30 unidades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Harina de almendra</t>
        </is>
      </c>
      <c r="B5" s="16" t="inlineStr">
        <is>
          <t>Secos/granos</t>
        </is>
      </c>
      <c r="C5" s="16" t="inlineStr">
        <is>
          <t>kg</t>
        </is>
      </c>
      <c r="D5" s="17" t="n">
        <v>14</v>
      </c>
      <c r="E5" s="18" t="n">
        <v>0.15</v>
      </c>
      <c r="F5" s="16" t="inlineStr">
        <is>
          <t>kg</t>
        </is>
      </c>
      <c r="G5" s="19" t="n">
        <v>0.02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Azúcar glas</t>
        </is>
      </c>
      <c r="B6" s="16" t="inlineStr">
        <is>
          <t>Secos/granos</t>
        </is>
      </c>
      <c r="C6" s="16" t="inlineStr">
        <is>
          <t>kg</t>
        </is>
      </c>
      <c r="D6" s="17" t="n">
        <v>2.5</v>
      </c>
      <c r="E6" s="18" t="n">
        <v>0.15</v>
      </c>
      <c r="F6" s="16" t="inlineStr">
        <is>
          <t>kg</t>
        </is>
      </c>
      <c r="G6" s="19" t="n">
        <v>0.02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Claras de huevo</t>
        </is>
      </c>
      <c r="B7" s="16" t="inlineStr">
        <is>
          <t>Huevos</t>
        </is>
      </c>
      <c r="C7" s="16" t="inlineStr">
        <is>
          <t>kg</t>
        </is>
      </c>
      <c r="D7" s="17" t="n">
        <v>6</v>
      </c>
      <c r="E7" s="18" t="n">
        <v>0.11</v>
      </c>
      <c r="F7" s="16" t="inlineStr">
        <is>
          <t>kg</t>
        </is>
      </c>
      <c r="G7" s="19" t="n">
        <v>0.05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Azúcar</t>
        </is>
      </c>
      <c r="B8" s="16" t="inlineStr">
        <is>
          <t>Secos/granos</t>
        </is>
      </c>
      <c r="C8" s="16" t="inlineStr">
        <is>
          <t>kg</t>
        </is>
      </c>
      <c r="D8" s="17" t="n">
        <v>1.2</v>
      </c>
      <c r="E8" s="18" t="n">
        <v>0.15</v>
      </c>
      <c r="F8" s="16" t="inlineStr">
        <is>
          <t>kg</t>
        </is>
      </c>
      <c r="G8" s="19" t="n">
        <v>0.02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Frambuesa congelada</t>
        </is>
      </c>
      <c r="B9" s="16" t="inlineStr">
        <is>
          <t>Congelados</t>
        </is>
      </c>
      <c r="C9" s="16" t="inlineStr">
        <is>
          <t>kg</t>
        </is>
      </c>
      <c r="D9" s="17" t="n">
        <v>9</v>
      </c>
      <c r="E9" s="18" t="n">
        <v>0.1</v>
      </c>
      <c r="F9" s="16" t="inlineStr">
        <is>
          <t>kg</t>
        </is>
      </c>
      <c r="G9" s="19" t="n">
        <v>0.07000000000000001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Chocolate blanco</t>
        </is>
      </c>
      <c r="B10" s="16" t="inlineStr">
        <is>
          <t>Chocolate/cacao</t>
        </is>
      </c>
      <c r="C10" s="16" t="inlineStr">
        <is>
          <t>kg</t>
        </is>
      </c>
      <c r="D10" s="17" t="n">
        <v>15</v>
      </c>
      <c r="E10" s="18" t="n">
        <v>0.08</v>
      </c>
      <c r="F10" s="16" t="inlineStr">
        <is>
          <t>kg</t>
        </is>
      </c>
      <c r="G10" s="19" t="n">
        <v>0.05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Colorante rojo</t>
        </is>
      </c>
      <c r="B11" s="16" t="inlineStr">
        <is>
          <t>Especias/hierbas</t>
        </is>
      </c>
      <c r="C11" s="16" t="inlineStr">
        <is>
          <t>ud</t>
        </is>
      </c>
      <c r="D11" s="17" t="n">
        <v>4</v>
      </c>
      <c r="E11" s="18" t="n">
        <v>0.1</v>
      </c>
      <c r="F11" s="16" t="inlineStr">
        <is>
          <t>ud</t>
        </is>
      </c>
      <c r="G11" s="19" t="n">
        <v>0</v>
      </c>
      <c r="H11" s="20">
        <f>E11/(1-G11)</f>
        <v/>
      </c>
      <c r="I11" s="21">
        <f>H11*D11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7"/>
    <row r="18">
      <c r="A18" s="35" t="inlineStr">
        <is>
          <t>COSTE TOTAL INGREDIENTES</t>
        </is>
      </c>
      <c r="I18" s="36">
        <f>SUM(I5:I16)</f>
        <v/>
      </c>
    </row>
    <row r="19">
      <c r="A19" s="37" t="inlineStr">
        <is>
          <t>Coste elaboración (%)</t>
        </is>
      </c>
      <c r="H19" s="19" t="n">
        <v>0.1</v>
      </c>
      <c r="I19" s="38">
        <f>I18*H19</f>
        <v/>
      </c>
    </row>
    <row r="20">
      <c r="A20" s="39" t="inlineStr">
        <is>
          <t>COSTE TOTAL DEL PLATO</t>
        </is>
      </c>
      <c r="I20" s="40">
        <f>I18+I19</f>
        <v/>
      </c>
    </row>
    <row r="21"/>
    <row r="22">
      <c r="A22" s="41" t="inlineStr">
        <is>
          <t>Food Cost objetivo (%)</t>
        </is>
      </c>
      <c r="H22" s="42" t="n">
        <v>0.25</v>
      </c>
    </row>
    <row r="23">
      <c r="A23" s="43" t="inlineStr">
        <is>
          <t>PVP SUGERIDO (sin IVA)</t>
        </is>
      </c>
      <c r="I23" s="44">
        <f>I20/H22</f>
        <v/>
      </c>
    </row>
    <row r="24">
      <c r="A24" s="45" t="inlineStr">
        <is>
          <t>PVP CON IVA (10% hostelería)</t>
        </is>
      </c>
      <c r="I24" s="46">
        <f>I23*1.10</f>
        <v/>
      </c>
    </row>
    <row r="25">
      <c r="A25" s="37" t="inlineStr">
        <is>
          <t>Margen bruto (€)</t>
        </is>
      </c>
      <c r="I25" s="38">
        <f>I23-I20</f>
        <v/>
      </c>
    </row>
    <row r="26">
      <c r="A26" s="37" t="inlineStr">
        <is>
          <t>Margen bruto (%)</t>
        </is>
      </c>
      <c r="I26" s="47">
        <f>I25/I23</f>
        <v/>
      </c>
    </row>
  </sheetData>
  <mergeCells count="13">
    <mergeCell ref="K15:L15"/>
    <mergeCell ref="A18:H18"/>
    <mergeCell ref="K8:L9"/>
    <mergeCell ref="A25:H25"/>
    <mergeCell ref="A2:I2"/>
    <mergeCell ref="A20:H20"/>
    <mergeCell ref="A26:H26"/>
    <mergeCell ref="A1:I1"/>
    <mergeCell ref="A24:H24"/>
    <mergeCell ref="K3:L3"/>
    <mergeCell ref="A19:G19"/>
    <mergeCell ref="A23:H23"/>
    <mergeCell ref="A22:G22"/>
  </mergeCells>
  <dataValidations count="2">
    <dataValidation allowBlank="1" error="Selecciona una categoría válida" errorTitle="Categoría inválida" showDropDown="0" showErrorMessage="0" showInputMessage="0" sqref="B5 B6 B7 B8 B9 B10 B11 B12 B13 B14 B15 B16" type="list">
      <formula1>"Carne roja,Aves,Pescado,Marisco,Verdura hoja,Verdura raíz,Fruta,Lácteos,Secos/granos,Congelados,Pan/bollería,Huevos,Aceites/grasas,Especias/hierbas,Chocolate/cacao,Bebidas/licores"</formula1>
    </dataValidation>
    <dataValidation allowBlank="1" showDropDown="0" showErrorMessage="0" showInputMessage="0" sqref="C5 C6 C7 C8 C9 C10 C11 C12 C13 C14 C15 C16 F5 F6 F7 F8 F9 F10 F11 F12 F13 F14 F15 F16" type="list">
      <formula1>"kg,g,L,ml,cl,ud,docena,manojo,sobre,lata,botella"</formula1>
    </dataValidation>
  </dataValidations>
  <pageMargins bottom="1" footer="0.5" header="0.5" left="0.75" right="0.75" top="1"/>
  <pageSetup fitToHeight="0" fitToWidth="1"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2026-03-18T21:50:23Z</dcterms:created>
  <dcterms:modified xsi:type="dcterms:W3CDTF">2026-03-18T21:50:23Z</dcterms:modified>
</cp:coreProperties>
</file>