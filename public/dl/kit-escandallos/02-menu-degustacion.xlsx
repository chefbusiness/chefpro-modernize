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1. Aperitivo" sheetId="2" state="visible" r:id="rId2"/>
    <sheet xmlns:r="http://schemas.openxmlformats.org/officeDocument/2006/relationships" name="2. Entrante" sheetId="3" state="visible" r:id="rId3"/>
    <sheet xmlns:r="http://schemas.openxmlformats.org/officeDocument/2006/relationships" name="3. Pescado" sheetId="4" state="visible" r:id="rId4"/>
    <sheet xmlns:r="http://schemas.openxmlformats.org/officeDocument/2006/relationships" name="4. Carne" sheetId="5" state="visible" r:id="rId5"/>
    <sheet xmlns:r="http://schemas.openxmlformats.org/officeDocument/2006/relationships" name="5. Postre" sheetId="6" state="visible" r:id="rId6"/>
    <sheet xmlns:r="http://schemas.openxmlformats.org/officeDocument/2006/relationships" name="Resumen" sheetId="7" state="visible" r:id="rId7"/>
  </sheets>
  <definedNames>
    <definedName name="_xlnm.Print_Area" localSheetId="1">'1. Aperitivo'!$A$1:$I$24</definedName>
    <definedName name="_xlnm.Print_Area" localSheetId="2">'2. Entrante'!$A$1:$I$24</definedName>
    <definedName name="_xlnm.Print_Area" localSheetId="3">'3. Pescado'!$A$1:$I$24</definedName>
    <definedName name="_xlnm.Print_Area" localSheetId="4">'4. Carne'!$A$1:$I$24</definedName>
    <definedName name="_xlnm.Print_Area" localSheetId="5">'5. Postre'!$A$1:$I$24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00"/>
    <numFmt numFmtId="166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</fills>
  <borders count="15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0" fillId="2" borderId="6" pivotButton="0" quotePrefix="0" xfId="0"/>
    <xf numFmtId="0" fontId="0" fillId="2" borderId="7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  <xf numFmtId="0" fontId="1" fillId="0" borderId="0" pivotButton="0" quotePrefix="0" xfId="0"/>
    <xf numFmtId="0" fontId="12" fillId="3" borderId="14" pivotButton="0" quotePrefix="0" xfId="0"/>
    <xf numFmtId="0" fontId="12" fillId="3" borderId="14" applyAlignment="1" pivotButton="0" quotePrefix="0" xfId="0">
      <alignment horizontal="right" vertical="center"/>
    </xf>
    <xf numFmtId="0" fontId="5" fillId="0" borderId="14" pivotButton="0" quotePrefix="0" xfId="0"/>
    <xf numFmtId="0" fontId="4" fillId="6" borderId="14" pivotButton="0" quotePrefix="0" xfId="0"/>
    <xf numFmtId="0" fontId="16" fillId="0" borderId="14" pivotButton="0" quotePrefix="0" xfId="0"/>
    <xf numFmtId="9" fontId="5" fillId="4" borderId="14" pivotButton="0" quotePrefix="0" xfId="0"/>
    <xf numFmtId="0" fontId="4" fillId="0" borderId="14" pivotButton="0" quotePrefix="0" xfId="0"/>
    <xf numFmtId="0" fontId="17" fillId="6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📋 Escandallo — Menú Degustación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6">
      <c r="B6" s="4" t="inlineStr">
        <is>
          <t>Cómo usar esta plantilla</t>
        </is>
      </c>
    </row>
    <row r="7">
      <c r="B7" s="5" t="inlineStr"/>
    </row>
    <row r="8">
      <c r="B8" s="6" t="inlineStr">
        <is>
          <t>▸ Cada pestaña es un pase del menú degustación</t>
        </is>
      </c>
    </row>
    <row r="9">
      <c r="B9" s="6" t="inlineStr">
        <is>
          <t>▸ La pestaña 'Resumen' suma automáticamente todos los pases</t>
        </is>
      </c>
    </row>
    <row r="10">
      <c r="B10" s="6" t="inlineStr">
        <is>
          <t>▸ Introduce ingredientes y cantidades en cada pestaña de pase</t>
        </is>
      </c>
    </row>
    <row r="11">
      <c r="B11" s="6" t="inlineStr">
        <is>
          <t>▸ El PVP se calcula sobre el coste total de todos los pases</t>
        </is>
      </c>
    </row>
    <row r="12">
      <c r="B12" s="5" t="inlineStr"/>
    </row>
    <row r="13">
      <c r="B13" s="7" t="inlineStr">
        <is>
          <t>— Kit de Escandallos Pro · AI Chef Pro · aichef.pro</t>
        </is>
      </c>
    </row>
    <row r="15">
      <c r="B15" s="8" t="inlineStr">
        <is>
          <t>© 2026 AI Chef Pro · Todos los derechos reservados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Aperitivo — Tartar de Atún con Aguacate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Atún rojo (lomo)</t>
        </is>
      </c>
      <c r="B5" s="16" t="inlineStr">
        <is>
          <t>Pescado</t>
        </is>
      </c>
      <c r="C5" s="16" t="inlineStr">
        <is>
          <t>kg</t>
        </is>
      </c>
      <c r="D5" s="17" t="n">
        <v>42</v>
      </c>
      <c r="E5" s="18" t="n">
        <v>0.08</v>
      </c>
      <c r="F5" s="16" t="inlineStr">
        <is>
          <t>kg</t>
        </is>
      </c>
      <c r="G5" s="19" t="n">
        <v>0.35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Aguacate Hass</t>
        </is>
      </c>
      <c r="B6" s="16" t="inlineStr">
        <is>
          <t>Fruta</t>
        </is>
      </c>
      <c r="C6" s="16" t="inlineStr">
        <is>
          <t>ud</t>
        </is>
      </c>
      <c r="D6" s="17" t="n">
        <v>1.5</v>
      </c>
      <c r="E6" s="18" t="n">
        <v>0.5</v>
      </c>
      <c r="F6" s="16" t="inlineStr">
        <is>
          <t>ud</t>
        </is>
      </c>
      <c r="G6" s="19" t="n">
        <v>0.3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Sésamo tostado</t>
        </is>
      </c>
      <c r="B7" s="16" t="inlineStr">
        <is>
          <t>Secos/granos</t>
        </is>
      </c>
      <c r="C7" s="16" t="inlineStr">
        <is>
          <t>kg</t>
        </is>
      </c>
      <c r="D7" s="17" t="n">
        <v>12</v>
      </c>
      <c r="E7" s="18" t="n">
        <v>0.005</v>
      </c>
      <c r="F7" s="16" t="inlineStr">
        <is>
          <t>kg</t>
        </is>
      </c>
      <c r="G7" s="19" t="n">
        <v>0.02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Salsa de soja</t>
        </is>
      </c>
      <c r="B8" s="16" t="inlineStr">
        <is>
          <t>Bebidas/licores</t>
        </is>
      </c>
      <c r="C8" s="16" t="inlineStr">
        <is>
          <t>L</t>
        </is>
      </c>
      <c r="D8" s="17" t="n">
        <v>6</v>
      </c>
      <c r="E8" s="18" t="n">
        <v>0.015</v>
      </c>
      <c r="F8" s="16" t="inlineStr">
        <is>
          <t>L</t>
        </is>
      </c>
      <c r="G8" s="19" t="n">
        <v>0.02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Aceite de sésamo</t>
        </is>
      </c>
      <c r="B9" s="16" t="inlineStr">
        <is>
          <t>Aceites/grasas</t>
        </is>
      </c>
      <c r="C9" s="16" t="inlineStr">
        <is>
          <t>L</t>
        </is>
      </c>
      <c r="D9" s="17" t="n">
        <v>14</v>
      </c>
      <c r="E9" s="18" t="n">
        <v>0.01</v>
      </c>
      <c r="F9" s="16" t="inlineStr">
        <is>
          <t>L</t>
        </is>
      </c>
      <c r="G9" s="19" t="n">
        <v>0.03</v>
      </c>
      <c r="H9" s="20">
        <f>E9/(1-G9)</f>
        <v/>
      </c>
      <c r="I9" s="21">
        <f>H9*D9</f>
        <v/>
      </c>
      <c r="K9" s="26" t="n"/>
      <c r="L9" s="27" t="n"/>
    </row>
    <row r="10">
      <c r="A10" s="28" t="n"/>
      <c r="B10" s="28" t="n"/>
      <c r="C10" s="28" t="n"/>
      <c r="D10" s="28" t="n"/>
      <c r="E10" s="28" t="n"/>
      <c r="F10" s="28" t="n"/>
      <c r="G10" s="29" t="n"/>
      <c r="H10" s="30">
        <f>IF(E10="","",E10/(1-G10))</f>
        <v/>
      </c>
      <c r="I10" s="31">
        <f>IF(H10="","",H10*D10)</f>
        <v/>
      </c>
      <c r="K10" s="22" t="n"/>
      <c r="L10" s="23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>
        <f>IF(E11="","",E11/(1-G11))</f>
        <v/>
      </c>
      <c r="I11" s="31">
        <f>IF(H11="","",H11*D11)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K15" s="34" t="inlineStr">
        <is>
          <t>Insertar → Imagen → Desde archivo</t>
        </is>
      </c>
    </row>
    <row r="16">
      <c r="A16" s="35" t="inlineStr">
        <is>
          <t>COSTE TOTAL INGREDIENTES</t>
        </is>
      </c>
      <c r="I16" s="36">
        <f>SUM(I5:I14)</f>
        <v/>
      </c>
    </row>
    <row r="17">
      <c r="A17" s="37" t="inlineStr">
        <is>
          <t>Coste elaboración (%)</t>
        </is>
      </c>
      <c r="H17" s="19" t="n">
        <v>0.1</v>
      </c>
      <c r="I17" s="38">
        <f>I16*H17</f>
        <v/>
      </c>
    </row>
    <row r="18">
      <c r="A18" s="39" t="inlineStr">
        <is>
          <t>COSTE TOTAL DEL PLATO</t>
        </is>
      </c>
      <c r="I18" s="40">
        <f>I16+I17</f>
        <v/>
      </c>
    </row>
    <row r="20">
      <c r="A20" s="41" t="inlineStr">
        <is>
          <t>Food Cost objetivo (%)</t>
        </is>
      </c>
      <c r="H20" s="42" t="n">
        <v>0.3</v>
      </c>
    </row>
    <row r="21">
      <c r="A21" s="43" t="inlineStr">
        <is>
          <t>PVP SUGERIDO (sin IVA)</t>
        </is>
      </c>
      <c r="I21" s="44">
        <f>I18/H20</f>
        <v/>
      </c>
    </row>
    <row r="22">
      <c r="A22" s="45" t="inlineStr">
        <is>
          <t>PVP CON IVA (10% hostelería)</t>
        </is>
      </c>
      <c r="I22" s="46">
        <f>I21*1.10</f>
        <v/>
      </c>
    </row>
    <row r="23">
      <c r="A23" s="37" t="inlineStr">
        <is>
          <t>Margen bruto (€)</t>
        </is>
      </c>
      <c r="I23" s="38">
        <f>I21-I18</f>
        <v/>
      </c>
    </row>
    <row r="24">
      <c r="A24" s="37" t="inlineStr">
        <is>
          <t>Margen bruto (%)</t>
        </is>
      </c>
      <c r="I24" s="47">
        <f>I23/I21</f>
        <v/>
      </c>
    </row>
  </sheetData>
  <mergeCells count="13">
    <mergeCell ref="A18:H18"/>
    <mergeCell ref="A21:H21"/>
    <mergeCell ref="A2:I2"/>
    <mergeCell ref="A17:G17"/>
    <mergeCell ref="A24:H24"/>
    <mergeCell ref="A16:H16"/>
    <mergeCell ref="K15:L15"/>
    <mergeCell ref="A22:H22"/>
    <mergeCell ref="A1:I1"/>
    <mergeCell ref="A20:G20"/>
    <mergeCell ref="A23:H23"/>
    <mergeCell ref="K8:L9"/>
    <mergeCell ref="K3:L3"/>
  </mergeCells>
  <dataValidations count="2">
    <dataValidation sqref="B5 B6 B7 B8 B9 B10 B11 B12 B13 B14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F5 F6 F7 F8 F9 F10 F11 F12 F13 F14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Entrante — Vieira con Coliflor y Trufa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Vieira fresca (grande)</t>
        </is>
      </c>
      <c r="B5" s="16" t="inlineStr">
        <is>
          <t>Marisco</t>
        </is>
      </c>
      <c r="C5" s="16" t="inlineStr">
        <is>
          <t>kg</t>
        </is>
      </c>
      <c r="D5" s="17" t="n">
        <v>48</v>
      </c>
      <c r="E5" s="18" t="n">
        <v>0.06</v>
      </c>
      <c r="F5" s="16" t="inlineStr">
        <is>
          <t>kg</t>
        </is>
      </c>
      <c r="G5" s="19" t="n">
        <v>0.45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Coliflor</t>
        </is>
      </c>
      <c r="B6" s="16" t="inlineStr">
        <is>
          <t>Verdura raíz</t>
        </is>
      </c>
      <c r="C6" s="16" t="inlineStr">
        <is>
          <t>kg</t>
        </is>
      </c>
      <c r="D6" s="17" t="n">
        <v>2.5</v>
      </c>
      <c r="E6" s="18" t="n">
        <v>0.1</v>
      </c>
      <c r="F6" s="16" t="inlineStr">
        <is>
          <t>kg</t>
        </is>
      </c>
      <c r="G6" s="19" t="n">
        <v>0.3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Trufa negra</t>
        </is>
      </c>
      <c r="B7" s="16" t="inlineStr">
        <is>
          <t>Verdura raíz</t>
        </is>
      </c>
      <c r="C7" s="16" t="inlineStr">
        <is>
          <t>kg</t>
        </is>
      </c>
      <c r="D7" s="17" t="n">
        <v>800</v>
      </c>
      <c r="E7" s="18" t="n">
        <v>0.005</v>
      </c>
      <c r="F7" s="16" t="inlineStr">
        <is>
          <t>kg</t>
        </is>
      </c>
      <c r="G7" s="19" t="n">
        <v>0.1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Nata 35% MG</t>
        </is>
      </c>
      <c r="B8" s="16" t="inlineStr">
        <is>
          <t>Lácteos</t>
        </is>
      </c>
      <c r="C8" s="16" t="inlineStr">
        <is>
          <t>L</t>
        </is>
      </c>
      <c r="D8" s="17" t="n">
        <v>3.8</v>
      </c>
      <c r="E8" s="18" t="n">
        <v>0.05</v>
      </c>
      <c r="F8" s="16" t="inlineStr">
        <is>
          <t>L</t>
        </is>
      </c>
      <c r="G8" s="19" t="n">
        <v>0.03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Mantequilla</t>
        </is>
      </c>
      <c r="B9" s="16" t="inlineStr">
        <is>
          <t>Lácteos</t>
        </is>
      </c>
      <c r="C9" s="16" t="inlineStr">
        <is>
          <t>kg</t>
        </is>
      </c>
      <c r="D9" s="17" t="n">
        <v>9</v>
      </c>
      <c r="E9" s="18" t="n">
        <v>0.02</v>
      </c>
      <c r="F9" s="16" t="inlineStr">
        <is>
          <t>kg</t>
        </is>
      </c>
      <c r="G9" s="19" t="n">
        <v>0.03</v>
      </c>
      <c r="H9" s="20">
        <f>E9/(1-G9)</f>
        <v/>
      </c>
      <c r="I9" s="21">
        <f>H9*D9</f>
        <v/>
      </c>
      <c r="K9" s="26" t="n"/>
      <c r="L9" s="27" t="n"/>
    </row>
    <row r="10">
      <c r="A10" s="28" t="n"/>
      <c r="B10" s="28" t="n"/>
      <c r="C10" s="28" t="n"/>
      <c r="D10" s="28" t="n"/>
      <c r="E10" s="28" t="n"/>
      <c r="F10" s="28" t="n"/>
      <c r="G10" s="29" t="n"/>
      <c r="H10" s="30">
        <f>IF(E10="","",E10/(1-G10))</f>
        <v/>
      </c>
      <c r="I10" s="31">
        <f>IF(H10="","",H10*D10)</f>
        <v/>
      </c>
      <c r="K10" s="22" t="n"/>
      <c r="L10" s="23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>
        <f>IF(E11="","",E11/(1-G11))</f>
        <v/>
      </c>
      <c r="I11" s="31">
        <f>IF(H11="","",H11*D11)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K15" s="34" t="inlineStr">
        <is>
          <t>Insertar → Imagen → Desde archivo</t>
        </is>
      </c>
    </row>
    <row r="16">
      <c r="A16" s="35" t="inlineStr">
        <is>
          <t>COSTE TOTAL INGREDIENTES</t>
        </is>
      </c>
      <c r="I16" s="36">
        <f>SUM(I5:I14)</f>
        <v/>
      </c>
    </row>
    <row r="17">
      <c r="A17" s="37" t="inlineStr">
        <is>
          <t>Coste elaboración (%)</t>
        </is>
      </c>
      <c r="H17" s="19" t="n">
        <v>0.1</v>
      </c>
      <c r="I17" s="38">
        <f>I16*H17</f>
        <v/>
      </c>
    </row>
    <row r="18">
      <c r="A18" s="39" t="inlineStr">
        <is>
          <t>COSTE TOTAL DEL PLATO</t>
        </is>
      </c>
      <c r="I18" s="40">
        <f>I16+I17</f>
        <v/>
      </c>
    </row>
    <row r="20">
      <c r="A20" s="41" t="inlineStr">
        <is>
          <t>Food Cost objetivo (%)</t>
        </is>
      </c>
      <c r="H20" s="42" t="n">
        <v>0.3</v>
      </c>
    </row>
    <row r="21">
      <c r="A21" s="43" t="inlineStr">
        <is>
          <t>PVP SUGERIDO (sin IVA)</t>
        </is>
      </c>
      <c r="I21" s="44">
        <f>I18/H20</f>
        <v/>
      </c>
    </row>
    <row r="22">
      <c r="A22" s="45" t="inlineStr">
        <is>
          <t>PVP CON IVA (10% hostelería)</t>
        </is>
      </c>
      <c r="I22" s="46">
        <f>I21*1.10</f>
        <v/>
      </c>
    </row>
    <row r="23">
      <c r="A23" s="37" t="inlineStr">
        <is>
          <t>Margen bruto (€)</t>
        </is>
      </c>
      <c r="I23" s="38">
        <f>I21-I18</f>
        <v/>
      </c>
    </row>
    <row r="24">
      <c r="A24" s="37" t="inlineStr">
        <is>
          <t>Margen bruto (%)</t>
        </is>
      </c>
      <c r="I24" s="47">
        <f>I23/I21</f>
        <v/>
      </c>
    </row>
  </sheetData>
  <mergeCells count="13">
    <mergeCell ref="A18:H18"/>
    <mergeCell ref="A21:H21"/>
    <mergeCell ref="A2:I2"/>
    <mergeCell ref="A17:G17"/>
    <mergeCell ref="A24:H24"/>
    <mergeCell ref="A16:H16"/>
    <mergeCell ref="K15:L15"/>
    <mergeCell ref="A22:H22"/>
    <mergeCell ref="A1:I1"/>
    <mergeCell ref="A20:G20"/>
    <mergeCell ref="A23:H23"/>
    <mergeCell ref="K8:L9"/>
    <mergeCell ref="K3:L3"/>
  </mergeCells>
  <dataValidations count="2">
    <dataValidation sqref="B5 B6 B7 B8 B9 B10 B11 B12 B13 B14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F5 F6 F7 F8 F9 F10 F11 F12 F13 F14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Pescado — Lubina con Beurre Blanc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Lubina salvaje</t>
        </is>
      </c>
      <c r="B5" s="16" t="inlineStr">
        <is>
          <t>Pescado</t>
        </is>
      </c>
      <c r="C5" s="16" t="inlineStr">
        <is>
          <t>kg</t>
        </is>
      </c>
      <c r="D5" s="17" t="n">
        <v>32</v>
      </c>
      <c r="E5" s="18" t="n">
        <v>0.16</v>
      </c>
      <c r="F5" s="16" t="inlineStr">
        <is>
          <t>kg</t>
        </is>
      </c>
      <c r="G5" s="19" t="n">
        <v>0.4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Chalota</t>
        </is>
      </c>
      <c r="B6" s="16" t="inlineStr">
        <is>
          <t>Verdura raíz</t>
        </is>
      </c>
      <c r="C6" s="16" t="inlineStr">
        <is>
          <t>kg</t>
        </is>
      </c>
      <c r="D6" s="17" t="n">
        <v>4.5</v>
      </c>
      <c r="E6" s="18" t="n">
        <v>0.03</v>
      </c>
      <c r="F6" s="16" t="inlineStr">
        <is>
          <t>kg</t>
        </is>
      </c>
      <c r="G6" s="19" t="n">
        <v>0.15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Vino blanco seco</t>
        </is>
      </c>
      <c r="B7" s="16" t="inlineStr">
        <is>
          <t>Bebidas/licores</t>
        </is>
      </c>
      <c r="C7" s="16" t="inlineStr">
        <is>
          <t>L</t>
        </is>
      </c>
      <c r="D7" s="17" t="n">
        <v>5</v>
      </c>
      <c r="E7" s="18" t="n">
        <v>0.04</v>
      </c>
      <c r="F7" s="16" t="inlineStr">
        <is>
          <t>L</t>
        </is>
      </c>
      <c r="G7" s="19" t="n">
        <v>0.02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Mantequilla</t>
        </is>
      </c>
      <c r="B8" s="16" t="inlineStr">
        <is>
          <t>Lácteos</t>
        </is>
      </c>
      <c r="C8" s="16" t="inlineStr">
        <is>
          <t>kg</t>
        </is>
      </c>
      <c r="D8" s="17" t="n">
        <v>9</v>
      </c>
      <c r="E8" s="18" t="n">
        <v>0.04</v>
      </c>
      <c r="F8" s="16" t="inlineStr">
        <is>
          <t>kg</t>
        </is>
      </c>
      <c r="G8" s="19" t="n">
        <v>0.03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Hinojo fresco</t>
        </is>
      </c>
      <c r="B9" s="16" t="inlineStr">
        <is>
          <t>Verdura hoja</t>
        </is>
      </c>
      <c r="C9" s="16" t="inlineStr">
        <is>
          <t>kg</t>
        </is>
      </c>
      <c r="D9" s="17" t="n">
        <v>5</v>
      </c>
      <c r="E9" s="18" t="n">
        <v>0.06</v>
      </c>
      <c r="F9" s="16" t="inlineStr">
        <is>
          <t>kg</t>
        </is>
      </c>
      <c r="G9" s="19" t="n">
        <v>0.25</v>
      </c>
      <c r="H9" s="20">
        <f>E9/(1-G9)</f>
        <v/>
      </c>
      <c r="I9" s="21">
        <f>H9*D9</f>
        <v/>
      </c>
      <c r="K9" s="26" t="n"/>
      <c r="L9" s="27" t="n"/>
    </row>
    <row r="10">
      <c r="A10" s="28" t="n"/>
      <c r="B10" s="28" t="n"/>
      <c r="C10" s="28" t="n"/>
      <c r="D10" s="28" t="n"/>
      <c r="E10" s="28" t="n"/>
      <c r="F10" s="28" t="n"/>
      <c r="G10" s="29" t="n"/>
      <c r="H10" s="30">
        <f>IF(E10="","",E10/(1-G10))</f>
        <v/>
      </c>
      <c r="I10" s="31">
        <f>IF(H10="","",H10*D10)</f>
        <v/>
      </c>
      <c r="K10" s="22" t="n"/>
      <c r="L10" s="23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>
        <f>IF(E11="","",E11/(1-G11))</f>
        <v/>
      </c>
      <c r="I11" s="31">
        <f>IF(H11="","",H11*D11)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K15" s="34" t="inlineStr">
        <is>
          <t>Insertar → Imagen → Desde archivo</t>
        </is>
      </c>
    </row>
    <row r="16">
      <c r="A16" s="35" t="inlineStr">
        <is>
          <t>COSTE TOTAL INGREDIENTES</t>
        </is>
      </c>
      <c r="I16" s="36">
        <f>SUM(I5:I14)</f>
        <v/>
      </c>
    </row>
    <row r="17">
      <c r="A17" s="37" t="inlineStr">
        <is>
          <t>Coste elaboración (%)</t>
        </is>
      </c>
      <c r="H17" s="19" t="n">
        <v>0.1</v>
      </c>
      <c r="I17" s="38">
        <f>I16*H17</f>
        <v/>
      </c>
    </row>
    <row r="18">
      <c r="A18" s="39" t="inlineStr">
        <is>
          <t>COSTE TOTAL DEL PLATO</t>
        </is>
      </c>
      <c r="I18" s="40">
        <f>I16+I17</f>
        <v/>
      </c>
    </row>
    <row r="20">
      <c r="A20" s="41" t="inlineStr">
        <is>
          <t>Food Cost objetivo (%)</t>
        </is>
      </c>
      <c r="H20" s="42" t="n">
        <v>0.3</v>
      </c>
    </row>
    <row r="21">
      <c r="A21" s="43" t="inlineStr">
        <is>
          <t>PVP SUGERIDO (sin IVA)</t>
        </is>
      </c>
      <c r="I21" s="44">
        <f>I18/H20</f>
        <v/>
      </c>
    </row>
    <row r="22">
      <c r="A22" s="45" t="inlineStr">
        <is>
          <t>PVP CON IVA (10% hostelería)</t>
        </is>
      </c>
      <c r="I22" s="46">
        <f>I21*1.10</f>
        <v/>
      </c>
    </row>
    <row r="23">
      <c r="A23" s="37" t="inlineStr">
        <is>
          <t>Margen bruto (€)</t>
        </is>
      </c>
      <c r="I23" s="38">
        <f>I21-I18</f>
        <v/>
      </c>
    </row>
    <row r="24">
      <c r="A24" s="37" t="inlineStr">
        <is>
          <t>Margen bruto (%)</t>
        </is>
      </c>
      <c r="I24" s="47">
        <f>I23/I21</f>
        <v/>
      </c>
    </row>
  </sheetData>
  <mergeCells count="13">
    <mergeCell ref="A18:H18"/>
    <mergeCell ref="A21:H21"/>
    <mergeCell ref="A2:I2"/>
    <mergeCell ref="A17:G17"/>
    <mergeCell ref="A24:H24"/>
    <mergeCell ref="A16:H16"/>
    <mergeCell ref="K15:L15"/>
    <mergeCell ref="A22:H22"/>
    <mergeCell ref="A1:I1"/>
    <mergeCell ref="A20:G20"/>
    <mergeCell ref="A23:H23"/>
    <mergeCell ref="K8:L9"/>
    <mergeCell ref="K3:L3"/>
  </mergeCells>
  <dataValidations count="2">
    <dataValidation sqref="B5 B6 B7 B8 B9 B10 B11 B12 B13 B14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F5 F6 F7 F8 F9 F10 F11 F12 F13 F14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Carne — Carrillera Ibérica al Vino Tinto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Carrillera ibérica</t>
        </is>
      </c>
      <c r="B5" s="16" t="inlineStr">
        <is>
          <t>Carne roja</t>
        </is>
      </c>
      <c r="C5" s="16" t="inlineStr">
        <is>
          <t>kg</t>
        </is>
      </c>
      <c r="D5" s="17" t="n">
        <v>18</v>
      </c>
      <c r="E5" s="18" t="n">
        <v>0.2</v>
      </c>
      <c r="F5" s="16" t="inlineStr">
        <is>
          <t>kg</t>
        </is>
      </c>
      <c r="G5" s="19" t="n">
        <v>0.15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Vino tinto reserva</t>
        </is>
      </c>
      <c r="B6" s="16" t="inlineStr">
        <is>
          <t>Bebidas/licores</t>
        </is>
      </c>
      <c r="C6" s="16" t="inlineStr">
        <is>
          <t>L</t>
        </is>
      </c>
      <c r="D6" s="17" t="n">
        <v>6</v>
      </c>
      <c r="E6" s="18" t="n">
        <v>0.1</v>
      </c>
      <c r="F6" s="16" t="inlineStr">
        <is>
          <t>L</t>
        </is>
      </c>
      <c r="G6" s="19" t="n">
        <v>0.02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Zanahoria</t>
        </is>
      </c>
      <c r="B7" s="16" t="inlineStr">
        <is>
          <t>Verdura raíz</t>
        </is>
      </c>
      <c r="C7" s="16" t="inlineStr">
        <is>
          <t>kg</t>
        </is>
      </c>
      <c r="D7" s="17" t="n">
        <v>1.2</v>
      </c>
      <c r="E7" s="18" t="n">
        <v>0.05</v>
      </c>
      <c r="F7" s="16" t="inlineStr">
        <is>
          <t>kg</t>
        </is>
      </c>
      <c r="G7" s="19" t="n">
        <v>0.12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Puré de boniato</t>
        </is>
      </c>
      <c r="B8" s="16" t="inlineStr">
        <is>
          <t>Verdura raíz</t>
        </is>
      </c>
      <c r="C8" s="16" t="inlineStr">
        <is>
          <t>kg</t>
        </is>
      </c>
      <c r="D8" s="17" t="n">
        <v>2.5</v>
      </c>
      <c r="E8" s="18" t="n">
        <v>0.1</v>
      </c>
      <c r="F8" s="16" t="inlineStr">
        <is>
          <t>kg</t>
        </is>
      </c>
      <c r="G8" s="19" t="n">
        <v>0.15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Romero fresco</t>
        </is>
      </c>
      <c r="B9" s="16" t="inlineStr">
        <is>
          <t>Especias/hierbas</t>
        </is>
      </c>
      <c r="C9" s="16" t="inlineStr">
        <is>
          <t>manojo</t>
        </is>
      </c>
      <c r="D9" s="17" t="n">
        <v>1</v>
      </c>
      <c r="E9" s="18" t="n">
        <v>0.5</v>
      </c>
      <c r="F9" s="16" t="inlineStr">
        <is>
          <t>ud</t>
        </is>
      </c>
      <c r="G9" s="19" t="n">
        <v>0.2</v>
      </c>
      <c r="H9" s="20">
        <f>E9/(1-G9)</f>
        <v/>
      </c>
      <c r="I9" s="21">
        <f>H9*D9</f>
        <v/>
      </c>
      <c r="K9" s="26" t="n"/>
      <c r="L9" s="27" t="n"/>
    </row>
    <row r="10">
      <c r="A10" s="28" t="n"/>
      <c r="B10" s="28" t="n"/>
      <c r="C10" s="28" t="n"/>
      <c r="D10" s="28" t="n"/>
      <c r="E10" s="28" t="n"/>
      <c r="F10" s="28" t="n"/>
      <c r="G10" s="29" t="n"/>
      <c r="H10" s="30">
        <f>IF(E10="","",E10/(1-G10))</f>
        <v/>
      </c>
      <c r="I10" s="31">
        <f>IF(H10="","",H10*D10)</f>
        <v/>
      </c>
      <c r="K10" s="22" t="n"/>
      <c r="L10" s="23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>
        <f>IF(E11="","",E11/(1-G11))</f>
        <v/>
      </c>
      <c r="I11" s="31">
        <f>IF(H11="","",H11*D11)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K15" s="34" t="inlineStr">
        <is>
          <t>Insertar → Imagen → Desde archivo</t>
        </is>
      </c>
    </row>
    <row r="16">
      <c r="A16" s="35" t="inlineStr">
        <is>
          <t>COSTE TOTAL INGREDIENTES</t>
        </is>
      </c>
      <c r="I16" s="36">
        <f>SUM(I5:I14)</f>
        <v/>
      </c>
    </row>
    <row r="17">
      <c r="A17" s="37" t="inlineStr">
        <is>
          <t>Coste elaboración (%)</t>
        </is>
      </c>
      <c r="H17" s="19" t="n">
        <v>0.1</v>
      </c>
      <c r="I17" s="38">
        <f>I16*H17</f>
        <v/>
      </c>
    </row>
    <row r="18">
      <c r="A18" s="39" t="inlineStr">
        <is>
          <t>COSTE TOTAL DEL PLATO</t>
        </is>
      </c>
      <c r="I18" s="40">
        <f>I16+I17</f>
        <v/>
      </c>
    </row>
    <row r="20">
      <c r="A20" s="41" t="inlineStr">
        <is>
          <t>Food Cost objetivo (%)</t>
        </is>
      </c>
      <c r="H20" s="42" t="n">
        <v>0.3</v>
      </c>
    </row>
    <row r="21">
      <c r="A21" s="43" t="inlineStr">
        <is>
          <t>PVP SUGERIDO (sin IVA)</t>
        </is>
      </c>
      <c r="I21" s="44">
        <f>I18/H20</f>
        <v/>
      </c>
    </row>
    <row r="22">
      <c r="A22" s="45" t="inlineStr">
        <is>
          <t>PVP CON IVA (10% hostelería)</t>
        </is>
      </c>
      <c r="I22" s="46">
        <f>I21*1.10</f>
        <v/>
      </c>
    </row>
    <row r="23">
      <c r="A23" s="37" t="inlineStr">
        <is>
          <t>Margen bruto (€)</t>
        </is>
      </c>
      <c r="I23" s="38">
        <f>I21-I18</f>
        <v/>
      </c>
    </row>
    <row r="24">
      <c r="A24" s="37" t="inlineStr">
        <is>
          <t>Margen bruto (%)</t>
        </is>
      </c>
      <c r="I24" s="47">
        <f>I23/I21</f>
        <v/>
      </c>
    </row>
  </sheetData>
  <mergeCells count="13">
    <mergeCell ref="A18:H18"/>
    <mergeCell ref="A21:H21"/>
    <mergeCell ref="A2:I2"/>
    <mergeCell ref="A17:G17"/>
    <mergeCell ref="A24:H24"/>
    <mergeCell ref="A16:H16"/>
    <mergeCell ref="K15:L15"/>
    <mergeCell ref="A22:H22"/>
    <mergeCell ref="A1:I1"/>
    <mergeCell ref="A20:G20"/>
    <mergeCell ref="A23:H23"/>
    <mergeCell ref="K8:L9"/>
    <mergeCell ref="K3:L3"/>
  </mergeCells>
  <dataValidations count="2">
    <dataValidation sqref="B5 B6 B7 B8 B9 B10 B11 B12 B13 B14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F5 F6 F7 F8 F9 F10 F11 F12 F13 F14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FFD700"/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Postre — Esfera de Chocolate con Fruta de la Pasión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Chocolate negro 70%</t>
        </is>
      </c>
      <c r="B5" s="16" t="inlineStr">
        <is>
          <t>Chocolate/cacao</t>
        </is>
      </c>
      <c r="C5" s="16" t="inlineStr">
        <is>
          <t>kg</t>
        </is>
      </c>
      <c r="D5" s="17" t="n">
        <v>18</v>
      </c>
      <c r="E5" s="18" t="n">
        <v>0.06</v>
      </c>
      <c r="F5" s="16" t="inlineStr">
        <is>
          <t>kg</t>
        </is>
      </c>
      <c r="G5" s="19" t="n">
        <v>0.05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Fruta de la pasión</t>
        </is>
      </c>
      <c r="B6" s="16" t="inlineStr">
        <is>
          <t>Fruta</t>
        </is>
      </c>
      <c r="C6" s="16" t="inlineStr">
        <is>
          <t>kg</t>
        </is>
      </c>
      <c r="D6" s="17" t="n">
        <v>14</v>
      </c>
      <c r="E6" s="18" t="n">
        <v>0.04</v>
      </c>
      <c r="F6" s="16" t="inlineStr">
        <is>
          <t>kg</t>
        </is>
      </c>
      <c r="G6" s="19" t="n">
        <v>0.5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Nata 35% MG</t>
        </is>
      </c>
      <c r="B7" s="16" t="inlineStr">
        <is>
          <t>Lácteos</t>
        </is>
      </c>
      <c r="C7" s="16" t="inlineStr">
        <is>
          <t>L</t>
        </is>
      </c>
      <c r="D7" s="17" t="n">
        <v>3.8</v>
      </c>
      <c r="E7" s="18" t="n">
        <v>0.06</v>
      </c>
      <c r="F7" s="16" t="inlineStr">
        <is>
          <t>L</t>
        </is>
      </c>
      <c r="G7" s="19" t="n">
        <v>0.03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Azúcar</t>
        </is>
      </c>
      <c r="B8" s="16" t="inlineStr">
        <is>
          <t>Secos/granos</t>
        </is>
      </c>
      <c r="C8" s="16" t="inlineStr">
        <is>
          <t>kg</t>
        </is>
      </c>
      <c r="D8" s="17" t="n">
        <v>1.2</v>
      </c>
      <c r="E8" s="18" t="n">
        <v>0.025</v>
      </c>
      <c r="F8" s="16" t="inlineStr">
        <is>
          <t>kg</t>
        </is>
      </c>
      <c r="G8" s="19" t="n">
        <v>0.02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Manteca de cacao</t>
        </is>
      </c>
      <c r="B9" s="16" t="inlineStr">
        <is>
          <t>Chocolate/cacao</t>
        </is>
      </c>
      <c r="C9" s="16" t="inlineStr">
        <is>
          <t>kg</t>
        </is>
      </c>
      <c r="D9" s="17" t="n">
        <v>22</v>
      </c>
      <c r="E9" s="18" t="n">
        <v>0.015</v>
      </c>
      <c r="F9" s="16" t="inlineStr">
        <is>
          <t>kg</t>
        </is>
      </c>
      <c r="G9" s="19" t="n">
        <v>0.05</v>
      </c>
      <c r="H9" s="20">
        <f>E9/(1-G9)</f>
        <v/>
      </c>
      <c r="I9" s="21">
        <f>H9*D9</f>
        <v/>
      </c>
      <c r="K9" s="26" t="n"/>
      <c r="L9" s="27" t="n"/>
    </row>
    <row r="10">
      <c r="A10" s="28" t="n"/>
      <c r="B10" s="28" t="n"/>
      <c r="C10" s="28" t="n"/>
      <c r="D10" s="28" t="n"/>
      <c r="E10" s="28" t="n"/>
      <c r="F10" s="28" t="n"/>
      <c r="G10" s="29" t="n"/>
      <c r="H10" s="30">
        <f>IF(E10="","",E10/(1-G10))</f>
        <v/>
      </c>
      <c r="I10" s="31">
        <f>IF(H10="","",H10*D10)</f>
        <v/>
      </c>
      <c r="K10" s="22" t="n"/>
      <c r="L10" s="23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>
        <f>IF(E11="","",E11/(1-G11))</f>
        <v/>
      </c>
      <c r="I11" s="31">
        <f>IF(H11="","",H11*D11)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K15" s="34" t="inlineStr">
        <is>
          <t>Insertar → Imagen → Desde archivo</t>
        </is>
      </c>
    </row>
    <row r="16">
      <c r="A16" s="35" t="inlineStr">
        <is>
          <t>COSTE TOTAL INGREDIENTES</t>
        </is>
      </c>
      <c r="I16" s="36">
        <f>SUM(I5:I14)</f>
        <v/>
      </c>
    </row>
    <row r="17">
      <c r="A17" s="37" t="inlineStr">
        <is>
          <t>Coste elaboración (%)</t>
        </is>
      </c>
      <c r="H17" s="19" t="n">
        <v>0.1</v>
      </c>
      <c r="I17" s="38">
        <f>I16*H17</f>
        <v/>
      </c>
    </row>
    <row r="18">
      <c r="A18" s="39" t="inlineStr">
        <is>
          <t>COSTE TOTAL DEL PLATO</t>
        </is>
      </c>
      <c r="I18" s="40">
        <f>I16+I17</f>
        <v/>
      </c>
    </row>
    <row r="20">
      <c r="A20" s="41" t="inlineStr">
        <is>
          <t>Food Cost objetivo (%)</t>
        </is>
      </c>
      <c r="H20" s="42" t="n">
        <v>0.3</v>
      </c>
    </row>
    <row r="21">
      <c r="A21" s="43" t="inlineStr">
        <is>
          <t>PVP SUGERIDO (sin IVA)</t>
        </is>
      </c>
      <c r="I21" s="44">
        <f>I18/H20</f>
        <v/>
      </c>
    </row>
    <row r="22">
      <c r="A22" s="45" t="inlineStr">
        <is>
          <t>PVP CON IVA (10% hostelería)</t>
        </is>
      </c>
      <c r="I22" s="46">
        <f>I21*1.10</f>
        <v/>
      </c>
    </row>
    <row r="23">
      <c r="A23" s="37" t="inlineStr">
        <is>
          <t>Margen bruto (€)</t>
        </is>
      </c>
      <c r="I23" s="38">
        <f>I21-I18</f>
        <v/>
      </c>
    </row>
    <row r="24">
      <c r="A24" s="37" t="inlineStr">
        <is>
          <t>Margen bruto (%)</t>
        </is>
      </c>
      <c r="I24" s="47">
        <f>I23/I21</f>
        <v/>
      </c>
    </row>
  </sheetData>
  <mergeCells count="13">
    <mergeCell ref="A18:H18"/>
    <mergeCell ref="A21:H21"/>
    <mergeCell ref="A2:I2"/>
    <mergeCell ref="A17:G17"/>
    <mergeCell ref="A24:H24"/>
    <mergeCell ref="A16:H16"/>
    <mergeCell ref="K15:L15"/>
    <mergeCell ref="A22:H22"/>
    <mergeCell ref="A1:I1"/>
    <mergeCell ref="A20:G20"/>
    <mergeCell ref="A23:H23"/>
    <mergeCell ref="K8:L9"/>
    <mergeCell ref="K3:L3"/>
  </mergeCells>
  <dataValidations count="2">
    <dataValidation sqref="B5 B6 B7 B8 B9 B10 B11 B12 B13 B14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F5 F6 F7 F8 F9 F10 F11 F12 F13 F14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FF4444"/>
    <outlinePr summaryBelow="1" summaryRight="1"/>
    <pageSetUpPr/>
  </sheetPr>
  <dimension ref="B2:C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</cols>
  <sheetData>
    <row r="2">
      <c r="B2" s="48" t="inlineStr">
        <is>
          <t>Resumen — Menú Degustación</t>
        </is>
      </c>
    </row>
    <row r="4">
      <c r="B4" s="49" t="inlineStr">
        <is>
          <t>Pase</t>
        </is>
      </c>
      <c r="C4" s="50" t="inlineStr">
        <is>
          <t>Coste (€)</t>
        </is>
      </c>
    </row>
    <row r="5">
      <c r="B5" s="51" t="inlineStr">
        <is>
          <t>1. Aperitivo</t>
        </is>
      </c>
      <c r="C5" s="21">
        <f>'1. Aperitivo'!I18</f>
        <v/>
      </c>
    </row>
    <row r="6">
      <c r="B6" s="51" t="inlineStr">
        <is>
          <t>2. Entrante</t>
        </is>
      </c>
      <c r="C6" s="21">
        <f>'2. Entrante'!I18</f>
        <v/>
      </c>
    </row>
    <row r="7">
      <c r="B7" s="51" t="inlineStr">
        <is>
          <t>3. Pescado</t>
        </is>
      </c>
      <c r="C7" s="21">
        <f>'3. Pescado'!I18</f>
        <v/>
      </c>
    </row>
    <row r="8">
      <c r="B8" s="51" t="inlineStr">
        <is>
          <t>4. Carne</t>
        </is>
      </c>
      <c r="C8" s="21">
        <f>'4. Carne'!I18</f>
        <v/>
      </c>
    </row>
    <row r="9">
      <c r="B9" s="51" t="inlineStr">
        <is>
          <t>5. Postre</t>
        </is>
      </c>
      <c r="C9" s="21">
        <f>'5. Postre'!I18</f>
        <v/>
      </c>
    </row>
    <row r="10">
      <c r="B10" s="52" t="inlineStr">
        <is>
          <t>COSTE TOTAL MENÚ</t>
        </is>
      </c>
      <c r="C10" s="46">
        <f>SUM(C5:C9)</f>
        <v/>
      </c>
    </row>
    <row r="12">
      <c r="B12" s="53" t="inlineStr">
        <is>
          <t>Food Cost objetivo (%)</t>
        </is>
      </c>
      <c r="C12" s="54" t="n">
        <v>0.25</v>
      </c>
    </row>
    <row r="13">
      <c r="B13" s="55" t="inlineStr">
        <is>
          <t>PVP SUGERIDO (sin IVA)</t>
        </is>
      </c>
      <c r="C13" s="44">
        <f>C10/C12</f>
        <v/>
      </c>
    </row>
    <row r="14">
      <c r="B14" s="56" t="inlineStr">
        <is>
          <t>PVP CON IVA (10%)</t>
        </is>
      </c>
      <c r="C14" s="46">
        <f>C13*1.10</f>
        <v/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2026-03-16T17:45:43Z</dcterms:created>
  <dcterms:modified xmlns:dcterms="http://purl.org/dc/terms/" xmlns:xsi="http://www.w3.org/2001/XMLSchema-instance" xsi:type="dcterms:W3CDTF">2026-03-16T17:45:44Z</dcterms:modified>
</cp:coreProperties>
</file>