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1. Aperitivo" sheetId="2" state="visible" r:id="rId2"/>
    <sheet name="2. Entrante" sheetId="3" state="visible" r:id="rId3"/>
    <sheet name="3. Pescado" sheetId="4" state="visible" r:id="rId4"/>
    <sheet name="4. Carne" sheetId="5" state="visible" r:id="rId5"/>
    <sheet name="5. Postre" sheetId="6" state="visible" r:id="rId6"/>
    <sheet name="Resumen" sheetId="7" state="visible" r:id="rId7"/>
  </sheets>
  <definedNames>
    <definedName localSheetId="1" name="_xlnm.Print_Area">'1. Aperitivo'!$A$1:$I$24</definedName>
    <definedName localSheetId="2" name="_xlnm.Print_Area">'2. Entrante'!$A$1:$I$24</definedName>
    <definedName localSheetId="3" name="_xlnm.Print_Area">'3. Pescado'!$A$1:$I$24</definedName>
    <definedName localSheetId="4" name="_xlnm.Print_Area">'4. Carne'!$A$1:$I$24</definedName>
    <definedName localSheetId="5" name="_xlnm.Print_Area">'5. Postre'!$A$1:$I$24</definedName>
  </definedNames>
  <calcPr calcId="124519" fullCalcOnLoad="1"/>
</workbook>
</file>

<file path=xl/styles.xml><?xml version="1.0" encoding="utf-8"?>
<styleSheet xmlns="http://schemas.openxmlformats.org/spreadsheetml/2006/main">
  <numFmts count="3">
    <numFmt formatCode="#,##0.00 €" numFmtId="164"/>
    <numFmt formatCode="0.000" numFmtId="165"/>
    <numFmt formatCode="0.0%" numFmtId="166"/>
  </numFmts>
  <fonts count="18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color rgb="00888888"/>
      <sz val="11"/>
    </font>
    <font>
      <name val="Calibri"/>
      <i val="1"/>
      <color rgb="00888888"/>
      <sz val="10"/>
    </font>
    <font>
      <name val="Calibri"/>
      <b val="1"/>
      <color rgb="001A1A1A"/>
      <sz val="12"/>
    </font>
    <font>
      <name val="Calibri"/>
      <color rgb="00333333"/>
      <sz val="11"/>
    </font>
    <font>
      <name val="Calibri"/>
      <i val="1"/>
      <color rgb="00888888"/>
      <sz val="11"/>
    </font>
    <font>
      <name val="Calibri"/>
      <color rgb="00AAAAAA"/>
      <sz val="9"/>
    </font>
    <font>
      <name val="Calibri"/>
      <b val="1"/>
      <color rgb="00FFD700"/>
      <sz val="12"/>
    </font>
    <font>
      <name val="Calibri"/>
      <i val="1"/>
      <color rgb="00AAAAAA"/>
      <sz val="11"/>
    </font>
    <font>
      <name val="Calibri"/>
      <i val="1"/>
      <color rgb="00BBBBBB"/>
      <sz val="9"/>
    </font>
    <font>
      <name val="Calibri"/>
      <b val="1"/>
      <color rgb="00FFD700"/>
      <sz val="16"/>
    </font>
    <font>
      <name val="Calibri"/>
      <b val="1"/>
      <color rgb="00FFFFFF"/>
      <sz val="11"/>
    </font>
    <font>
      <name val="Calibri"/>
      <b val="1"/>
      <color rgb="00333333"/>
      <sz val="11"/>
    </font>
    <font>
      <name val="Calibri"/>
      <b val="1"/>
      <color rgb="001A1A1A"/>
      <sz val="13"/>
    </font>
    <font>
      <name val="Calibri"/>
      <b val="1"/>
      <sz val="13"/>
    </font>
    <font>
      <name val="Calibri"/>
      <b val="1"/>
      <sz val="11"/>
    </font>
    <font>
      <name val="Calibri"/>
      <b val="1"/>
      <sz val="14"/>
    </font>
  </fonts>
  <fills count="7">
    <fill>
      <patternFill/>
    </fill>
    <fill>
      <patternFill patternType="gray125"/>
    </fill>
    <fill>
      <patternFill patternType="solid">
        <fgColor rgb="00FAFAFA"/>
        <bgColor rgb="00FAFAFA"/>
      </patternFill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FFF8DC"/>
        <bgColor rgb="00FFF8DC"/>
      </patternFill>
    </fill>
    <fill>
      <patternFill patternType="solid">
        <fgColor rgb="00FFD700"/>
        <bgColor rgb="00FFD700"/>
      </patternFill>
    </fill>
  </fills>
  <borders count="15">
    <border>
      <left/>
      <right/>
      <top/>
      <bottom/>
      <diagonal/>
    </border>
    <border>
      <left style="medium">
        <color rgb="00FFD700"/>
      </left>
      <right style="medium">
        <color rgb="00FFD700"/>
      </right>
      <top style="medium">
        <color rgb="00FFD700"/>
      </top>
      <bottom style="medium">
        <color rgb="00FFD700"/>
      </bottom>
    </border>
    <border>
      <left style="medium">
        <color rgb="00FFD700"/>
      </left>
      <right style="thin">
        <color rgb="00E0E0E0"/>
      </right>
      <top style="medium">
        <color rgb="00FFD70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medium">
        <color rgb="00FFD70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medium">
        <color rgb="00FFD70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medium">
        <color rgb="00FFD700"/>
      </bottom>
    </border>
    <border>
      <left/>
      <right/>
      <top style="thin">
        <color rgb="00E0E0E0"/>
      </top>
      <bottom/>
      <diagonal/>
    </border>
    <border>
      <left style="medium">
        <color rgb="00FFD700"/>
      </left>
      <right/>
      <top/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/>
      <bottom/>
      <diagonal/>
    </border>
    <border>
      <left style="medium">
        <color rgb="00FFD700"/>
      </left>
      <right/>
      <top/>
      <bottom style="thin">
        <color rgb="00E0E0E0"/>
      </bottom>
      <diagonal/>
    </border>
    <border>
      <left/>
      <right style="thin">
        <color rgb="00E0E0E0"/>
      </right>
      <top/>
      <bottom style="thin">
        <color rgb="00E0E0E0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57">
    <xf borderId="0" fillId="0" fontId="0" numFmtId="0" pivotButton="0" quotePrefix="0" xfId="0"/>
    <xf applyAlignment="1" borderId="0" fillId="0" fontId="1" numFmtId="0" pivotButton="0" quotePrefix="0" xfId="0">
      <alignment horizontal="left" vertical="center" wrapText="1"/>
    </xf>
    <xf borderId="0" fillId="0" fontId="2" numFmtId="0" pivotButton="0" quotePrefix="0" xfId="0"/>
    <xf borderId="0" fillId="0" fontId="3" numFmtId="0" pivotButton="0" quotePrefix="0" xfId="0"/>
    <xf applyAlignment="1" borderId="0" fillId="0" fontId="4" numFmtId="0" pivotButton="0" quotePrefix="0" xfId="0">
      <alignment vertical="top" wrapText="1"/>
    </xf>
    <xf applyAlignment="1" borderId="0" fillId="0" fontId="0" numFmtId="0" pivotButton="0" quotePrefix="0" xfId="0">
      <alignment vertical="top" wrapText="1"/>
    </xf>
    <xf applyAlignment="1" borderId="0" fillId="0" fontId="5" numFmtId="0" pivotButton="0" quotePrefix="0" xfId="0">
      <alignment vertical="top" wrapText="1"/>
    </xf>
    <xf applyAlignment="1" borderId="0" fillId="0" fontId="6" numFmtId="0" pivotButton="0" quotePrefix="0" xfId="0">
      <alignment vertical="top" wrapText="1"/>
    </xf>
    <xf borderId="0" fillId="0" fontId="7" numFmtId="0" pivotButton="0" quotePrefix="0" xfId="0"/>
    <xf applyAlignment="1" borderId="0" fillId="0" fontId="11" numFmtId="0" pivotButton="0" quotePrefix="0" xfId="0">
      <alignment horizontal="left" vertical="center" wrapText="1"/>
    </xf>
    <xf applyAlignment="1" borderId="1" fillId="0" fontId="8" numFmtId="0" pivotButton="0" quotePrefix="0" xfId="0">
      <alignment horizontal="center" vertical="center" wrapText="1"/>
    </xf>
    <xf borderId="1" fillId="0" fontId="0" numFmtId="0" pivotButton="0" quotePrefix="0" xfId="0"/>
    <xf applyAlignment="1" borderId="14" fillId="3" fontId="12" numFmtId="0" pivotButton="0" quotePrefix="0" xfId="0">
      <alignment horizontal="center" vertical="center" wrapText="1"/>
    </xf>
    <xf borderId="2" fillId="2" fontId="0" numFmtId="0" pivotButton="0" quotePrefix="0" xfId="0"/>
    <xf borderId="3" fillId="2" fontId="0" numFmtId="0" pivotButton="0" quotePrefix="0" xfId="0"/>
    <xf applyAlignment="1" borderId="14" fillId="4" fontId="5" numFmtId="0" pivotButton="0" quotePrefix="0" xfId="0">
      <alignment horizontal="left" vertical="center" wrapText="1"/>
    </xf>
    <xf applyAlignment="1" borderId="14" fillId="4" fontId="5" numFmtId="0" pivotButton="0" quotePrefix="0" xfId="0">
      <alignment horizontal="center" vertical="center" wrapText="1"/>
    </xf>
    <xf applyAlignment="1" borderId="14" fillId="4" fontId="5" numFmtId="164" pivotButton="0" quotePrefix="0" xfId="0">
      <alignment horizontal="right" vertical="center"/>
    </xf>
    <xf applyAlignment="1" borderId="14" fillId="4" fontId="5" numFmtId="165" pivotButton="0" quotePrefix="0" xfId="0">
      <alignment horizontal="right" vertical="center"/>
    </xf>
    <xf applyAlignment="1" borderId="14" fillId="4" fontId="5" numFmtId="9" pivotButton="0" quotePrefix="0" xfId="0">
      <alignment horizontal="center" vertical="center" wrapText="1"/>
    </xf>
    <xf applyAlignment="1" borderId="14" fillId="0" fontId="13" numFmtId="165" pivotButton="0" quotePrefix="0" xfId="0">
      <alignment horizontal="right" vertical="center"/>
    </xf>
    <xf applyAlignment="1" borderId="14" fillId="0" fontId="13" numFmtId="164" pivotButton="0" quotePrefix="0" xfId="0">
      <alignment horizontal="right" vertical="center"/>
    </xf>
    <xf borderId="4" fillId="2" fontId="0" numFmtId="0" pivotButton="0" quotePrefix="0" xfId="0"/>
    <xf borderId="5" fillId="2" fontId="0" numFmtId="0" pivotButton="0" quotePrefix="0" xfId="0"/>
    <xf applyAlignment="1" borderId="4" fillId="2" fontId="9" numFmtId="0" pivotButton="0" quotePrefix="0" xfId="0">
      <alignment horizontal="center" vertical="center" wrapText="1"/>
    </xf>
    <xf borderId="10" fillId="0" fontId="0" numFmtId="0" pivotButton="0" quotePrefix="0" xfId="0"/>
    <xf borderId="12" fillId="0" fontId="0" numFmtId="0" pivotButton="0" quotePrefix="0" xfId="0"/>
    <xf borderId="13" fillId="0" fontId="0" numFmtId="0" pivotButton="0" quotePrefix="0" xfId="0"/>
    <xf borderId="14" fillId="4" fontId="0" numFmtId="0" pivotButton="0" quotePrefix="0" xfId="0"/>
    <xf borderId="14" fillId="4" fontId="0" numFmtId="9" pivotButton="0" quotePrefix="0" xfId="0"/>
    <xf borderId="14" fillId="0" fontId="0" numFmtId="165" pivotButton="0" quotePrefix="0" xfId="0"/>
    <xf borderId="14" fillId="0" fontId="0" numFmtId="164" pivotButton="0" quotePrefix="0" xfId="0"/>
    <xf borderId="6" fillId="2" fontId="0" numFmtId="0" pivotButton="0" quotePrefix="0" xfId="0"/>
    <xf borderId="7" fillId="2" fontId="0" numFmtId="0" pivotButton="0" quotePrefix="0" xfId="0"/>
    <xf applyAlignment="1" borderId="0" fillId="0" fontId="10" numFmtId="0" pivotButton="0" quotePrefix="0" xfId="0">
      <alignment horizontal="center" vertical="center" wrapText="1"/>
    </xf>
    <xf applyAlignment="1" borderId="14" fillId="5" fontId="4" numFmtId="0" pivotButton="0" quotePrefix="0" xfId="0">
      <alignment horizontal="right" vertical="center"/>
    </xf>
    <xf borderId="14" fillId="5" fontId="4" numFmtId="164" pivotButton="0" quotePrefix="0" xfId="0"/>
    <xf applyAlignment="1" borderId="14" fillId="0" fontId="5" numFmtId="0" pivotButton="0" quotePrefix="0" xfId="0">
      <alignment horizontal="right" vertical="center"/>
    </xf>
    <xf borderId="14" fillId="0" fontId="13" numFmtId="164" pivotButton="0" quotePrefix="0" xfId="0"/>
    <xf applyAlignment="1" borderId="14" fillId="6" fontId="14" numFmtId="0" pivotButton="0" quotePrefix="0" xfId="0">
      <alignment horizontal="right" vertical="center"/>
    </xf>
    <xf borderId="14" fillId="6" fontId="15" numFmtId="164" pivotButton="0" quotePrefix="0" xfId="0"/>
    <xf applyAlignment="1" borderId="14" fillId="0" fontId="13" numFmtId="0" pivotButton="0" quotePrefix="0" xfId="0">
      <alignment horizontal="right" vertical="center"/>
    </xf>
    <xf applyAlignment="1" borderId="14" fillId="4" fontId="16" numFmtId="9" pivotButton="0" quotePrefix="0" xfId="0">
      <alignment horizontal="center" vertical="center" wrapText="1"/>
    </xf>
    <xf applyAlignment="1" borderId="14" fillId="0" fontId="4" numFmtId="0" pivotButton="0" quotePrefix="0" xfId="0">
      <alignment horizontal="right" vertical="center"/>
    </xf>
    <xf borderId="14" fillId="0" fontId="4" numFmtId="164" pivotButton="0" quotePrefix="0" xfId="0"/>
    <xf applyAlignment="1" borderId="14" fillId="6" fontId="4" numFmtId="0" pivotButton="0" quotePrefix="0" xfId="0">
      <alignment horizontal="right" vertical="center"/>
    </xf>
    <xf borderId="14" fillId="6" fontId="17" numFmtId="164" pivotButton="0" quotePrefix="0" xfId="0"/>
    <xf borderId="14" fillId="0" fontId="13" numFmtId="166" pivotButton="0" quotePrefix="0" xfId="0"/>
    <xf borderId="0" fillId="0" fontId="1" numFmtId="0" pivotButton="0" quotePrefix="0" xfId="0"/>
    <xf borderId="14" fillId="3" fontId="12" numFmtId="0" pivotButton="0" quotePrefix="0" xfId="0"/>
    <xf applyAlignment="1" borderId="14" fillId="3" fontId="12" numFmtId="0" pivotButton="0" quotePrefix="0" xfId="0">
      <alignment horizontal="right" vertical="center"/>
    </xf>
    <xf borderId="14" fillId="0" fontId="5" numFmtId="0" pivotButton="0" quotePrefix="0" xfId="0"/>
    <xf borderId="14" fillId="6" fontId="4" numFmtId="0" pivotButton="0" quotePrefix="0" xfId="0"/>
    <xf borderId="14" fillId="0" fontId="16" numFmtId="0" pivotButton="0" quotePrefix="0" xfId="0"/>
    <xf borderId="14" fillId="4" fontId="5" numFmtId="9" pivotButton="0" quotePrefix="0" xfId="0"/>
    <xf borderId="14" fillId="0" fontId="4" numFmtId="0" pivotButton="0" quotePrefix="0" xfId="0"/>
    <xf borderId="14" fillId="6" fontId="17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/xl/worksheets/sheet7.xml" Type="http://schemas.openxmlformats.org/officeDocument/2006/relationships/worksheet" /><Relationship Id="rId8" Target="styles.xml" Type="http://schemas.openxmlformats.org/officeDocument/2006/relationships/styles" /><Relationship Id="rId9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5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📋 Escandallo — Menú Degustación</t>
        </is>
      </c>
    </row>
    <row r="3">
      <c r="B3" s="2" t="inlineStr">
        <is>
          <t>Kit de Escandallos Pro — AI Chef Pro</t>
        </is>
      </c>
    </row>
    <row r="4">
      <c r="B4" s="3" t="inlineStr">
        <is>
          <t>www.aichef.pro</t>
        </is>
      </c>
    </row>
    <row r="6">
      <c r="B6" s="4" t="inlineStr">
        <is>
          <t>Cómo usar esta plantilla</t>
        </is>
      </c>
    </row>
    <row r="7">
      <c r="B7" s="5" t="inlineStr"/>
    </row>
    <row r="8">
      <c r="B8" s="6" t="inlineStr">
        <is>
          <t>▸ Cada pestaña es un pase del menú degustación</t>
        </is>
      </c>
    </row>
    <row r="9">
      <c r="B9" s="6" t="inlineStr">
        <is>
          <t>▸ La pestaña 'Resumen' suma automáticamente todos los pases</t>
        </is>
      </c>
    </row>
    <row r="10">
      <c r="B10" s="6" t="inlineStr">
        <is>
          <t>▸ Introduce ingredientes y cantidades en cada pestaña de pase</t>
        </is>
      </c>
    </row>
    <row r="11">
      <c r="B11" s="6" t="inlineStr">
        <is>
          <t>▸ El PVP se calcula sobre el coste total de todos los pases</t>
        </is>
      </c>
    </row>
    <row r="12">
      <c r="B12" s="5" t="inlineStr"/>
    </row>
    <row r="13">
      <c r="B13" s="7" t="inlineStr">
        <is>
          <t>— Kit de Escandallos Pro · AI Chef Pro · aichef.pro</t>
        </is>
      </c>
    </row>
    <row r="15">
      <c r="B15" s="8" t="inlineStr">
        <is>
          <t>© 2026 AI Chef Pro · Todos los derechos reservados</t>
        </is>
      </c>
    </row>
  </sheetData>
  <mergeCells count="1">
    <mergeCell ref="B2"/>
  </mergeCells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L24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25"/>
    <col customWidth="1" max="2" min="2" width="16"/>
    <col customWidth="1" max="3" min="3" width="12"/>
    <col customWidth="1" max="4" min="4" width="14"/>
    <col customWidth="1" max="5" min="5" width="12"/>
    <col customWidth="1" max="6" min="6" width="12"/>
    <col customWidth="1" max="7" min="7" width="10"/>
    <col customWidth="1" max="8" min="8" width="14"/>
    <col customWidth="1" max="9" min="9" width="14"/>
    <col customWidth="1" max="10" min="10" width="3"/>
    <col customWidth="1" max="11" min="11" width="20"/>
    <col customWidth="1" max="12" min="12" width="20"/>
  </cols>
  <sheetData>
    <row r="1">
      <c r="A1" s="9" t="inlineStr">
        <is>
          <t>Aperitivo — Tartar de Atún con Aguacate</t>
        </is>
      </c>
    </row>
    <row r="2">
      <c r="A2" s="2" t="inlineStr">
        <is>
          <t>Introduce tus ingredientes y cantidades. Las celdas verdes son editables.</t>
        </is>
      </c>
    </row>
    <row r="3">
      <c r="K3" s="10" t="inlineStr">
        <is>
          <t>📷 Foto del Plato</t>
        </is>
      </c>
      <c r="L3" s="11" t="n"/>
    </row>
    <row r="4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Merma (%)</t>
        </is>
      </c>
      <c r="H4" s="12" t="inlineStr">
        <is>
          <t>Cant. Bruta</t>
        </is>
      </c>
      <c r="I4" s="12" t="inlineStr">
        <is>
          <t>Coste (€)</t>
        </is>
      </c>
      <c r="K4" s="13" t="n"/>
      <c r="L4" s="14" t="n"/>
    </row>
    <row r="5">
      <c r="A5" s="15" t="inlineStr">
        <is>
          <t>Atún rojo (lomo)</t>
        </is>
      </c>
      <c r="B5" s="16" t="inlineStr">
        <is>
          <t>Pescado</t>
        </is>
      </c>
      <c r="C5" s="16" t="inlineStr">
        <is>
          <t>kg</t>
        </is>
      </c>
      <c r="D5" s="17" t="n">
        <v>42</v>
      </c>
      <c r="E5" s="18" t="n">
        <v>0.08</v>
      </c>
      <c r="F5" s="16" t="inlineStr">
        <is>
          <t>kg</t>
        </is>
      </c>
      <c r="G5" s="19" t="n">
        <v>0.35</v>
      </c>
      <c r="H5" s="20">
        <f>E5/(1-G5)</f>
        <v/>
      </c>
      <c r="I5" s="21">
        <f>H5*D5</f>
        <v/>
      </c>
      <c r="K5" s="22" t="n"/>
      <c r="L5" s="23" t="n"/>
    </row>
    <row r="6">
      <c r="A6" s="15" t="inlineStr">
        <is>
          <t>Aguacate Hass</t>
        </is>
      </c>
      <c r="B6" s="16" t="inlineStr">
        <is>
          <t>Fruta</t>
        </is>
      </c>
      <c r="C6" s="16" t="inlineStr">
        <is>
          <t>ud</t>
        </is>
      </c>
      <c r="D6" s="17" t="n">
        <v>1.5</v>
      </c>
      <c r="E6" s="18" t="n">
        <v>0.5</v>
      </c>
      <c r="F6" s="16" t="inlineStr">
        <is>
          <t>ud</t>
        </is>
      </c>
      <c r="G6" s="19" t="n">
        <v>0.3</v>
      </c>
      <c r="H6" s="20">
        <f>E6/(1-G6)</f>
        <v/>
      </c>
      <c r="I6" s="21">
        <f>H6*D6</f>
        <v/>
      </c>
      <c r="K6" s="22" t="n"/>
      <c r="L6" s="23" t="n"/>
    </row>
    <row r="7">
      <c r="A7" s="15" t="inlineStr">
        <is>
          <t>Sésamo tostado</t>
        </is>
      </c>
      <c r="B7" s="16" t="inlineStr">
        <is>
          <t>Secos/granos</t>
        </is>
      </c>
      <c r="C7" s="16" t="inlineStr">
        <is>
          <t>kg</t>
        </is>
      </c>
      <c r="D7" s="17" t="n">
        <v>12</v>
      </c>
      <c r="E7" s="18" t="n">
        <v>0.005</v>
      </c>
      <c r="F7" s="16" t="inlineStr">
        <is>
          <t>kg</t>
        </is>
      </c>
      <c r="G7" s="19" t="n">
        <v>0.02</v>
      </c>
      <c r="H7" s="20">
        <f>E7/(1-G7)</f>
        <v/>
      </c>
      <c r="I7" s="21">
        <f>H7*D7</f>
        <v/>
      </c>
      <c r="K7" s="22" t="n"/>
      <c r="L7" s="23" t="n"/>
    </row>
    <row r="8">
      <c r="A8" s="15" t="inlineStr">
        <is>
          <t>Salsa de soja</t>
        </is>
      </c>
      <c r="B8" s="16" t="inlineStr">
        <is>
          <t>Bebidas/licores</t>
        </is>
      </c>
      <c r="C8" s="16" t="inlineStr">
        <is>
          <t>L</t>
        </is>
      </c>
      <c r="D8" s="17" t="n">
        <v>6</v>
      </c>
      <c r="E8" s="18" t="n">
        <v>0.015</v>
      </c>
      <c r="F8" s="16" t="inlineStr">
        <is>
          <t>L</t>
        </is>
      </c>
      <c r="G8" s="19" t="n">
        <v>0.02</v>
      </c>
      <c r="H8" s="20">
        <f>E8/(1-G8)</f>
        <v/>
      </c>
      <c r="I8" s="21">
        <f>H8*D8</f>
        <v/>
      </c>
      <c r="K8" s="24" t="inlineStr">
        <is>
          <t>Arrastra aquí la foto
del plato terminado</t>
        </is>
      </c>
      <c r="L8" s="25" t="n"/>
    </row>
    <row r="9">
      <c r="A9" s="15" t="inlineStr">
        <is>
          <t>Aceite de sésamo</t>
        </is>
      </c>
      <c r="B9" s="16" t="inlineStr">
        <is>
          <t>Aceites/grasas</t>
        </is>
      </c>
      <c r="C9" s="16" t="inlineStr">
        <is>
          <t>L</t>
        </is>
      </c>
      <c r="D9" s="17" t="n">
        <v>14</v>
      </c>
      <c r="E9" s="18" t="n">
        <v>0.01</v>
      </c>
      <c r="F9" s="16" t="inlineStr">
        <is>
          <t>L</t>
        </is>
      </c>
      <c r="G9" s="19" t="n">
        <v>0.03</v>
      </c>
      <c r="H9" s="20">
        <f>E9/(1-G9)</f>
        <v/>
      </c>
      <c r="I9" s="21">
        <f>H9*D9</f>
        <v/>
      </c>
      <c r="K9" s="26" t="n"/>
      <c r="L9" s="27" t="n"/>
    </row>
    <row r="10">
      <c r="A10" s="28" t="n"/>
      <c r="B10" s="28" t="n"/>
      <c r="C10" s="28" t="n"/>
      <c r="D10" s="28" t="n"/>
      <c r="E10" s="28" t="n"/>
      <c r="F10" s="28" t="n"/>
      <c r="G10" s="29" t="n"/>
      <c r="H10" s="30">
        <f>IF(E10="","",E10/(1-G10))</f>
        <v/>
      </c>
      <c r="I10" s="31">
        <f>IF(H10="","",H10*D10)</f>
        <v/>
      </c>
      <c r="K10" s="22" t="n"/>
      <c r="L10" s="23" t="n"/>
    </row>
    <row r="11">
      <c r="A11" s="28" t="n"/>
      <c r="B11" s="28" t="n"/>
      <c r="C11" s="28" t="n"/>
      <c r="D11" s="28" t="n"/>
      <c r="E11" s="28" t="n"/>
      <c r="F11" s="28" t="n"/>
      <c r="G11" s="29" t="n"/>
      <c r="H11" s="30">
        <f>IF(E11="","",E11/(1-G11))</f>
        <v/>
      </c>
      <c r="I11" s="31">
        <f>IF(H11="","",H11*D11)</f>
        <v/>
      </c>
      <c r="K11" s="22" t="n"/>
      <c r="L11" s="23" t="n"/>
    </row>
    <row r="12">
      <c r="A12" s="28" t="n"/>
      <c r="B12" s="28" t="n"/>
      <c r="C12" s="28" t="n"/>
      <c r="D12" s="28" t="n"/>
      <c r="E12" s="28" t="n"/>
      <c r="F12" s="28" t="n"/>
      <c r="G12" s="29" t="n"/>
      <c r="H12" s="30">
        <f>IF(E12="","",E12/(1-G12))</f>
        <v/>
      </c>
      <c r="I12" s="31">
        <f>IF(H12="","",H12*D12)</f>
        <v/>
      </c>
      <c r="K12" s="22" t="n"/>
      <c r="L12" s="23" t="n"/>
    </row>
    <row r="13">
      <c r="A13" s="28" t="n"/>
      <c r="B13" s="28" t="n"/>
      <c r="C13" s="28" t="n"/>
      <c r="D13" s="28" t="n"/>
      <c r="E13" s="28" t="n"/>
      <c r="F13" s="28" t="n"/>
      <c r="G13" s="29" t="n"/>
      <c r="H13" s="30">
        <f>IF(E13="","",E13/(1-G13))</f>
        <v/>
      </c>
      <c r="I13" s="31">
        <f>IF(H13="","",H13*D13)</f>
        <v/>
      </c>
      <c r="K13" s="22" t="n"/>
      <c r="L13" s="23" t="n"/>
    </row>
    <row r="14">
      <c r="A14" s="28" t="n"/>
      <c r="B14" s="28" t="n"/>
      <c r="C14" s="28" t="n"/>
      <c r="D14" s="28" t="n"/>
      <c r="E14" s="28" t="n"/>
      <c r="F14" s="28" t="n"/>
      <c r="G14" s="29" t="n"/>
      <c r="H14" s="30">
        <f>IF(E14="","",E14/(1-G14))</f>
        <v/>
      </c>
      <c r="I14" s="31">
        <f>IF(H14="","",H14*D14)</f>
        <v/>
      </c>
      <c r="K14" s="32" t="n"/>
      <c r="L14" s="33" t="n"/>
    </row>
    <row r="15">
      <c r="K15" s="34" t="inlineStr">
        <is>
          <t>Insertar → Imagen → Desde archivo</t>
        </is>
      </c>
    </row>
    <row r="16">
      <c r="A16" s="35" t="inlineStr">
        <is>
          <t>COSTE TOTAL INGREDIENTES</t>
        </is>
      </c>
      <c r="I16" s="36">
        <f>SUM(I5:I14)</f>
        <v/>
      </c>
    </row>
    <row r="17">
      <c r="A17" s="37" t="inlineStr">
        <is>
          <t>Coste elaboración (%)</t>
        </is>
      </c>
      <c r="H17" s="19" t="n">
        <v>0.1</v>
      </c>
      <c r="I17" s="38">
        <f>I16*H17</f>
        <v/>
      </c>
    </row>
    <row r="18">
      <c r="A18" s="39" t="inlineStr">
        <is>
          <t>COSTE TOTAL DEL PLATO</t>
        </is>
      </c>
      <c r="I18" s="40">
        <f>I16+I17</f>
        <v/>
      </c>
    </row>
    <row r="20">
      <c r="A20" s="41" t="inlineStr">
        <is>
          <t>Food Cost objetivo (%)</t>
        </is>
      </c>
      <c r="H20" s="42" t="n">
        <v>0.3</v>
      </c>
    </row>
    <row r="21">
      <c r="A21" s="43" t="inlineStr">
        <is>
          <t>PVP SUGERIDO (sin IVA)</t>
        </is>
      </c>
      <c r="I21" s="44">
        <f>I18/H20</f>
        <v/>
      </c>
    </row>
    <row r="22">
      <c r="A22" s="45" t="inlineStr">
        <is>
          <t>PVP CON IVA (10% hostelería)</t>
        </is>
      </c>
      <c r="I22" s="46">
        <f>I21*1.10</f>
        <v/>
      </c>
    </row>
    <row r="23">
      <c r="A23" s="37" t="inlineStr">
        <is>
          <t>Margen bruto (€)</t>
        </is>
      </c>
      <c r="I23" s="38">
        <f>I21-I18</f>
        <v/>
      </c>
    </row>
    <row r="24">
      <c r="A24" s="37" t="inlineStr">
        <is>
          <t>Margen bruto (%)</t>
        </is>
      </c>
      <c r="I24" s="47">
        <f>I23/I21</f>
        <v/>
      </c>
    </row>
  </sheetData>
  <mergeCells count="13">
    <mergeCell ref="A20:G20"/>
    <mergeCell ref="K15:L15"/>
    <mergeCell ref="A17:G17"/>
    <mergeCell ref="A18:H18"/>
    <mergeCell ref="K8:L9"/>
    <mergeCell ref="A16:H16"/>
    <mergeCell ref="A2:I2"/>
    <mergeCell ref="A22:H22"/>
    <mergeCell ref="A21:H21"/>
    <mergeCell ref="A1:I1"/>
    <mergeCell ref="A24:H24"/>
    <mergeCell ref="K3:L3"/>
    <mergeCell ref="A23:H23"/>
  </mergeCells>
  <dataValidations count="2">
    <dataValidation allowBlank="1" error="Selecciona una categoría válida" errorTitle="Categoría inválida" showDropDown="0" showErrorMessage="0" showInputMessage="0" sqref="B5 B6 B7 B8 B9 B10 B11 B12 B13 B14" type="list">
      <formula1>"Carne roja,Aves,Pescado,Marisco,Verdura hoja,Verdura raíz,Fruta,Lácteos,Secos/granos,Congelados,Pan/bollería,Huevos,Aceites/grasas,Especias/hierbas,Chocolate/cacao,Bebidas/licores"</formula1>
    </dataValidation>
    <dataValidation allowBlank="1" showDropDown="0" showErrorMessage="0" showInputMessage="0" sqref="C5 C6 C7 C8 C9 C10 C11 C12 C13 C14 F5 F6 F7 F8 F9 F10 F11 F12 F13 F14" type="list">
      <formula1>"kg,g,L,ml,cl,ud,docena,manojo,sobre,lata,botella"</formula1>
    </dataValidation>
  </dataValidations>
  <pageMargins bottom="1" footer="0.5" header="0.5" left="0.75" right="0.75" top="1"/>
  <pageSetup fitToHeight="0" fitToWidth="1" orientation="landscape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L24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25"/>
    <col customWidth="1" max="2" min="2" width="16"/>
    <col customWidth="1" max="3" min="3" width="12"/>
    <col customWidth="1" max="4" min="4" width="14"/>
    <col customWidth="1" max="5" min="5" width="12"/>
    <col customWidth="1" max="6" min="6" width="12"/>
    <col customWidth="1" max="7" min="7" width="10"/>
    <col customWidth="1" max="8" min="8" width="14"/>
    <col customWidth="1" max="9" min="9" width="14"/>
    <col customWidth="1" max="10" min="10" width="3"/>
    <col customWidth="1" max="11" min="11" width="20"/>
    <col customWidth="1" max="12" min="12" width="20"/>
  </cols>
  <sheetData>
    <row r="1">
      <c r="A1" s="9" t="inlineStr">
        <is>
          <t>Entrante — Vieira con Coliflor y Trufa</t>
        </is>
      </c>
    </row>
    <row r="2">
      <c r="A2" s="2" t="inlineStr">
        <is>
          <t>Introduce tus ingredientes y cantidades. Las celdas verdes son editables.</t>
        </is>
      </c>
    </row>
    <row r="3">
      <c r="K3" s="10" t="inlineStr">
        <is>
          <t>📷 Foto del Plato</t>
        </is>
      </c>
      <c r="L3" s="11" t="n"/>
    </row>
    <row r="4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Merma (%)</t>
        </is>
      </c>
      <c r="H4" s="12" t="inlineStr">
        <is>
          <t>Cant. Bruta</t>
        </is>
      </c>
      <c r="I4" s="12" t="inlineStr">
        <is>
          <t>Coste (€)</t>
        </is>
      </c>
      <c r="K4" s="13" t="n"/>
      <c r="L4" s="14" t="n"/>
    </row>
    <row r="5">
      <c r="A5" s="15" t="inlineStr">
        <is>
          <t>Vieira fresca (grande)</t>
        </is>
      </c>
      <c r="B5" s="16" t="inlineStr">
        <is>
          <t>Marisco</t>
        </is>
      </c>
      <c r="C5" s="16" t="inlineStr">
        <is>
          <t>kg</t>
        </is>
      </c>
      <c r="D5" s="17" t="n">
        <v>48</v>
      </c>
      <c r="E5" s="18" t="n">
        <v>0.06</v>
      </c>
      <c r="F5" s="16" t="inlineStr">
        <is>
          <t>kg</t>
        </is>
      </c>
      <c r="G5" s="19" t="n">
        <v>0.45</v>
      </c>
      <c r="H5" s="20">
        <f>E5/(1-G5)</f>
        <v/>
      </c>
      <c r="I5" s="21">
        <f>H5*D5</f>
        <v/>
      </c>
      <c r="K5" s="22" t="n"/>
      <c r="L5" s="23" t="n"/>
    </row>
    <row r="6">
      <c r="A6" s="15" t="inlineStr">
        <is>
          <t>Coliflor</t>
        </is>
      </c>
      <c r="B6" s="16" t="inlineStr">
        <is>
          <t>Verdura raíz</t>
        </is>
      </c>
      <c r="C6" s="16" t="inlineStr">
        <is>
          <t>kg</t>
        </is>
      </c>
      <c r="D6" s="17" t="n">
        <v>2.5</v>
      </c>
      <c r="E6" s="18" t="n">
        <v>0.1</v>
      </c>
      <c r="F6" s="16" t="inlineStr">
        <is>
          <t>kg</t>
        </is>
      </c>
      <c r="G6" s="19" t="n">
        <v>0.3</v>
      </c>
      <c r="H6" s="20">
        <f>E6/(1-G6)</f>
        <v/>
      </c>
      <c r="I6" s="21">
        <f>H6*D6</f>
        <v/>
      </c>
      <c r="K6" s="22" t="n"/>
      <c r="L6" s="23" t="n"/>
    </row>
    <row r="7">
      <c r="A7" s="15" t="inlineStr">
        <is>
          <t>Trufa negra</t>
        </is>
      </c>
      <c r="B7" s="16" t="inlineStr">
        <is>
          <t>Verdura raíz</t>
        </is>
      </c>
      <c r="C7" s="16" t="inlineStr">
        <is>
          <t>kg</t>
        </is>
      </c>
      <c r="D7" s="17" t="n">
        <v>800</v>
      </c>
      <c r="E7" s="18" t="n">
        <v>0.005</v>
      </c>
      <c r="F7" s="16" t="inlineStr">
        <is>
          <t>kg</t>
        </is>
      </c>
      <c r="G7" s="19" t="n">
        <v>0.1</v>
      </c>
      <c r="H7" s="20">
        <f>E7/(1-G7)</f>
        <v/>
      </c>
      <c r="I7" s="21">
        <f>H7*D7</f>
        <v/>
      </c>
      <c r="K7" s="22" t="n"/>
      <c r="L7" s="23" t="n"/>
    </row>
    <row r="8">
      <c r="A8" s="15" t="inlineStr">
        <is>
          <t>Nata 35% MG</t>
        </is>
      </c>
      <c r="B8" s="16" t="inlineStr">
        <is>
          <t>Lácteos</t>
        </is>
      </c>
      <c r="C8" s="16" t="inlineStr">
        <is>
          <t>L</t>
        </is>
      </c>
      <c r="D8" s="17" t="n">
        <v>3.8</v>
      </c>
      <c r="E8" s="18" t="n">
        <v>0.05</v>
      </c>
      <c r="F8" s="16" t="inlineStr">
        <is>
          <t>L</t>
        </is>
      </c>
      <c r="G8" s="19" t="n">
        <v>0.03</v>
      </c>
      <c r="H8" s="20">
        <f>E8/(1-G8)</f>
        <v/>
      </c>
      <c r="I8" s="21">
        <f>H8*D8</f>
        <v/>
      </c>
      <c r="K8" s="24" t="inlineStr">
        <is>
          <t>Arrastra aquí la foto
del plato terminado</t>
        </is>
      </c>
      <c r="L8" s="25" t="n"/>
    </row>
    <row r="9">
      <c r="A9" s="15" t="inlineStr">
        <is>
          <t>Mantequilla</t>
        </is>
      </c>
      <c r="B9" s="16" t="inlineStr">
        <is>
          <t>Lácteos</t>
        </is>
      </c>
      <c r="C9" s="16" t="inlineStr">
        <is>
          <t>kg</t>
        </is>
      </c>
      <c r="D9" s="17" t="n">
        <v>9</v>
      </c>
      <c r="E9" s="18" t="n">
        <v>0.02</v>
      </c>
      <c r="F9" s="16" t="inlineStr">
        <is>
          <t>kg</t>
        </is>
      </c>
      <c r="G9" s="19" t="n">
        <v>0.03</v>
      </c>
      <c r="H9" s="20">
        <f>E9/(1-G9)</f>
        <v/>
      </c>
      <c r="I9" s="21">
        <f>H9*D9</f>
        <v/>
      </c>
      <c r="K9" s="26" t="n"/>
      <c r="L9" s="27" t="n"/>
    </row>
    <row r="10">
      <c r="A10" s="28" t="n"/>
      <c r="B10" s="28" t="n"/>
      <c r="C10" s="28" t="n"/>
      <c r="D10" s="28" t="n"/>
      <c r="E10" s="28" t="n"/>
      <c r="F10" s="28" t="n"/>
      <c r="G10" s="29" t="n"/>
      <c r="H10" s="30">
        <f>IF(E10="","",E10/(1-G10))</f>
        <v/>
      </c>
      <c r="I10" s="31">
        <f>IF(H10="","",H10*D10)</f>
        <v/>
      </c>
      <c r="K10" s="22" t="n"/>
      <c r="L10" s="23" t="n"/>
    </row>
    <row r="11">
      <c r="A11" s="28" t="n"/>
      <c r="B11" s="28" t="n"/>
      <c r="C11" s="28" t="n"/>
      <c r="D11" s="28" t="n"/>
      <c r="E11" s="28" t="n"/>
      <c r="F11" s="28" t="n"/>
      <c r="G11" s="29" t="n"/>
      <c r="H11" s="30">
        <f>IF(E11="","",E11/(1-G11))</f>
        <v/>
      </c>
      <c r="I11" s="31">
        <f>IF(H11="","",H11*D11)</f>
        <v/>
      </c>
      <c r="K11" s="22" t="n"/>
      <c r="L11" s="23" t="n"/>
    </row>
    <row r="12">
      <c r="A12" s="28" t="n"/>
      <c r="B12" s="28" t="n"/>
      <c r="C12" s="28" t="n"/>
      <c r="D12" s="28" t="n"/>
      <c r="E12" s="28" t="n"/>
      <c r="F12" s="28" t="n"/>
      <c r="G12" s="29" t="n"/>
      <c r="H12" s="30">
        <f>IF(E12="","",E12/(1-G12))</f>
        <v/>
      </c>
      <c r="I12" s="31">
        <f>IF(H12="","",H12*D12)</f>
        <v/>
      </c>
      <c r="K12" s="22" t="n"/>
      <c r="L12" s="23" t="n"/>
    </row>
    <row r="13">
      <c r="A13" s="28" t="n"/>
      <c r="B13" s="28" t="n"/>
      <c r="C13" s="28" t="n"/>
      <c r="D13" s="28" t="n"/>
      <c r="E13" s="28" t="n"/>
      <c r="F13" s="28" t="n"/>
      <c r="G13" s="29" t="n"/>
      <c r="H13" s="30">
        <f>IF(E13="","",E13/(1-G13))</f>
        <v/>
      </c>
      <c r="I13" s="31">
        <f>IF(H13="","",H13*D13)</f>
        <v/>
      </c>
      <c r="K13" s="22" t="n"/>
      <c r="L13" s="23" t="n"/>
    </row>
    <row r="14">
      <c r="A14" s="28" t="n"/>
      <c r="B14" s="28" t="n"/>
      <c r="C14" s="28" t="n"/>
      <c r="D14" s="28" t="n"/>
      <c r="E14" s="28" t="n"/>
      <c r="F14" s="28" t="n"/>
      <c r="G14" s="29" t="n"/>
      <c r="H14" s="30">
        <f>IF(E14="","",E14/(1-G14))</f>
        <v/>
      </c>
      <c r="I14" s="31">
        <f>IF(H14="","",H14*D14)</f>
        <v/>
      </c>
      <c r="K14" s="32" t="n"/>
      <c r="L14" s="33" t="n"/>
    </row>
    <row r="15">
      <c r="K15" s="34" t="inlineStr">
        <is>
          <t>Insertar → Imagen → Desde archivo</t>
        </is>
      </c>
    </row>
    <row r="16">
      <c r="A16" s="35" t="inlineStr">
        <is>
          <t>COSTE TOTAL INGREDIENTES</t>
        </is>
      </c>
      <c r="I16" s="36">
        <f>SUM(I5:I14)</f>
        <v/>
      </c>
    </row>
    <row r="17">
      <c r="A17" s="37" t="inlineStr">
        <is>
          <t>Coste elaboración (%)</t>
        </is>
      </c>
      <c r="H17" s="19" t="n">
        <v>0.1</v>
      </c>
      <c r="I17" s="38">
        <f>I16*H17</f>
        <v/>
      </c>
    </row>
    <row r="18">
      <c r="A18" s="39" t="inlineStr">
        <is>
          <t>COSTE TOTAL DEL PLATO</t>
        </is>
      </c>
      <c r="I18" s="40">
        <f>I16+I17</f>
        <v/>
      </c>
    </row>
    <row r="20">
      <c r="A20" s="41" t="inlineStr">
        <is>
          <t>Food Cost objetivo (%)</t>
        </is>
      </c>
      <c r="H20" s="42" t="n">
        <v>0.3</v>
      </c>
    </row>
    <row r="21">
      <c r="A21" s="43" t="inlineStr">
        <is>
          <t>PVP SUGERIDO (sin IVA)</t>
        </is>
      </c>
      <c r="I21" s="44">
        <f>I18/H20</f>
        <v/>
      </c>
    </row>
    <row r="22">
      <c r="A22" s="45" t="inlineStr">
        <is>
          <t>PVP CON IVA (10% hostelería)</t>
        </is>
      </c>
      <c r="I22" s="46">
        <f>I21*1.10</f>
        <v/>
      </c>
    </row>
    <row r="23">
      <c r="A23" s="37" t="inlineStr">
        <is>
          <t>Margen bruto (€)</t>
        </is>
      </c>
      <c r="I23" s="38">
        <f>I21-I18</f>
        <v/>
      </c>
    </row>
    <row r="24">
      <c r="A24" s="37" t="inlineStr">
        <is>
          <t>Margen bruto (%)</t>
        </is>
      </c>
      <c r="I24" s="47">
        <f>I23/I21</f>
        <v/>
      </c>
    </row>
  </sheetData>
  <mergeCells count="13">
    <mergeCell ref="A20:G20"/>
    <mergeCell ref="K15:L15"/>
    <mergeCell ref="A17:G17"/>
    <mergeCell ref="A18:H18"/>
    <mergeCell ref="K8:L9"/>
    <mergeCell ref="A16:H16"/>
    <mergeCell ref="A2:I2"/>
    <mergeCell ref="A22:H22"/>
    <mergeCell ref="A21:H21"/>
    <mergeCell ref="A1:I1"/>
    <mergeCell ref="A24:H24"/>
    <mergeCell ref="K3:L3"/>
    <mergeCell ref="A23:H23"/>
  </mergeCells>
  <dataValidations count="2">
    <dataValidation allowBlank="1" error="Selecciona una categoría válida" errorTitle="Categoría inválida" showDropDown="0" showErrorMessage="0" showInputMessage="0" sqref="B5 B6 B7 B8 B9 B10 B11 B12 B13 B14" type="list">
      <formula1>"Carne roja,Aves,Pescado,Marisco,Verdura hoja,Verdura raíz,Fruta,Lácteos,Secos/granos,Congelados,Pan/bollería,Huevos,Aceites/grasas,Especias/hierbas,Chocolate/cacao,Bebidas/licores"</formula1>
    </dataValidation>
    <dataValidation allowBlank="1" showDropDown="0" showErrorMessage="0" showInputMessage="0" sqref="C5 C6 C7 C8 C9 C10 C11 C12 C13 C14 F5 F6 F7 F8 F9 F10 F11 F12 F13 F14" type="list">
      <formula1>"kg,g,L,ml,cl,ud,docena,manojo,sobre,lata,botella"</formula1>
    </dataValidation>
  </dataValidations>
  <pageMargins bottom="1" footer="0.5" header="0.5" left="0.75" right="0.75" top="1"/>
  <pageSetup fitToHeight="0" fitToWidth="1" orientation="landscape"/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/>
  </sheetPr>
  <dimension ref="A1:L24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25"/>
    <col customWidth="1" max="2" min="2" width="16"/>
    <col customWidth="1" max="3" min="3" width="12"/>
    <col customWidth="1" max="4" min="4" width="14"/>
    <col customWidth="1" max="5" min="5" width="12"/>
    <col customWidth="1" max="6" min="6" width="12"/>
    <col customWidth="1" max="7" min="7" width="10"/>
    <col customWidth="1" max="8" min="8" width="14"/>
    <col customWidth="1" max="9" min="9" width="14"/>
    <col customWidth="1" max="10" min="10" width="3"/>
    <col customWidth="1" max="11" min="11" width="20"/>
    <col customWidth="1" max="12" min="12" width="20"/>
  </cols>
  <sheetData>
    <row r="1">
      <c r="A1" s="9" t="inlineStr">
        <is>
          <t>Pescado — Lubina con Beurre Blanc</t>
        </is>
      </c>
    </row>
    <row r="2">
      <c r="A2" s="2" t="inlineStr">
        <is>
          <t>Introduce tus ingredientes y cantidades. Las celdas verdes son editables.</t>
        </is>
      </c>
    </row>
    <row r="3">
      <c r="K3" s="10" t="inlineStr">
        <is>
          <t>📷 Foto del Plato</t>
        </is>
      </c>
      <c r="L3" s="11" t="n"/>
    </row>
    <row r="4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Merma (%)</t>
        </is>
      </c>
      <c r="H4" s="12" t="inlineStr">
        <is>
          <t>Cant. Bruta</t>
        </is>
      </c>
      <c r="I4" s="12" t="inlineStr">
        <is>
          <t>Coste (€)</t>
        </is>
      </c>
      <c r="K4" s="13" t="n"/>
      <c r="L4" s="14" t="n"/>
    </row>
    <row r="5">
      <c r="A5" s="15" t="inlineStr">
        <is>
          <t>Lubina salvaje</t>
        </is>
      </c>
      <c r="B5" s="16" t="inlineStr">
        <is>
          <t>Pescado</t>
        </is>
      </c>
      <c r="C5" s="16" t="inlineStr">
        <is>
          <t>kg</t>
        </is>
      </c>
      <c r="D5" s="17" t="n">
        <v>32</v>
      </c>
      <c r="E5" s="18" t="n">
        <v>0.16</v>
      </c>
      <c r="F5" s="16" t="inlineStr">
        <is>
          <t>kg</t>
        </is>
      </c>
      <c r="G5" s="19" t="n">
        <v>0.4</v>
      </c>
      <c r="H5" s="20">
        <f>E5/(1-G5)</f>
        <v/>
      </c>
      <c r="I5" s="21">
        <f>H5*D5</f>
        <v/>
      </c>
      <c r="K5" s="22" t="n"/>
      <c r="L5" s="23" t="n"/>
    </row>
    <row r="6">
      <c r="A6" s="15" t="inlineStr">
        <is>
          <t>Chalota</t>
        </is>
      </c>
      <c r="B6" s="16" t="inlineStr">
        <is>
          <t>Verdura raíz</t>
        </is>
      </c>
      <c r="C6" s="16" t="inlineStr">
        <is>
          <t>kg</t>
        </is>
      </c>
      <c r="D6" s="17" t="n">
        <v>4.5</v>
      </c>
      <c r="E6" s="18" t="n">
        <v>0.03</v>
      </c>
      <c r="F6" s="16" t="inlineStr">
        <is>
          <t>kg</t>
        </is>
      </c>
      <c r="G6" s="19" t="n">
        <v>0.15</v>
      </c>
      <c r="H6" s="20">
        <f>E6/(1-G6)</f>
        <v/>
      </c>
      <c r="I6" s="21">
        <f>H6*D6</f>
        <v/>
      </c>
      <c r="K6" s="22" t="n"/>
      <c r="L6" s="23" t="n"/>
    </row>
    <row r="7">
      <c r="A7" s="15" t="inlineStr">
        <is>
          <t>Vino blanco seco</t>
        </is>
      </c>
      <c r="B7" s="16" t="inlineStr">
        <is>
          <t>Bebidas/licores</t>
        </is>
      </c>
      <c r="C7" s="16" t="inlineStr">
        <is>
          <t>L</t>
        </is>
      </c>
      <c r="D7" s="17" t="n">
        <v>5</v>
      </c>
      <c r="E7" s="18" t="n">
        <v>0.04</v>
      </c>
      <c r="F7" s="16" t="inlineStr">
        <is>
          <t>L</t>
        </is>
      </c>
      <c r="G7" s="19" t="n">
        <v>0.02</v>
      </c>
      <c r="H7" s="20">
        <f>E7/(1-G7)</f>
        <v/>
      </c>
      <c r="I7" s="21">
        <f>H7*D7</f>
        <v/>
      </c>
      <c r="K7" s="22" t="n"/>
      <c r="L7" s="23" t="n"/>
    </row>
    <row r="8">
      <c r="A8" s="15" t="inlineStr">
        <is>
          <t>Mantequilla</t>
        </is>
      </c>
      <c r="B8" s="16" t="inlineStr">
        <is>
          <t>Lácteos</t>
        </is>
      </c>
      <c r="C8" s="16" t="inlineStr">
        <is>
          <t>kg</t>
        </is>
      </c>
      <c r="D8" s="17" t="n">
        <v>9</v>
      </c>
      <c r="E8" s="18" t="n">
        <v>0.04</v>
      </c>
      <c r="F8" s="16" t="inlineStr">
        <is>
          <t>kg</t>
        </is>
      </c>
      <c r="G8" s="19" t="n">
        <v>0.03</v>
      </c>
      <c r="H8" s="20">
        <f>E8/(1-G8)</f>
        <v/>
      </c>
      <c r="I8" s="21">
        <f>H8*D8</f>
        <v/>
      </c>
      <c r="K8" s="24" t="inlineStr">
        <is>
          <t>Arrastra aquí la foto
del plato terminado</t>
        </is>
      </c>
      <c r="L8" s="25" t="n"/>
    </row>
    <row r="9">
      <c r="A9" s="15" t="inlineStr">
        <is>
          <t>Hinojo fresco</t>
        </is>
      </c>
      <c r="B9" s="16" t="inlineStr">
        <is>
          <t>Verdura hoja</t>
        </is>
      </c>
      <c r="C9" s="16" t="inlineStr">
        <is>
          <t>kg</t>
        </is>
      </c>
      <c r="D9" s="17" t="n">
        <v>5</v>
      </c>
      <c r="E9" s="18" t="n">
        <v>0.06</v>
      </c>
      <c r="F9" s="16" t="inlineStr">
        <is>
          <t>kg</t>
        </is>
      </c>
      <c r="G9" s="19" t="n">
        <v>0.25</v>
      </c>
      <c r="H9" s="20">
        <f>E9/(1-G9)</f>
        <v/>
      </c>
      <c r="I9" s="21">
        <f>H9*D9</f>
        <v/>
      </c>
      <c r="K9" s="26" t="n"/>
      <c r="L9" s="27" t="n"/>
    </row>
    <row r="10">
      <c r="A10" s="28" t="n"/>
      <c r="B10" s="28" t="n"/>
      <c r="C10" s="28" t="n"/>
      <c r="D10" s="28" t="n"/>
      <c r="E10" s="28" t="n"/>
      <c r="F10" s="28" t="n"/>
      <c r="G10" s="29" t="n"/>
      <c r="H10" s="30">
        <f>IF(E10="","",E10/(1-G10))</f>
        <v/>
      </c>
      <c r="I10" s="31">
        <f>IF(H10="","",H10*D10)</f>
        <v/>
      </c>
      <c r="K10" s="22" t="n"/>
      <c r="L10" s="23" t="n"/>
    </row>
    <row r="11">
      <c r="A11" s="28" t="n"/>
      <c r="B11" s="28" t="n"/>
      <c r="C11" s="28" t="n"/>
      <c r="D11" s="28" t="n"/>
      <c r="E11" s="28" t="n"/>
      <c r="F11" s="28" t="n"/>
      <c r="G11" s="29" t="n"/>
      <c r="H11" s="30">
        <f>IF(E11="","",E11/(1-G11))</f>
        <v/>
      </c>
      <c r="I11" s="31">
        <f>IF(H11="","",H11*D11)</f>
        <v/>
      </c>
      <c r="K11" s="22" t="n"/>
      <c r="L11" s="23" t="n"/>
    </row>
    <row r="12">
      <c r="A12" s="28" t="n"/>
      <c r="B12" s="28" t="n"/>
      <c r="C12" s="28" t="n"/>
      <c r="D12" s="28" t="n"/>
      <c r="E12" s="28" t="n"/>
      <c r="F12" s="28" t="n"/>
      <c r="G12" s="29" t="n"/>
      <c r="H12" s="30">
        <f>IF(E12="","",E12/(1-G12))</f>
        <v/>
      </c>
      <c r="I12" s="31">
        <f>IF(H12="","",H12*D12)</f>
        <v/>
      </c>
      <c r="K12" s="22" t="n"/>
      <c r="L12" s="23" t="n"/>
    </row>
    <row r="13">
      <c r="A13" s="28" t="n"/>
      <c r="B13" s="28" t="n"/>
      <c r="C13" s="28" t="n"/>
      <c r="D13" s="28" t="n"/>
      <c r="E13" s="28" t="n"/>
      <c r="F13" s="28" t="n"/>
      <c r="G13" s="29" t="n"/>
      <c r="H13" s="30">
        <f>IF(E13="","",E13/(1-G13))</f>
        <v/>
      </c>
      <c r="I13" s="31">
        <f>IF(H13="","",H13*D13)</f>
        <v/>
      </c>
      <c r="K13" s="22" t="n"/>
      <c r="L13" s="23" t="n"/>
    </row>
    <row r="14">
      <c r="A14" s="28" t="n"/>
      <c r="B14" s="28" t="n"/>
      <c r="C14" s="28" t="n"/>
      <c r="D14" s="28" t="n"/>
      <c r="E14" s="28" t="n"/>
      <c r="F14" s="28" t="n"/>
      <c r="G14" s="29" t="n"/>
      <c r="H14" s="30">
        <f>IF(E14="","",E14/(1-G14))</f>
        <v/>
      </c>
      <c r="I14" s="31">
        <f>IF(H14="","",H14*D14)</f>
        <v/>
      </c>
      <c r="K14" s="32" t="n"/>
      <c r="L14" s="33" t="n"/>
    </row>
    <row r="15">
      <c r="K15" s="34" t="inlineStr">
        <is>
          <t>Insertar → Imagen → Desde archivo</t>
        </is>
      </c>
    </row>
    <row r="16">
      <c r="A16" s="35" t="inlineStr">
        <is>
          <t>COSTE TOTAL INGREDIENTES</t>
        </is>
      </c>
      <c r="I16" s="36">
        <f>SUM(I5:I14)</f>
        <v/>
      </c>
    </row>
    <row r="17">
      <c r="A17" s="37" t="inlineStr">
        <is>
          <t>Coste elaboración (%)</t>
        </is>
      </c>
      <c r="H17" s="19" t="n">
        <v>0.1</v>
      </c>
      <c r="I17" s="38">
        <f>I16*H17</f>
        <v/>
      </c>
    </row>
    <row r="18">
      <c r="A18" s="39" t="inlineStr">
        <is>
          <t>COSTE TOTAL DEL PLATO</t>
        </is>
      </c>
      <c r="I18" s="40">
        <f>I16+I17</f>
        <v/>
      </c>
    </row>
    <row r="20">
      <c r="A20" s="41" t="inlineStr">
        <is>
          <t>Food Cost objetivo (%)</t>
        </is>
      </c>
      <c r="H20" s="42" t="n">
        <v>0.3</v>
      </c>
    </row>
    <row r="21">
      <c r="A21" s="43" t="inlineStr">
        <is>
          <t>PVP SUGERIDO (sin IVA)</t>
        </is>
      </c>
      <c r="I21" s="44">
        <f>I18/H20</f>
        <v/>
      </c>
    </row>
    <row r="22">
      <c r="A22" s="45" t="inlineStr">
        <is>
          <t>PVP CON IVA (10% hostelería)</t>
        </is>
      </c>
      <c r="I22" s="46">
        <f>I21*1.10</f>
        <v/>
      </c>
    </row>
    <row r="23">
      <c r="A23" s="37" t="inlineStr">
        <is>
          <t>Margen bruto (€)</t>
        </is>
      </c>
      <c r="I23" s="38">
        <f>I21-I18</f>
        <v/>
      </c>
    </row>
    <row r="24">
      <c r="A24" s="37" t="inlineStr">
        <is>
          <t>Margen bruto (%)</t>
        </is>
      </c>
      <c r="I24" s="47">
        <f>I23/I21</f>
        <v/>
      </c>
    </row>
  </sheetData>
  <mergeCells count="13">
    <mergeCell ref="A20:G20"/>
    <mergeCell ref="K15:L15"/>
    <mergeCell ref="A17:G17"/>
    <mergeCell ref="A18:H18"/>
    <mergeCell ref="K8:L9"/>
    <mergeCell ref="A16:H16"/>
    <mergeCell ref="A2:I2"/>
    <mergeCell ref="A22:H22"/>
    <mergeCell ref="A21:H21"/>
    <mergeCell ref="A1:I1"/>
    <mergeCell ref="A24:H24"/>
    <mergeCell ref="K3:L3"/>
    <mergeCell ref="A23:H23"/>
  </mergeCells>
  <dataValidations count="2">
    <dataValidation allowBlank="1" error="Selecciona una categoría válida" errorTitle="Categoría inválida" showDropDown="0" showErrorMessage="0" showInputMessage="0" sqref="B5 B6 B7 B8 B9 B10 B11 B12 B13 B14" type="list">
      <formula1>"Carne roja,Aves,Pescado,Marisco,Verdura hoja,Verdura raíz,Fruta,Lácteos,Secos/granos,Congelados,Pan/bollería,Huevos,Aceites/grasas,Especias/hierbas,Chocolate/cacao,Bebidas/licores"</formula1>
    </dataValidation>
    <dataValidation allowBlank="1" showDropDown="0" showErrorMessage="0" showInputMessage="0" sqref="C5 C6 C7 C8 C9 C10 C11 C12 C13 C14 F5 F6 F7 F8 F9 F10 F11 F12 F13 F14" type="list">
      <formula1>"kg,g,L,ml,cl,ud,docena,manojo,sobre,lata,botella"</formula1>
    </dataValidation>
  </dataValidations>
  <pageMargins bottom="1" footer="0.5" header="0.5" left="0.75" right="0.75" top="1"/>
  <pageSetup fitToHeight="0" fitToWidth="1" orientation="landscape"/>
</worksheet>
</file>

<file path=xl/worksheets/sheet5.xml><?xml version="1.0" encoding="utf-8"?>
<worksheet xmlns="http://schemas.openxmlformats.org/spreadsheetml/2006/main">
  <sheetPr>
    <tabColor rgb="00FFD700"/>
    <outlinePr summaryBelow="1" summaryRight="1"/>
    <pageSetUpPr/>
  </sheetPr>
  <dimension ref="A1:L24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25"/>
    <col customWidth="1" max="2" min="2" width="16"/>
    <col customWidth="1" max="3" min="3" width="12"/>
    <col customWidth="1" max="4" min="4" width="14"/>
    <col customWidth="1" max="5" min="5" width="12"/>
    <col customWidth="1" max="6" min="6" width="12"/>
    <col customWidth="1" max="7" min="7" width="10"/>
    <col customWidth="1" max="8" min="8" width="14"/>
    <col customWidth="1" max="9" min="9" width="14"/>
    <col customWidth="1" max="10" min="10" width="3"/>
    <col customWidth="1" max="11" min="11" width="20"/>
    <col customWidth="1" max="12" min="12" width="20"/>
  </cols>
  <sheetData>
    <row r="1">
      <c r="A1" s="9" t="inlineStr">
        <is>
          <t>Carne — Carrillera Ibérica al Vino Tinto</t>
        </is>
      </c>
    </row>
    <row r="2">
      <c r="A2" s="2" t="inlineStr">
        <is>
          <t>Introduce tus ingredientes y cantidades. Las celdas verdes son editables.</t>
        </is>
      </c>
    </row>
    <row r="3">
      <c r="K3" s="10" t="inlineStr">
        <is>
          <t>📷 Foto del Plato</t>
        </is>
      </c>
      <c r="L3" s="11" t="n"/>
    </row>
    <row r="4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Merma (%)</t>
        </is>
      </c>
      <c r="H4" s="12" t="inlineStr">
        <is>
          <t>Cant. Bruta</t>
        </is>
      </c>
      <c r="I4" s="12" t="inlineStr">
        <is>
          <t>Coste (€)</t>
        </is>
      </c>
      <c r="K4" s="13" t="n"/>
      <c r="L4" s="14" t="n"/>
    </row>
    <row r="5">
      <c r="A5" s="15" t="inlineStr">
        <is>
          <t>Carrillera ibérica</t>
        </is>
      </c>
      <c r="B5" s="16" t="inlineStr">
        <is>
          <t>Carne roja</t>
        </is>
      </c>
      <c r="C5" s="16" t="inlineStr">
        <is>
          <t>kg</t>
        </is>
      </c>
      <c r="D5" s="17" t="n">
        <v>18</v>
      </c>
      <c r="E5" s="18" t="n">
        <v>0.2</v>
      </c>
      <c r="F5" s="16" t="inlineStr">
        <is>
          <t>kg</t>
        </is>
      </c>
      <c r="G5" s="19" t="n">
        <v>0.15</v>
      </c>
      <c r="H5" s="20">
        <f>E5/(1-G5)</f>
        <v/>
      </c>
      <c r="I5" s="21">
        <f>H5*D5</f>
        <v/>
      </c>
      <c r="K5" s="22" t="n"/>
      <c r="L5" s="23" t="n"/>
    </row>
    <row r="6">
      <c r="A6" s="15" t="inlineStr">
        <is>
          <t>Vino tinto reserva</t>
        </is>
      </c>
      <c r="B6" s="16" t="inlineStr">
        <is>
          <t>Bebidas/licores</t>
        </is>
      </c>
      <c r="C6" s="16" t="inlineStr">
        <is>
          <t>L</t>
        </is>
      </c>
      <c r="D6" s="17" t="n">
        <v>6</v>
      </c>
      <c r="E6" s="18" t="n">
        <v>0.1</v>
      </c>
      <c r="F6" s="16" t="inlineStr">
        <is>
          <t>L</t>
        </is>
      </c>
      <c r="G6" s="19" t="n">
        <v>0.02</v>
      </c>
      <c r="H6" s="20">
        <f>E6/(1-G6)</f>
        <v/>
      </c>
      <c r="I6" s="21">
        <f>H6*D6</f>
        <v/>
      </c>
      <c r="K6" s="22" t="n"/>
      <c r="L6" s="23" t="n"/>
    </row>
    <row r="7">
      <c r="A7" s="15" t="inlineStr">
        <is>
          <t>Zanahoria</t>
        </is>
      </c>
      <c r="B7" s="16" t="inlineStr">
        <is>
          <t>Verdura raíz</t>
        </is>
      </c>
      <c r="C7" s="16" t="inlineStr">
        <is>
          <t>kg</t>
        </is>
      </c>
      <c r="D7" s="17" t="n">
        <v>1.2</v>
      </c>
      <c r="E7" s="18" t="n">
        <v>0.05</v>
      </c>
      <c r="F7" s="16" t="inlineStr">
        <is>
          <t>kg</t>
        </is>
      </c>
      <c r="G7" s="19" t="n">
        <v>0.12</v>
      </c>
      <c r="H7" s="20">
        <f>E7/(1-G7)</f>
        <v/>
      </c>
      <c r="I7" s="21">
        <f>H7*D7</f>
        <v/>
      </c>
      <c r="K7" s="22" t="n"/>
      <c r="L7" s="23" t="n"/>
    </row>
    <row r="8">
      <c r="A8" s="15" t="inlineStr">
        <is>
          <t>Puré de boniato</t>
        </is>
      </c>
      <c r="B8" s="16" t="inlineStr">
        <is>
          <t>Verdura raíz</t>
        </is>
      </c>
      <c r="C8" s="16" t="inlineStr">
        <is>
          <t>kg</t>
        </is>
      </c>
      <c r="D8" s="17" t="n">
        <v>2.5</v>
      </c>
      <c r="E8" s="18" t="n">
        <v>0.1</v>
      </c>
      <c r="F8" s="16" t="inlineStr">
        <is>
          <t>kg</t>
        </is>
      </c>
      <c r="G8" s="19" t="n">
        <v>0.15</v>
      </c>
      <c r="H8" s="20">
        <f>E8/(1-G8)</f>
        <v/>
      </c>
      <c r="I8" s="21">
        <f>H8*D8</f>
        <v/>
      </c>
      <c r="K8" s="24" t="inlineStr">
        <is>
          <t>Arrastra aquí la foto
del plato terminado</t>
        </is>
      </c>
      <c r="L8" s="25" t="n"/>
    </row>
    <row r="9">
      <c r="A9" s="15" t="inlineStr">
        <is>
          <t>Romero fresco</t>
        </is>
      </c>
      <c r="B9" s="16" t="inlineStr">
        <is>
          <t>Especias/hierbas</t>
        </is>
      </c>
      <c r="C9" s="16" t="inlineStr">
        <is>
          <t>manojo</t>
        </is>
      </c>
      <c r="D9" s="17" t="n">
        <v>1</v>
      </c>
      <c r="E9" s="18" t="n">
        <v>0.5</v>
      </c>
      <c r="F9" s="16" t="inlineStr">
        <is>
          <t>ud</t>
        </is>
      </c>
      <c r="G9" s="19" t="n">
        <v>0.2</v>
      </c>
      <c r="H9" s="20">
        <f>E9/(1-G9)</f>
        <v/>
      </c>
      <c r="I9" s="21">
        <f>H9*D9</f>
        <v/>
      </c>
      <c r="K9" s="26" t="n"/>
      <c r="L9" s="27" t="n"/>
    </row>
    <row r="10">
      <c r="A10" s="28" t="n"/>
      <c r="B10" s="28" t="n"/>
      <c r="C10" s="28" t="n"/>
      <c r="D10" s="28" t="n"/>
      <c r="E10" s="28" t="n"/>
      <c r="F10" s="28" t="n"/>
      <c r="G10" s="29" t="n"/>
      <c r="H10" s="30">
        <f>IF(E10="","",E10/(1-G10))</f>
        <v/>
      </c>
      <c r="I10" s="31">
        <f>IF(H10="","",H10*D10)</f>
        <v/>
      </c>
      <c r="K10" s="22" t="n"/>
      <c r="L10" s="23" t="n"/>
    </row>
    <row r="11">
      <c r="A11" s="28" t="n"/>
      <c r="B11" s="28" t="n"/>
      <c r="C11" s="28" t="n"/>
      <c r="D11" s="28" t="n"/>
      <c r="E11" s="28" t="n"/>
      <c r="F11" s="28" t="n"/>
      <c r="G11" s="29" t="n"/>
      <c r="H11" s="30">
        <f>IF(E11="","",E11/(1-G11))</f>
        <v/>
      </c>
      <c r="I11" s="31">
        <f>IF(H11="","",H11*D11)</f>
        <v/>
      </c>
      <c r="K11" s="22" t="n"/>
      <c r="L11" s="23" t="n"/>
    </row>
    <row r="12">
      <c r="A12" s="28" t="n"/>
      <c r="B12" s="28" t="n"/>
      <c r="C12" s="28" t="n"/>
      <c r="D12" s="28" t="n"/>
      <c r="E12" s="28" t="n"/>
      <c r="F12" s="28" t="n"/>
      <c r="G12" s="29" t="n"/>
      <c r="H12" s="30">
        <f>IF(E12="","",E12/(1-G12))</f>
        <v/>
      </c>
      <c r="I12" s="31">
        <f>IF(H12="","",H12*D12)</f>
        <v/>
      </c>
      <c r="K12" s="22" t="n"/>
      <c r="L12" s="23" t="n"/>
    </row>
    <row r="13">
      <c r="A13" s="28" t="n"/>
      <c r="B13" s="28" t="n"/>
      <c r="C13" s="28" t="n"/>
      <c r="D13" s="28" t="n"/>
      <c r="E13" s="28" t="n"/>
      <c r="F13" s="28" t="n"/>
      <c r="G13" s="29" t="n"/>
      <c r="H13" s="30">
        <f>IF(E13="","",E13/(1-G13))</f>
        <v/>
      </c>
      <c r="I13" s="31">
        <f>IF(H13="","",H13*D13)</f>
        <v/>
      </c>
      <c r="K13" s="22" t="n"/>
      <c r="L13" s="23" t="n"/>
    </row>
    <row r="14">
      <c r="A14" s="28" t="n"/>
      <c r="B14" s="28" t="n"/>
      <c r="C14" s="28" t="n"/>
      <c r="D14" s="28" t="n"/>
      <c r="E14" s="28" t="n"/>
      <c r="F14" s="28" t="n"/>
      <c r="G14" s="29" t="n"/>
      <c r="H14" s="30">
        <f>IF(E14="","",E14/(1-G14))</f>
        <v/>
      </c>
      <c r="I14" s="31">
        <f>IF(H14="","",H14*D14)</f>
        <v/>
      </c>
      <c r="K14" s="32" t="n"/>
      <c r="L14" s="33" t="n"/>
    </row>
    <row r="15">
      <c r="K15" s="34" t="inlineStr">
        <is>
          <t>Insertar → Imagen → Desde archivo</t>
        </is>
      </c>
    </row>
    <row r="16">
      <c r="A16" s="35" t="inlineStr">
        <is>
          <t>COSTE TOTAL INGREDIENTES</t>
        </is>
      </c>
      <c r="I16" s="36">
        <f>SUM(I5:I14)</f>
        <v/>
      </c>
    </row>
    <row r="17">
      <c r="A17" s="37" t="inlineStr">
        <is>
          <t>Coste elaboración (%)</t>
        </is>
      </c>
      <c r="H17" s="19" t="n">
        <v>0.1</v>
      </c>
      <c r="I17" s="38">
        <f>I16*H17</f>
        <v/>
      </c>
    </row>
    <row r="18">
      <c r="A18" s="39" t="inlineStr">
        <is>
          <t>COSTE TOTAL DEL PLATO</t>
        </is>
      </c>
      <c r="I18" s="40">
        <f>I16+I17</f>
        <v/>
      </c>
    </row>
    <row r="20">
      <c r="A20" s="41" t="inlineStr">
        <is>
          <t>Food Cost objetivo (%)</t>
        </is>
      </c>
      <c r="H20" s="42" t="n">
        <v>0.3</v>
      </c>
    </row>
    <row r="21">
      <c r="A21" s="43" t="inlineStr">
        <is>
          <t>PVP SUGERIDO (sin IVA)</t>
        </is>
      </c>
      <c r="I21" s="44">
        <f>I18/H20</f>
        <v/>
      </c>
    </row>
    <row r="22">
      <c r="A22" s="45" t="inlineStr">
        <is>
          <t>PVP CON IVA (10% hostelería)</t>
        </is>
      </c>
      <c r="I22" s="46">
        <f>I21*1.10</f>
        <v/>
      </c>
    </row>
    <row r="23">
      <c r="A23" s="37" t="inlineStr">
        <is>
          <t>Margen bruto (€)</t>
        </is>
      </c>
      <c r="I23" s="38">
        <f>I21-I18</f>
        <v/>
      </c>
    </row>
    <row r="24">
      <c r="A24" s="37" t="inlineStr">
        <is>
          <t>Margen bruto (%)</t>
        </is>
      </c>
      <c r="I24" s="47">
        <f>I23/I21</f>
        <v/>
      </c>
    </row>
  </sheetData>
  <mergeCells count="13">
    <mergeCell ref="A20:G20"/>
    <mergeCell ref="K15:L15"/>
    <mergeCell ref="A17:G17"/>
    <mergeCell ref="A18:H18"/>
    <mergeCell ref="K8:L9"/>
    <mergeCell ref="A16:H16"/>
    <mergeCell ref="A2:I2"/>
    <mergeCell ref="A22:H22"/>
    <mergeCell ref="A21:H21"/>
    <mergeCell ref="A1:I1"/>
    <mergeCell ref="A24:H24"/>
    <mergeCell ref="K3:L3"/>
    <mergeCell ref="A23:H23"/>
  </mergeCells>
  <dataValidations count="2">
    <dataValidation allowBlank="1" error="Selecciona una categoría válida" errorTitle="Categoría inválida" showDropDown="0" showErrorMessage="0" showInputMessage="0" sqref="B5 B6 B7 B8 B9 B10 B11 B12 B13 B14" type="list">
      <formula1>"Carne roja,Aves,Pescado,Marisco,Verdura hoja,Verdura raíz,Fruta,Lácteos,Secos/granos,Congelados,Pan/bollería,Huevos,Aceites/grasas,Especias/hierbas,Chocolate/cacao,Bebidas/licores"</formula1>
    </dataValidation>
    <dataValidation allowBlank="1" showDropDown="0" showErrorMessage="0" showInputMessage="0" sqref="C5 C6 C7 C8 C9 C10 C11 C12 C13 C14 F5 F6 F7 F8 F9 F10 F11 F12 F13 F14" type="list">
      <formula1>"kg,g,L,ml,cl,ud,docena,manojo,sobre,lata,botella"</formula1>
    </dataValidation>
  </dataValidations>
  <pageMargins bottom="1" footer="0.5" header="0.5" left="0.75" right="0.75" top="1"/>
  <pageSetup fitToHeight="0" fitToWidth="1" orientation="landscape"/>
</worksheet>
</file>

<file path=xl/worksheets/sheet6.xml><?xml version="1.0" encoding="utf-8"?>
<worksheet xmlns="http://schemas.openxmlformats.org/spreadsheetml/2006/main">
  <sheetPr>
    <tabColor rgb="00FFD700"/>
    <outlinePr summaryBelow="1" summaryRight="1"/>
    <pageSetUpPr/>
  </sheetPr>
  <dimension ref="A1:L24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25"/>
    <col customWidth="1" max="2" min="2" width="16"/>
    <col customWidth="1" max="3" min="3" width="12"/>
    <col customWidth="1" max="4" min="4" width="14"/>
    <col customWidth="1" max="5" min="5" width="12"/>
    <col customWidth="1" max="6" min="6" width="12"/>
    <col customWidth="1" max="7" min="7" width="10"/>
    <col customWidth="1" max="8" min="8" width="14"/>
    <col customWidth="1" max="9" min="9" width="14"/>
    <col customWidth="1" max="10" min="10" width="3"/>
    <col customWidth="1" max="11" min="11" width="20"/>
    <col customWidth="1" max="12" min="12" width="20"/>
  </cols>
  <sheetData>
    <row r="1">
      <c r="A1" s="9" t="inlineStr">
        <is>
          <t>Postre — Esfera de Chocolate con Fruta de la Pasión</t>
        </is>
      </c>
    </row>
    <row r="2">
      <c r="A2" s="2" t="inlineStr">
        <is>
          <t>Introduce tus ingredientes y cantidades. Las celdas verdes son editables.</t>
        </is>
      </c>
    </row>
    <row r="3">
      <c r="K3" s="10" t="inlineStr">
        <is>
          <t>📷 Foto del Plato</t>
        </is>
      </c>
      <c r="L3" s="11" t="n"/>
    </row>
    <row r="4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Merma (%)</t>
        </is>
      </c>
      <c r="H4" s="12" t="inlineStr">
        <is>
          <t>Cant. Bruta</t>
        </is>
      </c>
      <c r="I4" s="12" t="inlineStr">
        <is>
          <t>Coste (€)</t>
        </is>
      </c>
      <c r="K4" s="13" t="n"/>
      <c r="L4" s="14" t="n"/>
    </row>
    <row r="5">
      <c r="A5" s="15" t="inlineStr">
        <is>
          <t>Chocolate negro 70%</t>
        </is>
      </c>
      <c r="B5" s="16" t="inlineStr">
        <is>
          <t>Chocolate/cacao</t>
        </is>
      </c>
      <c r="C5" s="16" t="inlineStr">
        <is>
          <t>kg</t>
        </is>
      </c>
      <c r="D5" s="17" t="n">
        <v>18</v>
      </c>
      <c r="E5" s="18" t="n">
        <v>0.06</v>
      </c>
      <c r="F5" s="16" t="inlineStr">
        <is>
          <t>kg</t>
        </is>
      </c>
      <c r="G5" s="19" t="n">
        <v>0.05</v>
      </c>
      <c r="H5" s="20">
        <f>E5/(1-G5)</f>
        <v/>
      </c>
      <c r="I5" s="21">
        <f>H5*D5</f>
        <v/>
      </c>
      <c r="K5" s="22" t="n"/>
      <c r="L5" s="23" t="n"/>
    </row>
    <row r="6">
      <c r="A6" s="15" t="inlineStr">
        <is>
          <t>Fruta de la pasión</t>
        </is>
      </c>
      <c r="B6" s="16" t="inlineStr">
        <is>
          <t>Fruta</t>
        </is>
      </c>
      <c r="C6" s="16" t="inlineStr">
        <is>
          <t>kg</t>
        </is>
      </c>
      <c r="D6" s="17" t="n">
        <v>14</v>
      </c>
      <c r="E6" s="18" t="n">
        <v>0.04</v>
      </c>
      <c r="F6" s="16" t="inlineStr">
        <is>
          <t>kg</t>
        </is>
      </c>
      <c r="G6" s="19" t="n">
        <v>0.5</v>
      </c>
      <c r="H6" s="20">
        <f>E6/(1-G6)</f>
        <v/>
      </c>
      <c r="I6" s="21">
        <f>H6*D6</f>
        <v/>
      </c>
      <c r="K6" s="22" t="n"/>
      <c r="L6" s="23" t="n"/>
    </row>
    <row r="7">
      <c r="A7" s="15" t="inlineStr">
        <is>
          <t>Nata 35% MG</t>
        </is>
      </c>
      <c r="B7" s="16" t="inlineStr">
        <is>
          <t>Lácteos</t>
        </is>
      </c>
      <c r="C7" s="16" t="inlineStr">
        <is>
          <t>L</t>
        </is>
      </c>
      <c r="D7" s="17" t="n">
        <v>3.8</v>
      </c>
      <c r="E7" s="18" t="n">
        <v>0.06</v>
      </c>
      <c r="F7" s="16" t="inlineStr">
        <is>
          <t>L</t>
        </is>
      </c>
      <c r="G7" s="19" t="n">
        <v>0.03</v>
      </c>
      <c r="H7" s="20">
        <f>E7/(1-G7)</f>
        <v/>
      </c>
      <c r="I7" s="21">
        <f>H7*D7</f>
        <v/>
      </c>
      <c r="K7" s="22" t="n"/>
      <c r="L7" s="23" t="n"/>
    </row>
    <row r="8">
      <c r="A8" s="15" t="inlineStr">
        <is>
          <t>Azúcar</t>
        </is>
      </c>
      <c r="B8" s="16" t="inlineStr">
        <is>
          <t>Secos/granos</t>
        </is>
      </c>
      <c r="C8" s="16" t="inlineStr">
        <is>
          <t>kg</t>
        </is>
      </c>
      <c r="D8" s="17" t="n">
        <v>1.2</v>
      </c>
      <c r="E8" s="18" t="n">
        <v>0.025</v>
      </c>
      <c r="F8" s="16" t="inlineStr">
        <is>
          <t>kg</t>
        </is>
      </c>
      <c r="G8" s="19" t="n">
        <v>0.02</v>
      </c>
      <c r="H8" s="20">
        <f>E8/(1-G8)</f>
        <v/>
      </c>
      <c r="I8" s="21">
        <f>H8*D8</f>
        <v/>
      </c>
      <c r="K8" s="24" t="inlineStr">
        <is>
          <t>Arrastra aquí la foto
del plato terminado</t>
        </is>
      </c>
      <c r="L8" s="25" t="n"/>
    </row>
    <row r="9">
      <c r="A9" s="15" t="inlineStr">
        <is>
          <t>Manteca de cacao</t>
        </is>
      </c>
      <c r="B9" s="16" t="inlineStr">
        <is>
          <t>Chocolate/cacao</t>
        </is>
      </c>
      <c r="C9" s="16" t="inlineStr">
        <is>
          <t>kg</t>
        </is>
      </c>
      <c r="D9" s="17" t="n">
        <v>22</v>
      </c>
      <c r="E9" s="18" t="n">
        <v>0.015</v>
      </c>
      <c r="F9" s="16" t="inlineStr">
        <is>
          <t>kg</t>
        </is>
      </c>
      <c r="G9" s="19" t="n">
        <v>0.05</v>
      </c>
      <c r="H9" s="20">
        <f>E9/(1-G9)</f>
        <v/>
      </c>
      <c r="I9" s="21">
        <f>H9*D9</f>
        <v/>
      </c>
      <c r="K9" s="26" t="n"/>
      <c r="L9" s="27" t="n"/>
    </row>
    <row r="10">
      <c r="A10" s="28" t="n"/>
      <c r="B10" s="28" t="n"/>
      <c r="C10" s="28" t="n"/>
      <c r="D10" s="28" t="n"/>
      <c r="E10" s="28" t="n"/>
      <c r="F10" s="28" t="n"/>
      <c r="G10" s="29" t="n"/>
      <c r="H10" s="30">
        <f>IF(E10="","",E10/(1-G10))</f>
        <v/>
      </c>
      <c r="I10" s="31">
        <f>IF(H10="","",H10*D10)</f>
        <v/>
      </c>
      <c r="K10" s="22" t="n"/>
      <c r="L10" s="23" t="n"/>
    </row>
    <row r="11">
      <c r="A11" s="28" t="n"/>
      <c r="B11" s="28" t="n"/>
      <c r="C11" s="28" t="n"/>
      <c r="D11" s="28" t="n"/>
      <c r="E11" s="28" t="n"/>
      <c r="F11" s="28" t="n"/>
      <c r="G11" s="29" t="n"/>
      <c r="H11" s="30">
        <f>IF(E11="","",E11/(1-G11))</f>
        <v/>
      </c>
      <c r="I11" s="31">
        <f>IF(H11="","",H11*D11)</f>
        <v/>
      </c>
      <c r="K11" s="22" t="n"/>
      <c r="L11" s="23" t="n"/>
    </row>
    <row r="12">
      <c r="A12" s="28" t="n"/>
      <c r="B12" s="28" t="n"/>
      <c r="C12" s="28" t="n"/>
      <c r="D12" s="28" t="n"/>
      <c r="E12" s="28" t="n"/>
      <c r="F12" s="28" t="n"/>
      <c r="G12" s="29" t="n"/>
      <c r="H12" s="30">
        <f>IF(E12="","",E12/(1-G12))</f>
        <v/>
      </c>
      <c r="I12" s="31">
        <f>IF(H12="","",H12*D12)</f>
        <v/>
      </c>
      <c r="K12" s="22" t="n"/>
      <c r="L12" s="23" t="n"/>
    </row>
    <row r="13">
      <c r="A13" s="28" t="n"/>
      <c r="B13" s="28" t="n"/>
      <c r="C13" s="28" t="n"/>
      <c r="D13" s="28" t="n"/>
      <c r="E13" s="28" t="n"/>
      <c r="F13" s="28" t="n"/>
      <c r="G13" s="29" t="n"/>
      <c r="H13" s="30">
        <f>IF(E13="","",E13/(1-G13))</f>
        <v/>
      </c>
      <c r="I13" s="31">
        <f>IF(H13="","",H13*D13)</f>
        <v/>
      </c>
      <c r="K13" s="22" t="n"/>
      <c r="L13" s="23" t="n"/>
    </row>
    <row r="14">
      <c r="A14" s="28" t="n"/>
      <c r="B14" s="28" t="n"/>
      <c r="C14" s="28" t="n"/>
      <c r="D14" s="28" t="n"/>
      <c r="E14" s="28" t="n"/>
      <c r="F14" s="28" t="n"/>
      <c r="G14" s="29" t="n"/>
      <c r="H14" s="30">
        <f>IF(E14="","",E14/(1-G14))</f>
        <v/>
      </c>
      <c r="I14" s="31">
        <f>IF(H14="","",H14*D14)</f>
        <v/>
      </c>
      <c r="K14" s="32" t="n"/>
      <c r="L14" s="33" t="n"/>
    </row>
    <row r="15">
      <c r="K15" s="34" t="inlineStr">
        <is>
          <t>Insertar → Imagen → Desde archivo</t>
        </is>
      </c>
    </row>
    <row r="16">
      <c r="A16" s="35" t="inlineStr">
        <is>
          <t>COSTE TOTAL INGREDIENTES</t>
        </is>
      </c>
      <c r="I16" s="36">
        <f>SUM(I5:I14)</f>
        <v/>
      </c>
    </row>
    <row r="17">
      <c r="A17" s="37" t="inlineStr">
        <is>
          <t>Coste elaboración (%)</t>
        </is>
      </c>
      <c r="H17" s="19" t="n">
        <v>0.1</v>
      </c>
      <c r="I17" s="38">
        <f>I16*H17</f>
        <v/>
      </c>
    </row>
    <row r="18">
      <c r="A18" s="39" t="inlineStr">
        <is>
          <t>COSTE TOTAL DEL PLATO</t>
        </is>
      </c>
      <c r="I18" s="40">
        <f>I16+I17</f>
        <v/>
      </c>
    </row>
    <row r="20">
      <c r="A20" s="41" t="inlineStr">
        <is>
          <t>Food Cost objetivo (%)</t>
        </is>
      </c>
      <c r="H20" s="42" t="n">
        <v>0.3</v>
      </c>
    </row>
    <row r="21">
      <c r="A21" s="43" t="inlineStr">
        <is>
          <t>PVP SUGERIDO (sin IVA)</t>
        </is>
      </c>
      <c r="I21" s="44">
        <f>I18/H20</f>
        <v/>
      </c>
    </row>
    <row r="22">
      <c r="A22" s="45" t="inlineStr">
        <is>
          <t>PVP CON IVA (10% hostelería)</t>
        </is>
      </c>
      <c r="I22" s="46">
        <f>I21*1.10</f>
        <v/>
      </c>
    </row>
    <row r="23">
      <c r="A23" s="37" t="inlineStr">
        <is>
          <t>Margen bruto (€)</t>
        </is>
      </c>
      <c r="I23" s="38">
        <f>I21-I18</f>
        <v/>
      </c>
    </row>
    <row r="24">
      <c r="A24" s="37" t="inlineStr">
        <is>
          <t>Margen bruto (%)</t>
        </is>
      </c>
      <c r="I24" s="47">
        <f>I23/I21</f>
        <v/>
      </c>
    </row>
  </sheetData>
  <mergeCells count="13">
    <mergeCell ref="A20:G20"/>
    <mergeCell ref="K15:L15"/>
    <mergeCell ref="A17:G17"/>
    <mergeCell ref="A18:H18"/>
    <mergeCell ref="K8:L9"/>
    <mergeCell ref="A16:H16"/>
    <mergeCell ref="A2:I2"/>
    <mergeCell ref="A22:H22"/>
    <mergeCell ref="A21:H21"/>
    <mergeCell ref="A1:I1"/>
    <mergeCell ref="A24:H24"/>
    <mergeCell ref="K3:L3"/>
    <mergeCell ref="A23:H23"/>
  </mergeCells>
  <dataValidations count="2">
    <dataValidation allowBlank="1" error="Selecciona una categoría válida" errorTitle="Categoría inválida" showDropDown="0" showErrorMessage="0" showInputMessage="0" sqref="B5 B6 B7 B8 B9 B10 B11 B12 B13 B14" type="list">
      <formula1>"Carne roja,Aves,Pescado,Marisco,Verdura hoja,Verdura raíz,Fruta,Lácteos,Secos/granos,Congelados,Pan/bollería,Huevos,Aceites/grasas,Especias/hierbas,Chocolate/cacao,Bebidas/licores"</formula1>
    </dataValidation>
    <dataValidation allowBlank="1" showDropDown="0" showErrorMessage="0" showInputMessage="0" sqref="C5 C6 C7 C8 C9 C10 C11 C12 C13 C14 F5 F6 F7 F8 F9 F10 F11 F12 F13 F14" type="list">
      <formula1>"kg,g,L,ml,cl,ud,docena,manojo,sobre,lata,botella"</formula1>
    </dataValidation>
  </dataValidations>
  <pageMargins bottom="1" footer="0.5" header="0.5" left="0.75" right="0.75" top="1"/>
  <pageSetup fitToHeight="0" fitToWidth="1" orientation="landscape"/>
</worksheet>
</file>

<file path=xl/worksheets/sheet7.xml><?xml version="1.0" encoding="utf-8"?>
<worksheet xmlns="http://schemas.openxmlformats.org/spreadsheetml/2006/main">
  <sheetPr>
    <tabColor rgb="00FF4444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0"/>
    <col customWidth="1" max="3" min="3" width="18"/>
  </cols>
  <sheetData>
    <row r="2">
      <c r="B2" s="48" t="inlineStr">
        <is>
          <t>Resumen — Menú Degustación</t>
        </is>
      </c>
    </row>
    <row r="4">
      <c r="B4" s="49" t="inlineStr">
        <is>
          <t>Pase</t>
        </is>
      </c>
      <c r="C4" s="50" t="inlineStr">
        <is>
          <t>Coste (€)</t>
        </is>
      </c>
    </row>
    <row r="5">
      <c r="B5" s="51" t="inlineStr">
        <is>
          <t>1. Aperitivo</t>
        </is>
      </c>
      <c r="C5" s="21">
        <f>'1. Aperitivo'!I18</f>
        <v/>
      </c>
    </row>
    <row r="6">
      <c r="B6" s="51" t="inlineStr">
        <is>
          <t>2. Entrante</t>
        </is>
      </c>
      <c r="C6" s="21">
        <f>'2. Entrante'!I18</f>
        <v/>
      </c>
    </row>
    <row r="7">
      <c r="B7" s="51" t="inlineStr">
        <is>
          <t>3. Pescado</t>
        </is>
      </c>
      <c r="C7" s="21">
        <f>'3. Pescado'!I18</f>
        <v/>
      </c>
    </row>
    <row r="8">
      <c r="B8" s="51" t="inlineStr">
        <is>
          <t>4. Carne</t>
        </is>
      </c>
      <c r="C8" s="21">
        <f>'4. Carne'!I18</f>
        <v/>
      </c>
    </row>
    <row r="9">
      <c r="B9" s="51" t="inlineStr">
        <is>
          <t>5. Postre</t>
        </is>
      </c>
      <c r="C9" s="21">
        <f>'5. Postre'!I18</f>
        <v/>
      </c>
    </row>
    <row r="10">
      <c r="B10" s="52" t="inlineStr">
        <is>
          <t>COSTE TOTAL MENÚ</t>
        </is>
      </c>
      <c r="C10" s="46">
        <f>SUM(C5:C9)</f>
        <v/>
      </c>
    </row>
    <row r="12">
      <c r="B12" s="53" t="inlineStr">
        <is>
          <t>Food Cost objetivo (%)</t>
        </is>
      </c>
      <c r="C12" s="54" t="n">
        <v>0.25</v>
      </c>
    </row>
    <row r="13">
      <c r="B13" s="55" t="inlineStr">
        <is>
          <t>PVP SUGERIDO (sin IVA)</t>
        </is>
      </c>
      <c r="C13" s="44">
        <f>C10/C12</f>
        <v/>
      </c>
    </row>
    <row r="14">
      <c r="B14" s="56" t="inlineStr">
        <is>
          <t>PVP CON IVA (10%)</t>
        </is>
      </c>
      <c r="C14" s="46">
        <f>C13*1.10</f>
        <v/>
      </c>
    </row>
  </sheetData>
  <mergeCells count="1">
    <mergeCell ref="B2:C2"/>
  </mergeCell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2026-03-18T21:50:23Z</dcterms:created>
  <dcterms:modified xsi:type="dcterms:W3CDTF">2026-03-18T21:50:23Z</dcterms:modified>
</cp:coreProperties>
</file>