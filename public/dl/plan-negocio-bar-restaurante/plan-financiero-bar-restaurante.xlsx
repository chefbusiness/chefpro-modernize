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version Inicial" sheetId="1" state="visible" r:id="rId1"/>
    <sheet xmlns:r="http://schemas.openxmlformats.org/officeDocument/2006/relationships" name="2. P&amp;L 3 Anos" sheetId="2" state="visible" r:id="rId2"/>
    <sheet xmlns:r="http://schemas.openxmlformats.org/officeDocument/2006/relationships" name="3. Punto Equilibrio" sheetId="3" state="visible" r:id="rId3"/>
    <sheet xmlns:r="http://schemas.openxmlformats.org/officeDocument/2006/relationships" name="4. Escenarios" sheetId="4" state="visible" r:id="rId4"/>
    <sheet xmlns:r="http://schemas.openxmlformats.org/officeDocument/2006/relationships" name="5. Personal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#,##0.00 €"/>
  </numFmts>
  <fonts count="8">
    <font>
      <name val="Calibri"/>
      <family val="2"/>
      <color theme="1"/>
      <sz val="11"/>
      <scheme val="minor"/>
    </font>
    <font>
      <name val="Playfair Display"/>
      <b val="1"/>
      <color rgb="00C4974A"/>
      <sz val="16"/>
    </font>
    <font>
      <name val="Inter"/>
      <b val="1"/>
      <color rgb="000A0908"/>
      <sz val="13"/>
    </font>
    <font>
      <name val="Inter"/>
      <i val="1"/>
      <color rgb="00888888"/>
      <sz val="9"/>
    </font>
    <font>
      <name val="Inter"/>
      <b val="1"/>
      <color rgb="00FFFFFF"/>
      <sz val="11"/>
    </font>
    <font>
      <name val="Inter"/>
      <b val="1"/>
      <color rgb="000A0908"/>
      <sz val="10"/>
    </font>
    <font>
      <name val="Inter"/>
      <color rgb="000A0908"/>
      <sz val="10"/>
    </font>
    <font>
      <name val="Inter"/>
      <b val="1"/>
      <color rgb="00C4974A"/>
      <sz val="11"/>
    </font>
  </fonts>
  <fills count="8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  <fill>
      <patternFill patternType="solid">
        <fgColor rgb="00F5EFE0"/>
        <bgColor rgb="00F5EFE0"/>
      </patternFill>
    </fill>
    <fill>
      <patternFill patternType="solid">
        <fgColor rgb="00FFF8E7"/>
        <bgColor rgb="00FFF8E7"/>
      </patternFill>
    </fill>
    <fill>
      <patternFill patternType="solid">
        <fgColor rgb="00FDE8E8"/>
        <bgColor rgb="00FDE8E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0" fontId="3" fillId="4" borderId="1" pivotButton="0" quotePrefix="0" xfId="0"/>
    <xf numFmtId="0" fontId="3" fillId="0" borderId="0" applyAlignment="1" pivotButton="0" quotePrefix="0" xfId="0">
      <alignment horizontal="center"/>
    </xf>
    <xf numFmtId="3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 ht="32" customHeight="1">
      <c r="A1" s="1" t="inlineStr">
        <is>
          <t>ChefBusiness Consultoria Gastronomica</t>
        </is>
      </c>
    </row>
    <row r="2" ht="26" customHeight="1">
      <c r="A2" s="2" t="inlineStr">
        <is>
          <t>Inversion Inicial — Bar-Restaurante</t>
        </is>
      </c>
    </row>
    <row r="3" ht="18" customHeight="1">
      <c r="A3" s="3" t="inlineStr">
        <is>
          <t>Plan de Negocio: Bar-Restaurante / Restaurante Casual — Espana 2026</t>
        </is>
      </c>
    </row>
    <row r="5" ht="28" customHeight="1">
      <c r="A5" s="4" t="inlineStr">
        <is>
          <t>Concepto</t>
        </is>
      </c>
      <c r="B5" s="4" t="inlineStr">
        <is>
          <t>Importe</t>
        </is>
      </c>
      <c r="C5" s="4" t="inlineStr">
        <is>
          <t>Notas</t>
        </is>
      </c>
    </row>
    <row r="6" ht="24" customHeight="1">
      <c r="A6" s="5" t="inlineStr">
        <is>
          <t>LOCAL Y ACONDICIONAMIENTO</t>
        </is>
      </c>
    </row>
    <row r="7" ht="22" customHeight="1">
      <c r="A7" s="6" t="inlineStr">
        <is>
          <t>Fianza alquiler (3 meses)</t>
        </is>
      </c>
      <c r="B7" s="7" t="n">
        <v>9000</v>
      </c>
      <c r="C7" s="6" t="inlineStr">
        <is>
          <t>3 x 3.000 EUR/mes (zona urbana media)</t>
        </is>
      </c>
    </row>
    <row r="8" ht="22" customHeight="1">
      <c r="A8" s="6" t="inlineStr">
        <is>
          <t>Primer mes alquiler</t>
        </is>
      </c>
      <c r="B8" s="7" t="n">
        <v>3000</v>
      </c>
      <c r="C8" s="6" t="inlineStr"/>
    </row>
    <row r="9" ht="22" customHeight="1">
      <c r="A9" s="6" t="inlineStr">
        <is>
          <t>Honorarios inmobiliaria</t>
        </is>
      </c>
      <c r="B9" s="7" t="n">
        <v>1500</v>
      </c>
      <c r="C9" s="6" t="inlineStr">
        <is>
          <t>Medio mes de alquiler</t>
        </is>
      </c>
    </row>
    <row r="10" ht="22" customHeight="1">
      <c r="A10" s="6" t="inlineStr">
        <is>
          <t>Obra civil y reforma local</t>
        </is>
      </c>
      <c r="B10" s="7" t="n">
        <v>25000</v>
      </c>
      <c r="C10" s="6" t="inlineStr">
        <is>
          <t>Cocina, extraccion, instalaciones, suelo, pintura</t>
        </is>
      </c>
    </row>
    <row r="11" ht="22" customHeight="1">
      <c r="A11" s="6" t="inlineStr">
        <is>
          <t>Proyecto tecnico + licencia actividad</t>
        </is>
      </c>
      <c r="B11" s="7" t="n">
        <v>3500</v>
      </c>
      <c r="C11" s="6" t="inlineStr">
        <is>
          <t>Ingeniero + tasas ayuntamiento</t>
        </is>
      </c>
    </row>
    <row r="12" ht="22" customHeight="1">
      <c r="A12" s="6" t="inlineStr">
        <is>
          <t>Decoracion e interiorismo</t>
        </is>
      </c>
      <c r="B12" s="7" t="n">
        <v>8000</v>
      </c>
      <c r="C12" s="6" t="inlineStr">
        <is>
          <t>Mobiliario sala, iluminacion, rotulacion</t>
        </is>
      </c>
    </row>
    <row r="13" ht="24" customHeight="1">
      <c r="A13" s="5" t="inlineStr">
        <is>
          <t>EQUIPAMIENTO COCINA</t>
        </is>
      </c>
    </row>
    <row r="14" ht="22" customHeight="1">
      <c r="A14" s="6" t="inlineStr">
        <is>
          <t>Cocina industrial (fuegos + plancha)</t>
        </is>
      </c>
      <c r="B14" s="7" t="n">
        <v>4500</v>
      </c>
      <c r="C14" s="6" t="inlineStr">
        <is>
          <t>4 fuegos + plancha 80cm</t>
        </is>
      </c>
    </row>
    <row r="15" ht="22" customHeight="1">
      <c r="A15" s="6" t="inlineStr">
        <is>
          <t>Horno mixto (conveccion + vapor)</t>
        </is>
      </c>
      <c r="B15" s="7" t="n">
        <v>5500</v>
      </c>
      <c r="C15" s="6" t="inlineStr">
        <is>
          <t>10 bandejas GN 1/1</t>
        </is>
      </c>
    </row>
    <row r="16" ht="22" customHeight="1">
      <c r="A16" s="6" t="inlineStr">
        <is>
          <t>Freidora profesional</t>
        </is>
      </c>
      <c r="B16" s="7" t="n">
        <v>800</v>
      </c>
      <c r="C16" s="6" t="inlineStr">
        <is>
          <t>2 cubetas x 8L</t>
        </is>
      </c>
    </row>
    <row r="17" ht="22" customHeight="1">
      <c r="A17" s="6" t="inlineStr">
        <is>
          <t>Mesa refrigerada bajo mostrador</t>
        </is>
      </c>
      <c r="B17" s="7" t="n">
        <v>2200</v>
      </c>
      <c r="C17" s="6" t="inlineStr">
        <is>
          <t>3 puertas, 400L</t>
        </is>
      </c>
    </row>
    <row r="18" ht="22" customHeight="1">
      <c r="A18" s="6" t="inlineStr">
        <is>
          <t>Camara frigorifica</t>
        </is>
      </c>
      <c r="B18" s="7" t="n">
        <v>3500</v>
      </c>
      <c r="C18" s="6" t="inlineStr">
        <is>
          <t>Positiva + negativa</t>
        </is>
      </c>
    </row>
    <row r="19" ht="22" customHeight="1">
      <c r="A19" s="6" t="inlineStr">
        <is>
          <t>Campana extractora + motor</t>
        </is>
      </c>
      <c r="B19" s="7" t="n">
        <v>3000</v>
      </c>
      <c r="C19" s="6" t="inlineStr">
        <is>
          <t>Instalacion incluida</t>
        </is>
      </c>
    </row>
    <row r="20" ht="22" customHeight="1">
      <c r="A20" s="6" t="inlineStr">
        <is>
          <t>Lavavajillas industrial</t>
        </is>
      </c>
      <c r="B20" s="7" t="n">
        <v>2800</v>
      </c>
      <c r="C20" s="6" t="inlineStr">
        <is>
          <t>Cesta 50x50</t>
        </is>
      </c>
    </row>
    <row r="21" ht="22" customHeight="1">
      <c r="A21" s="6" t="inlineStr">
        <is>
          <t>Menaje y utensilios cocina</t>
        </is>
      </c>
      <c r="B21" s="7" t="n">
        <v>2000</v>
      </c>
      <c r="C21" s="6" t="inlineStr">
        <is>
          <t>Sartenes, ollas, GN, cuchillos, tablas</t>
        </is>
      </c>
    </row>
    <row r="22" ht="22" customHeight="1">
      <c r="A22" s="6" t="inlineStr">
        <is>
          <t>Fregadero industrial doble seno</t>
        </is>
      </c>
      <c r="B22" s="7" t="n">
        <v>600</v>
      </c>
      <c r="C22" s="6" t="inlineStr"/>
    </row>
    <row r="23" ht="22" customHeight="1">
      <c r="A23" s="6" t="inlineStr">
        <is>
          <t>Estanterias inox almacen</t>
        </is>
      </c>
      <c r="B23" s="7" t="n">
        <v>800</v>
      </c>
      <c r="C23" s="6" t="inlineStr">
        <is>
          <t>4 niveles x 3 unidades</t>
        </is>
      </c>
    </row>
    <row r="24" ht="24" customHeight="1">
      <c r="A24" s="5" t="inlineStr">
        <is>
          <t>EQUIPAMIENTO SALA Y BARRA</t>
        </is>
      </c>
    </row>
    <row r="25" ht="22" customHeight="1">
      <c r="A25" s="6" t="inlineStr">
        <is>
          <t>Barra de bar (fabricacion + instalacion)</t>
        </is>
      </c>
      <c r="B25" s="7" t="n">
        <v>4000</v>
      </c>
      <c r="C25" s="6" t="inlineStr">
        <is>
          <t>5 metros lineales</t>
        </is>
      </c>
    </row>
    <row r="26" ht="22" customHeight="1">
      <c r="A26" s="6" t="inlineStr">
        <is>
          <t>Mesas y sillas (12 mesas x 4 sillas)</t>
        </is>
      </c>
      <c r="B26" s="7" t="n">
        <v>3600</v>
      </c>
      <c r="C26" s="6" t="inlineStr">
        <is>
          <t>Set 120 EUR/mesa</t>
        </is>
      </c>
    </row>
    <row r="27" ht="22" customHeight="1">
      <c r="A27" s="6" t="inlineStr">
        <is>
          <t>Taburetes barra (8 unidades)</t>
        </is>
      </c>
      <c r="B27" s="7" t="n">
        <v>960</v>
      </c>
      <c r="C27" s="6" t="inlineStr">
        <is>
          <t>120 EUR/ud</t>
        </is>
      </c>
    </row>
    <row r="28" ht="22" customHeight="1">
      <c r="A28" s="6" t="inlineStr">
        <is>
          <t>Cafetera espresso profesional</t>
        </is>
      </c>
      <c r="B28" s="7" t="n">
        <v>3500</v>
      </c>
      <c r="C28" s="6" t="inlineStr">
        <is>
          <t>2 grupos</t>
        </is>
      </c>
    </row>
    <row r="29" ht="22" customHeight="1">
      <c r="A29" s="6" t="inlineStr">
        <is>
          <t>Molinillo cafe profesional</t>
        </is>
      </c>
      <c r="B29" s="7" t="n">
        <v>500</v>
      </c>
      <c r="C29" s="6" t="inlineStr"/>
    </row>
    <row r="30" ht="22" customHeight="1">
      <c r="A30" s="6" t="inlineStr">
        <is>
          <t>Grifo cerveza (2 tomas)</t>
        </is>
      </c>
      <c r="B30" s="7" t="n">
        <v>1200</v>
      </c>
      <c r="C30" s="6" t="inlineStr">
        <is>
          <t>Instalacion + barril inicial</t>
        </is>
      </c>
    </row>
    <row r="31" ht="22" customHeight="1">
      <c r="A31" s="6" t="inlineStr">
        <is>
          <t>Vinoteca / nevera vinos</t>
        </is>
      </c>
      <c r="B31" s="7" t="n">
        <v>800</v>
      </c>
      <c r="C31" s="6" t="inlineStr">
        <is>
          <t>24 botellas</t>
        </is>
      </c>
    </row>
    <row r="32" ht="22" customHeight="1">
      <c r="A32" s="6" t="inlineStr">
        <is>
          <t>Cristaleria, vajilla, cuberteria</t>
        </is>
      </c>
      <c r="B32" s="7" t="n">
        <v>1500</v>
      </c>
      <c r="C32" s="6" t="inlineStr">
        <is>
          <t>Servicio completo 50 pax</t>
        </is>
      </c>
    </row>
    <row r="33" ht="22" customHeight="1">
      <c r="A33" s="6" t="inlineStr">
        <is>
          <t>TPV + software hosteleria</t>
        </is>
      </c>
      <c r="B33" s="7" t="n">
        <v>1500</v>
      </c>
      <c r="C33" s="6" t="inlineStr">
        <is>
          <t>Terminal + licencia anual</t>
        </is>
      </c>
    </row>
    <row r="34" ht="24" customHeight="1">
      <c r="A34" s="5" t="inlineStr">
        <is>
          <t>MARKETING Y LANZAMIENTO</t>
        </is>
      </c>
    </row>
    <row r="35" ht="22" customHeight="1">
      <c r="A35" s="6" t="inlineStr">
        <is>
          <t>Diseno marca e identidad visual</t>
        </is>
      </c>
      <c r="B35" s="7" t="n">
        <v>1500</v>
      </c>
      <c r="C35" s="6" t="inlineStr">
        <is>
          <t>Logo, carta, senaletica</t>
        </is>
      </c>
    </row>
    <row r="36" ht="22" customHeight="1">
      <c r="A36" s="6" t="inlineStr">
        <is>
          <t>Web + Google My Business</t>
        </is>
      </c>
      <c r="B36" s="7" t="n">
        <v>1000</v>
      </c>
      <c r="C36" s="6" t="inlineStr">
        <is>
          <t>Pagina basica + ficha GMB</t>
        </is>
      </c>
    </row>
    <row r="37" ht="22" customHeight="1">
      <c r="A37" s="6" t="inlineStr">
        <is>
          <t>Campana lanzamiento RRSS + inauguracion</t>
        </is>
      </c>
      <c r="B37" s="7" t="n">
        <v>1500</v>
      </c>
      <c r="C37" s="6" t="inlineStr">
        <is>
          <t>3 meses iniciales</t>
        </is>
      </c>
    </row>
    <row r="38" ht="24" customHeight="1">
      <c r="A38" s="5" t="inlineStr">
        <is>
          <t>GASTOS LEGALES Y CONSTITUCION</t>
        </is>
      </c>
    </row>
    <row r="39" ht="22" customHeight="1">
      <c r="A39" s="6" t="inlineStr">
        <is>
          <t>Constitucion SL (notaria + registro)</t>
        </is>
      </c>
      <c r="B39" s="7" t="n">
        <v>600</v>
      </c>
      <c r="C39" s="6" t="inlineStr">
        <is>
          <t>Capital social min 1 EUR (Ley Crea y Crece)</t>
        </is>
      </c>
    </row>
    <row r="40" ht="22" customHeight="1">
      <c r="A40" s="6" t="inlineStr">
        <is>
          <t>Alta gestoria + contabilidad primer ano</t>
        </is>
      </c>
      <c r="B40" s="7" t="n">
        <v>1800</v>
      </c>
      <c r="C40" s="6" t="inlineStr">
        <is>
          <t>150 EUR/mes</t>
        </is>
      </c>
    </row>
    <row r="41" ht="22" customHeight="1">
      <c r="A41" s="6" t="inlineStr">
        <is>
          <t>Seguros (RC + multirriesgo + empleados)</t>
        </is>
      </c>
      <c r="B41" s="7" t="n">
        <v>2000</v>
      </c>
      <c r="C41" s="6" t="inlineStr">
        <is>
          <t>Primer ano</t>
        </is>
      </c>
    </row>
    <row r="42" ht="22" customHeight="1">
      <c r="A42" s="6" t="inlineStr">
        <is>
          <t>Licencias y permisos varios</t>
        </is>
      </c>
      <c r="B42" s="7" t="n">
        <v>500</v>
      </c>
      <c r="C42" s="6" t="inlineStr"/>
    </row>
    <row r="43" ht="24" customHeight="1">
      <c r="A43" s="5" t="inlineStr">
        <is>
          <t>FONDO DE MANIOBRA (3 meses operaciones)</t>
        </is>
      </c>
    </row>
    <row r="44" ht="22" customHeight="1">
      <c r="A44" s="6" t="inlineStr">
        <is>
          <t>Colchon operativo (3 meses costes fijos)</t>
        </is>
      </c>
      <c r="B44" s="7" t="n">
        <v>30000</v>
      </c>
      <c r="C44" s="6" t="inlineStr">
        <is>
          <t>Cubrir primeros meses sin beneficios</t>
        </is>
      </c>
    </row>
    <row r="46" ht="28" customHeight="1">
      <c r="A46" s="8" t="inlineStr">
        <is>
          <t>INVERSION TOTAL ESTIMADA</t>
        </is>
      </c>
      <c r="B46" s="9" t="n">
        <v>132160</v>
      </c>
      <c r="C46" s="10" t="inlineStr">
        <is>
          <t>Adaptable segun local y zona</t>
        </is>
      </c>
    </row>
    <row r="48">
      <c r="A48" s="3" t="inlineStr">
        <is>
          <t>NOTA: Todos los importes son estimaciones basadas en precios de mercado en Espana 2026. Ajusta cada partida a tu situacion real.</t>
        </is>
      </c>
    </row>
    <row r="49">
      <c r="A49" s="11" t="inlineStr">
        <is>
          <t>ChefBusiness.co — Plan de Negocio: Bar-Restaurante</t>
        </is>
      </c>
    </row>
  </sheetData>
  <mergeCells count="11">
    <mergeCell ref="A13:C13"/>
    <mergeCell ref="A49:C49"/>
    <mergeCell ref="A1:C1"/>
    <mergeCell ref="A6:C6"/>
    <mergeCell ref="A38:C38"/>
    <mergeCell ref="A3:C3"/>
    <mergeCell ref="A34:C34"/>
    <mergeCell ref="A43:C43"/>
    <mergeCell ref="A24:C24"/>
    <mergeCell ref="A2:C2"/>
    <mergeCell ref="A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ChefBusiness Consultoria Gastronomica</t>
        </is>
      </c>
    </row>
    <row r="2" ht="26" customHeight="1">
      <c r="A2" s="2" t="inlineStr">
        <is>
          <t>Cuenta de Resultados Previsional — 3 Anos</t>
        </is>
      </c>
    </row>
    <row r="3" ht="18" customHeight="1">
      <c r="A3" s="3" t="inlineStr">
        <is>
          <t>Plan de Negocio: Bar-Restaurante / Restaurante Casual — Espana 2026</t>
        </is>
      </c>
    </row>
    <row r="5" ht="28" customHeight="1">
      <c r="A5" s="4" t="inlineStr">
        <is>
          <t>Concepto</t>
        </is>
      </c>
      <c r="B5" s="4" t="inlineStr">
        <is>
          <t>Ano 1</t>
        </is>
      </c>
      <c r="C5" s="4" t="inlineStr">
        <is>
          <t>Ano 2</t>
        </is>
      </c>
      <c r="D5" s="4" t="inlineStr">
        <is>
          <t>Ano 3</t>
        </is>
      </c>
    </row>
    <row r="6" ht="24" customHeight="1">
      <c r="A6" s="5" t="inlineStr">
        <is>
          <t>INGRESOS</t>
        </is>
      </c>
    </row>
    <row r="7" ht="22" customHeight="1">
      <c r="A7" s="6" t="inlineStr">
        <is>
          <t>Cubiertos dia estimados (media)</t>
        </is>
      </c>
      <c r="B7" s="12" t="n">
        <v>55</v>
      </c>
      <c r="C7" s="12" t="n">
        <v>65</v>
      </c>
      <c r="D7" s="12" t="n">
        <v>75</v>
      </c>
    </row>
    <row r="8" ht="22" customHeight="1">
      <c r="A8" s="6" t="inlineStr">
        <is>
          <t>Ticket medio (EUR)</t>
        </is>
      </c>
      <c r="B8" s="7" t="n">
        <v>18.5</v>
      </c>
      <c r="C8" s="7" t="n">
        <v>19.5</v>
      </c>
      <c r="D8" s="7" t="n">
        <v>20.5</v>
      </c>
    </row>
    <row r="9" ht="22" customHeight="1">
      <c r="A9" s="6" t="inlineStr">
        <is>
          <t>Dias abiertos al ano</t>
        </is>
      </c>
      <c r="B9" s="12" t="n">
        <v>310</v>
      </c>
      <c r="C9" s="12" t="n">
        <v>310</v>
      </c>
      <c r="D9" s="12" t="n">
        <v>310</v>
      </c>
    </row>
    <row r="10" ht="22" customHeight="1">
      <c r="A10" s="13" t="inlineStr">
        <is>
          <t>INGRESOS BRUTOS</t>
        </is>
      </c>
      <c r="B10" s="14" t="n">
        <v>315425</v>
      </c>
      <c r="C10" s="14" t="n">
        <v>392925</v>
      </c>
      <c r="D10" s="14" t="n">
        <v>476625</v>
      </c>
    </row>
    <row r="11" ht="24" customHeight="1">
      <c r="A11" s="5" t="inlineStr">
        <is>
          <t>COSTES VARIABLES</t>
        </is>
      </c>
    </row>
    <row r="12" ht="22" customHeight="1">
      <c r="A12" s="6" t="inlineStr">
        <is>
          <t>Food cost (30% sobre ingresos)</t>
        </is>
      </c>
      <c r="B12" s="7" t="n">
        <v>94627.5</v>
      </c>
      <c r="C12" s="7" t="n">
        <v>117877.5</v>
      </c>
      <c r="D12" s="7" t="n">
        <v>142987.5</v>
      </c>
    </row>
    <row r="13" ht="22" customHeight="1">
      <c r="A13" s="6" t="inlineStr">
        <is>
          <t>Bebidas cost (22% sobre ingresos bebida ~35%)</t>
        </is>
      </c>
      <c r="B13" s="7" t="n">
        <v>24287.725</v>
      </c>
      <c r="C13" s="7" t="n">
        <v>30255.225</v>
      </c>
      <c r="D13" s="7" t="n">
        <v>36700.125</v>
      </c>
    </row>
    <row r="14" ht="22" customHeight="1">
      <c r="A14" s="6" t="inlineStr">
        <is>
          <t>Consumibles (servilletas, limpieza, etc.)</t>
        </is>
      </c>
      <c r="B14" s="7" t="n">
        <v>4800</v>
      </c>
      <c r="C14" s="7" t="n">
        <v>5040</v>
      </c>
      <c r="D14" s="7" t="n">
        <v>5292</v>
      </c>
    </row>
    <row r="15" ht="22" customHeight="1">
      <c r="A15" s="6" t="inlineStr">
        <is>
          <t>Comisiones delivery (si aplica, 5% ingresos)</t>
        </is>
      </c>
      <c r="B15" s="7" t="n">
        <v>15771.25</v>
      </c>
      <c r="C15" s="7" t="n">
        <v>19646.25</v>
      </c>
      <c r="D15" s="7" t="n">
        <v>23831.25</v>
      </c>
    </row>
    <row r="16" ht="22" customHeight="1">
      <c r="A16" s="15" t="inlineStr">
        <is>
          <t>TOTAL COSTES VARIABLES</t>
        </is>
      </c>
      <c r="B16" s="16" t="n">
        <v>139486.475</v>
      </c>
      <c r="C16" s="16" t="n">
        <v>172818.975</v>
      </c>
      <c r="D16" s="16" t="n">
        <v>208810.875</v>
      </c>
    </row>
    <row r="17" ht="22" customHeight="1">
      <c r="A17" s="17" t="inlineStr">
        <is>
          <t>MARGEN BRUTO</t>
        </is>
      </c>
      <c r="B17" s="18" t="n">
        <v>175938.525</v>
      </c>
      <c r="C17" s="18" t="n">
        <v>220106.025</v>
      </c>
      <c r="D17" s="18" t="n">
        <v>267814.125</v>
      </c>
    </row>
    <row r="18" ht="24" customHeight="1">
      <c r="A18" s="5" t="inlineStr">
        <is>
          <t>COSTES FIJOS</t>
        </is>
      </c>
    </row>
    <row r="19" ht="22" customHeight="1">
      <c r="A19" s="6" t="inlineStr">
        <is>
          <t>Alquiler local</t>
        </is>
      </c>
      <c r="B19" s="7" t="n">
        <v>36000</v>
      </c>
      <c r="C19" s="7" t="n">
        <v>36000</v>
      </c>
      <c r="D19" s="7" t="n">
        <v>37080</v>
      </c>
    </row>
    <row r="20" ht="22" customHeight="1">
      <c r="A20" s="6" t="inlineStr">
        <is>
          <t>Nominas + Seg. Social (ver hoja Personal)</t>
        </is>
      </c>
      <c r="B20" s="7" t="n">
        <v>115200</v>
      </c>
      <c r="C20" s="7" t="n">
        <v>120960</v>
      </c>
      <c r="D20" s="7" t="n">
        <v>127008</v>
      </c>
    </row>
    <row r="21" ht="22" customHeight="1">
      <c r="A21" s="6" t="inlineStr">
        <is>
          <t>Suministros (luz, agua, gas)</t>
        </is>
      </c>
      <c r="B21" s="7" t="n">
        <v>14400</v>
      </c>
      <c r="C21" s="7" t="n">
        <v>15120</v>
      </c>
      <c r="D21" s="7" t="n">
        <v>15876</v>
      </c>
    </row>
    <row r="22" ht="22" customHeight="1">
      <c r="A22" s="6" t="inlineStr">
        <is>
          <t>Gestoria + contabilidad</t>
        </is>
      </c>
      <c r="B22" s="7" t="n">
        <v>1800</v>
      </c>
      <c r="C22" s="7" t="n">
        <v>1800</v>
      </c>
      <c r="D22" s="7" t="n">
        <v>1890</v>
      </c>
    </row>
    <row r="23" ht="22" customHeight="1">
      <c r="A23" s="6" t="inlineStr">
        <is>
          <t>Seguros</t>
        </is>
      </c>
      <c r="B23" s="7" t="n">
        <v>2000</v>
      </c>
      <c r="C23" s="7" t="n">
        <v>2100</v>
      </c>
      <c r="D23" s="7" t="n">
        <v>2205</v>
      </c>
    </row>
    <row r="24" ht="22" customHeight="1">
      <c r="A24" s="6" t="inlineStr">
        <is>
          <t>Marketing y publicidad</t>
        </is>
      </c>
      <c r="B24" s="7" t="n">
        <v>6000</v>
      </c>
      <c r="C24" s="7" t="n">
        <v>4800</v>
      </c>
      <c r="D24" s="7" t="n">
        <v>4800</v>
      </c>
    </row>
    <row r="25" ht="22" customHeight="1">
      <c r="A25" s="6" t="inlineStr">
        <is>
          <t>Mantenimiento y reparaciones</t>
        </is>
      </c>
      <c r="B25" s="7" t="n">
        <v>2400</v>
      </c>
      <c r="C25" s="7" t="n">
        <v>2520</v>
      </c>
      <c r="D25" s="7" t="n">
        <v>2646</v>
      </c>
    </row>
    <row r="26" ht="22" customHeight="1">
      <c r="A26" s="6" t="inlineStr">
        <is>
          <t>Amortizacion equipos (10 anos)</t>
        </is>
      </c>
      <c r="B26" s="7" t="n">
        <v>5000</v>
      </c>
      <c r="C26" s="7" t="n">
        <v>5000</v>
      </c>
      <c r="D26" s="7" t="n">
        <v>5000</v>
      </c>
    </row>
    <row r="27" ht="22" customHeight="1">
      <c r="A27" s="6" t="inlineStr">
        <is>
          <t>Software (TPV, reservas, RRSS)</t>
        </is>
      </c>
      <c r="B27" s="7" t="n">
        <v>1800</v>
      </c>
      <c r="C27" s="7" t="n">
        <v>1800</v>
      </c>
      <c r="D27" s="7" t="n">
        <v>1890</v>
      </c>
    </row>
    <row r="28" ht="22" customHeight="1">
      <c r="A28" s="6" t="inlineStr">
        <is>
          <t>Cuota prestamo (si aplica)</t>
        </is>
      </c>
      <c r="B28" s="7" t="n">
        <v>7200</v>
      </c>
      <c r="C28" s="7" t="n">
        <v>7200</v>
      </c>
      <c r="D28" s="7" t="n">
        <v>7200</v>
      </c>
    </row>
    <row r="29" ht="22" customHeight="1">
      <c r="A29" s="6" t="inlineStr">
        <is>
          <t>Varios e imprevistos (2%)</t>
        </is>
      </c>
      <c r="B29" s="7" t="n">
        <v>6308.5</v>
      </c>
      <c r="C29" s="7" t="n">
        <v>7858.5</v>
      </c>
      <c r="D29" s="7" t="n">
        <v>9532.5</v>
      </c>
    </row>
    <row r="30" ht="22" customHeight="1">
      <c r="A30" s="15" t="inlineStr">
        <is>
          <t>TOTAL COSTES FIJOS</t>
        </is>
      </c>
      <c r="B30" s="16" t="n">
        <v>198108.5</v>
      </c>
      <c r="C30" s="16" t="n">
        <v>205158.5</v>
      </c>
      <c r="D30" s="16" t="n">
        <v>215127.5</v>
      </c>
    </row>
    <row r="32" ht="22" customHeight="1">
      <c r="A32" s="15" t="inlineStr">
        <is>
          <t>RESULTADO ANTES DE IMPUESTOS</t>
        </is>
      </c>
      <c r="B32" s="16" t="n">
        <v>-22169.97500000001</v>
      </c>
      <c r="C32" s="16" t="n">
        <v>14947.52499999999</v>
      </c>
      <c r="D32" s="16" t="n">
        <v>52686.625</v>
      </c>
    </row>
    <row r="33" ht="22" customHeight="1">
      <c r="A33" s="6" t="inlineStr">
        <is>
          <t>Impuesto Sociedades (15% ano 1, 25% ano 2-3)</t>
        </is>
      </c>
      <c r="B33" s="7" t="n">
        <v>0</v>
      </c>
      <c r="C33" s="7" t="n">
        <v>3736.881249999999</v>
      </c>
      <c r="D33" s="7" t="n">
        <v>13171.65625</v>
      </c>
    </row>
    <row r="34" ht="22" customHeight="1">
      <c r="A34" s="15" t="inlineStr">
        <is>
          <t>RESULTADO NETO</t>
        </is>
      </c>
      <c r="B34" s="16" t="n">
        <v>-22169.97500000001</v>
      </c>
      <c r="C34" s="16" t="n">
        <v>11210.64375</v>
      </c>
      <c r="D34" s="16" t="n">
        <v>39514.96875</v>
      </c>
    </row>
    <row r="36" ht="24" customHeight="1">
      <c r="A36" s="5" t="inlineStr">
        <is>
          <t>RATIOS CLAVE</t>
        </is>
      </c>
    </row>
    <row r="37" ht="22" customHeight="1">
      <c r="A37" s="6" t="inlineStr">
        <is>
          <t>Margen bruto %</t>
        </is>
      </c>
      <c r="B37" s="19" t="n">
        <v>0.5577824363953396</v>
      </c>
      <c r="C37" s="19" t="n">
        <v>0.5601731246421072</v>
      </c>
      <c r="D37" s="19" t="n">
        <v>0.5618969315499607</v>
      </c>
    </row>
    <row r="38" ht="22" customHeight="1">
      <c r="A38" s="6" t="inlineStr">
        <is>
          <t>Food cost %</t>
        </is>
      </c>
      <c r="B38" s="19" t="n">
        <v>0.3</v>
      </c>
      <c r="C38" s="19" t="n">
        <v>0.3</v>
      </c>
      <c r="D38" s="19" t="n">
        <v>0.3</v>
      </c>
    </row>
    <row r="39" ht="22" customHeight="1">
      <c r="A39" s="6" t="inlineStr">
        <is>
          <t>Coste personal / Ingresos</t>
        </is>
      </c>
      <c r="B39" s="19" t="n">
        <v>0.3652215265118491</v>
      </c>
      <c r="C39" s="19" t="n">
        <v>0.3078450085894255</v>
      </c>
      <c r="D39" s="19" t="n">
        <v>0.2664736428009442</v>
      </c>
    </row>
    <row r="40" ht="22" customHeight="1">
      <c r="A40" s="6" t="inlineStr">
        <is>
          <t>Resultado neto %</t>
        </is>
      </c>
      <c r="B40" s="19" t="n">
        <v>-0.07028604264088137</v>
      </c>
      <c r="C40" s="19" t="n">
        <v>0.02853125596487878</v>
      </c>
      <c r="D40" s="19" t="n">
        <v>0.08290578284815106</v>
      </c>
    </row>
    <row r="42">
      <c r="A42" s="11" t="inlineStr">
        <is>
          <t>ChefBusiness.co — Plan de Negocio: Bar-Restaurante</t>
        </is>
      </c>
    </row>
  </sheetData>
  <mergeCells count="8">
    <mergeCell ref="A1:D1"/>
    <mergeCell ref="A18:D18"/>
    <mergeCell ref="A6:D6"/>
    <mergeCell ref="A3:D3"/>
    <mergeCell ref="A2:D2"/>
    <mergeCell ref="A11:D11"/>
    <mergeCell ref="A42:D4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6" customWidth="1" min="3" max="3"/>
  </cols>
  <sheetData>
    <row r="1" ht="32" customHeight="1">
      <c r="A1" s="1" t="inlineStr">
        <is>
          <t>ChefBusiness Consultoria Gastronomica</t>
        </is>
      </c>
    </row>
    <row r="2" ht="26" customHeight="1">
      <c r="A2" s="2" t="inlineStr">
        <is>
          <t>Punto de Equilibrio (Break-Even) — Bar-Restaurante</t>
        </is>
      </c>
    </row>
    <row r="3" ht="18" customHeight="1">
      <c r="A3" s="3" t="inlineStr">
        <is>
          <t>Plan de Negocio: Bar-Restaurante / Restaurante Casual — Espana 2026</t>
        </is>
      </c>
    </row>
    <row r="5" ht="28" customHeight="1">
      <c r="A5" s="4" t="inlineStr">
        <is>
          <t>Variable</t>
        </is>
      </c>
      <c r="B5" s="4" t="inlineStr">
        <is>
          <t>Valor</t>
        </is>
      </c>
      <c r="C5" s="4" t="inlineStr">
        <is>
          <t>Notas</t>
        </is>
      </c>
    </row>
    <row r="6" ht="24" customHeight="1">
      <c r="A6" s="5" t="inlineStr">
        <is>
          <t>DATOS BASE (Ano 1)</t>
        </is>
      </c>
    </row>
    <row r="7" ht="22" customHeight="1">
      <c r="A7" s="6" t="inlineStr">
        <is>
          <t>Costes fijos mensuales</t>
        </is>
      </c>
      <c r="B7" s="7" t="n">
        <v>16050</v>
      </c>
      <c r="C7" s="6" t="inlineStr">
        <is>
          <t>Alquiler + nominas + suministros + otros</t>
        </is>
      </c>
    </row>
    <row r="8" ht="22" customHeight="1">
      <c r="A8" s="6" t="inlineStr">
        <is>
          <t>Costes fijos anuales</t>
        </is>
      </c>
      <c r="B8" s="7" t="n">
        <v>192600</v>
      </c>
      <c r="C8" s="6" t="inlineStr"/>
    </row>
    <row r="9" ht="22" customHeight="1">
      <c r="A9" s="6" t="inlineStr">
        <is>
          <t>Ticket medio</t>
        </is>
      </c>
      <c r="B9" s="20" t="n">
        <v>18.5</v>
      </c>
      <c r="C9" s="6" t="inlineStr"/>
    </row>
    <row r="10" ht="22" customHeight="1">
      <c r="A10" s="6" t="inlineStr">
        <is>
          <t>Coste variable por cubierto (food+bev+delivery)</t>
        </is>
      </c>
      <c r="B10" s="20" t="n">
        <v>7.77</v>
      </c>
      <c r="C10" s="6" t="inlineStr">
        <is>
          <t>~42% del ticket</t>
        </is>
      </c>
    </row>
    <row r="11" ht="22" customHeight="1">
      <c r="A11" s="6" t="inlineStr">
        <is>
          <t>Margen de contribucion por cubierto</t>
        </is>
      </c>
      <c r="B11" s="20" t="n">
        <v>10.73</v>
      </c>
      <c r="C11" s="6" t="inlineStr">
        <is>
          <t>Ticket - CV unitario</t>
        </is>
      </c>
    </row>
    <row r="13" ht="24" customHeight="1">
      <c r="A13" s="5" t="inlineStr">
        <is>
          <t>PUNTO DE EQUILIBRIO</t>
        </is>
      </c>
    </row>
    <row r="14" ht="22" customHeight="1">
      <c r="A14" s="13" t="inlineStr">
        <is>
          <t>Cubiertos necesarios al ano</t>
        </is>
      </c>
      <c r="B14" s="21" t="n">
        <v>17950</v>
      </c>
      <c r="C14" s="13">
        <f> CF anuales / MC unitario</f>
        <v/>
      </c>
    </row>
    <row r="15" ht="22" customHeight="1">
      <c r="A15" s="13" t="inlineStr">
        <is>
          <t>Cubiertos necesarios al dia</t>
        </is>
      </c>
      <c r="B15" s="21" t="n">
        <v>57.9</v>
      </c>
      <c r="C15" s="13">
        <f> 17950 / 310 dias</f>
        <v/>
      </c>
    </row>
    <row r="16" ht="22" customHeight="1">
      <c r="A16" s="13" t="inlineStr">
        <is>
          <t>Ingresos necesarios al ano</t>
        </is>
      </c>
      <c r="B16" s="14" t="n">
        <v>332075</v>
      </c>
      <c r="C16" s="13" t="inlineStr">
        <is>
          <t>Para cubrir todos los costes</t>
        </is>
      </c>
    </row>
    <row r="18" ht="24" customHeight="1">
      <c r="A18" s="5" t="inlineStr">
        <is>
          <t>INTERPRETACION</t>
        </is>
      </c>
    </row>
    <row r="19" ht="50" customHeight="1">
      <c r="A19" s="22" t="inlineStr">
        <is>
          <t>Con un ticket medio de 18,50 EUR necesitas servir al menos 57.9 cubiertos al dia (310 dias/ano) para cubrir todos los costes fijos y variables. Por debajo de esa cifra el negocio pierde dinero. Por encima, cada cubierto adicional genera 10,73 EUR de margen.</t>
        </is>
      </c>
    </row>
    <row r="20">
      <c r="A20" s="11" t="inlineStr">
        <is>
          <t>ChefBusiness.co — Plan de Negocio: Bar-Restaurante</t>
        </is>
      </c>
    </row>
  </sheetData>
  <mergeCells count="8">
    <mergeCell ref="A13:C13"/>
    <mergeCell ref="A19:C19"/>
    <mergeCell ref="A1:C1"/>
    <mergeCell ref="A6:C6"/>
    <mergeCell ref="A18:C18"/>
    <mergeCell ref="A3:C3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ChefBusiness Consultoria Gastronomica</t>
        </is>
      </c>
    </row>
    <row r="2" ht="26" customHeight="1">
      <c r="A2" s="2" t="inlineStr">
        <is>
          <t>Analisis de Escenarios — Ano 1</t>
        </is>
      </c>
    </row>
    <row r="3" ht="18" customHeight="1">
      <c r="A3" s="3" t="inlineStr">
        <is>
          <t>Plan de Negocio: Bar-Restaurante / Restaurante Casual — Espana 2026</t>
        </is>
      </c>
    </row>
    <row r="5" ht="28" customHeight="1">
      <c r="A5" s="4" t="inlineStr">
        <is>
          <t>Metrica</t>
        </is>
      </c>
      <c r="B5" s="4" t="inlineStr">
        <is>
          <t>Pesimista</t>
        </is>
      </c>
      <c r="C5" s="4" t="inlineStr">
        <is>
          <t>Realista</t>
        </is>
      </c>
      <c r="D5" s="4" t="inlineStr">
        <is>
          <t>Optimista</t>
        </is>
      </c>
    </row>
    <row r="6" ht="22" customHeight="1">
      <c r="A6" s="6" t="inlineStr">
        <is>
          <t>Cubiertos dia</t>
        </is>
      </c>
      <c r="B6" s="12" t="n">
        <v>40</v>
      </c>
      <c r="C6" s="12" t="n">
        <v>55</v>
      </c>
      <c r="D6" s="12" t="n">
        <v>70</v>
      </c>
    </row>
    <row r="7" ht="22" customHeight="1">
      <c r="A7" s="6" t="inlineStr">
        <is>
          <t>Ticket medio</t>
        </is>
      </c>
      <c r="B7" s="20" t="n">
        <v>16.5</v>
      </c>
      <c r="C7" s="20" t="n">
        <v>18.5</v>
      </c>
      <c r="D7" s="20" t="n">
        <v>21</v>
      </c>
    </row>
    <row r="8" ht="22" customHeight="1">
      <c r="A8" s="6" t="inlineStr">
        <is>
          <t>Dias abiertos</t>
        </is>
      </c>
      <c r="B8" s="12" t="n">
        <v>300</v>
      </c>
      <c r="C8" s="12" t="n">
        <v>310</v>
      </c>
      <c r="D8" s="12" t="n">
        <v>320</v>
      </c>
    </row>
    <row r="9" ht="22" customHeight="1">
      <c r="A9" s="6" t="inlineStr">
        <is>
          <t>Ingresos anuales</t>
        </is>
      </c>
      <c r="B9" s="7" t="n">
        <v>198000</v>
      </c>
      <c r="C9" s="7" t="n">
        <v>315425</v>
      </c>
      <c r="D9" s="7" t="n">
        <v>470400</v>
      </c>
    </row>
    <row r="10" ht="22" customHeight="1">
      <c r="A10" s="6" t="inlineStr">
        <is>
          <t>Food cost %</t>
        </is>
      </c>
      <c r="B10" s="19" t="n">
        <v>0.32</v>
      </c>
      <c r="C10" s="19" t="n">
        <v>0.3</v>
      </c>
      <c r="D10" s="19" t="n">
        <v>0.28</v>
      </c>
    </row>
    <row r="11" ht="22" customHeight="1">
      <c r="A11" s="6" t="inlineStr">
        <is>
          <t>Costes fijos anuales</t>
        </is>
      </c>
      <c r="B11" s="7" t="n">
        <v>192600</v>
      </c>
      <c r="C11" s="7" t="n">
        <v>192600</v>
      </c>
      <c r="D11" s="7" t="n">
        <v>192600</v>
      </c>
    </row>
    <row r="12" ht="22" customHeight="1">
      <c r="A12" s="15" t="inlineStr">
        <is>
          <t>Resultado antes impuestos</t>
        </is>
      </c>
      <c r="B12" s="16" t="n">
        <v>-103500</v>
      </c>
      <c r="C12" s="16" t="n">
        <v>-50658.75</v>
      </c>
      <c r="D12" s="16" t="n">
        <v>42600</v>
      </c>
    </row>
    <row r="14" ht="40" customHeight="1">
      <c r="A14" s="23" t="inlineStr">
        <is>
          <t>NOTA: El escenario pesimista refleja un arranque lento con menor afluencia. El optimista asume alta ocupacion y ticket medio superior. Los costes fijos son constantes en los 3 escenarios.</t>
        </is>
      </c>
    </row>
    <row r="15">
      <c r="A15" s="11" t="inlineStr">
        <is>
          <t>ChefBusiness.co — Plan de Negocio: Bar-Restaurante</t>
        </is>
      </c>
    </row>
  </sheetData>
  <mergeCells count="5">
    <mergeCell ref="A1:D1"/>
    <mergeCell ref="A3:D3"/>
    <mergeCell ref="A15:D15"/>
    <mergeCell ref="A2:D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ChefBusiness Consultoria Gastronomica</t>
        </is>
      </c>
    </row>
    <row r="2" ht="26" customHeight="1">
      <c r="A2" s="2" t="inlineStr">
        <is>
          <t>Cuadro de Personal y Coste Laboral</t>
        </is>
      </c>
    </row>
    <row r="3" ht="18" customHeight="1">
      <c r="A3" s="3" t="inlineStr">
        <is>
          <t>Plan de Negocio: Bar-Restaurante / Restaurante Casual — Espana 2026</t>
        </is>
      </c>
    </row>
    <row r="5" ht="28" customHeight="1">
      <c r="A5" s="4" t="inlineStr">
        <is>
          <t>Puesto</t>
        </is>
      </c>
      <c r="B5" s="4" t="inlineStr">
        <is>
          <t>Personas</t>
        </is>
      </c>
      <c r="C5" s="4" t="inlineStr">
        <is>
          <t>Salario Bruto Mes</t>
        </is>
      </c>
      <c r="D5" s="4" t="inlineStr">
        <is>
          <t>Seg. Social (33.4%)</t>
        </is>
      </c>
      <c r="E5" s="4" t="inlineStr">
        <is>
          <t>Coste Total Mes</t>
        </is>
      </c>
      <c r="F5" s="4" t="inlineStr">
        <is>
          <t>Coste Anual</t>
        </is>
      </c>
    </row>
    <row r="6" ht="22" customHeight="1">
      <c r="A6" s="6" t="inlineStr">
        <is>
          <t>Gerente / Propietario</t>
        </is>
      </c>
      <c r="B6" s="7" t="n">
        <v>1</v>
      </c>
      <c r="C6" s="7" t="n">
        <v>2200</v>
      </c>
      <c r="D6" s="7" t="n">
        <v>734.8</v>
      </c>
      <c r="E6" s="7" t="n">
        <v>2934.8</v>
      </c>
      <c r="F6" s="7" t="n">
        <v>41087.2</v>
      </c>
    </row>
    <row r="7" ht="22" customHeight="1">
      <c r="A7" s="6" t="inlineStr">
        <is>
          <t>Jefe de cocina</t>
        </is>
      </c>
      <c r="B7" s="7" t="n">
        <v>1</v>
      </c>
      <c r="C7" s="7" t="n">
        <v>2000</v>
      </c>
      <c r="D7" s="7" t="n">
        <v>668</v>
      </c>
      <c r="E7" s="7" t="n">
        <v>2668</v>
      </c>
      <c r="F7" s="7" t="n">
        <v>37352</v>
      </c>
    </row>
    <row r="8" ht="22" customHeight="1">
      <c r="A8" s="6" t="inlineStr">
        <is>
          <t>Cocinero</t>
        </is>
      </c>
      <c r="B8" s="7" t="n">
        <v>1</v>
      </c>
      <c r="C8" s="7" t="n">
        <v>1600</v>
      </c>
      <c r="D8" s="7" t="n">
        <v>534.4</v>
      </c>
      <c r="E8" s="7" t="n">
        <v>2134.4</v>
      </c>
      <c r="F8" s="7" t="n">
        <v>29881.6</v>
      </c>
    </row>
    <row r="9" ht="22" customHeight="1">
      <c r="A9" s="6" t="inlineStr">
        <is>
          <t>Ayudante cocina</t>
        </is>
      </c>
      <c r="B9" s="7" t="n">
        <v>1</v>
      </c>
      <c r="C9" s="7" t="n">
        <v>1300</v>
      </c>
      <c r="D9" s="7" t="n">
        <v>434.2</v>
      </c>
      <c r="E9" s="7" t="n">
        <v>1734.2</v>
      </c>
      <c r="F9" s="7" t="n">
        <v>24278.8</v>
      </c>
    </row>
    <row r="10" ht="22" customHeight="1">
      <c r="A10" s="6" t="inlineStr">
        <is>
          <t>Camarero jefe</t>
        </is>
      </c>
      <c r="B10" s="7" t="n">
        <v>1</v>
      </c>
      <c r="C10" s="7" t="n">
        <v>1500</v>
      </c>
      <c r="D10" s="7" t="n">
        <v>501</v>
      </c>
      <c r="E10" s="7" t="n">
        <v>2001</v>
      </c>
      <c r="F10" s="7" t="n">
        <v>28014</v>
      </c>
    </row>
    <row r="11" ht="22" customHeight="1">
      <c r="A11" s="6" t="inlineStr">
        <is>
          <t>Camarero</t>
        </is>
      </c>
      <c r="B11" s="7" t="n">
        <v>2</v>
      </c>
      <c r="C11" s="7" t="n">
        <v>1300</v>
      </c>
      <c r="D11" s="7" t="n">
        <v>434.2</v>
      </c>
      <c r="E11" s="7" t="n">
        <v>3468.4</v>
      </c>
      <c r="F11" s="7" t="n">
        <v>48557.6</v>
      </c>
    </row>
    <row r="13" ht="22" customHeight="1">
      <c r="A13" s="24" t="inlineStr">
        <is>
          <t>TOTAL</t>
        </is>
      </c>
      <c r="B13" s="25" t="n">
        <v>7</v>
      </c>
      <c r="C13" s="24" t="inlineStr"/>
      <c r="D13" s="24" t="inlineStr"/>
      <c r="E13" s="25" t="n">
        <v>14940.8</v>
      </c>
      <c r="F13" s="25" t="n">
        <v>209171.2</v>
      </c>
    </row>
    <row r="15">
      <c r="A15" s="23" t="inlineStr">
        <is>
          <t>* 14 pagas anuales (12 meses + 2 pagas extras). Seg. Social empresa = 33.4% sobre salario bruto (contingencias comunes + desempleo + formacion + FOGASA + accidentes).</t>
        </is>
      </c>
    </row>
    <row r="16">
      <c r="A16" s="11" t="inlineStr">
        <is>
          <t>ChefBusiness.co — Plan de Negocio: Bar-Restaurante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6" t="inlineStr">
        <is>
          <t>ChefBusiness — Plan Financiero Bar-Restaurante</t>
        </is>
      </c>
    </row>
    <row r="3">
      <c r="A3" s="27" t="inlineStr">
        <is>
          <t>INSTRUCCIONES DE USO</t>
        </is>
      </c>
    </row>
    <row r="5">
      <c r="A5" s="22" t="inlineStr">
        <is>
          <t>1. INVERSION INICIAL: Ajusta cada partida a tu situacion real. Los importes son estimaciones medias para Espana 2026.</t>
        </is>
      </c>
    </row>
    <row r="6">
      <c r="A6" s="22" t="inlineStr">
        <is>
          <t>2. P&amp;L 3 ANOS: Modifica los cubiertos/dia, ticket medio y dias abiertos segun tu prevision. Los costes variables se calculan como porcentaje de ingresos.</t>
        </is>
      </c>
    </row>
    <row r="7">
      <c r="A7" s="22" t="inlineStr">
        <is>
          <t>3. PUNTO DE EQUILIBRIO: Se calcula automaticamente a partir de tus costes fijos y tu margen de contribucion.</t>
        </is>
      </c>
    </row>
    <row r="8">
      <c r="A8" s="22" t="inlineStr">
        <is>
          <t>4. ESCENARIOS: Tres escenarios (pesimista, realista, optimista) para presentar a inversores o banco.</t>
        </is>
      </c>
    </row>
    <row r="9">
      <c r="A9" s="22" t="inlineStr">
        <is>
          <t>5. PERSONAL: Ajusta puestos, salarios y numero de personas a tu plantilla real.</t>
        </is>
      </c>
    </row>
    <row r="10">
      <c r="A10" s="23" t="inlineStr"/>
    </row>
    <row r="11">
      <c r="A11" s="22" t="inlineStr">
        <is>
          <t>CONSEJOS:</t>
        </is>
      </c>
    </row>
    <row r="12">
      <c r="A12" s="22" t="inlineStr">
        <is>
          <t>- Food cost objetivo: 28-32% para bar-restaurante casual en Espana</t>
        </is>
      </c>
    </row>
    <row r="13">
      <c r="A13" s="22" t="inlineStr">
        <is>
          <t>- Coste personal: no superar 35% de los ingresos</t>
        </is>
      </c>
    </row>
    <row r="14">
      <c r="A14" s="22" t="inlineStr">
        <is>
          <t>- Alquiler: no superar 8-10% de los ingresos previstos</t>
        </is>
      </c>
    </row>
    <row r="15">
      <c r="A15" s="22" t="inlineStr">
        <is>
          <t>- Fondo de maniobra: minimo 3 meses de costes fijos antes de abrir</t>
        </is>
      </c>
    </row>
    <row r="16">
      <c r="A16" s="22" t="inlineStr">
        <is>
          <t>- Punto de equilibrio: alcanzable en menos de 12 meses = negocio viable</t>
        </is>
      </c>
    </row>
    <row r="17">
      <c r="A17" s="23" t="inlineStr"/>
    </row>
    <row r="18">
      <c r="A18" s="22" t="inlineStr">
        <is>
          <t>DATOS DE REFERENCIA (Espana 2026):</t>
        </is>
      </c>
    </row>
    <row r="19">
      <c r="A19" s="22" t="inlineStr">
        <is>
          <t>- Ticket medio restaurante casual: 15-22 EUR</t>
        </is>
      </c>
    </row>
    <row r="20">
      <c r="A20" s="22" t="inlineStr">
        <is>
          <t>- Alquiler local 80-120m2 zona urbana: 2.000-4.500 EUR/mes</t>
        </is>
      </c>
    </row>
    <row r="21">
      <c r="A21" s="22" t="inlineStr">
        <is>
          <t>- Inversion media apertura: 80.000-150.000 EUR</t>
        </is>
      </c>
    </row>
    <row r="22">
      <c r="A22" s="22" t="inlineStr">
        <is>
          <t>- Margen neto medio sector: 5-10%</t>
        </is>
      </c>
    </row>
    <row r="23">
      <c r="A23" s="22" t="inlineStr">
        <is>
          <t>- Tasa cierre restaurantes primer ano: 25%</t>
        </is>
      </c>
    </row>
    <row r="24">
      <c r="A24" s="22" t="inlineStr">
        <is>
          <t>- Tasa cierre restaurantes 5 anos: 50%</t>
        </is>
      </c>
    </row>
    <row r="25">
      <c r="A25" s="23" t="inlineStr"/>
    </row>
    <row r="26">
      <c r="A26" s="22" t="inlineStr">
        <is>
          <t>Este plan financiero ha sido creado por ChefBusiness Consultoria Gastronomica.</t>
        </is>
      </c>
    </row>
    <row r="27">
      <c r="A27" s="22" t="inlineStr">
        <is>
          <t>29+ anos de experiencia en hosteleria y 15+ anos en consultoria.</t>
        </is>
      </c>
    </row>
    <row r="28">
      <c r="A28" s="22" t="inlineStr">
        <is>
          <t>https://chefbusiness.co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2026-03-25T22:52:01Z</dcterms:created>
  <dcterms:modified xmlns:dcterms="http://purl.org/dc/terms/" xmlns:xsi="http://www.w3.org/2001/XMLSchema-instance" xsi:type="dcterms:W3CDTF">2026-03-25T22:52:01Z</dcterms:modified>
</cp:coreProperties>
</file>