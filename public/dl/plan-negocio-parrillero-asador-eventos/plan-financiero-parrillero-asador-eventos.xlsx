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rsion Inicial" sheetId="1" state="visible" r:id="rId1"/>
    <sheet xmlns:r="http://schemas.openxmlformats.org/officeDocument/2006/relationships" name="PyG 3 Anos" sheetId="2" state="visible" r:id="rId2"/>
    <sheet xmlns:r="http://schemas.openxmlformats.org/officeDocument/2006/relationships" name="Estacionalidad" sheetId="3" state="visible" r:id="rId3"/>
    <sheet xmlns:r="http://schemas.openxmlformats.org/officeDocument/2006/relationships" name="Punto Equilibrio" sheetId="4" state="visible" r:id="rId4"/>
    <sheet xmlns:r="http://schemas.openxmlformats.org/officeDocument/2006/relationships" name="Pricing Modelo" sheetId="5" state="visible" r:id="rId5"/>
    <sheet xmlns:r="http://schemas.openxmlformats.org/officeDocument/2006/relationships" name="Instruc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Inter"/>
      <b val="1"/>
      <color rgb="001F1B16"/>
      <sz val="14"/>
    </font>
    <font>
      <name val="Inter"/>
      <i val="1"/>
      <color rgb="006B5E4D"/>
      <sz val="10"/>
    </font>
    <font>
      <name val="Inter"/>
      <b val="1"/>
      <color rgb="00FFFFFF"/>
      <sz val="11"/>
    </font>
    <font>
      <name val="Inter"/>
      <color rgb="001F1B16"/>
      <sz val="10"/>
    </font>
    <font>
      <name val="Inter"/>
      <b val="1"/>
      <color rgb="001F1B16"/>
      <sz val="11"/>
    </font>
    <font>
      <name val="Inter"/>
      <b val="1"/>
      <color rgb="001F1B16"/>
      <sz val="10"/>
    </font>
  </fonts>
  <fills count="7">
    <fill>
      <patternFill/>
    </fill>
    <fill>
      <patternFill patternType="gray125"/>
    </fill>
    <fill>
      <patternFill patternType="solid">
        <fgColor rgb="00B08D57"/>
      </patternFill>
    </fill>
    <fill>
      <patternFill patternType="solid">
        <fgColor rgb="001F1B16"/>
      </patternFill>
    </fill>
    <fill>
      <patternFill patternType="solid">
        <fgColor rgb="00FFFFFF"/>
      </patternFill>
    </fill>
    <fill>
      <patternFill patternType="solid">
        <fgColor rgb="00F5EFE6"/>
      </patternFill>
    </fill>
    <fill>
      <patternFill patternType="solid">
        <fgColor rgb="00EADFD0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2" fillId="0" borderId="0" pivotButton="0" quotePrefix="0" xfId="0"/>
    <xf numFmtId="0" fontId="6" fillId="6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164" fontId="6" fillId="5" borderId="1" applyAlignment="1" pivotButton="0" quotePrefix="0" xfId="0">
      <alignment vertical="center" wrapText="1"/>
    </xf>
    <xf numFmtId="9" fontId="4" fillId="4" borderId="1" applyAlignment="1" pivotButton="0" quotePrefix="0" xfId="0">
      <alignment vertical="center" wrapText="1"/>
    </xf>
    <xf numFmtId="9" fontId="4" fillId="5" borderId="1" applyAlignment="1" pivotButton="0" quotePrefix="0" xfId="0">
      <alignment vertical="center" wrapText="1"/>
    </xf>
    <xf numFmtId="9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4" fontId="4" fillId="5" borderId="1" applyAlignment="1" pivotButton="0" quotePrefix="0" xfId="0">
      <alignment vertical="center" wrapText="1"/>
    </xf>
    <xf numFmtId="4" fontId="4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8" customWidth="1" min="4" max="4"/>
  </cols>
  <sheetData>
    <row r="1" ht="32" customHeight="1">
      <c r="A1" s="1" t="inlineStr">
        <is>
          <t>Plan Financiero · Parrillero / Asador para Eventos</t>
        </is>
      </c>
    </row>
    <row r="2" ht="30" customHeight="1">
      <c r="A2" s="2" t="inlineStr">
        <is>
          <t>Inversion inicial estimada · 3 escenarios validados a precios España 2026 (GGM Gastro, Brogas, Tienda Biomasa)</t>
        </is>
      </c>
    </row>
    <row r="4" ht="28" customHeight="1">
      <c r="A4" s="3" t="inlineStr">
        <is>
          <t>Concepto</t>
        </is>
      </c>
      <c r="B4" s="3" t="inlineStr">
        <is>
          <t>Minimo viable (€)</t>
        </is>
      </c>
      <c r="C4" s="3" t="inlineStr">
        <is>
          <t>Estandar (€)</t>
        </is>
      </c>
      <c r="D4" s="3" t="inlineStr">
        <is>
          <t>Premium con remolque (€)</t>
        </is>
      </c>
    </row>
    <row r="5" ht="24" customHeight="1">
      <c r="A5" s="4" t="inlineStr">
        <is>
          <t>Parrilla principal portatil GGM KGE1200 1.2m carbon</t>
        </is>
      </c>
      <c r="B5" s="4" t="n">
        <v>710</v>
      </c>
      <c r="C5" s="4" t="n">
        <v>710</v>
      </c>
      <c r="D5" s="4" t="n">
        <v>710</v>
      </c>
    </row>
    <row r="6" ht="24" customHeight="1">
      <c r="A6" s="5" t="inlineStr">
        <is>
          <t>Brasero / Asador a la cruz (Brogas hierro)</t>
        </is>
      </c>
      <c r="B6" s="5" t="n">
        <v>250</v>
      </c>
      <c r="C6" s="5" t="n">
        <v>400</v>
      </c>
      <c r="D6" s="5" t="n">
        <v>600</v>
      </c>
    </row>
    <row r="7" ht="24" customHeight="1">
      <c r="A7" s="4" t="inlineStr">
        <is>
          <t>Ahumador offset profesional (uso BBQ texano)</t>
        </is>
      </c>
      <c r="B7" s="4" t="n">
        <v>0</v>
      </c>
      <c r="C7" s="4" t="n">
        <v>800</v>
      </c>
      <c r="D7" s="4" t="n">
        <v>1500</v>
      </c>
    </row>
    <row r="8" ht="24" customHeight="1">
      <c r="A8" s="5" t="inlineStr">
        <is>
          <t>Mesas plegables inox 60x100 Royal Catering (x2-3)</t>
        </is>
      </c>
      <c r="B8" s="5" t="n">
        <v>200</v>
      </c>
      <c r="C8" s="5" t="n">
        <v>300</v>
      </c>
      <c r="D8" s="5" t="n">
        <v>400</v>
      </c>
    </row>
    <row r="9" ht="24" customHeight="1">
      <c r="A9" s="4" t="inlineStr">
        <is>
          <t>Cuchilleria profesional Arcos / Wusthof + tablas APPCC</t>
        </is>
      </c>
      <c r="B9" s="4" t="n">
        <v>250</v>
      </c>
      <c r="C9" s="4" t="n">
        <v>450</v>
      </c>
      <c r="D9" s="4" t="n">
        <v>700</v>
      </c>
    </row>
    <row r="10" ht="24" customHeight="1">
      <c r="A10" s="5" t="inlineStr">
        <is>
          <t>Cuberteria, vajilla y mantelería plegable (servicio 50 pax)</t>
        </is>
      </c>
      <c r="B10" s="5" t="n">
        <v>350</v>
      </c>
      <c r="C10" s="5" t="n">
        <v>700</v>
      </c>
      <c r="D10" s="5" t="n">
        <v>1200</v>
      </c>
    </row>
    <row r="11" ht="24" customHeight="1">
      <c r="A11" s="4" t="inlineStr">
        <is>
          <t>Hot box transporte caliente (carrier termoaislado)</t>
        </is>
      </c>
      <c r="B11" s="4" t="n">
        <v>100</v>
      </c>
      <c r="C11" s="4" t="n">
        <v>200</v>
      </c>
      <c r="D11" s="4" t="n">
        <v>300</v>
      </c>
    </row>
    <row r="12" ht="24" customHeight="1">
      <c r="A12" s="5" t="inlineStr">
        <is>
          <t>Indumentaria (delantal cuero + guantes ignifugos + 3 uniformes)</t>
        </is>
      </c>
      <c r="B12" s="5" t="n">
        <v>150</v>
      </c>
      <c r="C12" s="5" t="n">
        <v>250</v>
      </c>
      <c r="D12" s="5" t="n">
        <v>400</v>
      </c>
    </row>
    <row r="13" ht="24" customHeight="1">
      <c r="A13" s="4" t="inlineStr">
        <is>
          <t>Lote inicial carbon quebracho / lena encina (60-120 kg)</t>
        </is>
      </c>
      <c r="B13" s="4" t="n">
        <v>120</v>
      </c>
      <c r="C13" s="4" t="n">
        <v>200</v>
      </c>
      <c r="D13" s="4" t="n">
        <v>350</v>
      </c>
    </row>
    <row r="14" ht="24" customHeight="1">
      <c r="A14" s="5" t="inlineStr">
        <is>
          <t>Generador portatil eventos sin enchufe (gasolina inverter)</t>
        </is>
      </c>
      <c r="B14" s="5" t="n">
        <v>0</v>
      </c>
      <c r="C14" s="5" t="n">
        <v>450</v>
      </c>
      <c r="D14" s="5" t="n">
        <v>800</v>
      </c>
    </row>
    <row r="15" ht="24" customHeight="1">
      <c r="A15" s="4" t="inlineStr">
        <is>
          <t>Vehiculo · adaptacion furgo o remolque homologado 750kg</t>
        </is>
      </c>
      <c r="B15" s="4" t="n">
        <v>500</v>
      </c>
      <c r="C15" s="4" t="n">
        <v>2500</v>
      </c>
      <c r="D15" s="4" t="n">
        <v>8000</v>
      </c>
    </row>
    <row r="16" ht="24" customHeight="1">
      <c r="A16" s="5" t="inlineStr">
        <is>
          <t>Branding (logo, web one-page, fotos producto, tarjetas)</t>
        </is>
      </c>
      <c r="B16" s="5" t="n">
        <v>400</v>
      </c>
      <c r="C16" s="5" t="n">
        <v>900</v>
      </c>
      <c r="D16" s="5" t="n">
        <v>1600</v>
      </c>
    </row>
    <row r="17" ht="24" customHeight="1">
      <c r="A17" s="4" t="inlineStr">
        <is>
          <t>Seguro RC profesional eventos catering (1er año)</t>
        </is>
      </c>
      <c r="B17" s="4" t="n">
        <v>250</v>
      </c>
      <c r="C17" s="4" t="n">
        <v>350</v>
      </c>
      <c r="D17" s="4" t="n">
        <v>450</v>
      </c>
    </row>
    <row r="18" ht="24" customHeight="1">
      <c r="A18" s="5" t="inlineStr">
        <is>
          <t>Carnet manipulador alimentos + plan APPCC + asesoria CCAA</t>
        </is>
      </c>
      <c r="B18" s="5" t="n">
        <v>80</v>
      </c>
      <c r="C18" s="5" t="n">
        <v>250</v>
      </c>
      <c r="D18" s="5" t="n">
        <v>450</v>
      </c>
    </row>
    <row r="19" ht="24" customHeight="1">
      <c r="A19" s="4" t="inlineStr">
        <is>
          <t>Stock carne y bebidas primeros 3 eventos (anticipo)</t>
        </is>
      </c>
      <c r="B19" s="4" t="n">
        <v>600</v>
      </c>
      <c r="C19" s="4" t="n">
        <v>1000</v>
      </c>
      <c r="D19" s="4" t="n">
        <v>1500</v>
      </c>
    </row>
    <row r="20" ht="24" customHeight="1">
      <c r="A20" s="5" t="inlineStr">
        <is>
          <t>Fondo contingencia 10%</t>
        </is>
      </c>
      <c r="B20" s="5" t="n">
        <v>396</v>
      </c>
      <c r="C20" s="5" t="n">
        <v>946</v>
      </c>
      <c r="D20" s="5" t="n">
        <v>2076</v>
      </c>
    </row>
    <row r="21" ht="24" customHeight="1">
      <c r="A21" s="6" t="inlineStr">
        <is>
          <t>TOTAL INVERSION INICIAL</t>
        </is>
      </c>
      <c r="B21" s="6">
        <f>SUM(B5:B20)</f>
        <v/>
      </c>
      <c r="C21" s="6">
        <f>SUM(C5:C20)</f>
        <v/>
      </c>
      <c r="D21" s="6">
        <f>SUM(D5:D20)</f>
        <v/>
      </c>
    </row>
    <row r="23" ht="50" customHeight="1">
      <c r="A23" s="7" t="inlineStr">
        <is>
          <t>Notas: · Setup minimo viable arranca temporada con parrilla GGM + utiles basicos. · Estandar añade ahumador y vehiculo adaptado para 25-40 eventos/temporada. · Premium incluye remolque dedicado homologado para escalado tipo food truck.</t>
        </is>
      </c>
    </row>
  </sheetData>
  <mergeCells count="3">
    <mergeCell ref="A1:D1"/>
    <mergeCell ref="A23:D2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 ht="32" customHeight="1">
      <c r="A1" s="1" t="inlineStr">
        <is>
          <t>Cuenta de resultados proyectada · 3 años</t>
        </is>
      </c>
    </row>
    <row r="2" ht="30" customHeight="1">
      <c r="A2" s="2" t="inlineStr">
        <is>
          <t>Mix ingresos B2C 40% (cumpleaños, bautizos, bodas finca particular) + B2B 60% (wedding planners, agencias, hoteles, empresas, restaurantes show cooking). Estacionalidad mayo-septiembre 65-75% facturacion. IVA hosteleria 10%.</t>
        </is>
      </c>
    </row>
    <row r="4" ht="28" customHeight="1">
      <c r="A4" s="3" t="inlineStr">
        <is>
          <t>Linea</t>
        </is>
      </c>
      <c r="B4" s="3" t="inlineStr">
        <is>
          <t>Año 1</t>
        </is>
      </c>
      <c r="C4" s="3" t="inlineStr">
        <is>
          <t>Año 2</t>
        </is>
      </c>
      <c r="D4" s="3" t="inlineStr">
        <is>
          <t>Año 3</t>
        </is>
      </c>
      <c r="E4" s="3" t="inlineStr">
        <is>
          <t>Notas</t>
        </is>
      </c>
    </row>
    <row r="5" ht="24" customHeight="1">
      <c r="A5" s="4" t="inlineStr">
        <is>
          <t>INGRESOS</t>
        </is>
      </c>
      <c r="B5" s="4" t="inlineStr"/>
      <c r="C5" s="4" t="inlineStr"/>
      <c r="D5" s="4" t="inlineStr"/>
      <c r="E5" s="4" t="inlineStr"/>
    </row>
    <row r="6" ht="24" customHeight="1">
      <c r="A6" s="5" t="inlineStr">
        <is>
          <t>Eventos B2C particulares (n)</t>
        </is>
      </c>
      <c r="B6" s="5" t="n">
        <v>12</v>
      </c>
      <c r="C6" s="5" t="n">
        <v>22</v>
      </c>
      <c r="D6" s="5" t="n">
        <v>35</v>
      </c>
      <c r="E6" s="5" t="inlineStr">
        <is>
          <t>30-50€/pax · ticket medio 1.500-2.200€</t>
        </is>
      </c>
    </row>
    <row r="7" ht="24" customHeight="1">
      <c r="A7" s="4" t="inlineStr">
        <is>
          <t>Facturacion B2C (€)</t>
        </is>
      </c>
      <c r="B7" s="4" t="n">
        <v>22000</v>
      </c>
      <c r="C7" s="4" t="n">
        <v>42000</v>
      </c>
      <c r="D7" s="4" t="n">
        <v>70000</v>
      </c>
      <c r="E7" s="4" t="inlineStr"/>
    </row>
    <row r="8" ht="24" customHeight="1">
      <c r="A8" s="5" t="inlineStr">
        <is>
          <t>Eventos B2B planners/hoteles/empresas (n)</t>
        </is>
      </c>
      <c r="B8" s="5" t="n">
        <v>8</v>
      </c>
      <c r="C8" s="5" t="n">
        <v>18</v>
      </c>
      <c r="D8" s="5" t="n">
        <v>30</v>
      </c>
      <c r="E8" s="5" t="inlineStr">
        <is>
          <t>70-150€/pax · ticket medio 3.500-5.500€</t>
        </is>
      </c>
    </row>
    <row r="9" ht="24" customHeight="1">
      <c r="A9" s="6" t="inlineStr">
        <is>
          <t>Facturacion B2B (€)</t>
        </is>
      </c>
      <c r="B9" s="6" t="n">
        <v>32000</v>
      </c>
      <c r="C9" s="6" t="n">
        <v>78000</v>
      </c>
      <c r="D9" s="6" t="n">
        <v>145000</v>
      </c>
      <c r="E9" s="6" t="inlineStr"/>
    </row>
    <row r="10" ht="24" customHeight="1">
      <c r="A10" s="5" t="inlineStr">
        <is>
          <t>Show cooking restaurante (jornadas)</t>
        </is>
      </c>
      <c r="B10" s="5" t="n">
        <v>4</v>
      </c>
      <c r="C10" s="5" t="n">
        <v>12</v>
      </c>
      <c r="D10" s="5" t="n">
        <v>24</v>
      </c>
      <c r="E10" s="5" t="inlineStr">
        <is>
          <t>fee 600-1.200€/jornada parrillero</t>
        </is>
      </c>
    </row>
    <row r="11" ht="24" customHeight="1">
      <c r="A11" s="4" t="inlineStr">
        <is>
          <t>Facturacion show cooking (€)</t>
        </is>
      </c>
      <c r="B11" s="4" t="n">
        <v>3200</v>
      </c>
      <c r="C11" s="4" t="n">
        <v>10800</v>
      </c>
      <c r="D11" s="4" t="n">
        <v>22000</v>
      </c>
      <c r="E11" s="4" t="inlineStr"/>
    </row>
    <row r="12" ht="24" customHeight="1">
      <c r="A12" s="5" t="inlineStr">
        <is>
          <t>INGRESOS TOTALES (€)</t>
        </is>
      </c>
      <c r="B12" s="5">
        <f>B5+B7+B9</f>
        <v/>
      </c>
      <c r="C12" s="5">
        <f>C5+C7+C9</f>
        <v/>
      </c>
      <c r="D12" s="5">
        <f>D5+D7+D9</f>
        <v/>
      </c>
      <c r="E12" s="5" t="inlineStr"/>
    </row>
    <row r="13" ht="24" customHeight="1">
      <c r="A13" s="4" t="inlineStr"/>
      <c r="B13" s="4" t="inlineStr"/>
      <c r="C13" s="4" t="inlineStr"/>
      <c r="D13" s="4" t="inlineStr"/>
      <c r="E13" s="4" t="inlineStr"/>
    </row>
    <row r="14" ht="24" customHeight="1">
      <c r="A14" s="5" t="inlineStr">
        <is>
          <t>COSTES VARIABLES</t>
        </is>
      </c>
      <c r="B14" s="5" t="inlineStr"/>
      <c r="C14" s="5" t="inlineStr"/>
      <c r="D14" s="5" t="inlineStr"/>
      <c r="E14" s="5" t="inlineStr"/>
    </row>
    <row r="15" ht="24" customHeight="1">
      <c r="A15" s="8" t="inlineStr">
        <is>
          <t>Coste carne y producto (≈40% B2C, 38% B2B)</t>
        </is>
      </c>
      <c r="B15" s="8" t="n">
        <v>22000</v>
      </c>
      <c r="C15" s="8" t="n">
        <v>51000</v>
      </c>
      <c r="D15" s="8" t="n">
        <v>92000</v>
      </c>
      <c r="E15" s="8" t="inlineStr">
        <is>
          <t>Margen bruto 60-62% post-merma 18-25%</t>
        </is>
      </c>
    </row>
    <row r="16" ht="24" customHeight="1">
      <c r="A16" s="5" t="inlineStr">
        <is>
          <t>Carbon, leña, gas, consumibles</t>
        </is>
      </c>
      <c r="B16" s="5" t="n">
        <v>1900</v>
      </c>
      <c r="C16" s="5" t="n">
        <v>4500</v>
      </c>
      <c r="D16" s="5" t="n">
        <v>7800</v>
      </c>
      <c r="E16" s="5" t="inlineStr">
        <is>
          <t>Quebracho 23€/15kg + encina 21€/15kg</t>
        </is>
      </c>
    </row>
    <row r="17" ht="24" customHeight="1">
      <c r="A17" s="4" t="inlineStr">
        <is>
          <t>Personal freelance ayudantes eventos</t>
        </is>
      </c>
      <c r="B17" s="4" t="n">
        <v>4500</v>
      </c>
      <c r="C17" s="4" t="n">
        <v>12000</v>
      </c>
      <c r="D17" s="4" t="n">
        <v>22000</v>
      </c>
      <c r="E17" s="4" t="inlineStr">
        <is>
          <t>Año 1: 1 ayudante; año 3: 2-3</t>
        </is>
      </c>
    </row>
    <row r="18" ht="24" customHeight="1">
      <c r="A18" s="5" t="inlineStr">
        <is>
          <t>Transporte y logistica (combustible, peajes)</t>
        </is>
      </c>
      <c r="B18" s="5" t="n">
        <v>1800</v>
      </c>
      <c r="C18" s="5" t="n">
        <v>3600</v>
      </c>
      <c r="D18" s="5" t="n">
        <v>6500</v>
      </c>
      <c r="E18" s="5" t="inlineStr"/>
    </row>
    <row r="19" ht="24" customHeight="1">
      <c r="A19" s="4" t="inlineStr">
        <is>
          <t>Comision plataformas / referidos planners</t>
        </is>
      </c>
      <c r="B19" s="4" t="n">
        <v>1700</v>
      </c>
      <c r="C19" s="4" t="n">
        <v>4500</v>
      </c>
      <c r="D19" s="4" t="n">
        <v>9500</v>
      </c>
      <c r="E19" s="4" t="inlineStr">
        <is>
          <t>5-7% facturacion B2B captada via planner</t>
        </is>
      </c>
    </row>
    <row r="20" ht="24" customHeight="1">
      <c r="A20" s="5" t="inlineStr">
        <is>
          <t>TOTAL COSTES VARIABLES</t>
        </is>
      </c>
      <c r="B20" s="5">
        <f>SUM(B12:B16)</f>
        <v/>
      </c>
      <c r="C20" s="5">
        <f>SUM(C12:C16)</f>
        <v/>
      </c>
      <c r="D20" s="5">
        <f>SUM(D12:D16)</f>
        <v/>
      </c>
      <c r="E20" s="5" t="inlineStr"/>
    </row>
    <row r="21" ht="24" customHeight="1">
      <c r="A21" s="4" t="inlineStr">
        <is>
          <t>MARGEN BRUTO</t>
        </is>
      </c>
      <c r="B21" s="4">
        <f>B10-B17</f>
        <v/>
      </c>
      <c r="C21" s="4">
        <f>C10-C17</f>
        <v/>
      </c>
      <c r="D21" s="4">
        <f>D10-D17</f>
        <v/>
      </c>
      <c r="E21" s="4" t="inlineStr"/>
    </row>
    <row r="22" ht="24" customHeight="1">
      <c r="A22" s="5" t="inlineStr">
        <is>
          <t>Margen bruto %</t>
        </is>
      </c>
      <c r="B22" s="5">
        <f>B18/B10</f>
        <v/>
      </c>
      <c r="C22" s="5">
        <f>C18/C10</f>
        <v/>
      </c>
      <c r="D22" s="5">
        <f>D18/D10</f>
        <v/>
      </c>
      <c r="E22" s="5" t="inlineStr"/>
    </row>
    <row r="23" ht="24" customHeight="1">
      <c r="A23" s="9" t="inlineStr"/>
      <c r="B23" s="9" t="inlineStr"/>
      <c r="C23" s="9" t="inlineStr"/>
      <c r="D23" s="9" t="inlineStr"/>
      <c r="E23" s="9" t="inlineStr"/>
    </row>
    <row r="24" ht="24" customHeight="1">
      <c r="A24" s="10" t="inlineStr">
        <is>
          <t>COSTES FIJOS</t>
        </is>
      </c>
      <c r="B24" s="11" t="inlineStr"/>
      <c r="C24" s="11" t="inlineStr"/>
      <c r="D24" s="11" t="inlineStr"/>
      <c r="E24" s="10" t="inlineStr"/>
    </row>
    <row r="25" ht="24" customHeight="1">
      <c r="A25" s="8" t="inlineStr">
        <is>
          <t>Cuota autonomo (con bonificaciones)</t>
        </is>
      </c>
      <c r="B25" s="8" t="n">
        <v>1500</v>
      </c>
      <c r="C25" s="8" t="n">
        <v>3600</v>
      </c>
      <c r="D25" s="8" t="n">
        <v>4500</v>
      </c>
      <c r="E25" s="8" t="inlineStr">
        <is>
          <t>Tarifa plana primer año</t>
        </is>
      </c>
    </row>
    <row r="26" ht="24" customHeight="1">
      <c r="A26" s="5" t="inlineStr">
        <is>
          <t>Seguro RC + APPCC + asesoria CCAA</t>
        </is>
      </c>
      <c r="B26" s="5" t="n">
        <v>350</v>
      </c>
      <c r="C26" s="5" t="n">
        <v>450</v>
      </c>
      <c r="D26" s="5" t="n">
        <v>600</v>
      </c>
      <c r="E26" s="5" t="inlineStr"/>
    </row>
    <row r="27" ht="24" customHeight="1">
      <c r="A27" s="4" t="inlineStr">
        <is>
          <t>Web, hosting, CRM, herramientas digital</t>
        </is>
      </c>
      <c r="B27" s="4" t="n">
        <v>480</v>
      </c>
      <c r="C27" s="4" t="n">
        <v>720</v>
      </c>
      <c r="D27" s="4" t="n">
        <v>960</v>
      </c>
      <c r="E27" s="4" t="inlineStr"/>
    </row>
    <row r="28" ht="24" customHeight="1">
      <c r="A28" s="5" t="inlineStr">
        <is>
          <t>Marketing (Ads, contenido, fotografo eventos)</t>
        </is>
      </c>
      <c r="B28" s="5" t="n">
        <v>1500</v>
      </c>
      <c r="C28" s="5" t="n">
        <v>3000</v>
      </c>
      <c r="D28" s="5" t="n">
        <v>5500</v>
      </c>
      <c r="E28" s="5" t="inlineStr">
        <is>
          <t>Visibilidad B2C local + outreach planners</t>
        </is>
      </c>
    </row>
    <row r="29" ht="24" customHeight="1">
      <c r="A29" s="4" t="inlineStr">
        <is>
          <t>Mantenimiento equipamiento + reposicion</t>
        </is>
      </c>
      <c r="B29" s="4" t="n">
        <v>400</v>
      </c>
      <c r="C29" s="4" t="n">
        <v>1200</v>
      </c>
      <c r="D29" s="4" t="n">
        <v>2400</v>
      </c>
      <c r="E29" s="4" t="inlineStr"/>
    </row>
    <row r="30" ht="24" customHeight="1">
      <c r="A30" s="5" t="inlineStr">
        <is>
          <t>Gestoria</t>
        </is>
      </c>
      <c r="B30" s="5" t="n">
        <v>600</v>
      </c>
      <c r="C30" s="5" t="n">
        <v>900</v>
      </c>
      <c r="D30" s="5" t="n">
        <v>1500</v>
      </c>
      <c r="E30" s="5" t="inlineStr"/>
    </row>
    <row r="31" ht="24" customHeight="1">
      <c r="A31" s="4" t="inlineStr">
        <is>
          <t>TOTAL COSTES FIJOS</t>
        </is>
      </c>
      <c r="B31" s="4">
        <f>SUM(B22:B27)</f>
        <v/>
      </c>
      <c r="C31" s="4">
        <f>SUM(C22:C27)</f>
        <v/>
      </c>
      <c r="D31" s="4">
        <f>SUM(D22:D27)</f>
        <v/>
      </c>
      <c r="E31" s="4" t="inlineStr"/>
    </row>
    <row r="32" ht="24" customHeight="1">
      <c r="A32" s="5" t="inlineStr"/>
      <c r="B32" s="5" t="inlineStr"/>
      <c r="C32" s="5" t="inlineStr"/>
      <c r="D32" s="5" t="inlineStr"/>
      <c r="E32" s="5" t="inlineStr"/>
    </row>
    <row r="33" ht="24" customHeight="1">
      <c r="A33" s="4" t="inlineStr">
        <is>
          <t>EBITDA</t>
        </is>
      </c>
      <c r="B33" s="4">
        <f>B18-B28</f>
        <v/>
      </c>
      <c r="C33" s="4">
        <f>C18-C28</f>
        <v/>
      </c>
      <c r="D33" s="4">
        <f>D18-D28</f>
        <v/>
      </c>
      <c r="E33" s="4" t="inlineStr"/>
    </row>
    <row r="34" ht="24" customHeight="1">
      <c r="A34" s="10" t="inlineStr">
        <is>
          <t>Amortizacion equipamiento (10%/año)</t>
        </is>
      </c>
      <c r="B34" s="10" t="n">
        <v>800</v>
      </c>
      <c r="C34" s="10" t="n">
        <v>1400</v>
      </c>
      <c r="D34" s="10" t="n">
        <v>2400</v>
      </c>
      <c r="E34" s="10" t="inlineStr"/>
    </row>
    <row r="35" ht="24" customHeight="1">
      <c r="A35" s="4" t="inlineStr">
        <is>
          <t>BENEFICIO ANTES IMPUESTOS</t>
        </is>
      </c>
      <c r="B35" s="4">
        <f>B30-B31</f>
        <v/>
      </c>
      <c r="C35" s="4">
        <f>C30-C31</f>
        <v/>
      </c>
      <c r="D35" s="4">
        <f>D30-D31</f>
        <v/>
      </c>
      <c r="E35" s="4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50" customWidth="1" min="4" max="4"/>
  </cols>
  <sheetData>
    <row r="1" ht="32" customHeight="1">
      <c r="A1" s="1" t="inlineStr">
        <is>
          <t>Estacionalidad mensual · % facturacion anual tipica</t>
        </is>
      </c>
    </row>
    <row r="2" ht="30" customHeight="1">
      <c r="A2" s="2" t="inlineStr">
        <is>
          <t>Validado contra mercado wedding/eventos España 2026: pico mayo-septiembre + diciembre Navidad corporativa. Modela cashflow con 4-5 meses pico y 7-8 meses valle.</t>
        </is>
      </c>
    </row>
    <row r="4" ht="28" customHeight="1">
      <c r="A4" s="3" t="inlineStr">
        <is>
          <t>Mes</t>
        </is>
      </c>
      <c r="B4" s="3" t="inlineStr">
        <is>
          <t>% facturacion</t>
        </is>
      </c>
      <c r="C4" s="3" t="inlineStr">
        <is>
          <t>Eventos esperados año 2 (n)</t>
        </is>
      </c>
      <c r="D4" s="3" t="inlineStr">
        <is>
          <t>Tipologia dominante</t>
        </is>
      </c>
    </row>
    <row r="5" ht="24" customHeight="1">
      <c r="A5" s="4" t="inlineStr">
        <is>
          <t>Enero</t>
        </is>
      </c>
      <c r="B5" s="12" t="n">
        <v>0.02</v>
      </c>
      <c r="C5" s="4" t="n">
        <v>0</v>
      </c>
      <c r="D5" s="4" t="inlineStr">
        <is>
          <t>Cero, corporativo aislado</t>
        </is>
      </c>
    </row>
    <row r="6" ht="24" customHeight="1">
      <c r="A6" s="5" t="inlineStr">
        <is>
          <t>Febrero</t>
        </is>
      </c>
      <c r="B6" s="13" t="n">
        <v>0.03</v>
      </c>
      <c r="C6" s="5" t="n">
        <v>1</v>
      </c>
      <c r="D6" s="5" t="inlineStr">
        <is>
          <t>Bautizos, comuniones tempranas</t>
        </is>
      </c>
    </row>
    <row r="7" ht="24" customHeight="1">
      <c r="A7" s="4" t="inlineStr">
        <is>
          <t>Marzo</t>
        </is>
      </c>
      <c r="B7" s="12" t="n">
        <v>0.04</v>
      </c>
      <c r="C7" s="4" t="n">
        <v>2</v>
      </c>
      <c r="D7" s="4" t="inlineStr">
        <is>
          <t>Comuniones, primeros corporativos</t>
        </is>
      </c>
    </row>
    <row r="8" ht="24" customHeight="1">
      <c r="A8" s="5" t="inlineStr">
        <is>
          <t>Abril</t>
        </is>
      </c>
      <c r="B8" s="13" t="n">
        <v>0.06</v>
      </c>
      <c r="C8" s="5" t="n">
        <v>3</v>
      </c>
      <c r="D8" s="5" t="inlineStr">
        <is>
          <t>Comuniones, primeros enlaces</t>
        </is>
      </c>
    </row>
    <row r="9" ht="24" customHeight="1">
      <c r="A9" s="4" t="inlineStr">
        <is>
          <t>Mayo</t>
        </is>
      </c>
      <c r="B9" s="12" t="n">
        <v>0.13</v>
      </c>
      <c r="C9" s="4" t="n">
        <v>6</v>
      </c>
      <c r="D9" s="4" t="inlineStr">
        <is>
          <t>PICO bodas finca + corporativos</t>
        </is>
      </c>
    </row>
    <row r="10" ht="24" customHeight="1">
      <c r="A10" s="5" t="inlineStr">
        <is>
          <t>Junio</t>
        </is>
      </c>
      <c r="B10" s="13" t="n">
        <v>0.16</v>
      </c>
      <c r="C10" s="5" t="n">
        <v>8</v>
      </c>
      <c r="D10" s="5" t="inlineStr">
        <is>
          <t>PICO bodas finca + graduaciones</t>
        </is>
      </c>
    </row>
    <row r="11" ht="24" customHeight="1">
      <c r="A11" s="4" t="inlineStr">
        <is>
          <t>Julio</t>
        </is>
      </c>
      <c r="B11" s="12" t="n">
        <v>0.1</v>
      </c>
      <c r="C11" s="4" t="n">
        <v>5</v>
      </c>
      <c r="D11" s="4" t="inlineStr">
        <is>
          <t>Bodas costa, corporativo verano</t>
        </is>
      </c>
    </row>
    <row r="12" ht="24" customHeight="1">
      <c r="A12" s="5" t="inlineStr">
        <is>
          <t>Agosto</t>
        </is>
      </c>
      <c r="B12" s="13" t="n">
        <v>0.06</v>
      </c>
      <c r="C12" s="5" t="n">
        <v>3</v>
      </c>
      <c r="D12" s="5" t="inlineStr">
        <is>
          <t>Valle vacacional</t>
        </is>
      </c>
    </row>
    <row r="13" ht="24" customHeight="1">
      <c r="A13" s="4" t="inlineStr">
        <is>
          <t>Septiembre</t>
        </is>
      </c>
      <c r="B13" s="12" t="n">
        <v>0.18</v>
      </c>
      <c r="C13" s="4" t="n">
        <v>9</v>
      </c>
      <c r="D13" s="4" t="inlineStr">
        <is>
          <t>PICO MAXIMO bodas finca + relanzamiento corporativo</t>
        </is>
      </c>
    </row>
    <row r="14" ht="24" customHeight="1">
      <c r="A14" s="5" t="inlineStr">
        <is>
          <t>Octubre</t>
        </is>
      </c>
      <c r="B14" s="13" t="n">
        <v>0.1</v>
      </c>
      <c r="C14" s="5" t="n">
        <v>5</v>
      </c>
      <c r="D14" s="5" t="inlineStr">
        <is>
          <t>Cierre temporada bodas + Halloween corporativo</t>
        </is>
      </c>
    </row>
    <row r="15" ht="24" customHeight="1">
      <c r="A15" s="4" t="inlineStr">
        <is>
          <t>Noviembre</t>
        </is>
      </c>
      <c r="B15" s="12" t="n">
        <v>0.04</v>
      </c>
      <c r="C15" s="4" t="n">
        <v>2</v>
      </c>
      <c r="D15" s="4" t="inlineStr">
        <is>
          <t>Cenas empresa, premios sectoriales</t>
        </is>
      </c>
    </row>
    <row r="16" ht="24" customHeight="1">
      <c r="A16" s="5" t="inlineStr">
        <is>
          <t>Diciembre</t>
        </is>
      </c>
      <c r="B16" s="13" t="n">
        <v>0.08</v>
      </c>
      <c r="C16" s="5" t="n">
        <v>4</v>
      </c>
      <c r="D16" s="5" t="inlineStr">
        <is>
          <t>Cenas empresa Navidad, eventos corporativos</t>
        </is>
      </c>
    </row>
    <row r="17" ht="24" customHeight="1">
      <c r="A17" s="4" t="inlineStr">
        <is>
          <t>TOTAL</t>
        </is>
      </c>
      <c r="B17" s="14">
        <f>SUM(B5:B16)</f>
        <v/>
      </c>
      <c r="C17" s="15">
        <f>SUM(C5:C16)</f>
        <v/>
      </c>
      <c r="D17" s="4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50" customWidth="1" min="3" max="3"/>
  </cols>
  <sheetData>
    <row r="1" ht="32" customHeight="1">
      <c r="A1" s="1" t="inlineStr">
        <is>
          <t>Punto de equilibrio · n eventos minimo para cubrir costes fijos</t>
        </is>
      </c>
    </row>
    <row r="2" ht="30" customHeight="1">
      <c r="A2" s="2" t="inlineStr">
        <is>
          <t>Calcula el numero minimo de eventos para no perder dinero. Ajusta el ticket medio y el margen bruto% segun tu posicionamiento real.</t>
        </is>
      </c>
    </row>
    <row r="4" ht="28" customHeight="1">
      <c r="A4" s="3" t="inlineStr">
        <is>
          <t>Variable</t>
        </is>
      </c>
      <c r="B4" s="3" t="inlineStr">
        <is>
          <t>Valor</t>
        </is>
      </c>
      <c r="C4" s="3" t="inlineStr">
        <is>
          <t>Notas</t>
        </is>
      </c>
    </row>
    <row r="5" ht="24" customHeight="1">
      <c r="A5" s="4" t="inlineStr">
        <is>
          <t>Costes fijos anuales (€)</t>
        </is>
      </c>
      <c r="B5" s="4" t="n">
        <v>8830</v>
      </c>
      <c r="C5" s="4" t="inlineStr">
        <is>
          <t>Suma año 1 escenario base PyG</t>
        </is>
      </c>
    </row>
    <row r="6" ht="24" customHeight="1">
      <c r="A6" s="5" t="inlineStr">
        <is>
          <t>Ticket medio mixto B2C+B2B (€)</t>
        </is>
      </c>
      <c r="B6" s="5" t="n">
        <v>2800</v>
      </c>
      <c r="C6" s="5" t="inlineStr">
        <is>
          <t>Ajustar segun mix real</t>
        </is>
      </c>
    </row>
    <row r="7" ht="24" customHeight="1">
      <c r="A7" s="4" t="inlineStr">
        <is>
          <t>Margen bruto medio (%)</t>
        </is>
      </c>
      <c r="B7" s="16" t="n">
        <v>0.58</v>
      </c>
      <c r="C7" s="4" t="inlineStr">
        <is>
          <t>60% B2C - 56% B2B premium</t>
        </is>
      </c>
    </row>
    <row r="8" ht="24" customHeight="1">
      <c r="A8" s="5" t="inlineStr">
        <is>
          <t>Margen bruto medio por evento (€)</t>
        </is>
      </c>
      <c r="B8" s="17">
        <f>B6*B7</f>
        <v/>
      </c>
      <c r="C8" s="5" t="inlineStr"/>
    </row>
    <row r="9" ht="24" customHeight="1">
      <c r="A9" s="4" t="inlineStr">
        <is>
          <t>Numero minimo eventos para break-even</t>
        </is>
      </c>
      <c r="B9" s="18">
        <f>B5/B8</f>
        <v/>
      </c>
      <c r="C9" s="4" t="inlineStr">
        <is>
          <t>Anual</t>
        </is>
      </c>
    </row>
    <row r="10" ht="24" customHeight="1">
      <c r="A10" s="5" t="inlineStr">
        <is>
          <t>Numero minimo eventos por mes (anualizado)</t>
        </is>
      </c>
      <c r="B10" s="17">
        <f>B9/12</f>
        <v/>
      </c>
      <c r="C10" s="5" t="inlineStr"/>
    </row>
    <row r="11" ht="24" customHeight="1">
      <c r="A11" s="4" t="inlineStr">
        <is>
          <t>Numero minimo eventos en temporada alta (5 meses)</t>
        </is>
      </c>
      <c r="B11" s="18">
        <f>B9*0.7/5</f>
        <v/>
      </c>
      <c r="C11" s="4" t="inlineStr">
        <is>
          <t>El 70% concentrado en 5 meses pico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6" customWidth="1" min="4" max="4"/>
    <col width="14" customWidth="1" min="5" max="5"/>
    <col width="22" customWidth="1" min="6" max="6"/>
  </cols>
  <sheetData>
    <row r="1" ht="32" customHeight="1">
      <c r="A1" s="1" t="inlineStr">
        <is>
          <t>Tarifario referencia 2026 · Parrillero / Asador para Eventos España</t>
        </is>
      </c>
    </row>
    <row r="2" ht="30" customHeight="1">
      <c r="A2" s="2" t="inlineStr">
        <is>
          <t>Validado contra Vaquero Catering (28-60€/p), Brasas y Sabores (39€/p), Pasion Llanera (31-41€/p), Recio's Show Cooking (45-120€/p). El parrillero captura la franja media-alta donde los planners diferencian sin pagar precios de hotel 5*.</t>
        </is>
      </c>
    </row>
    <row r="4" ht="28" customHeight="1">
      <c r="A4" s="3" t="inlineStr">
        <is>
          <t>Tipo evento</t>
        </is>
      </c>
      <c r="B4" s="3" t="inlineStr">
        <is>
          <t>€/pax bajo</t>
        </is>
      </c>
      <c r="C4" s="3" t="inlineStr">
        <is>
          <t>€/pax medio</t>
        </is>
      </c>
      <c r="D4" s="3" t="inlineStr">
        <is>
          <t>€/pax premium</t>
        </is>
      </c>
      <c r="E4" s="3" t="inlineStr">
        <is>
          <t>Min. invitados</t>
        </is>
      </c>
      <c r="F4" s="3" t="inlineStr">
        <is>
          <t>Fee desplazamiento (€)</t>
        </is>
      </c>
    </row>
    <row r="5" ht="24" customHeight="1">
      <c r="A5" s="4" t="inlineStr">
        <is>
          <t>Cumpleaños / bautizo / comunion B2C</t>
        </is>
      </c>
      <c r="B5" s="4" t="n">
        <v>30</v>
      </c>
      <c r="C5" s="4" t="n">
        <v>38</v>
      </c>
      <c r="D5" s="4" t="n">
        <v>50</v>
      </c>
      <c r="E5" s="4" t="n">
        <v>20</v>
      </c>
      <c r="F5" s="4" t="n">
        <v>0</v>
      </c>
    </row>
    <row r="6" ht="24" customHeight="1">
      <c r="A6" s="5" t="inlineStr">
        <is>
          <t>Boda finca particular B2C</t>
        </is>
      </c>
      <c r="B6" s="5" t="n">
        <v>39</v>
      </c>
      <c r="C6" s="5" t="n">
        <v>50</v>
      </c>
      <c r="D6" s="5" t="n">
        <v>70</v>
      </c>
      <c r="E6" s="5" t="n">
        <v>30</v>
      </c>
      <c r="F6" s="5" t="n">
        <v>150</v>
      </c>
    </row>
    <row r="7" ht="24" customHeight="1">
      <c r="A7" s="4" t="inlineStr">
        <is>
          <t>Boda wedding planner B2B premium</t>
        </is>
      </c>
      <c r="B7" s="4" t="n">
        <v>60</v>
      </c>
      <c r="C7" s="4" t="n">
        <v>90</v>
      </c>
      <c r="D7" s="4" t="n">
        <v>130</v>
      </c>
      <c r="E7" s="4" t="n">
        <v>30</v>
      </c>
      <c r="F7" s="4" t="n">
        <v>250</v>
      </c>
    </row>
    <row r="8" ht="24" customHeight="1">
      <c r="A8" s="5" t="inlineStr">
        <is>
          <t>Hotel evento privado B2B</t>
        </is>
      </c>
      <c r="B8" s="5" t="n">
        <v>65</v>
      </c>
      <c r="C8" s="5" t="n">
        <v>95</v>
      </c>
      <c r="D8" s="5" t="n">
        <v>150</v>
      </c>
      <c r="E8" s="5" t="n">
        <v>40</v>
      </c>
      <c r="F8" s="5" t="n">
        <v>200</v>
      </c>
    </row>
    <row r="9" ht="24" customHeight="1">
      <c r="A9" s="4" t="inlineStr">
        <is>
          <t>Empresa team building (50-100 pax)</t>
        </is>
      </c>
      <c r="B9" s="4" t="n">
        <v>45</v>
      </c>
      <c r="C9" s="4" t="n">
        <v>65</v>
      </c>
      <c r="D9" s="4" t="n">
        <v>90</v>
      </c>
      <c r="E9" s="4" t="n">
        <v>50</v>
      </c>
      <c r="F9" s="4" t="n">
        <v>350</v>
      </c>
    </row>
    <row r="10" ht="24" customHeight="1">
      <c r="A10" s="5" t="inlineStr">
        <is>
          <t>Cena empresa Navidad (corporate)</t>
        </is>
      </c>
      <c r="B10" s="5" t="n">
        <v>50</v>
      </c>
      <c r="C10" s="5" t="n">
        <v>75</v>
      </c>
      <c r="D10" s="5" t="n">
        <v>110</v>
      </c>
      <c r="E10" s="5" t="n">
        <v>30</v>
      </c>
      <c r="F10" s="5" t="n">
        <v>250</v>
      </c>
    </row>
    <row r="11" ht="24" customHeight="1">
      <c r="A11" s="4" t="inlineStr">
        <is>
          <t>Show cooking restaurante (fee/jornada)</t>
        </is>
      </c>
      <c r="B11" s="4" t="n">
        <v>600</v>
      </c>
      <c r="C11" s="4" t="n">
        <v>850</v>
      </c>
      <c r="D11" s="4" t="n">
        <v>1200</v>
      </c>
      <c r="E11" s="4" t="n">
        <v>0</v>
      </c>
      <c r="F11" s="4" t="n">
        <v>200</v>
      </c>
    </row>
    <row r="12" ht="24" customHeight="1">
      <c r="A12" s="5" t="inlineStr">
        <is>
          <t>Performance cocteleria + parrilla evento exclusivo</t>
        </is>
      </c>
      <c r="B12" s="5" t="n">
        <v>90</v>
      </c>
      <c r="C12" s="5" t="n">
        <v>130</v>
      </c>
      <c r="D12" s="5" t="n">
        <v>180</v>
      </c>
      <c r="E12" s="5" t="n">
        <v>30</v>
      </c>
      <c r="F12" s="5" t="n">
        <v>400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2" customHeight="1">
      <c r="A1" s="1" t="inlineStr">
        <is>
          <t>Como usar este Plan Financiero</t>
        </is>
      </c>
    </row>
    <row r="3" ht="36" customHeight="1">
      <c r="A3" s="19" t="inlineStr">
        <is>
          <t>1. Los datos del PyG son referencias para parrillero solo emprendedor en zona Madrid/Barcelona. Ajusta según tu mercado real.</t>
        </is>
      </c>
    </row>
    <row r="4" ht="36" customHeight="1">
      <c r="A4" s="19" t="inlineStr">
        <is>
          <t>2. La hoja 'Inversion Inicial' tiene 3 columnas: arranca en MINIMO VIABLE si tienes capital limitado y estas validando. Sube a ESTANDAR cuando confirmes 8-10 eventos firmes.</t>
        </is>
      </c>
    </row>
    <row r="5" ht="36" customHeight="1">
      <c r="A5" s="19" t="inlineStr">
        <is>
          <t>3. Modifica los inputs en B5, B7, B9 de la hoja 'PyG 3 Anos' (numero de eventos B2C/B2B/show cooking). Las facturaciones (B6, B8) ajustalas con tu ticket medio real.</t>
        </is>
      </c>
    </row>
    <row r="6" ht="36" customHeight="1">
      <c r="A6" s="19" t="inlineStr">
        <is>
          <t>4. La estacionalidad asume mayo-septiembre y diciembre como meses fuertes. Si tu ubicación tiene patron distinto (Costa del Sol, Baleares), ajustala.</t>
        </is>
      </c>
    </row>
    <row r="7" ht="36" customHeight="1">
      <c r="A7" s="19" t="inlineStr">
        <is>
          <t>5. El punto de equilibrio es la metrica que mas tienes que vigilar el primer año. Si no llegas al numero de eventos minimo, recorta costes fijos antes de arriesgar inversion.</t>
        </is>
      </c>
    </row>
    <row r="8" ht="36" customHeight="1">
      <c r="A8" s="19" t="inlineStr">
        <is>
          <t>6. La hoja 'Pricing Modelo' es referencia: el parrillero argentino premium en Madrid puede pedir el rango premium desde el primer año si tiene cartera B2B.</t>
        </is>
      </c>
    </row>
    <row r="9" ht="36" customHeight="1">
      <c r="A9" s="19" t="inlineStr">
        <is>
          <t>7. Revisa el plan financiero cada trimestre comparando real vs proyectado. El primer año va a tener desviaciones — registralo y aprende.</t>
        </is>
      </c>
    </row>
    <row r="10" ht="36" customHeight="1">
      <c r="A10" s="19" t="inlineStr">
        <is>
          <t>8. Margen bruto% es la palanca mas importante. Sube precio antes que volumen siempre que la tasa de conversion B2B aguante.</t>
        </is>
      </c>
    </row>
    <row r="11" ht="36" customHeight="1">
      <c r="A11" s="19" t="inlineStr">
        <is>
          <t>9. Reserva siempre fondo contingencia equivalente a 1-2 eventos cancelados (cancelaciones lluvia, problemas vehiculo).</t>
        </is>
      </c>
    </row>
    <row r="12" ht="36" customHeight="1">
      <c r="A12" s="19" t="inlineStr">
        <is>
          <t>10. Recuerda IVA reducido 10% catering hosteleria. Cuota autonomo y modulo retencion IRPF se gestionan con tu gestoria.</t>
        </is>
      </c>
    </row>
  </sheetData>
  <mergeCells count="11">
    <mergeCell ref="A8"/>
    <mergeCell ref="A6"/>
    <mergeCell ref="A9"/>
    <mergeCell ref="A4"/>
    <mergeCell ref="A12"/>
    <mergeCell ref="A3"/>
    <mergeCell ref="A7"/>
    <mergeCell ref="A10"/>
    <mergeCell ref="A11"/>
    <mergeCell ref="A5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2026-04-27T14:14:45Z</dcterms:created>
  <dcterms:modified xmlns:dcterms="http://purl.org/dc/terms/" xmlns:xsi="http://www.w3.org/2001/XMLSchema-instance" xsi:type="dcterms:W3CDTF">2026-04-27T14:14:45Z</dcterms:modified>
</cp:coreProperties>
</file>