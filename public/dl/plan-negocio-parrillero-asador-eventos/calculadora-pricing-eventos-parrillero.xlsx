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Ejemp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6">
    <font>
      <name val="Calibri"/>
      <family val="2"/>
      <color theme="1"/>
      <sz val="11"/>
      <scheme val="minor"/>
    </font>
    <font>
      <name val="Inter"/>
      <b val="1"/>
      <color rgb="001F1B16"/>
      <sz val="14"/>
    </font>
    <font>
      <name val="Inter"/>
      <i val="1"/>
      <color rgb="006B5E4D"/>
      <sz val="10"/>
    </font>
    <font>
      <name val="Inter"/>
      <b val="1"/>
      <color rgb="001F1B16"/>
      <sz val="10"/>
    </font>
    <font>
      <name val="Inter"/>
      <color rgb="001F1B16"/>
      <sz val="10"/>
    </font>
    <font>
      <name val="Inter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B08D57"/>
      </patternFill>
    </fill>
    <fill>
      <patternFill patternType="solid">
        <fgColor rgb="00FFE9A8"/>
      </patternFill>
    </fill>
    <fill>
      <patternFill patternType="solid">
        <fgColor rgb="001F1B16"/>
      </patternFill>
    </fill>
    <fill>
      <patternFill patternType="solid">
        <fgColor rgb="00FFFFFF"/>
      </patternFill>
    </fill>
    <fill>
      <patternFill patternType="solid">
        <fgColor rgb="00F5EFE6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pivotButton="0" quotePrefix="0" xfId="0"/>
    <xf numFmtId="0" fontId="4" fillId="3" borderId="1" pivotButton="0" quotePrefix="0" xfId="0"/>
    <xf numFmtId="0" fontId="4" fillId="0" borderId="0" pivotButton="0" quotePrefix="0" xfId="0"/>
    <xf numFmtId="164" fontId="4" fillId="0" borderId="1" pivotButton="0" quotePrefix="0" xfId="0"/>
    <xf numFmtId="165" fontId="4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 ht="32" customHeight="1">
      <c r="A1" s="1" t="inlineStr">
        <is>
          <t>Calculadora pricing por evento · Parrillero / Asador para Eventos</t>
        </is>
      </c>
    </row>
    <row r="2" ht="30" customHeight="1">
      <c r="A2" s="2" t="inlineStr">
        <is>
          <t>Modos B2C particular y B2B planner. Modifica solo las celdas amarillas. Output: precio total, precio por invitado y margen.</t>
        </is>
      </c>
    </row>
    <row r="4" ht="32" customHeight="1">
      <c r="A4" s="1" t="inlineStr">
        <is>
          <t>INPUTS DEL EVENTO</t>
        </is>
      </c>
    </row>
    <row r="5">
      <c r="A5" s="3" t="inlineStr">
        <is>
          <t>Tipo evento</t>
        </is>
      </c>
      <c r="B5" s="4" t="inlineStr">
        <is>
          <t>B2C particular (boda finca / cumpleaños)</t>
        </is>
      </c>
    </row>
    <row r="6">
      <c r="A6" s="3" t="inlineStr">
        <is>
          <t>Numero invitados</t>
        </is>
      </c>
      <c r="B6" s="4" t="n">
        <v>80</v>
      </c>
    </row>
    <row r="7">
      <c r="A7" s="3" t="inlineStr">
        <is>
          <t>Duracion servicio (h)</t>
        </is>
      </c>
      <c r="B7" s="4" t="n">
        <v>4</v>
      </c>
    </row>
    <row r="8">
      <c r="A8" s="3" t="inlineStr">
        <is>
          <t>Distancia ida (km)</t>
        </is>
      </c>
      <c r="B8" s="4" t="n">
        <v>35</v>
      </c>
    </row>
    <row r="9">
      <c r="A9" s="3" t="inlineStr">
        <is>
          <t>Concepto principal carne</t>
        </is>
      </c>
      <c r="B9" s="4" t="inlineStr">
        <is>
          <t>Asado argentino tradicional</t>
        </is>
      </c>
    </row>
    <row r="10">
      <c r="A10" s="3" t="inlineStr">
        <is>
          <t>Categoria carne (1=basica, 2=premium, 3=DOP)</t>
        </is>
      </c>
      <c r="B10" s="4" t="n">
        <v>2</v>
      </c>
    </row>
    <row r="11">
      <c r="A11" s="3" t="inlineStr">
        <is>
          <t>Numero ayudantes parrillero</t>
        </is>
      </c>
      <c r="B11" s="4" t="n">
        <v>1</v>
      </c>
    </row>
    <row r="12">
      <c r="A12" s="3" t="inlineStr">
        <is>
          <t>Servir bebidas? (1=Si, 0=No)</t>
        </is>
      </c>
      <c r="B12" s="4" t="n">
        <v>0</v>
      </c>
    </row>
    <row r="13">
      <c r="A13" s="3" t="inlineStr">
        <is>
          <t>Vajilla incluida? (1=Si reutilizable, 2=Si desechable, 0=No)</t>
        </is>
      </c>
      <c r="B13" s="4" t="n">
        <v>1</v>
      </c>
    </row>
    <row r="15" ht="32" customHeight="1">
      <c r="A15" s="1" t="inlineStr">
        <is>
          <t>COSTES VARIABLES</t>
        </is>
      </c>
    </row>
    <row r="16">
      <c r="A16" s="5" t="inlineStr">
        <is>
          <t>Coste carne por invitado (€/pax) segun categoria</t>
        </is>
      </c>
      <c r="B16" s="6">
        <f>IF(B10=1,9,IF(B10=2,14,22))</f>
        <v/>
      </c>
    </row>
    <row r="17">
      <c r="A17" s="5" t="inlineStr">
        <is>
          <t>Coste guarniciones y pan por invitado</t>
        </is>
      </c>
      <c r="B17" s="6" t="n">
        <v>3.5</v>
      </c>
    </row>
    <row r="18">
      <c r="A18" s="5" t="inlineStr">
        <is>
          <t>Coste bebidas por invitado (si aplica)</t>
        </is>
      </c>
      <c r="B18" s="6">
        <f>IF(B12=1,8,0)</f>
        <v/>
      </c>
    </row>
    <row r="19">
      <c r="A19" s="5" t="inlineStr">
        <is>
          <t>Coste vajilla por invitado</t>
        </is>
      </c>
      <c r="B19" s="6">
        <f>IF(B13=1,2,IF(B13=2,1.5,0))</f>
        <v/>
      </c>
    </row>
    <row r="20">
      <c r="A20" s="5" t="inlineStr">
        <is>
          <t>Coste carbon/leña base (kg×€)</t>
        </is>
      </c>
      <c r="B20" s="6" t="n">
        <v>28</v>
      </c>
    </row>
    <row r="21">
      <c r="A21" s="5" t="inlineStr">
        <is>
          <t>Coste combustible vehiculo ida+vuelta</t>
        </is>
      </c>
      <c r="B21" s="6">
        <f>B8*2*0.18</f>
        <v/>
      </c>
    </row>
    <row r="22">
      <c r="A22" s="5" t="inlineStr">
        <is>
          <t>Coste personal ayudantes</t>
        </is>
      </c>
      <c r="B22" s="6">
        <f>B11*100</f>
        <v/>
      </c>
    </row>
    <row r="23">
      <c r="A23" s="5" t="inlineStr">
        <is>
          <t>Coste consumibles y limpieza</t>
        </is>
      </c>
      <c r="B23" s="6" t="n">
        <v>22</v>
      </c>
    </row>
    <row r="24">
      <c r="A24" s="5" t="inlineStr">
        <is>
          <t>Coste total variable carne+bebida+vajilla</t>
        </is>
      </c>
      <c r="B24" s="6">
        <f>(B16+B17+B18+B19)*B6</f>
        <v/>
      </c>
    </row>
    <row r="25">
      <c r="A25" s="5" t="inlineStr">
        <is>
          <t>Coste total fijo evento</t>
        </is>
      </c>
      <c r="B25" s="6">
        <f>B20+B21+B22+B23</f>
        <v/>
      </c>
    </row>
    <row r="26">
      <c r="A26" s="5" t="inlineStr">
        <is>
          <t>COSTE TOTAL EVENTO</t>
        </is>
      </c>
      <c r="B26" s="6">
        <f>B24+B25</f>
        <v/>
      </c>
    </row>
    <row r="28" ht="32" customHeight="1">
      <c r="A28" s="1" t="inlineStr">
        <is>
          <t>TARIFA RECOMENDADA</t>
        </is>
      </c>
    </row>
    <row r="29">
      <c r="A29" s="5" t="inlineStr">
        <is>
          <t>Margen objetivo (%)</t>
        </is>
      </c>
      <c r="B29" s="7" t="n">
        <v>0.55</v>
      </c>
    </row>
    <row r="30">
      <c r="A30" s="5" t="inlineStr">
        <is>
          <t>Coste por invitado</t>
        </is>
      </c>
      <c r="B30" s="6">
        <f>B26/B6</f>
        <v/>
      </c>
    </row>
    <row r="31">
      <c r="A31" s="5" t="inlineStr">
        <is>
          <t>Precio sugerido por invitado (B2C)</t>
        </is>
      </c>
      <c r="B31" s="6">
        <f>IF(B5="B2C particular (boda finca / cumpleaños)",B30/(1-B29),B30/(1-(B29+0.10)))</f>
        <v/>
      </c>
    </row>
    <row r="32">
      <c r="A32" s="5" t="inlineStr">
        <is>
          <t>Fee desplazamiento (&gt;30km)</t>
        </is>
      </c>
      <c r="B32" s="6">
        <f>IF(B8&gt;30,(B8-30)*1.2+150,0)</f>
        <v/>
      </c>
    </row>
    <row r="33">
      <c r="A33" s="3" t="inlineStr">
        <is>
          <t>Precio total evento</t>
        </is>
      </c>
      <c r="B33" s="8">
        <f>B6*B31+B32</f>
        <v/>
      </c>
    </row>
    <row r="34">
      <c r="A34" s="5" t="inlineStr">
        <is>
          <t>Precio por invitado final</t>
        </is>
      </c>
      <c r="B34" s="6">
        <f>B33/B6</f>
        <v/>
      </c>
    </row>
    <row r="35">
      <c r="A35" s="3" t="inlineStr">
        <is>
          <t>Margen bruto € evento</t>
        </is>
      </c>
      <c r="B35" s="8">
        <f>B33-B26</f>
        <v/>
      </c>
    </row>
    <row r="36">
      <c r="A36" s="3" t="inlineStr">
        <is>
          <t>Margen bruto %</t>
        </is>
      </c>
      <c r="B36" s="9">
        <f>B35/B33</f>
        <v/>
      </c>
    </row>
  </sheetData>
  <mergeCells count="5">
    <mergeCell ref="A2:F2"/>
    <mergeCell ref="A28:F28"/>
    <mergeCell ref="A1:F1"/>
    <mergeCell ref="A4:F4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2" customWidth="1" min="3" max="3"/>
    <col width="38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32" customHeight="1">
      <c r="A1" s="1" t="inlineStr">
        <is>
          <t>Ejemplos de pricing real · 4 escenarios validados</t>
        </is>
      </c>
    </row>
    <row r="2" ht="30" customHeight="1">
      <c r="A2" s="2" t="inlineStr">
        <is>
          <t>Casos de uso para calibrar tus presupuestos contra mercado real.</t>
        </is>
      </c>
    </row>
    <row r="4" ht="28" customHeight="1">
      <c r="A4" s="10" t="inlineStr">
        <is>
          <t>Escenario</t>
        </is>
      </c>
      <c r="B4" s="10" t="inlineStr">
        <is>
          <t>Tipo</t>
        </is>
      </c>
      <c r="C4" s="10" t="inlineStr">
        <is>
          <t>Invitados</t>
        </is>
      </c>
      <c r="D4" s="10" t="inlineStr">
        <is>
          <t>Concepto</t>
        </is>
      </c>
      <c r="E4" s="10" t="inlineStr">
        <is>
          <t>Distancia km</t>
        </is>
      </c>
      <c r="F4" s="10" t="inlineStr">
        <is>
          <t>€/pax</t>
        </is>
      </c>
      <c r="G4" s="10" t="inlineStr">
        <is>
          <t>Total evento (€)</t>
        </is>
      </c>
      <c r="H4" s="10" t="inlineStr">
        <is>
          <t>Margen %</t>
        </is>
      </c>
    </row>
    <row r="5" ht="24" customHeight="1">
      <c r="A5" s="11" t="inlineStr">
        <is>
          <t>Boda finca particular Madrid</t>
        </is>
      </c>
      <c r="B5" s="11" t="inlineStr">
        <is>
          <t>B2C</t>
        </is>
      </c>
      <c r="C5" s="11" t="n">
        <v>80</v>
      </c>
      <c r="D5" s="11" t="inlineStr">
        <is>
          <t>Asado argentino tradicional</t>
        </is>
      </c>
      <c r="E5" s="11" t="n">
        <v>35</v>
      </c>
      <c r="F5" s="11" t="n">
        <v>50</v>
      </c>
      <c r="G5" s="11" t="n">
        <v>4250</v>
      </c>
      <c r="H5" s="11" t="inlineStr">
        <is>
          <t>60%</t>
        </is>
      </c>
    </row>
    <row r="6" ht="24" customHeight="1">
      <c r="A6" s="12" t="inlineStr">
        <is>
          <t>Bautizo familia mediana</t>
        </is>
      </c>
      <c r="B6" s="12" t="inlineStr">
        <is>
          <t>B2C</t>
        </is>
      </c>
      <c r="C6" s="12" t="n">
        <v>30</v>
      </c>
      <c r="D6" s="12" t="inlineStr">
        <is>
          <t>Asador criollo + cordero</t>
        </is>
      </c>
      <c r="E6" s="12" t="n">
        <v>12</v>
      </c>
      <c r="F6" s="12" t="n">
        <v>38</v>
      </c>
      <c r="G6" s="12" t="n">
        <v>1290</v>
      </c>
      <c r="H6" s="12" t="inlineStr">
        <is>
          <t>58%</t>
        </is>
      </c>
    </row>
    <row r="7" ht="24" customHeight="1">
      <c r="A7" s="11" t="inlineStr">
        <is>
          <t>Boda planner Barcelona Penedes</t>
        </is>
      </c>
      <c r="B7" s="11" t="inlineStr">
        <is>
          <t>B2B</t>
        </is>
      </c>
      <c r="C7" s="11" t="n">
        <v>120</v>
      </c>
      <c r="D7" s="11" t="inlineStr">
        <is>
          <t>Asado a la cruz + show fuego</t>
        </is>
      </c>
      <c r="E7" s="11" t="n">
        <v>65</v>
      </c>
      <c r="F7" s="11" t="n">
        <v>95</v>
      </c>
      <c r="G7" s="11" t="n">
        <v>11680</v>
      </c>
      <c r="H7" s="11" t="inlineStr">
        <is>
          <t>52%</t>
        </is>
      </c>
    </row>
    <row r="8" ht="24" customHeight="1">
      <c r="A8" s="12" t="inlineStr">
        <is>
          <t>Empresa team building Madrid</t>
        </is>
      </c>
      <c r="B8" s="12" t="inlineStr">
        <is>
          <t>B2B</t>
        </is>
      </c>
      <c r="C8" s="12" t="n">
        <v>70</v>
      </c>
      <c r="D8" s="12" t="inlineStr">
        <is>
          <t>BBQ texano + brunch</t>
        </is>
      </c>
      <c r="E8" s="12" t="n">
        <v>18</v>
      </c>
      <c r="F8" s="12" t="n">
        <v>65</v>
      </c>
      <c r="G8" s="12" t="n">
        <v>4870</v>
      </c>
      <c r="H8" s="12" t="inlineStr">
        <is>
          <t>55%</t>
        </is>
      </c>
    </row>
    <row r="9" ht="24" customHeight="1">
      <c r="A9" s="11" t="inlineStr">
        <is>
          <t>Hotel 5* Marbella evento privado</t>
        </is>
      </c>
      <c r="B9" s="11" t="inlineStr">
        <is>
          <t>B2B</t>
        </is>
      </c>
      <c r="C9" s="11" t="n">
        <v>50</v>
      </c>
      <c r="D9" s="11" t="inlineStr">
        <is>
          <t>Parrilla mediterranea + DO</t>
        </is>
      </c>
      <c r="E9" s="11" t="n">
        <v>410</v>
      </c>
      <c r="F9" s="11" t="n">
        <v>130</v>
      </c>
      <c r="G9" s="11" t="n">
        <v>7100</v>
      </c>
      <c r="H9" s="11" t="inlineStr">
        <is>
          <t>48%</t>
        </is>
      </c>
    </row>
    <row r="10" ht="24" customHeight="1">
      <c r="A10" s="12" t="inlineStr">
        <is>
          <t>Show cooking restaurante Madrid</t>
        </is>
      </c>
      <c r="B10" s="12" t="inlineStr">
        <is>
          <t>B2B</t>
        </is>
      </c>
      <c r="C10" s="12" t="n">
        <v>0</v>
      </c>
      <c r="D10" s="12" t="inlineStr">
        <is>
          <t>Jornada tematica brisket 8h</t>
        </is>
      </c>
      <c r="E10" s="12" t="n">
        <v>8</v>
      </c>
      <c r="F10" s="12" t="n">
        <v>0</v>
      </c>
      <c r="G10" s="12" t="n">
        <v>950</v>
      </c>
      <c r="H10" s="12" t="inlineStr">
        <is>
          <t>62%</t>
        </is>
      </c>
    </row>
    <row r="11" ht="24" customHeight="1">
      <c r="A11" s="11" t="inlineStr">
        <is>
          <t>Comunion finca rural Toledo</t>
        </is>
      </c>
      <c r="B11" s="11" t="inlineStr">
        <is>
          <t>B2C</t>
        </is>
      </c>
      <c r="C11" s="11" t="n">
        <v>60</v>
      </c>
      <c r="D11" s="11" t="inlineStr">
        <is>
          <t>Asado castellano cordero estaca</t>
        </is>
      </c>
      <c r="E11" s="11" t="n">
        <v>45</v>
      </c>
      <c r="F11" s="11" t="n">
        <v>45</v>
      </c>
      <c r="G11" s="11" t="n">
        <v>2900</v>
      </c>
      <c r="H11" s="11" t="inlineStr">
        <is>
          <t>55%</t>
        </is>
      </c>
    </row>
    <row r="12" ht="24" customHeight="1">
      <c r="A12" s="12" t="inlineStr">
        <is>
          <t>Cena empresa Navidad pyme</t>
        </is>
      </c>
      <c r="B12" s="12" t="inlineStr">
        <is>
          <t>B2B</t>
        </is>
      </c>
      <c r="C12" s="12" t="n">
        <v>35</v>
      </c>
      <c r="D12" s="12" t="inlineStr">
        <is>
          <t>Brunch parrillero</t>
        </is>
      </c>
      <c r="E12" s="12" t="n">
        <v>22</v>
      </c>
      <c r="F12" s="12" t="n">
        <v>60</v>
      </c>
      <c r="G12" s="12" t="n">
        <v>2350</v>
      </c>
      <c r="H12" s="12" t="inlineStr">
        <is>
          <t>52%</t>
        </is>
      </c>
    </row>
    <row r="13" ht="24" customHeight="1">
      <c r="A13" s="11" t="inlineStr">
        <is>
          <t>Boda intima costa Mallorca</t>
        </is>
      </c>
      <c r="B13" s="11" t="inlineStr">
        <is>
          <t>B2C</t>
        </is>
      </c>
      <c r="C13" s="11" t="n">
        <v>45</v>
      </c>
      <c r="D13" s="11" t="inlineStr">
        <is>
          <t>Parrilla mediterranea</t>
        </is>
      </c>
      <c r="E13" s="11" t="n">
        <v>0</v>
      </c>
      <c r="F13" s="11" t="n">
        <v>70</v>
      </c>
      <c r="G13" s="11" t="n">
        <v>3300</v>
      </c>
      <c r="H13" s="11" t="inlineStr">
        <is>
          <t>57%</t>
        </is>
      </c>
    </row>
    <row r="14" ht="24" customHeight="1">
      <c r="A14" s="12" t="inlineStr">
        <is>
          <t>Parrilla en performance restaurante</t>
        </is>
      </c>
      <c r="B14" s="12" t="inlineStr">
        <is>
          <t>B2B</t>
        </is>
      </c>
      <c r="C14" s="12" t="n">
        <v>0</v>
      </c>
      <c r="D14" s="12" t="inlineStr">
        <is>
          <t>Show provoleta + cortes vivo</t>
        </is>
      </c>
      <c r="E14" s="12" t="n">
        <v>6</v>
      </c>
      <c r="F14" s="12" t="n">
        <v>0</v>
      </c>
      <c r="G14" s="12" t="n">
        <v>720</v>
      </c>
      <c r="H14" s="12" t="inlineStr">
        <is>
          <t>65%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2026-04-27T14:14:45Z</dcterms:created>
  <dcterms:modified xmlns:dcterms="http://purl.org/dc/terms/" xmlns:xsi="http://www.w3.org/2001/XMLSchema-instance" xsi:type="dcterms:W3CDTF">2026-04-27T14:14:45Z</dcterms:modified>
</cp:coreProperties>
</file>