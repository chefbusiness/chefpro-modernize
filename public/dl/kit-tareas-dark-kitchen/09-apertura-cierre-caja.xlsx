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 Caja" sheetId="2" state="visible" r:id="rId2"/>
    <sheet name="Cierre de Caja" sheetId="3" state="visible" r:id="rId3"/>
    <sheet name="Registro Mensual" sheetId="4" state="visible" r:id="rId4"/>
  </sheets>
  <definedNames>
    <definedName localSheetId="0" name="_xlnm.Print_Area">'Instrucciones'!$A$1:$A$20</definedName>
    <definedName localSheetId="1" name="_xlnm.Print_Area">'Apertura de Caja'!$A$1:$F$18</definedName>
    <definedName localSheetId="2" name="_xlnm.Print_Area">'Cierre de Caja'!$A$1:$F$48</definedName>
    <definedName localSheetId="3" name="_xlnm.Print_Area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  <xf applyAlignment="1" borderId="0" fillId="3" fontId="9" numFmtId="0" pivotButton="0" quotePrefix="0" xfId="0">
      <alignment horizontal="center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6" fontId="6" numFmtId="0" pivotButton="0" quotePrefix="0" xfId="0">
      <alignment horizontal="center" vertical="center" wrapText="1"/>
    </xf>
    <xf applyAlignment="1" borderId="1" fillId="6" fontId="5" numFmtId="164" pivotButton="0" quotePrefix="0" xfId="0">
      <alignment horizontal="right" vertical="center" wrapText="1"/>
    </xf>
    <xf applyAlignment="1" borderId="1" fillId="4" fontId="6" numFmtId="0" pivotButton="0" quotePrefix="0" xfId="0">
      <alignment horizontal="center" vertical="center" wrapText="1"/>
    </xf>
    <xf applyAlignment="1" borderId="1" fillId="4" fontId="5" numFmtId="164" pivotButton="0" quotePrefix="0" xfId="0">
      <alignment horizontal="right" vertical="center" wrapText="1"/>
    </xf>
    <xf applyAlignment="1" borderId="1" fillId="2" fontId="7" numFmtId="0" pivotButton="0" quotePrefix="0" xfId="0">
      <alignment horizontal="center" vertical="center" wrapText="1"/>
    </xf>
    <xf borderId="4" fillId="0" fontId="0" numFmtId="0" pivotButton="0" quotePrefix="0" xfId="0"/>
    <xf applyAlignment="1" borderId="1" fillId="2" fontId="11" numFmtId="164" pivotButton="0" quotePrefix="0" xfId="0">
      <alignment horizontal="right" vertical="center" wrapText="1"/>
    </xf>
    <xf applyAlignment="1" borderId="1" fillId="3" fontId="6" numFmtId="0" pivotButton="0" quotePrefix="0" xfId="0">
      <alignment horizontal="left" vertical="center" wrapText="1"/>
    </xf>
    <xf applyAlignment="1" borderId="1" fillId="3" fontId="6" numFmtId="164" pivotButton="0" quotePrefix="0" xfId="0">
      <alignment horizontal="right" vertical="center" wrapText="1"/>
    </xf>
    <xf applyAlignment="1" borderId="1" fillId="2" fontId="7" numFmtId="164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Dark Kitchen</t>
        </is>
      </c>
    </row>
    <row customHeight="1" ht="25" r="3">
      <c r="A3" s="3" t="inlineStr">
        <is>
          <t>Checklist de Apertura y Cierre de Caja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Apertura de Caja — Dark Kitchen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customHeight="1" ht="30" r="17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dataValidations count="1">
    <dataValidation allowBlank="1" error="Selecciona ✓, ✗ o —" errorTitle="Valor no válido" showDropDown="0" showErrorMessage="0" showInputMessage="0" sqref="D5 D6 D7 D8 D9 D10 D11 D12 D13 D14 D15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Cierre de Caja — Dark Kitchen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customHeight="1" ht="24" r="16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customHeight="1" ht="32" r="18">
      <c r="A18" s="13" t="inlineStr">
        <is>
          <t>💰 Recuento de Efectivo por Denominación</t>
        </is>
      </c>
    </row>
    <row customHeight="1" ht="26" r="19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customHeight="1" ht="24" r="20">
      <c r="A20" s="14" t="inlineStr">
        <is>
          <t>BILLETES</t>
        </is>
      </c>
    </row>
    <row customHeight="1" ht="22" r="21">
      <c r="A21" s="15" t="inlineStr">
        <is>
          <t>500 €</t>
        </is>
      </c>
      <c r="B21" s="8" t="n">
        <v>0</v>
      </c>
      <c r="C21" s="16">
        <f>B21*500</f>
        <v/>
      </c>
    </row>
    <row customHeight="1" ht="22" r="22">
      <c r="A22" s="17" t="inlineStr">
        <is>
          <t>200 €</t>
        </is>
      </c>
      <c r="B22" s="10" t="n">
        <v>0</v>
      </c>
      <c r="C22" s="18">
        <f>B22*200</f>
        <v/>
      </c>
    </row>
    <row customHeight="1" ht="22" r="23">
      <c r="A23" s="15" t="inlineStr">
        <is>
          <t>100 €</t>
        </is>
      </c>
      <c r="B23" s="8" t="n">
        <v>0</v>
      </c>
      <c r="C23" s="16">
        <f>B23*100</f>
        <v/>
      </c>
    </row>
    <row customHeight="1" ht="22" r="24">
      <c r="A24" s="17" t="inlineStr">
        <is>
          <t>50 €</t>
        </is>
      </c>
      <c r="B24" s="10" t="n">
        <v>0</v>
      </c>
      <c r="C24" s="18">
        <f>B24*50</f>
        <v/>
      </c>
    </row>
    <row customHeight="1" ht="22" r="25">
      <c r="A25" s="15" t="inlineStr">
        <is>
          <t>20 €</t>
        </is>
      </c>
      <c r="B25" s="8" t="n">
        <v>0</v>
      </c>
      <c r="C25" s="16">
        <f>B25*20</f>
        <v/>
      </c>
    </row>
    <row customHeight="1" ht="22" r="26">
      <c r="A26" s="17" t="inlineStr">
        <is>
          <t>10 €</t>
        </is>
      </c>
      <c r="B26" s="10" t="n">
        <v>0</v>
      </c>
      <c r="C26" s="18">
        <f>B26*10</f>
        <v/>
      </c>
    </row>
    <row customHeight="1" ht="22" r="27">
      <c r="A27" s="15" t="inlineStr">
        <is>
          <t>5 €</t>
        </is>
      </c>
      <c r="B27" s="8" t="n">
        <v>0</v>
      </c>
      <c r="C27" s="16">
        <f>B27*5</f>
        <v/>
      </c>
    </row>
    <row customHeight="1" ht="24" r="28">
      <c r="A28" s="14" t="inlineStr">
        <is>
          <t>MONEDAS</t>
        </is>
      </c>
    </row>
    <row customHeight="1" ht="22" r="29">
      <c r="A29" s="15" t="inlineStr">
        <is>
          <t>2 €</t>
        </is>
      </c>
      <c r="B29" s="8" t="n">
        <v>0</v>
      </c>
      <c r="C29" s="16">
        <f>B29*2</f>
        <v/>
      </c>
    </row>
    <row customHeight="1" ht="22" r="30">
      <c r="A30" s="17" t="inlineStr">
        <is>
          <t>1 €</t>
        </is>
      </c>
      <c r="B30" s="10" t="n">
        <v>0</v>
      </c>
      <c r="C30" s="18">
        <f>B30*1</f>
        <v/>
      </c>
    </row>
    <row customHeight="1" ht="22" r="31">
      <c r="A31" s="15" t="inlineStr">
        <is>
          <t>0,50 €</t>
        </is>
      </c>
      <c r="B31" s="8" t="n">
        <v>0</v>
      </c>
      <c r="C31" s="16">
        <f>B31*0.5</f>
        <v/>
      </c>
    </row>
    <row customHeight="1" ht="22" r="32">
      <c r="A32" s="17" t="inlineStr">
        <is>
          <t>0,20 €</t>
        </is>
      </c>
      <c r="B32" s="10" t="n">
        <v>0</v>
      </c>
      <c r="C32" s="18">
        <f>B32*0.2</f>
        <v/>
      </c>
    </row>
    <row customHeight="1" ht="22" r="33">
      <c r="A33" s="15" t="inlineStr">
        <is>
          <t>0,10 €</t>
        </is>
      </c>
      <c r="B33" s="8" t="n">
        <v>0</v>
      </c>
      <c r="C33" s="16">
        <f>B33*0.1</f>
        <v/>
      </c>
    </row>
    <row customHeight="1" ht="22" r="34">
      <c r="A34" s="17" t="inlineStr">
        <is>
          <t>0,05 €</t>
        </is>
      </c>
      <c r="B34" s="10" t="n">
        <v>0</v>
      </c>
      <c r="C34" s="18">
        <f>B34*0.05</f>
        <v/>
      </c>
    </row>
    <row customHeight="1" ht="22" r="35">
      <c r="A35" s="15" t="inlineStr">
        <is>
          <t>0,01 €</t>
        </is>
      </c>
      <c r="B35" s="8" t="n">
        <v>0</v>
      </c>
      <c r="C35" s="16">
        <f>B35*0.01</f>
        <v/>
      </c>
    </row>
    <row customHeight="1" ht="28" r="36">
      <c r="A36" s="19" t="inlineStr">
        <is>
          <t>TOTAL EFECTIVO</t>
        </is>
      </c>
      <c r="B36" s="20" t="n"/>
      <c r="C36" s="21">
        <f>SUM(C21:C35)</f>
        <v/>
      </c>
    </row>
    <row customHeight="1" ht="30" r="38">
      <c r="A38" s="13" t="inlineStr">
        <is>
          <t>📊 Resumen de Cierre</t>
        </is>
      </c>
    </row>
    <row customHeight="1" ht="26" r="39">
      <c r="A39" s="7" t="inlineStr">
        <is>
          <t>Concepto</t>
        </is>
      </c>
      <c r="B39" s="7" t="inlineStr">
        <is>
          <t>Importe (€)</t>
        </is>
      </c>
    </row>
    <row customHeight="1" ht="24" r="40">
      <c r="A40" s="9" t="inlineStr">
        <is>
          <t>Total Efectivo</t>
        </is>
      </c>
      <c r="B40" s="16">
        <f>C36</f>
        <v/>
      </c>
    </row>
    <row customHeight="1" ht="24" r="41">
      <c r="A41" s="11" t="inlineStr">
        <is>
          <t>Total Tarjetas (Visa/MC)</t>
        </is>
      </c>
      <c r="B41" s="18" t="n">
        <v>0</v>
      </c>
    </row>
    <row customHeight="1" ht="24" r="42">
      <c r="A42" s="9" t="inlineStr">
        <is>
          <t>Total Otros (Bizum, Vales)</t>
        </is>
      </c>
      <c r="B42" s="16" t="n">
        <v>0</v>
      </c>
    </row>
    <row customHeight="1" ht="24" r="43">
      <c r="A43" s="22" t="inlineStr">
        <is>
          <t>TOTAL FACTURADO</t>
        </is>
      </c>
      <c r="B43" s="23">
        <f>B40+B41+B42</f>
        <v/>
      </c>
    </row>
    <row customHeight="1" ht="24" r="44">
      <c r="A44" s="9" t="inlineStr">
        <is>
          <t>Z del TPV</t>
        </is>
      </c>
      <c r="B44" s="16" t="n">
        <v>0</v>
      </c>
    </row>
    <row customHeight="1" ht="24" r="45">
      <c r="A45" s="22" t="inlineStr">
        <is>
          <t>DESCUADRE</t>
        </is>
      </c>
      <c r="B45" s="23">
        <f>B43-B44</f>
        <v/>
      </c>
    </row>
    <row customHeight="1" ht="30" r="47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dataValidations count="1">
    <dataValidation allowBlank="1" error="Selecciona ✓, ✗ o —" errorTitle="Valor no válido" showDropDown="0" showErrorMessage="0" showInputMessage="0" sqref="D5 D6 D7 D8 D9 D10 D11 D12 D13 D14 D15 D16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6"/>
    <col customWidth="1" max="3" min="3" width="16"/>
    <col customWidth="1" max="4" min="4" width="16"/>
    <col customWidth="1" max="5" min="5" width="14"/>
    <col customWidth="1" max="6" min="6" width="16"/>
    <col customWidth="1" max="7" min="7" width="14"/>
    <col customWidth="1" max="8" min="8" width="14"/>
    <col customWidth="1" max="9" min="9" width="16"/>
  </cols>
  <sheetData>
    <row customHeight="1" ht="40" r="1">
      <c r="A1" s="1" t="inlineStr">
        <is>
          <t>Registro Mensual de Caja — Dark Kitchen</t>
        </is>
      </c>
    </row>
    <row customHeight="1" ht="28" r="2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customHeight="1" ht="8" r="3"/>
    <row customHeight="1" ht="28" r="4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customHeight="1" ht="22" r="5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/>
      </c>
      <c r="G5" s="16" t="inlineStr"/>
      <c r="H5" s="16" t="n">
        <v>0</v>
      </c>
      <c r="I5" s="8" t="inlineStr"/>
    </row>
    <row customHeight="1" ht="22" r="6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/>
      </c>
      <c r="G6" s="18" t="inlineStr"/>
      <c r="H6" s="18" t="n">
        <v>0</v>
      </c>
      <c r="I6" s="10" t="inlineStr"/>
    </row>
    <row customHeight="1" ht="22" r="7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/>
      </c>
      <c r="G7" s="16" t="inlineStr"/>
      <c r="H7" s="16" t="n">
        <v>0</v>
      </c>
      <c r="I7" s="8" t="inlineStr"/>
    </row>
    <row customHeight="1" ht="22" r="8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/>
      </c>
      <c r="G8" s="18" t="inlineStr"/>
      <c r="H8" s="18" t="n">
        <v>0</v>
      </c>
      <c r="I8" s="10" t="inlineStr"/>
    </row>
    <row customHeight="1" ht="22" r="9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/>
      </c>
      <c r="G9" s="16" t="inlineStr"/>
      <c r="H9" s="16" t="n">
        <v>0</v>
      </c>
      <c r="I9" s="8" t="inlineStr"/>
    </row>
    <row customHeight="1" ht="22" r="10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/>
      </c>
      <c r="G10" s="18" t="inlineStr"/>
      <c r="H10" s="18" t="n">
        <v>0</v>
      </c>
      <c r="I10" s="10" t="inlineStr"/>
    </row>
    <row customHeight="1" ht="22" r="1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/>
      </c>
      <c r="G11" s="16" t="inlineStr"/>
      <c r="H11" s="16" t="n">
        <v>0</v>
      </c>
      <c r="I11" s="8" t="inlineStr"/>
    </row>
    <row customHeight="1" ht="22" r="12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/>
      </c>
      <c r="G12" s="18" t="inlineStr"/>
      <c r="H12" s="18" t="n">
        <v>0</v>
      </c>
      <c r="I12" s="10" t="inlineStr"/>
    </row>
    <row customHeight="1" ht="22" r="13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/>
      </c>
      <c r="G13" s="16" t="inlineStr"/>
      <c r="H13" s="16" t="n">
        <v>0</v>
      </c>
      <c r="I13" s="8" t="inlineStr"/>
    </row>
    <row customHeight="1" ht="22" r="14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/>
      </c>
      <c r="G14" s="18" t="inlineStr"/>
      <c r="H14" s="18" t="n">
        <v>0</v>
      </c>
      <c r="I14" s="10" t="inlineStr"/>
    </row>
    <row customHeight="1" ht="22" r="15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/>
      </c>
      <c r="G15" s="16" t="inlineStr"/>
      <c r="H15" s="16" t="n">
        <v>0</v>
      </c>
      <c r="I15" s="8" t="inlineStr"/>
    </row>
    <row customHeight="1" ht="22" r="16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/>
      </c>
      <c r="G16" s="18" t="inlineStr"/>
      <c r="H16" s="18" t="n">
        <v>0</v>
      </c>
      <c r="I16" s="10" t="inlineStr"/>
    </row>
    <row customHeight="1" ht="22" r="17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/>
      </c>
      <c r="G17" s="16" t="inlineStr"/>
      <c r="H17" s="16" t="n">
        <v>0</v>
      </c>
      <c r="I17" s="8" t="inlineStr"/>
    </row>
    <row customHeight="1" ht="22" r="18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/>
      </c>
      <c r="G18" s="18" t="inlineStr"/>
      <c r="H18" s="18" t="n">
        <v>0</v>
      </c>
      <c r="I18" s="10" t="inlineStr"/>
    </row>
    <row customHeight="1" ht="22" r="19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/>
      </c>
      <c r="G19" s="16" t="inlineStr"/>
      <c r="H19" s="16" t="n">
        <v>0</v>
      </c>
      <c r="I19" s="8" t="inlineStr"/>
    </row>
    <row customHeight="1" ht="22" r="20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/>
      </c>
      <c r="G20" s="18" t="inlineStr"/>
      <c r="H20" s="18" t="n">
        <v>0</v>
      </c>
      <c r="I20" s="10" t="inlineStr"/>
    </row>
    <row customHeight="1" ht="22" r="2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/>
      </c>
      <c r="G21" s="16" t="inlineStr"/>
      <c r="H21" s="16" t="n">
        <v>0</v>
      </c>
      <c r="I21" s="8" t="inlineStr"/>
    </row>
    <row customHeight="1" ht="22" r="22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/>
      </c>
      <c r="G22" s="18" t="inlineStr"/>
      <c r="H22" s="18" t="n">
        <v>0</v>
      </c>
      <c r="I22" s="10" t="inlineStr"/>
    </row>
    <row customHeight="1" ht="22" r="23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/>
      </c>
      <c r="G23" s="16" t="inlineStr"/>
      <c r="H23" s="16" t="n">
        <v>0</v>
      </c>
      <c r="I23" s="8" t="inlineStr"/>
    </row>
    <row customHeight="1" ht="22" r="24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/>
      </c>
      <c r="G24" s="18" t="inlineStr"/>
      <c r="H24" s="18" t="n">
        <v>0</v>
      </c>
      <c r="I24" s="10" t="inlineStr"/>
    </row>
    <row customHeight="1" ht="22" r="25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/>
      </c>
      <c r="G25" s="16" t="inlineStr"/>
      <c r="H25" s="16" t="n">
        <v>0</v>
      </c>
      <c r="I25" s="8" t="inlineStr"/>
    </row>
    <row customHeight="1" ht="22" r="26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/>
      </c>
      <c r="G26" s="18" t="inlineStr"/>
      <c r="H26" s="18" t="n">
        <v>0</v>
      </c>
      <c r="I26" s="10" t="inlineStr"/>
    </row>
    <row customHeight="1" ht="22" r="27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/>
      </c>
      <c r="G27" s="16" t="inlineStr"/>
      <c r="H27" s="16" t="n">
        <v>0</v>
      </c>
      <c r="I27" s="8" t="inlineStr"/>
    </row>
    <row customHeight="1" ht="22" r="28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/>
      </c>
      <c r="G28" s="18" t="inlineStr"/>
      <c r="H28" s="18" t="n">
        <v>0</v>
      </c>
      <c r="I28" s="10" t="inlineStr"/>
    </row>
    <row customHeight="1" ht="22" r="29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/>
      </c>
      <c r="G29" s="16" t="inlineStr"/>
      <c r="H29" s="16" t="n">
        <v>0</v>
      </c>
      <c r="I29" s="8" t="inlineStr"/>
    </row>
    <row customHeight="1" ht="22" r="30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/>
      </c>
      <c r="G30" s="18" t="inlineStr"/>
      <c r="H30" s="18" t="n">
        <v>0</v>
      </c>
      <c r="I30" s="10" t="inlineStr"/>
    </row>
    <row customHeight="1" ht="22" r="3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/>
      </c>
      <c r="G31" s="16" t="inlineStr"/>
      <c r="H31" s="16" t="n">
        <v>0</v>
      </c>
      <c r="I31" s="8" t="inlineStr"/>
    </row>
    <row customHeight="1" ht="22" r="32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/>
      </c>
      <c r="G32" s="18" t="inlineStr"/>
      <c r="H32" s="18" t="n">
        <v>0</v>
      </c>
      <c r="I32" s="10" t="inlineStr"/>
    </row>
    <row customHeight="1" ht="22" r="33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/>
      </c>
      <c r="G33" s="16" t="inlineStr"/>
      <c r="H33" s="16" t="n">
        <v>0</v>
      </c>
      <c r="I33" s="8" t="inlineStr"/>
    </row>
    <row customHeight="1" ht="22" r="34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/>
      </c>
      <c r="G34" s="18" t="inlineStr"/>
      <c r="H34" s="18" t="n">
        <v>0</v>
      </c>
      <c r="I34" s="10" t="inlineStr"/>
    </row>
    <row customHeight="1" ht="22" r="35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/>
      </c>
      <c r="G35" s="16" t="inlineStr"/>
      <c r="H35" s="16" t="n">
        <v>0</v>
      </c>
      <c r="I35" s="8" t="inlineStr"/>
    </row>
    <row customHeight="1" ht="28" r="36">
      <c r="A36" s="19" t="inlineStr">
        <is>
          <t>TOTALES</t>
        </is>
      </c>
      <c r="B36" s="24">
        <f>SUM(B5:B35)</f>
        <v/>
      </c>
      <c r="C36" s="24">
        <f>SUM(C5:C35)</f>
        <v/>
      </c>
      <c r="D36" s="24">
        <f>SUM(D5:D35)</f>
        <v/>
      </c>
      <c r="E36" s="24">
        <f>SUM(E5:E35)</f>
        <v/>
      </c>
      <c r="F36" s="24">
        <f>SUM(F5:F35)</f>
        <v/>
      </c>
      <c r="G36" s="24">
        <f>SUM(G5:G35)</f>
        <v/>
      </c>
      <c r="H36" s="24">
        <f>SUM(H5:H35)</f>
        <v/>
      </c>
      <c r="I36" s="19" t="inlineStr"/>
    </row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bottom="1" footer="0.5" header="0.5" left="0.75" right="0.75" top="1"/>
  <pageSetup fitToHeight="0" fitToWidth="1"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2026-04-05T14:07:31Z</dcterms:created>
  <dcterms:modified xsi:type="dcterms:W3CDTF">2026-04-05T14:07:31Z</dcterms:modified>
</cp:coreProperties>
</file>