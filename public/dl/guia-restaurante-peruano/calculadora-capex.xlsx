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APEX Desglosado" sheetId="2" state="visible" r:id="rId2"/>
  </sheets>
  <definedNames/>
  <calcPr calcId="124519" fullCalcOnLoad="1"/>
</workbook>
</file>

<file path=xl/styles.xml><?xml version="1.0" encoding="utf-8"?>
<styleSheet xmlns="http://schemas.openxmlformats.org/spreadsheetml/2006/main">
  <numFmts count="1">
    <numFmt numFmtId="164" formatCode="#,##0.00 €"/>
  </numFmts>
  <fonts count="9">
    <font>
      <name val="Calibri"/>
      <family val="2"/>
      <color theme="1"/>
      <sz val="11"/>
      <scheme val="minor"/>
    </font>
    <font>
      <name val="Calibri"/>
      <b val="1"/>
      <color rgb="00FFD700"/>
      <sz val="16"/>
    </font>
    <font>
      <name val="Calibri"/>
      <i val="1"/>
      <color rgb="00888888"/>
      <sz val="11"/>
    </font>
    <font>
      <name val="Calibri"/>
      <b val="1"/>
      <color rgb="00FFD700"/>
      <sz val="12"/>
    </font>
    <font>
      <name val="Calibri"/>
      <sz val="11"/>
    </font>
    <font>
      <name val="Calibri"/>
      <b val="1"/>
      <color rgb="00FFFFFF"/>
      <sz val="11"/>
    </font>
    <font>
      <name val="Calibri"/>
      <b val="1"/>
      <color rgb="001565C0"/>
      <sz val="11"/>
    </font>
    <font>
      <name val="Calibri"/>
      <b val="1"/>
      <sz val="11"/>
    </font>
    <font>
      <name val="Calibri"/>
      <i val="1"/>
      <color rgb="00888888"/>
      <sz val="9"/>
    </font>
  </fonts>
  <fills count="4">
    <fill>
      <patternFill/>
    </fill>
    <fill>
      <patternFill patternType="gray125"/>
    </fill>
    <fill>
      <patternFill patternType="solid">
        <fgColor rgb="00E8F5E9"/>
        <bgColor rgb="00E8F5E9"/>
      </patternFill>
    </fill>
    <fill>
      <patternFill patternType="solid">
        <fgColor rgb="002D2D2D"/>
        <bgColor rgb="002D2D2D"/>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164" fontId="4" fillId="0" borderId="1" applyAlignment="1" pivotButton="0" quotePrefix="0" xfId="0">
      <alignment horizontal="left" vertical="center" wrapText="1"/>
    </xf>
    <xf numFmtId="164" fontId="4" fillId="2" borderId="1" applyAlignment="1" pivotButton="0" quotePrefix="0" xfId="0">
      <alignment horizontal="left" vertical="center" wrapText="1"/>
    </xf>
    <xf numFmtId="164" fontId="6" fillId="0" borderId="1" applyAlignment="1" pivotButton="0" quotePrefix="0" xfId="0">
      <alignment horizontal="left" vertical="center" wrapText="1"/>
    </xf>
    <xf numFmtId="0" fontId="4" fillId="2" borderId="1" applyAlignment="1" pivotButton="0" quotePrefix="0" xfId="0">
      <alignment horizontal="left" vertical="center" wrapText="1"/>
    </xf>
    <xf numFmtId="0" fontId="7" fillId="0" borderId="1" applyAlignment="1" pivotButton="0" quotePrefix="0" xfId="0">
      <alignment horizontal="left" vertical="center" wrapText="1"/>
    </xf>
    <xf numFmtId="164" fontId="7" fillId="0" borderId="1" applyAlignment="1" pivotButton="0" quotePrefix="0" xfId="0">
      <alignment horizontal="left" vertical="center" wrapText="1"/>
    </xf>
    <xf numFmtId="0" fontId="8"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sheetPr>
  <dimension ref="A1:C9"/>
  <sheetViews>
    <sheetView workbookViewId="0">
      <selection activeCell="A1" sqref="A1"/>
    </sheetView>
  </sheetViews>
  <sheetFormatPr baseColWidth="8" defaultRowHeight="15"/>
  <cols>
    <col width="80" customWidth="1" min="1" max="1"/>
  </cols>
  <sheetData>
    <row r="1" ht="30" customHeight="1">
      <c r="A1" s="1" t="inlineStr">
        <is>
          <t>Calculadora CAPEX — Restaurante Peruano 80 Plazas</t>
        </is>
      </c>
    </row>
    <row r="2">
      <c r="A2" s="2" t="inlineStr">
        <is>
          <t>AI Chef Pro · aichef.pro — Restaurante Peruano</t>
        </is>
      </c>
    </row>
    <row r="4">
      <c r="A4" s="3" t="inlineStr">
        <is>
          <t>Instrucciones de uso</t>
        </is>
      </c>
    </row>
    <row r="5">
      <c r="A5" s="4" t="inlineStr">
        <is>
          <t>1. Introduce tus costes reales en las celdas verdes.</t>
        </is>
      </c>
    </row>
    <row r="6">
      <c r="A6" s="4" t="inlineStr">
        <is>
          <t>2. La columna 'Diferencia' se calcula automáticamente.</t>
        </is>
      </c>
    </row>
    <row r="7">
      <c r="A7" s="4" t="inlineStr">
        <is>
          <t>3. Usa la columna 'Prioridad' para planificar fases de inversión.</t>
        </is>
      </c>
    </row>
    <row r="9">
      <c r="A9" s="5" t="inlineStr">
        <is>
          <t>Celdas verdes = campos editables</t>
        </is>
      </c>
    </row>
  </sheetData>
  <mergeCells count="2">
    <mergeCell ref="A2:C2"/>
    <mergeCell ref="A1:C1"/>
  </mergeCells>
  <pageMargins left="0.75" right="0.75" top="1" bottom="1" header="0.5" footer="0.5"/>
</worksheet>
</file>

<file path=xl/worksheets/sheet2.xml><?xml version="1.0" encoding="utf-8"?>
<worksheet xmlns="http://schemas.openxmlformats.org/spreadsheetml/2006/main">
  <sheetPr>
    <tabColor rgb="00FF9800"/>
    <outlinePr summaryBelow="1" summaryRight="1"/>
    <pageSetUpPr/>
  </sheetPr>
  <dimension ref="A1:H43"/>
  <sheetViews>
    <sheetView workbookViewId="0">
      <pane ySplit="4" topLeftCell="A5" activePane="bottomLeft" state="frozen"/>
      <selection pane="bottomLeft" activeCell="A1" sqref="A1"/>
    </sheetView>
  </sheetViews>
  <sheetFormatPr baseColWidth="8" defaultRowHeight="15"/>
  <cols>
    <col width="5" customWidth="1" min="1" max="1"/>
    <col width="20" customWidth="1" min="2" max="2"/>
    <col width="40" customWidth="1" min="3" max="3"/>
    <col width="14" customWidth="1" min="4" max="4"/>
    <col width="14" customWidth="1" min="5" max="5"/>
    <col width="14" customWidth="1" min="6" max="6"/>
    <col width="12" customWidth="1" min="7" max="7"/>
    <col width="25" customWidth="1" min="8" max="8"/>
  </cols>
  <sheetData>
    <row r="1" ht="30" customHeight="1">
      <c r="A1" s="1" t="inlineStr">
        <is>
          <t>Calculadora CAPEX — Inversión 130K-300K€</t>
        </is>
      </c>
    </row>
    <row r="2">
      <c r="A2" s="2" t="inlineStr">
        <is>
          <t>AI Chef Pro · aichef.pro — Restaurante Peruano</t>
        </is>
      </c>
    </row>
    <row r="4">
      <c r="A4" s="6" t="inlineStr">
        <is>
          <t>#</t>
        </is>
      </c>
      <c r="B4" s="6" t="inlineStr">
        <is>
          <t>Categoría</t>
        </is>
      </c>
      <c r="C4" s="6" t="inlineStr">
        <is>
          <t>Partida</t>
        </is>
      </c>
      <c r="D4" s="6" t="inlineStr">
        <is>
          <t>Estimado (€)</t>
        </is>
      </c>
      <c r="E4" s="6" t="inlineStr">
        <is>
          <t>Real (€)</t>
        </is>
      </c>
      <c r="F4" s="6" t="inlineStr">
        <is>
          <t>Diferencia</t>
        </is>
      </c>
      <c r="G4" s="6" t="inlineStr">
        <is>
          <t>Prioridad</t>
        </is>
      </c>
      <c r="H4" s="6" t="inlineStr">
        <is>
          <t>Proveedor</t>
        </is>
      </c>
    </row>
    <row r="5">
      <c r="A5" s="7" t="n">
        <v>1</v>
      </c>
      <c r="B5" s="8" t="inlineStr">
        <is>
          <t>Obra</t>
        </is>
      </c>
      <c r="C5" s="8" t="inlineStr">
        <is>
          <t>Acondicionamiento general</t>
        </is>
      </c>
      <c r="D5" s="9" t="n">
        <v>75000</v>
      </c>
      <c r="E5" s="10" t="n"/>
      <c r="F5" s="11">
        <f>E5-D5</f>
        <v/>
      </c>
      <c r="G5" s="12" t="inlineStr">
        <is>
          <t>Alta</t>
        </is>
      </c>
      <c r="H5" s="12" t="n"/>
    </row>
    <row r="6">
      <c r="A6" s="7" t="n">
        <v>2</v>
      </c>
      <c r="B6" s="8" t="inlineStr">
        <is>
          <t>Obra</t>
        </is>
      </c>
      <c r="C6" s="8" t="inlineStr">
        <is>
          <t>Electricidad + gas</t>
        </is>
      </c>
      <c r="D6" s="9" t="n">
        <v>10000</v>
      </c>
      <c r="E6" s="10" t="n"/>
      <c r="F6" s="11">
        <f>E6-D6</f>
        <v/>
      </c>
      <c r="G6" s="12" t="inlineStr">
        <is>
          <t>Alta</t>
        </is>
      </c>
      <c r="H6" s="12" t="n"/>
    </row>
    <row r="7">
      <c r="A7" s="7" t="n">
        <v>3</v>
      </c>
      <c r="B7" s="8" t="inlineStr">
        <is>
          <t>Obra</t>
        </is>
      </c>
      <c r="C7" s="8" t="inlineStr">
        <is>
          <t>Fontanería</t>
        </is>
      </c>
      <c r="D7" s="9" t="n">
        <v>7000</v>
      </c>
      <c r="E7" s="10" t="n"/>
      <c r="F7" s="11">
        <f>E7-D7</f>
        <v/>
      </c>
      <c r="G7" s="12" t="inlineStr">
        <is>
          <t>Alta</t>
        </is>
      </c>
      <c r="H7" s="12" t="n"/>
    </row>
    <row r="8">
      <c r="A8" s="7" t="n">
        <v>4</v>
      </c>
      <c r="B8" s="8" t="inlineStr">
        <is>
          <t>Obra</t>
        </is>
      </c>
      <c r="C8" s="8" t="inlineStr">
        <is>
          <t>Climatización</t>
        </is>
      </c>
      <c r="D8" s="9" t="n">
        <v>8000</v>
      </c>
      <c r="E8" s="10" t="n"/>
      <c r="F8" s="11">
        <f>E8-D8</f>
        <v/>
      </c>
      <c r="G8" s="12" t="inlineStr">
        <is>
          <t>Alta</t>
        </is>
      </c>
      <c r="H8" s="12" t="n"/>
    </row>
    <row r="9">
      <c r="A9" s="7" t="n">
        <v>5</v>
      </c>
      <c r="B9" s="8" t="inlineStr">
        <is>
          <t>Obra</t>
        </is>
      </c>
      <c r="C9" s="8" t="inlineStr">
        <is>
          <t>Extracción reforzada wok/parrilla</t>
        </is>
      </c>
      <c r="D9" s="9" t="n">
        <v>6000</v>
      </c>
      <c r="E9" s="10" t="n"/>
      <c r="F9" s="11">
        <f>E9-D9</f>
        <v/>
      </c>
      <c r="G9" s="12" t="inlineStr">
        <is>
          <t>Alta</t>
        </is>
      </c>
      <c r="H9" s="12" t="n"/>
    </row>
    <row r="10">
      <c r="A10" s="7" t="n">
        <v>6</v>
      </c>
      <c r="B10" s="8" t="inlineStr">
        <is>
          <t>Cocina PE</t>
        </is>
      </c>
      <c r="C10" s="8" t="inlineStr">
        <is>
          <t>Wok profesional alta potencia 20-30 kW</t>
        </is>
      </c>
      <c r="D10" s="9" t="n">
        <v>3000</v>
      </c>
      <c r="E10" s="10" t="n"/>
      <c r="F10" s="11">
        <f>E10-D10</f>
        <v/>
      </c>
      <c r="G10" s="12" t="inlineStr">
        <is>
          <t>Alta</t>
        </is>
      </c>
      <c r="H10" s="12" t="n"/>
    </row>
    <row r="11">
      <c r="A11" s="7" t="n">
        <v>7</v>
      </c>
      <c r="B11" s="8" t="inlineStr">
        <is>
          <t>Cocina PE</t>
        </is>
      </c>
      <c r="C11" s="8" t="inlineStr">
        <is>
          <t>Mesa refrigerada estación ceviche</t>
        </is>
      </c>
      <c r="D11" s="9" t="n">
        <v>3500</v>
      </c>
      <c r="E11" s="10" t="n"/>
      <c r="F11" s="11">
        <f>E11-D11</f>
        <v/>
      </c>
      <c r="G11" s="12" t="inlineStr">
        <is>
          <t>Alta</t>
        </is>
      </c>
      <c r="H11" s="12" t="n"/>
    </row>
    <row r="12">
      <c r="A12" s="7" t="n">
        <v>8</v>
      </c>
      <c r="B12" s="8" t="inlineStr">
        <is>
          <t>Cocina PE</t>
        </is>
      </c>
      <c r="C12" s="8" t="inlineStr">
        <is>
          <t>Parrilla anticuchos carbón/gas</t>
        </is>
      </c>
      <c r="D12" s="9" t="n">
        <v>2500</v>
      </c>
      <c r="E12" s="10" t="n"/>
      <c r="F12" s="11">
        <f>E12-D12</f>
        <v/>
      </c>
      <c r="G12" s="12" t="inlineStr">
        <is>
          <t>Alta</t>
        </is>
      </c>
      <c r="H12" s="12" t="n"/>
    </row>
    <row r="13">
      <c r="A13" s="7" t="n">
        <v>9</v>
      </c>
      <c r="B13" s="8" t="inlineStr">
        <is>
          <t>Cocina PE</t>
        </is>
      </c>
      <c r="C13" s="8" t="inlineStr">
        <is>
          <t>Horno pollo a la brasa</t>
        </is>
      </c>
      <c r="D13" s="9" t="n">
        <v>5000</v>
      </c>
      <c r="E13" s="10" t="n"/>
      <c r="F13" s="11">
        <f>E13-D13</f>
        <v/>
      </c>
      <c r="G13" s="12" t="inlineStr">
        <is>
          <t>Alta</t>
        </is>
      </c>
      <c r="H13" s="12" t="n"/>
    </row>
    <row r="14">
      <c r="A14" s="7" t="n">
        <v>10</v>
      </c>
      <c r="B14" s="8" t="inlineStr">
        <is>
          <t>Cocina PE</t>
        </is>
      </c>
      <c r="C14" s="8" t="inlineStr">
        <is>
          <t>Licuadoras industriales salsas/ajíes (3 uds)</t>
        </is>
      </c>
      <c r="D14" s="9" t="n">
        <v>600</v>
      </c>
      <c r="E14" s="10" t="n"/>
      <c r="F14" s="11">
        <f>E14-D14</f>
        <v/>
      </c>
      <c r="G14" s="12" t="inlineStr">
        <is>
          <t>Alta</t>
        </is>
      </c>
      <c r="H14" s="12" t="n"/>
    </row>
    <row r="15">
      <c r="A15" s="7" t="n">
        <v>11</v>
      </c>
      <c r="B15" s="8" t="inlineStr">
        <is>
          <t>Cocina PE</t>
        </is>
      </c>
      <c r="C15" s="8" t="inlineStr">
        <is>
          <t>Exprimidor cítricos industrial</t>
        </is>
      </c>
      <c r="D15" s="9" t="n">
        <v>800</v>
      </c>
      <c r="E15" s="10" t="n"/>
      <c r="F15" s="11">
        <f>E15-D15</f>
        <v/>
      </c>
      <c r="G15" s="12" t="inlineStr">
        <is>
          <t>Alta</t>
        </is>
      </c>
      <c r="H15" s="12" t="n"/>
    </row>
    <row r="16">
      <c r="A16" s="7" t="n">
        <v>12</v>
      </c>
      <c r="B16" s="8" t="inlineStr">
        <is>
          <t>Cocina PE</t>
        </is>
      </c>
      <c r="C16" s="8" t="inlineStr">
        <is>
          <t>Tablas corte extra cevichero</t>
        </is>
      </c>
      <c r="D16" s="9" t="n">
        <v>200</v>
      </c>
      <c r="E16" s="10" t="n"/>
      <c r="F16" s="11">
        <f>E16-D16</f>
        <v/>
      </c>
      <c r="G16" s="12" t="inlineStr">
        <is>
          <t>Alta</t>
        </is>
      </c>
      <c r="H16" s="12" t="n"/>
    </row>
    <row r="17">
      <c r="A17" s="7" t="n">
        <v>13</v>
      </c>
      <c r="B17" s="8" t="inlineStr">
        <is>
          <t>Cocina</t>
        </is>
      </c>
      <c r="C17" s="8" t="inlineStr">
        <is>
          <t>Horno mixto Rational/Unox</t>
        </is>
      </c>
      <c r="D17" s="9" t="n">
        <v>12000</v>
      </c>
      <c r="E17" s="10" t="n"/>
      <c r="F17" s="11">
        <f>E17-D17</f>
        <v/>
      </c>
      <c r="G17" s="12" t="inlineStr">
        <is>
          <t>Alta</t>
        </is>
      </c>
      <c r="H17" s="12" t="n"/>
    </row>
    <row r="18">
      <c r="A18" s="7" t="n">
        <v>14</v>
      </c>
      <c r="B18" s="8" t="inlineStr">
        <is>
          <t>Cocina</t>
        </is>
      </c>
      <c r="C18" s="8" t="inlineStr">
        <is>
          <t>Cocina gas 6 fuegos + horno</t>
        </is>
      </c>
      <c r="D18" s="9" t="n">
        <v>5000</v>
      </c>
      <c r="E18" s="10" t="n"/>
      <c r="F18" s="11">
        <f>E18-D18</f>
        <v/>
      </c>
      <c r="G18" s="12" t="inlineStr">
        <is>
          <t>Alta</t>
        </is>
      </c>
      <c r="H18" s="12" t="n"/>
    </row>
    <row r="19">
      <c r="A19" s="7" t="n">
        <v>15</v>
      </c>
      <c r="B19" s="8" t="inlineStr">
        <is>
          <t>Cocina</t>
        </is>
      </c>
      <c r="C19" s="8" t="inlineStr">
        <is>
          <t>Freidora doble</t>
        </is>
      </c>
      <c r="D19" s="9" t="n">
        <v>2000</v>
      </c>
      <c r="E19" s="10" t="n"/>
      <c r="F19" s="11">
        <f>E19-D19</f>
        <v/>
      </c>
      <c r="G19" s="12" t="inlineStr">
        <is>
          <t>Alta</t>
        </is>
      </c>
      <c r="H19" s="12" t="n"/>
    </row>
    <row r="20">
      <c r="A20" s="7" t="n">
        <v>16</v>
      </c>
      <c r="B20" s="8" t="inlineStr">
        <is>
          <t>Cocina</t>
        </is>
      </c>
      <c r="C20" s="8" t="inlineStr">
        <is>
          <t>Cámaras frigoríficas (2)</t>
        </is>
      </c>
      <c r="D20" s="9" t="n">
        <v>6000</v>
      </c>
      <c r="E20" s="10" t="n"/>
      <c r="F20" s="11">
        <f>E20-D20</f>
        <v/>
      </c>
      <c r="G20" s="12" t="inlineStr">
        <is>
          <t>Alta</t>
        </is>
      </c>
      <c r="H20" s="12" t="n"/>
    </row>
    <row r="21">
      <c r="A21" s="7" t="n">
        <v>17</v>
      </c>
      <c r="B21" s="8" t="inlineStr">
        <is>
          <t>Cocina</t>
        </is>
      </c>
      <c r="C21" s="8" t="inlineStr">
        <is>
          <t>Congelador (pescado ceviche)</t>
        </is>
      </c>
      <c r="D21" s="9" t="n">
        <v>3500</v>
      </c>
      <c r="E21" s="10" t="n"/>
      <c r="F21" s="11">
        <f>E21-D21</f>
        <v/>
      </c>
      <c r="G21" s="12" t="inlineStr">
        <is>
          <t>Alta</t>
        </is>
      </c>
      <c r="H21" s="12" t="n"/>
    </row>
    <row r="22">
      <c r="A22" s="7" t="n">
        <v>18</v>
      </c>
      <c r="B22" s="8" t="inlineStr">
        <is>
          <t>Cocina</t>
        </is>
      </c>
      <c r="C22" s="8" t="inlineStr">
        <is>
          <t>Tren de lavado</t>
        </is>
      </c>
      <c r="D22" s="9" t="n">
        <v>5000</v>
      </c>
      <c r="E22" s="10" t="n"/>
      <c r="F22" s="11">
        <f>E22-D22</f>
        <v/>
      </c>
      <c r="G22" s="12" t="inlineStr">
        <is>
          <t>Alta</t>
        </is>
      </c>
      <c r="H22" s="12" t="n"/>
    </row>
    <row r="23">
      <c r="A23" s="7" t="n">
        <v>19</v>
      </c>
      <c r="B23" s="8" t="inlineStr">
        <is>
          <t>Cocina</t>
        </is>
      </c>
      <c r="C23" s="8" t="inlineStr">
        <is>
          <t>Campana extractora reforzada</t>
        </is>
      </c>
      <c r="D23" s="9" t="n">
        <v>6000</v>
      </c>
      <c r="E23" s="10" t="n"/>
      <c r="F23" s="11">
        <f>E23-D23</f>
        <v/>
      </c>
      <c r="G23" s="12" t="inlineStr">
        <is>
          <t>Alta</t>
        </is>
      </c>
      <c r="H23" s="12" t="n"/>
    </row>
    <row r="24">
      <c r="A24" s="7" t="n">
        <v>20</v>
      </c>
      <c r="B24" s="8" t="inlineStr">
        <is>
          <t>Cocina</t>
        </is>
      </c>
      <c r="C24" s="8" t="inlineStr">
        <is>
          <t>Menaje y utensilios</t>
        </is>
      </c>
      <c r="D24" s="9" t="n">
        <v>2500</v>
      </c>
      <c r="E24" s="10" t="n"/>
      <c r="F24" s="11">
        <f>E24-D24</f>
        <v/>
      </c>
      <c r="G24" s="12" t="inlineStr">
        <is>
          <t>Alta</t>
        </is>
      </c>
      <c r="H24" s="12" t="n"/>
    </row>
    <row r="25">
      <c r="A25" s="7" t="n">
        <v>21</v>
      </c>
      <c r="B25" s="8" t="inlineStr">
        <is>
          <t>Barra</t>
        </is>
      </c>
      <c r="C25" s="8" t="inlineStr">
        <is>
          <t>Vitrina iluminada piscos</t>
        </is>
      </c>
      <c r="D25" s="9" t="n">
        <v>4000</v>
      </c>
      <c r="E25" s="10" t="n"/>
      <c r="F25" s="11">
        <f>E25-D25</f>
        <v/>
      </c>
      <c r="G25" s="12" t="inlineStr">
        <is>
          <t>Alta</t>
        </is>
      </c>
      <c r="H25" s="12" t="n"/>
    </row>
    <row r="26">
      <c r="A26" s="7" t="n">
        <v>22</v>
      </c>
      <c r="B26" s="8" t="inlineStr">
        <is>
          <t>Barra</t>
        </is>
      </c>
      <c r="C26" s="8" t="inlineStr">
        <is>
          <t>Utensilios coctelería + máquina hielo</t>
        </is>
      </c>
      <c r="D26" s="9" t="n">
        <v>2000</v>
      </c>
      <c r="E26" s="10" t="n"/>
      <c r="F26" s="11">
        <f>E26-D26</f>
        <v/>
      </c>
      <c r="G26" s="12" t="inlineStr">
        <is>
          <t>Alta</t>
        </is>
      </c>
      <c r="H26" s="12" t="n"/>
    </row>
    <row r="27">
      <c r="A27" s="7" t="n">
        <v>23</v>
      </c>
      <c r="B27" s="8" t="inlineStr">
        <is>
          <t>Barra</t>
        </is>
      </c>
      <c r="C27" s="8" t="inlineStr">
        <is>
          <t>Stock inicial pisco (20-30 refs)</t>
        </is>
      </c>
      <c r="D27" s="9" t="n">
        <v>6000</v>
      </c>
      <c r="E27" s="10" t="n"/>
      <c r="F27" s="11">
        <f>E27-D27</f>
        <v/>
      </c>
      <c r="G27" s="12" t="inlineStr">
        <is>
          <t>Alta</t>
        </is>
      </c>
      <c r="H27" s="12" t="n"/>
    </row>
    <row r="28">
      <c r="A28" s="7" t="n">
        <v>24</v>
      </c>
      <c r="B28" s="8" t="inlineStr">
        <is>
          <t>Sala</t>
        </is>
      </c>
      <c r="C28" s="8" t="inlineStr">
        <is>
          <t>Mesas, sillas, bancos corridos (80 plazas)</t>
        </is>
      </c>
      <c r="D28" s="9" t="n">
        <v>15000</v>
      </c>
      <c r="E28" s="10" t="n"/>
      <c r="F28" s="11">
        <f>E28-D28</f>
        <v/>
      </c>
      <c r="G28" s="12" t="inlineStr">
        <is>
          <t>Alta</t>
        </is>
      </c>
      <c r="H28" s="12" t="n"/>
    </row>
    <row r="29">
      <c r="A29" s="7" t="n">
        <v>25</v>
      </c>
      <c r="B29" s="8" t="inlineStr">
        <is>
          <t>Sala</t>
        </is>
      </c>
      <c r="C29" s="8" t="inlineStr">
        <is>
          <t>Barra + taburetes altos</t>
        </is>
      </c>
      <c r="D29" s="9" t="n">
        <v>6000</v>
      </c>
      <c r="E29" s="10" t="n"/>
      <c r="F29" s="11">
        <f>E29-D29</f>
        <v/>
      </c>
      <c r="G29" s="12" t="inlineStr">
        <is>
          <t>Alta</t>
        </is>
      </c>
      <c r="H29" s="12" t="n"/>
    </row>
    <row r="30">
      <c r="A30" s="7" t="n">
        <v>26</v>
      </c>
      <c r="B30" s="8" t="inlineStr">
        <is>
          <t>Decoración</t>
        </is>
      </c>
      <c r="C30" s="8" t="inlineStr">
        <is>
          <t>Textiles andinos, cerámica, madera, iluminación, vajilla</t>
        </is>
      </c>
      <c r="D30" s="9" t="n">
        <v>12800</v>
      </c>
      <c r="E30" s="10" t="n"/>
      <c r="F30" s="11">
        <f>E30-D30</f>
        <v/>
      </c>
      <c r="G30" s="12" t="inlineStr">
        <is>
          <t>Alta</t>
        </is>
      </c>
      <c r="H30" s="12" t="n"/>
    </row>
    <row r="31">
      <c r="A31" s="7" t="n">
        <v>27</v>
      </c>
      <c r="B31" s="8" t="inlineStr">
        <is>
          <t>Terraza</t>
        </is>
      </c>
      <c r="C31" s="8" t="inlineStr">
        <is>
          <t>Mobiliario exterior + sombrillas</t>
        </is>
      </c>
      <c r="D31" s="9" t="n">
        <v>8500</v>
      </c>
      <c r="E31" s="10" t="n"/>
      <c r="F31" s="11">
        <f>E31-D31</f>
        <v/>
      </c>
      <c r="G31" s="12" t="inlineStr">
        <is>
          <t>Alta</t>
        </is>
      </c>
      <c r="H31" s="12" t="n"/>
    </row>
    <row r="32">
      <c r="A32" s="7" t="n">
        <v>28</v>
      </c>
      <c r="B32" s="8" t="inlineStr">
        <is>
          <t>Tech</t>
        </is>
      </c>
      <c r="C32" s="8" t="inlineStr">
        <is>
          <t>TPV + pantallas cocina</t>
        </is>
      </c>
      <c r="D32" s="9" t="n">
        <v>3000</v>
      </c>
      <c r="E32" s="10" t="n"/>
      <c r="F32" s="11">
        <f>E32-D32</f>
        <v/>
      </c>
      <c r="G32" s="12" t="inlineStr">
        <is>
          <t>Alta</t>
        </is>
      </c>
      <c r="H32" s="12" t="n"/>
    </row>
    <row r="33">
      <c r="A33" s="7" t="n">
        <v>29</v>
      </c>
      <c r="B33" s="8" t="inlineStr">
        <is>
          <t>Tech</t>
        </is>
      </c>
      <c r="C33" s="8" t="inlineStr">
        <is>
          <t>Web + carta QR + WiFi</t>
        </is>
      </c>
      <c r="D33" s="9" t="n">
        <v>2000</v>
      </c>
      <c r="E33" s="10" t="n"/>
      <c r="F33" s="11">
        <f>E33-D33</f>
        <v/>
      </c>
      <c r="G33" s="12" t="inlineStr">
        <is>
          <t>Alta</t>
        </is>
      </c>
      <c r="H33" s="12" t="n"/>
    </row>
    <row r="34">
      <c r="A34" s="7" t="n">
        <v>30</v>
      </c>
      <c r="B34" s="8" t="inlineStr">
        <is>
          <t>Licencias</t>
        </is>
      </c>
      <c r="C34" s="8" t="inlineStr">
        <is>
          <t>Licencia actividad + terraza</t>
        </is>
      </c>
      <c r="D34" s="9" t="n">
        <v>6000</v>
      </c>
      <c r="E34" s="10" t="n"/>
      <c r="F34" s="11">
        <f>E34-D34</f>
        <v/>
      </c>
      <c r="G34" s="12" t="inlineStr">
        <is>
          <t>Alta</t>
        </is>
      </c>
      <c r="H34" s="12" t="n"/>
    </row>
    <row r="35">
      <c r="A35" s="7" t="n">
        <v>31</v>
      </c>
      <c r="B35" s="8" t="inlineStr">
        <is>
          <t>Licencias</t>
        </is>
      </c>
      <c r="C35" s="8" t="inlineStr">
        <is>
          <t>Proyecto técnico + registro EORI</t>
        </is>
      </c>
      <c r="D35" s="9" t="n">
        <v>4500</v>
      </c>
      <c r="E35" s="10" t="n"/>
      <c r="F35" s="11">
        <f>E35-D35</f>
        <v/>
      </c>
      <c r="G35" s="12" t="inlineStr">
        <is>
          <t>Alta</t>
        </is>
      </c>
      <c r="H35" s="12" t="n"/>
    </row>
    <row r="36">
      <c r="A36" s="7" t="n">
        <v>32</v>
      </c>
      <c r="B36" s="8" t="inlineStr">
        <is>
          <t>Marketing</t>
        </is>
      </c>
      <c r="C36" s="8" t="inlineStr">
        <is>
          <t>Branding + diseño + pre-apertura</t>
        </is>
      </c>
      <c r="D36" s="9" t="n">
        <v>6000</v>
      </c>
      <c r="E36" s="10" t="n"/>
      <c r="F36" s="11">
        <f>E36-D36</f>
        <v/>
      </c>
      <c r="G36" s="12" t="inlineStr">
        <is>
          <t>Alta</t>
        </is>
      </c>
      <c r="H36" s="12" t="n"/>
    </row>
    <row r="37">
      <c r="A37" s="7" t="n">
        <v>33</v>
      </c>
      <c r="B37" s="8" t="inlineStr">
        <is>
          <t>Stock</t>
        </is>
      </c>
      <c r="C37" s="8" t="inlineStr">
        <is>
          <t>Materia prima + ajíes + pisco + especias</t>
        </is>
      </c>
      <c r="D37" s="9" t="n">
        <v>8000</v>
      </c>
      <c r="E37" s="10" t="n"/>
      <c r="F37" s="11">
        <f>E37-D37</f>
        <v/>
      </c>
      <c r="G37" s="12" t="inlineStr">
        <is>
          <t>Alta</t>
        </is>
      </c>
      <c r="H37" s="12" t="n"/>
    </row>
    <row r="38">
      <c r="A38" s="7" t="n">
        <v>34</v>
      </c>
      <c r="B38" s="8" t="inlineStr">
        <is>
          <t>Stock</t>
        </is>
      </c>
      <c r="C38" s="8" t="inlineStr">
        <is>
          <t>Bebidas (cerveza, chicha morada)</t>
        </is>
      </c>
      <c r="D38" s="9" t="n">
        <v>3000</v>
      </c>
      <c r="E38" s="10" t="n"/>
      <c r="F38" s="11">
        <f>E38-D38</f>
        <v/>
      </c>
      <c r="G38" s="12" t="inlineStr">
        <is>
          <t>Alta</t>
        </is>
      </c>
      <c r="H38" s="12" t="n"/>
    </row>
    <row r="39">
      <c r="A39" s="7" t="n">
        <v>35</v>
      </c>
      <c r="B39" s="8" t="inlineStr">
        <is>
          <t>Maniobra</t>
        </is>
      </c>
      <c r="C39" s="8" t="inlineStr">
        <is>
          <t>Fondo 3 meses</t>
        </is>
      </c>
      <c r="D39" s="9" t="n">
        <v>50000</v>
      </c>
      <c r="E39" s="10" t="n"/>
      <c r="F39" s="11">
        <f>E39-D39</f>
        <v/>
      </c>
      <c r="G39" s="12" t="inlineStr">
        <is>
          <t>Alta</t>
        </is>
      </c>
      <c r="H39" s="12" t="n"/>
    </row>
    <row r="41">
      <c r="C41" s="13" t="inlineStr">
        <is>
          <t>TOTAL</t>
        </is>
      </c>
      <c r="D41" s="14">
        <f>SUM(D5:D39)</f>
        <v/>
      </c>
      <c r="E41" s="14">
        <f>SUM(E5:E39)</f>
        <v/>
      </c>
      <c r="F41" s="14">
        <f>E41-D41</f>
        <v/>
      </c>
    </row>
    <row r="43">
      <c r="A43" s="15" t="inlineStr">
        <is>
          <t>AI Chef Pro · aichef.pro — Restaurante Peruano</t>
        </is>
      </c>
    </row>
  </sheetData>
  <mergeCells count="3">
    <mergeCell ref="A2:H2"/>
    <mergeCell ref="A43:H43"/>
    <mergeCell ref="A1:H1"/>
  </mergeCells>
  <dataValidations count="1">
    <dataValidation sqref="G5 G6 G7 G8 G9 G10 G11 G12 G13 G14 G15 G16 G17 G18 G19 G20 G21 G22 G23 G24 G25 G26 G27 G28 G29 G30 G31 G32 G33 G34 G35 G36 G37 G38 G39" showDropDown="0" showInputMessage="0" showErrorMessage="0" allowBlank="1" type="list">
      <formula1>"Alta,Media,Baja"</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2026-04-06T22:06:36Z</dcterms:created>
  <dcterms:modified xmlns:dcterms="http://purl.org/dc/terms/" xmlns:xsi="http://www.w3.org/2001/XMLSchema-instance" xsi:type="dcterms:W3CDTF">2026-04-06T22:06:36Z</dcterms:modified>
</cp:coreProperties>
</file>