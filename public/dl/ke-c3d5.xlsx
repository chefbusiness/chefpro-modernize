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imer Plato" sheetId="2" state="visible" r:id="rId2"/>
    <sheet xmlns:r="http://schemas.openxmlformats.org/officeDocument/2006/relationships" name="Segundo Plato" sheetId="3" state="visible" r:id="rId3"/>
    <sheet xmlns:r="http://schemas.openxmlformats.org/officeDocument/2006/relationships" name="Postre" sheetId="4" state="visible" r:id="rId4"/>
    <sheet xmlns:r="http://schemas.openxmlformats.org/officeDocument/2006/relationships" name="Resumen Menú" sheetId="5" state="visible" r:id="rId5"/>
  </sheets>
  <definedNames>
    <definedName name="_xlnm.Print_Area" localSheetId="1">'Primer Plato'!$A$1:$I$26</definedName>
    <definedName name="_xlnm.Print_Area" localSheetId="2">'Segundo Plato'!$A$1:$I$25</definedName>
    <definedName name="_xlnm.Print_Area" localSheetId="3">'Postre'!$A$1:$I$24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</fills>
  <borders count="15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0" fillId="2" borderId="6" pivotButton="0" quotePrefix="0" xfId="0"/>
    <xf numFmtId="0" fontId="0" fillId="2" borderId="7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1" fillId="0" borderId="0" pivotButton="0" quotePrefix="0" xfId="0"/>
    <xf numFmtId="0" fontId="12" fillId="3" borderId="14" pivotButton="0" quotePrefix="0" xfId="0"/>
    <xf numFmtId="0" fontId="5" fillId="0" borderId="14" pivotButton="0" quotePrefix="0" xfId="0"/>
    <xf numFmtId="164" fontId="5" fillId="4" borderId="14" pivotButton="0" quotePrefix="0" xfId="0"/>
    <xf numFmtId="0" fontId="4" fillId="6" borderId="14" pivotButton="0" quotePrefix="0" xfId="0"/>
    <xf numFmtId="0" fontId="16" fillId="0" borderId="14" pivotButton="0" quotePrefix="0" xfId="0"/>
    <xf numFmtId="0" fontId="4" fillId="0" borderId="14" pivotButton="0" quotePrefix="0" xfId="0"/>
    <xf numFmtId="0" fontId="17" fillId="6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Escandallo — Menú del Día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Pestaña 'Primer Plato': escandallo del primer plato</t>
        </is>
      </c>
    </row>
    <row r="9">
      <c r="B9" s="6" t="inlineStr">
        <is>
          <t>▸ Pestaña 'Segundo Plato': escandallo del segundo plato</t>
        </is>
      </c>
    </row>
    <row r="10">
      <c r="B10" s="6" t="inlineStr">
        <is>
          <t>▸ Pestaña 'Postre': escandallo del postre</t>
        </is>
      </c>
    </row>
    <row r="11">
      <c r="B11" s="6" t="inlineStr">
        <is>
          <t>▸ Pestaña 'Resumen': coste total del menú + PVP sugerido</t>
        </is>
      </c>
    </row>
    <row r="12">
      <c r="B12" s="6" t="inlineStr">
        <is>
          <t>▸ Incluye pan, bebida y café como costes fijos</t>
        </is>
      </c>
    </row>
    <row r="13">
      <c r="B13" s="5" t="inlineStr"/>
    </row>
    <row r="14">
      <c r="B14" s="7" t="inlineStr">
        <is>
          <t>— Kit de Escandallos Pro · AI Chef Pro · aichef.pro</t>
        </is>
      </c>
    </row>
    <row r="16">
      <c r="B16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L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Primer Plato — Ensalada Mediterránea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Lechuga variada</t>
        </is>
      </c>
      <c r="B5" s="16" t="inlineStr">
        <is>
          <t>Verdura hoja</t>
        </is>
      </c>
      <c r="C5" s="16" t="inlineStr">
        <is>
          <t>kg</t>
        </is>
      </c>
      <c r="D5" s="17" t="n">
        <v>3.5</v>
      </c>
      <c r="E5" s="18" t="n">
        <v>0.08</v>
      </c>
      <c r="F5" s="16" t="inlineStr">
        <is>
          <t>kg</t>
        </is>
      </c>
      <c r="G5" s="19" t="n">
        <v>0.25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Tomate pera</t>
        </is>
      </c>
      <c r="B6" s="16" t="inlineStr">
        <is>
          <t>Verdura hoja</t>
        </is>
      </c>
      <c r="C6" s="16" t="inlineStr">
        <is>
          <t>kg</t>
        </is>
      </c>
      <c r="D6" s="17" t="n">
        <v>2.8</v>
      </c>
      <c r="E6" s="18" t="n">
        <v>0.1</v>
      </c>
      <c r="F6" s="16" t="inlineStr">
        <is>
          <t>kg</t>
        </is>
      </c>
      <c r="G6" s="19" t="n">
        <v>0.1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Pepino</t>
        </is>
      </c>
      <c r="B7" s="16" t="inlineStr">
        <is>
          <t>Verdura raíz</t>
        </is>
      </c>
      <c r="C7" s="16" t="inlineStr">
        <is>
          <t>kg</t>
        </is>
      </c>
      <c r="D7" s="17" t="n">
        <v>1.5</v>
      </c>
      <c r="E7" s="18" t="n">
        <v>0.06</v>
      </c>
      <c r="F7" s="16" t="inlineStr">
        <is>
          <t>kg</t>
        </is>
      </c>
      <c r="G7" s="19" t="n">
        <v>0.12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Cebolla morada</t>
        </is>
      </c>
      <c r="B8" s="16" t="inlineStr">
        <is>
          <t>Verdura raíz</t>
        </is>
      </c>
      <c r="C8" s="16" t="inlineStr">
        <is>
          <t>kg</t>
        </is>
      </c>
      <c r="D8" s="17" t="n">
        <v>1.8</v>
      </c>
      <c r="E8" s="18" t="n">
        <v>0.03</v>
      </c>
      <c r="F8" s="16" t="inlineStr">
        <is>
          <t>kg</t>
        </is>
      </c>
      <c r="G8" s="19" t="n">
        <v>0.12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Aceitunas negras</t>
        </is>
      </c>
      <c r="B9" s="16" t="inlineStr">
        <is>
          <t>Congelados</t>
        </is>
      </c>
      <c r="C9" s="16" t="inlineStr">
        <is>
          <t>kg</t>
        </is>
      </c>
      <c r="D9" s="17" t="n">
        <v>5</v>
      </c>
      <c r="E9" s="18" t="n">
        <v>0.02</v>
      </c>
      <c r="F9" s="16" t="inlineStr">
        <is>
          <t>kg</t>
        </is>
      </c>
      <c r="G9" s="19" t="n">
        <v>0.02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Queso feta</t>
        </is>
      </c>
      <c r="B10" s="16" t="inlineStr">
        <is>
          <t>Lácteos</t>
        </is>
      </c>
      <c r="C10" s="16" t="inlineStr">
        <is>
          <t>kg</t>
        </is>
      </c>
      <c r="D10" s="17" t="n">
        <v>12</v>
      </c>
      <c r="E10" s="18" t="n">
        <v>0.04</v>
      </c>
      <c r="F10" s="16" t="inlineStr">
        <is>
          <t>kg</t>
        </is>
      </c>
      <c r="G10" s="19" t="n">
        <v>0.03</v>
      </c>
      <c r="H10" s="20">
        <f>E10/(1-G10)</f>
        <v/>
      </c>
      <c r="I10" s="21">
        <f>H10*D10</f>
        <v/>
      </c>
      <c r="K10" s="22" t="n"/>
      <c r="L10" s="23" t="n"/>
    </row>
    <row r="11">
      <c r="A11" s="15" t="inlineStr">
        <is>
          <t>AOVE</t>
        </is>
      </c>
      <c r="B11" s="16" t="inlineStr">
        <is>
          <t>Aceites/grasas</t>
        </is>
      </c>
      <c r="C11" s="16" t="inlineStr">
        <is>
          <t>L</t>
        </is>
      </c>
      <c r="D11" s="17" t="n">
        <v>7.5</v>
      </c>
      <c r="E11" s="18" t="n">
        <v>0.02</v>
      </c>
      <c r="F11" s="16" t="inlineStr">
        <is>
          <t>L</t>
        </is>
      </c>
      <c r="G11" s="19" t="n">
        <v>0.03</v>
      </c>
      <c r="H11" s="20">
        <f>E11/(1-G11)</f>
        <v/>
      </c>
      <c r="I11" s="21">
        <f>H11*D11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6">
      <c r="A16" s="28" t="n"/>
      <c r="B16" s="28" t="n"/>
      <c r="C16" s="28" t="n"/>
      <c r="D16" s="28" t="n"/>
      <c r="E16" s="28" t="n"/>
      <c r="F16" s="28" t="n"/>
      <c r="G16" s="29" t="n"/>
      <c r="H16" s="30">
        <f>IF(E16="","",E16/(1-G16))</f>
        <v/>
      </c>
      <c r="I16" s="31">
        <f>IF(H16="","",H16*D16)</f>
        <v/>
      </c>
    </row>
    <row r="18">
      <c r="A18" s="35" t="inlineStr">
        <is>
          <t>COSTE TOTAL INGREDIENTES</t>
        </is>
      </c>
      <c r="I18" s="36">
        <f>SUM(I5:I16)</f>
        <v/>
      </c>
    </row>
    <row r="19">
      <c r="A19" s="37" t="inlineStr">
        <is>
          <t>Coste elaboración (%)</t>
        </is>
      </c>
      <c r="H19" s="19" t="n">
        <v>0.1</v>
      </c>
      <c r="I19" s="38">
        <f>I18*H19</f>
        <v/>
      </c>
    </row>
    <row r="20">
      <c r="A20" s="39" t="inlineStr">
        <is>
          <t>COSTE TOTAL DEL PLATO</t>
        </is>
      </c>
      <c r="I20" s="40">
        <f>I18+I19</f>
        <v/>
      </c>
    </row>
    <row r="22">
      <c r="A22" s="41" t="inlineStr">
        <is>
          <t>Food Cost objetivo (%)</t>
        </is>
      </c>
      <c r="H22" s="42" t="n">
        <v>0.3</v>
      </c>
    </row>
    <row r="23">
      <c r="A23" s="43" t="inlineStr">
        <is>
          <t>PVP SUGERIDO (sin IVA)</t>
        </is>
      </c>
      <c r="I23" s="44">
        <f>I20/H22</f>
        <v/>
      </c>
    </row>
    <row r="24">
      <c r="A24" s="45" t="inlineStr">
        <is>
          <t>PVP CON IVA (10% hostelería)</t>
        </is>
      </c>
      <c r="I24" s="46">
        <f>I23*1.10</f>
        <v/>
      </c>
    </row>
    <row r="25">
      <c r="A25" s="37" t="inlineStr">
        <is>
          <t>Margen bruto (€)</t>
        </is>
      </c>
      <c r="I25" s="38">
        <f>I23-I20</f>
        <v/>
      </c>
    </row>
    <row r="26">
      <c r="A26" s="37" t="inlineStr">
        <is>
          <t>Margen bruto (%)</t>
        </is>
      </c>
      <c r="I26" s="47">
        <f>I25/I23</f>
        <v/>
      </c>
    </row>
  </sheetData>
  <mergeCells count="13">
    <mergeCell ref="A18:H18"/>
    <mergeCell ref="A26:H26"/>
    <mergeCell ref="A2:I2"/>
    <mergeCell ref="A25:H25"/>
    <mergeCell ref="A20:H20"/>
    <mergeCell ref="A24:H24"/>
    <mergeCell ref="A22:G22"/>
    <mergeCell ref="K15:L15"/>
    <mergeCell ref="A1:I1"/>
    <mergeCell ref="A23:H23"/>
    <mergeCell ref="A19:G19"/>
    <mergeCell ref="K8:L9"/>
    <mergeCell ref="K3:L3"/>
  </mergeCells>
  <dataValidations count="2">
    <dataValidation sqref="B5 B6 B7 B8 B9 B10 B11 B12 B13 B14 B15 B16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C16 F5 F6 F7 F8 F9 F10 F11 F12 F13 F14 F15 F16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Segundo Plato — Pollo al Horno con Patatas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Contramuslo de pollo</t>
        </is>
      </c>
      <c r="B5" s="16" t="inlineStr">
        <is>
          <t>Aves</t>
        </is>
      </c>
      <c r="C5" s="16" t="inlineStr">
        <is>
          <t>kg</t>
        </is>
      </c>
      <c r="D5" s="17" t="n">
        <v>5.5</v>
      </c>
      <c r="E5" s="18" t="n">
        <v>0.25</v>
      </c>
      <c r="F5" s="16" t="inlineStr">
        <is>
          <t>kg</t>
        </is>
      </c>
      <c r="G5" s="19" t="n">
        <v>0.25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Patata</t>
        </is>
      </c>
      <c r="B6" s="16" t="inlineStr">
        <is>
          <t>Verdura raíz</t>
        </is>
      </c>
      <c r="C6" s="16" t="inlineStr">
        <is>
          <t>kg</t>
        </is>
      </c>
      <c r="D6" s="17" t="n">
        <v>1.2</v>
      </c>
      <c r="E6" s="18" t="n">
        <v>0.2</v>
      </c>
      <c r="F6" s="16" t="inlineStr">
        <is>
          <t>kg</t>
        </is>
      </c>
      <c r="G6" s="19" t="n">
        <v>0.12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Pimiento rojo</t>
        </is>
      </c>
      <c r="B7" s="16" t="inlineStr">
        <is>
          <t>Verdura hoja</t>
        </is>
      </c>
      <c r="C7" s="16" t="inlineStr">
        <is>
          <t>kg</t>
        </is>
      </c>
      <c r="D7" s="17" t="n">
        <v>3</v>
      </c>
      <c r="E7" s="18" t="n">
        <v>0.06</v>
      </c>
      <c r="F7" s="16" t="inlineStr">
        <is>
          <t>kg</t>
        </is>
      </c>
      <c r="G7" s="19" t="n">
        <v>0.15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Ajo</t>
        </is>
      </c>
      <c r="B8" s="16" t="inlineStr">
        <is>
          <t>Especias/hierbas</t>
        </is>
      </c>
      <c r="C8" s="16" t="inlineStr">
        <is>
          <t>kg</t>
        </is>
      </c>
      <c r="D8" s="17" t="n">
        <v>6</v>
      </c>
      <c r="E8" s="18" t="n">
        <v>0.01</v>
      </c>
      <c r="F8" s="16" t="inlineStr">
        <is>
          <t>kg</t>
        </is>
      </c>
      <c r="G8" s="19" t="n">
        <v>0.15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Romero</t>
        </is>
      </c>
      <c r="B9" s="16" t="inlineStr">
        <is>
          <t>Especias/hierbas</t>
        </is>
      </c>
      <c r="C9" s="16" t="inlineStr">
        <is>
          <t>manojo</t>
        </is>
      </c>
      <c r="D9" s="17" t="n">
        <v>1</v>
      </c>
      <c r="E9" s="18" t="n">
        <v>0.25</v>
      </c>
      <c r="F9" s="16" t="inlineStr">
        <is>
          <t>ud</t>
        </is>
      </c>
      <c r="G9" s="19" t="n">
        <v>0.2</v>
      </c>
      <c r="H9" s="20">
        <f>E9/(1-G9)</f>
        <v/>
      </c>
      <c r="I9" s="21">
        <f>H9*D9</f>
        <v/>
      </c>
      <c r="K9" s="26" t="n"/>
      <c r="L9" s="27" t="n"/>
    </row>
    <row r="10">
      <c r="A10" s="15" t="inlineStr">
        <is>
          <t>AOVE</t>
        </is>
      </c>
      <c r="B10" s="16" t="inlineStr">
        <is>
          <t>Aceites/grasas</t>
        </is>
      </c>
      <c r="C10" s="16" t="inlineStr">
        <is>
          <t>L</t>
        </is>
      </c>
      <c r="D10" s="17" t="n">
        <v>7.5</v>
      </c>
      <c r="E10" s="18" t="n">
        <v>0.025</v>
      </c>
      <c r="F10" s="16" t="inlineStr">
        <is>
          <t>L</t>
        </is>
      </c>
      <c r="G10" s="19" t="n">
        <v>0.03</v>
      </c>
      <c r="H10" s="20">
        <f>E10/(1-G10)</f>
        <v/>
      </c>
      <c r="I10" s="21">
        <f>H10*D10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A15" s="28" t="n"/>
      <c r="B15" s="28" t="n"/>
      <c r="C15" s="28" t="n"/>
      <c r="D15" s="28" t="n"/>
      <c r="E15" s="28" t="n"/>
      <c r="F15" s="28" t="n"/>
      <c r="G15" s="29" t="n"/>
      <c r="H15" s="30">
        <f>IF(E15="","",E15/(1-G15))</f>
        <v/>
      </c>
      <c r="I15" s="31">
        <f>IF(H15="","",H15*D15)</f>
        <v/>
      </c>
      <c r="K15" s="34" t="inlineStr">
        <is>
          <t>Insertar → Imagen → Desde archivo</t>
        </is>
      </c>
    </row>
    <row r="17">
      <c r="A17" s="35" t="inlineStr">
        <is>
          <t>COSTE TOTAL INGREDIENTES</t>
        </is>
      </c>
      <c r="I17" s="36">
        <f>SUM(I5:I15)</f>
        <v/>
      </c>
    </row>
    <row r="18">
      <c r="A18" s="37" t="inlineStr">
        <is>
          <t>Coste elaboración (%)</t>
        </is>
      </c>
      <c r="H18" s="19" t="n">
        <v>0.1</v>
      </c>
      <c r="I18" s="38">
        <f>I17*H18</f>
        <v/>
      </c>
    </row>
    <row r="19">
      <c r="A19" s="39" t="inlineStr">
        <is>
          <t>COSTE TOTAL DEL PLATO</t>
        </is>
      </c>
      <c r="I19" s="40">
        <f>I17+I18</f>
        <v/>
      </c>
    </row>
    <row r="21">
      <c r="A21" s="41" t="inlineStr">
        <is>
          <t>Food Cost objetivo (%)</t>
        </is>
      </c>
      <c r="H21" s="42" t="n">
        <v>0.3</v>
      </c>
    </row>
    <row r="22">
      <c r="A22" s="43" t="inlineStr">
        <is>
          <t>PVP SUGERIDO (sin IVA)</t>
        </is>
      </c>
      <c r="I22" s="44">
        <f>I19/H21</f>
        <v/>
      </c>
    </row>
    <row r="23">
      <c r="A23" s="45" t="inlineStr">
        <is>
          <t>PVP CON IVA (10% hostelería)</t>
        </is>
      </c>
      <c r="I23" s="46">
        <f>I22*1.10</f>
        <v/>
      </c>
    </row>
    <row r="24">
      <c r="A24" s="37" t="inlineStr">
        <is>
          <t>Margen bruto (€)</t>
        </is>
      </c>
      <c r="I24" s="38">
        <f>I22-I19</f>
        <v/>
      </c>
    </row>
    <row r="25">
      <c r="A25" s="37" t="inlineStr">
        <is>
          <t>Margen bruto (%)</t>
        </is>
      </c>
      <c r="I25" s="47">
        <f>I24/I22</f>
        <v/>
      </c>
    </row>
  </sheetData>
  <mergeCells count="13">
    <mergeCell ref="A2:I2"/>
    <mergeCell ref="A18:G18"/>
    <mergeCell ref="A25:H25"/>
    <mergeCell ref="A21:G21"/>
    <mergeCell ref="A24:H24"/>
    <mergeCell ref="K15:L15"/>
    <mergeCell ref="A22:H22"/>
    <mergeCell ref="A1:I1"/>
    <mergeCell ref="A19:H19"/>
    <mergeCell ref="A23:H23"/>
    <mergeCell ref="K8:L9"/>
    <mergeCell ref="K3:L3"/>
    <mergeCell ref="A17:H17"/>
  </mergeCells>
  <dataValidations count="2">
    <dataValidation sqref="B5 B6 B7 B8 B9 B10 B11 B12 B13 B14 B15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C15 F5 F6 F7 F8 F9 F10 F11 F12 F13 F14 F15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3" customWidth="1" min="10" max="10"/>
    <col width="20" customWidth="1" min="11" max="11"/>
    <col width="20" customWidth="1" min="12" max="12"/>
  </cols>
  <sheetData>
    <row r="1">
      <c r="A1" s="9" t="inlineStr">
        <is>
          <t>Postre — Flan Casero</t>
        </is>
      </c>
    </row>
    <row r="2">
      <c r="A2" s="2" t="inlineStr">
        <is>
          <t>Introduce tus ingredientes y cantidades. Las celdas verdes son editables.</t>
        </is>
      </c>
    </row>
    <row r="3">
      <c r="K3" s="10" t="inlineStr">
        <is>
          <t>📷 Foto del Plato</t>
        </is>
      </c>
      <c r="L3" s="11" t="n"/>
    </row>
    <row r="4">
      <c r="A4" s="12" t="inlineStr">
        <is>
          <t>Ingrediente</t>
        </is>
      </c>
      <c r="B4" s="12" t="inlineStr">
        <is>
          <t>Categoría</t>
        </is>
      </c>
      <c r="C4" s="12" t="inlineStr">
        <is>
          <t>Ud. Compra</t>
        </is>
      </c>
      <c r="D4" s="12" t="inlineStr">
        <is>
          <t>Precio/Ud (€)</t>
        </is>
      </c>
      <c r="E4" s="12" t="inlineStr">
        <is>
          <t>Cantidad</t>
        </is>
      </c>
      <c r="F4" s="12" t="inlineStr">
        <is>
          <t>Ud. Uso</t>
        </is>
      </c>
      <c r="G4" s="12" t="inlineStr">
        <is>
          <t>Merma (%)</t>
        </is>
      </c>
      <c r="H4" s="12" t="inlineStr">
        <is>
          <t>Cant. Bruta</t>
        </is>
      </c>
      <c r="I4" s="12" t="inlineStr">
        <is>
          <t>Coste (€)</t>
        </is>
      </c>
      <c r="K4" s="13" t="n"/>
      <c r="L4" s="14" t="n"/>
    </row>
    <row r="5">
      <c r="A5" s="15" t="inlineStr">
        <is>
          <t>Huevos</t>
        </is>
      </c>
      <c r="B5" s="16" t="inlineStr">
        <is>
          <t>Huevos</t>
        </is>
      </c>
      <c r="C5" s="16" t="inlineStr">
        <is>
          <t>docena</t>
        </is>
      </c>
      <c r="D5" s="17" t="n">
        <v>3.6</v>
      </c>
      <c r="E5" s="18" t="n">
        <v>0.25</v>
      </c>
      <c r="F5" s="16" t="inlineStr">
        <is>
          <t>ud</t>
        </is>
      </c>
      <c r="G5" s="19" t="n">
        <v>0.11</v>
      </c>
      <c r="H5" s="20">
        <f>E5/(1-G5)</f>
        <v/>
      </c>
      <c r="I5" s="21">
        <f>H5*D5</f>
        <v/>
      </c>
      <c r="K5" s="22" t="n"/>
      <c r="L5" s="23" t="n"/>
    </row>
    <row r="6">
      <c r="A6" s="15" t="inlineStr">
        <is>
          <t>Leche entera</t>
        </is>
      </c>
      <c r="B6" s="16" t="inlineStr">
        <is>
          <t>Lácteos</t>
        </is>
      </c>
      <c r="C6" s="16" t="inlineStr">
        <is>
          <t>L</t>
        </is>
      </c>
      <c r="D6" s="17" t="n">
        <v>1.1</v>
      </c>
      <c r="E6" s="18" t="n">
        <v>0.15</v>
      </c>
      <c r="F6" s="16" t="inlineStr">
        <is>
          <t>L</t>
        </is>
      </c>
      <c r="G6" s="19" t="n">
        <v>0.03</v>
      </c>
      <c r="H6" s="20">
        <f>E6/(1-G6)</f>
        <v/>
      </c>
      <c r="I6" s="21">
        <f>H6*D6</f>
        <v/>
      </c>
      <c r="K6" s="22" t="n"/>
      <c r="L6" s="23" t="n"/>
    </row>
    <row r="7">
      <c r="A7" s="15" t="inlineStr">
        <is>
          <t>Azúcar</t>
        </is>
      </c>
      <c r="B7" s="16" t="inlineStr">
        <is>
          <t>Secos/granos</t>
        </is>
      </c>
      <c r="C7" s="16" t="inlineStr">
        <is>
          <t>kg</t>
        </is>
      </c>
      <c r="D7" s="17" t="n">
        <v>1.2</v>
      </c>
      <c r="E7" s="18" t="n">
        <v>0.04</v>
      </c>
      <c r="F7" s="16" t="inlineStr">
        <is>
          <t>kg</t>
        </is>
      </c>
      <c r="G7" s="19" t="n">
        <v>0.02</v>
      </c>
      <c r="H7" s="20">
        <f>E7/(1-G7)</f>
        <v/>
      </c>
      <c r="I7" s="21">
        <f>H7*D7</f>
        <v/>
      </c>
      <c r="K7" s="22" t="n"/>
      <c r="L7" s="23" t="n"/>
    </row>
    <row r="8">
      <c r="A8" s="15" t="inlineStr">
        <is>
          <t>Vainilla (extracto)</t>
        </is>
      </c>
      <c r="B8" s="16" t="inlineStr">
        <is>
          <t>Especias/hierbas</t>
        </is>
      </c>
      <c r="C8" s="16" t="inlineStr">
        <is>
          <t>L</t>
        </is>
      </c>
      <c r="D8" s="17" t="n">
        <v>35</v>
      </c>
      <c r="E8" s="18" t="n">
        <v>0.003</v>
      </c>
      <c r="F8" s="16" t="inlineStr">
        <is>
          <t>L</t>
        </is>
      </c>
      <c r="G8" s="19" t="n">
        <v>0.05</v>
      </c>
      <c r="H8" s="20">
        <f>E8/(1-G8)</f>
        <v/>
      </c>
      <c r="I8" s="21">
        <f>H8*D8</f>
        <v/>
      </c>
      <c r="K8" s="24" t="inlineStr">
        <is>
          <t>Arrastra aquí la foto
del plato terminado</t>
        </is>
      </c>
      <c r="L8" s="25" t="n"/>
    </row>
    <row r="9">
      <c r="A9" s="15" t="inlineStr">
        <is>
          <t>Caramelo líquido</t>
        </is>
      </c>
      <c r="B9" s="16" t="inlineStr">
        <is>
          <t>Secos/granos</t>
        </is>
      </c>
      <c r="C9" s="16" t="inlineStr">
        <is>
          <t>kg</t>
        </is>
      </c>
      <c r="D9" s="17" t="n">
        <v>4</v>
      </c>
      <c r="E9" s="18" t="n">
        <v>0.015</v>
      </c>
      <c r="F9" s="16" t="inlineStr">
        <is>
          <t>kg</t>
        </is>
      </c>
      <c r="G9" s="19" t="n">
        <v>0.05</v>
      </c>
      <c r="H9" s="20">
        <f>E9/(1-G9)</f>
        <v/>
      </c>
      <c r="I9" s="21">
        <f>H9*D9</f>
        <v/>
      </c>
      <c r="K9" s="26" t="n"/>
      <c r="L9" s="27" t="n"/>
    </row>
    <row r="10">
      <c r="A10" s="28" t="n"/>
      <c r="B10" s="28" t="n"/>
      <c r="C10" s="28" t="n"/>
      <c r="D10" s="28" t="n"/>
      <c r="E10" s="28" t="n"/>
      <c r="F10" s="28" t="n"/>
      <c r="G10" s="29" t="n"/>
      <c r="H10" s="30">
        <f>IF(E10="","",E10/(1-G10))</f>
        <v/>
      </c>
      <c r="I10" s="31">
        <f>IF(H10="","",H10*D10)</f>
        <v/>
      </c>
      <c r="K10" s="22" t="n"/>
      <c r="L10" s="23" t="n"/>
    </row>
    <row r="11">
      <c r="A11" s="28" t="n"/>
      <c r="B11" s="28" t="n"/>
      <c r="C11" s="28" t="n"/>
      <c r="D11" s="28" t="n"/>
      <c r="E11" s="28" t="n"/>
      <c r="F11" s="28" t="n"/>
      <c r="G11" s="29" t="n"/>
      <c r="H11" s="30">
        <f>IF(E11="","",E11/(1-G11))</f>
        <v/>
      </c>
      <c r="I11" s="31">
        <f>IF(H11="","",H11*D11)</f>
        <v/>
      </c>
      <c r="K11" s="22" t="n"/>
      <c r="L11" s="23" t="n"/>
    </row>
    <row r="12">
      <c r="A12" s="28" t="n"/>
      <c r="B12" s="28" t="n"/>
      <c r="C12" s="28" t="n"/>
      <c r="D12" s="28" t="n"/>
      <c r="E12" s="28" t="n"/>
      <c r="F12" s="28" t="n"/>
      <c r="G12" s="29" t="n"/>
      <c r="H12" s="30">
        <f>IF(E12="","",E12/(1-G12))</f>
        <v/>
      </c>
      <c r="I12" s="31">
        <f>IF(H12="","",H12*D12)</f>
        <v/>
      </c>
      <c r="K12" s="22" t="n"/>
      <c r="L12" s="23" t="n"/>
    </row>
    <row r="13">
      <c r="A13" s="28" t="n"/>
      <c r="B13" s="28" t="n"/>
      <c r="C13" s="28" t="n"/>
      <c r="D13" s="28" t="n"/>
      <c r="E13" s="28" t="n"/>
      <c r="F13" s="28" t="n"/>
      <c r="G13" s="29" t="n"/>
      <c r="H13" s="30">
        <f>IF(E13="","",E13/(1-G13))</f>
        <v/>
      </c>
      <c r="I13" s="31">
        <f>IF(H13="","",H13*D13)</f>
        <v/>
      </c>
      <c r="K13" s="22" t="n"/>
      <c r="L13" s="23" t="n"/>
    </row>
    <row r="14">
      <c r="A14" s="28" t="n"/>
      <c r="B14" s="28" t="n"/>
      <c r="C14" s="28" t="n"/>
      <c r="D14" s="28" t="n"/>
      <c r="E14" s="28" t="n"/>
      <c r="F14" s="28" t="n"/>
      <c r="G14" s="29" t="n"/>
      <c r="H14" s="30">
        <f>IF(E14="","",E14/(1-G14))</f>
        <v/>
      </c>
      <c r="I14" s="31">
        <f>IF(H14="","",H14*D14)</f>
        <v/>
      </c>
      <c r="K14" s="32" t="n"/>
      <c r="L14" s="33" t="n"/>
    </row>
    <row r="15">
      <c r="K15" s="34" t="inlineStr">
        <is>
          <t>Insertar → Imagen → Desde archivo</t>
        </is>
      </c>
    </row>
    <row r="16">
      <c r="A16" s="35" t="inlineStr">
        <is>
          <t>COSTE TOTAL INGREDIENTES</t>
        </is>
      </c>
      <c r="I16" s="36">
        <f>SUM(I5:I14)</f>
        <v/>
      </c>
    </row>
    <row r="17">
      <c r="A17" s="37" t="inlineStr">
        <is>
          <t>Coste elaboración (%)</t>
        </is>
      </c>
      <c r="H17" s="19" t="n">
        <v>0.1</v>
      </c>
      <c r="I17" s="38">
        <f>I16*H17</f>
        <v/>
      </c>
    </row>
    <row r="18">
      <c r="A18" s="39" t="inlineStr">
        <is>
          <t>COSTE TOTAL DEL PLATO</t>
        </is>
      </c>
      <c r="I18" s="40">
        <f>I16+I17</f>
        <v/>
      </c>
    </row>
    <row r="20">
      <c r="A20" s="41" t="inlineStr">
        <is>
          <t>Food Cost objetivo (%)</t>
        </is>
      </c>
      <c r="H20" s="42" t="n">
        <v>0.3</v>
      </c>
    </row>
    <row r="21">
      <c r="A21" s="43" t="inlineStr">
        <is>
          <t>PVP SUGERIDO (sin IVA)</t>
        </is>
      </c>
      <c r="I21" s="44">
        <f>I18/H20</f>
        <v/>
      </c>
    </row>
    <row r="22">
      <c r="A22" s="45" t="inlineStr">
        <is>
          <t>PVP CON IVA (10% hostelería)</t>
        </is>
      </c>
      <c r="I22" s="46">
        <f>I21*1.10</f>
        <v/>
      </c>
    </row>
    <row r="23">
      <c r="A23" s="37" t="inlineStr">
        <is>
          <t>Margen bruto (€)</t>
        </is>
      </c>
      <c r="I23" s="38">
        <f>I21-I18</f>
        <v/>
      </c>
    </row>
    <row r="24">
      <c r="A24" s="37" t="inlineStr">
        <is>
          <t>Margen bruto (%)</t>
        </is>
      </c>
      <c r="I24" s="47">
        <f>I23/I21</f>
        <v/>
      </c>
    </row>
  </sheetData>
  <mergeCells count="13">
    <mergeCell ref="A18:H18"/>
    <mergeCell ref="A21:H21"/>
    <mergeCell ref="A2:I2"/>
    <mergeCell ref="A17:G17"/>
    <mergeCell ref="A24:H24"/>
    <mergeCell ref="A16:H16"/>
    <mergeCell ref="K15:L15"/>
    <mergeCell ref="A22:H22"/>
    <mergeCell ref="A1:I1"/>
    <mergeCell ref="A20:G20"/>
    <mergeCell ref="A23:H23"/>
    <mergeCell ref="K8:L9"/>
    <mergeCell ref="K3:L3"/>
  </mergeCells>
  <dataValidations count="2">
    <dataValidation sqref="B5 B6 B7 B8 B9 B10 B11 B12 B13 B14" showDropDown="0" showInputMessage="0" showErrorMessage="0" allowBlank="1" errorTitle="Categoría inválida" error="Selecciona una categoría válida" type="list">
      <formula1>"Carne roja,Aves,Pescado,Marisco,Verdura hoja,Verdura raíz,Fruta,Lácteos,Secos/granos,Congelados,Pan/bollería,Huevos,Aceites/grasas,Especias/hierbas,Chocolate/cacao,Bebidas/licores"</formula1>
    </dataValidation>
    <dataValidation sqref="C5 C6 C7 C8 C9 C10 C11 C12 C13 C14 F5 F6 F7 F8 F9 F10 F11 F12 F13 F14" showDropDown="0" showInputMessage="0" showErrorMessage="0" allowBlank="1" type="list">
      <formula1>"kg,g,L,ml,cl,ud,docena,manojo,sobre,lata,botella"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FF4444"/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40" customWidth="1" min="2" max="2"/>
    <col width="18" customWidth="1" min="3" max="3"/>
  </cols>
  <sheetData>
    <row r="2">
      <c r="B2" s="48" t="inlineStr">
        <is>
          <t>Resumen — Menú del Día</t>
        </is>
      </c>
    </row>
    <row r="4">
      <c r="B4" s="49" t="inlineStr">
        <is>
          <t>Concepto</t>
        </is>
      </c>
      <c r="C4" s="49" t="inlineStr">
        <is>
          <t>Coste (€)</t>
        </is>
      </c>
    </row>
    <row r="5">
      <c r="B5" s="50" t="inlineStr">
        <is>
          <t>Primer Plato</t>
        </is>
      </c>
      <c r="C5" s="38">
        <f>'Primer Plato'!I20</f>
        <v/>
      </c>
    </row>
    <row r="6">
      <c r="B6" s="50" t="inlineStr">
        <is>
          <t>Segundo Plato</t>
        </is>
      </c>
      <c r="C6" s="38">
        <f>'Segundo Plato'!I19</f>
        <v/>
      </c>
    </row>
    <row r="7">
      <c r="B7" s="50" t="inlineStr">
        <is>
          <t>Postre</t>
        </is>
      </c>
      <c r="C7" s="38">
        <f>'Postre'!I18</f>
        <v/>
      </c>
    </row>
    <row r="8">
      <c r="B8" s="50" t="inlineStr">
        <is>
          <t>Pan (por comensal)</t>
        </is>
      </c>
      <c r="C8" s="51" t="n">
        <v>0.15</v>
      </c>
    </row>
    <row r="9">
      <c r="B9" s="50" t="inlineStr">
        <is>
          <t>Bebida (agua/vino copa)</t>
        </is>
      </c>
      <c r="C9" s="51" t="n">
        <v>0.4</v>
      </c>
    </row>
    <row r="10">
      <c r="B10" s="50" t="inlineStr">
        <is>
          <t>Café</t>
        </is>
      </c>
      <c r="C10" s="51" t="n">
        <v>0.2</v>
      </c>
    </row>
    <row r="11">
      <c r="B11" s="52" t="inlineStr">
        <is>
          <t>COSTE TOTAL MENÚ DEL DÍA</t>
        </is>
      </c>
      <c r="C11" s="46">
        <f>SUM(C5:C10)</f>
        <v/>
      </c>
    </row>
    <row r="13">
      <c r="B13" s="53" t="inlineStr">
        <is>
          <t>Food Cost objetivo (%)</t>
        </is>
      </c>
      <c r="C13" s="29" t="n">
        <v>0.33</v>
      </c>
    </row>
    <row r="14">
      <c r="B14" s="54" t="inlineStr">
        <is>
          <t>PVP SUGERIDO MENÚ (sin IVA)</t>
        </is>
      </c>
      <c r="C14" s="44">
        <f>C11/C13</f>
        <v/>
      </c>
    </row>
    <row r="15">
      <c r="B15" s="55" t="inlineStr">
        <is>
          <t>PVP CON IVA (10%)</t>
        </is>
      </c>
      <c r="C15" s="46">
        <f>C14*1.10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2026-03-16T17:45:44Z</dcterms:created>
  <dcterms:modified xmlns:dcterms="http://purl.org/dc/terms/" xmlns:xsi="http://www.w3.org/2001/XMLSchema-instance" xsi:type="dcterms:W3CDTF">2026-03-16T17:45:44Z</dcterms:modified>
</cp:coreProperties>
</file>