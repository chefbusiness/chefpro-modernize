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Inventario Diario" sheetId="2" state="visible" r:id="rId2"/>
    <sheet name="Inventario Semanal" sheetId="3" state="visible" r:id="rId3"/>
    <sheet name="Limpieza Semanal" sheetId="4" state="visible" r:id="rId4"/>
    <sheet name="FIFO Semanal" sheetId="5" state="visible" r:id="rId5"/>
    <sheet name="Mantenimiento Mensual" sheetId="6" state="visible" r:id="rId6"/>
  </sheets>
  <definedNames>
    <definedName localSheetId="1" name="_xlnm.Print_Area">'Inventario Diario'!$A$1:$F$48</definedName>
    <definedName localSheetId="2" name="_xlnm.Print_Area">'Inventario Semanal'!$A$1:$F$58</definedName>
    <definedName localSheetId="3" name="_xlnm.Print_Area">'Limpieza Semanal'!$A$1:$G$30</definedName>
    <definedName localSheetId="4" name="_xlnm.Print_Area">'FIFO Semanal'!$A$1:$G$29</definedName>
    <definedName localSheetId="5" name="_xlnm.Print_Area">'Mantenimiento Mensual'!$A$1:$G$29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4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color rgb="00999999"/>
      <sz val="9"/>
    </font>
    <font>
      <sz val="9"/>
    </font>
    <font>
      <b val="1"/>
      <sz val="10"/>
    </font>
    <font>
      <b val="1"/>
      <color rgb="00228B22"/>
      <sz val="10"/>
    </font>
    <font>
      <name val="Calibr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2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borderId="1" fillId="4" fontId="6" numFmtId="0" pivotButton="0" quotePrefix="0" xfId="0"/>
    <xf applyAlignment="1" borderId="1" fillId="4" fontId="4" numFmtId="0" pivotButton="0" quotePrefix="0" xfId="0">
      <alignment horizontal="center"/>
    </xf>
    <xf applyAlignment="1" borderId="1" fillId="4" fontId="7" numFmtId="0" pivotButton="0" quotePrefix="0" xfId="0">
      <alignment horizontal="center"/>
    </xf>
    <xf borderId="1" fillId="4" fontId="0" numFmtId="0" pivotButton="0" quotePrefix="0" xfId="0"/>
    <xf borderId="1" fillId="5" fontId="6" numFmtId="0" pivotButton="0" quotePrefix="0" xfId="0"/>
    <xf applyAlignment="1" borderId="1" fillId="5" fontId="4" numFmtId="0" pivotButton="0" quotePrefix="0" xfId="0">
      <alignment horizontal="center"/>
    </xf>
    <xf applyAlignment="1" borderId="1" fillId="5" fontId="7" numFmtId="0" pivotButton="0" quotePrefix="0" xfId="0">
      <alignment horizontal="center"/>
    </xf>
    <xf borderId="1" fillId="5" fontId="0" numFmtId="0" pivotButton="0" quotePrefix="0" xfId="0"/>
    <xf applyAlignment="1" borderId="0" fillId="0" fontId="8" numFmtId="0" pivotButton="0" quotePrefix="0" xfId="0">
      <alignment horizontal="center"/>
    </xf>
    <xf applyAlignment="1" borderId="1" fillId="4" fontId="9" numFmtId="0" pivotButton="0" quotePrefix="0" xfId="0">
      <alignment horizontal="center"/>
    </xf>
    <xf borderId="1" fillId="4" fontId="10" numFmtId="164" pivotButton="0" quotePrefix="0" xfId="0"/>
    <xf applyAlignment="1" borderId="1" fillId="5" fontId="9" numFmtId="0" pivotButton="0" quotePrefix="0" xfId="0">
      <alignment horizontal="center"/>
    </xf>
    <xf borderId="1" fillId="5" fontId="10" numFmtId="164" pivotButton="0" quotePrefix="0" xfId="0"/>
    <xf borderId="0" fillId="0" fontId="11" numFmtId="0" pivotButton="0" quotePrefix="0" xfId="0"/>
    <xf borderId="0" fillId="0" fontId="12" numFmtId="164" pivotButton="0" quotePrefix="0" xfId="0"/>
    <xf applyAlignment="1" borderId="0" fillId="0" fontId="1" numFmtId="0" pivotButton="0" quotePrefix="0" xfId="0">
      <alignment horizontal="left" vertical="center"/>
    </xf>
    <xf borderId="0" fillId="0" fontId="13" numFmtId="0" pivotButton="0" quotePrefix="0" xfId="0"/>
    <xf applyAlignment="1" borderId="1" fillId="2" fontId="5" numFmtId="0" pivotButton="0" quotePrefix="0" xfId="0">
      <alignment horizontal="center" vertical="center"/>
    </xf>
    <xf applyAlignment="1" borderId="0" fillId="3" fontId="3" numFmtId="0" pivotButton="0" quotePrefix="0" xfId="0">
      <alignment vertical="center"/>
    </xf>
    <xf applyAlignment="1" borderId="1" fillId="4" fontId="6" numFmtId="0" pivotButton="0" quotePrefix="0" xfId="0">
      <alignment horizontal="center"/>
    </xf>
    <xf applyAlignment="1" borderId="1" fillId="5" fontId="6" numFmtId="0" pivotButton="0" quotePrefix="0" xfId="0">
      <alignment horizontal="center"/>
    </xf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Semanales, Mensuales e Inventarios — Cafetería / Brunch</t>
        </is>
      </c>
    </row>
    <row r="4">
      <c r="B4" s="2" t="inlineStr">
        <is>
          <t>Checklists periódicos + inventarios diarios y semanales para tu cafetería.</t>
        </is>
      </c>
    </row>
    <row r="6">
      <c r="B6" s="2" t="inlineStr">
        <is>
          <t>• Inventario Diario: lo hace el barista/cocinero al inicio del turno</t>
        </is>
      </c>
    </row>
    <row r="7">
      <c r="B7" s="2" t="inlineStr">
        <is>
          <t>• Inventario Semanal: lo hace el encargado cada lunes</t>
        </is>
      </c>
    </row>
    <row r="8">
      <c r="B8" s="2" t="inlineStr">
        <is>
          <t>• Limpieza, FIFO y mantenimiento: según frecuencia indicada</t>
        </is>
      </c>
    </row>
    <row r="10">
      <c r="B10" s="3" t="inlineStr">
        <is>
          <t>Formato: ☐ = tarea pendiente · ✓ = completada (escribe en columna 'Hecha')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0"/>
    <col customWidth="1" max="3" min="3" width="10"/>
    <col customWidth="1" max="4" min="4" width="10"/>
    <col customWidth="1" max="5" min="5" width="14"/>
    <col customWidth="1" max="6" min="6" width="20"/>
  </cols>
  <sheetData>
    <row customHeight="1" ht="30" r="1">
      <c r="A1" s="1" t="inlineStr">
        <is>
          <t>Inventario Diario de Partida — Stock Inmediato</t>
        </is>
      </c>
    </row>
    <row r="2">
      <c r="A2" s="4" t="inlineStr">
        <is>
          <t>Fecha: ___/___/______    Turno: ☐ Mañana  ☐ Tarde    Responsable: ________________</t>
        </is>
      </c>
    </row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Notas / Pedido</t>
        </is>
      </c>
    </row>
    <row r="5">
      <c r="A5" s="6" t="inlineStr">
        <is>
          <t xml:space="preserve">  CAFÉ</t>
        </is>
      </c>
    </row>
    <row r="6">
      <c r="A6" s="7" t="inlineStr">
        <is>
          <t>Café en grano — blend principal</t>
        </is>
      </c>
      <c r="B6" s="7" t="n"/>
      <c r="C6" s="8" t="inlineStr">
        <is>
          <t>kg</t>
        </is>
      </c>
      <c r="D6" s="8" t="inlineStr">
        <is>
          <t>2</t>
        </is>
      </c>
      <c r="E6" s="9">
        <f>IF(B6="","",IF(B6&lt;D6,"⚠️ PEDIR","OK"))</f>
        <v/>
      </c>
      <c r="F6" s="10" t="n"/>
    </row>
    <row r="7">
      <c r="A7" s="11" t="inlineStr">
        <is>
          <t>Café en grano — origen/especialidad</t>
        </is>
      </c>
      <c r="B7" s="11" t="n"/>
      <c r="C7" s="12" t="inlineStr">
        <is>
          <t>kg</t>
        </is>
      </c>
      <c r="D7" s="12" t="inlineStr">
        <is>
          <t>1</t>
        </is>
      </c>
      <c r="E7" s="13">
        <f>IF(B7="","",IF(B7&lt;D7,"⚠️ PEDIR","OK"))</f>
        <v/>
      </c>
      <c r="F7" s="14" t="n"/>
    </row>
    <row r="8">
      <c r="A8" s="7" t="inlineStr">
        <is>
          <t>Café descafeinado en grano</t>
        </is>
      </c>
      <c r="B8" s="7" t="n"/>
      <c r="C8" s="8" t="inlineStr">
        <is>
          <t>kg</t>
        </is>
      </c>
      <c r="D8" s="8" t="inlineStr">
        <is>
          <t>0.5</t>
        </is>
      </c>
      <c r="E8" s="9">
        <f>IF(B8="","",IF(B8&lt;D8,"⚠️ PEDIR","OK"))</f>
        <v/>
      </c>
      <c r="F8" s="10" t="n"/>
    </row>
    <row r="9">
      <c r="A9" s="6" t="inlineStr">
        <is>
          <t xml:space="preserve">  LECHES</t>
        </is>
      </c>
    </row>
    <row r="10">
      <c r="A10" s="7" t="inlineStr">
        <is>
          <t>Leche entera</t>
        </is>
      </c>
      <c r="B10" s="7" t="n"/>
      <c r="C10" s="8" t="inlineStr">
        <is>
          <t>L</t>
        </is>
      </c>
      <c r="D10" s="8" t="inlineStr">
        <is>
          <t>5</t>
        </is>
      </c>
      <c r="E10" s="9">
        <f>IF(B10="","",IF(B10&lt;D10,"⚠️ PEDIR","OK"))</f>
        <v/>
      </c>
      <c r="F10" s="10" t="n"/>
    </row>
    <row r="11">
      <c r="A11" s="11" t="inlineStr">
        <is>
          <t>Leche desnatada</t>
        </is>
      </c>
      <c r="B11" s="11" t="n"/>
      <c r="C11" s="12" t="inlineStr">
        <is>
          <t>L</t>
        </is>
      </c>
      <c r="D11" s="12" t="inlineStr">
        <is>
          <t>3</t>
        </is>
      </c>
      <c r="E11" s="13">
        <f>IF(B11="","",IF(B11&lt;D11,"⚠️ PEDIR","OK"))</f>
        <v/>
      </c>
      <c r="F11" s="14" t="n"/>
    </row>
    <row r="12">
      <c r="A12" s="7" t="inlineStr">
        <is>
          <t>Leche de avena</t>
        </is>
      </c>
      <c r="B12" s="7" t="n"/>
      <c r="C12" s="8" t="inlineStr">
        <is>
          <t>L</t>
        </is>
      </c>
      <c r="D12" s="8" t="inlineStr">
        <is>
          <t>3</t>
        </is>
      </c>
      <c r="E12" s="9">
        <f>IF(B12="","",IF(B12&lt;D12,"⚠️ PEDIR","OK"))</f>
        <v/>
      </c>
      <c r="F12" s="10" t="n"/>
    </row>
    <row r="13">
      <c r="A13" s="11" t="inlineStr">
        <is>
          <t>Leche de soja</t>
        </is>
      </c>
      <c r="B13" s="11" t="n"/>
      <c r="C13" s="12" t="inlineStr">
        <is>
          <t>L</t>
        </is>
      </c>
      <c r="D13" s="12" t="inlineStr">
        <is>
          <t>2</t>
        </is>
      </c>
      <c r="E13" s="13">
        <f>IF(B13="","",IF(B13&lt;D13,"⚠️ PEDIR","OK"))</f>
        <v/>
      </c>
      <c r="F13" s="14" t="n"/>
    </row>
    <row r="14">
      <c r="A14" s="7" t="inlineStr">
        <is>
          <t>Leche de almendra</t>
        </is>
      </c>
      <c r="B14" s="7" t="n"/>
      <c r="C14" s="8" t="inlineStr">
        <is>
          <t>L</t>
        </is>
      </c>
      <c r="D14" s="8" t="inlineStr">
        <is>
          <t>2</t>
        </is>
      </c>
      <c r="E14" s="9">
        <f>IF(B14="","",IF(B14&lt;D14,"⚠️ PEDIR","OK"))</f>
        <v/>
      </c>
      <c r="F14" s="10" t="n"/>
    </row>
    <row r="15">
      <c r="A15" s="11" t="inlineStr">
        <is>
          <t>Nata para montar</t>
        </is>
      </c>
      <c r="B15" s="11" t="n"/>
      <c r="C15" s="12" t="inlineStr">
        <is>
          <t>L</t>
        </is>
      </c>
      <c r="D15" s="12" t="inlineStr">
        <is>
          <t>1</t>
        </is>
      </c>
      <c r="E15" s="13">
        <f>IF(B15="","",IF(B15&lt;D15,"⚠️ PEDIR","OK"))</f>
        <v/>
      </c>
      <c r="F15" s="14" t="n"/>
    </row>
    <row r="16">
      <c r="A16" s="6" t="inlineStr">
        <is>
          <t xml:space="preserve">  BEBIDAS</t>
        </is>
      </c>
    </row>
    <row r="17">
      <c r="A17" s="11" t="inlineStr">
        <is>
          <t>Cacao en polvo</t>
        </is>
      </c>
      <c r="B17" s="11" t="n"/>
      <c r="C17" s="12" t="inlineStr">
        <is>
          <t>kg</t>
        </is>
      </c>
      <c r="D17" s="12" t="inlineStr">
        <is>
          <t>0.5</t>
        </is>
      </c>
      <c r="E17" s="13">
        <f>IF(B17="","",IF(B17&lt;D17,"⚠️ PEDIR","OK"))</f>
        <v/>
      </c>
      <c r="F17" s="14" t="n"/>
    </row>
    <row r="18">
      <c r="A18" s="7" t="inlineStr">
        <is>
          <t>Matcha en polvo</t>
        </is>
      </c>
      <c r="B18" s="7" t="n"/>
      <c r="C18" s="8" t="inlineStr">
        <is>
          <t>g</t>
        </is>
      </c>
      <c r="D18" s="8" t="inlineStr">
        <is>
          <t>100</t>
        </is>
      </c>
      <c r="E18" s="9">
        <f>IF(B18="","",IF(B18&lt;D18,"⚠️ PEDIR","OK"))</f>
        <v/>
      </c>
      <c r="F18" s="10" t="n"/>
    </row>
    <row r="19">
      <c r="A19" s="11" t="inlineStr">
        <is>
          <t>Sirope de vainilla</t>
        </is>
      </c>
      <c r="B19" s="11" t="n"/>
      <c r="C19" s="12" t="inlineStr">
        <is>
          <t>L</t>
        </is>
      </c>
      <c r="D19" s="12" t="inlineStr">
        <is>
          <t>0.5</t>
        </is>
      </c>
      <c r="E19" s="13">
        <f>IF(B19="","",IF(B19&lt;D19,"⚠️ PEDIR","OK"))</f>
        <v/>
      </c>
      <c r="F19" s="14" t="n"/>
    </row>
    <row r="20">
      <c r="A20" s="7" t="inlineStr">
        <is>
          <t>Sirope de caramelo</t>
        </is>
      </c>
      <c r="B20" s="7" t="n"/>
      <c r="C20" s="8" t="inlineStr">
        <is>
          <t>L</t>
        </is>
      </c>
      <c r="D20" s="8" t="inlineStr">
        <is>
          <t>0.5</t>
        </is>
      </c>
      <c r="E20" s="9">
        <f>IF(B20="","",IF(B20&lt;D20,"⚠️ PEDIR","OK"))</f>
        <v/>
      </c>
      <c r="F20" s="10" t="n"/>
    </row>
    <row r="21">
      <c r="A21" s="11" t="inlineStr">
        <is>
          <t>Té / Infusiones (variedades)</t>
        </is>
      </c>
      <c r="B21" s="11" t="n"/>
      <c r="C21" s="12" t="inlineStr">
        <is>
          <t>uds</t>
        </is>
      </c>
      <c r="D21" s="12" t="inlineStr">
        <is>
          <t>20</t>
        </is>
      </c>
      <c r="E21" s="13">
        <f>IF(B21="","",IF(B21&lt;D21,"⚠️ PEDIR","OK"))</f>
        <v/>
      </c>
      <c r="F21" s="14" t="n"/>
    </row>
    <row r="22">
      <c r="A22" s="7" t="inlineStr">
        <is>
          <t>Zumo de naranja natural</t>
        </is>
      </c>
      <c r="B22" s="7" t="n"/>
      <c r="C22" s="8" t="inlineStr">
        <is>
          <t>L</t>
        </is>
      </c>
      <c r="D22" s="8" t="inlineStr">
        <is>
          <t>3</t>
        </is>
      </c>
      <c r="E22" s="9">
        <f>IF(B22="","",IF(B22&lt;D22,"⚠️ PEDIR","OK"))</f>
        <v/>
      </c>
      <c r="F22" s="10" t="n"/>
    </row>
    <row r="23">
      <c r="A23" s="6" t="inlineStr">
        <is>
          <t xml:space="preserve">  PANADERÍA Y BOLLERÍA</t>
        </is>
      </c>
    </row>
    <row r="24">
      <c r="A24" s="7" t="inlineStr">
        <is>
          <t>Pan sourdough</t>
        </is>
      </c>
      <c r="B24" s="7" t="n"/>
      <c r="C24" s="8" t="inlineStr">
        <is>
          <t>uds</t>
        </is>
      </c>
      <c r="D24" s="8" t="inlineStr">
        <is>
          <t>10</t>
        </is>
      </c>
      <c r="E24" s="9">
        <f>IF(B24="","",IF(B24&lt;D24,"⚠️ PEDIR","OK"))</f>
        <v/>
      </c>
      <c r="F24" s="10" t="n"/>
    </row>
    <row r="25">
      <c r="A25" s="11" t="inlineStr">
        <is>
          <t>Pan brioche</t>
        </is>
      </c>
      <c r="B25" s="11" t="n"/>
      <c r="C25" s="12" t="inlineStr">
        <is>
          <t>uds</t>
        </is>
      </c>
      <c r="D25" s="12" t="inlineStr">
        <is>
          <t>8</t>
        </is>
      </c>
      <c r="E25" s="13">
        <f>IF(B25="","",IF(B25&lt;D25,"⚠️ PEDIR","OK"))</f>
        <v/>
      </c>
      <c r="F25" s="14" t="n"/>
    </row>
    <row r="26">
      <c r="A26" s="7" t="inlineStr">
        <is>
          <t>Pan integral/centeno</t>
        </is>
      </c>
      <c r="B26" s="7" t="n"/>
      <c r="C26" s="8" t="inlineStr">
        <is>
          <t>uds</t>
        </is>
      </c>
      <c r="D26" s="8" t="inlineStr">
        <is>
          <t>6</t>
        </is>
      </c>
      <c r="E26" s="9">
        <f>IF(B26="","",IF(B26&lt;D26,"⚠️ PEDIR","OK"))</f>
        <v/>
      </c>
      <c r="F26" s="10" t="n"/>
    </row>
    <row r="27">
      <c r="A27" s="11" t="inlineStr">
        <is>
          <t>Croissants</t>
        </is>
      </c>
      <c r="B27" s="11" t="n"/>
      <c r="C27" s="12" t="inlineStr">
        <is>
          <t>uds</t>
        </is>
      </c>
      <c r="D27" s="12" t="inlineStr">
        <is>
          <t>12</t>
        </is>
      </c>
      <c r="E27" s="13">
        <f>IF(B27="","",IF(B27&lt;D27,"⚠️ PEDIR","OK"))</f>
        <v/>
      </c>
      <c r="F27" s="14" t="n"/>
    </row>
    <row r="28">
      <c r="A28" s="7" t="inlineStr">
        <is>
          <t>Muffins / Magdalenas</t>
        </is>
      </c>
      <c r="B28" s="7" t="n"/>
      <c r="C28" s="8" t="inlineStr">
        <is>
          <t>uds</t>
        </is>
      </c>
      <c r="D28" s="8" t="inlineStr">
        <is>
          <t>10</t>
        </is>
      </c>
      <c r="E28" s="9">
        <f>IF(B28="","",IF(B28&lt;D28,"⚠️ PEDIR","OK"))</f>
        <v/>
      </c>
      <c r="F28" s="10" t="n"/>
    </row>
    <row r="29">
      <c r="A29" s="11" t="inlineStr">
        <is>
          <t>Cookies / Brownies</t>
        </is>
      </c>
      <c r="B29" s="11" t="n"/>
      <c r="C29" s="12" t="inlineStr">
        <is>
          <t>uds</t>
        </is>
      </c>
      <c r="D29" s="12" t="inlineStr">
        <is>
          <t>8</t>
        </is>
      </c>
      <c r="E29" s="13">
        <f>IF(B29="","",IF(B29&lt;D29,"⚠️ PEDIR","OK"))</f>
        <v/>
      </c>
      <c r="F29" s="14" t="n"/>
    </row>
    <row r="30">
      <c r="A30" s="6" t="inlineStr">
        <is>
          <t xml:space="preserve">  FRESCOS BRUNCH</t>
        </is>
      </c>
    </row>
    <row r="31">
      <c r="A31" s="11" t="inlineStr">
        <is>
          <t>Huevos</t>
        </is>
      </c>
      <c r="B31" s="11" t="n"/>
      <c r="C31" s="12" t="inlineStr">
        <is>
          <t>uds</t>
        </is>
      </c>
      <c r="D31" s="12" t="inlineStr">
        <is>
          <t>30</t>
        </is>
      </c>
      <c r="E31" s="13">
        <f>IF(B31="","",IF(B31&lt;D31,"⚠️ PEDIR","OK"))</f>
        <v/>
      </c>
      <c r="F31" s="14" t="n"/>
    </row>
    <row r="32">
      <c r="A32" s="7" t="inlineStr">
        <is>
          <t>Aguacate</t>
        </is>
      </c>
      <c r="B32" s="7" t="n"/>
      <c r="C32" s="8" t="inlineStr">
        <is>
          <t>uds</t>
        </is>
      </c>
      <c r="D32" s="8" t="inlineStr">
        <is>
          <t>6</t>
        </is>
      </c>
      <c r="E32" s="9">
        <f>IF(B32="","",IF(B32&lt;D32,"⚠️ PEDIR","OK"))</f>
        <v/>
      </c>
      <c r="F32" s="10" t="n"/>
    </row>
    <row r="33">
      <c r="A33" s="11" t="inlineStr">
        <is>
          <t>Salmón ahumado</t>
        </is>
      </c>
      <c r="B33" s="11" t="n"/>
      <c r="C33" s="12" t="inlineStr">
        <is>
          <t>g</t>
        </is>
      </c>
      <c r="D33" s="12" t="inlineStr">
        <is>
          <t>300</t>
        </is>
      </c>
      <c r="E33" s="13">
        <f>IF(B33="","",IF(B33&lt;D33,"⚠️ PEDIR","OK"))</f>
        <v/>
      </c>
      <c r="F33" s="14" t="n"/>
    </row>
    <row r="34">
      <c r="A34" s="7" t="inlineStr">
        <is>
          <t>Bacon</t>
        </is>
      </c>
      <c r="B34" s="7" t="n"/>
      <c r="C34" s="8" t="inlineStr">
        <is>
          <t>g</t>
        </is>
      </c>
      <c r="D34" s="8" t="inlineStr">
        <is>
          <t>500</t>
        </is>
      </c>
      <c r="E34" s="9">
        <f>IF(B34="","",IF(B34&lt;D34,"⚠️ PEDIR","OK"))</f>
        <v/>
      </c>
      <c r="F34" s="10" t="n"/>
    </row>
    <row r="35">
      <c r="A35" s="11" t="inlineStr">
        <is>
          <t>Mantequilla</t>
        </is>
      </c>
      <c r="B35" s="11" t="n"/>
      <c r="C35" s="12" t="inlineStr">
        <is>
          <t>g</t>
        </is>
      </c>
      <c r="D35" s="12" t="inlineStr">
        <is>
          <t>250</t>
        </is>
      </c>
      <c r="E35" s="13">
        <f>IF(B35="","",IF(B35&lt;D35,"⚠️ PEDIR","OK"))</f>
        <v/>
      </c>
      <c r="F35" s="14" t="n"/>
    </row>
    <row r="36">
      <c r="A36" s="7" t="inlineStr">
        <is>
          <t>Queso crema</t>
        </is>
      </c>
      <c r="B36" s="7" t="n"/>
      <c r="C36" s="8" t="inlineStr">
        <is>
          <t>g</t>
        </is>
      </c>
      <c r="D36" s="8" t="inlineStr">
        <is>
          <t>250</t>
        </is>
      </c>
      <c r="E36" s="9">
        <f>IF(B36="","",IF(B36&lt;D36,"⚠️ PEDIR","OK"))</f>
        <v/>
      </c>
      <c r="F36" s="10" t="n"/>
    </row>
    <row r="37">
      <c r="A37" s="11" t="inlineStr">
        <is>
          <t>Fruta fresca (plátano, fresa, arándanos)</t>
        </is>
      </c>
      <c r="B37" s="11" t="n"/>
      <c r="C37" s="12" t="inlineStr">
        <is>
          <t>kg</t>
        </is>
      </c>
      <c r="D37" s="12" t="inlineStr">
        <is>
          <t>2</t>
        </is>
      </c>
      <c r="E37" s="13">
        <f>IF(B37="","",IF(B37&lt;D37,"⚠️ PEDIR","OK"))</f>
        <v/>
      </c>
      <c r="F37" s="14" t="n"/>
    </row>
    <row r="38">
      <c r="A38" s="7" t="inlineStr">
        <is>
          <t>Granola</t>
        </is>
      </c>
      <c r="B38" s="7" t="n"/>
      <c r="C38" s="8" t="inlineStr">
        <is>
          <t>kg</t>
        </is>
      </c>
      <c r="D38" s="8" t="inlineStr">
        <is>
          <t>0.5</t>
        </is>
      </c>
      <c r="E38" s="9">
        <f>IF(B38="","",IF(B38&lt;D38,"⚠️ PEDIR","OK"))</f>
        <v/>
      </c>
      <c r="F38" s="10" t="n"/>
    </row>
    <row r="39">
      <c r="A39" s="6" t="inlineStr">
        <is>
          <t xml:space="preserve">  PACKAGING (TAKE-AWAY)</t>
        </is>
      </c>
    </row>
    <row r="40">
      <c r="A40" s="7" t="inlineStr">
        <is>
          <t>Vasos take-away (medianos)</t>
        </is>
      </c>
      <c r="B40" s="7" t="n"/>
      <c r="C40" s="8" t="inlineStr">
        <is>
          <t>uds</t>
        </is>
      </c>
      <c r="D40" s="8" t="inlineStr">
        <is>
          <t>50</t>
        </is>
      </c>
      <c r="E40" s="9">
        <f>IF(B40="","",IF(B40&lt;D40,"⚠️ PEDIR","OK"))</f>
        <v/>
      </c>
      <c r="F40" s="10" t="n"/>
    </row>
    <row r="41">
      <c r="A41" s="11" t="inlineStr">
        <is>
          <t>Vasos take-away (grandes)</t>
        </is>
      </c>
      <c r="B41" s="11" t="n"/>
      <c r="C41" s="12" t="inlineStr">
        <is>
          <t>uds</t>
        </is>
      </c>
      <c r="D41" s="12" t="inlineStr">
        <is>
          <t>30</t>
        </is>
      </c>
      <c r="E41" s="13">
        <f>IF(B41="","",IF(B41&lt;D41,"⚠️ PEDIR","OK"))</f>
        <v/>
      </c>
      <c r="F41" s="14" t="n"/>
    </row>
    <row r="42">
      <c r="A42" s="7" t="inlineStr">
        <is>
          <t>Tapas para vasos</t>
        </is>
      </c>
      <c r="B42" s="7" t="n"/>
      <c r="C42" s="8" t="inlineStr">
        <is>
          <t>uds</t>
        </is>
      </c>
      <c r="D42" s="8" t="inlineStr">
        <is>
          <t>80</t>
        </is>
      </c>
      <c r="E42" s="9">
        <f>IF(B42="","",IF(B42&lt;D42,"⚠️ PEDIR","OK"))</f>
        <v/>
      </c>
      <c r="F42" s="10" t="n"/>
    </row>
    <row r="43">
      <c r="A43" s="11" t="inlineStr">
        <is>
          <t>Bolsas para bollería</t>
        </is>
      </c>
      <c r="B43" s="11" t="n"/>
      <c r="C43" s="12" t="inlineStr">
        <is>
          <t>uds</t>
        </is>
      </c>
      <c r="D43" s="12" t="inlineStr">
        <is>
          <t>30</t>
        </is>
      </c>
      <c r="E43" s="13">
        <f>IF(B43="","",IF(B43&lt;D43,"⚠️ PEDIR","OK"))</f>
        <v/>
      </c>
      <c r="F43" s="14" t="n"/>
    </row>
    <row r="44">
      <c r="A44" s="7" t="inlineStr">
        <is>
          <t>Servilletas</t>
        </is>
      </c>
      <c r="B44" s="7" t="n"/>
      <c r="C44" s="8" t="inlineStr">
        <is>
          <t>uds</t>
        </is>
      </c>
      <c r="D44" s="8" t="inlineStr">
        <is>
          <t>100</t>
        </is>
      </c>
      <c r="E44" s="9">
        <f>IF(B44="","",IF(B44&lt;D44,"⚠️ PEDIR","OK"))</f>
        <v/>
      </c>
      <c r="F44" s="10" t="n"/>
    </row>
    <row r="46">
      <c r="A46" s="4" t="inlineStr">
        <is>
          <t>Firma responsable: _________________________    Hora: _________</t>
        </is>
      </c>
    </row>
    <row r="48">
      <c r="A48" s="15" t="inlineStr">
        <is>
          <t>— Kit de Tareas Recurrentes: Cafetería / Brunch · AI Chef Pro · aichef.pro —</t>
        </is>
      </c>
    </row>
  </sheetData>
  <mergeCells count="10">
    <mergeCell ref="A16:F16"/>
    <mergeCell ref="A48:F48"/>
    <mergeCell ref="A2:F2"/>
    <mergeCell ref="A30:F30"/>
    <mergeCell ref="A46:F46"/>
    <mergeCell ref="A9:F9"/>
    <mergeCell ref="A23:F23"/>
    <mergeCell ref="A39:F39"/>
    <mergeCell ref="A5:F5"/>
    <mergeCell ref="A1:F1"/>
  </mergeCells>
  <pageMargins bottom="1" footer="0.5" header="0.5" left="0.75" right="0.75" top="1"/>
  <pageSetup orientation="portrait" paperSize="9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0"/>
    <col customWidth="1" max="3" min="3" width="10"/>
    <col customWidth="1" max="4" min="4" width="12"/>
    <col customWidth="1" max="5" min="5" width="12"/>
    <col customWidth="1" max="6" min="6" width="20"/>
  </cols>
  <sheetData>
    <row customHeight="1" ht="30" r="1">
      <c r="A1" s="1" t="inlineStr">
        <is>
          <t>Inventario Semanal de Almacén — Conteo por Rubros</t>
        </is>
      </c>
    </row>
    <row r="2">
      <c r="A2" s="4" t="inlineStr">
        <is>
          <t>Semana del ___/___/______ al ___/___/______    Responsable: ________________</t>
        </is>
      </c>
    </row>
    <row r="4">
      <c r="A4" s="5" t="inlineStr">
        <is>
          <t>Producto / Rubro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Coste unit.</t>
        </is>
      </c>
      <c r="E4" s="5" t="inlineStr">
        <is>
          <t>Valor total</t>
        </is>
      </c>
      <c r="F4" s="5" t="inlineStr">
        <is>
          <t>Pedido necesario</t>
        </is>
      </c>
    </row>
    <row r="5">
      <c r="A5" s="6" t="inlineStr">
        <is>
          <t xml:space="preserve">  CAFÉ Y TÉ</t>
        </is>
      </c>
    </row>
    <row r="6">
      <c r="A6" s="7" t="inlineStr">
        <is>
          <t>Café blend principal (bolsas 1kg)</t>
        </is>
      </c>
      <c r="B6" s="10" t="n"/>
      <c r="C6" s="8" t="inlineStr">
        <is>
          <t>kg</t>
        </is>
      </c>
      <c r="D6" s="16" t="n"/>
      <c r="E6" s="17">
        <f>IF(B6="","",B6*D6)</f>
        <v/>
      </c>
      <c r="F6" s="10" t="n"/>
    </row>
    <row r="7">
      <c r="A7" s="11" t="inlineStr">
        <is>
          <t>Café origen/especialidad</t>
        </is>
      </c>
      <c r="B7" s="14" t="n"/>
      <c r="C7" s="12" t="inlineStr">
        <is>
          <t>kg</t>
        </is>
      </c>
      <c r="D7" s="18" t="n"/>
      <c r="E7" s="19">
        <f>IF(B7="","",B7*D7)</f>
        <v/>
      </c>
      <c r="F7" s="14" t="n"/>
    </row>
    <row r="8">
      <c r="A8" s="7" t="inlineStr">
        <is>
          <t>Café descafeinado</t>
        </is>
      </c>
      <c r="B8" s="10" t="n"/>
      <c r="C8" s="8" t="inlineStr">
        <is>
          <t>kg</t>
        </is>
      </c>
      <c r="D8" s="16" t="n"/>
      <c r="E8" s="17">
        <f>IF(B8="","",B8*D8)</f>
        <v/>
      </c>
      <c r="F8" s="10" t="n"/>
    </row>
    <row r="9">
      <c r="A9" s="11" t="inlineStr">
        <is>
          <t>Té surtido (cajas)</t>
        </is>
      </c>
      <c r="B9" s="14" t="n"/>
      <c r="C9" s="12" t="inlineStr">
        <is>
          <t>uds</t>
        </is>
      </c>
      <c r="D9" s="18" t="n"/>
      <c r="E9" s="19">
        <f>IF(B9="","",B9*D9)</f>
        <v/>
      </c>
      <c r="F9" s="14" t="n"/>
    </row>
    <row r="10">
      <c r="A10" s="7" t="inlineStr">
        <is>
          <t>Matcha</t>
        </is>
      </c>
      <c r="B10" s="10" t="n"/>
      <c r="C10" s="8" t="inlineStr">
        <is>
          <t>g</t>
        </is>
      </c>
      <c r="D10" s="16" t="n"/>
      <c r="E10" s="17">
        <f>IF(B10="","",B10*D10)</f>
        <v/>
      </c>
      <c r="F10" s="10" t="n"/>
    </row>
    <row r="11">
      <c r="A11" s="6" t="inlineStr">
        <is>
          <t xml:space="preserve">  LÁCTEOS Y LECHES</t>
        </is>
      </c>
    </row>
    <row r="12">
      <c r="A12" s="7" t="inlineStr">
        <is>
          <t>Leche entera (briks/botellas)</t>
        </is>
      </c>
      <c r="B12" s="10" t="n"/>
      <c r="C12" s="8" t="inlineStr">
        <is>
          <t>L</t>
        </is>
      </c>
      <c r="D12" s="16" t="n"/>
      <c r="E12" s="17">
        <f>IF(B12="","",B12*D12)</f>
        <v/>
      </c>
      <c r="F12" s="10" t="n"/>
    </row>
    <row r="13">
      <c r="A13" s="11" t="inlineStr">
        <is>
          <t>Leche desnatada</t>
        </is>
      </c>
      <c r="B13" s="14" t="n"/>
      <c r="C13" s="12" t="inlineStr">
        <is>
          <t>L</t>
        </is>
      </c>
      <c r="D13" s="18" t="n"/>
      <c r="E13" s="19">
        <f>IF(B13="","",B13*D13)</f>
        <v/>
      </c>
      <c r="F13" s="14" t="n"/>
    </row>
    <row r="14">
      <c r="A14" s="7" t="inlineStr">
        <is>
          <t>Leche de avena</t>
        </is>
      </c>
      <c r="B14" s="10" t="n"/>
      <c r="C14" s="8" t="inlineStr">
        <is>
          <t>L</t>
        </is>
      </c>
      <c r="D14" s="16" t="n"/>
      <c r="E14" s="17">
        <f>IF(B14="","",B14*D14)</f>
        <v/>
      </c>
      <c r="F14" s="10" t="n"/>
    </row>
    <row r="15">
      <c r="A15" s="11" t="inlineStr">
        <is>
          <t>Leche de soja</t>
        </is>
      </c>
      <c r="B15" s="14" t="n"/>
      <c r="C15" s="12" t="inlineStr">
        <is>
          <t>L</t>
        </is>
      </c>
      <c r="D15" s="18" t="n"/>
      <c r="E15" s="19">
        <f>IF(B15="","",B15*D15)</f>
        <v/>
      </c>
      <c r="F15" s="14" t="n"/>
    </row>
    <row r="16">
      <c r="A16" s="7" t="inlineStr">
        <is>
          <t>Leche de almendra</t>
        </is>
      </c>
      <c r="B16" s="10" t="n"/>
      <c r="C16" s="8" t="inlineStr">
        <is>
          <t>L</t>
        </is>
      </c>
      <c r="D16" s="16" t="n"/>
      <c r="E16" s="17">
        <f>IF(B16="","",B16*D16)</f>
        <v/>
      </c>
      <c r="F16" s="10" t="n"/>
    </row>
    <row r="17">
      <c r="A17" s="11" t="inlineStr">
        <is>
          <t>Nata para montar</t>
        </is>
      </c>
      <c r="B17" s="14" t="n"/>
      <c r="C17" s="12" t="inlineStr">
        <is>
          <t>L</t>
        </is>
      </c>
      <c r="D17" s="18" t="n"/>
      <c r="E17" s="19">
        <f>IF(B17="","",B17*D17)</f>
        <v/>
      </c>
      <c r="F17" s="14" t="n"/>
    </row>
    <row r="18">
      <c r="A18" s="7" t="inlineStr">
        <is>
          <t>Mantequilla</t>
        </is>
      </c>
      <c r="B18" s="10" t="n"/>
      <c r="C18" s="8" t="inlineStr">
        <is>
          <t>kg</t>
        </is>
      </c>
      <c r="D18" s="16" t="n"/>
      <c r="E18" s="17">
        <f>IF(B18="","",B18*D18)</f>
        <v/>
      </c>
      <c r="F18" s="10" t="n"/>
    </row>
    <row r="19">
      <c r="A19" s="11" t="inlineStr">
        <is>
          <t>Queso crema</t>
        </is>
      </c>
      <c r="B19" s="14" t="n"/>
      <c r="C19" s="12" t="inlineStr">
        <is>
          <t>kg</t>
        </is>
      </c>
      <c r="D19" s="18" t="n"/>
      <c r="E19" s="19">
        <f>IF(B19="","",B19*D19)</f>
        <v/>
      </c>
      <c r="F19" s="14" t="n"/>
    </row>
    <row r="20">
      <c r="A20" s="6" t="inlineStr">
        <is>
          <t xml:space="preserve">  PANADERÍA / BOLLERÍA</t>
        </is>
      </c>
    </row>
    <row r="21">
      <c r="A21" s="11" t="inlineStr">
        <is>
          <t>Pan sourdough (hogazas)</t>
        </is>
      </c>
      <c r="B21" s="14" t="n"/>
      <c r="C21" s="12" t="inlineStr">
        <is>
          <t>uds</t>
        </is>
      </c>
      <c r="D21" s="18" t="n"/>
      <c r="E21" s="19">
        <f>IF(B21="","",B21*D21)</f>
        <v/>
      </c>
      <c r="F21" s="14" t="n"/>
    </row>
    <row r="22">
      <c r="A22" s="7" t="inlineStr">
        <is>
          <t>Pan brioche (piezas)</t>
        </is>
      </c>
      <c r="B22" s="10" t="n"/>
      <c r="C22" s="8" t="inlineStr">
        <is>
          <t>uds</t>
        </is>
      </c>
      <c r="D22" s="16" t="n"/>
      <c r="E22" s="17">
        <f>IF(B22="","",B22*D22)</f>
        <v/>
      </c>
      <c r="F22" s="10" t="n"/>
    </row>
    <row r="23">
      <c r="A23" s="11" t="inlineStr">
        <is>
          <t>Croissants (congelados o frescos)</t>
        </is>
      </c>
      <c r="B23" s="14" t="n"/>
      <c r="C23" s="12" t="inlineStr">
        <is>
          <t>uds</t>
        </is>
      </c>
      <c r="D23" s="18" t="n"/>
      <c r="E23" s="19">
        <f>IF(B23="","",B23*D23)</f>
        <v/>
      </c>
      <c r="F23" s="14" t="n"/>
    </row>
    <row r="24">
      <c r="A24" s="7" t="inlineStr">
        <is>
          <t>Masa de muffins / bollería</t>
        </is>
      </c>
      <c r="B24" s="10" t="n"/>
      <c r="C24" s="8" t="inlineStr">
        <is>
          <t>kg</t>
        </is>
      </c>
      <c r="D24" s="16" t="n"/>
      <c r="E24" s="17">
        <f>IF(B24="","",B24*D24)</f>
        <v/>
      </c>
      <c r="F24" s="10" t="n"/>
    </row>
    <row r="25">
      <c r="A25" s="11" t="inlineStr">
        <is>
          <t>Harina, azúcar, levadura (producción propia)</t>
        </is>
      </c>
      <c r="B25" s="14" t="n"/>
      <c r="C25" s="12" t="inlineStr">
        <is>
          <t>kg</t>
        </is>
      </c>
      <c r="D25" s="18" t="n"/>
      <c r="E25" s="19">
        <f>IF(B25="","",B25*D25)</f>
        <v/>
      </c>
      <c r="F25" s="14" t="n"/>
    </row>
    <row r="26">
      <c r="A26" s="6" t="inlineStr">
        <is>
          <t xml:space="preserve">  FRESCOS</t>
        </is>
      </c>
    </row>
    <row r="27">
      <c r="A27" s="11" t="inlineStr">
        <is>
          <t>Huevos (docenas)</t>
        </is>
      </c>
      <c r="B27" s="14" t="n"/>
      <c r="C27" s="12" t="inlineStr">
        <is>
          <t>doc</t>
        </is>
      </c>
      <c r="D27" s="18" t="n"/>
      <c r="E27" s="19">
        <f>IF(B27="","",B27*D27)</f>
        <v/>
      </c>
      <c r="F27" s="14" t="n"/>
    </row>
    <row r="28">
      <c r="A28" s="7" t="inlineStr">
        <is>
          <t>Aguacate</t>
        </is>
      </c>
      <c r="B28" s="10" t="n"/>
      <c r="C28" s="8" t="inlineStr">
        <is>
          <t>uds</t>
        </is>
      </c>
      <c r="D28" s="16" t="n"/>
      <c r="E28" s="17">
        <f>IF(B28="","",B28*D28)</f>
        <v/>
      </c>
      <c r="F28" s="10" t="n"/>
    </row>
    <row r="29">
      <c r="A29" s="11" t="inlineStr">
        <is>
          <t>Salmón ahumado</t>
        </is>
      </c>
      <c r="B29" s="14" t="n"/>
      <c r="C29" s="12" t="inlineStr">
        <is>
          <t>kg</t>
        </is>
      </c>
      <c r="D29" s="18" t="n"/>
      <c r="E29" s="19">
        <f>IF(B29="","",B29*D29)</f>
        <v/>
      </c>
      <c r="F29" s="14" t="n"/>
    </row>
    <row r="30">
      <c r="A30" s="7" t="inlineStr">
        <is>
          <t>Bacon</t>
        </is>
      </c>
      <c r="B30" s="10" t="n"/>
      <c r="C30" s="8" t="inlineStr">
        <is>
          <t>kg</t>
        </is>
      </c>
      <c r="D30" s="16" t="n"/>
      <c r="E30" s="17">
        <f>IF(B30="","",B30*D30)</f>
        <v/>
      </c>
      <c r="F30" s="10" t="n"/>
    </row>
    <row r="31">
      <c r="A31" s="11" t="inlineStr">
        <is>
          <t>Fruta fresca variada</t>
        </is>
      </c>
      <c r="B31" s="14" t="n"/>
      <c r="C31" s="12" t="inlineStr">
        <is>
          <t>kg</t>
        </is>
      </c>
      <c r="D31" s="18" t="n"/>
      <c r="E31" s="19">
        <f>IF(B31="","",B31*D31)</f>
        <v/>
      </c>
      <c r="F31" s="14" t="n"/>
    </row>
    <row r="32">
      <c r="A32" s="7" t="inlineStr">
        <is>
          <t>Granola</t>
        </is>
      </c>
      <c r="B32" s="10" t="n"/>
      <c r="C32" s="8" t="inlineStr">
        <is>
          <t>kg</t>
        </is>
      </c>
      <c r="D32" s="16" t="n"/>
      <c r="E32" s="17">
        <f>IF(B32="","",B32*D32)</f>
        <v/>
      </c>
      <c r="F32" s="10" t="n"/>
    </row>
    <row r="33">
      <c r="A33" s="11" t="inlineStr">
        <is>
          <t>Yogur natural</t>
        </is>
      </c>
      <c r="B33" s="14" t="n"/>
      <c r="C33" s="12" t="inlineStr">
        <is>
          <t>L</t>
        </is>
      </c>
      <c r="D33" s="18" t="n"/>
      <c r="E33" s="19">
        <f>IF(B33="","",B33*D33)</f>
        <v/>
      </c>
      <c r="F33" s="14" t="n"/>
    </row>
    <row r="34">
      <c r="A34" s="6" t="inlineStr">
        <is>
          <t xml:space="preserve">  SECOS Y SIROPES</t>
        </is>
      </c>
    </row>
    <row r="35">
      <c r="A35" s="11" t="inlineStr">
        <is>
          <t>Cacao en polvo</t>
        </is>
      </c>
      <c r="B35" s="14" t="n"/>
      <c r="C35" s="12" t="inlineStr">
        <is>
          <t>kg</t>
        </is>
      </c>
      <c r="D35" s="18" t="n"/>
      <c r="E35" s="19">
        <f>IF(B35="","",B35*D35)</f>
        <v/>
      </c>
      <c r="F35" s="14" t="n"/>
    </row>
    <row r="36">
      <c r="A36" s="7" t="inlineStr">
        <is>
          <t>Siropes (vainilla, caramelo, avellana)</t>
        </is>
      </c>
      <c r="B36" s="10" t="n"/>
      <c r="C36" s="8" t="inlineStr">
        <is>
          <t>L</t>
        </is>
      </c>
      <c r="D36" s="16" t="n"/>
      <c r="E36" s="17">
        <f>IF(B36="","",B36*D36)</f>
        <v/>
      </c>
      <c r="F36" s="10" t="n"/>
    </row>
    <row r="37">
      <c r="A37" s="11" t="inlineStr">
        <is>
          <t>Azúcar blanco</t>
        </is>
      </c>
      <c r="B37" s="14" t="n"/>
      <c r="C37" s="12" t="inlineStr">
        <is>
          <t>kg</t>
        </is>
      </c>
      <c r="D37" s="18" t="n"/>
      <c r="E37" s="19">
        <f>IF(B37="","",B37*D37)</f>
        <v/>
      </c>
      <c r="F37" s="14" t="n"/>
    </row>
    <row r="38">
      <c r="A38" s="7" t="inlineStr">
        <is>
          <t>Azúcar moreno</t>
        </is>
      </c>
      <c r="B38" s="10" t="n"/>
      <c r="C38" s="8" t="inlineStr">
        <is>
          <t>kg</t>
        </is>
      </c>
      <c r="D38" s="16" t="n"/>
      <c r="E38" s="17">
        <f>IF(B38="","",B38*D38)</f>
        <v/>
      </c>
      <c r="F38" s="10" t="n"/>
    </row>
    <row r="39">
      <c r="A39" s="11" t="inlineStr">
        <is>
          <t>Sacarina/estevia</t>
        </is>
      </c>
      <c r="B39" s="14" t="n"/>
      <c r="C39" s="12" t="inlineStr">
        <is>
          <t>uds</t>
        </is>
      </c>
      <c r="D39" s="18" t="n"/>
      <c r="E39" s="19">
        <f>IF(B39="","",B39*D39)</f>
        <v/>
      </c>
      <c r="F39" s="14" t="n"/>
    </row>
    <row r="40">
      <c r="A40" s="7" t="inlineStr">
        <is>
          <t>Miel</t>
        </is>
      </c>
      <c r="B40" s="10" t="n"/>
      <c r="C40" s="8" t="inlineStr">
        <is>
          <t>kg</t>
        </is>
      </c>
      <c r="D40" s="16" t="n"/>
      <c r="E40" s="17">
        <f>IF(B40="","",B40*D40)</f>
        <v/>
      </c>
      <c r="F40" s="10" t="n"/>
    </row>
    <row r="41">
      <c r="A41" s="6" t="inlineStr">
        <is>
          <t xml:space="preserve">  PACKAGING Y DESECHABLES</t>
        </is>
      </c>
    </row>
    <row r="42">
      <c r="A42" s="7" t="inlineStr">
        <is>
          <t>Vasos take-away medianos</t>
        </is>
      </c>
      <c r="B42" s="10" t="n"/>
      <c r="C42" s="8" t="inlineStr">
        <is>
          <t>uds</t>
        </is>
      </c>
      <c r="D42" s="16" t="n"/>
      <c r="E42" s="17">
        <f>IF(B42="","",B42*D42)</f>
        <v/>
      </c>
      <c r="F42" s="10" t="n"/>
    </row>
    <row r="43">
      <c r="A43" s="11" t="inlineStr">
        <is>
          <t>Vasos take-away grandes</t>
        </is>
      </c>
      <c r="B43" s="14" t="n"/>
      <c r="C43" s="12" t="inlineStr">
        <is>
          <t>uds</t>
        </is>
      </c>
      <c r="D43" s="18" t="n"/>
      <c r="E43" s="19">
        <f>IF(B43="","",B43*D43)</f>
        <v/>
      </c>
      <c r="F43" s="14" t="n"/>
    </row>
    <row r="44">
      <c r="A44" s="7" t="inlineStr">
        <is>
          <t>Tapas para vasos</t>
        </is>
      </c>
      <c r="B44" s="10" t="n"/>
      <c r="C44" s="8" t="inlineStr">
        <is>
          <t>uds</t>
        </is>
      </c>
      <c r="D44" s="16" t="n"/>
      <c r="E44" s="17">
        <f>IF(B44="","",B44*D44)</f>
        <v/>
      </c>
      <c r="F44" s="10" t="n"/>
    </row>
    <row r="45">
      <c r="A45" s="11" t="inlineStr">
        <is>
          <t>Bolsas papel bollería</t>
        </is>
      </c>
      <c r="B45" s="14" t="n"/>
      <c r="C45" s="12" t="inlineStr">
        <is>
          <t>uds</t>
        </is>
      </c>
      <c r="D45" s="18" t="n"/>
      <c r="E45" s="19">
        <f>IF(B45="","",B45*D45)</f>
        <v/>
      </c>
      <c r="F45" s="14" t="n"/>
    </row>
    <row r="46">
      <c r="A46" s="7" t="inlineStr">
        <is>
          <t>Servilletas</t>
        </is>
      </c>
      <c r="B46" s="10" t="n"/>
      <c r="C46" s="8" t="inlineStr">
        <is>
          <t>uds</t>
        </is>
      </c>
      <c r="D46" s="16" t="n"/>
      <c r="E46" s="17">
        <f>IF(B46="","",B46*D46)</f>
        <v/>
      </c>
      <c r="F46" s="10" t="n"/>
    </row>
    <row r="47">
      <c r="A47" s="11" t="inlineStr">
        <is>
          <t>Pajitas de papel</t>
        </is>
      </c>
      <c r="B47" s="14" t="n"/>
      <c r="C47" s="12" t="inlineStr">
        <is>
          <t>uds</t>
        </is>
      </c>
      <c r="D47" s="18" t="n"/>
      <c r="E47" s="19">
        <f>IF(B47="","",B47*D47)</f>
        <v/>
      </c>
      <c r="F47" s="14" t="n"/>
    </row>
    <row r="48">
      <c r="A48" s="6" t="inlineStr">
        <is>
          <t xml:space="preserve">  LIMPIEZA</t>
        </is>
      </c>
    </row>
    <row r="49">
      <c r="A49" s="11" t="inlineStr">
        <is>
          <t>Detergente lavavajillas</t>
        </is>
      </c>
      <c r="B49" s="14" t="n"/>
      <c r="C49" s="12" t="inlineStr">
        <is>
          <t>L</t>
        </is>
      </c>
      <c r="D49" s="18" t="n"/>
      <c r="E49" s="19">
        <f>IF(B49="","",B49*D49)</f>
        <v/>
      </c>
      <c r="F49" s="14" t="n"/>
    </row>
    <row r="50">
      <c r="A50" s="7" t="inlineStr">
        <is>
          <t>Desinfectante superficies</t>
        </is>
      </c>
      <c r="B50" s="10" t="n"/>
      <c r="C50" s="8" t="inlineStr">
        <is>
          <t>L</t>
        </is>
      </c>
      <c r="D50" s="16" t="n"/>
      <c r="E50" s="17">
        <f>IF(B50="","",B50*D50)</f>
        <v/>
      </c>
      <c r="F50" s="10" t="n"/>
    </row>
    <row r="51">
      <c r="A51" s="11" t="inlineStr">
        <is>
          <t>Pastillas backflush espresso</t>
        </is>
      </c>
      <c r="B51" s="14" t="n"/>
      <c r="C51" s="12" t="inlineStr">
        <is>
          <t>uds</t>
        </is>
      </c>
      <c r="D51" s="18" t="n"/>
      <c r="E51" s="19">
        <f>IF(B51="","",B51*D51)</f>
        <v/>
      </c>
      <c r="F51" s="14" t="n"/>
    </row>
    <row r="52">
      <c r="A52" s="7" t="inlineStr">
        <is>
          <t>Descalcificador máquina</t>
        </is>
      </c>
      <c r="B52" s="10" t="n"/>
      <c r="C52" s="8" t="inlineStr">
        <is>
          <t>L</t>
        </is>
      </c>
      <c r="D52" s="16" t="n"/>
      <c r="E52" s="17">
        <f>IF(B52="","",B52*D52)</f>
        <v/>
      </c>
      <c r="F52" s="10" t="n"/>
    </row>
    <row r="53">
      <c r="A53" s="11" t="inlineStr">
        <is>
          <t>Jabón de manos</t>
        </is>
      </c>
      <c r="B53" s="14" t="n"/>
      <c r="C53" s="12" t="inlineStr">
        <is>
          <t>L</t>
        </is>
      </c>
      <c r="D53" s="18" t="n"/>
      <c r="E53" s="19">
        <f>IF(B53="","",B53*D53)</f>
        <v/>
      </c>
      <c r="F53" s="14" t="n"/>
    </row>
    <row r="54">
      <c r="A54" s="7" t="inlineStr">
        <is>
          <t>Papel higiénico y secamanos</t>
        </is>
      </c>
      <c r="B54" s="10" t="n"/>
      <c r="C54" s="8" t="inlineStr">
        <is>
          <t>uds</t>
        </is>
      </c>
      <c r="D54" s="16" t="n"/>
      <c r="E54" s="17">
        <f>IF(B54="","",B54*D54)</f>
        <v/>
      </c>
      <c r="F54" s="10" t="n"/>
    </row>
    <row r="56">
      <c r="D56" s="20" t="inlineStr">
        <is>
          <t>TOTAL:</t>
        </is>
      </c>
      <c r="E56" s="21">
        <f>SUM(E5:E54)</f>
        <v/>
      </c>
    </row>
    <row r="58">
      <c r="A58" s="15" t="inlineStr">
        <is>
          <t>— Kit de Tareas Recurrentes: Cafetería / Brunch · AI Chef Pro · aichef.pro —</t>
        </is>
      </c>
    </row>
  </sheetData>
  <mergeCells count="10">
    <mergeCell ref="A48:F48"/>
    <mergeCell ref="A2:F2"/>
    <mergeCell ref="A34:F34"/>
    <mergeCell ref="A41:F41"/>
    <mergeCell ref="A5:F5"/>
    <mergeCell ref="A11:F11"/>
    <mergeCell ref="A26:F26"/>
    <mergeCell ref="A58:F58"/>
    <mergeCell ref="A20:F20"/>
    <mergeCell ref="A1:F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22" t="inlineStr">
        <is>
          <t>Limpieza Profunda Semanal</t>
        </is>
      </c>
    </row>
    <row r="2">
      <c r="A2" s="23" t="inlineStr">
        <is>
          <t>Fecha: ___/___/______    Turno: ☐ Mañana  ☐ Tarde  ☐ Noche    Responsable: ________________</t>
        </is>
      </c>
    </row>
    <row r="4">
      <c r="A4" s="24" t="inlineStr">
        <is>
          <t>☐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Hora Límite</t>
        </is>
      </c>
      <c r="F4" s="24" t="inlineStr">
        <is>
          <t>Hecha</t>
        </is>
      </c>
      <c r="G4" s="24" t="inlineStr">
        <is>
          <t>Firma</t>
        </is>
      </c>
    </row>
    <row r="5">
      <c r="A5" s="25" t="inlineStr">
        <is>
          <t xml:space="preserve">  COCINA</t>
        </is>
      </c>
    </row>
    <row r="6">
      <c r="A6" s="26" t="inlineStr">
        <is>
          <t>☐</t>
        </is>
      </c>
      <c r="B6" s="7" t="inlineStr">
        <is>
          <t>Limpiar interior de cámaras frigoríficas</t>
        </is>
      </c>
      <c r="C6" s="8" t="inlineStr">
        <is>
          <t>Cocina</t>
        </is>
      </c>
      <c r="D6" s="8" t="inlineStr">
        <is>
          <t>Auxiliar</t>
        </is>
      </c>
      <c r="E6" s="8" t="inlineStr">
        <is>
          <t>Lunes</t>
        </is>
      </c>
      <c r="F6" s="10" t="n"/>
      <c r="G6" s="10" t="n"/>
    </row>
    <row r="7">
      <c r="A7" s="27" t="inlineStr">
        <is>
          <t>☐</t>
        </is>
      </c>
      <c r="B7" s="11" t="inlineStr">
        <is>
          <t>Desmontar y limpiar campana extractora</t>
        </is>
      </c>
      <c r="C7" s="12" t="inlineStr">
        <is>
          <t>Cocina</t>
        </is>
      </c>
      <c r="D7" s="12" t="inlineStr">
        <is>
          <t>Auxiliar</t>
        </is>
      </c>
      <c r="E7" s="12" t="inlineStr">
        <is>
          <t>Lunes</t>
        </is>
      </c>
      <c r="F7" s="14" t="n"/>
      <c r="G7" s="14" t="n"/>
    </row>
    <row r="8">
      <c r="A8" s="26" t="inlineStr">
        <is>
          <t>☐</t>
        </is>
      </c>
      <c r="B8" s="7" t="inlineStr">
        <is>
          <t>Limpiar interior de horno a fondo</t>
        </is>
      </c>
      <c r="C8" s="8" t="inlineStr">
        <is>
          <t>Cocina</t>
        </is>
      </c>
      <c r="D8" s="8" t="inlineStr">
        <is>
          <t>Auxiliar</t>
        </is>
      </c>
      <c r="E8" s="8" t="inlineStr">
        <is>
          <t>Lunes</t>
        </is>
      </c>
      <c r="F8" s="10" t="n"/>
      <c r="G8" s="10" t="n"/>
    </row>
    <row r="9">
      <c r="A9" s="27" t="inlineStr">
        <is>
          <t>☐</t>
        </is>
      </c>
      <c r="B9" s="11" t="inlineStr">
        <is>
          <t>Limpiar detrás y debajo de equipos</t>
        </is>
      </c>
      <c r="C9" s="12" t="inlineStr">
        <is>
          <t>Cocina</t>
        </is>
      </c>
      <c r="D9" s="12" t="inlineStr">
        <is>
          <t>Auxiliar</t>
        </is>
      </c>
      <c r="E9" s="12" t="inlineStr">
        <is>
          <t>Lunes</t>
        </is>
      </c>
      <c r="F9" s="14" t="n"/>
      <c r="G9" s="14" t="n"/>
    </row>
    <row r="10">
      <c r="A10" s="26" t="inlineStr">
        <is>
          <t>☐</t>
        </is>
      </c>
      <c r="B10" s="7" t="inlineStr">
        <is>
          <t>Desinfectar tablas de corte (sumergir en lejía)</t>
        </is>
      </c>
      <c r="C10" s="8" t="inlineStr">
        <is>
          <t>Cocina</t>
        </is>
      </c>
      <c r="D10" s="8" t="inlineStr">
        <is>
          <t>Auxiliar</t>
        </is>
      </c>
      <c r="E10" s="8" t="inlineStr">
        <is>
          <t>Lunes</t>
        </is>
      </c>
      <c r="F10" s="10" t="n"/>
      <c r="G10" s="10" t="n"/>
    </row>
    <row r="11">
      <c r="A11" s="27" t="inlineStr">
        <is>
          <t>☐</t>
        </is>
      </c>
      <c r="B11" s="11" t="inlineStr">
        <is>
          <t>Limpiar estanterías de almacén</t>
        </is>
      </c>
      <c r="C11" s="12" t="inlineStr">
        <is>
          <t>Almacén</t>
        </is>
      </c>
      <c r="D11" s="12" t="inlineStr">
        <is>
          <t>Auxiliar</t>
        </is>
      </c>
      <c r="E11" s="12" t="inlineStr">
        <is>
          <t>Lunes</t>
        </is>
      </c>
      <c r="F11" s="14" t="n"/>
      <c r="G11" s="14" t="n"/>
    </row>
    <row r="12">
      <c r="A12" s="25" t="inlineStr">
        <is>
          <t xml:space="preserve">  BARRA</t>
        </is>
      </c>
    </row>
    <row r="13">
      <c r="A13" s="27" t="inlineStr">
        <is>
          <t>☐</t>
        </is>
      </c>
      <c r="B13" s="11" t="inlineStr">
        <is>
          <t>Limpiar interior de vitrina a fondo</t>
        </is>
      </c>
      <c r="C13" s="12" t="inlineStr">
        <is>
          <t>Barra</t>
        </is>
      </c>
      <c r="D13" s="12" t="inlineStr">
        <is>
          <t>Barista</t>
        </is>
      </c>
      <c r="E13" s="12" t="inlineStr">
        <is>
          <t>Lunes</t>
        </is>
      </c>
      <c r="F13" s="14" t="n"/>
      <c r="G13" s="14" t="n"/>
    </row>
    <row r="14">
      <c r="A14" s="26" t="inlineStr">
        <is>
          <t>☐</t>
        </is>
      </c>
      <c r="B14" s="7" t="inlineStr">
        <is>
          <t>Limpiar grupo de espresso con cepillo especial</t>
        </is>
      </c>
      <c r="C14" s="8" t="inlineStr">
        <is>
          <t>Barra</t>
        </is>
      </c>
      <c r="D14" s="8" t="inlineStr">
        <is>
          <t>Barista</t>
        </is>
      </c>
      <c r="E14" s="8" t="inlineStr">
        <is>
          <t>Lunes</t>
        </is>
      </c>
      <c r="F14" s="10" t="n"/>
      <c r="G14" s="10" t="n"/>
    </row>
    <row r="15">
      <c r="A15" s="27" t="inlineStr">
        <is>
          <t>☐</t>
        </is>
      </c>
      <c r="B15" s="11" t="inlineStr">
        <is>
          <t>Limpiar molinillo interior (sin agua)</t>
        </is>
      </c>
      <c r="C15" s="12" t="inlineStr">
        <is>
          <t>Barra</t>
        </is>
      </c>
      <c r="D15" s="12" t="inlineStr">
        <is>
          <t>Barista</t>
        </is>
      </c>
      <c r="E15" s="12" t="inlineStr">
        <is>
          <t>Lunes</t>
        </is>
      </c>
      <c r="F15" s="14" t="n"/>
      <c r="G15" s="14" t="n"/>
    </row>
    <row r="16">
      <c r="A16" s="26" t="inlineStr">
        <is>
          <t>☐</t>
        </is>
      </c>
      <c r="B16" s="7" t="inlineStr">
        <is>
          <t>Limpiar nevera de barra interior</t>
        </is>
      </c>
      <c r="C16" s="8" t="inlineStr">
        <is>
          <t>Barra</t>
        </is>
      </c>
      <c r="D16" s="8" t="inlineStr">
        <is>
          <t>Barista</t>
        </is>
      </c>
      <c r="E16" s="8" t="inlineStr">
        <is>
          <t>Lunes</t>
        </is>
      </c>
      <c r="F16" s="10" t="n"/>
      <c r="G16" s="10" t="n"/>
    </row>
    <row r="17">
      <c r="A17" s="27" t="inlineStr">
        <is>
          <t>☐</t>
        </is>
      </c>
      <c r="B17" s="11" t="inlineStr">
        <is>
          <t>Desinfectar superficie de barra completa</t>
        </is>
      </c>
      <c r="C17" s="12" t="inlineStr">
        <is>
          <t>Barra</t>
        </is>
      </c>
      <c r="D17" s="12" t="inlineStr">
        <is>
          <t>Auxiliar</t>
        </is>
      </c>
      <c r="E17" s="12" t="inlineStr">
        <is>
          <t>Lunes</t>
        </is>
      </c>
      <c r="F17" s="14" t="n"/>
      <c r="G17" s="14" t="n"/>
    </row>
    <row r="18">
      <c r="A18" s="25" t="inlineStr">
        <is>
          <t xml:space="preserve">  SALA Y BAÑOS</t>
        </is>
      </c>
    </row>
    <row r="19">
      <c r="A19" s="27" t="inlineStr">
        <is>
          <t>☐</t>
        </is>
      </c>
      <c r="B19" s="11" t="inlineStr">
        <is>
          <t>Limpiar cristales interiores y exteriores</t>
        </is>
      </c>
      <c r="C19" s="12" t="inlineStr">
        <is>
          <t>Sala</t>
        </is>
      </c>
      <c r="D19" s="12" t="inlineStr">
        <is>
          <t>Auxiliar</t>
        </is>
      </c>
      <c r="E19" s="12" t="inlineStr">
        <is>
          <t>Lunes</t>
        </is>
      </c>
      <c r="F19" s="14" t="n"/>
      <c r="G19" s="14" t="n"/>
    </row>
    <row r="20">
      <c r="A20" s="26" t="inlineStr">
        <is>
          <t>☐</t>
        </is>
      </c>
      <c r="B20" s="7" t="inlineStr">
        <is>
          <t>Limpiar sillas y bancos a fondo</t>
        </is>
      </c>
      <c r="C20" s="8" t="inlineStr">
        <is>
          <t>Sala</t>
        </is>
      </c>
      <c r="D20" s="8" t="inlineStr">
        <is>
          <t>Auxiliar</t>
        </is>
      </c>
      <c r="E20" s="8" t="inlineStr">
        <is>
          <t>Lunes</t>
        </is>
      </c>
      <c r="F20" s="10" t="n"/>
      <c r="G20" s="10" t="n"/>
    </row>
    <row r="21">
      <c r="A21" s="27" t="inlineStr">
        <is>
          <t>☐</t>
        </is>
      </c>
      <c r="B21" s="11" t="inlineStr">
        <is>
          <t>Fregar suelos con producto desengrasante</t>
        </is>
      </c>
      <c r="C21" s="12" t="inlineStr">
        <is>
          <t>General</t>
        </is>
      </c>
      <c r="D21" s="12" t="inlineStr">
        <is>
          <t>Auxiliar</t>
        </is>
      </c>
      <c r="E21" s="12" t="inlineStr">
        <is>
          <t>Lunes</t>
        </is>
      </c>
      <c r="F21" s="14" t="n"/>
      <c r="G21" s="14" t="n"/>
    </row>
    <row r="22">
      <c r="A22" s="26" t="inlineStr">
        <is>
          <t>☐</t>
        </is>
      </c>
      <c r="B22" s="7" t="inlineStr">
        <is>
          <t>Limpieza profunda de baños: azulejos, espejos, suelo</t>
        </is>
      </c>
      <c r="C22" s="8" t="inlineStr">
        <is>
          <t>Baños</t>
        </is>
      </c>
      <c r="D22" s="8" t="inlineStr">
        <is>
          <t>Auxiliar</t>
        </is>
      </c>
      <c r="E22" s="8" t="inlineStr">
        <is>
          <t>Lunes</t>
        </is>
      </c>
      <c r="F22" s="10" t="n"/>
      <c r="G22" s="10" t="n"/>
    </row>
    <row r="23">
      <c r="A23" s="27" t="inlineStr">
        <is>
          <t>☐</t>
        </is>
      </c>
      <c r="B23" s="11" t="inlineStr">
        <is>
          <t>Limpiar terraza a fondo (si aplica)</t>
        </is>
      </c>
      <c r="C23" s="12" t="inlineStr">
        <is>
          <t>Terraza</t>
        </is>
      </c>
      <c r="D23" s="12" t="inlineStr">
        <is>
          <t>Auxiliar</t>
        </is>
      </c>
      <c r="E23" s="12" t="inlineStr">
        <is>
          <t>Lunes</t>
        </is>
      </c>
      <c r="F23" s="14" t="n"/>
      <c r="G23" s="14" t="n"/>
    </row>
    <row r="24">
      <c r="A24" s="26" t="inlineStr">
        <is>
          <t>☐</t>
        </is>
      </c>
      <c r="B24" s="7" t="inlineStr">
        <is>
          <t>Revisar y reponer productos de limpieza</t>
        </is>
      </c>
      <c r="C24" s="8" t="inlineStr">
        <is>
          <t>Almacén</t>
        </is>
      </c>
      <c r="D24" s="8" t="inlineStr">
        <is>
          <t>Manager</t>
        </is>
      </c>
      <c r="E24" s="8" t="inlineStr">
        <is>
          <t>Lunes</t>
        </is>
      </c>
      <c r="F24" s="10" t="n"/>
      <c r="G24" s="10" t="n"/>
    </row>
    <row r="26">
      <c r="C26" s="20" t="inlineStr">
        <is>
          <t>Completadas:</t>
        </is>
      </c>
      <c r="D26" s="28">
        <f>COUNTIF(F5:F24,"✓")</f>
        <v/>
      </c>
      <c r="E26" s="20" t="inlineStr">
        <is>
          <t>de 17</t>
        </is>
      </c>
    </row>
    <row r="28">
      <c r="A28" s="4" t="inlineStr">
        <is>
          <t>Firma encargado/a: _________________________    Hora: _________</t>
        </is>
      </c>
    </row>
    <row r="30">
      <c r="A30" s="15" t="inlineStr">
        <is>
          <t>— Kit de Tareas Recurrentes: Cafetería / Brunch · AI Chef Pro · aichef.pro —</t>
        </is>
      </c>
    </row>
  </sheetData>
  <mergeCells count="7">
    <mergeCell ref="A12:G12"/>
    <mergeCell ref="A28:G28"/>
    <mergeCell ref="A1:G1"/>
    <mergeCell ref="A2:G2"/>
    <mergeCell ref="A18:G18"/>
    <mergeCell ref="A30:G30"/>
    <mergeCell ref="A5:G5"/>
  </mergeCells>
  <pageMargins bottom="1" footer="0.5" header="0.5" left="0.75" right="0.75" top="1"/>
  <pageSetup fitToHeight="0" fitToWidth="1" orientation="portrait" paperSize="9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22" t="inlineStr">
        <is>
          <t>Revisión FIFO Semanal — Control de Caducidades</t>
        </is>
      </c>
    </row>
    <row r="2">
      <c r="A2" s="23" t="inlineStr">
        <is>
          <t>Fecha: ___/___/______    Turno: ☐ Mañana  ☐ Tarde  ☐ Noche    Responsable: ________________</t>
        </is>
      </c>
    </row>
    <row r="4">
      <c r="A4" s="24" t="inlineStr">
        <is>
          <t>☐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Hora Límite</t>
        </is>
      </c>
      <c r="F4" s="24" t="inlineStr">
        <is>
          <t>Hecha</t>
        </is>
      </c>
      <c r="G4" s="24" t="inlineStr">
        <is>
          <t>Firma</t>
        </is>
      </c>
    </row>
    <row r="5">
      <c r="A5" s="25" t="inlineStr">
        <is>
          <t xml:space="preserve">  CÁMARAS FRIGORÍFICAS</t>
        </is>
      </c>
    </row>
    <row r="6">
      <c r="A6" s="26" t="inlineStr">
        <is>
          <t>☐</t>
        </is>
      </c>
      <c r="B6" s="7" t="inlineStr">
        <is>
          <t>Verificar etiquetado y fechas de todos los productos abiertos</t>
        </is>
      </c>
      <c r="C6" s="8" t="inlineStr">
        <is>
          <t>Cámara</t>
        </is>
      </c>
      <c r="D6" s="8" t="inlineStr">
        <is>
          <t>Cocinero</t>
        </is>
      </c>
      <c r="E6" s="8" t="inlineStr">
        <is>
          <t>Lunes</t>
        </is>
      </c>
      <c r="F6" s="10" t="n"/>
      <c r="G6" s="10" t="n"/>
    </row>
    <row r="7">
      <c r="A7" s="27" t="inlineStr">
        <is>
          <t>☐</t>
        </is>
      </c>
      <c r="B7" s="11" t="inlineStr">
        <is>
          <t>Rotar: producto más antiguo delante</t>
        </is>
      </c>
      <c r="C7" s="12" t="inlineStr">
        <is>
          <t>Cámara</t>
        </is>
      </c>
      <c r="D7" s="12" t="inlineStr">
        <is>
          <t>Cocinero</t>
        </is>
      </c>
      <c r="E7" s="12" t="inlineStr">
        <is>
          <t>Lunes</t>
        </is>
      </c>
      <c r="F7" s="14" t="n"/>
      <c r="G7" s="14" t="n"/>
    </row>
    <row r="8">
      <c r="A8" s="26" t="inlineStr">
        <is>
          <t>☐</t>
        </is>
      </c>
      <c r="B8" s="7" t="inlineStr">
        <is>
          <t>Desechar producto caducado o en mal estado</t>
        </is>
      </c>
      <c r="C8" s="8" t="inlineStr">
        <is>
          <t>Cámara</t>
        </is>
      </c>
      <c r="D8" s="8" t="inlineStr">
        <is>
          <t>Cocinero</t>
        </is>
      </c>
      <c r="E8" s="8" t="inlineStr">
        <is>
          <t>Lunes</t>
        </is>
      </c>
      <c r="F8" s="10" t="n"/>
      <c r="G8" s="10" t="n"/>
    </row>
    <row r="9">
      <c r="A9" s="27" t="inlineStr">
        <is>
          <t>☐</t>
        </is>
      </c>
      <c r="B9" s="11" t="inlineStr">
        <is>
          <t>Verificar temperaturas de todas las cámaras</t>
        </is>
      </c>
      <c r="C9" s="12" t="inlineStr">
        <is>
          <t>Cámara</t>
        </is>
      </c>
      <c r="D9" s="12" t="inlineStr">
        <is>
          <t>Cocinero</t>
        </is>
      </c>
      <c r="E9" s="12" t="inlineStr">
        <is>
          <t>Lunes</t>
        </is>
      </c>
      <c r="F9" s="14" t="n"/>
      <c r="G9" s="14" t="n"/>
    </row>
    <row r="10">
      <c r="A10" s="25" t="inlineStr">
        <is>
          <t xml:space="preserve">  BARRA Y VITRINA</t>
        </is>
      </c>
    </row>
    <row r="11">
      <c r="A11" s="27" t="inlineStr">
        <is>
          <t>☐</t>
        </is>
      </c>
      <c r="B11" s="11" t="inlineStr">
        <is>
          <t>Revisar caducidad de leches abiertas</t>
        </is>
      </c>
      <c r="C11" s="12" t="inlineStr">
        <is>
          <t>Barra</t>
        </is>
      </c>
      <c r="D11" s="12" t="inlineStr">
        <is>
          <t>Barista</t>
        </is>
      </c>
      <c r="E11" s="12" t="inlineStr">
        <is>
          <t>Lunes</t>
        </is>
      </c>
      <c r="F11" s="14" t="n"/>
      <c r="G11" s="14" t="n"/>
    </row>
    <row r="12">
      <c r="A12" s="26" t="inlineStr">
        <is>
          <t>☐</t>
        </is>
      </c>
      <c r="B12" s="7" t="inlineStr">
        <is>
          <t>Revisar caducidad de siropes abiertos</t>
        </is>
      </c>
      <c r="C12" s="8" t="inlineStr">
        <is>
          <t>Barra</t>
        </is>
      </c>
      <c r="D12" s="8" t="inlineStr">
        <is>
          <t>Barista</t>
        </is>
      </c>
      <c r="E12" s="8" t="inlineStr">
        <is>
          <t>Lunes</t>
        </is>
      </c>
      <c r="F12" s="10" t="n"/>
      <c r="G12" s="10" t="n"/>
    </row>
    <row r="13">
      <c r="A13" s="27" t="inlineStr">
        <is>
          <t>☐</t>
        </is>
      </c>
      <c r="B13" s="11" t="inlineStr">
        <is>
          <t>Verificar estado de bollería (frescura)</t>
        </is>
      </c>
      <c r="C13" s="12" t="inlineStr">
        <is>
          <t>Barra</t>
        </is>
      </c>
      <c r="D13" s="12" t="inlineStr">
        <is>
          <t>Pastelero/a</t>
        </is>
      </c>
      <c r="E13" s="12" t="inlineStr">
        <is>
          <t>Lunes</t>
        </is>
      </c>
      <c r="F13" s="14" t="n"/>
      <c r="G13" s="14" t="n"/>
    </row>
    <row r="14">
      <c r="A14" s="26" t="inlineStr">
        <is>
          <t>☐</t>
        </is>
      </c>
      <c r="B14" s="7" t="inlineStr">
        <is>
          <t>Revisar caducidad de zumos</t>
        </is>
      </c>
      <c r="C14" s="8" t="inlineStr">
        <is>
          <t>Barra</t>
        </is>
      </c>
      <c r="D14" s="8" t="inlineStr">
        <is>
          <t>Barista</t>
        </is>
      </c>
      <c r="E14" s="8" t="inlineStr">
        <is>
          <t>Lunes</t>
        </is>
      </c>
      <c r="F14" s="10" t="n"/>
      <c r="G14" s="10" t="n"/>
    </row>
    <row r="15">
      <c r="A15" s="25" t="inlineStr">
        <is>
          <t xml:space="preserve">  ALMACÉN SECO</t>
        </is>
      </c>
    </row>
    <row r="16">
      <c r="A16" s="26" t="inlineStr">
        <is>
          <t>☐</t>
        </is>
      </c>
      <c r="B16" s="7" t="inlineStr">
        <is>
          <t>Revisar caducidad de café en grano (frescura)</t>
        </is>
      </c>
      <c r="C16" s="8" t="inlineStr">
        <is>
          <t>Almacén</t>
        </is>
      </c>
      <c r="D16" s="8" t="inlineStr">
        <is>
          <t>Barista</t>
        </is>
      </c>
      <c r="E16" s="8" t="inlineStr">
        <is>
          <t>Lunes</t>
        </is>
      </c>
      <c r="F16" s="10" t="n"/>
      <c r="G16" s="10" t="n"/>
    </row>
    <row r="17">
      <c r="A17" s="27" t="inlineStr">
        <is>
          <t>☐</t>
        </is>
      </c>
      <c r="B17" s="11" t="inlineStr">
        <is>
          <t>Revisar caducidad de tés e infusiones</t>
        </is>
      </c>
      <c r="C17" s="12" t="inlineStr">
        <is>
          <t>Almacén</t>
        </is>
      </c>
      <c r="D17" s="12" t="inlineStr">
        <is>
          <t>Barista</t>
        </is>
      </c>
      <c r="E17" s="12" t="inlineStr">
        <is>
          <t>Lunes</t>
        </is>
      </c>
      <c r="F17" s="14" t="n"/>
      <c r="G17" s="14" t="n"/>
    </row>
    <row r="18">
      <c r="A18" s="26" t="inlineStr">
        <is>
          <t>☐</t>
        </is>
      </c>
      <c r="B18" s="7" t="inlineStr">
        <is>
          <t>Revisar stock de packaging: vasos, tapas, bolsas</t>
        </is>
      </c>
      <c r="C18" s="8" t="inlineStr">
        <is>
          <t>Almacén</t>
        </is>
      </c>
      <c r="D18" s="8" t="inlineStr">
        <is>
          <t>Manager</t>
        </is>
      </c>
      <c r="E18" s="8" t="inlineStr">
        <is>
          <t>Lunes</t>
        </is>
      </c>
      <c r="F18" s="10" t="n"/>
      <c r="G18" s="10" t="n"/>
    </row>
    <row r="19">
      <c r="A19" s="27" t="inlineStr">
        <is>
          <t>☐</t>
        </is>
      </c>
      <c r="B19" s="11" t="inlineStr">
        <is>
          <t>Verificar que no hay plagas ni humedad</t>
        </is>
      </c>
      <c r="C19" s="12" t="inlineStr">
        <is>
          <t>Almacén</t>
        </is>
      </c>
      <c r="D19" s="12" t="inlineStr">
        <is>
          <t>Manager</t>
        </is>
      </c>
      <c r="E19" s="12" t="inlineStr">
        <is>
          <t>Lunes</t>
        </is>
      </c>
      <c r="F19" s="14" t="n"/>
      <c r="G19" s="14" t="n"/>
    </row>
    <row r="20">
      <c r="A20" s="25" t="inlineStr">
        <is>
          <t xml:space="preserve">  FRESCOS</t>
        </is>
      </c>
    </row>
    <row r="21">
      <c r="A21" s="27" t="inlineStr">
        <is>
          <t>☐</t>
        </is>
      </c>
      <c r="B21" s="11" t="inlineStr">
        <is>
          <t>Revisar fruta fresca: desechar lo pasado</t>
        </is>
      </c>
      <c r="C21" s="12" t="inlineStr">
        <is>
          <t>Cámara</t>
        </is>
      </c>
      <c r="D21" s="12" t="inlineStr">
        <is>
          <t>Cocinero</t>
        </is>
      </c>
      <c r="E21" s="12" t="inlineStr">
        <is>
          <t>Lunes</t>
        </is>
      </c>
      <c r="F21" s="14" t="n"/>
      <c r="G21" s="14" t="n"/>
    </row>
    <row r="22">
      <c r="A22" s="26" t="inlineStr">
        <is>
          <t>☐</t>
        </is>
      </c>
      <c r="B22" s="7" t="inlineStr">
        <is>
          <t>Revisar huevos: fecha de caducidad</t>
        </is>
      </c>
      <c r="C22" s="8" t="inlineStr">
        <is>
          <t>Cámara</t>
        </is>
      </c>
      <c r="D22" s="8" t="inlineStr">
        <is>
          <t>Cocinero</t>
        </is>
      </c>
      <c r="E22" s="8" t="inlineStr">
        <is>
          <t>Lunes</t>
        </is>
      </c>
      <c r="F22" s="10" t="n"/>
      <c r="G22" s="10" t="n"/>
    </row>
    <row r="23">
      <c r="A23" s="27" t="inlineStr">
        <is>
          <t>☐</t>
        </is>
      </c>
      <c r="B23" s="11" t="inlineStr">
        <is>
          <t>Revisar pan: congelar lo que no se usará</t>
        </is>
      </c>
      <c r="C23" s="12" t="inlineStr">
        <is>
          <t>Cocina</t>
        </is>
      </c>
      <c r="D23" s="12" t="inlineStr">
        <is>
          <t>Cocinero</t>
        </is>
      </c>
      <c r="E23" s="12" t="inlineStr">
        <is>
          <t>Lunes</t>
        </is>
      </c>
      <c r="F23" s="14" t="n"/>
      <c r="G23" s="14" t="n"/>
    </row>
    <row r="25">
      <c r="C25" s="20" t="inlineStr">
        <is>
          <t>Completadas:</t>
        </is>
      </c>
      <c r="D25" s="28">
        <f>COUNTIF(F5:F23,"✓")</f>
        <v/>
      </c>
      <c r="E25" s="20" t="inlineStr">
        <is>
          <t>de 15</t>
        </is>
      </c>
    </row>
    <row r="27">
      <c r="A27" s="4" t="inlineStr">
        <is>
          <t>Firma encargado/a: _________________________    Hora: _________</t>
        </is>
      </c>
    </row>
    <row r="29">
      <c r="A29" s="15" t="inlineStr">
        <is>
          <t>— Kit de Tareas Recurrentes: Cafetería / Brunch · AI Chef Pro · aichef.pro —</t>
        </is>
      </c>
    </row>
  </sheetData>
  <mergeCells count="8">
    <mergeCell ref="A20:G20"/>
    <mergeCell ref="A1:G1"/>
    <mergeCell ref="A15:G15"/>
    <mergeCell ref="A27:G27"/>
    <mergeCell ref="A2:G2"/>
    <mergeCell ref="A5:G5"/>
    <mergeCell ref="A29:G29"/>
    <mergeCell ref="A10:G10"/>
  </mergeCells>
  <pageMargins bottom="1" footer="0.5" header="0.5" left="0.75" right="0.75" top="1"/>
  <pageSetup fitToHeight="0" fitToWidth="1" orientation="portrait" paperSize="9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22" t="inlineStr">
        <is>
          <t>Mantenimiento Mensual de Equipos</t>
        </is>
      </c>
    </row>
    <row r="2">
      <c r="A2" s="23" t="inlineStr">
        <is>
          <t>Fecha: ___/___/______    Turno: ☐ Mañana  ☐ Tarde  ☐ Noche    Responsable: ________________</t>
        </is>
      </c>
    </row>
    <row r="4">
      <c r="A4" s="24" t="inlineStr">
        <is>
          <t>☐</t>
        </is>
      </c>
      <c r="B4" s="24" t="inlineStr">
        <is>
          <t>Tarea</t>
        </is>
      </c>
      <c r="C4" s="24" t="inlineStr">
        <is>
          <t>Zona</t>
        </is>
      </c>
      <c r="D4" s="24" t="inlineStr">
        <is>
          <t>Responsable</t>
        </is>
      </c>
      <c r="E4" s="24" t="inlineStr">
        <is>
          <t>Hora Límite</t>
        </is>
      </c>
      <c r="F4" s="24" t="inlineStr">
        <is>
          <t>Hecha</t>
        </is>
      </c>
      <c r="G4" s="24" t="inlineStr">
        <is>
          <t>Firma</t>
        </is>
      </c>
    </row>
    <row r="5">
      <c r="A5" s="25" t="inlineStr">
        <is>
          <t xml:space="preserve">  MÁQUINA DE ESPRESSO</t>
        </is>
      </c>
    </row>
    <row r="6">
      <c r="A6" s="26" t="inlineStr">
        <is>
          <t>☐</t>
        </is>
      </c>
      <c r="B6" s="7" t="inlineStr">
        <is>
          <t>Descalcificar máquina de espresso completa</t>
        </is>
      </c>
      <c r="C6" s="8" t="inlineStr">
        <is>
          <t>Barra</t>
        </is>
      </c>
      <c r="D6" s="8" t="inlineStr">
        <is>
          <t>Técnico/Barista</t>
        </is>
      </c>
      <c r="E6" s="8" t="inlineStr">
        <is>
          <t>Mensual</t>
        </is>
      </c>
      <c r="F6" s="10" t="n"/>
      <c r="G6" s="10" t="n"/>
    </row>
    <row r="7">
      <c r="A7" s="27" t="inlineStr">
        <is>
          <t>☐</t>
        </is>
      </c>
      <c r="B7" s="11" t="inlineStr">
        <is>
          <t>Cambiar juntas de grupo si están desgastadas</t>
        </is>
      </c>
      <c r="C7" s="12" t="inlineStr">
        <is>
          <t>Barra</t>
        </is>
      </c>
      <c r="D7" s="12" t="inlineStr">
        <is>
          <t>Técnico</t>
        </is>
      </c>
      <c r="E7" s="12" t="inlineStr">
        <is>
          <t>Mensual</t>
        </is>
      </c>
      <c r="F7" s="14" t="n"/>
      <c r="G7" s="14" t="n"/>
    </row>
    <row r="8">
      <c r="A8" s="26" t="inlineStr">
        <is>
          <t>☐</t>
        </is>
      </c>
      <c r="B8" s="7" t="inlineStr">
        <is>
          <t>Verificar presión de caldera</t>
        </is>
      </c>
      <c r="C8" s="8" t="inlineStr">
        <is>
          <t>Barra</t>
        </is>
      </c>
      <c r="D8" s="8" t="inlineStr">
        <is>
          <t>Técnico</t>
        </is>
      </c>
      <c r="E8" s="8" t="inlineStr">
        <is>
          <t>Mensual</t>
        </is>
      </c>
      <c r="F8" s="10" t="n"/>
      <c r="G8" s="10" t="n"/>
    </row>
    <row r="9">
      <c r="A9" s="27" t="inlineStr">
        <is>
          <t>☐</t>
        </is>
      </c>
      <c r="B9" s="11" t="inlineStr">
        <is>
          <t>Limpiar filtro de agua</t>
        </is>
      </c>
      <c r="C9" s="12" t="inlineStr">
        <is>
          <t>Barra</t>
        </is>
      </c>
      <c r="D9" s="12" t="inlineStr">
        <is>
          <t>Técnico</t>
        </is>
      </c>
      <c r="E9" s="12" t="inlineStr">
        <is>
          <t>Mensual</t>
        </is>
      </c>
      <c r="F9" s="14" t="n"/>
      <c r="G9" s="14" t="n"/>
    </row>
    <row r="10">
      <c r="A10" s="25" t="inlineStr">
        <is>
          <t xml:space="preserve">  MOLINILLO</t>
        </is>
      </c>
    </row>
    <row r="11">
      <c r="A11" s="27" t="inlineStr">
        <is>
          <t>☐</t>
        </is>
      </c>
      <c r="B11" s="11" t="inlineStr">
        <is>
          <t>Limpiar muelas del molinillo a fondo</t>
        </is>
      </c>
      <c r="C11" s="12" t="inlineStr">
        <is>
          <t>Barra</t>
        </is>
      </c>
      <c r="D11" s="12" t="inlineStr">
        <is>
          <t>Barista</t>
        </is>
      </c>
      <c r="E11" s="12" t="inlineStr">
        <is>
          <t>Mensual</t>
        </is>
      </c>
      <c r="F11" s="14" t="n"/>
      <c r="G11" s="14" t="n"/>
    </row>
    <row r="12">
      <c r="A12" s="26" t="inlineStr">
        <is>
          <t>☐</t>
        </is>
      </c>
      <c r="B12" s="7" t="inlineStr">
        <is>
          <t>Verificar desgaste de muelas (cambiar si aplica)</t>
        </is>
      </c>
      <c r="C12" s="8" t="inlineStr">
        <is>
          <t>Barra</t>
        </is>
      </c>
      <c r="D12" s="8" t="inlineStr">
        <is>
          <t>Técnico</t>
        </is>
      </c>
      <c r="E12" s="8" t="inlineStr">
        <is>
          <t>Mensual</t>
        </is>
      </c>
      <c r="F12" s="10" t="n"/>
      <c r="G12" s="10" t="n"/>
    </row>
    <row r="13">
      <c r="A13" s="27" t="inlineStr">
        <is>
          <t>☐</t>
        </is>
      </c>
      <c r="B13" s="11" t="inlineStr">
        <is>
          <t>Calibrar dosificación</t>
        </is>
      </c>
      <c r="C13" s="12" t="inlineStr">
        <is>
          <t>Barra</t>
        </is>
      </c>
      <c r="D13" s="12" t="inlineStr">
        <is>
          <t>Barista</t>
        </is>
      </c>
      <c r="E13" s="12" t="inlineStr">
        <is>
          <t>Mensual</t>
        </is>
      </c>
      <c r="F13" s="14" t="n"/>
      <c r="G13" s="14" t="n"/>
    </row>
    <row r="14">
      <c r="A14" s="25" t="inlineStr">
        <is>
          <t xml:space="preserve">  COCINA Y GENERAL</t>
        </is>
      </c>
    </row>
    <row r="15">
      <c r="A15" s="27" t="inlineStr">
        <is>
          <t>☐</t>
        </is>
      </c>
      <c r="B15" s="11" t="inlineStr">
        <is>
          <t>Revisión horno: resistencias, puerta, juntas</t>
        </is>
      </c>
      <c r="C15" s="12" t="inlineStr">
        <is>
          <t>Cocina</t>
        </is>
      </c>
      <c r="D15" s="12" t="inlineStr">
        <is>
          <t>Técnico</t>
        </is>
      </c>
      <c r="E15" s="12" t="inlineStr">
        <is>
          <t>Mensual</t>
        </is>
      </c>
      <c r="F15" s="14" t="n"/>
      <c r="G15" s="14" t="n"/>
    </row>
    <row r="16">
      <c r="A16" s="26" t="inlineStr">
        <is>
          <t>☐</t>
        </is>
      </c>
      <c r="B16" s="7" t="inlineStr">
        <is>
          <t>Lavavajillas: limpiar filtros, verificar abrillantador y sal</t>
        </is>
      </c>
      <c r="C16" s="8" t="inlineStr">
        <is>
          <t>Cocina</t>
        </is>
      </c>
      <c r="D16" s="8" t="inlineStr">
        <is>
          <t>Manager</t>
        </is>
      </c>
      <c r="E16" s="8" t="inlineStr">
        <is>
          <t>Mensual</t>
        </is>
      </c>
      <c r="F16" s="10" t="n"/>
      <c r="G16" s="10" t="n"/>
    </row>
    <row r="17">
      <c r="A17" s="27" t="inlineStr">
        <is>
          <t>☐</t>
        </is>
      </c>
      <c r="B17" s="11" t="inlineStr">
        <is>
          <t>Revisar campana extractora y filtros</t>
        </is>
      </c>
      <c r="C17" s="12" t="inlineStr">
        <is>
          <t>Cocina</t>
        </is>
      </c>
      <c r="D17" s="12" t="inlineStr">
        <is>
          <t>Técnico</t>
        </is>
      </c>
      <c r="E17" s="12" t="inlineStr">
        <is>
          <t>Mensual</t>
        </is>
      </c>
      <c r="F17" s="14" t="n"/>
      <c r="G17" s="14" t="n"/>
    </row>
    <row r="18">
      <c r="A18" s="26" t="inlineStr">
        <is>
          <t>☐</t>
        </is>
      </c>
      <c r="B18" s="7" t="inlineStr">
        <is>
          <t>Revisar climatización: filtros, temperatura</t>
        </is>
      </c>
      <c r="C18" s="8" t="inlineStr">
        <is>
          <t>General</t>
        </is>
      </c>
      <c r="D18" s="8" t="inlineStr">
        <is>
          <t>Técnico</t>
        </is>
      </c>
      <c r="E18" s="8" t="inlineStr">
        <is>
          <t>Mensual</t>
        </is>
      </c>
      <c r="F18" s="10" t="n"/>
      <c r="G18" s="10" t="n"/>
    </row>
    <row r="19">
      <c r="A19" s="27" t="inlineStr">
        <is>
          <t>☐</t>
        </is>
      </c>
      <c r="B19" s="11" t="inlineStr">
        <is>
          <t>Verificar estado de instalación eléctrica</t>
        </is>
      </c>
      <c r="C19" s="12" t="inlineStr">
        <is>
          <t>General</t>
        </is>
      </c>
      <c r="D19" s="12" t="inlineStr">
        <is>
          <t>Técnico</t>
        </is>
      </c>
      <c r="E19" s="12" t="inlineStr">
        <is>
          <t>Mensual</t>
        </is>
      </c>
      <c r="F19" s="14" t="n"/>
      <c r="G19" s="14" t="n"/>
    </row>
    <row r="20">
      <c r="A20" s="25" t="inlineStr">
        <is>
          <t xml:space="preserve">  SEGURIDAD Y CUMPLIMIENTO</t>
        </is>
      </c>
    </row>
    <row r="21">
      <c r="A21" s="27" t="inlineStr">
        <is>
          <t>☐</t>
        </is>
      </c>
      <c r="B21" s="11" t="inlineStr">
        <is>
          <t>Verificar extintor: presión, caducidad, accesibilidad</t>
        </is>
      </c>
      <c r="C21" s="12" t="inlineStr">
        <is>
          <t>General</t>
        </is>
      </c>
      <c r="D21" s="12" t="inlineStr">
        <is>
          <t>Manager</t>
        </is>
      </c>
      <c r="E21" s="12" t="inlineStr">
        <is>
          <t>Mensual</t>
        </is>
      </c>
      <c r="F21" s="14" t="n"/>
      <c r="G21" s="14" t="n"/>
    </row>
    <row r="22">
      <c r="A22" s="26" t="inlineStr">
        <is>
          <t>☐</t>
        </is>
      </c>
      <c r="B22" s="7" t="inlineStr">
        <is>
          <t>Verificar botiquín: stock completo, caducidades</t>
        </is>
      </c>
      <c r="C22" s="8" t="inlineStr">
        <is>
          <t>General</t>
        </is>
      </c>
      <c r="D22" s="8" t="inlineStr">
        <is>
          <t>Manager</t>
        </is>
      </c>
      <c r="E22" s="8" t="inlineStr">
        <is>
          <t>Mensual</t>
        </is>
      </c>
      <c r="F22" s="10" t="n"/>
      <c r="G22" s="10" t="n"/>
    </row>
    <row r="23">
      <c r="A23" s="27" t="inlineStr">
        <is>
          <t>☐</t>
        </is>
      </c>
      <c r="B23" s="11" t="inlineStr">
        <is>
          <t>Revisar salidas de emergencia: despejadas y señalizadas</t>
        </is>
      </c>
      <c r="C23" s="12" t="inlineStr">
        <is>
          <t>General</t>
        </is>
      </c>
      <c r="D23" s="12" t="inlineStr">
        <is>
          <t>Manager</t>
        </is>
      </c>
      <c r="E23" s="12" t="inlineStr">
        <is>
          <t>Mensual</t>
        </is>
      </c>
      <c r="F23" s="14" t="n"/>
      <c r="G23" s="14" t="n"/>
    </row>
    <row r="25">
      <c r="C25" s="20" t="inlineStr">
        <is>
          <t>Completadas:</t>
        </is>
      </c>
      <c r="D25" s="28">
        <f>COUNTIF(F5:F23,"✓")</f>
        <v/>
      </c>
      <c r="E25" s="20" t="inlineStr">
        <is>
          <t>de 15</t>
        </is>
      </c>
    </row>
    <row r="27">
      <c r="A27" s="4" t="inlineStr">
        <is>
          <t>Firma encargado/a: _________________________    Hora: _________</t>
        </is>
      </c>
    </row>
    <row r="29">
      <c r="A29" s="15" t="inlineStr">
        <is>
          <t>— Kit de Tareas Recurrentes: Cafetería / Brunch · AI Chef Pro · aichef.pro —</t>
        </is>
      </c>
    </row>
  </sheetData>
  <mergeCells count="8">
    <mergeCell ref="A20:G20"/>
    <mergeCell ref="A1:G1"/>
    <mergeCell ref="A27:G27"/>
    <mergeCell ref="A2:G2"/>
    <mergeCell ref="A14:G14"/>
    <mergeCell ref="A5:G5"/>
    <mergeCell ref="A29:G29"/>
    <mergeCell ref="A10:G10"/>
  </mergeCells>
  <pageMargins bottom="1" footer="0.5" header="0.5" left="0.75" right="0.75" top="1"/>
  <pageSetup fitToHeight="0" fitToWidth="1"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2026-03-19T12:34:13Z</dcterms:created>
  <dcterms:modified xsi:type="dcterms:W3CDTF">2026-03-19T12:34:13Z</dcterms:modified>
</cp:coreProperties>
</file>