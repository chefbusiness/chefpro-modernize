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dora pricing" sheetId="1" state="visible" r:id="rId1"/>
    <sheet xmlns:r="http://schemas.openxmlformats.org/officeDocument/2006/relationships" name="10 ejemplos valid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0A0908"/>
      <sz val="18"/>
    </font>
    <font>
      <name val="Calibri"/>
      <i val="1"/>
      <color rgb="008A7E63"/>
      <sz val="11"/>
    </font>
    <font>
      <name val="Calibri"/>
      <b val="1"/>
      <color rgb="000A0908"/>
      <sz val="11"/>
    </font>
    <font>
      <name val="Calibri"/>
      <color rgb="000A0908"/>
      <sz val="11"/>
    </font>
    <font>
      <name val="Calibri"/>
      <i val="1"/>
      <color rgb="008A7E63"/>
      <sz val="10"/>
    </font>
    <font>
      <name val="Calibri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C4974A"/>
      </patternFill>
    </fill>
    <fill>
      <patternFill patternType="solid">
        <fgColor rgb="00FFF7C2"/>
      </patternFill>
    </fill>
    <fill>
      <patternFill patternType="solid">
        <fgColor rgb="00E8E0D2"/>
      </patternFill>
    </fill>
    <fill>
      <patternFill patternType="solid">
        <fgColor rgb="000A0908"/>
      </patternFill>
    </fill>
  </fills>
  <borders count="2">
    <border>
      <left/>
      <right/>
      <top/>
      <bottom/>
      <diagonal/>
    </border>
    <border>
      <left style="thin">
        <color rgb="00C8BFA8"/>
      </left>
      <right style="thin">
        <color rgb="00C8BFA8"/>
      </right>
      <top style="thin">
        <color rgb="00C8BFA8"/>
      </top>
      <bottom style="thin">
        <color rgb="00C8BFA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0" fontId="5" fillId="0" borderId="0" pivotButton="0" quotePrefix="0" xfId="0"/>
    <xf numFmtId="2" fontId="4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right" vertical="center"/>
    </xf>
    <xf numFmtId="164" fontId="3" fillId="2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1" t="inlineStr">
        <is>
          <t>Calculadora Pricing — Catering Temático para Eventos</t>
        </is>
      </c>
    </row>
    <row r="2">
      <c r="A2" s="2" t="inlineStr">
        <is>
          <t>Modelo dual B2C + B2B + factor multi-concepto · Cambia los inputs amarillos</t>
        </is>
      </c>
    </row>
    <row r="4">
      <c r="A4" s="3" t="inlineStr">
        <is>
          <t>INPUTS DEL EVENTO</t>
        </is>
      </c>
    </row>
    <row r="5">
      <c r="A5" s="4" t="inlineStr">
        <is>
          <t>Tipo de cliente (B2C o B2B)</t>
        </is>
      </c>
      <c r="B5" s="5" t="inlineStr">
        <is>
          <t>B2B</t>
        </is>
      </c>
      <c r="C5" s="6" t="inlineStr">
        <is>
          <t>B2C particular o B2B corporate/agencia/planner</t>
        </is>
      </c>
    </row>
    <row r="6">
      <c r="A6" s="4" t="inlineStr">
        <is>
          <t>Número de comensales (pax)</t>
        </is>
      </c>
      <c r="B6" s="5" t="n">
        <v>80</v>
      </c>
      <c r="C6" s="6" t="inlineStr">
        <is>
          <t>Total de invitados</t>
        </is>
      </c>
    </row>
    <row r="7">
      <c r="A7" s="4" t="inlineStr">
        <is>
          <t>Distancia ida (km)</t>
        </is>
      </c>
      <c r="B7" s="5" t="n">
        <v>35</v>
      </c>
      <c r="C7" s="6" t="inlineStr">
        <is>
          <t>Desde tu base hasta el lugar del evento</t>
        </is>
      </c>
    </row>
    <row r="8">
      <c r="A8" s="4" t="inlineStr">
        <is>
          <t>Número de conceptos temáticos</t>
        </is>
      </c>
      <c r="B8" s="5" t="n">
        <v>3</v>
      </c>
      <c r="C8" s="6" t="inlineStr">
        <is>
          <t>1 estación / 2-3 conceptos / 4+ conceptos premium</t>
        </is>
      </c>
    </row>
    <row r="9">
      <c r="A9" s="4" t="inlineStr">
        <is>
          <t>Concepto principal (japonés/mexicano/italiano/etc.)</t>
        </is>
      </c>
      <c r="B9" s="5" t="inlineStr">
        <is>
          <t>japonés</t>
        </is>
      </c>
      <c r="C9" s="6" t="inlineStr">
        <is>
          <t>Sushi/Mexicano/Italiano/Argentino/Peruano/Indio/Vegano/BBQ/Mediterráneo/Brunch</t>
        </is>
      </c>
    </row>
    <row r="10">
      <c r="A10" s="4" t="inlineStr">
        <is>
          <t>Nivel calidad (estándar/premium/exclusivo)</t>
        </is>
      </c>
      <c r="B10" s="5" t="inlineStr">
        <is>
          <t>premium</t>
        </is>
      </c>
      <c r="C10" s="6" t="inlineStr">
        <is>
          <t>Estándar / Premium (+25%) / Exclusivo (+55%) caviar/wagyu/trufa</t>
        </is>
      </c>
    </row>
    <row r="11">
      <c r="A11" s="4" t="inlineStr">
        <is>
          <t>Bebidas / pairing incluido (sí/no)</t>
        </is>
      </c>
      <c r="B11" s="5" t="inlineStr">
        <is>
          <t>no</t>
        </is>
      </c>
      <c r="C11" s="6" t="inlineStr">
        <is>
          <t>Sí: +14 €/pax para vinos/cocktails pairing</t>
        </is>
      </c>
    </row>
    <row r="12">
      <c r="A12" s="4" t="inlineStr">
        <is>
          <t>Branded experience corporate (sí/no)</t>
        </is>
      </c>
      <c r="B12" s="5" t="inlineStr">
        <is>
          <t>no</t>
        </is>
      </c>
      <c r="C12" s="6" t="inlineStr">
        <is>
          <t>Mantelería + flores + ambientación temática: +280€</t>
        </is>
      </c>
    </row>
    <row r="13">
      <c r="A13" s="4" t="inlineStr">
        <is>
          <t>Showcooking en vivo con narrativa (sí/no)</t>
        </is>
      </c>
      <c r="B13" s="5" t="inlineStr">
        <is>
          <t>sí</t>
        </is>
      </c>
      <c r="C13" s="6" t="inlineStr">
        <is>
          <t>Sí: +12% por experiencia y entretenimiento</t>
        </is>
      </c>
    </row>
    <row r="14">
      <c r="A14" s="4" t="inlineStr">
        <is>
          <t>Personal freelance adicional (n)</t>
        </is>
      </c>
      <c r="B14" s="5" t="n">
        <v>2</v>
      </c>
      <c r="C14" s="6" t="inlineStr">
        <is>
          <t>0-1 base, +1 por concepto extra &gt; 60 pax</t>
        </is>
      </c>
    </row>
    <row r="16">
      <c r="A16" s="3" t="inlineStr">
        <is>
          <t>CÁLCULO BASE</t>
        </is>
      </c>
    </row>
    <row r="17">
      <c r="A17" s="4" t="inlineStr">
        <is>
          <t>Precio base por pax (€/pax)</t>
        </is>
      </c>
      <c r="B17" s="7">
        <f>IF(B5="B2B", IF(B6&lt;40, 65, IF(B6&lt;100, 55, 48)), IF(B6&lt;40, 58, IF(B6&lt;80, 48, 42)))</f>
        <v/>
      </c>
      <c r="C17" s="8" t="inlineStr">
        <is>
          <t>Tarifa base ajustada por volumen y canal</t>
        </is>
      </c>
    </row>
    <row r="18">
      <c r="A18" s="4" t="inlineStr">
        <is>
          <t>Recargo nivel calidad (factor)</t>
        </is>
      </c>
      <c r="B18" s="9">
        <f>IF(B10="exclusivo",1.55,IF(B10="premium",1.25,1.00))</f>
        <v/>
      </c>
      <c r="C18" s="8" t="inlineStr">
        <is>
          <t>Premium +25%, Exclusivo +55% (caviar/wagyu/trufa)</t>
        </is>
      </c>
    </row>
    <row r="19">
      <c r="A19" s="4" t="inlineStr">
        <is>
          <t>Recargo multi-concepto (factor)</t>
        </is>
      </c>
      <c r="B19" s="9">
        <f>IF(B8&gt;=4,1.32,IF(B8=3,1.18,IF(B8=2,1.08,1.00)))</f>
        <v/>
      </c>
      <c r="C19" s="8" t="inlineStr">
        <is>
          <t>2 conceptos +8%, 3 conceptos +18%, 4+ conceptos +32%</t>
        </is>
      </c>
    </row>
    <row r="20">
      <c r="A20" s="4" t="inlineStr">
        <is>
          <t>Recargo concepto premium (sushi/marisco/wagyu)</t>
        </is>
      </c>
      <c r="B20" s="9">
        <f>IF(OR(B9="japonés",B9="marisquería",B9="indio"),1.18,IF(OR(B9="peruano",B9="vegano"),1.10,1.00))</f>
        <v/>
      </c>
      <c r="C20" s="8" t="inlineStr">
        <is>
          <t>Japonés/Marisquería/Indio +18%, Peruano/Vegano +10%</t>
        </is>
      </c>
    </row>
    <row r="21">
      <c r="A21" s="4" t="inlineStr">
        <is>
          <t>Recargo showcooking en vivo</t>
        </is>
      </c>
      <c r="B21" s="9">
        <f>IF(B13="sí",1.12,1.00)</f>
        <v/>
      </c>
      <c r="C21" s="8" t="inlineStr">
        <is>
          <t>Showcooking +12%</t>
        </is>
      </c>
    </row>
    <row r="22">
      <c r="A22" s="4" t="inlineStr">
        <is>
          <t>Recargo bebidas pairing por pax</t>
        </is>
      </c>
      <c r="B22" s="7">
        <f>IF(B11="sí",14,0)</f>
        <v/>
      </c>
      <c r="C22" s="8" t="inlineStr">
        <is>
          <t>Pairing vinos/cocktails: +14 €/pax</t>
        </is>
      </c>
    </row>
    <row r="23">
      <c r="A23" s="4" t="inlineStr">
        <is>
          <t>Coste branded experience corporate</t>
        </is>
      </c>
      <c r="B23" s="9">
        <f>IF(B12="sí",280,0)</f>
        <v/>
      </c>
      <c r="C23" s="8" t="inlineStr">
        <is>
          <t>Mantelería + flores + ambientación temática: +280€</t>
        </is>
      </c>
    </row>
    <row r="24">
      <c r="A24" s="4" t="inlineStr">
        <is>
          <t>Coste desplazamiento (€)</t>
        </is>
      </c>
      <c r="B24" s="7">
        <f>B7*0.95*2</f>
        <v/>
      </c>
      <c r="C24" s="8" t="inlineStr">
        <is>
          <t>0.95 €/km · ida y vuelta</t>
        </is>
      </c>
    </row>
    <row r="25">
      <c r="A25" s="4" t="inlineStr">
        <is>
          <t>Coste personal freelance (€)</t>
        </is>
      </c>
      <c r="B25" s="7">
        <f>B14*135</f>
        <v/>
      </c>
      <c r="C25" s="8" t="inlineStr">
        <is>
          <t>135 €/freelance especializado por jornada</t>
        </is>
      </c>
    </row>
    <row r="27">
      <c r="A27" s="3" t="inlineStr">
        <is>
          <t>RESULTADO</t>
        </is>
      </c>
    </row>
    <row r="28">
      <c r="A28" s="10" t="inlineStr">
        <is>
          <t>Precio comida por pax (€/pax)</t>
        </is>
      </c>
      <c r="B28" s="11">
        <f>B17*B18*B19*B20*B21+B22</f>
        <v/>
      </c>
    </row>
    <row r="29">
      <c r="A29" s="10" t="inlineStr">
        <is>
          <t>Subtotal comida (€)</t>
        </is>
      </c>
      <c r="B29" s="11">
        <f>B28*B6</f>
        <v/>
      </c>
    </row>
    <row r="30">
      <c r="A30" s="10" t="inlineStr">
        <is>
          <t>Logística + freelance + branded (€)</t>
        </is>
      </c>
      <c r="B30" s="11">
        <f>B23+B24+B25</f>
        <v/>
      </c>
    </row>
    <row r="31">
      <c r="A31" s="10" t="inlineStr">
        <is>
          <t>PVP recomendado (€) sin IVA</t>
        </is>
      </c>
      <c r="B31" s="12">
        <f>B29+B30</f>
        <v/>
      </c>
    </row>
    <row r="32">
      <c r="A32" s="10" t="inlineStr">
        <is>
          <t>PVP por pax efectivo (€/pax)</t>
        </is>
      </c>
      <c r="B32" s="11">
        <f>B31/B6</f>
        <v/>
      </c>
    </row>
    <row r="33">
      <c r="A33" s="10" t="inlineStr">
        <is>
          <t>Anticipo 40 % a cobrar al firmar</t>
        </is>
      </c>
      <c r="B33" s="13">
        <f>B31*0.4</f>
        <v/>
      </c>
    </row>
    <row r="34">
      <c r="A34" s="10" t="inlineStr">
        <is>
          <t>Margen estimado bruto (€)</t>
        </is>
      </c>
      <c r="B34" s="11">
        <f>B31*0.55</f>
        <v/>
      </c>
    </row>
    <row r="35">
      <c r="A35" s="10" t="inlineStr">
        <is>
          <t>Margen estimado bruto (%)</t>
        </is>
      </c>
      <c r="B35" s="13" t="n">
        <v>0.55</v>
      </c>
    </row>
  </sheetData>
  <mergeCells count="24">
    <mergeCell ref="A4:D4"/>
    <mergeCell ref="C22:E22"/>
    <mergeCell ref="C9:E9"/>
    <mergeCell ref="C21:E21"/>
    <mergeCell ref="C12:E12"/>
    <mergeCell ref="C11:E11"/>
    <mergeCell ref="C23:E23"/>
    <mergeCell ref="C8:E8"/>
    <mergeCell ref="C17:E17"/>
    <mergeCell ref="C7:E7"/>
    <mergeCell ref="A1:J1"/>
    <mergeCell ref="C13:E13"/>
    <mergeCell ref="C19:E19"/>
    <mergeCell ref="C18:E18"/>
    <mergeCell ref="A16:D16"/>
    <mergeCell ref="C6:E6"/>
    <mergeCell ref="C24:E24"/>
    <mergeCell ref="C14:E14"/>
    <mergeCell ref="A27:D27"/>
    <mergeCell ref="C5:E5"/>
    <mergeCell ref="A2:J2"/>
    <mergeCell ref="C20:E20"/>
    <mergeCell ref="C25:E25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8" customWidth="1" min="3" max="3"/>
    <col width="24" customWidth="1" min="4" max="4"/>
    <col width="10" customWidth="1" min="5" max="5"/>
    <col width="8" customWidth="1" min="6" max="6"/>
    <col width="10" customWidth="1" min="7" max="7"/>
    <col width="14" customWidth="1" min="8" max="8"/>
    <col width="12" customWidth="1" min="9" max="9"/>
  </cols>
  <sheetData>
    <row r="1" ht="28" customHeight="1">
      <c r="A1" s="1" t="inlineStr">
        <is>
          <t>10 ejemplos pricing reales</t>
        </is>
      </c>
    </row>
    <row r="2">
      <c r="A2" s="2" t="inlineStr">
        <is>
          <t>Casos validados sector catering temático eventos España 2026</t>
        </is>
      </c>
    </row>
    <row r="4" ht="26" customHeight="1">
      <c r="A4" s="14" t="inlineStr">
        <is>
          <t>#</t>
        </is>
      </c>
      <c r="B4" s="14" t="inlineStr">
        <is>
          <t>Tipo evento</t>
        </is>
      </c>
      <c r="C4" s="14" t="inlineStr">
        <is>
          <t>Pax</t>
        </is>
      </c>
      <c r="D4" s="14" t="inlineStr">
        <is>
          <t>Conceptos</t>
        </is>
      </c>
      <c r="E4" s="14" t="inlineStr">
        <is>
          <t>Nivel</t>
        </is>
      </c>
      <c r="F4" s="14" t="inlineStr">
        <is>
          <t>B2C/B2B</t>
        </is>
      </c>
      <c r="G4" s="14" t="inlineStr">
        <is>
          <t>Distancia</t>
        </is>
      </c>
      <c r="H4" s="14" t="inlineStr">
        <is>
          <t>PVP final (€)</t>
        </is>
      </c>
      <c r="I4" s="14" t="inlineStr">
        <is>
          <t>€/pax</t>
        </is>
      </c>
    </row>
    <row r="5">
      <c r="A5" s="15" t="n">
        <v>1</v>
      </c>
      <c r="B5" s="16" t="inlineStr">
        <is>
          <t>Boda multicultural finca Toledo</t>
        </is>
      </c>
      <c r="C5" s="15" t="n">
        <v>80</v>
      </c>
      <c r="D5" s="16" t="inlineStr">
        <is>
          <t>Sushi + Italiano + Mexicano</t>
        </is>
      </c>
      <c r="E5" s="15" t="inlineStr">
        <is>
          <t>premium</t>
        </is>
      </c>
      <c r="F5" s="15" t="inlineStr">
        <is>
          <t>B2C</t>
        </is>
      </c>
      <c r="G5" s="15" t="n">
        <v>75</v>
      </c>
      <c r="H5" s="17" t="n">
        <v>5800</v>
      </c>
      <c r="I5" s="17" t="n">
        <v>72.5</v>
      </c>
    </row>
    <row r="6">
      <c r="A6" s="15" t="n">
        <v>2</v>
      </c>
      <c r="B6" s="16" t="inlineStr">
        <is>
          <t>Cumpleaños 40 en domicilio + jardín</t>
        </is>
      </c>
      <c r="C6" s="15" t="n">
        <v>50</v>
      </c>
      <c r="D6" s="16" t="inlineStr">
        <is>
          <t>Tacos + Pizza leña</t>
        </is>
      </c>
      <c r="E6" s="15" t="inlineStr">
        <is>
          <t>estándar</t>
        </is>
      </c>
      <c r="F6" s="15" t="inlineStr">
        <is>
          <t>B2C</t>
        </is>
      </c>
      <c r="G6" s="15" t="n">
        <v>12</v>
      </c>
      <c r="H6" s="17" t="n">
        <v>1850</v>
      </c>
      <c r="I6" s="17" t="n">
        <v>37</v>
      </c>
    </row>
    <row r="7">
      <c r="A7" s="15" t="n">
        <v>3</v>
      </c>
      <c r="B7" s="16" t="inlineStr">
        <is>
          <t>Boda alto standing 5* Marbella</t>
        </is>
      </c>
      <c r="C7" s="15" t="n">
        <v>130</v>
      </c>
      <c r="D7" s="16" t="inlineStr">
        <is>
          <t>Sushi + Marisquería + Vegano</t>
        </is>
      </c>
      <c r="E7" s="15" t="inlineStr">
        <is>
          <t>exclusivo</t>
        </is>
      </c>
      <c r="F7" s="15" t="inlineStr">
        <is>
          <t>B2C</t>
        </is>
      </c>
      <c r="G7" s="15" t="n">
        <v>145</v>
      </c>
      <c r="H7" s="17" t="n">
        <v>14500</v>
      </c>
      <c r="I7" s="17" t="n">
        <v>111.54</v>
      </c>
    </row>
    <row r="8">
      <c r="A8" s="15" t="n">
        <v>4</v>
      </c>
      <c r="B8" s="16" t="inlineStr">
        <is>
          <t>Corporate brand event multinacional Madrid</t>
        </is>
      </c>
      <c r="C8" s="15" t="n">
        <v>100</v>
      </c>
      <c r="D8" s="16" t="inlineStr">
        <is>
          <t>BBQ + Mediterráneo + Asiático</t>
        </is>
      </c>
      <c r="E8" s="15" t="inlineStr">
        <is>
          <t>premium</t>
        </is>
      </c>
      <c r="F8" s="15" t="inlineStr">
        <is>
          <t>B2B</t>
        </is>
      </c>
      <c r="G8" s="15" t="n">
        <v>18</v>
      </c>
      <c r="H8" s="17" t="n">
        <v>8200</v>
      </c>
      <c r="I8" s="17" t="n">
        <v>82</v>
      </c>
    </row>
    <row r="9">
      <c r="A9" s="15" t="n">
        <v>5</v>
      </c>
      <c r="B9" s="16" t="inlineStr">
        <is>
          <t>Embajada cena diplomática multicultural</t>
        </is>
      </c>
      <c r="C9" s="15" t="n">
        <v>60</v>
      </c>
      <c r="D9" s="16" t="inlineStr">
        <is>
          <t>Indio + Marroquí + Vegano</t>
        </is>
      </c>
      <c r="E9" s="15" t="inlineStr">
        <is>
          <t>exclusivo</t>
        </is>
      </c>
      <c r="F9" s="15" t="inlineStr">
        <is>
          <t>B2B</t>
        </is>
      </c>
      <c r="G9" s="15" t="n">
        <v>15</v>
      </c>
      <c r="H9" s="17" t="n">
        <v>6800</v>
      </c>
      <c r="I9" s="17" t="n">
        <v>113.33</v>
      </c>
    </row>
    <row r="10">
      <c r="A10" s="15" t="n">
        <v>6</v>
      </c>
      <c r="B10" s="16" t="inlineStr">
        <is>
          <t>Festival gastronómico activación marca</t>
        </is>
      </c>
      <c r="C10" s="15" t="n">
        <v>220</v>
      </c>
      <c r="D10" s="16" t="inlineStr">
        <is>
          <t>Tacos + Pizza + Brunch + Asiático</t>
        </is>
      </c>
      <c r="E10" s="15" t="inlineStr">
        <is>
          <t>estándar</t>
        </is>
      </c>
      <c r="F10" s="15" t="inlineStr">
        <is>
          <t>B2B</t>
        </is>
      </c>
      <c r="G10" s="15" t="n">
        <v>25</v>
      </c>
      <c r="H10" s="17" t="n">
        <v>7800</v>
      </c>
      <c r="I10" s="17" t="n">
        <v>35.45</v>
      </c>
    </row>
    <row r="11">
      <c r="A11" s="15" t="n">
        <v>7</v>
      </c>
      <c r="B11" s="16" t="inlineStr">
        <is>
          <t>Wedding planner pre-boda 30 pax</t>
        </is>
      </c>
      <c r="C11" s="15" t="n">
        <v>30</v>
      </c>
      <c r="D11" s="16" t="inlineStr">
        <is>
          <t>Mediterráneo + Vegano</t>
        </is>
      </c>
      <c r="E11" s="15" t="inlineStr">
        <is>
          <t>premium</t>
        </is>
      </c>
      <c r="F11" s="15" t="inlineStr">
        <is>
          <t>B2B</t>
        </is>
      </c>
      <c r="G11" s="15" t="n">
        <v>35</v>
      </c>
      <c r="H11" s="17" t="n">
        <v>1950</v>
      </c>
      <c r="I11" s="17" t="n">
        <v>65</v>
      </c>
    </row>
    <row r="12">
      <c r="A12" s="15" t="n">
        <v>8</v>
      </c>
      <c r="B12" s="16" t="inlineStr">
        <is>
          <t>Hotel boutique evento corporate 50 pax</t>
        </is>
      </c>
      <c r="C12" s="15" t="n">
        <v>50</v>
      </c>
      <c r="D12" s="16" t="inlineStr">
        <is>
          <t>Sushi + Argentino</t>
        </is>
      </c>
      <c r="E12" s="15" t="inlineStr">
        <is>
          <t>premium</t>
        </is>
      </c>
      <c r="F12" s="15" t="inlineStr">
        <is>
          <t>B2B</t>
        </is>
      </c>
      <c r="G12" s="15" t="n">
        <v>12</v>
      </c>
      <c r="H12" s="17" t="n">
        <v>3600</v>
      </c>
      <c r="I12" s="17" t="n">
        <v>72</v>
      </c>
    </row>
    <row r="13">
      <c r="A13" s="15" t="n">
        <v>9</v>
      </c>
      <c r="B13" s="16" t="inlineStr">
        <is>
          <t>Cumpleaños temático Bollywood familiar</t>
        </is>
      </c>
      <c r="C13" s="15" t="n">
        <v>60</v>
      </c>
      <c r="D13" s="16" t="inlineStr">
        <is>
          <t>Indio premium + Brunch</t>
        </is>
      </c>
      <c r="E13" s="15" t="inlineStr">
        <is>
          <t>premium</t>
        </is>
      </c>
      <c r="F13" s="15" t="inlineStr">
        <is>
          <t>B2C</t>
        </is>
      </c>
      <c r="G13" s="15" t="n">
        <v>15</v>
      </c>
      <c r="H13" s="17" t="n">
        <v>3450</v>
      </c>
      <c r="I13" s="17" t="n">
        <v>57.5</v>
      </c>
    </row>
    <row r="14">
      <c r="A14" s="15" t="n">
        <v>10</v>
      </c>
      <c r="B14" s="16" t="inlineStr">
        <is>
          <t>Comunión 80 pax mediterránea</t>
        </is>
      </c>
      <c r="C14" s="15" t="n">
        <v>80</v>
      </c>
      <c r="D14" s="16" t="inlineStr">
        <is>
          <t>Mediterráneo + Italiano</t>
        </is>
      </c>
      <c r="E14" s="15" t="inlineStr">
        <is>
          <t>estándar</t>
        </is>
      </c>
      <c r="F14" s="15" t="inlineStr">
        <is>
          <t>B2C</t>
        </is>
      </c>
      <c r="G14" s="15" t="n">
        <v>28</v>
      </c>
      <c r="H14" s="17" t="n">
        <v>3200</v>
      </c>
      <c r="I14" s="17" t="n">
        <v>40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2026-04-28T20:57:32Z</dcterms:created>
  <dcterms:modified xmlns:dcterms="http://purl.org/dc/terms/" xmlns:xsi="http://www.w3.org/2001/XMLSchema-instance" xsi:type="dcterms:W3CDTF">2026-04-28T20:57:32Z</dcterms:modified>
</cp:coreProperties>
</file>